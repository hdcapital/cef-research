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theaic.sharepoint.com/sites/AIC-WPDOCS/Shared Documents/General/STATISTICS/Corporate activity/"/>
    </mc:Choice>
  </mc:AlternateContent>
  <xr:revisionPtr revIDLastSave="2264" documentId="8_{E8110FF3-2349-422E-90FB-202359335442}" xr6:coauthVersionLast="47" xr6:coauthVersionMax="47" xr10:uidLastSave="{206D3FDB-19E6-470E-B769-4C1927D6A56E}"/>
  <bookViews>
    <workbookView xWindow="-120" yWindow="-120" windowWidth="29040" windowHeight="15720" firstSheet="1" activeTab="1" xr2:uid="{65552775-0C4B-4EFA-8364-8F432219CE29}"/>
  </bookViews>
  <sheets>
    <sheet name="Formulas" sheetId="8" state="hidden" r:id="rId1"/>
    <sheet name="Summary" sheetId="7" r:id="rId2"/>
    <sheet name="Corporate activity" sheetId="1" r:id="rId3"/>
    <sheet name="Issuance" sheetId="5" r:id="rId4"/>
    <sheet name="Buybacks" sheetId="6" r:id="rId5"/>
    <sheet name="VCT" sheetId="3" r:id="rId6"/>
    <sheet name="Definitions" sheetId="4" r:id="rId7"/>
  </sheets>
  <definedNames>
    <definedName name="_xlnm._FilterDatabase" localSheetId="4" hidden="1">Buybacks!$A$3:$K$7923</definedName>
    <definedName name="_xlnm._FilterDatabase" localSheetId="2" hidden="1">'Corporate activity'!$A$3:$M$3</definedName>
    <definedName name="_xlnm._FilterDatabase" localSheetId="6" hidden="1">Definitions!$A$3:$B$3</definedName>
    <definedName name="_xlnm._FilterDatabase" localSheetId="0" hidden="1">Formulas!$H$2:$J$2</definedName>
    <definedName name="_xlnm._FilterDatabase" localSheetId="3" hidden="1">Issuance!$A$3:$M$633</definedName>
    <definedName name="_xlnm._FilterDatabase" localSheetId="5" hidden="1">VCT!$A$4:$T$265</definedName>
    <definedName name="_xlnm.Print_Area" localSheetId="1">Summary!$B$1:$M$59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8" l="1"/>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M115" i="8"/>
  <c r="N115" i="8"/>
  <c r="O115" i="8"/>
  <c r="M116" i="8"/>
  <c r="N116" i="8"/>
  <c r="O116" i="8"/>
  <c r="M117" i="8"/>
  <c r="N117" i="8"/>
  <c r="O117" i="8"/>
  <c r="M118" i="8"/>
  <c r="N118" i="8"/>
  <c r="O118" i="8"/>
  <c r="M119" i="8"/>
  <c r="N119" i="8"/>
  <c r="O119" i="8"/>
  <c r="M120" i="8"/>
  <c r="N120" i="8"/>
  <c r="O120" i="8"/>
  <c r="M121" i="8"/>
  <c r="N121" i="8"/>
  <c r="O121" i="8"/>
  <c r="M122" i="8"/>
  <c r="N122" i="8"/>
  <c r="O122" i="8"/>
  <c r="M123" i="8"/>
  <c r="N123" i="8"/>
  <c r="O123" i="8"/>
  <c r="M124" i="8"/>
  <c r="N124" i="8"/>
  <c r="O124" i="8"/>
  <c r="M125" i="8"/>
  <c r="N125" i="8"/>
  <c r="O125" i="8"/>
  <c r="M126" i="8"/>
  <c r="N126" i="8"/>
  <c r="O126" i="8"/>
  <c r="M127" i="8"/>
  <c r="N127" i="8"/>
  <c r="O127" i="8"/>
  <c r="M128" i="8"/>
  <c r="N128" i="8"/>
  <c r="O128" i="8"/>
  <c r="M129" i="8"/>
  <c r="N129" i="8"/>
  <c r="O129" i="8"/>
  <c r="M130" i="8"/>
  <c r="N130" i="8"/>
  <c r="O130" i="8"/>
  <c r="M131" i="8"/>
  <c r="N131" i="8"/>
  <c r="O131" i="8"/>
  <c r="M132" i="8"/>
  <c r="N132" i="8"/>
  <c r="O132" i="8"/>
  <c r="M133" i="8"/>
  <c r="N133" i="8"/>
  <c r="O133" i="8"/>
  <c r="M134" i="8"/>
  <c r="N134" i="8"/>
  <c r="O134" i="8"/>
  <c r="M135" i="8"/>
  <c r="N135" i="8"/>
  <c r="O135" i="8"/>
  <c r="M136" i="8"/>
  <c r="N136" i="8"/>
  <c r="O136" i="8"/>
  <c r="M137" i="8"/>
  <c r="N137" i="8"/>
  <c r="O137" i="8"/>
  <c r="M138" i="8"/>
  <c r="N138" i="8"/>
  <c r="O138" i="8"/>
  <c r="M139" i="8"/>
  <c r="N139" i="8"/>
  <c r="O139" i="8"/>
  <c r="M140" i="8"/>
  <c r="N140" i="8"/>
  <c r="O140" i="8"/>
  <c r="M141" i="8"/>
  <c r="N141" i="8"/>
  <c r="O141" i="8"/>
  <c r="M142" i="8"/>
  <c r="N142" i="8"/>
  <c r="O142" i="8"/>
  <c r="M143" i="8"/>
  <c r="N143" i="8"/>
  <c r="O143" i="8"/>
  <c r="M144" i="8"/>
  <c r="N144" i="8"/>
  <c r="O144" i="8"/>
  <c r="M145" i="8"/>
  <c r="N145" i="8"/>
  <c r="O145" i="8"/>
  <c r="M146" i="8"/>
  <c r="N146" i="8"/>
  <c r="O146" i="8"/>
  <c r="M147" i="8"/>
  <c r="N147" i="8"/>
  <c r="O147" i="8"/>
  <c r="M148" i="8"/>
  <c r="N148" i="8"/>
  <c r="O148" i="8"/>
  <c r="M149" i="8"/>
  <c r="N149" i="8"/>
  <c r="O149" i="8"/>
  <c r="M150" i="8"/>
  <c r="N150" i="8"/>
  <c r="O150" i="8"/>
  <c r="M151" i="8"/>
  <c r="N151" i="8"/>
  <c r="O151" i="8"/>
  <c r="M152" i="8"/>
  <c r="N152" i="8"/>
  <c r="O152" i="8"/>
  <c r="M153" i="8"/>
  <c r="N153" i="8"/>
  <c r="O153" i="8"/>
  <c r="M154" i="8"/>
  <c r="N154" i="8"/>
  <c r="O154" i="8"/>
  <c r="M155" i="8"/>
  <c r="N155" i="8"/>
  <c r="O155" i="8"/>
  <c r="M156" i="8"/>
  <c r="N156" i="8"/>
  <c r="O156" i="8"/>
  <c r="M157" i="8"/>
  <c r="N157" i="8"/>
  <c r="O157" i="8"/>
  <c r="M158" i="8"/>
  <c r="N158" i="8"/>
  <c r="O158" i="8"/>
  <c r="M159" i="8"/>
  <c r="N159" i="8"/>
  <c r="O159" i="8"/>
  <c r="M160" i="8"/>
  <c r="N160" i="8"/>
  <c r="O160" i="8"/>
  <c r="M161" i="8"/>
  <c r="N161" i="8"/>
  <c r="O161" i="8"/>
  <c r="M162" i="8"/>
  <c r="N162" i="8"/>
  <c r="O162" i="8"/>
  <c r="M163" i="8"/>
  <c r="N163" i="8"/>
  <c r="O163" i="8"/>
  <c r="M164" i="8"/>
  <c r="N164" i="8"/>
  <c r="O164" i="8"/>
  <c r="M165" i="8"/>
  <c r="N165" i="8"/>
  <c r="O165" i="8"/>
  <c r="M166" i="8"/>
  <c r="N166" i="8"/>
  <c r="O166" i="8"/>
  <c r="M167" i="8"/>
  <c r="N167" i="8"/>
  <c r="O167" i="8"/>
  <c r="M168" i="8"/>
  <c r="N168" i="8"/>
  <c r="O168" i="8"/>
  <c r="M169" i="8"/>
  <c r="N169" i="8"/>
  <c r="O169" i="8"/>
  <c r="M170" i="8"/>
  <c r="N170" i="8"/>
  <c r="O170" i="8"/>
  <c r="M171" i="8"/>
  <c r="N171" i="8"/>
  <c r="O171" i="8"/>
  <c r="M172" i="8"/>
  <c r="N172" i="8"/>
  <c r="O172" i="8"/>
  <c r="M173" i="8"/>
  <c r="N173" i="8"/>
  <c r="O173" i="8"/>
  <c r="M174" i="8"/>
  <c r="N174" i="8"/>
  <c r="O174" i="8"/>
  <c r="M175" i="8"/>
  <c r="N175" i="8"/>
  <c r="O175" i="8"/>
  <c r="M176" i="8"/>
  <c r="N176" i="8"/>
  <c r="O176" i="8"/>
  <c r="M177" i="8"/>
  <c r="N177" i="8"/>
  <c r="O177" i="8"/>
  <c r="M178" i="8"/>
  <c r="N178" i="8"/>
  <c r="O178" i="8"/>
  <c r="M179" i="8"/>
  <c r="N179" i="8"/>
  <c r="O179" i="8"/>
  <c r="M180" i="8"/>
  <c r="N180" i="8"/>
  <c r="O180" i="8"/>
  <c r="M181" i="8"/>
  <c r="N181" i="8"/>
  <c r="O181" i="8"/>
  <c r="M182" i="8"/>
  <c r="N182" i="8"/>
  <c r="O182" i="8"/>
  <c r="M183" i="8"/>
  <c r="N183" i="8"/>
  <c r="O183" i="8"/>
  <c r="M184" i="8"/>
  <c r="N184" i="8"/>
  <c r="O184" i="8"/>
  <c r="M185" i="8"/>
  <c r="N185" i="8"/>
  <c r="O185" i="8"/>
  <c r="M186" i="8"/>
  <c r="N186" i="8"/>
  <c r="O186" i="8"/>
  <c r="M187" i="8"/>
  <c r="N187" i="8"/>
  <c r="O187" i="8"/>
  <c r="M188" i="8"/>
  <c r="N188" i="8"/>
  <c r="O188" i="8"/>
  <c r="M189" i="8"/>
  <c r="N189" i="8"/>
  <c r="O189" i="8"/>
  <c r="M190" i="8"/>
  <c r="N190" i="8"/>
  <c r="O190" i="8"/>
  <c r="M191" i="8"/>
  <c r="N191" i="8"/>
  <c r="O191" i="8"/>
  <c r="M192" i="8"/>
  <c r="N192" i="8"/>
  <c r="O192" i="8"/>
  <c r="M193" i="8"/>
  <c r="N193" i="8"/>
  <c r="O193" i="8"/>
  <c r="M194" i="8"/>
  <c r="N194" i="8"/>
  <c r="O194" i="8"/>
  <c r="M195" i="8"/>
  <c r="N195" i="8"/>
  <c r="O195" i="8"/>
  <c r="M196" i="8"/>
  <c r="N196" i="8"/>
  <c r="O196" i="8"/>
  <c r="M197" i="8"/>
  <c r="N197" i="8"/>
  <c r="O197" i="8"/>
  <c r="M198" i="8"/>
  <c r="N198" i="8"/>
  <c r="O198" i="8"/>
  <c r="M199" i="8"/>
  <c r="N199" i="8"/>
  <c r="O199" i="8"/>
  <c r="M200" i="8"/>
  <c r="N200" i="8"/>
  <c r="O200" i="8"/>
  <c r="M201" i="8"/>
  <c r="N201" i="8"/>
  <c r="O201" i="8"/>
  <c r="M202" i="8"/>
  <c r="N202" i="8"/>
  <c r="O202" i="8"/>
  <c r="M203" i="8"/>
  <c r="N203" i="8"/>
  <c r="O203" i="8"/>
  <c r="M204" i="8"/>
  <c r="N204" i="8"/>
  <c r="O204" i="8"/>
  <c r="M205" i="8"/>
  <c r="N205" i="8"/>
  <c r="O205" i="8"/>
  <c r="M206" i="8"/>
  <c r="N206" i="8"/>
  <c r="O206" i="8"/>
  <c r="M207" i="8"/>
  <c r="N207" i="8"/>
  <c r="O207" i="8"/>
  <c r="M208" i="8"/>
  <c r="N208" i="8"/>
  <c r="O208" i="8"/>
  <c r="M209" i="8"/>
  <c r="N209" i="8"/>
  <c r="O209" i="8"/>
  <c r="M210" i="8"/>
  <c r="N210" i="8"/>
  <c r="O210" i="8"/>
  <c r="M211" i="8"/>
  <c r="N211" i="8"/>
  <c r="O211" i="8"/>
  <c r="M212" i="8"/>
  <c r="N212" i="8"/>
  <c r="O212" i="8"/>
  <c r="M213" i="8"/>
  <c r="N213" i="8"/>
  <c r="O213" i="8"/>
  <c r="M214" i="8"/>
  <c r="N214" i="8"/>
  <c r="O214" i="8"/>
  <c r="M215" i="8"/>
  <c r="N215" i="8"/>
  <c r="O215" i="8"/>
  <c r="M216" i="8"/>
  <c r="N216" i="8"/>
  <c r="O216" i="8"/>
  <c r="M217" i="8"/>
  <c r="N217" i="8"/>
  <c r="O217" i="8"/>
  <c r="M218" i="8"/>
  <c r="N218" i="8"/>
  <c r="O218" i="8"/>
  <c r="M219" i="8"/>
  <c r="N219" i="8"/>
  <c r="O219" i="8"/>
  <c r="M220" i="8"/>
  <c r="N220" i="8"/>
  <c r="O220" i="8"/>
  <c r="M221" i="8"/>
  <c r="N221" i="8"/>
  <c r="O221" i="8"/>
  <c r="M222" i="8"/>
  <c r="N222" i="8"/>
  <c r="O222" i="8"/>
  <c r="M223" i="8"/>
  <c r="N223" i="8"/>
  <c r="O223" i="8"/>
  <c r="M224" i="8"/>
  <c r="N224" i="8"/>
  <c r="O224" i="8"/>
  <c r="M225" i="8"/>
  <c r="N225" i="8"/>
  <c r="O225" i="8"/>
  <c r="M226" i="8"/>
  <c r="N226" i="8"/>
  <c r="O226" i="8"/>
  <c r="M227" i="8"/>
  <c r="N227" i="8"/>
  <c r="O227" i="8"/>
  <c r="M228" i="8"/>
  <c r="N228" i="8"/>
  <c r="O228" i="8"/>
  <c r="M229" i="8"/>
  <c r="N229" i="8"/>
  <c r="O229" i="8"/>
  <c r="M230" i="8"/>
  <c r="N230" i="8"/>
  <c r="O230" i="8"/>
  <c r="M231" i="8"/>
  <c r="N231" i="8"/>
  <c r="O231" i="8"/>
  <c r="M232" i="8"/>
  <c r="N232" i="8"/>
  <c r="O232" i="8"/>
  <c r="M233" i="8"/>
  <c r="N233" i="8"/>
  <c r="O233" i="8"/>
  <c r="M234" i="8"/>
  <c r="N234" i="8"/>
  <c r="O234" i="8"/>
  <c r="M235" i="8"/>
  <c r="N235" i="8"/>
  <c r="O235" i="8"/>
  <c r="M236" i="8"/>
  <c r="N236" i="8"/>
  <c r="O236" i="8"/>
  <c r="M237" i="8"/>
  <c r="N237" i="8"/>
  <c r="O237" i="8"/>
  <c r="M238" i="8"/>
  <c r="N238" i="8"/>
  <c r="O238" i="8"/>
  <c r="M239" i="8"/>
  <c r="N239" i="8"/>
  <c r="O239" i="8"/>
  <c r="M240" i="8"/>
  <c r="N240" i="8"/>
  <c r="O240" i="8"/>
  <c r="M241" i="8"/>
  <c r="N241" i="8"/>
  <c r="O241" i="8"/>
  <c r="M242" i="8"/>
  <c r="N242" i="8"/>
  <c r="O242" i="8"/>
  <c r="M243" i="8"/>
  <c r="N243" i="8"/>
  <c r="O243" i="8"/>
  <c r="M244" i="8"/>
  <c r="N244" i="8"/>
  <c r="O244" i="8"/>
  <c r="M245" i="8"/>
  <c r="N245" i="8"/>
  <c r="O245" i="8"/>
  <c r="M246" i="8"/>
  <c r="N246" i="8"/>
  <c r="O246" i="8"/>
  <c r="M247" i="8"/>
  <c r="N247" i="8"/>
  <c r="O247" i="8"/>
  <c r="M248" i="8"/>
  <c r="N248" i="8"/>
  <c r="O248" i="8"/>
  <c r="M249" i="8"/>
  <c r="N249" i="8"/>
  <c r="O249" i="8"/>
  <c r="M250" i="8"/>
  <c r="N250" i="8"/>
  <c r="O250" i="8"/>
  <c r="M251" i="8"/>
  <c r="N251" i="8"/>
  <c r="O251" i="8"/>
  <c r="M252" i="8"/>
  <c r="N252" i="8"/>
  <c r="O252" i="8"/>
  <c r="M253" i="8"/>
  <c r="N253" i="8"/>
  <c r="O253" i="8"/>
  <c r="M254" i="8"/>
  <c r="N254" i="8"/>
  <c r="O254" i="8"/>
  <c r="M255" i="8"/>
  <c r="N255" i="8"/>
  <c r="O255" i="8"/>
  <c r="M256" i="8"/>
  <c r="N256" i="8"/>
  <c r="O256" i="8"/>
  <c r="M257" i="8"/>
  <c r="N257" i="8"/>
  <c r="O257" i="8"/>
  <c r="M258" i="8"/>
  <c r="N258" i="8"/>
  <c r="O258" i="8"/>
  <c r="M259" i="8"/>
  <c r="N259" i="8"/>
  <c r="O259" i="8"/>
  <c r="M260" i="8"/>
  <c r="N260" i="8"/>
  <c r="O260" i="8"/>
  <c r="M261" i="8"/>
  <c r="N261" i="8"/>
  <c r="O261" i="8"/>
  <c r="M262" i="8"/>
  <c r="N262" i="8"/>
  <c r="O262" i="8"/>
  <c r="M263" i="8"/>
  <c r="N263" i="8"/>
  <c r="O263" i="8"/>
  <c r="M264" i="8"/>
  <c r="N264" i="8"/>
  <c r="O264" i="8"/>
  <c r="M265" i="8"/>
  <c r="N265" i="8"/>
  <c r="O265" i="8"/>
  <c r="M266" i="8"/>
  <c r="N266" i="8"/>
  <c r="O266" i="8"/>
  <c r="M267" i="8"/>
  <c r="N267" i="8"/>
  <c r="O267" i="8"/>
  <c r="M268" i="8"/>
  <c r="N268" i="8"/>
  <c r="O268" i="8"/>
  <c r="M269" i="8"/>
  <c r="N269" i="8"/>
  <c r="O269" i="8"/>
  <c r="M270" i="8"/>
  <c r="N270" i="8"/>
  <c r="O270" i="8"/>
  <c r="M271" i="8"/>
  <c r="N271" i="8"/>
  <c r="O271" i="8"/>
  <c r="M272" i="8"/>
  <c r="N272" i="8"/>
  <c r="O272" i="8"/>
  <c r="M273" i="8"/>
  <c r="N273" i="8"/>
  <c r="O273" i="8"/>
  <c r="M274" i="8"/>
  <c r="N274" i="8"/>
  <c r="O274" i="8"/>
  <c r="M275" i="8"/>
  <c r="N275" i="8"/>
  <c r="O275" i="8"/>
  <c r="M276" i="8"/>
  <c r="N276" i="8"/>
  <c r="O276" i="8"/>
  <c r="M277" i="8"/>
  <c r="N277" i="8"/>
  <c r="O277" i="8"/>
  <c r="M278" i="8"/>
  <c r="N278" i="8"/>
  <c r="O278" i="8"/>
  <c r="M279" i="8"/>
  <c r="N279" i="8"/>
  <c r="O279" i="8"/>
  <c r="M280" i="8"/>
  <c r="N280" i="8"/>
  <c r="O280" i="8"/>
  <c r="M281" i="8"/>
  <c r="N281" i="8"/>
  <c r="O281" i="8"/>
  <c r="M282" i="8"/>
  <c r="N282" i="8"/>
  <c r="O282" i="8"/>
  <c r="M283" i="8"/>
  <c r="N283" i="8"/>
  <c r="O283" i="8"/>
  <c r="M284" i="8"/>
  <c r="N284" i="8"/>
  <c r="O284" i="8"/>
  <c r="M285" i="8"/>
  <c r="N285" i="8"/>
  <c r="O285" i="8"/>
  <c r="M286" i="8"/>
  <c r="N286" i="8"/>
  <c r="O286" i="8"/>
  <c r="M287" i="8"/>
  <c r="N287" i="8"/>
  <c r="O287" i="8"/>
  <c r="M288" i="8"/>
  <c r="N288" i="8"/>
  <c r="O288" i="8"/>
  <c r="M289" i="8"/>
  <c r="N289" i="8"/>
  <c r="O289" i="8"/>
  <c r="M290" i="8"/>
  <c r="N290" i="8"/>
  <c r="O290" i="8"/>
  <c r="M291" i="8"/>
  <c r="N291" i="8"/>
  <c r="O291" i="8"/>
  <c r="M292" i="8"/>
  <c r="N292" i="8"/>
  <c r="O292" i="8"/>
  <c r="M293" i="8"/>
  <c r="N293" i="8"/>
  <c r="O293" i="8"/>
  <c r="M294" i="8"/>
  <c r="N294" i="8"/>
  <c r="O294" i="8"/>
  <c r="M295" i="8"/>
  <c r="N295" i="8"/>
  <c r="O295" i="8"/>
  <c r="M296" i="8"/>
  <c r="N296" i="8"/>
  <c r="O296" i="8"/>
  <c r="M297" i="8"/>
  <c r="N297" i="8"/>
  <c r="O297" i="8"/>
  <c r="M298" i="8"/>
  <c r="N298" i="8"/>
  <c r="O298" i="8"/>
  <c r="M299" i="8"/>
  <c r="N299" i="8"/>
  <c r="O299" i="8"/>
  <c r="M300" i="8"/>
  <c r="N300" i="8"/>
  <c r="O300" i="8"/>
  <c r="M301" i="8"/>
  <c r="N301" i="8"/>
  <c r="O301" i="8"/>
  <c r="M302" i="8"/>
  <c r="N302" i="8"/>
  <c r="O302" i="8"/>
  <c r="M303" i="8"/>
  <c r="N303" i="8"/>
  <c r="O303" i="8"/>
  <c r="M304" i="8"/>
  <c r="N304" i="8"/>
  <c r="O304" i="8"/>
  <c r="M305" i="8"/>
  <c r="N305" i="8"/>
  <c r="O305" i="8"/>
  <c r="M306" i="8"/>
  <c r="N306" i="8"/>
  <c r="O306" i="8"/>
  <c r="M307" i="8"/>
  <c r="N307" i="8"/>
  <c r="O307" i="8"/>
  <c r="M308" i="8"/>
  <c r="N308" i="8"/>
  <c r="O308" i="8"/>
  <c r="M309" i="8"/>
  <c r="N309" i="8"/>
  <c r="O309" i="8"/>
  <c r="M310" i="8"/>
  <c r="N310" i="8"/>
  <c r="O310" i="8"/>
  <c r="M311" i="8"/>
  <c r="N311" i="8"/>
  <c r="O311" i="8"/>
  <c r="M312" i="8"/>
  <c r="N312" i="8"/>
  <c r="O312" i="8"/>
  <c r="M313" i="8"/>
  <c r="N313" i="8"/>
  <c r="O313" i="8"/>
  <c r="M314" i="8"/>
  <c r="N314" i="8"/>
  <c r="O314" i="8"/>
  <c r="M315" i="8"/>
  <c r="N315" i="8"/>
  <c r="O315" i="8"/>
  <c r="M316" i="8"/>
  <c r="N316" i="8"/>
  <c r="O316" i="8"/>
  <c r="M317" i="8"/>
  <c r="N317" i="8"/>
  <c r="O317" i="8"/>
  <c r="M318" i="8"/>
  <c r="N318" i="8"/>
  <c r="O318" i="8"/>
  <c r="M319" i="8"/>
  <c r="N319" i="8"/>
  <c r="O319" i="8"/>
  <c r="M320" i="8"/>
  <c r="N320" i="8"/>
  <c r="O320" i="8"/>
  <c r="M321" i="8"/>
  <c r="N321" i="8"/>
  <c r="O321" i="8"/>
  <c r="M322" i="8"/>
  <c r="N322" i="8"/>
  <c r="O322" i="8"/>
  <c r="M323" i="8"/>
  <c r="N323" i="8"/>
  <c r="O323" i="8"/>
  <c r="M324" i="8"/>
  <c r="N324" i="8"/>
  <c r="O324" i="8"/>
  <c r="M325" i="8"/>
  <c r="N325" i="8"/>
  <c r="O325" i="8"/>
  <c r="M326" i="8"/>
  <c r="N326" i="8"/>
  <c r="O326" i="8"/>
  <c r="M327" i="8"/>
  <c r="N327" i="8"/>
  <c r="O327" i="8"/>
  <c r="M328" i="8"/>
  <c r="N328" i="8"/>
  <c r="O328" i="8"/>
  <c r="M329" i="8"/>
  <c r="N329" i="8"/>
  <c r="O329" i="8"/>
  <c r="M330" i="8"/>
  <c r="N330" i="8"/>
  <c r="O330" i="8"/>
  <c r="M331" i="8"/>
  <c r="N331" i="8"/>
  <c r="O331" i="8"/>
  <c r="M332" i="8"/>
  <c r="N332" i="8"/>
  <c r="O332" i="8"/>
  <c r="M333" i="8"/>
  <c r="N333" i="8"/>
  <c r="O333" i="8"/>
  <c r="M334" i="8"/>
  <c r="N334" i="8"/>
  <c r="O334" i="8"/>
  <c r="M335" i="8"/>
  <c r="N335" i="8"/>
  <c r="O335" i="8"/>
  <c r="M336" i="8"/>
  <c r="N336" i="8"/>
  <c r="O336" i="8"/>
  <c r="M337" i="8"/>
  <c r="N337" i="8"/>
  <c r="O337" i="8"/>
  <c r="M338" i="8"/>
  <c r="N338" i="8"/>
  <c r="O338" i="8"/>
  <c r="M339" i="8"/>
  <c r="N339" i="8"/>
  <c r="O339" i="8"/>
  <c r="M340" i="8"/>
  <c r="N340" i="8"/>
  <c r="O340" i="8"/>
  <c r="M341" i="8"/>
  <c r="N341" i="8"/>
  <c r="O341" i="8"/>
  <c r="M342" i="8"/>
  <c r="N342" i="8"/>
  <c r="O342" i="8"/>
  <c r="M343" i="8"/>
  <c r="N343" i="8"/>
  <c r="O343" i="8"/>
  <c r="M344" i="8"/>
  <c r="N344" i="8"/>
  <c r="O344" i="8"/>
  <c r="M345" i="8"/>
  <c r="N345" i="8"/>
  <c r="O345" i="8"/>
  <c r="M346" i="8"/>
  <c r="N346" i="8"/>
  <c r="O346" i="8"/>
  <c r="M347" i="8"/>
  <c r="N347" i="8"/>
  <c r="O347" i="8"/>
  <c r="M348" i="8"/>
  <c r="N348" i="8"/>
  <c r="O348" i="8"/>
  <c r="M349" i="8"/>
  <c r="N349" i="8"/>
  <c r="O349" i="8"/>
  <c r="M350" i="8"/>
  <c r="N350" i="8"/>
  <c r="O350" i="8"/>
  <c r="M351" i="8"/>
  <c r="N351" i="8"/>
  <c r="O351" i="8"/>
  <c r="M352" i="8"/>
  <c r="N352" i="8"/>
  <c r="O352" i="8"/>
  <c r="M353" i="8"/>
  <c r="N353" i="8"/>
  <c r="O353" i="8"/>
  <c r="M354" i="8"/>
  <c r="N354" i="8"/>
  <c r="O354" i="8"/>
  <c r="M355" i="8"/>
  <c r="N355" i="8"/>
  <c r="O355" i="8"/>
  <c r="M356" i="8"/>
  <c r="N356" i="8"/>
  <c r="O356" i="8"/>
  <c r="M357" i="8"/>
  <c r="N357" i="8"/>
  <c r="O357" i="8"/>
  <c r="M358" i="8"/>
  <c r="N358" i="8"/>
  <c r="O358" i="8"/>
  <c r="M359" i="8"/>
  <c r="N359" i="8"/>
  <c r="O359" i="8"/>
  <c r="M360" i="8"/>
  <c r="N360" i="8"/>
  <c r="O360" i="8"/>
  <c r="M361" i="8"/>
  <c r="N361" i="8"/>
  <c r="O361" i="8"/>
  <c r="M362" i="8"/>
  <c r="N362" i="8"/>
  <c r="O362" i="8"/>
  <c r="M363" i="8"/>
  <c r="N363" i="8"/>
  <c r="O363" i="8"/>
  <c r="M364" i="8"/>
  <c r="N364" i="8"/>
  <c r="O364" i="8"/>
  <c r="M365" i="8"/>
  <c r="N365" i="8"/>
  <c r="O365" i="8"/>
  <c r="M366" i="8"/>
  <c r="N366" i="8"/>
  <c r="O366" i="8"/>
  <c r="M367" i="8"/>
  <c r="N367" i="8"/>
  <c r="O367" i="8"/>
  <c r="M368" i="8"/>
  <c r="N368" i="8"/>
  <c r="O368" i="8"/>
  <c r="M369" i="8"/>
  <c r="N369" i="8"/>
  <c r="O369" i="8"/>
  <c r="M370" i="8"/>
  <c r="N370" i="8"/>
  <c r="O370" i="8"/>
  <c r="M371" i="8"/>
  <c r="N371" i="8"/>
  <c r="O371" i="8"/>
  <c r="M372" i="8"/>
  <c r="N372" i="8"/>
  <c r="O372" i="8"/>
  <c r="M373" i="8"/>
  <c r="N373" i="8"/>
  <c r="O373" i="8"/>
  <c r="M374" i="8"/>
  <c r="N374" i="8"/>
  <c r="O374" i="8"/>
  <c r="M375" i="8"/>
  <c r="N375" i="8"/>
  <c r="O375" i="8"/>
  <c r="M376" i="8"/>
  <c r="N376" i="8"/>
  <c r="O376" i="8"/>
  <c r="M377" i="8"/>
  <c r="N377" i="8"/>
  <c r="O377" i="8"/>
  <c r="M378" i="8"/>
  <c r="N378" i="8"/>
  <c r="O378" i="8"/>
  <c r="M379" i="8"/>
  <c r="N379" i="8"/>
  <c r="O379" i="8"/>
  <c r="M380" i="8"/>
  <c r="N380" i="8"/>
  <c r="O380" i="8"/>
  <c r="M381" i="8"/>
  <c r="N381" i="8"/>
  <c r="O381" i="8"/>
  <c r="M382" i="8"/>
  <c r="N382" i="8"/>
  <c r="O382" i="8"/>
  <c r="M383" i="8"/>
  <c r="N383" i="8"/>
  <c r="O383" i="8"/>
  <c r="M384" i="8"/>
  <c r="N384" i="8"/>
  <c r="O384" i="8"/>
  <c r="M385" i="8"/>
  <c r="N385" i="8"/>
  <c r="O385" i="8"/>
  <c r="M386" i="8"/>
  <c r="N386" i="8"/>
  <c r="O386" i="8"/>
  <c r="M387" i="8"/>
  <c r="N387" i="8"/>
  <c r="O387" i="8"/>
  <c r="M388" i="8"/>
  <c r="N388" i="8"/>
  <c r="O388" i="8"/>
  <c r="M389" i="8"/>
  <c r="N389" i="8"/>
  <c r="O389" i="8"/>
  <c r="M390" i="8"/>
  <c r="N390" i="8"/>
  <c r="O390" i="8"/>
  <c r="M391" i="8"/>
  <c r="N391" i="8"/>
  <c r="O391" i="8"/>
  <c r="M392" i="8"/>
  <c r="N392" i="8"/>
  <c r="O392" i="8"/>
  <c r="M393" i="8"/>
  <c r="N393" i="8"/>
  <c r="O393" i="8"/>
  <c r="M394" i="8"/>
  <c r="N394" i="8"/>
  <c r="O394" i="8"/>
  <c r="M395" i="8"/>
  <c r="N395" i="8"/>
  <c r="O395" i="8"/>
  <c r="M396" i="8"/>
  <c r="N396" i="8"/>
  <c r="O396" i="8"/>
  <c r="M397" i="8"/>
  <c r="N397" i="8"/>
  <c r="O397" i="8"/>
  <c r="M398" i="8"/>
  <c r="N398" i="8"/>
  <c r="O398" i="8"/>
  <c r="M399" i="8"/>
  <c r="N399" i="8"/>
  <c r="O399" i="8"/>
  <c r="M400" i="8"/>
  <c r="N400" i="8"/>
  <c r="O400" i="8"/>
  <c r="M401" i="8"/>
  <c r="N401" i="8"/>
  <c r="O401" i="8"/>
  <c r="M402" i="8"/>
  <c r="N402" i="8"/>
  <c r="O402" i="8"/>
  <c r="M403" i="8"/>
  <c r="N403" i="8"/>
  <c r="O403" i="8"/>
  <c r="M404" i="8"/>
  <c r="N404" i="8"/>
  <c r="O404" i="8"/>
  <c r="M405" i="8"/>
  <c r="N405" i="8"/>
  <c r="O405" i="8"/>
  <c r="M406" i="8"/>
  <c r="N406" i="8"/>
  <c r="O406" i="8"/>
  <c r="M407" i="8"/>
  <c r="N407" i="8"/>
  <c r="O407" i="8"/>
  <c r="M408" i="8"/>
  <c r="N408" i="8"/>
  <c r="O408" i="8"/>
  <c r="M409" i="8"/>
  <c r="N409" i="8"/>
  <c r="O409" i="8"/>
  <c r="M410" i="8"/>
  <c r="N410" i="8"/>
  <c r="O410" i="8"/>
  <c r="M411" i="8"/>
  <c r="N411" i="8"/>
  <c r="O411" i="8"/>
  <c r="M412" i="8"/>
  <c r="N412" i="8"/>
  <c r="O412" i="8"/>
  <c r="M413" i="8"/>
  <c r="N413" i="8"/>
  <c r="O413" i="8"/>
  <c r="M414" i="8"/>
  <c r="N414" i="8"/>
  <c r="O414" i="8"/>
  <c r="M415" i="8"/>
  <c r="N415" i="8"/>
  <c r="O415" i="8"/>
  <c r="M416" i="8"/>
  <c r="N416" i="8"/>
  <c r="O416" i="8"/>
  <c r="M417" i="8"/>
  <c r="N417" i="8"/>
  <c r="O417" i="8"/>
  <c r="M418" i="8"/>
  <c r="N418" i="8"/>
  <c r="O418" i="8"/>
  <c r="M419" i="8"/>
  <c r="N419" i="8"/>
  <c r="O419" i="8"/>
  <c r="M420" i="8"/>
  <c r="N420" i="8"/>
  <c r="O420" i="8"/>
  <c r="M421" i="8"/>
  <c r="N421" i="8"/>
  <c r="O421" i="8"/>
  <c r="M422" i="8"/>
  <c r="N422" i="8"/>
  <c r="O422" i="8"/>
  <c r="M423" i="8"/>
  <c r="N423" i="8"/>
  <c r="O423" i="8"/>
  <c r="M424" i="8"/>
  <c r="N424" i="8"/>
  <c r="O424" i="8"/>
  <c r="M425" i="8"/>
  <c r="N425" i="8"/>
  <c r="O425" i="8"/>
  <c r="M426" i="8"/>
  <c r="N426" i="8"/>
  <c r="O426" i="8"/>
  <c r="M427" i="8"/>
  <c r="N427" i="8"/>
  <c r="O427" i="8"/>
  <c r="M428" i="8"/>
  <c r="N428" i="8"/>
  <c r="O428" i="8"/>
  <c r="M429" i="8"/>
  <c r="N429" i="8"/>
  <c r="O429" i="8"/>
  <c r="M430" i="8"/>
  <c r="N430" i="8"/>
  <c r="O430" i="8"/>
  <c r="M431" i="8"/>
  <c r="N431" i="8"/>
  <c r="O431" i="8"/>
  <c r="M432" i="8"/>
  <c r="N432" i="8"/>
  <c r="O432" i="8"/>
  <c r="M433" i="8"/>
  <c r="N433" i="8"/>
  <c r="O433" i="8"/>
  <c r="M434" i="8"/>
  <c r="N434" i="8"/>
  <c r="O434" i="8"/>
  <c r="M435" i="8"/>
  <c r="N435" i="8"/>
  <c r="O435" i="8"/>
  <c r="M436" i="8"/>
  <c r="N436" i="8"/>
  <c r="O436" i="8"/>
  <c r="M437" i="8"/>
  <c r="N437" i="8"/>
  <c r="O437" i="8"/>
  <c r="P437" i="8"/>
  <c r="Q437" i="8" s="1"/>
  <c r="M438" i="8"/>
  <c r="N438" i="8"/>
  <c r="O438" i="8"/>
  <c r="M439" i="8"/>
  <c r="N439" i="8"/>
  <c r="O439" i="8"/>
  <c r="M440" i="8"/>
  <c r="N440" i="8"/>
  <c r="O440" i="8"/>
  <c r="M441" i="8"/>
  <c r="N441" i="8"/>
  <c r="O441" i="8"/>
  <c r="M442" i="8"/>
  <c r="N442" i="8"/>
  <c r="O442" i="8"/>
  <c r="M443" i="8"/>
  <c r="N443" i="8"/>
  <c r="O443" i="8"/>
  <c r="M444" i="8"/>
  <c r="N444" i="8"/>
  <c r="O444" i="8"/>
  <c r="M445" i="8"/>
  <c r="N445" i="8"/>
  <c r="O445" i="8"/>
  <c r="M446" i="8"/>
  <c r="N446" i="8"/>
  <c r="O446" i="8"/>
  <c r="M447" i="8"/>
  <c r="N447" i="8"/>
  <c r="O447" i="8"/>
  <c r="M448" i="8"/>
  <c r="N448" i="8"/>
  <c r="O448" i="8"/>
  <c r="M449" i="8"/>
  <c r="N449" i="8"/>
  <c r="O449" i="8"/>
  <c r="M450" i="8"/>
  <c r="N450" i="8"/>
  <c r="O450" i="8"/>
  <c r="M451" i="8"/>
  <c r="N451" i="8"/>
  <c r="O451" i="8"/>
  <c r="M452" i="8"/>
  <c r="N452" i="8"/>
  <c r="O452" i="8"/>
  <c r="M453" i="8"/>
  <c r="N453" i="8"/>
  <c r="O453" i="8"/>
  <c r="M454" i="8"/>
  <c r="N454" i="8"/>
  <c r="O454" i="8"/>
  <c r="M455" i="8"/>
  <c r="N455" i="8"/>
  <c r="P455" i="8" s="1"/>
  <c r="Q455" i="8" s="1"/>
  <c r="O455" i="8"/>
  <c r="M456" i="8"/>
  <c r="N456" i="8"/>
  <c r="O456" i="8"/>
  <c r="M457" i="8"/>
  <c r="N457" i="8"/>
  <c r="O457" i="8"/>
  <c r="M458" i="8"/>
  <c r="N458" i="8"/>
  <c r="O458" i="8"/>
  <c r="M459" i="8"/>
  <c r="N459" i="8"/>
  <c r="O459" i="8"/>
  <c r="M460" i="8"/>
  <c r="N460" i="8"/>
  <c r="O460" i="8"/>
  <c r="M461" i="8"/>
  <c r="N461" i="8"/>
  <c r="O461" i="8"/>
  <c r="M462" i="8"/>
  <c r="N462" i="8"/>
  <c r="O462" i="8"/>
  <c r="M463" i="8"/>
  <c r="N463" i="8"/>
  <c r="O463" i="8"/>
  <c r="M464" i="8"/>
  <c r="N464" i="8"/>
  <c r="O464" i="8"/>
  <c r="M465" i="8"/>
  <c r="N465" i="8"/>
  <c r="O465" i="8"/>
  <c r="M466" i="8"/>
  <c r="N466" i="8"/>
  <c r="O466" i="8"/>
  <c r="M467" i="8"/>
  <c r="N467" i="8"/>
  <c r="O467" i="8"/>
  <c r="M468" i="8"/>
  <c r="N468" i="8"/>
  <c r="O468" i="8"/>
  <c r="M469" i="8"/>
  <c r="N469" i="8"/>
  <c r="O469" i="8"/>
  <c r="M470" i="8"/>
  <c r="N470" i="8"/>
  <c r="O470" i="8"/>
  <c r="M471" i="8"/>
  <c r="N471" i="8"/>
  <c r="O471" i="8"/>
  <c r="M472" i="8"/>
  <c r="N472" i="8"/>
  <c r="O472" i="8"/>
  <c r="M473" i="8"/>
  <c r="P473" i="8" s="1"/>
  <c r="Q473" i="8" s="1"/>
  <c r="N473" i="8"/>
  <c r="O473" i="8"/>
  <c r="M474" i="8"/>
  <c r="N474" i="8"/>
  <c r="O474" i="8"/>
  <c r="M475" i="8"/>
  <c r="N475" i="8"/>
  <c r="O475" i="8"/>
  <c r="M476" i="8"/>
  <c r="N476" i="8"/>
  <c r="O476" i="8"/>
  <c r="M477" i="8"/>
  <c r="N477" i="8"/>
  <c r="O477" i="8"/>
  <c r="M478" i="8"/>
  <c r="N478" i="8"/>
  <c r="O478" i="8"/>
  <c r="M479" i="8"/>
  <c r="N479" i="8"/>
  <c r="O479" i="8"/>
  <c r="M480" i="8"/>
  <c r="N480" i="8"/>
  <c r="O480" i="8"/>
  <c r="M481" i="8"/>
  <c r="N481" i="8"/>
  <c r="O481" i="8"/>
  <c r="M482" i="8"/>
  <c r="N482" i="8"/>
  <c r="O482" i="8"/>
  <c r="M483" i="8"/>
  <c r="N483" i="8"/>
  <c r="O483" i="8"/>
  <c r="M484" i="8"/>
  <c r="N484" i="8"/>
  <c r="O484" i="8"/>
  <c r="M485" i="8"/>
  <c r="N485" i="8"/>
  <c r="O485" i="8"/>
  <c r="M486" i="8"/>
  <c r="N486" i="8"/>
  <c r="O486" i="8"/>
  <c r="M487" i="8"/>
  <c r="N487" i="8"/>
  <c r="O487" i="8"/>
  <c r="M488" i="8"/>
  <c r="N488" i="8"/>
  <c r="O488" i="8"/>
  <c r="M489" i="8"/>
  <c r="N489" i="8"/>
  <c r="O489" i="8"/>
  <c r="M490" i="8"/>
  <c r="N490" i="8"/>
  <c r="O490" i="8"/>
  <c r="M491" i="8"/>
  <c r="N491" i="8"/>
  <c r="O491" i="8"/>
  <c r="M492" i="8"/>
  <c r="N492" i="8"/>
  <c r="O492" i="8"/>
  <c r="M493" i="8"/>
  <c r="N493" i="8"/>
  <c r="O493" i="8"/>
  <c r="M494" i="8"/>
  <c r="N494" i="8"/>
  <c r="O494" i="8"/>
  <c r="M495" i="8"/>
  <c r="N495" i="8"/>
  <c r="O495" i="8"/>
  <c r="M496" i="8"/>
  <c r="N496" i="8"/>
  <c r="O496" i="8"/>
  <c r="M497" i="8"/>
  <c r="N497" i="8"/>
  <c r="O497" i="8"/>
  <c r="M498" i="8"/>
  <c r="N498" i="8"/>
  <c r="O498" i="8"/>
  <c r="M499" i="8"/>
  <c r="N499" i="8"/>
  <c r="O499" i="8"/>
  <c r="M500" i="8"/>
  <c r="N500" i="8"/>
  <c r="O500" i="8"/>
  <c r="M501" i="8"/>
  <c r="N501" i="8"/>
  <c r="O501" i="8"/>
  <c r="M502" i="8"/>
  <c r="N502" i="8"/>
  <c r="O502" i="8"/>
  <c r="M503" i="8"/>
  <c r="N503" i="8"/>
  <c r="O503" i="8"/>
  <c r="M504" i="8"/>
  <c r="N504" i="8"/>
  <c r="O504" i="8"/>
  <c r="M505" i="8"/>
  <c r="N505" i="8"/>
  <c r="O505" i="8"/>
  <c r="M506" i="8"/>
  <c r="N506" i="8"/>
  <c r="O506" i="8"/>
  <c r="M507" i="8"/>
  <c r="N507" i="8"/>
  <c r="O507" i="8"/>
  <c r="M508" i="8"/>
  <c r="N508" i="8"/>
  <c r="O508" i="8"/>
  <c r="M509" i="8"/>
  <c r="N509" i="8"/>
  <c r="O509" i="8"/>
  <c r="M510" i="8"/>
  <c r="N510" i="8"/>
  <c r="O510" i="8"/>
  <c r="M511" i="8"/>
  <c r="N511" i="8"/>
  <c r="O511" i="8"/>
  <c r="M512" i="8"/>
  <c r="N512" i="8"/>
  <c r="O512" i="8"/>
  <c r="M513" i="8"/>
  <c r="N513" i="8"/>
  <c r="O513" i="8"/>
  <c r="M514" i="8"/>
  <c r="N514" i="8"/>
  <c r="O514" i="8"/>
  <c r="M515" i="8"/>
  <c r="N515" i="8"/>
  <c r="O515" i="8"/>
  <c r="M516" i="8"/>
  <c r="N516" i="8"/>
  <c r="O516" i="8"/>
  <c r="M517" i="8"/>
  <c r="N517" i="8"/>
  <c r="O517" i="8"/>
  <c r="M518" i="8"/>
  <c r="N518" i="8"/>
  <c r="O518" i="8"/>
  <c r="M519" i="8"/>
  <c r="N519" i="8"/>
  <c r="O519" i="8"/>
  <c r="M520" i="8"/>
  <c r="N520" i="8"/>
  <c r="O520" i="8"/>
  <c r="M521" i="8"/>
  <c r="N521" i="8"/>
  <c r="O521" i="8"/>
  <c r="M522" i="8"/>
  <c r="N522" i="8"/>
  <c r="O522" i="8"/>
  <c r="M523" i="8"/>
  <c r="N523" i="8"/>
  <c r="P523" i="8" s="1"/>
  <c r="Q523" i="8" s="1"/>
  <c r="O523" i="8"/>
  <c r="M524" i="8"/>
  <c r="N524" i="8"/>
  <c r="O524" i="8"/>
  <c r="M525" i="8"/>
  <c r="N525" i="8"/>
  <c r="O525" i="8"/>
  <c r="M526" i="8"/>
  <c r="N526" i="8"/>
  <c r="O526" i="8"/>
  <c r="M527" i="8"/>
  <c r="N527" i="8"/>
  <c r="O527" i="8"/>
  <c r="M528" i="8"/>
  <c r="N528" i="8"/>
  <c r="O528" i="8"/>
  <c r="M529" i="8"/>
  <c r="N529" i="8"/>
  <c r="O529" i="8"/>
  <c r="M530" i="8"/>
  <c r="N530" i="8"/>
  <c r="O530" i="8"/>
  <c r="M531" i="8"/>
  <c r="N531" i="8"/>
  <c r="O531" i="8"/>
  <c r="M532" i="8"/>
  <c r="N532" i="8"/>
  <c r="O532" i="8"/>
  <c r="M533" i="8"/>
  <c r="N533" i="8"/>
  <c r="O533" i="8"/>
  <c r="M534" i="8"/>
  <c r="N534" i="8"/>
  <c r="O534" i="8"/>
  <c r="M535" i="8"/>
  <c r="N535" i="8"/>
  <c r="O535" i="8"/>
  <c r="M536" i="8"/>
  <c r="N536" i="8"/>
  <c r="O536" i="8"/>
  <c r="M537" i="8"/>
  <c r="N537" i="8"/>
  <c r="O537" i="8"/>
  <c r="M538" i="8"/>
  <c r="N538" i="8"/>
  <c r="O538" i="8"/>
  <c r="M539" i="8"/>
  <c r="N539" i="8"/>
  <c r="O539" i="8"/>
  <c r="M540" i="8"/>
  <c r="N540" i="8"/>
  <c r="O540" i="8"/>
  <c r="M541" i="8"/>
  <c r="N541" i="8"/>
  <c r="O541" i="8"/>
  <c r="M542" i="8"/>
  <c r="N542" i="8"/>
  <c r="O542" i="8"/>
  <c r="M543" i="8"/>
  <c r="N543" i="8"/>
  <c r="O543" i="8"/>
  <c r="M544" i="8"/>
  <c r="N544" i="8"/>
  <c r="O544" i="8"/>
  <c r="M545" i="8"/>
  <c r="N545" i="8"/>
  <c r="O545" i="8"/>
  <c r="M546" i="8"/>
  <c r="N546" i="8"/>
  <c r="O546" i="8"/>
  <c r="M547" i="8"/>
  <c r="N547" i="8"/>
  <c r="O547" i="8"/>
  <c r="M548" i="8"/>
  <c r="N548" i="8"/>
  <c r="O548" i="8"/>
  <c r="M549" i="8"/>
  <c r="N549" i="8"/>
  <c r="O549" i="8"/>
  <c r="M550" i="8"/>
  <c r="N550" i="8"/>
  <c r="O550" i="8"/>
  <c r="M551" i="8"/>
  <c r="N551" i="8"/>
  <c r="O551" i="8"/>
  <c r="M552" i="8"/>
  <c r="N552" i="8"/>
  <c r="O552" i="8"/>
  <c r="M553" i="8"/>
  <c r="N553" i="8"/>
  <c r="O553" i="8"/>
  <c r="M554" i="8"/>
  <c r="N554" i="8"/>
  <c r="O554" i="8"/>
  <c r="M555" i="8"/>
  <c r="N555" i="8"/>
  <c r="O555" i="8"/>
  <c r="M556" i="8"/>
  <c r="N556" i="8"/>
  <c r="O556" i="8"/>
  <c r="M557" i="8"/>
  <c r="N557" i="8"/>
  <c r="O557" i="8"/>
  <c r="M558" i="8"/>
  <c r="N558" i="8"/>
  <c r="O558" i="8"/>
  <c r="M559" i="8"/>
  <c r="N559" i="8"/>
  <c r="O559" i="8"/>
  <c r="M560" i="8"/>
  <c r="N560" i="8"/>
  <c r="O560" i="8"/>
  <c r="M561" i="8"/>
  <c r="N561" i="8"/>
  <c r="O561" i="8"/>
  <c r="M562" i="8"/>
  <c r="N562" i="8"/>
  <c r="O562" i="8"/>
  <c r="M563" i="8"/>
  <c r="N563" i="8"/>
  <c r="O563" i="8"/>
  <c r="M564" i="8"/>
  <c r="N564" i="8"/>
  <c r="O564" i="8"/>
  <c r="M565" i="8"/>
  <c r="N565" i="8"/>
  <c r="O565" i="8"/>
  <c r="M566" i="8"/>
  <c r="N566" i="8"/>
  <c r="O566" i="8"/>
  <c r="M567" i="8"/>
  <c r="N567" i="8"/>
  <c r="O567" i="8"/>
  <c r="M568" i="8"/>
  <c r="N568" i="8"/>
  <c r="O568" i="8"/>
  <c r="M569" i="8"/>
  <c r="N569" i="8"/>
  <c r="O569" i="8"/>
  <c r="M570" i="8"/>
  <c r="N570" i="8"/>
  <c r="O570" i="8"/>
  <c r="M571" i="8"/>
  <c r="N571" i="8"/>
  <c r="O571" i="8"/>
  <c r="M572" i="8"/>
  <c r="N572" i="8"/>
  <c r="O572" i="8"/>
  <c r="M573" i="8"/>
  <c r="N573" i="8"/>
  <c r="O573" i="8"/>
  <c r="M574" i="8"/>
  <c r="N574" i="8"/>
  <c r="O574" i="8"/>
  <c r="M575" i="8"/>
  <c r="N575" i="8"/>
  <c r="O575" i="8"/>
  <c r="M576" i="8"/>
  <c r="N576" i="8"/>
  <c r="O576" i="8"/>
  <c r="M577" i="8"/>
  <c r="N577" i="8"/>
  <c r="O577" i="8"/>
  <c r="M578" i="8"/>
  <c r="N578" i="8"/>
  <c r="O578" i="8"/>
  <c r="M579" i="8"/>
  <c r="N579" i="8"/>
  <c r="O579" i="8"/>
  <c r="M580" i="8"/>
  <c r="N580" i="8"/>
  <c r="O580" i="8"/>
  <c r="M581" i="8"/>
  <c r="N581" i="8"/>
  <c r="O581" i="8"/>
  <c r="M582" i="8"/>
  <c r="N582" i="8"/>
  <c r="O582" i="8"/>
  <c r="M583" i="8"/>
  <c r="N583" i="8"/>
  <c r="O583" i="8"/>
  <c r="M584" i="8"/>
  <c r="N584" i="8"/>
  <c r="O584" i="8"/>
  <c r="M585" i="8"/>
  <c r="N585" i="8"/>
  <c r="O585" i="8"/>
  <c r="M586" i="8"/>
  <c r="N586" i="8"/>
  <c r="O586" i="8"/>
  <c r="M587" i="8"/>
  <c r="N587" i="8"/>
  <c r="O587" i="8"/>
  <c r="M588" i="8"/>
  <c r="N588" i="8"/>
  <c r="O588" i="8"/>
  <c r="M589" i="8"/>
  <c r="N589" i="8"/>
  <c r="O589" i="8"/>
  <c r="M590" i="8"/>
  <c r="N590" i="8"/>
  <c r="O590" i="8"/>
  <c r="M591" i="8"/>
  <c r="N591" i="8"/>
  <c r="O591" i="8"/>
  <c r="M592" i="8"/>
  <c r="N592" i="8"/>
  <c r="O592" i="8"/>
  <c r="M593" i="8"/>
  <c r="N593" i="8"/>
  <c r="O593" i="8"/>
  <c r="M594" i="8"/>
  <c r="N594" i="8"/>
  <c r="O594" i="8"/>
  <c r="M595" i="8"/>
  <c r="N595" i="8"/>
  <c r="O595" i="8"/>
  <c r="M596" i="8"/>
  <c r="N596" i="8"/>
  <c r="O596" i="8"/>
  <c r="M597" i="8"/>
  <c r="N597" i="8"/>
  <c r="O597" i="8"/>
  <c r="M598" i="8"/>
  <c r="N598" i="8"/>
  <c r="O598" i="8"/>
  <c r="M599" i="8"/>
  <c r="N599" i="8"/>
  <c r="O599" i="8"/>
  <c r="M600" i="8"/>
  <c r="N600" i="8"/>
  <c r="O600" i="8"/>
  <c r="M601" i="8"/>
  <c r="N601" i="8"/>
  <c r="O601" i="8"/>
  <c r="M602" i="8"/>
  <c r="N602" i="8"/>
  <c r="O602" i="8"/>
  <c r="M603" i="8"/>
  <c r="N603" i="8"/>
  <c r="O603" i="8"/>
  <c r="M604" i="8"/>
  <c r="N604" i="8"/>
  <c r="O604" i="8"/>
  <c r="M605" i="8"/>
  <c r="N605" i="8"/>
  <c r="O605" i="8"/>
  <c r="M606" i="8"/>
  <c r="N606" i="8"/>
  <c r="O606" i="8"/>
  <c r="M607" i="8"/>
  <c r="N607" i="8"/>
  <c r="O607" i="8"/>
  <c r="M608" i="8"/>
  <c r="N608" i="8"/>
  <c r="O608" i="8"/>
  <c r="M609" i="8"/>
  <c r="N609" i="8"/>
  <c r="O609" i="8"/>
  <c r="M610" i="8"/>
  <c r="N610" i="8"/>
  <c r="O610" i="8"/>
  <c r="M611" i="8"/>
  <c r="N611" i="8"/>
  <c r="O611" i="8"/>
  <c r="M612" i="8"/>
  <c r="N612" i="8"/>
  <c r="O612" i="8"/>
  <c r="M613" i="8"/>
  <c r="N613" i="8"/>
  <c r="O613" i="8"/>
  <c r="M614" i="8"/>
  <c r="N614" i="8"/>
  <c r="O614" i="8"/>
  <c r="M615" i="8"/>
  <c r="N615" i="8"/>
  <c r="O615" i="8"/>
  <c r="M616" i="8"/>
  <c r="N616" i="8"/>
  <c r="O616" i="8"/>
  <c r="M617" i="8"/>
  <c r="N617" i="8"/>
  <c r="O617" i="8"/>
  <c r="M618" i="8"/>
  <c r="N618" i="8"/>
  <c r="O618" i="8"/>
  <c r="M619" i="8"/>
  <c r="N619" i="8"/>
  <c r="O619" i="8"/>
  <c r="M620" i="8"/>
  <c r="N620" i="8"/>
  <c r="O620" i="8"/>
  <c r="M621" i="8"/>
  <c r="N621" i="8"/>
  <c r="O621" i="8"/>
  <c r="M622" i="8"/>
  <c r="N622" i="8"/>
  <c r="O622" i="8"/>
  <c r="M623" i="8"/>
  <c r="N623" i="8"/>
  <c r="O623" i="8"/>
  <c r="M624" i="8"/>
  <c r="N624" i="8"/>
  <c r="O624" i="8"/>
  <c r="M625" i="8"/>
  <c r="N625" i="8"/>
  <c r="O625" i="8"/>
  <c r="M626" i="8"/>
  <c r="N626" i="8"/>
  <c r="O626" i="8"/>
  <c r="M627" i="8"/>
  <c r="N627" i="8"/>
  <c r="O627" i="8"/>
  <c r="M628" i="8"/>
  <c r="N628" i="8"/>
  <c r="O628" i="8"/>
  <c r="M629" i="8"/>
  <c r="N629" i="8"/>
  <c r="O629" i="8"/>
  <c r="M630" i="8"/>
  <c r="N630" i="8"/>
  <c r="O630" i="8"/>
  <c r="M631" i="8"/>
  <c r="N631" i="8"/>
  <c r="O631" i="8"/>
  <c r="M632" i="8"/>
  <c r="N632" i="8"/>
  <c r="O632" i="8"/>
  <c r="M633" i="8"/>
  <c r="N633" i="8"/>
  <c r="O633" i="8"/>
  <c r="M634" i="8"/>
  <c r="N634" i="8"/>
  <c r="O634" i="8"/>
  <c r="M635" i="8"/>
  <c r="N635" i="8"/>
  <c r="O635" i="8"/>
  <c r="M636" i="8"/>
  <c r="N636" i="8"/>
  <c r="O636" i="8"/>
  <c r="M637" i="8"/>
  <c r="N637" i="8"/>
  <c r="O637" i="8"/>
  <c r="M638" i="8"/>
  <c r="N638" i="8"/>
  <c r="O638" i="8"/>
  <c r="M639" i="8"/>
  <c r="N639" i="8"/>
  <c r="O639" i="8"/>
  <c r="M640" i="8"/>
  <c r="N640" i="8"/>
  <c r="O640" i="8"/>
  <c r="M641" i="8"/>
  <c r="N641" i="8"/>
  <c r="O641" i="8"/>
  <c r="M642" i="8"/>
  <c r="N642" i="8"/>
  <c r="O642" i="8"/>
  <c r="M643" i="8"/>
  <c r="N643" i="8"/>
  <c r="O643" i="8"/>
  <c r="M644" i="8"/>
  <c r="N644" i="8"/>
  <c r="O644" i="8"/>
  <c r="M645" i="8"/>
  <c r="N645" i="8"/>
  <c r="O645" i="8"/>
  <c r="M646" i="8"/>
  <c r="N646" i="8"/>
  <c r="O646" i="8"/>
  <c r="M647" i="8"/>
  <c r="N647" i="8"/>
  <c r="O647" i="8"/>
  <c r="M648" i="8"/>
  <c r="N648" i="8"/>
  <c r="O648" i="8"/>
  <c r="M649" i="8"/>
  <c r="N649" i="8"/>
  <c r="O649" i="8"/>
  <c r="M650" i="8"/>
  <c r="N650" i="8"/>
  <c r="O650" i="8"/>
  <c r="M651" i="8"/>
  <c r="N651" i="8"/>
  <c r="O651" i="8"/>
  <c r="M652" i="8"/>
  <c r="N652" i="8"/>
  <c r="O652" i="8"/>
  <c r="M653" i="8"/>
  <c r="N653" i="8"/>
  <c r="O653" i="8"/>
  <c r="M654" i="8"/>
  <c r="N654" i="8"/>
  <c r="O654" i="8"/>
  <c r="M655" i="8"/>
  <c r="N655" i="8"/>
  <c r="O655" i="8"/>
  <c r="M656" i="8"/>
  <c r="P656" i="8" s="1"/>
  <c r="Q656" i="8" s="1"/>
  <c r="N656" i="8"/>
  <c r="O656" i="8"/>
  <c r="M657" i="8"/>
  <c r="N657" i="8"/>
  <c r="O657" i="8"/>
  <c r="M658" i="8"/>
  <c r="N658" i="8"/>
  <c r="O658" i="8"/>
  <c r="M659" i="8"/>
  <c r="N659" i="8"/>
  <c r="O659" i="8"/>
  <c r="M660" i="8"/>
  <c r="N660" i="8"/>
  <c r="O660" i="8"/>
  <c r="M661" i="8"/>
  <c r="N661" i="8"/>
  <c r="O661" i="8"/>
  <c r="M662" i="8"/>
  <c r="N662" i="8"/>
  <c r="O662" i="8"/>
  <c r="M663" i="8"/>
  <c r="N663" i="8"/>
  <c r="O663" i="8"/>
  <c r="M664" i="8"/>
  <c r="N664" i="8"/>
  <c r="O664" i="8"/>
  <c r="M665" i="8"/>
  <c r="N665" i="8"/>
  <c r="O665" i="8"/>
  <c r="M666" i="8"/>
  <c r="N666" i="8"/>
  <c r="O666" i="8"/>
  <c r="M667" i="8"/>
  <c r="P667" i="8" s="1"/>
  <c r="Q667" i="8" s="1"/>
  <c r="N667" i="8"/>
  <c r="O667" i="8"/>
  <c r="M668" i="8"/>
  <c r="N668" i="8"/>
  <c r="O668" i="8"/>
  <c r="M669" i="8"/>
  <c r="N669" i="8"/>
  <c r="O669" i="8"/>
  <c r="M670" i="8"/>
  <c r="N670" i="8"/>
  <c r="O670" i="8"/>
  <c r="M671" i="8"/>
  <c r="N671" i="8"/>
  <c r="O671" i="8"/>
  <c r="M672" i="8"/>
  <c r="N672" i="8"/>
  <c r="O672" i="8"/>
  <c r="M673" i="8"/>
  <c r="N673" i="8"/>
  <c r="O673" i="8"/>
  <c r="M674" i="8"/>
  <c r="N674" i="8"/>
  <c r="O674" i="8"/>
  <c r="M675" i="8"/>
  <c r="N675" i="8"/>
  <c r="O675" i="8"/>
  <c r="M676" i="8"/>
  <c r="N676" i="8"/>
  <c r="O676" i="8"/>
  <c r="M677" i="8"/>
  <c r="N677" i="8"/>
  <c r="O677" i="8"/>
  <c r="M678" i="8"/>
  <c r="N678" i="8"/>
  <c r="O678" i="8"/>
  <c r="M679" i="8"/>
  <c r="N679" i="8"/>
  <c r="O679" i="8"/>
  <c r="M680" i="8"/>
  <c r="N680" i="8"/>
  <c r="O680" i="8"/>
  <c r="M681" i="8"/>
  <c r="N681" i="8"/>
  <c r="O681" i="8"/>
  <c r="M682" i="8"/>
  <c r="N682" i="8"/>
  <c r="O682" i="8"/>
  <c r="M683" i="8"/>
  <c r="P683" i="8" s="1"/>
  <c r="Q683" i="8" s="1"/>
  <c r="N683" i="8"/>
  <c r="O683" i="8"/>
  <c r="M684" i="8"/>
  <c r="N684" i="8"/>
  <c r="O684" i="8"/>
  <c r="M685" i="8"/>
  <c r="N685" i="8"/>
  <c r="O685" i="8"/>
  <c r="M686" i="8"/>
  <c r="N686" i="8"/>
  <c r="O686" i="8"/>
  <c r="M687" i="8"/>
  <c r="N687" i="8"/>
  <c r="O687" i="8"/>
  <c r="M688" i="8"/>
  <c r="N688" i="8"/>
  <c r="O688" i="8"/>
  <c r="M689" i="8"/>
  <c r="N689" i="8"/>
  <c r="O689" i="8"/>
  <c r="M690" i="8"/>
  <c r="N690" i="8"/>
  <c r="O690" i="8"/>
  <c r="M691" i="8"/>
  <c r="N691" i="8"/>
  <c r="O691" i="8"/>
  <c r="M692" i="8"/>
  <c r="N692" i="8"/>
  <c r="O692" i="8"/>
  <c r="M693" i="8"/>
  <c r="N693" i="8"/>
  <c r="O693" i="8"/>
  <c r="M694" i="8"/>
  <c r="N694" i="8"/>
  <c r="O694" i="8"/>
  <c r="M695" i="8"/>
  <c r="N695" i="8"/>
  <c r="O695" i="8"/>
  <c r="M696" i="8"/>
  <c r="N696" i="8"/>
  <c r="O696" i="8"/>
  <c r="M697" i="8"/>
  <c r="N697" i="8"/>
  <c r="O697" i="8"/>
  <c r="P697" i="8" s="1"/>
  <c r="Q697" i="8" s="1"/>
  <c r="M698" i="8"/>
  <c r="N698" i="8"/>
  <c r="O698" i="8"/>
  <c r="M699" i="8"/>
  <c r="P699" i="8" s="1"/>
  <c r="Q699" i="8" s="1"/>
  <c r="N699" i="8"/>
  <c r="O699" i="8"/>
  <c r="M700" i="8"/>
  <c r="N700" i="8"/>
  <c r="O700" i="8"/>
  <c r="M701" i="8"/>
  <c r="N701" i="8"/>
  <c r="O701" i="8"/>
  <c r="M702" i="8"/>
  <c r="N702" i="8"/>
  <c r="O702" i="8"/>
  <c r="M703" i="8"/>
  <c r="N703" i="8"/>
  <c r="O703" i="8"/>
  <c r="M704" i="8"/>
  <c r="N704" i="8"/>
  <c r="O704" i="8"/>
  <c r="M705" i="8"/>
  <c r="N705" i="8"/>
  <c r="O705" i="8"/>
  <c r="M706" i="8"/>
  <c r="N706" i="8"/>
  <c r="O706" i="8"/>
  <c r="M707" i="8"/>
  <c r="N707" i="8"/>
  <c r="O707" i="8"/>
  <c r="M708" i="8"/>
  <c r="N708" i="8"/>
  <c r="O708" i="8"/>
  <c r="M709" i="8"/>
  <c r="N709" i="8"/>
  <c r="O709" i="8"/>
  <c r="M710" i="8"/>
  <c r="N710" i="8"/>
  <c r="O710" i="8"/>
  <c r="M711" i="8"/>
  <c r="N711" i="8"/>
  <c r="O711" i="8"/>
  <c r="M712" i="8"/>
  <c r="N712" i="8"/>
  <c r="O712" i="8"/>
  <c r="M713" i="8"/>
  <c r="N713" i="8"/>
  <c r="O713" i="8"/>
  <c r="M714" i="8"/>
  <c r="N714" i="8"/>
  <c r="O714" i="8"/>
  <c r="M715" i="8"/>
  <c r="N715" i="8"/>
  <c r="O715" i="8"/>
  <c r="M716" i="8"/>
  <c r="N716" i="8"/>
  <c r="O716" i="8"/>
  <c r="M717" i="8"/>
  <c r="N717" i="8"/>
  <c r="O717" i="8"/>
  <c r="M718" i="8"/>
  <c r="N718" i="8"/>
  <c r="O718" i="8"/>
  <c r="M719" i="8"/>
  <c r="N719" i="8"/>
  <c r="O719" i="8"/>
  <c r="M720" i="8"/>
  <c r="N720" i="8"/>
  <c r="O720" i="8"/>
  <c r="M721" i="8"/>
  <c r="N721" i="8"/>
  <c r="O721" i="8"/>
  <c r="M722" i="8"/>
  <c r="N722" i="8"/>
  <c r="O722" i="8"/>
  <c r="M723" i="8"/>
  <c r="N723" i="8"/>
  <c r="O723" i="8"/>
  <c r="M724" i="8"/>
  <c r="N724" i="8"/>
  <c r="O724" i="8"/>
  <c r="M725" i="8"/>
  <c r="N725" i="8"/>
  <c r="O725" i="8"/>
  <c r="M726" i="8"/>
  <c r="N726" i="8"/>
  <c r="O726" i="8"/>
  <c r="M727" i="8"/>
  <c r="N727" i="8"/>
  <c r="O727" i="8"/>
  <c r="M728" i="8"/>
  <c r="N728" i="8"/>
  <c r="O728" i="8"/>
  <c r="M729" i="8"/>
  <c r="N729" i="8"/>
  <c r="O729" i="8"/>
  <c r="M730" i="8"/>
  <c r="N730" i="8"/>
  <c r="O730" i="8"/>
  <c r="M731" i="8"/>
  <c r="N731" i="8"/>
  <c r="O731" i="8"/>
  <c r="M732" i="8"/>
  <c r="N732" i="8"/>
  <c r="O732" i="8"/>
  <c r="M733" i="8"/>
  <c r="N733" i="8"/>
  <c r="O733" i="8"/>
  <c r="M734" i="8"/>
  <c r="N734" i="8"/>
  <c r="O734" i="8"/>
  <c r="M735" i="8"/>
  <c r="N735" i="8"/>
  <c r="O735" i="8"/>
  <c r="M736" i="8"/>
  <c r="N736" i="8"/>
  <c r="O736" i="8"/>
  <c r="M737" i="8"/>
  <c r="N737" i="8"/>
  <c r="O737" i="8"/>
  <c r="M738" i="8"/>
  <c r="N738" i="8"/>
  <c r="O738" i="8"/>
  <c r="M739" i="8"/>
  <c r="N739" i="8"/>
  <c r="O739" i="8"/>
  <c r="M740" i="8"/>
  <c r="N740" i="8"/>
  <c r="O740" i="8"/>
  <c r="M741" i="8"/>
  <c r="N741" i="8"/>
  <c r="O741" i="8"/>
  <c r="M742" i="8"/>
  <c r="N742" i="8"/>
  <c r="O742" i="8"/>
  <c r="M743" i="8"/>
  <c r="N743" i="8"/>
  <c r="O743" i="8"/>
  <c r="M744" i="8"/>
  <c r="N744" i="8"/>
  <c r="O744" i="8"/>
  <c r="M745" i="8"/>
  <c r="N745" i="8"/>
  <c r="O745" i="8"/>
  <c r="M746" i="8"/>
  <c r="N746" i="8"/>
  <c r="O746" i="8"/>
  <c r="M747" i="8"/>
  <c r="P747" i="8" s="1"/>
  <c r="Q747" i="8" s="1"/>
  <c r="N747" i="8"/>
  <c r="O747" i="8"/>
  <c r="M748" i="8"/>
  <c r="N748" i="8"/>
  <c r="O748" i="8"/>
  <c r="M749" i="8"/>
  <c r="N749" i="8"/>
  <c r="O749" i="8"/>
  <c r="M750" i="8"/>
  <c r="N750" i="8"/>
  <c r="O750" i="8"/>
  <c r="M751" i="8"/>
  <c r="N751" i="8"/>
  <c r="O751" i="8"/>
  <c r="M752" i="8"/>
  <c r="N752" i="8"/>
  <c r="O752" i="8"/>
  <c r="M753" i="8"/>
  <c r="N753" i="8"/>
  <c r="O753" i="8"/>
  <c r="M754" i="8"/>
  <c r="N754" i="8"/>
  <c r="O754" i="8"/>
  <c r="M755" i="8"/>
  <c r="N755" i="8"/>
  <c r="O755" i="8"/>
  <c r="M756" i="8"/>
  <c r="N756" i="8"/>
  <c r="O756" i="8"/>
  <c r="M757" i="8"/>
  <c r="N757" i="8"/>
  <c r="O757" i="8"/>
  <c r="M758" i="8"/>
  <c r="N758" i="8"/>
  <c r="O758" i="8"/>
  <c r="M759" i="8"/>
  <c r="N759" i="8"/>
  <c r="O759" i="8"/>
  <c r="M760" i="8"/>
  <c r="N760" i="8"/>
  <c r="O760" i="8"/>
  <c r="M761" i="8"/>
  <c r="N761" i="8"/>
  <c r="O761" i="8"/>
  <c r="M762" i="8"/>
  <c r="N762" i="8"/>
  <c r="O762" i="8"/>
  <c r="M763" i="8"/>
  <c r="N763" i="8"/>
  <c r="O763" i="8"/>
  <c r="M764" i="8"/>
  <c r="N764" i="8"/>
  <c r="O764" i="8"/>
  <c r="M765" i="8"/>
  <c r="N765" i="8"/>
  <c r="O765" i="8"/>
  <c r="P765" i="8" s="1"/>
  <c r="Q765" i="8" s="1"/>
  <c r="M766" i="8"/>
  <c r="N766" i="8"/>
  <c r="O766" i="8"/>
  <c r="M767" i="8"/>
  <c r="N767" i="8"/>
  <c r="O767" i="8"/>
  <c r="M768" i="8"/>
  <c r="N768" i="8"/>
  <c r="O768" i="8"/>
  <c r="M769" i="8"/>
  <c r="N769" i="8"/>
  <c r="O769" i="8"/>
  <c r="M770" i="8"/>
  <c r="N770" i="8"/>
  <c r="O770" i="8"/>
  <c r="M771" i="8"/>
  <c r="N771" i="8"/>
  <c r="O771" i="8"/>
  <c r="M772" i="8"/>
  <c r="N772" i="8"/>
  <c r="O772" i="8"/>
  <c r="M773" i="8"/>
  <c r="N773" i="8"/>
  <c r="O773" i="8"/>
  <c r="M774" i="8"/>
  <c r="N774" i="8"/>
  <c r="O774" i="8"/>
  <c r="M775" i="8"/>
  <c r="N775" i="8"/>
  <c r="O775" i="8"/>
  <c r="M776" i="8"/>
  <c r="N776" i="8"/>
  <c r="O776" i="8"/>
  <c r="M777" i="8"/>
  <c r="N777" i="8"/>
  <c r="O777" i="8"/>
  <c r="M778" i="8"/>
  <c r="N778" i="8"/>
  <c r="O778" i="8"/>
  <c r="M779" i="8"/>
  <c r="P779" i="8" s="1"/>
  <c r="Q779" i="8" s="1"/>
  <c r="N779" i="8"/>
  <c r="O779" i="8"/>
  <c r="M780" i="8"/>
  <c r="N780" i="8"/>
  <c r="O780" i="8"/>
  <c r="M781" i="8"/>
  <c r="N781" i="8"/>
  <c r="O781" i="8"/>
  <c r="M782" i="8"/>
  <c r="N782" i="8"/>
  <c r="O782" i="8"/>
  <c r="M783" i="8"/>
  <c r="N783" i="8"/>
  <c r="O783" i="8"/>
  <c r="M784" i="8"/>
  <c r="N784" i="8"/>
  <c r="O784" i="8"/>
  <c r="M785" i="8"/>
  <c r="N785" i="8"/>
  <c r="O785" i="8"/>
  <c r="M786" i="8"/>
  <c r="N786" i="8"/>
  <c r="O786" i="8"/>
  <c r="M787" i="8"/>
  <c r="N787" i="8"/>
  <c r="O787" i="8"/>
  <c r="M788" i="8"/>
  <c r="N788" i="8"/>
  <c r="O788" i="8"/>
  <c r="M789" i="8"/>
  <c r="N789" i="8"/>
  <c r="O789" i="8"/>
  <c r="M790" i="8"/>
  <c r="N790" i="8"/>
  <c r="O790" i="8"/>
  <c r="M791" i="8"/>
  <c r="N791" i="8"/>
  <c r="O791" i="8"/>
  <c r="M792" i="8"/>
  <c r="N792" i="8"/>
  <c r="O792" i="8"/>
  <c r="M793" i="8"/>
  <c r="N793" i="8"/>
  <c r="O793" i="8"/>
  <c r="M794" i="8"/>
  <c r="N794" i="8"/>
  <c r="O794" i="8"/>
  <c r="M795" i="8"/>
  <c r="P795" i="8" s="1"/>
  <c r="Q795" i="8" s="1"/>
  <c r="N795" i="8"/>
  <c r="O795" i="8"/>
  <c r="M796" i="8"/>
  <c r="N796" i="8"/>
  <c r="O796" i="8"/>
  <c r="M797" i="8"/>
  <c r="N797" i="8"/>
  <c r="O797" i="8"/>
  <c r="M798" i="8"/>
  <c r="N798" i="8"/>
  <c r="O798" i="8"/>
  <c r="M799" i="8"/>
  <c r="N799" i="8"/>
  <c r="O799" i="8"/>
  <c r="M800" i="8"/>
  <c r="N800" i="8"/>
  <c r="O800" i="8"/>
  <c r="M801" i="8"/>
  <c r="N801" i="8"/>
  <c r="O801" i="8"/>
  <c r="M802" i="8"/>
  <c r="N802" i="8"/>
  <c r="O802" i="8"/>
  <c r="M803" i="8"/>
  <c r="N803" i="8"/>
  <c r="O803" i="8"/>
  <c r="M804" i="8"/>
  <c r="N804" i="8"/>
  <c r="O804" i="8"/>
  <c r="M805" i="8"/>
  <c r="N805" i="8"/>
  <c r="O805" i="8"/>
  <c r="M806" i="8"/>
  <c r="N806" i="8"/>
  <c r="O806" i="8"/>
  <c r="M807" i="8"/>
  <c r="N807" i="8"/>
  <c r="O807" i="8"/>
  <c r="M808" i="8"/>
  <c r="N808" i="8"/>
  <c r="O808" i="8"/>
  <c r="M809" i="8"/>
  <c r="N809" i="8"/>
  <c r="O809" i="8"/>
  <c r="M810" i="8"/>
  <c r="N810" i="8"/>
  <c r="O810" i="8"/>
  <c r="M811" i="8"/>
  <c r="P811" i="8" s="1"/>
  <c r="Q811" i="8" s="1"/>
  <c r="N811" i="8"/>
  <c r="O811" i="8"/>
  <c r="M812" i="8"/>
  <c r="N812" i="8"/>
  <c r="O812" i="8"/>
  <c r="M813" i="8"/>
  <c r="N813" i="8"/>
  <c r="O813" i="8"/>
  <c r="M814" i="8"/>
  <c r="N814" i="8"/>
  <c r="O814" i="8"/>
  <c r="M815" i="8"/>
  <c r="N815" i="8"/>
  <c r="O815" i="8"/>
  <c r="M816" i="8"/>
  <c r="N816" i="8"/>
  <c r="O816" i="8"/>
  <c r="M817" i="8"/>
  <c r="N817" i="8"/>
  <c r="O817" i="8"/>
  <c r="M818" i="8"/>
  <c r="N818" i="8"/>
  <c r="O818" i="8"/>
  <c r="M819" i="8"/>
  <c r="N819" i="8"/>
  <c r="O819" i="8"/>
  <c r="M820" i="8"/>
  <c r="N820" i="8"/>
  <c r="O820" i="8"/>
  <c r="M821" i="8"/>
  <c r="N821" i="8"/>
  <c r="O821" i="8"/>
  <c r="M822" i="8"/>
  <c r="N822" i="8"/>
  <c r="O822" i="8"/>
  <c r="M823" i="8"/>
  <c r="N823" i="8"/>
  <c r="O823" i="8"/>
  <c r="M824" i="8"/>
  <c r="N824" i="8"/>
  <c r="O824" i="8"/>
  <c r="M825" i="8"/>
  <c r="P825" i="8" s="1"/>
  <c r="Q825" i="8" s="1"/>
  <c r="N825" i="8"/>
  <c r="O825" i="8"/>
  <c r="M826" i="8"/>
  <c r="N826" i="8"/>
  <c r="O826" i="8"/>
  <c r="M827" i="8"/>
  <c r="N827" i="8"/>
  <c r="O827" i="8"/>
  <c r="M828" i="8"/>
  <c r="N828" i="8"/>
  <c r="O828" i="8"/>
  <c r="M829" i="8"/>
  <c r="N829" i="8"/>
  <c r="O829" i="8"/>
  <c r="M830" i="8"/>
  <c r="N830" i="8"/>
  <c r="O830" i="8"/>
  <c r="M831" i="8"/>
  <c r="N831" i="8"/>
  <c r="O831" i="8"/>
  <c r="M832" i="8"/>
  <c r="N832" i="8"/>
  <c r="O832" i="8"/>
  <c r="M833" i="8"/>
  <c r="N833" i="8"/>
  <c r="O833" i="8"/>
  <c r="M834" i="8"/>
  <c r="N834" i="8"/>
  <c r="O834" i="8"/>
  <c r="M835" i="8"/>
  <c r="N835" i="8"/>
  <c r="O835" i="8"/>
  <c r="M836" i="8"/>
  <c r="N836" i="8"/>
  <c r="O836" i="8"/>
  <c r="M837" i="8"/>
  <c r="N837" i="8"/>
  <c r="O837" i="8"/>
  <c r="M838" i="8"/>
  <c r="N838" i="8"/>
  <c r="O838" i="8"/>
  <c r="M839" i="8"/>
  <c r="N839" i="8"/>
  <c r="O839" i="8"/>
  <c r="M840" i="8"/>
  <c r="N840" i="8"/>
  <c r="O840" i="8"/>
  <c r="M841" i="8"/>
  <c r="N841" i="8"/>
  <c r="O841" i="8"/>
  <c r="M842" i="8"/>
  <c r="N842" i="8"/>
  <c r="O842" i="8"/>
  <c r="M843" i="8"/>
  <c r="N843" i="8"/>
  <c r="O843" i="8"/>
  <c r="M844" i="8"/>
  <c r="N844" i="8"/>
  <c r="O844" i="8"/>
  <c r="M845" i="8"/>
  <c r="N845" i="8"/>
  <c r="O845" i="8"/>
  <c r="M846" i="8"/>
  <c r="N846" i="8"/>
  <c r="O846" i="8"/>
  <c r="M847" i="8"/>
  <c r="N847" i="8"/>
  <c r="O847" i="8"/>
  <c r="M848" i="8"/>
  <c r="N848" i="8"/>
  <c r="O848" i="8"/>
  <c r="M849" i="8"/>
  <c r="N849" i="8"/>
  <c r="O849" i="8"/>
  <c r="M850" i="8"/>
  <c r="N850" i="8"/>
  <c r="O850" i="8"/>
  <c r="M851" i="8"/>
  <c r="N851" i="8"/>
  <c r="O851" i="8"/>
  <c r="M852" i="8"/>
  <c r="N852" i="8"/>
  <c r="O852" i="8"/>
  <c r="M853" i="8"/>
  <c r="N853" i="8"/>
  <c r="O853" i="8"/>
  <c r="M854" i="8"/>
  <c r="N854" i="8"/>
  <c r="O854" i="8"/>
  <c r="M855" i="8"/>
  <c r="N855" i="8"/>
  <c r="O855" i="8"/>
  <c r="M856" i="8"/>
  <c r="N856" i="8"/>
  <c r="O856" i="8"/>
  <c r="M857" i="8"/>
  <c r="N857" i="8"/>
  <c r="O857" i="8"/>
  <c r="M858" i="8"/>
  <c r="N858" i="8"/>
  <c r="O858" i="8"/>
  <c r="M859" i="8"/>
  <c r="N859" i="8"/>
  <c r="O859" i="8"/>
  <c r="M860" i="8"/>
  <c r="N860" i="8"/>
  <c r="O860" i="8"/>
  <c r="M861" i="8"/>
  <c r="P861" i="8" s="1"/>
  <c r="Q861" i="8" s="1"/>
  <c r="N861" i="8"/>
  <c r="O861" i="8"/>
  <c r="M862" i="8"/>
  <c r="N862" i="8"/>
  <c r="O862" i="8"/>
  <c r="M863" i="8"/>
  <c r="N863" i="8"/>
  <c r="O863" i="8"/>
  <c r="M864" i="8"/>
  <c r="N864" i="8"/>
  <c r="O864" i="8"/>
  <c r="M865" i="8"/>
  <c r="N865" i="8"/>
  <c r="O865" i="8"/>
  <c r="M866" i="8"/>
  <c r="N866" i="8"/>
  <c r="O866" i="8"/>
  <c r="M867" i="8"/>
  <c r="N867" i="8"/>
  <c r="O867" i="8"/>
  <c r="M868" i="8"/>
  <c r="N868" i="8"/>
  <c r="O868" i="8"/>
  <c r="M869" i="8"/>
  <c r="N869" i="8"/>
  <c r="O869" i="8"/>
  <c r="M870" i="8"/>
  <c r="N870" i="8"/>
  <c r="O870" i="8"/>
  <c r="M871" i="8"/>
  <c r="N871" i="8"/>
  <c r="O871" i="8"/>
  <c r="M872" i="8"/>
  <c r="N872" i="8"/>
  <c r="O872" i="8"/>
  <c r="M873" i="8"/>
  <c r="P873" i="8" s="1"/>
  <c r="Q873" i="8" s="1"/>
  <c r="N873" i="8"/>
  <c r="O873" i="8"/>
  <c r="M874" i="8"/>
  <c r="N874" i="8"/>
  <c r="O874" i="8"/>
  <c r="M875" i="8"/>
  <c r="N875" i="8"/>
  <c r="O875" i="8"/>
  <c r="M876" i="8"/>
  <c r="N876" i="8"/>
  <c r="O876" i="8"/>
  <c r="M877" i="8"/>
  <c r="N877" i="8"/>
  <c r="O877" i="8"/>
  <c r="M878" i="8"/>
  <c r="N878" i="8"/>
  <c r="O878" i="8"/>
  <c r="M879" i="8"/>
  <c r="N879" i="8"/>
  <c r="O879" i="8"/>
  <c r="M880" i="8"/>
  <c r="N880" i="8"/>
  <c r="O880" i="8"/>
  <c r="M881" i="8"/>
  <c r="N881" i="8"/>
  <c r="O881" i="8"/>
  <c r="M882" i="8"/>
  <c r="N882" i="8"/>
  <c r="O882" i="8"/>
  <c r="M883" i="8"/>
  <c r="N883" i="8"/>
  <c r="O883" i="8"/>
  <c r="M884" i="8"/>
  <c r="N884" i="8"/>
  <c r="O884" i="8"/>
  <c r="M885" i="8"/>
  <c r="N885" i="8"/>
  <c r="O885" i="8"/>
  <c r="M886" i="8"/>
  <c r="N886" i="8"/>
  <c r="O886" i="8"/>
  <c r="M887" i="8"/>
  <c r="N887" i="8"/>
  <c r="O887" i="8"/>
  <c r="M888" i="8"/>
  <c r="N888" i="8"/>
  <c r="O888" i="8"/>
  <c r="M889" i="8"/>
  <c r="P889" i="8" s="1"/>
  <c r="Q889" i="8" s="1"/>
  <c r="N889" i="8"/>
  <c r="O889" i="8"/>
  <c r="M890" i="8"/>
  <c r="N890" i="8"/>
  <c r="O890" i="8"/>
  <c r="M891" i="8"/>
  <c r="N891" i="8"/>
  <c r="O891" i="8"/>
  <c r="M892" i="8"/>
  <c r="N892" i="8"/>
  <c r="O892" i="8"/>
  <c r="M893" i="8"/>
  <c r="N893" i="8"/>
  <c r="O893" i="8"/>
  <c r="M894" i="8"/>
  <c r="N894" i="8"/>
  <c r="O894" i="8"/>
  <c r="M895" i="8"/>
  <c r="N895" i="8"/>
  <c r="O895" i="8"/>
  <c r="M896" i="8"/>
  <c r="N896" i="8"/>
  <c r="O896" i="8"/>
  <c r="M897" i="8"/>
  <c r="P897" i="8" s="1"/>
  <c r="Q897" i="8" s="1"/>
  <c r="N897" i="8"/>
  <c r="O897" i="8"/>
  <c r="M898" i="8"/>
  <c r="N898" i="8"/>
  <c r="O898" i="8"/>
  <c r="M899" i="8"/>
  <c r="N899" i="8"/>
  <c r="O899" i="8"/>
  <c r="M900" i="8"/>
  <c r="N900" i="8"/>
  <c r="O900" i="8"/>
  <c r="M901" i="8"/>
  <c r="N901" i="8"/>
  <c r="O901" i="8"/>
  <c r="M902" i="8"/>
  <c r="N902" i="8"/>
  <c r="O902" i="8"/>
  <c r="M903" i="8"/>
  <c r="N903" i="8"/>
  <c r="O903" i="8"/>
  <c r="M904" i="8"/>
  <c r="P904" i="8" s="1"/>
  <c r="Q904" i="8" s="1"/>
  <c r="N904" i="8"/>
  <c r="O904" i="8"/>
  <c r="M905" i="8"/>
  <c r="P905" i="8" s="1"/>
  <c r="Q905" i="8" s="1"/>
  <c r="N905" i="8"/>
  <c r="O905" i="8"/>
  <c r="M906" i="8"/>
  <c r="N906" i="8"/>
  <c r="O906" i="8"/>
  <c r="M907" i="8"/>
  <c r="N907" i="8"/>
  <c r="O907" i="8"/>
  <c r="M908" i="8"/>
  <c r="N908" i="8"/>
  <c r="O908" i="8"/>
  <c r="M909" i="8"/>
  <c r="N909" i="8"/>
  <c r="O909" i="8"/>
  <c r="M910" i="8"/>
  <c r="N910" i="8"/>
  <c r="O910" i="8"/>
  <c r="M911" i="8"/>
  <c r="N911" i="8"/>
  <c r="O911" i="8"/>
  <c r="M912" i="8"/>
  <c r="N912" i="8"/>
  <c r="O912" i="8"/>
  <c r="M913" i="8"/>
  <c r="N913" i="8"/>
  <c r="O913" i="8"/>
  <c r="M914" i="8"/>
  <c r="N914" i="8"/>
  <c r="O914" i="8"/>
  <c r="M915" i="8"/>
  <c r="N915" i="8"/>
  <c r="O915" i="8"/>
  <c r="M916" i="8"/>
  <c r="N916" i="8"/>
  <c r="O916" i="8"/>
  <c r="M917" i="8"/>
  <c r="N917" i="8"/>
  <c r="O917" i="8"/>
  <c r="M918" i="8"/>
  <c r="N918" i="8"/>
  <c r="O918" i="8"/>
  <c r="M919" i="8"/>
  <c r="N919" i="8"/>
  <c r="O919" i="8"/>
  <c r="M920" i="8"/>
  <c r="P920" i="8" s="1"/>
  <c r="Q920" i="8" s="1"/>
  <c r="N920" i="8"/>
  <c r="O920" i="8"/>
  <c r="M921" i="8"/>
  <c r="N921" i="8"/>
  <c r="O921" i="8"/>
  <c r="M922" i="8"/>
  <c r="N922" i="8"/>
  <c r="O922" i="8"/>
  <c r="M923" i="8"/>
  <c r="N923" i="8"/>
  <c r="O923" i="8"/>
  <c r="P923" i="8" s="1"/>
  <c r="Q923" i="8" s="1"/>
  <c r="M924" i="8"/>
  <c r="N924" i="8"/>
  <c r="O924" i="8"/>
  <c r="M925" i="8"/>
  <c r="P925" i="8" s="1"/>
  <c r="Q925" i="8" s="1"/>
  <c r="N925" i="8"/>
  <c r="O925" i="8"/>
  <c r="M926" i="8"/>
  <c r="N926" i="8"/>
  <c r="O926" i="8"/>
  <c r="M927" i="8"/>
  <c r="N927" i="8"/>
  <c r="O927" i="8"/>
  <c r="M928" i="8"/>
  <c r="N928" i="8"/>
  <c r="O928" i="8"/>
  <c r="M929" i="8"/>
  <c r="N929" i="8"/>
  <c r="O929" i="8"/>
  <c r="M930" i="8"/>
  <c r="N930" i="8"/>
  <c r="O930" i="8"/>
  <c r="M931" i="8"/>
  <c r="N931" i="8"/>
  <c r="O931" i="8"/>
  <c r="M932" i="8"/>
  <c r="N932" i="8"/>
  <c r="O932" i="8"/>
  <c r="M933" i="8"/>
  <c r="N933" i="8"/>
  <c r="O933" i="8"/>
  <c r="M934" i="8"/>
  <c r="N934" i="8"/>
  <c r="O934" i="8"/>
  <c r="M935" i="8"/>
  <c r="N935" i="8"/>
  <c r="O935" i="8"/>
  <c r="M936" i="8"/>
  <c r="N936" i="8"/>
  <c r="O936" i="8"/>
  <c r="M937" i="8"/>
  <c r="N937" i="8"/>
  <c r="O937" i="8"/>
  <c r="M938" i="8"/>
  <c r="N938" i="8"/>
  <c r="O938" i="8"/>
  <c r="M939" i="8"/>
  <c r="N939" i="8"/>
  <c r="O939" i="8"/>
  <c r="M940" i="8"/>
  <c r="N940" i="8"/>
  <c r="O940" i="8"/>
  <c r="M941" i="8"/>
  <c r="N941" i="8"/>
  <c r="O941" i="8"/>
  <c r="M942" i="8"/>
  <c r="N942" i="8"/>
  <c r="O942" i="8"/>
  <c r="M943" i="8"/>
  <c r="N943" i="8"/>
  <c r="O943" i="8"/>
  <c r="M944" i="8"/>
  <c r="N944" i="8"/>
  <c r="O944" i="8"/>
  <c r="M945" i="8"/>
  <c r="N945" i="8"/>
  <c r="O945" i="8"/>
  <c r="M946" i="8"/>
  <c r="N946" i="8"/>
  <c r="O946" i="8"/>
  <c r="M947" i="8"/>
  <c r="N947" i="8"/>
  <c r="O947" i="8"/>
  <c r="M948" i="8"/>
  <c r="N948" i="8"/>
  <c r="O948" i="8"/>
  <c r="M949" i="8"/>
  <c r="N949" i="8"/>
  <c r="O949" i="8"/>
  <c r="M950" i="8"/>
  <c r="N950" i="8"/>
  <c r="O950" i="8"/>
  <c r="M951" i="8"/>
  <c r="N951" i="8"/>
  <c r="O951" i="8"/>
  <c r="M952" i="8"/>
  <c r="N952" i="8"/>
  <c r="O952" i="8"/>
  <c r="M953" i="8"/>
  <c r="N953" i="8"/>
  <c r="O953" i="8"/>
  <c r="M954" i="8"/>
  <c r="N954" i="8"/>
  <c r="O954" i="8"/>
  <c r="M955" i="8"/>
  <c r="N955" i="8"/>
  <c r="O955" i="8"/>
  <c r="M956" i="8"/>
  <c r="N956" i="8"/>
  <c r="O956" i="8"/>
  <c r="M957" i="8"/>
  <c r="N957" i="8"/>
  <c r="O957" i="8"/>
  <c r="M958" i="8"/>
  <c r="N958" i="8"/>
  <c r="O958" i="8"/>
  <c r="M959" i="8"/>
  <c r="N959" i="8"/>
  <c r="O959" i="8"/>
  <c r="M960" i="8"/>
  <c r="N960" i="8"/>
  <c r="O960" i="8"/>
  <c r="M961" i="8"/>
  <c r="N961" i="8"/>
  <c r="O961" i="8"/>
  <c r="M962" i="8"/>
  <c r="N962" i="8"/>
  <c r="O962" i="8"/>
  <c r="M963" i="8"/>
  <c r="N963" i="8"/>
  <c r="O963" i="8"/>
  <c r="M964" i="8"/>
  <c r="N964" i="8"/>
  <c r="O964" i="8"/>
  <c r="M965" i="8"/>
  <c r="N965" i="8"/>
  <c r="O965" i="8"/>
  <c r="M966" i="8"/>
  <c r="N966" i="8"/>
  <c r="O966" i="8"/>
  <c r="M967" i="8"/>
  <c r="N967" i="8"/>
  <c r="O967" i="8"/>
  <c r="M968" i="8"/>
  <c r="N968" i="8"/>
  <c r="O968" i="8"/>
  <c r="M969" i="8"/>
  <c r="N969" i="8"/>
  <c r="O969" i="8"/>
  <c r="M970" i="8"/>
  <c r="N970" i="8"/>
  <c r="O970" i="8"/>
  <c r="M971" i="8"/>
  <c r="N971" i="8"/>
  <c r="O971" i="8"/>
  <c r="M972" i="8"/>
  <c r="N972" i="8"/>
  <c r="O972" i="8"/>
  <c r="M973" i="8"/>
  <c r="N973" i="8"/>
  <c r="O973" i="8"/>
  <c r="M974" i="8"/>
  <c r="N974" i="8"/>
  <c r="O974" i="8"/>
  <c r="M975" i="8"/>
  <c r="N975" i="8"/>
  <c r="O975" i="8"/>
  <c r="M976" i="8"/>
  <c r="N976" i="8"/>
  <c r="O976" i="8"/>
  <c r="M977" i="8"/>
  <c r="N977" i="8"/>
  <c r="O977" i="8"/>
  <c r="M978" i="8"/>
  <c r="N978" i="8"/>
  <c r="O978" i="8"/>
  <c r="M979" i="8"/>
  <c r="N979" i="8"/>
  <c r="O979" i="8"/>
  <c r="M980" i="8"/>
  <c r="N980" i="8"/>
  <c r="O980" i="8"/>
  <c r="M981" i="8"/>
  <c r="N981" i="8"/>
  <c r="O981" i="8"/>
  <c r="M982" i="8"/>
  <c r="N982" i="8"/>
  <c r="O982" i="8"/>
  <c r="M983" i="8"/>
  <c r="N983" i="8"/>
  <c r="O983" i="8"/>
  <c r="M984" i="8"/>
  <c r="N984" i="8"/>
  <c r="O984" i="8"/>
  <c r="M985" i="8"/>
  <c r="N985" i="8"/>
  <c r="O985" i="8"/>
  <c r="M986" i="8"/>
  <c r="N986" i="8"/>
  <c r="O986" i="8"/>
  <c r="M987" i="8"/>
  <c r="N987" i="8"/>
  <c r="O987" i="8"/>
  <c r="M988" i="8"/>
  <c r="N988" i="8"/>
  <c r="O988" i="8"/>
  <c r="M989" i="8"/>
  <c r="N989" i="8"/>
  <c r="O989" i="8"/>
  <c r="M990" i="8"/>
  <c r="N990" i="8"/>
  <c r="O990" i="8"/>
  <c r="M991" i="8"/>
  <c r="N991" i="8"/>
  <c r="O991" i="8"/>
  <c r="M992" i="8"/>
  <c r="N992" i="8"/>
  <c r="O992" i="8"/>
  <c r="M993" i="8"/>
  <c r="N993" i="8"/>
  <c r="O993" i="8"/>
  <c r="M994" i="8"/>
  <c r="N994" i="8"/>
  <c r="O994" i="8"/>
  <c r="M995" i="8"/>
  <c r="N995" i="8"/>
  <c r="O995" i="8"/>
  <c r="M996" i="8"/>
  <c r="N996" i="8"/>
  <c r="O996" i="8"/>
  <c r="M997" i="8"/>
  <c r="N997" i="8"/>
  <c r="O997" i="8"/>
  <c r="M998" i="8"/>
  <c r="N998" i="8"/>
  <c r="O998" i="8"/>
  <c r="M999" i="8"/>
  <c r="N999" i="8"/>
  <c r="O999" i="8"/>
  <c r="M1000" i="8"/>
  <c r="P1000" i="8" s="1"/>
  <c r="Q1000" i="8" s="1"/>
  <c r="N1000" i="8"/>
  <c r="O1000"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37" i="8"/>
  <c r="J138" i="8"/>
  <c r="J139" i="8"/>
  <c r="J140" i="8"/>
  <c r="J141" i="8"/>
  <c r="J142" i="8"/>
  <c r="J143" i="8"/>
  <c r="J135" i="8"/>
  <c r="J136"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C51" i="8"/>
  <c r="E51" i="8" s="1"/>
  <c r="D51" i="8"/>
  <c r="C52" i="8"/>
  <c r="E52" i="8" s="1"/>
  <c r="D52" i="8"/>
  <c r="C53" i="8"/>
  <c r="E53" i="8" s="1"/>
  <c r="D53" i="8"/>
  <c r="C54" i="8"/>
  <c r="E54" i="8" s="1"/>
  <c r="D54" i="8"/>
  <c r="C55" i="8"/>
  <c r="D55" i="8"/>
  <c r="E55" i="8"/>
  <c r="C56" i="8"/>
  <c r="D56" i="8"/>
  <c r="E56" i="8" s="1"/>
  <c r="C57" i="8"/>
  <c r="E57" i="8" s="1"/>
  <c r="D57" i="8"/>
  <c r="C58" i="8"/>
  <c r="E58" i="8" s="1"/>
  <c r="D58" i="8"/>
  <c r="C59" i="8"/>
  <c r="E59" i="8" s="1"/>
  <c r="D59" i="8"/>
  <c r="C60" i="8"/>
  <c r="E60" i="8" s="1"/>
  <c r="D60" i="8"/>
  <c r="C61" i="8"/>
  <c r="E61" i="8" s="1"/>
  <c r="D61" i="8"/>
  <c r="C62" i="8"/>
  <c r="E62" i="8" s="1"/>
  <c r="D62" i="8"/>
  <c r="C63" i="8"/>
  <c r="D63" i="8"/>
  <c r="E63" i="8"/>
  <c r="C64" i="8"/>
  <c r="D64" i="8"/>
  <c r="E64" i="8" s="1"/>
  <c r="C65" i="8"/>
  <c r="E65" i="8" s="1"/>
  <c r="D65" i="8"/>
  <c r="C66" i="8"/>
  <c r="E66" i="8" s="1"/>
  <c r="D66" i="8"/>
  <c r="C67" i="8"/>
  <c r="E67" i="8" s="1"/>
  <c r="D67" i="8"/>
  <c r="C68" i="8"/>
  <c r="E68" i="8" s="1"/>
  <c r="D68" i="8"/>
  <c r="C69" i="8"/>
  <c r="E69" i="8" s="1"/>
  <c r="D69" i="8"/>
  <c r="C70" i="8"/>
  <c r="E70" i="8" s="1"/>
  <c r="D70" i="8"/>
  <c r="C71" i="8"/>
  <c r="D71" i="8"/>
  <c r="E71" i="8"/>
  <c r="C72" i="8"/>
  <c r="D72" i="8"/>
  <c r="E72" i="8" s="1"/>
  <c r="C73" i="8"/>
  <c r="E73" i="8" s="1"/>
  <c r="D73" i="8"/>
  <c r="C74" i="8"/>
  <c r="D74" i="8"/>
  <c r="C75" i="8"/>
  <c r="E75" i="8" s="1"/>
  <c r="D75" i="8"/>
  <c r="C76" i="8"/>
  <c r="E76" i="8" s="1"/>
  <c r="D76" i="8"/>
  <c r="C77" i="8"/>
  <c r="E77" i="8" s="1"/>
  <c r="D77" i="8"/>
  <c r="C78" i="8"/>
  <c r="E78" i="8" s="1"/>
  <c r="D78" i="8"/>
  <c r="C79" i="8"/>
  <c r="D79" i="8"/>
  <c r="E79" i="8"/>
  <c r="C80" i="8"/>
  <c r="E80" i="8" s="1"/>
  <c r="D80" i="8"/>
  <c r="C81" i="8"/>
  <c r="E81" i="8" s="1"/>
  <c r="D81" i="8"/>
  <c r="C82" i="8"/>
  <c r="E82" i="8" s="1"/>
  <c r="D82" i="8"/>
  <c r="C83" i="8"/>
  <c r="E83" i="8" s="1"/>
  <c r="D83" i="8"/>
  <c r="C84" i="8"/>
  <c r="E84" i="8" s="1"/>
  <c r="D84" i="8"/>
  <c r="C85" i="8"/>
  <c r="E85" i="8" s="1"/>
  <c r="D85" i="8"/>
  <c r="C86" i="8"/>
  <c r="D86" i="8"/>
  <c r="E86" i="8"/>
  <c r="C87" i="8"/>
  <c r="D87" i="8"/>
  <c r="E87" i="8"/>
  <c r="C88" i="8"/>
  <c r="D88" i="8"/>
  <c r="E88" i="8" s="1"/>
  <c r="C89" i="8"/>
  <c r="E89" i="8" s="1"/>
  <c r="D89" i="8"/>
  <c r="C90" i="8"/>
  <c r="E90" i="8" s="1"/>
  <c r="D90" i="8"/>
  <c r="C91" i="8"/>
  <c r="E91" i="8" s="1"/>
  <c r="D91" i="8"/>
  <c r="C92" i="8"/>
  <c r="E92" i="8" s="1"/>
  <c r="D92" i="8"/>
  <c r="C93" i="8"/>
  <c r="E93" i="8" s="1"/>
  <c r="D93" i="8"/>
  <c r="C94" i="8"/>
  <c r="D94" i="8"/>
  <c r="E94" i="8"/>
  <c r="C95" i="8"/>
  <c r="D95" i="8"/>
  <c r="E95" i="8"/>
  <c r="C96" i="8"/>
  <c r="D96" i="8"/>
  <c r="E96" i="8" s="1"/>
  <c r="C97" i="8"/>
  <c r="E97" i="8" s="1"/>
  <c r="D97" i="8"/>
  <c r="C98" i="8"/>
  <c r="D98" i="8"/>
  <c r="C99" i="8"/>
  <c r="E99" i="8" s="1"/>
  <c r="D99" i="8"/>
  <c r="C100" i="8"/>
  <c r="E100" i="8" s="1"/>
  <c r="D100" i="8"/>
  <c r="C101" i="8"/>
  <c r="E101" i="8" s="1"/>
  <c r="D101" i="8"/>
  <c r="C102" i="8"/>
  <c r="D102" i="8"/>
  <c r="E102" i="8"/>
  <c r="C103" i="8"/>
  <c r="D103" i="8"/>
  <c r="E103" i="8"/>
  <c r="C104" i="8"/>
  <c r="D104" i="8"/>
  <c r="E104" i="8" s="1"/>
  <c r="C105" i="8"/>
  <c r="E105" i="8" s="1"/>
  <c r="D105" i="8"/>
  <c r="C106" i="8"/>
  <c r="E106" i="8" s="1"/>
  <c r="D106" i="8"/>
  <c r="C107" i="8"/>
  <c r="E107" i="8" s="1"/>
  <c r="D107" i="8"/>
  <c r="C108" i="8"/>
  <c r="E108" i="8" s="1"/>
  <c r="D108" i="8"/>
  <c r="C109" i="8"/>
  <c r="E109" i="8" s="1"/>
  <c r="D109" i="8"/>
  <c r="C110" i="8"/>
  <c r="D110" i="8"/>
  <c r="E110" i="8"/>
  <c r="C111" i="8"/>
  <c r="D111" i="8"/>
  <c r="E111" i="8"/>
  <c r="C112" i="8"/>
  <c r="D112" i="8"/>
  <c r="E112" i="8" s="1"/>
  <c r="C113" i="8"/>
  <c r="E113" i="8" s="1"/>
  <c r="D113" i="8"/>
  <c r="C114" i="8"/>
  <c r="D114" i="8"/>
  <c r="C115" i="8"/>
  <c r="E115" i="8" s="1"/>
  <c r="D115" i="8"/>
  <c r="C116" i="8"/>
  <c r="E116" i="8" s="1"/>
  <c r="D116" i="8"/>
  <c r="C117" i="8"/>
  <c r="E117" i="8" s="1"/>
  <c r="D117" i="8"/>
  <c r="C118" i="8"/>
  <c r="D118" i="8"/>
  <c r="E118" i="8"/>
  <c r="C119" i="8"/>
  <c r="D119" i="8"/>
  <c r="E119" i="8"/>
  <c r="C120" i="8"/>
  <c r="D120" i="8"/>
  <c r="E120" i="8" s="1"/>
  <c r="C121" i="8"/>
  <c r="E121" i="8" s="1"/>
  <c r="D121" i="8"/>
  <c r="C122" i="8"/>
  <c r="E122" i="8" s="1"/>
  <c r="D122" i="8"/>
  <c r="C123" i="8"/>
  <c r="E123" i="8" s="1"/>
  <c r="D123" i="8"/>
  <c r="C124" i="8"/>
  <c r="D124" i="8"/>
  <c r="E124" i="8"/>
  <c r="C125" i="8"/>
  <c r="E125" i="8" s="1"/>
  <c r="D125" i="8"/>
  <c r="C126" i="8"/>
  <c r="D126" i="8"/>
  <c r="E126" i="8"/>
  <c r="C127" i="8"/>
  <c r="D127" i="8"/>
  <c r="E127" i="8"/>
  <c r="C128" i="8"/>
  <c r="D128" i="8"/>
  <c r="E128" i="8" s="1"/>
  <c r="C129" i="8"/>
  <c r="E129" i="8" s="1"/>
  <c r="D129" i="8"/>
  <c r="C130" i="8"/>
  <c r="E130" i="8" s="1"/>
  <c r="D130" i="8"/>
  <c r="C131" i="8"/>
  <c r="E131" i="8" s="1"/>
  <c r="D131" i="8"/>
  <c r="C132" i="8"/>
  <c r="D132" i="8"/>
  <c r="E132" i="8"/>
  <c r="C133" i="8"/>
  <c r="E133" i="8" s="1"/>
  <c r="D133" i="8"/>
  <c r="C134" i="8"/>
  <c r="D134" i="8"/>
  <c r="E134" i="8"/>
  <c r="C135" i="8"/>
  <c r="D135" i="8"/>
  <c r="E135" i="8"/>
  <c r="C136" i="8"/>
  <c r="D136" i="8"/>
  <c r="E136" i="8" s="1"/>
  <c r="C137" i="8"/>
  <c r="E137" i="8" s="1"/>
  <c r="D137" i="8"/>
  <c r="C138" i="8"/>
  <c r="D138" i="8"/>
  <c r="C139" i="8"/>
  <c r="E139" i="8" s="1"/>
  <c r="D139" i="8"/>
  <c r="C140" i="8"/>
  <c r="D140" i="8"/>
  <c r="E140" i="8"/>
  <c r="C141" i="8"/>
  <c r="E141" i="8" s="1"/>
  <c r="D141" i="8"/>
  <c r="C142" i="8"/>
  <c r="D142" i="8"/>
  <c r="E142" i="8"/>
  <c r="C143" i="8"/>
  <c r="D143" i="8"/>
  <c r="E143" i="8"/>
  <c r="C144" i="8"/>
  <c r="E144" i="8" s="1"/>
  <c r="D144" i="8"/>
  <c r="C145" i="8"/>
  <c r="E145" i="8" s="1"/>
  <c r="D145" i="8"/>
  <c r="C146" i="8"/>
  <c r="D146" i="8"/>
  <c r="C147" i="8"/>
  <c r="E147" i="8" s="1"/>
  <c r="D147" i="8"/>
  <c r="C148" i="8"/>
  <c r="D148" i="8"/>
  <c r="E148" i="8"/>
  <c r="C149" i="8"/>
  <c r="E149" i="8" s="1"/>
  <c r="D149" i="8"/>
  <c r="C150" i="8"/>
  <c r="D150" i="8"/>
  <c r="E150" i="8"/>
  <c r="C151" i="8"/>
  <c r="D151" i="8"/>
  <c r="E151" i="8"/>
  <c r="C152" i="8"/>
  <c r="D152" i="8"/>
  <c r="E152" i="8" s="1"/>
  <c r="C153" i="8"/>
  <c r="E153" i="8" s="1"/>
  <c r="D153" i="8"/>
  <c r="C154" i="8"/>
  <c r="E154" i="8" s="1"/>
  <c r="D154" i="8"/>
  <c r="C155" i="8"/>
  <c r="E155" i="8" s="1"/>
  <c r="D155" i="8"/>
  <c r="C156" i="8"/>
  <c r="D156" i="8"/>
  <c r="E156" i="8"/>
  <c r="C157" i="8"/>
  <c r="E157" i="8" s="1"/>
  <c r="D157" i="8"/>
  <c r="C158" i="8"/>
  <c r="D158" i="8"/>
  <c r="E158" i="8"/>
  <c r="C159" i="8"/>
  <c r="D159" i="8"/>
  <c r="E159" i="8"/>
  <c r="C160" i="8"/>
  <c r="D160" i="8"/>
  <c r="E160" i="8" s="1"/>
  <c r="C161" i="8"/>
  <c r="E161" i="8" s="1"/>
  <c r="D161" i="8"/>
  <c r="C162" i="8"/>
  <c r="E162" i="8" s="1"/>
  <c r="D162" i="8"/>
  <c r="C163" i="8"/>
  <c r="E163" i="8" s="1"/>
  <c r="D163" i="8"/>
  <c r="C164" i="8"/>
  <c r="D164" i="8"/>
  <c r="E164" i="8"/>
  <c r="C165" i="8"/>
  <c r="E165" i="8" s="1"/>
  <c r="D165" i="8"/>
  <c r="C166" i="8"/>
  <c r="D166" i="8"/>
  <c r="E166" i="8"/>
  <c r="C167" i="8"/>
  <c r="D167" i="8"/>
  <c r="E167" i="8"/>
  <c r="C168" i="8"/>
  <c r="D168" i="8"/>
  <c r="E168" i="8" s="1"/>
  <c r="C169" i="8"/>
  <c r="E169" i="8" s="1"/>
  <c r="D169" i="8"/>
  <c r="C170" i="8"/>
  <c r="D170" i="8"/>
  <c r="C171" i="8"/>
  <c r="E171" i="8" s="1"/>
  <c r="D171" i="8"/>
  <c r="C172" i="8"/>
  <c r="D172" i="8"/>
  <c r="E172" i="8"/>
  <c r="C173" i="8"/>
  <c r="E173" i="8" s="1"/>
  <c r="D173" i="8"/>
  <c r="C174" i="8"/>
  <c r="D174" i="8"/>
  <c r="E174" i="8"/>
  <c r="C175" i="8"/>
  <c r="D175" i="8"/>
  <c r="E175" i="8"/>
  <c r="C176" i="8"/>
  <c r="D176" i="8"/>
  <c r="E176" i="8" s="1"/>
  <c r="C177" i="8"/>
  <c r="E177" i="8" s="1"/>
  <c r="D177" i="8"/>
  <c r="C178" i="8"/>
  <c r="D178" i="8"/>
  <c r="C179" i="8"/>
  <c r="E179" i="8" s="1"/>
  <c r="D179" i="8"/>
  <c r="C180" i="8"/>
  <c r="D180" i="8"/>
  <c r="E180" i="8"/>
  <c r="C181" i="8"/>
  <c r="E181" i="8" s="1"/>
  <c r="D181" i="8"/>
  <c r="C182" i="8"/>
  <c r="D182" i="8"/>
  <c r="E182" i="8"/>
  <c r="C183" i="8"/>
  <c r="D183" i="8"/>
  <c r="E183" i="8"/>
  <c r="C184" i="8"/>
  <c r="D184" i="8"/>
  <c r="E184" i="8" s="1"/>
  <c r="C185" i="8"/>
  <c r="E185" i="8" s="1"/>
  <c r="D185" i="8"/>
  <c r="C186" i="8"/>
  <c r="D186" i="8"/>
  <c r="C187" i="8"/>
  <c r="E187" i="8" s="1"/>
  <c r="D187" i="8"/>
  <c r="C188" i="8"/>
  <c r="D188" i="8"/>
  <c r="E188" i="8"/>
  <c r="C189" i="8"/>
  <c r="E189" i="8" s="1"/>
  <c r="D189" i="8"/>
  <c r="C190" i="8"/>
  <c r="D190" i="8"/>
  <c r="E190" i="8"/>
  <c r="C191" i="8"/>
  <c r="D191" i="8"/>
  <c r="E191" i="8"/>
  <c r="C192" i="8"/>
  <c r="D192" i="8"/>
  <c r="E192" i="8" s="1"/>
  <c r="C193" i="8"/>
  <c r="E193" i="8" s="1"/>
  <c r="D193" i="8"/>
  <c r="C194" i="8"/>
  <c r="E194" i="8" s="1"/>
  <c r="D194" i="8"/>
  <c r="C195" i="8"/>
  <c r="E195" i="8" s="1"/>
  <c r="D195" i="8"/>
  <c r="C196" i="8"/>
  <c r="D196" i="8"/>
  <c r="E196" i="8"/>
  <c r="C197" i="8"/>
  <c r="E197" i="8" s="1"/>
  <c r="D197" i="8"/>
  <c r="C198" i="8"/>
  <c r="D198" i="8"/>
  <c r="E198" i="8"/>
  <c r="C199" i="8"/>
  <c r="D199" i="8"/>
  <c r="E199" i="8"/>
  <c r="C200" i="8"/>
  <c r="D200" i="8"/>
  <c r="E200" i="8" s="1"/>
  <c r="C201" i="8"/>
  <c r="E201" i="8" s="1"/>
  <c r="D201" i="8"/>
  <c r="C202" i="8"/>
  <c r="D202" i="8"/>
  <c r="C203" i="8"/>
  <c r="E203" i="8" s="1"/>
  <c r="D203" i="8"/>
  <c r="C204" i="8"/>
  <c r="D204" i="8"/>
  <c r="E204" i="8"/>
  <c r="C205" i="8"/>
  <c r="E205" i="8" s="1"/>
  <c r="D205" i="8"/>
  <c r="C206" i="8"/>
  <c r="D206" i="8"/>
  <c r="E206" i="8"/>
  <c r="C207" i="8"/>
  <c r="D207" i="8"/>
  <c r="E207" i="8"/>
  <c r="C208" i="8"/>
  <c r="D208" i="8"/>
  <c r="E208" i="8" s="1"/>
  <c r="C209" i="8"/>
  <c r="E209" i="8" s="1"/>
  <c r="D209" i="8"/>
  <c r="C210" i="8"/>
  <c r="D210" i="8"/>
  <c r="C211" i="8"/>
  <c r="E211" i="8" s="1"/>
  <c r="D211" i="8"/>
  <c r="C212" i="8"/>
  <c r="D212" i="8"/>
  <c r="E212" i="8"/>
  <c r="C213" i="8"/>
  <c r="E213" i="8" s="1"/>
  <c r="D213" i="8"/>
  <c r="C214" i="8"/>
  <c r="D214" i="8"/>
  <c r="E214" i="8"/>
  <c r="C215" i="8"/>
  <c r="D215" i="8"/>
  <c r="E215" i="8"/>
  <c r="C216" i="8"/>
  <c r="D216" i="8"/>
  <c r="E216" i="8" s="1"/>
  <c r="C217" i="8"/>
  <c r="E217" i="8" s="1"/>
  <c r="D217" i="8"/>
  <c r="C218" i="8"/>
  <c r="E218" i="8" s="1"/>
  <c r="D218" i="8"/>
  <c r="C219" i="8"/>
  <c r="E219" i="8" s="1"/>
  <c r="D219" i="8"/>
  <c r="C220" i="8"/>
  <c r="D220" i="8"/>
  <c r="E220" i="8"/>
  <c r="C221" i="8"/>
  <c r="E221" i="8" s="1"/>
  <c r="D221" i="8"/>
  <c r="C222" i="8"/>
  <c r="D222" i="8"/>
  <c r="E222" i="8"/>
  <c r="C223" i="8"/>
  <c r="D223" i="8"/>
  <c r="E223" i="8"/>
  <c r="C224" i="8"/>
  <c r="D224" i="8"/>
  <c r="E224" i="8" s="1"/>
  <c r="C225" i="8"/>
  <c r="E225" i="8" s="1"/>
  <c r="D225" i="8"/>
  <c r="C226" i="8"/>
  <c r="E226" i="8" s="1"/>
  <c r="D226" i="8"/>
  <c r="C227" i="8"/>
  <c r="E227" i="8" s="1"/>
  <c r="D227" i="8"/>
  <c r="C228" i="8"/>
  <c r="D228" i="8"/>
  <c r="E228" i="8"/>
  <c r="C229" i="8"/>
  <c r="E229" i="8" s="1"/>
  <c r="D229" i="8"/>
  <c r="C230" i="8"/>
  <c r="D230" i="8"/>
  <c r="E230" i="8"/>
  <c r="C231" i="8"/>
  <c r="D231" i="8"/>
  <c r="E231" i="8"/>
  <c r="C232" i="8"/>
  <c r="D232" i="8"/>
  <c r="E232" i="8" s="1"/>
  <c r="C233" i="8"/>
  <c r="E233" i="8" s="1"/>
  <c r="D233" i="8"/>
  <c r="C234" i="8"/>
  <c r="D234" i="8"/>
  <c r="C235" i="8"/>
  <c r="E235" i="8" s="1"/>
  <c r="D235" i="8"/>
  <c r="C236" i="8"/>
  <c r="D236" i="8"/>
  <c r="E236" i="8"/>
  <c r="C237" i="8"/>
  <c r="E237" i="8" s="1"/>
  <c r="D237" i="8"/>
  <c r="C238" i="8"/>
  <c r="D238" i="8"/>
  <c r="E238" i="8"/>
  <c r="C239" i="8"/>
  <c r="D239" i="8"/>
  <c r="E239" i="8"/>
  <c r="C240" i="8"/>
  <c r="D240" i="8"/>
  <c r="E240" i="8" s="1"/>
  <c r="C241" i="8"/>
  <c r="E241" i="8" s="1"/>
  <c r="D241" i="8"/>
  <c r="C242" i="8"/>
  <c r="D242" i="8"/>
  <c r="C243" i="8"/>
  <c r="E243" i="8" s="1"/>
  <c r="D243" i="8"/>
  <c r="C244" i="8"/>
  <c r="D244" i="8"/>
  <c r="E244" i="8"/>
  <c r="C245" i="8"/>
  <c r="E245" i="8" s="1"/>
  <c r="D245" i="8"/>
  <c r="C246" i="8"/>
  <c r="D246" i="8"/>
  <c r="E246" i="8"/>
  <c r="C247" i="8"/>
  <c r="D247" i="8"/>
  <c r="E247" i="8"/>
  <c r="C248" i="8"/>
  <c r="D248" i="8"/>
  <c r="E248" i="8" s="1"/>
  <c r="C249" i="8"/>
  <c r="E249" i="8" s="1"/>
  <c r="D249" i="8"/>
  <c r="C250" i="8"/>
  <c r="D250" i="8"/>
  <c r="C251" i="8"/>
  <c r="E251" i="8" s="1"/>
  <c r="D251" i="8"/>
  <c r="C252" i="8"/>
  <c r="D252" i="8"/>
  <c r="E252" i="8"/>
  <c r="C253" i="8"/>
  <c r="E253" i="8" s="1"/>
  <c r="D253" i="8"/>
  <c r="C254" i="8"/>
  <c r="D254" i="8"/>
  <c r="E254" i="8"/>
  <c r="C255" i="8"/>
  <c r="D255" i="8"/>
  <c r="E255" i="8"/>
  <c r="C256" i="8"/>
  <c r="D256" i="8"/>
  <c r="E256" i="8" s="1"/>
  <c r="C257" i="8"/>
  <c r="E257" i="8" s="1"/>
  <c r="D257" i="8"/>
  <c r="C258" i="8"/>
  <c r="E258" i="8" s="1"/>
  <c r="D258" i="8"/>
  <c r="C259" i="8"/>
  <c r="E259" i="8" s="1"/>
  <c r="D259" i="8"/>
  <c r="C260" i="8"/>
  <c r="D260" i="8"/>
  <c r="E260" i="8"/>
  <c r="C261" i="8"/>
  <c r="E261" i="8" s="1"/>
  <c r="D261" i="8"/>
  <c r="C262" i="8"/>
  <c r="D262" i="8"/>
  <c r="E262" i="8"/>
  <c r="C263" i="8"/>
  <c r="D263" i="8"/>
  <c r="E263" i="8"/>
  <c r="C264" i="8"/>
  <c r="D264" i="8"/>
  <c r="E264" i="8" s="1"/>
  <c r="C265" i="8"/>
  <c r="E265" i="8" s="1"/>
  <c r="D265" i="8"/>
  <c r="C266" i="8"/>
  <c r="D266" i="8"/>
  <c r="C267" i="8"/>
  <c r="E267" i="8" s="1"/>
  <c r="D267" i="8"/>
  <c r="C268" i="8"/>
  <c r="D268" i="8"/>
  <c r="E268" i="8"/>
  <c r="C269" i="8"/>
  <c r="E269" i="8" s="1"/>
  <c r="D269" i="8"/>
  <c r="C270" i="8"/>
  <c r="D270" i="8"/>
  <c r="E270" i="8"/>
  <c r="C271" i="8"/>
  <c r="D271" i="8"/>
  <c r="E271" i="8"/>
  <c r="C272" i="8"/>
  <c r="D272" i="8"/>
  <c r="E272" i="8" s="1"/>
  <c r="C273" i="8"/>
  <c r="E273" i="8" s="1"/>
  <c r="D273" i="8"/>
  <c r="C274" i="8"/>
  <c r="D274" i="8"/>
  <c r="C275" i="8"/>
  <c r="E275" i="8" s="1"/>
  <c r="D275" i="8"/>
  <c r="C276" i="8"/>
  <c r="D276" i="8"/>
  <c r="E276" i="8"/>
  <c r="C277" i="8"/>
  <c r="E277" i="8" s="1"/>
  <c r="D277" i="8"/>
  <c r="C278" i="8"/>
  <c r="D278" i="8"/>
  <c r="E278" i="8"/>
  <c r="C279" i="8"/>
  <c r="D279" i="8"/>
  <c r="E279" i="8"/>
  <c r="C280" i="8"/>
  <c r="D280" i="8"/>
  <c r="E280" i="8" s="1"/>
  <c r="C281" i="8"/>
  <c r="E281" i="8" s="1"/>
  <c r="D281" i="8"/>
  <c r="C282" i="8"/>
  <c r="E282" i="8" s="1"/>
  <c r="D282" i="8"/>
  <c r="C283" i="8"/>
  <c r="E283" i="8" s="1"/>
  <c r="D283" i="8"/>
  <c r="C284" i="8"/>
  <c r="D284" i="8"/>
  <c r="E284" i="8"/>
  <c r="C285" i="8"/>
  <c r="E285" i="8" s="1"/>
  <c r="D285" i="8"/>
  <c r="C286" i="8"/>
  <c r="D286" i="8"/>
  <c r="E286" i="8"/>
  <c r="C287" i="8"/>
  <c r="D287" i="8"/>
  <c r="E287" i="8"/>
  <c r="C288" i="8"/>
  <c r="D288" i="8"/>
  <c r="E288" i="8" s="1"/>
  <c r="C289" i="8"/>
  <c r="E289" i="8" s="1"/>
  <c r="D289" i="8"/>
  <c r="C290" i="8"/>
  <c r="E290" i="8" s="1"/>
  <c r="D290" i="8"/>
  <c r="C291" i="8"/>
  <c r="E291" i="8" s="1"/>
  <c r="D291" i="8"/>
  <c r="C292" i="8"/>
  <c r="D292" i="8"/>
  <c r="E292" i="8"/>
  <c r="C293" i="8"/>
  <c r="E293" i="8" s="1"/>
  <c r="D293" i="8"/>
  <c r="C294" i="8"/>
  <c r="D294" i="8"/>
  <c r="E294" i="8"/>
  <c r="C295" i="8"/>
  <c r="D295" i="8"/>
  <c r="E295" i="8"/>
  <c r="C296" i="8"/>
  <c r="D296" i="8"/>
  <c r="E296" i="8" s="1"/>
  <c r="C297" i="8"/>
  <c r="E297" i="8" s="1"/>
  <c r="D297" i="8"/>
  <c r="C298" i="8"/>
  <c r="D298" i="8"/>
  <c r="C299" i="8"/>
  <c r="E299" i="8" s="1"/>
  <c r="D299" i="8"/>
  <c r="C300" i="8"/>
  <c r="D300" i="8"/>
  <c r="E300" i="8"/>
  <c r="C301" i="8"/>
  <c r="E301" i="8" s="1"/>
  <c r="D301" i="8"/>
  <c r="C302" i="8"/>
  <c r="D302" i="8"/>
  <c r="E302" i="8"/>
  <c r="C303" i="8"/>
  <c r="D303" i="8"/>
  <c r="E303" i="8"/>
  <c r="C304" i="8"/>
  <c r="D304" i="8"/>
  <c r="E304" i="8" s="1"/>
  <c r="C305" i="8"/>
  <c r="E305" i="8" s="1"/>
  <c r="D305" i="8"/>
  <c r="C306" i="8"/>
  <c r="D306" i="8"/>
  <c r="C307" i="8"/>
  <c r="E307" i="8" s="1"/>
  <c r="D307" i="8"/>
  <c r="C308" i="8"/>
  <c r="D308" i="8"/>
  <c r="E308" i="8"/>
  <c r="C309" i="8"/>
  <c r="E309" i="8" s="1"/>
  <c r="D309" i="8"/>
  <c r="C310" i="8"/>
  <c r="D310" i="8"/>
  <c r="E310" i="8"/>
  <c r="C311" i="8"/>
  <c r="D311" i="8"/>
  <c r="E311" i="8"/>
  <c r="C312" i="8"/>
  <c r="D312" i="8"/>
  <c r="E312" i="8" s="1"/>
  <c r="C313" i="8"/>
  <c r="E313" i="8" s="1"/>
  <c r="D313" i="8"/>
  <c r="C314" i="8"/>
  <c r="D314" i="8"/>
  <c r="C315" i="8"/>
  <c r="E315" i="8" s="1"/>
  <c r="D315" i="8"/>
  <c r="C316" i="8"/>
  <c r="D316" i="8"/>
  <c r="E316" i="8"/>
  <c r="C317" i="8"/>
  <c r="E317" i="8" s="1"/>
  <c r="D317" i="8"/>
  <c r="C318" i="8"/>
  <c r="D318" i="8"/>
  <c r="E318" i="8"/>
  <c r="C319" i="8"/>
  <c r="D319" i="8"/>
  <c r="E319" i="8"/>
  <c r="C320" i="8"/>
  <c r="D320" i="8"/>
  <c r="E320" i="8" s="1"/>
  <c r="C321" i="8"/>
  <c r="E321" i="8" s="1"/>
  <c r="D321" i="8"/>
  <c r="C322" i="8"/>
  <c r="E322" i="8" s="1"/>
  <c r="D322" i="8"/>
  <c r="C323" i="8"/>
  <c r="E323" i="8" s="1"/>
  <c r="D323" i="8"/>
  <c r="C324" i="8"/>
  <c r="D324" i="8"/>
  <c r="E324" i="8"/>
  <c r="C325" i="8"/>
  <c r="E325" i="8" s="1"/>
  <c r="D325" i="8"/>
  <c r="C326" i="8"/>
  <c r="D326" i="8"/>
  <c r="E326" i="8"/>
  <c r="C327" i="8"/>
  <c r="D327" i="8"/>
  <c r="E327" i="8"/>
  <c r="C328" i="8"/>
  <c r="D328" i="8"/>
  <c r="E328" i="8" s="1"/>
  <c r="C329" i="8"/>
  <c r="E329" i="8" s="1"/>
  <c r="D329" i="8"/>
  <c r="C330" i="8"/>
  <c r="D330" i="8"/>
  <c r="C331" i="8"/>
  <c r="E331" i="8" s="1"/>
  <c r="D331" i="8"/>
  <c r="C332" i="8"/>
  <c r="D332" i="8"/>
  <c r="E332" i="8"/>
  <c r="C333" i="8"/>
  <c r="E333" i="8" s="1"/>
  <c r="D333" i="8"/>
  <c r="C334" i="8"/>
  <c r="D334" i="8"/>
  <c r="E334" i="8"/>
  <c r="C335" i="8"/>
  <c r="D335" i="8"/>
  <c r="E335" i="8"/>
  <c r="C336" i="8"/>
  <c r="D336" i="8"/>
  <c r="E336" i="8" s="1"/>
  <c r="C337" i="8"/>
  <c r="E337" i="8" s="1"/>
  <c r="D337" i="8"/>
  <c r="C338" i="8"/>
  <c r="D338" i="8"/>
  <c r="C339" i="8"/>
  <c r="E339" i="8" s="1"/>
  <c r="D339" i="8"/>
  <c r="C340" i="8"/>
  <c r="D340" i="8"/>
  <c r="E340" i="8"/>
  <c r="C341" i="8"/>
  <c r="E341" i="8" s="1"/>
  <c r="D341" i="8"/>
  <c r="C342" i="8"/>
  <c r="D342" i="8"/>
  <c r="E342" i="8"/>
  <c r="C343" i="8"/>
  <c r="D343" i="8"/>
  <c r="E343" i="8"/>
  <c r="C344" i="8"/>
  <c r="D344" i="8"/>
  <c r="E344" i="8" s="1"/>
  <c r="C345" i="8"/>
  <c r="E345" i="8" s="1"/>
  <c r="D345" i="8"/>
  <c r="C346" i="8"/>
  <c r="E346" i="8" s="1"/>
  <c r="D346" i="8"/>
  <c r="C347" i="8"/>
  <c r="E347" i="8" s="1"/>
  <c r="D347" i="8"/>
  <c r="C348" i="8"/>
  <c r="D348" i="8"/>
  <c r="E348" i="8"/>
  <c r="C349" i="8"/>
  <c r="E349" i="8" s="1"/>
  <c r="D349" i="8"/>
  <c r="C350" i="8"/>
  <c r="D350" i="8"/>
  <c r="E350" i="8"/>
  <c r="C351" i="8"/>
  <c r="D351" i="8"/>
  <c r="E351" i="8"/>
  <c r="C352" i="8"/>
  <c r="D352" i="8"/>
  <c r="E352" i="8" s="1"/>
  <c r="C353" i="8"/>
  <c r="E353" i="8" s="1"/>
  <c r="D353" i="8"/>
  <c r="C354" i="8"/>
  <c r="E354" i="8" s="1"/>
  <c r="D354" i="8"/>
  <c r="C355" i="8"/>
  <c r="E355" i="8" s="1"/>
  <c r="D355" i="8"/>
  <c r="C356" i="8"/>
  <c r="D356" i="8"/>
  <c r="E356" i="8"/>
  <c r="C357" i="8"/>
  <c r="E357" i="8" s="1"/>
  <c r="D357" i="8"/>
  <c r="C358" i="8"/>
  <c r="D358" i="8"/>
  <c r="E358" i="8"/>
  <c r="C359" i="8"/>
  <c r="D359" i="8"/>
  <c r="E359" i="8"/>
  <c r="C360" i="8"/>
  <c r="D360" i="8"/>
  <c r="E360" i="8" s="1"/>
  <c r="C361" i="8"/>
  <c r="E361" i="8" s="1"/>
  <c r="D361" i="8"/>
  <c r="C362" i="8"/>
  <c r="D362" i="8"/>
  <c r="C363" i="8"/>
  <c r="E363" i="8" s="1"/>
  <c r="D363" i="8"/>
  <c r="C364" i="8"/>
  <c r="D364" i="8"/>
  <c r="E364" i="8"/>
  <c r="C365" i="8"/>
  <c r="E365" i="8" s="1"/>
  <c r="D365" i="8"/>
  <c r="C366" i="8"/>
  <c r="D366" i="8"/>
  <c r="E366" i="8"/>
  <c r="C367" i="8"/>
  <c r="D367" i="8"/>
  <c r="E367" i="8"/>
  <c r="C368" i="8"/>
  <c r="D368" i="8"/>
  <c r="E368" i="8" s="1"/>
  <c r="C369" i="8"/>
  <c r="E369" i="8" s="1"/>
  <c r="D369" i="8"/>
  <c r="C370" i="8"/>
  <c r="D370" i="8"/>
  <c r="C371" i="8"/>
  <c r="E371" i="8" s="1"/>
  <c r="D371" i="8"/>
  <c r="C372" i="8"/>
  <c r="D372" i="8"/>
  <c r="E372" i="8"/>
  <c r="C373" i="8"/>
  <c r="E373" i="8" s="1"/>
  <c r="D373" i="8"/>
  <c r="C374" i="8"/>
  <c r="D374" i="8"/>
  <c r="E374" i="8"/>
  <c r="C375" i="8"/>
  <c r="D375" i="8"/>
  <c r="E375" i="8"/>
  <c r="C376" i="8"/>
  <c r="D376" i="8"/>
  <c r="E376" i="8" s="1"/>
  <c r="C377" i="8"/>
  <c r="E377" i="8" s="1"/>
  <c r="D377" i="8"/>
  <c r="C378" i="8"/>
  <c r="D378" i="8"/>
  <c r="C379" i="8"/>
  <c r="E379" i="8" s="1"/>
  <c r="D379" i="8"/>
  <c r="C380" i="8"/>
  <c r="D380" i="8"/>
  <c r="E380" i="8"/>
  <c r="C381" i="8"/>
  <c r="E381" i="8" s="1"/>
  <c r="D381" i="8"/>
  <c r="C382" i="8"/>
  <c r="D382" i="8"/>
  <c r="E382" i="8"/>
  <c r="C383" i="8"/>
  <c r="D383" i="8"/>
  <c r="E383" i="8"/>
  <c r="C384" i="8"/>
  <c r="D384" i="8"/>
  <c r="E384" i="8" s="1"/>
  <c r="C385" i="8"/>
  <c r="E385" i="8" s="1"/>
  <c r="D385" i="8"/>
  <c r="C386" i="8"/>
  <c r="E386" i="8" s="1"/>
  <c r="D386" i="8"/>
  <c r="C387" i="8"/>
  <c r="E387" i="8" s="1"/>
  <c r="D387" i="8"/>
  <c r="C388" i="8"/>
  <c r="D388" i="8"/>
  <c r="E388" i="8"/>
  <c r="C389" i="8"/>
  <c r="E389" i="8" s="1"/>
  <c r="D389" i="8"/>
  <c r="C390" i="8"/>
  <c r="D390" i="8"/>
  <c r="E390" i="8"/>
  <c r="C391" i="8"/>
  <c r="D391" i="8"/>
  <c r="E391" i="8"/>
  <c r="C392" i="8"/>
  <c r="D392" i="8"/>
  <c r="E392" i="8" s="1"/>
  <c r="C393" i="8"/>
  <c r="E393" i="8" s="1"/>
  <c r="D393" i="8"/>
  <c r="C394" i="8"/>
  <c r="D394" i="8"/>
  <c r="C395" i="8"/>
  <c r="E395" i="8" s="1"/>
  <c r="D395" i="8"/>
  <c r="C396" i="8"/>
  <c r="D396" i="8"/>
  <c r="E396" i="8"/>
  <c r="C397" i="8"/>
  <c r="E397" i="8" s="1"/>
  <c r="D397" i="8"/>
  <c r="C398" i="8"/>
  <c r="D398" i="8"/>
  <c r="E398" i="8"/>
  <c r="C399" i="8"/>
  <c r="D399" i="8"/>
  <c r="E399" i="8"/>
  <c r="C400" i="8"/>
  <c r="D400" i="8"/>
  <c r="E400" i="8" s="1"/>
  <c r="C401" i="8"/>
  <c r="E401" i="8" s="1"/>
  <c r="D401" i="8"/>
  <c r="C402" i="8"/>
  <c r="D402" i="8"/>
  <c r="C403" i="8"/>
  <c r="E403" i="8" s="1"/>
  <c r="D403" i="8"/>
  <c r="C404" i="8"/>
  <c r="D404" i="8"/>
  <c r="E404" i="8"/>
  <c r="C405" i="8"/>
  <c r="E405" i="8" s="1"/>
  <c r="D405" i="8"/>
  <c r="C406" i="8"/>
  <c r="D406" i="8"/>
  <c r="E406" i="8"/>
  <c r="C407" i="8"/>
  <c r="D407" i="8"/>
  <c r="E407" i="8"/>
  <c r="C408" i="8"/>
  <c r="D408" i="8"/>
  <c r="E408" i="8" s="1"/>
  <c r="C409" i="8"/>
  <c r="E409" i="8" s="1"/>
  <c r="D409" i="8"/>
  <c r="C410" i="8"/>
  <c r="E410" i="8" s="1"/>
  <c r="D410" i="8"/>
  <c r="C411" i="8"/>
  <c r="E411" i="8" s="1"/>
  <c r="D411" i="8"/>
  <c r="C412" i="8"/>
  <c r="D412" i="8"/>
  <c r="E412" i="8"/>
  <c r="C413" i="8"/>
  <c r="E413" i="8" s="1"/>
  <c r="D413" i="8"/>
  <c r="C414" i="8"/>
  <c r="D414" i="8"/>
  <c r="E414" i="8"/>
  <c r="C415" i="8"/>
  <c r="D415" i="8"/>
  <c r="E415" i="8"/>
  <c r="C416" i="8"/>
  <c r="D416" i="8"/>
  <c r="E416" i="8" s="1"/>
  <c r="C417" i="8"/>
  <c r="E417" i="8" s="1"/>
  <c r="D417" i="8"/>
  <c r="C418" i="8"/>
  <c r="E418" i="8" s="1"/>
  <c r="D418" i="8"/>
  <c r="C419" i="8"/>
  <c r="E419" i="8" s="1"/>
  <c r="D419" i="8"/>
  <c r="C420" i="8"/>
  <c r="D420" i="8"/>
  <c r="E420" i="8"/>
  <c r="C421" i="8"/>
  <c r="E421" i="8" s="1"/>
  <c r="D421" i="8"/>
  <c r="C422" i="8"/>
  <c r="D422" i="8"/>
  <c r="E422" i="8"/>
  <c r="C423" i="8"/>
  <c r="D423" i="8"/>
  <c r="E423" i="8"/>
  <c r="C424" i="8"/>
  <c r="D424" i="8"/>
  <c r="E424" i="8" s="1"/>
  <c r="C425" i="8"/>
  <c r="E425" i="8" s="1"/>
  <c r="D425" i="8"/>
  <c r="C426" i="8"/>
  <c r="D426" i="8"/>
  <c r="C427" i="8"/>
  <c r="E427" i="8" s="1"/>
  <c r="D427" i="8"/>
  <c r="C428" i="8"/>
  <c r="D428" i="8"/>
  <c r="E428" i="8"/>
  <c r="C429" i="8"/>
  <c r="E429" i="8" s="1"/>
  <c r="D429" i="8"/>
  <c r="C430" i="8"/>
  <c r="D430" i="8"/>
  <c r="E430" i="8"/>
  <c r="C431" i="8"/>
  <c r="D431" i="8"/>
  <c r="E431" i="8"/>
  <c r="C432" i="8"/>
  <c r="D432" i="8"/>
  <c r="E432" i="8" s="1"/>
  <c r="C433" i="8"/>
  <c r="E433" i="8" s="1"/>
  <c r="D433" i="8"/>
  <c r="C434" i="8"/>
  <c r="D434" i="8"/>
  <c r="C435" i="8"/>
  <c r="E435" i="8" s="1"/>
  <c r="D435" i="8"/>
  <c r="C436" i="8"/>
  <c r="D436" i="8"/>
  <c r="E436" i="8"/>
  <c r="C437" i="8"/>
  <c r="E437" i="8" s="1"/>
  <c r="D437" i="8"/>
  <c r="C438" i="8"/>
  <c r="D438" i="8"/>
  <c r="E438" i="8"/>
  <c r="C439" i="8"/>
  <c r="D439" i="8"/>
  <c r="E439" i="8"/>
  <c r="C440" i="8"/>
  <c r="D440" i="8"/>
  <c r="E440" i="8" s="1"/>
  <c r="C441" i="8"/>
  <c r="E441" i="8" s="1"/>
  <c r="D441" i="8"/>
  <c r="C442" i="8"/>
  <c r="D442" i="8"/>
  <c r="C443" i="8"/>
  <c r="E443" i="8" s="1"/>
  <c r="D443" i="8"/>
  <c r="C444" i="8"/>
  <c r="D444" i="8"/>
  <c r="E444" i="8"/>
  <c r="C445" i="8"/>
  <c r="E445" i="8" s="1"/>
  <c r="D445" i="8"/>
  <c r="C446" i="8"/>
  <c r="D446" i="8"/>
  <c r="E446" i="8"/>
  <c r="C447" i="8"/>
  <c r="D447" i="8"/>
  <c r="E447" i="8"/>
  <c r="C448" i="8"/>
  <c r="D448" i="8"/>
  <c r="E448" i="8" s="1"/>
  <c r="C449" i="8"/>
  <c r="E449" i="8" s="1"/>
  <c r="D449" i="8"/>
  <c r="C450" i="8"/>
  <c r="E450" i="8" s="1"/>
  <c r="D450" i="8"/>
  <c r="C451" i="8"/>
  <c r="E451" i="8" s="1"/>
  <c r="D451" i="8"/>
  <c r="C452" i="8"/>
  <c r="D452" i="8"/>
  <c r="E452" i="8"/>
  <c r="C453" i="8"/>
  <c r="E453" i="8" s="1"/>
  <c r="D453" i="8"/>
  <c r="C454" i="8"/>
  <c r="D454" i="8"/>
  <c r="E454" i="8"/>
  <c r="C455" i="8"/>
  <c r="D455" i="8"/>
  <c r="E455" i="8"/>
  <c r="C456" i="8"/>
  <c r="D456" i="8"/>
  <c r="E456" i="8" s="1"/>
  <c r="C457" i="8"/>
  <c r="E457" i="8" s="1"/>
  <c r="D457" i="8"/>
  <c r="C458" i="8"/>
  <c r="D458" i="8"/>
  <c r="C459" i="8"/>
  <c r="E459" i="8" s="1"/>
  <c r="D459" i="8"/>
  <c r="C460" i="8"/>
  <c r="D460" i="8"/>
  <c r="E460" i="8"/>
  <c r="C461" i="8"/>
  <c r="E461" i="8" s="1"/>
  <c r="D461" i="8"/>
  <c r="C462" i="8"/>
  <c r="D462" i="8"/>
  <c r="E462" i="8"/>
  <c r="C463" i="8"/>
  <c r="D463" i="8"/>
  <c r="E463" i="8"/>
  <c r="C464" i="8"/>
  <c r="D464" i="8"/>
  <c r="E464" i="8" s="1"/>
  <c r="C465" i="8"/>
  <c r="E465" i="8" s="1"/>
  <c r="D465" i="8"/>
  <c r="C466" i="8"/>
  <c r="D466" i="8"/>
  <c r="C467" i="8"/>
  <c r="E467" i="8" s="1"/>
  <c r="D467" i="8"/>
  <c r="C468" i="8"/>
  <c r="D468" i="8"/>
  <c r="E468" i="8"/>
  <c r="C469" i="8"/>
  <c r="E469" i="8" s="1"/>
  <c r="D469" i="8"/>
  <c r="C470" i="8"/>
  <c r="D470" i="8"/>
  <c r="E470" i="8"/>
  <c r="C471" i="8"/>
  <c r="D471" i="8"/>
  <c r="E471" i="8"/>
  <c r="C472" i="8"/>
  <c r="D472" i="8"/>
  <c r="E472" i="8" s="1"/>
  <c r="C473" i="8"/>
  <c r="E473" i="8" s="1"/>
  <c r="D473" i="8"/>
  <c r="C474" i="8"/>
  <c r="E474" i="8" s="1"/>
  <c r="D474" i="8"/>
  <c r="C475" i="8"/>
  <c r="E475" i="8" s="1"/>
  <c r="D475" i="8"/>
  <c r="C476" i="8"/>
  <c r="D476" i="8"/>
  <c r="E476" i="8"/>
  <c r="C477" i="8"/>
  <c r="E477" i="8" s="1"/>
  <c r="D477" i="8"/>
  <c r="C478" i="8"/>
  <c r="D478" i="8"/>
  <c r="E478" i="8"/>
  <c r="C479" i="8"/>
  <c r="D479" i="8"/>
  <c r="E479" i="8"/>
  <c r="C480" i="8"/>
  <c r="D480" i="8"/>
  <c r="E480" i="8" s="1"/>
  <c r="C481" i="8"/>
  <c r="E481" i="8" s="1"/>
  <c r="D481" i="8"/>
  <c r="C482" i="8"/>
  <c r="E482" i="8" s="1"/>
  <c r="D482" i="8"/>
  <c r="C483" i="8"/>
  <c r="E483" i="8" s="1"/>
  <c r="D483" i="8"/>
  <c r="C484" i="8"/>
  <c r="D484" i="8"/>
  <c r="E484" i="8"/>
  <c r="C485" i="8"/>
  <c r="E485" i="8" s="1"/>
  <c r="D485" i="8"/>
  <c r="C486" i="8"/>
  <c r="D486" i="8"/>
  <c r="E486" i="8"/>
  <c r="C487" i="8"/>
  <c r="D487" i="8"/>
  <c r="E487" i="8"/>
  <c r="C488" i="8"/>
  <c r="D488" i="8"/>
  <c r="E488" i="8" s="1"/>
  <c r="C489" i="8"/>
  <c r="E489" i="8" s="1"/>
  <c r="D489" i="8"/>
  <c r="C490" i="8"/>
  <c r="D490" i="8"/>
  <c r="C491" i="8"/>
  <c r="E491" i="8" s="1"/>
  <c r="D491" i="8"/>
  <c r="C492" i="8"/>
  <c r="D492" i="8"/>
  <c r="E492" i="8"/>
  <c r="C493" i="8"/>
  <c r="E493" i="8" s="1"/>
  <c r="D493" i="8"/>
  <c r="C494" i="8"/>
  <c r="D494" i="8"/>
  <c r="E494" i="8"/>
  <c r="C495" i="8"/>
  <c r="D495" i="8"/>
  <c r="E495" i="8"/>
  <c r="C496" i="8"/>
  <c r="D496" i="8"/>
  <c r="E496" i="8" s="1"/>
  <c r="C497" i="8"/>
  <c r="E497" i="8" s="1"/>
  <c r="D497" i="8"/>
  <c r="C498" i="8"/>
  <c r="D498" i="8"/>
  <c r="C499" i="8"/>
  <c r="E499" i="8" s="1"/>
  <c r="D499" i="8"/>
  <c r="C500" i="8"/>
  <c r="D500" i="8"/>
  <c r="E500" i="8"/>
  <c r="C501" i="8"/>
  <c r="E501" i="8" s="1"/>
  <c r="D501" i="8"/>
  <c r="C502" i="8"/>
  <c r="D502" i="8"/>
  <c r="E502" i="8"/>
  <c r="C503" i="8"/>
  <c r="D503" i="8"/>
  <c r="E503" i="8"/>
  <c r="C504" i="8"/>
  <c r="D504" i="8"/>
  <c r="E504" i="8" s="1"/>
  <c r="C505" i="8"/>
  <c r="E505" i="8" s="1"/>
  <c r="D505" i="8"/>
  <c r="C506" i="8"/>
  <c r="E506" i="8" s="1"/>
  <c r="D506" i="8"/>
  <c r="C507" i="8"/>
  <c r="E507" i="8" s="1"/>
  <c r="D507" i="8"/>
  <c r="C508" i="8"/>
  <c r="D508" i="8"/>
  <c r="E508" i="8"/>
  <c r="C509" i="8"/>
  <c r="E509" i="8" s="1"/>
  <c r="D509" i="8"/>
  <c r="C510" i="8"/>
  <c r="D510" i="8"/>
  <c r="E510" i="8"/>
  <c r="C511" i="8"/>
  <c r="D511" i="8"/>
  <c r="E511" i="8"/>
  <c r="C512" i="8"/>
  <c r="D512" i="8"/>
  <c r="E512" i="8" s="1"/>
  <c r="C513" i="8"/>
  <c r="E513" i="8" s="1"/>
  <c r="D513" i="8"/>
  <c r="C514" i="8"/>
  <c r="E514" i="8" s="1"/>
  <c r="D514" i="8"/>
  <c r="C515" i="8"/>
  <c r="E515" i="8" s="1"/>
  <c r="D515" i="8"/>
  <c r="C516" i="8"/>
  <c r="D516" i="8"/>
  <c r="E516" i="8"/>
  <c r="C517" i="8"/>
  <c r="E517" i="8" s="1"/>
  <c r="D517" i="8"/>
  <c r="C518" i="8"/>
  <c r="D518" i="8"/>
  <c r="E518" i="8"/>
  <c r="C519" i="8"/>
  <c r="D519" i="8"/>
  <c r="E519" i="8"/>
  <c r="C520" i="8"/>
  <c r="D520" i="8"/>
  <c r="E520" i="8" s="1"/>
  <c r="C521" i="8"/>
  <c r="D521" i="8"/>
  <c r="C522" i="8"/>
  <c r="D522" i="8"/>
  <c r="C523" i="8"/>
  <c r="E523" i="8" s="1"/>
  <c r="D523" i="8"/>
  <c r="C524" i="8"/>
  <c r="E524" i="8" s="1"/>
  <c r="D524" i="8"/>
  <c r="C525" i="8"/>
  <c r="E525" i="8" s="1"/>
  <c r="D525" i="8"/>
  <c r="C526" i="8"/>
  <c r="D526" i="8"/>
  <c r="E526" i="8"/>
  <c r="C527" i="8"/>
  <c r="D527" i="8"/>
  <c r="E527" i="8"/>
  <c r="C528" i="8"/>
  <c r="D528" i="8"/>
  <c r="E528" i="8" s="1"/>
  <c r="C529" i="8"/>
  <c r="D529" i="8"/>
  <c r="C530" i="8"/>
  <c r="E530" i="8" s="1"/>
  <c r="D530" i="8"/>
  <c r="C531" i="8"/>
  <c r="E531" i="8" s="1"/>
  <c r="D531" i="8"/>
  <c r="C532" i="8"/>
  <c r="D532" i="8"/>
  <c r="E532" i="8"/>
  <c r="C533" i="8"/>
  <c r="E533" i="8" s="1"/>
  <c r="D533" i="8"/>
  <c r="C534" i="8"/>
  <c r="E534" i="8" s="1"/>
  <c r="D534" i="8"/>
  <c r="C535" i="8"/>
  <c r="D535" i="8"/>
  <c r="E535" i="8"/>
  <c r="C536" i="8"/>
  <c r="D536" i="8"/>
  <c r="E536" i="8"/>
  <c r="C537" i="8"/>
  <c r="E537" i="8" s="1"/>
  <c r="D537" i="8"/>
  <c r="C538" i="8"/>
  <c r="D538" i="8"/>
  <c r="C539" i="8"/>
  <c r="E539" i="8" s="1"/>
  <c r="D539" i="8"/>
  <c r="C540" i="8"/>
  <c r="E540" i="8" s="1"/>
  <c r="D540" i="8"/>
  <c r="C541" i="8"/>
  <c r="D541" i="8"/>
  <c r="E541" i="8"/>
  <c r="C542" i="8"/>
  <c r="E542" i="8" s="1"/>
  <c r="D542" i="8"/>
  <c r="C543" i="8"/>
  <c r="D543" i="8"/>
  <c r="E543" i="8"/>
  <c r="C544" i="8"/>
  <c r="D544" i="8"/>
  <c r="E544" i="8" s="1"/>
  <c r="C545" i="8"/>
  <c r="D545" i="8"/>
  <c r="C546" i="8"/>
  <c r="E546" i="8" s="1"/>
  <c r="D546" i="8"/>
  <c r="C547" i="8"/>
  <c r="D547" i="8"/>
  <c r="E547" i="8"/>
  <c r="C548" i="8"/>
  <c r="E548" i="8" s="1"/>
  <c r="D548" i="8"/>
  <c r="C549" i="8"/>
  <c r="E549" i="8" s="1"/>
  <c r="D549" i="8"/>
  <c r="C550" i="8"/>
  <c r="E550" i="8" s="1"/>
  <c r="D550" i="8"/>
  <c r="C551" i="8"/>
  <c r="D551" i="8"/>
  <c r="E551" i="8" s="1"/>
  <c r="C552" i="8"/>
  <c r="D552" i="8"/>
  <c r="E552" i="8"/>
  <c r="C553" i="8"/>
  <c r="E553" i="8" s="1"/>
  <c r="D553" i="8"/>
  <c r="C554" i="8"/>
  <c r="D554" i="8"/>
  <c r="E554" i="8" s="1"/>
  <c r="C555" i="8"/>
  <c r="D555" i="8"/>
  <c r="E555" i="8"/>
  <c r="C556" i="8"/>
  <c r="E556" i="8" s="1"/>
  <c r="D556" i="8"/>
  <c r="C557" i="8"/>
  <c r="E557" i="8" s="1"/>
  <c r="D557" i="8"/>
  <c r="C558" i="8"/>
  <c r="D558" i="8"/>
  <c r="E558" i="8"/>
  <c r="C559" i="8"/>
  <c r="D559" i="8"/>
  <c r="E559" i="8"/>
  <c r="C560" i="8"/>
  <c r="E560" i="8" s="1"/>
  <c r="D560" i="8"/>
  <c r="C561" i="8"/>
  <c r="D561" i="8"/>
  <c r="C562" i="8"/>
  <c r="E562" i="8" s="1"/>
  <c r="D562" i="8"/>
  <c r="C563" i="8"/>
  <c r="E563" i="8" s="1"/>
  <c r="D563" i="8"/>
  <c r="C564" i="8"/>
  <c r="E564" i="8" s="1"/>
  <c r="D564" i="8"/>
  <c r="C565" i="8"/>
  <c r="D565" i="8"/>
  <c r="E565" i="8" s="1"/>
  <c r="C566" i="8"/>
  <c r="D566" i="8"/>
  <c r="E566" i="8"/>
  <c r="C567" i="8"/>
  <c r="D567" i="8"/>
  <c r="E567" i="8" s="1"/>
  <c r="C568" i="8"/>
  <c r="E568" i="8" s="1"/>
  <c r="D568" i="8"/>
  <c r="C569" i="8"/>
  <c r="D569" i="8"/>
  <c r="C570" i="8"/>
  <c r="E570" i="8" s="1"/>
  <c r="D570" i="8"/>
  <c r="C571" i="8"/>
  <c r="E571" i="8" s="1"/>
  <c r="D571" i="8"/>
  <c r="C572" i="8"/>
  <c r="D572" i="8"/>
  <c r="E572" i="8"/>
  <c r="C573" i="8"/>
  <c r="E573" i="8" s="1"/>
  <c r="D573" i="8"/>
  <c r="C574" i="8"/>
  <c r="E574" i="8" s="1"/>
  <c r="D574" i="8"/>
  <c r="C575" i="8"/>
  <c r="D575" i="8"/>
  <c r="E575" i="8" s="1"/>
  <c r="C576" i="8"/>
  <c r="D576" i="8"/>
  <c r="E576" i="8" s="1"/>
  <c r="C577" i="8"/>
  <c r="D577" i="8"/>
  <c r="C578" i="8"/>
  <c r="E578" i="8" s="1"/>
  <c r="D578" i="8"/>
  <c r="C579" i="8"/>
  <c r="D579" i="8"/>
  <c r="E579" i="8" s="1"/>
  <c r="C580" i="8"/>
  <c r="D580" i="8"/>
  <c r="E580" i="8"/>
  <c r="C581" i="8"/>
  <c r="E581" i="8" s="1"/>
  <c r="D581" i="8"/>
  <c r="C582" i="8"/>
  <c r="E582" i="8" s="1"/>
  <c r="D582" i="8"/>
  <c r="C583" i="8"/>
  <c r="D583" i="8"/>
  <c r="E583" i="8"/>
  <c r="C584" i="8"/>
  <c r="D584" i="8"/>
  <c r="E584" i="8"/>
  <c r="C585" i="8"/>
  <c r="E585" i="8" s="1"/>
  <c r="D585" i="8"/>
  <c r="C586" i="8"/>
  <c r="D586" i="8"/>
  <c r="E586" i="8"/>
  <c r="C587" i="8"/>
  <c r="E587" i="8" s="1"/>
  <c r="D587" i="8"/>
  <c r="C588" i="8"/>
  <c r="E588" i="8" s="1"/>
  <c r="D588" i="8"/>
  <c r="C589" i="8"/>
  <c r="E589" i="8" s="1"/>
  <c r="D589" i="8"/>
  <c r="C590" i="8"/>
  <c r="D590" i="8"/>
  <c r="E590" i="8" s="1"/>
  <c r="C591" i="8"/>
  <c r="D591" i="8"/>
  <c r="E591" i="8"/>
  <c r="C592" i="8"/>
  <c r="E592" i="8" s="1"/>
  <c r="D592" i="8"/>
  <c r="C593" i="8"/>
  <c r="E593" i="8" s="1"/>
  <c r="D593" i="8"/>
  <c r="C594" i="8"/>
  <c r="D594" i="8"/>
  <c r="E594" i="8"/>
  <c r="C595" i="8"/>
  <c r="E595" i="8" s="1"/>
  <c r="D595" i="8"/>
  <c r="C596" i="8"/>
  <c r="E596" i="8" s="1"/>
  <c r="D596" i="8"/>
  <c r="C597" i="8"/>
  <c r="D597" i="8"/>
  <c r="E597" i="8"/>
  <c r="C598" i="8"/>
  <c r="E598" i="8" s="1"/>
  <c r="D598" i="8"/>
  <c r="C599" i="8"/>
  <c r="D599" i="8"/>
  <c r="E599" i="8"/>
  <c r="C600" i="8"/>
  <c r="E600" i="8" s="1"/>
  <c r="D600" i="8"/>
  <c r="C601" i="8"/>
  <c r="D601" i="8"/>
  <c r="C602" i="8"/>
  <c r="E602" i="8" s="1"/>
  <c r="D602" i="8"/>
  <c r="C603" i="8"/>
  <c r="E603" i="8" s="1"/>
  <c r="D603" i="8"/>
  <c r="C604" i="8"/>
  <c r="D604" i="8"/>
  <c r="E604" i="8"/>
  <c r="C605" i="8"/>
  <c r="D605" i="8"/>
  <c r="E605" i="8"/>
  <c r="C606" i="8"/>
  <c r="E606" i="8" s="1"/>
  <c r="D606" i="8"/>
  <c r="C607" i="8"/>
  <c r="D607" i="8"/>
  <c r="E607" i="8" s="1"/>
  <c r="C608" i="8"/>
  <c r="D608" i="8"/>
  <c r="E608" i="8"/>
  <c r="C609" i="8"/>
  <c r="E609" i="8" s="1"/>
  <c r="D609" i="8"/>
  <c r="C610" i="8"/>
  <c r="E610" i="8" s="1"/>
  <c r="D610" i="8"/>
  <c r="C611" i="8"/>
  <c r="D611" i="8"/>
  <c r="E611" i="8"/>
  <c r="C612" i="8"/>
  <c r="E612" i="8" s="1"/>
  <c r="D612" i="8"/>
  <c r="C613" i="8"/>
  <c r="E613" i="8" s="1"/>
  <c r="D613" i="8"/>
  <c r="C614" i="8"/>
  <c r="E614" i="8" s="1"/>
  <c r="D614" i="8"/>
  <c r="C615" i="8"/>
  <c r="D615" i="8"/>
  <c r="E615" i="8" s="1"/>
  <c r="C616" i="8"/>
  <c r="D616" i="8"/>
  <c r="E616" i="8"/>
  <c r="C617" i="8"/>
  <c r="E617" i="8" s="1"/>
  <c r="D617" i="8"/>
  <c r="C618" i="8"/>
  <c r="D618" i="8"/>
  <c r="E618" i="8" s="1"/>
  <c r="C619" i="8"/>
  <c r="D619" i="8"/>
  <c r="E619" i="8"/>
  <c r="C620" i="8"/>
  <c r="E620" i="8" s="1"/>
  <c r="D620" i="8"/>
  <c r="C621" i="8"/>
  <c r="E621" i="8" s="1"/>
  <c r="D621" i="8"/>
  <c r="C622" i="8"/>
  <c r="D622" i="8"/>
  <c r="E622" i="8"/>
  <c r="C623" i="8"/>
  <c r="D623" i="8"/>
  <c r="E623" i="8"/>
  <c r="C624" i="8"/>
  <c r="E624" i="8" s="1"/>
  <c r="D624" i="8"/>
  <c r="C625" i="8"/>
  <c r="D625" i="8"/>
  <c r="C626" i="8"/>
  <c r="E626" i="8" s="1"/>
  <c r="D626" i="8"/>
  <c r="C627" i="8"/>
  <c r="E627" i="8" s="1"/>
  <c r="D627" i="8"/>
  <c r="C628" i="8"/>
  <c r="E628" i="8" s="1"/>
  <c r="D628" i="8"/>
  <c r="C629" i="8"/>
  <c r="D629" i="8"/>
  <c r="E629" i="8" s="1"/>
  <c r="C630" i="8"/>
  <c r="D630" i="8"/>
  <c r="E630" i="8"/>
  <c r="C631" i="8"/>
  <c r="D631" i="8"/>
  <c r="E631" i="8" s="1"/>
  <c r="C632" i="8"/>
  <c r="E632" i="8" s="1"/>
  <c r="D632" i="8"/>
  <c r="C633" i="8"/>
  <c r="D633" i="8"/>
  <c r="C634" i="8"/>
  <c r="E634" i="8" s="1"/>
  <c r="D634" i="8"/>
  <c r="C635" i="8"/>
  <c r="E635" i="8" s="1"/>
  <c r="D635" i="8"/>
  <c r="C636" i="8"/>
  <c r="D636" i="8"/>
  <c r="E636" i="8"/>
  <c r="C637" i="8"/>
  <c r="E637" i="8" s="1"/>
  <c r="D637" i="8"/>
  <c r="C638" i="8"/>
  <c r="E638" i="8" s="1"/>
  <c r="D638" i="8"/>
  <c r="C639" i="8"/>
  <c r="D639" i="8"/>
  <c r="E639" i="8" s="1"/>
  <c r="C640" i="8"/>
  <c r="D640" i="8"/>
  <c r="E640" i="8" s="1"/>
  <c r="C641" i="8"/>
  <c r="D641" i="8"/>
  <c r="C642" i="8"/>
  <c r="E642" i="8" s="1"/>
  <c r="D642" i="8"/>
  <c r="C643" i="8"/>
  <c r="D643" i="8"/>
  <c r="E643" i="8" s="1"/>
  <c r="C644" i="8"/>
  <c r="D644" i="8"/>
  <c r="E644" i="8"/>
  <c r="C645" i="8"/>
  <c r="E645" i="8" s="1"/>
  <c r="D645" i="8"/>
  <c r="C646" i="8"/>
  <c r="E646" i="8" s="1"/>
  <c r="D646" i="8"/>
  <c r="C647" i="8"/>
  <c r="D647" i="8"/>
  <c r="E647" i="8"/>
  <c r="C648" i="8"/>
  <c r="E648" i="8" s="1"/>
  <c r="D648" i="8"/>
  <c r="C649" i="8"/>
  <c r="E649" i="8" s="1"/>
  <c r="D649" i="8"/>
  <c r="C650" i="8"/>
  <c r="D650" i="8"/>
  <c r="E650" i="8"/>
  <c r="C651" i="8"/>
  <c r="E651" i="8" s="1"/>
  <c r="D651" i="8"/>
  <c r="C652" i="8"/>
  <c r="E652" i="8" s="1"/>
  <c r="D652" i="8"/>
  <c r="C653" i="8"/>
  <c r="E653" i="8" s="1"/>
  <c r="D653" i="8"/>
  <c r="C654" i="8"/>
  <c r="D654" i="8"/>
  <c r="E654" i="8" s="1"/>
  <c r="C655" i="8"/>
  <c r="D655" i="8"/>
  <c r="E655" i="8"/>
  <c r="C656" i="8"/>
  <c r="E656" i="8" s="1"/>
  <c r="D656" i="8"/>
  <c r="C657" i="8"/>
  <c r="E657" i="8" s="1"/>
  <c r="D657" i="8"/>
  <c r="C658" i="8"/>
  <c r="D658" i="8"/>
  <c r="E658" i="8"/>
  <c r="C659" i="8"/>
  <c r="E659" i="8" s="1"/>
  <c r="D659" i="8"/>
  <c r="C660" i="8"/>
  <c r="E660" i="8" s="1"/>
  <c r="D660" i="8"/>
  <c r="C661" i="8"/>
  <c r="D661" i="8"/>
  <c r="E661" i="8"/>
  <c r="C662" i="8"/>
  <c r="E662" i="8" s="1"/>
  <c r="D662" i="8"/>
  <c r="C663" i="8"/>
  <c r="D663" i="8"/>
  <c r="E663" i="8"/>
  <c r="C664" i="8"/>
  <c r="D664" i="8"/>
  <c r="E664" i="8" s="1"/>
  <c r="C665" i="8"/>
  <c r="D665" i="8"/>
  <c r="C666" i="8"/>
  <c r="E666" i="8" s="1"/>
  <c r="D666" i="8"/>
  <c r="C667" i="8"/>
  <c r="E667" i="8" s="1"/>
  <c r="D667" i="8"/>
  <c r="C668" i="8"/>
  <c r="D668" i="8"/>
  <c r="E668" i="8"/>
  <c r="C669" i="8"/>
  <c r="D669" i="8"/>
  <c r="E669" i="8"/>
  <c r="C670" i="8"/>
  <c r="E670" i="8" s="1"/>
  <c r="D670" i="8"/>
  <c r="C671" i="8"/>
  <c r="D671" i="8"/>
  <c r="E671" i="8" s="1"/>
  <c r="C672" i="8"/>
  <c r="D672" i="8"/>
  <c r="E672" i="8"/>
  <c r="C673" i="8"/>
  <c r="E673" i="8" s="1"/>
  <c r="D673" i="8"/>
  <c r="C674" i="8"/>
  <c r="E674" i="8" s="1"/>
  <c r="D674" i="8"/>
  <c r="C675" i="8"/>
  <c r="D675" i="8"/>
  <c r="E675" i="8"/>
  <c r="C676" i="8"/>
  <c r="E676" i="8" s="1"/>
  <c r="D676" i="8"/>
  <c r="C677" i="8"/>
  <c r="E677" i="8" s="1"/>
  <c r="D677" i="8"/>
  <c r="C678" i="8"/>
  <c r="E678" i="8" s="1"/>
  <c r="D678" i="8"/>
  <c r="C679" i="8"/>
  <c r="D679" i="8"/>
  <c r="E679" i="8" s="1"/>
  <c r="C680" i="8"/>
  <c r="D680" i="8"/>
  <c r="E680" i="8"/>
  <c r="C681" i="8"/>
  <c r="E681" i="8" s="1"/>
  <c r="D681" i="8"/>
  <c r="C682" i="8"/>
  <c r="D682" i="8"/>
  <c r="E682" i="8" s="1"/>
  <c r="C683" i="8"/>
  <c r="D683" i="8"/>
  <c r="E683" i="8"/>
  <c r="C684" i="8"/>
  <c r="E684" i="8" s="1"/>
  <c r="D684" i="8"/>
  <c r="C685" i="8"/>
  <c r="E685" i="8" s="1"/>
  <c r="D685" i="8"/>
  <c r="C686" i="8"/>
  <c r="D686" i="8"/>
  <c r="E686" i="8"/>
  <c r="C687" i="8"/>
  <c r="D687" i="8"/>
  <c r="E687" i="8"/>
  <c r="C688" i="8"/>
  <c r="E688" i="8" s="1"/>
  <c r="D688" i="8"/>
  <c r="C689" i="8"/>
  <c r="D689" i="8"/>
  <c r="C690" i="8"/>
  <c r="E690" i="8" s="1"/>
  <c r="D690" i="8"/>
  <c r="C691" i="8"/>
  <c r="E691" i="8" s="1"/>
  <c r="D691" i="8"/>
  <c r="C692" i="8"/>
  <c r="E692" i="8" s="1"/>
  <c r="D692" i="8"/>
  <c r="C693" i="8"/>
  <c r="D693" i="8"/>
  <c r="E693" i="8" s="1"/>
  <c r="C694" i="8"/>
  <c r="D694" i="8"/>
  <c r="E694" i="8"/>
  <c r="C695" i="8"/>
  <c r="D695" i="8"/>
  <c r="E695" i="8" s="1"/>
  <c r="C696" i="8"/>
  <c r="E696" i="8" s="1"/>
  <c r="D696" i="8"/>
  <c r="C697" i="8"/>
  <c r="D697" i="8"/>
  <c r="C698" i="8"/>
  <c r="E698" i="8" s="1"/>
  <c r="D698" i="8"/>
  <c r="C699" i="8"/>
  <c r="E699" i="8" s="1"/>
  <c r="D699" i="8"/>
  <c r="C700" i="8"/>
  <c r="D700" i="8"/>
  <c r="E700" i="8"/>
  <c r="C701" i="8"/>
  <c r="E701" i="8" s="1"/>
  <c r="D701" i="8"/>
  <c r="C702" i="8"/>
  <c r="E702" i="8" s="1"/>
  <c r="D702" i="8"/>
  <c r="C703" i="8"/>
  <c r="D703" i="8"/>
  <c r="E703" i="8" s="1"/>
  <c r="C704" i="8"/>
  <c r="D704" i="8"/>
  <c r="E704" i="8" s="1"/>
  <c r="C705" i="8"/>
  <c r="D705" i="8"/>
  <c r="C706" i="8"/>
  <c r="E706" i="8" s="1"/>
  <c r="D706" i="8"/>
  <c r="C707" i="8"/>
  <c r="D707" i="8"/>
  <c r="E707" i="8" s="1"/>
  <c r="C708" i="8"/>
  <c r="D708" i="8"/>
  <c r="E708" i="8"/>
  <c r="C709" i="8"/>
  <c r="E709" i="8" s="1"/>
  <c r="D709" i="8"/>
  <c r="C710" i="8"/>
  <c r="E710" i="8" s="1"/>
  <c r="D710" i="8"/>
  <c r="C711" i="8"/>
  <c r="D711" i="8"/>
  <c r="E711" i="8"/>
  <c r="C712" i="8"/>
  <c r="E712" i="8" s="1"/>
  <c r="D712" i="8"/>
  <c r="C713" i="8"/>
  <c r="E713" i="8" s="1"/>
  <c r="D713" i="8"/>
  <c r="C714" i="8"/>
  <c r="D714" i="8"/>
  <c r="E714" i="8"/>
  <c r="C715" i="8"/>
  <c r="E715" i="8" s="1"/>
  <c r="D715" i="8"/>
  <c r="C716" i="8"/>
  <c r="E716" i="8" s="1"/>
  <c r="D716" i="8"/>
  <c r="C717" i="8"/>
  <c r="E717" i="8" s="1"/>
  <c r="D717" i="8"/>
  <c r="C718" i="8"/>
  <c r="D718" i="8"/>
  <c r="E718" i="8" s="1"/>
  <c r="C719" i="8"/>
  <c r="D719" i="8"/>
  <c r="E719" i="8"/>
  <c r="C720" i="8"/>
  <c r="E720" i="8" s="1"/>
  <c r="D720" i="8"/>
  <c r="C721" i="8"/>
  <c r="E721" i="8" s="1"/>
  <c r="D721" i="8"/>
  <c r="C722" i="8"/>
  <c r="D722" i="8"/>
  <c r="E722" i="8"/>
  <c r="C723" i="8"/>
  <c r="E723" i="8" s="1"/>
  <c r="D723" i="8"/>
  <c r="C724" i="8"/>
  <c r="E724" i="8" s="1"/>
  <c r="D724" i="8"/>
  <c r="C725" i="8"/>
  <c r="D725" i="8"/>
  <c r="E725" i="8"/>
  <c r="C726" i="8"/>
  <c r="E726" i="8" s="1"/>
  <c r="D726" i="8"/>
  <c r="C727" i="8"/>
  <c r="D727" i="8"/>
  <c r="E727" i="8"/>
  <c r="C728" i="8"/>
  <c r="D728" i="8"/>
  <c r="E728" i="8" s="1"/>
  <c r="C729" i="8"/>
  <c r="D729" i="8"/>
  <c r="C730" i="8"/>
  <c r="E730" i="8" s="1"/>
  <c r="D730" i="8"/>
  <c r="C731" i="8"/>
  <c r="E731" i="8" s="1"/>
  <c r="D731" i="8"/>
  <c r="C732" i="8"/>
  <c r="D732" i="8"/>
  <c r="E732" i="8" s="1"/>
  <c r="C733" i="8"/>
  <c r="D733" i="8"/>
  <c r="E733" i="8"/>
  <c r="C734" i="8"/>
  <c r="E734" i="8" s="1"/>
  <c r="D734" i="8"/>
  <c r="C735" i="8"/>
  <c r="E735" i="8" s="1"/>
  <c r="D735" i="8"/>
  <c r="C736" i="8"/>
  <c r="D736" i="8"/>
  <c r="E736" i="8"/>
  <c r="C737" i="8"/>
  <c r="E737" i="8" s="1"/>
  <c r="D737" i="8"/>
  <c r="C738" i="8"/>
  <c r="E738" i="8" s="1"/>
  <c r="D738" i="8"/>
  <c r="C739" i="8"/>
  <c r="E739" i="8" s="1"/>
  <c r="D739" i="8"/>
  <c r="C740" i="8"/>
  <c r="D740" i="8"/>
  <c r="E740" i="8" s="1"/>
  <c r="C741" i="8"/>
  <c r="D741" i="8"/>
  <c r="E741" i="8"/>
  <c r="C742" i="8"/>
  <c r="E742" i="8" s="1"/>
  <c r="D742" i="8"/>
  <c r="C743" i="8"/>
  <c r="E743" i="8" s="1"/>
  <c r="D743" i="8"/>
  <c r="C744" i="8"/>
  <c r="D744" i="8"/>
  <c r="E744" i="8"/>
  <c r="C745" i="8"/>
  <c r="E745" i="8" s="1"/>
  <c r="D745" i="8"/>
  <c r="C746" i="8"/>
  <c r="E746" i="8" s="1"/>
  <c r="D746" i="8"/>
  <c r="C747" i="8"/>
  <c r="E747" i="8" s="1"/>
  <c r="D747" i="8"/>
  <c r="C748" i="8"/>
  <c r="D748" i="8"/>
  <c r="E748" i="8" s="1"/>
  <c r="C749" i="8"/>
  <c r="D749" i="8"/>
  <c r="E749" i="8"/>
  <c r="C750" i="8"/>
  <c r="E750" i="8" s="1"/>
  <c r="D750" i="8"/>
  <c r="C751" i="8"/>
  <c r="E751" i="8" s="1"/>
  <c r="D751" i="8"/>
  <c r="C752" i="8"/>
  <c r="D752" i="8"/>
  <c r="E752" i="8"/>
  <c r="C753" i="8"/>
  <c r="E753" i="8" s="1"/>
  <c r="D753" i="8"/>
  <c r="C754" i="8"/>
  <c r="E754" i="8" s="1"/>
  <c r="D754" i="8"/>
  <c r="C755" i="8"/>
  <c r="E755" i="8" s="1"/>
  <c r="D755" i="8"/>
  <c r="C756" i="8"/>
  <c r="D756" i="8"/>
  <c r="E756" i="8" s="1"/>
  <c r="C757" i="8"/>
  <c r="D757" i="8"/>
  <c r="E757" i="8"/>
  <c r="C758" i="8"/>
  <c r="E758" i="8" s="1"/>
  <c r="D758" i="8"/>
  <c r="C759" i="8"/>
  <c r="E759" i="8" s="1"/>
  <c r="D759" i="8"/>
  <c r="C760" i="8"/>
  <c r="D760" i="8"/>
  <c r="E760" i="8"/>
  <c r="C761" i="8"/>
  <c r="E761" i="8" s="1"/>
  <c r="D761" i="8"/>
  <c r="C762" i="8"/>
  <c r="E762" i="8" s="1"/>
  <c r="D762" i="8"/>
  <c r="C763" i="8"/>
  <c r="E763" i="8" s="1"/>
  <c r="D763" i="8"/>
  <c r="C764" i="8"/>
  <c r="D764" i="8"/>
  <c r="E764" i="8" s="1"/>
  <c r="C765" i="8"/>
  <c r="D765" i="8"/>
  <c r="E765" i="8"/>
  <c r="C766" i="8"/>
  <c r="E766" i="8" s="1"/>
  <c r="D766" i="8"/>
  <c r="C767" i="8"/>
  <c r="E767" i="8" s="1"/>
  <c r="D767" i="8"/>
  <c r="C768" i="8"/>
  <c r="D768" i="8"/>
  <c r="E768" i="8"/>
  <c r="C769" i="8"/>
  <c r="E769" i="8" s="1"/>
  <c r="D769" i="8"/>
  <c r="C770" i="8"/>
  <c r="E770" i="8" s="1"/>
  <c r="D770" i="8"/>
  <c r="C771" i="8"/>
  <c r="E771" i="8" s="1"/>
  <c r="D771" i="8"/>
  <c r="C772" i="8"/>
  <c r="D772" i="8"/>
  <c r="E772" i="8" s="1"/>
  <c r="C773" i="8"/>
  <c r="D773" i="8"/>
  <c r="E773" i="8"/>
  <c r="C774" i="8"/>
  <c r="E774" i="8" s="1"/>
  <c r="D774" i="8"/>
  <c r="C775" i="8"/>
  <c r="E775" i="8" s="1"/>
  <c r="D775" i="8"/>
  <c r="C776" i="8"/>
  <c r="D776" i="8"/>
  <c r="E776" i="8"/>
  <c r="C777" i="8"/>
  <c r="E777" i="8" s="1"/>
  <c r="D777" i="8"/>
  <c r="C778" i="8"/>
  <c r="E778" i="8" s="1"/>
  <c r="D778" i="8"/>
  <c r="C779" i="8"/>
  <c r="E779" i="8" s="1"/>
  <c r="D779" i="8"/>
  <c r="C780" i="8"/>
  <c r="D780" i="8"/>
  <c r="E780" i="8" s="1"/>
  <c r="C781" i="8"/>
  <c r="D781" i="8"/>
  <c r="E781" i="8"/>
  <c r="C782" i="8"/>
  <c r="E782" i="8" s="1"/>
  <c r="D782" i="8"/>
  <c r="C783" i="8"/>
  <c r="E783" i="8" s="1"/>
  <c r="D783" i="8"/>
  <c r="C784" i="8"/>
  <c r="D784" i="8"/>
  <c r="E784" i="8"/>
  <c r="C785" i="8"/>
  <c r="E785" i="8" s="1"/>
  <c r="D785" i="8"/>
  <c r="C786" i="8"/>
  <c r="E786" i="8" s="1"/>
  <c r="D786" i="8"/>
  <c r="C787" i="8"/>
  <c r="E787" i="8" s="1"/>
  <c r="D787" i="8"/>
  <c r="C788" i="8"/>
  <c r="D788" i="8"/>
  <c r="E788" i="8" s="1"/>
  <c r="C789" i="8"/>
  <c r="D789" i="8"/>
  <c r="E789" i="8"/>
  <c r="C790" i="8"/>
  <c r="E790" i="8" s="1"/>
  <c r="D790" i="8"/>
  <c r="C791" i="8"/>
  <c r="E791" i="8" s="1"/>
  <c r="D791" i="8"/>
  <c r="C792" i="8"/>
  <c r="D792" i="8"/>
  <c r="E792" i="8"/>
  <c r="C793" i="8"/>
  <c r="E793" i="8" s="1"/>
  <c r="D793" i="8"/>
  <c r="C794" i="8"/>
  <c r="E794" i="8" s="1"/>
  <c r="D794" i="8"/>
  <c r="C795" i="8"/>
  <c r="E795" i="8" s="1"/>
  <c r="D795" i="8"/>
  <c r="C796" i="8"/>
  <c r="D796" i="8"/>
  <c r="E796" i="8" s="1"/>
  <c r="C797" i="8"/>
  <c r="D797" i="8"/>
  <c r="E797" i="8"/>
  <c r="C798" i="8"/>
  <c r="E798" i="8" s="1"/>
  <c r="D798" i="8"/>
  <c r="C799" i="8"/>
  <c r="E799" i="8" s="1"/>
  <c r="D799" i="8"/>
  <c r="C800" i="8"/>
  <c r="D800" i="8"/>
  <c r="E800" i="8"/>
  <c r="C801" i="8"/>
  <c r="E801" i="8" s="1"/>
  <c r="D801" i="8"/>
  <c r="C802" i="8"/>
  <c r="E802" i="8" s="1"/>
  <c r="D802" i="8"/>
  <c r="C803" i="8"/>
  <c r="E803" i="8" s="1"/>
  <c r="D803" i="8"/>
  <c r="C804" i="8"/>
  <c r="D804" i="8"/>
  <c r="E804" i="8" s="1"/>
  <c r="C805" i="8"/>
  <c r="D805" i="8"/>
  <c r="E805" i="8"/>
  <c r="C806" i="8"/>
  <c r="E806" i="8" s="1"/>
  <c r="D806" i="8"/>
  <c r="C807" i="8"/>
  <c r="E807" i="8" s="1"/>
  <c r="D807" i="8"/>
  <c r="C808" i="8"/>
  <c r="D808" i="8"/>
  <c r="E808" i="8"/>
  <c r="C809" i="8"/>
  <c r="D809" i="8"/>
  <c r="E809" i="8"/>
  <c r="C810" i="8"/>
  <c r="E810" i="8" s="1"/>
  <c r="D810" i="8"/>
  <c r="C811" i="8"/>
  <c r="E811" i="8" s="1"/>
  <c r="D811" i="8"/>
  <c r="C812" i="8"/>
  <c r="D812" i="8"/>
  <c r="E812" i="8" s="1"/>
  <c r="C813" i="8"/>
  <c r="D813" i="8"/>
  <c r="E813" i="8"/>
  <c r="C814" i="8"/>
  <c r="E814" i="8" s="1"/>
  <c r="D814" i="8"/>
  <c r="C815" i="8"/>
  <c r="E815" i="8" s="1"/>
  <c r="D815" i="8"/>
  <c r="C816" i="8"/>
  <c r="D816" i="8"/>
  <c r="E816" i="8"/>
  <c r="C817" i="8"/>
  <c r="D817" i="8"/>
  <c r="E817" i="8"/>
  <c r="C818" i="8"/>
  <c r="E818" i="8" s="1"/>
  <c r="D818" i="8"/>
  <c r="C819" i="8"/>
  <c r="E819" i="8" s="1"/>
  <c r="D819" i="8"/>
  <c r="C820" i="8"/>
  <c r="D820" i="8"/>
  <c r="E820" i="8" s="1"/>
  <c r="C821" i="8"/>
  <c r="D821" i="8"/>
  <c r="E821" i="8"/>
  <c r="C822" i="8"/>
  <c r="E822" i="8" s="1"/>
  <c r="D822" i="8"/>
  <c r="C823" i="8"/>
  <c r="E823" i="8" s="1"/>
  <c r="D823" i="8"/>
  <c r="C824" i="8"/>
  <c r="D824" i="8"/>
  <c r="E824" i="8"/>
  <c r="C825" i="8"/>
  <c r="D825" i="8"/>
  <c r="E825" i="8"/>
  <c r="C826" i="8"/>
  <c r="E826" i="8" s="1"/>
  <c r="D826" i="8"/>
  <c r="C827" i="8"/>
  <c r="E827" i="8" s="1"/>
  <c r="D827" i="8"/>
  <c r="C828" i="8"/>
  <c r="D828" i="8"/>
  <c r="E828" i="8" s="1"/>
  <c r="C829" i="8"/>
  <c r="D829" i="8"/>
  <c r="E829" i="8"/>
  <c r="C830" i="8"/>
  <c r="E830" i="8" s="1"/>
  <c r="D830" i="8"/>
  <c r="C831" i="8"/>
  <c r="E831" i="8" s="1"/>
  <c r="D831" i="8"/>
  <c r="C832" i="8"/>
  <c r="D832" i="8"/>
  <c r="E832" i="8"/>
  <c r="C833" i="8"/>
  <c r="D833" i="8"/>
  <c r="E833" i="8"/>
  <c r="C834" i="8"/>
  <c r="E834" i="8" s="1"/>
  <c r="D834" i="8"/>
  <c r="C835" i="8"/>
  <c r="E835" i="8" s="1"/>
  <c r="D835" i="8"/>
  <c r="C836" i="8"/>
  <c r="D836" i="8"/>
  <c r="E836" i="8" s="1"/>
  <c r="C837" i="8"/>
  <c r="D837" i="8"/>
  <c r="E837" i="8"/>
  <c r="C838" i="8"/>
  <c r="E838" i="8" s="1"/>
  <c r="D838" i="8"/>
  <c r="C839" i="8"/>
  <c r="E839" i="8" s="1"/>
  <c r="D839" i="8"/>
  <c r="C840" i="8"/>
  <c r="D840" i="8"/>
  <c r="E840" i="8"/>
  <c r="C841" i="8"/>
  <c r="D841" i="8"/>
  <c r="E841" i="8"/>
  <c r="C842" i="8"/>
  <c r="E842" i="8" s="1"/>
  <c r="D842" i="8"/>
  <c r="C843" i="8"/>
  <c r="E843" i="8" s="1"/>
  <c r="D843" i="8"/>
  <c r="C844" i="8"/>
  <c r="D844" i="8"/>
  <c r="E844" i="8" s="1"/>
  <c r="C845" i="8"/>
  <c r="D845" i="8"/>
  <c r="E845" i="8"/>
  <c r="C846" i="8"/>
  <c r="E846" i="8" s="1"/>
  <c r="D846" i="8"/>
  <c r="C847" i="8"/>
  <c r="E847" i="8" s="1"/>
  <c r="D847" i="8"/>
  <c r="C848" i="8"/>
  <c r="D848" i="8"/>
  <c r="E848" i="8"/>
  <c r="C849" i="8"/>
  <c r="D849" i="8"/>
  <c r="E849" i="8"/>
  <c r="C850" i="8"/>
  <c r="E850" i="8" s="1"/>
  <c r="D850" i="8"/>
  <c r="C851" i="8"/>
  <c r="E851" i="8" s="1"/>
  <c r="D851" i="8"/>
  <c r="C852" i="8"/>
  <c r="D852" i="8"/>
  <c r="E852" i="8" s="1"/>
  <c r="C853" i="8"/>
  <c r="D853" i="8"/>
  <c r="E853" i="8"/>
  <c r="C854" i="8"/>
  <c r="E854" i="8" s="1"/>
  <c r="D854" i="8"/>
  <c r="C855" i="8"/>
  <c r="E855" i="8" s="1"/>
  <c r="D855" i="8"/>
  <c r="C856" i="8"/>
  <c r="D856" i="8"/>
  <c r="E856" i="8"/>
  <c r="C857" i="8"/>
  <c r="D857" i="8"/>
  <c r="E857" i="8"/>
  <c r="C858" i="8"/>
  <c r="E858" i="8" s="1"/>
  <c r="D858" i="8"/>
  <c r="C859" i="8"/>
  <c r="E859" i="8" s="1"/>
  <c r="D859" i="8"/>
  <c r="C860" i="8"/>
  <c r="D860" i="8"/>
  <c r="E860" i="8" s="1"/>
  <c r="C861" i="8"/>
  <c r="D861" i="8"/>
  <c r="E861" i="8"/>
  <c r="C862" i="8"/>
  <c r="E862" i="8" s="1"/>
  <c r="D862" i="8"/>
  <c r="C863" i="8"/>
  <c r="E863" i="8" s="1"/>
  <c r="D863" i="8"/>
  <c r="C864" i="8"/>
  <c r="D864" i="8"/>
  <c r="E864" i="8"/>
  <c r="C865" i="8"/>
  <c r="D865" i="8"/>
  <c r="E865" i="8"/>
  <c r="C866" i="8"/>
  <c r="E866" i="8" s="1"/>
  <c r="D866" i="8"/>
  <c r="C867" i="8"/>
  <c r="E867" i="8" s="1"/>
  <c r="D867" i="8"/>
  <c r="C868" i="8"/>
  <c r="D868" i="8"/>
  <c r="E868" i="8" s="1"/>
  <c r="C869" i="8"/>
  <c r="D869" i="8"/>
  <c r="E869" i="8"/>
  <c r="C870" i="8"/>
  <c r="E870" i="8" s="1"/>
  <c r="D870" i="8"/>
  <c r="C871" i="8"/>
  <c r="E871" i="8" s="1"/>
  <c r="D871" i="8"/>
  <c r="C872" i="8"/>
  <c r="D872" i="8"/>
  <c r="E872" i="8"/>
  <c r="C873" i="8"/>
  <c r="D873" i="8"/>
  <c r="E873" i="8"/>
  <c r="C874" i="8"/>
  <c r="E874" i="8" s="1"/>
  <c r="D874" i="8"/>
  <c r="C875" i="8"/>
  <c r="D875" i="8"/>
  <c r="E875" i="8" s="1"/>
  <c r="C876" i="8"/>
  <c r="D876" i="8"/>
  <c r="E876" i="8" s="1"/>
  <c r="C877" i="8"/>
  <c r="D877" i="8"/>
  <c r="E877" i="8"/>
  <c r="C878" i="8"/>
  <c r="E878" i="8" s="1"/>
  <c r="D878" i="8"/>
  <c r="C879" i="8"/>
  <c r="E879" i="8" s="1"/>
  <c r="D879" i="8"/>
  <c r="C880" i="8"/>
  <c r="D880" i="8"/>
  <c r="E880" i="8"/>
  <c r="C881" i="8"/>
  <c r="D881" i="8"/>
  <c r="E881" i="8"/>
  <c r="C882" i="8"/>
  <c r="E882" i="8" s="1"/>
  <c r="D882" i="8"/>
  <c r="C883" i="8"/>
  <c r="D883" i="8"/>
  <c r="E883" i="8" s="1"/>
  <c r="C884" i="8"/>
  <c r="D884" i="8"/>
  <c r="E884" i="8" s="1"/>
  <c r="C885" i="8"/>
  <c r="D885" i="8"/>
  <c r="E885" i="8"/>
  <c r="C886" i="8"/>
  <c r="E886" i="8" s="1"/>
  <c r="D886" i="8"/>
  <c r="C887" i="8"/>
  <c r="E887" i="8" s="1"/>
  <c r="D887" i="8"/>
  <c r="C888" i="8"/>
  <c r="D888" i="8"/>
  <c r="E888" i="8"/>
  <c r="C889" i="8"/>
  <c r="D889" i="8"/>
  <c r="E889" i="8"/>
  <c r="C890" i="8"/>
  <c r="E890" i="8" s="1"/>
  <c r="D890" i="8"/>
  <c r="C891" i="8"/>
  <c r="D891" i="8"/>
  <c r="E891" i="8" s="1"/>
  <c r="C892" i="8"/>
  <c r="D892" i="8"/>
  <c r="E892" i="8" s="1"/>
  <c r="C893" i="8"/>
  <c r="D893" i="8"/>
  <c r="E893" i="8"/>
  <c r="C894" i="8"/>
  <c r="E894" i="8" s="1"/>
  <c r="D894" i="8"/>
  <c r="C895" i="8"/>
  <c r="E895" i="8" s="1"/>
  <c r="D895" i="8"/>
  <c r="C896" i="8"/>
  <c r="D896" i="8"/>
  <c r="E896" i="8"/>
  <c r="C897" i="8"/>
  <c r="D897" i="8"/>
  <c r="E897" i="8"/>
  <c r="C898" i="8"/>
  <c r="E898" i="8" s="1"/>
  <c r="D898" i="8"/>
  <c r="C899" i="8"/>
  <c r="D899" i="8"/>
  <c r="E899" i="8" s="1"/>
  <c r="C900" i="8"/>
  <c r="D900" i="8"/>
  <c r="E900" i="8" s="1"/>
  <c r="C901" i="8"/>
  <c r="D901" i="8"/>
  <c r="E901" i="8"/>
  <c r="C902" i="8"/>
  <c r="E902" i="8" s="1"/>
  <c r="D902" i="8"/>
  <c r="C903" i="8"/>
  <c r="E903" i="8" s="1"/>
  <c r="D903" i="8"/>
  <c r="C904" i="8"/>
  <c r="D904" i="8"/>
  <c r="E904" i="8"/>
  <c r="C905" i="8"/>
  <c r="D905" i="8"/>
  <c r="E905" i="8"/>
  <c r="C906" i="8"/>
  <c r="E906" i="8" s="1"/>
  <c r="D906" i="8"/>
  <c r="C907" i="8"/>
  <c r="D907" i="8"/>
  <c r="E907" i="8" s="1"/>
  <c r="C908" i="8"/>
  <c r="D908" i="8"/>
  <c r="E908" i="8" s="1"/>
  <c r="C909" i="8"/>
  <c r="D909" i="8"/>
  <c r="E909" i="8"/>
  <c r="C910" i="8"/>
  <c r="E910" i="8" s="1"/>
  <c r="D910" i="8"/>
  <c r="C911" i="8"/>
  <c r="E911" i="8" s="1"/>
  <c r="D911" i="8"/>
  <c r="C912" i="8"/>
  <c r="D912" i="8"/>
  <c r="E912" i="8"/>
  <c r="C913" i="8"/>
  <c r="D913" i="8"/>
  <c r="E913" i="8"/>
  <c r="C914" i="8"/>
  <c r="E914" i="8" s="1"/>
  <c r="D914" i="8"/>
  <c r="C915" i="8"/>
  <c r="D915" i="8"/>
  <c r="E915" i="8" s="1"/>
  <c r="C916" i="8"/>
  <c r="D916" i="8"/>
  <c r="E916" i="8" s="1"/>
  <c r="C917" i="8"/>
  <c r="D917" i="8"/>
  <c r="E917" i="8"/>
  <c r="C918" i="8"/>
  <c r="E918" i="8" s="1"/>
  <c r="D918" i="8"/>
  <c r="C919" i="8"/>
  <c r="E919" i="8" s="1"/>
  <c r="D919" i="8"/>
  <c r="C920" i="8"/>
  <c r="D920" i="8"/>
  <c r="E920" i="8"/>
  <c r="C921" i="8"/>
  <c r="D921" i="8"/>
  <c r="E921" i="8"/>
  <c r="C922" i="8"/>
  <c r="E922" i="8" s="1"/>
  <c r="D922" i="8"/>
  <c r="C923" i="8"/>
  <c r="D923" i="8"/>
  <c r="E923" i="8" s="1"/>
  <c r="C924" i="8"/>
  <c r="D924" i="8"/>
  <c r="E924" i="8" s="1"/>
  <c r="C925" i="8"/>
  <c r="D925" i="8"/>
  <c r="E925" i="8"/>
  <c r="C926" i="8"/>
  <c r="E926" i="8" s="1"/>
  <c r="D926" i="8"/>
  <c r="C927" i="8"/>
  <c r="E927" i="8" s="1"/>
  <c r="D927" i="8"/>
  <c r="C928" i="8"/>
  <c r="D928" i="8"/>
  <c r="E928" i="8"/>
  <c r="C929" i="8"/>
  <c r="D929" i="8"/>
  <c r="E929" i="8"/>
  <c r="C930" i="8"/>
  <c r="E930" i="8" s="1"/>
  <c r="D930" i="8"/>
  <c r="C931" i="8"/>
  <c r="D931" i="8"/>
  <c r="E931" i="8" s="1"/>
  <c r="C932" i="8"/>
  <c r="D932" i="8"/>
  <c r="E932" i="8" s="1"/>
  <c r="C933" i="8"/>
  <c r="D933" i="8"/>
  <c r="E933" i="8"/>
  <c r="C934" i="8"/>
  <c r="E934" i="8" s="1"/>
  <c r="D934" i="8"/>
  <c r="C935" i="8"/>
  <c r="E935" i="8" s="1"/>
  <c r="D935" i="8"/>
  <c r="C936" i="8"/>
  <c r="D936" i="8"/>
  <c r="E936" i="8"/>
  <c r="C937" i="8"/>
  <c r="D937" i="8"/>
  <c r="E937" i="8"/>
  <c r="C938" i="8"/>
  <c r="E938" i="8" s="1"/>
  <c r="D938" i="8"/>
  <c r="C939" i="8"/>
  <c r="D939" i="8"/>
  <c r="E939" i="8" s="1"/>
  <c r="C940" i="8"/>
  <c r="D940" i="8"/>
  <c r="E940" i="8" s="1"/>
  <c r="C941" i="8"/>
  <c r="D941" i="8"/>
  <c r="E941" i="8"/>
  <c r="C942" i="8"/>
  <c r="E942" i="8" s="1"/>
  <c r="D942" i="8"/>
  <c r="C943" i="8"/>
  <c r="E943" i="8" s="1"/>
  <c r="D943" i="8"/>
  <c r="C944" i="8"/>
  <c r="D944" i="8"/>
  <c r="E944" i="8"/>
  <c r="C945" i="8"/>
  <c r="D945" i="8"/>
  <c r="E945" i="8"/>
  <c r="C946" i="8"/>
  <c r="E946" i="8" s="1"/>
  <c r="D946" i="8"/>
  <c r="C947" i="8"/>
  <c r="D947" i="8"/>
  <c r="E947" i="8" s="1"/>
  <c r="C948" i="8"/>
  <c r="D948" i="8"/>
  <c r="E948" i="8" s="1"/>
  <c r="C949" i="8"/>
  <c r="D949" i="8"/>
  <c r="E949" i="8"/>
  <c r="C950" i="8"/>
  <c r="E950" i="8" s="1"/>
  <c r="D950" i="8"/>
  <c r="C951" i="8"/>
  <c r="E951" i="8" s="1"/>
  <c r="D951" i="8"/>
  <c r="C952" i="8"/>
  <c r="D952" i="8"/>
  <c r="E952" i="8"/>
  <c r="C953" i="8"/>
  <c r="E953" i="8" s="1"/>
  <c r="D953" i="8"/>
  <c r="C954" i="8"/>
  <c r="E954" i="8" s="1"/>
  <c r="D954" i="8"/>
  <c r="C955" i="8"/>
  <c r="D955" i="8"/>
  <c r="E955" i="8" s="1"/>
  <c r="C956" i="8"/>
  <c r="D956" i="8"/>
  <c r="E956" i="8" s="1"/>
  <c r="C957" i="8"/>
  <c r="D957" i="8"/>
  <c r="E957" i="8"/>
  <c r="C958" i="8"/>
  <c r="E958" i="8" s="1"/>
  <c r="D958" i="8"/>
  <c r="C959" i="8"/>
  <c r="E959" i="8" s="1"/>
  <c r="D959" i="8"/>
  <c r="C960" i="8"/>
  <c r="D960" i="8"/>
  <c r="E960" i="8"/>
  <c r="C961" i="8"/>
  <c r="E961" i="8" s="1"/>
  <c r="D961" i="8"/>
  <c r="C962" i="8"/>
  <c r="E962" i="8" s="1"/>
  <c r="D962" i="8"/>
  <c r="C963" i="8"/>
  <c r="D963" i="8"/>
  <c r="E963" i="8" s="1"/>
  <c r="C964" i="8"/>
  <c r="D964" i="8"/>
  <c r="E964" i="8" s="1"/>
  <c r="C965" i="8"/>
  <c r="D965" i="8"/>
  <c r="E965" i="8"/>
  <c r="C966" i="8"/>
  <c r="E966" i="8" s="1"/>
  <c r="D966" i="8"/>
  <c r="C967" i="8"/>
  <c r="E967" i="8" s="1"/>
  <c r="D967" i="8"/>
  <c r="C968" i="8"/>
  <c r="D968" i="8"/>
  <c r="E968" i="8"/>
  <c r="C969" i="8"/>
  <c r="E969" i="8" s="1"/>
  <c r="D969" i="8"/>
  <c r="C970" i="8"/>
  <c r="E970" i="8" s="1"/>
  <c r="D970" i="8"/>
  <c r="C971" i="8"/>
  <c r="D971" i="8"/>
  <c r="E971" i="8" s="1"/>
  <c r="C972" i="8"/>
  <c r="D972" i="8"/>
  <c r="E972" i="8" s="1"/>
  <c r="C973" i="8"/>
  <c r="D973" i="8"/>
  <c r="E973" i="8"/>
  <c r="C974" i="8"/>
  <c r="E974" i="8" s="1"/>
  <c r="D974" i="8"/>
  <c r="C975" i="8"/>
  <c r="E975" i="8" s="1"/>
  <c r="D975" i="8"/>
  <c r="C976" i="8"/>
  <c r="D976" i="8"/>
  <c r="E976" i="8"/>
  <c r="C977" i="8"/>
  <c r="E977" i="8" s="1"/>
  <c r="D977" i="8"/>
  <c r="C978" i="8"/>
  <c r="E978" i="8" s="1"/>
  <c r="D978" i="8"/>
  <c r="C979" i="8"/>
  <c r="D979" i="8"/>
  <c r="E979" i="8" s="1"/>
  <c r="C980" i="8"/>
  <c r="D980" i="8"/>
  <c r="E980" i="8"/>
  <c r="C981" i="8"/>
  <c r="D981" i="8"/>
  <c r="E981" i="8"/>
  <c r="C982" i="8"/>
  <c r="E982" i="8" s="1"/>
  <c r="D982" i="8"/>
  <c r="C983" i="8"/>
  <c r="E983" i="8" s="1"/>
  <c r="D983" i="8"/>
  <c r="C984" i="8"/>
  <c r="D984" i="8"/>
  <c r="E984" i="8"/>
  <c r="C985" i="8"/>
  <c r="E985" i="8" s="1"/>
  <c r="D985" i="8"/>
  <c r="C986" i="8"/>
  <c r="E986" i="8" s="1"/>
  <c r="D986" i="8"/>
  <c r="C987" i="8"/>
  <c r="D987" i="8"/>
  <c r="E987" i="8" s="1"/>
  <c r="C988" i="8"/>
  <c r="D988" i="8"/>
  <c r="E988" i="8"/>
  <c r="C989" i="8"/>
  <c r="D989" i="8"/>
  <c r="E989" i="8"/>
  <c r="C990" i="8"/>
  <c r="E990" i="8" s="1"/>
  <c r="D990" i="8"/>
  <c r="C991" i="8"/>
  <c r="E991" i="8" s="1"/>
  <c r="D991" i="8"/>
  <c r="C992" i="8"/>
  <c r="D992" i="8"/>
  <c r="E992" i="8"/>
  <c r="C993" i="8"/>
  <c r="E993" i="8" s="1"/>
  <c r="D993" i="8"/>
  <c r="C994" i="8"/>
  <c r="E994" i="8" s="1"/>
  <c r="D994" i="8"/>
  <c r="C995" i="8"/>
  <c r="D995" i="8"/>
  <c r="E995" i="8" s="1"/>
  <c r="C996" i="8"/>
  <c r="D996" i="8"/>
  <c r="E996" i="8"/>
  <c r="C997" i="8"/>
  <c r="D997" i="8"/>
  <c r="E997" i="8"/>
  <c r="C998" i="8"/>
  <c r="E998" i="8" s="1"/>
  <c r="D998" i="8"/>
  <c r="C999" i="8"/>
  <c r="E999" i="8" s="1"/>
  <c r="D999" i="8"/>
  <c r="C1000" i="8"/>
  <c r="D1000" i="8"/>
  <c r="E1000" i="8"/>
  <c r="I137" i="8"/>
  <c r="I138" i="8"/>
  <c r="I139" i="8"/>
  <c r="I140" i="8"/>
  <c r="I141" i="8"/>
  <c r="L3" i="8" a="1"/>
  <c r="K29" i="7" a="1"/>
  <c r="F18" i="7"/>
  <c r="F21" i="7"/>
  <c r="F19" i="7"/>
  <c r="F22" i="7"/>
  <c r="F23" i="7"/>
  <c r="M22" i="7"/>
  <c r="L22" i="7"/>
  <c r="N21" i="7"/>
  <c r="P876" i="8" l="1"/>
  <c r="Q876" i="8" s="1"/>
  <c r="P517" i="8"/>
  <c r="Q517" i="8" s="1"/>
  <c r="P501" i="8"/>
  <c r="Q501" i="8" s="1"/>
  <c r="P485" i="8"/>
  <c r="Q485" i="8" s="1"/>
  <c r="P397" i="8"/>
  <c r="Q397" i="8" s="1"/>
  <c r="P368" i="8"/>
  <c r="Q368" i="8" s="1"/>
  <c r="P152" i="8"/>
  <c r="Q152" i="8" s="1"/>
  <c r="P136" i="8"/>
  <c r="Q136" i="8" s="1"/>
  <c r="P120" i="8"/>
  <c r="Q120" i="8" s="1"/>
  <c r="P421" i="8"/>
  <c r="Q421" i="8" s="1"/>
  <c r="P197" i="8"/>
  <c r="Q197" i="8" s="1"/>
  <c r="P178" i="8"/>
  <c r="Q178" i="8" s="1"/>
  <c r="P934" i="8"/>
  <c r="Q934" i="8" s="1"/>
  <c r="P843" i="8"/>
  <c r="Q843" i="8" s="1"/>
  <c r="P793" i="8"/>
  <c r="Q793" i="8" s="1"/>
  <c r="P764" i="8"/>
  <c r="Q764" i="8" s="1"/>
  <c r="P713" i="8"/>
  <c r="Q713" i="8" s="1"/>
  <c r="P527" i="8"/>
  <c r="Q527" i="8" s="1"/>
  <c r="P487" i="8"/>
  <c r="Q487" i="8" s="1"/>
  <c r="P258" i="8"/>
  <c r="Q258" i="8" s="1"/>
  <c r="P226" i="8"/>
  <c r="Q226" i="8" s="1"/>
  <c r="P162" i="8"/>
  <c r="Q162" i="8" s="1"/>
  <c r="P971" i="8"/>
  <c r="Q971" i="8" s="1"/>
  <c r="P963" i="8"/>
  <c r="Q963" i="8" s="1"/>
  <c r="P955" i="8"/>
  <c r="Q955" i="8" s="1"/>
  <c r="P939" i="8"/>
  <c r="Q939" i="8" s="1"/>
  <c r="P875" i="8"/>
  <c r="Q875" i="8" s="1"/>
  <c r="P761" i="8"/>
  <c r="Q761" i="8" s="1"/>
  <c r="P745" i="8"/>
  <c r="Q745" i="8" s="1"/>
  <c r="P681" i="8"/>
  <c r="Q681" i="8" s="1"/>
  <c r="P673" i="8"/>
  <c r="Q673" i="8" s="1"/>
  <c r="P665" i="8"/>
  <c r="Q665" i="8" s="1"/>
  <c r="P423" i="8"/>
  <c r="Q423" i="8" s="1"/>
  <c r="P407" i="8"/>
  <c r="Q407" i="8" s="1"/>
  <c r="P391" i="8"/>
  <c r="Q391" i="8" s="1"/>
  <c r="P383" i="8"/>
  <c r="Q383" i="8" s="1"/>
  <c r="P276" i="8"/>
  <c r="Q276" i="8" s="1"/>
  <c r="P917" i="8"/>
  <c r="Q917" i="8" s="1"/>
  <c r="P901" i="8"/>
  <c r="Q901" i="8" s="1"/>
  <c r="P893" i="8"/>
  <c r="Q893" i="8" s="1"/>
  <c r="P654" i="8"/>
  <c r="Q654" i="8" s="1"/>
  <c r="P507" i="8"/>
  <c r="Q507" i="8" s="1"/>
  <c r="P270" i="8"/>
  <c r="Q270" i="8" s="1"/>
  <c r="P246" i="8"/>
  <c r="Q246" i="8" s="1"/>
  <c r="P198" i="8"/>
  <c r="Q198" i="8" s="1"/>
  <c r="P845" i="8"/>
  <c r="Q845" i="8" s="1"/>
  <c r="P491" i="8"/>
  <c r="Q491" i="8" s="1"/>
  <c r="P443" i="8"/>
  <c r="Q443" i="8" s="1"/>
  <c r="P150" i="8"/>
  <c r="Q150" i="8" s="1"/>
  <c r="P991" i="8"/>
  <c r="Q991" i="8" s="1"/>
  <c r="P969" i="8"/>
  <c r="Q969" i="8" s="1"/>
  <c r="P797" i="8"/>
  <c r="Q797" i="8" s="1"/>
  <c r="P733" i="8"/>
  <c r="Q733" i="8" s="1"/>
  <c r="P717" i="8"/>
  <c r="Q717" i="8" s="1"/>
  <c r="P693" i="8"/>
  <c r="Q693" i="8" s="1"/>
  <c r="P504" i="8"/>
  <c r="Q504" i="8" s="1"/>
  <c r="P453" i="8"/>
  <c r="Q453" i="8" s="1"/>
  <c r="P427" i="8"/>
  <c r="Q427" i="8" s="1"/>
  <c r="P251" i="8"/>
  <c r="Q251" i="8" s="1"/>
  <c r="P243" i="8"/>
  <c r="Q243" i="8" s="1"/>
  <c r="P235" i="8"/>
  <c r="Q235" i="8" s="1"/>
  <c r="P219" i="8"/>
  <c r="Q219" i="8" s="1"/>
  <c r="P179" i="8"/>
  <c r="Q179" i="8" s="1"/>
  <c r="P171" i="8"/>
  <c r="Q171" i="8" s="1"/>
  <c r="P155" i="8"/>
  <c r="Q155" i="8" s="1"/>
  <c r="P115" i="8"/>
  <c r="Q115" i="8" s="1"/>
  <c r="P959" i="8"/>
  <c r="Q959" i="8" s="1"/>
  <c r="P909" i="8"/>
  <c r="Q909" i="8" s="1"/>
  <c r="P885" i="8"/>
  <c r="Q885" i="8" s="1"/>
  <c r="P857" i="8"/>
  <c r="Q857" i="8" s="1"/>
  <c r="P841" i="8"/>
  <c r="Q841" i="8" s="1"/>
  <c r="P792" i="8"/>
  <c r="Q792" i="8" s="1"/>
  <c r="P776" i="8"/>
  <c r="Q776" i="8" s="1"/>
  <c r="P469" i="8"/>
  <c r="Q469" i="8" s="1"/>
  <c r="P380" i="8"/>
  <c r="Q380" i="8" s="1"/>
  <c r="P377" i="8"/>
  <c r="Q377" i="8" s="1"/>
  <c r="P369" i="8"/>
  <c r="Q369" i="8" s="1"/>
  <c r="P361" i="8"/>
  <c r="Q361" i="8" s="1"/>
  <c r="P356" i="8"/>
  <c r="Q356" i="8" s="1"/>
  <c r="P289" i="8"/>
  <c r="Q289" i="8" s="1"/>
  <c r="P260" i="8"/>
  <c r="Q260" i="8" s="1"/>
  <c r="P210" i="8"/>
  <c r="Q210" i="8" s="1"/>
  <c r="P202" i="8"/>
  <c r="Q202" i="8" s="1"/>
  <c r="P194" i="8"/>
  <c r="Q194" i="8" s="1"/>
  <c r="P133" i="8"/>
  <c r="Q133" i="8" s="1"/>
  <c r="P401" i="8"/>
  <c r="Q401" i="8" s="1"/>
  <c r="P393" i="8"/>
  <c r="Q393" i="8" s="1"/>
  <c r="P385" i="8"/>
  <c r="Q385" i="8" s="1"/>
  <c r="P146" i="8"/>
  <c r="Q146" i="8" s="1"/>
  <c r="P138" i="8"/>
  <c r="Q138" i="8" s="1"/>
  <c r="P130" i="8"/>
  <c r="Q130" i="8" s="1"/>
  <c r="P998" i="8"/>
  <c r="Q998" i="8" s="1"/>
  <c r="P985" i="8"/>
  <c r="Q985" i="8" s="1"/>
  <c r="P927" i="8"/>
  <c r="Q927" i="8" s="1"/>
  <c r="P877" i="8"/>
  <c r="Q877" i="8" s="1"/>
  <c r="P807" i="8"/>
  <c r="Q807" i="8" s="1"/>
  <c r="P729" i="8"/>
  <c r="Q729" i="8" s="1"/>
  <c r="P945" i="8"/>
  <c r="Q945" i="8" s="1"/>
  <c r="P859" i="8"/>
  <c r="Q859" i="8" s="1"/>
  <c r="P749" i="8"/>
  <c r="Q749" i="8" s="1"/>
  <c r="P739" i="8"/>
  <c r="Q739" i="8" s="1"/>
  <c r="P715" i="8"/>
  <c r="Q715" i="8" s="1"/>
  <c r="P679" i="8"/>
  <c r="Q679" i="8" s="1"/>
  <c r="P648" i="8"/>
  <c r="Q648" i="8" s="1"/>
  <c r="P640" i="8"/>
  <c r="Q640" i="8" s="1"/>
  <c r="P632" i="8"/>
  <c r="Q632" i="8" s="1"/>
  <c r="P624" i="8"/>
  <c r="Q624" i="8" s="1"/>
  <c r="P616" i="8"/>
  <c r="Q616" i="8" s="1"/>
  <c r="P608" i="8"/>
  <c r="Q608" i="8" s="1"/>
  <c r="P600" i="8"/>
  <c r="Q600" i="8" s="1"/>
  <c r="P592" i="8"/>
  <c r="Q592" i="8" s="1"/>
  <c r="P584" i="8"/>
  <c r="Q584" i="8" s="1"/>
  <c r="P576" i="8"/>
  <c r="Q576" i="8" s="1"/>
  <c r="P568" i="8"/>
  <c r="Q568" i="8" s="1"/>
  <c r="P560" i="8"/>
  <c r="Q560" i="8" s="1"/>
  <c r="P525" i="8"/>
  <c r="Q525" i="8" s="1"/>
  <c r="P489" i="8"/>
  <c r="Q489" i="8" s="1"/>
  <c r="P479" i="8"/>
  <c r="Q479" i="8" s="1"/>
  <c r="P471" i="8"/>
  <c r="Q471" i="8" s="1"/>
  <c r="P463" i="8"/>
  <c r="Q463" i="8" s="1"/>
  <c r="P413" i="8"/>
  <c r="Q413" i="8" s="1"/>
  <c r="P411" i="8"/>
  <c r="Q411" i="8" s="1"/>
  <c r="P291" i="8"/>
  <c r="Q291" i="8" s="1"/>
  <c r="P272" i="8"/>
  <c r="Q272" i="8" s="1"/>
  <c r="P220" i="8"/>
  <c r="Q220" i="8" s="1"/>
  <c r="P996" i="8"/>
  <c r="Q996" i="8" s="1"/>
  <c r="P972" i="8"/>
  <c r="Q972" i="8" s="1"/>
  <c r="P977" i="8"/>
  <c r="Q977" i="8" s="1"/>
  <c r="P867" i="8"/>
  <c r="Q867" i="8" s="1"/>
  <c r="P799" i="8"/>
  <c r="Q799" i="8" s="1"/>
  <c r="P781" i="8"/>
  <c r="Q781" i="8" s="1"/>
  <c r="P669" i="8"/>
  <c r="Q669" i="8" s="1"/>
  <c r="P953" i="8"/>
  <c r="Q953" i="8" s="1"/>
  <c r="P911" i="8"/>
  <c r="Q911" i="8" s="1"/>
  <c r="P851" i="8"/>
  <c r="Q851" i="8" s="1"/>
  <c r="P995" i="8"/>
  <c r="Q995" i="8" s="1"/>
  <c r="P987" i="8"/>
  <c r="Q987" i="8" s="1"/>
  <c r="P937" i="8"/>
  <c r="Q937" i="8" s="1"/>
  <c r="P921" i="8"/>
  <c r="Q921" i="8" s="1"/>
  <c r="P892" i="8"/>
  <c r="Q892" i="8" s="1"/>
  <c r="P827" i="8"/>
  <c r="Q827" i="8" s="1"/>
  <c r="P809" i="8"/>
  <c r="Q809" i="8" s="1"/>
  <c r="P791" i="8"/>
  <c r="Q791" i="8" s="1"/>
  <c r="P783" i="8"/>
  <c r="Q783" i="8" s="1"/>
  <c r="P731" i="8"/>
  <c r="Q731" i="8" s="1"/>
  <c r="P723" i="8"/>
  <c r="Q723" i="8" s="1"/>
  <c r="P671" i="8"/>
  <c r="Q671" i="8" s="1"/>
  <c r="P439" i="8"/>
  <c r="Q439" i="8" s="1"/>
  <c r="P395" i="8"/>
  <c r="Q395" i="8" s="1"/>
  <c r="P371" i="8"/>
  <c r="Q371" i="8" s="1"/>
  <c r="P280" i="8"/>
  <c r="Q280" i="8" s="1"/>
  <c r="P225" i="8"/>
  <c r="Q225" i="8" s="1"/>
  <c r="P222" i="8"/>
  <c r="Q222" i="8" s="1"/>
  <c r="P209" i="8"/>
  <c r="Q209" i="8" s="1"/>
  <c r="P206" i="8"/>
  <c r="Q206" i="8" s="1"/>
  <c r="P156" i="8"/>
  <c r="Q156" i="8" s="1"/>
  <c r="P166" i="8"/>
  <c r="Q166" i="8" s="1"/>
  <c r="P142" i="8"/>
  <c r="Q142" i="8" s="1"/>
  <c r="P126" i="8"/>
  <c r="Q126" i="8" s="1"/>
  <c r="P983" i="8"/>
  <c r="Q983" i="8" s="1"/>
  <c r="P973" i="8"/>
  <c r="Q973" i="8" s="1"/>
  <c r="P952" i="8"/>
  <c r="Q952" i="8" s="1"/>
  <c r="P931" i="8"/>
  <c r="Q931" i="8" s="1"/>
  <c r="P891" i="8"/>
  <c r="Q891" i="8" s="1"/>
  <c r="P881" i="8"/>
  <c r="Q881" i="8" s="1"/>
  <c r="P837" i="8"/>
  <c r="Q837" i="8" s="1"/>
  <c r="P829" i="8"/>
  <c r="Q829" i="8" s="1"/>
  <c r="P813" i="8"/>
  <c r="Q813" i="8" s="1"/>
  <c r="P777" i="8"/>
  <c r="Q777" i="8" s="1"/>
  <c r="P769" i="8"/>
  <c r="Q769" i="8" s="1"/>
  <c r="P748" i="8"/>
  <c r="Q748" i="8" s="1"/>
  <c r="P488" i="8"/>
  <c r="Q488" i="8" s="1"/>
  <c r="P475" i="8"/>
  <c r="Q475" i="8" s="1"/>
  <c r="P399" i="8"/>
  <c r="Q399" i="8" s="1"/>
  <c r="P373" i="8"/>
  <c r="Q373" i="8" s="1"/>
  <c r="P367" i="8"/>
  <c r="Q367" i="8" s="1"/>
  <c r="P248" i="8"/>
  <c r="Q248" i="8" s="1"/>
  <c r="P232" i="8"/>
  <c r="Q232" i="8" s="1"/>
  <c r="P941" i="8"/>
  <c r="Q941" i="8" s="1"/>
  <c r="P907" i="8"/>
  <c r="Q907" i="8" s="1"/>
  <c r="P821" i="8"/>
  <c r="Q821" i="8" s="1"/>
  <c r="P763" i="8"/>
  <c r="Q763" i="8" s="1"/>
  <c r="P753" i="8"/>
  <c r="Q753" i="8" s="1"/>
  <c r="P709" i="8"/>
  <c r="Q709" i="8" s="1"/>
  <c r="P701" i="8"/>
  <c r="Q701" i="8" s="1"/>
  <c r="P685" i="8"/>
  <c r="Q685" i="8" s="1"/>
  <c r="P519" i="8"/>
  <c r="Q519" i="8" s="1"/>
  <c r="P503" i="8"/>
  <c r="Q503" i="8" s="1"/>
  <c r="P477" i="8"/>
  <c r="Q477" i="8" s="1"/>
  <c r="P459" i="8"/>
  <c r="Q459" i="8" s="1"/>
  <c r="P274" i="8"/>
  <c r="Q274" i="8" s="1"/>
  <c r="P242" i="8"/>
  <c r="Q242" i="8" s="1"/>
  <c r="P216" i="8"/>
  <c r="Q216" i="8" s="1"/>
  <c r="P200" i="8"/>
  <c r="Q200" i="8" s="1"/>
  <c r="P184" i="8"/>
  <c r="Q184" i="8" s="1"/>
  <c r="P168" i="8"/>
  <c r="Q168" i="8" s="1"/>
  <c r="M113" i="8"/>
  <c r="O110" i="8"/>
  <c r="M106" i="8"/>
  <c r="M101" i="8"/>
  <c r="M96" i="8"/>
  <c r="M91" i="8"/>
  <c r="M114" i="8"/>
  <c r="O111" i="8"/>
  <c r="M109" i="8"/>
  <c r="N104" i="8"/>
  <c r="M102" i="8"/>
  <c r="N99" i="8"/>
  <c r="M97" i="8"/>
  <c r="O94" i="8"/>
  <c r="M92" i="8"/>
  <c r="P988" i="8"/>
  <c r="Q988" i="8" s="1"/>
  <c r="O113" i="8"/>
  <c r="N111" i="8"/>
  <c r="O108" i="8"/>
  <c r="O106" i="8"/>
  <c r="M104" i="8"/>
  <c r="O101" i="8"/>
  <c r="M99" i="8"/>
  <c r="O96" i="8"/>
  <c r="N94" i="8"/>
  <c r="O91" i="8"/>
  <c r="P993" i="8"/>
  <c r="Q993" i="8" s="1"/>
  <c r="P975" i="8"/>
  <c r="Q975" i="8" s="1"/>
  <c r="P967" i="8"/>
  <c r="Q967" i="8" s="1"/>
  <c r="P957" i="8"/>
  <c r="Q957" i="8" s="1"/>
  <c r="P947" i="8"/>
  <c r="Q947" i="8" s="1"/>
  <c r="P929" i="8"/>
  <c r="Q929" i="8" s="1"/>
  <c r="P924" i="8"/>
  <c r="Q924" i="8" s="1"/>
  <c r="P919" i="8"/>
  <c r="Q919" i="8" s="1"/>
  <c r="P899" i="8"/>
  <c r="Q899" i="8" s="1"/>
  <c r="P839" i="8"/>
  <c r="Q839" i="8" s="1"/>
  <c r="P831" i="8"/>
  <c r="Q831" i="8" s="1"/>
  <c r="P824" i="8"/>
  <c r="Q824" i="8" s="1"/>
  <c r="P801" i="8"/>
  <c r="Q801" i="8" s="1"/>
  <c r="P796" i="8"/>
  <c r="Q796" i="8" s="1"/>
  <c r="P771" i="8"/>
  <c r="Q771" i="8" s="1"/>
  <c r="P741" i="8"/>
  <c r="Q741" i="8" s="1"/>
  <c r="P711" i="8"/>
  <c r="Q711" i="8" s="1"/>
  <c r="P703" i="8"/>
  <c r="Q703" i="8" s="1"/>
  <c r="P696" i="8"/>
  <c r="Q696" i="8" s="1"/>
  <c r="P666" i="8"/>
  <c r="Q666" i="8" s="1"/>
  <c r="P651" i="8"/>
  <c r="Q651" i="8" s="1"/>
  <c r="P643" i="8"/>
  <c r="Q643" i="8" s="1"/>
  <c r="P635" i="8"/>
  <c r="Q635" i="8" s="1"/>
  <c r="P627" i="8"/>
  <c r="Q627" i="8" s="1"/>
  <c r="P619" i="8"/>
  <c r="Q619" i="8" s="1"/>
  <c r="P611" i="8"/>
  <c r="Q611" i="8" s="1"/>
  <c r="P603" i="8"/>
  <c r="Q603" i="8" s="1"/>
  <c r="P595" i="8"/>
  <c r="Q595" i="8" s="1"/>
  <c r="P587" i="8"/>
  <c r="Q587" i="8" s="1"/>
  <c r="P579" i="8"/>
  <c r="Q579" i="8" s="1"/>
  <c r="P571" i="8"/>
  <c r="Q571" i="8" s="1"/>
  <c r="P563" i="8"/>
  <c r="Q563" i="8" s="1"/>
  <c r="P555" i="8"/>
  <c r="Q555" i="8" s="1"/>
  <c r="P547" i="8"/>
  <c r="Q547" i="8" s="1"/>
  <c r="P539" i="8"/>
  <c r="Q539" i="8" s="1"/>
  <c r="P531" i="8"/>
  <c r="Q531" i="8" s="1"/>
  <c r="P526" i="8"/>
  <c r="Q526" i="8" s="1"/>
  <c r="P521" i="8"/>
  <c r="Q521" i="8" s="1"/>
  <c r="P511" i="8"/>
  <c r="Q511" i="8" s="1"/>
  <c r="P506" i="8"/>
  <c r="Q506" i="8" s="1"/>
  <c r="P445" i="8"/>
  <c r="Q445" i="8" s="1"/>
  <c r="N113" i="8"/>
  <c r="M111" i="8"/>
  <c r="P111" i="8" s="1"/>
  <c r="Q111" i="8" s="1"/>
  <c r="N108" i="8"/>
  <c r="N106" i="8"/>
  <c r="N101" i="8"/>
  <c r="N96" i="8"/>
  <c r="M94" i="8"/>
  <c r="P94" i="8" s="1"/>
  <c r="Q94" i="8" s="1"/>
  <c r="N91" i="8"/>
  <c r="P949" i="8"/>
  <c r="Q949" i="8" s="1"/>
  <c r="P871" i="8"/>
  <c r="Q871" i="8" s="1"/>
  <c r="P863" i="8"/>
  <c r="Q863" i="8" s="1"/>
  <c r="P856" i="8"/>
  <c r="Q856" i="8" s="1"/>
  <c r="P853" i="8"/>
  <c r="Q853" i="8" s="1"/>
  <c r="P833" i="8"/>
  <c r="Q833" i="8" s="1"/>
  <c r="P828" i="8"/>
  <c r="Q828" i="8" s="1"/>
  <c r="P803" i="8"/>
  <c r="Q803" i="8" s="1"/>
  <c r="P773" i="8"/>
  <c r="Q773" i="8" s="1"/>
  <c r="P743" i="8"/>
  <c r="Q743" i="8" s="1"/>
  <c r="P735" i="8"/>
  <c r="Q735" i="8" s="1"/>
  <c r="P728" i="8"/>
  <c r="Q728" i="8" s="1"/>
  <c r="P705" i="8"/>
  <c r="Q705" i="8" s="1"/>
  <c r="P700" i="8"/>
  <c r="Q700" i="8" s="1"/>
  <c r="P675" i="8"/>
  <c r="Q675" i="8" s="1"/>
  <c r="P670" i="8"/>
  <c r="Q670" i="8" s="1"/>
  <c r="P658" i="8"/>
  <c r="Q658" i="8" s="1"/>
  <c r="P653" i="8"/>
  <c r="Q653" i="8" s="1"/>
  <c r="P645" i="8"/>
  <c r="Q645" i="8" s="1"/>
  <c r="P637" i="8"/>
  <c r="Q637" i="8" s="1"/>
  <c r="P629" i="8"/>
  <c r="Q629" i="8" s="1"/>
  <c r="P621" i="8"/>
  <c r="Q621" i="8" s="1"/>
  <c r="P613" i="8"/>
  <c r="Q613" i="8" s="1"/>
  <c r="P605" i="8"/>
  <c r="Q605" i="8" s="1"/>
  <c r="P597" i="8"/>
  <c r="Q597" i="8" s="1"/>
  <c r="P589" i="8"/>
  <c r="Q589" i="8" s="1"/>
  <c r="P581" i="8"/>
  <c r="Q581" i="8" s="1"/>
  <c r="P573" i="8"/>
  <c r="Q573" i="8" s="1"/>
  <c r="P565" i="8"/>
  <c r="Q565" i="8" s="1"/>
  <c r="P557" i="8"/>
  <c r="Q557" i="8" s="1"/>
  <c r="P549" i="8"/>
  <c r="Q549" i="8" s="1"/>
  <c r="P541" i="8"/>
  <c r="Q541" i="8" s="1"/>
  <c r="P533" i="8"/>
  <c r="Q533" i="8" s="1"/>
  <c r="P513" i="8"/>
  <c r="Q513" i="8" s="1"/>
  <c r="P483" i="8"/>
  <c r="Q483" i="8" s="1"/>
  <c r="P440" i="8"/>
  <c r="Q440" i="8" s="1"/>
  <c r="P425" i="8"/>
  <c r="Q425" i="8" s="1"/>
  <c r="P415" i="8"/>
  <c r="Q415" i="8" s="1"/>
  <c r="P410" i="8"/>
  <c r="Q410" i="8" s="1"/>
  <c r="M108" i="8"/>
  <c r="O103" i="8"/>
  <c r="O98" i="8"/>
  <c r="O93" i="8"/>
  <c r="P997" i="8"/>
  <c r="Q997" i="8" s="1"/>
  <c r="P982" i="8"/>
  <c r="Q982" i="8" s="1"/>
  <c r="P956" i="8"/>
  <c r="Q956" i="8" s="1"/>
  <c r="P951" i="8"/>
  <c r="Q951" i="8" s="1"/>
  <c r="P936" i="8"/>
  <c r="Q936" i="8" s="1"/>
  <c r="P933" i="8"/>
  <c r="Q933" i="8" s="1"/>
  <c r="P913" i="8"/>
  <c r="Q913" i="8" s="1"/>
  <c r="P908" i="8"/>
  <c r="Q908" i="8" s="1"/>
  <c r="P903" i="8"/>
  <c r="Q903" i="8" s="1"/>
  <c r="P883" i="8"/>
  <c r="Q883" i="8" s="1"/>
  <c r="P823" i="8"/>
  <c r="Q823" i="8" s="1"/>
  <c r="P815" i="8"/>
  <c r="Q815" i="8" s="1"/>
  <c r="P808" i="8"/>
  <c r="Q808" i="8" s="1"/>
  <c r="P785" i="8"/>
  <c r="Q785" i="8" s="1"/>
  <c r="P780" i="8"/>
  <c r="Q780" i="8" s="1"/>
  <c r="P755" i="8"/>
  <c r="Q755" i="8" s="1"/>
  <c r="P725" i="8"/>
  <c r="Q725" i="8" s="1"/>
  <c r="P695" i="8"/>
  <c r="Q695" i="8" s="1"/>
  <c r="P687" i="8"/>
  <c r="Q687" i="8" s="1"/>
  <c r="P680" i="8"/>
  <c r="Q680" i="8" s="1"/>
  <c r="P530" i="8"/>
  <c r="Q530" i="8" s="1"/>
  <c r="P520" i="8"/>
  <c r="Q520" i="8" s="1"/>
  <c r="P505" i="8"/>
  <c r="Q505" i="8" s="1"/>
  <c r="P495" i="8"/>
  <c r="Q495" i="8" s="1"/>
  <c r="P435" i="8"/>
  <c r="Q435" i="8" s="1"/>
  <c r="P429" i="8"/>
  <c r="Q429" i="8" s="1"/>
  <c r="P387" i="8"/>
  <c r="Q387" i="8" s="1"/>
  <c r="O112" i="8"/>
  <c r="N110" i="8"/>
  <c r="O107" i="8"/>
  <c r="O105" i="8"/>
  <c r="N103" i="8"/>
  <c r="O100" i="8"/>
  <c r="N98" i="8"/>
  <c r="N93" i="8"/>
  <c r="N105" i="8"/>
  <c r="P999" i="8"/>
  <c r="Q999" i="8" s="1"/>
  <c r="P989" i="8"/>
  <c r="Q989" i="8" s="1"/>
  <c r="P979" i="8"/>
  <c r="Q979" i="8" s="1"/>
  <c r="P961" i="8"/>
  <c r="Q961" i="8" s="1"/>
  <c r="P943" i="8"/>
  <c r="Q943" i="8" s="1"/>
  <c r="P918" i="8"/>
  <c r="Q918" i="8" s="1"/>
  <c r="P895" i="8"/>
  <c r="Q895" i="8" s="1"/>
  <c r="P888" i="8"/>
  <c r="Q888" i="8" s="1"/>
  <c r="P865" i="8"/>
  <c r="Q865" i="8" s="1"/>
  <c r="P860" i="8"/>
  <c r="Q860" i="8" s="1"/>
  <c r="P835" i="8"/>
  <c r="Q835" i="8" s="1"/>
  <c r="P805" i="8"/>
  <c r="Q805" i="8" s="1"/>
  <c r="P775" i="8"/>
  <c r="Q775" i="8" s="1"/>
  <c r="P767" i="8"/>
  <c r="Q767" i="8" s="1"/>
  <c r="P760" i="8"/>
  <c r="Q760" i="8" s="1"/>
  <c r="P737" i="8"/>
  <c r="Q737" i="8" s="1"/>
  <c r="P732" i="8"/>
  <c r="Q732" i="8" s="1"/>
  <c r="P707" i="8"/>
  <c r="Q707" i="8" s="1"/>
  <c r="P677" i="8"/>
  <c r="Q677" i="8" s="1"/>
  <c r="P660" i="8"/>
  <c r="Q660" i="8" s="1"/>
  <c r="P509" i="8"/>
  <c r="Q509" i="8" s="1"/>
  <c r="P472" i="8"/>
  <c r="Q472" i="8" s="1"/>
  <c r="P457" i="8"/>
  <c r="Q457" i="8" s="1"/>
  <c r="P447" i="8"/>
  <c r="Q447" i="8" s="1"/>
  <c r="P394" i="8"/>
  <c r="Q394" i="8" s="1"/>
  <c r="N112" i="8"/>
  <c r="M110" i="8"/>
  <c r="P110" i="8" s="1"/>
  <c r="Q110" i="8" s="1"/>
  <c r="N107" i="8"/>
  <c r="M103" i="8"/>
  <c r="N100" i="8"/>
  <c r="M98" i="8"/>
  <c r="O95" i="8"/>
  <c r="M93" i="8"/>
  <c r="O114" i="8"/>
  <c r="M112" i="8"/>
  <c r="P112" i="8" s="1"/>
  <c r="Q112" i="8" s="1"/>
  <c r="O109" i="8"/>
  <c r="M107" i="8"/>
  <c r="M105" i="8"/>
  <c r="O102" i="8"/>
  <c r="M100" i="8"/>
  <c r="O97" i="8"/>
  <c r="N95" i="8"/>
  <c r="O92" i="8"/>
  <c r="P984" i="8"/>
  <c r="Q984" i="8" s="1"/>
  <c r="P981" i="8"/>
  <c r="Q981" i="8" s="1"/>
  <c r="P966" i="8"/>
  <c r="Q966" i="8" s="1"/>
  <c r="P940" i="8"/>
  <c r="Q940" i="8" s="1"/>
  <c r="P935" i="8"/>
  <c r="Q935" i="8" s="1"/>
  <c r="P915" i="8"/>
  <c r="Q915" i="8" s="1"/>
  <c r="P855" i="8"/>
  <c r="Q855" i="8" s="1"/>
  <c r="P847" i="8"/>
  <c r="Q847" i="8" s="1"/>
  <c r="P840" i="8"/>
  <c r="Q840" i="8" s="1"/>
  <c r="P817" i="8"/>
  <c r="Q817" i="8" s="1"/>
  <c r="P812" i="8"/>
  <c r="Q812" i="8" s="1"/>
  <c r="P787" i="8"/>
  <c r="Q787" i="8" s="1"/>
  <c r="P757" i="8"/>
  <c r="Q757" i="8" s="1"/>
  <c r="P727" i="8"/>
  <c r="Q727" i="8" s="1"/>
  <c r="P719" i="8"/>
  <c r="Q719" i="8" s="1"/>
  <c r="P712" i="8"/>
  <c r="Q712" i="8" s="1"/>
  <c r="P689" i="8"/>
  <c r="Q689" i="8" s="1"/>
  <c r="P684" i="8"/>
  <c r="Q684" i="8" s="1"/>
  <c r="P461" i="8"/>
  <c r="Q461" i="8" s="1"/>
  <c r="P424" i="8"/>
  <c r="Q424" i="8" s="1"/>
  <c r="P409" i="8"/>
  <c r="Q409" i="8" s="1"/>
  <c r="P381" i="8"/>
  <c r="Q381" i="8" s="1"/>
  <c r="P365" i="8"/>
  <c r="Q365" i="8" s="1"/>
  <c r="N114" i="8"/>
  <c r="N109" i="8"/>
  <c r="O104" i="8"/>
  <c r="O99" i="8"/>
  <c r="N92" i="8"/>
  <c r="N102" i="8"/>
  <c r="N97" i="8"/>
  <c r="M95" i="8"/>
  <c r="P968" i="8"/>
  <c r="Q968" i="8" s="1"/>
  <c r="P965" i="8"/>
  <c r="Q965" i="8" s="1"/>
  <c r="P950" i="8"/>
  <c r="Q950" i="8" s="1"/>
  <c r="P902" i="8"/>
  <c r="Q902" i="8" s="1"/>
  <c r="P887" i="8"/>
  <c r="Q887" i="8" s="1"/>
  <c r="P879" i="8"/>
  <c r="Q879" i="8" s="1"/>
  <c r="P872" i="8"/>
  <c r="Q872" i="8" s="1"/>
  <c r="P869" i="8"/>
  <c r="Q869" i="8" s="1"/>
  <c r="P849" i="8"/>
  <c r="Q849" i="8" s="1"/>
  <c r="P844" i="8"/>
  <c r="Q844" i="8" s="1"/>
  <c r="P819" i="8"/>
  <c r="Q819" i="8" s="1"/>
  <c r="P789" i="8"/>
  <c r="Q789" i="8" s="1"/>
  <c r="P759" i="8"/>
  <c r="Q759" i="8" s="1"/>
  <c r="P751" i="8"/>
  <c r="Q751" i="8" s="1"/>
  <c r="P744" i="8"/>
  <c r="Q744" i="8" s="1"/>
  <c r="P721" i="8"/>
  <c r="Q721" i="8" s="1"/>
  <c r="P716" i="8"/>
  <c r="Q716" i="8" s="1"/>
  <c r="P691" i="8"/>
  <c r="Q691" i="8" s="1"/>
  <c r="P493" i="8"/>
  <c r="Q493" i="8" s="1"/>
  <c r="P456" i="8"/>
  <c r="Q456" i="8" s="1"/>
  <c r="P441" i="8"/>
  <c r="Q441" i="8" s="1"/>
  <c r="P431" i="8"/>
  <c r="Q431" i="8" s="1"/>
  <c r="P378" i="8"/>
  <c r="Q378" i="8" s="1"/>
  <c r="P363" i="8"/>
  <c r="Q363" i="8" s="1"/>
  <c r="P283" i="8"/>
  <c r="Q283" i="8" s="1"/>
  <c r="P278" i="8"/>
  <c r="Q278" i="8" s="1"/>
  <c r="P273" i="8"/>
  <c r="Q273" i="8" s="1"/>
  <c r="P244" i="8"/>
  <c r="Q244" i="8" s="1"/>
  <c r="P234" i="8"/>
  <c r="Q234" i="8" s="1"/>
  <c r="P229" i="8"/>
  <c r="Q229" i="8" s="1"/>
  <c r="P211" i="8"/>
  <c r="Q211" i="8" s="1"/>
  <c r="P208" i="8"/>
  <c r="Q208" i="8" s="1"/>
  <c r="P188" i="8"/>
  <c r="Q188" i="8" s="1"/>
  <c r="P180" i="8"/>
  <c r="Q180" i="8" s="1"/>
  <c r="P170" i="8"/>
  <c r="Q170" i="8" s="1"/>
  <c r="P165" i="8"/>
  <c r="Q165" i="8" s="1"/>
  <c r="P147" i="8"/>
  <c r="Q147" i="8" s="1"/>
  <c r="P144" i="8"/>
  <c r="Q144" i="8" s="1"/>
  <c r="P124" i="8"/>
  <c r="Q124" i="8" s="1"/>
  <c r="P349" i="8"/>
  <c r="Q349" i="8" s="1"/>
  <c r="P341" i="8"/>
  <c r="Q341" i="8" s="1"/>
  <c r="P333" i="8"/>
  <c r="Q333" i="8" s="1"/>
  <c r="P325" i="8"/>
  <c r="Q325" i="8" s="1"/>
  <c r="P317" i="8"/>
  <c r="Q317" i="8" s="1"/>
  <c r="P309" i="8"/>
  <c r="Q309" i="8" s="1"/>
  <c r="P301" i="8"/>
  <c r="Q301" i="8" s="1"/>
  <c r="P293" i="8"/>
  <c r="Q293" i="8" s="1"/>
  <c r="P285" i="8"/>
  <c r="Q285" i="8" s="1"/>
  <c r="P252" i="8"/>
  <c r="Q252" i="8" s="1"/>
  <c r="P203" i="8"/>
  <c r="Q203" i="8" s="1"/>
  <c r="P139" i="8"/>
  <c r="Q139" i="8" s="1"/>
  <c r="P134" i="8"/>
  <c r="Q134" i="8" s="1"/>
  <c r="P116" i="8"/>
  <c r="Q116" i="8" s="1"/>
  <c r="P262" i="8"/>
  <c r="Q262" i="8" s="1"/>
  <c r="P257" i="8"/>
  <c r="Q257" i="8" s="1"/>
  <c r="P254" i="8"/>
  <c r="Q254" i="8" s="1"/>
  <c r="P236" i="8"/>
  <c r="Q236" i="8" s="1"/>
  <c r="P228" i="8"/>
  <c r="Q228" i="8" s="1"/>
  <c r="P218" i="8"/>
  <c r="Q218" i="8" s="1"/>
  <c r="P213" i="8"/>
  <c r="Q213" i="8" s="1"/>
  <c r="P195" i="8"/>
  <c r="Q195" i="8" s="1"/>
  <c r="P192" i="8"/>
  <c r="Q192" i="8" s="1"/>
  <c r="P172" i="8"/>
  <c r="Q172" i="8" s="1"/>
  <c r="P164" i="8"/>
  <c r="Q164" i="8" s="1"/>
  <c r="P154" i="8"/>
  <c r="Q154" i="8" s="1"/>
  <c r="P149" i="8"/>
  <c r="Q149" i="8" s="1"/>
  <c r="P131" i="8"/>
  <c r="Q131" i="8" s="1"/>
  <c r="P128" i="8"/>
  <c r="Q128" i="8" s="1"/>
  <c r="P375" i="8"/>
  <c r="Q375" i="8" s="1"/>
  <c r="P362" i="8"/>
  <c r="Q362" i="8" s="1"/>
  <c r="P346" i="8"/>
  <c r="Q346" i="8" s="1"/>
  <c r="P343" i="8"/>
  <c r="Q343" i="8" s="1"/>
  <c r="P338" i="8"/>
  <c r="Q338" i="8" s="1"/>
  <c r="P335" i="8"/>
  <c r="Q335" i="8" s="1"/>
  <c r="P330" i="8"/>
  <c r="Q330" i="8" s="1"/>
  <c r="P327" i="8"/>
  <c r="Q327" i="8" s="1"/>
  <c r="P322" i="8"/>
  <c r="Q322" i="8" s="1"/>
  <c r="P319" i="8"/>
  <c r="Q319" i="8" s="1"/>
  <c r="P314" i="8"/>
  <c r="Q314" i="8" s="1"/>
  <c r="P311" i="8"/>
  <c r="Q311" i="8" s="1"/>
  <c r="P306" i="8"/>
  <c r="Q306" i="8" s="1"/>
  <c r="P303" i="8"/>
  <c r="Q303" i="8" s="1"/>
  <c r="P298" i="8"/>
  <c r="Q298" i="8" s="1"/>
  <c r="P295" i="8"/>
  <c r="Q295" i="8" s="1"/>
  <c r="P290" i="8"/>
  <c r="Q290" i="8" s="1"/>
  <c r="P287" i="8"/>
  <c r="Q287" i="8" s="1"/>
  <c r="P282" i="8"/>
  <c r="Q282" i="8" s="1"/>
  <c r="P267" i="8"/>
  <c r="Q267" i="8" s="1"/>
  <c r="P256" i="8"/>
  <c r="Q256" i="8" s="1"/>
  <c r="P241" i="8"/>
  <c r="Q241" i="8" s="1"/>
  <c r="P230" i="8"/>
  <c r="Q230" i="8" s="1"/>
  <c r="P187" i="8"/>
  <c r="Q187" i="8" s="1"/>
  <c r="P182" i="8"/>
  <c r="Q182" i="8" s="1"/>
  <c r="P123" i="8"/>
  <c r="Q123" i="8" s="1"/>
  <c r="P118" i="8"/>
  <c r="Q118" i="8" s="1"/>
  <c r="P359" i="8"/>
  <c r="Q359" i="8" s="1"/>
  <c r="P264" i="8"/>
  <c r="Q264" i="8" s="1"/>
  <c r="P240" i="8"/>
  <c r="Q240" i="8" s="1"/>
  <c r="P212" i="8"/>
  <c r="Q212" i="8" s="1"/>
  <c r="P176" i="8"/>
  <c r="Q176" i="8" s="1"/>
  <c r="P148" i="8"/>
  <c r="Q148" i="8" s="1"/>
  <c r="P214" i="8"/>
  <c r="Q214" i="8" s="1"/>
  <c r="P353" i="8"/>
  <c r="Q353" i="8" s="1"/>
  <c r="P266" i="8"/>
  <c r="Q266" i="8" s="1"/>
  <c r="P245" i="8"/>
  <c r="Q245" i="8" s="1"/>
  <c r="P227" i="8"/>
  <c r="Q227" i="8" s="1"/>
  <c r="P224" i="8"/>
  <c r="Q224" i="8" s="1"/>
  <c r="P204" i="8"/>
  <c r="Q204" i="8" s="1"/>
  <c r="P196" i="8"/>
  <c r="Q196" i="8" s="1"/>
  <c r="P186" i="8"/>
  <c r="Q186" i="8" s="1"/>
  <c r="P181" i="8"/>
  <c r="Q181" i="8" s="1"/>
  <c r="P163" i="8"/>
  <c r="Q163" i="8" s="1"/>
  <c r="P160" i="8"/>
  <c r="Q160" i="8" s="1"/>
  <c r="P140" i="8"/>
  <c r="Q140" i="8" s="1"/>
  <c r="P132" i="8"/>
  <c r="Q132" i="8" s="1"/>
  <c r="P122" i="8"/>
  <c r="Q122" i="8" s="1"/>
  <c r="P117" i="8"/>
  <c r="Q117" i="8" s="1"/>
  <c r="P974" i="8"/>
  <c r="Q974" i="8" s="1"/>
  <c r="P942" i="8"/>
  <c r="Q942" i="8" s="1"/>
  <c r="P910" i="8"/>
  <c r="Q910" i="8" s="1"/>
  <c r="P894" i="8"/>
  <c r="Q894" i="8" s="1"/>
  <c r="P878" i="8"/>
  <c r="Q878" i="8" s="1"/>
  <c r="P862" i="8"/>
  <c r="Q862" i="8" s="1"/>
  <c r="P846" i="8"/>
  <c r="Q846" i="8" s="1"/>
  <c r="P830" i="8"/>
  <c r="Q830" i="8" s="1"/>
  <c r="P814" i="8"/>
  <c r="Q814" i="8" s="1"/>
  <c r="P798" i="8"/>
  <c r="Q798" i="8" s="1"/>
  <c r="P782" i="8"/>
  <c r="Q782" i="8" s="1"/>
  <c r="P766" i="8"/>
  <c r="Q766" i="8" s="1"/>
  <c r="P750" i="8"/>
  <c r="Q750" i="8" s="1"/>
  <c r="P734" i="8"/>
  <c r="Q734" i="8" s="1"/>
  <c r="P718" i="8"/>
  <c r="Q718" i="8" s="1"/>
  <c r="P702" i="8"/>
  <c r="Q702" i="8" s="1"/>
  <c r="P686" i="8"/>
  <c r="Q686" i="8" s="1"/>
  <c r="P650" i="8"/>
  <c r="Q650" i="8" s="1"/>
  <c r="P642" i="8"/>
  <c r="Q642" i="8" s="1"/>
  <c r="P634" i="8"/>
  <c r="Q634" i="8" s="1"/>
  <c r="P626" i="8"/>
  <c r="Q626" i="8" s="1"/>
  <c r="P618" i="8"/>
  <c r="Q618" i="8" s="1"/>
  <c r="P610" i="8"/>
  <c r="Q610" i="8" s="1"/>
  <c r="P944" i="8"/>
  <c r="Q944" i="8" s="1"/>
  <c r="P928" i="8"/>
  <c r="Q928" i="8" s="1"/>
  <c r="P912" i="8"/>
  <c r="Q912" i="8" s="1"/>
  <c r="P896" i="8"/>
  <c r="Q896" i="8" s="1"/>
  <c r="P880" i="8"/>
  <c r="Q880" i="8" s="1"/>
  <c r="P864" i="8"/>
  <c r="Q864" i="8" s="1"/>
  <c r="P848" i="8"/>
  <c r="Q848" i="8" s="1"/>
  <c r="P832" i="8"/>
  <c r="Q832" i="8" s="1"/>
  <c r="P816" i="8"/>
  <c r="Q816" i="8" s="1"/>
  <c r="P800" i="8"/>
  <c r="Q800" i="8" s="1"/>
  <c r="P784" i="8"/>
  <c r="Q784" i="8" s="1"/>
  <c r="P768" i="8"/>
  <c r="Q768" i="8" s="1"/>
  <c r="P752" i="8"/>
  <c r="Q752" i="8" s="1"/>
  <c r="P736" i="8"/>
  <c r="Q736" i="8" s="1"/>
  <c r="P720" i="8"/>
  <c r="Q720" i="8" s="1"/>
  <c r="P704" i="8"/>
  <c r="Q704" i="8" s="1"/>
  <c r="P688" i="8"/>
  <c r="Q688" i="8" s="1"/>
  <c r="P672" i="8"/>
  <c r="Q672" i="8" s="1"/>
  <c r="P655" i="8"/>
  <c r="Q655" i="8" s="1"/>
  <c r="P990" i="8"/>
  <c r="Q990" i="8" s="1"/>
  <c r="P976" i="8"/>
  <c r="Q976" i="8" s="1"/>
  <c r="P994" i="8"/>
  <c r="Q994" i="8" s="1"/>
  <c r="P946" i="8"/>
  <c r="Q946" i="8" s="1"/>
  <c r="P898" i="8"/>
  <c r="Q898" i="8" s="1"/>
  <c r="P882" i="8"/>
  <c r="Q882" i="8" s="1"/>
  <c r="P866" i="8"/>
  <c r="Q866" i="8" s="1"/>
  <c r="P850" i="8"/>
  <c r="Q850" i="8" s="1"/>
  <c r="P834" i="8"/>
  <c r="Q834" i="8" s="1"/>
  <c r="P818" i="8"/>
  <c r="Q818" i="8" s="1"/>
  <c r="P802" i="8"/>
  <c r="Q802" i="8" s="1"/>
  <c r="P786" i="8"/>
  <c r="Q786" i="8" s="1"/>
  <c r="P770" i="8"/>
  <c r="Q770" i="8" s="1"/>
  <c r="P754" i="8"/>
  <c r="Q754" i="8" s="1"/>
  <c r="P738" i="8"/>
  <c r="Q738" i="8" s="1"/>
  <c r="P722" i="8"/>
  <c r="Q722" i="8" s="1"/>
  <c r="P706" i="8"/>
  <c r="Q706" i="8" s="1"/>
  <c r="P690" i="8"/>
  <c r="Q690" i="8" s="1"/>
  <c r="P674" i="8"/>
  <c r="Q674" i="8" s="1"/>
  <c r="P958" i="8"/>
  <c r="Q958" i="8" s="1"/>
  <c r="P926" i="8"/>
  <c r="Q926" i="8" s="1"/>
  <c r="P992" i="8"/>
  <c r="Q992" i="8" s="1"/>
  <c r="P960" i="8"/>
  <c r="Q960" i="8" s="1"/>
  <c r="P978" i="8"/>
  <c r="Q978" i="8" s="1"/>
  <c r="P962" i="8"/>
  <c r="Q962" i="8" s="1"/>
  <c r="P930" i="8"/>
  <c r="Q930" i="8" s="1"/>
  <c r="P914" i="8"/>
  <c r="Q914" i="8" s="1"/>
  <c r="P980" i="8"/>
  <c r="Q980" i="8" s="1"/>
  <c r="P964" i="8"/>
  <c r="Q964" i="8" s="1"/>
  <c r="P948" i="8"/>
  <c r="Q948" i="8" s="1"/>
  <c r="P932" i="8"/>
  <c r="Q932" i="8" s="1"/>
  <c r="P916" i="8"/>
  <c r="Q916" i="8" s="1"/>
  <c r="P900" i="8"/>
  <c r="Q900" i="8" s="1"/>
  <c r="P884" i="8"/>
  <c r="Q884" i="8" s="1"/>
  <c r="P868" i="8"/>
  <c r="Q868" i="8" s="1"/>
  <c r="P852" i="8"/>
  <c r="Q852" i="8" s="1"/>
  <c r="P836" i="8"/>
  <c r="Q836" i="8" s="1"/>
  <c r="P820" i="8"/>
  <c r="Q820" i="8" s="1"/>
  <c r="P804" i="8"/>
  <c r="Q804" i="8" s="1"/>
  <c r="P788" i="8"/>
  <c r="Q788" i="8" s="1"/>
  <c r="P772" i="8"/>
  <c r="Q772" i="8" s="1"/>
  <c r="P756" i="8"/>
  <c r="Q756" i="8" s="1"/>
  <c r="P740" i="8"/>
  <c r="Q740" i="8" s="1"/>
  <c r="P724" i="8"/>
  <c r="Q724" i="8" s="1"/>
  <c r="P708" i="8"/>
  <c r="Q708" i="8" s="1"/>
  <c r="P692" i="8"/>
  <c r="Q692" i="8" s="1"/>
  <c r="P676" i="8"/>
  <c r="Q676" i="8" s="1"/>
  <c r="P662" i="8"/>
  <c r="Q662" i="8" s="1"/>
  <c r="P886" i="8"/>
  <c r="Q886" i="8" s="1"/>
  <c r="P870" i="8"/>
  <c r="Q870" i="8" s="1"/>
  <c r="P854" i="8"/>
  <c r="Q854" i="8" s="1"/>
  <c r="P838" i="8"/>
  <c r="Q838" i="8" s="1"/>
  <c r="P822" i="8"/>
  <c r="Q822" i="8" s="1"/>
  <c r="P806" i="8"/>
  <c r="Q806" i="8" s="1"/>
  <c r="P790" i="8"/>
  <c r="Q790" i="8" s="1"/>
  <c r="P774" i="8"/>
  <c r="Q774" i="8" s="1"/>
  <c r="P758" i="8"/>
  <c r="Q758" i="8" s="1"/>
  <c r="P742" i="8"/>
  <c r="Q742" i="8" s="1"/>
  <c r="P726" i="8"/>
  <c r="Q726" i="8" s="1"/>
  <c r="P710" i="8"/>
  <c r="Q710" i="8" s="1"/>
  <c r="P694" i="8"/>
  <c r="Q694" i="8" s="1"/>
  <c r="P678" i="8"/>
  <c r="Q678" i="8" s="1"/>
  <c r="P664" i="8"/>
  <c r="Q664" i="8" s="1"/>
  <c r="P659" i="8"/>
  <c r="Q659" i="8" s="1"/>
  <c r="P986" i="8"/>
  <c r="Q986" i="8" s="1"/>
  <c r="P970" i="8"/>
  <c r="Q970" i="8" s="1"/>
  <c r="P954" i="8"/>
  <c r="Q954" i="8" s="1"/>
  <c r="P938" i="8"/>
  <c r="Q938" i="8" s="1"/>
  <c r="P922" i="8"/>
  <c r="Q922" i="8" s="1"/>
  <c r="P906" i="8"/>
  <c r="Q906" i="8" s="1"/>
  <c r="P890" i="8"/>
  <c r="Q890" i="8" s="1"/>
  <c r="P874" i="8"/>
  <c r="Q874" i="8" s="1"/>
  <c r="P858" i="8"/>
  <c r="Q858" i="8" s="1"/>
  <c r="P842" i="8"/>
  <c r="Q842" i="8" s="1"/>
  <c r="P826" i="8"/>
  <c r="Q826" i="8" s="1"/>
  <c r="P810" i="8"/>
  <c r="Q810" i="8" s="1"/>
  <c r="P794" i="8"/>
  <c r="Q794" i="8" s="1"/>
  <c r="P778" i="8"/>
  <c r="Q778" i="8" s="1"/>
  <c r="P762" i="8"/>
  <c r="Q762" i="8" s="1"/>
  <c r="P746" i="8"/>
  <c r="Q746" i="8" s="1"/>
  <c r="P730" i="8"/>
  <c r="Q730" i="8" s="1"/>
  <c r="P714" i="8"/>
  <c r="Q714" i="8" s="1"/>
  <c r="P698" i="8"/>
  <c r="Q698" i="8" s="1"/>
  <c r="P682" i="8"/>
  <c r="Q682" i="8" s="1"/>
  <c r="P668" i="8"/>
  <c r="Q668" i="8" s="1"/>
  <c r="P602" i="8"/>
  <c r="Q602" i="8" s="1"/>
  <c r="P594" i="8"/>
  <c r="Q594" i="8" s="1"/>
  <c r="P586" i="8"/>
  <c r="Q586" i="8" s="1"/>
  <c r="P578" i="8"/>
  <c r="Q578" i="8" s="1"/>
  <c r="P570" i="8"/>
  <c r="Q570" i="8" s="1"/>
  <c r="P562" i="8"/>
  <c r="Q562" i="8" s="1"/>
  <c r="P554" i="8"/>
  <c r="Q554" i="8" s="1"/>
  <c r="P546" i="8"/>
  <c r="Q546" i="8" s="1"/>
  <c r="P538" i="8"/>
  <c r="Q538" i="8" s="1"/>
  <c r="P465" i="8"/>
  <c r="Q465" i="8" s="1"/>
  <c r="P657" i="8"/>
  <c r="Q657" i="8" s="1"/>
  <c r="P647" i="8"/>
  <c r="Q647" i="8" s="1"/>
  <c r="P639" i="8"/>
  <c r="Q639" i="8" s="1"/>
  <c r="P631" i="8"/>
  <c r="Q631" i="8" s="1"/>
  <c r="P623" i="8"/>
  <c r="Q623" i="8" s="1"/>
  <c r="P615" i="8"/>
  <c r="Q615" i="8" s="1"/>
  <c r="P607" i="8"/>
  <c r="Q607" i="8" s="1"/>
  <c r="P599" i="8"/>
  <c r="Q599" i="8" s="1"/>
  <c r="P591" i="8"/>
  <c r="Q591" i="8" s="1"/>
  <c r="P583" i="8"/>
  <c r="Q583" i="8" s="1"/>
  <c r="P575" i="8"/>
  <c r="Q575" i="8" s="1"/>
  <c r="P567" i="8"/>
  <c r="Q567" i="8" s="1"/>
  <c r="P559" i="8"/>
  <c r="Q559" i="8" s="1"/>
  <c r="P551" i="8"/>
  <c r="Q551" i="8" s="1"/>
  <c r="P543" i="8"/>
  <c r="Q543" i="8" s="1"/>
  <c r="P535" i="8"/>
  <c r="Q535" i="8" s="1"/>
  <c r="P515" i="8"/>
  <c r="Q515" i="8" s="1"/>
  <c r="P417" i="8"/>
  <c r="Q417" i="8" s="1"/>
  <c r="P652" i="8"/>
  <c r="Q652" i="8" s="1"/>
  <c r="P644" i="8"/>
  <c r="Q644" i="8" s="1"/>
  <c r="P636" i="8"/>
  <c r="Q636" i="8" s="1"/>
  <c r="P628" i="8"/>
  <c r="Q628" i="8" s="1"/>
  <c r="P620" i="8"/>
  <c r="Q620" i="8" s="1"/>
  <c r="P612" i="8"/>
  <c r="Q612" i="8" s="1"/>
  <c r="P604" i="8"/>
  <c r="Q604" i="8" s="1"/>
  <c r="P596" i="8"/>
  <c r="Q596" i="8" s="1"/>
  <c r="P588" i="8"/>
  <c r="Q588" i="8" s="1"/>
  <c r="P580" i="8"/>
  <c r="Q580" i="8" s="1"/>
  <c r="P572" i="8"/>
  <c r="Q572" i="8" s="1"/>
  <c r="P564" i="8"/>
  <c r="Q564" i="8" s="1"/>
  <c r="P556" i="8"/>
  <c r="Q556" i="8" s="1"/>
  <c r="P548" i="8"/>
  <c r="Q548" i="8" s="1"/>
  <c r="P540" i="8"/>
  <c r="Q540" i="8" s="1"/>
  <c r="P532" i="8"/>
  <c r="Q532" i="8" s="1"/>
  <c r="P522" i="8"/>
  <c r="Q522" i="8" s="1"/>
  <c r="P497" i="8"/>
  <c r="Q497" i="8" s="1"/>
  <c r="P467" i="8"/>
  <c r="Q467" i="8" s="1"/>
  <c r="P661" i="8"/>
  <c r="Q661" i="8" s="1"/>
  <c r="P649" i="8"/>
  <c r="Q649" i="8" s="1"/>
  <c r="P641" i="8"/>
  <c r="Q641" i="8" s="1"/>
  <c r="P633" i="8"/>
  <c r="Q633" i="8" s="1"/>
  <c r="P625" i="8"/>
  <c r="Q625" i="8" s="1"/>
  <c r="P617" i="8"/>
  <c r="Q617" i="8" s="1"/>
  <c r="P609" i="8"/>
  <c r="Q609" i="8" s="1"/>
  <c r="P601" i="8"/>
  <c r="Q601" i="8" s="1"/>
  <c r="P593" i="8"/>
  <c r="Q593" i="8" s="1"/>
  <c r="P585" i="8"/>
  <c r="Q585" i="8" s="1"/>
  <c r="P577" i="8"/>
  <c r="Q577" i="8" s="1"/>
  <c r="P569" i="8"/>
  <c r="Q569" i="8" s="1"/>
  <c r="P561" i="8"/>
  <c r="Q561" i="8" s="1"/>
  <c r="P553" i="8"/>
  <c r="Q553" i="8" s="1"/>
  <c r="P545" i="8"/>
  <c r="Q545" i="8" s="1"/>
  <c r="P537" i="8"/>
  <c r="Q537" i="8" s="1"/>
  <c r="P529" i="8"/>
  <c r="Q529" i="8" s="1"/>
  <c r="P449" i="8"/>
  <c r="Q449" i="8" s="1"/>
  <c r="P419" i="8"/>
  <c r="Q419" i="8" s="1"/>
  <c r="P663" i="8"/>
  <c r="Q663" i="8" s="1"/>
  <c r="P646" i="8"/>
  <c r="Q646" i="8" s="1"/>
  <c r="P638" i="8"/>
  <c r="Q638" i="8" s="1"/>
  <c r="P630" i="8"/>
  <c r="Q630" i="8" s="1"/>
  <c r="P622" i="8"/>
  <c r="Q622" i="8" s="1"/>
  <c r="P614" i="8"/>
  <c r="Q614" i="8" s="1"/>
  <c r="P606" i="8"/>
  <c r="Q606" i="8" s="1"/>
  <c r="P598" i="8"/>
  <c r="Q598" i="8" s="1"/>
  <c r="P590" i="8"/>
  <c r="Q590" i="8" s="1"/>
  <c r="P582" i="8"/>
  <c r="Q582" i="8" s="1"/>
  <c r="P574" i="8"/>
  <c r="Q574" i="8" s="1"/>
  <c r="P566" i="8"/>
  <c r="Q566" i="8" s="1"/>
  <c r="P558" i="8"/>
  <c r="Q558" i="8" s="1"/>
  <c r="P550" i="8"/>
  <c r="Q550" i="8" s="1"/>
  <c r="P542" i="8"/>
  <c r="Q542" i="8" s="1"/>
  <c r="P534" i="8"/>
  <c r="Q534" i="8" s="1"/>
  <c r="P499" i="8"/>
  <c r="Q499" i="8" s="1"/>
  <c r="P481" i="8"/>
  <c r="Q481" i="8" s="1"/>
  <c r="P451" i="8"/>
  <c r="Q451" i="8" s="1"/>
  <c r="P403" i="8"/>
  <c r="Q403" i="8" s="1"/>
  <c r="P552" i="8"/>
  <c r="Q552" i="8" s="1"/>
  <c r="P544" i="8"/>
  <c r="Q544" i="8" s="1"/>
  <c r="P536" i="8"/>
  <c r="Q536" i="8" s="1"/>
  <c r="P433" i="8"/>
  <c r="Q433" i="8" s="1"/>
  <c r="P518" i="8"/>
  <c r="Q518" i="8" s="1"/>
  <c r="P502" i="8"/>
  <c r="Q502" i="8" s="1"/>
  <c r="P486" i="8"/>
  <c r="Q486" i="8" s="1"/>
  <c r="P470" i="8"/>
  <c r="Q470" i="8" s="1"/>
  <c r="P454" i="8"/>
  <c r="Q454" i="8" s="1"/>
  <c r="P438" i="8"/>
  <c r="Q438" i="8" s="1"/>
  <c r="P422" i="8"/>
  <c r="Q422" i="8" s="1"/>
  <c r="P406" i="8"/>
  <c r="Q406" i="8" s="1"/>
  <c r="P490" i="8"/>
  <c r="Q490" i="8" s="1"/>
  <c r="P474" i="8"/>
  <c r="Q474" i="8" s="1"/>
  <c r="P458" i="8"/>
  <c r="Q458" i="8" s="1"/>
  <c r="P442" i="8"/>
  <c r="Q442" i="8" s="1"/>
  <c r="P426" i="8"/>
  <c r="Q426" i="8" s="1"/>
  <c r="P396" i="8"/>
  <c r="Q396" i="8" s="1"/>
  <c r="P389" i="8"/>
  <c r="Q389" i="8" s="1"/>
  <c r="P382" i="8"/>
  <c r="Q382" i="8" s="1"/>
  <c r="P355" i="8"/>
  <c r="Q355" i="8" s="1"/>
  <c r="P350" i="8"/>
  <c r="Q350" i="8" s="1"/>
  <c r="P347" i="8"/>
  <c r="Q347" i="8" s="1"/>
  <c r="P342" i="8"/>
  <c r="Q342" i="8" s="1"/>
  <c r="P339" i="8"/>
  <c r="Q339" i="8" s="1"/>
  <c r="P334" i="8"/>
  <c r="Q334" i="8" s="1"/>
  <c r="P331" i="8"/>
  <c r="Q331" i="8" s="1"/>
  <c r="P524" i="8"/>
  <c r="Q524" i="8" s="1"/>
  <c r="P508" i="8"/>
  <c r="Q508" i="8" s="1"/>
  <c r="P492" i="8"/>
  <c r="Q492" i="8" s="1"/>
  <c r="P476" i="8"/>
  <c r="Q476" i="8" s="1"/>
  <c r="P460" i="8"/>
  <c r="Q460" i="8" s="1"/>
  <c r="P444" i="8"/>
  <c r="Q444" i="8" s="1"/>
  <c r="P428" i="8"/>
  <c r="Q428" i="8" s="1"/>
  <c r="P412" i="8"/>
  <c r="Q412" i="8" s="1"/>
  <c r="P405" i="8"/>
  <c r="Q405" i="8" s="1"/>
  <c r="P398" i="8"/>
  <c r="Q398" i="8" s="1"/>
  <c r="P384" i="8"/>
  <c r="Q384" i="8" s="1"/>
  <c r="P372" i="8"/>
  <c r="Q372" i="8" s="1"/>
  <c r="P510" i="8"/>
  <c r="Q510" i="8" s="1"/>
  <c r="P494" i="8"/>
  <c r="Q494" i="8" s="1"/>
  <c r="P478" i="8"/>
  <c r="Q478" i="8" s="1"/>
  <c r="P462" i="8"/>
  <c r="Q462" i="8" s="1"/>
  <c r="P446" i="8"/>
  <c r="Q446" i="8" s="1"/>
  <c r="P430" i="8"/>
  <c r="Q430" i="8" s="1"/>
  <c r="P414" i="8"/>
  <c r="Q414" i="8" s="1"/>
  <c r="P400" i="8"/>
  <c r="Q400" i="8" s="1"/>
  <c r="P386" i="8"/>
  <c r="Q386" i="8" s="1"/>
  <c r="P379" i="8"/>
  <c r="Q379" i="8" s="1"/>
  <c r="P357" i="8"/>
  <c r="Q357" i="8" s="1"/>
  <c r="P528" i="8"/>
  <c r="Q528" i="8" s="1"/>
  <c r="P512" i="8"/>
  <c r="Q512" i="8" s="1"/>
  <c r="P496" i="8"/>
  <c r="Q496" i="8" s="1"/>
  <c r="P480" i="8"/>
  <c r="Q480" i="8" s="1"/>
  <c r="P464" i="8"/>
  <c r="Q464" i="8" s="1"/>
  <c r="P448" i="8"/>
  <c r="Q448" i="8" s="1"/>
  <c r="P432" i="8"/>
  <c r="Q432" i="8" s="1"/>
  <c r="P416" i="8"/>
  <c r="Q416" i="8" s="1"/>
  <c r="P402" i="8"/>
  <c r="Q402" i="8" s="1"/>
  <c r="P388" i="8"/>
  <c r="Q388" i="8" s="1"/>
  <c r="P364" i="8"/>
  <c r="Q364" i="8" s="1"/>
  <c r="P514" i="8"/>
  <c r="Q514" i="8" s="1"/>
  <c r="P498" i="8"/>
  <c r="Q498" i="8" s="1"/>
  <c r="P482" i="8"/>
  <c r="Q482" i="8" s="1"/>
  <c r="P466" i="8"/>
  <c r="Q466" i="8" s="1"/>
  <c r="P450" i="8"/>
  <c r="Q450" i="8" s="1"/>
  <c r="P434" i="8"/>
  <c r="Q434" i="8" s="1"/>
  <c r="P418" i="8"/>
  <c r="Q418" i="8" s="1"/>
  <c r="P404" i="8"/>
  <c r="Q404" i="8" s="1"/>
  <c r="P516" i="8"/>
  <c r="Q516" i="8" s="1"/>
  <c r="P500" i="8"/>
  <c r="Q500" i="8" s="1"/>
  <c r="P484" i="8"/>
  <c r="Q484" i="8" s="1"/>
  <c r="P468" i="8"/>
  <c r="Q468" i="8" s="1"/>
  <c r="P452" i="8"/>
  <c r="Q452" i="8" s="1"/>
  <c r="P436" i="8"/>
  <c r="Q436" i="8" s="1"/>
  <c r="P420" i="8"/>
  <c r="Q420" i="8" s="1"/>
  <c r="P390" i="8"/>
  <c r="Q390" i="8" s="1"/>
  <c r="P326" i="8"/>
  <c r="Q326" i="8" s="1"/>
  <c r="P323" i="8"/>
  <c r="Q323" i="8" s="1"/>
  <c r="P318" i="8"/>
  <c r="Q318" i="8" s="1"/>
  <c r="P315" i="8"/>
  <c r="Q315" i="8" s="1"/>
  <c r="P310" i="8"/>
  <c r="Q310" i="8" s="1"/>
  <c r="P307" i="8"/>
  <c r="Q307" i="8" s="1"/>
  <c r="P302" i="8"/>
  <c r="Q302" i="8" s="1"/>
  <c r="P299" i="8"/>
  <c r="Q299" i="8" s="1"/>
  <c r="P294" i="8"/>
  <c r="Q294" i="8" s="1"/>
  <c r="P286" i="8"/>
  <c r="Q286" i="8" s="1"/>
  <c r="P158" i="8"/>
  <c r="Q158" i="8" s="1"/>
  <c r="P366" i="8"/>
  <c r="Q366" i="8" s="1"/>
  <c r="P268" i="8"/>
  <c r="Q268" i="8" s="1"/>
  <c r="P250" i="8"/>
  <c r="Q250" i="8" s="1"/>
  <c r="P352" i="8"/>
  <c r="Q352" i="8" s="1"/>
  <c r="P344" i="8"/>
  <c r="Q344" i="8" s="1"/>
  <c r="P336" i="8"/>
  <c r="Q336" i="8" s="1"/>
  <c r="P328" i="8"/>
  <c r="Q328" i="8" s="1"/>
  <c r="P320" i="8"/>
  <c r="Q320" i="8" s="1"/>
  <c r="P312" i="8"/>
  <c r="Q312" i="8" s="1"/>
  <c r="P304" i="8"/>
  <c r="Q304" i="8" s="1"/>
  <c r="P296" i="8"/>
  <c r="Q296" i="8" s="1"/>
  <c r="P288" i="8"/>
  <c r="Q288" i="8" s="1"/>
  <c r="P275" i="8"/>
  <c r="Q275" i="8" s="1"/>
  <c r="P370" i="8"/>
  <c r="Q370" i="8" s="1"/>
  <c r="P354" i="8"/>
  <c r="Q354" i="8" s="1"/>
  <c r="P277" i="8"/>
  <c r="Q277" i="8" s="1"/>
  <c r="P190" i="8"/>
  <c r="Q190" i="8" s="1"/>
  <c r="P374" i="8"/>
  <c r="Q374" i="8" s="1"/>
  <c r="P358" i="8"/>
  <c r="Q358" i="8" s="1"/>
  <c r="P351" i="8"/>
  <c r="Q351" i="8" s="1"/>
  <c r="P408" i="8"/>
  <c r="Q408" i="8" s="1"/>
  <c r="P392" i="8"/>
  <c r="Q392" i="8" s="1"/>
  <c r="P376" i="8"/>
  <c r="Q376" i="8" s="1"/>
  <c r="P360" i="8"/>
  <c r="Q360" i="8" s="1"/>
  <c r="P348" i="8"/>
  <c r="Q348" i="8" s="1"/>
  <c r="P345" i="8"/>
  <c r="Q345" i="8" s="1"/>
  <c r="P340" i="8"/>
  <c r="Q340" i="8" s="1"/>
  <c r="P337" i="8"/>
  <c r="Q337" i="8" s="1"/>
  <c r="P332" i="8"/>
  <c r="Q332" i="8" s="1"/>
  <c r="P329" i="8"/>
  <c r="Q329" i="8" s="1"/>
  <c r="P324" i="8"/>
  <c r="Q324" i="8" s="1"/>
  <c r="P321" i="8"/>
  <c r="Q321" i="8" s="1"/>
  <c r="P316" i="8"/>
  <c r="Q316" i="8" s="1"/>
  <c r="P313" i="8"/>
  <c r="Q313" i="8" s="1"/>
  <c r="P308" i="8"/>
  <c r="Q308" i="8" s="1"/>
  <c r="P305" i="8"/>
  <c r="Q305" i="8" s="1"/>
  <c r="P300" i="8"/>
  <c r="Q300" i="8" s="1"/>
  <c r="P297" i="8"/>
  <c r="Q297" i="8" s="1"/>
  <c r="P292" i="8"/>
  <c r="Q292" i="8" s="1"/>
  <c r="P284" i="8"/>
  <c r="Q284" i="8" s="1"/>
  <c r="P261" i="8"/>
  <c r="Q261" i="8" s="1"/>
  <c r="P238" i="8"/>
  <c r="Q238" i="8" s="1"/>
  <c r="P174" i="8"/>
  <c r="Q174" i="8" s="1"/>
  <c r="P279" i="8"/>
  <c r="Q279" i="8" s="1"/>
  <c r="P263" i="8"/>
  <c r="Q263" i="8" s="1"/>
  <c r="P247" i="8"/>
  <c r="Q247" i="8" s="1"/>
  <c r="P231" i="8"/>
  <c r="Q231" i="8" s="1"/>
  <c r="P215" i="8"/>
  <c r="Q215" i="8" s="1"/>
  <c r="P199" i="8"/>
  <c r="Q199" i="8" s="1"/>
  <c r="P183" i="8"/>
  <c r="Q183" i="8" s="1"/>
  <c r="P167" i="8"/>
  <c r="Q167" i="8" s="1"/>
  <c r="P151" i="8"/>
  <c r="Q151" i="8" s="1"/>
  <c r="P135" i="8"/>
  <c r="Q135" i="8" s="1"/>
  <c r="P119" i="8"/>
  <c r="Q119" i="8" s="1"/>
  <c r="P281" i="8"/>
  <c r="Q281" i="8" s="1"/>
  <c r="P265" i="8"/>
  <c r="Q265" i="8" s="1"/>
  <c r="P249" i="8"/>
  <c r="Q249" i="8" s="1"/>
  <c r="P233" i="8"/>
  <c r="Q233" i="8" s="1"/>
  <c r="P217" i="8"/>
  <c r="Q217" i="8" s="1"/>
  <c r="P201" i="8"/>
  <c r="Q201" i="8" s="1"/>
  <c r="P185" i="8"/>
  <c r="Q185" i="8" s="1"/>
  <c r="P169" i="8"/>
  <c r="Q169" i="8" s="1"/>
  <c r="P153" i="8"/>
  <c r="Q153" i="8" s="1"/>
  <c r="P137" i="8"/>
  <c r="Q137" i="8" s="1"/>
  <c r="P121" i="8"/>
  <c r="Q121" i="8" s="1"/>
  <c r="P269" i="8"/>
  <c r="Q269" i="8" s="1"/>
  <c r="P253" i="8"/>
  <c r="Q253" i="8" s="1"/>
  <c r="P237" i="8"/>
  <c r="Q237" i="8" s="1"/>
  <c r="P221" i="8"/>
  <c r="Q221" i="8" s="1"/>
  <c r="P205" i="8"/>
  <c r="Q205" i="8" s="1"/>
  <c r="P189" i="8"/>
  <c r="Q189" i="8" s="1"/>
  <c r="P173" i="8"/>
  <c r="Q173" i="8" s="1"/>
  <c r="P157" i="8"/>
  <c r="Q157" i="8" s="1"/>
  <c r="P141" i="8"/>
  <c r="Q141" i="8" s="1"/>
  <c r="P125" i="8"/>
  <c r="Q125" i="8" s="1"/>
  <c r="P271" i="8"/>
  <c r="Q271" i="8" s="1"/>
  <c r="P255" i="8"/>
  <c r="Q255" i="8" s="1"/>
  <c r="P239" i="8"/>
  <c r="Q239" i="8" s="1"/>
  <c r="P223" i="8"/>
  <c r="Q223" i="8" s="1"/>
  <c r="P207" i="8"/>
  <c r="Q207" i="8" s="1"/>
  <c r="P191" i="8"/>
  <c r="Q191" i="8" s="1"/>
  <c r="P175" i="8"/>
  <c r="Q175" i="8" s="1"/>
  <c r="P159" i="8"/>
  <c r="Q159" i="8" s="1"/>
  <c r="P143" i="8"/>
  <c r="Q143" i="8" s="1"/>
  <c r="P127" i="8"/>
  <c r="P193" i="8"/>
  <c r="Q193" i="8" s="1"/>
  <c r="P177" i="8"/>
  <c r="Q177" i="8" s="1"/>
  <c r="P161" i="8"/>
  <c r="Q161" i="8" s="1"/>
  <c r="P145" i="8"/>
  <c r="Q145" i="8" s="1"/>
  <c r="P129" i="8"/>
  <c r="Q129" i="8" s="1"/>
  <c r="P259" i="8"/>
  <c r="Q259" i="8" s="1"/>
  <c r="E689" i="8"/>
  <c r="E625" i="8"/>
  <c r="E561" i="8"/>
  <c r="E529" i="8"/>
  <c r="E490" i="8"/>
  <c r="E426" i="8"/>
  <c r="E362" i="8"/>
  <c r="E298" i="8"/>
  <c r="E234" i="8"/>
  <c r="E170" i="8"/>
  <c r="E98" i="8"/>
  <c r="E697" i="8"/>
  <c r="E633" i="8"/>
  <c r="E569" i="8"/>
  <c r="E538" i="8"/>
  <c r="E466" i="8"/>
  <c r="E402" i="8"/>
  <c r="E338" i="8"/>
  <c r="E274" i="8"/>
  <c r="E210" i="8"/>
  <c r="E146" i="8"/>
  <c r="E705" i="8"/>
  <c r="E641" i="8"/>
  <c r="E577" i="8"/>
  <c r="E522" i="8"/>
  <c r="E442" i="8"/>
  <c r="E378" i="8"/>
  <c r="E314" i="8"/>
  <c r="E250" i="8"/>
  <c r="E186" i="8"/>
  <c r="E521" i="8"/>
  <c r="E458" i="8"/>
  <c r="E394" i="8"/>
  <c r="E330" i="8"/>
  <c r="E266" i="8"/>
  <c r="E202" i="8"/>
  <c r="E138" i="8"/>
  <c r="E114" i="8"/>
  <c r="E729" i="8"/>
  <c r="E665" i="8"/>
  <c r="E601" i="8"/>
  <c r="E545" i="8"/>
  <c r="E498" i="8"/>
  <c r="E434" i="8"/>
  <c r="E370" i="8"/>
  <c r="E306" i="8"/>
  <c r="E242" i="8"/>
  <c r="E178" i="8"/>
  <c r="E74" i="8"/>
  <c r="N22" i="7"/>
  <c r="P93" i="8" l="1"/>
  <c r="Q93" i="8" s="1"/>
  <c r="P95" i="8"/>
  <c r="Q95" i="8" s="1"/>
  <c r="P98" i="8"/>
  <c r="P105" i="8"/>
  <c r="Q105" i="8" s="1"/>
  <c r="P100" i="8"/>
  <c r="Q100" i="8" s="1"/>
  <c r="P107" i="8"/>
  <c r="Q107" i="8" s="1"/>
  <c r="P103" i="8"/>
  <c r="Q103" i="8" s="1"/>
  <c r="P99" i="8"/>
  <c r="Q99" i="8" s="1"/>
  <c r="P114" i="8"/>
  <c r="Q114" i="8" s="1"/>
  <c r="P108" i="8"/>
  <c r="Q108" i="8" s="1"/>
  <c r="P91" i="8"/>
  <c r="P104" i="8"/>
  <c r="Q104" i="8" s="1"/>
  <c r="P97" i="8"/>
  <c r="P96" i="8"/>
  <c r="P101" i="8"/>
  <c r="Q101" i="8" s="1"/>
  <c r="P102" i="8"/>
  <c r="Q102" i="8" s="1"/>
  <c r="P106" i="8"/>
  <c r="Q106" i="8" s="1"/>
  <c r="Q127" i="8"/>
  <c r="P92" i="8"/>
  <c r="Q92" i="8" s="1"/>
  <c r="P109" i="8"/>
  <c r="Q109" i="8" s="1"/>
  <c r="P113" i="8"/>
  <c r="Q113" i="8" s="1"/>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C20" i="7" l="1"/>
  <c r="I19" i="7"/>
  <c r="F20" i="7"/>
  <c r="L25" i="7"/>
  <c r="I25" i="7"/>
  <c r="I26" i="7"/>
  <c r="I24" i="7"/>
  <c r="I22" i="7"/>
  <c r="I23" i="7"/>
  <c r="I21" i="7"/>
  <c r="I20" i="7"/>
  <c r="I18" i="7"/>
  <c r="I17" i="7"/>
  <c r="F17" i="7"/>
  <c r="C17" i="7"/>
  <c r="C18" i="7"/>
  <c r="C19" i="7"/>
  <c r="H3" i="8" a="1"/>
  <c r="B3" i="8" a="1"/>
  <c r="D47" i="8" l="1"/>
  <c r="D50" i="8"/>
  <c r="C47" i="8"/>
  <c r="D48" i="8"/>
  <c r="C49" i="8"/>
  <c r="D49" i="8"/>
  <c r="C50" i="8"/>
  <c r="E50" i="8" s="1"/>
  <c r="F50" i="8" s="1"/>
  <c r="C48" i="8"/>
  <c r="E48" i="8" s="1"/>
  <c r="F48" i="8" s="1"/>
  <c r="C8" i="7"/>
  <c r="C46" i="8"/>
  <c r="D46" i="8"/>
  <c r="C7" i="7"/>
  <c r="C5" i="7"/>
  <c r="L18" i="7"/>
  <c r="L17" i="7"/>
  <c r="M6" i="8"/>
  <c r="O6" i="8"/>
  <c r="N9" i="8"/>
  <c r="M12" i="8"/>
  <c r="N14" i="8"/>
  <c r="O16" i="8"/>
  <c r="M19" i="8"/>
  <c r="M22" i="8"/>
  <c r="N25" i="8"/>
  <c r="M28" i="8"/>
  <c r="O31" i="8"/>
  <c r="O34" i="8"/>
  <c r="O37" i="8"/>
  <c r="O40" i="8"/>
  <c r="M43" i="8"/>
  <c r="M46" i="8"/>
  <c r="N48" i="8"/>
  <c r="M51" i="8"/>
  <c r="N53" i="8"/>
  <c r="M56" i="8"/>
  <c r="N58" i="8"/>
  <c r="M61" i="8"/>
  <c r="N63" i="8"/>
  <c r="M66" i="8"/>
  <c r="N68" i="8"/>
  <c r="M71" i="8"/>
  <c r="M74" i="8"/>
  <c r="N76" i="8"/>
  <c r="M79" i="8"/>
  <c r="O81" i="8"/>
  <c r="O84" i="8"/>
  <c r="M87" i="8"/>
  <c r="O89" i="8"/>
  <c r="O4" i="8"/>
  <c r="M8" i="8"/>
  <c r="N11" i="8"/>
  <c r="M15" i="8"/>
  <c r="M18" i="8"/>
  <c r="M21" i="8"/>
  <c r="M24" i="8"/>
  <c r="O25" i="8"/>
  <c r="N28" i="8"/>
  <c r="O30" i="8"/>
  <c r="N33" i="8"/>
  <c r="O36" i="8"/>
  <c r="M39" i="8"/>
  <c r="O41" i="8"/>
  <c r="M44" i="8"/>
  <c r="N46" i="8"/>
  <c r="O48" i="8"/>
  <c r="O51" i="8"/>
  <c r="N55" i="8"/>
  <c r="M58" i="8"/>
  <c r="M60" i="8"/>
  <c r="M63" i="8"/>
  <c r="N65" i="8"/>
  <c r="M68" i="8"/>
  <c r="O70" i="8"/>
  <c r="O72" i="8"/>
  <c r="M75" i="8"/>
  <c r="M78" i="8"/>
  <c r="N80" i="8"/>
  <c r="N83" i="8"/>
  <c r="M86" i="8"/>
  <c r="O88" i="8"/>
  <c r="D5" i="8"/>
  <c r="D8" i="8"/>
  <c r="D11" i="8"/>
  <c r="D13" i="8"/>
  <c r="C16" i="8"/>
  <c r="C18" i="8"/>
  <c r="D20" i="8"/>
  <c r="C23" i="8"/>
  <c r="C26" i="8"/>
  <c r="D28" i="8"/>
  <c r="D31" i="8"/>
  <c r="D34" i="8"/>
  <c r="C37" i="8"/>
  <c r="C40" i="8"/>
  <c r="C42" i="8"/>
  <c r="C45" i="8"/>
  <c r="N4" i="8"/>
  <c r="N8" i="8"/>
  <c r="O10" i="8"/>
  <c r="M13" i="8"/>
  <c r="O15" i="8"/>
  <c r="O17" i="8"/>
  <c r="N20" i="8"/>
  <c r="M23" i="8"/>
  <c r="N26" i="8"/>
  <c r="O28" i="8"/>
  <c r="M32" i="8"/>
  <c r="M35" i="8"/>
  <c r="M38" i="8"/>
  <c r="N40" i="8"/>
  <c r="O43" i="8"/>
  <c r="M47" i="8"/>
  <c r="N49" i="8"/>
  <c r="M52" i="8"/>
  <c r="M54" i="8"/>
  <c r="N56" i="8"/>
  <c r="M59" i="8"/>
  <c r="O61" i="8"/>
  <c r="M64" i="8"/>
  <c r="M67" i="8"/>
  <c r="N70" i="8"/>
  <c r="M72" i="8"/>
  <c r="O74" i="8"/>
  <c r="N77" i="8"/>
  <c r="M80" i="8"/>
  <c r="O82" i="8"/>
  <c r="M85" i="8"/>
  <c r="N87" i="8"/>
  <c r="M90" i="8"/>
  <c r="N22" i="8"/>
  <c r="M31" i="8"/>
  <c r="M34" i="8"/>
  <c r="M37" i="8"/>
  <c r="O5" i="8"/>
  <c r="N7" i="8"/>
  <c r="N10" i="8"/>
  <c r="O12" i="8"/>
  <c r="O14" i="8"/>
  <c r="N17" i="8"/>
  <c r="M20" i="8"/>
  <c r="O22" i="8"/>
  <c r="M25" i="8"/>
  <c r="O27" i="8"/>
  <c r="N30" i="8"/>
  <c r="O33" i="8"/>
  <c r="N36" i="8"/>
  <c r="N39" i="8"/>
  <c r="M42" i="8"/>
  <c r="O44" i="8"/>
  <c r="N47" i="8"/>
  <c r="N50" i="8"/>
  <c r="O52" i="8"/>
  <c r="M55" i="8"/>
  <c r="O57" i="8"/>
  <c r="O60" i="8"/>
  <c r="O63" i="8"/>
  <c r="N66" i="8"/>
  <c r="M69" i="8"/>
  <c r="O71" i="8"/>
  <c r="N74" i="8"/>
  <c r="O76" i="8"/>
  <c r="N79" i="8"/>
  <c r="M82" i="8"/>
  <c r="N84" i="8"/>
  <c r="O86" i="8"/>
  <c r="M89" i="8"/>
  <c r="C5" i="8"/>
  <c r="D7" i="8"/>
  <c r="D10" i="8"/>
  <c r="C13" i="8"/>
  <c r="D15" i="8"/>
  <c r="D17" i="8"/>
  <c r="D21" i="8"/>
  <c r="C24" i="8"/>
  <c r="D26" i="8"/>
  <c r="D29" i="8"/>
  <c r="C32" i="8"/>
  <c r="C34" i="8"/>
  <c r="C36" i="8"/>
  <c r="D38" i="8"/>
  <c r="C41" i="8"/>
  <c r="D43" i="8"/>
  <c r="N5" i="8"/>
  <c r="M7" i="8"/>
  <c r="M9" i="8"/>
  <c r="O11" i="8"/>
  <c r="M14" i="8"/>
  <c r="M17" i="8"/>
  <c r="N19" i="8"/>
  <c r="O21" i="8"/>
  <c r="O24" i="8"/>
  <c r="N27" i="8"/>
  <c r="N29" i="8"/>
  <c r="N32" i="8"/>
  <c r="N35" i="8"/>
  <c r="N38" i="8"/>
  <c r="M41" i="8"/>
  <c r="N43" i="8"/>
  <c r="O45" i="8"/>
  <c r="M49" i="8"/>
  <c r="N51" i="8"/>
  <c r="N54" i="8"/>
  <c r="M57" i="8"/>
  <c r="O59" i="8"/>
  <c r="N62" i="8"/>
  <c r="M65" i="8"/>
  <c r="O67" i="8"/>
  <c r="M70" i="8"/>
  <c r="N71" i="8"/>
  <c r="O73" i="8"/>
  <c r="M76" i="8"/>
  <c r="N78" i="8"/>
  <c r="N81" i="8"/>
  <c r="M84" i="8"/>
  <c r="M88" i="8"/>
  <c r="N90" i="8"/>
  <c r="C4" i="8"/>
  <c r="D6" i="8"/>
  <c r="C9" i="8"/>
  <c r="C11" i="8"/>
  <c r="C14" i="8"/>
  <c r="D16" i="8"/>
  <c r="C19" i="8"/>
  <c r="C21" i="8"/>
  <c r="D23" i="8"/>
  <c r="D25" i="8"/>
  <c r="C28" i="8"/>
  <c r="D30" i="8"/>
  <c r="C33" i="8"/>
  <c r="D35" i="8"/>
  <c r="D37" i="8"/>
  <c r="D39" i="8"/>
  <c r="D41" i="8"/>
  <c r="C44" i="8"/>
  <c r="M4" i="8"/>
  <c r="O8" i="8"/>
  <c r="M11" i="8"/>
  <c r="O13" i="8"/>
  <c r="N16" i="8"/>
  <c r="O18" i="8"/>
  <c r="O20" i="8"/>
  <c r="O23" i="8"/>
  <c r="M26" i="8"/>
  <c r="M29" i="8"/>
  <c r="N31" i="8"/>
  <c r="N34" i="8"/>
  <c r="N37" i="8"/>
  <c r="M40" i="8"/>
  <c r="N42" i="8"/>
  <c r="M45" i="8"/>
  <c r="M48" i="8"/>
  <c r="O50" i="8"/>
  <c r="O53" i="8"/>
  <c r="O56" i="8"/>
  <c r="N59" i="8"/>
  <c r="M62" i="8"/>
  <c r="O64" i="8"/>
  <c r="O66" i="8"/>
  <c r="N69" i="8"/>
  <c r="M73" i="8"/>
  <c r="O75" i="8"/>
  <c r="O77" i="8"/>
  <c r="O80" i="8"/>
  <c r="M83" i="8"/>
  <c r="O85" i="8"/>
  <c r="N88" i="8"/>
  <c r="C6" i="8"/>
  <c r="C8" i="8"/>
  <c r="C10" i="8"/>
  <c r="D12" i="8"/>
  <c r="D14" i="8"/>
  <c r="C17" i="8"/>
  <c r="D19" i="8"/>
  <c r="C22" i="8"/>
  <c r="C25" i="8"/>
  <c r="D27" i="8"/>
  <c r="C30" i="8"/>
  <c r="D32" i="8"/>
  <c r="C35" i="8"/>
  <c r="C38" i="8"/>
  <c r="D40" i="8"/>
  <c r="C43" i="8"/>
  <c r="D45" i="8"/>
  <c r="N6" i="8"/>
  <c r="O9" i="8"/>
  <c r="N12" i="8"/>
  <c r="N15" i="8"/>
  <c r="N18" i="8"/>
  <c r="N21" i="8"/>
  <c r="N24" i="8"/>
  <c r="M27" i="8"/>
  <c r="O29" i="8"/>
  <c r="O32" i="8"/>
  <c r="O35" i="8"/>
  <c r="O38" i="8"/>
  <c r="N41" i="8"/>
  <c r="N44" i="8"/>
  <c r="O46" i="8"/>
  <c r="O49" i="8"/>
  <c r="N52" i="8"/>
  <c r="O54" i="8"/>
  <c r="N57" i="8"/>
  <c r="N60" i="8"/>
  <c r="O62" i="8"/>
  <c r="O65" i="8"/>
  <c r="O68" i="8"/>
  <c r="N73" i="8"/>
  <c r="M77" i="8"/>
  <c r="O79" i="8"/>
  <c r="N82" i="8"/>
  <c r="N85" i="8"/>
  <c r="O87" i="8"/>
  <c r="O90" i="8"/>
  <c r="D4" i="8"/>
  <c r="C7" i="8"/>
  <c r="D9" i="8"/>
  <c r="C12" i="8"/>
  <c r="C15" i="8"/>
  <c r="D18" i="8"/>
  <c r="C20" i="8"/>
  <c r="D22" i="8"/>
  <c r="D24" i="8"/>
  <c r="C27" i="8"/>
  <c r="C29" i="8"/>
  <c r="C31" i="8"/>
  <c r="D33" i="8"/>
  <c r="D36" i="8"/>
  <c r="C39" i="8"/>
  <c r="D42" i="8"/>
  <c r="D44" i="8"/>
  <c r="M5" i="8"/>
  <c r="O7" i="8"/>
  <c r="M10" i="8"/>
  <c r="N13" i="8"/>
  <c r="M16" i="8"/>
  <c r="O19" i="8"/>
  <c r="N23" i="8"/>
  <c r="O26" i="8"/>
  <c r="M30" i="8"/>
  <c r="M33" i="8"/>
  <c r="M36" i="8"/>
  <c r="O39" i="8"/>
  <c r="O42" i="8"/>
  <c r="N45" i="8"/>
  <c r="O47" i="8"/>
  <c r="M50" i="8"/>
  <c r="M53" i="8"/>
  <c r="O55" i="8"/>
  <c r="O58" i="8"/>
  <c r="N61" i="8"/>
  <c r="N64" i="8"/>
  <c r="N67" i="8"/>
  <c r="O69" i="8"/>
  <c r="N72" i="8"/>
  <c r="N75" i="8"/>
  <c r="O78" i="8"/>
  <c r="M81" i="8"/>
  <c r="O83" i="8"/>
  <c r="N86" i="8"/>
  <c r="N89" i="8"/>
  <c r="I15" i="8"/>
  <c r="I21" i="8"/>
  <c r="I30" i="8"/>
  <c r="I47" i="8"/>
  <c r="I62" i="8"/>
  <c r="I74" i="8"/>
  <c r="I93" i="8"/>
  <c r="I106" i="8"/>
  <c r="I119" i="8"/>
  <c r="I9" i="8"/>
  <c r="I28" i="8"/>
  <c r="I42" i="8"/>
  <c r="I55" i="8"/>
  <c r="I65" i="8"/>
  <c r="I83" i="8"/>
  <c r="I89" i="8"/>
  <c r="I104" i="8"/>
  <c r="I114" i="8"/>
  <c r="I128" i="8"/>
  <c r="I11" i="8"/>
  <c r="I37" i="8"/>
  <c r="I54" i="8"/>
  <c r="I73" i="8"/>
  <c r="I84" i="8"/>
  <c r="I107" i="8"/>
  <c r="I123" i="8"/>
  <c r="I136" i="8"/>
  <c r="I88" i="8"/>
  <c r="I135" i="8"/>
  <c r="I4" i="8"/>
  <c r="I20" i="8"/>
  <c r="I29" i="8"/>
  <c r="I38" i="8"/>
  <c r="I48" i="8"/>
  <c r="I59" i="8"/>
  <c r="I70" i="8"/>
  <c r="I79" i="8"/>
  <c r="I91" i="8"/>
  <c r="I99" i="8"/>
  <c r="I105" i="8"/>
  <c r="I122" i="8"/>
  <c r="I133" i="8"/>
  <c r="I8" i="8"/>
  <c r="I34" i="8"/>
  <c r="I49" i="8"/>
  <c r="I67" i="8"/>
  <c r="I75" i="8"/>
  <c r="I86" i="8"/>
  <c r="I111" i="8"/>
  <c r="I121" i="8"/>
  <c r="I134" i="8"/>
  <c r="I14" i="8"/>
  <c r="I25" i="8"/>
  <c r="I43" i="8"/>
  <c r="I57" i="8"/>
  <c r="I68" i="8"/>
  <c r="I78" i="8"/>
  <c r="I109" i="8"/>
  <c r="I126" i="8"/>
  <c r="I10" i="8"/>
  <c r="I27" i="8"/>
  <c r="I45" i="8"/>
  <c r="I60" i="8"/>
  <c r="I87" i="8"/>
  <c r="I100" i="8"/>
  <c r="I117" i="8"/>
  <c r="I7" i="8"/>
  <c r="I19" i="8"/>
  <c r="I36" i="8"/>
  <c r="I52" i="8"/>
  <c r="I69" i="8"/>
  <c r="I80" i="8"/>
  <c r="I90" i="8"/>
  <c r="I116" i="8"/>
  <c r="I127" i="8"/>
  <c r="I13" i="8"/>
  <c r="I26" i="8"/>
  <c r="I41" i="8"/>
  <c r="I50" i="8"/>
  <c r="I71" i="8"/>
  <c r="I81" i="8"/>
  <c r="I94" i="8"/>
  <c r="I101" i="8"/>
  <c r="I112" i="8"/>
  <c r="I129" i="8"/>
  <c r="I6" i="8"/>
  <c r="I23" i="8"/>
  <c r="I35" i="8"/>
  <c r="I46" i="8"/>
  <c r="I58" i="8"/>
  <c r="I66" i="8"/>
  <c r="I77" i="8"/>
  <c r="I95" i="8"/>
  <c r="I115" i="8"/>
  <c r="I125" i="8"/>
  <c r="I12" i="8"/>
  <c r="I18" i="8"/>
  <c r="I31" i="8"/>
  <c r="I39" i="8"/>
  <c r="I51" i="8"/>
  <c r="I61" i="8"/>
  <c r="I72" i="8"/>
  <c r="I82" i="8"/>
  <c r="I97" i="8"/>
  <c r="I102" i="8"/>
  <c r="I110" i="8"/>
  <c r="I120" i="8"/>
  <c r="I130" i="8"/>
  <c r="I5" i="8"/>
  <c r="I22" i="8"/>
  <c r="I33" i="8"/>
  <c r="I44" i="8"/>
  <c r="I56" i="8"/>
  <c r="I64" i="8"/>
  <c r="I85" i="8"/>
  <c r="I96" i="8"/>
  <c r="I108" i="8"/>
  <c r="I118" i="8"/>
  <c r="I131" i="8"/>
  <c r="I16" i="8"/>
  <c r="I17" i="8"/>
  <c r="I24" i="8"/>
  <c r="I32" i="8"/>
  <c r="I40" i="8"/>
  <c r="I53" i="8"/>
  <c r="I63" i="8"/>
  <c r="I76" i="8"/>
  <c r="I92" i="8"/>
  <c r="I98" i="8"/>
  <c r="I103" i="8"/>
  <c r="I113" i="8"/>
  <c r="I124" i="8"/>
  <c r="I132" i="8"/>
  <c r="E47" i="8" l="1"/>
  <c r="E49" i="8"/>
  <c r="E46" i="8"/>
  <c r="E42" i="8"/>
  <c r="E44" i="8"/>
  <c r="F44" i="8" s="1"/>
  <c r="E11" i="8"/>
  <c r="E19" i="8"/>
  <c r="E36" i="8"/>
  <c r="E8" i="8"/>
  <c r="E4" i="8"/>
  <c r="C9" i="7"/>
  <c r="E7" i="8"/>
  <c r="E9" i="8"/>
  <c r="E12" i="8"/>
  <c r="E23" i="8"/>
  <c r="E28" i="8"/>
  <c r="E25" i="8"/>
  <c r="E34" i="8"/>
  <c r="E6" i="8"/>
  <c r="E24" i="8"/>
  <c r="E32" i="8"/>
  <c r="E43" i="8"/>
  <c r="E30" i="8"/>
  <c r="E35" i="8"/>
  <c r="E22" i="8"/>
  <c r="E26" i="8"/>
  <c r="E31" i="8"/>
  <c r="E33" i="8"/>
  <c r="E38" i="8"/>
  <c r="E13" i="8"/>
  <c r="E20" i="8"/>
  <c r="E10" i="8"/>
  <c r="E14" i="8"/>
  <c r="E37" i="8"/>
  <c r="C6" i="7"/>
  <c r="P7" i="8"/>
  <c r="P19" i="8"/>
  <c r="P20" i="8"/>
  <c r="P38" i="8"/>
  <c r="Q38" i="8" s="1"/>
  <c r="P53" i="8"/>
  <c r="Q53" i="8" s="1"/>
  <c r="P66" i="8"/>
  <c r="P72" i="8"/>
  <c r="P76" i="8"/>
  <c r="P87" i="8"/>
  <c r="Q87" i="8" s="1"/>
  <c r="P9" i="8"/>
  <c r="P24" i="8"/>
  <c r="P32" i="8"/>
  <c r="P34" i="8"/>
  <c r="P49" i="8"/>
  <c r="P58" i="8"/>
  <c r="P84" i="8"/>
  <c r="P59" i="8"/>
  <c r="P63" i="8"/>
  <c r="P51" i="8"/>
  <c r="P62" i="8"/>
  <c r="P13" i="8"/>
  <c r="Q13" i="8" s="1"/>
  <c r="P27" i="8"/>
  <c r="P33" i="8"/>
  <c r="P35" i="8"/>
  <c r="P37" i="8"/>
  <c r="P39" i="8"/>
  <c r="P73" i="8"/>
  <c r="P82" i="8"/>
  <c r="Q82" i="8" s="1"/>
  <c r="P4" i="8"/>
  <c r="P10" i="8"/>
  <c r="P28" i="8"/>
  <c r="P46" i="8"/>
  <c r="P70" i="8"/>
  <c r="P78" i="8"/>
  <c r="P18" i="8"/>
  <c r="P22" i="8"/>
  <c r="Q22" i="8" s="1"/>
  <c r="P29" i="8"/>
  <c r="P31" i="8"/>
  <c r="Q31" i="8" s="1"/>
  <c r="P43" i="8"/>
  <c r="P50" i="8"/>
  <c r="Q50" i="8" s="1"/>
  <c r="P61" i="8"/>
  <c r="P64" i="8"/>
  <c r="P88" i="8"/>
  <c r="Q88" i="8" s="1"/>
  <c r="P16" i="8"/>
  <c r="P41" i="8"/>
  <c r="P54" i="8"/>
  <c r="P89" i="8"/>
  <c r="Q89" i="8" s="1"/>
  <c r="P6" i="8"/>
  <c r="P30" i="8"/>
  <c r="P36" i="8"/>
  <c r="P47" i="8"/>
  <c r="Q47" i="8" s="1"/>
  <c r="P56" i="8"/>
  <c r="P69" i="8"/>
  <c r="Q69" i="8" s="1"/>
  <c r="P86" i="8"/>
  <c r="P12" i="8"/>
  <c r="Q12" i="8" s="1"/>
  <c r="P15" i="8"/>
  <c r="P17" i="8"/>
  <c r="P40" i="8"/>
  <c r="P45" i="8"/>
  <c r="P60" i="8"/>
  <c r="P11" i="8"/>
  <c r="Q11" i="8" s="1"/>
  <c r="P25" i="8"/>
  <c r="P71" i="8"/>
  <c r="Q71" i="8" s="1"/>
  <c r="P75" i="8"/>
  <c r="P79" i="8"/>
  <c r="P48" i="8"/>
  <c r="P68" i="8"/>
  <c r="P74" i="8"/>
  <c r="P80" i="8"/>
  <c r="P8" i="8"/>
  <c r="Q8" i="8" s="1"/>
  <c r="P26" i="8"/>
  <c r="P42" i="8"/>
  <c r="P44" i="8"/>
  <c r="P57" i="8"/>
  <c r="P65" i="8"/>
  <c r="P85" i="8"/>
  <c r="P5" i="8"/>
  <c r="P14" i="8"/>
  <c r="P21" i="8"/>
  <c r="P23" i="8"/>
  <c r="P55" i="8"/>
  <c r="P77" i="8"/>
  <c r="P90" i="8"/>
  <c r="Q90" i="8" s="1"/>
  <c r="P52" i="8"/>
  <c r="P67" i="8"/>
  <c r="P83" i="8"/>
  <c r="Q83" i="8" s="1"/>
  <c r="E29" i="8"/>
  <c r="E5" i="8"/>
  <c r="E18" i="8"/>
  <c r="E27" i="8"/>
  <c r="E41" i="8"/>
  <c r="E15" i="8"/>
  <c r="E16" i="8"/>
  <c r="E17" i="8"/>
  <c r="E21" i="8"/>
  <c r="E39" i="8"/>
  <c r="E40" i="8"/>
  <c r="E45" i="8"/>
  <c r="P81" i="8"/>
  <c r="Q81" i="8" s="1"/>
  <c r="Q9" i="8" l="1"/>
  <c r="Q10" i="8"/>
  <c r="Q84" i="8"/>
  <c r="Q7" i="8" l="1"/>
  <c r="Q60" i="8" l="1"/>
  <c r="Q23" i="8" l="1"/>
  <c r="Q32" i="8"/>
  <c r="Q63" i="8"/>
  <c r="Q55" i="8"/>
  <c r="Q70" i="8"/>
  <c r="Q56" i="8" l="1"/>
  <c r="Q51" i="8"/>
  <c r="Q85" i="8"/>
  <c r="Q27" i="8"/>
  <c r="Q72" i="8"/>
  <c r="Q73" i="8" l="1"/>
  <c r="Q52" i="8"/>
  <c r="Q28" i="8"/>
  <c r="Q41" i="8"/>
  <c r="Q40" i="8"/>
  <c r="Q86" i="8"/>
  <c r="Q76" i="8"/>
  <c r="Q80" i="8" l="1"/>
  <c r="Q64" i="8"/>
  <c r="Q26" i="8"/>
  <c r="Q48" i="8"/>
  <c r="Q61" i="8"/>
  <c r="Q62" i="8"/>
  <c r="Q14" i="8"/>
  <c r="Q25" i="8"/>
  <c r="Q15" i="8"/>
  <c r="Q35" i="8"/>
  <c r="Q24" i="8"/>
  <c r="Q33" i="8"/>
  <c r="Q65" i="8"/>
  <c r="Q66" i="8"/>
  <c r="Q37" i="8"/>
  <c r="Q16" i="8"/>
  <c r="Q57" i="8"/>
  <c r="Q49" i="8"/>
  <c r="Q34" i="8"/>
  <c r="I3" i="8" l="1"/>
  <c r="J3" i="8" s="1"/>
  <c r="C3" i="8"/>
  <c r="E3" i="8" s="1"/>
  <c r="F3" i="8" s="1"/>
  <c r="D3" i="8"/>
  <c r="N3" i="8"/>
  <c r="O3" i="8"/>
  <c r="M3" i="8"/>
  <c r="P3" i="8" l="1"/>
  <c r="Q30" i="8" s="1"/>
  <c r="Q79" i="8"/>
  <c r="Q45" i="8"/>
  <c r="Q58" i="8"/>
  <c r="Q43" i="8"/>
  <c r="Q20" i="8"/>
  <c r="Q78" i="8"/>
  <c r="Q6" i="8"/>
  <c r="Q44" i="8"/>
  <c r="Q18" i="8"/>
  <c r="Q46" i="8"/>
  <c r="Q75" i="8"/>
  <c r="Q29" i="8"/>
  <c r="Q5" i="8"/>
  <c r="Q54" i="8"/>
  <c r="Q17" i="8"/>
  <c r="Q39" i="8"/>
  <c r="Q68" i="8"/>
  <c r="Q4" i="8"/>
  <c r="Q74" i="8"/>
  <c r="Q67" i="8"/>
  <c r="Q21" i="8"/>
  <c r="Q36" i="8"/>
  <c r="Q19" i="8"/>
  <c r="Q42" i="8"/>
  <c r="Q77" i="8"/>
  <c r="F7" i="8"/>
  <c r="F40" i="8"/>
  <c r="F33" i="8"/>
  <c r="F41" i="8"/>
  <c r="F29" i="8"/>
  <c r="F17" i="8"/>
  <c r="F25" i="8"/>
  <c r="F23" i="8"/>
  <c r="F19" i="8"/>
  <c r="F35" i="8"/>
  <c r="F20" i="8"/>
  <c r="F36" i="8"/>
  <c r="F6" i="8"/>
  <c r="F31" i="8"/>
  <c r="F34" i="8"/>
  <c r="F37" i="8"/>
  <c r="F30" i="8"/>
  <c r="F21" i="8"/>
  <c r="F38" i="8"/>
  <c r="F5" i="8"/>
  <c r="F15" i="8"/>
  <c r="F28" i="8"/>
  <c r="F22" i="8"/>
  <c r="F24" i="8"/>
  <c r="F32" i="8"/>
  <c r="F11" i="8"/>
  <c r="F14" i="8"/>
  <c r="F27" i="8"/>
  <c r="F10" i="8"/>
  <c r="F13" i="8"/>
  <c r="F16" i="8"/>
  <c r="F26" i="8"/>
  <c r="F8" i="8"/>
  <c r="F4" i="8"/>
  <c r="F42" i="8"/>
  <c r="F39" i="8"/>
  <c r="F12" i="8"/>
  <c r="F43" i="8"/>
  <c r="F9" i="8"/>
  <c r="F18" i="8"/>
  <c r="F49" i="8"/>
  <c r="F47" i="8"/>
  <c r="F45" i="8"/>
  <c r="F46" i="8"/>
  <c r="Q3" i="8"/>
  <c r="J14" i="8"/>
  <c r="J111" i="8"/>
  <c r="J19" i="8"/>
  <c r="J75" i="8"/>
  <c r="J20" i="8"/>
  <c r="J79" i="8"/>
  <c r="J27" i="8"/>
  <c r="J115" i="8"/>
  <c r="J76" i="8"/>
  <c r="J67" i="8"/>
  <c r="J104" i="8"/>
  <c r="J74" i="8"/>
  <c r="J54" i="8"/>
  <c r="J95" i="8"/>
  <c r="J94" i="8"/>
  <c r="J107" i="8"/>
  <c r="J23" i="8"/>
  <c r="J127" i="8"/>
  <c r="J18" i="8"/>
  <c r="J69" i="8"/>
  <c r="J60" i="8"/>
  <c r="J120" i="8"/>
  <c r="J32" i="8"/>
  <c r="J59" i="8"/>
  <c r="J125" i="8"/>
  <c r="J31" i="8"/>
  <c r="J80" i="8"/>
  <c r="J132" i="8"/>
  <c r="J123" i="8"/>
  <c r="J47" i="8"/>
  <c r="J89" i="8"/>
  <c r="J128" i="8"/>
  <c r="J49" i="8"/>
  <c r="J5" i="8"/>
  <c r="J103" i="8"/>
  <c r="J84" i="8"/>
  <c r="J131" i="8"/>
  <c r="J90" i="8"/>
  <c r="J72" i="8"/>
  <c r="J93" i="8"/>
  <c r="J77" i="8"/>
  <c r="J113" i="8"/>
  <c r="J43" i="8"/>
  <c r="J21" i="8"/>
  <c r="J92" i="8"/>
  <c r="J116" i="8"/>
  <c r="J82" i="8"/>
  <c r="J52" i="8"/>
  <c r="J29" i="8"/>
  <c r="J66" i="8"/>
  <c r="J28" i="8"/>
  <c r="J36" i="8"/>
  <c r="J83" i="8"/>
  <c r="J78" i="8"/>
  <c r="J26" i="8"/>
  <c r="J86" i="8"/>
  <c r="J34" i="8"/>
  <c r="J110" i="8"/>
  <c r="J35" i="8"/>
  <c r="J68" i="8"/>
  <c r="J46" i="8"/>
  <c r="J100" i="8"/>
  <c r="J9" i="8"/>
  <c r="J70" i="8"/>
  <c r="J33" i="8"/>
  <c r="J56" i="8"/>
  <c r="J15" i="8"/>
  <c r="J85" i="8"/>
  <c r="J50" i="8"/>
  <c r="J39" i="8"/>
  <c r="J81" i="8"/>
  <c r="J38" i="8"/>
  <c r="J106" i="8"/>
  <c r="J45" i="8"/>
  <c r="J122" i="8"/>
  <c r="J48" i="8"/>
  <c r="J17" i="8"/>
  <c r="J12" i="8"/>
  <c r="J64" i="8"/>
  <c r="J124" i="8"/>
  <c r="J24" i="8"/>
  <c r="J42" i="8"/>
  <c r="J109" i="8"/>
  <c r="J126" i="8"/>
  <c r="J97" i="8"/>
  <c r="J71" i="8"/>
  <c r="J102" i="8"/>
  <c r="J118" i="8"/>
  <c r="J105" i="8"/>
  <c r="J98" i="8"/>
  <c r="J91" i="8"/>
  <c r="J10" i="8"/>
  <c r="J130" i="8"/>
  <c r="J88" i="8"/>
  <c r="J44" i="8"/>
  <c r="J133" i="8"/>
  <c r="J62" i="8"/>
  <c r="J55" i="8"/>
  <c r="J4" i="8"/>
  <c r="J11" i="8"/>
  <c r="J73" i="8"/>
  <c r="J40" i="8"/>
  <c r="J30" i="8"/>
  <c r="J13" i="8"/>
  <c r="J8" i="8"/>
  <c r="J57" i="8"/>
  <c r="J6" i="8"/>
  <c r="J119" i="8"/>
  <c r="J65" i="8"/>
  <c r="J22" i="8"/>
  <c r="J16" i="8"/>
  <c r="J121" i="8"/>
  <c r="J53" i="8"/>
  <c r="J108" i="8"/>
  <c r="J7" i="8"/>
  <c r="J25" i="8"/>
  <c r="J96" i="8"/>
  <c r="J37" i="8"/>
  <c r="J61" i="8"/>
  <c r="J101" i="8"/>
  <c r="J87" i="8"/>
  <c r="J117" i="8"/>
  <c r="J41" i="8"/>
  <c r="J63" i="8"/>
  <c r="J58" i="8"/>
  <c r="J51" i="8"/>
  <c r="J99" i="8"/>
  <c r="J114" i="8"/>
  <c r="J112" i="8"/>
  <c r="J129" i="8"/>
  <c r="J134" i="8"/>
  <c r="Q59" i="8" l="1"/>
  <c r="Q98" i="8"/>
  <c r="Q97" i="8"/>
  <c r="Q96" i="8"/>
  <c r="Q91" i="8"/>
  <c r="D27" i="7"/>
  <c r="D29" i="7" s="1"/>
  <c r="F29" i="7" s="1"/>
  <c r="A27" i="7"/>
  <c r="A29" i="7" s="1"/>
  <c r="B29" i="7" s="1"/>
  <c r="G27" i="7" l="1"/>
  <c r="G29" i="7" s="1"/>
  <c r="H29" i="7" s="1"/>
  <c r="D30" i="7"/>
  <c r="E30" i="7" s="1"/>
  <c r="E29" i="7"/>
  <c r="A30" i="7"/>
  <c r="B30" i="7" s="1"/>
  <c r="C29" i="7"/>
  <c r="G30" i="7" l="1"/>
  <c r="I29" i="7"/>
  <c r="C30" i="7"/>
  <c r="D31" i="7"/>
  <c r="F31" i="7" s="1"/>
  <c r="F30" i="7"/>
  <c r="A31" i="7"/>
  <c r="C31" i="7" s="1"/>
  <c r="G31" i="7"/>
  <c r="H30" i="7"/>
  <c r="I30" i="7"/>
  <c r="B31" i="7" l="1"/>
  <c r="D32" i="7"/>
  <c r="E32" i="7" s="1"/>
  <c r="E31" i="7"/>
  <c r="A32" i="7"/>
  <c r="C32" i="7" s="1"/>
  <c r="I31" i="7"/>
  <c r="H31" i="7"/>
  <c r="G32" i="7"/>
  <c r="B32" i="7" l="1"/>
  <c r="A33" i="7"/>
  <c r="F32" i="7"/>
  <c r="D33" i="7"/>
  <c r="F33" i="7" s="1"/>
  <c r="I32" i="7"/>
  <c r="G33" i="7"/>
  <c r="H32" i="7"/>
  <c r="C33" i="7"/>
  <c r="B33" i="7"/>
  <c r="A34" i="7"/>
  <c r="D34" i="7" l="1"/>
  <c r="E34" i="7" s="1"/>
  <c r="E33" i="7"/>
  <c r="I33" i="7"/>
  <c r="H33" i="7"/>
  <c r="G34" i="7"/>
  <c r="C34" i="7"/>
  <c r="A35" i="7"/>
  <c r="B34" i="7"/>
  <c r="D35" i="7" l="1"/>
  <c r="E35" i="7" s="1"/>
  <c r="F34" i="7"/>
  <c r="B35" i="7"/>
  <c r="C35" i="7"/>
  <c r="A36" i="7"/>
  <c r="G35" i="7"/>
  <c r="I34" i="7"/>
  <c r="H34" i="7"/>
  <c r="D36" i="7" l="1"/>
  <c r="D37" i="7" s="1"/>
  <c r="F35" i="7"/>
  <c r="I35" i="7"/>
  <c r="G36" i="7"/>
  <c r="H35" i="7"/>
  <c r="C36" i="7"/>
  <c r="B36" i="7"/>
  <c r="A37" i="7"/>
  <c r="F36" i="7"/>
  <c r="E36" i="7" l="1"/>
  <c r="F37" i="7"/>
  <c r="D38" i="7"/>
  <c r="E37" i="7"/>
  <c r="A38" i="7"/>
  <c r="C37" i="7"/>
  <c r="B37" i="7"/>
  <c r="I36" i="7"/>
  <c r="G37" i="7"/>
  <c r="H36" i="7"/>
  <c r="I37" i="7" l="1"/>
  <c r="G38" i="7"/>
  <c r="H37" i="7"/>
  <c r="A39" i="7"/>
  <c r="B38" i="7"/>
  <c r="C38" i="7"/>
  <c r="D39" i="7"/>
  <c r="F38" i="7"/>
  <c r="E38" i="7"/>
  <c r="F39" i="7" l="1"/>
  <c r="D40" i="7"/>
  <c r="E39" i="7"/>
  <c r="A40" i="7"/>
  <c r="B39" i="7"/>
  <c r="C39" i="7"/>
  <c r="H38" i="7"/>
  <c r="G39" i="7"/>
  <c r="I38" i="7"/>
  <c r="H39" i="7" l="1"/>
  <c r="I39" i="7"/>
  <c r="G40" i="7"/>
  <c r="A41" i="7"/>
  <c r="C40" i="7"/>
  <c r="B40" i="7"/>
  <c r="D41" i="7"/>
  <c r="E40" i="7"/>
  <c r="F40" i="7"/>
  <c r="A42" i="7" l="1"/>
  <c r="C41" i="7"/>
  <c r="B41" i="7"/>
  <c r="E41" i="7"/>
  <c r="D42" i="7"/>
  <c r="F41" i="7"/>
  <c r="I40" i="7"/>
  <c r="G41" i="7"/>
  <c r="H40" i="7"/>
  <c r="H41" i="7" l="1"/>
  <c r="I41" i="7"/>
  <c r="G42" i="7"/>
  <c r="D43" i="7"/>
  <c r="F42" i="7"/>
  <c r="E42" i="7"/>
  <c r="A43" i="7"/>
  <c r="B42" i="7"/>
  <c r="C42" i="7"/>
  <c r="C43" i="7" l="1"/>
  <c r="B43" i="7"/>
  <c r="A44" i="7"/>
  <c r="D44" i="7"/>
  <c r="E43" i="7"/>
  <c r="F43" i="7"/>
  <c r="H42" i="7"/>
  <c r="I42" i="7"/>
  <c r="G43" i="7"/>
  <c r="D45" i="7" l="1"/>
  <c r="E44" i="7"/>
  <c r="F44" i="7"/>
  <c r="C44" i="7"/>
  <c r="B44" i="7"/>
  <c r="A45" i="7"/>
  <c r="I43" i="7"/>
  <c r="H43" i="7"/>
  <c r="G44" i="7"/>
  <c r="A46" i="7" l="1"/>
  <c r="B45" i="7"/>
  <c r="C45" i="7"/>
  <c r="G45" i="7"/>
  <c r="H44" i="7"/>
  <c r="I44" i="7"/>
  <c r="F45" i="7"/>
  <c r="E45" i="7"/>
  <c r="D46" i="7"/>
  <c r="I45" i="7" l="1"/>
  <c r="H45" i="7"/>
  <c r="G46" i="7"/>
  <c r="D47" i="7"/>
  <c r="E46" i="7"/>
  <c r="F46" i="7"/>
  <c r="B46" i="7"/>
  <c r="C46" i="7"/>
  <c r="A47" i="7"/>
  <c r="D48" i="7" l="1"/>
  <c r="F47" i="7"/>
  <c r="E47" i="7"/>
  <c r="G47" i="7"/>
  <c r="I46" i="7"/>
  <c r="H46" i="7"/>
  <c r="B47" i="7"/>
  <c r="A48" i="7"/>
  <c r="C47" i="7"/>
  <c r="B48" i="7" l="1"/>
  <c r="C48" i="7"/>
  <c r="H47" i="7"/>
  <c r="G48" i="7"/>
  <c r="I47" i="7"/>
  <c r="F48" i="7"/>
  <c r="E48" i="7"/>
  <c r="I48" i="7" l="1"/>
  <c r="H4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<sst xmlns="http://schemas.openxmlformats.org/spreadsheetml/2006/main" count="73405" uniqueCount="9558">
  <si>
    <t>"Await" entries are taken from the company news announcements and are still to be finalised - therefore they may be subject to change.</t>
  </si>
  <si>
    <t>Year</t>
  </si>
  <si>
    <t>Month</t>
  </si>
  <si>
    <t>Event</t>
  </si>
  <si>
    <t>Management group</t>
  </si>
  <si>
    <t>AIC sector</t>
  </si>
  <si>
    <t>Additional</t>
  </si>
  <si>
    <t>Total assets (£m)</t>
  </si>
  <si>
    <t>Rollover assets (£m)</t>
  </si>
  <si>
    <t>Bank debt (£m)</t>
  </si>
  <si>
    <t>Other info</t>
  </si>
  <si>
    <t>Domicile</t>
  </si>
  <si>
    <t>Listing</t>
  </si>
  <si>
    <t>Await entries are taken from the company news announcements and are still to be finalised, therefore they may be subject to change.</t>
  </si>
  <si>
    <t>Rollover assets</t>
  </si>
  <si>
    <t>Bank debt</t>
  </si>
  <si>
    <t>Capital Change</t>
  </si>
  <si>
    <t>Capital Distribution</t>
  </si>
  <si>
    <t>Convert</t>
  </si>
  <si>
    <t>Issue</t>
  </si>
  <si>
    <t>Management change</t>
  </si>
  <si>
    <t>New Management</t>
  </si>
  <si>
    <t>New Name</t>
  </si>
  <si>
    <t>Policy Change</t>
  </si>
  <si>
    <t>Reconstruct/Depart</t>
  </si>
  <si>
    <t>Merge</t>
  </si>
  <si>
    <t>Merge/Depart</t>
  </si>
  <si>
    <t>Tender Offer</t>
  </si>
  <si>
    <t>Depart/Liquidate</t>
  </si>
  <si>
    <t>MG Merge</t>
  </si>
  <si>
    <t>Use</t>
  </si>
  <si>
    <t>Capital Redemption</t>
  </si>
  <si>
    <t>Capital Reorganisation</t>
  </si>
  <si>
    <t>Capital Reorganisation/Depart</t>
  </si>
  <si>
    <t>Capital Reorganisation/Issue</t>
  </si>
  <si>
    <t>Used for a company who is liquidating in its entirety and returning all cash to shareholders.</t>
  </si>
  <si>
    <t>Domicile Change</t>
  </si>
  <si>
    <t>Issue (C share)</t>
  </si>
  <si>
    <t>Issue (Rollover)</t>
  </si>
  <si>
    <t>Used when an existing company accepts a rollover of new shares from a departing company.</t>
  </si>
  <si>
    <t>Issue (Subscription shares)</t>
  </si>
  <si>
    <t>Issue (Warrants)</t>
  </si>
  <si>
    <t>Listing Change</t>
  </si>
  <si>
    <t>Used when a company switches Stock Exchanges or adds or removes an additional exchange.</t>
  </si>
  <si>
    <t>MG Name Change</t>
  </si>
  <si>
    <t>MG New Name</t>
  </si>
  <si>
    <t>Name Change</t>
  </si>
  <si>
    <t>New issue</t>
  </si>
  <si>
    <t>New Issue (existing assets)</t>
  </si>
  <si>
    <t>Used for new IPOs and any monies that the listing company previously had prior to the fundraising opportunity.</t>
  </si>
  <si>
    <t>New issue (pool)</t>
  </si>
  <si>
    <t>When a company issues or splits to creates a new share pool with a separate portfolio of assets.</t>
  </si>
  <si>
    <t>New Issue/Rollover</t>
  </si>
  <si>
    <t>Details a change in investment policy or objective, including the date of the meeting at which the change was made.</t>
  </si>
  <si>
    <t>Realisation Policy</t>
  </si>
  <si>
    <t>Used when a company adopts a sole investment policy to realise assets as and where possible and return cash to shareholders, usually adopted ahead of an upcoming liquidation.</t>
  </si>
  <si>
    <t>Used for a company departing the AIC universe, via a rollover and cash exit option as opposed to a full liquidation of assets.</t>
  </si>
  <si>
    <t>Reconstruct/Depart (Pool)</t>
  </si>
  <si>
    <t>Used for share splits and consolidations as well as bonus issues of subscription shares.</t>
  </si>
  <si>
    <t>Used for the distribution of capital by way of an issue and subsequent repurchase of B shares.</t>
  </si>
  <si>
    <t>Primarily used for the departure of pools or additional share classes not covered elsewhere.</t>
  </si>
  <si>
    <t>Used for issues of new ZDP shares.</t>
  </si>
  <si>
    <t>A final redemption of ZDP shares.</t>
  </si>
  <si>
    <t>Used for a conversion of C shares.</t>
  </si>
  <si>
    <t>For when a company changes domicile.</t>
  </si>
  <si>
    <t>An issue of fundraising via the creation of new ordinary shares, either through blocklisting, open offer, intermediaries offer, placing under placing programme etc.</t>
  </si>
  <si>
    <t>A new issue of C shares from an existing company.</t>
  </si>
  <si>
    <t>An issue of subscription shares.</t>
  </si>
  <si>
    <t>An issue of warrants.</t>
  </si>
  <si>
    <t>Denotes a Management group change, part of a pair of entries with "New management" - this is the "to" entry.</t>
  </si>
  <si>
    <t>Denotes a Management group change, part of a pair of entries with "Management change" - this is the "from" entry.</t>
  </si>
  <si>
    <t>Denotes  company merger, part of a pair of entries with "Merge/Depart" - this entry is used for the continuing company.</t>
  </si>
  <si>
    <t>Denotes  company merger, part of a pair of entries with "Merge/Depart" - this entry is used for the departing company.</t>
  </si>
  <si>
    <t>Denotes a merger of two management groups.</t>
  </si>
  <si>
    <t>Denotes a name change from a Management group, part of a pair of entries with "MG new name" - this is the "to" entry.</t>
  </si>
  <si>
    <t>Denotes a name change from a Management group, part of a pair of entries with "MG name change" - this is the "from" entry.</t>
  </si>
  <si>
    <t>Denotes a name change, part of a pair of entries with "New name" - this is the "to" entry.</t>
  </si>
  <si>
    <t>Denotes a name change, part of a pair of entries with "Name change" - this is the "from" entry.</t>
  </si>
  <si>
    <t>Used for new IPOs and any monies raised as part of the IPO fundraising.</t>
  </si>
  <si>
    <t>Similar to Issue/Rollover, only this is used when a newly created company takes on a departing companies assets.</t>
  </si>
  <si>
    <t>When a company has a share pool and the assets are fully realised but another pool of that fund still exists.</t>
  </si>
  <si>
    <t>Denotes an AIC sector change, part of a pair of entries with "New sector" - this is the "from" entry.</t>
  </si>
  <si>
    <t>Denotes an AIC sector change, part of a pair of entries with "Sector change" - this is the "from" entry.</t>
  </si>
  <si>
    <t>Denotes a change of name for a particular AIC sector.</t>
  </si>
  <si>
    <t>Used for a tender offer of shares (may be part of a regular tender offer scheme).</t>
  </si>
  <si>
    <t>Used to record when capital is returned to shareholders by way of a voluntary or compulsory redemptions of shares (may be part of a regular redemption policy).</t>
  </si>
  <si>
    <t>Trading status</t>
  </si>
  <si>
    <t>Denotes a change in trading status, either a suspension or a suspension being lifted.</t>
  </si>
  <si>
    <t>Tax status change</t>
  </si>
  <si>
    <t>Used for when a company changes its tax status without making other changes.</t>
  </si>
  <si>
    <t>Issue (from treasury)</t>
  </si>
  <si>
    <t>A reissue of a ordinary shares from a company's existing pool of treasury shares.</t>
  </si>
  <si>
    <t>Tender offer</t>
  </si>
  <si>
    <t>Realisation policy</t>
  </si>
  <si>
    <t>Listing change</t>
  </si>
  <si>
    <t>New name</t>
  </si>
  <si>
    <t>Company name</t>
  </si>
  <si>
    <t>Buyback</t>
  </si>
  <si>
    <t>Target sought</t>
  </si>
  <si>
    <t>Over-allotment value</t>
  </si>
  <si>
    <t>Over-allotment utilised</t>
  </si>
  <si>
    <t>Open date</t>
  </si>
  <si>
    <t>Tax year 1</t>
  </si>
  <si>
    <t>Tax year 1 funds raised</t>
  </si>
  <si>
    <t>Tax year 2</t>
  </si>
  <si>
    <t>Tax year 2 funds raised</t>
  </si>
  <si>
    <t>Close date</t>
  </si>
  <si>
    <t>Total assets (million)</t>
  </si>
  <si>
    <t>Issue (DRIS)</t>
  </si>
  <si>
    <t>2025/26</t>
  </si>
  <si>
    <t>Fee change</t>
  </si>
  <si>
    <t>Closed offer for subscription</t>
  </si>
  <si>
    <t>Open offer for subscription</t>
  </si>
  <si>
    <t>Transactions effective under offer are listed as a single row (Issue) as well as a cumulative total under 'Open offer for subscription' from tax year 2026/27 onwards.</t>
  </si>
  <si>
    <t>Used when a company repurchases its own shares through on-market purchases or other buyback mechanisms.</t>
  </si>
  <si>
    <t>Used when there is a change to a fund's management fee and/or performance fee.</t>
  </si>
  <si>
    <t>Used to record the closure of a subscription offer period, after which no further applications for shares may be accepted. (VCT only)</t>
  </si>
  <si>
    <t>An issue of shares under a Dividend Reinvestment Scheme (DRIS), where shareholders elect to receive additional shares instead of cash dividends.</t>
  </si>
  <si>
    <t>Used to record the opening of a subscription offer period during which investors may apply for new shares. (VCT only)</t>
  </si>
  <si>
    <t>Please note that there are five tabs included in this document: Conventional, Issuance, Buybacks, VCT and Definitions</t>
  </si>
  <si>
    <t>Event type</t>
  </si>
  <si>
    <t>Capital change</t>
  </si>
  <si>
    <t>Domicile change</t>
  </si>
  <si>
    <t>New management</t>
  </si>
  <si>
    <t>Capital distribution</t>
  </si>
  <si>
    <t>Capital redemption</t>
  </si>
  <si>
    <t>Depart/liquidate</t>
  </si>
  <si>
    <t>Reconstruct/depart</t>
  </si>
  <si>
    <t>Total</t>
  </si>
  <si>
    <t>Buybacks</t>
  </si>
  <si>
    <t>Rank</t>
  </si>
  <si>
    <t>TotaL</t>
  </si>
  <si>
    <t>Other tenders / redemptions (£m)</t>
  </si>
  <si>
    <t>Departure month</t>
  </si>
  <si>
    <t>Company departures</t>
  </si>
  <si>
    <t>Top 20 companies 
(Issuance)</t>
  </si>
  <si>
    <t>Top 20 companies 
(Buybacks)</t>
  </si>
  <si>
    <t>Top 20 companies 
(Other tenders / redemptions)</t>
  </si>
  <si>
    <t>Open</t>
  </si>
  <si>
    <t>Value (£m) YTD</t>
  </si>
  <si>
    <t>Corporate activity 2026 YTD</t>
  </si>
  <si>
    <t>Issuance 
(£m)</t>
  </si>
  <si>
    <t>Buybacks 
(£m)</t>
  </si>
  <si>
    <t>Assets at departure 
(£m)</t>
  </si>
  <si>
    <t>Issuance</t>
  </si>
  <si>
    <t>Tenders &amp; redemptions</t>
  </si>
  <si>
    <t>IPOs</t>
  </si>
  <si>
    <t>Fundraising</t>
  </si>
  <si>
    <t>Total assets in 
(£m)</t>
  </si>
  <si>
    <t>Total assets out
(£m)</t>
  </si>
  <si>
    <t>Investment policy change</t>
  </si>
  <si>
    <t>IPO</t>
  </si>
  <si>
    <t>Merger</t>
  </si>
  <si>
    <t>New AIC sector</t>
  </si>
  <si>
    <t>AIC sector Change</t>
  </si>
  <si>
    <t>AIC sector change</t>
  </si>
  <si>
    <t>AIC sector name change</t>
  </si>
  <si>
    <t>No. of VCT offers</t>
  </si>
  <si>
    <t>Pending offer</t>
  </si>
  <si>
    <t>A VCT that has announced an upcoming offer for subscription but has not yet opened.</t>
  </si>
  <si>
    <t>VCT event type (by calendar year)</t>
  </si>
  <si>
    <t>Tax year</t>
  </si>
  <si>
    <t>DRIS</t>
  </si>
  <si>
    <t>2026/27 to date</t>
  </si>
  <si>
    <t>Current</t>
  </si>
  <si>
    <t>TA-(Roll+Bankd)</t>
  </si>
  <si>
    <t>Produced by theaic.co.uk, 1st August 2026. Please note that, whilst we endeavour to verify all data sources, the information contained is not guaranteed to be accurate and the AIC does not accept responsibility for any errors or omissions.</t>
  </si>
  <si>
    <t>Jan</t>
  </si>
  <si>
    <t>Aquila European Renewables</t>
  </si>
  <si>
    <t>LMS Capital</t>
  </si>
  <si>
    <t>Ashoka WhiteOak Emerging Markets</t>
  </si>
  <si>
    <t>JPEL Private Equity</t>
  </si>
  <si>
    <t>Doric Nimrod Air Three</t>
  </si>
  <si>
    <t>PRS REIT</t>
  </si>
  <si>
    <t>Management Change</t>
  </si>
  <si>
    <t>Global Opportunities</t>
  </si>
  <si>
    <t>Volta Finance</t>
  </si>
  <si>
    <t>N/A</t>
  </si>
  <si>
    <t>JPMorgan Global Emerging Markets Income</t>
  </si>
  <si>
    <t>JPMorgan Emerging Markets Dividend Income</t>
  </si>
  <si>
    <t>AVI Japan Opportunity Trust</t>
  </si>
  <si>
    <t>TwentyFour Select Monthly Income</t>
  </si>
  <si>
    <t>Vietnam Enterprise Investments</t>
  </si>
  <si>
    <t>Feb</t>
  </si>
  <si>
    <t>abrdn Diversified Income &amp; Growth</t>
  </si>
  <si>
    <t>JPMorgan Global Core Real Assets</t>
  </si>
  <si>
    <t>Starwood European Real Estate Finance</t>
  </si>
  <si>
    <t>Schiehallion Fund</t>
  </si>
  <si>
    <t>Invesco Global Equity Income Trust</t>
  </si>
  <si>
    <t xml:space="preserve">Franklin Global Trust </t>
  </si>
  <si>
    <t>Smithson</t>
  </si>
  <si>
    <t>Strategic Equity Capital</t>
  </si>
  <si>
    <t>Mar</t>
  </si>
  <si>
    <t>Riverstone Credit Opportunities Income</t>
  </si>
  <si>
    <t>Bellevue Healthcare Trust</t>
  </si>
  <si>
    <t>Murray Income</t>
  </si>
  <si>
    <t>Aberdeen Equity Income Trust</t>
  </si>
  <si>
    <t>Shires Income</t>
  </si>
  <si>
    <t>CT Healthcare Trust</t>
  </si>
  <si>
    <t>Syncona</t>
  </si>
  <si>
    <t>Chrysalis Investments</t>
  </si>
  <si>
    <t>Baillie Gifford Shin Nippon</t>
  </si>
  <si>
    <t>BlackRock Frontiers</t>
  </si>
  <si>
    <t>Apr</t>
  </si>
  <si>
    <t>Fair Oaks Income 2021</t>
  </si>
  <si>
    <t>Digital 9 Infrastructure</t>
  </si>
  <si>
    <t>Riverstone Energy</t>
  </si>
  <si>
    <t>Cordiant Digital Infrastructure</t>
  </si>
  <si>
    <t>Onward Opportunities</t>
  </si>
  <si>
    <t>Aquila Energy Efficiency</t>
  </si>
  <si>
    <t>Crystal Amber Fund</t>
  </si>
  <si>
    <t>BlackRock Smaller Companies</t>
  </si>
  <si>
    <t>BlackRock Throgmorton Trust</t>
  </si>
  <si>
    <t>Name change</t>
  </si>
  <si>
    <t>Parvus Energy Efficiency Trust</t>
  </si>
  <si>
    <t>Policy change</t>
  </si>
  <si>
    <t>Scottish Mortgage</t>
  </si>
  <si>
    <t>Hydrogen Capital Growth</t>
  </si>
  <si>
    <t>Life Science REIT</t>
  </si>
  <si>
    <t>CVC Income &amp; Growth</t>
  </si>
  <si>
    <t>Tetragon Financial Group</t>
  </si>
  <si>
    <t>Home REIT</t>
  </si>
  <si>
    <t>May</t>
  </si>
  <si>
    <t>AIC sector Name Change</t>
  </si>
  <si>
    <t>Biotech Growth Trust</t>
  </si>
  <si>
    <t>International Biotechnology</t>
  </si>
  <si>
    <t>Polar Capital Global Healthcare</t>
  </si>
  <si>
    <t>RTW Biotech Opportunities</t>
  </si>
  <si>
    <t>Worldwide Healthcare Trust</t>
  </si>
  <si>
    <t>F&amp;C Investment Trust</t>
  </si>
  <si>
    <t>abrdn European Logistics Income</t>
  </si>
  <si>
    <t>Ecofin US Renewables Infrastructure</t>
  </si>
  <si>
    <t>Augmentum Fintech</t>
  </si>
  <si>
    <t>Bailiwick Investments</t>
  </si>
  <si>
    <t>Impax Environmental Markets</t>
  </si>
  <si>
    <t>RM Infrastructure Income</t>
  </si>
  <si>
    <t>Diverse Income Trust</t>
  </si>
  <si>
    <t>Jun</t>
  </si>
  <si>
    <t>Investment Company</t>
  </si>
  <si>
    <t>GCP Asset Backed Income</t>
  </si>
  <si>
    <t>Phoenix Spree Deutschland</t>
  </si>
  <si>
    <t>Amedeo Air Four Plus</t>
  </si>
  <si>
    <t>India Capital Growth</t>
  </si>
  <si>
    <t>River UK Micro Cap</t>
  </si>
  <si>
    <t>NB Private Equity Partners</t>
  </si>
  <si>
    <t>Social Housing REIT</t>
  </si>
  <si>
    <t>Living REIT</t>
  </si>
  <si>
    <t>Neuberger Private Equity Partners</t>
  </si>
  <si>
    <t>BlackRock Latin American</t>
  </si>
  <si>
    <t>Jul</t>
  </si>
  <si>
    <t>Capital Gearing Trust</t>
  </si>
  <si>
    <t>Bluefield Solar Income Fund</t>
  </si>
  <si>
    <t>SDCL Efficiency Income</t>
  </si>
  <si>
    <t>Herald Investment Trust</t>
  </si>
  <si>
    <t>Montanaro European Smaller Companies</t>
  </si>
  <si>
    <t>RIT Capital Partners</t>
  </si>
  <si>
    <t>Ceiba Investments</t>
  </si>
  <si>
    <t>Await 2026</t>
  </si>
  <si>
    <t>Aug</t>
  </si>
  <si>
    <t>European Opportunities</t>
  </si>
  <si>
    <t>Schroder UK Mid Cap Fund</t>
  </si>
  <si>
    <t>Sep</t>
  </si>
  <si>
    <t>Schroders Capital Global Innovation</t>
  </si>
  <si>
    <t>Dec</t>
  </si>
  <si>
    <t>Restructure</t>
  </si>
  <si>
    <t>Schroder BSC Social Impact</t>
  </si>
  <si>
    <t>TBA</t>
  </si>
  <si>
    <t>Issue (existing assets)</t>
  </si>
  <si>
    <t>AEW UK REIT</t>
  </si>
  <si>
    <t>Golden Prospect Precious Metals</t>
  </si>
  <si>
    <t>Schroder Asian Total Return</t>
  </si>
  <si>
    <t>Pacific Assets</t>
  </si>
  <si>
    <t>HarbourVest Global Private Equity</t>
  </si>
  <si>
    <t>Await 2027</t>
  </si>
  <si>
    <t>Schroder British Opportunities</t>
  </si>
  <si>
    <t>Await TBA</t>
  </si>
  <si>
    <t>Alternative Income REIT</t>
  </si>
  <si>
    <t>Merge (existing assets)</t>
  </si>
  <si>
    <t>Schroder Real Estate</t>
  </si>
  <si>
    <t>Schroder European Real Estate</t>
  </si>
  <si>
    <t>NextEnergy Solar</t>
  </si>
  <si>
    <t>Aquila Capital Investment</t>
  </si>
  <si>
    <t>Renewable Energy Infrastructure</t>
  </si>
  <si>
    <t>The company made a capital distribution of approximately €34,000,00 (£29,400,000) to shareholders by way of an issue and subsequent repurchase of B shares on 29/01/2026.</t>
  </si>
  <si>
    <t>Private Equity</t>
  </si>
  <si>
    <t>The company made a capital distribution of £1,614,549 to shareholders by way of an issue and subsequent repurchase of B shares on 19/01/2025.</t>
  </si>
  <si>
    <t>Acorn Asset Management</t>
  </si>
  <si>
    <t>Global Emerging Markets</t>
  </si>
  <si>
    <t>92,088 shares redeemed at a price of 148.99p per share resulting in £137,202 departing on 15/01/2025.</t>
  </si>
  <si>
    <t>Fortress Investment Group</t>
  </si>
  <si>
    <t>4,545,267 shares redeemed at a price of 98p per share resulting in £4,461,816 departing on 13/01/2025.</t>
  </si>
  <si>
    <t>Doric Partners</t>
  </si>
  <si>
    <t>Leasing</t>
  </si>
  <si>
    <t>Liquidated. No rollover vehicle. Cancellation was effective on 16/01/2026.</t>
  </si>
  <si>
    <t>Sigma Capital</t>
  </si>
  <si>
    <t>Property - UK Residential</t>
  </si>
  <si>
    <t>Liquidated. No rollover vehicle. Cancellation was effective on 06/01/2026.</t>
  </si>
  <si>
    <t>The company cancelled its listing on Euronext Growth Dublin on 19/01/26. The company will retain its listing on the Premium Segment of the Main exchange of the London Stock Exchange.</t>
  </si>
  <si>
    <t>Global</t>
  </si>
  <si>
    <t>to Goodhart Partners. Company is no longer self-managed.</t>
  </si>
  <si>
    <t>AXA Investment Managers</t>
  </si>
  <si>
    <t>Debt - Structured Finance</t>
  </si>
  <si>
    <t>to BNP Paribas Asset Management</t>
  </si>
  <si>
    <t>BNP Paribas Asset Management</t>
  </si>
  <si>
    <t>AXA Investment Managers Paris merged with BNP Asset management</t>
  </si>
  <si>
    <t>SVM Asset Management</t>
  </si>
  <si>
    <t>to RGI Fund Management</t>
  </si>
  <si>
    <t>RGI Fund Management</t>
  </si>
  <si>
    <t>from SVM Asset Management</t>
  </si>
  <si>
    <t>J.P. Morgan Asset Management</t>
  </si>
  <si>
    <t>to JPMorgan Emerging Markets Dividend Income</t>
  </si>
  <si>
    <t>Goodhart Partners</t>
  </si>
  <si>
    <t>from Global Opportunities. Company is no longer self-managed.</t>
  </si>
  <si>
    <t>from AXA Investment Managers</t>
  </si>
  <si>
    <t>from JPMorgan Global Emerging Markets Income</t>
  </si>
  <si>
    <t>Asset Value Investors</t>
  </si>
  <si>
    <t>Japanese Smaller Companies</t>
  </si>
  <si>
    <t>26,899,713 shares tendered at a price of 173.76p per share resulting in £46,740,591 departing.</t>
  </si>
  <si>
    <t>TwentyFour Asset Management</t>
  </si>
  <si>
    <t>Debt - Loans &amp; Bonds</t>
  </si>
  <si>
    <t>303,278 shares tendered at a price of 87.07p per share resulting in £264,064 departing.</t>
  </si>
  <si>
    <t>Dragon Capital</t>
  </si>
  <si>
    <t>Country Specialist</t>
  </si>
  <si>
    <t>16,108,143 shares tendered at a price of 914.82p per share resulting in £147,360,514 departing.</t>
  </si>
  <si>
    <t>abrdn</t>
  </si>
  <si>
    <t>Flexible Investment</t>
  </si>
  <si>
    <t>The company made a capital distribution of £43,700,000 to shareholders by way of an issue and subsequent repurchase of B shares on 27/02/2025.</t>
  </si>
  <si>
    <t xml:space="preserve"> 21,827,843 shares redeemed at a price of 94.06p per share resulting in £20,530,355 departing on 06/02/2025.</t>
  </si>
  <si>
    <t>Starwood European Finance Partners</t>
  </si>
  <si>
    <t>Property - Debt</t>
  </si>
  <si>
    <t>Liquidated. No rollover vehicle. Cancellation was effective on 27/02/2026.</t>
  </si>
  <si>
    <t>Baillie Gifford</t>
  </si>
  <si>
    <t>Growth Capital</t>
  </si>
  <si>
    <t>The company has re-domiciled to the UK from Guernsey.</t>
  </si>
  <si>
    <t>Invesco Asset Management</t>
  </si>
  <si>
    <t>Global Equity Income</t>
  </si>
  <si>
    <t xml:space="preserve">The company merged with Franklin Global Trust , with Invesco Global Equity Income Trust being the continuing company. Franklin Global shareholders were entitled receive new IGET shares and/or cash. Shareholders approved the scheme at the general meeting held on 18/02/2026. </t>
  </si>
  <si>
    <t>Franklin Templeton Investments</t>
  </si>
  <si>
    <t xml:space="preserve">The company merged with Invesco Global Equity Income Trust, with Invesco Global Equity Income Trust being the continuing company. Franklin Global shareholders were entitled receive new IGET shares and/or cash. Shareholders approved the scheme at the general meeting held on 18/02/2026. </t>
  </si>
  <si>
    <t>Fundsmith</t>
  </si>
  <si>
    <t>Global Smaller Companies</t>
  </si>
  <si>
    <t>Liquidated. The company wound up into a new open-ended fund, with 58.64% of shares opting for a cash exit. The scheme resolutions passed at the general meetings, the first of which was held on 10/02/2026 and the second on 25/02/2026, with the expected scheme effective date and liquidators appointed on 27/02/2026.</t>
  </si>
  <si>
    <t>Gresham House Asset Management</t>
  </si>
  <si>
    <t>UK Smaller Companies</t>
  </si>
  <si>
    <t>2,444,164 shares at an average price of 410p per share resulting in £10,021,072 departing.</t>
  </si>
  <si>
    <t>The company made a capital distribution of approximately €20,000,000 (£17,400,000) to shareholders by way of an issue and subsequent repurchase of B shares on 26/03/2026.</t>
  </si>
  <si>
    <t>Riverstone Investment Group</t>
  </si>
  <si>
    <t>12,134,802 shares redeemed at a price of $0.89 per share resulting in $10,799,974 (£8,115,559) departing on 30/03/2025.</t>
  </si>
  <si>
    <t>Liquidated. No rollover vehicle. Cancellation was effective on 30/03/2026.</t>
  </si>
  <si>
    <t>Bellevue Asset Management</t>
  </si>
  <si>
    <t>Biotechnology &amp; Healthcare</t>
  </si>
  <si>
    <t>to Columbia Threadneedle</t>
  </si>
  <si>
    <t>Aberdeen</t>
  </si>
  <si>
    <t>UK Equity Income</t>
  </si>
  <si>
    <t>to Artemis Fund Management</t>
  </si>
  <si>
    <t>The company merged with Shires Income  with Aberdeen Equity Income Trust being the continuing company. Shareholders were entitled to elect to rollover their shares or a cash exit. The implementation of the proposals was conditional upon approval from the company's shareholders at the general meeting held on 09/03/2026, and from Shires shareholders on 09/03/2026 and 13/03/2026.</t>
  </si>
  <si>
    <t>The company merged with Aberdeen Equity Income Trust with Aberdeen Equity Income Trust being the continuing company. Shareholders were entitled to elect to rollover their shares or a cash exit. The implementation of the proposals was conditional upon approval from the company's shareholders at the general meeting held on 09/03/2026, and from Shires shareholders on 09/03/2026 and 13/03/2026.</t>
  </si>
  <si>
    <t>Columbia Threadneedle</t>
  </si>
  <si>
    <t>to CT Healthcare Trust</t>
  </si>
  <si>
    <t>from Bellevue Asset Management</t>
  </si>
  <si>
    <t xml:space="preserve">Artemis Fund Managers </t>
  </si>
  <si>
    <t>from Aberdeen</t>
  </si>
  <si>
    <t>from Bellevue Healthcare Trust</t>
  </si>
  <si>
    <t>At the general meeting held on 04/03/2026 shareholders approved  proposals to amend the company's investment policy and objective. The company's new objective is to invest in an actively managed portfolio of equities and derivatives with exposure to the global healthcare market. The company seeks to invest in a diversified portfolio of equity or equity-linked securities, including short positions in stocks or markets that Columbia Threadneedle, as investment manager, considers to be over-valued, impaired or where desirable for the purposes of hedging and risk control. The company defines the "global healthcare market" as businesses operating in, having revenues predominantly arising from or otherwise having significant exposure to healthcare and healthcare-related sectors including, in particular, biotechnology, healthcare information technology, healthcare providers, healthcare services, life sciences, managed care providers, medical diagnostics, medical equipment, and pharmaceuticals.</t>
  </si>
  <si>
    <t>At the general meeting held on 03/03/2026 shareholders approved  proposals to amend the company's investment policy and objective. The company will focus on achieving long-term capital appreciation by funding new life science investments and existing portfolio companies and consult shareholders on a new capital allocation policy. These long-term incentive arrangements aim to align rewards with portfolio asset realization, incentivize realized returns, and increase the investment manager's equity exposure without diluting shareholders.</t>
  </si>
  <si>
    <t>Chrysalis Investment Partners</t>
  </si>
  <si>
    <t>At the general meeting held on 24/03/2026, shareholders approved proposals to amend its investment objective and investment policy to implement an orderly realisation programme for the portfolio assets in a way that is designed to maximise returns of capital to shareholders over a three-year time horizon, while avoiding forced or value-destructive disposals.</t>
  </si>
  <si>
    <t>36,798,009 shares tendered at a price of 156.9528p per share resulting in £57,755,505 departing on 10/03/26.</t>
  </si>
  <si>
    <t>29,922,562 shares tendered at a price of 139.72p per share resulting in £41,807,385 (40.9% of the company's issued share capital) departing on 06/03/26.</t>
  </si>
  <si>
    <t>BlackRock Investment Management (UK)</t>
  </si>
  <si>
    <t>25,628,728 shares tendered at a price of 187.83p per share resulting in £48,139,318 (40.9% of the company's issued share capital) departing on 06/03/26.</t>
  </si>
  <si>
    <t>Fair Oaks Capital</t>
  </si>
  <si>
    <t>Share consolidation of 1 for 10 on 30/04/2026. The company also redenominated its shares into Euro from USD.</t>
  </si>
  <si>
    <t>Triple Point Investment Management</t>
  </si>
  <si>
    <t>Infrastructure</t>
  </si>
  <si>
    <t>323402398 shares redeemed at a price of 9.2753p per share resulting in £29,996,532 departing on 17/04/2026.</t>
  </si>
  <si>
    <t>24,963,977 shares redeemed at a price of 96.21p per share resulting in £24,017,267 departing on 30/04/2026.</t>
  </si>
  <si>
    <t>Riverstone International</t>
  </si>
  <si>
    <t>Commodities &amp; Natural Resources</t>
  </si>
  <si>
    <t>2,512,482 shares redeemed at a price of £11.94 per share resulting in £29,999,035 departing on 29/04/2026.</t>
  </si>
  <si>
    <t>Cordiant Capital</t>
  </si>
  <si>
    <t>The company's ordinary Shares were admitted to trading on the Main Market of the LSE on 30/04/2026.</t>
  </si>
  <si>
    <t>Dowgate Wealth</t>
  </si>
  <si>
    <t>The company's ordinary Shares were admitted to trading on the Main Market of the LSE on 16/04/2025.</t>
  </si>
  <si>
    <t>to Parvus Energy Efficiency Trust. The company became self-managed.</t>
  </si>
  <si>
    <t>Crystal Amber Asset Management</t>
  </si>
  <si>
    <t>UK All Companies</t>
  </si>
  <si>
    <t>to Global Fund Management.</t>
  </si>
  <si>
    <t>The company merged with BlackRock Throgmorton Trust, with BlackRock Smaller Companies being the continuing company. Throgmorton offered a cash exit opportunity to shareholders for up to 38% of issued share capital, subject to a 1% discount to NAV by way of a tender offer. The company gained shareholder approval at the general meeting held on 30/03/2026, with the scheme effective 16/04/2026.</t>
  </si>
  <si>
    <t>The company merged with BlackRock Smaller Companies, with BlackRock Smaller Companies being the continuing company. Throgmorton offered a cash exit opportunity to shareholders for up to 38% of issued share capital, subject to a 1% discount to NAV by way of a tender offer. The company gained shareholder approval at the general meeting held on 30/03/2026, with the scheme effective 16/04/2026.</t>
  </si>
  <si>
    <t>from Parvus Energy Efficiency Trust. The company  became self-managed.</t>
  </si>
  <si>
    <t>from Aquila Capital Investment. The company  became self-managed.</t>
  </si>
  <si>
    <t>Global Fund Management</t>
  </si>
  <si>
    <t>from Crystal Amber Asset Management.</t>
  </si>
  <si>
    <t>from Aquila Energy Efficiency.</t>
  </si>
  <si>
    <t>The company has amended its investment policy in connection with the combination of the assets with BlackRock Throgmorton Trust. Under the new investment policy, the Investment Manager will continue to seek to achieve the company's investment objective through investing predominantly in listed UK smaller companies, but will have additional latitude to invest in small cap stocks outside of the Benchmark index and will be able to invest up to 15 per cent. of the company's gross assets, at the time of acquisition, in global small cap stocks which are listed overseas and which do not have a primary or secondary UK listing.</t>
  </si>
  <si>
    <t>At the general meeting held on 22/04/2026 shareholders approved  proposals to amend the company's investment policy. The company has amended its articles and investment policy aiming for capital growth, with new fee arrangements including performance fees settled primarily in shares.</t>
  </si>
  <si>
    <t>At the general meeting held on 10/04/2026 shareholders approved  proposals to amend the company's investment policy and objective. The new policy grants limited additional capacity to permit the Manager to make up to 250 million of additional investment in Private Companies when the Private Companies exposure exceeds (or would exceed) the existing 30% limit.</t>
  </si>
  <si>
    <t>RWC Asset Management</t>
  </si>
  <si>
    <t>The company cancelled its listing of shares from the Main Market of the LSE on 30/04/2026. Following the delisting, the company is expected to re-register as a private limited company, with the intention to facilitate a managed realisation of the company's assets over time, in order to best serve the interests of the shareholders.</t>
  </si>
  <si>
    <t>Ironstone Asset Management Limited</t>
  </si>
  <si>
    <t>Property - UK commercial</t>
  </si>
  <si>
    <t>Liquidated. The company's entire issued and to be issued share capital, was acquired by British Land Company. Under the terms, Life Science REIT shareholders will receive 14.1 pence in cash and 0.07 new British Land shares for each Life Science REIT share, representing a premium of approximately 21% to Life Science REIT's closing price on 27/01/2026. The scheme was approved by its shareholders at the court and general meetings held on 19/03/2026, and the court hearing on 19/04/2026, and effective the following day.</t>
  </si>
  <si>
    <t>CVC Credit Partners</t>
  </si>
  <si>
    <t xml:space="preserve">3,377 Euro shares and 26,941 Sterling shares tendered at prices of EUR1.0242 and 112.08p respectively, resulting in £33,264 departing. </t>
  </si>
  <si>
    <t>Tetragon Financial Management</t>
  </si>
  <si>
    <t>3,773,581 shares tendered at $13.25 per share, resulting in $49,999,948 (£36,888,109) departing via a modified Dutch auction on 14/04/2026.</t>
  </si>
  <si>
    <t>666,341 shares tendered at a price of 80.88p per share resulting in £586,380 departing.</t>
  </si>
  <si>
    <t>AEW UK Investment Management</t>
  </si>
  <si>
    <t>The company announced that it has relisted on the Premium Segment of the Main Exchange of the LSE on 29/04/2026 following its period of suspension, which began on 03/01/23.</t>
  </si>
  <si>
    <t>to Flexible Investment</t>
  </si>
  <si>
    <t>Frostrow Capital</t>
  </si>
  <si>
    <t>Healthcare &amp; Biotechnology</t>
  </si>
  <si>
    <t>from Biotechnology &amp; Healthcare. The AIC renamed the sector.</t>
  </si>
  <si>
    <t>Schroders Investment Management</t>
  </si>
  <si>
    <t>Polar Capital Holdings</t>
  </si>
  <si>
    <t>RTW Investments</t>
  </si>
  <si>
    <t>Share split of 4 for 1 on 11/05/2026.</t>
  </si>
  <si>
    <t>Property - Europe</t>
  </si>
  <si>
    <t>The company made a capital distribution of approximately €19,000,000 (£16,500,000) to shareholders by way of an issue and subsequent repurchase of B shares on 26/03/2026.</t>
  </si>
  <si>
    <t>The company made a capital distribution $10,000,00 (£7,402,397) to shareholders by way of an issue and subsequent repurchase of B shares on 15/05/2026.</t>
  </si>
  <si>
    <t>Augmentum Capital</t>
  </si>
  <si>
    <t>Financials</t>
  </si>
  <si>
    <t>Liquidated. No rollover vehicle. The entire issued and to be issued ordinary share capital of the company was acquired by Verdane Freya XII Investments AB. Shareholders approved the scheme at the general meeting held on 15/04/2026. The court sanction hearing was held on 11/05/2026, and an effective date 13/05/2026.</t>
  </si>
  <si>
    <t>from UK Smaller Companies</t>
  </si>
  <si>
    <t>Ravenscroft</t>
  </si>
  <si>
    <t>Removed from universe - Company delisted from TISE</t>
  </si>
  <si>
    <t>Impax Asset Management</t>
  </si>
  <si>
    <t>Environmental</t>
  </si>
  <si>
    <t>148,202,139 shares tendered at a price of 494.76p per share resulting in £733,247,797 departing.</t>
  </si>
  <si>
    <t>RM Capital Markets</t>
  </si>
  <si>
    <t>Debt - Direct Lending</t>
  </si>
  <si>
    <t>16,556,106 share tendered at 74.77p per share, resulting in £12,379,000 (representing 21.88% of the company's issued share capital) departing on 13/05/2026.</t>
  </si>
  <si>
    <t>Premier Miton</t>
  </si>
  <si>
    <t>The company announced a temporary suspension of its ordinary shares on 01/05/2024. This is in advance of the implementation of the reconstruction and winding up into Premier Miton UK Multi Cap Income Fund effective in July 2026.</t>
  </si>
  <si>
    <t>Chelverton Asset Management</t>
  </si>
  <si>
    <t>19,444,815 realisation shares redeemed at 39.37pence per share, resulting in £7,795,290 departing on 30/06/2026.</t>
  </si>
  <si>
    <t>Gravis Capital Management</t>
  </si>
  <si>
    <t>65,560,000 shares redeemed at a price of 68.63875p per share resulting in £44,999,565 departing on 31/07/2026.</t>
  </si>
  <si>
    <t>Q Six</t>
  </si>
  <si>
    <t>6,835,938 shares redeemed at a price of £2.56 per share resulting in £17,500,000 departing on 30/06/2026.</t>
  </si>
  <si>
    <t>Liquidated. No rollover vehicle.  The entire issued and to be issued ordinary share capital of the company was acquired by LAC 10. Shareholders approved the scheme at the general meetings held on 24/06/2026. The scheme was effective on 25/06/2026.</t>
  </si>
  <si>
    <t>River Global</t>
  </si>
  <si>
    <t>India/Indian Subcontinent</t>
  </si>
  <si>
    <t>to Liontrust Asset Management</t>
  </si>
  <si>
    <t>to Dowgate Wealth Limited.</t>
  </si>
  <si>
    <t>Liontrust Asset Management</t>
  </si>
  <si>
    <t>Liontrust acquired River Global on 30/09/26.</t>
  </si>
  <si>
    <t>NB Alternatives Advisers</t>
  </si>
  <si>
    <t>to Neuberger Private Equity Partners.</t>
  </si>
  <si>
    <t>Atrato Partners Limited</t>
  </si>
  <si>
    <t>to Living REIT</t>
  </si>
  <si>
    <t>from River Global</t>
  </si>
  <si>
    <t>from Chelverton Asset Management.</t>
  </si>
  <si>
    <t>from Social Housing REIT</t>
  </si>
  <si>
    <t>from NB Private Equity Partners.</t>
  </si>
  <si>
    <t xml:space="preserve">At the general meeting held on 22/06/2026 shareholders approved  proposals to amend the company's investment policy. To company will seek to protect and grow the real purchasing power of shareholders' capital over the long-term through investing in a diversified portfolio of assets that possess inherent scarcity, enduring economic relevance and resilience to monetary debasement. </t>
  </si>
  <si>
    <t>Liquidated. The company reconstructed into an open-ended fund Premier Miton UK Multi Cap Income Fund. Of the issued share capital, 54.2% elected for the Rollover Option to receive Sub-Fund Shares, while 45.8% opted for the Cash Option. The scheme was effective on 26/06/2026.</t>
  </si>
  <si>
    <t>Latin America</t>
  </si>
  <si>
    <t>7,359,215 shares tendered at a price of 442.8509p per share resulting in £32,590,349 departing.</t>
  </si>
  <si>
    <t>11,147,581 shares tendered at a price of 1,461.46p per share resulting in £162,917,166 (28% of the company's issued share capital) departing.</t>
  </si>
  <si>
    <t>8,386,387 shares tendered at a price of 136.1775p per share resulting in £11,420,372 (15% of the company's issued share capital) departing on 17/04/26.</t>
  </si>
  <si>
    <t>Share split of 5 for 1 on 01/07/2026.</t>
  </si>
  <si>
    <t>CG Asset Management</t>
  </si>
  <si>
    <t>Share split of 10 for 1 on 23/07/2026.</t>
  </si>
  <si>
    <t>Bluefield Partners</t>
  </si>
  <si>
    <t>Liquidated. No rollover vehicle.  The entire issued and to be issued ordinary share capital of the company was acquired by Drax Bidco. Under the terms of the Acquisition, BSIF Shareholders received 92.574p in per share. The  scheme was approved by BSIF Shareholders at the Court Meeting and the General Meetings held on 24/07/2026. The scheme was effective on 31/07/2026.</t>
  </si>
  <si>
    <t>At the general meeting held on 08/07/2026 shareholders approved  proposals to amend the company's investment policy. It is intended to reposition and rebrand the company, focused on three structurally adjacent subsectors, specialised supported housing, senior living, and care homes, broadening the company's investment remit while remaining aligned with its social purpose.</t>
  </si>
  <si>
    <t>Sustainable Development Capital</t>
  </si>
  <si>
    <t>The company now has an objective to pursue a managed wind‑down to monetize assets and return capital to shareholders, following the shareholders declining a proposed strategic transformation. The board will announce the requisite changes required to the company's policies to facilitate a managed wind-down and return of capital to shareholders over time.</t>
  </si>
  <si>
    <t>Herald Investment Management</t>
  </si>
  <si>
    <t>28,755,072 total shares tendered at a cash price of 3290.73p per share, and specie tender price of 3358.24p per share resulting in £957,358,473 (60.1% of the company's issued share capital) departing on 08/07/2026.</t>
  </si>
  <si>
    <t>5,439,991 shares tendered at 74.07p per share (59.2% of the company's issued share capital), resulting in £4,029,401 departing. All validly tendered shares were sold to incoming shareholders pursuant to the 'matched bargain facility' at a price of 76.41p per share. A further 3,653,528 ordinary shares were sold from treasury at a price of 76.41p in connection with the placing and the company issued 277,448 shares in connection with the offer for subscription (see other issuance tab for this company for more details).</t>
  </si>
  <si>
    <t>Montanaro Investment Managers</t>
  </si>
  <si>
    <t>European Smaller Companies</t>
  </si>
  <si>
    <t>6,224,197 shares tendered at a price of 177.3069p per share resulting in £11,035,931 departing.</t>
  </si>
  <si>
    <t>11,172,560 shares tendered at a price of 26.8515p per share resulting in £300,000,000 (8.21% of the company's issued share capital) departing on 26/07/2026.</t>
  </si>
  <si>
    <t>13,743,673 shares tendered at a price of 845.4278p per share resulting in £116,192,832 (10% of the company's issued share capital) departing on 12/07/2026.</t>
  </si>
  <si>
    <t>Property - Rest of World</t>
  </si>
  <si>
    <t>The company announced a temporary suspension of its ordinary shares on 24/07/2026, pending an announcement.</t>
  </si>
  <si>
    <t>The company has announced plans to put the company into voluntary liquidation. A shareholder circular is expected to be published in July setting out details of the proposed wind down process, the costs of liquidation and timing of liquidation distributions and giving notice of a General Meeting of the company, to be held on 27/08/2026.</t>
  </si>
  <si>
    <t>From Chrysalis Investment Partners. The company will become self-managed.</t>
  </si>
  <si>
    <t>Devon Equity Management</t>
  </si>
  <si>
    <t>Europe</t>
  </si>
  <si>
    <t>The company has announced a scheme of reconstruction of EOT offering shareholders the option to rollover into JPMorgan European Growth &amp; Income  and/or LT European Opportunities Fund  and/or elect for cash. Implementation of the proposals is subject to a number of conditions, including the passing of the necessary resolutions of EOT shareholders to approve the Scheme and to place EOT into members' voluntary liquidation; the passing of the necessary resolution by JEGI shareholders to approve the issue of New JEGI Shares. The company will publish a circular setting out full details of the proposals and to convene the necessary general meetings to implement the scheme in due course. The scheme is expected to become effective on 07/08/2026.</t>
  </si>
  <si>
    <t>Schroder Investment Management</t>
  </si>
  <si>
    <t>The company has announced plans for its annual tender offer for up to 100% of the company's issued share capital. Saba has elected to exit in full in the Tender Offer, and has entered into an irrevocable undertaking and standstill agreement for a period of three years. The implementation of the tender offer was approved by shareholders at the general meeting on 24/06/2026, with the tender price to be announced on 05/08/2026.</t>
  </si>
  <si>
    <t>The company has announced plans for a tender offer to purchase up to £23,500,000 of the company's share capital. The implementation of the Tender Offer expected to be completed in September 2026.</t>
  </si>
  <si>
    <t xml:space="preserve">The company has announced further information pertaining to their strategic review, with a majority of holders indicating continued interest in the fund's social impact portfolio, while others have expressed a preference for a return of capital or nearer term liquidity. The Board will seek an outcome that balances this range of preference which may include a managed wind-down. Proposals will be made ahead of the continuation resolution, which is likely to be required to be held at the 2026 AGM in December. In the meantime, the manager will not to make any new investments that would extend the maturity of the portfolio. </t>
  </si>
  <si>
    <t>Conventional</t>
  </si>
  <si>
    <t>The company has announced plans for a possible all-share offer to acquire Alternative Income REIT, proposing an exchange ratio of 0.725 AEWU shares for each AIRE share, based on a 6% discount to AIRE's net asset value per share. The company has until August 13, 2026, to announce a firm intention to make an offer</t>
  </si>
  <si>
    <t>New City Investment Managers</t>
  </si>
  <si>
    <t>to Baker Steel Capital Managers</t>
  </si>
  <si>
    <t>The board has terminated the existing investment management agreement, a 12-month notice period applies which will expire on 31/07/2027, however, the board has requested that the Investment Manager considers waiving all or a substantial part of this notice period. More details to follow in due course.</t>
  </si>
  <si>
    <t>Asia Pacific</t>
  </si>
  <si>
    <t>The company has announced plans to merge with Pacific Assets Trust, with Schroder Asian Total Return being the continuing company. Pacific Assets shareholders will be entitled to receive new shares in ATR via the rollover option, and/or via cash exit option limited, on an aggregate basis, to 25% of Pacific Assets' issued share capital. A circular in connection with the scheme will be posted to the shareholders of both companies as soon as practicable, with a view to convening general meetings of ATR and Pacific Assets later in 2026 with the scheme becoming effective by Q4 2026.</t>
  </si>
  <si>
    <t>FSSA Investment Managers</t>
  </si>
  <si>
    <t>The company has announced plans to merge with Pacific Assets Trust, with Schroder Asian Total Return being the continuing company. Pacific Assets shareholders will be entitled to receive new shares in ATR via the rollover option, and/or via cash exit option limited, on an aggregate basis, to 25% of Pacific Assets' issued share capital. A circular in connection with the scheme will be posted to the shareholders of both companies as soon as practicable, with a view to convening general meetings of ATR and Pacific Assets later in 2026 with the scheme becoming effective by  Q4 2026.</t>
  </si>
  <si>
    <t>Baker Steel Capital Managers</t>
  </si>
  <si>
    <t>from New City Investment Managers</t>
  </si>
  <si>
    <t>HarbourVest Advisers L.P.</t>
  </si>
  <si>
    <t>The company has announced plans for a tender offer to purchase up to $400,000,000 of the company's share capital. The implementation of the Tender Offer expected to be completed in 2026. More details to follow in due course.</t>
  </si>
  <si>
    <t>The company has announced plans to allow shareholders to vote to put the company into managed wind-down in Q1 2027. The company intends to publish a circular in due course to convene a general meeting, where it will seek shareholders' approval through an ordinary resolution to modify the company's investment objective and policy. Further details to follow.</t>
  </si>
  <si>
    <t>Property - UK Commercial</t>
  </si>
  <si>
    <t>The company has announced it has received a  cash offer, to be implemented by way of a takeover offer, for the entire issued and to be issued share capital of Alternative Income not already owned or controlled by Glenstone, at a price of 71.4p per Alternative Income share. More details to follow in due course.</t>
  </si>
  <si>
    <t>Schroder Real Estate Management</t>
  </si>
  <si>
    <t>The company, alongside LondonMetric Property, has announced plans for a proposed all-share offer for Picton Property Income Limited, valuing Picton at £403.4 million, or 78.2 pence per share.  Picton shareholders would receive 0.190 LondonMetric shares and 0.881 SREIT shares per Picton share, representing a premium of approximately 7.0% to Pickton's closing share price. The scheme will require approval by Picton shareholders at a Picton shareholder meeting convened by the court to approve the scheme of arrangement and a general meeting of Picton. More details to be announced in due course.</t>
  </si>
  <si>
    <t>The company has announced plans to pursue an  managed wind-down. The company intends to publish a circular in due course to convene a general meeting, where it will seek shareholders' approval through an ordinary resolution to modify the company's investment objective and policy. More details to follow in due course.</t>
  </si>
  <si>
    <t>NextEnergy Capital IM</t>
  </si>
  <si>
    <t>The company has announced plans to initiate a formal sale process for the company's entire issued share capital. Further details to follow.</t>
  </si>
  <si>
    <t>The company has announced that it is assessing the strategic future of the company in order to maximise shareholder value. Considerations include the timing of a formal liquidation process, the potential for becoming self-managed, or continuing to operate under the existing listing until the ultimate wind-down of the private equity portfolio, or until a stage has been reached with certain of the portfolio's assets.</t>
  </si>
  <si>
    <t>The company has announced plans for a tender offer to purchase up to $50,000,000 of the company's share capital. The implementation of the Tender Offer expected to be completed in 2026. More details to follow in due course.</t>
  </si>
  <si>
    <t>UK</t>
  </si>
  <si>
    <t>MAIN</t>
  </si>
  <si>
    <t>GUE</t>
  </si>
  <si>
    <t>SFS</t>
  </si>
  <si>
    <t>UK REIT</t>
  </si>
  <si>
    <t>History remains</t>
  </si>
  <si>
    <t>MAIN/EURONEXT</t>
  </si>
  <si>
    <t>CAY</t>
  </si>
  <si>
    <t>Share consolidation.</t>
  </si>
  <si>
    <t>JER</t>
  </si>
  <si>
    <t>AIM</t>
  </si>
  <si>
    <t>Dutch Auction</t>
  </si>
  <si>
    <t>SFS/EURONEXT</t>
  </si>
  <si>
    <t>Share split</t>
  </si>
  <si>
    <t>MAIN/NZ</t>
  </si>
  <si>
    <t>TISE</t>
  </si>
  <si>
    <t>MAIN/SFS/EURONEXT</t>
  </si>
  <si>
    <t>MAIN/JSE</t>
  </si>
  <si>
    <t>Aberforth Smaller Companies</t>
  </si>
  <si>
    <t>VinaCapital Vietnam Opportunity</t>
  </si>
  <si>
    <t>Baillie Gifford UK Growth</t>
  </si>
  <si>
    <t>ICG Enterprise Trust</t>
  </si>
  <si>
    <t>Templeton Emerging Markets</t>
  </si>
  <si>
    <t>HICL Infrastructure</t>
  </si>
  <si>
    <t>Renewables Infrastructure Group</t>
  </si>
  <si>
    <t>Mid Wynd International</t>
  </si>
  <si>
    <t>JPMorgan US Smaller Companies</t>
  </si>
  <si>
    <t>Schroder Japan Trust</t>
  </si>
  <si>
    <t>Henderson High Income</t>
  </si>
  <si>
    <t>Alliance Witan</t>
  </si>
  <si>
    <t>Scottish Oriental Smaller Companies</t>
  </si>
  <si>
    <t>STS Global Income &amp; Growth Trust</t>
  </si>
  <si>
    <t>Triple Point Venture VCT Venture shares</t>
  </si>
  <si>
    <t>Pantheon International</t>
  </si>
  <si>
    <t>Develop North</t>
  </si>
  <si>
    <t>Athelney Trust</t>
  </si>
  <si>
    <t>Aberforth Partners</t>
  </si>
  <si>
    <t>The company has changed its management fee. Base fee: no change, Tiered fee: reduced. The change is effective from 01/01/2026.</t>
  </si>
  <si>
    <t/>
  </si>
  <si>
    <t>VinaCapital Investment Management</t>
  </si>
  <si>
    <t>The company has changed its management fee. Base fee: reduced, Performance fee: changed, Tiered fee: changed. The change is effective from 01/07/2026.</t>
  </si>
  <si>
    <t>The company has changed its management fee. Base fee: reduced. The change is effective from 01/07/2026.</t>
  </si>
  <si>
    <t>Intermediate Capital Group</t>
  </si>
  <si>
    <t>The company has changed its management fee. Base fee: no change, Tiered fee: removed. The change is effective from 01/02/2028.</t>
  </si>
  <si>
    <t>The company has changed its management fee. Base fee: no change, Tiered fee: reduced. The change is effective from 01/02/2027.</t>
  </si>
  <si>
    <t>The company has changed its management fee. Base fee: no change, Tiered fee: reduced. The change is effective from 01/07/2026.</t>
  </si>
  <si>
    <t>InfraRed Capital Partners</t>
  </si>
  <si>
    <t>The company has changed its management fee. Base fee: no change, Tiered fee: changed, Fee basis change from net assets and market cap to market cap. The change is effective from 01/07/2026.</t>
  </si>
  <si>
    <t>The company has changed its management fee. Base fee: no change, Performance fee: no change, Tiered fee: changed, Fee basis change from net assets and market cap to market cap. The change is effective from 01/07/2026.</t>
  </si>
  <si>
    <t>Lazard Asset Management</t>
  </si>
  <si>
    <t>The company has changed its management fee. Base fee: reduced, Tiered fee: changed. The change is effective from 01/05/2026.</t>
  </si>
  <si>
    <t>Temporary reduction in fee for 24 months.</t>
  </si>
  <si>
    <t>North American Smaller Companies</t>
  </si>
  <si>
    <t>The company has changed its management fee. Base fee: changed, Tiered fee: introduced, Fee basis change from total assets to net assets. The change is effective from 01/01/2026.</t>
  </si>
  <si>
    <t>Japan</t>
  </si>
  <si>
    <t>The company has changed its management fee. Base fee: reduced, Tiered fee: changed, Fee basis change from net assets to net assets and market cap. The change is effective from 01/08/2026.</t>
  </si>
  <si>
    <t>The company has changed its management fee. Base fee: changed, Performance fee: introduced, Tiered fee: removed. The change is effective from 10/04/2026.</t>
  </si>
  <si>
    <t>Janus Henderson Investors</t>
  </si>
  <si>
    <t>UK Equity &amp; Bond Income</t>
  </si>
  <si>
    <t>The company has changed its management fee. Base fee: changed, Fee basis change from total assets to net assets. The change is effective from 01/01/2026.</t>
  </si>
  <si>
    <t>Willis Towers Watson</t>
  </si>
  <si>
    <t>The company has changed its management fee. Base fee: reduced. The change is effective from 01/01/2027.</t>
  </si>
  <si>
    <t>The company has changed its management fee. Base fee: reduced, Tiered fee: removed. The change is effective from 01/04/2026.</t>
  </si>
  <si>
    <t>FSSA IM</t>
  </si>
  <si>
    <t>Asia Pacific Smaller Companies</t>
  </si>
  <si>
    <t>The company has changed its management fee. Base fee: reduced, Performance fee: removed, Tiered fee: introduced, Fee basis change from net assets to net assets and market cap. The change is effective from 01/03/2026.</t>
  </si>
  <si>
    <t>Troy Asset Management</t>
  </si>
  <si>
    <t>VCT</t>
  </si>
  <si>
    <t>The company has changed its management fee. Base fee: no change, Performance fee: changed. The change is effective from 31/03/2026.</t>
  </si>
  <si>
    <t>The company plans to replace its current performance fee arrangement with a performance fee that only pays the manager if the assets are sold and shareholders receive a minimum level of returns. If those returns are achieved, the manager will receive 15–20% of the proceeds above certain hurdle levels based on NAV.</t>
  </si>
  <si>
    <t>The company has changed its management fee. Base fee: increased, Performance fee: removed, Fee basis change from total assets to net assets. The change is effective from 10/04/2026.</t>
  </si>
  <si>
    <t>Pantheon Ventures</t>
  </si>
  <si>
    <t>The company has changed its management fee. Base fee: reduced, Performance fee: no change, Tiered fee: removed. The change is effective from 01/06/2026.</t>
  </si>
  <si>
    <t>Tier One Capital</t>
  </si>
  <si>
    <t>The company has changed its management fee. Base fee: reduced, Tiered fee: changed. The change is effective from 18/02/2026.</t>
  </si>
  <si>
    <t>The company has changed its management fee. Base fee: no change. The change is effective from 13/02/2026.</t>
  </si>
  <si>
    <t>Addition of a fixed £120,000 fee</t>
  </si>
  <si>
    <t>EC Pohl &amp; Co Pty</t>
  </si>
  <si>
    <t>The company has changed its management fee. Base fee: no change, Performance fee: introduced. The change is effective from 01/01/2026.</t>
  </si>
  <si>
    <t>Calculus VCT</t>
  </si>
  <si>
    <t>Foresight Technology VCT William Technology shares</t>
  </si>
  <si>
    <t>Foresight Ventures VCT</t>
  </si>
  <si>
    <t>Gresham House Income &amp; Growth 2 VCT</t>
  </si>
  <si>
    <t>Gresham House Income &amp; Growth VCT</t>
  </si>
  <si>
    <t>Hargreave Hale AIM VCT</t>
  </si>
  <si>
    <t>Maven Income and Growth VCT</t>
  </si>
  <si>
    <t>Maven Renovar VCT</t>
  </si>
  <si>
    <t>Octopus AIM VCT</t>
  </si>
  <si>
    <t>Octopus AIM VCT 2</t>
  </si>
  <si>
    <t>Puma Alpha VCT</t>
  </si>
  <si>
    <t>Puma VCT 13</t>
  </si>
  <si>
    <t>British Smaller Companies VCT</t>
  </si>
  <si>
    <t>British Smaller Companies VCT 2</t>
  </si>
  <si>
    <t>Foresight Enterprise VCT</t>
  </si>
  <si>
    <t>Maven Income and Growth VCT 3</t>
  </si>
  <si>
    <t>Maven Income and Growth VCT 4</t>
  </si>
  <si>
    <t>Maven Income and Growth VCT 5</t>
  </si>
  <si>
    <t>Northern 2 VCT</t>
  </si>
  <si>
    <t>Northern 3 VCT</t>
  </si>
  <si>
    <t>Pembroke VCT B shares</t>
  </si>
  <si>
    <t>ProVen Growth and Income VCT</t>
  </si>
  <si>
    <t>ProVen VCT</t>
  </si>
  <si>
    <t>Baronsmead Second Venture Trust</t>
  </si>
  <si>
    <t>Baronsmead Venture Trust</t>
  </si>
  <si>
    <t>Unicorn AIM VCT</t>
  </si>
  <si>
    <t>Albion Enterprise VCT</t>
  </si>
  <si>
    <t>Foresight VCT</t>
  </si>
  <si>
    <t>Fuel Ventures VCT</t>
  </si>
  <si>
    <t>Northern Venture Trust</t>
  </si>
  <si>
    <t>Oberon AIM VCT</t>
  </si>
  <si>
    <t>Membership Change</t>
  </si>
  <si>
    <t>Praetura Growth VCT</t>
  </si>
  <si>
    <t>Albion Crown VCT</t>
  </si>
  <si>
    <t>Albion Technology &amp; General VCT</t>
  </si>
  <si>
    <t>Octopus Apollo VCT</t>
  </si>
  <si>
    <t>Guinness VCT</t>
  </si>
  <si>
    <t>Molten Ventures VCT</t>
  </si>
  <si>
    <t>Albion Crown VCT C shares</t>
  </si>
  <si>
    <t>Octopus Future Generations VCT</t>
  </si>
  <si>
    <t>Octopus Titan VCT</t>
  </si>
  <si>
    <t>Blackfinch Spring VCT</t>
  </si>
  <si>
    <t>PXN Growth VCT</t>
  </si>
  <si>
    <t>Puma AIM VCT</t>
  </si>
  <si>
    <t>Oct</t>
  </si>
  <si>
    <t>Nov</t>
  </si>
  <si>
    <t>Pending offer for subscription</t>
  </si>
  <si>
    <t>Calculus Capital/Investec Structured Products</t>
  </si>
  <si>
    <t>The company returned £375,000 to shareholders by way of a buyback of 700,804 ordinary shares at a price of 37.5p per share.</t>
  </si>
  <si>
    <t>Foresight Group</t>
  </si>
  <si>
    <t>The company returned £269,831 to shareholders by way of a buyback of 308,731 ordinary shares at a price of 26.98p per share.</t>
  </si>
  <si>
    <t>The company returned £1,287,577 to shareholders by way of a buyback of 1,485,437 ordinary shares at a price of 128.76p per share.</t>
  </si>
  <si>
    <t>Gresham House</t>
  </si>
  <si>
    <t>The company returned £2,318,632 to shareholders by way of a buyback of 4,667,133 ordinary shares at a price of 231.86p per share.</t>
  </si>
  <si>
    <t>The company returned £2,113,575 to shareholders by way of a buyback of 3,460,906 ordinary shares at a price of 211.36p per share.</t>
  </si>
  <si>
    <t>Hargreave Hale</t>
  </si>
  <si>
    <t>VCT AIM Quoted</t>
  </si>
  <si>
    <t>The company returned £412,099 to shareholders by way of a buyback of 1,321,255 ordinary shares at a price of 41.21p per share.</t>
  </si>
  <si>
    <t>The company returned £63,674 to shareholders by way of a buyback of 201,627 ordinary shares at a price of 6.37p per share.</t>
  </si>
  <si>
    <t>The company returned £199,271 to shareholders by way of a buyback of 628,417 ordinary shares at a price of 19.93p per share.</t>
  </si>
  <si>
    <t>Maven Capital Partners</t>
  </si>
  <si>
    <t>The company returned £416,102 to shareholders by way of a buyback of 1,209,600 ordinary shares at a price of 41.61p per share.</t>
  </si>
  <si>
    <t>The company returned £21,767 to shareholders by way of a buyback of 37,530 ordinary shares at a price of 2.18p per share.</t>
  </si>
  <si>
    <t>The company returned £170,361 to shareholders by way of a buyback of 288,748 ordinary shares at a price of 17.04p per share.</t>
  </si>
  <si>
    <t>The company returned £184,138 to shareholders by way of a buyback of 312,098 ordinary shares at a price of 18.41p per share.</t>
  </si>
  <si>
    <t>The company returned £140,911 to shareholders by way of a buyback of 238,833 ordinary shares at a price of 14.09p per share.</t>
  </si>
  <si>
    <t>The company returned £72,447 to shareholders by way of a buyback of 122,791 ordinary shares at a price of 7.24p per share.</t>
  </si>
  <si>
    <t>Octopus Investments</t>
  </si>
  <si>
    <t>The company returned £683,651 to shareholders by way of a buyback of 1,506,669 ordinary shares at a price of 68.37p per share.</t>
  </si>
  <si>
    <t>The company returned £526,558 to shareholders by way of a buyback of 1,455,988 ordinary shares at a price of 52.66p per share.</t>
  </si>
  <si>
    <t>Puma Investments</t>
  </si>
  <si>
    <t>The company returned £1,252,544 to shareholders by way of a buyback of 1,442,375 ordinary shares at a price of 125.25p per share.</t>
  </si>
  <si>
    <t>The company returned £1,759,149 to shareholders by way of a buyback of 1,535,061 ordinary shares at a price of 175.91p per share.</t>
  </si>
  <si>
    <t>YFM Private Equity</t>
  </si>
  <si>
    <t>The company raised £85,000,000 in aggregate by way of a joint open offer for subscription of shares with British Smaller Companies VCT 2. The offer opened on the 25/09/2025 and closed on 18/12/2025.</t>
  </si>
  <si>
    <t>The company raised £85,000,000 in aggregate by way of a joint open offer for subscription of shares with British Smaller Companies VCT. The offer opened on the 25/09/2025 and closed on 18/12/2025.</t>
  </si>
  <si>
    <t>The company raised £40,000,000 by way of an open offer for subscription. The offer opened on 06/01/2025 and closed on 29/01/2026</t>
  </si>
  <si>
    <t>2024/25</t>
  </si>
  <si>
    <t>The company raised £158,517 by way of an issue of 435,725 shares at a price of 36.38p per share as shareholders elected to reinvest their dividend under the company's dividend reinvestment scheme.</t>
  </si>
  <si>
    <t>The company raised £133,365 by way of an issue of 284,300 shares at a price of 46.91p per share as shareholders elected to reinvest their dividend under the company's dividend reinvestment scheme.</t>
  </si>
  <si>
    <t>The company raised £142,723 by way of an issue of 263,863 shares at a price of 54.09p per share as shareholders elected to reinvest their dividend under the company's dividend reinvestment scheme.</t>
  </si>
  <si>
    <t>The company raised £106,145 by way of an issue of 348,359 shares at a price of 30.47p per share as shareholders elected to reinvest their dividend under the company's dividend reinvestment scheme.</t>
  </si>
  <si>
    <t>Mercia Asset Management</t>
  </si>
  <si>
    <t>The company raised £552,918 by way of an issue of 987,354 shares at a price of 56.p per share as shareholders elected to reinvest their dividend under the company's dividend reinvestment scheme.</t>
  </si>
  <si>
    <t>The company raised £351,801 by way of an issue of 403,442 shares at a price of 87.2p per share as shareholders elected to reinvest their dividend under the company's dividend reinvestment scheme.</t>
  </si>
  <si>
    <t>The company raised £1,060,517 by way of an issue of 2,237,378 shares at a price of 47.4p per share as shareholders elected to reinvest their dividend under the company's dividend reinvestment scheme.</t>
  </si>
  <si>
    <t>Pembroke Investment Managers</t>
  </si>
  <si>
    <t>The company raised £1,108,697 by way of an issue of 1,160,939 shares at a price of 95.5p per share as shareholders elected to reinvest their dividend under the company's dividend reinvestment scheme.</t>
  </si>
  <si>
    <t>Beringea</t>
  </si>
  <si>
    <t>The company raised £556,037 by way of an issue of 1,164,475 shares at a price of 47.75p per share as shareholders elected to reinvest their dividend under the company's dividend reinvestment scheme.</t>
  </si>
  <si>
    <t>The company raised £694,485 by way of an issue of 1,131,083 shares at a price of 61.4p per share as shareholders elected to reinvest their dividend under the company's dividend reinvestment scheme.</t>
  </si>
  <si>
    <t>The company returned £4,767,981 to shareholders by way of a buyback of 9,002,985 ordinary shares at a price of 476.8p per share.</t>
  </si>
  <si>
    <t>The company returned £4,597,999 to shareholders by way of a buyback of 9,070,821 ordinary shares at a price of 459.8p per share.</t>
  </si>
  <si>
    <t>The company returned £227,843 to shareholders by way of a buyback of 721,023 ordinary shares at a price of 22.78p per share.</t>
  </si>
  <si>
    <t>The company returned £114,697 to shareholders by way of a buyback of 367,736 ordinary shares at a price of 11.47p per share.</t>
  </si>
  <si>
    <t>The company returned £446,202 to shareholders by way of a buyback of 1,004,959 ordinary shares at a price of 44.62p per share.</t>
  </si>
  <si>
    <t>The company returned £780,216 to shareholders by way of a buyback of 2,699,710 ordinary shares at a price of 78.02p per share.</t>
  </si>
  <si>
    <t>The company returned £19,031 to shareholders by way of a buyback of 65,850 ordinary shares at a price of 1.9p per share.</t>
  </si>
  <si>
    <t>The company returned £31,144 to shareholders by way of a buyback of 52,786 ordinary shares at a price of 3.11p per share.</t>
  </si>
  <si>
    <t>The company returned £19,277 to shareholders by way of a buyback of 33,237 ordinary shares at a price of 1.93p per share.</t>
  </si>
  <si>
    <t>The company returned £86,100 to shareholders by way of a buyback of 151,052 ordinary shares at a price of 8.61p per share.</t>
  </si>
  <si>
    <t>The company returned £75,440 to shareholders by way of a buyback of 132,351 ordinary shares at a price of 7.54p per share.</t>
  </si>
  <si>
    <t>The company returned £406,818 to shareholders by way of a buyback of 911,943 ordinary shares at a price of 40.68p per share.</t>
  </si>
  <si>
    <t>The company returned £311,113 to shareholders by way of a buyback of 877,140 ordinary shares at a price of 31.11p per share.</t>
  </si>
  <si>
    <t>The company returned £2,110,182 to shareholders by way of a buyback of 4,652,076 ordinary shares at a price of 211.02p per share.</t>
  </si>
  <si>
    <t>The company returned £1,653,006 to shareholders by way of a buyback of 2,833,886 ordinary shares at a price of 165.3p per share.</t>
  </si>
  <si>
    <t>Unicorn Asset Management</t>
  </si>
  <si>
    <t>The company returned £1,886,873 to shareholders by way of a buyback of 2,515,831 ordinary shares at a price of 188.69p per share.</t>
  </si>
  <si>
    <t>Albion Capital</t>
  </si>
  <si>
    <t>The company raised £30,000,000 by way of an open offer for subscription. The offer opened 03/11/2025, and closed on 11/02/2026.</t>
  </si>
  <si>
    <t>The company raised £40,000,000 by way of an open offer for subscription. The offer opened on 21/01/2026 and closed on 04/02/2026.</t>
  </si>
  <si>
    <t>Sturgeon Ventures</t>
  </si>
  <si>
    <t>The company raised £2,346,183 by way of an offer for subscription of shares. The offer opened on 17/02/25 and closed on 02/02/2026. The offer has been extended to closed on 02/02/2026.</t>
  </si>
  <si>
    <t>The company raised £30,000,000 by way of an open offer for subscription. The offer opened on 24/09/2025, reopened on 08/12/2025, and closed on 23/02/2026.</t>
  </si>
  <si>
    <t>Oberon Investments</t>
  </si>
  <si>
    <t>The company raised £658,117 by way of an offer for subscription of shares. The offer opened on 17/02/25 and closed on 04/04/2025. The offer opened on 12/02/2025 and closed on 11/02/2026 for the 2025/2026 tax year.</t>
  </si>
  <si>
    <t>The company raised £1,049,649 by way of an issue of 962,981 shares at a price of 109.p per share as shareholders elected to reinvest their dividend under the company's dividend reinvestment scheme.</t>
  </si>
  <si>
    <t>The company raised £1,236,988 by way of an issue of 3,705,775 shares at a price of 33.38p per share as shareholders elected to reinvest their dividend under the company's dividend reinvestment scheme.</t>
  </si>
  <si>
    <t>The company raised £1,137,763 by way of an issue of 1,356,094 shares at a price of 83.9p per share as shareholders elected to reinvest their dividend under the company's dividend reinvestment scheme.</t>
  </si>
  <si>
    <t>Praetura Ventures</t>
  </si>
  <si>
    <t>Company became a new member.</t>
  </si>
  <si>
    <t>The company returned £2,981,692 to shareholders by way of a buyback of 2,792,108 ordinary shares at a price of 298.17p per share.</t>
  </si>
  <si>
    <t>The company returned £575,090 to shareholders by way of a buyback of 1,310,000 ordinary shares at a price of 57.51p per share.</t>
  </si>
  <si>
    <t>The company returned £195,299 to shareholders by way of a buyback of 455,879 ordinary shares at a price of 19.53p per share.</t>
  </si>
  <si>
    <t>The company returned £1,553,959 to shareholders by way of a buyback of 2,064,513 ordinary shares at a price of 155.4p per share.</t>
  </si>
  <si>
    <t>The company returned £1,296,457 to shareholders by way of a buyback of 2,484,587 ordinary shares at a price of 129.65p per share.</t>
  </si>
  <si>
    <t>The company returned £356,141 to shareholders by way of a buyback of 403,514 ordinary shares at a price of 35.61p per share.</t>
  </si>
  <si>
    <t>The company returned £84,347 to shareholders by way of a buyback of 272,088 ordinary shares at a price of 8.43p per share.</t>
  </si>
  <si>
    <t>The company returned £129,300 to shareholders by way of a buyback of 424,911 ordinary shares at a price of 12.93p per share.</t>
  </si>
  <si>
    <t>The company returned £47,892 to shareholders by way of a buyback of 161,251 ordinary shares at a price of 4.79p per share.</t>
  </si>
  <si>
    <t>The company returned £43,136 to shareholders by way of a buyback of 148,029 ordinary shares at a price of 4.31p per share.</t>
  </si>
  <si>
    <t>The company returned £37,563 to shareholders by way of a buyback of 66,483 ordinary shares at a price of 3.76p per share.</t>
  </si>
  <si>
    <t>The company returned £66,232 to shareholders by way of a buyback of 118,271 ordinary shares at a price of 6.62p per share.</t>
  </si>
  <si>
    <t>The company returned £28,294 to shareholders by way of a buyback of 50,980 ordinary shares at a price of 2.83p per share.</t>
  </si>
  <si>
    <t>The company returned £99,389 to shareholders by way of a buyback of 180,707 ordinary shares at a price of 9.94p per share.</t>
  </si>
  <si>
    <t>The company returned £105,444 to shareholders by way of a buyback of 195,267 ordinary shares at a price of 10.54p per share.</t>
  </si>
  <si>
    <t>The company returned £1,405,349 to shareholders by way of a buyback of 2,641,634 ordinary shares at a price of 140.53p per share.</t>
  </si>
  <si>
    <t>The company returned £1,427,649 to shareholders by way of a buyback of 1,719,437 ordinary shares at a price of 142.76p per share.</t>
  </si>
  <si>
    <t>The company returned £1,251,107 to shareholders by way of a buyback of 2,202,265 ordinary shares at a price of 125.11p per share.</t>
  </si>
  <si>
    <t>The company returned £491,193 to shareholders by way of a buyback of 1,260,373 ordinary shares at a price of 49.12p per share.</t>
  </si>
  <si>
    <t>The company returned £269,978 to shareholders by way of a buyback of 869,270 ordinary shares at a price of 27.p per share.</t>
  </si>
  <si>
    <t>The company returned £260,645 to shareholders by way of a buyback of 359,510 ordinary shares at a price of 26.06p per share.</t>
  </si>
  <si>
    <t>The company raised £30,000,000 by way of an open offer for subscription. The offer opened 03/11/2025, and closed on 16/03/2026.</t>
  </si>
  <si>
    <t>The company raised £30,000,000 by way of an open offer for subscription. The offer opened 03/11/2025, and closed on 10/03/2026.</t>
  </si>
  <si>
    <t>The company raised £12,50,000 by way of a joint offer for subscription of shares, in conjunction with Maven Income and Growth VCT 3, Maven Income and Growth VCT 4 and Maven Income and Growth VCT. The offer opened on 02/10/2025 and closed on 30/03/2026.</t>
  </si>
  <si>
    <t>2026/27</t>
  </si>
  <si>
    <t>The company raised £20,000,000 by way of an open offer for subscription. The offer opened on 24/09/2025 and closed on 02/12/2025 and reopened on 08/12/2025 to further applications, and closed on 09/03/2026.</t>
  </si>
  <si>
    <t>The company raised £30,000,000 by way of an open offer for subscription. The offer opened on 24/09/2025 and closed on 10/03/2026</t>
  </si>
  <si>
    <t>The company raised £266,104 by way of an issue of 301,023 shares at a price of 88.4p per share as shareholders elected to reinvest their dividend under the company's dividend reinvestment scheme.</t>
  </si>
  <si>
    <t>The company raised £637,819 by way of an issue of 542,225 shares at a price of 117.63p per share as shareholders elected to reinvest their dividend under the company's dividend reinvestment scheme.</t>
  </si>
  <si>
    <t>The company raised £385,102 by way of an issue of 424,729 shares at a price of 90.67p per share as shareholders elected to reinvest their dividend under the company's dividend reinvestment scheme.</t>
  </si>
  <si>
    <t>The company raised £8,651,725 by way of an issue of 10,667,972 shares at a price of 81.1p per share as shareholders elected to reinvest their dividend under the company's dividend reinvestment scheme.</t>
  </si>
  <si>
    <t>The company returned £1,327,855 to shareholders by way of a buyback of 4,764,461 ordinary shares at a price of 132.79p per share.</t>
  </si>
  <si>
    <t>The company returned £378,617 to shareholders by way of a buyback of 722,000 ordinary shares at a price of 37.86p per share.</t>
  </si>
  <si>
    <t>The company returned £2,039,334 to shareholders by way of a buyback of 3,079,170 ordinary shares at a price of 203.93p per share.</t>
  </si>
  <si>
    <t>The company returned £69,952 to shareholders by way of a buyback of 228,376 ordinary shares at a price of 7.p per share.</t>
  </si>
  <si>
    <t>The company returned £103,900 to shareholders by way of a buyback of 338,216 ordinary shares at a price of 10.39p per share.</t>
  </si>
  <si>
    <t>The company returned £38,737 to shareholders by way of a buyback of 72,001 ordinary shares at a price of 3.87p per share.</t>
  </si>
  <si>
    <t>The company returned £27,611 to shareholders by way of a buyback of 53,613 ordinary shares at a price of 2.76p per share.</t>
  </si>
  <si>
    <t>The company returned £494,775 to shareholders by way of a buyback of 1,243,434 ordinary shares at a price of 49.48p per share.</t>
  </si>
  <si>
    <t>The company returned £215,583 to shareholders by way of a buyback of 678,509 ordinary shares at a price of 21.56p per share.</t>
  </si>
  <si>
    <t>The company returned £9,217,129 to shareholders by way of a buyback of 19,620,096 ordinary shares at a price of 921.71p per share.</t>
  </si>
  <si>
    <t>The company returned £6,609,510 to shareholders by way of a buyback of 7,233,786 ordinary shares at a price of 660.95p per share.</t>
  </si>
  <si>
    <t>The company raised £30,000,000 by way of an offer for subscription of shares. The offer opened on 12/01/2026 and closed on 05/04/2026.</t>
  </si>
  <si>
    <t>The company raised £7,385,030 by way of an open offer for subscription of shares. The offer opened on 09/10/2025 and closed on 11/04/2026.</t>
  </si>
  <si>
    <t>Y</t>
  </si>
  <si>
    <t>Guinness Global Investors</t>
  </si>
  <si>
    <t>The company raised £10,001 by way of an allotment of 10,121 shares at an average price of 98.81p as part of their open offer for subscription for the 2026/27 tax year.</t>
  </si>
  <si>
    <t>The company raised £257,202 by way of an allotment of 789,933 shares at an average price of 32.56p as part of their open offer for subscription for the 2026/27 tax year.</t>
  </si>
  <si>
    <t>The company raised £324,192 by way of an allotment of 879,761 shares at an average price of 36.85p as part of their open offer for subscription for the 2026/27 tax year.</t>
  </si>
  <si>
    <t>The company raised £92,205 by way of an allotment of 248,463 shares at an average price of 37.11p as part of their open offer for subscription for the 2026/27 tax year.</t>
  </si>
  <si>
    <t>The company raised £190,183 by way of an allotment of 401,061 shares at an average price of 47.42p as part of their open offer for subscription for the 2026/27 tax year.</t>
  </si>
  <si>
    <t>The company raised £144,000 by way of an allotment of 300,000 shares at an average price of 48.p as part of their open offer for subscription for the 2026/27 tax year.</t>
  </si>
  <si>
    <t>The company raised £68,713 by way of an allotment of 145,672 shares at an average price of 47.17p as part of their open offer for subscription for the 2026/27 tax year.</t>
  </si>
  <si>
    <t>The company raised £170,944 by way of an allotment of 314,930 shares at an average price of 54.28p as part of their open offer for subscription for the 2026/27 tax year.</t>
  </si>
  <si>
    <t>The company raised £56,204 by way of an allotment of 103,927 shares at an average price of 54.08p as part of their open offer for subscription for the 2026/27 tax year.</t>
  </si>
  <si>
    <t>The company raised £329,712 by way of an allotment of 1,064,275 shares at an average price of 30.98p as part of their open offer for subscription for the 2026/27 tax year.</t>
  </si>
  <si>
    <t>Molten Ventures</t>
  </si>
  <si>
    <t>The company raised £187,037 by way of an allotment of 455,854 shares at an average price of 41.03p as part of their open offer for subscription for the 2026/27 tax year.</t>
  </si>
  <si>
    <t>The company raised £497,864 by way of an allotment of 496,870 shares at an average price of 100.2p as part of their open offer for subscription for the 2026/27 tax year.</t>
  </si>
  <si>
    <t>The company raised £349,947 by way of an allotment of 351,176 shares at an average price of 99.65p as part of their open offer for subscription for the 2026/27 tax year.</t>
  </si>
  <si>
    <t>The company raised £292,944 by way of an allotment of 316,970 shares at an average price of 92.42p as part of their open offer for subscription for the 2026/27 tax year.</t>
  </si>
  <si>
    <t>The company raised £466,573 by way of an issue of 1,590,229 shares at a price of 29.34p per share as shareholders elected to reinvest their dividend under the company's dividend reinvestment scheme.</t>
  </si>
  <si>
    <t>The company raised £174,373 by way of an issue of 448,260 shares at a price of 38.9p per share as shareholders elected to reinvest their dividend under the company's dividend reinvestment scheme.</t>
  </si>
  <si>
    <t>The company raised £267,561 by way of an issue of 554,760 shares at a price of 48.23p per share as shareholders elected to reinvest their dividend under the company's dividend reinvestment scheme.</t>
  </si>
  <si>
    <t>The company raised £1,173,841 by way of an issue of 1,967,881 shares at a price of 59.65p per share as shareholders elected to reinvest their dividend under the company's dividend reinvestment scheme.</t>
  </si>
  <si>
    <t>The company raised £175,645 by way of an issue of 436,929 shares at a price of 40.2p per share as shareholders elected to reinvest their dividend under the company's dividend reinvestment scheme.</t>
  </si>
  <si>
    <t>The company raised £1,900,106 by way of an issue of 4,872,066 shares at a price of 39.p per share as shareholders elected to reinvest their dividend under the company's dividend reinvestment scheme.</t>
  </si>
  <si>
    <t>The company raised £1,330,652 by way of an issue of 4,292,426 shares at a price of 31.p per share as shareholders elected to reinvest their dividend under the company's dividend reinvestment scheme.</t>
  </si>
  <si>
    <t>The company returned £5,398,927 to shareholders by way of a buyback of 8,243,896 ordinary shares at a price of 539.89p per share.</t>
  </si>
  <si>
    <t>The company returned £51,509 to shareholders by way of a buyback of 169,436 ordinary shares at a price of 5.15p per share.</t>
  </si>
  <si>
    <t>The company returned £61,303 to shareholders by way of a buyback of 199,293 ordinary shares at a price of 6.13p per share.</t>
  </si>
  <si>
    <t>The company returned £77,614 to shareholders by way of a buyback of 250,126 ordinary shares at a price of 7.76p per share.</t>
  </si>
  <si>
    <t>The company returned £38,334 to shareholders by way of a buyback of 111,760 ordinary shares at a price of 3.83p per share.</t>
  </si>
  <si>
    <t>The company returned £224,466 to shareholders by way of a buyback of 514,831 ordinary shares at a price of 22.45p per share.</t>
  </si>
  <si>
    <t>The company returned £195,435 to shareholders by way of a buyback of 390,870 ordinary shares at a price of 19.54p per share.</t>
  </si>
  <si>
    <t>The company returned £782,563 to shareholders by way of a buyback of 2,726,702 ordinary shares at a price of 78.26p per share.</t>
  </si>
  <si>
    <t>The company returned £36,158 to shareholders by way of a buyback of 69,535 ordinary shares at a price of 3.62p per share.</t>
  </si>
  <si>
    <t>The company returned £22,989 to shareholders by way of a buyback of 43,375 ordinary shares at a price of 2.3p per share.</t>
  </si>
  <si>
    <t>The company returned £84,221 to shareholders by way of a buyback of 155,965 ordinary shares at a price of 8.42p per share.</t>
  </si>
  <si>
    <t>The company returned £60,772 to shareholders by way of a buyback of 113,065 ordinary shares at a price of 6.08p per share.</t>
  </si>
  <si>
    <t>The company raised £18,185,420 by way of  a joint offer of subscription with the management group's other VCT(s). The offer opened on 14/10/2025 and closed on 12/05/2026.</t>
  </si>
  <si>
    <t>The company raised £22,340,790 by way of  a joint offer of subscription with the management group's other VCT(s). The offer opened on 14/10/2025 and closed on 12/05/2026.</t>
  </si>
  <si>
    <t>The company raised £6,188,881 by way of an open offer for subscription of shares. The offer opened on 02/04/2025 and closed on 30/04/2026.</t>
  </si>
  <si>
    <t>The company raised £5,515,332 by way of an open offer for subscription of shares. The offer opened on 14/10/2025 and closed on 30/04/2026.</t>
  </si>
  <si>
    <t>The company raised £11,970,651 by way of  a joint offer of subscription with the management group's other VCT(s). The offer opened on 02/10/2025 and closed on 30/04/2026.</t>
  </si>
  <si>
    <t>The company raised £9,336,286 by way of  a joint offer of subscription with the management group's other VCT(s). The offer opened on 02/10/2025 and closed on 30/04/2026.</t>
  </si>
  <si>
    <t>The company raised £8,689,019 by way of  a joint offer of subscription with the management group's other VCT(s). The offer opened on 02/10/2025 and closed on 30/04/2026.</t>
  </si>
  <si>
    <t>The company raised £309,517 by way of an allotment of 606,778 shares at an average price of 51.01p as part of their open offer for subscription for the 2026/27 tax year.</t>
  </si>
  <si>
    <t>The company raised £423,770 by way of an allotment of 859,922 shares at an average price of 49.28p as part of their open offer for subscription for the 2026/27 tax year.</t>
  </si>
  <si>
    <t>The company raised £19,983 by way of an allotment of 20,936 shares at an average price of 95.45p as part of their open offer for subscription for the 2026/27 tax year.</t>
  </si>
  <si>
    <t>The company raised £36,417 by way of an allotment of 39,545 shares at an average price of 92.09p as part of their open offer for subscription for the 2026/27 tax year.</t>
  </si>
  <si>
    <t>The company raised £35,350 by way of an allotment of 105,364 shares at an average price of 33.55p as part of their open offer for subscription for the 2026/27 tax year.</t>
  </si>
  <si>
    <t>The company raised £24,5923 through an issue of 58,834 ordinary shares at a price of 41.8p per share.</t>
  </si>
  <si>
    <t>The company raised £15,677 through an issue of 49,611 ordinary shares at a price of 31.6p per share.</t>
  </si>
  <si>
    <t>The company raised £173,316 by way of an allotment of 352,986 shares at an average price of 49.1p as part of their open offer for subscription for the 2026/27 tax year.</t>
  </si>
  <si>
    <t>The company raised £3,654,733 by way of an allotment of 7,028,332 shares at an average price of 52.p as part of their open offer for subscription for the 2026/27 tax year.</t>
  </si>
  <si>
    <t>The company raised £121,399 by way of an allotment of 145,214 shares at an average price of 83.6p as part of their open offer for subscription for the 2026/27 tax year.</t>
  </si>
  <si>
    <t>The company raised £218,789 through an issue of 491,661 ordinary shares at a price of 44.5p per share.</t>
  </si>
  <si>
    <t>The company raised £425,016 by way of an allotment of 419,645 shares at an average price of 101.28p as part of their open offer for subscription for the 2026/27 tax year.</t>
  </si>
  <si>
    <t>The company raised £225,744 by way of an allotment of 459,297 shares at an average price of 49.15p as part of their open offer for subscription for the 2026/27 tax year.</t>
  </si>
  <si>
    <t>The company raised £331,380 by way of an allotment of 523,012 shares at an average price of 63.36p as part of their open offer for subscription for the 2026/27 tax year.</t>
  </si>
  <si>
    <t>The company raised £373,372 by way of an allotment of 302,656 shares at an average price of 123.37p as part of their open offer for subscription for the 2026/27 tax year.</t>
  </si>
  <si>
    <t>The company raised £1,656,754 by way of an allotment of 2,093,579 shares at an average price of 79.14p as part of their open offer for subscription for the 2026/27 tax year.</t>
  </si>
  <si>
    <t>Blackfinch Investments</t>
  </si>
  <si>
    <t>The company raised £430,156 by way of an issue of 490,542 shares at a price of 87.69p per share as shareholders elected to reinvest their dividend under the company's dividend reinvestment scheme.</t>
  </si>
  <si>
    <t>The company raised £24,128 by way of an issue of 25,786 shares at a price of 93.57p per share as shareholders elected to reinvest their dividend under the company's dividend reinvestment scheme.</t>
  </si>
  <si>
    <t>The company raised £88,569 by way of an issue of 192,626 shares at a price of 45.98p per share as shareholders elected to reinvest their dividend under the company's dividend reinvestment scheme.</t>
  </si>
  <si>
    <t>The company raised £93,117 by way of an issue of 176,625 shares at a price of 52.72p per share as shareholders elected to reinvest their dividend under the company's dividend reinvestment scheme.</t>
  </si>
  <si>
    <t>The company raised £72,074 by way of an issue of 238,026 shares at a price of 30.28p per share as shareholders elected to reinvest their dividend under the company's dividend reinvestment scheme.</t>
  </si>
  <si>
    <t>The company raised £703,537 by way of an issue of 2,226,384 shares at a price of 31.6p per share as shareholders elected to reinvest their dividend under the company's dividend reinvestment scheme.</t>
  </si>
  <si>
    <t>16,847,339 share tendered at 54.64p per share, returning £9,205,706 departing on 26/05/2026.</t>
  </si>
  <si>
    <t>The company returned £863,697 to shareholders by way of a buyback of 3,091,256 ordinary shares at a price of 86.37p per share.</t>
  </si>
  <si>
    <t>The company returned £301,545 to shareholders by way of a buyback of 807,781 ordinary shares at a price of 30.15p per share.</t>
  </si>
  <si>
    <t>The company returned £1,285,247 to shareholders by way of a buyback of 1,971,540 ordinary shares at a price of 128.52p per share.</t>
  </si>
  <si>
    <t>The company returned £3,165,430 to shareholders by way of a buyback of 6,671,086 ordinary shares at a price of 316.54p per share.</t>
  </si>
  <si>
    <t>The company returned £3,096,074 to shareholders by way of a buyback of 6,746,730 ordinary shares at a price of 309.61p per share.</t>
  </si>
  <si>
    <t>The company returned £899,801 to shareholders by way of a buyback of 1,255,653 ordinary shares at a price of 89.98p per share.</t>
  </si>
  <si>
    <t>The company returned £857,634 to shareholders by way of a buyback of 1,732,243 ordinary shares at a price of 85.76p per share.</t>
  </si>
  <si>
    <t>The company returned £109,986 to shareholders by way of a buyback of 347,618 ordinary shares at a price of 11.p per share.</t>
  </si>
  <si>
    <t>The company returned £31,985 to shareholders by way of a buyback of 101,348 ordinary shares at a price of 3.2p per share.</t>
  </si>
  <si>
    <t>The company returned £129,852 to shareholders by way of a buyback of 411,835 ordinary shares at a price of 12.99p per share.</t>
  </si>
  <si>
    <t>The company returned £59,740 to shareholders by way of a buyback of 188,514 ordinary shares at a price of 5.97p per share.</t>
  </si>
  <si>
    <t>The company returned £22,969 to shareholders by way of a buyback of 41,762 ordinary shares at a price of 2.3p per share.</t>
  </si>
  <si>
    <t>The company returned £41,813 to shareholders by way of a buyback of 77,432 ordinary shares at a price of 4.18p per share.</t>
  </si>
  <si>
    <t>The company returned £35,770 to shareholders by way of a buyback of 67,491 ordinary shares at a price of 3.58p per share.</t>
  </si>
  <si>
    <t>The company returned £88,163 to shareholders by way of a buyback of 166,346 ordinary shares at a price of 8.82p per share.</t>
  </si>
  <si>
    <t>The company returned £91,649 to shareholders by way of a buyback of 172,923 ordinary shares at a price of 9.16p per share.</t>
  </si>
  <si>
    <t>The company returned £309,161 to shareholders by way of a buyback of 767,187 ordinary shares at a price of 30.92p per share.</t>
  </si>
  <si>
    <t>The company returned £245,321 to shareholders by way of a buyback of 802,568 ordinary shares at a price of 24.53p per share.</t>
  </si>
  <si>
    <t>The company returned £2,782,393 to shareholders by way of a buyback of 6,165,285 ordinary shares at a price of 278.24p per share.</t>
  </si>
  <si>
    <t>The company returned £2,742,425 to shareholders by way of a buyback of 4,771,095 ordinary shares at a price of 274.24p per share.</t>
  </si>
  <si>
    <t>Guinness Asset Management</t>
  </si>
  <si>
    <t>The company raised £3,733,167 by way of an open offer for subscription of shares. The offer opened on 12/09/2025 and closed on 30/06/2026.</t>
  </si>
  <si>
    <t>The company raised £96,643,102 by way of an open offer for subscription of shares. The offer opened on 30/10/2025 and closed on 26/06/2026.</t>
  </si>
  <si>
    <t>The company raised £45,974,893 by way of an open offer for subscription of shares. The offer opened on 09/09/2025 and closed on 24/06/2026.</t>
  </si>
  <si>
    <t>The company raised £1,920,863 by way of an open offer for subscription of shares. The offer opened on 02/12/2025 and closed on 03/06/2026.</t>
  </si>
  <si>
    <t>The company raised £155,125 by way of an allotment of 170,617 shares at an average price of 90.92p as part of their open offer for subscription for the 2026/27 tax year.</t>
  </si>
  <si>
    <t>The company raised £292,075 by way of an allotment of 510,889 shares at an average price of 57.17p as part of their open offer for subscription for the 2026/27 tax year.</t>
  </si>
  <si>
    <t>The company raised £25,250 by way of an allotment of 74,615 shares at an average price of 33.84p as part of their open offer for subscription for the 2026/27 tax year.</t>
  </si>
  <si>
    <t>The company raised £22,021 by way of an allotment of 22,075 shares at an average price of 99.76p as part of their open offer for subscription for the 2026/27 tax year.</t>
  </si>
  <si>
    <t>The company raised £841,011 by way of an allotment of 676,625 shares at an average price of 124.3p as part of their open offer for subscription for the 2026/27 tax year.</t>
  </si>
  <si>
    <t>The company raised £956,426 by way of an issue of 1,393,800 shares at a price of 68.62p per share as shareholders elected to reinvest their dividend under the company's dividend reinvestment scheme.</t>
  </si>
  <si>
    <t>The company raised £754,667 by way of an issue of 1,462,532 shares at a price of 51.6p per share as shareholders elected to reinvest their dividend under the company's dividend reinvestment scheme.</t>
  </si>
  <si>
    <t>The company raised £2,172,717 by way of an issue of 3,307,028 shares at a price of 65.7p per share as shareholders elected to reinvest their dividend under the company's dividend reinvestment scheme.</t>
  </si>
  <si>
    <t>The company raised £114,550 by way of an issue of 321,950 shares at a price of 35.58p per share as shareholders elected to reinvest their dividend under the company's dividend reinvestment scheme.</t>
  </si>
  <si>
    <t>The company raised £3,292,597 by way of an issue of 6,888,278 shares at a price of 47.8p per share as shareholders elected to reinvest their dividend under the company's dividend reinvestment scheme.</t>
  </si>
  <si>
    <t>from Praetura Growth VCT</t>
  </si>
  <si>
    <t>to PXN Growth VCT</t>
  </si>
  <si>
    <t>The company raised £26,892,741 by way of an open offer for subscription of shares. The offer opened on 26/01/2026 and closed on 31/07/2026.</t>
  </si>
  <si>
    <t>The company raised £295,576 by way of an allotment of 308,213 shares at an average price of 95.9p as part of their open offer for subscription for the 2026/27 tax year.</t>
  </si>
  <si>
    <t>The company raised £149,937 by way of an allotment of 453,393 shares at an average price of 33.07p as part of their open offer for subscription for the 2026/27 tax year.</t>
  </si>
  <si>
    <t>The company raised £3,938,414 by way of an allotment of 7,783,426 shares at an average price of 50.6p as part of their open offer for subscription for the 2026/27 tax year.</t>
  </si>
  <si>
    <t>The company raised £244,733 by way of an allotment of 498,642 shares at an average price of 49.08p as part of their open offer for subscription for the 2026/27 tax year.</t>
  </si>
  <si>
    <t>The company raised £533,743 by way of an allotment of 855,631 shares at an average price of 62.38p as part of their open offer for subscription for the 2026/27 tax year.</t>
  </si>
  <si>
    <t>The company raised £1,196,567 by way of an issue of 1,597,553 shares at a price of 74.9p per share as shareholders elected to reinvest their dividend under the company's dividend reinvestment scheme.</t>
  </si>
  <si>
    <t>The company raised £1,251,823 by way of an issue of 2,739,218 shares at a price of 45.7p per share as shareholders elected to reinvest their dividend under the company's dividend reinvestment scheme.</t>
  </si>
  <si>
    <t>The company raised £290,211 by way of an issue of 915,780 shares at a price of 31.69p per share as shareholders elected to reinvest their dividend under the company's dividend reinvestment scheme.</t>
  </si>
  <si>
    <t>to AlbionVC</t>
  </si>
  <si>
    <t>The company has announced plans to raise up to £20,000,000 (with an over-allotment facility of £20,000,000 by way of an open offer for subscription of shares, and has raised £29,377,329 to date. The company has utilised its overallotment facility.  The offer opened on 11/09/2025 and will close on 04/08/2026.</t>
  </si>
  <si>
    <t>The company has announced plans to raise up to £10,000,000 (with an over-allotment facility of £20,000,000 by way of an open offer for subscription of shares, and has raised £17,937,446 to date. The company has utilised its overallotment facility.  The offer opened on 09/10/2025 and will close on 03/08/2026.</t>
  </si>
  <si>
    <t>The company has announced plans to raise up to £50,000,000 (with an over-allotment facility of £20,000,000 by way of an open offer for subscription of shares, and has raised £65,843,056 to date. The company has utilised its overallotment facility.  The offer opened on 24/09/2025 and will close on 28/08/2026.</t>
  </si>
  <si>
    <t>The company has announced plans to raise up to £15,000,000 in aggregate (with an over-allotment facility of £5,000,000 by way of  a joint offer of subscription with the management group's other VCT(s), and has raised £17,735,212 to date. The company has utilised its overallotment facility.  The offer opened on 17/12/2025 and will close on 30/09/2026.</t>
  </si>
  <si>
    <t>The company has announced plans to raise up to £15,000,000 in aggregate (with an over-allotment facility of £5,000,000 by way of  a joint offer of subscription with the management group's other VCT(s), and has raised £19,135,682 to date. The company has utilised its overallotment facility.  The offer opened on 17/12/2025 and will close on 30/09/2026.</t>
  </si>
  <si>
    <t>The company has announced plans to raise up to £10,000,000 (with an over-allotment facility of £10,000,000 by way of an open offer for subscription of shares, and has raised £5,237,254 to date. The offer opened on 09/09/2025 and will close on 26/08/2026.</t>
  </si>
  <si>
    <t>The company has announced plans to raise up to £10,000,000 (with an over-allotment facility of £10,000,000 by way of an open offer for subscription of shares, and has raised £10,953,453 to date. The offer opened on 02/10/2025 and will close on 02/10/2026.</t>
  </si>
  <si>
    <t>AlbionVC</t>
  </si>
  <si>
    <t>The company has announced plans to convert its C shares to ordinary shares in November 2026.</t>
  </si>
  <si>
    <t>C shares</t>
  </si>
  <si>
    <t>The company has announced plans to raise up to £15,000,000 (with an over-allotment facility of £5,000,000 by way of an open offer for subscription of shares, and has raised £1,447,267 to date. The offer opened on 09/12/2025 and will close on 26/11/2026.</t>
  </si>
  <si>
    <t>The company has announced plans to raise up to £10,000,000 by way of an open offer for subscription of shares. The offer is expected to launch in the Autumn of 2026.</t>
  </si>
  <si>
    <t>TBD</t>
  </si>
  <si>
    <t>2027/28</t>
  </si>
  <si>
    <t>The company has announced plans to amend its investment objective and investment policy to enable a greater degree of investment in unquoted companies, alongside continued investment in companies quoted on AIM (and Aquis), while continuing to comply with the requirements of the rules and regulations applicable to VCTs. The proposed changes will be subject to shareholder approval at the annual general meeting to be held in due course.</t>
  </si>
  <si>
    <t>The company has announced plans to raise up to £20,000,000 (with an over-allotment facility of £10,000,000 by way of an open offer for subscription of shares, and has raised £3,404,034 to date. The offer opened on 27/01/2026 and will close on 31/03/2027.</t>
  </si>
  <si>
    <t>The company has announced plans to raise up to £1,850,000 by way of an open offer for subscription of shares, and has raised £849,910 to date. The offer opened on 23/03/2026 and will close on 22/03/2027.</t>
  </si>
  <si>
    <t>The company has announced plans to raise up to £10,000,000 by way of an open offer for subscription of shares.</t>
  </si>
  <si>
    <t>The company has announced plans to raise up to £15,000,000 by way of an open offer for subscription of shares.</t>
  </si>
  <si>
    <t>The company has announced plans to launch a new offer for subscription later in the 2026/27 tax year.</t>
  </si>
  <si>
    <t>The company has announced plans to raise up to £40,000,000 in aggregate (with an overallotment facility of £20,000,000) by way of a joint open offer for subscription of shares, with British Smaller Companies VCT 2.</t>
  </si>
  <si>
    <t>The company has announced plans to raise up to £40,000,000 in aggregate (with an overallotment facility of £20,000,000) by way of a joint open offer for subscription of shares, with British Smaller Companies VCT.</t>
  </si>
  <si>
    <t>The company has announced plans to raise up to £10,000,000 by way of an open offer for subscription of shares. The offer is expected to launch in September 2026.</t>
  </si>
  <si>
    <t>The company have announce their intention to launch a new offer for subscription of new B Ordinary Shares in the 2026/2027 and 2027/2028 tax years.</t>
  </si>
  <si>
    <t>The company has announced plans to launch an offer for subscription of new Venture Shares, which will cover the 2026/2027 and 2027/2028 tax years. The full details of this offer are expected to be published in a prospectus in September. The offer is expected to launch in September 2026.</t>
  </si>
  <si>
    <t>The company raised £20,650 by way of an issue of 50,000 ordinary shares at a price of 413p per share as a part of company's share issuance authority.</t>
  </si>
  <si>
    <t>The company raised £20,700 by way of an issue of 50,000 ordinary shares at a price of 414p per share as a part of company's share issuance authority.</t>
  </si>
  <si>
    <t>The company raised £421,000 by way of an issue of 100,000 ordinary shares at a price of 421p per share as a part of company's share issuance authority.</t>
  </si>
  <si>
    <t>The company raised £550,800 through a blocklisting of 132,245 ordinary shares at a price of 416.5p per share.</t>
  </si>
  <si>
    <t>The company raised £739,375 through a blocklisting of 175,000 ordinary shares at a price of 422.5p per share.</t>
  </si>
  <si>
    <t>The company raised £759,600 by way of an issue of 180,000 ordinary shares at a price of 422p per share as a part of company's share issuance authority.</t>
  </si>
  <si>
    <t>The company raised £1,047,500 by way of an issue of 250,000 ordinary shares at a price of 419p per share as a part of company's share issuance authority.</t>
  </si>
  <si>
    <t>Ashoka India Equity</t>
  </si>
  <si>
    <t>India / Indian subcontinent</t>
  </si>
  <si>
    <t>The company raised £205,725 through a blocklisting of 75,000 ordinary shares at a price of 274.3p per share.</t>
  </si>
  <si>
    <t>The company raised £406,950 through a blocklisting of 150,000 ordinary shares at a price of 271.3p per share.</t>
  </si>
  <si>
    <t>The company raised £410,850 through a blocklisting of 150,000 ordinary shares at a price of 273.9p per share.</t>
  </si>
  <si>
    <t>The company raised £79,650 through a blocklisting of 50,000 ordinary shares at a price of 159.3p per share.</t>
  </si>
  <si>
    <t>The company raised £357,075 through a blocklisting of 225,000 ordinary shares at a price of 158.7p per share.</t>
  </si>
  <si>
    <t>City of London Investment Trust</t>
  </si>
  <si>
    <t>The company raised £816,000 by way of an issue of 150,000 ordinary shares at a price of 544p per share as a part of company's share issuance authority.</t>
  </si>
  <si>
    <t>The company raised £1,002,700 through a blocklisting of 185,000 ordinary shares at a price of 542p per share.</t>
  </si>
  <si>
    <t>The company raised £1,689,500 by way of an issue of 310,000 ordinary shares at a price of 545p per share as a part of company's share issuance authority.</t>
  </si>
  <si>
    <t>The company raised £1,781,000 through a blocklisting of 325,000 ordinary shares at a price of 548p per share.</t>
  </si>
  <si>
    <t>The company raised £8,885,250 through a blocklisting of 1,650,000 ordinary shares at a price of 538.5p per share.</t>
  </si>
  <si>
    <t>CQS New City High Yield Fund</t>
  </si>
  <si>
    <t>The company raised £256,000 through a blocklisting of 500,000 ordinary shares at a price of 51.2p per share.</t>
  </si>
  <si>
    <t>The company raised £257,000 through a blocklisting of 500,000 ordinary shares at a price of 51.4p per share.</t>
  </si>
  <si>
    <t>The company raised £513,000 through a blocklisting of 1,000,000 ordinary shares at a price of 51.3p per share.</t>
  </si>
  <si>
    <t>The company raised £642,500 through a blocklisting of 1,250,000 ordinary shares at a price of 51.4p per share.</t>
  </si>
  <si>
    <t>The company raised £892,500 through a blocklisting of 1,750,000 ordinary shares at a price of 51p per share.</t>
  </si>
  <si>
    <t>The company raised £1,024,000 through a blocklisting of 2,000,000 ordinary shares at a price of 51.2p per share.</t>
  </si>
  <si>
    <t>CT Global Managed Portfolio Growth</t>
  </si>
  <si>
    <t>Columbia Threadneedle Investments</t>
  </si>
  <si>
    <t>The company raised £156,625 through a blocklisting of 50,000 ordinary shares at a price of 313.25p per share.</t>
  </si>
  <si>
    <t>The company raised £156,750 through a blocklisting of 50,000 ordinary shares at a price of 313.5p per share.</t>
  </si>
  <si>
    <t>The company raised £236,250 through a blocklisting of 75,000 ordinary shares at a price of 315p per share.</t>
  </si>
  <si>
    <t>CT Global Managed Portfolio Income</t>
  </si>
  <si>
    <t>The company raised £127,750 through a blocklisting of 100,000 ordinary shares at a price of 127.75p per share.</t>
  </si>
  <si>
    <t>The company raised £157,500 through a blocklisting of 125,000 ordinary shares at a price of 126p per share.</t>
  </si>
  <si>
    <t>The company raised £312,000 through a blocklisting of 100,000 ordinary shares at a price of 312p per share.</t>
  </si>
  <si>
    <t>The company raised £321,250 through a blocklisting of 250,000 ordinary shares at a price of 128.5p per share.</t>
  </si>
  <si>
    <t>The company raised £638,750 through a blocklisting of 500,000 ordinary shares at a price of 127.75p per share.</t>
  </si>
  <si>
    <t>EJF Investments</t>
  </si>
  <si>
    <t>EJF Investment Manager</t>
  </si>
  <si>
    <t>The company raised £424,000 through a blocklisting of 400,000 2029 ZDP shares at a price of 106p per share.</t>
  </si>
  <si>
    <t>Henderson Far East Income</t>
  </si>
  <si>
    <t>Asia Pacific Equity Income</t>
  </si>
  <si>
    <t>The company raised £246,500 through a blocklisting of 100,000 ordinary shares at a price of 246.5p per share.</t>
  </si>
  <si>
    <t>The company raised £253,000 through a blocklisting of 100,000 ordinary shares at a price of 253p per share.</t>
  </si>
  <si>
    <t>The company raised £331,425 through a blocklisting of 135,000 ordinary shares at a price of 245.5p per share.</t>
  </si>
  <si>
    <t>The company raised £490,000 through a blocklisting of 200,000 ordinary shares at a price of 245p per share.</t>
  </si>
  <si>
    <t>The company raised £531,300 through a blocklisting of 210,000 ordinary shares at a price of 253p per share.</t>
  </si>
  <si>
    <t>The company raised £580,750 through a blocklisting of 230,000 ordinary shares at a price of 252.5p per share.</t>
  </si>
  <si>
    <t>The company raised £612,500 through a blocklisting of 250,000 ordinary shares at a price of 245p per share.</t>
  </si>
  <si>
    <t>The company raised £803,200 through a blocklisting of 320,000 ordinary shares at a price of 251p per share.</t>
  </si>
  <si>
    <t>The company raised £1,000,400 through a blocklisting of 410,000 ordinary shares at a price of 244p per share.</t>
  </si>
  <si>
    <t>The company raised £1,039,500 through a blocklisting of 300,000 ordinary shares at a price of 346.5p per share.</t>
  </si>
  <si>
    <t>The company raised £1,111,425 through a blocklisting of 435,000 ordinary shares at a price of 255.5p per share.</t>
  </si>
  <si>
    <t>The company raised £1,275,863 through a blocklisting of 515,500 ordinary shares at a price of 247.5p per share.</t>
  </si>
  <si>
    <t>The company raised £1,290,275 through a blocklisting of 505,000 ordinary shares at a price of 255.5p per share.</t>
  </si>
  <si>
    <t>The company raised £2,667,000 through a blocklisting of 1,050,000 ordinary shares at a price of 254p per share.</t>
  </si>
  <si>
    <t>Invesco Bond Income Plus</t>
  </si>
  <si>
    <t>The company raised £173,500 through a blocklisting of 100,000 ordinary shares at a price of 173.5p per share.</t>
  </si>
  <si>
    <t>The company raised £173,960 through a blocklisting of 100,000 ordinary shares at a price of 173.96p per share.</t>
  </si>
  <si>
    <t>The company raised £197,125 through a blocklisting of 125,000 ordinary shares at a price of 157.7p per share.</t>
  </si>
  <si>
    <t>The company raised £217,300 through a blocklisting of 125,000 ordinary shares at a price of 173.84p per share.</t>
  </si>
  <si>
    <t>The company raised £260,250 through a blocklisting of 150,000 ordinary shares at a price of 173.5p per share.</t>
  </si>
  <si>
    <t>The company raised £347,340 through a blocklisting of 200,000 ordinary shares at a price of 173.67p per share.</t>
  </si>
  <si>
    <t>The company raised £438,675 through a blocklisting of 250,000 ordinary shares at a price of 175.47p per share.</t>
  </si>
  <si>
    <t>The company raised £440,400 through a blocklisting of 250,000 ordinary shares at a price of 176.16p per share.</t>
  </si>
  <si>
    <t>The company raised £484,550 through a blocklisting of 275,000 ordinary shares at a price of 176.20p per share.</t>
  </si>
  <si>
    <t>The company raised £529,080 through a blocklisting of 300,000 ordinary shares at a price of 176.36p per share.</t>
  </si>
  <si>
    <t>The company raised £607,250 through a blocklisting of 350,000 ordinary shares at a price of 173.5p per share.</t>
  </si>
  <si>
    <t>The company raised £660,000 through a blocklisting of 375,000 ordinary shares at a price of 176p per share.</t>
  </si>
  <si>
    <t>The company raised £705,720 through a blocklisting of 400,000 ordinary shares at a price of 176.43p per share.</t>
  </si>
  <si>
    <t>The company raised £1,058,520 through a blocklisting of 600,000 ordinary shares at a price of 176.42p per share.</t>
  </si>
  <si>
    <t>The company raised £1,299,450 through a blocklisting of 750,000 ordinary shares at a price of 173.26p per share.</t>
  </si>
  <si>
    <t>The company raised £1,403,120 through a blocklisting of 800,000 ordinary shares at a price of 175.39p per share.</t>
  </si>
  <si>
    <t>M&amp;G Credit Income</t>
  </si>
  <si>
    <t>M&amp;G Alternatives Investment Management</t>
  </si>
  <si>
    <t>The company raised £237,000 through a blocklisting of 250,000 ordinary shares at a price of 95p per share.</t>
  </si>
  <si>
    <t>The company raised £474,000 through a blocklisting of 500,000 ordinary shares at a price of 95p per share.</t>
  </si>
  <si>
    <t>The company raised £2,370,000 through a blocklisting of 2,500,000 ordinary shares at a price of 95p per share.</t>
  </si>
  <si>
    <t>The company raised £474,500 through a blocklisting of 500,000 ordinary shares at a price of 95p per share.</t>
  </si>
  <si>
    <t>The company raised £475,000 through a blocklisting of 500,000 ordinary shares at a price of 95p per share.</t>
  </si>
  <si>
    <t>The company raised £475,500 through a blocklisting of 500,000 ordinary shares at a price of 95p per share.</t>
  </si>
  <si>
    <t>The company raised £234,000 through a blocklisting of 250,000 ordinary shares at a price of 94p per share.</t>
  </si>
  <si>
    <t>Odyssean Investment Trust</t>
  </si>
  <si>
    <t>Odyssean Capital</t>
  </si>
  <si>
    <t>The company raised £170,600 through a blocklisting of 100,000 ordinary shares at a price of 170.6p per share.</t>
  </si>
  <si>
    <t>The company raised £255,540 through a blocklisting of 150,000 ordinary shares at a price of 170.36p per share.</t>
  </si>
  <si>
    <t xml:space="preserve">The company raised £3,723,139 through a direct subscription of 2,547,827 new ordinary shares at a price of 146.13p per share on </t>
  </si>
  <si>
    <t>The company raised £790,679 through a direct subscription of 541,079 new ordinary shares at a price of 146.13p per share on 19/01/2026.</t>
  </si>
  <si>
    <t>Rockwood Strategic</t>
  </si>
  <si>
    <t>Harwood Capital</t>
  </si>
  <si>
    <t>The company raised £437,010 through a blocklisting of 150,000 ordinary shares at a price of 291.34p per share.</t>
  </si>
  <si>
    <t>The company raised £590,135 through a blocklisting of 202,420 ordinary shares at a price of 291.54p per share.</t>
  </si>
  <si>
    <t>TwentyFour Income Fund</t>
  </si>
  <si>
    <t>The company raised £1,143,100 through a blocklisting of 1,000,000 ordinary shares at a price of 114.31p per share.</t>
  </si>
  <si>
    <t>The company raised £1,484,210 through a blocklisting of 1,300,000 ordinary shares at a price of 114.17p per share.</t>
  </si>
  <si>
    <t>The company raised £2,251,600 through a blocklisting of 2,000,000 ordinary shares at a price of 112.58p per share.</t>
  </si>
  <si>
    <t>The company raised £3,424,200 through a blocklisting of 3,000,000 ordinary shares at a price of 114.14p per share.</t>
  </si>
  <si>
    <t>The company raised £3,429,300 through a blocklisting of 3,000,000 ordinary shares at a price of 114.31p per share.</t>
  </si>
  <si>
    <t>The company raised £3,710,525 through a blocklisting of 3,250,000 ordinary shares at a price of 114.17p per share.</t>
  </si>
  <si>
    <t>The company raised £5,061,600 through a blocklisting of 4,500,000 ordinary shares at a price of 112.48p per share.</t>
  </si>
  <si>
    <t>The company raised £873,500 through a blocklisting of 1,000,000 ordinary shares at a price of 87.35p per share.</t>
  </si>
  <si>
    <t>The company raised £4,092,290 through a blocklisting of 4,700,000 ordinary shares at a price of 87.07p per share.</t>
  </si>
  <si>
    <t>The company raised £5,233,200 through a blocklisting of 6,000,000 ordinary shares at a price of 87.22p per share.</t>
  </si>
  <si>
    <t>The company raised £306,000 by way of a reissue of 75,000 ordinary shares from treasury at a price of 408p per share.</t>
  </si>
  <si>
    <t>The company raised £315,750 by way of a reissue of 75,000 ordinary shares from treasury at a price of 421p per share.</t>
  </si>
  <si>
    <t>CQS Natural Resources Growth &amp; Income</t>
  </si>
  <si>
    <t>The company raised £1,628,643 by way of a reissue of 425,000 shares from treasury at a price of 383p per share.</t>
  </si>
  <si>
    <t>The company raised £522,600 by way of a reissue of 130,000 shares from treasury at a price of 402p per share.</t>
  </si>
  <si>
    <t>The company raised £206,745 by way of a reissue of 50,000 shares from treasury at a price of 413p per share.</t>
  </si>
  <si>
    <t>The company raised £1,605,726 by way of a reissue of 370,000 shares from treasury at a price of 434p per share.</t>
  </si>
  <si>
    <t>The company raised £374,133 by way of a reissue of 87,500 shares from treasury at a price of 428p per share.</t>
  </si>
  <si>
    <t>The company raised £63,375 by way of a reissue of 50,000 ordinary shares from treasury at a price of 126.75p per share.</t>
  </si>
  <si>
    <t>The company raised £155,000 by way of a reissue of 50,000 ordinary shares from treasury at a price of 310p per share.</t>
  </si>
  <si>
    <t>The company raised £231,000 by way of a reissue of 75,000 ordinary shares from treasury at a price of 308p per share.</t>
  </si>
  <si>
    <t>CT UK High Income Trust</t>
  </si>
  <si>
    <t>The company raised £116,000 by way of a reissue of 100,000 ordinary shares from treasury at a price of 116p per share.</t>
  </si>
  <si>
    <t>The company raised £174,300 by way of a reissue of 150,000 ordinary shares from treasury at a price of 116.2p per share.</t>
  </si>
  <si>
    <t>The company raised £175,605 by way of a reissue of 150,000 ordinary shares from treasury at a price of 117.07p per share.</t>
  </si>
  <si>
    <t>The company raised £230,500 by way of a reissue of 200,000 ordinary shares from treasury at a price of 115.25p per share.</t>
  </si>
  <si>
    <t>The company raised £291,450 by way of a reissue of 250,000 ordinary shares from treasury at a price of 116.58p per share.</t>
  </si>
  <si>
    <t>The company raised £406,000 by way of a reissue of 350,000 ordinary shares from treasury at a price of 116p per share.</t>
  </si>
  <si>
    <t>The company raised £415,800 by way of a reissue of 350,000 ordinary shares from treasury at a price of 118.8p per share.</t>
  </si>
  <si>
    <t>CT UK High Income Trust B</t>
  </si>
  <si>
    <t>The company raised £115,250 by way of a reissue of 100,000 B shares from treasury at a price of 115.25p per share.</t>
  </si>
  <si>
    <t>The company raised £174,000 by way of a reissue of 150,000 B shares from treasury at a price of 116p per share.</t>
  </si>
  <si>
    <t>The company raised £94,330 by way of a reissue of 100,000 ordinary shares from treasury at a price of 94.33p per share.</t>
  </si>
  <si>
    <t>The company raised £94,570 by way of a reissue of 100,000 ordinary shares from treasury at a price of 94.57p per share.</t>
  </si>
  <si>
    <t>The company raised £153,980 by way of a reissue of 100,000 ordinary shares from treasury at a price of 153.98p per share.</t>
  </si>
  <si>
    <t>The company raised £1,180,700 by way of a reissue of 1,000,000 ordinary shares from treasury at a price of 118.07p per share.</t>
  </si>
  <si>
    <t>The company raised £1,782,750 by way of a reissue of 1,500,000 ordinary shares from treasury at a price of 118.85p per share.</t>
  </si>
  <si>
    <t>The company raised £185,300 by way of a reissue of 50,000 shares from treasury at a price of 371p per share.</t>
  </si>
  <si>
    <t>The company raised £1,703,700 by way of a reissue of 450,000 shares from treasury at a price of 379p per share.</t>
  </si>
  <si>
    <t>The company raised £2,474,550 by way of a reissue of 650,000 shares from treasury at a price of 381p per share.</t>
  </si>
  <si>
    <t>The company raised £456,120 by way of a reissue of 120,000 shares from treasury at a price of 380p per share.</t>
  </si>
  <si>
    <t>JPMorgan European Growth &amp; Income</t>
  </si>
  <si>
    <t>The company raised £144,500 by way of a reissue of 100,000 ordinary shares from treasury at a price of 144.5p per share.</t>
  </si>
  <si>
    <t>The company raised £723,750 by way of a reissue of 500,000 ordinary shares from treasury at a price of 144.75p per share.</t>
  </si>
  <si>
    <t>Personal Assets Trust</t>
  </si>
  <si>
    <t>The company raised £543,500 by way of a reissue of 100,000 ordinary shares from treasury at a price of 543.5p per share.</t>
  </si>
  <si>
    <t>The company raised £598,400 by way of a reissue of 110,000 ordinary shares from treasury at a price of 544p per share.</t>
  </si>
  <si>
    <t>The company raised £2,318,800 by way of a reissue of 425,000 ordinary shares from treasury at a price of 545.6p per share.</t>
  </si>
  <si>
    <t>The company raised £5,479,000 by way of a reissue of 1,000,000 ordinary shares from treasury at a price of 547.9p per share.</t>
  </si>
  <si>
    <t>The company raised £208,750 by way of a reissue of 50,000 ordinary shares from treasury at a price of 417.5p per share.</t>
  </si>
  <si>
    <t>The company raised £209,000 by way of a reissue of 50,000 ordinary shares from treasury at a price of 418p per share.</t>
  </si>
  <si>
    <t>The company raised £214,350 by way of a reissue of 50,000 ordinary shares from treasury at a price of 428.7p per share.</t>
  </si>
  <si>
    <t>The company raised £420,200 by way of a reissue of 100,000 ordinary shares from treasury at a price of 420.2p per share.</t>
  </si>
  <si>
    <t>The company raised £1,296,000 by way of a reissue of 300,000 ordinary shares from treasury at a price of 432p per share.</t>
  </si>
  <si>
    <t>The company raised £1,480,500 by way of a reissue of 350,000 ordinary shares from treasury at a price of 423p per share.</t>
  </si>
  <si>
    <t>The company raised £1,722,000 by way of a reissue of 400,000 ordinary shares from treasury at a price of 430.5p per share.</t>
  </si>
  <si>
    <t>The company raised £2,017,705 by way of a reissue of 475,000 ordinary shares from treasury at a price of 424.78p per share.</t>
  </si>
  <si>
    <t>The company raised £2,163,550 by way of a reissue of 500,000 ordinary shares from treasury at a price of 432.71p per share.</t>
  </si>
  <si>
    <t>The company raised £4,296,000 by way of a reissue of 1,000,000 ordinary shares from treasury at a price of 429.6p per share.</t>
  </si>
  <si>
    <t>Temple Bar Investment Trust</t>
  </si>
  <si>
    <t>The company raised £575,550 by way of a reissue of 150,000 ordinary shares from treasury at a price of 383.70p per share.</t>
  </si>
  <si>
    <t>The company raised £575,850 by way of a reissue of 150,000 ordinary shares from treasury at a price of 383.9p per share.</t>
  </si>
  <si>
    <t>The company raised £1,140,900 by way of a reissue of 300,000 ordinary shares from treasury at a price of 380.3p per share.</t>
  </si>
  <si>
    <t>The company raised £1,141,200 by way of a reissue of 300,000 ordinary shares from treasury at a price of 380.4p per share.</t>
  </si>
  <si>
    <t>The company raised £1,330,350 by way of a reissue of 350,000 ordinary shares from treasury at a price of 380.1p per share.</t>
  </si>
  <si>
    <t>The company raised £1,347,850 by way of a reissue of 350,000 ordinary shares from treasury at a price of 385.1p per share.</t>
  </si>
  <si>
    <t>The company raised £1,428,750 by way of a reissue of 375,000 ordinary shares from treasury at a price of 381p per share.</t>
  </si>
  <si>
    <t>The company raised £2,085,600 by way of a reissue of 550,000 ordinary shares from treasury at a price of 379.2p per share.</t>
  </si>
  <si>
    <t>The company raised £2,101,000 by way of a reissue of 550,000 ordinary shares from treasury at a price of 382p per share.</t>
  </si>
  <si>
    <t>The company raised £108,313 through a blocklisting of 25,000 ordinary shares at a price of 433.25p per share.</t>
  </si>
  <si>
    <t>The company raised £427,000 through a blocklisting of 100,000 ordinary shares at a price of 427p per share.</t>
  </si>
  <si>
    <t>The company raised £428,500 through a blocklisting of 100,000 ordinary shares at a price of 428.5p per share.</t>
  </si>
  <si>
    <t>The company raised £532,187 through a blocklisting of 125,000 ordinary shares at a price of 425.75p per share.</t>
  </si>
  <si>
    <t>The company raised £724,557 through a blocklisting of 170,000 ordinary shares at a price of 426.21p per share.</t>
  </si>
  <si>
    <t>The company raised £743,750 through a blocklisting of 175,000 ordinary shares at a price of 425p per share.</t>
  </si>
  <si>
    <t>The company raised £876,500 through a blocklisting of 200,000 ordinary shares at a price of 438p per share.</t>
  </si>
  <si>
    <t>The company raised £547,400 through a blocklisting of 350,000 ordinary shares at a price of 156.4p per share.</t>
  </si>
  <si>
    <t>The company raised £500,200 by way of an issue of 250,000 ordinary shares at a price of 200.08p per share as a part of company's share issuance authority.</t>
  </si>
  <si>
    <t>The company raised £554,000 by way of an issue of 100,000 ordinary shares at a price of 554p per share as a part of company's share issuance authority.</t>
  </si>
  <si>
    <t>The company raised £703,750 by way of an issue of 125,000 ordinary shares at a price of 563p per share as a part of company's share issuance authority.</t>
  </si>
  <si>
    <t>The company raised £720,000 by way of an issue of 125,000 ordinary shares at a price of 576p per share as a part of company's share issuance authority.</t>
  </si>
  <si>
    <t>The company raised £1,417,500 by way of an issue of 250,000 ordinary shares at a price of 567p per share as a part of company's share issuance authority.</t>
  </si>
  <si>
    <t>The company raised £1,740,000 by way of an issue of 300,000 ordinary shares at a price of 580p per share as a part of company's share issuance authority.</t>
  </si>
  <si>
    <t>The company raised £3,017,400 by way of an issue of 535,000 ordinary shares at a price of 564p per share as a part of company's share issuance authority.</t>
  </si>
  <si>
    <t>The company raised £766,500 through a blocklisting of 1,500,000 ordinary shares at a price of 51.1p per share.</t>
  </si>
  <si>
    <t>The company raised £1,326,000 through a blocklisting of 2,600,000 ordinary shares at a price of 51p per share.</t>
  </si>
  <si>
    <t>The company raised £129,250 through a blocklisting of 100,000 ordinary shares at a price of 129.25p per share.</t>
  </si>
  <si>
    <t>The company raised £130,750 through a blocklisting of 100,000 ordinary shares at a price of 130.75p per share.</t>
  </si>
  <si>
    <t>The company raised £161,563 through a blocklisting of 125,000 ordinary shares at a price of 129.25p per share.</t>
  </si>
  <si>
    <t>The company raised £255,000 through a blocklisting of 200,000 ordinary shares at a price of 127.5p per share.</t>
  </si>
  <si>
    <t>The company raised £92,320 through a blocklisting of 100,000 ordinary shares at a price of 92.32p per share.</t>
  </si>
  <si>
    <t>The company raised £106,100 through a blocklisting of 100,000 2029 ZDP shares at a price of 106.1p per share.</t>
  </si>
  <si>
    <t>The company raised £1,593,774 through a blocklisting of 1,499,434 2029 ZDP shares at a price of 106.29p per share.</t>
  </si>
  <si>
    <t>The company raised £2,825,563 through a blocklisting of 2,650,000 2029 ZDP shares at a price of 106.625p per share.</t>
  </si>
  <si>
    <t>Fidelity Special Values</t>
  </si>
  <si>
    <t>Fidelity</t>
  </si>
  <si>
    <t>The company raised £452,500 through a blocklisting of 100,000 ordinary shares at a price of 452.5p per share.</t>
  </si>
  <si>
    <t>The company raised £598,400 through a blocklisting of 220,000 ordinary shares at a price of 272p per share.</t>
  </si>
  <si>
    <t>The company raised £864,500 through a blocklisting of 350,000 ordinary shares at a price of 247p per share.</t>
  </si>
  <si>
    <t>The company raised £1,212,750 through a blocklisting of 450,000 ordinary shares at a price of 269.5p per share.</t>
  </si>
  <si>
    <t>The company raised £1,634,800 through a blocklisting of 670,000 ordinary shares at a price of 244p per share.</t>
  </si>
  <si>
    <t>The company raised £787,905 through a blocklisting of 450,000 ordinary shares at a price of 175.09p per share.</t>
  </si>
  <si>
    <t>The company raised £24,904,820 by way of a placing of 7,710,707 shares and a WRAP Retail offer of 6,661,881 shares (14,372,588 in total) at a price of 173.28p per share.</t>
  </si>
  <si>
    <t>The company raised £233,500 through a blocklisting of 250,000 ordinary shares at a price of 93p per share.</t>
  </si>
  <si>
    <t>The company raised £327,600 through a blocklisting of 350,000 ordinary shares at a price of 94p per share.</t>
  </si>
  <si>
    <t>Nippon Active Value Fund</t>
  </si>
  <si>
    <t>Rising Sun Management</t>
  </si>
  <si>
    <t>The company raised £504,300 through a blocklisting of 205,000 ordinary shares at a price of 246p per share.</t>
  </si>
  <si>
    <t>The company raised £409,200 through a blocklisting of 205,000 ordinary shares at a price of 246p per share.</t>
  </si>
  <si>
    <t>The company raised £861,000 through a blocklisting of 350,000 ordinary shares at a price of 246p per share.</t>
  </si>
  <si>
    <t>The company raised £2,109,250 through a blocklisting of 1,100,000 ordinary shares at a price of 191.75p per share.</t>
  </si>
  <si>
    <t>The company raised £419,000 through a blocklisting of 100,000 ordinary shares at a price of 419p per share.</t>
  </si>
  <si>
    <t>The company raised £105,952 through a blocklisting of 35,000 ordinary shares at a price of 302.72p per share.</t>
  </si>
  <si>
    <t>The company raised £136,800 through a blocklisting of 45,000 ordinary shares at a price of 304p per share.</t>
  </si>
  <si>
    <t>The company raised £150,730 through a blocklisting of 50,000 ordinary shares at a price of 301.46p per share.</t>
  </si>
  <si>
    <t>The company raised £272,493 through a blocklisting of 90,000 ordinary shares at a price of 302.77p per share.</t>
  </si>
  <si>
    <t>The company raised £301,740 through a blocklisting of 100,000 ordinary shares at a price of 301.74p per share.</t>
  </si>
  <si>
    <t>The company raised £303,710 through a blocklisting of 100,000 ordinary shares at a price of 303.71p per share.</t>
  </si>
  <si>
    <t>The company raised £390,091 through a blocklisting of 130,000 ordinary shares at a price of 300.07p per share.</t>
  </si>
  <si>
    <t>The company raised £449,535 through a blocklisting of 150,000 ordinary shares at a price of 299.69p per share.</t>
  </si>
  <si>
    <t>The company raised £454,335 through a blocklisting of 150,000 ordinary shares at a price of 302.89p per share.</t>
  </si>
  <si>
    <t>The company raised £610,240 through a blocklisting of 200,000 ordinary shares at a price of 305.12p per share.</t>
  </si>
  <si>
    <t>The company raised £666,908 through a blocklisting of 220,000 ordinary shares at a price of 303.14p per share.</t>
  </si>
  <si>
    <t>The company raised £757,100 through a blocklisting of 250,000 ordinary shares at a price of 302.84p per share.</t>
  </si>
  <si>
    <t>The company raised £1,592,862 through a blocklisting of 530,000 ordinary shares at a price of 300.54p per share.</t>
  </si>
  <si>
    <t>The company raised £1,124,550 through a blocklisting of 1,000,000 ordinary shares at a price of 112.46p per share.</t>
  </si>
  <si>
    <t>The company raised £4,512,000 through a blocklisting of 4,000,000 ordinary shares at a price of 112.8p per share.</t>
  </si>
  <si>
    <t>The company raised £4,638,330 through a blocklisting of 4,100,000 ordinary shares at a price of 113.13p per share.</t>
  </si>
  <si>
    <t>The company raised £880,200 through a blocklisting of 1,000,000 ordinary shares at a price of 88.02p per share.</t>
  </si>
  <si>
    <t>The company raised £363,000 by way of a reissue of 200,000 ordinary shares from treasury at a price of 181.5p per share.</t>
  </si>
  <si>
    <t>The company raised £409,500 by way of a reissue of 100,000 shares from treasury at a price of 410p per share.</t>
  </si>
  <si>
    <t>The company raised £1,177,633 by way of a reissue of 275,000 shares from treasury at a price of 428p per share.</t>
  </si>
  <si>
    <t>The company raised £157,125 by way of a reissue of 50,000 ordinary shares from treasury at a price of 314.25p per share.</t>
  </si>
  <si>
    <t>The company raised £120,000 by way of a reissue of 100,000 ordinary shares from treasury at a price of 120p per share.</t>
  </si>
  <si>
    <t>The company raised £247,300 by way of a reissue of 200,000 ordinary shares from treasury at a price of 123.65p per share.</t>
  </si>
  <si>
    <t>The company raised £59,400 by way of a reissue of 50,000 B shares from treasury at a price of 118.8p per share.</t>
  </si>
  <si>
    <t>The company raised £237,390 by way of a reissue of 205,000 ordinary shares from treasury at a price of 115.8p per share.</t>
  </si>
  <si>
    <t>The company raised £2,894,750 by way of a reissue of 2,500,000 ordinary shares from treasury at a price of 115.79p per share.</t>
  </si>
  <si>
    <t>The company raised £2,897,000 by way of a reissue of 2,500,000 ordinary shares from treasury at a price of 115.88p per share.</t>
  </si>
  <si>
    <t>The company raised £5,323,580 by way of a reissue of 4,600,000 ordinary shares from treasury at a price of 115.73p per share.</t>
  </si>
  <si>
    <t>The company raised £46,334 by way of a reissue of 50,000 ordinary shares from treasury at a price of 93p per share.</t>
  </si>
  <si>
    <t>The company raised £450,500 by way of a reissue of 100,000 ordinary shares from treasury at a price of 450.5p per share.</t>
  </si>
  <si>
    <t>The company raised £455,750 by way of a reissue of 100,000 ordinary shares from treasury at a price of 455.75p per share.</t>
  </si>
  <si>
    <t>The company raised £670,350 by way of a reissue of 150,000 ordinary shares from treasury at a price of 446.9p per share.</t>
  </si>
  <si>
    <t>The company raised £673,650 by way of a reissue of 150,000 ordinary shares from treasury at a price of 449.1p per share.</t>
  </si>
  <si>
    <t>The company raised £779,380 by way of a reissue of 175,000 ordinary shares from treasury at a price of 445.36p per share.</t>
  </si>
  <si>
    <t>The company raised £1,139,500 by way of a reissue of 250,000 ordinary shares from treasury at a price of 455.8p per share.</t>
  </si>
  <si>
    <t>The company raised £185,750 by way of a reissue of 50,000 shares from treasury at a price of 372p per share.</t>
  </si>
  <si>
    <t>The company raised £187,050 by way of a reissue of 50,000 shares from treasury at a price of 374p per share.</t>
  </si>
  <si>
    <t>The company raised £1,237,925 by way of a reissue of 325,000 shares from treasury at a price of 381p per share.</t>
  </si>
  <si>
    <t>The company raised £1,365,480 by way of a reissue of 360,000 shares from treasury at a price of 379p per share.</t>
  </si>
  <si>
    <t>The company raised £191,900 by way of a reissue of 50,000 shares from treasury at a price of 384p per share.</t>
  </si>
  <si>
    <t>The company raised £1,555,600 by way of a reissue of 400,000 shares from treasury at a price of 389p per share.</t>
  </si>
  <si>
    <t>The company raised £673,050 by way of a reissue of 175,000 shares from treasury at a price of 385p per share.</t>
  </si>
  <si>
    <t>Murray International</t>
  </si>
  <si>
    <t>The company raised £355,000 by way of a reissue of 100,000 ordinary shares from treasury at a price of 355p per share.</t>
  </si>
  <si>
    <t>The company raised £361,500 by way of a reissue of 100,000 ordinary shares from treasury at a price of 361.5p per share.</t>
  </si>
  <si>
    <t>The company raised £363,100 by way of a reissue of 100,000 ordinary shares from treasury at a price of 363.1p per share.</t>
  </si>
  <si>
    <t>The company raised £538,500 by way of a reissue of 150,000 ordinary shares from treasury at a price of 359p per share.</t>
  </si>
  <si>
    <t>The company raised £632,000 by way of a reissue of 200,000 ordinary shares from treasury at a price of 316p per share.</t>
  </si>
  <si>
    <t>The company raised £1,400,534 by way of a reissue of 381,544 ordinary shares from treasury at a price of 367.07p per share.</t>
  </si>
  <si>
    <t>The company raised £1,785,000 by way of a reissue of 500,000 ordinary shares from treasury at a price of 357p per share.</t>
  </si>
  <si>
    <t>The company raised £1,371,750 by way of a reissue of 250,000 ordinary shares from treasury at a price of 548.7p per share.</t>
  </si>
  <si>
    <t>The company raised £207,350 by way of a reissue of 50,000 ordinary shares from treasury at a price of 414.7p per share.</t>
  </si>
  <si>
    <t>The company raised £209,675 by way of a reissue of 50,000 ordinary shares from treasury at a price of 419.35p per share.</t>
  </si>
  <si>
    <t>The company raised £214,000 by way of a reissue of 50,000 ordinary shares from treasury at a price of 428p per share.</t>
  </si>
  <si>
    <t>The company raised £418,600 by way of a reissue of 100,000 ordinary shares from treasury at a price of 418.6p per share.</t>
  </si>
  <si>
    <t>The company raised £523,625 by way of a reissue of 125,000 ordinary shares from treasury at a price of 418.9p per share.</t>
  </si>
  <si>
    <t>The company raised £765,948 by way of a reissue of 186,000 ordinary shares from treasury at a price of 411.8p per share.</t>
  </si>
  <si>
    <t>The company raised £1,033,500 by way of a reissue of 250,000 ordinary shares from treasury at a price of 413.4p per share.</t>
  </si>
  <si>
    <t>The company raised £1,262,040 by way of a reissue of 300,000 ordinary shares from treasury at a price of 420.68p per share.</t>
  </si>
  <si>
    <t>The company raised £2,063,500 by way of a reissue of 1,250,000 ordinary shares from treasury at a price of 165.08p per share.</t>
  </si>
  <si>
    <t>The company raised £336,473 by way of a reissue of 85,000 ordinary shares from treasury at a price of 395.85p per share.</t>
  </si>
  <si>
    <t>The company raised £653,400 by way of a reissue of 165,000 ordinary shares from treasury at a price of 396p per share.</t>
  </si>
  <si>
    <t>The company raised £791,600 by way of a reissue of 200,000 ordinary shares from treasury at a price of 395.8p per share.</t>
  </si>
  <si>
    <t>The company raised £801,200 by way of a reissue of 200,000 ordinary shares from treasury at a price of 400.6p per share.</t>
  </si>
  <si>
    <t>The company raised £1,084,050 by way of a reissue of 270,000 ordinary shares from treasury at a price of 401.5p per share.</t>
  </si>
  <si>
    <t>The company raised £1,203,300 by way of a reissue of 300,000 ordinary shares from treasury at a price of 401.1p per share.</t>
  </si>
  <si>
    <t>The company raised £1,707,650 by way of a reissue of 425,000 ordinary shares from treasury at a price of 401.8p per share.</t>
  </si>
  <si>
    <t>The company raised £1,806,750 by way of a reissue of 450,000 ordinary shares from treasury at a price of 401.5p per share.</t>
  </si>
  <si>
    <t>The company raised £1,995,500 by way of a reissue of 500,000 ordinary shares from treasury at a price of 399.1p per share.</t>
  </si>
  <si>
    <t>The company raised £3,460,625 by way of a reissue of 875,000 ordinary shares from treasury at a price of 395.5p per share.</t>
  </si>
  <si>
    <t>The company raised £4,130,750 by way of a reissue of 1,025,000 ordinary shares from treasury at a price of 403p per share.</t>
  </si>
  <si>
    <t>The company raised £81,750 through a blocklisting of 50,000 ordinary shares at a price of 163.5p per share.</t>
  </si>
  <si>
    <t>The company raised £558,600 through a blocklisting of 350,000 ordinary shares at a price of 159.6p per share.</t>
  </si>
  <si>
    <t>The company raised £190,125 through a blocklisting of 125,000 ordinary shares at a price of 152.1p per share.</t>
  </si>
  <si>
    <t>The company raised £578,000 by way of an issue of 100,000 ordinary shares at a price of 578p per share as a part of company's share issuance authority.</t>
  </si>
  <si>
    <t>2,688 subscription shares exercised at 136.135p per share.</t>
  </si>
  <si>
    <t>The company raised £854,872 by way of an issue of 1,047,637 ordinary shares at a price of 81.6p per share as a part of company's share issuance authority.</t>
  </si>
  <si>
    <t>The company raised £267,457 through a blocklisting of 250,000 2029 ZDP shares at a price of 106.9829 per share.</t>
  </si>
  <si>
    <t>The company raised £1,224,000 through a blocklisting of 480,000 ordinary shares at a price of 255p per share.</t>
  </si>
  <si>
    <t>The company raised £734,570 through a blocklisting of 290,000 ordinary shares at a price of 253.3p per share.</t>
  </si>
  <si>
    <t>The company raised £440,125 through a blocklisting of 175,000 ordinary shares at a price of 251.5p per share.</t>
  </si>
  <si>
    <t>The company raised £595,200 through a blocklisting of 240,000 ordinary shares at a price of 248p per share.</t>
  </si>
  <si>
    <t>The company raised £3,363,350 through a blocklisting of 1,370,000 ordinary shares at a price of 245.5p per share.</t>
  </si>
  <si>
    <t>The company raised £515,160 through a blocklisting of 300,000 ordinary shares at a price of 171.72p per share.</t>
  </si>
  <si>
    <t>The company raised £257,760 through a blocklisting of 150,000 ordinary shares at a price of 171.84p per share.</t>
  </si>
  <si>
    <t>The company raised £3,769,600 through a blocklisting of 1,520,000 ordinary shares at a price of 248p per share.</t>
  </si>
  <si>
    <t>The company raised £141,600 through a blocklisting of 60,000 ordinary shares at a price of 236p per share.</t>
  </si>
  <si>
    <t>The company raised £126,225 through a blocklisting of 75,000 ordinary shares at a price of 168.3p per share.</t>
  </si>
  <si>
    <t>The company raised £277,500 through a blocklisting of 150,000 ordinary shares at a price of 185p per share.</t>
  </si>
  <si>
    <t>The company raised £394,875 through a blocklisting of 225,000 ordinary shares at a price of 175.5p per share.</t>
  </si>
  <si>
    <t>The company raised £270,054 through a blocklisting of 90,000 ordinary shares at a price of 300.06p per share.</t>
  </si>
  <si>
    <t>The company raised £119,344 through a blocklisting of 40,000 ordinary shares at a price of 298.36p per share.</t>
  </si>
  <si>
    <t>The company raised £146,455 through a blocklisting of 50,000 ordinary shares at a price of 292.91p per share.</t>
  </si>
  <si>
    <t>The company raised £357,738 through a blocklisting of 125,000 ordinary shares at a price of 286.19p per share.</t>
  </si>
  <si>
    <t>The company raised £328,988 through a blocklisting of 125,000 ordinary shares at a price of 263.19p per share.</t>
  </si>
  <si>
    <t>The company raised £640,500 by way of a reissue of 350,000 ordinary shares from treasury at a price of 183p per share.</t>
  </si>
  <si>
    <t>The company raised £1,177,800 by way of a reissue of 650,000 ordinary shares from treasury at a price of 181.2p per share.</t>
  </si>
  <si>
    <t>The company raised £1,350,750 by way of a reissue of 750,000 ordinary shares from treasury at a price of 180.1p per share.</t>
  </si>
  <si>
    <t>The company raised £447,500 by way of a reissue of 250,000 ordinary shares from treasury at a price of 179p per share.</t>
  </si>
  <si>
    <t>The company raised £18,687,396 by way of a reissue of 13,107,524 ordinary shares from treasury at a price of 142.57p per share.</t>
  </si>
  <si>
    <t>The company raised £1,814,516 by way of a reissue of 460,000 ordinary shares from treasury at a price of 394.46p per share.</t>
  </si>
  <si>
    <t>The company raised £192,250 by way of a reissue of 50,000 ordinary shares from treasury at a price of 384.5p per share.</t>
  </si>
  <si>
    <t>The company raised £691,600 by way of a reissue of 175,000 ordinary shares from treasury at a price of 395.2p per share.</t>
  </si>
  <si>
    <t>The company raised £1,327,025 by way of a reissue of 350,000 ordinary shares from treasury at a price of 379.15p per share.</t>
  </si>
  <si>
    <t>The company raised £566,925 by way of a reissue of 150,000 ordinary shares from treasury at a price of 377.95p per share.</t>
  </si>
  <si>
    <t>The company raised £157,800 through an issue of 100,000 ordinary shares at a price of 158p per share.</t>
  </si>
  <si>
    <t>The company raised £79,500 through a blocklisting of 50,000 ordinary shares at a price of 159p per share.</t>
  </si>
  <si>
    <t>The company raised £1,288,125 through an issue of 225,000 ordinary shares at a price of 573p per share.</t>
  </si>
  <si>
    <t>The company raised £1,001,875 through an issue of 175,000 ordinary shares at a price of 573p per share.</t>
  </si>
  <si>
    <t>The company raised £1,148,000 through an issue of 200,000 ordinary shares at a price of 574p per share.</t>
  </si>
  <si>
    <t>The company raised £922,400 through an issue of 160,000 ordinary shares at a price of 577p per share.</t>
  </si>
  <si>
    <t>The company raised £3,724,500 through an issue of 650,000 ordinary shares at a price of 573p per share.</t>
  </si>
  <si>
    <t>The company raised £1,280,250 through an issue of 225,000 ordinary shares at a price of 569p per share.</t>
  </si>
  <si>
    <t>The company raised £253,500 through an issue of 500,000 ordinary shares at a price of 51p per share.</t>
  </si>
  <si>
    <t>The company raised £1,141,875 through a blocklisting of 2,250,000 ordinary shares at a price of 51p per share.</t>
  </si>
  <si>
    <t>The company raised £212,188  through a blocklisting of 175,000 ordinary shares at a price of 121.25p per share.</t>
  </si>
  <si>
    <t>The company raised £126,188  through a blocklisting of 100,000 ordinary shares at a price of 126p per share.</t>
  </si>
  <si>
    <t>The company raised £181,875 through a blocklisting of 150,000 ordinary shares at a price of 127.75per share.</t>
  </si>
  <si>
    <t>The company raised £126,750  through a blocklisting of 100,000 ordinary shares at a price of 126.75p per share.</t>
  </si>
  <si>
    <t>The company raised £190,500 through a blocklisting of 150,000 ordinary shares at a price of 127p per share.</t>
  </si>
  <si>
    <t>The company raised £376,791 through an issue of 350,000 2029 ZDP ordinary shares at a price of 108p per share.</t>
  </si>
  <si>
    <t>The company raised £269,197 through a blocklisting of 250,000 2029 ZDP ordinary shares at a price of 108p per share.</t>
  </si>
  <si>
    <t>The company raised £269,980 through an issue of 250,000 2029 ZDP ordinary shares at a price of 108p per share.</t>
  </si>
  <si>
    <t>The company raised £1,618,950 through a blocklisting of 645,000 ordinary shares at a price of 251p per share.</t>
  </si>
  <si>
    <t>The company raised £1,182,200 through an issue of 460,000 ordinary shares at a price of 257p per share.</t>
  </si>
  <si>
    <t>The company raised £892,500 through a blocklisting of 350,000 ordinary shares at a price of 255p per share.</t>
  </si>
  <si>
    <t>The company raised £381,000 through a blocklisting of 150,000 ordinary shares at a price of 254p per share.</t>
  </si>
  <si>
    <t>The company raised £1,236,000 through a blocklisting of 480,000 ordinary shares at a price of 258p per share.</t>
  </si>
  <si>
    <t>The company raised £799,800 through a blocklisting of 310,000 ordinary shares at a price of 258p per share.</t>
  </si>
  <si>
    <t>The company raised £260,000 through a blocklisting of 100,000 ordinary shares at a price of 260p per share.</t>
  </si>
  <si>
    <t>The company raised £1,976,250 through a blocklisting of 750,000 ordinary shares at a price of 264p per share.</t>
  </si>
  <si>
    <t>The company raised £1,910,375 through an issue of 725,000 ordinary shares at a price of 264p per share.</t>
  </si>
  <si>
    <t>The company raised £1,372,875 through a blocklisting of 525,000 ordinary shares at a price of 262p per share.</t>
  </si>
  <si>
    <t>The company raised £1,115,625 through a blocklisting of 425,000 ordinary shares at a price of 263p per share.</t>
  </si>
  <si>
    <t>The company raised £1,343,850 through a blocklisting of 510,000 ordinary shares at a price of 264p per share.</t>
  </si>
  <si>
    <t>The company raised £815,300 through a blocklisting of 310,000 ordinary shares at a price of 263p per share.</t>
  </si>
  <si>
    <t>The company raised £644,350 through a blocklisting of 245,000 ordinary shares at a price of 263p per share.</t>
  </si>
  <si>
    <t>The company raised £833,175 through a blocklisting of 315,000 ordinary shares at a price of 265p per share.</t>
  </si>
  <si>
    <t>The company raised £214,738 through a blocklisting of 125,000 ordinary shares at a price of 172p per share.</t>
  </si>
  <si>
    <t>The company raised £1,293,525 through an issue of 750,000 ordinary shares at a price of 172p per share.</t>
  </si>
  <si>
    <t>The company raised £173,700 through a blocklisting of 100,000 ordinary shares at a price of 174p per share.</t>
  </si>
  <si>
    <t>The company raised £11,463,713 through an issue of 6,602,000 ordinary shares at a price of 174p per share.</t>
  </si>
  <si>
    <t>The company raised £868,100 through a blocklisting of 500,000 ordinary shares at a price of 174p per share.</t>
  </si>
  <si>
    <t>The company raised £1,649,865 through a blocklisting of 950,000 ordinary shares at a price of 174p per share.</t>
  </si>
  <si>
    <t>The company raised £870,400 through an issue of 500,000 ordinary shares at a price of 174p per share.</t>
  </si>
  <si>
    <t>The company raised £2,349,810 through a blocklisting of 1,350,000 ordinary shares at a price of 174p per share.</t>
  </si>
  <si>
    <t>The company raised £696,920 through an issue of 400,000 ordinary shares at a price of 174p per share.</t>
  </si>
  <si>
    <t>The company raised £611,730 through a blocklisting of 350,000 ordinary shares at a price of 175p per share.</t>
  </si>
  <si>
    <t>The company raised £655,500 through a blocklisting of 375,000 ordinary shares at a price of 175p per share.</t>
  </si>
  <si>
    <t>The company raised £699,040 through a blocklisting of 400,000 ordinary shares at a price of 175p per share.</t>
  </si>
  <si>
    <t>The company raised £1,029,780 through a blocklisting of 600,000 ordinary shares at a price of 172p per share.</t>
  </si>
  <si>
    <t>The company raised £343,140 through a blocklisting of 200,000 ordinary shares at a price of 172p per share.</t>
  </si>
  <si>
    <t>The company raised £1,199,450 through a blocklisting of 700,000 ordinary shares at a price of 171.35p per share.</t>
  </si>
  <si>
    <t>The company raised £589,050 through a blocklisting of 150,000 ordinary shares at a price of 393p per share.</t>
  </si>
  <si>
    <t>The company raised £193,550 through a blocklisting of 50,000 ordinary shares at a price of 387p per share.</t>
  </si>
  <si>
    <t>The company raised £1,780,200 through a blocklisting of 460,000 ordinary shares at a price of 387p per share.</t>
  </si>
  <si>
    <t>The company raised £777,600 through an issue of 324,000 ordinary shares at a price of 240p per share.</t>
  </si>
  <si>
    <t>The company raised £735,050 through a blocklisting of 305,000 ordinary shares at a price of 241p per share.</t>
  </si>
  <si>
    <t>The company raised £179,625 through a blocklisting of 75,000 ordinary shares at a price of 240p per share.</t>
  </si>
  <si>
    <t>The company raised £193,430 through a blocklisting of 100,000 ordinary shares at a price of 193p per share.</t>
  </si>
  <si>
    <t>The company raised £382,000 through a blocklisting of 200,000 ordinary shares at a price of 191p per share.</t>
  </si>
  <si>
    <t>The company raised £256,250 through an issue of 205,000 ordinary shares at a price of 125p per share.</t>
  </si>
  <si>
    <t>The company raised £291,760 through a blocklisting of 100,000 ordinary shares at a price of 292p per share.</t>
  </si>
  <si>
    <t>The company raised £366,213 through a blocklisting of 125,000 ordinary shares at a price of 293p per share.</t>
  </si>
  <si>
    <t>Ruffer Investment Company</t>
  </si>
  <si>
    <t>Ruffer</t>
  </si>
  <si>
    <t>The company raised £1,555,000 through a blocklisting of 500,000 ordinary shares at a price of 311p per share.</t>
  </si>
  <si>
    <t>The company raised £3,866,450 through an issue of 3,500,000 ordinary shares at a price of 110p per share.</t>
  </si>
  <si>
    <t>The company raised £7,180,550 through an issue of 6,500,000 ordinary shares at a price of 110p per share.</t>
  </si>
  <si>
    <t>The company raised £5,526,500 through an issue of 5,000,000 ordinary shares at a price of 111p per share.</t>
  </si>
  <si>
    <t>The company raised £4,247,600 through a blocklisting of 4,000,000 ordinary shares at a price of 106.19p per share.</t>
  </si>
  <si>
    <t>The company raised £995,422 through an issue of 1,166,829 ordinary shares at a price of 85p per share.</t>
  </si>
  <si>
    <t>BlackRock American Income</t>
  </si>
  <si>
    <t>North America</t>
  </si>
  <si>
    <t>The company raised £246,800 by way of a reissue of 100,000 shares from treasury at a price of 247p per share.</t>
  </si>
  <si>
    <t>The company raised £160,940 by way of a reissue of 65,000 shares from treasury at a price of 248p per share.</t>
  </si>
  <si>
    <t>The company raised £248,500 by way of a reissue of 100,000 shares from treasury at a price of 249p per share.</t>
  </si>
  <si>
    <t>The company raised £435,925 by way of a reissue of 175,000 shares from treasury at a price of 249p per share.</t>
  </si>
  <si>
    <t>The company raised £100,300 by way of a reissue of 40,000 shares from treasury at a price of 251p per share.</t>
  </si>
  <si>
    <t>The company raised £62,550 by way of a reissue of 25,000 shares from treasury at a price of 250p per share.</t>
  </si>
  <si>
    <t>The company raised £163,540 by way of a reissue of 65,000 ordinary shares from treasury at a price of 251.6p per share.</t>
  </si>
  <si>
    <t>The company raised £485,000 by way of a reissue of 250,000 shares from treasury at a price of 194p per share.</t>
  </si>
  <si>
    <t>The company raised £391,400 by way of a reissue of 200,000 shares from treasury at a price of 196p per share.</t>
  </si>
  <si>
    <t>The company raised £45,629 by way of a reissue of 50,000 ordinary shares from treasury at a price of 91.2586p per share.</t>
  </si>
  <si>
    <t>Ecofin Global Utilities and Infrastructure</t>
  </si>
  <si>
    <t>Infrastructure Securities</t>
  </si>
  <si>
    <t>The company raised £181,350 by way of a reissue of 65,000 shares from treasury at a price of 279p per share.</t>
  </si>
  <si>
    <t>The company raised £210,000 by way of a reissue of 75,000 shares from treasury at a price of 280p per share.</t>
  </si>
  <si>
    <t>The company raised £436,730 by way of a reissue of 157,000 shares from treasury at a price of 278p per share.</t>
  </si>
  <si>
    <t>The company raised £181,850 by way of a reissue of 50,000 shares from treasury at a price of 364p per share.</t>
  </si>
  <si>
    <t>The company raised £754,800 by way of a reissue of 200,000 shares from treasury at a price of 377p per share.</t>
  </si>
  <si>
    <t>The company raised £244,595 by way of a reissue of 65,000 shares from treasury at a price of 376p per share.</t>
  </si>
  <si>
    <t>The company raised £533,360 by way of a reissue of 139,404 shares from treasury at a price of 383p per share.</t>
  </si>
  <si>
    <t>The company raised £175,500 by way of a reissue of 50,000 shares from treasury at a price of 351p per share.</t>
  </si>
  <si>
    <t>The company raised £176,250 by way of a reissue of 50,000 shares from treasury at a price of 353p per share.</t>
  </si>
  <si>
    <t>The company raised £876,250 by way of a reissue of 250,000 shares from treasury at a price of 351p per share.</t>
  </si>
  <si>
    <t>The company raised £438,125 by way of a reissue of 125,000 shares from treasury at a price of 351p per share.</t>
  </si>
  <si>
    <t>The company raised £1,322,888 by way of a reissue of 375,000 shares from treasury at a price of 353p per share.</t>
  </si>
  <si>
    <t>The company raised £351,000 by way of a reissue of 100,000 shares from treasury at a price of 351p per share.</t>
  </si>
  <si>
    <t>The company raised £2,100,000 by way of a reissue of 600,000 shares from treasury at a price of 350p per share.</t>
  </si>
  <si>
    <t>The company raised £522,000 by way of a reissue of 150,000 shares from treasury at a price of 348p per share.</t>
  </si>
  <si>
    <t>The company raised £2,582,528 by way of a reissue of 475,000 shares from treasury at a price of 544p per share.</t>
  </si>
  <si>
    <t>The company raised £977,750 by way of a reissue of 250,000 shares from treasury at a price of 391p per share.</t>
  </si>
  <si>
    <t>The company raised £1,186,200 by way of a reissue of 300,000 shares from treasury at a price of 395p per share.</t>
  </si>
  <si>
    <t>The company raised £800,000 by way of a reissue of 200,000 shares from treasury at a price of 400p per share.</t>
  </si>
  <si>
    <t>The company raised £697,550 by way of a reissue of 175,000 shares from treasury at a price of 399p per share.</t>
  </si>
  <si>
    <t>The company raised £1,152,922 by way of a reissue of 800,000 shares from treasury at a price of 144p per share.</t>
  </si>
  <si>
    <t>The company raised £369,769 by way of a reissue of 250,000 shares from treasury at a price of 148p per share.</t>
  </si>
  <si>
    <t>The company raised £505,731 by way of a reissue of 350,000 shares from treasury at a price of 144p per share.</t>
  </si>
  <si>
    <t>The company raised £25,346,300 by way of a reissue of 1,750,000 shares from treasury at a price of 1448p per share.</t>
  </si>
  <si>
    <t>The company raised £8,553,000 by way of a reissue of 600,000 shares from treasury at a price of 1426p per share.</t>
  </si>
  <si>
    <t>The company raised £11,999,790 by way of a reissue of 850,000 shares from treasury at a price of 1412p per share.</t>
  </si>
  <si>
    <t>The company raised £41,548,390 by way of a reissue of 2,950,000 ordinary shares from treasury at a price of 1,408.42p per share.</t>
  </si>
  <si>
    <t>The company raised £1,621,375 by way of a reissue of 425,000 shares from treasury at a price of 382p per share.</t>
  </si>
  <si>
    <t>The company raised £1,746,625 by way of a reissue of 445,000 shares from treasury at a price of 393p per share.</t>
  </si>
  <si>
    <t>The company raised £1,362,200 by way of a reissue of 350,000 shares from treasury at a price of 389p per share.</t>
  </si>
  <si>
    <t>The company raised £2,568,475 by way of a reissue of 650,000 shares from treasury at a price of 395p per share.</t>
  </si>
  <si>
    <t>The company raised £4,376,350 by way of a reissue of 1,100,000 shares from treasury at a price of 398p per share.</t>
  </si>
  <si>
    <t>The company raised £1,884,088 by way of a reissue of 475,000 shares from treasury at a price of 397p per share.</t>
  </si>
  <si>
    <t>The company raised £905,050 by way of a reissue of 230,000 shares from treasury at a price of 394p per share.</t>
  </si>
  <si>
    <t>The company raised £389,150 by way of a reissue of 100,000 shares from treasury at a price of 389p per share.</t>
  </si>
  <si>
    <t>The company raised £284,228 by way of a reissue of 333,171 shares from treasury at a price of 85p per share.</t>
  </si>
  <si>
    <t>Value and Indexed Property Income Trust</t>
  </si>
  <si>
    <t>OLIM Property Limited</t>
  </si>
  <si>
    <t>The company raised £5,431,500 by way of a reissue of 2,550,000 shares from treasury at a price of 213p per share.</t>
  </si>
  <si>
    <t>The company raised £8,536 by way of a reissue of 4,000 shares from treasury at a price of 213p per share.</t>
  </si>
  <si>
    <t>The company raised £588,900 through an issue of 325,000 ordinary shares at a price of 181p per share.</t>
  </si>
  <si>
    <t>The company raised £177,800 through a blocklisting of 100,000 ordinary shares at a price of 178p per share.</t>
  </si>
  <si>
    <t>The company raised £10,463,040 through an issue of  27,534,315 ordinary shares at a price of 38p per share.</t>
  </si>
  <si>
    <t>The company raised £769,500 through an issue of 135,000 ordinary shares at a price of 570p per share.</t>
  </si>
  <si>
    <t>The company raised £565,000 through an issue of 100,000 ordinary shares at a price of 565p per share.</t>
  </si>
  <si>
    <t>The company raised £1,257,500 through an issue of 2,500,000 ordinary shares at a price of 50p per share.</t>
  </si>
  <si>
    <t>The company raised £883,750 through a blocklisting of 1,750,000 ordinary shares at a price of 51p per share.</t>
  </si>
  <si>
    <t>The company raised £1,518,000 through a blocklisting of 3,000,000 ordinary shares at a price of 51p per share.</t>
  </si>
  <si>
    <t>The company raised £254,000 through an issue of 500,000 ordinary shares at a price of 51p per share.</t>
  </si>
  <si>
    <t>The company raised £194,250 through a blocklisting of 150,000 ordinary shares at a price of 129.5p per share.</t>
  </si>
  <si>
    <t>The company raised £65,375 through a blocklisting of 150,000 ordinary shares at a price of 130.75p per share.</t>
  </si>
  <si>
    <t>The company raised £108,427 through an issue of 100,000 2029 ZDP ordinary shares at a price of 108p per share.</t>
  </si>
  <si>
    <t>The company raised £217,680 through an issue of 200,000 2029 ZDP ordinary shares at a price of 109p per share.</t>
  </si>
  <si>
    <t>Geiger Counter</t>
  </si>
  <si>
    <t>The company raised £5,264,484 through a direct subscription of 14,151,839 new ordinary shares at a price of 37.2p per share on 06/05/2026.</t>
  </si>
  <si>
    <t>The company raised £2,535,295 through a direct subscription of 6,815,308 new ordinary shares at a price of 37.2p per share on 11/05/2026.</t>
  </si>
  <si>
    <t>The company raised £3,671,250 through a blocklisting of 1,375,000 ordinary shares at a price of 267p per share.</t>
  </si>
  <si>
    <t>The company raised £666,250 through an issue of 250,000 ordinary shares at a price of 267p per share.</t>
  </si>
  <si>
    <t>The company raised £400,500 through a blocklisting of 150,000 ordinary shares at a price of 267p per share.</t>
  </si>
  <si>
    <t>The company raised £840,000 through a blocklisting of 320,000 ordinary shares at a price of 263p per share.</t>
  </si>
  <si>
    <t>The company raised £532,000 through a blocklisting of 200,000 ordinary shares at a price of 266p per share.</t>
  </si>
  <si>
    <t>The company raised £270,500 through a blocklisting of 100,000 ordinary shares at a price of 271p per share.</t>
  </si>
  <si>
    <t>The company raised £1,012,500 through a blocklisting of 375,000 ordinary shares at a price of 270p per share.</t>
  </si>
  <si>
    <t>The company raised £366,525 through a blocklisting of 135,000 ordinary shares at a price of 272p per share.</t>
  </si>
  <si>
    <t>The company raised £257,385 through an issue of 150,000 ordinary shares at a price of 172p per share.</t>
  </si>
  <si>
    <t>The company raised £1,544,040 through a blocklisting of 900,000 ordinary shares at a price of 172p per share.</t>
  </si>
  <si>
    <t>The company raised £215,000 through a blocklisting of 125,000 ordinary shares at a price of 172p per share.</t>
  </si>
  <si>
    <t>The company raised £172,010 through a blocklisting of 100,000 ordinary shares at a price of 172p per share.</t>
  </si>
  <si>
    <t>The company raised £257,595 through an issue of 150,000 ordinary shares at a price of 172p per share.</t>
  </si>
  <si>
    <t>The company raised £515,190 through an issue of 300,000 ordinary shares at a price of 172p per share.</t>
  </si>
  <si>
    <t>The company raised £556,563 through an issue of 325,000 ordinary shares at a price of 171p per share.</t>
  </si>
  <si>
    <t>The company raised £557,440 through an issue of 325,000 ordinary shares at a price of 172p per share.</t>
  </si>
  <si>
    <t>The company raised £471,735 through an issue of 275,000 ordinary shares at a price of 172p per share.</t>
  </si>
  <si>
    <t>The company raised £343,440 through a blocklisting of 200,000 ordinary shares at a price of 172p per share.</t>
  </si>
  <si>
    <t>The company raised £516,390 through an issue of 300,000 ordinary shares at a price of 172p per share.</t>
  </si>
  <si>
    <t>The company raised £344,640 through a blocklisting of 200,000 ordinary shares at a price of 172p per share.</t>
  </si>
  <si>
    <t>The company raised £473,990 through an issue of 275,000 ordinary shares at a price of 172p per share.</t>
  </si>
  <si>
    <t>The company raised £351,450 through a blocklisting of 90,000 ordinary shares at a price of 391p per share.</t>
  </si>
  <si>
    <t>The company raised £7,025,400 through a blocklisting of 1,800,000 ordinary shares at a price of 390p per share.</t>
  </si>
  <si>
    <t>The company raised £582,000 through a blocklisting of 150,000 ordinary shares at a price of 388p per share.</t>
  </si>
  <si>
    <t>The company raised £292,575 through a blocklisting of 75,000 ordinary shares at a price of 390p per share.</t>
  </si>
  <si>
    <t>The company raised £878,175 through an issue of 225,000 ordinary shares at a price of 390p per share.</t>
  </si>
  <si>
    <t>The company raised £352,350 through a blocklisting of 90,000 ordinary shares at a price of 392p per share.</t>
  </si>
  <si>
    <t>The company raised £598,500 through a blocklisting of 150,000 ordinary shares at a price of 399p per share.</t>
  </si>
  <si>
    <t>The company raised £340,085 through an issue of 85,000 ordinary shares at a price of 400p per share.</t>
  </si>
  <si>
    <t>The company raised £853,775 through a blocklisting of 355,000 ordinary shares at a price of 241p per share.</t>
  </si>
  <si>
    <t>The company raised £1,203,750 through a blocklisting of 500,000 ordinary shares at a price of 241p per share.</t>
  </si>
  <si>
    <t>The company raised £1,577,784 through a blocklisting of 778,000 ordinary shares at a price of 203p per share.</t>
  </si>
  <si>
    <t>The company raised £206,790 through an issue of 100,000 ordinary shares at a price of 207p per share.</t>
  </si>
  <si>
    <t>The company raised £444,600 through an issue of 360,000 ordinary shares at a price of 124p per share.</t>
  </si>
  <si>
    <t>The company raised £452,850 through an issue of 150,000 ordinary shares at a price of 302p per share.</t>
  </si>
  <si>
    <t>The company raised £378,163 through an issue of 125,000 ordinary shares at a price of 303p per share.</t>
  </si>
  <si>
    <t>The company raised £399,400 through an issue of 125,000 ordinary shares at a price of 320p per share.</t>
  </si>
  <si>
    <t>The company raised £2,593,206 through a blocklisting of 1,540,000 ordinary shares at a price of 168.39p per share.</t>
  </si>
  <si>
    <t>The company raised £2,137,200 through an issue of 2,000,000 ordinary shares at a price of 107p per share.</t>
  </si>
  <si>
    <t>The company raised £3,250,800 through an issue of 3,000,000 ordinary shares at a price of 108p per share.</t>
  </si>
  <si>
    <t>The company raised £2,174,400 through an issue of 2,000,000 ordinary shares at a price of 109p per share.</t>
  </si>
  <si>
    <t>The company raised £8,697,600 through an issue of 8,000,000 ordinary shares at a price of 109p per share.</t>
  </si>
  <si>
    <t>The company raised £1,276,950 through an issue of 1,500,000 ordinary shares at a price of 85p per share.</t>
  </si>
  <si>
    <t>Seraphim Space C shares</t>
  </si>
  <si>
    <t>Seraphim Space</t>
  </si>
  <si>
    <t>The company raised £137,000,000 by way of a placing, retail offer and offer for subscription of 136,508,663 new C shares at a price of 100p per share. The new C shares commenced trading on 12/11/26.</t>
  </si>
  <si>
    <t>The company raised £460,800 by way of a reissue of 180,000 shares from treasury at a price of 256p per share.</t>
  </si>
  <si>
    <t>The company raised £421,575 by way of a reissue of 165,000 shares from treasury at a price of 256p per share.</t>
  </si>
  <si>
    <t>The company raised £127,950 by way of a reissue of 50,000 shares from treasury at a price of 256p per share.</t>
  </si>
  <si>
    <t>The company raised £357,980 by way of a reissue of 140,000 shares from treasury at a price of 256p per share.</t>
  </si>
  <si>
    <t>The company raised £116,213 by way of a reissue of 45,000 shares from treasury at a price of 258p per share.</t>
  </si>
  <si>
    <t>The company raised £205,040 by way of a reissue of 80,000 shares from treasury at a price of 256p per share.</t>
  </si>
  <si>
    <t>The company raised £494,813 by way of a reissue of 195,000 shares from treasury at a price of 254p per share.</t>
  </si>
  <si>
    <t>The company raised £392,550 by way of a reissue of 150,000 shares from treasury at a price of 262p per share.</t>
  </si>
  <si>
    <t>The company raised £574,500 by way of a reissue of 300,000 shares from treasury at a price of 192p per share.</t>
  </si>
  <si>
    <t>The company raised £240,000 by way of a reissue of 125,000 shares from treasury at a price of 192p per share.</t>
  </si>
  <si>
    <t>The company raised £288,750 by way of a reissue of 150,000 shares from treasury at a price of 193p per share.</t>
  </si>
  <si>
    <t>The company raised £356,050 by way of a reissue of 250,000 ordinary shares from treasury at a price of 142.42p per share.</t>
  </si>
  <si>
    <t>The company raised £182,726 by way of a reissue of 200,000 ordinary shares from treasury at a price of 91.36p per share.</t>
  </si>
  <si>
    <t>The company raised £344,940 by way of a reissue of 300,000 ordinary shares from treasury at a price of 114.98p per share.</t>
  </si>
  <si>
    <t>The company raised £420,000 by way of a reissue of 150,000 shares from treasury at a price of 280p per share.</t>
  </si>
  <si>
    <t>The company raised £645,288 by way of a reissue of 230,000 shares from treasury at a price of 281p per share.</t>
  </si>
  <si>
    <t>The company raised £138,250 by way of a reissue of 50,000 shares from treasury at a price of 277p per share.</t>
  </si>
  <si>
    <t>The company raised £1,218,023 by way of a reissue of 444,940 shares from treasury at a price of 274p per share.</t>
  </si>
  <si>
    <t>The company raised £413,040 by way of a reissue of 150,000 shares from treasury at a price of 275p per share.</t>
  </si>
  <si>
    <t>The company raised £304,400 by way of a reissue of 110,000 shares from treasury at a price of 277p per share.</t>
  </si>
  <si>
    <t>The company raised £1,778,583 by way of a reissue of 645,000 shares from treasury at a price of 276p per share.</t>
  </si>
  <si>
    <t>The company raised £389,150 by way of a reissue of 107,500 shares from treasury at a price of 362p per share.</t>
  </si>
  <si>
    <t>The company raised £364,500 by way of a reissue of 100,000 shares from treasury at a price of 365p per share.</t>
  </si>
  <si>
    <t>The company raised £364,000 by way of a reissue of 100,000 shares from treasury at a price of 364p per share.</t>
  </si>
  <si>
    <t>The company raised £362,000 by way of a reissue of 100,000 shares from treasury at a price of 362p per share.</t>
  </si>
  <si>
    <t>The company raised £722,000 by way of a reissue of 200,000 shares from treasury at a price of 361p per share.</t>
  </si>
  <si>
    <t>The company raised £1,637,400 by way of a reissue of 300,000 shares from treasury at a price of 546p per share.</t>
  </si>
  <si>
    <t>The company raised £273,850 by way of a reissue of 50,000 shares from treasury at a price of 548p per share.</t>
  </si>
  <si>
    <t>The company raised £1,539,758 by way of a reissue of 1,000,000 shares from treasury at a price of 154p per share.</t>
  </si>
  <si>
    <t>The company raised £785,049 by way of a reissue of 500,000 shares from treasury at a price of 157p per share.</t>
  </si>
  <si>
    <t>The company raised £3,925,244 by way of a reissue of 2,500,000 shares from treasury at a price of 157p per share.</t>
  </si>
  <si>
    <t>The company raised £5,707,722 by way of a reissue of 3,500,000 shares from treasury at a price of 163p per share.</t>
  </si>
  <si>
    <t>The company raised £1,733,024 by way of a reissue of 1,020,000 shares from treasury at a price of 170p per share.</t>
  </si>
  <si>
    <t>The company raised £18,538,000 by way of a reissue of 1,300,000 shares from treasury at a price of 1426p per share.</t>
  </si>
  <si>
    <t>The company raised £22,404,475 by way of a reissue of 1,550,000 shares from treasury at a price of 1445p per share.</t>
  </si>
  <si>
    <t>The company raised £21,705,000 by way of a reissue of 1,500,000 shares from treasury at a price of 1447p per share.</t>
  </si>
  <si>
    <t>The company raised £30,081,030 by way of a reissue of 2,100,000 shares from treasury at a price of 1432p per share.</t>
  </si>
  <si>
    <t>The company raised £8,571,000 by way of a reissue of 600,000 shares from treasury at a price of 1429p per share.</t>
  </si>
  <si>
    <t>The company raised £14,280,000 by way of a reissue of 1,000,000 shares from treasury at a price of 1428p per share.</t>
  </si>
  <si>
    <t>The company raised £14,290,000 by way of a reissue of 1,000,000 shares from treasury at a price of 1429p per share.</t>
  </si>
  <si>
    <t>The company raised £18,063,750 by way of a reissue of 1,250,000 shares from treasury at a price of 1445p per share.</t>
  </si>
  <si>
    <t>The company raised £7,190,000 by way of a reissue of 500,000 shares from treasury at a price of 1438p per share.</t>
  </si>
  <si>
    <t>The company raised £21,670,050 by way of a reissue of 1,500,000 shares from treasury at a price of 1445p per share.</t>
  </si>
  <si>
    <t>The company raised £35,195,040 by way of a reissue of 2,400,000 shares from treasury at a price of 1466p per share.</t>
  </si>
  <si>
    <t>The company raised £32,475,740 by way of a reissue of 2,200,000 shares from treasury at a price of 1476p per share.</t>
  </si>
  <si>
    <t>The company raised £33,673,950 by way of a reissue of 2,250,000 shares from treasury at a price of 1497p per share.</t>
  </si>
  <si>
    <t>The company raised £19,000,000 by way of a reissue of 1,250,000 shares from treasury at a price of 1520p per share.</t>
  </si>
  <si>
    <t>The company raised £37,875,000 by way of a reissue of 2,500,000 shares from treasury at a price of 1515p per share.</t>
  </si>
  <si>
    <t>The company raised £17,273,230 by way of a reissue of 1,150,000 shares from treasury at a price of 1502p per share.</t>
  </si>
  <si>
    <t>The company raised £43,365,315 by way of a reissue of 2,850,000 shares from treasury at a price of 1522p per share.</t>
  </si>
  <si>
    <t>The company raised £974,500 by way of a reissue of 250,000 shares from treasury at a price of 390p per share.</t>
  </si>
  <si>
    <t>The company raised £394,300 by way of a reissue of 100,000 shares from treasury at a price of 394p per share.</t>
  </si>
  <si>
    <t>The company raised £1,935,800 by way of a reissue of 500,000 shares from treasury at a price of 387p per share.</t>
  </si>
  <si>
    <t>The company raised £195,530 by way of a reissue of 50,000 shares from treasury at a price of 391p per share.</t>
  </si>
  <si>
    <t>The company raised £673,540 by way of a reissue of 170,000 shares from treasury at a price of 396p per share.</t>
  </si>
  <si>
    <t>The company raised £1,210,800 by way of a reissue of 300,000 shares from treasury at a price of 404p per share.</t>
  </si>
  <si>
    <t>The company raised £90,200 through a blocklisting of 50,000 ordinary shares at a price of 180p per share.</t>
  </si>
  <si>
    <t>The company raised £541,200 through an issue of 275,000 ordinary shares at a price of 197p per share.</t>
  </si>
  <si>
    <t>The company raised £95,450 through an issue of 50,000 ordinary shares at a price of 191p per share.</t>
  </si>
  <si>
    <t>The company raised £188,300 through an issue of 100,000 ordinary shares at a price of 188p per share.</t>
  </si>
  <si>
    <t>The company raised £7,819,000 through an issue of 1,400,000 ordinary shares at a price of 559p per share.</t>
  </si>
  <si>
    <t>The company raised £558,000 through an issue of 100,000 ordinary shares at a price of 558p per share.</t>
  </si>
  <si>
    <t>The company raised £6,399,750 through an issue of 1,150,000 ordinary shares at a price of 557p per share.</t>
  </si>
  <si>
    <t>The company raised £839,250 through an issue of 150,000 ordinary shares at a price of 560p per share.</t>
  </si>
  <si>
    <t>The company raised £2,731,750 through an issue of 490,000 ordinary shares at a price of 558p per share.</t>
  </si>
  <si>
    <t>The company raised £5,263,800 through an issue of 930,000 ordinary shares at a price of 566p per share.</t>
  </si>
  <si>
    <t>The company raised £1,881,000 through an issue of 330,000 ordinary shares at a price of 570p per share.</t>
  </si>
  <si>
    <t>The company raised £1,632,700 through an issue of 290,000 ordinary shares at a price of 563p per share.</t>
  </si>
  <si>
    <t>The company raised £506,000 through an issue of 1,000,000 ordinary shares at a price of 51p per share.</t>
  </si>
  <si>
    <t>The company raised £404,800 through a blocklisting of 800,000 ordinary shares at a price of 51p per share.</t>
  </si>
  <si>
    <t>The company raised £1,647,750 through a blocklisting of 3,250,000 ordinary shares at a price of 51p per share.</t>
  </si>
  <si>
    <t>The company raised £254,500 through an issue of 500,000 ordinary shares at a price of 51p per share.</t>
  </si>
  <si>
    <t>The company raised £196,125 through a blocklisting of 150,000 ordinary shares at a price of 130.75p per share.</t>
  </si>
  <si>
    <t>The company raised £133,000 through a blocklisting of 100,000 ordinary shares at a price of 133p per share.</t>
  </si>
  <si>
    <t>The company raised £272,770 through a blocklisting of 250,000 2029 ZDP ordinary shares at a price of 109p per share.</t>
  </si>
  <si>
    <t>The company raised £961,991 through an issue of 878,130 2029 ZDP ordinary shares at a price of 110p per share.</t>
  </si>
  <si>
    <t>The company raised £2,605,000 through an issue of 1,000,000 ordinary shares at a price of 261p per share.</t>
  </si>
  <si>
    <t>The company raised £275,500 through an issue of 100,000 ordinary shares at a price of 276p per share.</t>
  </si>
  <si>
    <t>The company raised £1,973,800 through a blocklisting of 710,000 ordinary shares at a price of 278p per share.</t>
  </si>
  <si>
    <t>The company raised £866,250 through an issue of 315,000 ordinary shares at a price of 275p per share.</t>
  </si>
  <si>
    <t>The company raised £474,250 through an issue of 175,000 ordinary shares at a price of 271p per share.</t>
  </si>
  <si>
    <t>The company raised £331,000 through an issue of 125,000 ordinary shares at a price of 265p per share.</t>
  </si>
  <si>
    <t>The company raised £564,375 through an issue of 215,000 ordinary shares at a price of 263p per share.</t>
  </si>
  <si>
    <t>The company raised £813,000 through an issue of 300,000 ordinary shares at a price of 271p per share.</t>
  </si>
  <si>
    <t>The company raised £974,750 through an issue of 350,000 ordinary shares at a price of 279p per share.</t>
  </si>
  <si>
    <t>The company raised £960,750 through an issue of 350,000 ordinary shares at a price of 275p per share.</t>
  </si>
  <si>
    <t>The company raised £793,725 through an issue of 285,000 ordinary shares at a price of 279p per share.</t>
  </si>
  <si>
    <t>The company raised £1,340,000 through an issue of 500,000 ordinary shares at a price of 268p per share.</t>
  </si>
  <si>
    <t>The company raised £482,400 through an issue of 180,000 ordinary shares at a price of 268p per share.</t>
  </si>
  <si>
    <t>The company raised £894,200 through an issue of 340,000 ordinary shares at a price of 263p per share.</t>
  </si>
  <si>
    <t>The company raised £780,000 through an issue of 300,000 ordinary shares at a price of 260p per share.</t>
  </si>
  <si>
    <t>The company raised £348,440 through a blocklisting of 200,000 ordinary shares at a price of 174.22p per share.</t>
  </si>
  <si>
    <t>The company raised £344,960 through a blocklisting of 200,000 ordinary shares at a price of 172p per share.</t>
  </si>
  <si>
    <t>The company raised £474,430 through an issue of 275,000 ordinary shares at a price of 173p per share.</t>
  </si>
  <si>
    <t>The company raised £172,520 through an issue of 100,000 ordinary shares at a price of 173p per share.</t>
  </si>
  <si>
    <t>The company raised £258,795 through a blocklisting of 150,000 ordinary shares at a price of 173p per share.</t>
  </si>
  <si>
    <t>The company raised £517,650 through an issue of 300,000 ordinary shares at a price of 173p per share.</t>
  </si>
  <si>
    <t>The company raised £345,580 through a blocklisting of 200,000 ordinary shares at a price of 173p per share.</t>
  </si>
  <si>
    <t>The company raised £432,675 through a blocklisting of 250,000 ordinary shares at a price of 173p per share.</t>
  </si>
  <si>
    <t>The company raised £433,475 through an issue of 250,000 ordinary shares at a price of 173p per share.</t>
  </si>
  <si>
    <t>The company raised £173,450 through a blocklisting of 100,000 ordinary shares at a price of 173p per share.</t>
  </si>
  <si>
    <t>The company raised £2,082,600 through an issue of 1,200,000 ordinary shares at a price of 174p per share.</t>
  </si>
  <si>
    <t>The company raised £260,490 through a blocklisting of 150,000 ordinary shares at a price of 174p per share.</t>
  </si>
  <si>
    <t>The company raised £870,900 through an issue of 500,000 ordinary shares at a price of 174p per share.</t>
  </si>
  <si>
    <t>The company raised £174,050 through a blocklisting of 100,000 ordinary shares at a price of 174p per share.</t>
  </si>
  <si>
    <t>The company raised £652,875 through an issue of 375,000 ordinary shares at a price of 174p per share.</t>
  </si>
  <si>
    <t>The company raised £103,975 through an issue of 50,000 ordinary shares at a price of 208p per share.</t>
  </si>
  <si>
    <t>The company raised £276,750 through an issue of 225,000 ordinary shares at a price of 123p per share.</t>
  </si>
  <si>
    <t>The company raised £129,150 through an issue of 105,000 ordinary shares at a price of 123p per share.</t>
  </si>
  <si>
    <t>The company raised £401,575 through a blocklisting of 125,000 ordinary shares at a price of 321p per share.</t>
  </si>
  <si>
    <t>The company raised £319,900 through an issue of 100,000 ordinary shares at a price of 320p per share.</t>
  </si>
  <si>
    <t>The company raised £204,328 through an issue of 65,000 ordinary shares at a price of 314p per share.</t>
  </si>
  <si>
    <t>The company raised £1,897,860 through an issue of 600,000 ordinary shares at a price of 316p per share.</t>
  </si>
  <si>
    <t>The company raised £361,238 through an issue of 115,000 ordinary shares at a price of 314p per share.</t>
  </si>
  <si>
    <t>The company raised £343,266 through an issue of 110,000 ordinary shares at a price of 312p per share.</t>
  </si>
  <si>
    <t>The company raised £464,610 through an issue of 150,000 ordinary shares at a price of 310p per share.</t>
  </si>
  <si>
    <t>The company raised £249,848 through an issue of 80,000 ordinary shares at a price of 312p per share.</t>
  </si>
  <si>
    <t>The company raised £465,555 through an issue of 150,000 ordinary shares at a price of 310p per share.</t>
  </si>
  <si>
    <t>The company raised £154,105 through an issue of 50,000 ordinary shares at a price of 308p per share.</t>
  </si>
  <si>
    <t>The company raised £1,082,305 through a blocklisting of 350,000 ordinary shares at a price of 309p per share.</t>
  </si>
  <si>
    <t>The company raised £307,670 through a blocklisting of 100,000 ordinary shares at a price of 308p per share.</t>
  </si>
  <si>
    <t>The company raised £1,092,500 through an issue of 1,000,000 ordinary shares at a price of 109p per share.</t>
  </si>
  <si>
    <t>The company raised £5,476,500 through an issue of 5,000,000 ordinary shares at a price of 110p per share.</t>
  </si>
  <si>
    <t>The company raised £17,532,800 through an issue of 16,000,000 ordinary shares at a price of 110p per share.</t>
  </si>
  <si>
    <t>The company raised £1,095,900 through an issue of 1,000,000 ordinary shares at a price of 110p per share.</t>
  </si>
  <si>
    <t>The company raised £859,900 through an issue of 1,000,000 ordinary shares at a price of 86p per share.</t>
  </si>
  <si>
    <t>The company raised £860,400 through an issue of 1,000,000 ordinary shares at a price of 86p per share.</t>
  </si>
  <si>
    <t>The company raised £1,226,315 through an issue of 1,426,445 ordinary shares at a price of 86p per share.</t>
  </si>
  <si>
    <t>The company raised £63,221 through an issue of 73,555 ordinary shares at a price of 86p per share.</t>
  </si>
  <si>
    <t>The company raised £408,750 by way of a reissue of 150,000 shares from treasury at a price of 273p per share.</t>
  </si>
  <si>
    <t>The company raised £117,180 by way of a reissue of 45,000 shares from treasury at a price of 260p per share.</t>
  </si>
  <si>
    <t>The company raised £164,052 by way of a reissue of 63,000 shares from treasury at a price of 260p per share.</t>
  </si>
  <si>
    <t>The company raised £171,340 by way of a reissue of 65,000 shares from treasury at a price of 264p per share.</t>
  </si>
  <si>
    <t>The company raised £748,838 by way of a reissue of 285,000 shares from treasury at a price of 263p per share.</t>
  </si>
  <si>
    <t>The company raised £486,180 by way of a reissue of 185,000 shares from treasury at a price of 263p per share.</t>
  </si>
  <si>
    <t>The company raised £400,950 by way of a reissue of 150,000 shares from treasury at a price of 267p per share.</t>
  </si>
  <si>
    <t>The company raised £461,550 by way of a reissue of 170,000 shares from treasury at a price of 272p per share.</t>
  </si>
  <si>
    <t>The company raised £136,050 by way of a reissue of 50,000 shares from treasury at a price of 272p per share.</t>
  </si>
  <si>
    <t>The company raised £880,100 by way of a reissue of 325,000 shares from treasury at a price of 271p per share.</t>
  </si>
  <si>
    <t>The company raised £1,232,775 by way of a reissue of 450,000 shares from treasury at a price of 274p per share.</t>
  </si>
  <si>
    <t>The company raised £96,040 by way of a reissue of 35,000 shares from treasury at a price of 274p per share.</t>
  </si>
  <si>
    <t>The company raised £135,025 by way of a reissue of 50,000 shares from treasury at a price of 270p per share.</t>
  </si>
  <si>
    <t>The company raised £274,000 by way of a reissue of 100,000 shares from treasury at a price of 274p per share.</t>
  </si>
  <si>
    <t>The company raised £273,000 by way of a reissue of 100,000 shares from treasury at a price of 273p per share.</t>
  </si>
  <si>
    <t>The company raised £191,300 by way of a reissue of 100,000 shares from treasury at a price of 191p per share.</t>
  </si>
  <si>
    <t>The company raised £95,500 by way of a reissue of 50,000 shares from treasury at a price of 191p per share.</t>
  </si>
  <si>
    <t>The company raised £171,075 by way of a reissue of 150,000 B shares from treasury at a price of 114.05p per share.</t>
  </si>
  <si>
    <t>The company raised £288,975 by way of a reissue of 250,000 ordinary shares from treasury at a price of 115.59p per share.</t>
  </si>
  <si>
    <t>The company raised £288,975 by way of a reissue of 250,000 ordinary shares from treasury at a price of 115.96p per share.</t>
  </si>
  <si>
    <t>The company raised £870,975 by way of a reissue of 750,000 ordinary shares from treasury at a price of 116.13p per share.</t>
  </si>
  <si>
    <t>The company raised £897,500 by way of a reissue of 250,000 shares from treasury at a price of 359p per share.</t>
  </si>
  <si>
    <t>The company raised £360,500 by way of a reissue of 100,000 shares from treasury at a price of 361p per share.</t>
  </si>
  <si>
    <t>The company raised £1,074,000 by way of a reissue of 300,000 shares from treasury at a price of 358p per share.</t>
  </si>
  <si>
    <t>The company raised £801,000 by way of a reissue of 225,000 shares from treasury at a price of 356p per share.</t>
  </si>
  <si>
    <t>The company raised £328,875  by way of a reissue of 75,000 shares from treasury at a price of 438.5p per share.</t>
  </si>
  <si>
    <t>The company raised £312,225 by way of a reissue of 75,000 shares from treasury at a price of 416p per share.</t>
  </si>
  <si>
    <t>The company raised £754,380 by way of a reissue of 180,000 shares from treasury at a price of 419p per share.</t>
  </si>
  <si>
    <t>The company raised £209,250 by way of a reissue of 50,000 shares from treasury at a price of 419p per share.</t>
  </si>
  <si>
    <t>The company raised £209,000 by way of a reissue of 50,000 shares from treasury at a price of 418p per share.</t>
  </si>
  <si>
    <t>The company raised £668,400 by way of a reissue of 150,000 shares from treasury at a price of 446p per share.</t>
  </si>
  <si>
    <t>The company raised £35,637,750 by way of a reissue of  3,850,000 shares from treasury at a price of 1545.42p per share.</t>
  </si>
  <si>
    <t>The company raised £35,637,750 by way of a reissue of 2,350,000 shares from treasury at a price of 1517p per share.</t>
  </si>
  <si>
    <t>The company raised £1,186,050 by way of a reissue of 300,000 shares from treasury at a price of 395p per share.</t>
  </si>
  <si>
    <t>The company raised £395,650 by way of a reissue of 100,000 shares from treasury at a price of 396p per share.</t>
  </si>
  <si>
    <t>The company raised £903,825 by way of a reissue of 225,000 shares from treasury at a price of 402p per share.</t>
  </si>
  <si>
    <t>The company raised £50,055 by way of a reissue of 23,500 shares from treasury at a price of 213p per share.</t>
  </si>
  <si>
    <t>The company raised £115,250 through an issue of 25,000 ordinary shares at a price of 461p per share.</t>
  </si>
  <si>
    <t>The company raised £278,100 through an issue of 60,000 ordinary shares at a price of 464p per share.</t>
  </si>
  <si>
    <t>The company raised £391,850 through an issue of 85,000 ordinary shares at a price of 461p per share.</t>
  </si>
  <si>
    <t>The company raised £348,000 through an issue of 75,000 ordinary shares at a price of 464p per share.</t>
  </si>
  <si>
    <t>The company raised £533,600 through an issue of 115,000 ordinary shares at a price of 464p per share.</t>
  </si>
  <si>
    <t>The company raised £1,173,708 through an issue of 646,422 ordinary shares at a price of 181.57p per share.</t>
  </si>
  <si>
    <t>The company raised £87,850 through a blocklisting of 50,000 ordinary shares at a price of 176p per share.</t>
  </si>
  <si>
    <t>The company raised £1,173,708 through an issue of 646,422 ordinary shares at a price of 182p per share.</t>
  </si>
  <si>
    <t>The company raised £2,005,500 through an issue of 350,000 ordinary shares at a price of 573p per share.</t>
  </si>
  <si>
    <t>The company raised £592,000 through an issue of 100,000 ordinary shares at a price of 592p per share.</t>
  </si>
  <si>
    <t>The company raised £3,395,250 through a blocklisting of 6,750,000 ordinary shares at a price of 50p per share.</t>
  </si>
  <si>
    <t>The company raised £16,503,249 by way of a placing and WRAP retail offer of new ordinary shares at a price of 1.1979p Sterling share and 1.0955c per Euro share per share on 22/07/2026. 11,053,161 Sterling denominated Shares will be issued pursuant to the Placing, and 2,722,662 Sterling denominated Shares and 1,279 Euro denominated pursuant to the WRAP Retail Offer.</t>
  </si>
  <si>
    <t>The company raised £1,336,200 through an issue of 510,000 ordinary shares at a price of 262p per share.</t>
  </si>
  <si>
    <t>The company raised £1,220,750 through an issue of 475,000 ordinary shares at a price of 257p per share.</t>
  </si>
  <si>
    <t>The company raised £2,431,950 through an issue of 930,000 ordinary shares at a price of 262p per share.</t>
  </si>
  <si>
    <t>The company raised £656,250 through an issue of 250,000 ordinary shares at a price of 263p per share.</t>
  </si>
  <si>
    <t>The company raised £854,700 through an issue of 330,000 ordinary shares at a price of 259p per share.</t>
  </si>
  <si>
    <t>The company raised £1,191,400 through an issue of 460,000 ordinary shares at a price of 259p per share.</t>
  </si>
  <si>
    <t>The company raised £407,650 through an issue of 155,000 ordinary shares at a price of 263p per share.</t>
  </si>
  <si>
    <t>The company raised £721,875 through an issue of 275,000 ordinary shares at a price of 263p per share.</t>
  </si>
  <si>
    <t>The company raised £2,336,800 through an issue of 920,000 ordinary shares at a price of 254p per share.</t>
  </si>
  <si>
    <t>The company raised £443,700 through an issue of 170,000 ordinary shares at a price of 261p per share.</t>
  </si>
  <si>
    <t>The company raised £487,475 through an issue of 185,000 ordinary shares at a price of 264p per share.</t>
  </si>
  <si>
    <t>The company raised £1,820,000 through an issue of 700,000 ordinary shares at a price of 260p per share.</t>
  </si>
  <si>
    <t>The company raised £4,707,000 through an issue of 1,800,000 ordinary shares at a price of 262p per share.</t>
  </si>
  <si>
    <t>The company raised £3,690,250 through an issue of 1,450,000 ordinary shares at a price of 255p per share.</t>
  </si>
  <si>
    <t>The company raised £3,817,500 through an issue of 1,500,000 ordinary shares at a price of 255p per share.</t>
  </si>
  <si>
    <t>The company raised £513,000 through an issue of 200,000 ordinary shares at a price of 257p per share.</t>
  </si>
  <si>
    <t>The company raised £1,044,300 through a blocklisting of 600,000 ordinary shares at a price of 174p per share.</t>
  </si>
  <si>
    <t>The company raised £261,030 through a blocklisting of 150,000 ordinary shares at a price of 174p per share.</t>
  </si>
  <si>
    <t>The company raised £3,229,440 through an issue of 1,856,000 ordinary shares at a price of 174p per share.</t>
  </si>
  <si>
    <t>The company raised £696,120 through a blocklisting of 400,000 ordinary shares at a price of 174p per share.</t>
  </si>
  <si>
    <t>The company raised £391,995 through an issue of 225,000 ordinary shares at a price of 174p per share.</t>
  </si>
  <si>
    <t>The company raised £435,600 through an issue of 250,000 ordinary shares at a price of 174p per share.</t>
  </si>
  <si>
    <t>The company raised £695,520 through a blocklisting of 400,000 ordinary shares at a price of 174p per share.</t>
  </si>
  <si>
    <t>The company raised £652,838 through a blocklisting of 375,000 ordinary shares at a price of 174p per share.</t>
  </si>
  <si>
    <t>The company raised £597,695 through a blocklisting of 350,000 ordinary shares at a price of 171p per share.</t>
  </si>
  <si>
    <t>The company raised £426,250 through an issue of 250,000 ordinary shares at a price of 171p per share.</t>
  </si>
  <si>
    <t>The company raised £426,900 through an issue of 250,000 ordinary shares at a price of 171p per share.</t>
  </si>
  <si>
    <t>The company raised £170,670 through a blocklisting of 100,000 ordinary shares at a price of 171p per share.</t>
  </si>
  <si>
    <t>The company raised £1,064,563 through a blocklisting of 625,000 ordinary shares at a price of 170p per share.</t>
  </si>
  <si>
    <t>The company raised £851,750 through an issue of 500,000 ordinary shares at a price of 170p per share.</t>
  </si>
  <si>
    <t>The company raised £809,875 through an issue of 475,000 ordinary shares at a price of 171p per share.</t>
  </si>
  <si>
    <t>The company raised £170,370 through an issue of 100,000 ordinary shares at a price of 170p per share.</t>
  </si>
  <si>
    <t>The company raised £850,350 through an issue of 500,000 ordinary shares at a price of 170p per share.</t>
  </si>
  <si>
    <t>The company raised £467,500 through a blocklisting of 275,000 ordinary shares at a price of 170p per share.</t>
  </si>
  <si>
    <t>The company raised £722,750 through a blocklisting of 175,000 ordinary shares at a price of 413p per share.</t>
  </si>
  <si>
    <t>The company raised £204,500 through a blocklisting of 50,000 ordinary shares at a price of 409p per share.</t>
  </si>
  <si>
    <t>The company raised £205,250 through a blocklisting of 50,000 ordinary shares at a price of 411p per share.</t>
  </si>
  <si>
    <t>The company raised £203,050 through an issue of 50,000 ordinary shares at a price of 406p per share.</t>
  </si>
  <si>
    <t>The company raised £347,565 through an issue of 85,000 ordinary shares at a price of 409p per share.</t>
  </si>
  <si>
    <t>The company raised £513,625 through a blocklisting of 125,000 ordinary shares at a price of 411p per share.</t>
  </si>
  <si>
    <t>The company raised £1,243,500 through an issue of 300,000 ordinary shares at a price of 415p per share.</t>
  </si>
  <si>
    <t>The company raised £208,450 through a blocklisting of 50,000 ordinary shares at a price of 417p per share.</t>
  </si>
  <si>
    <t>The company raised £299,997 by way of an issue of 392,615 shares at a price of 76.41p per share in connection with the offer for subscription.</t>
  </si>
  <si>
    <t>Law Debenture Corporation</t>
  </si>
  <si>
    <t>The company raised £3,125 through a blocklisting of 25,000 ordinary shares at a price of 13p per share.</t>
  </si>
  <si>
    <t>The company raised £28,785 through a blocklisting of 230,000 ordinary shares at a price of 13p per share.</t>
  </si>
  <si>
    <t>The company raised £12,510 through a blocklisting of 100,000 ordinary shares at a price of 13p per share.</t>
  </si>
  <si>
    <t>The company raised £93,200 through a blocklisting of 100,000 ordinary shares at a price of 93p per share.</t>
  </si>
  <si>
    <t>The company raised £233,250 through an issue of 250,000 ordinary shares at a price of 93p per share.</t>
  </si>
  <si>
    <t>The company raised £559,800 through an issue of 600,000 ordinary shares at a price of 93p per share.</t>
  </si>
  <si>
    <t>The company raised £183,100 through an issue of 200,000 ordinary shares at a price of 92p per share.</t>
  </si>
  <si>
    <t>The company raised £2,224,600 through a blocklisting of 980,000 ordinary shares at a price of 227p per share.</t>
  </si>
  <si>
    <t>The company raised £949,995 through a blocklisting of 450,000 ordinary shares at a price of 211p per share.</t>
  </si>
  <si>
    <t>The company raised £4,240,000 through a blocklisting of 2,000,000 ordinary shares at a price of 212p per share.</t>
  </si>
  <si>
    <t>The company raised £156,330 through a blocklisting of 75,000 ordinary shares at a price of 208p per share.</t>
  </si>
  <si>
    <t>The company raised £108,500 through a blocklisting of 50,000 ordinary shares at a price of 217p per share.</t>
  </si>
  <si>
    <t>The company raised £187,119 through a blocklisting of 85,000 ordinary shares at a price of 220p per share.</t>
  </si>
  <si>
    <t>The company raised £448,000 through a blocklisting of 200,000 ordinary shares at a price of 224p per share.</t>
  </si>
  <si>
    <t>The company raised £112,000 through a blocklisting of 50,000 ordinary shares at a price of 224p per share.</t>
  </si>
  <si>
    <t>The company raised £324,800 through a blocklisting of 145,000 ordinary shares at a price of 224p per share.</t>
  </si>
  <si>
    <t>The company raised £160,339 through an issue of 126,500 ordinary shares at a price of 127p per share.</t>
  </si>
  <si>
    <t>The company raised £175,140 through an issue of 140,000 ordinary shares at a price of 125p per share.</t>
  </si>
  <si>
    <t>The company raised £124,000 through an issue of 100,000 ordinary shares at a price of 124p per share.</t>
  </si>
  <si>
    <t>The company raised £5,309,440 through a blocklisting of 1,700,000 ordinary shares at a price of 312p per share.</t>
  </si>
  <si>
    <t>The company raised £111,321 through a blocklisting of 35,000 ordinary shares at a price of 318p per share.</t>
  </si>
  <si>
    <t>The company raised £249,576 through an issue of 80,000 ordinary shares at a price of 312p per share.</t>
  </si>
  <si>
    <t>The company raised £399,863 through a blocklisting of 125,000 ordinary shares at a price of 320p per share.</t>
  </si>
  <si>
    <t>The company raised £322,890 through an issue of 100,000 ordinary shares at a price of 323p per share.</t>
  </si>
  <si>
    <t>The company raised £111,115 through an issue of 35,000 ordinary shares at a price of 317p per share.</t>
  </si>
  <si>
    <t>The company raised £317,660 through a blocklisting of 100,000 ordinary shares at a price of 318p per share.</t>
  </si>
  <si>
    <t>The company raised £111,661 through a blocklisting of 35,000 ordinary shares at a price of 319p per share.</t>
  </si>
  <si>
    <t>The company raised £157,405 through an issue of 50,000 ordinary shares at a price of 315p per share.</t>
  </si>
  <si>
    <t>The company raised £9,983 by way of an issue of 9,330 ordinary shares at a price of 1.07p per share as a part of company's share issuance authority.</t>
  </si>
  <si>
    <t>The company raised £3,285,600 through an issue of 3,000,000 ordinary shares at a price of 110p per share.</t>
  </si>
  <si>
    <t>The company raised £4,384,400 through an issue of 4,000,000 ordinary shares at a price of 110p per share.</t>
  </si>
  <si>
    <t>The company raised £2,689,250 through an issue of 2,500,000 ordinary shares at a price of 108p per share.</t>
  </si>
  <si>
    <t>The company raised £2,691,000 through an issue of 2,500,000 ordinary shares at a price of 108p per share.</t>
  </si>
  <si>
    <t>The company raised £1,724,000 through an issue of 2,000,000 ordinary shares at a price of 86p per share.</t>
  </si>
  <si>
    <t>The company raised £863,000 through an issue of 1,000,000 ordinary shares at a price of 86p per share.</t>
  </si>
  <si>
    <t>The company raised £857,900 through an issue of 1,000,000 ordinary shares at a price of 86p per share.</t>
  </si>
  <si>
    <t>The company raised £1,285,800 through an issue of 1,500,000 ordinary shares at a price of 86p per share.</t>
  </si>
  <si>
    <t>The company has agreed with Residential Secure Income on for the sale of the entire issued share capital of RHP Holdings Limited for an aggregate consideration of approximately £107.3 million. This 66.1 million newly issued LIVE shares at £62.3 million at their issue price, and £45 million in cash. The Initial Consideration Shares will rank pari passu in all respects with the ordinary shares already in issue.</t>
  </si>
  <si>
    <t>The company raised £276,000 by way of a reissue of 100,000 shares from treasury at a price of 276p per share.</t>
  </si>
  <si>
    <t>The company raised £275,260 by way of a reissue of 100,000 shares from treasury at a price of 275p per share.</t>
  </si>
  <si>
    <t>The company raised £273,750 by way of a reissue of 100,000 shares from treasury at a price of 274p per share.</t>
  </si>
  <si>
    <t>The company raised £274,800 by way of a reissue of 100,000 shares from treasury at a price of 275p per share.</t>
  </si>
  <si>
    <t>The company raised £277,300 by way of a reissue of 100,000 shares from treasury at a price of 277p per share.</t>
  </si>
  <si>
    <t>The company raised £554,000 by way of a reissue of 200,000 shares from treasury at a price of 277p per share.</t>
  </si>
  <si>
    <t>The company raised £1,318,125 by way of a reissue of 475,000 shares from treasury at a price of 278p per share.</t>
  </si>
  <si>
    <t>The company raised £421,050 by way of a reissue of 150,000 shares from treasury at a price of 281p per share.</t>
  </si>
  <si>
    <t>The company raised £803,130 by way of a reissue of 285,000 shares from treasury at a price of 282p per share.</t>
  </si>
  <si>
    <t>The company raised £1,887,390 by way of a reissue of 670,000 shares from treasury at a price of 282p per share.</t>
  </si>
  <si>
    <t>The company raised £3,534,410 by way of a reissue of 1,270,000 shares from treasury at a price of 278p per share.</t>
  </si>
  <si>
    <t>The company raised £308,000 by way of a reissue of 110,000 shares from treasury at a price of 280p per share.</t>
  </si>
  <si>
    <t>The company raised £143,550 by way of a reissue of 75,000 shares from treasury at a price of 191p per share.</t>
  </si>
  <si>
    <t>The company raised £94,600 by way of a reissue of 50,000 shares from treasury at a price of 189p per share.</t>
  </si>
  <si>
    <t>BlackRock World Mining</t>
  </si>
  <si>
    <t>The company raised £4,651,280 by way of a reissue of 530,000 shares from treasury at a price of 878p per share.</t>
  </si>
  <si>
    <t>The company raised £1,170,900 by way of a reissue of 1,000,000 ordinary shares from treasury at a price of 117.09p per share.</t>
  </si>
  <si>
    <t>The company raised £870,975 by way of a reissue of 250,000 ordinary shares from treasury at a price of 117.09p per share.</t>
  </si>
  <si>
    <t>The company raised £3,416,005 by way of a reissue of 3,660,000 ordinary shares from treasury at a price of 0.93p per share.</t>
  </si>
  <si>
    <t>The company raised £299,800 by way of a reissue of 250,000 ordinary shares from treasury at a price of 119.92p per share.</t>
  </si>
  <si>
    <t>The company raised £299,250 by way of a reissue of 250,000 ordinary shares from treasury at a price of 119.7p per share.</t>
  </si>
  <si>
    <t>The company raised £897,750 by way of a reissue of 750,000 ordinary shares from treasury at a price of 119.7p per share.</t>
  </si>
  <si>
    <t>The company raised £378,320 by way of a reissue of 136,610 shares from treasury at a price of 277p per share.</t>
  </si>
  <si>
    <t>The company raised £249,754 by way of a reissue of 90,000 shares from treasury at a price of 278p per share.</t>
  </si>
  <si>
    <t>The company raised £414,375 by way of a reissue of 150,000 shares from treasury at a price of 276p per share.</t>
  </si>
  <si>
    <t>The company raised £2,791,661 by way of a reissue of 3,653,528 shares from treasury at a price of 76.41p per share in connection with the company's tender offer, placing and offer for subscription.</t>
  </si>
  <si>
    <t>The company raised £93,200 by way of a reissue of 100,000 shares from treasury at a price of 93p per share.</t>
  </si>
  <si>
    <t>The company raised £1,254,000 by way of a reissue of 350,000 shares from treasury at a price of 358p per share.</t>
  </si>
  <si>
    <t>The company raised £2,225,000 by way of a reissue of 500,000 shares from treasury at a price of 445p per share.</t>
  </si>
  <si>
    <t>The company raised £562,625 by way of a reissue of 125,000 shares from treasury at a price of 450p per share.</t>
  </si>
  <si>
    <t>The company raised £336,375 by way of a reissue of 75,000 shares from treasury at a price of 449p per share.</t>
  </si>
  <si>
    <t>The company raised £1,576,050 by way of a reissue of 350,000 shares from treasury at a price of 450p per share.</t>
  </si>
  <si>
    <t>The company raised £471,555 by way of a reissue of 105,000 shares from treasury at a price of 449p per share.</t>
  </si>
  <si>
    <t>The company raised £216,600 by way of a reissue of 50,000 shares from treasury at a price of 433p per share.</t>
  </si>
  <si>
    <t>The company raised £883,200 by way of a reissue of 200,000 shares from treasury at a price of 442p per share.</t>
  </si>
  <si>
    <t>The company raised £332,775 by way of a reissue of 75,000 shares from treasury at a price of 444p per share.</t>
  </si>
  <si>
    <t>The company raised £1,133,750 by way of a reissue of 250,000 shares from treasury at a price of 454p per share.</t>
  </si>
  <si>
    <t>The company raised £3,048,500 by way of a reissue of 700,000 shares from treasury at a price of 436p per share.</t>
  </si>
  <si>
    <t>The company raised £1,785,950 by way of a reissue of 460,000 shares from treasury at a price of 388p per share.</t>
  </si>
  <si>
    <t>The company raised £1,132,885 by way of a reissue of 290,000 shares from treasury at a price of 391p per share.</t>
  </si>
  <si>
    <t>The company raised £297,638 by way of a reissue of 75,000 shares from treasury at a price of 397p per share.</t>
  </si>
  <si>
    <t>The company raised £2,115,000 by way of a reissue of 500,000 shares from treasury at a price of 423p per share.</t>
  </si>
  <si>
    <t>3i Group</t>
  </si>
  <si>
    <t>Aberdeen Asia Focus</t>
  </si>
  <si>
    <t>Aberdeen New India Investment Trust</t>
  </si>
  <si>
    <t>Aberdeen UK Smaller Companies Growth</t>
  </si>
  <si>
    <t>Allianz Technology Trust</t>
  </si>
  <si>
    <t>Artemis UK Future Leaders</t>
  </si>
  <si>
    <t>Aurora UK Alpha</t>
  </si>
  <si>
    <t>AVI Global Trust</t>
  </si>
  <si>
    <t>Baillie Gifford China Growth</t>
  </si>
  <si>
    <t>Baillie Gifford European Growth</t>
  </si>
  <si>
    <t>Baillie Gifford Japan Trust</t>
  </si>
  <si>
    <t>Baker Steel Resources Trust</t>
  </si>
  <si>
    <t>Bankers</t>
  </si>
  <si>
    <t>Barings Emerging EMEA Opportunities</t>
  </si>
  <si>
    <t>BH Macro</t>
  </si>
  <si>
    <t>BH Macro USD</t>
  </si>
  <si>
    <t>BlackRock Energy and Resources Income</t>
  </si>
  <si>
    <t>BlackRock Greater Europe</t>
  </si>
  <si>
    <t>BlackRock Income &amp; Growth</t>
  </si>
  <si>
    <t>Brown Advisory US Smaller Companies</t>
  </si>
  <si>
    <t>Brunner</t>
  </si>
  <si>
    <t>Caledonia Investments</t>
  </si>
  <si>
    <t>CT Private Equity Trust</t>
  </si>
  <si>
    <t>CT UK Capital &amp; Income</t>
  </si>
  <si>
    <t>Dunedin Income Growth</t>
  </si>
  <si>
    <t>Edinburgh Investment Trust</t>
  </si>
  <si>
    <t>Fidelity Asian Values</t>
  </si>
  <si>
    <t>Fidelity China Special Situations</t>
  </si>
  <si>
    <t>Fidelity Emerging Markets</t>
  </si>
  <si>
    <t>Fidelity European</t>
  </si>
  <si>
    <t>Finsbury Growth &amp; Income Trust</t>
  </si>
  <si>
    <t>Foresight Solar Fund</t>
  </si>
  <si>
    <t>GCP Infrastructure Investments</t>
  </si>
  <si>
    <t>Greencoat Renewables</t>
  </si>
  <si>
    <t>Hansa Investment Company (A share)</t>
  </si>
  <si>
    <t>Henderson Smaller Companies</t>
  </si>
  <si>
    <t>India Capital Growth Fund</t>
  </si>
  <si>
    <t>International Public Partnerships</t>
  </si>
  <si>
    <t>Invesco Asia Dragon Trust</t>
  </si>
  <si>
    <t>JPMorgan American</t>
  </si>
  <si>
    <t>JPMorgan China Growth &amp; Income</t>
  </si>
  <si>
    <t>JPMorgan Emerging Markets Growth &amp; Income</t>
  </si>
  <si>
    <t>JPMorgan European Discovery</t>
  </si>
  <si>
    <t>JPMorgan India Growth &amp; Income</t>
  </si>
  <si>
    <t>JPMorgan Japanese</t>
  </si>
  <si>
    <t>JPMorgan UK Small Cap Growth &amp; Income</t>
  </si>
  <si>
    <t>Lowland</t>
  </si>
  <si>
    <t>Mercantile Investment Trust</t>
  </si>
  <si>
    <t>Monks</t>
  </si>
  <si>
    <t>Montanaro UK Smaller Companies</t>
  </si>
  <si>
    <t>North Atlantic Smaller Companies</t>
  </si>
  <si>
    <t>Oakley Capital Investments</t>
  </si>
  <si>
    <t>Pacific Horizon Investment Trust</t>
  </si>
  <si>
    <t>Partners Group Private Equity</t>
  </si>
  <si>
    <t>Patria Private Equity Trust</t>
  </si>
  <si>
    <t>Pershing Square Holdings</t>
  </si>
  <si>
    <t>Polar Capital Global Financials</t>
  </si>
  <si>
    <t>Polar Capital Technology</t>
  </si>
  <si>
    <t>Rights &amp; Issues Investment Trust</t>
  </si>
  <si>
    <t>Schroder AsiaPacific Fund</t>
  </si>
  <si>
    <t>Schroder Income Growth Fund</t>
  </si>
  <si>
    <t>Schroder Oriental Income</t>
  </si>
  <si>
    <t>Scottish American</t>
  </si>
  <si>
    <t>The European Smaller Companies Trust</t>
  </si>
  <si>
    <t>The Global Smaller Companies Trust</t>
  </si>
  <si>
    <t>UIL</t>
  </si>
  <si>
    <t>VietNam Holding</t>
  </si>
  <si>
    <t>Allianz Global Investors</t>
  </si>
  <si>
    <t>Technology &amp; Technology Innovation</t>
  </si>
  <si>
    <t>Artemis Fund Managers</t>
  </si>
  <si>
    <t>Phoenix Asset Management</t>
  </si>
  <si>
    <t>China / Greater China</t>
  </si>
  <si>
    <t xml:space="preserve">Baker Steel Capital </t>
  </si>
  <si>
    <t>Baring Asset Management</t>
  </si>
  <si>
    <t>Brevan Howard Capital Management</t>
  </si>
  <si>
    <t>Hedge Funds</t>
  </si>
  <si>
    <t>Brown Advisory</t>
  </si>
  <si>
    <t>MAIN/TISE</t>
  </si>
  <si>
    <t>Schroders Greencoat</t>
  </si>
  <si>
    <t>IRE</t>
  </si>
  <si>
    <t>AIM/JSE</t>
  </si>
  <si>
    <t>Hansa Capital Partners</t>
  </si>
  <si>
    <t>BER</t>
  </si>
  <si>
    <t>Schroder Unit Trusts Limited</t>
  </si>
  <si>
    <t>Amber Infrastructure Group</t>
  </si>
  <si>
    <t>Partners Group</t>
  </si>
  <si>
    <t>Patria Capital Partners</t>
  </si>
  <si>
    <t>Pershing Square Capital Management</t>
  </si>
  <si>
    <t>Financials &amp; Financial Innovation</t>
  </si>
  <si>
    <t>Jupiter Unit Trust Managers</t>
  </si>
  <si>
    <t>ICM</t>
  </si>
  <si>
    <t>SFS/MAIN</t>
  </si>
  <si>
    <t>Dynam Capital</t>
  </si>
  <si>
    <t>Edinburgh Worldwide</t>
  </si>
  <si>
    <t>Greencoat UK Wind</t>
  </si>
  <si>
    <t>Hansa Investment Company (Ord)</t>
  </si>
  <si>
    <t>JPMorgan Global Growth &amp; Income</t>
  </si>
  <si>
    <t>MIGO Opportunities Trust</t>
  </si>
  <si>
    <t>Sequoia Economic Infrastructure Income</t>
  </si>
  <si>
    <t>Utilico Emerging Markets Trust</t>
  </si>
  <si>
    <t>HgCapital Trust</t>
  </si>
  <si>
    <t>Custodian Property Income REIT</t>
  </si>
  <si>
    <t>JPMorgan Claverhouse</t>
  </si>
  <si>
    <t>Life Settlement Assets</t>
  </si>
  <si>
    <t>North American Income Trust</t>
  </si>
  <si>
    <t>Real Estate Credit Investments</t>
  </si>
  <si>
    <t>BioPharma Credit</t>
  </si>
  <si>
    <t>Asset Value Investors Limited</t>
  </si>
  <si>
    <t>River Global Investors</t>
  </si>
  <si>
    <t>Sequoia Investment Management</t>
  </si>
  <si>
    <t>HgCapital</t>
  </si>
  <si>
    <t>Custodian Capital</t>
  </si>
  <si>
    <t>Acheron Capital</t>
  </si>
  <si>
    <t>Cheyne Capital</t>
  </si>
  <si>
    <t>Pharmakon Advisors</t>
  </si>
  <si>
    <t>The company returned £78,800 to shareholders by way of a buyback of 5,000 ordinary shares at a price of 1,576.p per share.</t>
  </si>
  <si>
    <t>The company returned £252,682 to shareholders by way of a buyback of 16,000 ordinary shares at a price of 1,579.26p per share.</t>
  </si>
  <si>
    <t>The company returned £239,370 to shareholders by way of a buyback of 15,000 ordinary shares at a price of 1,595.8p per share.</t>
  </si>
  <si>
    <t>The company returned £286,280 to shareholders by way of a buyback of 18,000 ordinary shares at a price of 1,590.44p per share.</t>
  </si>
  <si>
    <t>The company returned £795,000 to shareholders by way of a buyback of 50,000 ordinary shares at a price of 1,590.p per share.</t>
  </si>
  <si>
    <t>The company returned £801,500 to shareholders by way of a buyback of 50,000 ordinary shares at a price of 1,603.p per share.</t>
  </si>
  <si>
    <t>The company returned £399,250 to shareholders by way of a buyback of 25,000 ordinary shares at a price of 1,597.p per share.</t>
  </si>
  <si>
    <t>The company returned £240,900 to shareholders by way of a buyback of 15,000 ordinary shares at a price of 1,606.p per share.</t>
  </si>
  <si>
    <t>The company returned £48,060 to shareholders by way of a buyback of 3,000 ordinary shares at a price of 1,602.p per share.</t>
  </si>
  <si>
    <t>The company returned £327,960 to shareholders by way of a buyback of 20,000 ordinary shares at a price of 1,639.8p per share.</t>
  </si>
  <si>
    <t>The company returned £284,825 to shareholders by way of a buyback of 17,500 ordinary shares at a price of 1,627.57p per share.</t>
  </si>
  <si>
    <t>The company returned £80,600 to shareholders by way of a buyback of 5,000 ordinary shares at a price of 1,612.p per share.</t>
  </si>
  <si>
    <t>The company returned £323,400 to shareholders by way of a buyback of 20,000 ordinary shares at a price of 1,617.p per share.</t>
  </si>
  <si>
    <t>The company returned £413,900 to shareholders by way of a buyback of 25,000 ordinary shares at a price of 1,655.6p per share.</t>
  </si>
  <si>
    <t>The company returned £232,827 to shareholders by way of a buyback of 14,000 ordinary shares at a price of 1,663.05p per share.</t>
  </si>
  <si>
    <t>The company returned £167,070 to shareholders by way of a buyback of 10,000 ordinary shares at a price of 1,670.7p per share.</t>
  </si>
  <si>
    <t>The company returned £251,900 to shareholders by way of a buyback of 15,000 ordinary shares at a price of 1,679.33p per share.</t>
  </si>
  <si>
    <t>The company returned £184,420 to shareholders by way of a buyback of 11,000 ordinary shares at a price of 1,676.55p per share.</t>
  </si>
  <si>
    <t>The company returned £282,000 to shareholders by way of a buyback of 75,000 ordinary shares at a price of 376.p per share.</t>
  </si>
  <si>
    <t>The company returned £318,750 to shareholders by way of a buyback of 85,000 ordinary shares at a price of 375.p per share.</t>
  </si>
  <si>
    <t>The company returned £566,424 to shareholders by way of a buyback of 150,000 ordinary shares at a price of 377.62p per share.</t>
  </si>
  <si>
    <t>The company returned £286,500 to shareholders by way of a buyback of 75,000 ordinary shares at a price of 382.p per share.</t>
  </si>
  <si>
    <t>The company returned £189,750 to shareholders by way of a buyback of 50,000 ordinary shares at a price of 379.5p per share.</t>
  </si>
  <si>
    <t>The company returned £116,849 to shareholders by way of a buyback of 15,000 ordinary shares at a price of 778.99p per share.</t>
  </si>
  <si>
    <t>The company returned £273,772 to shareholders by way of a buyback of 35,000 ordinary shares at a price of 782.21p per share.</t>
  </si>
  <si>
    <t>The company returned £232,709 to shareholders by way of a buyback of 30,000 ordinary shares at a price of 775.7p per share.</t>
  </si>
  <si>
    <t>The company returned £192,137 to shareholders by way of a buyback of 25,000 ordinary shares at a price of 768.55p per share.</t>
  </si>
  <si>
    <t>The company returned £190,881 to shareholders by way of a buyback of 25,000 ordinary shares at a price of 763.52p per share.</t>
  </si>
  <si>
    <t>The company returned £228,699 to shareholders by way of a buyback of 30,000 ordinary shares at a price of 762.33p per share.</t>
  </si>
  <si>
    <t>The company returned £151,995 to shareholders by way of a buyback of 20,000 ordinary shares at a price of 759.98p per share.</t>
  </si>
  <si>
    <t>The company returned £158,964 to shareholders by way of a buyback of 20,895 ordinary shares at a price of 760.78p per share.</t>
  </si>
  <si>
    <t>The company returned £145,346 to shareholders by way of a buyback of 19,105 ordinary shares at a price of 760.78p per share.</t>
  </si>
  <si>
    <t>The company returned £73,746 to shareholders by way of a buyback of 10,000 ordinary shares at a price of 737.46p per share.</t>
  </si>
  <si>
    <t>The company returned £73,200 to shareholders by way of a buyback of 10,000 ordinary shares at a price of 732.p per share.</t>
  </si>
  <si>
    <t>The company returned £43,800 to shareholders by way of a buyback of 6,000 ordinary shares at a price of 730.p per share.</t>
  </si>
  <si>
    <t>The company returned £86,022 to shareholders by way of a buyback of 12,000 ordinary shares at a price of 716.85p per share.</t>
  </si>
  <si>
    <t>The company returned £85,014 to shareholders by way of a buyback of 12,000 ordinary shares at a price of 708.45p per share.</t>
  </si>
  <si>
    <t>The company returned £17,600 to shareholders by way of a buyback of 2,500 ordinary shares at a price of 704.p per share.</t>
  </si>
  <si>
    <t>The company returned £67,144 to shareholders by way of a buyback of 9,500 ordinary shares at a price of 706.78p per share.</t>
  </si>
  <si>
    <t>The company returned £63,516 to shareholders by way of a buyback of 9,000 ordinary shares at a price of 705.73p per share.</t>
  </si>
  <si>
    <t>The company returned £64,332 to shareholders by way of a buyback of 9,000 ordinary shares at a price of 714.81p per share.</t>
  </si>
  <si>
    <t>The company returned £253,277 to shareholders by way of a buyback of 50,456 ordinary shares at a price of 501.98p per share.</t>
  </si>
  <si>
    <t>The company returned £64,472 to shareholders by way of a buyback of 12,842 ordinary shares at a price of 502.04p per share.</t>
  </si>
  <si>
    <t>The company returned £431,892 to shareholders by way of a buyback of 85,158 ordinary shares at a price of 507.17p per share.</t>
  </si>
  <si>
    <t>The company returned £391,520 to shareholders by way of a buyback of 77,100 ordinary shares at a price of 507.81p per share.</t>
  </si>
  <si>
    <t>The company returned £841,574 to shareholders by way of a buyback of 164,900 ordinary shares at a price of 510.35p per share.</t>
  </si>
  <si>
    <t>The company returned £313,738 to shareholders by way of a buyback of 61,000 ordinary shares at a price of 514.33p per share.</t>
  </si>
  <si>
    <t>The company returned £271,179 to shareholders by way of a buyback of 52,500 ordinary shares at a price of 516.53p per share.</t>
  </si>
  <si>
    <t>The company returned £502,468 to shareholders by way of a buyback of 97,500 ordinary shares at a price of 515.35p per share.</t>
  </si>
  <si>
    <t>The company returned £389,496 to shareholders by way of a buyback of 76,000 ordinary shares at a price of 512.5p per share.</t>
  </si>
  <si>
    <t>The company returned £1,170,543 to shareholders by way of a buyback of 224,000 ordinary shares at a price of 522.56p per share.</t>
  </si>
  <si>
    <t>The company returned £518,094 to shareholders by way of a buyback of 100,000 ordinary shares at a price of 518.09p per share.</t>
  </si>
  <si>
    <t>The company returned £300,329 to shareholders by way of a buyback of 58,500 ordinary shares at a price of 513.38p per share.</t>
  </si>
  <si>
    <t>The company returned £110,110 to shareholders by way of a buyback of 21,500 ordinary shares at a price of 512.14p per share.</t>
  </si>
  <si>
    <t>The company returned £892,199 to shareholders by way of a buyback of 170,000 ordinary shares at a price of 524.82p per share.</t>
  </si>
  <si>
    <t>The company returned £471,021 to shareholders by way of a buyback of 90,000 ordinary shares at a price of 523.36p per share.</t>
  </si>
  <si>
    <t>The company returned £313,777 to shareholders by way of a buyback of 60,000 ordinary shares at a price of 522.96p per share.</t>
  </si>
  <si>
    <t>The company returned £730,671 to shareholders by way of a buyback of 140,000 ordinary shares at a price of 521.91p per share.</t>
  </si>
  <si>
    <t>The company returned £521,666 to shareholders by way of a buyback of 100,000 ordinary shares at a price of 521.67p per share.</t>
  </si>
  <si>
    <t>The company returned £517,478 to shareholders by way of a buyback of 100,000 ordinary shares at a price of 517.48p per share.</t>
  </si>
  <si>
    <t>The company returned £517,588 to shareholders by way of a buyback of 100,000 ordinary shares at a price of 517.59p per share.</t>
  </si>
  <si>
    <t>The company returned £647,000 to shareholders by way of a buyback of 50,000 ordinary shares at a price of 1,294.p per share.</t>
  </si>
  <si>
    <t>The company returned £1,677,000 to shareholders by way of a buyback of 130,000 ordinary shares at a price of 1,290.p per share.</t>
  </si>
  <si>
    <t>The company returned £964,500 to shareholders by way of a buyback of 75,000 ordinary shares at a price of 1,286.p per share.</t>
  </si>
  <si>
    <t>The company returned £517,600 to shareholders by way of a buyback of 40,000 ordinary shares at a price of 1,294.p per share.</t>
  </si>
  <si>
    <t>The company returned £2,558,108 to shareholders by way of a buyback of 200,000 ordinary shares at a price of 1,279.05p per share.</t>
  </si>
  <si>
    <t>The company returned £2,291,130 to shareholders by way of a buyback of 180,000 ordinary shares at a price of 1,272.85p per share.</t>
  </si>
  <si>
    <t>The company returned £1,661,400 to shareholders by way of a buyback of 130,000 ordinary shares at a price of 1,278.p per share.</t>
  </si>
  <si>
    <t>The company returned £1,152,000 to shareholders by way of a buyback of 90,000 ordinary shares at a price of 1,280.p per share.</t>
  </si>
  <si>
    <t>The company returned £445,200 to shareholders by way of a buyback of 35,000 ordinary shares at a price of 1,272.p per share.</t>
  </si>
  <si>
    <t>The company returned £633,000 to shareholders by way of a buyback of 50,000 ordinary shares at a price of 1,266.p per share.</t>
  </si>
  <si>
    <t>The company returned £3,161,380 to shareholders by way of a buyback of 250,000 ordinary shares at a price of 1,264.55p per share.</t>
  </si>
  <si>
    <t>The company returned £778,432 to shareholders by way of a buyback of 62,490 ordinary shares at a price of 1,245.69p per share.</t>
  </si>
  <si>
    <t>The company returned £2,760,520 to shareholders by way of a buyback of 220,000 ordinary shares at a price of 1,254.78p per share.</t>
  </si>
  <si>
    <t>The company returned £981,587 to shareholders by way of a buyback of 185,678 ordinary shares at a price of 528.65p per share.</t>
  </si>
  <si>
    <t>The company returned £470,914 to shareholders by way of a buyback of 87,857 ordinary shares at a price of 536.p per share.</t>
  </si>
  <si>
    <t>The company returned £2,175,680 to shareholders by way of a buyback of 400,000 ordinary shares at a price of 543.92p per share.</t>
  </si>
  <si>
    <t>The company returned £798,736 to shareholders by way of a buyback of 148,979 ordinary shares at a price of 536.14p per share.</t>
  </si>
  <si>
    <t>The company returned £435,455 to shareholders by way of a buyback of 80,935 ordinary shares at a price of 538.03p per share.</t>
  </si>
  <si>
    <t>The company returned £55,039 to shareholders by way of a buyback of 14,891 ordinary shares at a price of 369.61p per share.</t>
  </si>
  <si>
    <t>The company returned £10,522 to shareholders by way of a buyback of 2,836 ordinary shares at a price of 371.p per share.</t>
  </si>
  <si>
    <t>The company returned £14,836 to shareholders by way of a buyback of 4,000 ordinary shares at a price of 370.91p per share.</t>
  </si>
  <si>
    <t>The company returned £2,582 to shareholders by way of a buyback of 696 ordinary shares at a price of 371.p per share.</t>
  </si>
  <si>
    <t>The company returned £12,487 to shareholders by way of a buyback of 3,352 ordinary shares at a price of 372.52p per share.</t>
  </si>
  <si>
    <t>The company returned £10,217 to shareholders by way of a buyback of 2,718 ordinary shares at a price of 375.9p per share.</t>
  </si>
  <si>
    <t>The company returned £15,022 to shareholders by way of a buyback of 4,014 ordinary shares at a price of 374.25p per share.</t>
  </si>
  <si>
    <t>The company returned £43,675 to shareholders by way of a buyback of 11,621 ordinary shares at a price of 375.83p per share.</t>
  </si>
  <si>
    <t>The company returned £61,871 to shareholders by way of a buyback of 16,365 ordinary shares at a price of 378.07p per share.</t>
  </si>
  <si>
    <t>The company returned £9,729 to shareholders by way of a buyback of 2,544 ordinary shares at a price of 382.43p per share.</t>
  </si>
  <si>
    <t>The company returned £9,527 to shareholders by way of a buyback of 2,500 ordinary shares at a price of 381.07p per share.</t>
  </si>
  <si>
    <t>The company returned £11,397 to shareholders by way of a buyback of 3,000 ordinary shares at a price of 379.9p per share.</t>
  </si>
  <si>
    <t>The company returned £13,350 to shareholders by way of a buyback of 3,500 ordinary shares at a price of 381.43p per share.</t>
  </si>
  <si>
    <t>The company returned £7,280 to shareholders by way of a buyback of 1,891 ordinary shares at a price of 385.p per share.</t>
  </si>
  <si>
    <t>The company returned £42,321 to shareholders by way of a buyback of 10,832 ordinary shares at a price of 390.7p per share.</t>
  </si>
  <si>
    <t>The company returned £13,415 to shareholders by way of a buyback of 3,453 ordinary shares at a price of 388.51p per share.</t>
  </si>
  <si>
    <t>The company returned £647,500 to shareholders by way of a buyback of 250,000 ordinary shares at a price of 259.p per share.</t>
  </si>
  <si>
    <t>The company returned £1,287,000 to shareholders by way of a buyback of 500,000 ordinary shares at a price of 257.4p per share.</t>
  </si>
  <si>
    <t>The company returned £1,289,100 to shareholders by way of a buyback of 500,000 ordinary shares at a price of 257.82p per share.</t>
  </si>
  <si>
    <t>The company returned £327,125 to shareholders by way of a buyback of 125,000 ordinary shares at a price of 261.7p per share.</t>
  </si>
  <si>
    <t>The company returned £1,103,683 to shareholders by way of a buyback of 425,000 ordinary shares at a price of 259.69p per share.</t>
  </si>
  <si>
    <t>The company returned £330,113 to shareholders by way of a buyback of 125,000 ordinary shares at a price of 264.09p per share.</t>
  </si>
  <si>
    <t>The company returned £328,250 to shareholders by way of a buyback of 125,000 ordinary shares at a price of 262.6p per share.</t>
  </si>
  <si>
    <t>The company returned £2,157,540 to shareholders by way of a buyback of 825,000 ordinary shares at a price of 261.52p per share.</t>
  </si>
  <si>
    <t>The company returned £12,499 to shareholders by way of a buyback of 4,006 ordinary shares at a price of 312.p per share.</t>
  </si>
  <si>
    <t>The company returned £79,020 to shareholders by way of a buyback of 25,000 ordinary shares at a price of 316.08p per share.</t>
  </si>
  <si>
    <t>The company returned £69,995 to shareholders by way of a buyback of 22,100 ordinary shares at a price of 316.72p per share.</t>
  </si>
  <si>
    <t>The company returned £53,540 to shareholders by way of a buyback of 17,000 ordinary shares at a price of 314.94p per share.</t>
  </si>
  <si>
    <t>The company returned £69,639 to shareholders by way of a buyback of 22,000 ordinary shares at a price of 316.54p per share.</t>
  </si>
  <si>
    <t>The company returned £46,282 to shareholders by way of a buyback of 14,600 ordinary shares at a price of 317.p per share.</t>
  </si>
  <si>
    <t>The company returned £62,920 to shareholders by way of a buyback of 20,000 ordinary shares at a price of 314.6p per share.</t>
  </si>
  <si>
    <t>The company returned £54,961 to shareholders by way of a buyback of 17,454 ordinary shares at a price of 314.89p per share.</t>
  </si>
  <si>
    <t>The company returned £48,714 to shareholders by way of a buyback of 15,555 ordinary shares at a price of 313.17p per share.</t>
  </si>
  <si>
    <t>The company returned £52,218 to shareholders by way of a buyback of 16,552 ordinary shares at a price of 315.48p per share.</t>
  </si>
  <si>
    <t>The company returned £21,214 to shareholders by way of a buyback of 6,692 ordinary shares at a price of 317.p per share.</t>
  </si>
  <si>
    <t>The company returned £47,673 to shareholders by way of a buyback of 15,000 ordinary shares at a price of 317.82p per share.</t>
  </si>
  <si>
    <t>The company returned £20,452 to shareholders by way of a buyback of 6,517 ordinary shares at a price of 313.82p per share.</t>
  </si>
  <si>
    <t>The company returned £23,286 to shareholders by way of a buyback of 7,416 ordinary shares at a price of 314.p per share.</t>
  </si>
  <si>
    <t>The company returned £26,597 to shareholders by way of a buyback of 8,393 ordinary shares at a price of 316.89p per share.</t>
  </si>
  <si>
    <t>The company returned £152,600 to shareholders by way of a buyback of 140,000 ordinary shares at a price of 109.p per share.</t>
  </si>
  <si>
    <t>The company returned £152,306 to shareholders by way of a buyback of 140,000 ordinary shares at a price of 108.79p per share.</t>
  </si>
  <si>
    <t>The company returned £153,748 to shareholders by way of a buyback of 140,000 ordinary shares at a price of 109.82p per share.</t>
  </si>
  <si>
    <t>The company returned £153,104 to shareholders by way of a buyback of 140,000 ordinary shares at a price of 109.36p per share.</t>
  </si>
  <si>
    <t>The company returned £154,000 to shareholders by way of a buyback of 140,000 ordinary shares at a price of 110.p per share.</t>
  </si>
  <si>
    <t>The company returned £154,770 to shareholders by way of a buyback of 140,000 ordinary shares at a price of 110.55p per share.</t>
  </si>
  <si>
    <t>The company returned £154,686 to shareholders by way of a buyback of 140,000 ordinary shares at a price of 110.49p per share.</t>
  </si>
  <si>
    <t>The company returned £155,204 to shareholders by way of a buyback of 140,000 ordinary shares at a price of 110.86p per share.</t>
  </si>
  <si>
    <t>The company returned £154,434 to shareholders by way of a buyback of 140,000 ordinary shares at a price of 110.31p per share.</t>
  </si>
  <si>
    <t>The company returned £151,900 to shareholders by way of a buyback of 140,000 ordinary shares at a price of 108.5p per share.</t>
  </si>
  <si>
    <t>The company returned £156,002 to shareholders by way of a buyback of 140,000 ordinary shares at a price of 111.43p per share.</t>
  </si>
  <si>
    <t>The company returned £153,244 to shareholders by way of a buyback of 140,000 ordinary shares at a price of 109.46p per share.</t>
  </si>
  <si>
    <t>The company returned £154,574 to shareholders by way of a buyback of 140,000 ordinary shares at a price of 110.41p per share.</t>
  </si>
  <si>
    <t>The company returned £153,300 to shareholders by way of a buyback of 140,000 ordinary shares at a price of 109.5p per share.</t>
  </si>
  <si>
    <t>The company returned £151,200 to shareholders by way of a buyback of 140,000 ordinary shares at a price of 108.p per share.</t>
  </si>
  <si>
    <t>The company returned £152,446 to shareholders by way of a buyback of 140,000 ordinary shares at a price of 108.89p per share.</t>
  </si>
  <si>
    <t>The company returned £90,400 to shareholders by way of a buyback of 10,000 ordinary shares at a price of 904.p per share.</t>
  </si>
  <si>
    <t>The company returned £455,000 to shareholders by way of a buyback of 50,000 ordinary shares at a price of 910.p per share.</t>
  </si>
  <si>
    <t>The company returned £318,850 to shareholders by way of a buyback of 35,000 ordinary shares at a price of 911.p per share.</t>
  </si>
  <si>
    <t>The company returned £92,300 to shareholders by way of a buyback of 10,000 ordinary shares at a price of 923.p per share.</t>
  </si>
  <si>
    <t>The company returned £235,000 to shareholders by way of a buyback of 25,000 ordinary shares at a price of 940.p per share.</t>
  </si>
  <si>
    <t>The company returned £369,956 to shareholders by way of a buyback of 40,000 ordinary shares at a price of 924.89p per share.</t>
  </si>
  <si>
    <t>The company returned £456,500 to shareholders by way of a buyback of 50,000 ordinary shares at a price of 913.p per share.</t>
  </si>
  <si>
    <t>The company returned £541,800 to shareholders by way of a buyback of 60,000 ordinary shares at a price of 903.p per share.</t>
  </si>
  <si>
    <t>The company returned £534,918 to shareholders by way of a buyback of 60,000 ordinary shares at a price of 891.53p per share.</t>
  </si>
  <si>
    <t>The company returned £451,720 to shareholders by way of a buyback of 50,000 ordinary shares at a price of 903.44p per share.</t>
  </si>
  <si>
    <t>The company returned £327,975 to shareholders by way of a buyback of 250,000 ordinary shares at a price of 131.19p per share.</t>
  </si>
  <si>
    <t>The company returned £85,935 to shareholders by way of a buyback of 62,635 ordinary shares at a price of 137.2p per share.</t>
  </si>
  <si>
    <t>The company returned £128,621 to shareholders by way of a buyback of 63,000 ordinary shares at a price of 204.16p per share.</t>
  </si>
  <si>
    <t>The company returned £192,675 to shareholders by way of a buyback of 93,988 ordinary shares at a price of 205.p per share.</t>
  </si>
  <si>
    <t>The company returned £51,500 to shareholders by way of a buyback of 25,000 ordinary shares at a price of 206.p per share.</t>
  </si>
  <si>
    <t>The company returned £230,750 to shareholders by way of a buyback of 110,280 ordinary shares at a price of 209.24p per share.</t>
  </si>
  <si>
    <t>The company returned £165,777 to shareholders by way of a buyback of 79,319 ordinary shares at a price of 209.p per share.</t>
  </si>
  <si>
    <t>The company returned £77,418 to shareholders by way of a buyback of 37,220 ordinary shares at a price of 208.p per share.</t>
  </si>
  <si>
    <t>The company returned £48,749 to shareholders by way of a buyback of 23,325 ordinary shares at a price of 209.p per share.</t>
  </si>
  <si>
    <t>The company returned £132,600 to shareholders by way of a buyback of 100,000 ordinary shares at a price of 132.6p per share.</t>
  </si>
  <si>
    <t>The company returned £227,540 to shareholders by way of a buyback of 170,314 ordinary shares at a price of 133.6p per share.</t>
  </si>
  <si>
    <t>The company returned £387,659 to shareholders by way of a buyback of 286,732 ordinary shares at a price of 135.2p per share.</t>
  </si>
  <si>
    <t>The company returned £88,214 to shareholders by way of a buyback of 65,263 ordinary shares at a price of 135.17p per share.</t>
  </si>
  <si>
    <t>The company returned £304,099 to shareholders by way of a buyback of 225,000 ordinary shares at a price of 135.16p per share.</t>
  </si>
  <si>
    <t>The company returned £259,631 to shareholders by way of a buyback of 193,000 ordinary shares at a price of 134.52p per share.</t>
  </si>
  <si>
    <t>The company returned £154,852 to shareholders by way of a buyback of 114,009 ordinary shares at a price of 135.82p per share.</t>
  </si>
  <si>
    <t>The company returned £108,072 to shareholders by way of a buyback of 79,582 ordinary shares at a price of 135.8p per share.</t>
  </si>
  <si>
    <t>The company returned £375,760 to shareholders by way of a buyback of 280,000 ordinary shares at a price of 134.2p per share.</t>
  </si>
  <si>
    <t>The company returned £85,935 to shareholders by way of a buyback of 64,794 ordinary shares at a price of 132.63p per share.</t>
  </si>
  <si>
    <t>The company returned £66,700 to shareholders by way of a buyback of 50,000 ordinary shares at a price of 133.4p per share.</t>
  </si>
  <si>
    <t>The company returned £288,158 to shareholders by way of a buyback of 216,101 ordinary shares at a price of 133.34p per share.</t>
  </si>
  <si>
    <t>The company returned £515,053 to shareholders by way of a buyback of 387,634 ordinary shares at a price of 132.87p per share.</t>
  </si>
  <si>
    <t>The company returned £110,600 to shareholders by way of a buyback of 83,535 ordinary shares at a price of 132.4p per share.</t>
  </si>
  <si>
    <t>The company returned £66,303 to shareholders by way of a buyback of 50,002 ordinary shares at a price of 132.6p per share.</t>
  </si>
  <si>
    <t>The company returned £577,647 to shareholders by way of a buyback of 435,126 ordinary shares at a price of 132.75p per share.</t>
  </si>
  <si>
    <t>The company returned £361,548 to shareholders by way of a buyback of 275,000 ordinary shares at a price of 131.47p per share.</t>
  </si>
  <si>
    <t>The company returned £234,833 to shareholders by way of a buyback of 177,333 ordinary shares at a price of 132.43p per share.</t>
  </si>
  <si>
    <t>The company returned £12,431 to shareholders by way of a buyback of 1,557 ordinary shares at a price of 798.39p per share.</t>
  </si>
  <si>
    <t>The company returned £12,075 to shareholders by way of a buyback of 1,500 ordinary shares at a price of 805.p per share.</t>
  </si>
  <si>
    <t>The company returned £16,400 to shareholders by way of a buyback of 2,000 ordinary shares at a price of 820.p per share.</t>
  </si>
  <si>
    <t>The company returned £9,880 to shareholders by way of a buyback of 1,200 ordinary shares at a price of 823.33p per share.</t>
  </si>
  <si>
    <t>The company returned £69,043 to shareholders by way of a buyback of 8,411 ordinary shares at a price of 820.87p per share.</t>
  </si>
  <si>
    <t>The company returned £36,313 to shareholders by way of a buyback of 4,500 ordinary shares at a price of 806.95p per share.</t>
  </si>
  <si>
    <t>The company returned £12,425 to shareholders by way of a buyback of 1,500 ordinary shares at a price of 828.33p per share.</t>
  </si>
  <si>
    <t>The company returned £11,827 to shareholders by way of a buyback of 1,408 ordinary shares at a price of 840.p per share.</t>
  </si>
  <si>
    <t>The company returned £14,010 to shareholders by way of a buyback of 1,688 ordinary shares at a price of 830.p per share.</t>
  </si>
  <si>
    <t>The company returned £8,450 to shareholders by way of a buyback of 1,000 ordinary shares at a price of 845.p per share.</t>
  </si>
  <si>
    <t>The company returned £4,926 to shareholders by way of a buyback of 580 ordinary shares at a price of 849.31p per share.</t>
  </si>
  <si>
    <t>The company returned £11,239 to shareholders by way of a buyback of 1,301 ordinary shares at a price of 863.84p per share.</t>
  </si>
  <si>
    <t>The company returned £642,832 to shareholders by way of a buyback of 450,794 ordinary shares at a price of 142.6p per share.</t>
  </si>
  <si>
    <t>The company returned £627,326 to shareholders by way of a buyback of 440,476 ordinary shares at a price of 142.42p per share.</t>
  </si>
  <si>
    <t>The company returned £317,361 to shareholders by way of a buyback of 222,335 ordinary shares at a price of 142.74p per share.</t>
  </si>
  <si>
    <t>The company returned £192,737 to shareholders by way of a buyback of 131,714 ordinary shares at a price of 146.33p per share.</t>
  </si>
  <si>
    <t>The company returned £824,730 to shareholders by way of a buyback of 563,802 ordinary shares at a price of 146.28p per share.</t>
  </si>
  <si>
    <t>The company returned £1,407,818 to shareholders by way of a buyback of 967,506 ordinary shares at a price of 145.51p per share.</t>
  </si>
  <si>
    <t>The company returned £1,116,891 to shareholders by way of a buyback of 777,076 ordinary shares at a price of 143.73p per share.</t>
  </si>
  <si>
    <t>The company returned £672,635 to shareholders by way of a buyback of 464,880 ordinary shares at a price of 144.69p per share.</t>
  </si>
  <si>
    <t>The company returned £509,557 to shareholders by way of a buyback of 346,002 ordinary shares at a price of 147.27p per share.</t>
  </si>
  <si>
    <t>The company returned £543,451 to shareholders by way of a buyback of 363,488 ordinary shares at a price of 149.51p per share.</t>
  </si>
  <si>
    <t>The company returned £403,985 to shareholders by way of a buyback of 270,242 ordinary shares at a price of 149.49p per share.</t>
  </si>
  <si>
    <t>The company returned £440,490 to shareholders by way of a buyback of 300,000 ordinary shares at a price of 146.83p per share.</t>
  </si>
  <si>
    <t>The company returned £440,622 to shareholders by way of a buyback of 301,095 ordinary shares at a price of 146.34p per share.</t>
  </si>
  <si>
    <t>The company returned £283,883 to shareholders by way of a buyback of 191,386 ordinary shares at a price of 148.33p per share.</t>
  </si>
  <si>
    <t>The company returned £342,435 to shareholders by way of a buyback of 225,717 ordinary shares at a price of 151.71p per share.</t>
  </si>
  <si>
    <t>The company returned £704,869 to shareholders by way of a buyback of 467,482 ordinary shares at a price of 150.78p per share.</t>
  </si>
  <si>
    <t>The company returned £421,204 to shareholders by way of a buyback of 282,365 ordinary shares at a price of 149.17p per share.</t>
  </si>
  <si>
    <t>The company returned £223,115 to shareholders by way of a buyback of 150,550 ordinary shares at a price of 148.2p per share.</t>
  </si>
  <si>
    <t>The company returned £87,732 to shareholders by way of a buyback of 60,000 ordinary shares at a price of 146.22p per share.</t>
  </si>
  <si>
    <t>The company returned £201,054 to shareholders by way of a buyback of 140,000 ordinary shares at a price of 143.61p per share.</t>
  </si>
  <si>
    <t>The company returned £129,186 to shareholders by way of a buyback of 90,454 ordinary shares at a price of 142.82p per share.</t>
  </si>
  <si>
    <t>The company returned £502,168 to shareholders by way of a buyback of 125,354 ordinary shares at a price of 400.6p per share.</t>
  </si>
  <si>
    <t>The company returned £688,357 to shareholders by way of a buyback of 172,128 ordinary shares at a price of 399.91p per share.</t>
  </si>
  <si>
    <t>The company returned £639,486 to shareholders by way of a buyback of 159,429 ordinary shares at a price of 401.11p per share.</t>
  </si>
  <si>
    <t>The company returned £515,254 to shareholders by way of a buyback of 128,058 ordinary shares at a price of 402.36p per share.</t>
  </si>
  <si>
    <t>The company returned £490,358 to shareholders by way of a buyback of 122,013 ordinary shares at a price of 401.89p per share.</t>
  </si>
  <si>
    <t>The company returned £1,150,798 to shareholders by way of a buyback of 284,541 ordinary shares at a price of 404.44p per share.</t>
  </si>
  <si>
    <t>The company returned £1,078,333 to shareholders by way of a buyback of 269,334 ordinary shares at a price of 400.37p per share.</t>
  </si>
  <si>
    <t>The company returned £1,056,324 to shareholders by way of a buyback of 261,240 ordinary shares at a price of 404.35p per share.</t>
  </si>
  <si>
    <t>The company returned £604,125 to shareholders by way of a buyback of 150,000 ordinary shares at a price of 402.75p per share.</t>
  </si>
  <si>
    <t>The company returned £161,559 to shareholders by way of a buyback of 40,139 ordinary shares at a price of 402.5p per share.</t>
  </si>
  <si>
    <t>The company returned £777,287 to shareholders by way of a buyback of 193,408 ordinary shares at a price of 401.89p per share.</t>
  </si>
  <si>
    <t>The company returned £1,047,774 to shareholders by way of a buyback of 260,000 ordinary shares at a price of 402.99p per share.</t>
  </si>
  <si>
    <t>The company returned £991,449 to shareholders by way of a buyback of 244,446 ordinary shares at a price of 405.59p per share.</t>
  </si>
  <si>
    <t>The company returned £139,328 to shareholders by way of a buyback of 34,195 ordinary shares at a price of 407.45p per share.</t>
  </si>
  <si>
    <t>The company returned £368,834 to shareholders by way of a buyback of 89,397 ordinary shares at a price of 412.58p per share.</t>
  </si>
  <si>
    <t>The company returned £1,268,364 to shareholders by way of a buyback of 306,798 ordinary shares at a price of 413.42p per share.</t>
  </si>
  <si>
    <t>The company returned £1,039,060 to shareholders by way of a buyback of 250,799 ordinary shares at a price of 414.3p per share.</t>
  </si>
  <si>
    <t>The company returned £1,559,348 to shareholders by way of a buyback of 375,964 ordinary shares at a price of 414.76p per share.</t>
  </si>
  <si>
    <t>The company returned £9,464 to shareholders by way of a buyback of 3,000 ordinary shares at a price of 315.47p per share.</t>
  </si>
  <si>
    <t>The company returned £72 to shareholders by way of a buyback of 23 ordinary shares at a price of 313.92p per share.</t>
  </si>
  <si>
    <t>The company returned £15,728 to shareholders by way of a buyback of 5,000 ordinary shares at a price of 314.55p per share.</t>
  </si>
  <si>
    <t>The company returned £45,739 to shareholders by way of a buyback of 14,500 ordinary shares at a price of 315.44p per share.</t>
  </si>
  <si>
    <t>The company returned £30,668 to shareholders by way of a buyback of 9,660 ordinary shares at a price of 317.47p per share.</t>
  </si>
  <si>
    <t>The company returned £31,275 to shareholders by way of a buyback of 10,200 ordinary shares at a price of 306.61p per share.</t>
  </si>
  <si>
    <t>The company returned £28,193 to shareholders by way of a buyback of 9,000 ordinary shares at a price of 313.26p per share.</t>
  </si>
  <si>
    <t>The company returned £9,766 to shareholders by way of a buyback of 3,100 ordinary shares at a price of 315.04p per share.</t>
  </si>
  <si>
    <t>The company returned £1,099,425 to shareholders by way of a buyback of 90,933 ordinary shares at a price of 1,209.05p per share.</t>
  </si>
  <si>
    <t>The company returned £364,537 to shareholders by way of a buyback of 28,710 ordinary shares at a price of 1,269.72p per share.</t>
  </si>
  <si>
    <t>The company returned £1,033,328 to shareholders by way of a buyback of 82,469 ordinary shares at a price of 1,252.99p per share.</t>
  </si>
  <si>
    <t>The company returned £1,077,356 to shareholders by way of a buyback of 86,520 ordinary shares at a price of 1,245.21p per share.</t>
  </si>
  <si>
    <t>The company returned £15,720,300 to shareholders by way of a buyback of 9,000,000 ordinary shares at a price of 174.67p per share.</t>
  </si>
  <si>
    <t>The company returned £75,379 to shareholders by way of a buyback of 12,997 ordinary shares at a price of 579.97p per share.</t>
  </si>
  <si>
    <t>The company returned £157,600 to shareholders by way of a buyback of 27,127 ordinary shares at a price of 580.97p per share.</t>
  </si>
  <si>
    <t>The company returned £58,494 to shareholders by way of a buyback of 10,000 ordinary shares at a price of 584.94p per share.</t>
  </si>
  <si>
    <t>The company returned £119,320 to shareholders by way of a buyback of 20,000 ordinary shares at a price of 596.6p per share.</t>
  </si>
  <si>
    <t>The company returned £149,018 to shareholders by way of a buyback of 25,000 ordinary shares at a price of 596.07p per share.</t>
  </si>
  <si>
    <t>The company returned £211,469 to shareholders by way of a buyback of 35,164 ordinary shares at a price of 601.38p per share.</t>
  </si>
  <si>
    <t>The company returned £109,025 to shareholders by way of a buyback of 18,037 ordinary shares at a price of 604.45p per share.</t>
  </si>
  <si>
    <t>The company returned £162,784 to shareholders by way of a buyback of 26,963 ordinary shares at a price of 603.73p per share.</t>
  </si>
  <si>
    <t>The company returned £54,778 to shareholders by way of a buyback of 9,079 ordinary shares at a price of 603.35p per share.</t>
  </si>
  <si>
    <t>The company returned £157,190 to shareholders by way of a buyback of 25,921 ordinary shares at a price of 606.42p per share.</t>
  </si>
  <si>
    <t>The company returned £123,205 to shareholders by way of a buyback of 20,297 ordinary shares at a price of 607.01p per share.</t>
  </si>
  <si>
    <t>The company returned £89,436 to shareholders by way of a buyback of 15,000 ordinary shares at a price of 596.24p per share.</t>
  </si>
  <si>
    <t>The company returned £131,761 to shareholders by way of a buyback of 22,204 ordinary shares at a price of 593.41p per share.</t>
  </si>
  <si>
    <t>The company returned £252,240 to shareholders by way of a buyback of 41,924 ordinary shares at a price of 601.66p per share.</t>
  </si>
  <si>
    <t>The company returned £89,403 to shareholders by way of a buyback of 14,915 ordinary shares at a price of 599.42p per share.</t>
  </si>
  <si>
    <t>The company returned £136,932 to shareholders by way of a buyback of 22,903 ordinary shares at a price of 597.88p per share.</t>
  </si>
  <si>
    <t>The company returned £59,869 to shareholders by way of a buyback of 10,000 ordinary shares at a price of 598.69p per share.</t>
  </si>
  <si>
    <t>The company returned £250,241 to shareholders by way of a buyback of 42,097 ordinary shares at a price of 594.44p per share.</t>
  </si>
  <si>
    <t>The company returned £22,400 to shareholders by way of a buyback of 10,000 ordinary shares at a price of 224.p per share.</t>
  </si>
  <si>
    <t>The company returned £22,800 to shareholders by way of a buyback of 10,000 ordinary shares at a price of 228.p per share.</t>
  </si>
  <si>
    <t>The company returned £22,600 to shareholders by way of a buyback of 10,000 ordinary shares at a price of 226.p per share.</t>
  </si>
  <si>
    <t>The company returned £45,200 to shareholders by way of a buyback of 20,000 ordinary shares at a price of 226.p per share.</t>
  </si>
  <si>
    <t>The company returned £11,300 to shareholders by way of a buyback of 5,000 ordinary shares at a price of 226.p per share.</t>
  </si>
  <si>
    <t>The company returned £140,273 to shareholders by way of a buyback of 36,914 ordinary shares at a price of 380.p per share.</t>
  </si>
  <si>
    <t>The company returned £235,829 to shareholders by way of a buyback of 62,124 ordinary shares at a price of 379.61p per share.</t>
  </si>
  <si>
    <t>The company returned £38,120 to shareholders by way of a buyback of 10,000 ordinary shares at a price of 381.2p per share.</t>
  </si>
  <si>
    <t>The company returned £173,380 to shareholders by way of a buyback of 45,618 ordinary shares at a price of 380.07p per share.</t>
  </si>
  <si>
    <t>The company returned £147,581 to shareholders by way of a buyback of 39,355 ordinary shares at a price of 375.p per share.</t>
  </si>
  <si>
    <t>The company returned £245,118 to shareholders by way of a buyback of 65,740 ordinary shares at a price of 372.86p per share.</t>
  </si>
  <si>
    <t>The company returned £247,737 to shareholders by way of a buyback of 67,890 ordinary shares at a price of 364.91p per share.</t>
  </si>
  <si>
    <t>The company returned £115,401 to shareholders by way of a buyback of 31,400 ordinary shares at a price of 367.52p per share.</t>
  </si>
  <si>
    <t>The company returned £254,231 to shareholders by way of a buyback of 68,739 ordinary shares at a price of 369.85p per share.</t>
  </si>
  <si>
    <t>The company returned £253,838 to shareholders by way of a buyback of 68,013 ordinary shares at a price of 373.22p per share.</t>
  </si>
  <si>
    <t>The company returned £253,556 to shareholders by way of a buyback of 67,910 ordinary shares at a price of 373.37p per share.</t>
  </si>
  <si>
    <t>The company returned £115,755 to shareholders by way of a buyback of 31,243 ordinary shares at a price of 370.5p per share.</t>
  </si>
  <si>
    <t>The company returned £74,207 to shareholders by way of a buyback of 20,002 ordinary shares at a price of 371.p per share.</t>
  </si>
  <si>
    <t>The company returned £75,596 to shareholders by way of a buyback of 20,267 ordinary shares at a price of 373.p per share.</t>
  </si>
  <si>
    <t>The company returned £122,879 to shareholders by way of a buyback of 2,495 ordinary shares at a price of 4,925.03p per share.</t>
  </si>
  <si>
    <t>The company returned £36,752 to shareholders by way of a buyback of 747 ordinary shares at a price of 4,920.p per share.</t>
  </si>
  <si>
    <t>The company returned £127,096 to shareholders by way of a buyback of 2,565 ordinary shares at a price of 4,955.p per share.</t>
  </si>
  <si>
    <t>The company returned £25,469 to shareholders by way of a buyback of 514 ordinary shares at a price of 4,955.p per share.</t>
  </si>
  <si>
    <t>The company returned £3,174 to shareholders by way of a buyback of 64 ordinary shares at a price of 4,960.p per share.</t>
  </si>
  <si>
    <t>The company returned £2,133,643 to shareholders by way of a buyback of 43,017 ordinary shares at a price of 4,960.p per share.</t>
  </si>
  <si>
    <t>The company returned £238,891 to shareholders by way of a buyback of 4,797 ordinary shares at a price of 4,980.p per share.</t>
  </si>
  <si>
    <t>The company returned £96,082 to shareholders by way of a buyback of 1,934 ordinary shares at a price of 4,968.07p per share.</t>
  </si>
  <si>
    <t>The company returned £8,408 to shareholders by way of a buyback of 169 ordinary shares at a price of 4,975.p per share.</t>
  </si>
  <si>
    <t>The company returned £906,758 to shareholders by way of a buyback of 18,263 ordinary shares at a price of 4,965.p per share.</t>
  </si>
  <si>
    <t>The company returned £15,109 to shareholders by way of a buyback of 304 ordinary shares at a price of 4,970.p per share.</t>
  </si>
  <si>
    <t>The company returned £16,850 to shareholders by way of a buyback of 339 ordinary shares at a price of 4,970.46p per share.</t>
  </si>
  <si>
    <t>The company returned £21,073 to shareholders by way of a buyback of 424 ordinary shares at a price of 4,970.p per share.</t>
  </si>
  <si>
    <t>The company returned £4,826,091 to shareholders by way of a buyback of 97,150 ordinary shares at a price of 4,967.67p per share.</t>
  </si>
  <si>
    <t>The company returned £496,479 to shareholders by way of a buyback of 10,000 ordinary shares at a price of 4,964.79p per share.</t>
  </si>
  <si>
    <t>The company returned £403,819 to shareholders by way of a buyback of 8,141 ordinary shares at a price of 4,960.31p per share.</t>
  </si>
  <si>
    <t>The company returned £1,077,640 to shareholders by way of a buyback of 21,674 ordinary shares at a price of 4,972.04p per share.</t>
  </si>
  <si>
    <t>The company returned £123,818 to shareholders by way of a buyback of 2,499 ordinary shares at a price of 4,954.71p per share.</t>
  </si>
  <si>
    <t>The company returned £294,375 to shareholders by way of a buyback of 250,000 ordinary shares at a price of 117.75p per share.</t>
  </si>
  <si>
    <t>The company returned £294,003 to shareholders by way of a buyback of 250,000 ordinary shares at a price of 117.6p per share.</t>
  </si>
  <si>
    <t>The company returned £294,108 to shareholders by way of a buyback of 250,000 ordinary shares at a price of 117.64p per share.</t>
  </si>
  <si>
    <t>The company returned £294,945 to shareholders by way of a buyback of 250,000 ordinary shares at a price of 117.98p per share.</t>
  </si>
  <si>
    <t>The company returned £294,900 to shareholders by way of a buyback of 250,000 ordinary shares at a price of 117.96p per share.</t>
  </si>
  <si>
    <t>The company returned £293,465 to shareholders by way of a buyback of 250,000 ordinary shares at a price of 117.39p per share.</t>
  </si>
  <si>
    <t>The company returned £290,700 to shareholders by way of a buyback of 250,000 ordinary shares at a price of 116.28p per share.</t>
  </si>
  <si>
    <t>The company returned £291,230 to shareholders by way of a buyback of 250,000 ordinary shares at a price of 116.49p per share.</t>
  </si>
  <si>
    <t>The company returned £288,200 to shareholders by way of a buyback of 250,000 ordinary shares at a price of 115.28p per share.</t>
  </si>
  <si>
    <t>The company returned £290,550 to shareholders by way of a buyback of 250,000 ordinary shares at a price of 116.22p per share.</t>
  </si>
  <si>
    <t>The company returned £287,600 to shareholders by way of a buyback of 250,000 ordinary shares at a price of 115.04p per share.</t>
  </si>
  <si>
    <t>The company returned £281,050 to shareholders by way of a buyback of 250,000 ordinary shares at a price of 112.42p per share.</t>
  </si>
  <si>
    <t>The company returned £274,730 to shareholders by way of a buyback of 250,000 ordinary shares at a price of 109.89p per share.</t>
  </si>
  <si>
    <t>The company returned £277,300 to shareholders by way of a buyback of 250,000 ordinary shares at a price of 110.92p per share.</t>
  </si>
  <si>
    <t>The company returned £277,640 to shareholders by way of a buyback of 250,000 ordinary shares at a price of 111.06p per share.</t>
  </si>
  <si>
    <t>The company returned £275,350 to shareholders by way of a buyback of 250,000 ordinary shares at a price of 110.14p per share.</t>
  </si>
  <si>
    <t>The company returned £274,800 to shareholders by way of a buyback of 250,000 ordinary shares at a price of 109.92p per share.</t>
  </si>
  <si>
    <t>The company returned £277,250 to shareholders by way of a buyback of 250,000 ordinary shares at a price of 110.9p per share.</t>
  </si>
  <si>
    <t>The company returned £281,800 to shareholders by way of a buyback of 250,000 ordinary shares at a price of 112.72p per share.</t>
  </si>
  <si>
    <t>The company returned £214,500 to shareholders by way of a buyback of 200,000 ordinary shares at a price of 107.25p per share.</t>
  </si>
  <si>
    <t>The company returned £12,000 to shareholders by way of a buyback of 10,000 ordinary shares at a price of 120.p per share.</t>
  </si>
  <si>
    <t>The company returned £92,250 to shareholders by way of a buyback of 75,000 ordinary shares at a price of 123.p per share.</t>
  </si>
  <si>
    <t>The company returned £61,000 to shareholders by way of a buyback of 50,000 ordinary shares at a price of 122.p per share.</t>
  </si>
  <si>
    <t>The company returned £47,970 to shareholders by way of a buyback of 39,000 ordinary shares at a price of 123.p per share.</t>
  </si>
  <si>
    <t>The company returned £49,600 to shareholders by way of a buyback of 40,000 ordinary shares at a price of 124.p per share.</t>
  </si>
  <si>
    <t>The company returned £29,760 to shareholders by way of a buyback of 24,000 ordinary shares at a price of 124.p per share.</t>
  </si>
  <si>
    <t>The company returned £108,131 to shareholders by way of a buyback of 34,994 ordinary shares at a price of 309.p per share.</t>
  </si>
  <si>
    <t>The company returned £44,088 to shareholders by way of a buyback of 14,408 ordinary shares at a price of 306.p per share.</t>
  </si>
  <si>
    <t>The company returned £310,000 to shareholders by way of a buyback of 100,000 ordinary shares at a price of 310.p per share.</t>
  </si>
  <si>
    <t>The company returned £15,446 to shareholders by way of a buyback of 5,018 ordinary shares at a price of 307.81p per share.</t>
  </si>
  <si>
    <t>The company returned £58,594 to shareholders by way of a buyback of 25,000 ordinary shares at a price of 234.37p per share.</t>
  </si>
  <si>
    <t>The company returned £70,250 to shareholders by way of a buyback of 30,000 ordinary shares at a price of 234.17p per share.</t>
  </si>
  <si>
    <t>The company returned £58,740 to shareholders by way of a buyback of 25,000 ordinary shares at a price of 234.96p per share.</t>
  </si>
  <si>
    <t>The company returned £46,787 to shareholders by way of a buyback of 20,000 ordinary shares at a price of 233.94p per share.</t>
  </si>
  <si>
    <t>The company returned £50,658 to shareholders by way of a buyback of 21,656 ordinary shares at a price of 233.92p per share.</t>
  </si>
  <si>
    <t>The company returned £450,698 to shareholders by way of a buyback of 55,000 ordinary shares at a price of 819.45p per share.</t>
  </si>
  <si>
    <t>The company returned £451,803 to shareholders by way of a buyback of 55,000 ordinary shares at a price of 821.46p per share.</t>
  </si>
  <si>
    <t>The company returned £456,676 to shareholders by way of a buyback of 55,000 ordinary shares at a price of 830.32p per share.</t>
  </si>
  <si>
    <t>The company returned £457,034 to shareholders by way of a buyback of 55,000 ordinary shares at a price of 830.97p per share.</t>
  </si>
  <si>
    <t>The company returned £563,836 to shareholders by way of a buyback of 70,000 ordinary shares at a price of 805.48p per share.</t>
  </si>
  <si>
    <t>The company returned £557,445 to shareholders by way of a buyback of 70,000 ordinary shares at a price of 796.35p per share.</t>
  </si>
  <si>
    <t>The company returned £557,466 to shareholders by way of a buyback of 70,000 ordinary shares at a price of 796.38p per share.</t>
  </si>
  <si>
    <t>The company returned £1,133,250 to shareholders by way of a buyback of 500,000 ordinary shares at a price of 226.65p per share.</t>
  </si>
  <si>
    <t>The company returned £223,250 to shareholders by way of a buyback of 100,000 ordinary shares at a price of 223.25p per share.</t>
  </si>
  <si>
    <t>The company returned £450,000 to shareholders by way of a buyback of 200,000 ordinary shares at a price of 225.p per share.</t>
  </si>
  <si>
    <t>The company returned £447,000 to shareholders by way of a buyback of 200,000 ordinary shares at a price of 223.5p per share.</t>
  </si>
  <si>
    <t>The company returned £501,652 to shareholders by way of a buyback of 40,100 ordinary shares at a price of 1,251.p per share.</t>
  </si>
  <si>
    <t>The company returned £893,936 to shareholders by way of a buyback of 71,482 ordinary shares at a price of 1,250.58p per share.</t>
  </si>
  <si>
    <t>The company returned £113,162 to shareholders by way of a buyback of 9,126 ordinary shares at a price of 1,240.p per share.</t>
  </si>
  <si>
    <t>The company returned £1,124,234 to shareholders by way of a buyback of 90,117 ordinary shares at a price of 1,247.53p per share.</t>
  </si>
  <si>
    <t>The company returned £503,227 to shareholders by way of a buyback of 40,050 ordinary shares at a price of 1,256.5p per share.</t>
  </si>
  <si>
    <t>The company returned £1,245,600 to shareholders by way of a buyback of 100,000 ordinary shares at a price of 1,245.6p per share.</t>
  </si>
  <si>
    <t>The company returned £398,958 to shareholders by way of a buyback of 32,061 ordinary shares at a price of 1,244.37p per share.</t>
  </si>
  <si>
    <t>The company returned £1,244,549 to shareholders by way of a buyback of 100,000 ordinary shares at a price of 1,244.55p per share.</t>
  </si>
  <si>
    <t>The company returned £397,754 to shareholders by way of a buyback of 31,977 ordinary shares at a price of 1,243.88p per share.</t>
  </si>
  <si>
    <t>The company returned £798,814 to shareholders by way of a buyback of 64,677 ordinary shares at a price of 1,235.08p per share.</t>
  </si>
  <si>
    <t>The company returned £994,803 to shareholders by way of a buyback of 80,000 ordinary shares at a price of 1,243.5p per share.</t>
  </si>
  <si>
    <t>The company returned £15,781 to shareholders by way of a buyback of 4,485 ordinary shares at a price of 351.85p per share.</t>
  </si>
  <si>
    <t>The company returned £16,327 to shareholders by way of a buyback of 4,671 ordinary shares at a price of 349.54p per share.</t>
  </si>
  <si>
    <t>The company returned £16,930 to shareholders by way of a buyback of 4,764 ordinary shares at a price of 355.38p per share.</t>
  </si>
  <si>
    <t>The company returned £17,080 to shareholders by way of a buyback of 4,847 ordinary shares at a price of 352.39p per share.</t>
  </si>
  <si>
    <t>The company returned £16,770 to shareholders by way of a buyback of 4,796 ordinary shares at a price of 349.66p per share.</t>
  </si>
  <si>
    <t>The company returned £15,505 to shareholders by way of a buyback of 4,371 ordinary shares at a price of 354.73p per share.</t>
  </si>
  <si>
    <t>The company returned £15,498 to shareholders by way of a buyback of 4,351 ordinary shares at a price of 356.2p per share.</t>
  </si>
  <si>
    <t>The company returned £16,012 to shareholders by way of a buyback of 4,520 ordinary shares at a price of 354.24p per share.</t>
  </si>
  <si>
    <t>The company returned £14,730 to shareholders by way of a buyback of 4,164 ordinary shares at a price of 353.73p per share.</t>
  </si>
  <si>
    <t>The company returned £15,166 to shareholders by way of a buyback of 4,247 ordinary shares at a price of 357.1p per share.</t>
  </si>
  <si>
    <t>The company returned £14,843 to shareholders by way of a buyback of 4,095 ordinary shares at a price of 362.47p per share.</t>
  </si>
  <si>
    <t>The company returned £14,360 to shareholders by way of a buyback of 4,032 ordinary shares at a price of 356.14p per share.</t>
  </si>
  <si>
    <t>The company returned £14,396 to shareholders by way of a buyback of 4,032 ordinary shares at a price of 357.04p per share.</t>
  </si>
  <si>
    <t>The company returned £18,969 to shareholders by way of a buyback of 5,279 ordinary shares at a price of 359.34p per share.</t>
  </si>
  <si>
    <t>The company returned £21,998 to shareholders by way of a buyback of 6,145 ordinary shares at a price of 357.98p per share.</t>
  </si>
  <si>
    <t>The company returned £21,859 to shareholders by way of a buyback of 6,145 ordinary shares at a price of 355.72p per share.</t>
  </si>
  <si>
    <t>The company returned £19,933 to shareholders by way of a buyback of 5,622 ordinary shares at a price of 354.55p per share.</t>
  </si>
  <si>
    <t>The company returned £24,870 to shareholders by way of a buyback of 7,037 ordinary shares at a price of 353.41p per share.</t>
  </si>
  <si>
    <t>The company returned £27,179 to shareholders by way of a buyback of 7,728 ordinary shares at a price of 351.69p per share.</t>
  </si>
  <si>
    <t>The company returned £28,459 to shareholders by way of a buyback of 8,060 ordinary shares at a price of 353.08p per share.</t>
  </si>
  <si>
    <t>The company returned £29,495 to shareholders by way of a buyback of 8,260 ordinary shares at a price of 357.08p per share.</t>
  </si>
  <si>
    <t>The company returned £305,300 to shareholders by way of a buyback of 50,000 ordinary shares at a price of 610.6p per share.</t>
  </si>
  <si>
    <t>The company returned £60,800 to shareholders by way of a buyback of 10,000 ordinary shares at a price of 608.p per share.</t>
  </si>
  <si>
    <t>The company returned £87,234 to shareholders by way of a buyback of 14,254 ordinary shares at a price of 612.p per share.</t>
  </si>
  <si>
    <t>The company returned £307,720 to shareholders by way of a buyback of 50,000 ordinary shares at a price of 615.44p per share.</t>
  </si>
  <si>
    <t>The company returned £27,639 to shareholders by way of a buyback of 4,508 ordinary shares at a price of 613.11p per share.</t>
  </si>
  <si>
    <t>The company returned £1,207,565 to shareholders by way of a buyback of 382,177 ordinary shares at a price of 315.97p per share.</t>
  </si>
  <si>
    <t>The company returned £81,480 to shareholders by way of a buyback of 25,921 ordinary shares at a price of 314.34p per share.</t>
  </si>
  <si>
    <t>The company returned £1,201,848 to shareholders by way of a buyback of 374,828 ordinary shares at a price of 320.64p per share.</t>
  </si>
  <si>
    <t>The company returned £234,838 to shareholders by way of a buyback of 72,854 ordinary shares at a price of 322.34p per share.</t>
  </si>
  <si>
    <t>The company returned £136,419 to shareholders by way of a buyback of 42,498 ordinary shares at a price of 321.p per share.</t>
  </si>
  <si>
    <t>The company returned £173,759 to shareholders by way of a buyback of 53,929 ordinary shares at a price of 322.2p per share.</t>
  </si>
  <si>
    <t>The company returned £181,318 to shareholders by way of a buyback of 16,713 ordinary shares at a price of 1,084.89p per share.</t>
  </si>
  <si>
    <t>The company returned £915,000 to shareholders by way of a buyback of 83,388 ordinary shares at a price of 1,097.28p per share.</t>
  </si>
  <si>
    <t>The company returned £509,741 to shareholders by way of a buyback of 46,217 ordinary shares at a price of 1,102.93p per share.</t>
  </si>
  <si>
    <t>The company returned £1,176,119 to shareholders by way of a buyback of 106,917 ordinary shares at a price of 1,100.03p per share.</t>
  </si>
  <si>
    <t>The company returned £1,099,149 to shareholders by way of a buyback of 99,999 ordinary shares at a price of 1,099.16p per share.</t>
  </si>
  <si>
    <t>The company returned £1,661,835 to shareholders by way of a buyback of 150,000 ordinary shares at a price of 1,107.89p per share.</t>
  </si>
  <si>
    <t>The company returned £618,642 to shareholders by way of a buyback of 55,493 ordinary shares at a price of 1,114.81p per share.</t>
  </si>
  <si>
    <t>The company returned £827,954 to shareholders by way of a buyback of 73,937 ordinary shares at a price of 1,119.81p per share.</t>
  </si>
  <si>
    <t>The company returned £1,527,375 to shareholders by way of a buyback of 135,474 ordinary shares at a price of 1,127.43p per share.</t>
  </si>
  <si>
    <t>The company returned £585,288 to shareholders by way of a buyback of 51,651 ordinary shares at a price of 1,133.16p per share.</t>
  </si>
  <si>
    <t>The company returned £879,680 to shareholders by way of a buyback of 77,125 ordinary shares at a price of 1,140.59p per share.</t>
  </si>
  <si>
    <t>The company returned £113,411 to shareholders by way of a buyback of 10,001 ordinary shares at a price of 1,134.p per share.</t>
  </si>
  <si>
    <t>The company returned £1,521,998 to shareholders by way of a buyback of 132,289 ordinary shares at a price of 1,150.51p per share.</t>
  </si>
  <si>
    <t>The company returned £187,889 to shareholders by way of a buyback of 16,114 ordinary shares at a price of 1,166.p per share.</t>
  </si>
  <si>
    <t>The company returned £520,831 to shareholders by way of a buyback of 43,475 ordinary shares at a price of 1,198.p per share.</t>
  </si>
  <si>
    <t>The company returned £1,238,950 to shareholders by way of a buyback of 151,914 ordinary shares at a price of 815.56p per share.</t>
  </si>
  <si>
    <t>The company returned £2,058,600 to shareholders by way of a buyback of 250,000 ordinary shares at a price of 823.44p per share.</t>
  </si>
  <si>
    <t>The company returned £2,025,513 to shareholders by way of a buyback of 245,000 ordinary shares at a price of 826.74p per share.</t>
  </si>
  <si>
    <t>The company returned £1,649,640 to shareholders by way of a buyback of 200,000 ordinary shares at a price of 824.82p per share.</t>
  </si>
  <si>
    <t>The company returned £238,320 to shareholders by way of a buyback of 28,529 ordinary shares at a price of 835.36p per share.</t>
  </si>
  <si>
    <t>The company returned £2,074,084 to shareholders by way of a buyback of 247,000 ordinary shares at a price of 839.71p per share.</t>
  </si>
  <si>
    <t>The company returned £560,836 to shareholders by way of a buyback of 67,174 ordinary shares at a price of 834.9p per share.</t>
  </si>
  <si>
    <t>The company returned £323,309 to shareholders by way of a buyback of 38,913 ordinary shares at a price of 830.85p per share.</t>
  </si>
  <si>
    <t>The company returned £1,503,373 to shareholders by way of a buyback of 179,739 ordinary shares at a price of 836.42p per share.</t>
  </si>
  <si>
    <t>The company returned £1,479,547 to shareholders by way of a buyback of 177,009 ordinary shares at a price of 835.86p per share.</t>
  </si>
  <si>
    <t>The company returned £1,071,306 to shareholders by way of a buyback of 130,035 ordinary shares at a price of 823.86p per share.</t>
  </si>
  <si>
    <t>The company returned £852,094 to shareholders by way of a buyback of 104,145 ordinary shares at a price of 818.18p per share.</t>
  </si>
  <si>
    <t>The company returned £2,040,450 to shareholders by way of a buyback of 250,000 ordinary shares at a price of 816.18p per share.</t>
  </si>
  <si>
    <t>The company returned £1,892,835 to shareholders by way of a buyback of 231,616 ordinary shares at a price of 817.23p per share.</t>
  </si>
  <si>
    <t>The company returned £1,198,620 to shareholders by way of a buyback of 147,468 ordinary shares at a price of 812.8p per share.</t>
  </si>
  <si>
    <t>The company returned £477,747 to shareholders by way of a buyback of 59,332 ordinary shares at a price of 805.21p per share.</t>
  </si>
  <si>
    <t>The company returned £1,183,110 to shareholders by way of a buyback of 150,000 ordinary shares at a price of 788.74p per share.</t>
  </si>
  <si>
    <t>The company returned £254,926 to shareholders by way of a buyback of 32,583 ordinary shares at a price of 782.39p per share.</t>
  </si>
  <si>
    <t>The company returned £1,086,903 to shareholders by way of a buyback of 140,796 ordinary shares at a price of 771.97p per share.</t>
  </si>
  <si>
    <t>The company returned £689,822 to shareholders by way of a buyback of 88,953 ordinary shares at a price of 775.49p per share.</t>
  </si>
  <si>
    <t>The company returned £45,184 to shareholders by way of a buyback of 69,492 ordinary shares at a price of 65.02p per share.</t>
  </si>
  <si>
    <t>The company returned £28,748 to shareholders by way of a buyback of 44,234 ordinary shares at a price of 64.99p per share.</t>
  </si>
  <si>
    <t>The company returned £29,169 to shareholders by way of a buyback of 45,000 ordinary shares at a price of 64.82p per share.</t>
  </si>
  <si>
    <t>The company returned £28,605 to shareholders by way of a buyback of 44,668 ordinary shares at a price of 64.04p per share.</t>
  </si>
  <si>
    <t>The company returned £29,062 to shareholders by way of a buyback of 44,642 ordinary shares at a price of 65.1p per share.</t>
  </si>
  <si>
    <t>The company returned £32,709 to shareholders by way of a buyback of 49,747 ordinary shares at a price of 65.75p per share.</t>
  </si>
  <si>
    <t>The company returned £28,737 to shareholders by way of a buyback of 43,561 ordinary shares at a price of 65.97p per share.</t>
  </si>
  <si>
    <t>The company returned £29,645 to shareholders by way of a buyback of 44,815 ordinary shares at a price of 66.15p per share.</t>
  </si>
  <si>
    <t>The company returned £29,527 to shareholders by way of a buyback of 44,990 ordinary shares at a price of 65.63p per share.</t>
  </si>
  <si>
    <t>The company returned £29,600 to shareholders by way of a buyback of 44,424 ordinary shares at a price of 66.63p per share.</t>
  </si>
  <si>
    <t>The company returned £29,857 to shareholders by way of a buyback of 44,456 ordinary shares at a price of 67.16p per share.</t>
  </si>
  <si>
    <t>The company returned £27,811 to shareholders by way of a buyback of 41,690 ordinary shares at a price of 66.71p per share.</t>
  </si>
  <si>
    <t>The company returned £28,388 to shareholders by way of a buyback of 43,078 ordinary shares at a price of 65.9p per share.</t>
  </si>
  <si>
    <t>The company returned £28,008 to shareholders by way of a buyback of 42,984 ordinary shares at a price of 65.16p per share.</t>
  </si>
  <si>
    <t>The company returned £29,214 to shareholders by way of a buyback of 45,000 ordinary shares at a price of 64.92p per share.</t>
  </si>
  <si>
    <t>The company returned £31,337 to shareholders by way of a buyback of 48,449 ordinary shares at a price of 64.68p per share.</t>
  </si>
  <si>
    <t>The company returned £28,391 to shareholders by way of a buyback of 43,604 ordinary shares at a price of 65.11p per share.</t>
  </si>
  <si>
    <t>The company returned £29,200 to shareholders by way of a buyback of 44,498 ordinary shares at a price of 65.62p per share.</t>
  </si>
  <si>
    <t>The company returned £28,866 to shareholders by way of a buyback of 43,519 ordinary shares at a price of 66.33p per share.</t>
  </si>
  <si>
    <t>The company returned £28,746 to shareholders by way of a buyback of 45,000 ordinary shares at a price of 63.88p per share.</t>
  </si>
  <si>
    <t>The company returned £31,383 to shareholders by way of a buyback of 49,790 ordinary shares at a price of 63.03p per share.</t>
  </si>
  <si>
    <t>The company returned £84,651 to shareholders by way of a buyback of 23,992 ordinary shares at a price of 352.83p per share.</t>
  </si>
  <si>
    <t>The company returned £174,053 to shareholders by way of a buyback of 49,029 ordinary shares at a price of 355.p per share.</t>
  </si>
  <si>
    <t>The company returned £108,094 to shareholders by way of a buyback of 30,373 ordinary shares at a price of 355.89p per share.</t>
  </si>
  <si>
    <t>The company returned £146,405 to shareholders by way of a buyback of 40,925 ordinary shares at a price of 357.74p per share.</t>
  </si>
  <si>
    <t>The company returned £232,878 to shareholders by way of a buyback of 65,077 ordinary shares at a price of 357.85p per share.</t>
  </si>
  <si>
    <t>The company returned £55,410 to shareholders by way of a buyback of 15,495 ordinary shares at a price of 357.6p per share.</t>
  </si>
  <si>
    <t>The company returned £68,061 to shareholders by way of a buyback of 18,967 ordinary shares at a price of 358.84p per share.</t>
  </si>
  <si>
    <t>The company returned £156,803 to shareholders by way of a buyback of 43,571 ordinary shares at a price of 359.88p per share.</t>
  </si>
  <si>
    <t>The company returned £240,718 to shareholders by way of a buyback of 67,460 ordinary shares at a price of 356.83p per share.</t>
  </si>
  <si>
    <t>The company returned £79 to shareholders by way of a buyback of 22 ordinary shares at a price of 357.p per share.</t>
  </si>
  <si>
    <t>The company returned £154,151 to shareholders by way of a buyback of 43,706 ordinary shares at a price of 352.7p per share.</t>
  </si>
  <si>
    <t>The company returned £6,160 to shareholders by way of a buyback of 1,770 ordinary shares at a price of 348.p per share.</t>
  </si>
  <si>
    <t>The company returned £22,694 to shareholders by way of a buyback of 6,531 ordinary shares at a price of 347.48p per share.</t>
  </si>
  <si>
    <t>The company returned £74,754 to shareholders by way of a buyback of 21,269 ordinary shares at a price of 351.47p per share.</t>
  </si>
  <si>
    <t>The company returned £70,758 to shareholders by way of a buyback of 20,190 ordinary shares at a price of 350.46p per share.</t>
  </si>
  <si>
    <t>The company returned £136,373 to shareholders by way of a buyback of 38,803 ordinary shares at a price of 351.45p per share.</t>
  </si>
  <si>
    <t>The company returned £348,970 to shareholders by way of a buyback of 100,000 ordinary shares at a price of 348.97p per share.</t>
  </si>
  <si>
    <t>The company returned £284,472 to shareholders by way of a buyback of 82,132 ordinary shares at a price of 346.36p per share.</t>
  </si>
  <si>
    <t>The company returned £103,800 to shareholders by way of a buyback of 30,000 ordinary shares at a price of 346.p per share.</t>
  </si>
  <si>
    <t>The company returned £372,900 to shareholders by way of a buyback of 500,000 ordinary shares at a price of 74.58p per share.</t>
  </si>
  <si>
    <t>The company returned £150,000 to shareholders by way of a buyback of 200,000 ordinary shares at a price of 75.p per share.</t>
  </si>
  <si>
    <t>The company returned £111,975 to shareholders by way of a buyback of 150,000 ordinary shares at a price of 74.65p per share.</t>
  </si>
  <si>
    <t>The company returned £184,450 to shareholders by way of a buyback of 250,000 ordinary shares at a price of 73.78p per share.</t>
  </si>
  <si>
    <t>The company returned £94,478 to shareholders by way of a buyback of 95,000 ordinary shares at a price of 99.45p per share.</t>
  </si>
  <si>
    <t>The company returned £47,519 to shareholders by way of a buyback of 47,519 ordinary shares at a price of 100.p per share.</t>
  </si>
  <si>
    <t>The company returned £47,770 to shareholders by way of a buyback of 48,000 ordinary shares at a price of 99.52p per share.</t>
  </si>
  <si>
    <t>The company returned £47,448 to shareholders by way of a buyback of 48,000 ordinary shares at a price of 98.85p per share.</t>
  </si>
  <si>
    <t>The company returned £47,179 to shareholders by way of a buyback of 48,000 ordinary shares at a price of 98.29p per share.</t>
  </si>
  <si>
    <t>The company returned £56,698 to shareholders by way of a buyback of 57,956 ordinary shares at a price of 97.83p per share.</t>
  </si>
  <si>
    <t>The company returned £47,122 to shareholders by way of a buyback of 48,000 ordinary shares at a price of 98.17p per share.</t>
  </si>
  <si>
    <t>The company returned £47,093 to shareholders by way of a buyback of 48,000 ordinary shares at a price of 98.11p per share.</t>
  </si>
  <si>
    <t>The company returned £46,757 to shareholders by way of a buyback of 48,000 ordinary shares at a price of 97.41p per share.</t>
  </si>
  <si>
    <t>The company returned £47,203 to shareholders by way of a buyback of 48,000 ordinary shares at a price of 98.34p per share.</t>
  </si>
  <si>
    <t>The company returned £59,244 to shareholders by way of a buyback of 59,867 ordinary shares at a price of 98.96p per share.</t>
  </si>
  <si>
    <t>The company returned £47,491 to shareholders by way of a buyback of 48,000 ordinary shares at a price of 98.94p per share.</t>
  </si>
  <si>
    <t>The company returned £46,440 to shareholders by way of a buyback of 48,000 ordinary shares at a price of 96.75p per share.</t>
  </si>
  <si>
    <t>The company returned £46,368 to shareholders by way of a buyback of 48,000 ordinary shares at a price of 96.6p per share.</t>
  </si>
  <si>
    <t>The company returned £46,177 to shareholders by way of a buyback of 47,887 ordinary shares at a price of 96.43p per share.</t>
  </si>
  <si>
    <t>The company returned £57,552 to shareholders by way of a buyback of 60,000 ordinary shares at a price of 95.92p per share.</t>
  </si>
  <si>
    <t>The company returned £48,188 to shareholders by way of a buyback of 49,988 ordinary shares at a price of 96.4p per share.</t>
  </si>
  <si>
    <t>The company returned £48,201 to shareholders by way of a buyback of 49,996 ordinary shares at a price of 96.41p per share.</t>
  </si>
  <si>
    <t>The company returned £49,500 to shareholders by way of a buyback of 50,000 ordinary shares at a price of 99.p per share.</t>
  </si>
  <si>
    <t>The company returned £48,920 to shareholders by way of a buyback of 50,000 ordinary shares at a price of 97.84p per share.</t>
  </si>
  <si>
    <t>The company returned £53,922 to shareholders by way of a buyback of 54,994 ordinary shares at a price of 98.05p per share.</t>
  </si>
  <si>
    <t>The company returned £133,300 to shareholders by way of a buyback of 50,000 ordinary shares at a price of 266.6p per share.</t>
  </si>
  <si>
    <t>The company returned £281,400 to shareholders by way of a buyback of 105,000 ordinary shares at a price of 268.p per share.</t>
  </si>
  <si>
    <t>The company returned £321,600 to shareholders by way of a buyback of 120,000 ordinary shares at a price of 268.p per share.</t>
  </si>
  <si>
    <t>The company returned £187,600 to shareholders by way of a buyback of 70,000 ordinary shares at a price of 268.p per share.</t>
  </si>
  <si>
    <t>The company returned £269,500 to shareholders by way of a buyback of 100,000 ordinary shares at a price of 269.5p per share.</t>
  </si>
  <si>
    <t>The company returned £270,000 to shareholders by way of a buyback of 100,000 ordinary shares at a price of 270.p per share.</t>
  </si>
  <si>
    <t>The company returned £134,000 to shareholders by way of a buyback of 50,000 ordinary shares at a price of 268.p per share.</t>
  </si>
  <si>
    <t>The company returned £162,600 to shareholders by way of a buyback of 60,000 ordinary shares at a price of 271.p per share.</t>
  </si>
  <si>
    <t>The company returned £244,800 to shareholders by way of a buyback of 90,000 ordinary shares at a price of 272.p per share.</t>
  </si>
  <si>
    <t>The company returned £268,000 to shareholders by way of a buyback of 100,000 ordinary shares at a price of 268.p per share.</t>
  </si>
  <si>
    <t>The company returned £257,798 to shareholders by way of a buyback of 96,000 ordinary shares at a price of 268.54p per share.</t>
  </si>
  <si>
    <t>The company returned £1,911,000 to shareholders by way of a buyback of 700,000 ordinary shares at a price of 273.p per share.</t>
  </si>
  <si>
    <t>The company returned £342,500 to shareholders by way of a buyback of 125,000 ordinary shares at a price of 274.p per share.</t>
  </si>
  <si>
    <t>The company returned £2,889,514 to shareholders by way of a buyback of 1,051,000 ordinary shares at a price of 274.93p per share.</t>
  </si>
  <si>
    <t>The company returned £276,000 to shareholders by way of a buyback of 100,000 ordinary shares at a price of 276.p per share.</t>
  </si>
  <si>
    <t>The company returned £91,080 to shareholders by way of a buyback of 33,000 ordinary shares at a price of 276.p per share.</t>
  </si>
  <si>
    <t>The company returned £95,200 to shareholders by way of a buyback of 35,000 ordinary shares at a price of 272.p per share.</t>
  </si>
  <si>
    <t>The company returned £184,920 to shareholders by way of a buyback of 67,000 ordinary shares at a price of 276.p per share.</t>
  </si>
  <si>
    <t>The company returned £390,985 to shareholders by way of a buyback of 12,500 ordinary shares at a price of 3,127.88p per share.</t>
  </si>
  <si>
    <t>The company returned £399,763 to shareholders by way of a buyback of 12,786 ordinary shares at a price of 3,126.57p per share.</t>
  </si>
  <si>
    <t>The company returned £394,956 to shareholders by way of a buyback of 12,600 ordinary shares at a price of 3,134.57p per share.</t>
  </si>
  <si>
    <t>The company returned £392,086 to shareholders by way of a buyback of 12,500 ordinary shares at a price of 3,136.69p per share.</t>
  </si>
  <si>
    <t>The company returned £388,074 to shareholders by way of a buyback of 12,385 ordinary shares at a price of 3,133.42p per share.</t>
  </si>
  <si>
    <t>The company returned £391,726 to shareholders by way of a buyback of 12,485 ordinary shares at a price of 3,137.57p per share.</t>
  </si>
  <si>
    <t>The company returned £399,398 to shareholders by way of a buyback of 12,677 ordinary shares at a price of 3,150.57p per share.</t>
  </si>
  <si>
    <t>The company returned £393,370 to shareholders by way of a buyback of 12,500 ordinary shares at a price of 3,146.96p per share.</t>
  </si>
  <si>
    <t>The company returned £391,024 to shareholders by way of a buyback of 12,500 ordinary shares at a price of 3,128.19p per share.</t>
  </si>
  <si>
    <t>The company returned £394,010 to shareholders by way of a buyback of 12,500 ordinary shares at a price of 3,152.08p per share.</t>
  </si>
  <si>
    <t>The company returned £401,832 to shareholders by way of a buyback of 12,750 ordinary shares at a price of 3,151.62p per share.</t>
  </si>
  <si>
    <t>The company returned £401,868 to shareholders by way of a buyback of 12,800 ordinary shares at a price of 3,139.59p per share.</t>
  </si>
  <si>
    <t>The company returned £399,718 to shareholders by way of a buyback of 12,750 ordinary shares at a price of 3,135.04p per share.</t>
  </si>
  <si>
    <t>The company returned £404,303 to shareholders by way of a buyback of 12,800 ordinary shares at a price of 3,158.62p per share.</t>
  </si>
  <si>
    <t>The company returned £421,911 to shareholders by way of a buyback of 13,282 ordinary shares at a price of 3,176.56p per share.</t>
  </si>
  <si>
    <t>The company returned £320,770 to shareholders by way of a buyback of 10,000 ordinary shares at a price of 3,207.7p per share.</t>
  </si>
  <si>
    <t>The company returned £383,339 to shareholders by way of a buyback of 12,000 ordinary shares at a price of 3,194.49p per share.</t>
  </si>
  <si>
    <t>The company returned £408,070 to shareholders by way of a buyback of 12,700 ordinary shares at a price of 3,213.15p per share.</t>
  </si>
  <si>
    <t>The company returned £399,071 to shareholders by way of a buyback of 12,500 ordinary shares at a price of 3,192.57p per share.</t>
  </si>
  <si>
    <t>The company returned £394,264 to shareholders by way of a buyback of 12,500 ordinary shares at a price of 3,154.11p per share.</t>
  </si>
  <si>
    <t>The company returned £394,718 to shareholders by way of a buyback of 12,600 ordinary shares at a price of 3,132.68p per share.</t>
  </si>
  <si>
    <t>The company returned £43,450 to shareholders by way of a buyback of 5,000 ordinary shares at a price of 869.p per share.</t>
  </si>
  <si>
    <t>The company returned £266,649 to shareholders by way of a buyback of 30,001 ordinary shares at a price of 888.8p per share.</t>
  </si>
  <si>
    <t>The company returned £392,786 to shareholders by way of a buyback of 44,037 ordinary shares at a price of 891.95p per share.</t>
  </si>
  <si>
    <t>The company returned £2,100,000 to shareholders by way of a buyback of 140,000 ordinary shares at a price of 1,500.p per share.</t>
  </si>
  <si>
    <t>The company returned £148,900 to shareholders by way of a buyback of 10,000 ordinary shares at a price of 1,489.p per share.</t>
  </si>
  <si>
    <t>The company returned £153,400 to shareholders by way of a buyback of 10,000 ordinary shares at a price of 1,534.p per share.</t>
  </si>
  <si>
    <t>The company returned £153,200 to shareholders by way of a buyback of 10,000 ordinary shares at a price of 1,532.p per share.</t>
  </si>
  <si>
    <t>The company returned £82,000 to shareholders by way of a buyback of 50,000 ordinary shares at a price of 164.p per share.</t>
  </si>
  <si>
    <t>The company returned £41,000 to shareholders by way of a buyback of 25,000 ordinary shares at a price of 164.p per share.</t>
  </si>
  <si>
    <t>The company returned £44,240 to shareholders by way of a buyback of 28,000 ordinary shares at a price of 158.p per share.</t>
  </si>
  <si>
    <t>The company returned £110,852 to shareholders by way of a buyback of 70,000 ordinary shares at a price of 158.36p per share.</t>
  </si>
  <si>
    <t>The company returned £192,500 to shareholders by way of a buyback of 125,000 ordinary shares at a price of 154.p per share.</t>
  </si>
  <si>
    <t>The company returned £76,940 to shareholders by way of a buyback of 50,000 ordinary shares at a price of 153.88p per share.</t>
  </si>
  <si>
    <t>The company returned £312,250 to shareholders by way of a buyback of 250,000 ordinary shares at a price of 124.9p per share.</t>
  </si>
  <si>
    <t>The company returned £312,500 to shareholders by way of a buyback of 250,000 ordinary shares at a price of 125.p per share.</t>
  </si>
  <si>
    <t>The company returned £374,700 to shareholders by way of a buyback of 300,000 ordinary shares at a price of 124.9p per share.</t>
  </si>
  <si>
    <t>The company returned £337,770 to shareholders by way of a buyback of 270,000 ordinary shares at a price of 125.1p per share.</t>
  </si>
  <si>
    <t>The company returned £378,300 to shareholders by way of a buyback of 300,000 ordinary shares at a price of 126.1p per share.</t>
  </si>
  <si>
    <t>The company returned £316,750 to shareholders by way of a buyback of 250,000 ordinary shares at a price of 126.7p per share.</t>
  </si>
  <si>
    <t>The company returned £317,500 to shareholders by way of a buyback of 250,000 ordinary shares at a price of 127.p per share.</t>
  </si>
  <si>
    <t>The company returned £318,250 to shareholders by way of a buyback of 250,000 ordinary shares at a price of 127.3p per share.</t>
  </si>
  <si>
    <t>The company returned £158,875 to shareholders by way of a buyback of 125,000 ordinary shares at a price of 127.1p per share.</t>
  </si>
  <si>
    <t>The company returned £325,000 to shareholders by way of a buyback of 250,000 ordinary shares at a price of 130.p per share.</t>
  </si>
  <si>
    <t>The company returned £323,000 to shareholders by way of a buyback of 250,000 ordinary shares at a price of 129.2p per share.</t>
  </si>
  <si>
    <t>The company returned £319,000 to shareholders by way of a buyback of 250,000 ordinary shares at a price of 127.6p per share.</t>
  </si>
  <si>
    <t>The company returned £320,500 to shareholders by way of a buyback of 250,000 ordinary shares at a price of 128.2p per share.</t>
  </si>
  <si>
    <t>The company returned £322,000 to shareholders by way of a buyback of 250,000 ordinary shares at a price of 128.8p per share.</t>
  </si>
  <si>
    <t>The company returned £319,250 to shareholders by way of a buyback of 250,000 ordinary shares at a price of 127.7p per share.</t>
  </si>
  <si>
    <t>The company returned £318,750 to shareholders by way of a buyback of 250,000 ordinary shares at a price of 127.5p per share.</t>
  </si>
  <si>
    <t>The company returned £320,000 to shareholders by way of a buyback of 250,000 ordinary shares at a price of 128.p per share.</t>
  </si>
  <si>
    <t>The company returned £316,250 to shareholders by way of a buyback of 250,000 ordinary shares at a price of 126.5p per share.</t>
  </si>
  <si>
    <t>The company returned £220,000 to shareholders by way of a buyback of 50,000 ordinary shares at a price of 440.p per share.</t>
  </si>
  <si>
    <t>The company returned £332,250 to shareholders by way of a buyback of 75,000 ordinary shares at a price of 443.p per share.</t>
  </si>
  <si>
    <t>The company returned £439,000 to shareholders by way of a buyback of 100,000 ordinary shares at a price of 439.p per share.</t>
  </si>
  <si>
    <t>The company returned £440,000 to shareholders by way of a buyback of 100,000 ordinary shares at a price of 440.p per share.</t>
  </si>
  <si>
    <t>The company returned £868,000 to shareholders by way of a buyback of 200,000 ordinary shares at a price of 434.p per share.</t>
  </si>
  <si>
    <t>The company returned £655,500 to shareholders by way of a buyback of 150,000 ordinary shares at a price of 437.p per share.</t>
  </si>
  <si>
    <t>The company returned £437,000 to shareholders by way of a buyback of 100,000 ordinary shares at a price of 437.p per share.</t>
  </si>
  <si>
    <t>The company returned £328,455 to shareholders by way of a buyback of 75,000 ordinary shares at a price of 437.94p per share.</t>
  </si>
  <si>
    <t>The company returned £4,465,202 to shareholders by way of a buyback of 4,545,396 ordinary shares at a price of 98.24p per share.</t>
  </si>
  <si>
    <t>The company returned £443,752 to shareholders by way of a buyback of 40,000 ordinary shares at a price of 1,109.38p per share.</t>
  </si>
  <si>
    <t>The company returned £892,280 to shareholders by way of a buyback of 80,000 ordinary shares at a price of 1,115.35p per share.</t>
  </si>
  <si>
    <t>The company returned £223,004 to shareholders by way of a buyback of 20,000 ordinary shares at a price of 1,115.02p per share.</t>
  </si>
  <si>
    <t>The company returned £224,400 to shareholders by way of a buyback of 20,000 ordinary shares at a price of 1,122.p per share.</t>
  </si>
  <si>
    <t>The company returned £386,223 to shareholders by way of a buyback of 34,455 ordinary shares at a price of 1,120.95p per share.</t>
  </si>
  <si>
    <t>The company returned £563,995 to shareholders by way of a buyback of 50,000 ordinary shares at a price of 1,127.99p per share.</t>
  </si>
  <si>
    <t>The company returned £448,676 to shareholders by way of a buyback of 40,000 ordinary shares at a price of 1,121.69p per share.</t>
  </si>
  <si>
    <t>The company returned £359,456 to shareholders by way of a buyback of 32,000 ordinary shares at a price of 1,123.3p per share.</t>
  </si>
  <si>
    <t>The company returned £264,568 to shareholders by way of a buyback of 23,675 ordinary shares at a price of 1,117.5p per share.</t>
  </si>
  <si>
    <t>The company returned £339,066 to shareholders by way of a buyback of 30,000 ordinary shares at a price of 1,130.22p per share.</t>
  </si>
  <si>
    <t>The company returned £451,444 to shareholders by way of a buyback of 40,000 ordinary shares at a price of 1,128.61p per share.</t>
  </si>
  <si>
    <t>The company returned £332,850 to shareholders by way of a buyback of 30,000 ordinary shares at a price of 1,109.5p per share.</t>
  </si>
  <si>
    <t>The company returned £81,325 to shareholders by way of a buyback of 7,299 ordinary shares at a price of 1,114.2p per share.</t>
  </si>
  <si>
    <t>The company returned £159,274 to shareholders by way of a buyback of 14,293 ordinary shares at a price of 1,114.35p per share.</t>
  </si>
  <si>
    <t>The company returned £353,525 to shareholders by way of a buyback of 250,000 ordinary shares at a price of 141.41p per share.</t>
  </si>
  <si>
    <t>The company returned £358,850 to shareholders by way of a buyback of 250,000 ordinary shares at a price of 143.54p per share.</t>
  </si>
  <si>
    <t>The company returned £356,250 to shareholders by way of a buyback of 250,000 ordinary shares at a price of 142.5p per share.</t>
  </si>
  <si>
    <t>The company returned £452,051 to shareholders by way of a buyback of 315,921 ordinary shares at a price of 143.09p per share.</t>
  </si>
  <si>
    <t>The company returned £571,880 to shareholders by way of a buyback of 400,000 ordinary shares at a price of 142.97p per share.</t>
  </si>
  <si>
    <t>The company returned £860,400 to shareholders by way of a buyback of 600,000 ordinary shares at a price of 143.4p per share.</t>
  </si>
  <si>
    <t>The company returned £574,280 to shareholders by way of a buyback of 400,000 ordinary shares at a price of 143.57p per share.</t>
  </si>
  <si>
    <t>The company returned £187,395 to shareholders by way of a buyback of 130,000 ordinary shares at a price of 144.15p per share.</t>
  </si>
  <si>
    <t>The company returned £508,655 to shareholders by way of a buyback of 350,000 ordinary shares at a price of 145.33p per share.</t>
  </si>
  <si>
    <t>The company returned £67,330 to shareholders by way of a buyback of 46,757 ordinary shares at a price of 144.p per share.</t>
  </si>
  <si>
    <t>The company returned £721,691 to shareholders by way of a buyback of 492,588 ordinary shares at a price of 146.51p per share.</t>
  </si>
  <si>
    <t>The company returned £172,369 to shareholders by way of a buyback of 117,706 ordinary shares at a price of 146.44p per share.</t>
  </si>
  <si>
    <t>The company returned £822,333 to shareholders by way of a buyback of 142,724 ordinary shares at a price of 576.17p per share.</t>
  </si>
  <si>
    <t>The company returned £2,331,557 to shareholders by way of a buyback of 402,833 ordinary shares at a price of 578.79p per share.</t>
  </si>
  <si>
    <t>The company returned £1,998,903 to shareholders by way of a buyback of 343,401 ordinary shares at a price of 582.09p per share.</t>
  </si>
  <si>
    <t>The company returned £180,032 to shareholders by way of a buyback of 31,040 ordinary shares at a price of 580.p per share.</t>
  </si>
  <si>
    <t>The company returned £694,527 to shareholders by way of a buyback of 119,269 ordinary shares at a price of 582.32p per share.</t>
  </si>
  <si>
    <t>The company returned £1,762,764 to shareholders by way of a buyback of 302,252 ordinary shares at a price of 583.21p per share.</t>
  </si>
  <si>
    <t>The company returned £1,195,847 to shareholders by way of a buyback of 205,123 ordinary shares at a price of 582.99p per share.</t>
  </si>
  <si>
    <t>The company returned £666,606 to shareholders by way of a buyback of 113,376 ordinary shares at a price of 587.96p per share.</t>
  </si>
  <si>
    <t>The company returned £2,361,329 to shareholders by way of a buyback of 401,259 ordinary shares at a price of 588.48p per share.</t>
  </si>
  <si>
    <t>The company returned £2,886,700 to shareholders by way of a buyback of 500,000 ordinary shares at a price of 577.34p per share.</t>
  </si>
  <si>
    <t>The company returned £2,474,369 to shareholders by way of a buyback of 426,792 ordinary shares at a price of 579.76p per share.</t>
  </si>
  <si>
    <t>The company returned £2,258,818 to shareholders by way of a buyback of 388,113 ordinary shares at a price of 582.p per share.</t>
  </si>
  <si>
    <t>The company returned £2,909,250 to shareholders by way of a buyback of 500,000 ordinary shares at a price of 581.85p per share.</t>
  </si>
  <si>
    <t>The company returned £1,756,978 to shareholders by way of a buyback of 303,309 ordinary shares at a price of 579.27p per share.</t>
  </si>
  <si>
    <t>The company returned £697,784 to shareholders by way of a buyback of 120,347 ordinary shares at a price of 579.81p per share.</t>
  </si>
  <si>
    <t>The company returned £2,011,810 to shareholders by way of a buyback of 348,076 ordinary shares at a price of 577.98p per share.</t>
  </si>
  <si>
    <t>The company returned £78,734 to shareholders by way of a buyback of 13,813 ordinary shares at a price of 570.p per share.</t>
  </si>
  <si>
    <t>The company returned £2,884,450 to shareholders by way of a buyback of 500,000 ordinary shares at a price of 576.89p per share.</t>
  </si>
  <si>
    <t>The company returned £102,442 to shareholders by way of a buyback of 10,000 ordinary shares at a price of 1,024.42p per share.</t>
  </si>
  <si>
    <t>The company returned £446,850 to shareholders by way of a buyback of 45,000 ordinary shares at a price of 993.p per share.</t>
  </si>
  <si>
    <t>The company returned £345,803 to shareholders by way of a buyback of 35,000 ordinary shares at a price of 988.01p per share.</t>
  </si>
  <si>
    <t>The company returned £48,800 to shareholders by way of a buyback of 5,000 ordinary shares at a price of 976.01p per share.</t>
  </si>
  <si>
    <t>The company returned £255,300 to shareholders by way of a buyback of 37,000 ordinary shares at a price of 690.p per share.</t>
  </si>
  <si>
    <t>The company returned £528,750 to shareholders by way of a buyback of 75,000 ordinary shares at a price of 705.p per share.</t>
  </si>
  <si>
    <t>The company returned £711,000 to shareholders by way of a buyback of 100,000 ordinary shares at a price of 711.p per share.</t>
  </si>
  <si>
    <t>The company returned £538,500 to shareholders by way of a buyback of 75,000 ordinary shares at a price of 718.p per share.</t>
  </si>
  <si>
    <t>The company returned £549,263 to shareholders by way of a buyback of 75,000 ordinary shares at a price of 732.35p per share.</t>
  </si>
  <si>
    <t>The company returned £372,000 to shareholders by way of a buyback of 50,000 ordinary shares at a price of 744.p per share.</t>
  </si>
  <si>
    <t>The company returned £569,250 to shareholders by way of a buyback of 75,000 ordinary shares at a price of 759.p per share.</t>
  </si>
  <si>
    <t>The company returned £379,000 to shareholders by way of a buyback of 50,000 ordinary shares at a price of 758.p per share.</t>
  </si>
  <si>
    <t>The company returned £410,823 to shareholders by way of a buyback of 55,000 ordinary shares at a price of 746.95p per share.</t>
  </si>
  <si>
    <t>The company returned £370,500 to shareholders by way of a buyback of 50,000 ordinary shares at a price of 741.p per share.</t>
  </si>
  <si>
    <t>The company returned £555,083 to shareholders by way of a buyback of 75,000 ordinary shares at a price of 740.11p per share.</t>
  </si>
  <si>
    <t>The company returned £99,031 to shareholders by way of a buyback of 25,000 ordinary shares at a price of 396.13p per share.</t>
  </si>
  <si>
    <t>The company returned £99,044 to shareholders by way of a buyback of 25,000 ordinary shares at a price of 396.18p per share.</t>
  </si>
  <si>
    <t>The company returned £345,775 to shareholders by way of a buyback of 85,000 ordinary shares at a price of 406.79p per share.</t>
  </si>
  <si>
    <t>The company returned £142,800 to shareholders by way of a buyback of 35,000 ordinary shares at a price of 408.p per share.</t>
  </si>
  <si>
    <t>The company returned £102,549 to shareholders by way of a buyback of 25,000 ordinary shares at a price of 410.2p per share.</t>
  </si>
  <si>
    <t>The company returned £62,465 to shareholders by way of a buyback of 14,992 ordinary shares at a price of 416.66p per share.</t>
  </si>
  <si>
    <t>The company returned £103,000 to shareholders by way of a buyback of 25,000 ordinary shares at a price of 412.p per share.</t>
  </si>
  <si>
    <t>The company returned £83,466 to shareholders by way of a buyback of 20,000 ordinary shares at a price of 417.33p per share.</t>
  </si>
  <si>
    <t>The company returned £62,643 to shareholders by way of a buyback of 15,000 ordinary shares at a price of 417.62p per share.</t>
  </si>
  <si>
    <t>The company returned £85,079 to shareholders by way of a buyback of 20,000 ordinary shares at a price of 425.39p per share.</t>
  </si>
  <si>
    <t>The company returned £136,562 to shareholders by way of a buyback of 32,124 ordinary shares at a price of 425.11p per share.</t>
  </si>
  <si>
    <t>The company returned £62,846 to shareholders by way of a buyback of 15,000 ordinary shares at a price of 418.97p per share.</t>
  </si>
  <si>
    <t>The company returned £62,492 to shareholders by way of a buyback of 15,000 ordinary shares at a price of 416.61p per share.</t>
  </si>
  <si>
    <t>The company returned £83,899 to shareholders by way of a buyback of 20,000 ordinary shares at a price of 419.49p per share.</t>
  </si>
  <si>
    <t>The company returned £42,561 to shareholders by way of a buyback of 10,000 ordinary shares at a price of 425.61p per share.</t>
  </si>
  <si>
    <t>The company returned £83,718 to shareholders by way of a buyback of 20,000 ordinary shares at a price of 418.59p per share.</t>
  </si>
  <si>
    <t>The company returned £166,125 to shareholders by way of a buyback of 40,000 ordinary shares at a price of 415.31p per share.</t>
  </si>
  <si>
    <t>The company returned £207,050 to shareholders by way of a buyback of 50,000 ordinary shares at a price of 414.1p per share.</t>
  </si>
  <si>
    <t>The company returned £328,354 to shareholders by way of a buyback of 80,000 ordinary shares at a price of 410.44p per share.</t>
  </si>
  <si>
    <t>The company returned £244,268 to shareholders by way of a buyback of 60,000 ordinary shares at a price of 407.11p per share.</t>
  </si>
  <si>
    <t>The company returned £61,440 to shareholders by way of a buyback of 15,000 ordinary shares at a price of 409.6p per share.</t>
  </si>
  <si>
    <t>The company returned £927,653 to shareholders by way of a buyback of 361,884 ordinary shares at a price of 256.34p per share.</t>
  </si>
  <si>
    <t>The company returned £983,242 to shareholders by way of a buyback of 380,085 ordinary shares at a price of 258.69p per share.</t>
  </si>
  <si>
    <t>The company returned £1,307,550 to shareholders by way of a buyback of 500,000 ordinary shares at a price of 261.51p per share.</t>
  </si>
  <si>
    <t>The company returned £256,384 to shareholders by way of a buyback of 97,670 ordinary shares at a price of 262.5p per share.</t>
  </si>
  <si>
    <t>The company returned £1,123,215 to shareholders by way of a buyback of 427,338 ordinary shares at a price of 262.84p per share.</t>
  </si>
  <si>
    <t>The company returned £1,309,250 to shareholders by way of a buyback of 500,000 ordinary shares at a price of 261.85p per share.</t>
  </si>
  <si>
    <t>The company returned £202,971 to shareholders by way of a buyback of 77,943 ordinary shares at a price of 260.41p per share.</t>
  </si>
  <si>
    <t>The company returned £86,130 to shareholders by way of a buyback of 32,502 ordinary shares at a price of 265.p per share.</t>
  </si>
  <si>
    <t>The company returned £417,601 to shareholders by way of a buyback of 157,182 ordinary shares at a price of 265.68p per share.</t>
  </si>
  <si>
    <t>The company returned £258,239 to shareholders by way of a buyback of 97,633 ordinary shares at a price of 264.5p per share.</t>
  </si>
  <si>
    <t>The company returned £323,892 to shareholders by way of a buyback of 123,153 ordinary shares at a price of 263.p per share.</t>
  </si>
  <si>
    <t>The company returned £1,318,750 to shareholders by way of a buyback of 500,000 ordinary shares at a price of 263.75p per share.</t>
  </si>
  <si>
    <t>The company returned £842,288 to shareholders by way of a buyback of 315,086 ordinary shares at a price of 267.32p per share.</t>
  </si>
  <si>
    <t>The company returned £828,648 to shareholders by way of a buyback of 310,355 ordinary shares at a price of 267.p per share.</t>
  </si>
  <si>
    <t>The company returned £535,000 to shareholders by way of a buyback of 200,000 ordinary shares at a price of 267.5p per share.</t>
  </si>
  <si>
    <t>The company returned £598,995 to shareholders by way of a buyback of 225,000 ordinary shares at a price of 266.22p per share.</t>
  </si>
  <si>
    <t>The company returned £645,663 to shareholders by way of a buyback of 242,275 ordinary shares at a price of 266.5p per share.</t>
  </si>
  <si>
    <t>The company returned £136,907 to shareholders by way of a buyback of 51,180 ordinary shares at a price of 267.5p per share.</t>
  </si>
  <si>
    <t>The company returned £387,250 to shareholders by way of a buyback of 50,000 ordinary shares at a price of 774.5p per share.</t>
  </si>
  <si>
    <t>The company returned £706,150 to shareholders by way of a buyback of 90,000 ordinary shares at a price of 784.61p per share.</t>
  </si>
  <si>
    <t>The company returned £196,000 to shareholders by way of a buyback of 25,000 ordinary shares at a price of 784.p per share.</t>
  </si>
  <si>
    <t>The company returned £118,350 to shareholders by way of a buyback of 15,000 ordinary shares at a price of 789.p per share.</t>
  </si>
  <si>
    <t>The company returned £197,500 to shareholders by way of a buyback of 25,000 ordinary shares at a price of 790.p per share.</t>
  </si>
  <si>
    <t>The company returned £786,750 to shareholders by way of a buyback of 100,000 ordinary shares at a price of 786.75p per share.</t>
  </si>
  <si>
    <t>The company returned £196,250 to shareholders by way of a buyback of 25,000 ordinary shares at a price of 785.p per share.</t>
  </si>
  <si>
    <t>The company returned £199,250 to shareholders by way of a buyback of 25,000 ordinary shares at a price of 797.p per share.</t>
  </si>
  <si>
    <t>The company returned £476,300 to shareholders by way of a buyback of 60,000 ordinary shares at a price of 793.83p per share.</t>
  </si>
  <si>
    <t>The company returned £1,566,000 to shareholders by way of a buyback of 200,000 ordinary shares at a price of 783.p per share.</t>
  </si>
  <si>
    <t>The company returned £898,150 to shareholders by way of a buyback of 115,000 ordinary shares at a price of 781.p per share.</t>
  </si>
  <si>
    <t>The company returned £665,550 to shareholders by way of a buyback of 85,000 ordinary shares at a price of 783.p per share.</t>
  </si>
  <si>
    <t>The company returned £1,286,500 to shareholders by way of a buyback of 165,000 ordinary shares at a price of 779.7p per share.</t>
  </si>
  <si>
    <t>The company returned £770,000 to shareholders by way of a buyback of 100,000 ordinary shares at a price of 770.p per share.</t>
  </si>
  <si>
    <t>The company returned £280,000 to shareholders by way of a buyback of 70,000 ordinary shares at a price of 400.p per share.</t>
  </si>
  <si>
    <t>The company returned £253,512 to shareholders by way of a buyback of 50,000 ordinary shares at a price of 507.02p per share.</t>
  </si>
  <si>
    <t>The company returned £213,246 to shareholders by way of a buyback of 41,484 ordinary shares at a price of 514.05p per share.</t>
  </si>
  <si>
    <t>The company returned £257,516 to shareholders by way of a buyback of 50,000 ordinary shares at a price of 515.03p per share.</t>
  </si>
  <si>
    <t>The company returned £256,310 to shareholders by way of a buyback of 50,000 ordinary shares at a price of 512.62p per share.</t>
  </si>
  <si>
    <t>The company returned £257,588 to shareholders by way of a buyback of 50,000 ordinary shares at a price of 515.18p per share.</t>
  </si>
  <si>
    <t>The company returned £257,715 to shareholders by way of a buyback of 50,000 ordinary shares at a price of 515.43p per share.</t>
  </si>
  <si>
    <t>The company returned £103,716 to shareholders by way of a buyback of 20,000 ordinary shares at a price of 518.58p per share.</t>
  </si>
  <si>
    <t>The company returned £102,814 to shareholders by way of a buyback of 20,000 ordinary shares at a price of 514.07p per share.</t>
  </si>
  <si>
    <t>The company returned £101,052 to shareholders by way of a buyback of 20,000 ordinary shares at a price of 505.26p per share.</t>
  </si>
  <si>
    <t>The company returned £48,882 to shareholders by way of a buyback of 9,438 ordinary shares at a price of 517.93p per share.</t>
  </si>
  <si>
    <t>The company returned £103,684 to shareholders by way of a buyback of 20,000 ordinary shares at a price of 518.42p per share.</t>
  </si>
  <si>
    <t>The company returned £100,469 to shareholders by way of a buyback of 20,000 ordinary shares at a price of 502.34p per share.</t>
  </si>
  <si>
    <t>The company returned £100,541 to shareholders by way of a buyback of 20,000 ordinary shares at a price of 502.71p per share.</t>
  </si>
  <si>
    <t>The company returned £102,655 to shareholders by way of a buyback of 20,000 ordinary shares at a price of 513.28p per share.</t>
  </si>
  <si>
    <t>The company returned £102,249 to shareholders by way of a buyback of 20,000 ordinary shares at a price of 511.25p per share.</t>
  </si>
  <si>
    <t>The company returned £101,988 to shareholders by way of a buyback of 20,000 ordinary shares at a price of 509.94p per share.</t>
  </si>
  <si>
    <t>The company returned £101,973 to shareholders by way of a buyback of 20,000 ordinary shares at a price of 509.87p per share.</t>
  </si>
  <si>
    <t>The company returned £103,835 to shareholders by way of a buyback of 20,000 ordinary shares at a price of 519.18p per share.</t>
  </si>
  <si>
    <t>The company returned £89,777 to shareholders by way of a buyback of 17,400 ordinary shares at a price of 515.96p per share.</t>
  </si>
  <si>
    <t>The company returned £75,791 to shareholders by way of a buyback of 15,000 ordinary shares at a price of 505.27p per share.</t>
  </si>
  <si>
    <t>The company returned £986,434 to shareholders by way of a buyback of 65,000 ordinary shares at a price of 1,517.59p per share.</t>
  </si>
  <si>
    <t>The company returned £3,074,100 to shareholders by way of a buyback of 200,000 ordinary shares at a price of 1,537.05p per share.</t>
  </si>
  <si>
    <t>The company returned £387,500 to shareholders by way of a buyback of 25,000 ordinary shares at a price of 1,550.p per share.</t>
  </si>
  <si>
    <t>The company returned £5,028,660 to shareholders by way of a buyback of 325,000 ordinary shares at a price of 1,547.28p per share.</t>
  </si>
  <si>
    <t>The company returned £1,313,888 to shareholders by way of a buyback of 85,000 ordinary shares at a price of 1,545.75p per share.</t>
  </si>
  <si>
    <t>The company returned £1,305,422 to shareholders by way of a buyback of 85,000 ordinary shares at a price of 1,535.79p per share.</t>
  </si>
  <si>
    <t>The company returned £388,000 to shareholders by way of a buyback of 25,000 ordinary shares at a price of 1,552.p per share.</t>
  </si>
  <si>
    <t>The company returned £2,604,230 to shareholders by way of a buyback of 170,000 ordinary shares at a price of 1,531.9p per share.</t>
  </si>
  <si>
    <t>The company returned £1,065,379 to shareholders by way of a buyback of 70,000 ordinary shares at a price of 1,521.97p per share.</t>
  </si>
  <si>
    <t>The company returned £3,086,240 to shareholders by way of a buyback of 200,000 ordinary shares at a price of 1,543.12p per share.</t>
  </si>
  <si>
    <t>The company returned £2,383,497 to shareholders by way of a buyback of 155,000 ordinary shares at a price of 1,537.74p per share.</t>
  </si>
  <si>
    <t>The company returned £6,143,640 to shareholders by way of a buyback of 400,000 ordinary shares at a price of 1,535.91p per share.</t>
  </si>
  <si>
    <t>The company returned £2,414,080 to shareholders by way of a buyback of 160,000 ordinary shares at a price of 1,508.8p per share.</t>
  </si>
  <si>
    <t>The company returned £165,050 to shareholders by way of a buyback of 100,000 ordinary shares at a price of 165.05p per share.</t>
  </si>
  <si>
    <t>The company returned £330,700 to shareholders by way of a buyback of 200,000 ordinary shares at a price of 165.35p per share.</t>
  </si>
  <si>
    <t>The company returned £329,695 to shareholders by way of a buyback of 199,900 ordinary shares at a price of 164.93p per share.</t>
  </si>
  <si>
    <t>The company returned £155,970 to shareholders by way of a buyback of 93,890 ordinary shares at a price of 166.12p per share.</t>
  </si>
  <si>
    <t>The company returned £238,048 to shareholders by way of a buyback of 142,356 ordinary shares at a price of 167.22p per share.</t>
  </si>
  <si>
    <t>The company returned £72,287 to shareholders by way of a buyback of 42,814 ordinary shares at a price of 168.84p per share.</t>
  </si>
  <si>
    <t>The company returned £111,220 to shareholders by way of a buyback of 65,967 ordinary shares at a price of 168.6p per share.</t>
  </si>
  <si>
    <t>The company returned £65,047 to shareholders by way of a buyback of 38,446 ordinary shares at a price of 169.19p per share.</t>
  </si>
  <si>
    <t>The company returned £135,039 to shareholders by way of a buyback of 79,554 ordinary shares at a price of 169.75p per share.</t>
  </si>
  <si>
    <t>The company returned £320,374 to shareholders by way of a buyback of 190,958 ordinary shares at a price of 167.77p per share.</t>
  </si>
  <si>
    <t>The company returned £75,113 to shareholders by way of a buyback of 45,402 ordinary shares at a price of 165.44p per share.</t>
  </si>
  <si>
    <t>The company returned £58,516 to shareholders by way of a buyback of 35,124 ordinary shares at a price of 166.6p per share.</t>
  </si>
  <si>
    <t>The company returned £316,496 to shareholders by way of a buyback of 185,854 ordinary shares at a price of 170.29p per share.</t>
  </si>
  <si>
    <t>The company returned £76,958 to shareholders by way of a buyback of 45,303 ordinary shares at a price of 169.88p per share.</t>
  </si>
  <si>
    <t>The company returned £29,074 to shareholders by way of a buyback of 17,153 ordinary shares at a price of 169.5p per share.</t>
  </si>
  <si>
    <t>The company returned £42,215 to shareholders by way of a buyback of 24,868 ordinary shares at a price of 169.76p per share.</t>
  </si>
  <si>
    <t>The company returned £114,709 to shareholders by way of a buyback of 67,691 ordinary shares at a price of 169.46p per share.</t>
  </si>
  <si>
    <t>The company returned £180,094 to shareholders by way of a buyback of 107,570 ordinary shares at a price of 167.42p per share.</t>
  </si>
  <si>
    <t>The company returned £50,150 to shareholders by way of a buyback of 30,000 ordinary shares at a price of 167.17p per share.</t>
  </si>
  <si>
    <t>The company returned £182,800 to shareholders by way of a buyback of 20,000 ordinary shares at a price of 914.p per share.</t>
  </si>
  <si>
    <t>The company returned £927,473 to shareholders by way of a buyback of 100,000 ordinary shares at a price of 927.47p per share.</t>
  </si>
  <si>
    <t>The company returned £475,320 to shareholders by way of a buyback of 51,000 ordinary shares at a price of 932.p per share.</t>
  </si>
  <si>
    <t>The company returned £931,000 to shareholders by way of a buyback of 100,000 ordinary shares at a price of 931.p per share.</t>
  </si>
  <si>
    <t>The company returned £931,227 to shareholders by way of a buyback of 100,000 ordinary shares at a price of 931.23p per share.</t>
  </si>
  <si>
    <t>The company returned £484,057 to shareholders by way of a buyback of 29,917 ordinary shares at a price of 1,618.p per share.</t>
  </si>
  <si>
    <t>The company returned £103,974 to shareholders by way of a buyback of 6,446 ordinary shares at a price of 1,613.p per share.</t>
  </si>
  <si>
    <t>The company returned £32,300 to shareholders by way of a buyback of 2,000 ordinary shares at a price of 1,615.p per share.</t>
  </si>
  <si>
    <t>The company returned £161,200 to shareholders by way of a buyback of 10,000 ordinary shares at a price of 1,612.p per share.</t>
  </si>
  <si>
    <t>The company returned £160,000 to shareholders by way of a buyback of 10,000 ordinary shares at a price of 1,600.p per share.</t>
  </si>
  <si>
    <t>The company returned £159,200 to shareholders by way of a buyback of 10,000 ordinary shares at a price of 1,592.p per share.</t>
  </si>
  <si>
    <t>The company returned £157,950 to shareholders by way of a buyback of 10,000 ordinary shares at a price of 1,579.5p per share.</t>
  </si>
  <si>
    <t>The company returned £126,920 to shareholders by way of a buyback of 8,000 ordinary shares at a price of 1,586.5p per share.</t>
  </si>
  <si>
    <t>The company returned £157,300 to shareholders by way of a buyback of 10,000 ordinary shares at a price of 1,573.p per share.</t>
  </si>
  <si>
    <t>The company returned £231,714 to shareholders by way of a buyback of 14,726 ordinary shares at a price of 1,573.5p per share.</t>
  </si>
  <si>
    <t>The company returned £394,250 to shareholders by way of a buyback of 25,000 ordinary shares at a price of 1,577.p per share.</t>
  </si>
  <si>
    <t>The company returned £162,080 to shareholders by way of a buyback of 10,317 ordinary shares at a price of 1,571.p per share.</t>
  </si>
  <si>
    <t>The company returned £620,400 to shareholders by way of a buyback of 40,000 ordinary shares at a price of 1,551.p per share.</t>
  </si>
  <si>
    <t>The company returned £93,379 to shareholders by way of a buyback of 5,982 ordinary shares at a price of 1,561.p per share.</t>
  </si>
  <si>
    <t>The company returned £323,812 to shareholders by way of a buyback of 21,109 ordinary shares at a price of 1,534.p per share.</t>
  </si>
  <si>
    <t>The company returned £256,656 to shareholders by way of a buyback of 16,753 ordinary shares at a price of 1,532.p per share.</t>
  </si>
  <si>
    <t>The company returned £408,129 to shareholders by way of a buyback of 26,710 ordinary shares at a price of 1,528.p per share.</t>
  </si>
  <si>
    <t>The company returned £338,103 to shareholders by way of a buyback of 22,055 ordinary shares at a price of 1,533.p per share.</t>
  </si>
  <si>
    <t>The company returned £153,000 to shareholders by way of a buyback of 10,000 ordinary shares at a price of 1,530.p per share.</t>
  </si>
  <si>
    <t>The company returned £609,600 to shareholders by way of a buyback of 40,000 ordinary shares at a price of 1,524.p per share.</t>
  </si>
  <si>
    <t>The company returned £350,307 to shareholders by way of a buyback of 22,986 ordinary shares at a price of 1,524.p per share.</t>
  </si>
  <si>
    <t>The company returned £356,000 to shareholders by way of a buyback of 100,000 ordinary shares at a price of 356.p per share.</t>
  </si>
  <si>
    <t>The company returned £2,280,000 to shareholders by way of a buyback of 400,000 ordinary shares at a price of 570.p per share.</t>
  </si>
  <si>
    <t>The company returned £117,634 to shareholders by way of a buyback of 31,000 ordinary shares at a price of 379.46p per share.</t>
  </si>
  <si>
    <t>The company returned £94,725 to shareholders by way of a buyback of 25,000 ordinary shares at a price of 378.9p per share.</t>
  </si>
  <si>
    <t>The company returned £569,790 to shareholders by way of a buyback of 150,000 ordinary shares at a price of 379.86p per share.</t>
  </si>
  <si>
    <t>The company returned £1,328,250 to shareholders by way of a buyback of 350,000 ordinary shares at a price of 379.5p per share.</t>
  </si>
  <si>
    <t>The company returned £288,000 to shareholders by way of a buyback of 75,000 ordinary shares at a price of 384.p per share.</t>
  </si>
  <si>
    <t>The company returned £1,147,749 to shareholders by way of a buyback of 300,000 ordinary shares at a price of 382.58p per share.</t>
  </si>
  <si>
    <t>The company returned £575,700 to shareholders by way of a buyback of 150,000 ordinary shares at a price of 383.8p per share.</t>
  </si>
  <si>
    <t>The company returned £192,000 to shareholders by way of a buyback of 50,000 ordinary shares at a price of 384.p per share.</t>
  </si>
  <si>
    <t>The company returned £574,110 to shareholders by way of a buyback of 150,000 ordinary shares at a price of 382.74p per share.</t>
  </si>
  <si>
    <t>The company returned £578,250 to shareholders by way of a buyback of 150,000 ordinary shares at a price of 385.5p per share.</t>
  </si>
  <si>
    <t>The company returned £581,625 to shareholders by way of a buyback of 150,000 ordinary shares at a price of 387.75p per share.</t>
  </si>
  <si>
    <t>The company returned £389,000 to shareholders by way of a buyback of 100,000 ordinary shares at a price of 389.p per share.</t>
  </si>
  <si>
    <t>The company returned £193,250 to shareholders by way of a buyback of 50,000 ordinary shares at a price of 386.5p per share.</t>
  </si>
  <si>
    <t>The company returned £383,500 to shareholders by way of a buyback of 100,000 ordinary shares at a price of 383.5p per share.</t>
  </si>
  <si>
    <t>The company returned £573,495 to shareholders by way of a buyback of 150,000 ordinary shares at a price of 382.33p per share.</t>
  </si>
  <si>
    <t>The company returned £454,956 to shareholders by way of a buyback of 120,001 ordinary shares at a price of 379.13p per share.</t>
  </si>
  <si>
    <t>The company returned £302,953 to shareholders by way of a buyback of 80,001 ordinary shares at a price of 378.69p per share.</t>
  </si>
  <si>
    <t>The company returned £909,829 to shareholders by way of a buyback of 100,000 ordinary shares at a price of 909.83p per share.</t>
  </si>
  <si>
    <t>The company returned £329,530 to shareholders by way of a buyback of 37,000 ordinary shares at a price of 890.62p per share.</t>
  </si>
  <si>
    <t>The company returned £227,062 to shareholders by way of a buyback of 25,000 ordinary shares at a price of 908.25p per share.</t>
  </si>
  <si>
    <t>The company returned £452,541 to shareholders by way of a buyback of 50,000 ordinary shares at a price of 905.08p per share.</t>
  </si>
  <si>
    <t>The company returned £224,039 to shareholders by way of a buyback of 25,000 ordinary shares at a price of 896.16p per share.</t>
  </si>
  <si>
    <t>The company returned £63,000 to shareholders by way of a buyback of 10,000 ordinary shares at a price of 630.p per share.</t>
  </si>
  <si>
    <t>The company returned £62,836 to shareholders by way of a buyback of 10,000 ordinary shares at a price of 628.36p per share.</t>
  </si>
  <si>
    <t>The company returned £313,955 to shareholders by way of a buyback of 50,000 ordinary shares at a price of 627.91p per share.</t>
  </si>
  <si>
    <t>The company returned £157,500 to shareholders by way of a buyback of 25,000 ordinary shares at a price of 630.p per share.</t>
  </si>
  <si>
    <t>The company returned £628,200 to shareholders by way of a buyback of 100,000 ordinary shares at a price of 628.2p per share.</t>
  </si>
  <si>
    <t>The company returned £312,500 to shareholders by way of a buyback of 50,000 ordinary shares at a price of 625.p per share.</t>
  </si>
  <si>
    <t>The company returned £308,000 to shareholders by way of a buyback of 50,000 ordinary shares at a price of 616.p per share.</t>
  </si>
  <si>
    <t>The company returned £306,800 to shareholders by way of a buyback of 50,000 ordinary shares at a price of 613.6p per share.</t>
  </si>
  <si>
    <t>The company returned £250,000 to shareholders by way of a buyback of 40,000 ordinary shares at a price of 625.p per share.</t>
  </si>
  <si>
    <t>The company returned £309,822 to shareholders by way of a buyback of 50,000 ordinary shares at a price of 619.64p per share.</t>
  </si>
  <si>
    <t>The company returned £712,638 to shareholders by way of a buyback of 14,652 ordinary shares at a price of 4,863.76p per share.</t>
  </si>
  <si>
    <t>The company returned £714,122 to shareholders by way of a buyback of 14,789 ordinary shares at a price of 4,828.74p per share.</t>
  </si>
  <si>
    <t>The company returned £700,679 to shareholders by way of a buyback of 14,704 ordinary shares at a price of 4,765.23p per share.</t>
  </si>
  <si>
    <t>The company returned £684,457 to shareholders by way of a buyback of 14,706 ordinary shares at a price of 4,654.27p per share.</t>
  </si>
  <si>
    <t>The company returned £676,927 to shareholders by way of a buyback of 14,695 ordinary shares at a price of 4,606.51p per share.</t>
  </si>
  <si>
    <t>The company returned £684,560 to shareholders by way of a buyback of 14,721 ordinary shares at a price of 4,650.23p per share.</t>
  </si>
  <si>
    <t>The company returned £698,378 to shareholders by way of a buyback of 14,695 ordinary shares at a price of 4,752.49p per share.</t>
  </si>
  <si>
    <t>The company returned £431,183 to shareholders by way of a buyback of 8,914 ordinary shares at a price of 4,837.14p per share.</t>
  </si>
  <si>
    <t>The company returned £752,119 to shareholders by way of a buyback of 15,368 ordinary shares at a price of 4,894.06p per share.</t>
  </si>
  <si>
    <t>The company returned £736,228 to shareholders by way of a buyback of 15,367 ordinary shares at a price of 4,790.97p per share.</t>
  </si>
  <si>
    <t>The company returned £721,608 to shareholders by way of a buyback of 15,406 ordinary shares at a price of 4,683.94p per share.</t>
  </si>
  <si>
    <t>The company returned £736,457 to shareholders by way of a buyback of 15,896 ordinary shares at a price of 4,632.97p per share.</t>
  </si>
  <si>
    <t>The company returned £694,178 to shareholders by way of a buyback of 15,429 ordinary shares at a price of 4,499.18p per share.</t>
  </si>
  <si>
    <t>The company returned £721,079 to shareholders by way of a buyback of 15,844 ordinary shares at a price of 4,551.12p per share.</t>
  </si>
  <si>
    <t>The company returned £709,083 to shareholders by way of a buyback of 15,130 ordinary shares at a price of 4,686.6p per share.</t>
  </si>
  <si>
    <t>The company returned £709,711 to shareholders by way of a buyback of 15,256 ordinary shares at a price of 4,652.01p per share.</t>
  </si>
  <si>
    <t>The company returned £712,417 to shareholders by way of a buyback of 15,277 ordinary shares at a price of 4,663.33p per share.</t>
  </si>
  <si>
    <t>The company returned £766,715 to shareholders by way of a buyback of 16,494 ordinary shares at a price of 4,648.45p per share.</t>
  </si>
  <si>
    <t>The company returned £773,877 to shareholders by way of a buyback of 16,926 ordinary shares at a price of 4,572.12p per share.</t>
  </si>
  <si>
    <t>The company returned £776,496 to shareholders by way of a buyback of 17,224 ordinary shares at a price of 4,508.22p per share.</t>
  </si>
  <si>
    <t>The company returned £811,884 to shareholders by way of a buyback of 18,022 ordinary shares at a price of 4,504.96p per share.</t>
  </si>
  <si>
    <t>The company returned £573,545 to shareholders by way of a buyback of 121,665 ordinary shares at a price of 471.41p per share.</t>
  </si>
  <si>
    <t>The company returned £4,273,317 to shareholders by way of a buyback of 900,000 ordinary shares at a price of 474.81p per share.</t>
  </si>
  <si>
    <t>The company returned £172,797 to shareholders by way of a buyback of 36,150 ordinary shares at a price of 478.p per share.</t>
  </si>
  <si>
    <t>The company returned £1,802,908 to shareholders by way of a buyback of 374,540 ordinary shares at a price of 481.37p per share.</t>
  </si>
  <si>
    <t>The company returned £240,000 to shareholders by way of a buyback of 50,000 ordinary shares at a price of 480.p per share.</t>
  </si>
  <si>
    <t>The company returned £247,000 to shareholders by way of a buyback of 50,000 ordinary shares at a price of 494.p per share.</t>
  </si>
  <si>
    <t>The company returned £49,853 to shareholders by way of a buyback of 72,000 ordinary shares at a price of 69.24p per share.</t>
  </si>
  <si>
    <t>The company returned £49,723 to shareholders by way of a buyback of 72,000 ordinary shares at a price of 69.06p per share.</t>
  </si>
  <si>
    <t>The company returned £49,082 to shareholders by way of a buyback of 72,000 ordinary shares at a price of 68.17p per share.</t>
  </si>
  <si>
    <t>The company returned £49,378 to shareholders by way of a buyback of 72,000 ordinary shares at a price of 68.58p per share.</t>
  </si>
  <si>
    <t>The company returned £49,846 to shareholders by way of a buyback of 72,000 ordinary shares at a price of 69.23p per share.</t>
  </si>
  <si>
    <t>The company returned £49,759 to shareholders by way of a buyback of 72,000 ordinary shares at a price of 69.11p per share.</t>
  </si>
  <si>
    <t>The company returned £49,771 to shareholders by way of a buyback of 72,500 ordinary shares at a price of 68.65p per share.</t>
  </si>
  <si>
    <t>The company returned £49,709 to shareholders by way of a buyback of 72,000 ordinary shares at a price of 69.04p per share.</t>
  </si>
  <si>
    <t>The company returned £49,601 to shareholders by way of a buyback of 72,000 ordinary shares at a price of 68.89p per share.</t>
  </si>
  <si>
    <t>The company returned £49,576 to shareholders by way of a buyback of 72,500 ordinary shares at a price of 68.38p per share.</t>
  </si>
  <si>
    <t>The company returned £49,605 to shareholders by way of a buyback of 72,500 ordinary shares at a price of 68.42p per share.</t>
  </si>
  <si>
    <t>The company returned £49,795 to shareholders by way of a buyback of 74,000 ordinary shares at a price of 67.29p per share.</t>
  </si>
  <si>
    <t>The company returned £49,644 to shareholders by way of a buyback of 72,000 ordinary shares at a price of 68.95p per share.</t>
  </si>
  <si>
    <t>The company returned £49,953 to shareholders by way of a buyback of 72,500 ordinary shares at a price of 68.9p per share.</t>
  </si>
  <si>
    <t>The company returned £49,190 to shareholders by way of a buyback of 72,000 ordinary shares at a price of 68.32p per share.</t>
  </si>
  <si>
    <t>The company returned £752,075 to shareholders by way of a buyback of 33,500 ordinary shares at a price of 2,245.p per share.</t>
  </si>
  <si>
    <t>The company returned £1,558,200 to shareholders by way of a buyback of 70,000 ordinary shares at a price of 2,226.p per share.</t>
  </si>
  <si>
    <t>The company returned £166,350 to shareholders by way of a buyback of 7,500 ordinary shares at a price of 2,218.p per share.</t>
  </si>
  <si>
    <t>The company returned £336,300 to shareholders by way of a buyback of 15,000 ordinary shares at a price of 2,242.p per share.</t>
  </si>
  <si>
    <t>The company returned £559,000 to shareholders by way of a buyback of 25,000 ordinary shares at a price of 2,236.p per share.</t>
  </si>
  <si>
    <t>The company returned £330,300 to shareholders by way of a buyback of 15,000 ordinary shares at a price of 2,202.p per share.</t>
  </si>
  <si>
    <t>The company returned £326,850 to shareholders by way of a buyback of 15,000 ordinary shares at a price of 2,179.p per share.</t>
  </si>
  <si>
    <t>The company returned £330,450 to shareholders by way of a buyback of 15,000 ordinary shares at a price of 2,203.p per share.</t>
  </si>
  <si>
    <t>The company returned £388,675 to shareholders by way of a buyback of 17,500 ordinary shares at a price of 2,221.p per share.</t>
  </si>
  <si>
    <t>The company returned £388,850 to shareholders by way of a buyback of 17,500 ordinary shares at a price of 2,222.p per share.</t>
  </si>
  <si>
    <t>The company returned £400,500 to shareholders by way of a buyback of 18,000 ordinary shares at a price of 2,225.p per share.</t>
  </si>
  <si>
    <t>The company returned £441,600 to shareholders by way of a buyback of 20,000 ordinary shares at a price of 2,208.p per share.</t>
  </si>
  <si>
    <t>The company returned £218,500 to shareholders by way of a buyback of 10,000 ordinary shares at a price of 2,185.p per share.</t>
  </si>
  <si>
    <t>The company returned £218,000 to shareholders by way of a buyback of 10,000 ordinary shares at a price of 2,180.p per share.</t>
  </si>
  <si>
    <t>The company returned £440,000 to shareholders by way of a buyback of 20,000 ordinary shares at a price of 2,200.p per share.</t>
  </si>
  <si>
    <t>The company returned £46,950 to shareholders by way of a buyback of 20,000 ordinary shares at a price of 234.75p per share.</t>
  </si>
  <si>
    <t>The company returned £129,237 to shareholders by way of a buyback of 44,000 ordinary shares at a price of 293.72p per share.</t>
  </si>
  <si>
    <t>The company returned £444,000 to shareholders by way of a buyback of 150,000 ordinary shares at a price of 296.p per share.</t>
  </si>
  <si>
    <t>The company returned £270,270 to shareholders by way of a buyback of 39,000 ordinary shares at a price of 693.p per share.</t>
  </si>
  <si>
    <t>The company returned £1,380,000 to shareholders by way of a buyback of 200,000 ordinary shares at a price of 690.p per share.</t>
  </si>
  <si>
    <t>The company returned £1,548,000 to shareholders by way of a buyback of 225,000 ordinary shares at a price of 688.p per share.</t>
  </si>
  <si>
    <t>The company returned £242,328 to shareholders by way of a buyback of 35,000 ordinary shares at a price of 692.37p per share.</t>
  </si>
  <si>
    <t>The company returned £699,500 to shareholders by way of a buyback of 100,000 ordinary shares at a price of 699.5p per share.</t>
  </si>
  <si>
    <t>The company returned £868,750 to shareholders by way of a buyback of 125,000 ordinary shares at a price of 695.p per share.</t>
  </si>
  <si>
    <t>The company returned £20,800 to shareholders by way of a buyback of 32,000 ordinary shares at a price of 65.p per share.</t>
  </si>
  <si>
    <t>The company returned £26,400 to shareholders by way of a buyback of 40,000 ordinary shares at a price of 66.p per share.</t>
  </si>
  <si>
    <t>The company returned £26,050 to shareholders by way of a buyback of 40,000 ordinary shares at a price of 65.13p per share.</t>
  </si>
  <si>
    <t>The company returned £26,000 to shareholders by way of a buyback of 40,000 ordinary shares at a price of 65.p per share.</t>
  </si>
  <si>
    <t>The company returned £101,802 to shareholders by way of a buyback of 28,921 ordinary shares at a price of 352.p per share.</t>
  </si>
  <si>
    <t>The company returned £87,500 to shareholders by way of a buyback of 25,000 ordinary shares at a price of 350.p per share.</t>
  </si>
  <si>
    <t>The company returned £70,400 to shareholders by way of a buyback of 20,000 ordinary shares at a price of 352.p per share.</t>
  </si>
  <si>
    <t>The company returned £58,764 to shareholders by way of a buyback of 16,870 ordinary shares at a price of 348.33p per share.</t>
  </si>
  <si>
    <t>The company returned £17,700 to shareholders by way of a buyback of 5,000 ordinary shares at a price of 354.p per share.</t>
  </si>
  <si>
    <t>The company returned £141,520 to shareholders by way of a buyback of 20,000 ordinary shares at a price of 707.6p per share.</t>
  </si>
  <si>
    <t>The company returned £106,005 to shareholders by way of a buyback of 15,000 ordinary shares at a price of 706.7p per share.</t>
  </si>
  <si>
    <t>The company returned £107,439 to shareholders by way of a buyback of 15,000 ordinary shares at a price of 716.26p per share.</t>
  </si>
  <si>
    <t>The company returned £127,453 to shareholders by way of a buyback of 25,000 ordinary shares at a price of 509.81p per share.</t>
  </si>
  <si>
    <t>The company returned £128,295 to shareholders by way of a buyback of 25,000 ordinary shares at a price of 513.18p per share.</t>
  </si>
  <si>
    <t>The company returned £128,390 to shareholders by way of a buyback of 25,000 ordinary shares at a price of 513.56p per share.</t>
  </si>
  <si>
    <t>The company returned £128,940 to shareholders by way of a buyback of 25,000 ordinary shares at a price of 515.76p per share.</t>
  </si>
  <si>
    <t>The company returned £129,555 to shareholders by way of a buyback of 25,000 ordinary shares at a price of 518.22p per share.</t>
  </si>
  <si>
    <t>The company returned £129,910 to shareholders by way of a buyback of 25,000 ordinary shares at a price of 519.64p per share.</t>
  </si>
  <si>
    <t>The company returned £129,663 to shareholders by way of a buyback of 25,000 ordinary shares at a price of 518.65p per share.</t>
  </si>
  <si>
    <t>The company returned £129,783 to shareholders by way of a buyback of 25,000 ordinary shares at a price of 519.13p per share.</t>
  </si>
  <si>
    <t>The company returned £131,368 to shareholders by way of a buyback of 25,000 ordinary shares at a price of 525.47p per share.</t>
  </si>
  <si>
    <t>The company returned £131,240 to shareholders by way of a buyback of 25,000 ordinary shares at a price of 524.96p per share.</t>
  </si>
  <si>
    <t>The company returned £155,859 to shareholders by way of a buyback of 30,000 ordinary shares at a price of 519.53p per share.</t>
  </si>
  <si>
    <t>The company returned £130,210 to shareholders by way of a buyback of 25,000 ordinary shares at a price of 520.84p per share.</t>
  </si>
  <si>
    <t>The company returned £131,288 to shareholders by way of a buyback of 25,000 ordinary shares at a price of 525.15p per share.</t>
  </si>
  <si>
    <t>The company returned £130,483 to shareholders by way of a buyback of 25,000 ordinary shares at a price of 521.93p per share.</t>
  </si>
  <si>
    <t>The company returned £130,385 to shareholders by way of a buyback of 25,000 ordinary shares at a price of 521.54p per share.</t>
  </si>
  <si>
    <t>The company returned £130,320 to shareholders by way of a buyback of 25,000 ordinary shares at a price of 521.28p per share.</t>
  </si>
  <si>
    <t>The company returned £130,253 to shareholders by way of a buyback of 25,000 ordinary shares at a price of 521.01p per share.</t>
  </si>
  <si>
    <t>The company returned £128,965 to shareholders by way of a buyback of 25,000 ordinary shares at a price of 515.86p per share.</t>
  </si>
  <si>
    <t>The company returned £129,738 to shareholders by way of a buyback of 25,000 ordinary shares at a price of 518.95p per share.</t>
  </si>
  <si>
    <t>The company returned £1,772,115 to shareholders by way of a buyback of 150,000 ordinary shares at a price of 1,181.41p per share.</t>
  </si>
  <si>
    <t>The company returned £3,599,839 to shareholders by way of a buyback of 300,746 ordinary shares at a price of 1,196.97p per share.</t>
  </si>
  <si>
    <t>The company returned £4,240,985 to shareholders by way of a buyback of 350,000 ordinary shares at a price of 1,211.71p per share.</t>
  </si>
  <si>
    <t>The company returned £4,240,670 to shareholders by way of a buyback of 350,000 ordinary shares at a price of 1,211.62p per share.</t>
  </si>
  <si>
    <t>The company returned £5,414,535 to shareholders by way of a buyback of 450,000 ordinary shares at a price of 1,203.23p per share.</t>
  </si>
  <si>
    <t>The company returned £3,632,700 to shareholders by way of a buyback of 300,000 ordinary shares at a price of 1,210.9p per share.</t>
  </si>
  <si>
    <t>The company returned £5,467,050 to shareholders by way of a buyback of 450,000 ordinary shares at a price of 1,214.9p per share.</t>
  </si>
  <si>
    <t>The company returned £3,036,800 to shareholders by way of a buyback of 250,000 ordinary shares at a price of 1,214.72p per share.</t>
  </si>
  <si>
    <t>The company returned £4,032,570 to shareholders by way of a buyback of 331,896 ordinary shares at a price of 1,215.01p per share.</t>
  </si>
  <si>
    <t>The company returned £7,220,997 to shareholders by way of a buyback of 610,000 ordinary shares at a price of 1,183.77p per share.</t>
  </si>
  <si>
    <t>The company returned £2,994,450 to shareholders by way of a buyback of 250,000 ordinary shares at a price of 1,197.78p per share.</t>
  </si>
  <si>
    <t>The company returned £1,293,742 to shareholders by way of a buyback of 107,393 ordinary shares at a price of 1,204.68p per share.</t>
  </si>
  <si>
    <t>The company returned £2,773,198 to shareholders by way of a buyback of 229,615 ordinary shares at a price of 1,207.76p per share.</t>
  </si>
  <si>
    <t>The company returned £1,384,902 to shareholders by way of a buyback of 112,666 ordinary shares at a price of 1,229.21p per share.</t>
  </si>
  <si>
    <t>The company returned £55,600 to shareholders by way of a buyback of 20,000 ordinary shares at a price of 278.p per share.</t>
  </si>
  <si>
    <t>The company returned £137,500 to shareholders by way of a buyback of 50,000 ordinary shares at a price of 275.p per share.</t>
  </si>
  <si>
    <t>The company returned £68,750 to shareholders by way of a buyback of 25,000 ordinary shares at a price of 275.p per share.</t>
  </si>
  <si>
    <t>The company returned £54,600 to shareholders by way of a buyback of 20,000 ordinary shares at a price of 273.p per share.</t>
  </si>
  <si>
    <t>The company returned £94,500 to shareholders by way of a buyback of 35,000 ordinary shares at a price of 270.p per share.</t>
  </si>
  <si>
    <t>The company returned £95,550 to shareholders by way of a buyback of 35,000 ordinary shares at a price of 273.p per share.</t>
  </si>
  <si>
    <t>The company returned £66,250 to shareholders by way of a buyback of 25,000 ordinary shares at a price of 265.p per share.</t>
  </si>
  <si>
    <t>The company returned £132,500 to shareholders by way of a buyback of 50,000 ordinary shares at a price of 265.p per share.</t>
  </si>
  <si>
    <t>The company returned £132,430 to shareholders by way of a buyback of 50,000 ordinary shares at a price of 264.86p per share.</t>
  </si>
  <si>
    <t>The company returned £513,110 to shareholders by way of a buyback of 650,000 ordinary shares at a price of 78.94p per share.</t>
  </si>
  <si>
    <t>The company returned £394,700 to shareholders by way of a buyback of 500,000 ordinary shares at a price of 78.94p per share.</t>
  </si>
  <si>
    <t>The company returned £264,818 to shareholders by way of a buyback of 335,000 ordinary shares at a price of 79.05p per share.</t>
  </si>
  <si>
    <t>The company returned £118,710 to shareholders by way of a buyback of 150,000 ordinary shares at a price of 79.14p per share.</t>
  </si>
  <si>
    <t>The company returned £11,206 to shareholders by way of a buyback of 14,167 ordinary shares at a price of 79.1p per share.</t>
  </si>
  <si>
    <t>The company returned £183,502 to shareholders by way of a buyback of 230,385 ordinary shares at a price of 79.65p per share.</t>
  </si>
  <si>
    <t>The company returned £335,581 to shareholders by way of a buyback of 420,001 ordinary shares at a price of 79.9p per share.</t>
  </si>
  <si>
    <t>The company returned £93,000 to shareholders by way of a buyback of 25,000 ordinary shares at a price of 372.p per share.</t>
  </si>
  <si>
    <t>The company returned £93,500 to shareholders by way of a buyback of 25,000 ordinary shares at a price of 374.p per share.</t>
  </si>
  <si>
    <t>The company returned £95,563 to shareholders by way of a buyback of 25,000 ordinary shares at a price of 382.25p per share.</t>
  </si>
  <si>
    <t>The company returned £191,000 to shareholders by way of a buyback of 50,000 ordinary shares at a price of 382.p per share.</t>
  </si>
  <si>
    <t>The company returned £197,400 to shareholders by way of a buyback of 50,000 ordinary shares at a price of 394.8p per share.</t>
  </si>
  <si>
    <t>The company returned £79,730 to shareholders by way of a buyback of 20,000 ordinary shares at a price of 398.65p per share.</t>
  </si>
  <si>
    <t>The company returned £154,050 to shareholders by way of a buyback of 65,000 ordinary shares at a price of 237.p per share.</t>
  </si>
  <si>
    <t>The company returned £236,000 to shareholders by way of a buyback of 100,000 ordinary shares at a price of 236.p per share.</t>
  </si>
  <si>
    <t>The company returned £374,400 to shareholders by way of a buyback of 160,000 ordinary shares at a price of 234.p per share.</t>
  </si>
  <si>
    <t>The company returned £207,421 to shareholders by way of a buyback of 84,465 ordinary shares at a price of 245.57p per share.</t>
  </si>
  <si>
    <t>The company returned £1,293,390 to shareholders by way of a buyback of 525,000 ordinary shares at a price of 246.36p per share.</t>
  </si>
  <si>
    <t>The company returned £350,740 to shareholders by way of a buyback of 142,000 ordinary shares at a price of 247.p per share.</t>
  </si>
  <si>
    <t>The company returned £9,920 to shareholders by way of a buyback of 4,000 ordinary shares at a price of 248.p per share.</t>
  </si>
  <si>
    <t>The company returned £992,359 to shareholders by way of a buyback of 399,790 ordinary shares at a price of 248.22p per share.</t>
  </si>
  <si>
    <t>The company returned £1,334,774 to shareholders by way of a buyback of 532,164 ordinary shares at a price of 250.82p per share.</t>
  </si>
  <si>
    <t>The company returned £1,076,027 to shareholders by way of a buyback of 423,000 ordinary shares at a price of 254.38p per share.</t>
  </si>
  <si>
    <t>The company returned £1,683,038 to shareholders by way of a buyback of 668,217 ordinary shares at a price of 251.87p per share.</t>
  </si>
  <si>
    <t>The company returned £384,750 to shareholders by way of a buyback of 150,000 ordinary shares at a price of 256.5p per share.</t>
  </si>
  <si>
    <t>The company returned £186,122 to shareholders by way of a buyback of 72,568 ordinary shares at a price of 256.48p per share.</t>
  </si>
  <si>
    <t>The company returned £572,753 to shareholders by way of a buyback of 223,000 ordinary shares at a price of 256.84p per share.</t>
  </si>
  <si>
    <t>The company returned £1,152,415 to shareholders by way of a buyback of 441,640 ordinary shares at a price of 260.94p per share.</t>
  </si>
  <si>
    <t>The company returned £1,265,712 to shareholders by way of a buyback of 480,000 ordinary shares at a price of 263.69p per share.</t>
  </si>
  <si>
    <t>The company returned £875,815 to shareholders by way of a buyback of 334,000 ordinary shares at a price of 262.22p per share.</t>
  </si>
  <si>
    <t>The company returned £239,890 to shareholders by way of a buyback of 91,213 ordinary shares at a price of 263.p per share.</t>
  </si>
  <si>
    <t>The company returned £153,241 to shareholders by way of a buyback of 70,614 ordinary shares at a price of 217.01p per share.</t>
  </si>
  <si>
    <t>The company returned £206,457 to shareholders by way of a buyback of 93,844 ordinary shares at a price of 220.p per share.</t>
  </si>
  <si>
    <t>The company returned £437,021 to shareholders by way of a buyback of 197,017 ordinary shares at a price of 221.82p per share.</t>
  </si>
  <si>
    <t>The company returned £61,311 to shareholders by way of a buyback of 27,371 ordinary shares at a price of 224.p per share.</t>
  </si>
  <si>
    <t>The company returned £224,000 to shareholders by way of a buyback of 100,000 ordinary shares at a price of 224.p per share.</t>
  </si>
  <si>
    <t>The company returned £226,000 to shareholders by way of a buyback of 100,000 ordinary shares at a price of 226.p per share.</t>
  </si>
  <si>
    <t>The company returned £1,131,195 to shareholders by way of a buyback of 500,000 ordinary shares at a price of 226.24p per share.</t>
  </si>
  <si>
    <t>The company returned £700,435 to shareholders by way of a buyback of 306,477 ordinary shares at a price of 228.54p per share.</t>
  </si>
  <si>
    <t>The company returned £459,000 to shareholders by way of a buyback of 200,000 ordinary shares at a price of 229.5p per share.</t>
  </si>
  <si>
    <t>The company returned £224,543 to shareholders by way of a buyback of 99,423 ordinary shares at a price of 225.85p per share.</t>
  </si>
  <si>
    <t>The company returned £220,750 to shareholders by way of a buyback of 125,000 ordinary shares at a price of 176.6p per share.</t>
  </si>
  <si>
    <t>The company returned £267,000 to shareholders by way of a buyback of 150,000 ordinary shares at a price of 178.p per share.</t>
  </si>
  <si>
    <t>The company returned £196,900 to shareholders by way of a buyback of 110,000 ordinary shares at a price of 179.p per share.</t>
  </si>
  <si>
    <t>The company returned £143,200 to shareholders by way of a buyback of 80,000 ordinary shares at a price of 179.p per share.</t>
  </si>
  <si>
    <t>The company returned £314,300 to shareholders by way of a buyback of 175,000 ordinary shares at a price of 179.6p per share.</t>
  </si>
  <si>
    <t>The company returned £317,433 to shareholders by way of a buyback of 175,000 ordinary shares at a price of 181.39p per share.</t>
  </si>
  <si>
    <t>The company returned £317,450 to shareholders by way of a buyback of 175,000 ordinary shares at a price of 181.4p per share.</t>
  </si>
  <si>
    <t>The company returned £317,713 to shareholders by way of a buyback of 175,000 ordinary shares at a price of 181.55p per share.</t>
  </si>
  <si>
    <t>The company returned £316,890 to shareholders by way of a buyback of 175,000 ordinary shares at a price of 181.08p per share.</t>
  </si>
  <si>
    <t>The company returned £221,688 to shareholders by way of a buyback of 120,000 ordinary shares at a price of 184.74p per share.</t>
  </si>
  <si>
    <t>The company returned £320,303 to shareholders by way of a buyback of 175,000 ordinary shares at a price of 183.03p per share.</t>
  </si>
  <si>
    <t>The company returned £54,780 to shareholders by way of a buyback of 30,000 ordinary shares at a price of 182.6p per share.</t>
  </si>
  <si>
    <t>The company returned £317,275 to shareholders by way of a buyback of 175,000 ordinary shares at a price of 181.3p per share.</t>
  </si>
  <si>
    <t>The company returned £231,000 to shareholders by way of a buyback of 125,000 ordinary shares at a price of 184.8p per share.</t>
  </si>
  <si>
    <t>The company returned £321,300 to shareholders by way of a buyback of 175,000 ordinary shares at a price of 183.6p per share.</t>
  </si>
  <si>
    <t>The company returned £182,700 to shareholders by way of a buyback of 100,000 ordinary shares at a price of 182.7p per share.</t>
  </si>
  <si>
    <t>The company returned £227,900 to shareholders by way of a buyback of 125,000 ordinary shares at a price of 182.32p per share.</t>
  </si>
  <si>
    <t>The company returned £145,760 to shareholders by way of a buyback of 80,000 ordinary shares at a price of 182.2p per share.</t>
  </si>
  <si>
    <t>The company returned £318,010 to shareholders by way of a buyback of 175,000 ordinary shares at a price of 181.72p per share.</t>
  </si>
  <si>
    <t>The company returned £33,360 to shareholders by way of a buyback of 12,000 ordinary shares at a price of 278.p per share.</t>
  </si>
  <si>
    <t>The company returned £56,000 to shareholders by way of a buyback of 20,000 ordinary shares at a price of 280.p per share.</t>
  </si>
  <si>
    <t>The company returned £419,070 to shareholders by way of a buyback of 150,000 ordinary shares at a price of 279.38p per share.</t>
  </si>
  <si>
    <t>The company returned £279,000 to shareholders by way of a buyback of 100,000 ordinary shares at a price of 279.p per share.</t>
  </si>
  <si>
    <t>The company returned £225,600 to shareholders by way of a buyback of 80,000 ordinary shares at a price of 282.p per share.</t>
  </si>
  <si>
    <t>The company returned £70,500 to shareholders by way of a buyback of 25,000 ordinary shares at a price of 282.p per share.</t>
  </si>
  <si>
    <t>The company returned £28,300 to shareholders by way of a buyback of 10,000 ordinary shares at a price of 283.p per share.</t>
  </si>
  <si>
    <t>The company returned £86,100 to shareholders by way of a buyback of 30,000 ordinary shares at a price of 287.p per share.</t>
  </si>
  <si>
    <t>The company returned £142,880 to shareholders by way of a buyback of 50,000 ordinary shares at a price of 285.76p per share.</t>
  </si>
  <si>
    <t>The company returned £57,400 to shareholders by way of a buyback of 20,000 ordinary shares at a price of 287.p per share.</t>
  </si>
  <si>
    <t>The company returned £2,422,740 to shareholders by way of a buyback of 300,000 ordinary shares at a price of 807.58p per share.</t>
  </si>
  <si>
    <t>The company returned £2,146,235 to shareholders by way of a buyback of 265,000 ordinary shares at a price of 809.9p per share.</t>
  </si>
  <si>
    <t>The company returned £96,250 to shareholders by way of a buyback of 25,000 ordinary shares at a price of 385.p per share.</t>
  </si>
  <si>
    <t>The company returned £98,315 to shareholders by way of a buyback of 25,000 ordinary shares at a price of 393.26p per share.</t>
  </si>
  <si>
    <t>The company returned £470,750 to shareholders by way of a buyback of 100,000 ordinary shares at a price of 470.75p per share.</t>
  </si>
  <si>
    <t>The company returned £334,786 to shareholders by way of a buyback of 71,009 ordinary shares at a price of 471.47p per share.</t>
  </si>
  <si>
    <t>The company returned £285,207 to shareholders by way of a buyback of 59,823 ordinary shares at a price of 476.75p per share.</t>
  </si>
  <si>
    <t>The company returned £712,335 to shareholders by way of a buyback of 150,000 ordinary shares at a price of 474.89p per share.</t>
  </si>
  <si>
    <t>The company returned £708,597 to shareholders by way of a buyback of 150,000 ordinary shares at a price of 472.4p per share.</t>
  </si>
  <si>
    <t>The company returned £473,500 to shareholders by way of a buyback of 100,000 ordinary shares at a price of 473.5p per share.</t>
  </si>
  <si>
    <t>The company returned £949,000 to shareholders by way of a buyback of 200,000 ordinary shares at a price of 474.5p per share.</t>
  </si>
  <si>
    <t>The company returned £280,400 to shareholders by way of a buyback of 60,000 ordinary shares at a price of 467.33p per share.</t>
  </si>
  <si>
    <t>The company returned £139,230 to shareholders by way of a buyback of 30,000 ordinary shares at a price of 464.1p per share.</t>
  </si>
  <si>
    <t>The company returned £362,510 to shareholders by way of a buyback of 78,747 ordinary shares at a price of 460.35p per share.</t>
  </si>
  <si>
    <t>The company returned £230,000 to shareholders by way of a buyback of 50,000 ordinary shares at a price of 460.p per share.</t>
  </si>
  <si>
    <t>The company returned £454,000 to shareholders by way of a buyback of 100,000 ordinary shares at a price of 454.p per share.</t>
  </si>
  <si>
    <t>The company returned £453,500 to shareholders by way of a buyback of 100,000 ordinary shares at a price of 453.5p per share.</t>
  </si>
  <si>
    <t>The company returned £175,751 to shareholders by way of a buyback of 38,582 ordinary shares at a price of 455.53p per share.</t>
  </si>
  <si>
    <t>The company returned £1,887,358 to shareholders by way of a buyback of 501,277 ordinary shares at a price of 376.51p per share.</t>
  </si>
  <si>
    <t>The company returned £1,605,545 to shareholders by way of a buyback of 412,779 ordinary shares at a price of 388.96p per share.</t>
  </si>
  <si>
    <t>The company returned £2,695,263 to shareholders by way of a buyback of 708,683 ordinary shares at a price of 380.32p per share.</t>
  </si>
  <si>
    <t>The company returned £1,700,010 to shareholders by way of a buyback of 450,000 ordinary shares at a price of 377.78p per share.</t>
  </si>
  <si>
    <t>The company returned £3,180,360 to shareholders by way of a buyback of 850,000 ordinary shares at a price of 374.16p per share.</t>
  </si>
  <si>
    <t>The company returned £132,140 to shareholders by way of a buyback of 35,138 ordinary shares at a price of 376.06p per share.</t>
  </si>
  <si>
    <t>The company returned £1,473,880 to shareholders by way of a buyback of 400,000 ordinary shares at a price of 368.47p per share.</t>
  </si>
  <si>
    <t>The company returned £2,174,040 to shareholders by way of a buyback of 600,000 ordinary shares at a price of 362.34p per share.</t>
  </si>
  <si>
    <t>The company returned £338,600 to shareholders by way of a buyback of 20,000 ordinary shares at a price of 1,693.p per share.</t>
  </si>
  <si>
    <t>The company returned £347,920 to shareholders by way of a buyback of 21,000 ordinary shares at a price of 1,656.76p per share.</t>
  </si>
  <si>
    <t>The company returned £65,848 to shareholders by way of a buyback of 4,000 ordinary shares at a price of 1,646.2p per share.</t>
  </si>
  <si>
    <t>The company returned £415,400 to shareholders by way of a buyback of 25,000 ordinary shares at a price of 1,661.6p per share.</t>
  </si>
  <si>
    <t>The company returned £299,646 to shareholders by way of a buyback of 18,000 ordinary shares at a price of 1,664.7p per share.</t>
  </si>
  <si>
    <t>The company returned £416,375 to shareholders by way of a buyback of 25,000 ordinary shares at a price of 1,665.5p per share.</t>
  </si>
  <si>
    <t>The company returned £415,008 to shareholders by way of a buyback of 25,000 ordinary shares at a price of 1,660.03p per share.</t>
  </si>
  <si>
    <t>The company returned £333,400 to shareholders by way of a buyback of 20,000 ordinary shares at a price of 1,667.p per share.</t>
  </si>
  <si>
    <t>The company returned £248,900 to shareholders by way of a buyback of 15,000 ordinary shares at a price of 1,659.33p per share.</t>
  </si>
  <si>
    <t>The company returned £166,700 to shareholders by way of a buyback of 10,000 ordinary shares at a price of 1,667.p per share.</t>
  </si>
  <si>
    <t>The company returned £83,600 to shareholders by way of a buyback of 5,000 ordinary shares at a price of 1,672.p per share.</t>
  </si>
  <si>
    <t>The company returned £350,850 to shareholders by way of a buyback of 21,000 ordinary shares at a price of 1,670.71p per share.</t>
  </si>
  <si>
    <t>The company returned £300,920 to shareholders by way of a buyback of 18,000 ordinary shares at a price of 1,671.78p per share.</t>
  </si>
  <si>
    <t>The company returned £167,600 to shareholders by way of a buyback of 10,000 ordinary shares at a price of 1,676.p per share.</t>
  </si>
  <si>
    <t>The company returned £305,960 to shareholders by way of a buyback of 18,000 ordinary shares at a price of 1,699.78p per share.</t>
  </si>
  <si>
    <t>The company returned £325,226 to shareholders by way of a buyback of 19,000 ordinary shares at a price of 1,711.71p per share.</t>
  </si>
  <si>
    <t>The company returned £107,165 to shareholders by way of a buyback of 15,000 ordinary shares at a price of 714.44p per share.</t>
  </si>
  <si>
    <t>The company returned £11,872 to shareholders by way of a buyback of 1,600 ordinary shares at a price of 741.99p per share.</t>
  </si>
  <si>
    <t>The company returned £122,023 to shareholders by way of a buyback of 16,400 ordinary shares at a price of 744.04p per share.</t>
  </si>
  <si>
    <t>The company returned £14,983 to shareholders by way of a buyback of 2,000 ordinary shares at a price of 749.14p per share.</t>
  </si>
  <si>
    <t>The company returned £157,551 to shareholders by way of a buyback of 21,000 ordinary shares at a price of 750.24p per share.</t>
  </si>
  <si>
    <t>The company returned £141,896 to shareholders by way of a buyback of 19,000 ordinary shares at a price of 746.82p per share.</t>
  </si>
  <si>
    <t>The company returned £91,698 to shareholders by way of a buyback of 12,458 ordinary shares at a price of 736.05p per share.</t>
  </si>
  <si>
    <t>The company returned £129,723 to shareholders by way of a buyback of 17,542 ordinary shares at a price of 739.5p per share.</t>
  </si>
  <si>
    <t>The company returned £15,445 to shareholders by way of a buyback of 2,076 ordinary shares at a price of 744.p per share.</t>
  </si>
  <si>
    <t>The company returned £209,872 to shareholders by way of a buyback of 27,924 ordinary shares at a price of 751.58p per share.</t>
  </si>
  <si>
    <t>The company returned £81,400 to shareholders by way of a buyback of 11,000 ordinary shares at a price of 740.p per share.</t>
  </si>
  <si>
    <t>The company returned £145,078 to shareholders by way of a buyback of 19,500 ordinary shares at a price of 743.99p per share.</t>
  </si>
  <si>
    <t>The company returned £185,500 to shareholders by way of a buyback of 25,000 ordinary shares at a price of 742.p per share.</t>
  </si>
  <si>
    <t>The company returned £520,347 to shareholders by way of a buyback of 100,000 ordinary shares at a price of 520.35p per share.</t>
  </si>
  <si>
    <t>The company returned £518,150 to shareholders by way of a buyback of 100,000 ordinary shares at a price of 518.15p per share.</t>
  </si>
  <si>
    <t>The company returned £187,042 to shareholders by way of a buyback of 36,084 ordinary shares at a price of 518.35p per share.</t>
  </si>
  <si>
    <t>The company returned £841,659 to shareholders by way of a buyback of 163,916 ordinary shares at a price of 513.47p per share.</t>
  </si>
  <si>
    <t>The company returned £51,726 to shareholders by way of a buyback of 10,083 ordinary shares at a price of 513.p per share.</t>
  </si>
  <si>
    <t>The company returned £365,977 to shareholders by way of a buyback of 71,108 ordinary shares at a price of 514.68p per share.</t>
  </si>
  <si>
    <t>The company returned £97,243 to shareholders by way of a buyback of 18,809 ordinary shares at a price of 517.p per share.</t>
  </si>
  <si>
    <t>The company returned £771,999 to shareholders by way of a buyback of 150,000 ordinary shares at a price of 514.67p per share.</t>
  </si>
  <si>
    <t>The company returned £672,493 to shareholders by way of a buyback of 130,083 ordinary shares at a price of 516.97p per share.</t>
  </si>
  <si>
    <t>The company returned £671,564 to shareholders by way of a buyback of 130,000 ordinary shares at a price of 516.59p per share.</t>
  </si>
  <si>
    <t>The company returned £531,273 to shareholders by way of a buyback of 101,901 ordinary shares at a price of 521.36p per share.</t>
  </si>
  <si>
    <t>The company returned £397,434 to shareholders by way of a buyback of 76,500 ordinary shares at a price of 519.52p per share.</t>
  </si>
  <si>
    <t>The company returned £467,100 to shareholders by way of a buyback of 90,000 ordinary shares at a price of 519.p per share.</t>
  </si>
  <si>
    <t>The company returned £91,175 to shareholders by way of a buyback of 17,500 ordinary shares at a price of 521.p per share.</t>
  </si>
  <si>
    <t>The company returned £82,454 to shareholders by way of a buyback of 15,736 ordinary shares at a price of 523.98p per share.</t>
  </si>
  <si>
    <t>The company returned £1,569,996 to shareholders by way of a buyback of 125,000 ordinary shares at a price of 1,256.p per share.</t>
  </si>
  <si>
    <t>The company returned £1,142,334 to shareholders by way of a buyback of 90,000 ordinary shares at a price of 1,269.26p per share.</t>
  </si>
  <si>
    <t>The company returned £3,336,498 to shareholders by way of a buyback of 265,000 ordinary shares at a price of 1,259.06p per share.</t>
  </si>
  <si>
    <t>The company returned £882,000 to shareholders by way of a buyback of 70,000 ordinary shares at a price of 1,260.p per share.</t>
  </si>
  <si>
    <t>The company returned £3,166,350 to shareholders by way of a buyback of 251,000 ordinary shares at a price of 1,261.49p per share.</t>
  </si>
  <si>
    <t>The company returned £779,028 to shareholders by way of a buyback of 60,672 ordinary shares at a price of 1,284.p per share.</t>
  </si>
  <si>
    <t>The company returned £698,499 to shareholders by way of a buyback of 55,000 ordinary shares at a price of 1,270.p per share.</t>
  </si>
  <si>
    <t>The company returned £698,607 to shareholders by way of a buyback of 136,287 ordinary shares at a price of 512.6p per share.</t>
  </si>
  <si>
    <t>The company returned £1,786,972 to shareholders by way of a buyback of 337,190 ordinary shares at a price of 529.96p per share.</t>
  </si>
  <si>
    <t>The company returned £1,329,675 to shareholders by way of a buyback of 250,000 ordinary shares at a price of 531.87p per share.</t>
  </si>
  <si>
    <t>The company returned £1,958,474 to shareholders by way of a buyback of 364,252 ordinary shares at a price of 537.67p per share.</t>
  </si>
  <si>
    <t>The company returned £943,511 to shareholders by way of a buyback of 174,747 ordinary shares at a price of 539.93p per share.</t>
  </si>
  <si>
    <t>The company returned £1,148,423 to shareholders by way of a buyback of 215,000 ordinary shares at a price of 534.15p per share.</t>
  </si>
  <si>
    <t>The company returned £27,172 to shareholders by way of a buyback of 7,024 ordinary shares at a price of 386.85p per share.</t>
  </si>
  <si>
    <t>The company returned £15,435 to shareholders by way of a buyback of 4,000 ordinary shares at a price of 385.88p per share.</t>
  </si>
  <si>
    <t>The company returned £71,301 to shareholders by way of a buyback of 18,768 ordinary shares at a price of 379.91p per share.</t>
  </si>
  <si>
    <t>The company returned £72,130 to shareholders by way of a buyback of 19,000 ordinary shares at a price of 379.63p per share.</t>
  </si>
  <si>
    <t>The company returned £52,600 to shareholders by way of a buyback of 14,000 ordinary shares at a price of 375.71p per share.</t>
  </si>
  <si>
    <t>The company returned £22,670 to shareholders by way of a buyback of 6,000 ordinary shares at a price of 377.83p per share.</t>
  </si>
  <si>
    <t>The company returned £44,426 to shareholders by way of a buyback of 11,847 ordinary shares at a price of 375.p per share.</t>
  </si>
  <si>
    <t>The company returned £41,030 to shareholders by way of a buyback of 11,000 ordinary shares at a price of 373.p per share.</t>
  </si>
  <si>
    <t>The company returned £18,600 to shareholders by way of a buyback of 5,000 ordinary shares at a price of 372.p per share.</t>
  </si>
  <si>
    <t>The company returned £65,875 to shareholders by way of a buyback of 25,000 ordinary shares at a price of 263.5p per share.</t>
  </si>
  <si>
    <t>The company returned £78,600 to shareholders by way of a buyback of 30,000 ordinary shares at a price of 262.p per share.</t>
  </si>
  <si>
    <t>The company returned £53,000 to shareholders by way of a buyback of 20,000 ordinary shares at a price of 265.p per share.</t>
  </si>
  <si>
    <t>The company returned £1,131,044 to shareholders by way of a buyback of 435,000 ordinary shares at a price of 260.01p per share.</t>
  </si>
  <si>
    <t>The company returned £324,438 to shareholders by way of a buyback of 125,000 ordinary shares at a price of 259.55p per share.</t>
  </si>
  <si>
    <t>The company returned £458,500 to shareholders by way of a buyback of 175,000 ordinary shares at a price of 262.p per share.</t>
  </si>
  <si>
    <t>The company returned £1,051,120 to shareholders by way of a buyback of 400,000 ordinary shares at a price of 262.78p per share.</t>
  </si>
  <si>
    <t>The company returned £1,127,525 to shareholders by way of a buyback of 425,000 ordinary shares at a price of 265.3p per share.</t>
  </si>
  <si>
    <t>The company returned £397,005 to shareholders by way of a buyback of 150,000 ordinary shares at a price of 264.67p per share.</t>
  </si>
  <si>
    <t>The company returned £600,750 to shareholders by way of a buyback of 225,000 ordinary shares at a price of 267.p per share.</t>
  </si>
  <si>
    <t>The company returned £662,675 to shareholders by way of a buyback of 250,000 ordinary shares at a price of 265.07p per share.</t>
  </si>
  <si>
    <t>The company returned £68,959 to shareholders by way of a buyback of 22,000 ordinary shares at a price of 313.45p per share.</t>
  </si>
  <si>
    <t>The company returned £99,549 to shareholders by way of a buyback of 32,000 ordinary shares at a price of 311.09p per share.</t>
  </si>
  <si>
    <t>The company returned £13,372 to shareholders by way of a buyback of 4,329 ordinary shares at a price of 308.9p per share.</t>
  </si>
  <si>
    <t>The company returned £46,800 to shareholders by way of a buyback of 15,000 ordinary shares at a price of 312.p per share.</t>
  </si>
  <si>
    <t>The company returned £62,600 to shareholders by way of a buyback of 20,000 ordinary shares at a price of 313.p per share.</t>
  </si>
  <si>
    <t>The company returned £101,937 to shareholders by way of a buyback of 32,600 ordinary shares at a price of 312.69p per share.</t>
  </si>
  <si>
    <t>The company returned £62,426 to shareholders by way of a buyback of 20,000 ordinary shares at a price of 312.13p per share.</t>
  </si>
  <si>
    <t>The company returned £62,216 to shareholders by way of a buyback of 20,000 ordinary shares at a price of 311.08p per share.</t>
  </si>
  <si>
    <t>The company returned £72,080 to shareholders by way of a buyback of 23,000 ordinary shares at a price of 313.39p per share.</t>
  </si>
  <si>
    <t>The company returned £45,381 to shareholders by way of a buyback of 14,569 ordinary shares at a price of 311.49p per share.</t>
  </si>
  <si>
    <t>The company returned £108,099 to shareholders by way of a buyback of 34,353 ordinary shares at a price of 314.67p per share.</t>
  </si>
  <si>
    <t>The company returned £62,500 to shareholders by way of a buyback of 20,000 ordinary shares at a price of 312.5p per share.</t>
  </si>
  <si>
    <t>The company returned £50,997 to shareholders by way of a buyback of 16,297 ordinary shares at a price of 312.92p per share.</t>
  </si>
  <si>
    <t>The company returned £148,400 to shareholders by way of a buyback of 140,000 ordinary shares at a price of 106.p per share.</t>
  </si>
  <si>
    <t>The company returned £146,804 to shareholders by way of a buyback of 140,000 ordinary shares at a price of 104.86p per share.</t>
  </si>
  <si>
    <t>The company returned £147,700 to shareholders by way of a buyback of 140,000 ordinary shares at a price of 105.5p per share.</t>
  </si>
  <si>
    <t>The company returned £147,546 to shareholders by way of a buyback of 140,000 ordinary shares at a price of 105.39p per share.</t>
  </si>
  <si>
    <t>The company returned £149,744 to shareholders by way of a buyback of 140,000 ordinary shares at a price of 106.96p per share.</t>
  </si>
  <si>
    <t>The company returned £149,800 to shareholders by way of a buyback of 140,000 ordinary shares at a price of 107.p per share.</t>
  </si>
  <si>
    <t>The company returned £148,848 to shareholders by way of a buyback of 140,000 ordinary shares at a price of 106.32p per share.</t>
  </si>
  <si>
    <t>The company returned £145,852 to shareholders by way of a buyback of 140,000 ordinary shares at a price of 104.18p per share.</t>
  </si>
  <si>
    <t>The company returned £144,956 to shareholders by way of a buyback of 140,000 ordinary shares at a price of 103.54p per share.</t>
  </si>
  <si>
    <t>The company returned £144,900 to shareholders by way of a buyback of 140,000 ordinary shares at a price of 103.5p per share.</t>
  </si>
  <si>
    <t>The company returned £147,406 to shareholders by way of a buyback of 140,000 ordinary shares at a price of 105.29p per share.</t>
  </si>
  <si>
    <t>The company returned £146,174 to shareholders by way of a buyback of 140,000 ordinary shares at a price of 104.41p per share.</t>
  </si>
  <si>
    <t>The company returned £145,600 to shareholders by way of a buyback of 140,000 ordinary shares at a price of 104.p per share.</t>
  </si>
  <si>
    <t>The company returned £146,300 to shareholders by way of a buyback of 140,000 ordinary shares at a price of 104.5p per share.</t>
  </si>
  <si>
    <t>The company returned £146,902 to shareholders by way of a buyback of 140,000 ordinary shares at a price of 104.93p per share.</t>
  </si>
  <si>
    <t>The company returned £537,000 to shareholders by way of a buyback of 60,000 ordinary shares at a price of 895.p per share.</t>
  </si>
  <si>
    <t>The company returned £313,600 to shareholders by way of a buyback of 35,000 ordinary shares at a price of 896.p per share.</t>
  </si>
  <si>
    <t>The company returned £189,200 to shareholders by way of a buyback of 20,000 ordinary shares at a price of 946.p per share.</t>
  </si>
  <si>
    <t>The company returned £714,188 to shareholders by way of a buyback of 75,000 ordinary shares at a price of 952.25p per share.</t>
  </si>
  <si>
    <t>The company returned £471,000 to shareholders by way of a buyback of 50,000 ordinary shares at a price of 942.p per share.</t>
  </si>
  <si>
    <t>The company returned £467,000 to shareholders by way of a buyback of 50,000 ordinary shares at a price of 934.p per share.</t>
  </si>
  <si>
    <t>The company returned £702,525 to shareholders by way of a buyback of 75,000 ordinary shares at a price of 936.7p per share.</t>
  </si>
  <si>
    <t>The company returned £699,000 to shareholders by way of a buyback of 75,000 ordinary shares at a price of 932.p per share.</t>
  </si>
  <si>
    <t>The company returned £462,000 to shareholders by way of a buyback of 50,000 ordinary shares at a price of 924.p per share.</t>
  </si>
  <si>
    <t>The company returned £230,500 to shareholders by way of a buyback of 25,000 ordinary shares at a price of 922.p per share.</t>
  </si>
  <si>
    <t>The company returned £458,000 to shareholders by way of a buyback of 50,000 ordinary shares at a price of 916.p per share.</t>
  </si>
  <si>
    <t>The company returned £927,000 to shareholders by way of a buyback of 100,000 ordinary shares at a price of 927.p per share.</t>
  </si>
  <si>
    <t>The company returned £946,000 to shareholders by way of a buyback of 100,000 ordinary shares at a price of 946.p per share.</t>
  </si>
  <si>
    <t>The company returned £401,231 to shareholders by way of a buyback of 275,874 ordinary shares at a price of 145.44p per share.</t>
  </si>
  <si>
    <t>The company returned £55,784 to shareholders by way of a buyback of 38,000 ordinary shares at a price of 146.8p per share.</t>
  </si>
  <si>
    <t>The company returned £104,000 to shareholders by way of a buyback of 50,000 ordinary shares at a price of 208.p per share.</t>
  </si>
  <si>
    <t>The company returned £307,891 to shareholders by way of a buyback of 153,355 ordinary shares at a price of 200.77p per share.</t>
  </si>
  <si>
    <t>The company returned £22,782 to shareholders by way of a buyback of 11,391 ordinary shares at a price of 200.p per share.</t>
  </si>
  <si>
    <t>The company returned £400,000 to shareholders by way of a buyback of 200,000 ordinary shares at a price of 200.p per share.</t>
  </si>
  <si>
    <t>The company returned £388,869 to shareholders by way of a buyback of 195,000 ordinary shares at a price of 199.42p per share.</t>
  </si>
  <si>
    <t>The company returned £493,850 to shareholders by way of a buyback of 250,000 ordinary shares at a price of 197.54p per share.</t>
  </si>
  <si>
    <t>The company returned £342,535 to shareholders by way of a buyback of 173,050 ordinary shares at a price of 197.94p per share.</t>
  </si>
  <si>
    <t>The company returned £380,429 to shareholders by way of a buyback of 192,000 ordinary shares at a price of 198.14p per share.</t>
  </si>
  <si>
    <t>The company returned £326,563 to shareholders by way of a buyback of 163,159 ordinary shares at a price of 200.15p per share.</t>
  </si>
  <si>
    <t>The company returned £153,615 to shareholders by way of a buyback of 77,000 ordinary shares at a price of 199.5p per share.</t>
  </si>
  <si>
    <t>The company returned £202,480 to shareholders by way of a buyback of 100,000 ordinary shares at a price of 202.48p per share.</t>
  </si>
  <si>
    <t>The company returned £197,260 to shareholders by way of a buyback of 97,765 ordinary shares at a price of 201.77p per share.</t>
  </si>
  <si>
    <t>The company returned £133,436 to shareholders by way of a buyback of 66,718 ordinary shares at a price of 200.p per share.</t>
  </si>
  <si>
    <t>The company returned £829,605 to shareholders by way of a buyback of 412,739 ordinary shares at a price of 201.p per share.</t>
  </si>
  <si>
    <t>The company returned £382,585 to shareholders by way of a buyback of 188,095 ordinary shares at a price of 203.4p per share.</t>
  </si>
  <si>
    <t>The company returned £248,655 to shareholders by way of a buyback of 121,000 ordinary shares at a price of 205.5p per share.</t>
  </si>
  <si>
    <t>The company returned £68,418 to shareholders by way of a buyback of 63,000 ordinary shares at a price of 108.6p per share.</t>
  </si>
  <si>
    <t>The company returned £32,926 to shareholders by way of a buyback of 30,400 ordinary shares at a price of 108.31p per share.</t>
  </si>
  <si>
    <t>The company returned £64,876 to shareholders by way of a buyback of 59,000 ordinary shares at a price of 109.96p per share.</t>
  </si>
  <si>
    <t>The company returned £56,857 to shareholders by way of a buyback of 52,000 ordinary shares at a price of 109.34p per share.</t>
  </si>
  <si>
    <t>The company returned £48,290 to shareholders by way of a buyback of 44,000 ordinary shares at a price of 109.75p per share.</t>
  </si>
  <si>
    <t>The company returned £111,240 to shareholders by way of a buyback of 100,000 ordinary shares at a price of 111.24p per share.</t>
  </si>
  <si>
    <t>The company returned £212,893 to shareholders by way of a buyback of 159,432 ordinary shares at a price of 133.53p per share.</t>
  </si>
  <si>
    <t>The company returned £265,126 to shareholders by way of a buyback of 200,248 ordinary shares at a price of 132.4p per share.</t>
  </si>
  <si>
    <t>The company returned £132,000 to shareholders by way of a buyback of 100,000 ordinary shares at a price of 132.p per share.</t>
  </si>
  <si>
    <t>The company returned £166,317 to shareholders by way of a buyback of 125,239 ordinary shares at a price of 132.8p per share.</t>
  </si>
  <si>
    <t>The company returned £370,626 to shareholders by way of a buyback of 277,415 ordinary shares at a price of 133.6p per share.</t>
  </si>
  <si>
    <t>The company returned £240,893 to shareholders by way of a buyback of 180,701 ordinary shares at a price of 133.31p per share.</t>
  </si>
  <si>
    <t>The company returned £574,782 to shareholders by way of a buyback of 433,952 ordinary shares at a price of 132.45p per share.</t>
  </si>
  <si>
    <t>The company returned £171,241 to shareholders by way of a buyback of 130,001 ordinary shares at a price of 131.72p per share.</t>
  </si>
  <si>
    <t>The company returned £146,079 to shareholders by way of a buyback of 111,002 ordinary shares at a price of 131.6p per share.</t>
  </si>
  <si>
    <t>The company returned £993,870 to shareholders by way of a buyback of 750,000 ordinary shares at a price of 132.52p per share.</t>
  </si>
  <si>
    <t>The company returned £457,079 to shareholders by way of a buyback of 340,000 ordinary shares at a price of 134.44p per share.</t>
  </si>
  <si>
    <t>The company returned £1,013,183 to shareholders by way of a buyback of 750,000 ordinary shares at a price of 135.09p per share.</t>
  </si>
  <si>
    <t>The company returned £917,668 to shareholders by way of a buyback of 676,921 ordinary shares at a price of 135.57p per share.</t>
  </si>
  <si>
    <t>The company returned £1,015,658 to shareholders by way of a buyback of 750,000 ordinary shares at a price of 135.42p per share.</t>
  </si>
  <si>
    <t>The company returned £1,016,063 to shareholders by way of a buyback of 750,000 ordinary shares at a price of 135.48p per share.</t>
  </si>
  <si>
    <t>The company returned £1,025,190 to shareholders by way of a buyback of 750,000 ordinary shares at a price of 136.69p per share.</t>
  </si>
  <si>
    <t>The company returned £1,032,893 to shareholders by way of a buyback of 750,000 ordinary shares at a price of 137.72p per share.</t>
  </si>
  <si>
    <t>The company returned £1,031,565 to shareholders by way of a buyback of 750,000 ordinary shares at a price of 137.54p per share.</t>
  </si>
  <si>
    <t>The company returned £105,520 to shareholders by way of a buyback of 72,373 ordinary shares at a price of 145.8p per share.</t>
  </si>
  <si>
    <t>The company returned £203,784 to shareholders by way of a buyback of 140,000 ordinary shares at a price of 145.56p per share.</t>
  </si>
  <si>
    <t>The company returned £57,112 to shareholders by way of a buyback of 40,000 ordinary shares at a price of 142.78p per share.</t>
  </si>
  <si>
    <t>The company returned £163,802 to shareholders by way of a buyback of 114,812 ordinary shares at a price of 142.67p per share.</t>
  </si>
  <si>
    <t>The company returned £208,860 to shareholders by way of a buyback of 150,000 ordinary shares at a price of 139.24p per share.</t>
  </si>
  <si>
    <t>The company returned £50,603 to shareholders by way of a buyback of 36,405 ordinary shares at a price of 139.p per share.</t>
  </si>
  <si>
    <t>The company returned £34,766 to shareholders by way of a buyback of 24,650 ordinary shares at a price of 141.04p per share.</t>
  </si>
  <si>
    <t>The company returned £1,083,892 to shareholders by way of a buyback of 260,526 ordinary shares at a price of 416.04p per share.</t>
  </si>
  <si>
    <t>The company returned £144,973 to shareholders by way of a buyback of 34,496 ordinary shares at a price of 420.26p per share.</t>
  </si>
  <si>
    <t>The company returned £1,041,275 to shareholders by way of a buyback of 246,970 ordinary shares at a price of 421.62p per share.</t>
  </si>
  <si>
    <t>The company returned £1,620,974 to shareholders by way of a buyback of 376,000 ordinary shares at a price of 431.11p per share.</t>
  </si>
  <si>
    <t>The company returned £1,802,011 to shareholders by way of a buyback of 417,974 ordinary shares at a price of 431.13p per share.</t>
  </si>
  <si>
    <t>The company returned £2,328,038 to shareholders by way of a buyback of 540,562 ordinary shares at a price of 430.67p per share.</t>
  </si>
  <si>
    <t>The company returned £1,895,830 to shareholders by way of a buyback of 447,214 ordinary shares at a price of 423.92p per share.</t>
  </si>
  <si>
    <t>The company returned £1,596,697 to shareholders by way of a buyback of 376,535 ordinary shares at a price of 424.05p per share.</t>
  </si>
  <si>
    <t>The company returned £1,484,214 to shareholders by way of a buyback of 350,100 ordinary shares at a price of 423.94p per share.</t>
  </si>
  <si>
    <t>The company returned £380,956 to shareholders by way of a buyback of 90,001 ordinary shares at a price of 423.28p per share.</t>
  </si>
  <si>
    <t>The company returned £783,060 to shareholders by way of a buyback of 183,202 ordinary shares at a price of 427.43p per share.</t>
  </si>
  <si>
    <t>The company returned £966,174 to shareholders by way of a buyback of 225,121 ordinary shares at a price of 429.18p per share.</t>
  </si>
  <si>
    <t>The company returned £447,151 to shareholders by way of a buyback of 104,761 ordinary shares at a price of 426.83p per share.</t>
  </si>
  <si>
    <t>The company returned £948,806 to shareholders by way of a buyback of 222,385 ordinary shares at a price of 426.65p per share.</t>
  </si>
  <si>
    <t>The company returned £1,251,030 to shareholders by way of a buyback of 290,714 ordinary shares at a price of 430.33p per share.</t>
  </si>
  <si>
    <t>The company returned £47,289 to shareholders by way of a buyback of 10,972 ordinary shares at a price of 431.p per share.</t>
  </si>
  <si>
    <t>The company returned £462,657 to shareholders by way of a buyback of 107,099 ordinary shares at a price of 431.99p per share.</t>
  </si>
  <si>
    <t>The company returned £105,793 to shareholders by way of a buyback of 34,496 ordinary shares at a price of 306.68p per share.</t>
  </si>
  <si>
    <t>The company returned £3,373 to shareholders by way of a buyback of 1,062 ordinary shares at a price of 317.61p per share.</t>
  </si>
  <si>
    <t>The company returned £879 to shareholders by way of a buyback of 269 ordinary shares at a price of 326.77p per share.</t>
  </si>
  <si>
    <t>The company returned £57,882 to shareholders by way of a buyback of 18,000 ordinary shares at a price of 321.57p per share.</t>
  </si>
  <si>
    <t>The company returned £34,901 to shareholders by way of a buyback of 10,917 ordinary shares at a price of 319.69p per share.</t>
  </si>
  <si>
    <t>The company returned £32,260 to shareholders by way of a buyback of 10,081 ordinary shares at a price of 320.01p per share.</t>
  </si>
  <si>
    <t>The company returned £19,537 to shareholders by way of a buyback of 6,100 ordinary shares at a price of 320.28p per share.</t>
  </si>
  <si>
    <t>The company returned £306,320 to shareholders by way of a buyback of 25,000 ordinary shares at a price of 1,225.28p per share.</t>
  </si>
  <si>
    <t>The company returned £1,181,160 to shareholders by way of a buyback of 98,294 ordinary shares at a price of 1,201.66p per share.</t>
  </si>
  <si>
    <t>The company returned £564,093 to shareholders by way of a buyback of 45,367 ordinary shares at a price of 1,243.4p per share.</t>
  </si>
  <si>
    <t>The company returned £1,874,130 to shareholders by way of a buyback of 150,000 ordinary shares at a price of 1,249.42p per share.</t>
  </si>
  <si>
    <t>The company returned £176,037 to shareholders by way of a buyback of 30,000 ordinary shares at a price of 586.79p per share.</t>
  </si>
  <si>
    <t>The company returned £117,232 to shareholders by way of a buyback of 20,000 ordinary shares at a price of 586.16p per share.</t>
  </si>
  <si>
    <t>The company returned £58,738 to shareholders by way of a buyback of 10,000 ordinary shares at a price of 587.38p per share.</t>
  </si>
  <si>
    <t>The company returned £239,780 to shareholders by way of a buyback of 41,000 ordinary shares at a price of 584.83p per share.</t>
  </si>
  <si>
    <t>The company returned £87,498 to shareholders by way of a buyback of 15,000 ordinary shares at a price of 583.32p per share.</t>
  </si>
  <si>
    <t>The company returned £78,237 to shareholders by way of a buyback of 13,437 ordinary shares at a price of 582.25p per share.</t>
  </si>
  <si>
    <t>The company returned £215,663 to shareholders by way of a buyback of 36,945 ordinary shares at a price of 583.74p per share.</t>
  </si>
  <si>
    <t>The company returned £48,698 to shareholders by way of a buyback of 8,243 ordinary shares at a price of 590.78p per share.</t>
  </si>
  <si>
    <t>The company returned £296,094 to shareholders by way of a buyback of 50,004 ordinary shares at a price of 592.14p per share.</t>
  </si>
  <si>
    <t>The company returned £272,471 to shareholders by way of a buyback of 46,293 ordinary shares at a price of 588.58p per share.</t>
  </si>
  <si>
    <t>The company returned £35,606 to shareholders by way of a buyback of 6,097 ordinary shares at a price of 584.p per share.</t>
  </si>
  <si>
    <t>The company returned £89,289 to shareholders by way of a buyback of 15,000 ordinary shares at a price of 595.26p per share.</t>
  </si>
  <si>
    <t>The company returned £209,402 to shareholders by way of a buyback of 35,000 ordinary shares at a price of 598.29p per share.</t>
  </si>
  <si>
    <t>The company returned £144,168 to shareholders by way of a buyback of 24,000 ordinary shares at a price of 600.7p per share.</t>
  </si>
  <si>
    <t>The company returned £44,400 to shareholders by way of a buyback of 20,000 ordinary shares at a price of 222.p per share.</t>
  </si>
  <si>
    <t>The company returned £66,600 to shareholders by way of a buyback of 30,000 ordinary shares at a price of 222.p per share.</t>
  </si>
  <si>
    <t>The company returned £61,552 to shareholders by way of a buyback of 27,726 ordinary shares at a price of 222.p per share.</t>
  </si>
  <si>
    <t>The company returned £23,000 to shareholders by way of a buyback of 10,000 ordinary shares at a price of 230.p per share.</t>
  </si>
  <si>
    <t>The company returned £3,480 to shareholders by way of a buyback of 1,500 ordinary shares at a price of 232.p per share.</t>
  </si>
  <si>
    <t>The company returned £72,445 to shareholders by way of a buyback of 19,713 ordinary shares at a price of 367.5p per share.</t>
  </si>
  <si>
    <t>The company returned £69,707 to shareholders by way of a buyback of 19,124 ordinary shares at a price of 364.5p per share.</t>
  </si>
  <si>
    <t>The company returned £62,692 to shareholders by way of a buyback of 17,129 ordinary shares at a price of 366.p per share.</t>
  </si>
  <si>
    <t>The company returned £41,113 to shareholders by way of a buyback of 11,452 ordinary shares at a price of 359.p per share.</t>
  </si>
  <si>
    <t>The company returned £36,812 to shareholders by way of a buyback of 10,254 ordinary shares at a price of 359.p per share.</t>
  </si>
  <si>
    <t>The company returned £35,513 to shareholders by way of a buyback of 10,032 ordinary shares at a price of 354.p per share.</t>
  </si>
  <si>
    <t>The company returned £36,629 to shareholders by way of a buyback of 10,406 ordinary shares at a price of 352.p per share.</t>
  </si>
  <si>
    <t>The company returned £35,389 to shareholders by way of a buyback of 10,228 ordinary shares at a price of 346.p per share.</t>
  </si>
  <si>
    <t>The company returned £35,881 to shareholders by way of a buyback of 10,461 ordinary shares at a price of 343.p per share.</t>
  </si>
  <si>
    <t>The company returned £39,077 to shareholders by way of a buyback of 11,213 ordinary shares at a price of 348.5p per share.</t>
  </si>
  <si>
    <t>The company returned £37,864 to shareholders by way of a buyback of 10,666 ordinary shares at a price of 355.p per share.</t>
  </si>
  <si>
    <t>The company returned £36,338 to shareholders by way of a buyback of 10,236 ordinary shares at a price of 355.p per share.</t>
  </si>
  <si>
    <t>The company returned £35,627 to shareholders by way of a buyback of 10,107 ordinary shares at a price of 352.5p per share.</t>
  </si>
  <si>
    <t>The company returned £21,357 to shareholders by way of a buyback of 6,102 ordinary shares at a price of 350.p per share.</t>
  </si>
  <si>
    <t>The company returned £16,954 to shareholders by way of a buyback of 4,900 ordinary shares at a price of 346.p per share.</t>
  </si>
  <si>
    <t>The company returned £33,050 to shareholders by way of a buyback of 667 ordinary shares at a price of 4,955.01p per share.</t>
  </si>
  <si>
    <t>The company returned £1,348,723 to shareholders by way of a buyback of 27,192 ordinary shares at a price of 4,960.p per share.</t>
  </si>
  <si>
    <t>The company returned £878,393 to shareholders by way of a buyback of 17,704 ordinary shares at a price of 4,961.55p per share.</t>
  </si>
  <si>
    <t>The company returned £258,006 to shareholders by way of a buyback of 5,209 ordinary shares at a price of 4,953.08p per share.</t>
  </si>
  <si>
    <t>The company returned £576,223 to shareholders by way of a buyback of 11,594 ordinary shares at a price of 4,970.01p per share.</t>
  </si>
  <si>
    <t>The company returned £224,927 to shareholders by way of a buyback of 4,523 ordinary shares at a price of 4,972.97p per share.</t>
  </si>
  <si>
    <t>The company returned £323,296 to shareholders by way of a buyback of 6,492 ordinary shares at a price of 4,979.92p per share.</t>
  </si>
  <si>
    <t>The company returned £1,245,754 to shareholders by way of a buyback of 24,965 ordinary shares at a price of 4,990.p per share.</t>
  </si>
  <si>
    <t>The company returned £240,371 to shareholders by way of a buyback of 4,815 ordinary shares at a price of 4,992.12p per share.</t>
  </si>
  <si>
    <t>The company returned £82,037 to shareholders by way of a buyback of 1,644 ordinary shares at a price of 4,990.1p per share.</t>
  </si>
  <si>
    <t>The company returned £121,709 to shareholders by way of a buyback of 2,436 ordinary shares at a price of 4,996.26p per share.</t>
  </si>
  <si>
    <t>The company returned £374,100 to shareholders by way of a buyback of 7,482 ordinary shares at a price of 5,000.p per share.</t>
  </si>
  <si>
    <t>The company returned £150,709 to shareholders by way of a buyback of 3,003 ordinary shares at a price of 5,018.61p per share.</t>
  </si>
  <si>
    <t>The company returned £54,969 to shareholders by way of a buyback of 1,095 ordinary shares at a price of 5,019.96p per share.</t>
  </si>
  <si>
    <t>The company returned £141,237 to shareholders by way of a buyback of 2,808 ordinary shares at a price of 5,029.81p per share.</t>
  </si>
  <si>
    <t>The company returned £74,074 to shareholders by way of a buyback of 1,475 ordinary shares at a price of 5,021.97p per share.</t>
  </si>
  <si>
    <t>The company returned £70,629 to shareholders by way of a buyback of 1,402 ordinary shares at a price of 5,037.76p per share.</t>
  </si>
  <si>
    <t>The company returned £17,690 to shareholders by way of a buyback of 351 ordinary shares at a price of 5,040.p per share.</t>
  </si>
  <si>
    <t>The company returned £29,828 to shareholders by way of a buyback of 593 ordinary shares at a price of 5,030.02p per share.</t>
  </si>
  <si>
    <t>The company returned £112,889 to shareholders by way of a buyback of 2,231 ordinary shares at a price of 5,060.p per share.</t>
  </si>
  <si>
    <t>The company returned £260,395 to shareholders by way of a buyback of 250,000 ordinary shares at a price of 104.16p per share.</t>
  </si>
  <si>
    <t>The company returned £255,170 to shareholders by way of a buyback of 250,000 ordinary shares at a price of 102.07p per share.</t>
  </si>
  <si>
    <t>The company returned £247,293 to shareholders by way of a buyback of 250,000 ordinary shares at a price of 98.92p per share.</t>
  </si>
  <si>
    <t>The company returned £243,240 to shareholders by way of a buyback of 250,000 ordinary shares at a price of 97.3p per share.</t>
  </si>
  <si>
    <t>The company returned £244,243 to shareholders by way of a buyback of 250,000 ordinary shares at a price of 97.7p per share.</t>
  </si>
  <si>
    <t>The company returned £245,138 to shareholders by way of a buyback of 250,000 ordinary shares at a price of 98.06p per share.</t>
  </si>
  <si>
    <t>The company returned £246,803 to shareholders by way of a buyback of 250,000 ordinary shares at a price of 98.72p per share.</t>
  </si>
  <si>
    <t>The company returned £245,653 to shareholders by way of a buyback of 250,000 ordinary shares at a price of 98.26p per share.</t>
  </si>
  <si>
    <t>The company returned £243,318 to shareholders by way of a buyback of 250,000 ordinary shares at a price of 97.33p per share.</t>
  </si>
  <si>
    <t>The company returned £240,963 to shareholders by way of a buyback of 250,000 ordinary shares at a price of 96.39p per share.</t>
  </si>
  <si>
    <t>The company returned £242,555 to shareholders by way of a buyback of 250,000 ordinary shares at a price of 97.02p per share.</t>
  </si>
  <si>
    <t>The company returned £241,578 to shareholders by way of a buyback of 250,000 ordinary shares at a price of 96.63p per share.</t>
  </si>
  <si>
    <t>The company returned £242,960 to shareholders by way of a buyback of 250,000 ordinary shares at a price of 97.18p per share.</t>
  </si>
  <si>
    <t>The company returned £239,753 to shareholders by way of a buyback of 250,000 ordinary shares at a price of 95.9p per share.</t>
  </si>
  <si>
    <t>The company returned £236,553 to shareholders by way of a buyback of 250,000 ordinary shares at a price of 94.62p per share.</t>
  </si>
  <si>
    <t>The company returned £233,170 to shareholders by way of a buyback of 250,000 ordinary shares at a price of 93.27p per share.</t>
  </si>
  <si>
    <t>The company returned £230,768 to shareholders by way of a buyback of 250,000 ordinary shares at a price of 92.31p per share.</t>
  </si>
  <si>
    <t>The company returned £234,113 to shareholders by way of a buyback of 250,000 ordinary shares at a price of 93.65p per share.</t>
  </si>
  <si>
    <t>The company returned £235,613 to shareholders by way of a buyback of 250,000 ordinary shares at a price of 94.25p per share.</t>
  </si>
  <si>
    <t>The company returned £92,320 to shareholders by way of a buyback of 100,000 ordinary shares at a price of 92.32p per share.</t>
  </si>
  <si>
    <t>The company returned £68,200 to shareholders by way of a buyback of 55,000 ordinary shares at a price of 124.p per share.</t>
  </si>
  <si>
    <t>The company returned £93,000 to shareholders by way of a buyback of 75,000 ordinary shares at a price of 124.p per share.</t>
  </si>
  <si>
    <t>The company returned £34,720 to shareholders by way of a buyback of 28,000 ordinary shares at a price of 124.p per share.</t>
  </si>
  <si>
    <t>The company returned £74,400 to shareholders by way of a buyback of 60,000 ordinary shares at a price of 124.p per share.</t>
  </si>
  <si>
    <t>The company returned £31,000 to shareholders by way of a buyback of 25,000 ordinary shares at a price of 124.p per share.</t>
  </si>
  <si>
    <t>The company returned £30,473 to shareholders by way of a buyback of 25,000 ordinary shares at a price of 121.89p per share.</t>
  </si>
  <si>
    <t>The company returned £28,024 to shareholders by way of a buyback of 22,600 ordinary shares at a price of 124.p per share.</t>
  </si>
  <si>
    <t>The company returned £30,500 to shareholders by way of a buyback of 25,000 ordinary shares at a price of 122.p per share.</t>
  </si>
  <si>
    <t>The company returned £24,600 to shareholders by way of a buyback of 20,000 ordinary shares at a price of 123.p per share.</t>
  </si>
  <si>
    <t>The company returned £30,750 to shareholders by way of a buyback of 25,000 ordinary shares at a price of 123.p per share.</t>
  </si>
  <si>
    <t>The company returned £25,250 to shareholders by way of a buyback of 25,000 ordinary shares at a price of 101.p per share.</t>
  </si>
  <si>
    <t>The company returned £273,000 to shareholders by way of a buyback of 75,000 ordinary shares at a price of 364.p per share.</t>
  </si>
  <si>
    <t>The company returned £369,000 to shareholders by way of a buyback of 100,000 ordinary shares at a price of 369.p per share.</t>
  </si>
  <si>
    <t>The company returned £276,375 to shareholders by way of a buyback of 75,000 ordinary shares at a price of 368.5p per share.</t>
  </si>
  <si>
    <t>The company returned £308,000 to shareholders by way of a buyback of 100,000 ordinary shares at a price of 308.p per share.</t>
  </si>
  <si>
    <t>The company returned £127,195 to shareholders by way of a buyback of 42,683 ordinary shares at a price of 298.p per share.</t>
  </si>
  <si>
    <t>The company returned £6,665 to shareholders by way of a buyback of 2,229 ordinary shares at a price of 299.p per share.</t>
  </si>
  <si>
    <t>The company returned £121,645 to shareholders by way of a buyback of 40,000 ordinary shares at a price of 304.11p per share.</t>
  </si>
  <si>
    <t>The company returned £153,100 to shareholders by way of a buyback of 50,033 ordinary shares at a price of 306.p per share.</t>
  </si>
  <si>
    <t>The company returned £172,082 to shareholders by way of a buyback of 56,043 ordinary shares at a price of 307.05p per share.</t>
  </si>
  <si>
    <t>The company returned £277,521 to shareholders by way of a buyback of 89,195 ordinary shares at a price of 311.14p per share.</t>
  </si>
  <si>
    <t>The company returned £564,200 to shareholders by way of a buyback of 70,000 ordinary shares at a price of 806.p per share.</t>
  </si>
  <si>
    <t>The company returned £675,750 to shareholders by way of a buyback of 85,000 ordinary shares at a price of 795.p per share.</t>
  </si>
  <si>
    <t>The company returned £684,267 to shareholders by way of a buyback of 85,000 ordinary shares at a price of 805.02p per share.</t>
  </si>
  <si>
    <t>The company returned £680,825 to shareholders by way of a buyback of 85,000 ordinary shares at a price of 800.97p per share.</t>
  </si>
  <si>
    <t>The company returned £440,550 to shareholders by way of a buyback of 55,000 ordinary shares at a price of 801.p per share.</t>
  </si>
  <si>
    <t>The company returned £671,730 to shareholders by way of a buyback of 85,000 ordinary shares at a price of 790.27p per share.</t>
  </si>
  <si>
    <t>The company returned £669,588 to shareholders by way of a buyback of 85,000 ordinary shares at a price of 787.75p per share.</t>
  </si>
  <si>
    <t>The company returned £671,500 to shareholders by way of a buyback of 85,000 ordinary shares at a price of 790.p per share.</t>
  </si>
  <si>
    <t>The company returned £667,250 to shareholders by way of a buyback of 85,000 ordinary shares at a price of 785.p per share.</t>
  </si>
  <si>
    <t>The company returned £672,350 to shareholders by way of a buyback of 85,000 ordinary shares at a price of 791.p per share.</t>
  </si>
  <si>
    <t>The company returned £673,200 to shareholders by way of a buyback of 85,000 ordinary shares at a price of 792.p per share.</t>
  </si>
  <si>
    <t>The company returned £679,992 to shareholders by way of a buyback of 85,000 ordinary shares at a price of 799.99p per share.</t>
  </si>
  <si>
    <t>The company returned £486,600 to shareholders by way of a buyback of 60,000 ordinary shares at a price of 811.p per share.</t>
  </si>
  <si>
    <t>The company returned £689,308 to shareholders by way of a buyback of 85,000 ordinary shares at a price of 810.95p per share.</t>
  </si>
  <si>
    <t>The company returned £694,450 to shareholders by way of a buyback of 85,000 ordinary shares at a price of 817.p per share.</t>
  </si>
  <si>
    <t>The company returned £202,750 to shareholders by way of a buyback of 25,000 ordinary shares at a price of 811.p per share.</t>
  </si>
  <si>
    <t>The company returned £692,453 to shareholders by way of a buyback of 85,000 ordinary shares at a price of 814.65p per share.</t>
  </si>
  <si>
    <t>The company returned £695,224 to shareholders by way of a buyback of 85,000 ordinary shares at a price of 817.91p per share.</t>
  </si>
  <si>
    <t>The company returned £702,585 to shareholders by way of a buyback of 85,000 ordinary shares at a price of 826.57p per share.</t>
  </si>
  <si>
    <t>The company returned £711,535 to shareholders by way of a buyback of 85,000 ordinary shares at a price of 837.1p per share.</t>
  </si>
  <si>
    <t>The company returned £501,600 to shareholders by way of a buyback of 40,000 ordinary shares at a price of 1,254.p per share.</t>
  </si>
  <si>
    <t>The company returned £633,645 to shareholders by way of a buyback of 50,000 ordinary shares at a price of 1,267.29p per share.</t>
  </si>
  <si>
    <t>The company returned £377,400 to shareholders by way of a buyback of 30,000 ordinary shares at a price of 1,258.p per share.</t>
  </si>
  <si>
    <t>The company returned £127,166 to shareholders by way of a buyback of 10,000 ordinary shares at a price of 1,271.66p per share.</t>
  </si>
  <si>
    <t>The company returned £31,850 to shareholders by way of a buyback of 2,500 ordinary shares at a price of 1,274.p per share.</t>
  </si>
  <si>
    <t>The company returned £36,393 to shareholders by way of a buyback of 10,019 ordinary shares at a price of 363.24p per share.</t>
  </si>
  <si>
    <t>The company returned £36,912 to shareholders by way of a buyback of 10,157 ordinary shares at a price of 363.41p per share.</t>
  </si>
  <si>
    <t>The company returned £38,369 to shareholders by way of a buyback of 10,507 ordinary shares at a price of 365.18p per share.</t>
  </si>
  <si>
    <t>The company returned £2,682,643 to shareholders by way of a buyback of 842,380 ordinary shares at a price of 318.46p per share.</t>
  </si>
  <si>
    <t>The company returned £1,394,043 to shareholders by way of a buyback of 437,292 ordinary shares at a price of 318.79p per share.</t>
  </si>
  <si>
    <t>The company returned £829,396 to shareholders by way of a buyback of 259,608 ordinary shares at a price of 319.48p per share.</t>
  </si>
  <si>
    <t>The company returned £1,467,199 to shareholders by way of a buyback of 462,547 ordinary shares at a price of 317.2p per share.</t>
  </si>
  <si>
    <t>The company returned £894,600 to shareholders by way of a buyback of 280,000 ordinary shares at a price of 319.5p per share.</t>
  </si>
  <si>
    <t>The company returned £79,500 to shareholders by way of a buyback of 25,000 ordinary shares at a price of 318.p per share.</t>
  </si>
  <si>
    <t>The company returned £1,818,547 to shareholders by way of a buyback of 564,766 ordinary shares at a price of 322.p per share.</t>
  </si>
  <si>
    <t>The company returned £890,688 to shareholders by way of a buyback of 278,514 ordinary shares at a price of 319.8p per share.</t>
  </si>
  <si>
    <t>The company returned £1,085,317 to shareholders by way of a buyback of 339,735 ordinary shares at a price of 319.46p per share.</t>
  </si>
  <si>
    <t>The company returned £1,133,394 to shareholders by way of a buyback of 354,053 ordinary shares at a price of 320.12p per share.</t>
  </si>
  <si>
    <t>The company returned £1,913,160 to shareholders by way of a buyback of 600,000 ordinary shares at a price of 318.86p per share.</t>
  </si>
  <si>
    <t>The company returned £676,897 to shareholders by way of a buyback of 212,200 ordinary shares at a price of 318.99p per share.</t>
  </si>
  <si>
    <t>The company returned £692,098 to shareholders by way of a buyback of 220,000 ordinary shares at a price of 314.59p per share.</t>
  </si>
  <si>
    <t>The company returned £667,755 to shareholders by way of a buyback of 213,000 ordinary shares at a price of 313.5p per share.</t>
  </si>
  <si>
    <t>The company returned £1,677,088 to shareholders by way of a buyback of 138,756 ordinary shares at a price of 1,208.66p per share.</t>
  </si>
  <si>
    <t>The company returned £251,551 to shareholders by way of a buyback of 20,899 ordinary shares at a price of 1,203.65p per share.</t>
  </si>
  <si>
    <t>The company returned £349,833 to shareholders by way of a buyback of 28,684 ordinary shares at a price of 1,219.61p per share.</t>
  </si>
  <si>
    <t>The company returned £314,840 to shareholders by way of a buyback of 25,477 ordinary shares at a price of 1,235.78p per share.</t>
  </si>
  <si>
    <t>The company returned £865,200 to shareholders by way of a buyback of 70,000 ordinary shares at a price of 1,236.p per share.</t>
  </si>
  <si>
    <t>The company returned £937,500 to shareholders by way of a buyback of 75,000 ordinary shares at a price of 1,250.p per share.</t>
  </si>
  <si>
    <t>The company returned £172,477 to shareholders by way of a buyback of 13,887 ordinary shares at a price of 1,242.p per share.</t>
  </si>
  <si>
    <t>The company returned £1,778,738 to shareholders by way of a buyback of 140,908 ordinary shares at a price of 1,262.34p per share.</t>
  </si>
  <si>
    <t>The company returned £1,122,762 to shareholders by way of a buyback of 86,349 ordinary shares at a price of 1,300.26p per share.</t>
  </si>
  <si>
    <t>The company returned £2,613,030 to shareholders by way of a buyback of 350,000 ordinary shares at a price of 746.58p per share.</t>
  </si>
  <si>
    <t>The company returned £1,842,975 to shareholders by way of a buyback of 250,000 ordinary shares at a price of 737.19p per share.</t>
  </si>
  <si>
    <t>The company returned £2,571,380 to shareholders by way of a buyback of 350,000 ordinary shares at a price of 734.68p per share.</t>
  </si>
  <si>
    <t>The company returned £2,589,090 to shareholders by way of a buyback of 350,000 ordinary shares at a price of 739.74p per share.</t>
  </si>
  <si>
    <t>The company returned £2,569,805 to shareholders by way of a buyback of 350,000 ordinary shares at a price of 734.23p per share.</t>
  </si>
  <si>
    <t>The company returned £2,010,163 to shareholders by way of a buyback of 269,199 ordinary shares at a price of 746.72p per share.</t>
  </si>
  <si>
    <t>The company returned £2,659,825 to shareholders by way of a buyback of 350,000 ordinary shares at a price of 759.95p per share.</t>
  </si>
  <si>
    <t>The company returned £591,405 to shareholders by way of a buyback of 78,443 ordinary shares at a price of 753.93p per share.</t>
  </si>
  <si>
    <t>The company returned £463,290 to shareholders by way of a buyback of 61,204 ordinary shares at a price of 756.96p per share.</t>
  </si>
  <si>
    <t>The company returned £208,346 to shareholders by way of a buyback of 27,466 ordinary shares at a price of 758.56p per share.</t>
  </si>
  <si>
    <t>The company returned £856,643 to shareholders by way of a buyback of 111,013 ordinary shares at a price of 771.66p per share.</t>
  </si>
  <si>
    <t>The company returned £963,885 to shareholders by way of a buyback of 126,792 ordinary shares at a price of 760.21p per share.</t>
  </si>
  <si>
    <t>The company returned £1,093,082 to shareholders by way of a buyback of 142,700 ordinary shares at a price of 766.p per share.</t>
  </si>
  <si>
    <t>The company returned £1,448,085 to shareholders by way of a buyback of 190,000 ordinary shares at a price of 762.15p per share.</t>
  </si>
  <si>
    <t>The company returned £194,250 to shareholders by way of a buyback of 25,000 ordinary shares at a price of 777.p per share.</t>
  </si>
  <si>
    <t>The company returned £659,791 to shareholders by way of a buyback of 83,307 ordinary shares at a price of 792.p per share.</t>
  </si>
  <si>
    <t>The company returned £27,252 to shareholders by way of a buyback of 44,040 ordinary shares at a price of 61.88p per share.</t>
  </si>
  <si>
    <t>The company returned £21,537 to shareholders by way of a buyback of 34,866 ordinary shares at a price of 61.77p per share.</t>
  </si>
  <si>
    <t>The company returned £27,464 to shareholders by way of a buyback of 44,890 ordinary shares at a price of 61.18p per share.</t>
  </si>
  <si>
    <t>The company returned £26,258 to shareholders by way of a buyback of 43,117 ordinary shares at a price of 60.9p per share.</t>
  </si>
  <si>
    <t>The company returned £39,932 to shareholders by way of a buyback of 64,741 ordinary shares at a price of 61.68p per share.</t>
  </si>
  <si>
    <t>The company returned £26,317 to shareholders by way of a buyback of 42,229 ordinary shares at a price of 62.32p per share.</t>
  </si>
  <si>
    <t>The company returned £27,699 to shareholders by way of a buyback of 44,312 ordinary shares at a price of 62.51p per share.</t>
  </si>
  <si>
    <t>The company returned £27,816 to shareholders by way of a buyback of 44,778 ordinary shares at a price of 62.12p per share.</t>
  </si>
  <si>
    <t>The company returned £27,127 to shareholders by way of a buyback of 43,782 ordinary shares at a price of 61.96p per share.</t>
  </si>
  <si>
    <t>The company returned £38,686 to shareholders by way of a buyback of 61,582 ordinary shares at a price of 62.82p per share.</t>
  </si>
  <si>
    <t>The company returned £27,967 to shareholders by way of a buyback of 44,469 ordinary shares at a price of 62.89p per share.</t>
  </si>
  <si>
    <t>The company returned £28,349 to shareholders by way of a buyback of 44,871 ordinary shares at a price of 63.18p per share.</t>
  </si>
  <si>
    <t>The company returned £28,230 to shareholders by way of a buyback of 44,632 ordinary shares at a price of 63.25p per share.</t>
  </si>
  <si>
    <t>The company returned £27,974 to shareholders by way of a buyback of 44,996 ordinary shares at a price of 62.17p per share.</t>
  </si>
  <si>
    <t>The company returned £22,696 to shareholders by way of a buyback of 37,000 ordinary shares at a price of 61.34p per share.</t>
  </si>
  <si>
    <t>The company returned £25,807 to shareholders by way of a buyback of 41,364 ordinary shares at a price of 62.39p per share.</t>
  </si>
  <si>
    <t>The company returned £27,879 to shareholders by way of a buyback of 44,259 ordinary shares at a price of 62.99p per share.</t>
  </si>
  <si>
    <t>The company returned £26,501 to shareholders by way of a buyback of 41,787 ordinary shares at a price of 63.42p per share.</t>
  </si>
  <si>
    <t>The company returned £28,319 to shareholders by way of a buyback of 45,000 ordinary shares at a price of 62.93p per share.</t>
  </si>
  <si>
    <t>The company returned £39,970 to shareholders by way of a buyback of 62,561 ordinary shares at a price of 63.89p per share.</t>
  </si>
  <si>
    <t>The company returned £242,443 to shareholders by way of a buyback of 70,131 ordinary shares at a price of 345.7p per share.</t>
  </si>
  <si>
    <t>The company returned £20,011 to shareholders by way of a buyback of 5,903 ordinary shares at a price of 339.p per share.</t>
  </si>
  <si>
    <t>The company returned £101,799 to shareholders by way of a buyback of 30,000 ordinary shares at a price of 339.33p per share.</t>
  </si>
  <si>
    <t>The company returned £13,709 to shareholders by way of a buyback of 4,032 ordinary shares at a price of 340.p per share.</t>
  </si>
  <si>
    <t>The company returned £68,570 to shareholders by way of a buyback of 20,000 ordinary shares at a price of 342.85p per share.</t>
  </si>
  <si>
    <t>The company returned £68,800 to shareholders by way of a buyback of 20,000 ordinary shares at a price of 344.p per share.</t>
  </si>
  <si>
    <t>The company returned £113,926 to shareholders by way of a buyback of 32,981 ordinary shares at a price of 345.43p per share.</t>
  </si>
  <si>
    <t>The company returned £132,640 to shareholders by way of a buyback of 172,193 ordinary shares at a price of 77.03p per share.</t>
  </si>
  <si>
    <t>The company returned £135,021 to shareholders by way of a buyback of 176,891 ordinary shares at a price of 76.33p per share.</t>
  </si>
  <si>
    <t>The company returned £128,162 to shareholders by way of a buyback of 168,413 ordinary shares at a price of 76.1p per share.</t>
  </si>
  <si>
    <t>The company returned £120,365 to shareholders by way of a buyback of 157,939 ordinary shares at a price of 76.21p per share.</t>
  </si>
  <si>
    <t>The company returned £62,319 to shareholders by way of a buyback of 81,495 ordinary shares at a price of 76.47p per share.</t>
  </si>
  <si>
    <t>The company returned £168,674 to shareholders by way of a buyback of 219,086 ordinary shares at a price of 76.99p per share.</t>
  </si>
  <si>
    <t>The company returned £157,325 to shareholders by way of a buyback of 203,868 ordinary shares at a price of 77.17p per share.</t>
  </si>
  <si>
    <t>The company returned £23,758 to shareholders by way of a buyback of 31,004 ordinary shares at a price of 76.63p per share.</t>
  </si>
  <si>
    <t>The company returned £66,207 to shareholders by way of a buyback of 86,319 ordinary shares at a price of 76.7p per share.</t>
  </si>
  <si>
    <t>The company returned £258,405 to shareholders by way of a buyback of 336,465 ordinary shares at a price of 76.8p per share.</t>
  </si>
  <si>
    <t>The company returned £42,083 to shareholders by way of a buyback of 54,938 ordinary shares at a price of 76.6p per share.</t>
  </si>
  <si>
    <t>The company returned £27,200 to shareholders by way of a buyback of 35,371 ordinary shares at a price of 76.9p per share.</t>
  </si>
  <si>
    <t>The company returned £48,985 to shareholders by way of a buyback of 50,000 ordinary shares at a price of 97.97p per share.</t>
  </si>
  <si>
    <t>The company returned £49,050 to shareholders by way of a buyback of 50,000 ordinary shares at a price of 98.1p per share.</t>
  </si>
  <si>
    <t>The company returned £49,045 to shareholders by way of a buyback of 50,000 ordinary shares at a price of 98.09p per share.</t>
  </si>
  <si>
    <t>The company returned £48,970 to shareholders by way of a buyback of 50,000 ordinary shares at a price of 97.94p per share.</t>
  </si>
  <si>
    <t>The company returned £52,048 to shareholders by way of a buyback of 52,991 ordinary shares at a price of 98.22p per share.</t>
  </si>
  <si>
    <t>The company returned £49,275 to shareholders by way of a buyback of 50,000 ordinary shares at a price of 98.55p per share.</t>
  </si>
  <si>
    <t>The company returned £49,260 to shareholders by way of a buyback of 50,000 ordinary shares at a price of 98.52p per share.</t>
  </si>
  <si>
    <t>The company returned £49,325 to shareholders by way of a buyback of 50,000 ordinary shares at a price of 98.65p per share.</t>
  </si>
  <si>
    <t>The company returned £48,215 to shareholders by way of a buyback of 50,000 ordinary shares at a price of 96.43p per share.</t>
  </si>
  <si>
    <t>The company returned £49,154 to shareholders by way of a buyback of 51,954 ordinary shares at a price of 94.61p per share.</t>
  </si>
  <si>
    <t>The company returned £38,205 to shareholders by way of a buyback of 40,600 ordinary shares at a price of 94.1p per share.</t>
  </si>
  <si>
    <t>The company returned £110,000 to shareholders by way of a buyback of 40,000 ordinary shares at a price of 275.p per share.</t>
  </si>
  <si>
    <t>The company returned £247,401 to shareholders by way of a buyback of 90,000 ordinary shares at a price of 274.89p per share.</t>
  </si>
  <si>
    <t>The company returned £109,600 to shareholders by way of a buyback of 40,000 ordinary shares at a price of 274.p per share.</t>
  </si>
  <si>
    <t>The company returned £444,600 to shareholders by way of a buyback of 160,000 ordinary shares at a price of 277.88p per share.</t>
  </si>
  <si>
    <t>The company returned £277,000 to shareholders by way of a buyback of 100,000 ordinary shares at a price of 277.p per share.</t>
  </si>
  <si>
    <t>The company returned £231,462 to shareholders by way of a buyback of 84,000 ordinary shares at a price of 275.55p per share.</t>
  </si>
  <si>
    <t>The company returned £137,250 to shareholders by way of a buyback of 50,000 ordinary shares at a price of 274.5p per share.</t>
  </si>
  <si>
    <t>The company returned £165,600 to shareholders by way of a buyback of 60,000 ordinary shares at a price of 276.p per share.</t>
  </si>
  <si>
    <t>The company returned £42,000 to shareholders by way of a buyback of 15,000 ordinary shares at a price of 280.p per share.</t>
  </si>
  <si>
    <t>The company returned £28,200 to shareholders by way of a buyback of 10,000 ordinary shares at a price of 282.p per share.</t>
  </si>
  <si>
    <t>The company returned £131,283 to shareholders by way of a buyback of 46,850 ordinary shares at a price of 280.22p per share.</t>
  </si>
  <si>
    <t>The company returned £98,700 to shareholders by way of a buyback of 35,000 ordinary shares at a price of 282.p per share.</t>
  </si>
  <si>
    <t>The company returned £191,760 to shareholders by way of a buyback of 68,000 ordinary shares at a price of 282.p per share.</t>
  </si>
  <si>
    <t>The company returned £159,000 to shareholders by way of a buyback of 5,000 ordinary shares at a price of 3,180.p per share.</t>
  </si>
  <si>
    <t>The company returned £364,975 to shareholders by way of a buyback of 11,500 ordinary shares at a price of 3,173.7p per share.</t>
  </si>
  <si>
    <t>The company returned £357,425 to shareholders by way of a buyback of 11,500 ordinary shares at a price of 3,108.04p per share.</t>
  </si>
  <si>
    <t>The company returned £305,000 to shareholders by way of a buyback of 10,000 ordinary shares at a price of 3,050.p per share.</t>
  </si>
  <si>
    <t>The company returned £307,000 to shareholders by way of a buyback of 10,000 ordinary shares at a price of 3,070.p per share.</t>
  </si>
  <si>
    <t>The company returned £139,275 to shareholders by way of a buyback of 4,500 ordinary shares at a price of 3,095.p per share.</t>
  </si>
  <si>
    <t>The company returned £358,230 to shareholders by way of a buyback of 11,612 ordinary shares at a price of 3,085.p per share.</t>
  </si>
  <si>
    <t>The company returned £529,290 to shareholders by way of a buyback of 17,090 ordinary shares at a price of 3,097.07p per share.</t>
  </si>
  <si>
    <t>The company returned £77,125 to shareholders by way of a buyback of 2,500 ordinary shares at a price of 3,085.p per share.</t>
  </si>
  <si>
    <t>The company returned £156,078 to shareholders by way of a buyback of 5,000 ordinary shares at a price of 3,121.56p per share.</t>
  </si>
  <si>
    <t>The company returned £626,098 to shareholders by way of a buyback of 20,000 ordinary shares at a price of 3,130.49p per share.</t>
  </si>
  <si>
    <t>The company returned £433,706 to shareholders by way of a buyback of 14,000 ordinary shares at a price of 3,097.9p per share.</t>
  </si>
  <si>
    <t>The company returned £462,716 to shareholders by way of a buyback of 15,000 ordinary shares at a price of 3,084.77p per share.</t>
  </si>
  <si>
    <t>The company returned £468,750 to shareholders by way of a buyback of 15,000 ordinary shares at a price of 3,125.p per share.</t>
  </si>
  <si>
    <t>The company returned £1,503,715 to shareholders by way of a buyback of 50,000 ordinary shares at a price of 3,007.43p per share.</t>
  </si>
  <si>
    <t>The company returned £1,083,350 to shareholders by way of a buyback of 37,000 ordinary shares at a price of 2,927.97p per share.</t>
  </si>
  <si>
    <t>The company returned £600,818 to shareholders by way of a buyback of 20,000 ordinary shares at a price of 3,004.09p per share.</t>
  </si>
  <si>
    <t>The company returned £677,312 to shareholders by way of a buyback of 22,500 ordinary shares at a price of 3,010.28p per share.</t>
  </si>
  <si>
    <t>The company returned £1,236,600 to shareholders by way of a buyback of 135,000 ordinary shares at a price of 916.p per share.</t>
  </si>
  <si>
    <t>The company returned £509,880 to shareholders by way of a buyback of 55,058 ordinary shares at a price of 926.08p per share.</t>
  </si>
  <si>
    <t>The company returned £625,394 to shareholders by way of a buyback of 67,861 ordinary shares at a price of 921.58p per share.</t>
  </si>
  <si>
    <t>The company returned £463,500 to shareholders by way of a buyback of 50,000 ordinary shares at a price of 927.p per share.</t>
  </si>
  <si>
    <t>The company returned £844,500 to shareholders by way of a buyback of 200,000 ordinary shares at a price of 422.25p per share.</t>
  </si>
  <si>
    <t>The company returned £457,000 to shareholders by way of a buyback of 100,000 ordinary shares at a price of 457.p per share.</t>
  </si>
  <si>
    <t>The company returned £463,000 to shareholders by way of a buyback of 100,000 ordinary shares at a price of 463.p per share.</t>
  </si>
  <si>
    <t>The company returned £899,938 to shareholders by way of a buyback of 200,000 ordinary shares at a price of 449.97p per share.</t>
  </si>
  <si>
    <t>The company returned £877,238 to shareholders by way of a buyback of 200,000 ordinary shares at a price of 438.62p per share.</t>
  </si>
  <si>
    <t>The company returned £768,003 to shareholders by way of a buyback of 175,000 ordinary shares at a price of 438.86p per share.</t>
  </si>
  <si>
    <t>The company returned £433,866 to shareholders by way of a buyback of 100,000 ordinary shares at a price of 433.87p per share.</t>
  </si>
  <si>
    <t>The company returned £811,272 to shareholders by way of a buyback of 200,000 ordinary shares at a price of 405.64p per share.</t>
  </si>
  <si>
    <t>The company returned £421,180 to shareholders by way of a buyback of 100,000 ordinary shares at a price of 421.18p per share.</t>
  </si>
  <si>
    <t>The company returned £1,222,203 to shareholders by way of a buyback of 300,000 ordinary shares at a price of 407.4p per share.</t>
  </si>
  <si>
    <t>The company returned £206,943 to shareholders by way of a buyback of 175,000 ordinary shares at a price of 118.25p per share.</t>
  </si>
  <si>
    <t>The company returned £176,325 to shareholders by way of a buyback of 150,000 ordinary shares at a price of 117.55p per share.</t>
  </si>
  <si>
    <t>The company returned £178,085 to shareholders by way of a buyback of 150,000 ordinary shares at a price of 118.72p per share.</t>
  </si>
  <si>
    <t>The company returned £206,115 to shareholders by way of a buyback of 175,000 ordinary shares at a price of 117.78p per share.</t>
  </si>
  <si>
    <t>The company returned £229,320 to shareholders by way of a buyback of 195,000 ordinary shares at a price of 117.6p per share.</t>
  </si>
  <si>
    <t>The company returned £192,595 to shareholders by way of a buyback of 165,000 ordinary shares at a price of 116.72p per share.</t>
  </si>
  <si>
    <t>The company returned £176,040 to shareholders by way of a buyback of 150,000 ordinary shares at a price of 117.36p per share.</t>
  </si>
  <si>
    <t>The company returned £194,981 to shareholders by way of a buyback of 165,000 ordinary shares at a price of 118.17p per share.</t>
  </si>
  <si>
    <t>The company returned £206,903 to shareholders by way of a buyback of 175,000 ordinary shares at a price of 118.23p per share.</t>
  </si>
  <si>
    <t>The company returned £230,042 to shareholders by way of a buyback of 195,000 ordinary shares at a price of 117.97p per share.</t>
  </si>
  <si>
    <t>The company returned £301,500 to shareholders by way of a buyback of 250,000 ordinary shares at a price of 120.6p per share.</t>
  </si>
  <si>
    <t>The company returned £331,089 to shareholders by way of a buyback of 275,000 ordinary shares at a price of 120.4p per share.</t>
  </si>
  <si>
    <t>The company returned £362,940 to shareholders by way of a buyback of 300,000 ordinary shares at a price of 120.98p per share.</t>
  </si>
  <si>
    <t>The company returned £302,500 to shareholders by way of a buyback of 250,000 ordinary shares at a price of 121.p per share.</t>
  </si>
  <si>
    <t>The company returned £182,100 to shareholders by way of a buyback of 150,000 ordinary shares at a price of 121.4p per share.</t>
  </si>
  <si>
    <t>The company returned £151,188 to shareholders by way of a buyback of 125,000 ordinary shares at a price of 120.95p per share.</t>
  </si>
  <si>
    <t>The company returned £183,300 to shareholders by way of a buyback of 150,000 ordinary shares at a price of 122.2p per share.</t>
  </si>
  <si>
    <t>The company returned £179,597 to shareholders by way of a buyback of 145,000 ordinary shares at a price of 123.86p per share.</t>
  </si>
  <si>
    <t>The company returned £61,320 to shareholders by way of a buyback of 4,000 ordinary shares at a price of 1,533.p per share.</t>
  </si>
  <si>
    <t>The company returned £233,250 to shareholders by way of a buyback of 15,000 ordinary shares at a price of 1,555.p per share.</t>
  </si>
  <si>
    <t>The company returned £3,580,800 to shareholders by way of a buyback of 240,000 ordinary shares at a price of 1,492.p per share.</t>
  </si>
  <si>
    <t>The company returned £223,200 to shareholders by way of a buyback of 15,000 ordinary shares at a price of 1,488.p per share.</t>
  </si>
  <si>
    <t>The company returned £744,000 to shareholders by way of a buyback of 50,000 ordinary shares at a price of 1,488.p per share.</t>
  </si>
  <si>
    <t>The company returned £223,350 to shareholders by way of a buyback of 15,000 ordinary shares at a price of 1,489.p per share.</t>
  </si>
  <si>
    <t>The company returned £223,050 to shareholders by way of a buyback of 15,000 ordinary shares at a price of 1,487.p per share.</t>
  </si>
  <si>
    <t>The company returned £223,500 to shareholders by way of a buyback of 15,000 ordinary shares at a price of 1,490.p per share.</t>
  </si>
  <si>
    <t>The company returned £221,850 to shareholders by way of a buyback of 15,000 ordinary shares at a price of 1,479.p per share.</t>
  </si>
  <si>
    <t>The company returned £222,150 to shareholders by way of a buyback of 15,000 ordinary shares at a price of 1,481.p per share.</t>
  </si>
  <si>
    <t>The company returned £222,750 to shareholders by way of a buyback of 15,000 ordinary shares at a price of 1,485.p per share.</t>
  </si>
  <si>
    <t>The company returned £125,760 to shareholders by way of a buyback of 8,384 ordinary shares at a price of 1,500.p per share.</t>
  </si>
  <si>
    <t>The company returned £226,650 to shareholders by way of a buyback of 15,000 ordinary shares at a price of 1,511.p per share.</t>
  </si>
  <si>
    <t>The company returned £225,150 to shareholders by way of a buyback of 15,000 ordinary shares at a price of 1,501.p per share.</t>
  </si>
  <si>
    <t>The company returned £225,000 to shareholders by way of a buyback of 15,000 ordinary shares at a price of 1,500.p per share.</t>
  </si>
  <si>
    <t>The company returned £445,800 to shareholders by way of a buyback of 30,000 ordinary shares at a price of 1,486.p per share.</t>
  </si>
  <si>
    <t>The company returned £40,250 to shareholders by way of a buyback of 25,000 ordinary shares at a price of 161.p per share.</t>
  </si>
  <si>
    <t>The company returned £74,980 to shareholders by way of a buyback of 46,000 ordinary shares at a price of 163.p per share.</t>
  </si>
  <si>
    <t>The company returned £112,350 to shareholders by way of a buyback of 70,000 ordinary shares at a price of 160.5p per share.</t>
  </si>
  <si>
    <t>The company returned £59,250 to shareholders by way of a buyback of 37,500 ordinary shares at a price of 158.p per share.</t>
  </si>
  <si>
    <t>The company returned £95,352 to shareholders by way of a buyback of 60,000 ordinary shares at a price of 158.92p per share.</t>
  </si>
  <si>
    <t>The company returned £62,800 to shareholders by way of a buyback of 40,000 ordinary shares at a price of 157.p per share.</t>
  </si>
  <si>
    <t>The company returned £77,750 to shareholders by way of a buyback of 50,000 ordinary shares at a price of 155.5p per share.</t>
  </si>
  <si>
    <t>The company returned £57,224 to shareholders by way of a buyback of 37,000 ordinary shares at a price of 154.66p per share.</t>
  </si>
  <si>
    <t>The company returned £322,750 to shareholders by way of a buyback of 250,000 ordinary shares at a price of 129.1p per share.</t>
  </si>
  <si>
    <t>The company returned £321,000 to shareholders by way of a buyback of 250,000 ordinary shares at a price of 128.4p per share.</t>
  </si>
  <si>
    <t>The company returned £317,000 to shareholders by way of a buyback of 250,000 ordinary shares at a price of 126.8p per share.</t>
  </si>
  <si>
    <t>The company returned £326,500 to shareholders by way of a buyback of 250,000 ordinary shares at a price of 130.6p per share.</t>
  </si>
  <si>
    <t>The company returned £327,250 to shareholders by way of a buyback of 250,000 ordinary shares at a price of 130.9p per share.</t>
  </si>
  <si>
    <t>The company returned £326,000 to shareholders by way of a buyback of 250,000 ordinary shares at a price of 130.4p per share.</t>
  </si>
  <si>
    <t>The company returned £327,500 to shareholders by way of a buyback of 250,000 ordinary shares at a price of 131.p per share.</t>
  </si>
  <si>
    <t>The company returned £328,250 to shareholders by way of a buyback of 250,000 ordinary shares at a price of 131.3p per share.</t>
  </si>
  <si>
    <t>The company returned £333,250 to shareholders by way of a buyback of 250,000 ordinary shares at a price of 133.3p per share.</t>
  </si>
  <si>
    <t>The company returned £328,500 to shareholders by way of a buyback of 75,000 ordinary shares at a price of 438.p per share.</t>
  </si>
  <si>
    <t>The company returned £330,000 to shareholders by way of a buyback of 75,000 ordinary shares at a price of 440.p per share.</t>
  </si>
  <si>
    <t>The company returned £221,000 to shareholders by way of a buyback of 50,000 ordinary shares at a price of 442.p per share.</t>
  </si>
  <si>
    <t>The company returned £222,500 to shareholders by way of a buyback of 50,000 ordinary shares at a price of 445.p per share.</t>
  </si>
  <si>
    <t>The company returned £225,000 to shareholders by way of a buyback of 50,000 ordinary shares at a price of 450.p per share.</t>
  </si>
  <si>
    <t>The company returned £341,250 to shareholders by way of a buyback of 75,000 ordinary shares at a price of 455.p per share.</t>
  </si>
  <si>
    <t>The company returned £345,000 to shareholders by way of a buyback of 75,000 ordinary shares at a price of 460.p per share.</t>
  </si>
  <si>
    <t>The company returned £346,500 to shareholders by way of a buyback of 75,000 ordinary shares at a price of 462.p per share.</t>
  </si>
  <si>
    <t>The company returned £350,865 to shareholders by way of a buyback of 31,575 ordinary shares at a price of 1,111.21p per share.</t>
  </si>
  <si>
    <t>The company returned £336,399 to shareholders by way of a buyback of 30,000 ordinary shares at a price of 1,121.33p per share.</t>
  </si>
  <si>
    <t>The company returned £560,675 to shareholders by way of a buyback of 50,000 ordinary shares at a price of 1,121.35p per share.</t>
  </si>
  <si>
    <t>The company returned £593,279 to shareholders by way of a buyback of 53,545 ordinary shares at a price of 1,108.p per share.</t>
  </si>
  <si>
    <t>The company returned £354,675 to shareholders by way of a buyback of 31,876 ordinary shares at a price of 1,112.67p per share.</t>
  </si>
  <si>
    <t>The company returned £305,723 to shareholders by way of a buyback of 27,250 ordinary shares at a price of 1,121.92p per share.</t>
  </si>
  <si>
    <t>The company returned £450,008 to shareholders by way of a buyback of 40,000 ordinary shares at a price of 1,125.02p per share.</t>
  </si>
  <si>
    <t>The company returned £559,760 to shareholders by way of a buyback of 50,000 ordinary shares at a price of 1,119.52p per share.</t>
  </si>
  <si>
    <t>The company returned £671,448 to shareholders by way of a buyback of 60,000 ordinary shares at a price of 1,119.08p per share.</t>
  </si>
  <si>
    <t>The company returned £676,794 to shareholders by way of a buyback of 60,000 ordinary shares at a price of 1,127.99p per share.</t>
  </si>
  <si>
    <t>The company returned £564,850 to shareholders by way of a buyback of 50,000 ordinary shares at a price of 1,129.7p per share.</t>
  </si>
  <si>
    <t>The company returned £562,670 to shareholders by way of a buyback of 50,000 ordinary shares at a price of 1,125.34p per share.</t>
  </si>
  <si>
    <t>The company returned £153,604 to shareholders by way of a buyback of 52,202 ordinary shares at a price of 294.25p per share.</t>
  </si>
  <si>
    <t>The company returned £214,904 to shareholders by way of a buyback of 73,939 ordinary shares at a price of 290.65p per share.</t>
  </si>
  <si>
    <t>The company returned £1,101,750 to shareholders by way of a buyback of 750,000 ordinary shares at a price of 146.9p per share.</t>
  </si>
  <si>
    <t>The company returned £583,040 to shareholders by way of a buyback of 400,000 ordinary shares at a price of 145.76p per share.</t>
  </si>
  <si>
    <t>The company returned £1,086,000 to shareholders by way of a buyback of 750,000 ordinary shares at a price of 144.8p per share.</t>
  </si>
  <si>
    <t>The company returned £947,635 to shareholders by way of a buyback of 650,000 ordinary shares at a price of 145.79p per share.</t>
  </si>
  <si>
    <t>The company returned £1,102,500 to shareholders by way of a buyback of 750,000 ordinary shares at a price of 147.p per share.</t>
  </si>
  <si>
    <t>The company returned £1,324,800 to shareholders by way of a buyback of 900,000 ordinary shares at a price of 147.2p per share.</t>
  </si>
  <si>
    <t>The company returned £1,852,500 to shareholders by way of a buyback of 1,250,000 ordinary shares at a price of 148.2p per share.</t>
  </si>
  <si>
    <t>The company returned £1,100,100 to shareholders by way of a buyback of 750,000 ordinary shares at a price of 146.68p per share.</t>
  </si>
  <si>
    <t>The company returned £1,108,050 to shareholders by way of a buyback of 750,000 ordinary shares at a price of 147.74p per share.</t>
  </si>
  <si>
    <t>The company returned £529,914 to shareholders by way of a buyback of 357,422 ordinary shares at a price of 148.26p per share.</t>
  </si>
  <si>
    <t>The company returned £1,497,400 to shareholders by way of a buyback of 1,000,000 ordinary shares at a price of 149.74p per share.</t>
  </si>
  <si>
    <t>The company returned £746,600 to shareholders by way of a buyback of 500,000 ordinary shares at a price of 149.32p per share.</t>
  </si>
  <si>
    <t>The company returned £752,550 to shareholders by way of a buyback of 500,000 ordinary shares at a price of 150.51p per share.</t>
  </si>
  <si>
    <t>The company returned £1,129,875 to shareholders by way of a buyback of 750,000 ordinary shares at a price of 150.65p per share.</t>
  </si>
  <si>
    <t>The company returned £908,364 to shareholders by way of a buyback of 600,095 ordinary shares at a price of 151.37p per share.</t>
  </si>
  <si>
    <t>The company returned £1,151,475 to shareholders by way of a buyback of 750,000 ordinary shares at a price of 153.53p per share.</t>
  </si>
  <si>
    <t>The company returned £787,695 to shareholders by way of a buyback of 510,000 ordinary shares at a price of 154.45p per share.</t>
  </si>
  <si>
    <t>The company returned £108,035 to shareholders by way of a buyback of 69,867 ordinary shares at a price of 154.63p per share.</t>
  </si>
  <si>
    <t>The company returned £1,435,125 to shareholders by way of a buyback of 250,000 ordinary shares at a price of 574.05p per share.</t>
  </si>
  <si>
    <t>The company returned £1,441,275 to shareholders by way of a buyback of 250,000 ordinary shares at a price of 576.51p per share.</t>
  </si>
  <si>
    <t>The company returned £2,894,350 to shareholders by way of a buyback of 500,000 ordinary shares at a price of 578.87p per share.</t>
  </si>
  <si>
    <t>The company returned £1,456,025 to shareholders by way of a buyback of 250,000 ordinary shares at a price of 582.41p per share.</t>
  </si>
  <si>
    <t>The company returned £1,743,540 to shareholders by way of a buyback of 300,000 ordinary shares at a price of 581.18p per share.</t>
  </si>
  <si>
    <t>The company returned £2,024,820 to shareholders by way of a buyback of 350,000 ordinary shares at a price of 578.52p per share.</t>
  </si>
  <si>
    <t>The company returned £83,732 to shareholders by way of a buyback of 14,562 ordinary shares at a price of 575.p per share.</t>
  </si>
  <si>
    <t>The company returned £1,439,500 to shareholders by way of a buyback of 250,000 ordinary shares at a price of 575.8p per share.</t>
  </si>
  <si>
    <t>The company returned £1,460,725 to shareholders by way of a buyback of 250,000 ordinary shares at a price of 584.29p per share.</t>
  </si>
  <si>
    <t>The company returned £1,459,975 to shareholders by way of a buyback of 250,000 ordinary shares at a price of 583.99p per share.</t>
  </si>
  <si>
    <t>The company returned £1,463,475 to shareholders by way of a buyback of 250,000 ordinary shares at a price of 585.39p per share.</t>
  </si>
  <si>
    <t>The company returned £1,015,998 to shareholders by way of a buyback of 175,000 ordinary shares at a price of 580.57p per share.</t>
  </si>
  <si>
    <t>The company returned £1,455,450 to shareholders by way of a buyback of 250,000 ordinary shares at a price of 582.18p per share.</t>
  </si>
  <si>
    <t>The company returned £2,052,015 to shareholders by way of a buyback of 350,000 ordinary shares at a price of 586.29p per share.</t>
  </si>
  <si>
    <t>The company returned £64,273 to shareholders by way of a buyback of 6,883 ordinary shares at a price of 933.79p per share.</t>
  </si>
  <si>
    <t>The company returned £431,100 to shareholders by way of a buyback of 45,000 ordinary shares at a price of 958.p per share.</t>
  </si>
  <si>
    <t>The company returned £241,625 to shareholders by way of a buyback of 25,000 ordinary shares at a price of 966.5p per share.</t>
  </si>
  <si>
    <t>The company returned £809,779 to shareholders by way of a buyback of 100,000 ordinary shares at a price of 809.78p per share.</t>
  </si>
  <si>
    <t>The company returned £206,750 to shareholders by way of a buyback of 25,000 ordinary shares at a price of 827.p per share.</t>
  </si>
  <si>
    <t>The company returned £419,500 to shareholders by way of a buyback of 50,000 ordinary shares at a price of 839.p per share.</t>
  </si>
  <si>
    <t>The company returned £165,600 to shareholders by way of a buyback of 40,000 ordinary shares at a price of 414.p per share.</t>
  </si>
  <si>
    <t>The company returned £164,600 to shareholders by way of a buyback of 40,000 ordinary shares at a price of 411.5p per share.</t>
  </si>
  <si>
    <t>The company returned £101,750 to shareholders by way of a buyback of 25,000 ordinary shares at a price of 407.p per share.</t>
  </si>
  <si>
    <t>The company returned £63,340 to shareholders by way of a buyback of 15,000 ordinary shares at a price of 422.27p per share.</t>
  </si>
  <si>
    <t>The company returned £42,200 to shareholders by way of a buyback of 10,000 ordinary shares at a price of 422.p per share.</t>
  </si>
  <si>
    <t>The company returned £63,475 to shareholders by way of a buyback of 15,000 ordinary shares at a price of 423.17p per share.</t>
  </si>
  <si>
    <t>The company returned £63,268 to shareholders by way of a buyback of 15,000 ordinary shares at a price of 421.79p per share.</t>
  </si>
  <si>
    <t>The company returned £41,783 to shareholders by way of a buyback of 10,000 ordinary shares at a price of 417.83p per share.</t>
  </si>
  <si>
    <t>The company returned £104,750 to shareholders by way of a buyback of 25,000 ordinary shares at a price of 419.p per share.</t>
  </si>
  <si>
    <t>The company returned £123,900 to shareholders by way of a buyback of 30,000 ordinary shares at a price of 413.p per share.</t>
  </si>
  <si>
    <t>The company returned £164,773 to shareholders by way of a buyback of 40,000 ordinary shares at a price of 411.93p per share.</t>
  </si>
  <si>
    <t>The company returned £61,875 to shareholders by way of a buyback of 15,000 ordinary shares at a price of 412.5p per share.</t>
  </si>
  <si>
    <t>The company returned £83,355 to shareholders by way of a buyback of 20,000 ordinary shares at a price of 416.78p per share.</t>
  </si>
  <si>
    <t>The company returned £1,335,250 to shareholders by way of a buyback of 500,000 ordinary shares at a price of 267.05p per share.</t>
  </si>
  <si>
    <t>The company returned £537,760 to shareholders by way of a buyback of 200,000 ordinary shares at a price of 268.88p per share.</t>
  </si>
  <si>
    <t>The company returned £439,882 to shareholders by way of a buyback of 166,622 ordinary shares at a price of 264.p per share.</t>
  </si>
  <si>
    <t>The company returned £532,000 to shareholders by way of a buyback of 200,000 ordinary shares at a price of 266.p per share.</t>
  </si>
  <si>
    <t>The company returned £400,755 to shareholders by way of a buyback of 150,000 ordinary shares at a price of 267.17p per share.</t>
  </si>
  <si>
    <t>The company returned £1,006,549 to shareholders by way of a buyback of 375,578 ordinary shares at a price of 268.p per share.</t>
  </si>
  <si>
    <t>The company returned £400,500 to shareholders by way of a buyback of 150,000 ordinary shares at a price of 267.p per share.</t>
  </si>
  <si>
    <t>The company returned £1,059,500 to shareholders by way of a buyback of 400,000 ordinary shares at a price of 264.88p per share.</t>
  </si>
  <si>
    <t>The company returned £1,595,250 to shareholders by way of a buyback of 600,000 ordinary shares at a price of 265.88p per share.</t>
  </si>
  <si>
    <t>The company returned £1,327,450 to shareholders by way of a buyback of 500,000 ordinary shares at a price of 265.49p per share.</t>
  </si>
  <si>
    <t>The company returned £1,127,112 to shareholders by way of a buyback of 420,000 ordinary shares at a price of 268.36p per share.</t>
  </si>
  <si>
    <t>The company returned £1,337,700 to shareholders by way of a buyback of 500,000 ordinary shares at a price of 267.54p per share.</t>
  </si>
  <si>
    <t>The company returned £758,461 to shareholders by way of a buyback of 283,177 ordinary shares at a price of 267.84p per share.</t>
  </si>
  <si>
    <t>The company returned £1,334,250 to shareholders by way of a buyback of 500,000 ordinary shares at a price of 266.85p per share.</t>
  </si>
  <si>
    <t>The company returned £1,346,350 to shareholders by way of a buyback of 500,000 ordinary shares at a price of 269.27p per share.</t>
  </si>
  <si>
    <t>The company returned £1,347,000 to shareholders by way of a buyback of 500,000 ordinary shares at a price of 269.4p per share.</t>
  </si>
  <si>
    <t>The company returned £1,225,600 to shareholders by way of a buyback of 160,000 ordinary shares at a price of 766.p per share.</t>
  </si>
  <si>
    <t>The company returned £1,626,075 to shareholders by way of a buyback of 219,000 ordinary shares at a price of 742.5p per share.</t>
  </si>
  <si>
    <t>The company returned £1,282,465 to shareholders by way of a buyback of 172,000 ordinary shares at a price of 745.62p per share.</t>
  </si>
  <si>
    <t>The company returned £1,113,000 to shareholders by way of a buyback of 150,000 ordinary shares at a price of 742.p per share.</t>
  </si>
  <si>
    <t>The company returned £1,298,500 to shareholders by way of a buyback of 175,000 ordinary shares at a price of 742.p per share.</t>
  </si>
  <si>
    <t>The company returned £918,750 to shareholders by way of a buyback of 125,000 ordinary shares at a price of 735.p per share.</t>
  </si>
  <si>
    <t>The company returned £146,600 to shareholders by way of a buyback of 20,000 ordinary shares at a price of 733.p per share.</t>
  </si>
  <si>
    <t>The company returned £841,225 to shareholders by way of a buyback of 115,000 ordinary shares at a price of 731.5p per share.</t>
  </si>
  <si>
    <t>The company returned £443,700 to shareholders by way of a buyback of 60,000 ordinary shares at a price of 739.5p per share.</t>
  </si>
  <si>
    <t>The company returned £742,000 to shareholders by way of a buyback of 100,000 ordinary shares at a price of 742.p per share.</t>
  </si>
  <si>
    <t>The company returned £513,100 to shareholders by way of a buyback of 70,000 ordinary shares at a price of 733.p per share.</t>
  </si>
  <si>
    <t>The company returned £185,875 to shareholders by way of a buyback of 25,000 ordinary shares at a price of 743.5p per share.</t>
  </si>
  <si>
    <t>The company returned £971,049 to shareholders by way of a buyback of 130,000 ordinary shares at a price of 746.96p per share.</t>
  </si>
  <si>
    <t>The company returned £937,500 to shareholders by way of a buyback of 125,000 ordinary shares at a price of 750.p per share.</t>
  </si>
  <si>
    <t>The company returned £312,000 to shareholders by way of a buyback of 80,000 ordinary shares at a price of 390.p per share.</t>
  </si>
  <si>
    <t>The company returned £390,000 to shareholders by way of a buyback of 100,000 ordinary shares at a price of 390.p per share.</t>
  </si>
  <si>
    <t>The company returned £148,625 to shareholders by way of a buyback of 30,000 ordinary shares at a price of 495.42p per share.</t>
  </si>
  <si>
    <t>The company returned £149,012 to shareholders by way of a buyback of 30,000 ordinary shares at a price of 496.71p per share.</t>
  </si>
  <si>
    <t>The company returned £138,393 to shareholders by way of a buyback of 30,000 ordinary shares at a price of 461.31p per share.</t>
  </si>
  <si>
    <t>The company returned £136,974 to shareholders by way of a buyback of 30,000 ordinary shares at a price of 456.58p per share.</t>
  </si>
  <si>
    <t>The company returned £139,593 to shareholders by way of a buyback of 30,000 ordinary shares at a price of 465.31p per share.</t>
  </si>
  <si>
    <t>The company returned £141,021 to shareholders by way of a buyback of 30,000 ordinary shares at a price of 470.07p per share.</t>
  </si>
  <si>
    <t>The company returned £142,131 to shareholders by way of a buyback of 30,000 ordinary shares at a price of 473.77p per share.</t>
  </si>
  <si>
    <t>The company returned £140,993 to shareholders by way of a buyback of 30,000 ordinary shares at a price of 469.98p per share.</t>
  </si>
  <si>
    <t>The company returned £119,352 to shareholders by way of a buyback of 25,000 ordinary shares at a price of 477.41p per share.</t>
  </si>
  <si>
    <t>The company returned £143,380 to shareholders by way of a buyback of 30,000 ordinary shares at a price of 477.93p per share.</t>
  </si>
  <si>
    <t>The company returned £72,933 to shareholders by way of a buyback of 15,000 ordinary shares at a price of 486.22p per share.</t>
  </si>
  <si>
    <t>The company returned £95,679 to shareholders by way of a buyback of 20,000 ordinary shares at a price of 478.39p per share.</t>
  </si>
  <si>
    <t>The company returned £73,620 to shareholders by way of a buyback of 15,000 ordinary shares at a price of 490.8p per share.</t>
  </si>
  <si>
    <t>The company returned £119,691 to shareholders by way of a buyback of 25,000 ordinary shares at a price of 478.76p per share.</t>
  </si>
  <si>
    <t>The company returned £95,125 to shareholders by way of a buyback of 20,000 ordinary shares at a price of 475.63p per share.</t>
  </si>
  <si>
    <t>The company returned £116,230 to shareholders by way of a buyback of 25,000 ordinary shares at a price of 464.92p per share.</t>
  </si>
  <si>
    <t>The company returned £111,948 to shareholders by way of a buyback of 25,000 ordinary shares at a price of 447.79p per share.</t>
  </si>
  <si>
    <t>The company returned £41,143 to shareholders by way of a buyback of 9,065 ordinary shares at a price of 453.87p per share.</t>
  </si>
  <si>
    <t>The company returned £93,377 to shareholders by way of a buyback of 20,000 ordinary shares at a price of 466.88p per share.</t>
  </si>
  <si>
    <t>The company returned £92,358 to shareholders by way of a buyback of 20,000 ordinary shares at a price of 461.79p per share.</t>
  </si>
  <si>
    <t>The company returned £3,018,820 to shareholders by way of a buyback of 200,000 ordinary shares at a price of 1,509.41p per share.</t>
  </si>
  <si>
    <t>The company returned £744,600 to shareholders by way of a buyback of 50,000 ordinary shares at a price of 1,489.2p per share.</t>
  </si>
  <si>
    <t>The company returned £1,806,864 to shareholders by way of a buyback of 120,000 ordinary shares at a price of 1,505.72p per share.</t>
  </si>
  <si>
    <t>The company returned £2,935,220 to shareholders by way of a buyback of 200,000 ordinary shares at a price of 1,467.61p per share.</t>
  </si>
  <si>
    <t>The company returned £1,478,920 to shareholders by way of a buyback of 100,000 ordinary shares at a price of 1,478.92p per share.</t>
  </si>
  <si>
    <t>The company returned £1,057,763 to shareholders by way of a buyback of 70,000 ordinary shares at a price of 1,511.09p per share.</t>
  </si>
  <si>
    <t>The company returned £2,494,569 to shareholders by way of a buyback of 165,000 ordinary shares at a price of 1,511.86p per share.</t>
  </si>
  <si>
    <t>The company returned £607,952 to shareholders by way of a buyback of 40,000 ordinary shares at a price of 1,519.88p per share.</t>
  </si>
  <si>
    <t>The company returned £2,471,387 to shareholders by way of a buyback of 165,000 ordinary shares at a price of 1,497.81p per share.</t>
  </si>
  <si>
    <t>The company returned £3,050,120 to shareholders by way of a buyback of 200,000 ordinary shares at a price of 1,525.06p per share.</t>
  </si>
  <si>
    <t>The company returned £47,620 to shareholders by way of a buyback of 28,690 ordinary shares at a price of 165.98p per share.</t>
  </si>
  <si>
    <t>The company returned £115,691 to shareholders by way of a buyback of 69,832 ordinary shares at a price of 165.67p per share.</t>
  </si>
  <si>
    <t>The company returned £34,437 to shareholders by way of a buyback of 21,020 ordinary shares at a price of 163.83p per share.</t>
  </si>
  <si>
    <t>The company returned £220,707 to shareholders by way of a buyback of 134,487 ordinary shares at a price of 164.11p per share.</t>
  </si>
  <si>
    <t>The company returned £170,487 to shareholders by way of a buyback of 103,360 ordinary shares at a price of 164.95p per share.</t>
  </si>
  <si>
    <t>The company returned £80,496 to shareholders by way of a buyback of 48,515 ordinary shares at a price of 165.92p per share.</t>
  </si>
  <si>
    <t>The company returned £180,627 to shareholders by way of a buyback of 110,009 ordinary shares at a price of 164.19p per share.</t>
  </si>
  <si>
    <t>The company returned £50,523 to shareholders by way of a buyback of 30,702 ordinary shares at a price of 164.56p per share.</t>
  </si>
  <si>
    <t>The company returned £329,020 to shareholders by way of a buyback of 200,000 ordinary shares at a price of 164.51p per share.</t>
  </si>
  <si>
    <t>The company returned £263,008 to shareholders by way of a buyback of 160,000 ordinary shares at a price of 164.38p per share.</t>
  </si>
  <si>
    <t>The company returned £205,063 to shareholders by way of a buyback of 125,000 ordinary shares at a price of 164.05p per share.</t>
  </si>
  <si>
    <t>The company returned £331,100 to shareholders by way of a buyback of 200,000 ordinary shares at a price of 165.55p per share.</t>
  </si>
  <si>
    <t>The company returned £105,915 to shareholders by way of a buyback of 63,716 ordinary shares at a price of 166.23p per share.</t>
  </si>
  <si>
    <t>The company returned £50,052 to shareholders by way of a buyback of 30,000 ordinary shares at a price of 166.84p per share.</t>
  </si>
  <si>
    <t>The company returned £305,126 to shareholders by way of a buyback of 182,590 ordinary shares at a price of 167.11p per share.</t>
  </si>
  <si>
    <t>The company returned £89,781 to shareholders by way of a buyback of 54,160 ordinary shares at a price of 165.77p per share.</t>
  </si>
  <si>
    <t>The company returned £61,526 to shareholders by way of a buyback of 37,214 ordinary shares at a price of 165.33p per share.</t>
  </si>
  <si>
    <t>The company returned £190,340 to shareholders by way of a buyback of 115,148 ordinary shares at a price of 165.3p per share.</t>
  </si>
  <si>
    <t>The company returned £38,623 to shareholders by way of a buyback of 23,169 ordinary shares at a price of 166.7p per share.</t>
  </si>
  <si>
    <t>The company returned £933,000 to shareholders by way of a buyback of 100,000 ordinary shares at a price of 933.p per share.</t>
  </si>
  <si>
    <t>The company returned £195,300 to shareholders by way of a buyback of 21,000 ordinary shares at a price of 930.p per share.</t>
  </si>
  <si>
    <t>The company returned £102,520 to shareholders by way of a buyback of 11,000 ordinary shares at a price of 932.p per share.</t>
  </si>
  <si>
    <t>The company returned £234,875 to shareholders by way of a buyback of 25,000 ordinary shares at a price of 939.5p per share.</t>
  </si>
  <si>
    <t>The company returned £742,800 to shareholders by way of a buyback of 80,000 ordinary shares at a price of 928.5p per share.</t>
  </si>
  <si>
    <t>The company returned £935,083 to shareholders by way of a buyback of 100,000 ordinary shares at a price of 935.08p per share.</t>
  </si>
  <si>
    <t>The company returned £285,600 to shareholders by way of a buyback of 30,000 ordinary shares at a price of 952.p per share.</t>
  </si>
  <si>
    <t>The company returned £57,942 to shareholders by way of a buyback of 3,725 ordinary shares at a price of 1,555.5p per share.</t>
  </si>
  <si>
    <t>The company returned £466,500 to shareholders by way of a buyback of 30,000 ordinary shares at a price of 1,555.p per share.</t>
  </si>
  <si>
    <t>The company returned £686,250 to shareholders by way of a buyback of 45,000 ordinary shares at a price of 1,525.p per share.</t>
  </si>
  <si>
    <t>The company returned £219,530 to shareholders by way of a buyback of 14,500 ordinary shares at a price of 1,514.p per share.</t>
  </si>
  <si>
    <t>The company returned £418,383 to shareholders by way of a buyback of 27,680 ordinary shares at a price of 1,511.5p per share.</t>
  </si>
  <si>
    <t>The company returned £135,000 to shareholders by way of a buyback of 9,000 ordinary shares at a price of 1,500.p per share.</t>
  </si>
  <si>
    <t>The company returned £149,300 to shareholders by way of a buyback of 10,000 ordinary shares at a price of 1,493.p per share.</t>
  </si>
  <si>
    <t>The company returned £198,811 to shareholders by way of a buyback of 13,406 ordinary shares at a price of 1,483.p per share.</t>
  </si>
  <si>
    <t>The company returned £230,231 to shareholders by way of a buyback of 15,431 ordinary shares at a price of 1,492.p per share.</t>
  </si>
  <si>
    <t>The company returned £102,130 to shareholders by way of a buyback of 6,836 ordinary shares at a price of 1,494.p per share.</t>
  </si>
  <si>
    <t>The company returned £269,231 to shareholders by way of a buyback of 18,130 ordinary shares at a price of 1,485.p per share.</t>
  </si>
  <si>
    <t>The company returned £251,051 to shareholders by way of a buyback of 16,940 ordinary shares at a price of 1,482.p per share.</t>
  </si>
  <si>
    <t>The company returned £22,631 to shareholders by way of a buyback of 1,525 ordinary shares at a price of 1,484.p per share.</t>
  </si>
  <si>
    <t>The company returned £288,471 to shareholders by way of a buyback of 19,341 ordinary shares at a price of 1,491.5p per share.</t>
  </si>
  <si>
    <t>The company returned £296,000 to shareholders by way of a buyback of 20,000 ordinary shares at a price of 1,480.p per share.</t>
  </si>
  <si>
    <t>The company returned £382,956 to shareholders by way of a buyback of 26,320 ordinary shares at a price of 1,455.p per share.</t>
  </si>
  <si>
    <t>The company returned £427,671 to shareholders by way of a buyback of 30,812 ordinary shares at a price of 1,388.p per share.</t>
  </si>
  <si>
    <t>The company returned £123,736 to shareholders by way of a buyback of 8,569 ordinary shares at a price of 1,444.p per share.</t>
  </si>
  <si>
    <t>The company returned £143,500 to shareholders by way of a buyback of 10,000 ordinary shares at a price of 1,435.p per share.</t>
  </si>
  <si>
    <t>The company returned £87,458 to shareholders by way of a buyback of 6,146 ordinary shares at a price of 1,423.p per share.</t>
  </si>
  <si>
    <t>The company returned £251,750 to shareholders by way of a buyback of 70,000 ordinary shares at a price of 359.64p per share.</t>
  </si>
  <si>
    <t>The company returned £1,728,000 to shareholders by way of a buyback of 480,000 ordinary shares at a price of 360.p per share.</t>
  </si>
  <si>
    <t>The company returned £719,700 to shareholders by way of a buyback of 200,000 ordinary shares at a price of 359.85p per share.</t>
  </si>
  <si>
    <t>The company returned £450,000 to shareholders by way of a buyback of 125,000 ordinary shares at a price of 360.p per share.</t>
  </si>
  <si>
    <t>The company returned £360,000 to shareholders by way of a buyback of 100,000 ordinary shares at a price of 360.p per share.</t>
  </si>
  <si>
    <t>The company returned £254,000 to shareholders by way of a buyback of 50,000 ordinary shares at a price of 508.p per share.</t>
  </si>
  <si>
    <t>The company returned £265,000 to shareholders by way of a buyback of 50,000 ordinary shares at a price of 530.p per share.</t>
  </si>
  <si>
    <t>The company returned £271,000 to shareholders by way of a buyback of 50,000 ordinary shares at a price of 542.p per share.</t>
  </si>
  <si>
    <t>The company returned £515,000 to shareholders by way of a buyback of 100,000 ordinary shares at a price of 515.p per share.</t>
  </si>
  <si>
    <t>The company returned £546,543 to shareholders by way of a buyback of 60,003 ordinary shares at a price of 910.86p per share.</t>
  </si>
  <si>
    <t>The company returned £134,211 to shareholders by way of a buyback of 35,497 ordinary shares at a price of 378.09p per share.</t>
  </si>
  <si>
    <t>The company returned £491,449 to shareholders by way of a buyback of 130,000 ordinary shares at a price of 378.04p per share.</t>
  </si>
  <si>
    <t>The company returned £143,964 to shareholders by way of a buyback of 39,056 ordinary shares at a price of 368.61p per share.</t>
  </si>
  <si>
    <t>The company returned £419,349 to shareholders by way of a buyback of 115,000 ordinary shares at a price of 364.65p per share.</t>
  </si>
  <si>
    <t>The company returned £500,679 to shareholders by way of a buyback of 137,523 ordinary shares at a price of 364.07p per share.</t>
  </si>
  <si>
    <t>The company returned £544,550 to shareholders by way of a buyback of 150,000 ordinary shares at a price of 363.03p per share.</t>
  </si>
  <si>
    <t>The company returned £545,571 to shareholders by way of a buyback of 150,000 ordinary shares at a price of 363.71p per share.</t>
  </si>
  <si>
    <t>The company returned £497,072 to shareholders by way of a buyback of 134,139 ordinary shares at a price of 370.57p per share.</t>
  </si>
  <si>
    <t>The company returned £524,899 to shareholders by way of a buyback of 142,229 ordinary shares at a price of 369.05p per share.</t>
  </si>
  <si>
    <t>The company returned £552,516 to shareholders by way of a buyback of 150,000 ordinary shares at a price of 368.34p per share.</t>
  </si>
  <si>
    <t>The company returned £368,149 to shareholders by way of a buyback of 100,100 ordinary shares at a price of 367.78p per share.</t>
  </si>
  <si>
    <t>The company returned £125,774 to shareholders by way of a buyback of 34,222 ordinary shares at a price of 367.53p per share.</t>
  </si>
  <si>
    <t>The company returned £147,598 to shareholders by way of a buyback of 39,631 ordinary shares at a price of 372.43p per share.</t>
  </si>
  <si>
    <t>The company returned £518,755 to shareholders by way of a buyback of 140,000 ordinary shares at a price of 370.54p per share.</t>
  </si>
  <si>
    <t>The company returned £426,375 to shareholders by way of a buyback of 115,002 ordinary shares at a price of 370.75p per share.</t>
  </si>
  <si>
    <t>The company returned £549,375 to shareholders by way of a buyback of 150,000 ordinary shares at a price of 366.25p per share.</t>
  </si>
  <si>
    <t>The company returned £41,340 to shareholders by way of a buyback of 11,678 ordinary shares at a price of 354.p per share.</t>
  </si>
  <si>
    <t>The company returned £535,197 to shareholders by way of a buyback of 150,000 ordinary shares at a price of 356.8p per share.</t>
  </si>
  <si>
    <t>The company returned £445,325 to shareholders by way of a buyback of 124,495 ordinary shares at a price of 357.71p per share.</t>
  </si>
  <si>
    <t>The company returned £307,356 to shareholders by way of a buyback of 86,250 ordinary shares at a price of 356.36p per share.</t>
  </si>
  <si>
    <t>The company returned £773,049 to shareholders by way of a buyback of 90,000 ordinary shares at a price of 858.94p per share.</t>
  </si>
  <si>
    <t>The company returned £1,719,014 to shareholders by way of a buyback of 200,000 ordinary shares at a price of 859.51p per share.</t>
  </si>
  <si>
    <t>The company returned £430,619 to shareholders by way of a buyback of 50,000 ordinary shares at a price of 861.24p per share.</t>
  </si>
  <si>
    <t>The company returned £162,374 to shareholders by way of a buyback of 20,000 ordinary shares at a price of 811.87p per share.</t>
  </si>
  <si>
    <t>The company returned £401,050 to shareholders by way of a buyback of 65,000 ordinary shares at a price of 617.p per share.</t>
  </si>
  <si>
    <t>The company returned £619,210 to shareholders by way of a buyback of 100,000 ordinary shares at a price of 619.21p per share.</t>
  </si>
  <si>
    <t>The company returned £852,904 to shareholders by way of a buyback of 139,000 ordinary shares at a price of 613.6p per share.</t>
  </si>
  <si>
    <t>The company returned £925,500 to shareholders by way of a buyback of 150,000 ordinary shares at a price of 617.p per share.</t>
  </si>
  <si>
    <t>The company returned £917,700 to shareholders by way of a buyback of 150,000 ordinary shares at a price of 611.8p per share.</t>
  </si>
  <si>
    <t>The company returned £151,750 to shareholders by way of a buyback of 25,000 ordinary shares at a price of 607.p per share.</t>
  </si>
  <si>
    <t>The company returned £212,450 to shareholders by way of a buyback of 35,000 ordinary shares at a price of 607.p per share.</t>
  </si>
  <si>
    <t>The company returned £455,250 to shareholders by way of a buyback of 75,000 ordinary shares at a price of 607.p per share.</t>
  </si>
  <si>
    <t>The company returned £182,100 to shareholders by way of a buyback of 30,000 ordinary shares at a price of 607.p per share.</t>
  </si>
  <si>
    <t>The company returned £606,000 to shareholders by way of a buyback of 100,000 ordinary shares at a price of 606.p per share.</t>
  </si>
  <si>
    <t>The company returned £831,169 to shareholders by way of a buyback of 17,998 ordinary shares at a price of 4,618.12p per share.</t>
  </si>
  <si>
    <t>The company returned £839,691 to shareholders by way of a buyback of 18,176 ordinary shares at a price of 4,619.78p per share.</t>
  </si>
  <si>
    <t>The company returned £812,565 to shareholders by way of a buyback of 17,879 ordinary shares at a price of 4,544.8p per share.</t>
  </si>
  <si>
    <t>The company returned £826,560 to shareholders by way of a buyback of 18,114 ordinary shares at a price of 4,563.1p per share.</t>
  </si>
  <si>
    <t>The company returned £846,441 to shareholders by way of a buyback of 18,791 ordinary shares at a price of 4,504.5p per share.</t>
  </si>
  <si>
    <t>The company returned £851,168 to shareholders by way of a buyback of 18,649 ordinary shares at a price of 4,564.15p per share.</t>
  </si>
  <si>
    <t>The company returned £852,721 to shareholders by way of a buyback of 18,556 ordinary shares at a price of 4,595.39p per share.</t>
  </si>
  <si>
    <t>The company returned £847,526 to shareholders by way of a buyback of 18,338 ordinary shares at a price of 4,621.69p per share.</t>
  </si>
  <si>
    <t>The company returned £832,231 to shareholders by way of a buyback of 18,519 ordinary shares at a price of 4,493.93p per share.</t>
  </si>
  <si>
    <t>The company returned £849,400 to shareholders by way of a buyback of 19,030 ordinary shares at a price of 4,463.48p per share.</t>
  </si>
  <si>
    <t>The company returned £821,944 to shareholders by way of a buyback of 18,643 ordinary shares at a price of 4,408.86p per share.</t>
  </si>
  <si>
    <t>The company returned £825,020 to shareholders by way of a buyback of 18,739 ordinary shares at a price of 4,402.69p per share.</t>
  </si>
  <si>
    <t>The company returned £819,010 to shareholders by way of a buyback of 18,260 ordinary shares at a price of 4,485.27p per share.</t>
  </si>
  <si>
    <t>The company returned £1,073,085 to shareholders by way of a buyback of 24,375 ordinary shares at a price of 4,402.4p per share.</t>
  </si>
  <si>
    <t>The company returned £1,076,646 to shareholders by way of a buyback of 24,200 ordinary shares at a price of 4,448.95p per share.</t>
  </si>
  <si>
    <t>The company returned £1,075,984 to shareholders by way of a buyback of 24,571 ordinary shares at a price of 4,379.08p per share.</t>
  </si>
  <si>
    <t>The company returned £1,041,178 to shareholders by way of a buyback of 24,490 ordinary shares at a price of 4,251.44p per share.</t>
  </si>
  <si>
    <t>The company returned £1,047,658 to shareholders by way of a buyback of 24,647 ordinary shares at a price of 4,250.65p per share.</t>
  </si>
  <si>
    <t>The company returned £1,056,218 to shareholders by way of a buyback of 24,658 ordinary shares at a price of 4,283.47p per share.</t>
  </si>
  <si>
    <t>The company returned £1,044,542 to shareholders by way of a buyback of 24,285 ordinary shares at a price of 4,301.18p per share.</t>
  </si>
  <si>
    <t>The company returned £443,533 to shareholders by way of a buyback of 89,946 ordinary shares at a price of 493.11p per share.</t>
  </si>
  <si>
    <t>The company returned £1,435,604 to shareholders by way of a buyback of 294,755 ordinary shares at a price of 487.05p per share.</t>
  </si>
  <si>
    <t>The company returned £480,000 to shareholders by way of a buyback of 100,000 ordinary shares at a price of 480.p per share.</t>
  </si>
  <si>
    <t>The company returned £1,581,159 to shareholders by way of a buyback of 321,426 ordinary shares at a price of 491.92p per share.</t>
  </si>
  <si>
    <t>The company returned £49,961 to shareholders by way of a buyback of 73,000 ordinary shares at a price of 68.44p per share.</t>
  </si>
  <si>
    <t>The company returned £49,699 to shareholders by way of a buyback of 72,500 ordinary shares at a price of 68.55p per share.</t>
  </si>
  <si>
    <t>The company returned £49,713 to shareholders by way of a buyback of 72,500 ordinary shares at a price of 68.57p per share.</t>
  </si>
  <si>
    <t>The company returned £49,612 to shareholders by way of a buyback of 72,500 ordinary shares at a price of 68.43p per share.</t>
  </si>
  <si>
    <t>The company returned £49,863 to shareholders by way of a buyback of 71,000 ordinary shares at a price of 70.23p per share.</t>
  </si>
  <si>
    <t>The company returned £49,878 to shareholders by way of a buyback of 71,000 ordinary shares at a price of 70.25p per share.</t>
  </si>
  <si>
    <t>The company returned £49,462 to shareholders by way of a buyback of 70,000 ordinary shares at a price of 70.66p per share.</t>
  </si>
  <si>
    <t>The company returned £49,511 to shareholders by way of a buyback of 70,000 ordinary shares at a price of 70.73p per share.</t>
  </si>
  <si>
    <t>The company returned £49,615 to shareholders by way of a buyback of 72,000 ordinary shares at a price of 68.91p per share.</t>
  </si>
  <si>
    <t>The company returned £49,972 to shareholders by way of a buyback of 74,000 ordinary shares at a price of 67.53p per share.</t>
  </si>
  <si>
    <t>The company returned £49,692 to shareholders by way of a buyback of 74,500 ordinary shares at a price of 66.7p per share.</t>
  </si>
  <si>
    <t>The company returned £49,635 to shareholders by way of a buyback of 75,000 ordinary shares at a price of 66.18p per share.</t>
  </si>
  <si>
    <t>The company returned £49,795 to shareholders by way of a buyback of 76,000 ordinary shares at a price of 65.52p per share.</t>
  </si>
  <si>
    <t>The company returned £49,734 to shareholders by way of a buyback of 77,000 ordinary shares at a price of 64.59p per share.</t>
  </si>
  <si>
    <t>The company returned £49,858 to shareholders by way of a buyback of 77,000 ordinary shares at a price of 64.75p per share.</t>
  </si>
  <si>
    <t>The company returned £49,896 to shareholders by way of a buyback of 77,000 ordinary shares at a price of 64.8p per share.</t>
  </si>
  <si>
    <t>The company returned £49,878 to shareholders by way of a buyback of 76,500 ordinary shares at a price of 65.2p per share.</t>
  </si>
  <si>
    <t>The company returned £49,484 to shareholders by way of a buyback of 76,000 ordinary shares at a price of 65.11p per share.</t>
  </si>
  <si>
    <t>The company returned £499,440 to shareholders by way of a buyback of 748,000 ordinary shares at a price of 66.77p per share.</t>
  </si>
  <si>
    <t>The company returned £442,400 to shareholders by way of a buyback of 20,000 ordinary shares at a price of 2,212.p per share.</t>
  </si>
  <si>
    <t>The company returned £441,000 to shareholders by way of a buyback of 20,000 ordinary shares at a price of 2,205.p per share.</t>
  </si>
  <si>
    <t>The company returned £439,200 to shareholders by way of a buyback of 20,000 ordinary shares at a price of 2,196.p per share.</t>
  </si>
  <si>
    <t>The company returned £439,400 to shareholders by way of a buyback of 20,000 ordinary shares at a price of 2,197.p per share.</t>
  </si>
  <si>
    <t>The company returned £437,400 to shareholders by way of a buyback of 20,000 ordinary shares at a price of 2,187.p per share.</t>
  </si>
  <si>
    <t>The company returned £329,850 to shareholders by way of a buyback of 15,000 ordinary shares at a price of 2,199.p per share.</t>
  </si>
  <si>
    <t>The company returned £443,200 to shareholders by way of a buyback of 20,000 ordinary shares at a price of 2,216.p per share.</t>
  </si>
  <si>
    <t>The company returned £463,680 to shareholders by way of a buyback of 21,000 ordinary shares at a price of 2,208.p per share.</t>
  </si>
  <si>
    <t>The company returned £437,800 to shareholders by way of a buyback of 20,000 ordinary shares at a price of 2,189.p per share.</t>
  </si>
  <si>
    <t>The company returned £436,400 to shareholders by way of a buyback of 20,000 ordinary shares at a price of 2,182.p per share.</t>
  </si>
  <si>
    <t>The company returned £262,680 to shareholders by way of a buyback of 12,000 ordinary shares at a price of 2,189.p per share.</t>
  </si>
  <si>
    <t>The company returned £442,600 to shareholders by way of a buyback of 20,000 ordinary shares at a price of 2,213.p per share.</t>
  </si>
  <si>
    <t>The company returned £529,920 to shareholders by way of a buyback of 24,000 ordinary shares at a price of 2,208.p per share.</t>
  </si>
  <si>
    <t>The company returned £438,400 to shareholders by way of a buyback of 20,000 ordinary shares at a price of 2,192.p per share.</t>
  </si>
  <si>
    <t>The company returned £433,200 to shareholders by way of a buyback of 20,000 ordinary shares at a price of 2,166.p per share.</t>
  </si>
  <si>
    <t>The company returned £519,840 to shareholders by way of a buyback of 24,000 ordinary shares at a price of 2,166.p per share.</t>
  </si>
  <si>
    <t>The company returned £437,200 to shareholders by way of a buyback of 20,000 ordinary shares at a price of 2,186.p per share.</t>
  </si>
  <si>
    <t>The company returned £327,600 to shareholders by way of a buyback of 15,000 ordinary shares at a price of 2,184.p per share.</t>
  </si>
  <si>
    <t>The company returned £146,243 to shareholders by way of a buyback of 59,000 ordinary shares at a price of 247.87p per share.</t>
  </si>
  <si>
    <t>The company returned £62,500 to shareholders by way of a buyback of 25,000 ordinary shares at a price of 250.p per share.</t>
  </si>
  <si>
    <t>The company returned £56,250 to shareholders by way of a buyback of 22,500 ordinary shares at a price of 250.p per share.</t>
  </si>
  <si>
    <t>The company returned £113,301 to shareholders by way of a buyback of 180,560 ordinary shares at a price of 62.75p per share.</t>
  </si>
  <si>
    <t>The company returned £763,750 to shareholders by way of a buyback of 250,000 ordinary shares at a price of 305.5p per share.</t>
  </si>
  <si>
    <t>The company returned £703,000 to shareholders by way of a buyback of 100,000 ordinary shares at a price of 703.p per share.</t>
  </si>
  <si>
    <t>The company returned £701,510 to shareholders by way of a buyback of 100,000 ordinary shares at a price of 701.51p per share.</t>
  </si>
  <si>
    <t>The company returned £353,213 to shareholders by way of a buyback of 50,000 ordinary shares at a price of 706.43p per share.</t>
  </si>
  <si>
    <t>The company returned £355,725 to shareholders by way of a buyback of 50,000 ordinary shares at a price of 711.45p per share.</t>
  </si>
  <si>
    <t>The company returned £1,080,345 to shareholders by way of a buyback of 150,000 ordinary shares at a price of 720.23p per share.</t>
  </si>
  <si>
    <t>The company returned £1,069,301 to shareholders by way of a buyback of 150,000 ordinary shares at a price of 712.87p per share.</t>
  </si>
  <si>
    <t>The company returned £716,927 to shareholders by way of a buyback of 100,000 ordinary shares at a price of 716.93p per share.</t>
  </si>
  <si>
    <t>The company returned £359,250 to shareholders by way of a buyback of 50,000 ordinary shares at a price of 718.5p per share.</t>
  </si>
  <si>
    <t>The company returned £726,000 to shareholders by way of a buyback of 100,000 ordinary shares at a price of 726.p per share.</t>
  </si>
  <si>
    <t>The company returned £737,200 to shareholders by way of a buyback of 100,000 ordinary shares at a price of 737.2p per share.</t>
  </si>
  <si>
    <t>The company returned £377,000 to shareholders by way of a buyback of 50,000 ordinary shares at a price of 754.p per share.</t>
  </si>
  <si>
    <t>The company returned £1,515,500 to shareholders by way of a buyback of 200,000 ordinary shares at a price of 757.75p per share.</t>
  </si>
  <si>
    <t>The company returned £25,200 to shareholders by way of a buyback of 40,000 ordinary shares at a price of 63.p per share.</t>
  </si>
  <si>
    <t>The company returned £71,000 to shareholders by way of a buyback of 20,000 ordinary shares at a price of 355.p per share.</t>
  </si>
  <si>
    <t>The company returned £17,850 to shareholders by way of a buyback of 5,000 ordinary shares at a price of 357.p per share.</t>
  </si>
  <si>
    <t>The company returned £17,800 to shareholders by way of a buyback of 5,000 ordinary shares at a price of 356.p per share.</t>
  </si>
  <si>
    <t>The company returned £127,232 to shareholders by way of a buyback of 35,453 ordinary shares at a price of 358.87p per share.</t>
  </si>
  <si>
    <t>The company returned £107,100 to shareholders by way of a buyback of 30,000 ordinary shares at a price of 357.p per share.</t>
  </si>
  <si>
    <t>The company returned £107,900 to shareholders by way of a buyback of 30,000 ordinary shares at a price of 359.67p per share.</t>
  </si>
  <si>
    <t>The company returned £101,797 to shareholders by way of a buyback of 28,379 ordinary shares at a price of 358.7p per share.</t>
  </si>
  <si>
    <t>The company returned £35,800 to shareholders by way of a buyback of 10,000 ordinary shares at a price of 358.p per share.</t>
  </si>
  <si>
    <t>The company returned £71,800 to shareholders by way of a buyback of 20,000 ordinary shares at a price of 359.p per share.</t>
  </si>
  <si>
    <t>The company returned £144,727 to shareholders by way of a buyback of 40,202 ordinary shares at a price of 360.p per share.</t>
  </si>
  <si>
    <t>The company returned £89,900 to shareholders by way of a buyback of 25,000 ordinary shares at a price of 359.6p per share.</t>
  </si>
  <si>
    <t>The company returned £72,000 to shareholders by way of a buyback of 20,000 ordinary shares at a price of 360.p per share.</t>
  </si>
  <si>
    <t>The company returned £46,266 to shareholders by way of a buyback of 12,816 ordinary shares at a price of 361.p per share.</t>
  </si>
  <si>
    <t>The company returned £38,050 to shareholders by way of a buyback of 10,600 ordinary shares at a price of 358.97p per share.</t>
  </si>
  <si>
    <t>The company returned £182,665 to shareholders by way of a buyback of 50,000 ordinary shares at a price of 365.33p per share.</t>
  </si>
  <si>
    <t>The company returned £220,430 to shareholders by way of a buyback of 60,000 ordinary shares at a price of 367.38p per share.</t>
  </si>
  <si>
    <t>The company returned £137,070 to shareholders by way of a buyback of 37,046 ordinary shares at a price of 370.p per share.</t>
  </si>
  <si>
    <t>The company returned £910,000 to shareholders by way of a buyback of 250,000 ordinary shares at a price of 364.p per share.</t>
  </si>
  <si>
    <t>The company returned £184,690 to shareholders by way of a buyback of 50,000 ordinary shares at a price of 369.38p per share.</t>
  </si>
  <si>
    <t>The company returned £130,728 to shareholders by way of a buyback of 25,000 ordinary shares at a price of 522.91p per share.</t>
  </si>
  <si>
    <t>The company returned £129,840 to shareholders by way of a buyback of 25,000 ordinary shares at a price of 519.36p per share.</t>
  </si>
  <si>
    <t>The company returned £130,070 to shareholders by way of a buyback of 25,000 ordinary shares at a price of 520.28p per share.</t>
  </si>
  <si>
    <t>The company returned £130,918 to shareholders by way of a buyback of 25,000 ordinary shares at a price of 523.67p per share.</t>
  </si>
  <si>
    <t>The company returned £130,820 to shareholders by way of a buyback of 25,000 ordinary shares at a price of 523.28p per share.</t>
  </si>
  <si>
    <t>The company returned £131,660 to shareholders by way of a buyback of 25,000 ordinary shares at a price of 526.64p per share.</t>
  </si>
  <si>
    <t>The company returned £131,255 to shareholders by way of a buyback of 25,000 ordinary shares at a price of 525.02p per share.</t>
  </si>
  <si>
    <t>The company returned £130,965 to shareholders by way of a buyback of 25,000 ordinary shares at a price of 523.86p per share.</t>
  </si>
  <si>
    <t>The company returned £130,480 to shareholders by way of a buyback of 25,000 ordinary shares at a price of 521.92p per share.</t>
  </si>
  <si>
    <t>The company returned £129,975 to shareholders by way of a buyback of 25,000 ordinary shares at a price of 519.9p per share.</t>
  </si>
  <si>
    <t>The company returned £155,931 to shareholders by way of a buyback of 30,000 ordinary shares at a price of 519.77p per share.</t>
  </si>
  <si>
    <t>The company returned £130,498 to shareholders by way of a buyback of 25,000 ordinary shares at a price of 521.99p per share.</t>
  </si>
  <si>
    <t>The company returned £131,558 to shareholders by way of a buyback of 25,000 ordinary shares at a price of 526.23p per share.</t>
  </si>
  <si>
    <t>The company returned £131,028 to shareholders by way of a buyback of 25,000 ordinary shares at a price of 524.11p per share.</t>
  </si>
  <si>
    <t>The company returned £131,528 to shareholders by way of a buyback of 25,000 ordinary shares at a price of 526.11p per share.</t>
  </si>
  <si>
    <t>The company returned £524,500 to shareholders by way of a buyback of 100,000 ordinary shares at a price of 524.5p per share.</t>
  </si>
  <si>
    <t>The company returned £395,198 to shareholders by way of a buyback of 75,000 ordinary shares at a price of 526.93p per share.</t>
  </si>
  <si>
    <t>The company returned £397,140 to shareholders by way of a buyback of 75,000 ordinary shares at a price of 529.52p per share.</t>
  </si>
  <si>
    <t>The company returned £396,180 to shareholders by way of a buyback of 75,000 ordinary shares at a price of 528.24p per share.</t>
  </si>
  <si>
    <t>The company returned £266,120 to shareholders by way of a buyback of 50,000 ordinary shares at a price of 532.24p per share.</t>
  </si>
  <si>
    <t>The company returned £4,861,160 to shareholders by way of a buyback of 400,000 ordinary shares at a price of 1,215.29p per share.</t>
  </si>
  <si>
    <t>The company returned £2,813,292 to shareholders by way of a buyback of 233,035 ordinary shares at a price of 1,207.24p per share.</t>
  </si>
  <si>
    <t>The company returned £1,321,528 to shareholders by way of a buyback of 108,013 ordinary shares at a price of 1,223.49p per share.</t>
  </si>
  <si>
    <t>The company returned £5,493,126 to shareholders by way of a buyback of 445,249 ordinary shares at a price of 1,233.72p per share.</t>
  </si>
  <si>
    <t>The company returned £2,251,891 to shareholders by way of a buyback of 185,726 ordinary shares at a price of 1,212.48p per share.</t>
  </si>
  <si>
    <t>The company returned £4,089,278 to shareholders by way of a buyback of 335,000 ordinary shares at a price of 1,220.68p per share.</t>
  </si>
  <si>
    <t>The company returned £3,955,930 to shareholders by way of a buyback of 316,847 ordinary shares at a price of 1,248.53p per share.</t>
  </si>
  <si>
    <t>The company returned £4,327,855 to shareholders by way of a buyback of 350,000 ordinary shares at a price of 1,236.53p per share.</t>
  </si>
  <si>
    <t>The company returned £4,104,778 to shareholders by way of a buyback of 332,926 ordinary shares at a price of 1,232.94p per share.</t>
  </si>
  <si>
    <t>The company returned £2,365,907 to shareholders by way of a buyback of 191,223 ordinary shares at a price of 1,237.25p per share.</t>
  </si>
  <si>
    <t>The company returned £1,526,753 to shareholders by way of a buyback of 123,374 ordinary shares at a price of 1,237.5p per share.</t>
  </si>
  <si>
    <t>The company returned £136,500 to shareholders by way of a buyback of 50,000 ordinary shares at a price of 273.p per share.</t>
  </si>
  <si>
    <t>The company returned £166,800 to shareholders by way of a buyback of 60,000 ordinary shares at a price of 278.p per share.</t>
  </si>
  <si>
    <t>The company returned £69,250 to shareholders by way of a buyback of 25,000 ordinary shares at a price of 277.p per share.</t>
  </si>
  <si>
    <t>The company returned £83,400 to shareholders by way of a buyback of 30,000 ordinary shares at a price of 278.p per share.</t>
  </si>
  <si>
    <t>The company returned £99,050 to shareholders by way of a buyback of 35,000 ordinary shares at a price of 283.p per share.</t>
  </si>
  <si>
    <t>The company returned £57,000 to shareholders by way of a buyback of 20,000 ordinary shares at a price of 285.p per share.</t>
  </si>
  <si>
    <t>The company returned £255,008 to shareholders by way of a buyback of 320,000 ordinary shares at a price of 79.69p per share.</t>
  </si>
  <si>
    <t>The company returned £198,470 to shareholders by way of a buyback of 248,585 ordinary shares at a price of 79.84p per share.</t>
  </si>
  <si>
    <t>The company returned £217,829 to shareholders by way of a buyback of 272,763 ordinary shares at a price of 79.86p per share.</t>
  </si>
  <si>
    <t>The company returned £388,368 to shareholders by way of a buyback of 485,764 ordinary shares at a price of 79.95p per share.</t>
  </si>
  <si>
    <t>The company returned £168,126 to shareholders by way of a buyback of 210,000 ordinary shares at a price of 80.06p per share.</t>
  </si>
  <si>
    <t>The company returned £399,150 to shareholders by way of a buyback of 500,000 ordinary shares at a price of 79.83p per share.</t>
  </si>
  <si>
    <t>The company returned £351,120 to shareholders by way of a buyback of 440,000 ordinary shares at a price of 79.8p per share.</t>
  </si>
  <si>
    <t>The company returned £318,880 to shareholders by way of a buyback of 400,000 ordinary shares at a price of 79.72p per share.</t>
  </si>
  <si>
    <t>The company returned £398,100 to shareholders by way of a buyback of 500,000 ordinary shares at a price of 79.62p per share.</t>
  </si>
  <si>
    <t>The company returned £111,729 to shareholders by way of a buyback of 140,841 ordinary shares at a price of 79.33p per share.</t>
  </si>
  <si>
    <t>The company returned £216,837 to shareholders by way of a buyback of 270,000 ordinary shares at a price of 80.31p per share.</t>
  </si>
  <si>
    <t>The company returned £78,400 to shareholders by way of a buyback of 20,000 ordinary shares at a price of 392.p per share.</t>
  </si>
  <si>
    <t>The company returned £139,178 to shareholders by way of a buyback of 35,000 ordinary shares at a price of 397.65p per share.</t>
  </si>
  <si>
    <t>The company returned £96,625 to shareholders by way of a buyback of 25,000 ordinary shares at a price of 386.5p per share.</t>
  </si>
  <si>
    <t>The company returned £95,500 to shareholders by way of a buyback of 25,000 ordinary shares at a price of 382.p per share.</t>
  </si>
  <si>
    <t>The company returned £295,000 to shareholders by way of a buyback of 125,000 ordinary shares at a price of 236.p per share.</t>
  </si>
  <si>
    <t>The company returned £186,850 to shareholders by way of a buyback of 80,000 ordinary shares at a price of 233.56p per share.</t>
  </si>
  <si>
    <t>The company returned £426,600 to shareholders by way of a buyback of 180,000 ordinary shares at a price of 237.p per share.</t>
  </si>
  <si>
    <t>The company returned £118,000 to shareholders by way of a buyback of 50,000 ordinary shares at a price of 236.p per share.</t>
  </si>
  <si>
    <t>The company returned £201,450 to shareholders by way of a buyback of 85,000 ordinary shares at a price of 237.p per share.</t>
  </si>
  <si>
    <t>The company returned £260,150 to shareholders by way of a buyback of 110,000 ordinary shares at a price of 236.5p per share.</t>
  </si>
  <si>
    <t>The company returned £142,800 to shareholders by way of a buyback of 60,000 ordinary shares at a price of 238.p per share.</t>
  </si>
  <si>
    <t>The company returned £119,000 to shareholders by way of a buyback of 50,000 ordinary shares at a price of 238.p per share.</t>
  </si>
  <si>
    <t>The company returned £771,388 to shareholders by way of a buyback of 293,493 ordinary shares at a price of 262.83p per share.</t>
  </si>
  <si>
    <t>The company returned £656,500 to shareholders by way of a buyback of 250,000 ordinary shares at a price of 262.6p per share.</t>
  </si>
  <si>
    <t>The company returned £1,570,500 to shareholders by way of a buyback of 600,000 ordinary shares at a price of 261.75p per share.</t>
  </si>
  <si>
    <t>The company returned £628,611 to shareholders by way of a buyback of 236,320 ordinary shares at a price of 266.p per share.</t>
  </si>
  <si>
    <t>The company returned £434,905 to shareholders by way of a buyback of 162,000 ordinary shares at a price of 268.46p per share.</t>
  </si>
  <si>
    <t>The company returned £2,695,000 to shareholders by way of a buyback of 1,000,000 ordinary shares at a price of 269.5p per share.</t>
  </si>
  <si>
    <t>The company returned £535,760 to shareholders by way of a buyback of 200,000 ordinary shares at a price of 267.88p per share.</t>
  </si>
  <si>
    <t>The company returned £135,000 to shareholders by way of a buyback of 50,000 ordinary shares at a price of 270.p per share.</t>
  </si>
  <si>
    <t>The company returned £334,709 to shareholders by way of a buyback of 122,829 ordinary shares at a price of 272.5p per share.</t>
  </si>
  <si>
    <t>The company returned £1,007,701 to shareholders by way of a buyback of 367,372 ordinary shares at a price of 274.3p per share.</t>
  </si>
  <si>
    <t>The company returned £1,017,872 to shareholders by way of a buyback of 359,063 ordinary shares at a price of 283.48p per share.</t>
  </si>
  <si>
    <t>The company returned £451,018 to shareholders by way of a buyback of 200,320 ordinary shares at a price of 225.15p per share.</t>
  </si>
  <si>
    <t>The company returned £233,956 to shareholders by way of a buyback of 104,960 ordinary shares at a price of 222.9p per share.</t>
  </si>
  <si>
    <t>The company returned £81,004 to shareholders by way of a buyback of 35,922 ordinary shares at a price of 225.5p per share.</t>
  </si>
  <si>
    <t>The company returned £582,079 to shareholders by way of a buyback of 259,000 ordinary shares at a price of 224.74p per share.</t>
  </si>
  <si>
    <t>The company returned £166,875 to shareholders by way of a buyback of 75,000 ordinary shares at a price of 222.5p per share.</t>
  </si>
  <si>
    <t>The company returned £56,125 to shareholders by way of a buyback of 25,000 ordinary shares at a price of 224.5p per share.</t>
  </si>
  <si>
    <t>The company returned £91,200 to shareholders by way of a buyback of 50,000 ordinary shares at a price of 182.4p per share.</t>
  </si>
  <si>
    <t>The company returned £318,500 to shareholders by way of a buyback of 175,000 ordinary shares at a price of 182.p per share.</t>
  </si>
  <si>
    <t>The company returned £237,000 to shareholders by way of a buyback of 125,000 ordinary shares at a price of 189.6p per share.</t>
  </si>
  <si>
    <t>The company returned £191,200 to shareholders by way of a buyback of 100,000 ordinary shares at a price of 191.2p per share.</t>
  </si>
  <si>
    <t>The company returned £58,000 to shareholders by way of a buyback of 20,000 ordinary shares at a price of 290.p per share.</t>
  </si>
  <si>
    <t>The company returned £116,200 to shareholders by way of a buyback of 40,000 ordinary shares at a price of 290.5p per share.</t>
  </si>
  <si>
    <t>The company returned £57,932 to shareholders by way of a buyback of 20,000 ordinary shares at a price of 289.66p per share.</t>
  </si>
  <si>
    <t>The company returned £146,125 to shareholders by way of a buyback of 50,000 ordinary shares at a price of 292.25p per share.</t>
  </si>
  <si>
    <t>The company returned £291,000 to shareholders by way of a buyback of 100,000 ordinary shares at a price of 291.p per share.</t>
  </si>
  <si>
    <t>The company returned £116,000 to shareholders by way of a buyback of 40,000 ordinary shares at a price of 290.p per share.</t>
  </si>
  <si>
    <t>The company returned £1,124,210 to shareholders by way of a buyback of 389,000 ordinary shares at a price of 289.p per share.</t>
  </si>
  <si>
    <t>The company returned £43,800 to shareholders by way of a buyback of 15,000 ordinary shares at a price of 292.p per share.</t>
  </si>
  <si>
    <t>The company returned £821,537 to shareholders by way of a buyback of 102,199 ordinary shares at a price of 803.86p per share.</t>
  </si>
  <si>
    <t>The company returned £1,865,204 to shareholders by way of a buyback of 230,130 ordinary shares at a price of 810.5p per share.</t>
  </si>
  <si>
    <t>The company returned £2,006,000 to shareholders by way of a buyback of 250,000 ordinary shares at a price of 802.4p per share.</t>
  </si>
  <si>
    <t>The company returned £1,885,452 to shareholders by way of a buyback of 235,000 ordinary shares at a price of 802.32p per share.</t>
  </si>
  <si>
    <t>The company returned £400,000 to shareholders by way of a buyback of 50,000 ordinary shares at a price of 800.p per share.</t>
  </si>
  <si>
    <t>The company returned £1,824,255 to shareholders by way of a buyback of 225,000 ordinary shares at a price of 810.78p per share.</t>
  </si>
  <si>
    <t>The company returned £2,562,414 to shareholders by way of a buyback of 314,847 ordinary shares at a price of 813.86p per share.</t>
  </si>
  <si>
    <t>The company returned £1,709,358 to shareholders by way of a buyback of 210,000 ordinary shares at a price of 813.98p per share.</t>
  </si>
  <si>
    <t>The company returned £812,500 to shareholders by way of a buyback of 100,000 ordinary shares at a price of 812.5p per share.</t>
  </si>
  <si>
    <t>The company returned £1,017,750 to shareholders by way of a buyback of 125,000 ordinary shares at a price of 814.2p per share.</t>
  </si>
  <si>
    <t>The company returned £1,017,500 to shareholders by way of a buyback of 125,000 ordinary shares at a price of 814.p per share.</t>
  </si>
  <si>
    <t>The company returned £612,897 to shareholders by way of a buyback of 75,018 ordinary shares at a price of 817.p per share.</t>
  </si>
  <si>
    <t>The company returned £1,736,375 to shareholders by way of a buyback of 209,844 ordinary shares at a price of 827.46p per share.</t>
  </si>
  <si>
    <t>The company returned £2,475,090 to shareholders by way of a buyback of 300,000 ordinary shares at a price of 825.03p per share.</t>
  </si>
  <si>
    <t>The company returned £1,860,366 to shareholders by way of a buyback of 225,622 ordinary shares at a price of 824.55p per share.</t>
  </si>
  <si>
    <t>The company returned £560,505 to shareholders by way of a buyback of 67,761 ordinary shares at a price of 827.18p per share.</t>
  </si>
  <si>
    <t>The company returned £118,200 to shareholders by way of a buyback of 30,000 ordinary shares at a price of 394.p per share.</t>
  </si>
  <si>
    <t>The company returned £367,087 to shareholders by way of a buyback of 80,494 ordinary shares at a price of 456.04p per share.</t>
  </si>
  <si>
    <t>The company returned £276,087 to shareholders by way of a buyback of 60,000 ordinary shares at a price of 460.15p per share.</t>
  </si>
  <si>
    <t>The company returned £571,861 to shareholders by way of a buyback of 125,000 ordinary shares at a price of 457.49p per share.</t>
  </si>
  <si>
    <t>The company returned £572,788 to shareholders by way of a buyback of 125,000 ordinary shares at a price of 458.23p per share.</t>
  </si>
  <si>
    <t>The company returned £511,357 to shareholders by way of a buyback of 112,000 ordinary shares at a price of 456.57p per share.</t>
  </si>
  <si>
    <t>The company returned £572,401 to shareholders by way of a buyback of 125,000 ordinary shares at a price of 457.92p per share.</t>
  </si>
  <si>
    <t>The company returned £575,366 to shareholders by way of a buyback of 125,000 ordinary shares at a price of 460.29p per share.</t>
  </si>
  <si>
    <t>The company returned £2,003,049 to shareholders by way of a buyback of 435,000 ordinary shares at a price of 460.47p per share.</t>
  </si>
  <si>
    <t>The company returned £232,998 to shareholders by way of a buyback of 50,000 ordinary shares at a price of 466.p per share.</t>
  </si>
  <si>
    <t>The company returned £335,559 to shareholders by way of a buyback of 70,814 ordinary shares at a price of 473.86p per share.</t>
  </si>
  <si>
    <t>The company returned £259,750 to shareholders by way of a buyback of 55,000 ordinary shares at a price of 472.27p per share.</t>
  </si>
  <si>
    <t>The company returned £364,506 to shareholders by way of a buyback of 75,026 ordinary shares at a price of 485.84p per share.</t>
  </si>
  <si>
    <t>The company returned £196,286 to shareholders by way of a buyback of 40,000 ordinary shares at a price of 490.72p per share.</t>
  </si>
  <si>
    <t>The company returned £256,368 to shareholders by way of a buyback of 52,000 ordinary shares at a price of 493.02p per share.</t>
  </si>
  <si>
    <t>The company returned £123,634 to shareholders by way of a buyback of 25,000 ordinary shares at a price of 494.54p per share.</t>
  </si>
  <si>
    <t>The company returned £1,270,080 to shareholders by way of a buyback of 350,000 ordinary shares at a price of 362.88p per share.</t>
  </si>
  <si>
    <t>The company returned £719,462 to shareholders by way of a buyback of 198,675 ordinary shares at a price of 362.13p per share.</t>
  </si>
  <si>
    <t>The company returned £2,126,340 to shareholders by way of a buyback of 600,000 ordinary shares at a price of 354.39p per share.</t>
  </si>
  <si>
    <t>The company returned £2,992,510 to shareholders by way of a buyback of 850,000 ordinary shares at a price of 352.06p per share.</t>
  </si>
  <si>
    <t>The company returned £2,656,971 to shareholders by way of a buyback of 748,000 ordinary shares at a price of 355.21p per share.</t>
  </si>
  <si>
    <t>The company returned £2,967,167 to shareholders by way of a buyback of 830,000 ordinary shares at a price of 357.49p per share.</t>
  </si>
  <si>
    <t>The company returned £4,908,475 to shareholders by way of a buyback of 1,375,000 ordinary shares at a price of 356.98p per share.</t>
  </si>
  <si>
    <t>The company returned £3,489,380 to shareholders by way of a buyback of 980,163 ordinary shares at a price of 356.p per share.</t>
  </si>
  <si>
    <t>The company returned £168,400 to shareholders by way of a buyback of 10,000 ordinary shares at a price of 1,684.p per share.</t>
  </si>
  <si>
    <t>The company returned £411,200 to shareholders by way of a buyback of 25,000 ordinary shares at a price of 1,644.8p per share.</t>
  </si>
  <si>
    <t>The company returned £816,500 to shareholders by way of a buyback of 50,000 ordinary shares at a price of 1,633.p per share.</t>
  </si>
  <si>
    <t>The company returned £405,093 to shareholders by way of a buyback of 25,000 ordinary shares at a price of 1,620.37p per share.</t>
  </si>
  <si>
    <t>The company returned £402,126 to shareholders by way of a buyback of 25,000 ordinary shares at a price of 1,608.5p per share.</t>
  </si>
  <si>
    <t>The company returned £157,427 to shareholders by way of a buyback of 10,000 ordinary shares at a price of 1,574.27p per share.</t>
  </si>
  <si>
    <t>The company returned £878,100 to shareholders by way of a buyback of 55,000 ordinary shares at a price of 1,596.55p per share.</t>
  </si>
  <si>
    <t>The company returned £78,975 to shareholders by way of a buyback of 5,000 ordinary shares at a price of 1,579.5p per share.</t>
  </si>
  <si>
    <t>The company returned £238,020 to shareholders by way of a buyback of 15,000 ordinary shares at a price of 1,586.8p per share.</t>
  </si>
  <si>
    <t>The company returned £267,160 to shareholders by way of a buyback of 17,000 ordinary shares at a price of 1,571.53p per share.</t>
  </si>
  <si>
    <t>The company returned £233,172 to shareholders by way of a buyback of 15,000 ordinary shares at a price of 1,554.48p per share.</t>
  </si>
  <si>
    <t>The company returned £387,200 to shareholders by way of a buyback of 25,000 ordinary shares at a price of 1,548.8p per share.</t>
  </si>
  <si>
    <t>The company returned £384,265 to shareholders by way of a buyback of 25,000 ordinary shares at a price of 1,537.06p per share.</t>
  </si>
  <si>
    <t>The company returned £373,803 to shareholders by way of a buyback of 25,000 ordinary shares at a price of 1,495.21p per share.</t>
  </si>
  <si>
    <t>The company returned £370,322 to shareholders by way of a buyback of 25,000 ordinary shares at a price of 1,481.29p per share.</t>
  </si>
  <si>
    <t>The company returned £248,875 to shareholders by way of a buyback of 17,500 ordinary shares at a price of 1,422.14p per share.</t>
  </si>
  <si>
    <t>The company returned £363,500 to shareholders by way of a buyback of 25,000 ordinary shares at a price of 1,454.p per share.</t>
  </si>
  <si>
    <t>The company returned £366,200 to shareholders by way of a buyback of 25,000 ordinary shares at a price of 1,464.8p per share.</t>
  </si>
  <si>
    <t>The company returned £361,320 to shareholders by way of a buyback of 25,000 ordinary shares at a price of 1,445.28p per share.</t>
  </si>
  <si>
    <t>The company returned £213,100 to shareholders by way of a buyback of 15,000 ordinary shares at a price of 1,420.67p per share.</t>
  </si>
  <si>
    <t>The company returned £257,499 to shareholders by way of a buyback of 65,000 ordinary shares at a price of 396.15p per share.</t>
  </si>
  <si>
    <t>The company returned £300,750 to shareholders by way of a buyback of 75,000 ordinary shares at a price of 401.p per share.</t>
  </si>
  <si>
    <t>The company returned £285,000 to shareholders by way of a buyback of 75,000 ordinary shares at a price of 380.p per share.</t>
  </si>
  <si>
    <t>The company returned £379,000 to shareholders by way of a buyback of 100,000 ordinary shares at a price of 379.p per share.</t>
  </si>
  <si>
    <t>The company returned £902,400 to shareholders by way of a buyback of 240,000 ordinary shares at a price of 376.p per share.</t>
  </si>
  <si>
    <t>The company returned £562,500 to shareholders by way of a buyback of 150,000 ordinary shares at a price of 375.p per share.</t>
  </si>
  <si>
    <t>The company returned £184,250 to shareholders by way of a buyback of 50,000 ordinary shares at a price of 368.5p per share.</t>
  </si>
  <si>
    <t>The company returned £335,700 to shareholders by way of a buyback of 90,000 ordinary shares at a price of 373.p per share.</t>
  </si>
  <si>
    <t>The company returned £66,142 to shareholders by way of a buyback of 9,200 ordinary shares at a price of 718.93p per share.</t>
  </si>
  <si>
    <t>The company returned £42,356 to shareholders by way of a buyback of 5,800 ordinary shares at a price of 730.28p per share.</t>
  </si>
  <si>
    <t>The company returned £41,545 to shareholders by way of a buyback of 6,000 ordinary shares at a price of 692.42p per share.</t>
  </si>
  <si>
    <t>The company returned £73,703 to shareholders by way of a buyback of 10,500 ordinary shares at a price of 701.93p per share.</t>
  </si>
  <si>
    <t>The company returned £137,283 to shareholders by way of a buyback of 20,129 ordinary shares at a price of 682.01p per share.</t>
  </si>
  <si>
    <t>The company returned £212,184 to shareholders by way of a buyback of 31,371 ordinary shares at a price of 676.37p per share.</t>
  </si>
  <si>
    <t>The company returned £254,089 to shareholders by way of a buyback of 37,757 ordinary shares at a price of 672.96p per share.</t>
  </si>
  <si>
    <t>The company returned £178,742 to shareholders by way of a buyback of 26,243 ordinary shares at a price of 681.1p per share.</t>
  </si>
  <si>
    <t>The company returned £158,423 to shareholders by way of a buyback of 23,000 ordinary shares at a price of 688.79p per share.</t>
  </si>
  <si>
    <t>The company returned £203,706 to shareholders by way of a buyback of 30,500 ordinary shares at a price of 667.89p per share.</t>
  </si>
  <si>
    <t>The company returned £46,403 to shareholders by way of a buyback of 7,000 ordinary shares at a price of 662.89p per share.</t>
  </si>
  <si>
    <t>The company returned £61,020 to shareholders by way of a buyback of 9,589 ordinary shares at a price of 636.35p per share.</t>
  </si>
  <si>
    <t>The company returned £84,070 to shareholders by way of a buyback of 12,911 ordinary shares at a price of 651.15p per share.</t>
  </si>
  <si>
    <t>The company returned £96,161 to shareholders by way of a buyback of 14,500 ordinary shares at a price of 663.18p per share.</t>
  </si>
  <si>
    <t>The company returned £26,475 to shareholders by way of a buyback of 4,000 ordinary shares at a price of 661.88p per share.</t>
  </si>
  <si>
    <t>The company returned £144,989 to shareholders by way of a buyback of 22,800 ordinary shares at a price of 635.92p per share.</t>
  </si>
  <si>
    <t>The company returned £1,173,173 to shareholders by way of a buyback of 234,500 ordinary shares at a price of 500.29p per share.</t>
  </si>
  <si>
    <t>The company returned £707,121 to shareholders by way of a buyback of 140,500 ordinary shares at a price of 503.29p per share.</t>
  </si>
  <si>
    <t>The company returned £548,297 to shareholders by way of a buyback of 109,772 ordinary shares at a price of 499.49p per share.</t>
  </si>
  <si>
    <t>The company returned £489,114 to shareholders by way of a buyback of 100,000 ordinary shares at a price of 489.11p per share.</t>
  </si>
  <si>
    <t>The company returned £383,889 to shareholders by way of a buyback of 77,500 ordinary shares at a price of 495.34p per share.</t>
  </si>
  <si>
    <t>The company returned £492,501 to shareholders by way of a buyback of 100,000 ordinary shares at a price of 492.5p per share.</t>
  </si>
  <si>
    <t>The company returned £245,250 to shareholders by way of a buyback of 50,000 ordinary shares at a price of 490.5p per share.</t>
  </si>
  <si>
    <t>The company returned £247,343 to shareholders by way of a buyback of 50,973 ordinary shares at a price of 485.24p per share.</t>
  </si>
  <si>
    <t>The company returned £216,150 to shareholders by way of a buyback of 45,000 ordinary shares at a price of 480.33p per share.</t>
  </si>
  <si>
    <t>The company returned £263,680 to shareholders by way of a buyback of 56,000 ordinary shares at a price of 470.86p per share.</t>
  </si>
  <si>
    <t>The company returned £181,631 to shareholders by way of a buyback of 39,000 ordinary shares at a price of 465.72p per share.</t>
  </si>
  <si>
    <t>The company returned £572,151 to shareholders by way of a buyback of 125,000 ordinary shares at a price of 457.72p per share.</t>
  </si>
  <si>
    <t>The company returned £196,775 to shareholders by way of a buyback of 42,500 ordinary shares at a price of 463.p per share.</t>
  </si>
  <si>
    <t>The company returned £174,244 to shareholders by way of a buyback of 37,500 ordinary shares at a price of 464.65p per share.</t>
  </si>
  <si>
    <t>The company returned £455,654 to shareholders by way of a buyback of 100,000 ordinary shares at a price of 455.65p per share.</t>
  </si>
  <si>
    <t>The company returned £227,749 to shareholders by way of a buyback of 50,500 ordinary shares at a price of 450.99p per share.</t>
  </si>
  <si>
    <t>The company returned £3,194,398 to shareholders by way of a buyback of 250,000 ordinary shares at a price of 1,277.76p per share.</t>
  </si>
  <si>
    <t>The company returned £1,863,000 to shareholders by way of a buyback of 150,000 ordinary shares at a price of 1,242.p per share.</t>
  </si>
  <si>
    <t>The company returned £3,152,435 to shareholders by way of a buyback of 250,000 ordinary shares at a price of 1,260.97p per share.</t>
  </si>
  <si>
    <t>The company returned £3,147,155 to shareholders by way of a buyback of 250,000 ordinary shares at a price of 1,258.86p per share.</t>
  </si>
  <si>
    <t>The company returned £3,091,173 to shareholders by way of a buyback of 250,000 ordinary shares at a price of 1,236.47p per share.</t>
  </si>
  <si>
    <t>The company returned £2,456,000 to shareholders by way of a buyback of 200,000 ordinary shares at a price of 1,228.p per share.</t>
  </si>
  <si>
    <t>The company returned £1,626,156 to shareholders by way of a buyback of 132,000 ordinary shares at a price of 1,231.94p per share.</t>
  </si>
  <si>
    <t>The company returned £3,072,175 to shareholders by way of a buyback of 250,000 ordinary shares at a price of 1,228.87p per share.</t>
  </si>
  <si>
    <t>The company returned £677,600 to shareholders by way of a buyback of 55,000 ordinary shares at a price of 1,232.p per share.</t>
  </si>
  <si>
    <t>The company returned £372,000 to shareholders by way of a buyback of 30,000 ordinary shares at a price of 1,240.p per share.</t>
  </si>
  <si>
    <t>The company returned £739,200 to shareholders by way of a buyback of 60,000 ordinary shares at a price of 1,232.p per share.</t>
  </si>
  <si>
    <t>The company returned £1,268,269 to shareholders by way of a buyback of 105,000 ordinary shares at a price of 1,207.88p per share.</t>
  </si>
  <si>
    <t>The company returned £1,566,774 to shareholders by way of a buyback of 130,000 ordinary shares at a price of 1,205.21p per share.</t>
  </si>
  <si>
    <t>The company returned £1,188,000 to shareholders by way of a buyback of 100,000 ordinary shares at a price of 1,188.p per share.</t>
  </si>
  <si>
    <t>The company returned £596,000 to shareholders by way of a buyback of 50,000 ordinary shares at a price of 1,192.p per share.</t>
  </si>
  <si>
    <t>The company returned £759,784 to shareholders by way of a buyback of 144,798 ordinary shares at a price of 524.72p per share.</t>
  </si>
  <si>
    <t>The company returned £2,609,100 to shareholders by way of a buyback of 500,000 ordinary shares at a price of 521.82p per share.</t>
  </si>
  <si>
    <t>The company returned £2,569,900 to shareholders by way of a buyback of 500,000 ordinary shares at a price of 513.98p per share.</t>
  </si>
  <si>
    <t>The company returned £2,675,900 to shareholders by way of a buyback of 500,000 ordinary shares at a price of 535.18p per share.</t>
  </si>
  <si>
    <t>The company returned £2,631,695 to shareholders by way of a buyback of 496,125 ordinary shares at a price of 530.45p per share.</t>
  </si>
  <si>
    <t>The company returned £1,331,375 to shareholders by way of a buyback of 250,744 ordinary shares at a price of 530.97p per share.</t>
  </si>
  <si>
    <t>The company returned £2,696,400 to shareholders by way of a buyback of 500,000 ordinary shares at a price of 539.28p per share.</t>
  </si>
  <si>
    <t>The company returned £3,465,085 to shareholders by way of a buyback of 650,000 ordinary shares at a price of 533.09p per share.</t>
  </si>
  <si>
    <t>The company returned £4,393,290 to shareholders by way of a buyback of 825,000 ordinary shares at a price of 532.52p per share.</t>
  </si>
  <si>
    <t>The company returned £2,677,900 to shareholders by way of a buyback of 500,000 ordinary shares at a price of 535.58p per share.</t>
  </si>
  <si>
    <t>The company returned £2,649,750 to shareholders by way of a buyback of 500,000 ordinary shares at a price of 529.95p per share.</t>
  </si>
  <si>
    <t>The company returned £2,617,000 to shareholders by way of a buyback of 500,000 ordinary shares at a price of 523.4p per share.</t>
  </si>
  <si>
    <t>The company returned £395,681 to shareholders by way of a buyback of 77,896 ordinary shares at a price of 507.96p per share.</t>
  </si>
  <si>
    <t>The company returned £39,319 to shareholders by way of a buyback of 10,895 ordinary shares at a price of 360.89p per share.</t>
  </si>
  <si>
    <t>The company returned £38,730 to shareholders by way of a buyback of 11,000 ordinary shares at a price of 352.09p per share.</t>
  </si>
  <si>
    <t>The company returned £21,000 to shareholders by way of a buyback of 6,000 ordinary shares at a price of 350.p per share.</t>
  </si>
  <si>
    <t>The company returned £35,350 to shareholders by way of a buyback of 10,000 ordinary shares at a price of 353.5p per share.</t>
  </si>
  <si>
    <t>The company returned £55,670 to shareholders by way of a buyback of 16,000 ordinary shares at a price of 347.94p per share.</t>
  </si>
  <si>
    <t>The company returned £38,475 to shareholders by way of a buyback of 11,188 ordinary shares at a price of 343.89p per share.</t>
  </si>
  <si>
    <t>The company returned £40,580 to shareholders by way of a buyback of 12,000 ordinary shares at a price of 338.17p per share.</t>
  </si>
  <si>
    <t>The company returned £19,317 to shareholders by way of a buyback of 5,965 ordinary shares at a price of 323.84p per share.</t>
  </si>
  <si>
    <t>The company returned £23,060 to shareholders by way of a buyback of 7,000 ordinary shares at a price of 329.43p per share.</t>
  </si>
  <si>
    <t>The company returned £37,270 to shareholders by way of a buyback of 11,438 ordinary shares at a price of 325.84p per share.</t>
  </si>
  <si>
    <t>The company returned £51,228 to shareholders by way of a buyback of 20,000 ordinary shares at a price of 256.14p per share.</t>
  </si>
  <si>
    <t>The company returned £31,315 to shareholders by way of a buyback of 12,526 ordinary shares at a price of 250.p per share.</t>
  </si>
  <si>
    <t>The company returned £75,300 to shareholders by way of a buyback of 30,000 ordinary shares at a price of 251.p per share.</t>
  </si>
  <si>
    <t>The company returned £50,000 to shareholders by way of a buyback of 20,000 ordinary shares at a price of 250.p per share.</t>
  </si>
  <si>
    <t>The company returned £209,950 to shareholders by way of a buyback of 85,000 ordinary shares at a price of 247.p per share.</t>
  </si>
  <si>
    <t>The company returned £147,094 to shareholders by way of a buyback of 60,000 ordinary shares at a price of 245.16p per share.</t>
  </si>
  <si>
    <t>The company returned £48,600 to shareholders by way of a buyback of 20,000 ordinary shares at a price of 243.p per share.</t>
  </si>
  <si>
    <t>The company returned £48,380 to shareholders by way of a buyback of 20,000 ordinary shares at a price of 241.9p per share.</t>
  </si>
  <si>
    <t>The company returned £48,277 to shareholders by way of a buyback of 20,000 ordinary shares at a price of 241.38p per share.</t>
  </si>
  <si>
    <t>The company returned £46,800 to shareholders by way of a buyback of 20,000 ordinary shares at a price of 234.p per share.</t>
  </si>
  <si>
    <t>The company returned £46,822 to shareholders by way of a buyback of 20,000 ordinary shares at a price of 234.11p per share.</t>
  </si>
  <si>
    <t>The company returned £115,022 to shareholders by way of a buyback of 50,000 ordinary shares at a price of 230.04p per share.</t>
  </si>
  <si>
    <t>The company returned £602,775 to shareholders by way of a buyback of 235,000 ordinary shares at a price of 256.5p per share.</t>
  </si>
  <si>
    <t>The company returned £374,955 to shareholders by way of a buyback of 150,000 ordinary shares at a price of 249.97p per share.</t>
  </si>
  <si>
    <t>The company returned £189,495 to shareholders by way of a buyback of 75,000 ordinary shares at a price of 252.66p per share.</t>
  </si>
  <si>
    <t>The company returned £1,065,050 to shareholders by way of a buyback of 425,000 ordinary shares at a price of 250.6p per share.</t>
  </si>
  <si>
    <t>The company returned £624,975 to shareholders by way of a buyback of 250,000 ordinary shares at a price of 249.99p per share.</t>
  </si>
  <si>
    <t>The company returned £622,500 to shareholders by way of a buyback of 250,000 ordinary shares at a price of 249.p per share.</t>
  </si>
  <si>
    <t>The company returned £249,500 to shareholders by way of a buyback of 100,000 ordinary shares at a price of 249.5p per share.</t>
  </si>
  <si>
    <t>The company returned £1,252,700 to shareholders by way of a buyback of 500,000 ordinary shares at a price of 250.54p per share.</t>
  </si>
  <si>
    <t>The company returned £244,480 to shareholders by way of a buyback of 100,000 ordinary shares at a price of 244.48p per share.</t>
  </si>
  <si>
    <t>The company returned £852,705 to shareholders by way of a buyback of 350,000 ordinary shares at a price of 243.63p per share.</t>
  </si>
  <si>
    <t>The company returned £121,750 to shareholders by way of a buyback of 50,000 ordinary shares at a price of 243.5p per share.</t>
  </si>
  <si>
    <t>The company returned £842,415 to shareholders by way of a buyback of 350,000 ordinary shares at a price of 240.69p per share.</t>
  </si>
  <si>
    <t>The company returned £45,750 to shareholders by way of a buyback of 15,000 ordinary shares at a price of 305.p per share.</t>
  </si>
  <si>
    <t>The company returned £148,000 to shareholders by way of a buyback of 50,000 ordinary shares at a price of 296.p per share.</t>
  </si>
  <si>
    <t>The company returned £56,905 to shareholders by way of a buyback of 19,100 ordinary shares at a price of 297.93p per share.</t>
  </si>
  <si>
    <t>The company returned £121,212 to shareholders by way of a buyback of 41,100 ordinary shares at a price of 294.92p per share.</t>
  </si>
  <si>
    <t>The company returned £122,534 to shareholders by way of a buyback of 41,384 ordinary shares at a price of 296.09p per share.</t>
  </si>
  <si>
    <t>The company returned £88,299 to shareholders by way of a buyback of 30,000 ordinary shares at a price of 294.33p per share.</t>
  </si>
  <si>
    <t>The company returned £1,135,896 to shareholders by way of a buyback of 371,560 ordinary shares at a price of 305.71p per share.</t>
  </si>
  <si>
    <t>The company returned £395,336 to shareholders by way of a buyback of 129,237 ordinary shares at a price of 305.9p per share.</t>
  </si>
  <si>
    <t>The company returned £320,962 to shareholders by way of a buyback of 105,082 ordinary shares at a price of 305.44p per share.</t>
  </si>
  <si>
    <t>The company returned £72,690 to shareholders by way of a buyback of 23,690 ordinary shares at a price of 306.84p per share.</t>
  </si>
  <si>
    <t>The company returned £89,980 to shareholders by way of a buyback of 29,083 ordinary shares at a price of 309.39p per share.</t>
  </si>
  <si>
    <t>The company returned £770,700 to shareholders by way of a buyback of 250,000 ordinary shares at a price of 308.28p per share.</t>
  </si>
  <si>
    <t>The company returned £812,602 to shareholders by way of a buyback of 265,869 ordinary shares at a price of 305.64p per share.</t>
  </si>
  <si>
    <t>The company returned £244,297 to shareholders by way of a buyback of 82,622 ordinary shares at a price of 295.68p per share.</t>
  </si>
  <si>
    <t>The company returned £5,637 to shareholders by way of a buyback of 1,910 ordinary shares at a price of 295.11p per share.</t>
  </si>
  <si>
    <t>The company returned £68,965 to shareholders by way of a buyback of 23,464 ordinary shares at a price of 293.92p per share.</t>
  </si>
  <si>
    <t>The company returned £293,550 to shareholders by way of a buyback of 100,000 ordinary shares at a price of 293.55p per share.</t>
  </si>
  <si>
    <t>The company returned £237,785 to shareholders by way of a buyback of 80,100 ordinary shares at a price of 296.86p per share.</t>
  </si>
  <si>
    <t>The company returned £148,694 to shareholders by way of a buyback of 50,996 ordinary shares at a price of 291.58p per share.</t>
  </si>
  <si>
    <t>The company returned £74,107 to shareholders by way of a buyback of 25,379 ordinary shares at a price of 292.p per share.</t>
  </si>
  <si>
    <t>The company returned £176,598 to shareholders by way of a buyback of 60,000 ordinary shares at a price of 294.33p per share.</t>
  </si>
  <si>
    <t>The company returned £147,500 to shareholders by way of a buyback of 50,000 ordinary shares at a price of 295.p per share.</t>
  </si>
  <si>
    <t>The company returned £144,704 to shareholders by way of a buyback of 140,000 ordinary shares at a price of 103.36p per share.</t>
  </si>
  <si>
    <t>The company returned £140,700 to shareholders by way of a buyback of 140,000 ordinary shares at a price of 100.5p per share.</t>
  </si>
  <si>
    <t>The company returned £143,402 to shareholders by way of a buyback of 140,000 ordinary shares at a price of 102.43p per share.</t>
  </si>
  <si>
    <t>The company returned £142,100 to shareholders by way of a buyback of 140,000 ordinary shares at a price of 101.5p per share.</t>
  </si>
  <si>
    <t>The company returned £139,440 to shareholders by way of a buyback of 140,000 ordinary shares at a price of 99.6p per share.</t>
  </si>
  <si>
    <t>The company returned £138,320 to shareholders by way of a buyback of 140,000 ordinary shares at a price of 98.8p per share.</t>
  </si>
  <si>
    <t>The company returned £142,394 to shareholders by way of a buyback of 140,000 ordinary shares at a price of 101.71p per share.</t>
  </si>
  <si>
    <t>The company returned £138,838 to shareholders by way of a buyback of 140,000 ordinary shares at a price of 99.17p per share.</t>
  </si>
  <si>
    <t>The company returned £138,600 to shareholders by way of a buyback of 140,000 ordinary shares at a price of 99.p per share.</t>
  </si>
  <si>
    <t>The company returned £138,544 to shareholders by way of a buyback of 140,000 ordinary shares at a price of 98.96p per share.</t>
  </si>
  <si>
    <t>The company returned £138,040 to shareholders by way of a buyback of 140,000 ordinary shares at a price of 98.6p per share.</t>
  </si>
  <si>
    <t>The company returned £133,840 to shareholders by way of a buyback of 140,000 ordinary shares at a price of 95.6p per share.</t>
  </si>
  <si>
    <t>The company returned £132,440 to shareholders by way of a buyback of 140,000 ordinary shares at a price of 94.6p per share.</t>
  </si>
  <si>
    <t>The company returned £133,476 to shareholders by way of a buyback of 140,000 ordinary shares at a price of 95.34p per share.</t>
  </si>
  <si>
    <t>The company returned £133,798 to shareholders by way of a buyback of 140,000 ordinary shares at a price of 95.57p per share.</t>
  </si>
  <si>
    <t>The company returned £133,000 to shareholders by way of a buyback of 140,000 ordinary shares at a price of 95.p per share.</t>
  </si>
  <si>
    <t>The company returned £131,320 to shareholders by way of a buyback of 140,000 ordinary shares at a price of 93.8p per share.</t>
  </si>
  <si>
    <t>The company returned £129,920 to shareholders by way of a buyback of 140,000 ordinary shares at a price of 92.8p per share.</t>
  </si>
  <si>
    <t>The company returned £458,500 to shareholders by way of a buyback of 50,000 ordinary shares at a price of 917.p per share.</t>
  </si>
  <si>
    <t>The company returned £874,000 to shareholders by way of a buyback of 100,000 ordinary shares at a price of 874.p per share.</t>
  </si>
  <si>
    <t>The company returned £860,000 to shareholders by way of a buyback of 100,000 ordinary shares at a price of 860.p per share.</t>
  </si>
  <si>
    <t>The company returned £1,718,980 to shareholders by way of a buyback of 200,000 ordinary shares at a price of 859.49p per share.</t>
  </si>
  <si>
    <t>The company returned £1,076,500 to shareholders by way of a buyback of 125,000 ordinary shares at a price of 861.2p per share.</t>
  </si>
  <si>
    <t>The company returned £440,000 to shareholders by way of a buyback of 50,000 ordinary shares at a price of 880.p per share.</t>
  </si>
  <si>
    <t>The company returned £1,736,860 to shareholders by way of a buyback of 200,000 ordinary shares at a price of 868.43p per share.</t>
  </si>
  <si>
    <t>The company returned £1,725,440 to shareholders by way of a buyback of 200,000 ordinary shares at a price of 862.72p per share.</t>
  </si>
  <si>
    <t>The company returned £651,600 to shareholders by way of a buyback of 75,000 ordinary shares at a price of 868.8p per share.</t>
  </si>
  <si>
    <t>The company returned £868,000 to shareholders by way of a buyback of 100,000 ordinary shares at a price of 868.p per share.</t>
  </si>
  <si>
    <t>The company returned £695,576 to shareholders by way of a buyback of 80,000 ordinary shares at a price of 869.47p per share.</t>
  </si>
  <si>
    <t>The company returned £1,739,540 to shareholders by way of a buyback of 200,000 ordinary shares at a price of 869.77p per share.</t>
  </si>
  <si>
    <t>The company returned £846,000 to shareholders by way of a buyback of 100,000 ordinary shares at a price of 846.p per share.</t>
  </si>
  <si>
    <t>The company returned £833,950 to shareholders by way of a buyback of 100,000 ordinary shares at a price of 833.95p per share.</t>
  </si>
  <si>
    <t>The company returned £837,000 to shareholders by way of a buyback of 100,000 ordinary shares at a price of 837.p per share.</t>
  </si>
  <si>
    <t>The company returned £1,702,800 to shareholders by way of a buyback of 200,000 ordinary shares at a price of 851.4p per share.</t>
  </si>
  <si>
    <t>The company returned £1,685,340 to shareholders by way of a buyback of 200,000 ordinary shares at a price of 842.67p per share.</t>
  </si>
  <si>
    <t>The company returned £1,667,800 to shareholders by way of a buyback of 200,000 ordinary shares at a price of 833.9p per share.</t>
  </si>
  <si>
    <t>The company returned £1,668,960 to shareholders by way of a buyback of 200,000 ordinary shares at a price of 834.48p per share.</t>
  </si>
  <si>
    <t>The company returned £1,675,760 to shareholders by way of a buyback of 200,000 ordinary shares at a price of 837.88p per share.</t>
  </si>
  <si>
    <t>The company returned £618,245 to shareholders by way of a buyback of 414,068 ordinary shares at a price of 149.31p per share.</t>
  </si>
  <si>
    <t>The company returned £1,087,275 to shareholders by way of a buyback of 750,000 ordinary shares at a price of 144.97p per share.</t>
  </si>
  <si>
    <t>The company returned £267,488 to shareholders by way of a buyback of 183,538 ordinary shares at a price of 145.74p per share.</t>
  </si>
  <si>
    <t>The company returned £426,070 to shareholders by way of a buyback of 309,689 ordinary shares at a price of 137.58p per share.</t>
  </si>
  <si>
    <t>The company returned £1,156,085 to shareholders by way of a buyback of 850,000 ordinary shares at a price of 136.01p per share.</t>
  </si>
  <si>
    <t>The company returned £1,079,680 to shareholders by way of a buyback of 800,000 ordinary shares at a price of 134.96p per share.</t>
  </si>
  <si>
    <t>The company returned £353,775 to shareholders by way of a buyback of 265,000 ordinary shares at a price of 133.5p per share.</t>
  </si>
  <si>
    <t>The company returned £251,224 to shareholders by way of a buyback of 124,000 ordinary shares at a price of 202.6p per share.</t>
  </si>
  <si>
    <t>The company returned £298,752 to shareholders by way of a buyback of 151,551 ordinary shares at a price of 197.13p per share.</t>
  </si>
  <si>
    <t>The company returned £280,677 to shareholders by way of a buyback of 142,000 ordinary shares at a price of 197.66p per share.</t>
  </si>
  <si>
    <t>The company returned £232,148 to shareholders by way of a buyback of 117,585 ordinary shares at a price of 197.43p per share.</t>
  </si>
  <si>
    <t>The company returned £243,524 to shareholders by way of a buyback of 124,000 ordinary shares at a price of 196.39p per share.</t>
  </si>
  <si>
    <t>The company returned £252,525 to shareholders by way of a buyback of 130,000 ordinary shares at a price of 194.25p per share.</t>
  </si>
  <si>
    <t>The company returned £264,538 to shareholders by way of a buyback of 133,605 ordinary shares at a price of 198.p per share.</t>
  </si>
  <si>
    <t>The company returned £168,541 to shareholders by way of a buyback of 86,542 ordinary shares at a price of 194.75p per share.</t>
  </si>
  <si>
    <t>The company returned £428,327 to shareholders by way of a buyback of 222,600 ordinary shares at a price of 192.42p per share.</t>
  </si>
  <si>
    <t>The company returned £48,000 to shareholders by way of a buyback of 25,000 ordinary shares at a price of 192.p per share.</t>
  </si>
  <si>
    <t>The company returned £146,731 to shareholders by way of a buyback of 79,100 ordinary shares at a price of 185.5p per share.</t>
  </si>
  <si>
    <t>The company returned £209,286 to shareholders by way of a buyback of 110,880 ordinary shares at a price of 188.75p per share.</t>
  </si>
  <si>
    <t>The company returned £466,000 to shareholders by way of a buyback of 250,000 ordinary shares at a price of 186.4p per share.</t>
  </si>
  <si>
    <t>The company returned £377,000 to shareholders by way of a buyback of 200,000 ordinary shares at a price of 188.5p per share.</t>
  </si>
  <si>
    <t>The company returned £197,253 to shareholders by way of a buyback of 105,000 ordinary shares at a price of 187.86p per share.</t>
  </si>
  <si>
    <t>The company returned £261,191 to shareholders by way of a buyback of 141,345 ordinary shares at a price of 184.79p per share.</t>
  </si>
  <si>
    <t>The company returned £367,620 to shareholders by way of a buyback of 200,000 ordinary shares at a price of 183.81p per share.</t>
  </si>
  <si>
    <t>The company returned £306,900 to shareholders by way of a buyback of 165,000 ordinary shares at a price of 186.p per share.</t>
  </si>
  <si>
    <t>The company returned £115,880 to shareholders by way of a buyback of 100,000 ordinary shares at a price of 115.88p per share.</t>
  </si>
  <si>
    <t>The company returned £49,527 to shareholders by way of a buyback of 43,000 ordinary shares at a price of 115.18p per share.</t>
  </si>
  <si>
    <t>The company returned £62,267 to shareholders by way of a buyback of 53,298 ordinary shares at a price of 116.83p per share.</t>
  </si>
  <si>
    <t>The company returned £7,420 to shareholders by way of a buyback of 6,500 ordinary shares at a price of 114.16p per share.</t>
  </si>
  <si>
    <t>The company returned £111,708 to shareholders by way of a buyback of 98,699 ordinary shares at a price of 113.18p per share.</t>
  </si>
  <si>
    <t>The company returned £69,031 to shareholders by way of a buyback of 64,503 ordinary shares at a price of 107.02p per share.</t>
  </si>
  <si>
    <t>The company returned £52,000 to shareholders by way of a buyback of 50,000 ordinary shares at a price of 104.p per share.</t>
  </si>
  <si>
    <t>The company returned £15,908 to shareholders by way of a buyback of 15,000 ordinary shares at a price of 106.05p per share.</t>
  </si>
  <si>
    <t>The company returned £680,015 to shareholders by way of a buyback of 500,000 ordinary shares at a price of 136.p per share.</t>
  </si>
  <si>
    <t>The company returned £665,590 to shareholders by way of a buyback of 500,000 ordinary shares at a price of 133.12p per share.</t>
  </si>
  <si>
    <t>The company returned £673,955 to shareholders by way of a buyback of 500,000 ordinary shares at a price of 134.79p per share.</t>
  </si>
  <si>
    <t>The company returned £671,170 to shareholders by way of a buyback of 500,000 ordinary shares at a price of 134.23p per share.</t>
  </si>
  <si>
    <t>The company returned £594,945 to shareholders by way of a buyback of 450,000 ordinary shares at a price of 132.21p per share.</t>
  </si>
  <si>
    <t>The company returned £436,867 to shareholders by way of a buyback of 335,551 ordinary shares at a price of 130.19p per share.</t>
  </si>
  <si>
    <t>The company returned £519,041 to shareholders by way of a buyback of 390,001 ordinary shares at a price of 133.09p per share.</t>
  </si>
  <si>
    <t>The company returned £265,299 to shareholders by way of a buyback of 200,001 ordinary shares at a price of 132.65p per share.</t>
  </si>
  <si>
    <t>The company returned £568,198 to shareholders by way of a buyback of 430,000 ordinary shares at a price of 132.14p per share.</t>
  </si>
  <si>
    <t>The company returned £65,900 to shareholders by way of a buyback of 50,000 ordinary shares at a price of 131.8p per share.</t>
  </si>
  <si>
    <t>The company returned £659,760 to shareholders by way of a buyback of 500,000 ordinary shares at a price of 131.95p per share.</t>
  </si>
  <si>
    <t>The company returned £529,120 to shareholders by way of a buyback of 400,000 ordinary shares at a price of 132.28p per share.</t>
  </si>
  <si>
    <t>The company returned £1,245,135 to shareholders by way of a buyback of 940,541 ordinary shares at a price of 132.39p per share.</t>
  </si>
  <si>
    <t>The company returned £955,758 to shareholders by way of a buyback of 739,642 ordinary shares at a price of 129.22p per share.</t>
  </si>
  <si>
    <t>The company returned £745,032 to shareholders by way of a buyback of 579,003 ordinary shares at a price of 128.68p per share.</t>
  </si>
  <si>
    <t>The company returned £987,579 to shareholders by way of a buyback of 770,000 ordinary shares at a price of 128.26p per share.</t>
  </si>
  <si>
    <t>The company returned £943,233 to shareholders by way of a buyback of 733,788 ordinary shares at a price of 128.54p per share.</t>
  </si>
  <si>
    <t>The company returned £874,800 to shareholders by way of a buyback of 675,000 ordinary shares at a price of 129.6p per share.</t>
  </si>
  <si>
    <t>The company returned £1,289,830 to shareholders by way of a buyback of 1,000,000 ordinary shares at a price of 128.98p per share.</t>
  </si>
  <si>
    <t>The company returned £1,170,994 to shareholders by way of a buyback of 920,000 ordinary shares at a price of 127.28p per share.</t>
  </si>
  <si>
    <t>The company returned £986,480 to shareholders by way of a buyback of 777,932 ordinary shares at a price of 126.81p per share.</t>
  </si>
  <si>
    <t>The company returned £1,101,747 to shareholders by way of a buyback of 863,249 ordinary shares at a price of 127.63p per share.</t>
  </si>
  <si>
    <t>The company returned £59,838 to shareholders by way of a buyback of 48,009 ordinary shares at a price of 124.64p per share.</t>
  </si>
  <si>
    <t>The company returned £21,330 to shareholders by way of a buyback of 16,875 ordinary shares at a price of 126.4p per share.</t>
  </si>
  <si>
    <t>The company returned £38,367 to shareholders by way of a buyback of 30,000 ordinary shares at a price of 127.89p per share.</t>
  </si>
  <si>
    <t>The company returned £64,965 to shareholders by way of a buyback of 50,000 ordinary shares at a price of 129.93p per share.</t>
  </si>
  <si>
    <t>The company returned £206,310 to shareholders by way of a buyback of 47,757 ordinary shares at a price of 432.p per share.</t>
  </si>
  <si>
    <t>The company returned £258,846 to shareholders by way of a buyback of 60,000 ordinary shares at a price of 431.41p per share.</t>
  </si>
  <si>
    <t>The company returned £31,135 to shareholders by way of a buyback of 7,109 ordinary shares at a price of 437.96p per share.</t>
  </si>
  <si>
    <t>The company returned £151,384 to shareholders by way of a buyback of 34,513 ordinary shares at a price of 438.63p per share.</t>
  </si>
  <si>
    <t>The company returned £224 to shareholders by way of a buyback of 51 ordinary shares at a price of 439.p per share.</t>
  </si>
  <si>
    <t>The company returned £219,490 to shareholders by way of a buyback of 50,000 ordinary shares at a price of 438.98p per share.</t>
  </si>
  <si>
    <t>The company returned £19,718 to shareholders by way of a buyback of 4,607 ordinary shares at a price of 428.p per share.</t>
  </si>
  <si>
    <t>The company returned £15,810 to shareholders by way of a buyback of 3,694 ordinary shares at a price of 428.p per share.</t>
  </si>
  <si>
    <t>The company returned £106,368 to shareholders by way of a buyback of 25,146 ordinary shares at a price of 423.p per share.</t>
  </si>
  <si>
    <t>The company returned £212,930 to shareholders by way of a buyback of 50,338 ordinary shares at a price of 423.p per share.</t>
  </si>
  <si>
    <t>The company returned £592,088 to shareholders by way of a buyback of 140,000 ordinary shares at a price of 422.92p per share.</t>
  </si>
  <si>
    <t>The company returned £610,749 to shareholders by way of a buyback of 144,385 ordinary shares at a price of 423.p per share.</t>
  </si>
  <si>
    <t>The company returned £874,002 to shareholders by way of a buyback of 211,628 ordinary shares at a price of 412.99p per share.</t>
  </si>
  <si>
    <t>The company returned £492,602 to shareholders by way of a buyback of 119,274 ordinary shares at a price of 413.p per share.</t>
  </si>
  <si>
    <t>The company returned £15,585 to shareholders by way of a buyback of 4,661 ordinary shares at a price of 334.36p per share.</t>
  </si>
  <si>
    <t>The company returned £1,631 to shareholders by way of a buyback of 516 ordinary shares at a price of 316.07p per share.</t>
  </si>
  <si>
    <t>The company returned £47,628 to shareholders by way of a buyback of 15,000 ordinary shares at a price of 317.52p per share.</t>
  </si>
  <si>
    <t>The company returned £1,429,680 to shareholders by way of a buyback of 115,000 ordinary shares at a price of 1,243.2p per share.</t>
  </si>
  <si>
    <t>The company returned £1,554,925 to shareholders by way of a buyback of 125,000 ordinary shares at a price of 1,243.94p per share.</t>
  </si>
  <si>
    <t>The company returned £1,207,770 to shareholders by way of a buyback of 100,000 ordinary shares at a price of 1,207.77p per share.</t>
  </si>
  <si>
    <t>The company returned £1,931,472 to shareholders by way of a buyback of 160,000 ordinary shares at a price of 1,207.17p per share.</t>
  </si>
  <si>
    <t>The company returned £222,781 to shareholders by way of a buyback of 126,000 ordinary shares at a price of 176.81p per share.</t>
  </si>
  <si>
    <t>The company returned £22,863 to shareholders by way of a buyback of 12,500 ordinary shares at a price of 182.9p per share.</t>
  </si>
  <si>
    <t>The company returned £50,468 to shareholders by way of a buyback of 27,500 ordinary shares at a price of 183.52p per share.</t>
  </si>
  <si>
    <t>The company returned £64,372 to shareholders by way of a buyback of 35,000 ordinary shares at a price of 183.92p per share.</t>
  </si>
  <si>
    <t>The company returned £24,185 to shareholders by way of a buyback of 13,000 ordinary shares at a price of 186.04p per share.</t>
  </si>
  <si>
    <t>The company returned £189,871 to shareholders by way of a buyback of 102,500 ordinary shares at a price of 185.24p per share.</t>
  </si>
  <si>
    <t>The company returned £9,250 to shareholders by way of a buyback of 5,000 ordinary shares at a price of 185.p per share.</t>
  </si>
  <si>
    <t>The company returned £320,051 to shareholders by way of a buyback of 178,500 ordinary shares at a price of 179.3p per share.</t>
  </si>
  <si>
    <t>The company returned £248,988 to shareholders by way of a buyback of 138,066 ordinary shares at a price of 180.34p per share.</t>
  </si>
  <si>
    <t>The company returned £83,994 to shareholders by way of a buyback of 46,434 ordinary shares at a price of 180.89p per share.</t>
  </si>
  <si>
    <t>The company returned £82,020 to shareholders by way of a buyback of 44,000 ordinary shares at a price of 186.41p per share.</t>
  </si>
  <si>
    <t>The company returned £92,190 to shareholders by way of a buyback of 50,000 ordinary shares at a price of 184.38p per share.</t>
  </si>
  <si>
    <t>The company returned £236,119 to shareholders by way of a buyback of 39,112 ordinary shares at a price of 603.7p per share.</t>
  </si>
  <si>
    <t>The company returned £118,198 to shareholders by way of a buyback of 20,000 ordinary shares at a price of 590.99p per share.</t>
  </si>
  <si>
    <t>The company returned £132,274 to shareholders by way of a buyback of 23,031 ordinary shares at a price of 574.33p per share.</t>
  </si>
  <si>
    <t>The company returned £115,138 to shareholders by way of a buyback of 20,000 ordinary shares at a price of 575.69p per share.</t>
  </si>
  <si>
    <t>The company returned £92,019 to shareholders by way of a buyback of 16,094 ordinary shares at a price of 571.76p per share.</t>
  </si>
  <si>
    <t>The company returned £88,776 to shareholders by way of a buyback of 15,946 ordinary shares at a price of 556.73p per share.</t>
  </si>
  <si>
    <t>The company returned £82,043 to shareholders by way of a buyback of 15,000 ordinary shares at a price of 546.95p per share.</t>
  </si>
  <si>
    <t>The company returned £76,907 to shareholders by way of a buyback of 13,740 ordinary shares at a price of 559.73p per share.</t>
  </si>
  <si>
    <t>The company returned £94,804 to shareholders by way of a buyback of 17,075 ordinary shares at a price of 555.22p per share.</t>
  </si>
  <si>
    <t>The company returned £96,451 to shareholders by way of a buyback of 17,500 ordinary shares at a price of 551.15p per share.</t>
  </si>
  <si>
    <t>The company returned £138,060 to shareholders by way of a buyback of 25,000 ordinary shares at a price of 552.24p per share.</t>
  </si>
  <si>
    <t>The company returned £136,633 to shareholders by way of a buyback of 25,000 ordinary shares at a price of 546.53p per share.</t>
  </si>
  <si>
    <t>The company returned £136,855 to shareholders by way of a buyback of 25,000 ordinary shares at a price of 547.42p per share.</t>
  </si>
  <si>
    <t>The company returned £106,571 to shareholders by way of a buyback of 19,500 ordinary shares at a price of 546.52p per share.</t>
  </si>
  <si>
    <t>The company returned £133,045 to shareholders by way of a buyback of 25,000 ordinary shares at a price of 532.18p per share.</t>
  </si>
  <si>
    <t>The company returned £105,720 to shareholders by way of a buyback of 20,000 ordinary shares at a price of 528.6p per share.</t>
  </si>
  <si>
    <t>The company returned £184,009 to shareholders by way of a buyback of 35,000 ordinary shares at a price of 525.74p per share.</t>
  </si>
  <si>
    <t>The company returned £53,130 to shareholders by way of a buyback of 10,000 ordinary shares at a price of 531.3p per share.</t>
  </si>
  <si>
    <t>The company returned £131,688 to shareholders by way of a buyback of 25,000 ordinary shares at a price of 526.75p per share.</t>
  </si>
  <si>
    <t>The company returned £128,793 to shareholders by way of a buyback of 25,000 ordinary shares at a price of 515.17p per share.</t>
  </si>
  <si>
    <t>The company returned £292,638 to shareholders by way of a buyback of 30,000 ordinary shares at a price of 975.46p per share.</t>
  </si>
  <si>
    <t>The company returned £621,411 to shareholders by way of a buyback of 70,000 ordinary shares at a price of 887.73p per share.</t>
  </si>
  <si>
    <t>The company returned £527,268 to shareholders by way of a buyback of 56,000 ordinary shares at a price of 941.55p per share.</t>
  </si>
  <si>
    <t>The company returned £86,918 to shareholders by way of a buyback of 6,500 ordinary shares at a price of 1,337.2p per share.</t>
  </si>
  <si>
    <t>The company returned £132,410 to shareholders by way of a buyback of 10,000 ordinary shares at a price of 1,324.1p per share.</t>
  </si>
  <si>
    <t>The company returned £24,174 to shareholders by way of a buyback of 1,700 ordinary shares at a price of 1,422.p per share.</t>
  </si>
  <si>
    <t>The company returned £39,956 to shareholders by way of a buyback of 2,807 ordinary shares at a price of 1,423.43p per share.</t>
  </si>
  <si>
    <t>The company returned £83,720 to shareholders by way of a buyback of 6,000 ordinary shares at a price of 1,395.33p per share.</t>
  </si>
  <si>
    <t>The company returned £48,850 to shareholders by way of a buyback of 3,500 ordinary shares at a price of 1,395.71p per share.</t>
  </si>
  <si>
    <t>The company returned £77,200 to shareholders by way of a buyback of 5,500 ordinary shares at a price of 1,403.64p per share.</t>
  </si>
  <si>
    <t>The company returned £95,486 to shareholders by way of a buyback of 7,000 ordinary shares at a price of 1,364.09p per share.</t>
  </si>
  <si>
    <t>The company returned £95,620 to shareholders by way of a buyback of 7,000 ordinary shares at a price of 1,366.p per share.</t>
  </si>
  <si>
    <t>The company returned £207,345 to shareholders by way of a buyback of 15,000 ordinary shares at a price of 1,382.3p per share.</t>
  </si>
  <si>
    <t>The company returned £366,003 to shareholders by way of a buyback of 110,000 ordinary shares at a price of 332.73p per share.</t>
  </si>
  <si>
    <t>The company returned £345,487 to shareholders by way of a buyback of 102,500 ordinary shares at a price of 337.06p per share.</t>
  </si>
  <si>
    <t>The company returned £383,525 to shareholders by way of a buyback of 115,000 ordinary shares at a price of 333.5p per share.</t>
  </si>
  <si>
    <t>The company returned £200,916 to shareholders by way of a buyback of 60,000 ordinary shares at a price of 334.86p per share.</t>
  </si>
  <si>
    <t>The company returned £134,800 to shareholders by way of a buyback of 40,000 ordinary shares at a price of 337.p per share.</t>
  </si>
  <si>
    <t>The company returned £100,200 to shareholders by way of a buyback of 30,000 ordinary shares at a price of 334.p per share.</t>
  </si>
  <si>
    <t>The company returned £359,219 to shareholders by way of a buyback of 107,958 ordinary shares at a price of 332.74p per share.</t>
  </si>
  <si>
    <t>The company returned £299,907 to shareholders by way of a buyback of 90,000 ordinary shares at a price of 333.23p per share.</t>
  </si>
  <si>
    <t>The company returned £536,879 to shareholders by way of a buyback of 161,191 ordinary shares at a price of 333.07p per share.</t>
  </si>
  <si>
    <t>The company returned £434,395 to shareholders by way of a buyback of 130,000 ordinary shares at a price of 334.15p per share.</t>
  </si>
  <si>
    <t>The company returned £301,203 to shareholders by way of a buyback of 90,000 ordinary shares at a price of 334.67p per share.</t>
  </si>
  <si>
    <t>The company returned £366,905 to shareholders by way of a buyback of 110,000 ordinary shares at a price of 333.55p per share.</t>
  </si>
  <si>
    <t>The company returned £215,800 to shareholders by way of a buyback of 65,000 ordinary shares at a price of 332.p per share.</t>
  </si>
  <si>
    <t>The company returned £238,561 to shareholders by way of a buyback of 72,149 ordinary shares at a price of 330.65p per share.</t>
  </si>
  <si>
    <t>The company returned £213,051 to shareholders by way of a buyback of 65,000 ordinary shares at a price of 327.77p per share.</t>
  </si>
  <si>
    <t>The company returned £98,850 to shareholders by way of a buyback of 30,000 ordinary shares at a price of 329.5p per share.</t>
  </si>
  <si>
    <t>The company returned £403,993 to shareholders by way of a buyback of 126,978 ordinary shares at a price of 318.16p per share.</t>
  </si>
  <si>
    <t>The company returned £197,445 to shareholders by way of a buyback of 3,899 ordinary shares at a price of 5,064.p per share.</t>
  </si>
  <si>
    <t>The company returned £448,743 to shareholders by way of a buyback of 8,886 ordinary shares at a price of 5,050.p per share.</t>
  </si>
  <si>
    <t>The company returned £153,924 to shareholders by way of a buyback of 3,048 ordinary shares at a price of 5,050.p per share.</t>
  </si>
  <si>
    <t>The company returned £164,226 to shareholders by way of a buyback of 3,248 ordinary shares at a price of 5,056.21p per share.</t>
  </si>
  <si>
    <t>The company returned £159,084 to shareholders by way of a buyback of 3,159 ordinary shares at a price of 5,035.9p per share.</t>
  </si>
  <si>
    <t>The company returned £209,641 to shareholders by way of a buyback of 4,190 ordinary shares at a price of 5,003.36p per share.</t>
  </si>
  <si>
    <t>The company returned £512,408 to shareholders by way of a buyback of 10,189 ordinary shares at a price of 5,029.03p per share.</t>
  </si>
  <si>
    <t>The company returned £202,506 to shareholders by way of a buyback of 4,034 ordinary shares at a price of 5,019.99p per share.</t>
  </si>
  <si>
    <t>The company returned £1,018,834 to shareholders by way of a buyback of 20,336 ordinary shares at a price of 5,010.p per share.</t>
  </si>
  <si>
    <t>The company returned £182,195 to shareholders by way of a buyback of 3,633 ordinary shares at a price of 5,015.p per share.</t>
  </si>
  <si>
    <t>The company returned £1,306,488 to shareholders by way of a buyback of 25,981 ordinary shares at a price of 5,028.63p per share.</t>
  </si>
  <si>
    <t>The company returned £50,001 to shareholders by way of a buyback of 996 ordinary shares at a price of 5,020.22p per share.</t>
  </si>
  <si>
    <t>The company returned £151 to shareholders by way of a buyback of 3 ordinary shares at a price of 5,030.p per share.</t>
  </si>
  <si>
    <t>The company returned £50 to shareholders by way of a buyback of 1 ordinary shares at a price of 5,010.p per share.</t>
  </si>
  <si>
    <t>The company returned £647,128 to shareholders by way of a buyback of 12,891 ordinary shares at a price of 5,020.p per share.</t>
  </si>
  <si>
    <t>The company returned £24,751 to shareholders by way of a buyback of 497 ordinary shares at a price of 4,980.p per share.</t>
  </si>
  <si>
    <t>The company returned £307,500 to shareholders by way of a buyback of 6,150 ordinary shares at a price of 5,000.p per share.</t>
  </si>
  <si>
    <t>The company returned £20,799 to shareholders by way of a buyback of 418 ordinary shares at a price of 4,975.83p per share.</t>
  </si>
  <si>
    <t>The company returned £1,009,207 to shareholders by way of a buyback of 20,316 ordinary shares at a price of 4,967.55p per share.</t>
  </si>
  <si>
    <t>The company returned £381,630 to shareholders by way of a buyback of 7,658 ordinary shares at a price of 4,983.41p per share.</t>
  </si>
  <si>
    <t>The company returned £43,610 to shareholders by way of a buyback of 50,000 ordinary shares at a price of 87.22p per share.</t>
  </si>
  <si>
    <t>The company returned £88,200 to shareholders by way of a buyback of 100,000 ordinary shares at a price of 88.2p per share.</t>
  </si>
  <si>
    <t>The company returned £88,000 to shareholders by way of a buyback of 100,000 ordinary shares at a price of 88.p per share.</t>
  </si>
  <si>
    <t>The company returned £217,325 to shareholders by way of a buyback of 250,000 ordinary shares at a price of 86.93p per share.</t>
  </si>
  <si>
    <t>The company returned £86,150 to shareholders by way of a buyback of 100,000 ordinary shares at a price of 86.15p per share.</t>
  </si>
  <si>
    <t>The company returned £89,150 to shareholders by way of a buyback of 100,000 ordinary shares at a price of 89.15p per share.</t>
  </si>
  <si>
    <t>The company returned £88,900 to shareholders by way of a buyback of 100,000 ordinary shares at a price of 88.9p per share.</t>
  </si>
  <si>
    <t>The company returned £87,000 to shareholders by way of a buyback of 100,000 ordinary shares at a price of 87.p per share.</t>
  </si>
  <si>
    <t>The company returned £87,120 to shareholders by way of a buyback of 100,000 ordinary shares at a price of 87.12p per share.</t>
  </si>
  <si>
    <t>The company returned £86,175 to shareholders by way of a buyback of 100,000 ordinary shares at a price of 86.18p per share.</t>
  </si>
  <si>
    <t>The company returned £218,000 to shareholders by way of a buyback of 250,000 ordinary shares at a price of 87.2p per share.</t>
  </si>
  <si>
    <t>The company returned £59,400 to shareholders by way of a buyback of 70,000 ordinary shares at a price of 84.86p per share.</t>
  </si>
  <si>
    <t>The company returned £67,328 to shareholders by way of a buyback of 80,000 ordinary shares at a price of 84.16p per share.</t>
  </si>
  <si>
    <t>The company returned £83,030 to shareholders by way of a buyback of 100,000 ordinary shares at a price of 83.03p per share.</t>
  </si>
  <si>
    <t>The company returned £81,670 to shareholders by way of a buyback of 100,000 ordinary shares at a price of 81.67p per share.</t>
  </si>
  <si>
    <t>The company returned £83,130 to shareholders by way of a buyback of 100,000 ordinary shares at a price of 83.13p per share.</t>
  </si>
  <si>
    <t>The company returned £164,716 to shareholders by way of a buyback of 200,000 ordinary shares at a price of 82.36p per share.</t>
  </si>
  <si>
    <t>The company returned £162,850 to shareholders by way of a buyback of 200,000 ordinary shares at a price of 81.43p per share.</t>
  </si>
  <si>
    <t>The company returned £81,500 to shareholders by way of a buyback of 100,000 ordinary shares at a price of 81.5p per share.</t>
  </si>
  <si>
    <t>The company returned £556,512 to shareholders by way of a buyback of 148,637 ordinary shares at a price of 374.41p per share.</t>
  </si>
  <si>
    <t>The company returned £319,455 to shareholders by way of a buyback of 90,000 ordinary shares at a price of 354.95p per share.</t>
  </si>
  <si>
    <t>The company returned £176,525 to shareholders by way of a buyback of 48,165 ordinary shares at a price of 366.5p per share.</t>
  </si>
  <si>
    <t>The company returned £896,704 to shareholders by way of a buyback of 254,214 ordinary shares at a price of 352.74p per share.</t>
  </si>
  <si>
    <t>The company returned £113,572 to shareholders by way of a buyback of 32,890 ordinary shares at a price of 345.31p per share.</t>
  </si>
  <si>
    <t>The company returned £67,728 to shareholders by way of a buyback of 20,000 ordinary shares at a price of 338.64p per share.</t>
  </si>
  <si>
    <t>The company returned £155,191 to shareholders by way of a buyback of 43,864 ordinary shares at a price of 353.8p per share.</t>
  </si>
  <si>
    <t>The company returned £284,800 to shareholders by way of a buyback of 80,000 ordinary shares at a price of 356.p per share.</t>
  </si>
  <si>
    <t>The company returned £258,000 to shareholders by way of a buyback of 75,000 ordinary shares at a price of 344.p per share.</t>
  </si>
  <si>
    <t>The company returned £251,250 to shareholders by way of a buyback of 75,000 ordinary shares at a price of 335.p per share.</t>
  </si>
  <si>
    <t>The company returned £164,000 to shareholders by way of a buyback of 50,000 ordinary shares at a price of 328.p per share.</t>
  </si>
  <si>
    <t>The company returned £78,500 to shareholders by way of a buyback of 100,000 ordinary shares at a price of 78.5p per share.</t>
  </si>
  <si>
    <t>The company returned £79,100 to shareholders by way of a buyback of 100,000 ordinary shares at a price of 79.1p per share.</t>
  </si>
  <si>
    <t>The company returned £60,374 to shareholders by way of a buyback of 19,602 ordinary shares at a price of 308.p per share.</t>
  </si>
  <si>
    <t>The company returned £569,595 to shareholders by way of a buyback of 187,985 ordinary shares at a price of 303.p per share.</t>
  </si>
  <si>
    <t>The company returned £345,089 to shareholders by way of a buyback of 115,000 ordinary shares at a price of 300.08p per share.</t>
  </si>
  <si>
    <t>The company returned £45,150 to shareholders by way of a buyback of 15,000 ordinary shares at a price of 301.p per share.</t>
  </si>
  <si>
    <t>The company returned £237,181 to shareholders by way of a buyback of 79,684 ordinary shares at a price of 297.65p per share.</t>
  </si>
  <si>
    <t>The company returned £94,315 to shareholders by way of a buyback of 32,080 ordinary shares at a price of 294.p per share.</t>
  </si>
  <si>
    <t>The company returned £48,138 to shareholders by way of a buyback of 16,046 ordinary shares at a price of 300.p per share.</t>
  </si>
  <si>
    <t>The company returned £774,085 to shareholders by way of a buyback of 275,905 ordinary shares at a price of 280.56p per share.</t>
  </si>
  <si>
    <t>The company returned £257,762 to shareholders by way of a buyback of 91,728 ordinary shares at a price of 281.01p per share.</t>
  </si>
  <si>
    <t>The company returned £472,750 to shareholders by way of a buyback of 165,000 ordinary shares at a price of 286.52p per share.</t>
  </si>
  <si>
    <t>The company returned £41,823 to shareholders by way of a buyback of 16,200 ordinary shares at a price of 258.17p per share.</t>
  </si>
  <si>
    <t>The company returned £88,822 to shareholders by way of a buyback of 34,913 ordinary shares at a price of 254.41p per share.</t>
  </si>
  <si>
    <t>The company returned £1,250,000 to shareholders by way of a buyback of 500,000 ordinary shares at a price of 250.p per share.</t>
  </si>
  <si>
    <t>The company returned £77,734 to shareholders by way of a buyback of 30,939 ordinary shares at a price of 251.25p per share.</t>
  </si>
  <si>
    <t>The company returned £693,141 to shareholders by way of a buyback of 85,000 ordinary shares at a price of 815.46p per share.</t>
  </si>
  <si>
    <t>The company returned £678,827 to shareholders by way of a buyback of 85,000 ordinary shares at a price of 798.62p per share.</t>
  </si>
  <si>
    <t>The company returned £1,195,500 to shareholders by way of a buyback of 150,000 ordinary shares at a price of 797.p per share.</t>
  </si>
  <si>
    <t>The company returned £1,189,440 to shareholders by way of a buyback of 150,000 ordinary shares at a price of 792.96p per share.</t>
  </si>
  <si>
    <t>The company returned £1,179,855 to shareholders by way of a buyback of 150,000 ordinary shares at a price of 786.57p per share.</t>
  </si>
  <si>
    <t>The company returned £675,121 to shareholders by way of a buyback of 85,000 ordinary shares at a price of 794.26p per share.</t>
  </si>
  <si>
    <t>The company returned £393,300 to shareholders by way of a buyback of 50,000 ordinary shares at a price of 786.6p per share.</t>
  </si>
  <si>
    <t>The company returned £670,591 to shareholders by way of a buyback of 85,000 ordinary shares at a price of 788.93p per share.</t>
  </si>
  <si>
    <t>The company returned £987,500 to shareholders by way of a buyback of 125,000 ordinary shares at a price of 790.p per share.</t>
  </si>
  <si>
    <t>The company returned £672,648 to shareholders by way of a buyback of 85,000 ordinary shares at a price of 791.35p per share.</t>
  </si>
  <si>
    <t>The company returned £3,164,000 to shareholders by way of a buyback of 400,000 ordinary shares at a price of 791.p per share.</t>
  </si>
  <si>
    <t>The company returned £669,987 to shareholders by way of a buyback of 85,000 ordinary shares at a price of 788.22p per share.</t>
  </si>
  <si>
    <t>The company returned £654,798 to shareholders by way of a buyback of 85,000 ordinary shares at a price of 770.35p per share.</t>
  </si>
  <si>
    <t>The company returned £953,288 to shareholders by way of a buyback of 125,000 ordinary shares at a price of 762.63p per share.</t>
  </si>
  <si>
    <t>The company returned £951,488 to shareholders by way of a buyback of 125,000 ordinary shares at a price of 761.19p per share.</t>
  </si>
  <si>
    <t>The company returned £646,000 to shareholders by way of a buyback of 85,000 ordinary shares at a price of 760.p per share.</t>
  </si>
  <si>
    <t>The company returned £655,639 to shareholders by way of a buyback of 85,000 ordinary shares at a price of 771.34p per share.</t>
  </si>
  <si>
    <t>The company returned £650,429 to shareholders by way of a buyback of 85,000 ordinary shares at a price of 765.21p per share.</t>
  </si>
  <si>
    <t>The company returned £646,774 to shareholders by way of a buyback of 85,000 ordinary shares at a price of 760.91p per share.</t>
  </si>
  <si>
    <t>The company returned £651,950 to shareholders by way of a buyback of 85,000 ordinary shares at a price of 767.p per share.</t>
  </si>
  <si>
    <t>The company returned £657,297 to shareholders by way of a buyback of 85,000 ordinary shares at a price of 773.29p per share.</t>
  </si>
  <si>
    <t>The company returned £633,765 to shareholders by way of a buyback of 50,000 ordinary shares at a price of 1,267.53p per share.</t>
  </si>
  <si>
    <t>The company returned £620,370 to shareholders by way of a buyback of 50,000 ordinary shares at a price of 1,240.74p per share.</t>
  </si>
  <si>
    <t>The company returned £437,750 to shareholders by way of a buyback of 35,000 ordinary shares at a price of 1,250.71p per share.</t>
  </si>
  <si>
    <t>The company returned £623,066 to shareholders by way of a buyback of 50,000 ordinary shares at a price of 1,246.13p per share.</t>
  </si>
  <si>
    <t>The company returned £610,397 to shareholders by way of a buyback of 50,000 ordinary shares at a price of 1,220.79p per share.</t>
  </si>
  <si>
    <t>The company returned £845,600 to shareholders by way of a buyback of 70,000 ordinary shares at a price of 1,208.p per share.</t>
  </si>
  <si>
    <t>The company returned £986,081 to shareholders by way of a buyback of 80,000 ordinary shares at a price of 1,232.6p per share.</t>
  </si>
  <si>
    <t>The company returned £985,500 to shareholders by way of a buyback of 80,000 ordinary shares at a price of 1,231.88p per share.</t>
  </si>
  <si>
    <t>The company returned £1,130,912 to shareholders by way of a buyback of 92,593 ordinary shares at a price of 1,221.38p per share.</t>
  </si>
  <si>
    <t>The company returned £1,223,850 to shareholders by way of a buyback of 100,000 ordinary shares at a price of 1,223.85p per share.</t>
  </si>
  <si>
    <t>The company returned £1,231,342 to shareholders by way of a buyback of 100,000 ordinary shares at a price of 1,231.34p per share.</t>
  </si>
  <si>
    <t>The company returned £1,053,199 to shareholders by way of a buyback of 85,000 ordinary shares at a price of 1,239.06p per share.</t>
  </si>
  <si>
    <t>The company returned £918,959 to shareholders by way of a buyback of 74,666 ordinary shares at a price of 1,230.76p per share.</t>
  </si>
  <si>
    <t>The company returned £846,300 to shareholders by way of a buyback of 70,000 ordinary shares at a price of 1,209.p per share.</t>
  </si>
  <si>
    <t>The company returned £753,289 to shareholders by way of a buyback of 62,551 ordinary shares at a price of 1,204.28p per share.</t>
  </si>
  <si>
    <t>The company returned £970,400 to shareholders by way of a buyback of 80,000 ordinary shares at a price of 1,213.p per share.</t>
  </si>
  <si>
    <t>The company returned £336,281 to shareholders by way of a buyback of 28,089 ordinary shares at a price of 1,197.2p per share.</t>
  </si>
  <si>
    <t>The company returned £792,200 to shareholders by way of a buyback of 65,000 ordinary shares at a price of 1,218.77p per share.</t>
  </si>
  <si>
    <t>The company returned £603,163 to shareholders by way of a buyback of 49,774 ordinary shares at a price of 1,211.8p per share.</t>
  </si>
  <si>
    <t>The company returned £719,200 to shareholders by way of a buyback of 60,000 ordinary shares at a price of 1,198.67p per share.</t>
  </si>
  <si>
    <t>The company returned £848,131 to shareholders by way of a buyback of 70,727 ordinary shares at a price of 1,199.16p per share.</t>
  </si>
  <si>
    <t>The company returned £35,430 to shareholders by way of a buyback of 10,299 ordinary shares at a price of 344.02p per share.</t>
  </si>
  <si>
    <t>The company returned £36,330 to shareholders by way of a buyback of 10,506 ordinary shares at a price of 345.8p per share.</t>
  </si>
  <si>
    <t>The company returned £35,405 to shareholders by way of a buyback of 10,287 ordinary shares at a price of 344.17p per share.</t>
  </si>
  <si>
    <t>The company returned £36,848 to shareholders by way of a buyback of 10,671 ordinary shares at a price of 345.31p per share.</t>
  </si>
  <si>
    <t>The company returned £36,316 to shareholders by way of a buyback of 10,547 ordinary shares at a price of 344.32p per share.</t>
  </si>
  <si>
    <t>The company returned £36,623 to shareholders by way of a buyback of 10,901 ordinary shares at a price of 335.96p per share.</t>
  </si>
  <si>
    <t>The company returned £37,896 to shareholders by way of a buyback of 11,332 ordinary shares at a price of 334.41p per share.</t>
  </si>
  <si>
    <t>The company returned £39,154 to shareholders by way of a buyback of 11,658 ordinary shares at a price of 335.86p per share.</t>
  </si>
  <si>
    <t>The company returned £43,365 to shareholders by way of a buyback of 12,701 ordinary shares at a price of 341.43p per share.</t>
  </si>
  <si>
    <t>The company returned £48,831 to shareholders by way of a buyback of 14,434 ordinary shares at a price of 338.31p per share.</t>
  </si>
  <si>
    <t>The company returned £47,226 to shareholders by way of a buyback of 14,064 ordinary shares at a price of 335.79p per share.</t>
  </si>
  <si>
    <t>The company returned £33,344 to shareholders by way of a buyback of 9,926 ordinary shares at a price of 335.92p per share.</t>
  </si>
  <si>
    <t>The company returned £31,445 to shareholders by way of a buyback of 9,954 ordinary shares at a price of 315.9p per share.</t>
  </si>
  <si>
    <t>The company returned £32,473 to shareholders by way of a buyback of 10,286 ordinary shares at a price of 315.71p per share.</t>
  </si>
  <si>
    <t>The company returned £32,484 to shareholders by way of a buyback of 10,183 ordinary shares at a price of 319.p per share.</t>
  </si>
  <si>
    <t>The company returned £15,929 to shareholders by way of a buyback of 5,000 ordinary shares at a price of 318.59p per share.</t>
  </si>
  <si>
    <t>The company returned £15,729 to shareholders by way of a buyback of 5,000 ordinary shares at a price of 314.57p per share.</t>
  </si>
  <si>
    <t>The company returned £15,838 to shareholders by way of a buyback of 5,000 ordinary shares at a price of 316.77p per share.</t>
  </si>
  <si>
    <t>The company returned £16,176 to shareholders by way of a buyback of 5,000 ordinary shares at a price of 323.52p per share.</t>
  </si>
  <si>
    <t>The company returned £16,114 to shareholders by way of a buyback of 5,000 ordinary shares at a price of 322.29p per share.</t>
  </si>
  <si>
    <t>The company returned £118,889 to shareholders by way of a buyback of 18,944 ordinary shares at a price of 627.58p per share.</t>
  </si>
  <si>
    <t>The company returned £197,254 to shareholders by way of a buyback of 31,215 ordinary shares at a price of 631.92p per share.</t>
  </si>
  <si>
    <t>The company returned £62,362 to shareholders by way of a buyback of 10,026 ordinary shares at a price of 622.p per share.</t>
  </si>
  <si>
    <t>The company returned £124,000 to shareholders by way of a buyback of 20,000 ordinary shares at a price of 620.p per share.</t>
  </si>
  <si>
    <t>The company returned £163,042 to shareholders by way of a buyback of 27,356 ordinary shares at a price of 596.p per share.</t>
  </si>
  <si>
    <t>The company returned £113,426 to shareholders by way of a buyback of 19,424 ordinary shares at a price of 583.95p per share.</t>
  </si>
  <si>
    <t>The company returned £76,127 to shareholders by way of a buyback of 12,773 ordinary shares at a price of 596.p per share.</t>
  </si>
  <si>
    <t>The company returned £536,472 to shareholders by way of a buyback of 180,000 ordinary shares at a price of 298.04p per share.</t>
  </si>
  <si>
    <t>The company returned £746,075 to shareholders by way of a buyback of 250,000 ordinary shares at a price of 298.43p per share.</t>
  </si>
  <si>
    <t>The company returned £880,740 to shareholders by way of a buyback of 300,000 ordinary shares at a price of 293.58p per share.</t>
  </si>
  <si>
    <t>The company returned £2,577,549 to shareholders by way of a buyback of 870,000 ordinary shares at a price of 296.27p per share.</t>
  </si>
  <si>
    <t>The company returned £1,100,813 to shareholders by way of a buyback of 375,000 ordinary shares at a price of 293.55p per share.</t>
  </si>
  <si>
    <t>The company returned £1,263,721 to shareholders by way of a buyback of 419,604 ordinary shares at a price of 301.17p per share.</t>
  </si>
  <si>
    <t>The company returned £1,049,501 to shareholders by way of a buyback of 346,290 ordinary shares at a price of 303.07p per share.</t>
  </si>
  <si>
    <t>The company returned £1,882,099 to shareholders by way of a buyback of 621,360 ordinary shares at a price of 302.9p per share.</t>
  </si>
  <si>
    <t>The company returned £1,930,040 to shareholders by way of a buyback of 639,425 ordinary shares at a price of 301.84p per share.</t>
  </si>
  <si>
    <t>The company returned £1,746,095 to shareholders by way of a buyback of 577,546 ordinary shares at a price of 302.33p per share.</t>
  </si>
  <si>
    <t>The company returned £1,053,300 to shareholders by way of a buyback of 349,307 ordinary shares at a price of 301.54p per share.</t>
  </si>
  <si>
    <t>The company returned £1,206,960 to shareholders by way of a buyback of 400,000 ordinary shares at a price of 301.74p per share.</t>
  </si>
  <si>
    <t>The company returned £1,194,087 to shareholders by way of a buyback of 406,000 ordinary shares at a price of 294.11p per share.</t>
  </si>
  <si>
    <t>The company returned £1,305,569 to shareholders by way of a buyback of 451,707 ordinary shares at a price of 289.03p per share.</t>
  </si>
  <si>
    <t>The company returned £1,041,134 to shareholders by way of a buyback of 369,524 ordinary shares at a price of 281.75p per share.</t>
  </si>
  <si>
    <t>The company returned £721,681 to shareholders by way of a buyback of 258,862 ordinary shares at a price of 278.79p per share.</t>
  </si>
  <si>
    <t>The company returned £916,053 to shareholders by way of a buyback of 321,253 ordinary shares at a price of 285.15p per share.</t>
  </si>
  <si>
    <t>The company returned £701,987 to shareholders by way of a buyback of 250,370 ordinary shares at a price of 280.38p per share.</t>
  </si>
  <si>
    <t>The company returned £520,486 to shareholders by way of a buyback of 187,630 ordinary shares at a price of 277.4p per share.</t>
  </si>
  <si>
    <t>The company returned £996,912 to shareholders by way of a buyback of 360,039 ordinary shares at a price of 276.89p per share.</t>
  </si>
  <si>
    <t>The company returned £1,081,436 to shareholders by way of a buyback of 388,838 ordinary shares at a price of 278.12p per share.</t>
  </si>
  <si>
    <t>The company returned £1,519,762 to shareholders by way of a buyback of 127,576 ordinary shares at a price of 1,191.26p per share.</t>
  </si>
  <si>
    <t>The company returned £458,474 to shareholders by way of a buyback of 39,736 ordinary shares at a price of 1,153.8p per share.</t>
  </si>
  <si>
    <t>The company returned £1,496,325 to shareholders by way of a buyback of 125,000 ordinary shares at a price of 1,197.06p per share.</t>
  </si>
  <si>
    <t>The company returned £915,925 to shareholders by way of a buyback of 76,701 ordinary shares at a price of 1,194.15p per share.</t>
  </si>
  <si>
    <t>The company returned £625,800 to shareholders by way of a buyback of 52,993 ordinary shares at a price of 1,180.91p per share.</t>
  </si>
  <si>
    <t>The company returned £1,005,114 to shareholders by way of a buyback of 85,012 ordinary shares at a price of 1,182.32p per share.</t>
  </si>
  <si>
    <t>The company returned £621,632 to shareholders by way of a buyback of 52,500 ordinary shares at a price of 1,184.06p per share.</t>
  </si>
  <si>
    <t>The company returned £1,037,442 to shareholders by way of a buyback of 86,861 ordinary shares at a price of 1,194.37p per share.</t>
  </si>
  <si>
    <t>The company returned £704,264 to shareholders by way of a buyback of 60,294 ordinary shares at a price of 1,168.05p per share.</t>
  </si>
  <si>
    <t>The company returned £554,811 to shareholders by way of a buyback of 49,451 ordinary shares at a price of 1,121.94p per share.</t>
  </si>
  <si>
    <t>The company returned £83,634 to shareholders by way of a buyback of 7,521 ordinary shares at a price of 1,112.p per share.</t>
  </si>
  <si>
    <t>The company returned £1,123,845 to shareholders by way of a buyback of 98,424 ordinary shares at a price of 1,141.84p per share.</t>
  </si>
  <si>
    <t>The company returned £602,060 to shareholders by way of a buyback of 52,907 ordinary shares at a price of 1,137.96p per share.</t>
  </si>
  <si>
    <t>The company returned £722,129 to shareholders by way of a buyback of 64,110 ordinary shares at a price of 1,126.39p per share.</t>
  </si>
  <si>
    <t>The company returned £514,538 to shareholders by way of a buyback of 45,630 ordinary shares at a price of 1,127.63p per share.</t>
  </si>
  <si>
    <t>The company returned £695,349 to shareholders by way of a buyback of 61,968 ordinary shares at a price of 1,122.11p per share.</t>
  </si>
  <si>
    <t>The company returned £2,075,350 to shareholders by way of a buyback of 500,000 ordinary shares at a price of 415.07p per share.</t>
  </si>
  <si>
    <t>The company returned £2,060,650 to shareholders by way of a buyback of 500,000 ordinary shares at a price of 412.13p per share.</t>
  </si>
  <si>
    <t>The company returned £3,027,750 to shareholders by way of a buyback of 750,000 ordinary shares at a price of 403.7p per share.</t>
  </si>
  <si>
    <t>The company returned £1,912,086 to shareholders by way of a buyback of 469,500 ordinary shares at a price of 407.26p per share.</t>
  </si>
  <si>
    <t>The company returned £890,024 to shareholders by way of a buyback of 231,777 ordinary shares at a price of 384.p per share.</t>
  </si>
  <si>
    <t>The company returned £1,018,866 to shareholders by way of a buyback of 262,000 ordinary shares at a price of 388.88p per share.</t>
  </si>
  <si>
    <t>The company returned £953,350 to shareholders by way of a buyback of 250,000 ordinary shares at a price of 381.34p per share.</t>
  </si>
  <si>
    <t>The company returned £1,121,940 to shareholders by way of a buyback of 300,000 ordinary shares at a price of 373.98p per share.</t>
  </si>
  <si>
    <t>The company returned £1,516,560 to shareholders by way of a buyback of 400,000 ordinary shares at a price of 379.14p per share.</t>
  </si>
  <si>
    <t>The company returned £539,646 to shareholders by way of a buyback of 69,072 ordinary shares at a price of 781.28p per share.</t>
  </si>
  <si>
    <t>The company returned £1,906,600 to shareholders by way of a buyback of 250,000 ordinary shares at a price of 762.64p per share.</t>
  </si>
  <si>
    <t>The company returned £329,813 to shareholders by way of a buyback of 42,844 ordinary shares at a price of 769.8p per share.</t>
  </si>
  <si>
    <t>The company returned £602,727 to shareholders by way of a buyback of 79,227 ordinary shares at a price of 760.76p per share.</t>
  </si>
  <si>
    <t>The company returned £308,239 to shareholders by way of a buyback of 40,848 ordinary shares at a price of 754.6p per share.</t>
  </si>
  <si>
    <t>The company returned £825,415 to shareholders by way of a buyback of 109,662 ordinary shares at a price of 752.69p per share.</t>
  </si>
  <si>
    <t>The company returned £1,880,550 to shareholders by way of a buyback of 250,000 ordinary shares at a price of 752.22p per share.</t>
  </si>
  <si>
    <t>The company returned £949,425 to shareholders by way of a buyback of 125,000 ordinary shares at a price of 759.54p per share.</t>
  </si>
  <si>
    <t>The company returned £989,848 to shareholders by way of a buyback of 135,737 ordinary shares at a price of 729.24p per share.</t>
  </si>
  <si>
    <t>The company returned £2,176,440 to shareholders by way of a buyback of 300,000 ordinary shares at a price of 725.48p per share.</t>
  </si>
  <si>
    <t>The company returned £1,806,250 to shareholders by way of a buyback of 250,000 ordinary shares at a price of 722.5p per share.</t>
  </si>
  <si>
    <t>The company returned £1,224,378 to shareholders by way of a buyback of 170,538 ordinary shares at a price of 717.95p per share.</t>
  </si>
  <si>
    <t>The company returned £1,429,800 to shareholders by way of a buyback of 200,000 ordinary shares at a price of 714.9p per share.</t>
  </si>
  <si>
    <t>The company returned £902,096 to shareholders by way of a buyback of 125,984 ordinary shares at a price of 716.04p per share.</t>
  </si>
  <si>
    <t>The company returned £2,136,690 to shareholders by way of a buyback of 300,000 ordinary shares at a price of 712.23p per share.</t>
  </si>
  <si>
    <t>The company returned £1,812,125 to shareholders by way of a buyback of 250,000 ordinary shares at a price of 724.85p per share.</t>
  </si>
  <si>
    <t>The company returned £1,904,764 to shareholders by way of a buyback of 261,367 ordinary shares at a price of 728.77p per share.</t>
  </si>
  <si>
    <t>The company returned £26,322 to shareholders by way of a buyback of 40,758 ordinary shares at a price of 64.58p per share.</t>
  </si>
  <si>
    <t>The company returned £31,925 to shareholders by way of a buyback of 49,821 ordinary shares at a price of 64.08p per share.</t>
  </si>
  <si>
    <t>The company returned £30,600 to shareholders by way of a buyback of 47,222 ordinary shares at a price of 64.8p per share.</t>
  </si>
  <si>
    <t>The company returned £31,505 to shareholders by way of a buyback of 48,514 ordinary shares at a price of 64.94p per share.</t>
  </si>
  <si>
    <t>The company returned £27,602 to shareholders by way of a buyback of 42,853 ordinary shares at a price of 64.41p per share.</t>
  </si>
  <si>
    <t>The company returned £27,727 to shareholders by way of a buyback of 43,391 ordinary shares at a price of 63.9p per share.</t>
  </si>
  <si>
    <t>The company returned £28,908 to shareholders by way of a buyback of 44,108 ordinary shares at a price of 65.54p per share.</t>
  </si>
  <si>
    <t>The company returned £24,522 to shareholders by way of a buyback of 38,502 ordinary shares at a price of 63.69p per share.</t>
  </si>
  <si>
    <t>The company returned £27,997 to shareholders by way of a buyback of 43,999 ordinary shares at a price of 63.63p per share.</t>
  </si>
  <si>
    <t>The company returned £36,938 to shareholders by way of a buyback of 58,529 ordinary shares at a price of 63.11p per share.</t>
  </si>
  <si>
    <t>The company returned £15,585 to shareholders by way of a buyback of 25,000 ordinary shares at a price of 62.34p per share.</t>
  </si>
  <si>
    <t>The company returned £37,189 to shareholders by way of a buyback of 58,686 ordinary shares at a price of 63.37p per share.</t>
  </si>
  <si>
    <t>The company returned £30,305 to shareholders by way of a buyback of 47,605 ordinary shares at a price of 63.66p per share.</t>
  </si>
  <si>
    <t>The company returned £28,490 to shareholders by way of a buyback of 44,136 ordinary shares at a price of 64.55p per share.</t>
  </si>
  <si>
    <t>The company returned £31,897 to shareholders by way of a buyback of 49,901 ordinary shares at a price of 63.92p per share.</t>
  </si>
  <si>
    <t>The company returned £27,803 to shareholders by way of a buyback of 44,938 ordinary shares at a price of 61.87p per share.</t>
  </si>
  <si>
    <t>The company returned £23,307 to shareholders by way of a buyback of 37,824 ordinary shares at a price of 61.62p per share.</t>
  </si>
  <si>
    <t>The company returned £30,765 to shareholders by way of a buyback of 50,000 ordinary shares at a price of 61.53p per share.</t>
  </si>
  <si>
    <t>The company returned £27,412 to shareholders by way of a buyback of 44,413 ordinary shares at a price of 61.72p per share.</t>
  </si>
  <si>
    <t>The company returned £38,210 to shareholders by way of a buyback of 63,000 ordinary shares at a price of 60.65p per share.</t>
  </si>
  <si>
    <t>The company returned £26,761 to shareholders by way of a buyback of 43,957 ordinary shares at a price of 60.88p per share.</t>
  </si>
  <si>
    <t>The company returned £33,037 to shareholders by way of a buyback of 53,259 ordinary shares at a price of 62.03p per share.</t>
  </si>
  <si>
    <t>The company returned £254,090 to shareholders by way of a buyback of 332,231 ordinary shares at a price of 76.48p per share.</t>
  </si>
  <si>
    <t>The company returned £265,370 to shareholders by way of a buyback of 350,000 ordinary shares at a price of 75.82p per share.</t>
  </si>
  <si>
    <t>The company returned £15,062 to shareholders by way of a buyback of 20,000 ordinary shares at a price of 75.31p per share.</t>
  </si>
  <si>
    <t>The company returned £278,459 to shareholders by way of a buyback of 373,520 ordinary shares at a price of 74.55p per share.</t>
  </si>
  <si>
    <t>The company returned £263,771 to shareholders by way of a buyback of 352,824 ordinary shares at a price of 74.76p per share.</t>
  </si>
  <si>
    <t>The company returned £291,717 to shareholders by way of a buyback of 391,567 ordinary shares at a price of 74.5p per share.</t>
  </si>
  <si>
    <t>The company returned £228,570 to shareholders by way of a buyback of 307,342 ordinary shares at a price of 74.37p per share.</t>
  </si>
  <si>
    <t>The company returned £3,984 to shareholders by way of a buyback of 5,363 ordinary shares at a price of 74.28p per share.</t>
  </si>
  <si>
    <t>The company returned £137,536 to shareholders by way of a buyback of 184,192 ordinary shares at a price of 74.67p per share.</t>
  </si>
  <si>
    <t>The company returned £151,691 to shareholders by way of a buyback of 203,067 ordinary shares at a price of 74.7p per share.</t>
  </si>
  <si>
    <t>The company returned £26,086 to shareholders by way of a buyback of 35,100 ordinary shares at a price of 74.32p per share.</t>
  </si>
  <si>
    <t>The company returned £365,676 to shareholders by way of a buyback of 493,091 ordinary shares at a price of 74.16p per share.</t>
  </si>
  <si>
    <t>The company returned £386,827 to shareholders by way of a buyback of 519,789 ordinary shares at a price of 74.42p per share.</t>
  </si>
  <si>
    <t>The company returned £297,321 to shareholders by way of a buyback of 403,202 ordinary shares at a price of 73.74p per share.</t>
  </si>
  <si>
    <t>The company returned £166,190 to shareholders by way of a buyback of 226,478 ordinary shares at a price of 73.38p per share.</t>
  </si>
  <si>
    <t>The company returned £396,051 to shareholders by way of a buyback of 535,856 ordinary shares at a price of 73.91p per share.</t>
  </si>
  <si>
    <t>The company returned £315,995 to shareholders by way of a buyback of 424,725 ordinary shares at a price of 74.4p per share.</t>
  </si>
  <si>
    <t>The company returned £367,159 to shareholders by way of a buyback of 497,371 ordinary shares at a price of 73.82p per share.</t>
  </si>
  <si>
    <t>The company returned £136,482 to shareholders by way of a buyback of 222,320 ordinary shares at a price of 61.39p per share.</t>
  </si>
  <si>
    <t>The company returned £233,416 to shareholders by way of a buyback of 371,477 ordinary shares at a price of 62.83p per share.</t>
  </si>
  <si>
    <t>The company returned £230,921 to shareholders by way of a buyback of 370,046 ordinary shares at a price of 62.4p per share.</t>
  </si>
  <si>
    <t>The company returned £208,072 to shareholders by way of a buyback of 323,071 ordinary shares at a price of 64.4p per share.</t>
  </si>
  <si>
    <t>The company returned £189,355 to shareholders by way of a buyback of 290,374 ordinary shares at a price of 65.21p per share.</t>
  </si>
  <si>
    <t>The company returned £256,241 to shareholders by way of a buyback of 390,026 ordinary shares at a price of 65.7p per share.</t>
  </si>
  <si>
    <t>The company returned £277,477 to shareholders by way of a buyback of 415,357 ordinary shares at a price of 66.8p per share.</t>
  </si>
  <si>
    <t>The company returned £220,440 to shareholders by way of a buyback of 330,281 ordinary shares at a price of 66.74p per share.</t>
  </si>
  <si>
    <t>The company returned £273,682 to shareholders by way of a buyback of 402,956 ordinary shares at a price of 67.92p per share.</t>
  </si>
  <si>
    <t>The company returned £272,184 to shareholders by way of a buyback of 400,651 ordinary shares at a price of 67.94p per share.</t>
  </si>
  <si>
    <t>The company returned £354,423 to shareholders by way of a buyback of 519,544 ordinary shares at a price of 68.22p per share.</t>
  </si>
  <si>
    <t>The company returned £344,471 to shareholders by way of a buyback of 501,824 ordinary shares at a price of 68.64p per share.</t>
  </si>
  <si>
    <t>The company returned £205,041 to shareholders by way of a buyback of 302,589 ordinary shares at a price of 67.76p per share.</t>
  </si>
  <si>
    <t>The company returned £239,356 to shareholders by way of a buyback of 352,980 ordinary shares at a price of 67.81p per share.</t>
  </si>
  <si>
    <t>The company returned £370,618 to shareholders by way of a buyback of 552,960 ordinary shares at a price of 67.02p per share.</t>
  </si>
  <si>
    <t>The company returned £361,617 to shareholders by way of a buyback of 552,858 ordinary shares at a price of 65.41p per share.</t>
  </si>
  <si>
    <t>The company returned £380,308 to shareholders by way of a buyback of 593,210 ordinary shares at a price of 64.11p per share.</t>
  </si>
  <si>
    <t>The company returned £397,622 to shareholders by way of a buyback of 631,254 ordinary shares at a price of 62.99p per share.</t>
  </si>
  <si>
    <t>The company returned £413,934 to shareholders by way of a buyback of 668,005 ordinary shares at a price of 61.97p per share.</t>
  </si>
  <si>
    <t>The company returned £50,940 to shareholders by way of a buyback of 18,000 ordinary shares at a price of 283.p per share.</t>
  </si>
  <si>
    <t>The company returned £363,506 to shareholders by way of a buyback of 130,000 ordinary shares at a price of 279.62p per share.</t>
  </si>
  <si>
    <t>The company returned £112,400 to shareholders by way of a buyback of 40,000 ordinary shares at a price of 281.p per share.</t>
  </si>
  <si>
    <t>The company returned £645,410 to shareholders by way of a buyback of 233,000 ordinary shares at a price of 277.p per share.</t>
  </si>
  <si>
    <t>The company returned £803,300 to shareholders by way of a buyback of 290,000 ordinary shares at a price of 277.p per share.</t>
  </si>
  <si>
    <t>The company returned £166,200 to shareholders by way of a buyback of 60,000 ordinary shares at a price of 277.p per share.</t>
  </si>
  <si>
    <t>The company returned £736,700 to shareholders by way of a buyback of 265,000 ordinary shares at a price of 278.p per share.</t>
  </si>
  <si>
    <t>The company returned £139,000 to shareholders by way of a buyback of 50,000 ordinary shares at a price of 278.p per share.</t>
  </si>
  <si>
    <t>The company returned £875,700 to shareholders by way of a buyback of 315,000 ordinary shares at a price of 278.p per share.</t>
  </si>
  <si>
    <t>The company returned £502,372 to shareholders by way of a buyback of 183,000 ordinary shares at a price of 274.52p per share.</t>
  </si>
  <si>
    <t>The company returned £149,050 to shareholders by way of a buyback of 55,000 ordinary shares at a price of 271.p per share.</t>
  </si>
  <si>
    <t>The company returned £101,840 to shareholders by way of a buyback of 38,000 ordinary shares at a price of 268.p per share.</t>
  </si>
  <si>
    <t>The company returned £53,600 to shareholders by way of a buyback of 20,000 ordinary shares at a price of 268.p per share.</t>
  </si>
  <si>
    <t>The company returned £117,040 to shareholders by way of a buyback of 44,000 ordinary shares at a price of 266.p per share.</t>
  </si>
  <si>
    <t>The company returned £140,000 to shareholders by way of a buyback of 50,000 ordinary shares at a price of 280.p per share.</t>
  </si>
  <si>
    <t>The company returned £153,450 to shareholders by way of a buyback of 55,000 ordinary shares at a price of 279.p per share.</t>
  </si>
  <si>
    <t>The company returned £69,100 to shareholders by way of a buyback of 25,000 ordinary shares at a price of 276.4p per share.</t>
  </si>
  <si>
    <t>The company returned £235,450 to shareholders by way of a buyback of 85,000 ordinary shares at a price of 277.p per share.</t>
  </si>
  <si>
    <t>The company returned £96,600 to shareholders by way of a buyback of 35,000 ordinary shares at a price of 276.p per share.</t>
  </si>
  <si>
    <t>The company returned £444,800 to shareholders by way of a buyback of 160,000 ordinary shares at a price of 278.p per share.</t>
  </si>
  <si>
    <t>The company returned £81,900 to shareholders by way of a buyback of 30,000 ordinary shares at a price of 273.p per share.</t>
  </si>
  <si>
    <t>The company returned £54,000 to shareholders by way of a buyback of 20,000 ordinary shares at a price of 270.p per share.</t>
  </si>
  <si>
    <t>The company returned £449,509 to shareholders by way of a buyback of 15,000 ordinary shares at a price of 2,996.73p per share.</t>
  </si>
  <si>
    <t>The company returned £695,200 to shareholders by way of a buyback of 24,000 ordinary shares at a price of 2,896.67p per share.</t>
  </si>
  <si>
    <t>The company returned £290,000 to shareholders by way of a buyback of 10,000 ordinary shares at a price of 2,900.p per share.</t>
  </si>
  <si>
    <t>The company returned £1,011,796 to shareholders by way of a buyback of 35,000 ordinary shares at a price of 2,890.85p per share.</t>
  </si>
  <si>
    <t>The company returned £864,960 to shareholders by way of a buyback of 30,000 ordinary shares at a price of 2,883.2p per share.</t>
  </si>
  <si>
    <t>The company returned £859,290 to shareholders by way of a buyback of 30,000 ordinary shares at a price of 2,864.3p per share.</t>
  </si>
  <si>
    <t>The company returned £446,700 to shareholders by way of a buyback of 15,000 ordinary shares at a price of 2,978.p per share.</t>
  </si>
  <si>
    <t>The company returned £1,950,283 to shareholders by way of a buyback of 65,000 ordinary shares at a price of 3,000.44p per share.</t>
  </si>
  <si>
    <t>The company returned £1,085,682 to shareholders by way of a buyback of 36,381 ordinary shares at a price of 2,984.2p per share.</t>
  </si>
  <si>
    <t>The company returned £886,440 to shareholders by way of a buyback of 30,000 ordinary shares at a price of 2,954.8p per share.</t>
  </si>
  <si>
    <t>The company returned £888,920 to shareholders by way of a buyback of 30,000 ordinary shares at a price of 2,963.07p per share.</t>
  </si>
  <si>
    <t>The company returned £1,049,752 to shareholders by way of a buyback of 35,000 ordinary shares at a price of 2,999.29p per share.</t>
  </si>
  <si>
    <t>The company returned £901,505 to shareholders by way of a buyback of 30,000 ordinary shares at a price of 3,005.02p per share.</t>
  </si>
  <si>
    <t>The company returned £261,348 to shareholders by way of a buyback of 8,840 ordinary shares at a price of 2,956.42p per share.</t>
  </si>
  <si>
    <t>The company returned £903,000 to shareholders by way of a buyback of 30,000 ordinary shares at a price of 3,010.p per share.</t>
  </si>
  <si>
    <t>The company returned £1,188,160 to shareholders by way of a buyback of 40,000 ordinary shares at a price of 2,970.4p per share.</t>
  </si>
  <si>
    <t>The company returned £886,051 to shareholders by way of a buyback of 30,000 ordinary shares at a price of 2,953.5p per share.</t>
  </si>
  <si>
    <t>The company returned £296,181 to shareholders by way of a buyback of 10,000 ordinary shares at a price of 2,961.81p per share.</t>
  </si>
  <si>
    <t>The company returned £1,489,270 to shareholders by way of a buyback of 50,000 ordinary shares at a price of 2,978.54p per share.</t>
  </si>
  <si>
    <t>The company returned £936,417 to shareholders by way of a buyback of 31,500 ordinary shares at a price of 2,972.75p per share.</t>
  </si>
  <si>
    <t>The company returned £1,176,695 to shareholders by way of a buyback of 40,000 ordinary shares at a price of 2,941.74p per share.</t>
  </si>
  <si>
    <t>The company returned £1,204,422 to shareholders by way of a buyback of 40,000 ordinary shares at a price of 3,011.06p per share.</t>
  </si>
  <si>
    <t>The company returned £116,865 to shareholders by way of a buyback of 13,250 ordinary shares at a price of 882.p per share.</t>
  </si>
  <si>
    <t>The company returned £3,907,200 to shareholders by way of a buyback of 440,000 ordinary shares at a price of 888.p per share.</t>
  </si>
  <si>
    <t>The company returned £222,269 to shareholders by way of a buyback of 25,000 ordinary shares at a price of 889.08p per share.</t>
  </si>
  <si>
    <t>The company returned £215,477 to shareholders by way of a buyback of 25,000 ordinary shares at a price of 861.91p per share.</t>
  </si>
  <si>
    <t>The company returned £144,922 to shareholders by way of a buyback of 16,566 ordinary shares at a price of 874.82p per share.</t>
  </si>
  <si>
    <t>The company returned £387,000 to shareholders by way of a buyback of 50,000 ordinary shares at a price of 774.p per share.</t>
  </si>
  <si>
    <t>The company returned £308,447 to shareholders by way of a buyback of 39,133 ordinary shares at a price of 788.2p per share.</t>
  </si>
  <si>
    <t>The company returned £628,319 to shareholders by way of a buyback of 155,939 ordinary shares at a price of 402.93p per share.</t>
  </si>
  <si>
    <t>The company returned £603,201 to shareholders by way of a buyback of 150,000 ordinary shares at a price of 402.13p per share.</t>
  </si>
  <si>
    <t>The company returned £292,412 to shareholders by way of a buyback of 71,948 ordinary shares at a price of 406.42p per share.</t>
  </si>
  <si>
    <t>The company returned £799,868 to shareholders by way of a buyback of 200,000 ordinary shares at a price of 399.93p per share.</t>
  </si>
  <si>
    <t>The company returned £800,500 to shareholders by way of a buyback of 200,000 ordinary shares at a price of 400.25p per share.</t>
  </si>
  <si>
    <t>The company returned £407,900 to shareholders by way of a buyback of 100,000 ordinary shares at a price of 407.9p per share.</t>
  </si>
  <si>
    <t>The company returned £403,900 to shareholders by way of a buyback of 100,000 ordinary shares at a price of 403.9p per share.</t>
  </si>
  <si>
    <t>The company returned £605,934 to shareholders by way of a buyback of 150,000 ordinary shares at a price of 403.96p per share.</t>
  </si>
  <si>
    <t>The company returned £407,300 to shareholders by way of a buyback of 100,000 ordinary shares at a price of 407.3p per share.</t>
  </si>
  <si>
    <t>The company returned £405,586 to shareholders by way of a buyback of 100,000 ordinary shares at a price of 405.59p per share.</t>
  </si>
  <si>
    <t>The company returned £400,838 to shareholders by way of a buyback of 100,000 ordinary shares at a price of 400.84p per share.</t>
  </si>
  <si>
    <t>The company returned £125,430 to shareholders by way of a buyback of 31,310 ordinary shares at a price of 400.61p per share.</t>
  </si>
  <si>
    <t>The company returned £594,665 to shareholders by way of a buyback of 150,000 ordinary shares at a price of 396.44p per share.</t>
  </si>
  <si>
    <t>The company returned £396,378 to shareholders by way of a buyback of 100,000 ordinary shares at a price of 396.38p per share.</t>
  </si>
  <si>
    <t>The company returned £397,733 to shareholders by way of a buyback of 100,000 ordinary shares at a price of 397.73p per share.</t>
  </si>
  <si>
    <t>The company returned £395,230 to shareholders by way of a buyback of 100,000 ordinary shares at a price of 395.23p per share.</t>
  </si>
  <si>
    <t>The company returned £571,893 to shareholders by way of a buyback of 150,000 ordinary shares at a price of 381.26p per share.</t>
  </si>
  <si>
    <t>The company returned £574,122 to shareholders by way of a buyback of 150,000 ordinary shares at a price of 382.75p per share.</t>
  </si>
  <si>
    <t>The company returned £583,058 to shareholders by way of a buyback of 150,000 ordinary shares at a price of 388.71p per share.</t>
  </si>
  <si>
    <t>The company returned £182,900 to shareholders by way of a buyback of 150,000 ordinary shares at a price of 121.93p per share.</t>
  </si>
  <si>
    <t>The company returned £242,800 to shareholders by way of a buyback of 200,000 ordinary shares at a price of 121.4p per share.</t>
  </si>
  <si>
    <t>The company returned £119,800 to shareholders by way of a buyback of 100,000 ordinary shares at a price of 119.8p per share.</t>
  </si>
  <si>
    <t>The company returned £444,649 to shareholders by way of a buyback of 375,000 ordinary shares at a price of 118.57p per share.</t>
  </si>
  <si>
    <t>The company returned £195,629 to shareholders by way of a buyback of 165,000 ordinary shares at a price of 118.56p per share.</t>
  </si>
  <si>
    <t>The company returned £180,750 to shareholders by way of a buyback of 150,000 ordinary shares at a price of 120.5p per share.</t>
  </si>
  <si>
    <t>The company returned £212,093 to shareholders by way of a buyback of 175,000 ordinary shares at a price of 121.2p per share.</t>
  </si>
  <si>
    <t>The company returned £243,220 to shareholders by way of a buyback of 200,000 ordinary shares at a price of 121.61p per share.</t>
  </si>
  <si>
    <t>The company returned £169,988 to shareholders by way of a buyback of 140,000 ordinary shares at a price of 121.42p per share.</t>
  </si>
  <si>
    <t>The company returned £181,400 to shareholders by way of a buyback of 150,000 ordinary shares at a price of 120.93p per share.</t>
  </si>
  <si>
    <t>The company returned £182,799 to shareholders by way of a buyback of 150,000 ordinary shares at a price of 121.87p per share.</t>
  </si>
  <si>
    <t>The company returned £152,000 to shareholders by way of a buyback of 125,000 ordinary shares at a price of 121.6p per share.</t>
  </si>
  <si>
    <t>The company returned £210,100 to shareholders by way of a buyback of 175,000 ordinary shares at a price of 120.06p per share.</t>
  </si>
  <si>
    <t>The company returned £267,899 to shareholders by way of a buyback of 225,000 ordinary shares at a price of 119.07p per share.</t>
  </si>
  <si>
    <t>The company returned £175,395 to shareholders by way of a buyback of 150,000 ordinary shares at a price of 116.93p per share.</t>
  </si>
  <si>
    <t>The company returned £259,148 to shareholders by way of a buyback of 225,000 ordinary shares at a price of 115.18p per share.</t>
  </si>
  <si>
    <t>The company returned £174,300 to shareholders by way of a buyback of 150,000 ordinary shares at a price of 116.2p per share.</t>
  </si>
  <si>
    <t>The company returned £1,779,840 to shareholders by way of a buyback of 1,500,000 ordinary shares at a price of 118.66p per share.</t>
  </si>
  <si>
    <t>The company returned £1,779,315 to shareholders by way of a buyback of 1,500,000 ordinary shares at a price of 118.62p per share.</t>
  </si>
  <si>
    <t>The company returned £1,468,000 to shareholders by way of a buyback of 1,250,000 ordinary shares at a price of 117.44p per share.</t>
  </si>
  <si>
    <t>The company returned £1,184,950 to shareholders by way of a buyback of 1,000,000 ordinary shares at a price of 118.5p per share.</t>
  </si>
  <si>
    <t>The company returned £929,500 to shareholders by way of a buyback of 65,000 ordinary shares at a price of 1,430.p per share.</t>
  </si>
  <si>
    <t>The company returned £91,700 to shareholders by way of a buyback of 7,000 ordinary shares at a price of 1,310.p per share.</t>
  </si>
  <si>
    <t>The company returned £199,050 to shareholders by way of a buyback of 15,000 ordinary shares at a price of 1,327.p per share.</t>
  </si>
  <si>
    <t>The company returned £199,500 to shareholders by way of a buyback of 15,000 ordinary shares at a price of 1,330.p per share.</t>
  </si>
  <si>
    <t>The company returned £75,500 to shareholders by way of a buyback of 50,000 ordinary shares at a price of 151.p per share.</t>
  </si>
  <si>
    <t>The company returned £73,635 to shareholders by way of a buyback of 50,000 ordinary shares at a price of 147.27p per share.</t>
  </si>
  <si>
    <t>The company returned £46,861 to shareholders by way of a buyback of 32,000 ordinary shares at a price of 146.44p per share.</t>
  </si>
  <si>
    <t>The company returned £73,250 to shareholders by way of a buyback of 50,000 ordinary shares at a price of 146.5p per share.</t>
  </si>
  <si>
    <t>The company returned £145,850 to shareholders by way of a buyback of 100,000 ordinary shares at a price of 145.85p per share.</t>
  </si>
  <si>
    <t>The company returned £39,480 to shareholders by way of a buyback of 28,000 ordinary shares at a price of 141.p per share.</t>
  </si>
  <si>
    <t>The company returned £69,700 to shareholders by way of a buyback of 50,000 ordinary shares at a price of 139.4p per share.</t>
  </si>
  <si>
    <t>The company returned £21,000 to shareholders by way of a buyback of 15,000 ordinary shares at a price of 140.p per share.</t>
  </si>
  <si>
    <t>The company returned £331,750 to shareholders by way of a buyback of 250,000 ordinary shares at a price of 132.7p per share.</t>
  </si>
  <si>
    <t>The company returned £299,920 to shareholders by way of a buyback of 230,000 ordinary shares at a price of 130.4p per share.</t>
  </si>
  <si>
    <t>The company returned £298,310 to shareholders by way of a buyback of 230,000 ordinary shares at a price of 129.7p per share.</t>
  </si>
  <si>
    <t>The company returned £301,990 to shareholders by way of a buyback of 230,000 ordinary shares at a price of 131.3p per share.</t>
  </si>
  <si>
    <t>The company returned £297,850 to shareholders by way of a buyback of 230,000 ordinary shares at a price of 129.5p per share.</t>
  </si>
  <si>
    <t>The company returned £303,140 to shareholders by way of a buyback of 230,000 ordinary shares at a price of 131.8p per share.</t>
  </si>
  <si>
    <t>The company returned £302,220 to shareholders by way of a buyback of 230,000 ordinary shares at a price of 131.4p per share.</t>
  </si>
  <si>
    <t>The company returned £300,840 to shareholders by way of a buyback of 230,000 ordinary shares at a price of 130.8p per share.</t>
  </si>
  <si>
    <t>The company returned £299,230 to shareholders by way of a buyback of 230,000 ordinary shares at a price of 130.1p per share.</t>
  </si>
  <si>
    <t>The company returned £305,900 to shareholders by way of a buyback of 230,000 ordinary shares at a price of 133.p per share.</t>
  </si>
  <si>
    <t>The company returned £296,930 to shareholders by way of a buyback of 230,000 ordinary shares at a price of 129.1p per share.</t>
  </si>
  <si>
    <t>The company returned £290,030 to shareholders by way of a buyback of 230,000 ordinary shares at a price of 126.1p per share.</t>
  </si>
  <si>
    <t>The company returned £287,500 to shareholders by way of a buyback of 230,000 ordinary shares at a price of 125.p per share.</t>
  </si>
  <si>
    <t>The company returned £291,410 to shareholders by way of a buyback of 230,000 ordinary shares at a price of 126.7p per share.</t>
  </si>
  <si>
    <t>The company returned £198,635 to shareholders by way of a buyback of 157,647 ordinary shares at a price of 126.p per share.</t>
  </si>
  <si>
    <t>The company returned £632,500 to shareholders by way of a buyback of 500,000 ordinary shares at a price of 126.5p per share.</t>
  </si>
  <si>
    <t>The company returned £316,000 to shareholders by way of a buyback of 250,000 ordinary shares at a price of 126.4p per share.</t>
  </si>
  <si>
    <t>The company returned £128,400 to shareholders by way of a buyback of 100,000 ordinary shares at a price of 128.4p per share.</t>
  </si>
  <si>
    <t>The company returned £108,750 to shareholders by way of a buyback of 25,000 ordinary shares at a price of 435.p per share.</t>
  </si>
  <si>
    <t>The company returned £218,000 to shareholders by way of a buyback of 50,000 ordinary shares at a price of 436.p per share.</t>
  </si>
  <si>
    <t>The company returned £213,500 to shareholders by way of a buyback of 50,000 ordinary shares at a price of 427.p per share.</t>
  </si>
  <si>
    <t>The company returned £318,750 to shareholders by way of a buyback of 75,000 ordinary shares at a price of 425.p per share.</t>
  </si>
  <si>
    <t>The company returned £87,000 to shareholders by way of a buyback of 20,000 ordinary shares at a price of 435.p per share.</t>
  </si>
  <si>
    <t>The company returned £108,250 to shareholders by way of a buyback of 25,000 ordinary shares at a price of 433.p per share.</t>
  </si>
  <si>
    <t>The company returned £42,300 to shareholders by way of a buyback of 10,000 ordinary shares at a price of 423.p per share.</t>
  </si>
  <si>
    <t>The company returned £209,500 to shareholders by way of a buyback of 50,000 ordinary shares at a price of 419.p per share.</t>
  </si>
  <si>
    <t>The company returned £145,250 to shareholders by way of a buyback of 35,000 ordinary shares at a price of 415.p per share.</t>
  </si>
  <si>
    <t>The company returned £207,500 to shareholders by way of a buyback of 50,000 ordinary shares at a price of 415.p per share.</t>
  </si>
  <si>
    <t>The company returned £205,500 to shareholders by way of a buyback of 50,000 ordinary shares at a price of 411.p per share.</t>
  </si>
  <si>
    <t>The company returned £135,630 to shareholders by way of a buyback of 33,000 ordinary shares at a price of 411.p per share.</t>
  </si>
  <si>
    <t>The company returned £545,259 to shareholders by way of a buyback of 48,250 ordinary shares at a price of 1,130.07p per share.</t>
  </si>
  <si>
    <t>The company returned £835,523 to shareholders by way of a buyback of 75,000 ordinary shares at a price of 1,114.03p per share.</t>
  </si>
  <si>
    <t>The company returned £615,882 to shareholders by way of a buyback of 54,539 ordinary shares at a price of 1,129.25p per share.</t>
  </si>
  <si>
    <t>The company returned £1,131,460 to shareholders by way of a buyback of 100,000 ordinary shares at a price of 1,131.46p per share.</t>
  </si>
  <si>
    <t>The company returned £1,108,100 to shareholders by way of a buyback of 100,000 ordinary shares at a price of 1,108.1p per share.</t>
  </si>
  <si>
    <t>The company returned £545,600 to shareholders by way of a buyback of 50,000 ordinary shares at a price of 1,091.2p per share.</t>
  </si>
  <si>
    <t>The company returned £1,387,050 to shareholders by way of a buyback of 125,000 ordinary shares at a price of 1,109.64p per share.</t>
  </si>
  <si>
    <t>The company returned £1,941,870 to shareholders by way of a buyback of 175,000 ordinary shares at a price of 1,109.64p per share.</t>
  </si>
  <si>
    <t>The company returned £1,383,313 to shareholders by way of a buyback of 125,000 ordinary shares at a price of 1,106.65p per share.</t>
  </si>
  <si>
    <t>The company returned £1,938,598 to shareholders by way of a buyback of 175,000 ordinary shares at a price of 1,107.77p per share.</t>
  </si>
  <si>
    <t>The company returned £1,386,163 to shareholders by way of a buyback of 125,000 ordinary shares at a price of 1,108.93p per share.</t>
  </si>
  <si>
    <t>The company returned £1,109,350 to shareholders by way of a buyback of 100,000 ordinary shares at a price of 1,109.35p per share.</t>
  </si>
  <si>
    <t>The company returned £803,077 to shareholders by way of a buyback of 72,759 ordinary shares at a price of 1,103.75p per share.</t>
  </si>
  <si>
    <t>The company returned £1,074,600 to shareholders by way of a buyback of 100,000 ordinary shares at a price of 1,074.6p per share.</t>
  </si>
  <si>
    <t>The company returned £1,079,030 to shareholders by way of a buyback of 100,000 ordinary shares at a price of 1,079.03p per share.</t>
  </si>
  <si>
    <t>The company returned £539,300 to shareholders by way of a buyback of 50,000 ordinary shares at a price of 1,078.6p per share.</t>
  </si>
  <si>
    <t>The company returned £420,671 to shareholders by way of a buyback of 38,729 ordinary shares at a price of 1,086.19p per share.</t>
  </si>
  <si>
    <t>The company returned £794,085 to shareholders by way of a buyback of 75,000 ordinary shares at a price of 1,058.78p per share.</t>
  </si>
  <si>
    <t>The company returned £982,532 to shareholders by way of a buyback of 92,676 ordinary shares at a price of 1,060.18p per share.</t>
  </si>
  <si>
    <t>The company returned £698,775 to shareholders by way of a buyback of 250,000 ordinary shares at a price of 279.51p per share.</t>
  </si>
  <si>
    <t>The company returned £310,084 to shareholders by way of a buyback of 108,455 ordinary shares at a price of 285.91p per share.</t>
  </si>
  <si>
    <t>The company returned £431,250 to shareholders by way of a buyback of 150,000 ordinary shares at a price of 287.5p per share.</t>
  </si>
  <si>
    <t>The company returned £364,588 to shareholders by way of a buyback of 125,000 ordinary shares at a price of 291.67p per share.</t>
  </si>
  <si>
    <t>The company returned £723,600 to shareholders by way of a buyback of 250,000 ordinary shares at a price of 289.44p per share.</t>
  </si>
  <si>
    <t>The company returned £351,602 to shareholders by way of a buyback of 41,013 ordinary shares at a price of 857.3p per share.</t>
  </si>
  <si>
    <t>The company returned £164,862 to shareholders by way of a buyback of 19,041 ordinary shares at a price of 865.83p per share.</t>
  </si>
  <si>
    <t>The company returned £419,883 to shareholders by way of a buyback of 50,000 ordinary shares at a price of 839.77p per share.</t>
  </si>
  <si>
    <t>The company returned £424,228 to shareholders by way of a buyback of 50,000 ordinary shares at a price of 848.46p per share.</t>
  </si>
  <si>
    <t>The company returned £607,152 to shareholders by way of a buyback of 420,000 ordinary shares at a price of 144.56p per share.</t>
  </si>
  <si>
    <t>The company returned £1,051,346 to shareholders by way of a buyback of 730,000 ordinary shares at a price of 144.02p per share.</t>
  </si>
  <si>
    <t>The company returned £564,840 to shareholders by way of a buyback of 400,000 ordinary shares at a price of 141.21p per share.</t>
  </si>
  <si>
    <t>The company returned £629,985 to shareholders by way of a buyback of 430,700 ordinary shares at a price of 146.27p per share.</t>
  </si>
  <si>
    <t>The company returned £973,568 to shareholders by way of a buyback of 664,597 ordinary shares at a price of 146.49p per share.</t>
  </si>
  <si>
    <t>The company returned £1,420,169 to shareholders by way of a buyback of 981,525 ordinary shares at a price of 144.69p per share.</t>
  </si>
  <si>
    <t>The company returned £523,561 to shareholders by way of a buyback of 360,331 ordinary shares at a price of 145.3p per share.</t>
  </si>
  <si>
    <t>The company returned £370,500 to shareholders by way of a buyback of 250,000 ordinary shares at a price of 148.2p per share.</t>
  </si>
  <si>
    <t>The company returned £1,293,034 to shareholders by way of a buyback of 912,000 ordinary shares at a price of 141.78p per share.</t>
  </si>
  <si>
    <t>The company returned £535,439 to shareholders by way of a buyback of 372,298 ordinary shares at a price of 143.82p per share.</t>
  </si>
  <si>
    <t>The company returned £257,520 to shareholders by way of a buyback of 185,000 ordinary shares at a price of 139.2p per share.</t>
  </si>
  <si>
    <t>The company returned £88,167 to shareholders by way of a buyback of 15,000 ordinary shares at a price of 587.78p per share.</t>
  </si>
  <si>
    <t>The company returned £119,612 to shareholders by way of a buyback of 20,000 ordinary shares at a price of 598.06p per share.</t>
  </si>
  <si>
    <t>The company returned £365,915 to shareholders by way of a buyback of 62,028 ordinary shares at a price of 589.92p per share.</t>
  </si>
  <si>
    <t>The company returned £261,272 to shareholders by way of a buyback of 44,675 ordinary shares at a price of 584.83p per share.</t>
  </si>
  <si>
    <t>The company returned £584,635 to shareholders by way of a buyback of 100,000 ordinary shares at a price of 584.64p per share.</t>
  </si>
  <si>
    <t>The company returned £575,569 to shareholders by way of a buyback of 98,133 ordinary shares at a price of 586.52p per share.</t>
  </si>
  <si>
    <t>The company returned £289,987 to shareholders by way of a buyback of 48,888 ordinary shares at a price of 593.17p per share.</t>
  </si>
  <si>
    <t>The company returned £577,403 to shareholders by way of a buyback of 100,000 ordinary shares at a price of 577.4p per share.</t>
  </si>
  <si>
    <t>The company returned £571,600 to shareholders by way of a buyback of 100,000 ordinary shares at a price of 571.6p per share.</t>
  </si>
  <si>
    <t>The company returned £520,201 to shareholders by way of a buyback of 91,647 ordinary shares at a price of 567.61p per share.</t>
  </si>
  <si>
    <t>The company returned £568,231 to shareholders by way of a buyback of 100,000 ordinary shares at a price of 568.23p per share.</t>
  </si>
  <si>
    <t>The company returned £573,784 to shareholders by way of a buyback of 100,000 ordinary shares at a price of 573.78p per share.</t>
  </si>
  <si>
    <t>The company returned £570,853 to shareholders by way of a buyback of 100,000 ordinary shares at a price of 570.85p per share.</t>
  </si>
  <si>
    <t>The company returned £560,655 to shareholders by way of a buyback of 100,000 ordinary shares at a price of 560.66p per share.</t>
  </si>
  <si>
    <t>The company returned £557,630 to shareholders by way of a buyback of 100,000 ordinary shares at a price of 557.63p per share.</t>
  </si>
  <si>
    <t>The company returned £328,209 to shareholders by way of a buyback of 57,464 ordinary shares at a price of 571.16p per share.</t>
  </si>
  <si>
    <t>The company returned £4,308,450 to shareholders by way of a buyback of 750,000 ordinary shares at a price of 574.46p per share.</t>
  </si>
  <si>
    <t>The company returned £2,848,400 to shareholders by way of a buyback of 500,000 ordinary shares at a price of 569.68p per share.</t>
  </si>
  <si>
    <t>The company returned £2,814,600 to shareholders by way of a buyback of 500,000 ordinary shares at a price of 562.92p per share.</t>
  </si>
  <si>
    <t>The company returned £2,759,850 to shareholders by way of a buyback of 500,000 ordinary shares at a price of 551.97p per share.</t>
  </si>
  <si>
    <t>The company returned £2,822,300 to shareholders by way of a buyback of 500,000 ordinary shares at a price of 564.46p per share.</t>
  </si>
  <si>
    <t>The company returned £2,820,750 to shareholders by way of a buyback of 500,000 ordinary shares at a price of 564.15p per share.</t>
  </si>
  <si>
    <t>The company returned £2,374,161 to shareholders by way of a buyback of 423,428 ordinary shares at a price of 560.7p per share.</t>
  </si>
  <si>
    <t>The company returned £699,856 to shareholders by way of a buyback of 124,605 ordinary shares at a price of 561.66p per share.</t>
  </si>
  <si>
    <t>The company returned £1,405,375 to shareholders by way of a buyback of 250,000 ordinary shares at a price of 562.15p per share.</t>
  </si>
  <si>
    <t>The company returned £2,806,200 to shareholders by way of a buyback of 500,000 ordinary shares at a price of 561.24p per share.</t>
  </si>
  <si>
    <t>The company returned £4,027,200 to shareholders by way of a buyback of 750,000 ordinary shares at a price of 536.96p per share.</t>
  </si>
  <si>
    <t>The company returned £92,480 to shareholders by way of a buyback of 10,000 ordinary shares at a price of 924.8p per share.</t>
  </si>
  <si>
    <t>The company returned £91,497 to shareholders by way of a buyback of 10,000 ordinary shares at a price of 914.97p per share.</t>
  </si>
  <si>
    <t>The company returned £55,068 to shareholders by way of a buyback of 6,000 ordinary shares at a price of 917.79p per share.</t>
  </si>
  <si>
    <t>The company returned £68,727 to shareholders by way of a buyback of 7,517 ordinary shares at a price of 914.28p per share.</t>
  </si>
  <si>
    <t>The company returned £89,668 to shareholders by way of a buyback of 10,000 ordinary shares at a price of 896.68p per share.</t>
  </si>
  <si>
    <t>The company returned £90,244 to shareholders by way of a buyback of 10,000 ordinary shares at a price of 902.44p per share.</t>
  </si>
  <si>
    <t>The company returned £335,956 to shareholders by way of a buyback of 38,000 ordinary shares at a price of 884.1p per share.</t>
  </si>
  <si>
    <t>The company returned £87,353 to shareholders by way of a buyback of 10,000 ordinary shares at a price of 873.53p per share.</t>
  </si>
  <si>
    <t>The company returned £87,939 to shareholders by way of a buyback of 10,000 ordinary shares at a price of 879.39p per share.</t>
  </si>
  <si>
    <t>The company returned £219,979 to shareholders by way of a buyback of 25,000 ordinary shares at a price of 879.92p per share.</t>
  </si>
  <si>
    <t>The company returned £89,074 to shareholders by way of a buyback of 10,000 ordinary shares at a price of 890.74p per share.</t>
  </si>
  <si>
    <t>The company returned £85,814 to shareholders by way of a buyback of 10,000 ordinary shares at a price of 858.14p per share.</t>
  </si>
  <si>
    <t>The company returned £85,194 to shareholders by way of a buyback of 10,000 ordinary shares at a price of 851.94p per share.</t>
  </si>
  <si>
    <t>The company returned £26,454 to shareholders by way of a buyback of 3,200 ordinary shares at a price of 826.69p per share.</t>
  </si>
  <si>
    <t>The company returned £292,380 to shareholders by way of a buyback of 35,000 ordinary shares at a price of 835.37p per share.</t>
  </si>
  <si>
    <t>The company returned £84,372 to shareholders by way of a buyback of 10,000 ordinary shares at a price of 843.72p per share.</t>
  </si>
  <si>
    <t>The company returned £83,118 to shareholders by way of a buyback of 10,000 ordinary shares at a price of 831.18p per share.</t>
  </si>
  <si>
    <t>The company returned £81,071 to shareholders by way of a buyback of 10,000 ordinary shares at a price of 810.71p per share.</t>
  </si>
  <si>
    <t>The company returned £81,682 to shareholders by way of a buyback of 10,000 ordinary shares at a price of 816.82p per share.</t>
  </si>
  <si>
    <t>The company returned £206,500 to shareholders by way of a buyback of 25,000 ordinary shares at a price of 826.p per share.</t>
  </si>
  <si>
    <t>The company returned £388,500 to shareholders by way of a buyback of 50,000 ordinary shares at a price of 777.p per share.</t>
  </si>
  <si>
    <t>The company returned £568,466 to shareholders by way of a buyback of 75,000 ordinary shares at a price of 757.95p per share.</t>
  </si>
  <si>
    <t>The company returned £562,434 to shareholders by way of a buyback of 75,000 ordinary shares at a price of 749.91p per share.</t>
  </si>
  <si>
    <t>The company returned £766,741 to shareholders by way of a buyback of 100,000 ordinary shares at a price of 766.74p per share.</t>
  </si>
  <si>
    <t>The company returned £565,500 to shareholders by way of a buyback of 75,000 ordinary shares at a price of 754.p per share.</t>
  </si>
  <si>
    <t>The company returned £569,835 to shareholders by way of a buyback of 75,000 ordinary shares at a price of 759.78p per share.</t>
  </si>
  <si>
    <t>The company returned £571,500 to shareholders by way of a buyback of 75,000 ordinary shares at a price of 762.p per share.</t>
  </si>
  <si>
    <t>The company returned £569,999 to shareholders by way of a buyback of 75,000 ordinary shares at a price of 760.p per share.</t>
  </si>
  <si>
    <t>The company returned £755,027 to shareholders by way of a buyback of 100,000 ordinary shares at a price of 755.03p per share.</t>
  </si>
  <si>
    <t>The company returned £1,300,250 to shareholders by way of a buyback of 175,000 ordinary shares at a price of 743.p per share.</t>
  </si>
  <si>
    <t>The company returned £1,470,000 to shareholders by way of a buyback of 200,000 ordinary shares at a price of 735.p per share.</t>
  </si>
  <si>
    <t>The company returned £543,015 to shareholders by way of a buyback of 75,000 ordinary shares at a price of 724.02p per share.</t>
  </si>
  <si>
    <t>The company returned £896,250 to shareholders by way of a buyback of 125,000 ordinary shares at a price of 717.p per share.</t>
  </si>
  <si>
    <t>The company returned £547,500 to shareholders by way of a buyback of 75,000 ordinary shares at a price of 730.p per share.</t>
  </si>
  <si>
    <t>The company returned £1,075,599 to shareholders by way of a buyback of 150,000 ordinary shares at a price of 717.07p per share.</t>
  </si>
  <si>
    <t>The company returned £770,000 to shareholders by way of a buyback of 110,000 ordinary shares at a price of 700.p per share.</t>
  </si>
  <si>
    <t>The company returned £700,000 to shareholders by way of a buyback of 100,000 ordinary shares at a price of 700.p per share.</t>
  </si>
  <si>
    <t>The company returned £398,750 to shareholders by way of a buyback of 125,000 ordinary shares at a price of 319.p per share.</t>
  </si>
  <si>
    <t>The company returned £222,070 to shareholders by way of a buyback of 75,000 ordinary shares at a price of 296.09p per share.</t>
  </si>
  <si>
    <t>The company returned £100,934 to shareholders by way of a buyback of 24,997 ordinary shares at a price of 403.79p per share.</t>
  </si>
  <si>
    <t>The company returned £102,307 to shareholders by way of a buyback of 25,000 ordinary shares at a price of 409.23p per share.</t>
  </si>
  <si>
    <t>The company returned £99,574 to shareholders by way of a buyback of 25,000 ordinary shares at a price of 398.3p per share.</t>
  </si>
  <si>
    <t>The company returned £77,545 to shareholders by way of a buyback of 20,000 ordinary shares at a price of 387.73p per share.</t>
  </si>
  <si>
    <t>The company returned £98,500 to shareholders by way of a buyback of 25,000 ordinary shares at a price of 394.p per share.</t>
  </si>
  <si>
    <t>The company returned £78,000 to shareholders by way of a buyback of 20,000 ordinary shares at a price of 390.p per share.</t>
  </si>
  <si>
    <t>The company returned £58,301 to shareholders by way of a buyback of 15,000 ordinary shares at a price of 388.68p per share.</t>
  </si>
  <si>
    <t>The company returned £77,173 to shareholders by way of a buyback of 20,000 ordinary shares at a price of 385.87p per share.</t>
  </si>
  <si>
    <t>The company returned £77,400 to shareholders by way of a buyback of 20,000 ordinary shares at a price of 387.p per share.</t>
  </si>
  <si>
    <t>The company returned £191,800 to shareholders by way of a buyback of 50,000 ordinary shares at a price of 383.6p per share.</t>
  </si>
  <si>
    <t>The company returned £56,551 to shareholders by way of a buyback of 15,000 ordinary shares at a price of 377.01p per share.</t>
  </si>
  <si>
    <t>The company returned £133,350 to shareholders by way of a buyback of 35,000 ordinary shares at a price of 381.p per share.</t>
  </si>
  <si>
    <t>The company returned £170,150 to shareholders by way of a buyback of 45,000 ordinary shares at a price of 378.11p per share.</t>
  </si>
  <si>
    <t>The company returned £136,150 to shareholders by way of a buyback of 35,000 ordinary shares at a price of 389.p per share.</t>
  </si>
  <si>
    <t>The company returned £230,350 to shareholders by way of a buyback of 60,000 ordinary shares at a price of 383.92p per share.</t>
  </si>
  <si>
    <t>The company returned £151,200 to shareholders by way of a buyback of 40,000 ordinary shares at a price of 378.p per share.</t>
  </si>
  <si>
    <t>The company returned £95,875 to shareholders by way of a buyback of 25,000 ordinary shares at a price of 383.5p per share.</t>
  </si>
  <si>
    <t>Insurance &amp; Reinsurance Strategies</t>
  </si>
  <si>
    <t>The company returned £53,595 to shareholders by way of a buyback of 46,512 ordinary shares at a price of 115.23p per share.</t>
  </si>
  <si>
    <t>The company returned £22,268 to shareholders by way of a buyback of 19,442 ordinary shares at a price of 114.53p per share.</t>
  </si>
  <si>
    <t>The company returned £67,350 to shareholders by way of a buyback of 75,000 ordinary shares at a price of 89.8p per share.</t>
  </si>
  <si>
    <t>The company returned £66,653 to shareholders by way of a buyback of 75,000 ordinary shares at a price of 88.87p per share.</t>
  </si>
  <si>
    <t>The company returned £89,000 to shareholders by way of a buyback of 100,000 ordinary shares at a price of 89.p per share.</t>
  </si>
  <si>
    <t>The company returned £1,922,625 to shareholders by way of a buyback of 750,000 ordinary shares at a price of 256.35p per share.</t>
  </si>
  <si>
    <t>The company returned £1,288,450 to shareholders by way of a buyback of 500,000 ordinary shares at a price of 257.69p per share.</t>
  </si>
  <si>
    <t>The company returned £1,908,150 to shareholders by way of a buyback of 750,000 ordinary shares at a price of 254.42p per share.</t>
  </si>
  <si>
    <t>The company returned £1,874,400 to shareholders by way of a buyback of 750,000 ordinary shares at a price of 249.92p per share.</t>
  </si>
  <si>
    <t>The company returned £1,911,150 to shareholders by way of a buyback of 750,000 ordinary shares at a price of 254.82p per share.</t>
  </si>
  <si>
    <t>The company returned £1,269,050 to shareholders by way of a buyback of 500,000 ordinary shares at a price of 253.81p per share.</t>
  </si>
  <si>
    <t>The company returned £1,257,050 to shareholders by way of a buyback of 500,000 ordinary shares at a price of 251.41p per share.</t>
  </si>
  <si>
    <t>The company returned £1,252,550 to shareholders by way of a buyback of 500,000 ordinary shares at a price of 250.51p per share.</t>
  </si>
  <si>
    <t>The company returned £1,870,875 to shareholders by way of a buyback of 750,000 ordinary shares at a price of 249.45p per share.</t>
  </si>
  <si>
    <t>The company returned £1,885,950 to shareholders by way of a buyback of 750,000 ordinary shares at a price of 251.46p per share.</t>
  </si>
  <si>
    <t>The company returned £1,896,675 to shareholders by way of a buyback of 750,000 ordinary shares at a price of 252.89p per share.</t>
  </si>
  <si>
    <t>The company returned £1,847,475 to shareholders by way of a buyback of 750,000 ordinary shares at a price of 246.33p per share.</t>
  </si>
  <si>
    <t>The company returned £1,826,325 to shareholders by way of a buyback of 750,000 ordinary shares at a price of 243.51p per share.</t>
  </si>
  <si>
    <t>The company returned £1,217,250 to shareholders by way of a buyback of 500,000 ordinary shares at a price of 243.45p per share.</t>
  </si>
  <si>
    <t>The company returned £1,689,240 to shareholders by way of a buyback of 700,000 ordinary shares at a price of 241.32p per share.</t>
  </si>
  <si>
    <t>The company returned £1,956,526 to shareholders by way of a buyback of 797,872 ordinary shares at a price of 245.22p per share.</t>
  </si>
  <si>
    <t>The company returned £1,294,871 to shareholders by way of a buyback of 535,000 ordinary shares at a price of 242.03p per share.</t>
  </si>
  <si>
    <t>The company returned £4,153,800 to shareholders by way of a buyback of 1,750,000 ordinary shares at a price of 237.36p per share.</t>
  </si>
  <si>
    <t>The company returned £1,777,275 to shareholders by way of a buyback of 750,000 ordinary shares at a price of 236.97p per share.</t>
  </si>
  <si>
    <t>The company returned £1,799,475 to shareholders by way of a buyback of 750,000 ordinary shares at a price of 239.93p per share.</t>
  </si>
  <si>
    <t>The company returned £745,500 to shareholders by way of a buyback of 100,000 ordinary shares at a price of 745.5p per share.</t>
  </si>
  <si>
    <t>The company returned £592,750 to shareholders by way of a buyback of 80,000 ordinary shares at a price of 740.94p per share.</t>
  </si>
  <si>
    <t>The company returned £334,575 to shareholders by way of a buyback of 45,000 ordinary shares at a price of 743.5p per share.</t>
  </si>
  <si>
    <t>The company returned £371,500 to shareholders by way of a buyback of 50,000 ordinary shares at a price of 743.p per share.</t>
  </si>
  <si>
    <t>The company returned £477,425 to shareholders by way of a buyback of 65,000 ordinary shares at a price of 734.5p per share.</t>
  </si>
  <si>
    <t>The company returned £722,750 to shareholders by way of a buyback of 100,000 ordinary shares at a price of 722.75p per share.</t>
  </si>
  <si>
    <t>The company returned £366,000 to shareholders by way of a buyback of 50,000 ordinary shares at a price of 732.p per share.</t>
  </si>
  <si>
    <t>The company returned £544,875 to shareholders by way of a buyback of 75,000 ordinary shares at a price of 726.5p per share.</t>
  </si>
  <si>
    <t>The company returned £504,350 to shareholders by way of a buyback of 70,000 ordinary shares at a price of 720.5p per share.</t>
  </si>
  <si>
    <t>The company returned £541,500 to shareholders by way of a buyback of 75,000 ordinary shares at a price of 722.p per share.</t>
  </si>
  <si>
    <t>The company returned £245,350 to shareholders by way of a buyback of 35,000 ordinary shares at a price of 701.p per share.</t>
  </si>
  <si>
    <t>The company returned £691,000 to shareholders by way of a buyback of 100,000 ordinary shares at a price of 691.p per share.</t>
  </si>
  <si>
    <t>The company returned £329,800 to shareholders by way of a buyback of 85,000 ordinary shares at a price of 388.p per share.</t>
  </si>
  <si>
    <t>The company returned £301,850 to shareholders by way of a buyback of 80,000 ordinary shares at a price of 377.31p per share.</t>
  </si>
  <si>
    <t>The company returned £113,278 to shareholders by way of a buyback of 25,000 ordinary shares at a price of 453.11p per share.</t>
  </si>
  <si>
    <t>The company returned £109,833 to shareholders by way of a buyback of 25,000 ordinary shares at a price of 439.33p per share.</t>
  </si>
  <si>
    <t>The company returned £22,157 to shareholders by way of a buyback of 5,011 ordinary shares at a price of 442.16p per share.</t>
  </si>
  <si>
    <t>The company returned £91,220 to shareholders by way of a buyback of 20,000 ordinary shares at a price of 456.1p per share.</t>
  </si>
  <si>
    <t>The company returned £90,674 to shareholders by way of a buyback of 20,000 ordinary shares at a price of 453.37p per share.</t>
  </si>
  <si>
    <t>The company returned £88,737 to shareholders by way of a buyback of 20,000 ordinary shares at a price of 443.69p per share.</t>
  </si>
  <si>
    <t>The company returned £91,423 to shareholders by way of a buyback of 20,000 ordinary shares at a price of 457.12p per share.</t>
  </si>
  <si>
    <t>The company returned £113,974 to shareholders by way of a buyback of 25,000 ordinary shares at a price of 455.9p per share.</t>
  </si>
  <si>
    <t>The company returned £90,942 to shareholders by way of a buyback of 20,000 ordinary shares at a price of 454.71p per share.</t>
  </si>
  <si>
    <t>The company returned £92,497 to shareholders by way of a buyback of 20,000 ordinary shares at a price of 462.49p per share.</t>
  </si>
  <si>
    <t>The company returned £91,858 to shareholders by way of a buyback of 20,000 ordinary shares at a price of 459.29p per share.</t>
  </si>
  <si>
    <t>The company returned £92,974 to shareholders by way of a buyback of 20,000 ordinary shares at a price of 464.87p per share.</t>
  </si>
  <si>
    <t>The company returned £93,718 to shareholders by way of a buyback of 20,000 ordinary shares at a price of 468.59p per share.</t>
  </si>
  <si>
    <t>The company returned £115,230 to shareholders by way of a buyback of 25,000 ordinary shares at a price of 460.92p per share.</t>
  </si>
  <si>
    <t>The company returned £92,612 to shareholders by way of a buyback of 20,000 ordinary shares at a price of 463.06p per share.</t>
  </si>
  <si>
    <t>The company returned £90,337 to shareholders by way of a buyback of 20,000 ordinary shares at a price of 451.69p per share.</t>
  </si>
  <si>
    <t>The company returned £112,321 to shareholders by way of a buyback of 25,000 ordinary shares at a price of 449.28p per share.</t>
  </si>
  <si>
    <t>The company returned £92,007 to shareholders by way of a buyback of 20,000 ordinary shares at a price of 460.03p per share.</t>
  </si>
  <si>
    <t>The company returned £113,104 to shareholders by way of a buyback of 25,000 ordinary shares at a price of 452.42p per share.</t>
  </si>
  <si>
    <t>The company returned £89,743 to shareholders by way of a buyback of 20,000 ordinary shares at a price of 448.71p per share.</t>
  </si>
  <si>
    <t>The company returned £88,773 to shareholders by way of a buyback of 20,000 ordinary shares at a price of 443.86p per share.</t>
  </si>
  <si>
    <t>The company returned £35,537 to shareholders by way of a buyback of 7,867 ordinary shares at a price of 451.73p per share.</t>
  </si>
  <si>
    <t>The company returned £3,027,339 to shareholders by way of a buyback of 210,000 ordinary shares at a price of 1,441.59p per share.</t>
  </si>
  <si>
    <t>The company returned £1,939,197 to shareholders by way of a buyback of 136,000 ordinary shares at a price of 1,425.88p per share.</t>
  </si>
  <si>
    <t>The company returned £2,070,876 to shareholders by way of a buyback of 145,000 ordinary shares at a price of 1,428.19p per share.</t>
  </si>
  <si>
    <t>The company returned £1,287,396 to shareholders by way of a buyback of 90,000 ordinary shares at a price of 1,430.44p per share.</t>
  </si>
  <si>
    <t>The company returned £651,960 to shareholders by way of a buyback of 45,000 ordinary shares at a price of 1,448.8p per share.</t>
  </si>
  <si>
    <t>The company returned £1,371,126 to shareholders by way of a buyback of 95,000 ordinary shares at a price of 1,443.29p per share.</t>
  </si>
  <si>
    <t>The company returned £2,810,340 to shareholders by way of a buyback of 200,000 ordinary shares at a price of 1,405.17p per share.</t>
  </si>
  <si>
    <t>The company returned £2,784,380 to shareholders by way of a buyback of 200,000 ordinary shares at a price of 1,392.19p per share.</t>
  </si>
  <si>
    <t>The company returned £2,806,220 to shareholders by way of a buyback of 200,000 ordinary shares at a price of 1,403.11p per share.</t>
  </si>
  <si>
    <t>The company returned £2,758,040 to shareholders by way of a buyback of 200,000 ordinary shares at a price of 1,379.02p per share.</t>
  </si>
  <si>
    <t>The company returned £2,806,540 to shareholders by way of a buyback of 200,000 ordinary shares at a price of 1,403.27p per share.</t>
  </si>
  <si>
    <t>The company returned £212,833 to shareholders by way of a buyback of 129,994 ordinary shares at a price of 163.73p per share.</t>
  </si>
  <si>
    <t>The company returned £216,312 to shareholders by way of a buyback of 136,380 ordinary shares at a price of 158.61p per share.</t>
  </si>
  <si>
    <t>The company returned £300,137 to shareholders by way of a buyback of 188,346 ordinary shares at a price of 159.35p per share.</t>
  </si>
  <si>
    <t>The company returned £321,996 to shareholders by way of a buyback of 200,000 ordinary shares at a price of 161.p per share.</t>
  </si>
  <si>
    <t>The company returned £315,514 to shareholders by way of a buyback of 199,508 ordinary shares at a price of 158.15p per share.</t>
  </si>
  <si>
    <t>The company returned £121,165 to shareholders by way of a buyback of 78,699 ordinary shares at a price of 153.96p per share.</t>
  </si>
  <si>
    <t>The company returned £199,879 to shareholders by way of a buyback of 127,101 ordinary shares at a price of 157.26p per share.</t>
  </si>
  <si>
    <t>The company returned £50,510 to shareholders by way of a buyback of 32,310 ordinary shares at a price of 156.33p per share.</t>
  </si>
  <si>
    <t>The company returned £44,613 to shareholders by way of a buyback of 28,779 ordinary shares at a price of 155.02p per share.</t>
  </si>
  <si>
    <t>The company returned £23,027 to shareholders by way of a buyback of 15,020 ordinary shares at a price of 153.31p per share.</t>
  </si>
  <si>
    <t>The company returned £1,217,191 to shareholders by way of a buyback of 791,000 ordinary shares at a price of 153.88p per share.</t>
  </si>
  <si>
    <t>The company returned £147,743 to shareholders by way of a buyback of 95,775 ordinary shares at a price of 154.26p per share.</t>
  </si>
  <si>
    <t>The company returned £91,394 to shareholders by way of a buyback of 58,725 ordinary shares at a price of 155.63p per share.</t>
  </si>
  <si>
    <t>The company returned £74,694 to shareholders by way of a buyback of 49,334 ordinary shares at a price of 151.41p per share.</t>
  </si>
  <si>
    <t>The company returned £96,743 to shareholders by way of a buyback of 64,662 ordinary shares at a price of 149.61p per share.</t>
  </si>
  <si>
    <t>The company returned £52,332 to shareholders by way of a buyback of 35,441 ordinary shares at a price of 147.66p per share.</t>
  </si>
  <si>
    <t>The company returned £293,270 to shareholders by way of a buyback of 200,000 ordinary shares at a price of 146.64p per share.</t>
  </si>
  <si>
    <t>The company returned £153,973 to shareholders by way of a buyback of 103,326 ordinary shares at a price of 149.02p per share.</t>
  </si>
  <si>
    <t>The company returned £80,951 to shareholders by way of a buyback of 55,258 ordinary shares at a price of 146.5p per share.</t>
  </si>
  <si>
    <t>The company returned £127,211 to shareholders by way of a buyback of 87,292 ordinary shares at a price of 145.73p per share.</t>
  </si>
  <si>
    <t>The company returned £164,157 to shareholders by way of a buyback of 110,765 ordinary shares at a price of 148.2p per share.</t>
  </si>
  <si>
    <t>The company returned £24,827 to shareholders by way of a buyback of 26,114 ordinary shares at a price of 95.07p per share.</t>
  </si>
  <si>
    <t>The company returned £65,357 to shareholders by way of a buyback of 70,420 ordinary shares at a price of 92.81p per share.</t>
  </si>
  <si>
    <t>The company returned £80,014 to shareholders by way of a buyback of 86,716 ordinary shares at a price of 92.27p per share.</t>
  </si>
  <si>
    <t>The company returned £92,930 to shareholders by way of a buyback of 100,000 ordinary shares at a price of 92.93p per share.</t>
  </si>
  <si>
    <t>The company returned £70,911 to shareholders by way of a buyback of 75,560 ordinary shares at a price of 93.85p per share.</t>
  </si>
  <si>
    <t>The company returned £65,314 to shareholders by way of a buyback of 69,474 ordinary shares at a price of 94.01p per share.</t>
  </si>
  <si>
    <t>The company returned £40,549 to shareholders by way of a buyback of 43,323 ordinary shares at a price of 93.6p per share.</t>
  </si>
  <si>
    <t>The company returned £578,151 to shareholders by way of a buyback of 630,000 ordinary shares at a price of 91.77p per share.</t>
  </si>
  <si>
    <t>The company returned £589,041 to shareholders by way of a buyback of 634,742 ordinary shares at a price of 92.8p per share.</t>
  </si>
  <si>
    <t>The company returned £876,587 to shareholders by way of a buyback of 100,000 ordinary shares at a price of 876.59p per share.</t>
  </si>
  <si>
    <t>The company returned £2,192,500 to shareholders by way of a buyback of 250,000 ordinary shares at a price of 877.p per share.</t>
  </si>
  <si>
    <t>The company returned £883,000 to shareholders by way of a buyback of 100,000 ordinary shares at a price of 883.p per share.</t>
  </si>
  <si>
    <t>The company returned £70,000 to shareholders by way of a buyback of 5,000 ordinary shares at a price of 1,400.p per share.</t>
  </si>
  <si>
    <t>The company returned £140,200 to shareholders by way of a buyback of 10,000 ordinary shares at a price of 1,402.p per share.</t>
  </si>
  <si>
    <t>The company returned £146,419 to shareholders by way of a buyback of 10,168 ordinary shares at a price of 1,440.p per share.</t>
  </si>
  <si>
    <t>The company returned £354,869 to shareholders by way of a buyback of 24,816 ordinary shares at a price of 1,430.p per share.</t>
  </si>
  <si>
    <t>The company returned £119,135 to shareholders by way of a buyback of 8,188 ordinary shares at a price of 1,455.p per share.</t>
  </si>
  <si>
    <t>The company returned £95,630 to shareholders by way of a buyback of 6,641 ordinary shares at a price of 1,440.p per share.</t>
  </si>
  <si>
    <t>The company returned £72,150 to shareholders by way of a buyback of 5,000 ordinary shares at a price of 1,443.p per share.</t>
  </si>
  <si>
    <t>The company returned £143,300 to shareholders by way of a buyback of 10,000 ordinary shares at a price of 1,433.p per share.</t>
  </si>
  <si>
    <t>The company returned £141,900 to shareholders by way of a buyback of 10,000 ordinary shares at a price of 1,419.p per share.</t>
  </si>
  <si>
    <t>The company returned £353,750 to shareholders by way of a buyback of 25,000 ordinary shares at a price of 1,415.p per share.</t>
  </si>
  <si>
    <t>The company returned £368,088 to shareholders by way of a buyback of 26,087 ordinary shares at a price of 1,411.p per share.</t>
  </si>
  <si>
    <t>The company returned £64,310 to shareholders by way of a buyback of 4,610 ordinary shares at a price of 1,395.p per share.</t>
  </si>
  <si>
    <t>The company returned £616,950 to shareholders by way of a buyback of 45,000 ordinary shares at a price of 1,371.p per share.</t>
  </si>
  <si>
    <t>The company returned £333,977 to shareholders by way of a buyback of 24,831 ordinary shares at a price of 1,345.p per share.</t>
  </si>
  <si>
    <t>The company returned £295,900 to shareholders by way of a buyback of 22,000 ordinary shares at a price of 1,345.p per share.</t>
  </si>
  <si>
    <t>The company returned £29,469 to shareholders by way of a buyback of 2,191 ordinary shares at a price of 1,345.p per share.</t>
  </si>
  <si>
    <t>The company returned £289,321 to shareholders by way of a buyback of 21,672 ordinary shares at a price of 1,335.p per share.</t>
  </si>
  <si>
    <t>The company returned £263,800 to shareholders by way of a buyback of 20,000 ordinary shares at a price of 1,319.p per share.</t>
  </si>
  <si>
    <t>The company returned £189,647 to shareholders by way of a buyback of 14,577 ordinary shares at a price of 1,301.p per share.</t>
  </si>
  <si>
    <t>The company returned £105,536 to shareholders by way of a buyback of 7,950 ordinary shares at a price of 1,327.5p per share.</t>
  </si>
  <si>
    <t>The company returned £89,679 to shareholders by way of a buyback of 23,855 ordinary shares at a price of 375.93p per share.</t>
  </si>
  <si>
    <t>The company returned £182,000 to shareholders by way of a buyback of 50,000 ordinary shares at a price of 364.p per share.</t>
  </si>
  <si>
    <t>The company returned £176,000 to shareholders by way of a buyback of 50,000 ordinary shares at a price of 352.p per share.</t>
  </si>
  <si>
    <t>The company returned £172,000 to shareholders by way of a buyback of 50,000 ordinary shares at a price of 344.p per share.</t>
  </si>
  <si>
    <t>The company returned £257,860 to shareholders by way of a buyback of 76,000 ordinary shares at a price of 339.29p per share.</t>
  </si>
  <si>
    <t>The company returned £80,880 to shareholders by way of a buyback of 24,000 ordinary shares at a price of 337.p per share.</t>
  </si>
  <si>
    <t>The company returned £587,633 to shareholders by way of a buyback of 175,000 ordinary shares at a price of 335.79p per share.</t>
  </si>
  <si>
    <t>The company returned £485,000 to shareholders by way of a buyback of 100,000 ordinary shares at a price of 485.p per share.</t>
  </si>
  <si>
    <t>The company returned £244,400 to shareholders by way of a buyback of 50,000 ordinary shares at a price of 488.8p per share.</t>
  </si>
  <si>
    <t>The company returned £500,320 to shareholders by way of a buyback of 100,000 ordinary shares at a price of 500.32p per share.</t>
  </si>
  <si>
    <t>The company returned £244,545 to shareholders by way of a buyback of 50,000 ordinary shares at a price of 489.09p per share.</t>
  </si>
  <si>
    <t>The company returned £675,255 to shareholders by way of a buyback of 70,000 ordinary shares at a price of 964.65p per share.</t>
  </si>
  <si>
    <t>The company returned £691,613 to shareholders by way of a buyback of 75,000 ordinary shares at a price of 922.15p per share.</t>
  </si>
  <si>
    <t>The company returned £287,994 to shareholders by way of a buyback of 31,898 ordinary shares at a price of 902.86p per share.</t>
  </si>
  <si>
    <t>The company returned £683,783 to shareholders by way of a buyback of 75,000 ordinary shares at a price of 911.71p per share.</t>
  </si>
  <si>
    <t>The company returned £782,349 to shareholders by way of a buyback of 84,613 ordinary shares at a price of 924.62p per share.</t>
  </si>
  <si>
    <t>The company returned £674,123 to shareholders by way of a buyback of 75,000 ordinary shares at a price of 898.83p per share.</t>
  </si>
  <si>
    <t>The company returned £672,150 to shareholders by way of a buyback of 75,000 ordinary shares at a price of 896.2p per share.</t>
  </si>
  <si>
    <t>The company returned £460,658 to shareholders by way of a buyback of 51,232 ordinary shares at a price of 899.16p per share.</t>
  </si>
  <si>
    <t>The company returned £868,850 to shareholders by way of a buyback of 100,000 ordinary shares at a price of 868.85p per share.</t>
  </si>
  <si>
    <t>The company returned £645,450 to shareholders by way of a buyback of 75,000 ordinary shares at a price of 860.6p per share.</t>
  </si>
  <si>
    <t>The company returned £418,430 to shareholders by way of a buyback of 120,242 ordinary shares at a price of 347.99p per share.</t>
  </si>
  <si>
    <t>The company returned £520,149 to shareholders by way of a buyback of 150,000 ordinary shares at a price of 346.77p per share.</t>
  </si>
  <si>
    <t>The company returned £515,450 to shareholders by way of a buyback of 150,000 ordinary shares at a price of 343.63p per share.</t>
  </si>
  <si>
    <t>The company returned £410,149 to shareholders by way of a buyback of 120,000 ordinary shares at a price of 341.79p per share.</t>
  </si>
  <si>
    <t>The company returned £516,072 to shareholders by way of a buyback of 150,000 ordinary shares at a price of 344.05p per share.</t>
  </si>
  <si>
    <t>The company returned £282,310 to shareholders by way of a buyback of 80,000 ordinary shares at a price of 352.89p per share.</t>
  </si>
  <si>
    <t>The company returned £190,673 to shareholders by way of a buyback of 53,510 ordinary shares at a price of 356.33p per share.</t>
  </si>
  <si>
    <t>The company returned £532,250 to shareholders by way of a buyback of 150,000 ordinary shares at a price of 354.83p per share.</t>
  </si>
  <si>
    <t>The company returned £530,400 to shareholders by way of a buyback of 150,000 ordinary shares at a price of 353.6p per share.</t>
  </si>
  <si>
    <t>The company returned £532,455 to shareholders by way of a buyback of 150,000 ordinary shares at a price of 354.97p per share.</t>
  </si>
  <si>
    <t>The company returned £534,473 to shareholders by way of a buyback of 150,000 ordinary shares at a price of 356.32p per share.</t>
  </si>
  <si>
    <t>The company returned £444,983 to shareholders by way of a buyback of 125,000 ordinary shares at a price of 355.99p per share.</t>
  </si>
  <si>
    <t>The company returned £530,255 to shareholders by way of a buyback of 150,000 ordinary shares at a price of 353.5p per share.</t>
  </si>
  <si>
    <t>The company returned £411,726 to shareholders by way of a buyback of 115,000 ordinary shares at a price of 358.02p per share.</t>
  </si>
  <si>
    <t>The company returned £270,383 to shareholders by way of a buyback of 75,000 ordinary shares at a price of 360.51p per share.</t>
  </si>
  <si>
    <t>The company returned £713,792 to shareholders by way of a buyback of 200,000 ordinary shares at a price of 356.9p per share.</t>
  </si>
  <si>
    <t>The company returned £632,972 to shareholders by way of a buyback of 175,000 ordinary shares at a price of 361.7p per share.</t>
  </si>
  <si>
    <t>The company returned £543,179 to shareholders by way of a buyback of 150,000 ordinary shares at a price of 362.12p per share.</t>
  </si>
  <si>
    <t>The company returned £538,163 to shareholders by way of a buyback of 150,000 ordinary shares at a price of 358.78p per share.</t>
  </si>
  <si>
    <t>The company returned £535,457 to shareholders by way of a buyback of 150,000 ordinary shares at a price of 356.97p per share.</t>
  </si>
  <si>
    <t>The company returned £540,902 to shareholders by way of a buyback of 150,000 ordinary shares at a price of 360.6p per share.</t>
  </si>
  <si>
    <t>The company returned £390,071 to shareholders by way of a buyback of 50,000 ordinary shares at a price of 780.14p per share.</t>
  </si>
  <si>
    <t>The company returned £501,255 to shareholders by way of a buyback of 66,000 ordinary shares at a price of 759.48p per share.</t>
  </si>
  <si>
    <t>The company returned £295,000 to shareholders by way of a buyback of 50,000 ordinary shares at a price of 590.p per share.</t>
  </si>
  <si>
    <t>The company returned £288,243 to shareholders by way of a buyback of 50,000 ordinary shares at a price of 576.49p per share.</t>
  </si>
  <si>
    <t>The company returned £115,550 to shareholders by way of a buyback of 20,000 ordinary shares at a price of 577.75p per share.</t>
  </si>
  <si>
    <t>The company returned £287,441 to shareholders by way of a buyback of 50,000 ordinary shares at a price of 574.88p per share.</t>
  </si>
  <si>
    <t>The company returned £337,340 to shareholders by way of a buyback of 60,000 ordinary shares at a price of 562.23p per share.</t>
  </si>
  <si>
    <t>The company returned £288,418 to shareholders by way of a buyback of 50,000 ordinary shares at a price of 576.84p per share.</t>
  </si>
  <si>
    <t>The company returned £287,486 to shareholders by way of a buyback of 50,000 ordinary shares at a price of 574.97p per share.</t>
  </si>
  <si>
    <t>The company returned £288,734 to shareholders by way of a buyback of 50,000 ordinary shares at a price of 577.47p per share.</t>
  </si>
  <si>
    <t>The company returned £271,304 to shareholders by way of a buyback of 48,000 ordinary shares at a price of 565.22p per share.</t>
  </si>
  <si>
    <t>The company returned £205,735 to shareholders by way of a buyback of 36,000 ordinary shares at a price of 571.49p per share.</t>
  </si>
  <si>
    <t>The company returned £114,529 to shareholders by way of a buyback of 20,000 ordinary shares at a price of 572.65p per share.</t>
  </si>
  <si>
    <t>The company returned £113,985 to shareholders by way of a buyback of 20,000 ordinary shares at a price of 569.93p per share.</t>
  </si>
  <si>
    <t>The company returned £1,025,090 to shareholders by way of a buyback of 24,322 ordinary shares at a price of 4,214.66p per share.</t>
  </si>
  <si>
    <t>The company returned £1,014,898 to shareholders by way of a buyback of 24,607 ordinary shares at a price of 4,124.43p per share.</t>
  </si>
  <si>
    <t>The company returned £1,064,963 to shareholders by way of a buyback of 25,507 ordinary shares at a price of 4,175.18p per share.</t>
  </si>
  <si>
    <t>The company returned £1,072,636 to shareholders by way of a buyback of 25,533 ordinary shares at a price of 4,200.98p per share.</t>
  </si>
  <si>
    <t>The company returned £1,011,292 to shareholders by way of a buyback of 25,144 ordinary shares at a price of 4,022.p per share.</t>
  </si>
  <si>
    <t>The company returned £1,024,199 to shareholders by way of a buyback of 25,748 ordinary shares at a price of 3,977.78p per share.</t>
  </si>
  <si>
    <t>The company returned £1,107,759 to shareholders by way of a buyback of 26,186 ordinary shares at a price of 4,230.35p per share.</t>
  </si>
  <si>
    <t>The company returned £1,171,250 to shareholders by way of a buyback of 27,572 ordinary shares at a price of 4,247.97p per share.</t>
  </si>
  <si>
    <t>The company returned £1,150,274 to shareholders by way of a buyback of 27,572 ordinary shares at a price of 4,171.89p per share.</t>
  </si>
  <si>
    <t>The company returned £1,100,742 to shareholders by way of a buyback of 26,420 ordinary shares at a price of 4,166.32p per share.</t>
  </si>
  <si>
    <t>The company returned £1,092,071 to shareholders by way of a buyback of 25,972 ordinary shares at a price of 4,204.8p per share.</t>
  </si>
  <si>
    <t>The company returned £1,088,325 to shareholders by way of a buyback of 26,053 ordinary shares at a price of 4,177.35p per share.</t>
  </si>
  <si>
    <t>The company returned £1,069,682 to shareholders by way of a buyback of 26,186 ordinary shares at a price of 4,084.94p per share.</t>
  </si>
  <si>
    <t>The company returned £1,011,141 to shareholders by way of a buyback of 25,670 ordinary shares at a price of 3,939.p per share.</t>
  </si>
  <si>
    <t>The company returned £1,021,284 to shareholders by way of a buyback of 26,045 ordinary shares at a price of 3,921.23p per share.</t>
  </si>
  <si>
    <t>The company returned £1,081,240 to shareholders by way of a buyback of 27,174 ordinary shares at a price of 3,978.95p per share.</t>
  </si>
  <si>
    <t>The company returned £603,738 to shareholders by way of a buyback of 15,000 ordinary shares at a price of 4,024.92p per share.</t>
  </si>
  <si>
    <t>The company returned £664,250 to shareholders by way of a buyback of 125,000 ordinary shares at a price of 531.4p per share.</t>
  </si>
  <si>
    <t>The company returned £3,033,850 to shareholders by way of a buyback of 575,000 ordinary shares at a price of 527.63p per share.</t>
  </si>
  <si>
    <t>The company returned £2,594,500 to shareholders by way of a buyback of 500,000 ordinary shares at a price of 518.9p per share.</t>
  </si>
  <si>
    <t>The company returned £731,080 to shareholders by way of a buyback of 140,000 ordinary shares at a price of 522.2p per share.</t>
  </si>
  <si>
    <t>The company returned £390,900 to shareholders by way of a buyback of 75,000 ordinary shares at a price of 521.2p per share.</t>
  </si>
  <si>
    <t>The company returned £2,143,648 to shareholders by way of a buyback of 410,000 ordinary shares at a price of 522.84p per share.</t>
  </si>
  <si>
    <t>The company returned £286,329 to shareholders by way of a buyback of 136,490 ordinary shares at a price of 209.78p per share.</t>
  </si>
  <si>
    <t>The company returned £507,511 to shareholders by way of a buyback of 242,638 ordinary shares at a price of 209.16p per share.</t>
  </si>
  <si>
    <t>The company returned £446,183 to shareholders by way of a buyback of 211,461 ordinary shares at a price of 211.p per share.</t>
  </si>
  <si>
    <t>The company returned £592,968 to shareholders by way of a buyback of 280,969 ordinary shares at a price of 211.04p per share.</t>
  </si>
  <si>
    <t>The company returned £597,152 to shareholders by way of a buyback of 281,629 ordinary shares at a price of 212.04p per share.</t>
  </si>
  <si>
    <t>The company returned £89,700 to shareholders by way of a buyback of 42,291 ordinary shares at a price of 212.1p per share.</t>
  </si>
  <si>
    <t>The company returned £536,486 to shareholders by way of a buyback of 257,656 ordinary shares at a price of 208.22p per share.</t>
  </si>
  <si>
    <t>The company returned £492,860 to shareholders by way of a buyback of 237,666 ordinary shares at a price of 207.38p per share.</t>
  </si>
  <si>
    <t>The company returned £627,252 to shareholders by way of a buyback of 300,000 ordinary shares at a price of 209.08p per share.</t>
  </si>
  <si>
    <t>The company returned £221,913 to shareholders by way of a buyback of 106,946 ordinary shares at a price of 207.5p per share.</t>
  </si>
  <si>
    <t>The company returned £380,220 to shareholders by way of a buyback of 178,950 ordinary shares at a price of 212.47p per share.</t>
  </si>
  <si>
    <t>The company returned £99,673 to shareholders by way of a buyback of 47,897 ordinary shares at a price of 208.1p per share.</t>
  </si>
  <si>
    <t>The company returned £470,928 to shareholders by way of a buyback of 225,867 ordinary shares at a price of 208.5p per share.</t>
  </si>
  <si>
    <t>The company returned £557,884 to shareholders by way of a buyback of 265,659 ordinary shares at a price of 210.p per share.</t>
  </si>
  <si>
    <t>The company returned £2,072,934 to shareholders by way of a buyback of 418,276 ordinary shares at a price of 495.59p per share.</t>
  </si>
  <si>
    <t>The company returned £1,475,534 to shareholders by way of a buyback of 298,691 ordinary shares at a price of 494.p per share.</t>
  </si>
  <si>
    <t>The company returned £1,266,031 to shareholders by way of a buyback of 253,267 ordinary shares at a price of 499.88p per share.</t>
  </si>
  <si>
    <t>The company returned £1,722,318 to shareholders by way of a buyback of 340,507 ordinary shares at a price of 505.81p per share.</t>
  </si>
  <si>
    <t>The company returned £2,477,500 to shareholders by way of a buyback of 500,000 ordinary shares at a price of 495.5p per share.</t>
  </si>
  <si>
    <t>The company returned £435,830 to shareholders by way of a buyback of 89,218 ordinary shares at a price of 488.5p per share.</t>
  </si>
  <si>
    <t>The company returned £315,250 to shareholders by way of a buyback of 250,000 ordinary shares at a price of 126.1p per share.</t>
  </si>
  <si>
    <t>The company returned £190,500 to shareholders by way of a buyback of 150,000 ordinary shares at a price of 127.p per share.</t>
  </si>
  <si>
    <t>The company returned £315,000 to shareholders by way of a buyback of 250,000 ordinary shares at a price of 126.p per share.</t>
  </si>
  <si>
    <t>The company returned £498,477 to shareholders by way of a buyback of 735,000 ordinary shares at a price of 67.82p per share.</t>
  </si>
  <si>
    <t>The company returned £500,388 to shareholders by way of a buyback of 740,000 ordinary shares at a price of 67.62p per share.</t>
  </si>
  <si>
    <t>The company returned £498,973 to shareholders by way of a buyback of 734,000 ordinary shares at a price of 67.98p per share.</t>
  </si>
  <si>
    <t>The company returned £499,308 to shareholders by way of a buyback of 725,000 ordinary shares at a price of 68.87p per share.</t>
  </si>
  <si>
    <t>The company returned £499,653 to shareholders by way of a buyback of 735,000 ordinary shares at a price of 67.98p per share.</t>
  </si>
  <si>
    <t>The company returned £499,874 to shareholders by way of a buyback of 735,000 ordinary shares at a price of 68.01p per share.</t>
  </si>
  <si>
    <t>The company returned £497,669 to shareholders by way of a buyback of 735,000 ordinary shares at a price of 67.71p per share.</t>
  </si>
  <si>
    <t>The company returned £499,670 to shareholders by way of a buyback of 744,000 ordinary shares at a price of 67.16p per share.</t>
  </si>
  <si>
    <t>The company returned £498,392 to shareholders by way of a buyback of 748,000 ordinary shares at a price of 66.63p per share.</t>
  </si>
  <si>
    <t>The company returned £498,829 to shareholders by way of a buyback of 755,000 ordinary shares at a price of 66.07p per share.</t>
  </si>
  <si>
    <t>The company returned £499,921 to shareholders by way of a buyback of 738,000 ordinary shares at a price of 67.74p per share.</t>
  </si>
  <si>
    <t>The company returned £499,450 to shareholders by way of a buyback of 736,000 ordinary shares at a price of 67.86p per share.</t>
  </si>
  <si>
    <t>The company returned £499,393 to shareholders by way of a buyback of 730,000 ordinary shares at a price of 68.41p per share.</t>
  </si>
  <si>
    <t>The company returned £499,882 to shareholders by way of a buyback of 723,000 ordinary shares at a price of 69.14p per share.</t>
  </si>
  <si>
    <t>The company returned £499,523 to shareholders by way of a buyback of 745,000 ordinary shares at a price of 67.05p per share.</t>
  </si>
  <si>
    <t>The company returned £499,809 to shareholders by way of a buyback of 764,000 ordinary shares at a price of 65.42p per share.</t>
  </si>
  <si>
    <t>The company returned £499,851 to shareholders by way of a buyback of 765,000 ordinary shares at a price of 65.34p per share.</t>
  </si>
  <si>
    <t>The company returned £497,268 to shareholders by way of a buyback of 760,000 ordinary shares at a price of 65.43p per share.</t>
  </si>
  <si>
    <t>The company returned £499,385 to shareholders by way of a buyback of 774,000 ordinary shares at a price of 64.52p per share.</t>
  </si>
  <si>
    <t>The company returned £499,151 to shareholders by way of a buyback of 782,000 ordinary shares at a price of 63.83p per share.</t>
  </si>
  <si>
    <t>The company returned £497,894 to shareholders by way of a buyback of 768,000 ordinary shares at a price of 64.83p per share.</t>
  </si>
  <si>
    <t>The company returned £654,600 to shareholders by way of a buyback of 30,000 ordinary shares at a price of 2,182.p per share.</t>
  </si>
  <si>
    <t>The company returned £1,722,400 to shareholders by way of a buyback of 80,000 ordinary shares at a price of 2,153.p per share.</t>
  </si>
  <si>
    <t>The company returned £974,700 to shareholders by way of a buyback of 45,000 ordinary shares at a price of 2,166.p per share.</t>
  </si>
  <si>
    <t>The company returned £550,500 to shareholders by way of a buyback of 25,000 ordinary shares at a price of 2,202.p per share.</t>
  </si>
  <si>
    <t>The company returned £543,500 to shareholders by way of a buyback of 25,000 ordinary shares at a price of 2,174.p per share.</t>
  </si>
  <si>
    <t>The company returned £450,240 to shareholders by way of a buyback of 21,000 ordinary shares at a price of 2,144.p per share.</t>
  </si>
  <si>
    <t>The company returned £1,087,500 to shareholders by way of a buyback of 50,000 ordinary shares at a price of 2,175.p per share.</t>
  </si>
  <si>
    <t>The company returned £261,600 to shareholders by way of a buyback of 12,000 ordinary shares at a price of 2,180.p per share.</t>
  </si>
  <si>
    <t>The company returned £411,540 to shareholders by way of a buyback of 19,000 ordinary shares at a price of 2,166.p per share.</t>
  </si>
  <si>
    <t>The company returned £1,079,000 to shareholders by way of a buyback of 50,000 ordinary shares at a price of 2,158.p per share.</t>
  </si>
  <si>
    <t>The company returned £865,600 to shareholders by way of a buyback of 40,000 ordinary shares at a price of 2,164.p per share.</t>
  </si>
  <si>
    <t>The company returned £428,600 to shareholders by way of a buyback of 20,000 ordinary shares at a price of 2,143.p per share.</t>
  </si>
  <si>
    <t>The company returned £427,600 to shareholders by way of a buyback of 20,000 ordinary shares at a price of 2,138.p per share.</t>
  </si>
  <si>
    <t>The company returned £211,500 to shareholders by way of a buyback of 10,000 ordinary shares at a price of 2,115.p per share.</t>
  </si>
  <si>
    <t>The company returned £210,000 to shareholders by way of a buyback of 10,000 ordinary shares at a price of 2,100.p per share.</t>
  </si>
  <si>
    <t>The company returned £826,400 to shareholders by way of a buyback of 40,000 ordinary shares at a price of 2,066.p per share.</t>
  </si>
  <si>
    <t>The company returned £1,348,100 to shareholders by way of a buyback of 65,000 ordinary shares at a price of 2,074.p per share.</t>
  </si>
  <si>
    <t>The company returned £107,100 to shareholders by way of a buyback of 45,000 ordinary shares at a price of 238.p per share.</t>
  </si>
  <si>
    <t>The company returned £230,000 to shareholders by way of a buyback of 100,000 ordinary shares at a price of 230.p per share.</t>
  </si>
  <si>
    <t>The company returned £115,000 to shareholders by way of a buyback of 50,000 ordinary shares at a price of 230.p per share.</t>
  </si>
  <si>
    <t>The company returned £91,200 to shareholders by way of a buyback of 40,000 ordinary shares at a price of 228.p per share.</t>
  </si>
  <si>
    <t>The company returned £90,400 to shareholders by way of a buyback of 40,000 ordinary shares at a price of 226.p per share.</t>
  </si>
  <si>
    <t>The company returned £112,500 to shareholders by way of a buyback of 50,000 ordinary shares at a price of 225.p per share.</t>
  </si>
  <si>
    <t>The company returned £215,000 to shareholders by way of a buyback of 100,000 ordinary shares at a price of 215.p per share.</t>
  </si>
  <si>
    <t>The company returned £267,500 to shareholders by way of a buyback of 125,000 ordinary shares at a price of 214.p per share.</t>
  </si>
  <si>
    <t>The company returned £153,830 to shareholders by way of a buyback of 100,000 ordinary shares at a price of 153.83p per share.</t>
  </si>
  <si>
    <t>The company returned £154,494 to shareholders by way of a buyback of 100,000 ordinary shares at a price of 154.49p per share.</t>
  </si>
  <si>
    <t>The company returned £154,325 to shareholders by way of a buyback of 100,000 ordinary shares at a price of 154.32p per share.</t>
  </si>
  <si>
    <t>The company returned £75,159 to shareholders by way of a buyback of 50,000 ordinary shares at a price of 150.32p per share.</t>
  </si>
  <si>
    <t>The company returned £146,599 to shareholders by way of a buyback of 100,000 ordinary shares at a price of 146.6p per share.</t>
  </si>
  <si>
    <t>The company returned £147,659 to shareholders by way of a buyback of 100,000 ordinary shares at a price of 147.66p per share.</t>
  </si>
  <si>
    <t>The company returned £145,630 to shareholders by way of a buyback of 100,000 ordinary shares at a price of 145.63p per share.</t>
  </si>
  <si>
    <t>The company returned £141,484 to shareholders by way of a buyback of 100,000 ordinary shares at a price of 141.48p per share.</t>
  </si>
  <si>
    <t>The company returned £146,800 to shareholders by way of a buyback of 100,000 ordinary shares at a price of 146.8p per share.</t>
  </si>
  <si>
    <t>The company returned £145,969 to shareholders by way of a buyback of 100,000 ordinary shares at a price of 145.97p per share.</t>
  </si>
  <si>
    <t>The company returned £143,955 to shareholders by way of a buyback of 100,000 ordinary shares at a price of 143.96p per share.</t>
  </si>
  <si>
    <t>The company returned £883,187 to shareholders by way of a buyback of 122,000 ordinary shares at a price of 723.92p per share.</t>
  </si>
  <si>
    <t>The company returned £282,750 to shareholders by way of a buyback of 40,000 ordinary shares at a price of 706.88p per share.</t>
  </si>
  <si>
    <t>The company returned £1,754,533 to shareholders by way of a buyback of 250,000 ordinary shares at a price of 701.81p per share.</t>
  </si>
  <si>
    <t>The company returned £240,077 to shareholders by way of a buyback of 34,300 ordinary shares at a price of 699.93p per share.</t>
  </si>
  <si>
    <t>The company returned £1,020,488 to shareholders by way of a buyback of 144,000 ordinary shares at a price of 708.67p per share.</t>
  </si>
  <si>
    <t>The company returned £509,900 to shareholders by way of a buyback of 73,600 ordinary shares at a price of 692.8p per share.</t>
  </si>
  <si>
    <t>The company returned £904,379 to shareholders by way of a buyback of 132,400 ordinary shares at a price of 683.07p per share.</t>
  </si>
  <si>
    <t>The company returned £674,407 to shareholders by way of a buyback of 100,000 ordinary shares at a price of 674.41p per share.</t>
  </si>
  <si>
    <t>The company returned £683,140 to shareholders by way of a buyback of 100,000 ordinary shares at a price of 683.14p per share.</t>
  </si>
  <si>
    <t>The company returned £1,008,447 to shareholders by way of a buyback of 150,000 ordinary shares at a price of 672.3p per share.</t>
  </si>
  <si>
    <t>The company returned £1,002,351 to shareholders by way of a buyback of 150,000 ordinary shares at a price of 668.23p per share.</t>
  </si>
  <si>
    <t>The company returned £484,781 to shareholders by way of a buyback of 73,500 ordinary shares at a price of 659.57p per share.</t>
  </si>
  <si>
    <t>The company returned £216,810 to shareholders by way of a buyback of 33,000 ordinary shares at a price of 657.p per share.</t>
  </si>
  <si>
    <t>The company returned £6,984 to shareholders by way of a buyback of 11,085 ordinary shares at a price of 63.p per share.</t>
  </si>
  <si>
    <t>The company returned £10,689 to shareholders by way of a buyback of 16,967 ordinary shares at a price of 63.p per share.</t>
  </si>
  <si>
    <t>The company returned £12,400 to shareholders by way of a buyback of 20,000 ordinary shares at a price of 62.p per share.</t>
  </si>
  <si>
    <t>The company returned £54,750 to shareholders by way of a buyback of 15,000 ordinary shares at a price of 365.p per share.</t>
  </si>
  <si>
    <t>The company returned £355,750 to shareholders by way of a buyback of 100,000 ordinary shares at a price of 355.75p per share.</t>
  </si>
  <si>
    <t>The company returned £70,550 to shareholders by way of a buyback of 20,000 ordinary shares at a price of 352.75p per share.</t>
  </si>
  <si>
    <t>The company returned £86,750 to shareholders by way of a buyback of 25,000 ordinary shares at a price of 347.p per share.</t>
  </si>
  <si>
    <t>The company returned £51,900 to shareholders by way of a buyback of 15,000 ordinary shares at a price of 346.p per share.</t>
  </si>
  <si>
    <t>The company returned £34,800 to shareholders by way of a buyback of 10,000 ordinary shares at a price of 348.p per share.</t>
  </si>
  <si>
    <t>The company returned £69,200 to shareholders by way of a buyback of 20,000 ordinary shares at a price of 346.p per share.</t>
  </si>
  <si>
    <t>The company returned £69,400 to shareholders by way of a buyback of 20,000 ordinary shares at a price of 347.p per share.</t>
  </si>
  <si>
    <t>The company returned £68,600 to shareholders by way of a buyback of 20,000 ordinary shares at a price of 343.p per share.</t>
  </si>
  <si>
    <t>The company returned £100,800 to shareholders by way of a buyback of 30,000 ordinary shares at a price of 336.p per share.</t>
  </si>
  <si>
    <t>The company returned £99,300 to shareholders by way of a buyback of 30,000 ordinary shares at a price of 331.p per share.</t>
  </si>
  <si>
    <t>The company returned £33,100 to shareholders by way of a buyback of 10,000 ordinary shares at a price of 331.p per share.</t>
  </si>
  <si>
    <t>The company returned £98,700 to shareholders by way of a buyback of 30,000 ordinary shares at a price of 329.p per share.</t>
  </si>
  <si>
    <t>The company returned £50,100 to shareholders by way of a buyback of 15,000 ordinary shares at a price of 334.p per share.</t>
  </si>
  <si>
    <t>The company returned £33,300 to shareholders by way of a buyback of 10,000 ordinary shares at a price of 333.p per share.</t>
  </si>
  <si>
    <t>The company returned £66,750 to shareholders by way of a buyback of 20,000 ordinary shares at a price of 333.75p per share.</t>
  </si>
  <si>
    <t>The company returned £50,700 to shareholders by way of a buyback of 15,000 ordinary shares at a price of 338.p per share.</t>
  </si>
  <si>
    <t>The company returned £137,960 to shareholders by way of a buyback of 42,000 ordinary shares at a price of 328.48p per share.</t>
  </si>
  <si>
    <t>The company returned £150,592 to shareholders by way of a buyback of 47,100 ordinary shares at a price of 319.73p per share.</t>
  </si>
  <si>
    <t>The company returned £129,199 to shareholders by way of a buyback of 40,697 ordinary shares at a price of 317.47p per share.</t>
  </si>
  <si>
    <t>The company returned £127,816 to shareholders by way of a buyback of 40,467 ordinary shares at a price of 315.85p per share.</t>
  </si>
  <si>
    <t>The company returned £579,857 to shareholders by way of a buyback of 150,000 ordinary shares at a price of 386.57p per share.</t>
  </si>
  <si>
    <t>The company returned £418,843 to shareholders by way of a buyback of 112,000 ordinary shares at a price of 373.97p per share.</t>
  </si>
  <si>
    <t>The company returned £279,346 to shareholders by way of a buyback of 75,000 ordinary shares at a price of 372.46p per share.</t>
  </si>
  <si>
    <t>The company returned £379,181 to shareholders by way of a buyback of 100,000 ordinary shares at a price of 379.18p per share.</t>
  </si>
  <si>
    <t>The company returned £371,991 to shareholders by way of a buyback of 100,000 ordinary shares at a price of 371.99p per share.</t>
  </si>
  <si>
    <t>The company returned £550,653 to shareholders by way of a buyback of 150,000 ordinary shares at a price of 367.1p per share.</t>
  </si>
  <si>
    <t>The company returned £82,343 to shareholders by way of a buyback of 23,205 ordinary shares at a price of 354.85p per share.</t>
  </si>
  <si>
    <t>The company returned £90,450 to shareholders by way of a buyback of 25,000 ordinary shares at a price of 361.8p per share.</t>
  </si>
  <si>
    <t>The company returned £120,203 to shareholders by way of a buyback of 33,000 ordinary shares at a price of 364.25p per share.</t>
  </si>
  <si>
    <t>The company returned £361,785 to shareholders by way of a buyback of 100,000 ordinary shares at a price of 361.79p per share.</t>
  </si>
  <si>
    <t>The company returned £475,446 to shareholders by way of a buyback of 132,500 ordinary shares at a price of 358.83p per share.</t>
  </si>
  <si>
    <t>The company returned £355,365 to shareholders by way of a buyback of 100,000 ordinary shares at a price of 355.37p per share.</t>
  </si>
  <si>
    <t>The company returned £105,775 to shareholders by way of a buyback of 15,000 ordinary shares at a price of 705.17p per share.</t>
  </si>
  <si>
    <t>The company returned £68,170 to shareholders by way of a buyback of 10,000 ordinary shares at a price of 681.7p per share.</t>
  </si>
  <si>
    <t>The company returned £66,500 to shareholders by way of a buyback of 10,000 ordinary shares at a price of 665.p per share.</t>
  </si>
  <si>
    <t>The company returned £67,300 to shareholders by way of a buyback of 10,000 ordinary shares at a price of 673.p per share.</t>
  </si>
  <si>
    <t>The company returned £263,230 to shareholders by way of a buyback of 50,000 ordinary shares at a price of 526.46p per share.</t>
  </si>
  <si>
    <t>The company returned £515,180 to shareholders by way of a buyback of 100,000 ordinary shares at a price of 515.18p per share.</t>
  </si>
  <si>
    <t>The company returned £208,152 to shareholders by way of a buyback of 40,000 ordinary shares at a price of 520.38p per share.</t>
  </si>
  <si>
    <t>The company returned £389,243 to shareholders by way of a buyback of 75,000 ordinary shares at a price of 518.99p per share.</t>
  </si>
  <si>
    <t>The company returned £384,428 to shareholders by way of a buyback of 75,000 ordinary shares at a price of 512.57p per share.</t>
  </si>
  <si>
    <t>The company returned £381,278 to shareholders by way of a buyback of 75,000 ordinary shares at a price of 508.37p per share.</t>
  </si>
  <si>
    <t>The company returned £385,163 to shareholders by way of a buyback of 75,000 ordinary shares at a price of 513.55p per share.</t>
  </si>
  <si>
    <t>The company returned £384,203 to shareholders by way of a buyback of 75,000 ordinary shares at a price of 512.27p per share.</t>
  </si>
  <si>
    <t>The company returned £508,220 to shareholders by way of a buyback of 100,000 ordinary shares at a price of 508.22p per share.</t>
  </si>
  <si>
    <t>The company returned £381,233 to shareholders by way of a buyback of 75,000 ordinary shares at a price of 508.31p per share.</t>
  </si>
  <si>
    <t>The company returned £761,730 to shareholders by way of a buyback of 150,000 ordinary shares at a price of 507.82p per share.</t>
  </si>
  <si>
    <t>The company returned £890,138 to shareholders by way of a buyback of 175,000 ordinary shares at a price of 508.65p per share.</t>
  </si>
  <si>
    <t>The company returned £756,315 to shareholders by way of a buyback of 150,000 ordinary shares at a price of 504.21p per share.</t>
  </si>
  <si>
    <t>The company returned £743,910 to shareholders by way of a buyback of 150,000 ordinary shares at a price of 495.94p per share.</t>
  </si>
  <si>
    <t>The company returned £738,075 to shareholders by way of a buyback of 150,000 ordinary shares at a price of 492.05p per share.</t>
  </si>
  <si>
    <t>The company returned £986,380 to shareholders by way of a buyback of 200,000 ordinary shares at a price of 493.19p per share.</t>
  </si>
  <si>
    <t>The company returned £983,100 to shareholders by way of a buyback of 200,000 ordinary shares at a price of 491.55p per share.</t>
  </si>
  <si>
    <t>The company returned £988,920 to shareholders by way of a buyback of 200,000 ordinary shares at a price of 494.46p per share.</t>
  </si>
  <si>
    <t>The company returned £979,560 to shareholders by way of a buyback of 200,000 ordinary shares at a price of 489.78p per share.</t>
  </si>
  <si>
    <t>The company returned £973,100 to shareholders by way of a buyback of 200,000 ordinary shares at a price of 486.55p per share.</t>
  </si>
  <si>
    <t>The company returned £976,540 to shareholders by way of a buyback of 200,000 ordinary shares at a price of 488.27p per share.</t>
  </si>
  <si>
    <t>The company returned £982,700 to shareholders by way of a buyback of 200,000 ordinary shares at a price of 491.35p per share.</t>
  </si>
  <si>
    <t>The company returned £3,047,700 to shareholders by way of a buyback of 250,000 ordinary shares at a price of 1,219.08p per share.</t>
  </si>
  <si>
    <t>The company returned £3,650,404 to shareholders by way of a buyback of 313,614 ordinary shares at a price of 1,163.98p per share.</t>
  </si>
  <si>
    <t>The company returned £5,572,128 to shareholders by way of a buyback of 487,334 ordinary shares at a price of 1,143.39p per share.</t>
  </si>
  <si>
    <t>The company returned £1,212,973 to shareholders by way of a buyback of 104,000 ordinary shares at a price of 1,166.32p per share.</t>
  </si>
  <si>
    <t>The company returned £3,034,775 to shareholders by way of a buyback of 250,000 ordinary shares at a price of 1,213.91p per share.</t>
  </si>
  <si>
    <t>The company returned £5,205,426 to shareholders by way of a buyback of 430,567 ordinary shares at a price of 1,208.97p per share.</t>
  </si>
  <si>
    <t>The company returned £3,279,874 to shareholders by way of a buyback of 280,451 ordinary shares at a price of 1,169.5p per share.</t>
  </si>
  <si>
    <t>The company returned £2,782,635 to shareholders by way of a buyback of 238,695 ordinary shares at a price of 1,165.77p per share.</t>
  </si>
  <si>
    <t>The company returned £27,200 to shareholders by way of a buyback of 10,000 ordinary shares at a price of 272.p per share.</t>
  </si>
  <si>
    <t>The company returned £81,600 to shareholders by way of a buyback of 30,000 ordinary shares at a price of 272.p per share.</t>
  </si>
  <si>
    <t>The company returned £26,000 to shareholders by way of a buyback of 10,000 ordinary shares at a price of 260.p per share.</t>
  </si>
  <si>
    <t>The company returned £65,000 to shareholders by way of a buyback of 25,000 ordinary shares at a price of 260.p per share.</t>
  </si>
  <si>
    <t>The company returned £91,000 to shareholders by way of a buyback of 35,000 ordinary shares at a price of 260.p per share.</t>
  </si>
  <si>
    <t>The company returned £38,647 to shareholders by way of a buyback of 15,000 ordinary shares at a price of 257.65p per share.</t>
  </si>
  <si>
    <t>The company returned £63,250 to shareholders by way of a buyback of 25,000 ordinary shares at a price of 253.p per share.</t>
  </si>
  <si>
    <t>The company returned £62,750 to shareholders by way of a buyback of 25,000 ordinary shares at a price of 251.p per share.</t>
  </si>
  <si>
    <t>The company returned £74,100 to shareholders by way of a buyback of 30,000 ordinary shares at a price of 247.p per share.</t>
  </si>
  <si>
    <t>The company returned £125,000 to shareholders by way of a buyback of 50,000 ordinary shares at a price of 250.p per share.</t>
  </si>
  <si>
    <t>The company returned £304,275 to shareholders by way of a buyback of 375,000 ordinary shares at a price of 81.14p per share.</t>
  </si>
  <si>
    <t>The company returned £113,498 to shareholders by way of a buyback of 140,000 ordinary shares at a price of 81.07p per share.</t>
  </si>
  <si>
    <t>The company returned £49,531 to shareholders by way of a buyback of 60,089 ordinary shares at a price of 82.43p per share.</t>
  </si>
  <si>
    <t>The company returned £156,661 to shareholders by way of a buyback of 190,331 ordinary shares at a price of 82.31p per share.</t>
  </si>
  <si>
    <t>The company returned £321,840 to shareholders by way of a buyback of 396,257 ordinary shares at a price of 81.22p per share.</t>
  </si>
  <si>
    <t>The company returned £315,792 to shareholders by way of a buyback of 386,763 ordinary shares at a price of 81.65p per share.</t>
  </si>
  <si>
    <t>The company returned £217,168 to shareholders by way of a buyback of 265,000 ordinary shares at a price of 81.95p per share.</t>
  </si>
  <si>
    <t>The company returned £334,632 to shareholders by way of a buyback of 410,944 ordinary shares at a price of 81.43p per share.</t>
  </si>
  <si>
    <t>The company returned £269,837 to shareholders by way of a buyback of 334,785 ordinary shares at a price of 80.6p per share.</t>
  </si>
  <si>
    <t>The company returned £459,710 to shareholders by way of a buyback of 575,069 ordinary shares at a price of 79.94p per share.</t>
  </si>
  <si>
    <t>The company returned £244,637 to shareholders by way of a buyback of 301,686 ordinary shares at a price of 81.09p per share.</t>
  </si>
  <si>
    <t>The company returned £321,942 to shareholders by way of a buyback of 399,036 ordinary shares at a price of 80.68p per share.</t>
  </si>
  <si>
    <t>The company returned £386,738 to shareholders by way of a buyback of 483,785 ordinary shares at a price of 79.94p per share.</t>
  </si>
  <si>
    <t>The company returned £311,728 to shareholders by way of a buyback of 389,077 ordinary shares at a price of 80.12p per share.</t>
  </si>
  <si>
    <t>The company returned £395,850 to shareholders by way of a buyback of 500,000 ordinary shares at a price of 79.17p per share.</t>
  </si>
  <si>
    <t>The company returned £394,400 to shareholders by way of a buyback of 500,000 ordinary shares at a price of 78.88p per share.</t>
  </si>
  <si>
    <t>The company returned £350,900 to shareholders by way of a buyback of 440,000 ordinary shares at a price of 79.75p per share.</t>
  </si>
  <si>
    <t>The company returned £395,700 to shareholders by way of a buyback of 500,000 ordinary shares at a price of 79.14p per share.</t>
  </si>
  <si>
    <t>The company returned £308,810 to shareholders by way of a buyback of 393,388 ordinary shares at a price of 78.5p per share.</t>
  </si>
  <si>
    <t>The company returned £331,014 to shareholders by way of a buyback of 430,000 ordinary shares at a price of 76.98p per share.</t>
  </si>
  <si>
    <t>The company returned £212,459 to shareholders by way of a buyback of 276,964 ordinary shares at a price of 76.71p per share.</t>
  </si>
  <si>
    <t>The company returned £91,750 to shareholders by way of a buyback of 25,000 ordinary shares at a price of 367.p per share.</t>
  </si>
  <si>
    <t>The company returned £115,347 to shareholders by way of a buyback of 31,500 ordinary shares at a price of 366.18p per share.</t>
  </si>
  <si>
    <t>The company returned £88,688 to shareholders by way of a buyback of 25,000 ordinary shares at a price of 354.75p per share.</t>
  </si>
  <si>
    <t>The company returned £91,050 to shareholders by way of a buyback of 25,000 ordinary shares at a price of 364.2p per share.</t>
  </si>
  <si>
    <t>The company returned £108,600 to shareholders by way of a buyback of 30,000 ordinary shares at a price of 362.p per share.</t>
  </si>
  <si>
    <t>The company returned £178,000 to shareholders by way of a buyback of 50,000 ordinary shares at a price of 356.p per share.</t>
  </si>
  <si>
    <t>The company returned £261,250 to shareholders by way of a buyback of 110,000 ordinary shares at a price of 237.5p per share.</t>
  </si>
  <si>
    <t>The company returned £233,000 to shareholders by way of a buyback of 100,000 ordinary shares at a price of 233.p per share.</t>
  </si>
  <si>
    <t>The company returned £206,650 to shareholders by way of a buyback of 90,000 ordinary shares at a price of 229.61p per share.</t>
  </si>
  <si>
    <t>The company returned £114,500 to shareholders by way of a buyback of 50,000 ordinary shares at a price of 229.p per share.</t>
  </si>
  <si>
    <t>The company returned £254,100 to shareholders by way of a buyback of 110,000 ordinary shares at a price of 231.p per share.</t>
  </si>
  <si>
    <t>The company returned £253,600 to shareholders by way of a buyback of 110,000 ordinary shares at a price of 230.55p per share.</t>
  </si>
  <si>
    <t>The company returned £201,600 to shareholders by way of a buyback of 90,000 ordinary shares at a price of 224.p per share.</t>
  </si>
  <si>
    <t>The company returned £222,750 to shareholders by way of a buyback of 100,000 ordinary shares at a price of 222.75p per share.</t>
  </si>
  <si>
    <t>The company returned £286,650 to shareholders by way of a buyback of 130,000 ordinary shares at a price of 220.5p per share.</t>
  </si>
  <si>
    <t>The company returned £183,430 to shareholders by way of a buyback of 83,000 ordinary shares at a price of 221.p per share.</t>
  </si>
  <si>
    <t>The company returned £109,750 to shareholders by way of a buyback of 50,000 ordinary shares at a price of 219.5p per share.</t>
  </si>
  <si>
    <t>The company returned £110,250 to shareholders by way of a buyback of 50,000 ordinary shares at a price of 220.5p per share.</t>
  </si>
  <si>
    <t>The company returned £3,203,308 to shareholders by way of a buyback of 1,205,520 ordinary shares at a price of 265.72p per share.</t>
  </si>
  <si>
    <t>The company returned £1,646,154 to shareholders by way of a buyback of 632,455 ordinary shares at a price of 260.28p per share.</t>
  </si>
  <si>
    <t>The company returned £633,600 to shareholders by way of a buyback of 240,000 ordinary shares at a price of 264.p per share.</t>
  </si>
  <si>
    <t>The company returned £1,717,459 to shareholders by way of a buyback of 659,597 ordinary shares at a price of 260.38p per share.</t>
  </si>
  <si>
    <t>The company returned £1,222,076 to shareholders by way of a buyback of 461,335 ordinary shares at a price of 264.9p per share.</t>
  </si>
  <si>
    <t>The company returned £215,998 to shareholders by way of a buyback of 83,542 ordinary shares at a price of 258.55p per share.</t>
  </si>
  <si>
    <t>The company returned £87,339 to shareholders by way of a buyback of 34,318 ordinary shares at a price of 254.5p per share.</t>
  </si>
  <si>
    <t>The company returned £313,750 to shareholders by way of a buyback of 125,000 ordinary shares at a price of 251.p per share.</t>
  </si>
  <si>
    <t>The company returned £1,298,063 to shareholders by way of a buyback of 506,186 ordinary shares at a price of 256.44p per share.</t>
  </si>
  <si>
    <t>The company returned £2,181,395 to shareholders by way of a buyback of 872,000 ordinary shares at a price of 250.16p per share.</t>
  </si>
  <si>
    <t>The company returned £747,000 to shareholders by way of a buyback of 300,000 ordinary shares at a price of 249.p per share.</t>
  </si>
  <si>
    <t>The company returned £1,187,434 to shareholders by way of a buyback of 481,581 ordinary shares at a price of 246.57p per share.</t>
  </si>
  <si>
    <t>The company returned £75,075 to shareholders by way of a buyback of 35,000 ordinary shares at a price of 214.5p per share.</t>
  </si>
  <si>
    <t>The company returned £694,818 to shareholders by way of a buyback of 325,000 ordinary shares at a price of 213.79p per share.</t>
  </si>
  <si>
    <t>The company returned £674,052 to shareholders by way of a buyback of 321,199 ordinary shares at a price of 209.86p per share.</t>
  </si>
  <si>
    <t>The company returned £702,589 to shareholders by way of a buyback of 335,000 ordinary shares at a price of 209.73p per share.</t>
  </si>
  <si>
    <t>The company returned £505,825 to shareholders by way of a buyback of 250,000 ordinary shares at a price of 202.33p per share.</t>
  </si>
  <si>
    <t>The company returned £958,841 to shareholders by way of a buyback of 476,431 ordinary shares at a price of 201.26p per share.</t>
  </si>
  <si>
    <t>The company returned £495,153 to shareholders by way of a buyback of 250,000 ordinary shares at a price of 198.06p per share.</t>
  </si>
  <si>
    <t>The company returned £987,695 to shareholders by way of a buyback of 500,000 ordinary shares at a price of 197.54p per share.</t>
  </si>
  <si>
    <t>The company returned £311,025 to shareholders by way of a buyback of 155,000 ordinary shares at a price of 200.66p per share.</t>
  </si>
  <si>
    <t>The company returned £239,750 to shareholders by way of a buyback of 125,000 ordinary shares at a price of 191.8p per share.</t>
  </si>
  <si>
    <t>The company returned £374,000 to shareholders by way of a buyback of 200,000 ordinary shares at a price of 187.p per share.</t>
  </si>
  <si>
    <t>The company returned £326,900 to shareholders by way of a buyback of 175,000 ordinary shares at a price of 186.8p per share.</t>
  </si>
  <si>
    <t>The company returned £320,565 to shareholders by way of a buyback of 175,000 ordinary shares at a price of 183.18p per share.</t>
  </si>
  <si>
    <t>The company returned £162,333 to shareholders by way of a buyback of 90,000 ordinary shares at a price of 180.37p per share.</t>
  </si>
  <si>
    <t>The company returned £183,400 to shareholders by way of a buyback of 100,000 ordinary shares at a price of 183.4p per share.</t>
  </si>
  <si>
    <t>The company returned £314,650 to shareholders by way of a buyback of 175,000 ordinary shares at a price of 179.8p per share.</t>
  </si>
  <si>
    <t>The company returned £201,499 to shareholders by way of a buyback of 112,000 ordinary shares at a price of 179.91p per share.</t>
  </si>
  <si>
    <t>The company returned £269,100 to shareholders by way of a buyback of 150,000 ordinary shares at a price of 179.4p per share.</t>
  </si>
  <si>
    <t>The company returned £630,000 to shareholders by way of a buyback of 350,000 ordinary shares at a price of 180.p per share.</t>
  </si>
  <si>
    <t>The company returned £351,600 to shareholders by way of a buyback of 200,000 ordinary shares at a price of 175.8p per share.</t>
  </si>
  <si>
    <t>The company returned £306,250 to shareholders by way of a buyback of 175,000 ordinary shares at a price of 175.p per share.</t>
  </si>
  <si>
    <t>The company returned £307,493 to shareholders by way of a buyback of 175,000 ordinary shares at a price of 175.71p per share.</t>
  </si>
  <si>
    <t>The company returned £306,600 to shareholders by way of a buyback of 175,000 ordinary shares at a price of 175.2p per share.</t>
  </si>
  <si>
    <t>The company returned £176,500 to shareholders by way of a buyback of 100,000 ordinary shares at a price of 176.5p per share.</t>
  </si>
  <si>
    <t>The company returned £303,450 to shareholders by way of a buyback of 175,000 ordinary shares at a price of 173.4p per share.</t>
  </si>
  <si>
    <t>The company returned £304,150 to shareholders by way of a buyback of 175,000 ordinary shares at a price of 173.8p per share.</t>
  </si>
  <si>
    <t>The company returned £611,352 to shareholders by way of a buyback of 350,000 ordinary shares at a price of 174.67p per share.</t>
  </si>
  <si>
    <t>The company returned £499,800 to shareholders by way of a buyback of 170,000 ordinary shares at a price of 294.p per share.</t>
  </si>
  <si>
    <t>The company returned £140,875 to shareholders by way of a buyback of 50,000 ordinary shares at a price of 281.75p per share.</t>
  </si>
  <si>
    <t>The company returned £139,240 to shareholders by way of a buyback of 50,000 ordinary shares at a price of 278.48p per share.</t>
  </si>
  <si>
    <t>The company returned £136,660 to shareholders by way of a buyback of 50,000 ordinary shares at a price of 273.32p per share.</t>
  </si>
  <si>
    <t>The company returned £839,490 to shareholders by way of a buyback of 300,000 ordinary shares at a price of 279.83p per share.</t>
  </si>
  <si>
    <t>The company returned £627,795 to shareholders by way of a buyback of 225,000 ordinary shares at a price of 279.02p per share.</t>
  </si>
  <si>
    <t>The company returned £138,175 to shareholders by way of a buyback of 50,000 ordinary shares at a price of 276.35p per share.</t>
  </si>
  <si>
    <t>The company returned £139,320 to shareholders by way of a buyback of 50,000 ordinary shares at a price of 278.64p per share.</t>
  </si>
  <si>
    <t>The company returned £221,504 to shareholders by way of a buyback of 80,000 ordinary shares at a price of 276.88p per share.</t>
  </si>
  <si>
    <t>The company returned £54,500 to shareholders by way of a buyback of 20,000 ordinary shares at a price of 272.5p per share.</t>
  </si>
  <si>
    <t>The company returned £97,200 to shareholders by way of a buyback of 36,000 ordinary shares at a price of 270.p per share.</t>
  </si>
  <si>
    <t>The company returned £73,710 to shareholders by way of a buyback of 27,000 ordinary shares at a price of 273.p per share.</t>
  </si>
  <si>
    <t>The company returned £218,400 to shareholders by way of a buyback of 80,000 ordinary shares at a price of 273.p per share.</t>
  </si>
  <si>
    <t>The company returned £135,500 to shareholders by way of a buyback of 50,000 ordinary shares at a price of 271.p per share.</t>
  </si>
  <si>
    <t>The company returned £124,200 to shareholders by way of a buyback of 46,000 ordinary shares at a price of 270.p per share.</t>
  </si>
  <si>
    <t>The company returned £271,000 to shareholders by way of a buyback of 100,000 ordinary shares at a price of 271.p per share.</t>
  </si>
  <si>
    <t>The company returned £475,000 to shareholders by way of a buyback of 250,000 ordinary shares at a price of 190.p per share.</t>
  </si>
  <si>
    <t>The company returned £334,800 to shareholders by way of a buyback of 180,000 ordinary shares at a price of 186.p per share.</t>
  </si>
  <si>
    <t>The company returned £201,763 to shareholders by way of a buyback of 25,000 ordinary shares at a price of 807.05p per share.</t>
  </si>
  <si>
    <t>The company returned £461,399 to shareholders by way of a buyback of 58,107 ordinary shares at a price of 794.05p per share.</t>
  </si>
  <si>
    <t>The company returned £361,019 to shareholders by way of a buyback of 45,215 ordinary shares at a price of 798.45p per share.</t>
  </si>
  <si>
    <t>The company returned £930,081 to shareholders by way of a buyback of 117,177 ordinary shares at a price of 793.74p per share.</t>
  </si>
  <si>
    <t>The company returned £428,804 to shareholders by way of a buyback of 55,600 ordinary shares at a price of 771.23p per share.</t>
  </si>
  <si>
    <t>The company returned £43,060 to shareholders by way of a buyback of 6,000 ordinary shares at a price of 717.67p per share.</t>
  </si>
  <si>
    <t>The company returned £558,665 to shareholders by way of a buyback of 74,334 ordinary shares at a price of 751.56p per share.</t>
  </si>
  <si>
    <t>The company returned £602,233 to shareholders by way of a buyback of 81,063 ordinary shares at a price of 742.92p per share.</t>
  </si>
  <si>
    <t>The company returned £881,223 to shareholders by way of a buyback of 119,415 ordinary shares at a price of 737.95p per share.</t>
  </si>
  <si>
    <t>The company returned £996,146 to shareholders by way of a buyback of 135,155 ordinary shares at a price of 737.04p per share.</t>
  </si>
  <si>
    <t>The company returned £411,048 to shareholders by way of a buyback of 55,568 ordinary shares at a price of 739.72p per share.</t>
  </si>
  <si>
    <t>The company returned £739,730 to shareholders by way of a buyback of 100,000 ordinary shares at a price of 739.73p per share.</t>
  </si>
  <si>
    <t>The company returned £1,221,050 to shareholders by way of a buyback of 167,004 ordinary shares at a price of 731.15p per share.</t>
  </si>
  <si>
    <t>The company returned £2,499,129 to shareholders by way of a buyback of 355,000 ordinary shares at a price of 703.98p per share.</t>
  </si>
  <si>
    <t>The company returned £364,365 to shareholders by way of a buyback of 52,638 ordinary shares at a price of 692.21p per share.</t>
  </si>
  <si>
    <t>The company returned £1,546,622 to shareholders by way of a buyback of 220,000 ordinary shares at a price of 703.01p per share.</t>
  </si>
  <si>
    <t>The company returned £333,976 to shareholders by way of a buyback of 46,135 ordinary shares at a price of 723.91p per share.</t>
  </si>
  <si>
    <t>The company returned £335,439 to shareholders by way of a buyback of 46,755 ordinary shares at a price of 717.44p per share.</t>
  </si>
  <si>
    <t>The company returned £1,444,100 to shareholders by way of a buyback of 200,000 ordinary shares at a price of 722.05p per share.</t>
  </si>
  <si>
    <t>The company returned £784,296 to shareholders by way of a buyback of 108,980 ordinary shares at a price of 719.67p per share.</t>
  </si>
  <si>
    <t>The company returned £1,320,230 to shareholders by way of a buyback of 182,660 ordinary shares at a price of 722.78p per share.</t>
  </si>
  <si>
    <t>The company returned £116,911 to shareholders by way of a buyback of 30,187 ordinary shares at a price of 387.29p per share.</t>
  </si>
  <si>
    <t>The company returned £91,000 to shareholders by way of a buyback of 25,000 ordinary shares at a price of 364.p per share.</t>
  </si>
  <si>
    <t>The company returned £156,020 to shareholders by way of a buyback of 43,345 ordinary shares at a price of 359.95p per share.</t>
  </si>
  <si>
    <t>The company returned £77,544 to shareholders by way of a buyback of 21,540 ordinary shares at a price of 360.p per share.</t>
  </si>
  <si>
    <t>The company returned £125,464 to shareholders by way of a buyback of 26,000 ordinary shares at a price of 482.55p per share.</t>
  </si>
  <si>
    <t>The company returned £259,979 to shareholders by way of a buyback of 55,001 ordinary shares at a price of 472.68p per share.</t>
  </si>
  <si>
    <t>The company returned £321,289 to shareholders by way of a buyback of 67,803 ordinary shares at a price of 473.86p per share.</t>
  </si>
  <si>
    <t>The company returned £259,134 to shareholders by way of a buyback of 54,000 ordinary shares at a price of 479.88p per share.</t>
  </si>
  <si>
    <t>The company returned £704,237 to shareholders by way of a buyback of 150,000 ordinary shares at a price of 469.49p per share.</t>
  </si>
  <si>
    <t>The company returned £44,271 to shareholders by way of a buyback of 10,000 ordinary shares at a price of 442.71p per share.</t>
  </si>
  <si>
    <t>The company returned £554,911 to shareholders by way of a buyback of 120,788 ordinary shares at a price of 459.41p per share.</t>
  </si>
  <si>
    <t>The company returned £684,185 to shareholders by way of a buyback of 150,000 ordinary shares at a price of 456.12p per share.</t>
  </si>
  <si>
    <t>The company returned £298,550 to shareholders by way of a buyback of 65,000 ordinary shares at a price of 459.31p per share.</t>
  </si>
  <si>
    <t>The company returned £152,391 to shareholders by way of a buyback of 32,577 ordinary shares at a price of 467.79p per share.</t>
  </si>
  <si>
    <t>The company returned £465,558 to shareholders by way of a buyback of 100,000 ordinary shares at a price of 465.56p per share.</t>
  </si>
  <si>
    <t>The company returned £673,734 to shareholders by way of a buyback of 150,000 ordinary shares at a price of 449.16p per share.</t>
  </si>
  <si>
    <t>The company returned £441,192 to shareholders by way of a buyback of 100,000 ordinary shares at a price of 441.19p per share.</t>
  </si>
  <si>
    <t>The company returned £292,233 to shareholders by way of a buyback of 67,624 ordinary shares at a price of 432.14p per share.</t>
  </si>
  <si>
    <t>The company returned £187,663 to shareholders by way of a buyback of 42,778 ordinary shares at a price of 438.69p per share.</t>
  </si>
  <si>
    <t>The company returned £541,805 to shareholders by way of a buyback of 120,000 ordinary shares at a price of 451.5p per share.</t>
  </si>
  <si>
    <t>The company returned £503,657 to shareholders by way of a buyback of 111,500 ordinary shares at a price of 451.71p per share.</t>
  </si>
  <si>
    <t>The company returned £449,045 to shareholders by way of a buyback of 100,000 ordinary shares at a price of 449.05p per share.</t>
  </si>
  <si>
    <t>The company returned £6,163,675 to shareholders by way of a buyback of 1,750,000 ordinary shares at a price of 352.21p per share.</t>
  </si>
  <si>
    <t>The company returned £1,723,200 to shareholders by way of a buyback of 500,000 ordinary shares at a price of 344.64p per share.</t>
  </si>
  <si>
    <t>The company returned £3,437,900 to shareholders by way of a buyback of 1,000,000 ordinary shares at a price of 343.79p per share.</t>
  </si>
  <si>
    <t>The company returned £1,698,250 to shareholders by way of a buyback of 500,000 ordinary shares at a price of 339.65p per share.</t>
  </si>
  <si>
    <t>The company returned £1,334,720 to shareholders by way of a buyback of 400,000 ordinary shares at a price of 333.68p per share.</t>
  </si>
  <si>
    <t>The company returned £1,256,698 to shareholders by way of a buyback of 380,000 ordinary shares at a price of 330.71p per share.</t>
  </si>
  <si>
    <t>The company returned £73,500 to shareholders by way of a buyback of 5,000 ordinary shares at a price of 1,470.p per share.</t>
  </si>
  <si>
    <t>The company returned £292,900 to shareholders by way of a buyback of 20,000 ordinary shares at a price of 1,464.5p per share.</t>
  </si>
  <si>
    <t>The company returned £369,530 to shareholders by way of a buyback of 25,000 ordinary shares at a price of 1,478.12p per share.</t>
  </si>
  <si>
    <t>The company returned £682,600 to shareholders by way of a buyback of 45,000 ordinary shares at a price of 1,516.89p per share.</t>
  </si>
  <si>
    <t>The company returned £758,400 to shareholders by way of a buyback of 50,000 ordinary shares at a price of 1,516.8p per share.</t>
  </si>
  <si>
    <t>The company returned £375,500 to shareholders by way of a buyback of 25,000 ordinary shares at a price of 1,502.p per share.</t>
  </si>
  <si>
    <t>The company returned £231,150 to shareholders by way of a buyback of 15,000 ordinary shares at a price of 1,541.p per share.</t>
  </si>
  <si>
    <t>The company returned £388,500 to shareholders by way of a buyback of 25,000 ordinary shares at a price of 1,554.p per share.</t>
  </si>
  <si>
    <t>The company returned £158,620 to shareholders by way of a buyback of 10,000 ordinary shares at a price of 1,586.2p per share.</t>
  </si>
  <si>
    <t>The company returned £391,800 to shareholders by way of a buyback of 25,000 ordinary shares at a price of 1,567.2p per share.</t>
  </si>
  <si>
    <t>The company returned £550,876 to shareholders by way of a buyback of 35,000 ordinary shares at a price of 1,573.93p per share.</t>
  </si>
  <si>
    <t>The company returned £393,200 to shareholders by way of a buyback of 25,000 ordinary shares at a price of 1,572.8p per share.</t>
  </si>
  <si>
    <t>The company returned £544,870 to shareholders by way of a buyback of 35,000 ordinary shares at a price of 1,556.77p per share.</t>
  </si>
  <si>
    <t>The company returned £384,600 to shareholders by way of a buyback of 25,000 ordinary shares at a price of 1,538.4p per share.</t>
  </si>
  <si>
    <t>The company returned £384,845 to shareholders by way of a buyback of 25,000 ordinary shares at a price of 1,539.38p per share.</t>
  </si>
  <si>
    <t>The company returned £382,810 to shareholders by way of a buyback of 25,000 ordinary shares at a price of 1,531.24p per share.</t>
  </si>
  <si>
    <t>The company returned £227,850 to shareholders by way of a buyback of 15,000 ordinary shares at a price of 1,519.p per share.</t>
  </si>
  <si>
    <t>The company returned £382,750 to shareholders by way of a buyback of 25,000 ordinary shares at a price of 1,531.p per share.</t>
  </si>
  <si>
    <t>The company returned £144,720 to shareholders by way of a buyback of 36,000 ordinary shares at a price of 402.p per share.</t>
  </si>
  <si>
    <t>The company returned £298,200 to shareholders by way of a buyback of 70,000 ordinary shares at a price of 426.p per share.</t>
  </si>
  <si>
    <t>The company returned £539,343 to shareholders by way of a buyback of 125,000 ordinary shares at a price of 431.47p per share.</t>
  </si>
  <si>
    <t>The company returned £548,250 to shareholders by way of a buyback of 125,000 ordinary shares at a price of 438.6p per share.</t>
  </si>
  <si>
    <t>The company returned £477,550 to shareholders by way of a buyback of 110,000 ordinary shares at a price of 434.14p per share.</t>
  </si>
  <si>
    <t>The company returned £217,500 to shareholders by way of a buyback of 50,000 ordinary shares at a price of 435.p per share.</t>
  </si>
  <si>
    <t>The company returned £435,000 to shareholders by way of a buyback of 100,000 ordinary shares at a price of 435.p per share.</t>
  </si>
  <si>
    <t>The company returned £866,000 to shareholders by way of a buyback of 200,000 ordinary shares at a price of 433.p per share.</t>
  </si>
  <si>
    <t>The company returned £100,544 to shareholders by way of a buyback of 15,516 ordinary shares at a price of 648.p per share.</t>
  </si>
  <si>
    <t>The company returned £49,144 to shareholders by way of a buyback of 7,561 ordinary shares at a price of 649.96p per share.</t>
  </si>
  <si>
    <t>The company returned £112,292 to shareholders by way of a buyback of 16,923 ordinary shares at a price of 663.55p per share.</t>
  </si>
  <si>
    <t>The company returned £13,755 to shareholders by way of a buyback of 2,000 ordinary shares at a price of 687.77p per share.</t>
  </si>
  <si>
    <t>The company returned £89,960 to shareholders by way of a buyback of 13,000 ordinary shares at a price of 692.p per share.</t>
  </si>
  <si>
    <t>The company returned £116,620 to shareholders by way of a buyback of 17,000 ordinary shares at a price of 686.p per share.</t>
  </si>
  <si>
    <t>The company returned £158,700 to shareholders by way of a buyback of 23,000 ordinary shares at a price of 690.p per share.</t>
  </si>
  <si>
    <t>The company returned £97,383 to shareholders by way of a buyback of 14,000 ordinary shares at a price of 695.59p per share.</t>
  </si>
  <si>
    <t>The company returned £118,656 to shareholders by way of a buyback of 17,000 ordinary shares at a price of 697.98p per share.</t>
  </si>
  <si>
    <t>The company returned £154,491 to shareholders by way of a buyback of 22,000 ordinary shares at a price of 702.23p per share.</t>
  </si>
  <si>
    <t>The company returned £173,710 to shareholders by way of a buyback of 25,500 ordinary shares at a price of 681.22p per share.</t>
  </si>
  <si>
    <t>The company returned £171,875 to shareholders by way of a buyback of 25,321 ordinary shares at a price of 678.78p per share.</t>
  </si>
  <si>
    <t>The company returned £75,922 to shareholders by way of a buyback of 11,165 ordinary shares at a price of 680.p per share.</t>
  </si>
  <si>
    <t>The company returned £94,842 to shareholders by way of a buyback of 14,076 ordinary shares at a price of 673.79p per share.</t>
  </si>
  <si>
    <t>The company returned £51,793 to shareholders by way of a buyback of 11,100 ordinary shares at a price of 466.61p per share.</t>
  </si>
  <si>
    <t>The company returned £157,273 to shareholders by way of a buyback of 33,500 ordinary shares at a price of 469.47p per share.</t>
  </si>
  <si>
    <t>The company returned £36,645 to shareholders by way of a buyback of 7,500 ordinary shares at a price of 488.6p per share.</t>
  </si>
  <si>
    <t>The company returned £145,599 to shareholders by way of a buyback of 29,532 ordinary shares at a price of 493.02p per share.</t>
  </si>
  <si>
    <t>The company returned £320,602 to shareholders by way of a buyback of 64,000 ordinary shares at a price of 500.94p per share.</t>
  </si>
  <si>
    <t>The company returned £199,211 to shareholders by way of a buyback of 39,500 ordinary shares at a price of 504.33p per share.</t>
  </si>
  <si>
    <t>The company returned £209,673 to shareholders by way of a buyback of 41,338 ordinary shares at a price of 507.22p per share.</t>
  </si>
  <si>
    <t>The company returned £38,849 to shareholders by way of a buyback of 7,662 ordinary shares at a price of 507.04p per share.</t>
  </si>
  <si>
    <t>The company returned £91,440 to shareholders by way of a buyback of 18,000 ordinary shares at a price of 508.p per share.</t>
  </si>
  <si>
    <t>The company returned £180,007 to shareholders by way of a buyback of 35,858 ordinary shares at a price of 502.p per share.</t>
  </si>
  <si>
    <t>The company returned £226,784 to shareholders by way of a buyback of 45,539 ordinary shares at a price of 498.p per share.</t>
  </si>
  <si>
    <t>The company returned £87,615 to shareholders by way of a buyback of 17,700 ordinary shares at a price of 495.p per share.</t>
  </si>
  <si>
    <t>The company returned £246,495 to shareholders by way of a buyback of 50,149 ordinary shares at a price of 491.53p per share.</t>
  </si>
  <si>
    <t>The company returned £423,170 to shareholders by way of a buyback of 86,729 ordinary shares at a price of 487.92p per share.</t>
  </si>
  <si>
    <t>The company returned £921,000 to shareholders by way of a buyback of 75,000 ordinary shares at a price of 1,228.p per share.</t>
  </si>
  <si>
    <t>The company returned £1,853,100 to shareholders by way of a buyback of 145,000 ordinary shares at a price of 1,278.p per share.</t>
  </si>
  <si>
    <t>The company returned £2,759,734 to shareholders by way of a buyback of 215,000 ordinary shares at a price of 1,283.6p per share.</t>
  </si>
  <si>
    <t>The company returned £768,000 to shareholders by way of a buyback of 60,000 ordinary shares at a price of 1,280.p per share.</t>
  </si>
  <si>
    <t>The company returned £2,221,402 to shareholders by way of a buyback of 174,000 ordinary shares at a price of 1,276.67p per share.</t>
  </si>
  <si>
    <t>The company returned £636,000 to shareholders by way of a buyback of 50,000 ordinary shares at a price of 1,272.p per share.</t>
  </si>
  <si>
    <t>The company returned £2,687,313 to shareholders by way of a buyback of 474,187 ordinary shares at a price of 566.72p per share.</t>
  </si>
  <si>
    <t>The company returned £3,536,640 to shareholders by way of a buyback of 600,000 ordinary shares at a price of 589.44p per share.</t>
  </si>
  <si>
    <t>The company returned £3,083,200 to shareholders by way of a buyback of 500,000 ordinary shares at a price of 616.64p per share.</t>
  </si>
  <si>
    <t>The company returned £3,040,500 to shareholders by way of a buyback of 500,000 ordinary shares at a price of 608.1p per share.</t>
  </si>
  <si>
    <t>The company returned £844,106 to shareholders by way of a buyback of 137,775 ordinary shares at a price of 612.67p per share.</t>
  </si>
  <si>
    <t>The company returned £34,816 to shareholders by way of a buyback of 10,554 ordinary shares at a price of 329.89p per share.</t>
  </si>
  <si>
    <t>The company returned £32,850 to shareholders by way of a buyback of 10,000 ordinary shares at a price of 328.5p per share.</t>
  </si>
  <si>
    <t>The company returned £29,235 to shareholders by way of a buyback of 9,000 ordinary shares at a price of 324.83p per share.</t>
  </si>
  <si>
    <t>The company returned £41,465 to shareholders by way of a buyback of 12,500 ordinary shares at a price of 331.72p per share.</t>
  </si>
  <si>
    <t>The company returned £14,384 to shareholders by way of a buyback of 4,356 ordinary shares at a price of 330.21p per share.</t>
  </si>
  <si>
    <t>The company returned £19,013 to shareholders by way of a buyback of 5,580 ordinary shares at a price of 340.74p per share.</t>
  </si>
  <si>
    <t>The company returned £40,503 to shareholders by way of a buyback of 11,712 ordinary shares at a price of 345.83p per share.</t>
  </si>
  <si>
    <t>The company returned £34,989 to shareholders by way of a buyback of 10,100 ordinary shares at a price of 346.43p per share.</t>
  </si>
  <si>
    <t>The company returned £28,175 to shareholders by way of a buyback of 8,115 ordinary shares at a price of 347.19p per share.</t>
  </si>
  <si>
    <t>The company returned £27,554 to shareholders by way of a buyback of 8,006 ordinary shares at a price of 344.17p per share.</t>
  </si>
  <si>
    <t>The company returned £27,440 to shareholders by way of a buyback of 8,000 ordinary shares at a price of 343.p per share.</t>
  </si>
  <si>
    <t>The company returned £51,300 to shareholders by way of a buyback of 15,000 ordinary shares at a price of 342.p per share.</t>
  </si>
  <si>
    <t>The company returned £70,200 to shareholders by way of a buyback of 30,000 ordinary shares at a price of 234.p per share.</t>
  </si>
  <si>
    <t>The company returned £46,487 to shareholders by way of a buyback of 20,000 ordinary shares at a price of 232.43p per share.</t>
  </si>
  <si>
    <t>The company returned £39,110 to shareholders by way of a buyback of 17,185 ordinary shares at a price of 227.58p per share.</t>
  </si>
  <si>
    <t>The company returned £48,000 to shareholders by way of a buyback of 20,000 ordinary shares at a price of 240.p per share.</t>
  </si>
  <si>
    <t>The company returned £47,300 to shareholders by way of a buyback of 20,000 ordinary shares at a price of 236.5p per share.</t>
  </si>
  <si>
    <t>The company returned £236,285 to shareholders by way of a buyback of 100,000 ordinary shares at a price of 236.29p per share.</t>
  </si>
  <si>
    <t>The company returned £191,974 to shareholders by way of a buyback of 80,000 ordinary shares at a price of 239.97p per share.</t>
  </si>
  <si>
    <t>The company returned £120,950 to shareholders by way of a buyback of 50,000 ordinary shares at a price of 241.9p per share.</t>
  </si>
  <si>
    <t>The company returned £57,841 to shareholders by way of a buyback of 24,022 ordinary shares at a price of 240.78p per share.</t>
  </si>
  <si>
    <t>The company returned £122,258 to shareholders by way of a buyback of 50,000 ordinary shares at a price of 244.52p per share.</t>
  </si>
  <si>
    <t>The company returned £170,993 to shareholders by way of a buyback of 70,000 ordinary shares at a price of 244.28p per share.</t>
  </si>
  <si>
    <t>The company returned £121,567 to shareholders by way of a buyback of 50,000 ordinary shares at a price of 243.13p per share.</t>
  </si>
  <si>
    <t>The company returned £50,691 to shareholders by way of a buyback of 21,052 ordinary shares at a price of 240.79p per share.</t>
  </si>
  <si>
    <t>The company returned £91,882 to shareholders by way of a buyback of 38,608 ordinary shares at a price of 237.99p per share.</t>
  </si>
  <si>
    <t>The company returned £1,422 to shareholders by way of a buyback of 600 ordinary shares at a price of 237.p per share.</t>
  </si>
  <si>
    <t>The company returned £165,335 to shareholders by way of a buyback of 70,000 ordinary shares at a price of 236.19p per share.</t>
  </si>
  <si>
    <t>The company returned £93,042 to shareholders by way of a buyback of 39,799 ordinary shares at a price of 233.78p per share.</t>
  </si>
  <si>
    <t>The company returned £1,225,900 to shareholders by way of a buyback of 500,000 ordinary shares at a price of 245.18p per share.</t>
  </si>
  <si>
    <t>The company returned £686,504 to shareholders by way of a buyback of 280,000 ordinary shares at a price of 245.18p per share.</t>
  </si>
  <si>
    <t>The company returned £1,035,906 to shareholders by way of a buyback of 410,000 ordinary shares at a price of 252.66p per share.</t>
  </si>
  <si>
    <t>The company returned £314,250 to shareholders by way of a buyback of 125,000 ordinary shares at a price of 251.4p per share.</t>
  </si>
  <si>
    <t>The company returned £1,509,000 to shareholders by way of a buyback of 600,000 ordinary shares at a price of 251.5p per share.</t>
  </si>
  <si>
    <t>The company returned £346,991 to shareholders by way of a buyback of 135,000 ordinary shares at a price of 257.03p per share.</t>
  </si>
  <si>
    <t>The company returned £717,276 to shareholders by way of a buyback of 280,000 ordinary shares at a price of 256.17p per share.</t>
  </si>
  <si>
    <t>The company returned £382,755 to shareholders by way of a buyback of 150,000 ordinary shares at a price of 255.17p per share.</t>
  </si>
  <si>
    <t>The company returned £563,970 to shareholders by way of a buyback of 220,000 ordinary shares at a price of 256.35p per share.</t>
  </si>
  <si>
    <t>The company returned £638,325 to shareholders by way of a buyback of 250,000 ordinary shares at a price of 255.33p per share.</t>
  </si>
  <si>
    <t>The company returned £537,243 to shareholders by way of a buyback of 210,000 ordinary shares at a price of 255.83p per share.</t>
  </si>
  <si>
    <t>The company returned £174,500 to shareholders by way of a buyback of 100,000 ordinary shares at a price of 174.5p per share.</t>
  </si>
  <si>
    <t>The company returned £217,325 to shareholders by way of a buyback of 125,000 ordinary shares at a price of 173.86p per share.</t>
  </si>
  <si>
    <t>The company returned £173,960 to shareholders by way of a buyback of 100,000 ordinary shares at a price of 173.96p per share.</t>
  </si>
  <si>
    <t>The company returned £242,382 to shareholders by way of a buyback of 80,328 ordinary shares at a price of 301.74p per share.</t>
  </si>
  <si>
    <t>The company returned £177,545 to shareholders by way of a buyback of 60,144 ordinary shares at a price of 295.2p per share.</t>
  </si>
  <si>
    <t>The company returned £97,495 to shareholders by way of a buyback of 32,019 ordinary shares at a price of 304.49p per share.</t>
  </si>
  <si>
    <t>The company returned £140,704 to shareholders by way of a buyback of 47,000 ordinary shares at a price of 299.37p per share.</t>
  </si>
  <si>
    <t>The company returned £169,411 to shareholders by way of a buyback of 55,845 ordinary shares at a price of 303.36p per share.</t>
  </si>
  <si>
    <t>The company returned £107,792 to shareholders by way of a buyback of 35,338 ordinary shares at a price of 305.03p per share.</t>
  </si>
  <si>
    <t>The company returned £8,098 to shareholders by way of a buyback of 2,618 ordinary shares at a price of 309.33p per share.</t>
  </si>
  <si>
    <t>The company returned £139,648 to shareholders by way of a buyback of 45,100 ordinary shares at a price of 309.64p per share.</t>
  </si>
  <si>
    <t>The company returned £105,700 to shareholders by way of a buyback of 33,478 ordinary shares at a price of 315.73p per share.</t>
  </si>
  <si>
    <t>The company returned £94,567 to shareholders by way of a buyback of 30,140 ordinary shares at a price of 313.76p per share.</t>
  </si>
  <si>
    <t>The company returned £135,240 to shareholders by way of a buyback of 140,000 ordinary shares at a price of 96.6p per share.</t>
  </si>
  <si>
    <t>The company returned £131,600 to shareholders by way of a buyback of 140,000 ordinary shares at a price of 94.p per share.</t>
  </si>
  <si>
    <t>The company returned £136,920 to shareholders by way of a buyback of 140,000 ordinary shares at a price of 97.8p per share.</t>
  </si>
  <si>
    <t>The company returned £135,800 to shareholders by way of a buyback of 140,000 ordinary shares at a price of 97.p per share.</t>
  </si>
  <si>
    <t>The company returned £137,200 to shareholders by way of a buyback of 140,000 ordinary shares at a price of 98.p per share.</t>
  </si>
  <si>
    <t>The company returned £137,760 to shareholders by way of a buyback of 140,000 ordinary shares at a price of 98.4p per share.</t>
  </si>
  <si>
    <t>The company returned £199,800 to shareholders by way of a buyback of 200,000 ordinary shares at a price of 99.9p per share.</t>
  </si>
  <si>
    <t>The company returned £201,000 to shareholders by way of a buyback of 200,000 ordinary shares at a price of 100.5p per share.</t>
  </si>
  <si>
    <t>The company returned £101,500 to shareholders by way of a buyback of 100,000 ordinary shares at a price of 101.5p per share.</t>
  </si>
  <si>
    <t>The company returned £202,700 to shareholders by way of a buyback of 200,000 ordinary shares at a price of 101.35p per share.</t>
  </si>
  <si>
    <t>The company returned £200,160 to shareholders by way of a buyback of 200,000 ordinary shares at a price of 100.08p per share.</t>
  </si>
  <si>
    <t>The company returned £200,700 to shareholders by way of a buyback of 200,000 ordinary shares at a price of 100.35p per share.</t>
  </si>
  <si>
    <t>The company returned £199,120 to shareholders by way of a buyback of 200,000 ordinary shares at a price of 99.56p per share.</t>
  </si>
  <si>
    <t>The company returned £198,400 to shareholders by way of a buyback of 200,000 ordinary shares at a price of 99.2p per share.</t>
  </si>
  <si>
    <t>The company returned £197,540 to shareholders by way of a buyback of 200,000 ordinary shares at a price of 98.77p per share.</t>
  </si>
  <si>
    <t>The company returned £196,640 to shareholders by way of a buyback of 200,000 ordinary shares at a price of 98.32p per share.</t>
  </si>
  <si>
    <t>The company returned £196,240 to shareholders by way of a buyback of 200,000 ordinary shares at a price of 98.12p per share.</t>
  </si>
  <si>
    <t>The company returned £199,600 to shareholders by way of a buyback of 200,000 ordinary shares at a price of 99.8p per share.</t>
  </si>
  <si>
    <t>The company returned £1,310,925 to shareholders by way of a buyback of 150,000 ordinary shares at a price of 873.95p per share.</t>
  </si>
  <si>
    <t>The company returned £1,720,320 to shareholders by way of a buyback of 200,000 ordinary shares at a price of 860.16p per share.</t>
  </si>
  <si>
    <t>The company returned £1,715,420 to shareholders by way of a buyback of 200,000 ordinary shares at a price of 857.71p per share.</t>
  </si>
  <si>
    <t>The company returned £1,295,097 to shareholders by way of a buyback of 145,000 ordinary shares at a price of 893.17p per share.</t>
  </si>
  <si>
    <t>The company returned £1,310,310 to shareholders by way of a buyback of 150,000 ordinary shares at a price of 873.54p per share.</t>
  </si>
  <si>
    <t>The company returned £1,747,700 to shareholders by way of a buyback of 200,000 ordinary shares at a price of 873.85p per share.</t>
  </si>
  <si>
    <t>The company returned £1,085,250 to shareholders by way of a buyback of 125,000 ordinary shares at a price of 868.2p per share.</t>
  </si>
  <si>
    <t>The company returned £1,761,900 to shareholders by way of a buyback of 200,000 ordinary shares at a price of 880.95p per share.</t>
  </si>
  <si>
    <t>The company returned £1,764,600 to shareholders by way of a buyback of 200,000 ordinary shares at a price of 882.3p per share.</t>
  </si>
  <si>
    <t>The company returned £1,365,000 to shareholders by way of a buyback of 150,000 ordinary shares at a price of 910.p per share.</t>
  </si>
  <si>
    <t>The company returned £920,450 to shareholders by way of a buyback of 100,000 ordinary shares at a price of 920.45p per share.</t>
  </si>
  <si>
    <t>The company returned £907,000 to shareholders by way of a buyback of 100,000 ordinary shares at a price of 907.p per share.</t>
  </si>
  <si>
    <t>The company returned £1,825,200 to shareholders by way of a buyback of 200,000 ordinary shares at a price of 912.6p per share.</t>
  </si>
  <si>
    <t>The company returned £1,798,960 to shareholders by way of a buyback of 200,000 ordinary shares at a price of 899.48p per share.</t>
  </si>
  <si>
    <t>The company returned £1,826,340 to shareholders by way of a buyback of 200,000 ordinary shares at a price of 913.17p per share.</t>
  </si>
  <si>
    <t>The company returned £453,000 to shareholders by way of a buyback of 50,000 ordinary shares at a price of 906.p per share.</t>
  </si>
  <si>
    <t>The company returned £1,800,700 to shareholders by way of a buyback of 200,000 ordinary shares at a price of 900.35p per share.</t>
  </si>
  <si>
    <t>The company returned £91,800 to shareholders by way of a buyback of 10,000 ordinary shares at a price of 918.p per share.</t>
  </si>
  <si>
    <t>The company returned £486,871 to shareholders by way of a buyback of 353,266 ordinary shares at a price of 137.82p per share.</t>
  </si>
  <si>
    <t>The company returned £689,100 to shareholders by way of a buyback of 500,000 ordinary shares at a price of 137.82p per share.</t>
  </si>
  <si>
    <t>The company returned £709,950 to shareholders by way of a buyback of 500,000 ordinary shares at a price of 141.99p per share.</t>
  </si>
  <si>
    <t>The company returned £703,600 to shareholders by way of a buyback of 500,000 ordinary shares at a price of 140.72p per share.</t>
  </si>
  <si>
    <t>The company returned £708,800 to shareholders by way of a buyback of 500,000 ordinary shares at a price of 141.76p per share.</t>
  </si>
  <si>
    <t>The company returned £152,272 to shareholders by way of a buyback of 107,000 ordinary shares at a price of 142.31p per share.</t>
  </si>
  <si>
    <t>The company returned £78,606 to shareholders by way of a buyback of 55,000 ordinary shares at a price of 142.92p per share.</t>
  </si>
  <si>
    <t>The company returned £574,360 to shareholders by way of a buyback of 400,000 ordinary shares at a price of 143.59p per share.</t>
  </si>
  <si>
    <t>The company returned £887,496 to shareholders by way of a buyback of 611,055 ordinary shares at a price of 145.24p per share.</t>
  </si>
  <si>
    <t>The company returned £40,465 to shareholders by way of a buyback of 27,627 ordinary shares at a price of 146.47p per share.</t>
  </si>
  <si>
    <t>The company returned £379,739 to shareholders by way of a buyback of 259,473 ordinary shares at a price of 146.35p per share.</t>
  </si>
  <si>
    <t>The company returned £139,699 to shareholders by way of a buyback of 98,000 ordinary shares at a price of 142.55p per share.</t>
  </si>
  <si>
    <t>The company returned £360,925 to shareholders by way of a buyback of 250,000 ordinary shares at a price of 144.37p per share.</t>
  </si>
  <si>
    <t>The company returned £257,011 to shareholders by way of a buyback of 177,604 ordinary shares at a price of 144.71p per share.</t>
  </si>
  <si>
    <t>The company returned £336,084 to shareholders by way of a buyback of 232,842 ordinary shares at a price of 144.34p per share.</t>
  </si>
  <si>
    <t>The company returned £189,000 to shareholders by way of a buyback of 100,000 ordinary shares at a price of 189.p per share.</t>
  </si>
  <si>
    <t>The company returned £260,152 to shareholders by way of a buyback of 139,000 ordinary shares at a price of 187.16p per share.</t>
  </si>
  <si>
    <t>The company returned £366,515 to shareholders by way of a buyback of 192,923 ordinary shares at a price of 189.98p per share.</t>
  </si>
  <si>
    <t>The company returned £341,369 to shareholders by way of a buyback of 174,026 ordinary shares at a price of 196.16p per share.</t>
  </si>
  <si>
    <t>The company returned £359,671 to shareholders by way of a buyback of 181,478 ordinary shares at a price of 198.19p per share.</t>
  </si>
  <si>
    <t>The company returned £352,100 to shareholders by way of a buyback of 178,062 ordinary shares at a price of 197.74p per share.</t>
  </si>
  <si>
    <t>The company returned £292,418 to shareholders by way of a buyback of 144,554 ordinary shares at a price of 202.29p per share.</t>
  </si>
  <si>
    <t>The company returned £101,500 to shareholders by way of a buyback of 50,000 ordinary shares at a price of 203.p per share.</t>
  </si>
  <si>
    <t>The company returned £339,297 to shareholders by way of a buyback of 166,200 ordinary shares at a price of 204.15p per share.</t>
  </si>
  <si>
    <t>The company returned £172,988 to shareholders by way of a buyback of 82,375 ordinary shares at a price of 210.p per share.</t>
  </si>
  <si>
    <t>The company returned £302,177 to shareholders by way of a buyback of 144,825 ordinary shares at a price of 208.65p per share.</t>
  </si>
  <si>
    <t>The company returned £119,999 to shareholders by way of a buyback of 57,023 ordinary shares at a price of 210.44p per share.</t>
  </si>
  <si>
    <t>The company returned £188,307 to shareholders by way of a buyback of 90,000 ordinary shares at a price of 209.23p per share.</t>
  </si>
  <si>
    <t>The company returned £57,153 to shareholders by way of a buyback of 27,893 ordinary shares at a price of 204.9p per share.</t>
  </si>
  <si>
    <t>The company returned £19,410 to shareholders by way of a buyback of 15,000 ordinary shares at a price of 129.4p per share.</t>
  </si>
  <si>
    <t>The company returned £65,000 to shareholders by way of a buyback of 50,000 ordinary shares at a price of 130.p per share.</t>
  </si>
  <si>
    <t>The company returned £32,500 to shareholders by way of a buyback of 25,000 ordinary shares at a price of 130.p per share.</t>
  </si>
  <si>
    <t>The company returned £813,404 to shareholders by way of a buyback of 621,000 ordinary shares at a price of 130.98p per share.</t>
  </si>
  <si>
    <t>The company returned £1,113,801 to shareholders by way of a buyback of 855,802 ordinary shares at a price of 130.15p per share.</t>
  </si>
  <si>
    <t>The company returned £889,402 to shareholders by way of a buyback of 675,001 ordinary shares at a price of 131.76p per share.</t>
  </si>
  <si>
    <t>The company returned £1,084,952 to shareholders by way of a buyback of 800,000 ordinary shares at a price of 135.62p per share.</t>
  </si>
  <si>
    <t>The company returned £827,956 to shareholders by way of a buyback of 612,443 ordinary shares at a price of 135.19p per share.</t>
  </si>
  <si>
    <t>The company returned £1,020,908 to shareholders by way of a buyback of 750,000 ordinary shares at a price of 136.12p per share.</t>
  </si>
  <si>
    <t>The company returned £444,469 to shareholders by way of a buyback of 327,920 ordinary shares at a price of 135.54p per share.</t>
  </si>
  <si>
    <t>The company returned £721,823 to shareholders by way of a buyback of 525,000 ordinary shares at a price of 137.49p per share.</t>
  </si>
  <si>
    <t>The company returned £897,207 to shareholders by way of a buyback of 647,742 ordinary shares at a price of 138.51p per share.</t>
  </si>
  <si>
    <t>The company returned £837,169 to shareholders by way of a buyback of 600,001 ordinary shares at a price of 139.53p per share.</t>
  </si>
  <si>
    <t>The company returned £1,005,518 to shareholders by way of a buyback of 718,417 ordinary shares at a price of 139.96p per share.</t>
  </si>
  <si>
    <t>The company returned £1,408,710 to shareholders by way of a buyback of 1,000,000 ordinary shares at a price of 140.87p per share.</t>
  </si>
  <si>
    <t>The company returned £1,415,070 to shareholders by way of a buyback of 1,000,000 ordinary shares at a price of 141.51p per share.</t>
  </si>
  <si>
    <t>The company returned £1,200,200 to shareholders by way of a buyback of 850,000 ordinary shares at a price of 141.2p per share.</t>
  </si>
  <si>
    <t>The company returned £1,052,430 to shareholders by way of a buyback of 750,000 ordinary shares at a price of 140.32p per share.</t>
  </si>
  <si>
    <t>The company returned £1,051,665 to shareholders by way of a buyback of 750,000 ordinary shares at a price of 140.22p per share.</t>
  </si>
  <si>
    <t>The company returned £1,052,288 to shareholders by way of a buyback of 750,000 ordinary shares at a price of 140.31p per share.</t>
  </si>
  <si>
    <t>The company returned £1,050,158 to shareholders by way of a buyback of 750,000 ordinary shares at a price of 140.02p per share.</t>
  </si>
  <si>
    <t>The company returned £697,825 to shareholders by way of a buyback of 500,000 ordinary shares at a price of 139.57p per share.</t>
  </si>
  <si>
    <t>The company returned £699,785 to shareholders by way of a buyback of 500,000 ordinary shares at a price of 139.96p per share.</t>
  </si>
  <si>
    <t>The company returned £12,925 to shareholders by way of a buyback of 1,657 ordinary shares at a price of 780.p per share.</t>
  </si>
  <si>
    <t>The company returned £19,724 to shareholders by way of a buyback of 2,360 ordinary shares at a price of 835.76p per share.</t>
  </si>
  <si>
    <t>The company returned £65,865 to shareholders by way of a buyback of 50,000 ordinary shares at a price of 131.73p per share.</t>
  </si>
  <si>
    <t>The company returned £525 to shareholders by way of a buyback of 393 ordinary shares at a price of 133.6p per share.</t>
  </si>
  <si>
    <t>The company returned £585 to shareholders by way of a buyback of 433 ordinary shares at a price of 135.18p per share.</t>
  </si>
  <si>
    <t>The company returned £3,976 to shareholders by way of a buyback of 2,844 ordinary shares at a price of 139.8p per share.</t>
  </si>
  <si>
    <t>The company returned £45,303 to shareholders by way of a buyback of 10,864 ordinary shares at a price of 417.p per share.</t>
  </si>
  <si>
    <t>The company returned £208,917 to shareholders by way of a buyback of 50,100 ordinary shares at a price of 417.p per share.</t>
  </si>
  <si>
    <t>The company returned £758,785 to shareholders by way of a buyback of 182,282 ordinary shares at a price of 416.27p per share.</t>
  </si>
  <si>
    <t>The company returned £341,904 to shareholders by way of a buyback of 82,228 ordinary shares at a price of 415.8p per share.</t>
  </si>
  <si>
    <t>The company returned £222,761 to shareholders by way of a buyback of 52,170 ordinary shares at a price of 426.99p per share.</t>
  </si>
  <si>
    <t>The company returned £213,495 to shareholders by way of a buyback of 50,000 ordinary shares at a price of 426.99p per share.</t>
  </si>
  <si>
    <t>The company returned £174,640 to shareholders by way of a buyback of 41,286 ordinary shares at a price of 423.p per share.</t>
  </si>
  <si>
    <t>The company returned £72,506 to shareholders by way of a buyback of 17,141 ordinary shares at a price of 423.p per share.</t>
  </si>
  <si>
    <t>The company returned £63,006 to shareholders by way of a buyback of 20,000 ordinary shares at a price of 315.03p per share.</t>
  </si>
  <si>
    <t>The company returned £63,004 to shareholders by way of a buyback of 20,000 ordinary shares at a price of 315.02p per share.</t>
  </si>
  <si>
    <t>The company returned £48,444 to shareholders by way of a buyback of 15,000 ordinary shares at a price of 322.96p per share.</t>
  </si>
  <si>
    <t>The company returned £64,543 to shareholders by way of a buyback of 20,000 ordinary shares at a price of 322.71p per share.</t>
  </si>
  <si>
    <t>The company returned £36,846 to shareholders by way of a buyback of 11,410 ordinary shares at a price of 322.93p per share.</t>
  </si>
  <si>
    <t>The company returned £16,152 to shareholders by way of a buyback of 5,000 ordinary shares at a price of 323.05p per share.</t>
  </si>
  <si>
    <t>The company returned £700,943 to shareholders by way of a buyback of 1,000,000 ordinary shares at a price of 70.09p per share.</t>
  </si>
  <si>
    <t>The company returned £70,070 to shareholders by way of a buyback of 100,000 ordinary shares at a price of 70.07p per share.</t>
  </si>
  <si>
    <t>The company returned £181,535 to shareholders by way of a buyback of 260,000 ordinary shares at a price of 69.82p per share.</t>
  </si>
  <si>
    <t>The company returned £453,887 to shareholders by way of a buyback of 650,000 ordinary shares at a price of 69.83p per share.</t>
  </si>
  <si>
    <t>The company returned £691,491 to shareholders by way of a buyback of 1,000,000 ordinary shares at a price of 69.15p per share.</t>
  </si>
  <si>
    <t>The company returned £242,707 to shareholders by way of a buyback of 350,000 ordinary shares at a price of 69.34p per share.</t>
  </si>
  <si>
    <t>The company returned £640,921 to shareholders by way of a buyback of 925,000 ordinary shares at a price of 69.29p per share.</t>
  </si>
  <si>
    <t>The company returned £1,869,450 to shareholders by way of a buyback of 150,000 ordinary shares at a price of 1,246.3p per share.</t>
  </si>
  <si>
    <t>The company returned £191,856 to shareholders by way of a buyback of 15,000 ordinary shares at a price of 1,279.04p per share.</t>
  </si>
  <si>
    <t>The company returned £1,055,952 to shareholders by way of a buyback of 80,000 ordinary shares at a price of 1,319.94p per share.</t>
  </si>
  <si>
    <t>The company returned £1,111,848 to shareholders by way of a buyback of 83,750 ordinary shares at a price of 1,327.58p per share.</t>
  </si>
  <si>
    <t>The company returned £55,581 to shareholders by way of a buyback of 30,000 ordinary shares at a price of 185.27p per share.</t>
  </si>
  <si>
    <t>The company returned £421,674 to shareholders by way of a buyback of 220,000 ordinary shares at a price of 191.67p per share.</t>
  </si>
  <si>
    <t>The company returned £115,200 to shareholders by way of a buyback of 60,000 ordinary shares at a price of 192.p per share.</t>
  </si>
  <si>
    <t>The company returned £78,650 to shareholders by way of a buyback of 15,000 ordinary shares at a price of 524.33p per share.</t>
  </si>
  <si>
    <t>The company returned £188,143 to shareholders by way of a buyback of 35,000 ordinary shares at a price of 537.55p per share.</t>
  </si>
  <si>
    <t>The company returned £267,260 to shareholders by way of a buyback of 50,000 ordinary shares at a price of 534.52p per share.</t>
  </si>
  <si>
    <t>The company returned £134,108 to shareholders by way of a buyback of 25,000 ordinary shares at a price of 536.43p per share.</t>
  </si>
  <si>
    <t>The company returned £33,452 to shareholders by way of a buyback of 6,000 ordinary shares at a price of 557.54p per share.</t>
  </si>
  <si>
    <t>The company returned £138,153 to shareholders by way of a buyback of 25,000 ordinary shares at a price of 552.61p per share.</t>
  </si>
  <si>
    <t>The company returned £140,098 to shareholders by way of a buyback of 25,000 ordinary shares at a price of 560.39p per share.</t>
  </si>
  <si>
    <t>The company returned £83,676 to shareholders by way of a buyback of 15,000 ordinary shares at a price of 557.84p per share.</t>
  </si>
  <si>
    <t>The company returned £142,253 to shareholders by way of a buyback of 25,000 ordinary shares at a price of 569.01p per share.</t>
  </si>
  <si>
    <t>The company returned £141,715 to shareholders by way of a buyback of 25,000 ordinary shares at a price of 566.86p per share.</t>
  </si>
  <si>
    <t>The company returned £141,870 to shareholders by way of a buyback of 25,000 ordinary shares at a price of 567.48p per share.</t>
  </si>
  <si>
    <t>The company returned £67,690 to shareholders by way of a buyback of 11,730 ordinary shares at a price of 577.07p per share.</t>
  </si>
  <si>
    <t>The company returned £142,708 to shareholders by way of a buyback of 25,000 ordinary shares at a price of 570.83p per share.</t>
  </si>
  <si>
    <t>The company returned £142,268 to shareholders by way of a buyback of 25,000 ordinary shares at a price of 569.07p per share.</t>
  </si>
  <si>
    <t>The company returned £140,473 to shareholders by way of a buyback of 25,000 ordinary shares at a price of 561.89p per share.</t>
  </si>
  <si>
    <t>The company returned £81,542 to shareholders by way of a buyback of 14,612 ordinary shares at a price of 558.05p per share.</t>
  </si>
  <si>
    <t>The company returned £94,434 to shareholders by way of a buyback of 16,979 ordinary shares at a price of 556.18p per share.</t>
  </si>
  <si>
    <t>The company returned £139,093 to shareholders by way of a buyback of 25,000 ordinary shares at a price of 556.37p per share.</t>
  </si>
  <si>
    <t>The company returned £137,865 to shareholders by way of a buyback of 25,000 ordinary shares at a price of 551.46p per share.</t>
  </si>
  <si>
    <t>The company returned £23,300 to shareholders by way of a buyback of 10,000 ordinary shares at a price of 233.p per share.</t>
  </si>
  <si>
    <t>The company returned £1,332,740 to shareholders by way of a buyback of 148,000 ordinary shares at a price of 900.5p per share.</t>
  </si>
  <si>
    <t>The company returned £135,450 to shareholders by way of a buyback of 10,000 ordinary shares at a price of 1,354.5p per share.</t>
  </si>
  <si>
    <t>The company returned £67,485 to shareholders by way of a buyback of 5,000 ordinary shares at a price of 1,349.7p per share.</t>
  </si>
  <si>
    <t>The company returned £138,236 to shareholders by way of a buyback of 10,000 ordinary shares at a price of 1,382.36p per share.</t>
  </si>
  <si>
    <t>The company returned £34,500 to shareholders by way of a buyback of 2,500 ordinary shares at a price of 1,380.p per share.</t>
  </si>
  <si>
    <t>The company returned £67,778 to shareholders by way of a buyback of 4,828 ordinary shares at a price of 1,403.86p per share.</t>
  </si>
  <si>
    <t>The company returned £92,287 to shareholders by way of a buyback of 6,500 ordinary shares at a price of 1,419.8p per share.</t>
  </si>
  <si>
    <t>The company returned £194,598 to shareholders by way of a buyback of 13,891 ordinary shares at a price of 1,400.89p per share.</t>
  </si>
  <si>
    <t>The company returned £282,942 to shareholders by way of a buyback of 20,000 ordinary shares at a price of 1,414.71p per share.</t>
  </si>
  <si>
    <t>The company returned £161,467 to shareholders by way of a buyback of 11,500 ordinary shares at a price of 1,404.06p per share.</t>
  </si>
  <si>
    <t>The company returned £180,575 to shareholders by way of a buyback of 12,500 ordinary shares at a price of 1,444.6p per share.</t>
  </si>
  <si>
    <t>The company returned £210,998 to shareholders by way of a buyback of 14,629 ordinary shares at a price of 1,442.33p per share.</t>
  </si>
  <si>
    <t>The company returned £116,075 to shareholders by way of a buyback of 8,000 ordinary shares at a price of 1,450.94p per share.</t>
  </si>
  <si>
    <t>The company returned £144,315 to shareholders by way of a buyback of 9,934 ordinary shares at a price of 1,452.74p per share.</t>
  </si>
  <si>
    <t>The company returned £160,225 to shareholders by way of a buyback of 10,926 ordinary shares at a price of 1,466.46p per share.</t>
  </si>
  <si>
    <t>The company returned £416,718 to shareholders by way of a buyback of 128,288 ordinary shares at a price of 324.83p per share.</t>
  </si>
  <si>
    <t>The company returned £210,826 to shareholders by way of a buyback of 64,081 ordinary shares at a price of 329.p per share.</t>
  </si>
  <si>
    <t>The company returned £413,702 to shareholders by way of a buyback of 125,292 ordinary shares at a price of 330.19p per share.</t>
  </si>
  <si>
    <t>The company returned £331,342 to shareholders by way of a buyback of 99,127 ordinary shares at a price of 334.26p per share.</t>
  </si>
  <si>
    <t>The company returned £174,636 to shareholders by way of a buyback of 51,213 ordinary shares at a price of 341.p per share.</t>
  </si>
  <si>
    <t>The company returned £450,593 to shareholders by way of a buyback of 133,044 ordinary shares at a price of 338.68p per share.</t>
  </si>
  <si>
    <t>The company returned £474,170 to shareholders by way of a buyback of 138,549 ordinary shares at a price of 342.24p per share.</t>
  </si>
  <si>
    <t>The company returned £318,973 to shareholders by way of a buyback of 91,000 ordinary shares at a price of 350.52p per share.</t>
  </si>
  <si>
    <t>The company returned £88,750 to shareholders by way of a buyback of 25,000 ordinary shares at a price of 355.p per share.</t>
  </si>
  <si>
    <t>The company returned £487,356 to shareholders by way of a buyback of 136,541 ordinary shares at a price of 356.93p per share.</t>
  </si>
  <si>
    <t>The company returned £477,072 to shareholders by way of a buyback of 131,179 ordinary shares at a price of 363.68p per share.</t>
  </si>
  <si>
    <t>The company returned £476,816 to shareholders by way of a buyback of 131,903 ordinary shares at a price of 361.49p per share.</t>
  </si>
  <si>
    <t>The company returned £471,720 to shareholders by way of a buyback of 128,864 ordinary shares at a price of 366.06p per share.</t>
  </si>
  <si>
    <t>The company returned £462,772 to shareholders by way of a buyback of 126,261 ordinary shares at a price of 366.52p per share.</t>
  </si>
  <si>
    <t>The company returned £461,812 to shareholders by way of a buyback of 126,833 ordinary shares at a price of 364.11p per share.</t>
  </si>
  <si>
    <t>The company returned £451,107 to shareholders by way of a buyback of 125,391 ordinary shares at a price of 359.76p per share.</t>
  </si>
  <si>
    <t>The company returned £455,916 to shareholders by way of a buyback of 125,697 ordinary shares at a price of 362.71p per share.</t>
  </si>
  <si>
    <t>The company returned £465,304 to shareholders by way of a buyback of 128,434 ordinary shares at a price of 362.29p per share.</t>
  </si>
  <si>
    <t>The company returned £459,600 to shareholders by way of a buyback of 128,819 ordinary shares at a price of 356.78p per share.</t>
  </si>
  <si>
    <t>The company returned £447,978 to shareholders by way of a buyback of 124,314 ordinary shares at a price of 360.36p per share.</t>
  </si>
  <si>
    <t>The company returned £57,264 to shareholders by way of a buyback of 1,143 ordinary shares at a price of 5,010.p per share.</t>
  </si>
  <si>
    <t>The company returned £336,942 to shareholders by way of a buyback of 6,729 ordinary shares at a price of 5,007.31p per share.</t>
  </si>
  <si>
    <t>The company returned £7,473 to shareholders by way of a buyback of 148 ordinary shares at a price of 5,049.59p per share.</t>
  </si>
  <si>
    <t>The company returned £2,661 to shareholders by way of a buyback of 53 ordinary shares at a price of 5,020.p per share.</t>
  </si>
  <si>
    <t>The company returned £16,968 to shareholders by way of a buyback of 338 ordinary shares at a price of 5,020.p per share.</t>
  </si>
  <si>
    <t>The company returned £15,271 to shareholders by way of a buyback of 303 ordinary shares at a price of 5,040.p per share.</t>
  </si>
  <si>
    <t>The company returned £15,523 to shareholders by way of a buyback of 308 ordinary shares at a price of 5,040.p per share.</t>
  </si>
  <si>
    <t>The company returned £18,130 to shareholders by way of a buyback of 359 ordinary shares at a price of 5,050.p per share.</t>
  </si>
  <si>
    <t>The company returned £80,800 to shareholders by way of a buyback of 1,600 ordinary shares at a price of 5,050.p per share.</t>
  </si>
  <si>
    <t>The company returned £14,616 to shareholders by way of a buyback of 290 ordinary shares at a price of 5,040.p per share.</t>
  </si>
  <si>
    <t>The company returned £15,926 to shareholders by way of a buyback of 316 ordinary shares at a price of 5,040.p per share.</t>
  </si>
  <si>
    <t>The company returned £83,224 to shareholders by way of a buyback of 100,000 ordinary shares at a price of 83.22p per share.</t>
  </si>
  <si>
    <t>The company returned £82,031 to shareholders by way of a buyback of 100,000 ordinary shares at a price of 82.03p per share.</t>
  </si>
  <si>
    <t>The company returned £82,166 to shareholders by way of a buyback of 100,000 ordinary shares at a price of 82.17p per share.</t>
  </si>
  <si>
    <t>The company returned £84,850 to shareholders by way of a buyback of 100,000 ordinary shares at a price of 84.85p per share.</t>
  </si>
  <si>
    <t>The company returned £85,276 to shareholders by way of a buyback of 100,000 ordinary shares at a price of 85.28p per share.</t>
  </si>
  <si>
    <t>The company returned £84,375 to shareholders by way of a buyback of 100,000 ordinary shares at a price of 84.38p per share.</t>
  </si>
  <si>
    <t>The company returned £86,791 to shareholders by way of a buyback of 100,000 ordinary shares at a price of 86.79p per share.</t>
  </si>
  <si>
    <t>The company returned £87,936 to shareholders by way of a buyback of 100,000 ordinary shares at a price of 87.94p per share.</t>
  </si>
  <si>
    <t>The company returned £88,400 to shareholders by way of a buyback of 100,000 ordinary shares at a price of 88.4p per share.</t>
  </si>
  <si>
    <t>The company returned £89,146 to shareholders by way of a buyback of 100,000 ordinary shares at a price of 89.15p per share.</t>
  </si>
  <si>
    <t>The company returned £88,620 to shareholders by way of a buyback of 100,000 ordinary shares at a price of 88.62p per share.</t>
  </si>
  <si>
    <t>The company returned £89,694 to shareholders by way of a buyback of 100,000 ordinary shares at a price of 89.69p per share.</t>
  </si>
  <si>
    <t>The company returned £89,351 to shareholders by way of a buyback of 100,000 ordinary shares at a price of 89.35p per share.</t>
  </si>
  <si>
    <t>The company returned £88,268 to shareholders by way of a buyback of 100,000 ordinary shares at a price of 88.27p per share.</t>
  </si>
  <si>
    <t>The company returned £87,023 to shareholders by way of a buyback of 100,000 ordinary shares at a price of 87.02p per share.</t>
  </si>
  <si>
    <t>The company returned £87,898 to shareholders by way of a buyback of 100,000 ordinary shares at a price of 87.9p per share.</t>
  </si>
  <si>
    <t>The company returned £87,436 to shareholders by way of a buyback of 100,000 ordinary shares at a price of 87.44p per share.</t>
  </si>
  <si>
    <t>The company returned £86,710 to shareholders by way of a buyback of 100,000 ordinary shares at a price of 86.71p per share.</t>
  </si>
  <si>
    <t>The company returned £86,921 to shareholders by way of a buyback of 100,000 ordinary shares at a price of 86.92p per share.</t>
  </si>
  <si>
    <t>The company returned £50,500 to shareholders by way of a buyback of 50,000 ordinary shares at a price of 101.p per share.</t>
  </si>
  <si>
    <t>The company returned £236,600 to shareholders by way of a buyback of 70,000 ordinary shares at a price of 338.p per share.</t>
  </si>
  <si>
    <t>The company returned £161,074 to shareholders by way of a buyback of 55,558 ordinary shares at a price of 289.92p per share.</t>
  </si>
  <si>
    <t>The company returned £284,979 to shareholders by way of a buyback of 98,000 ordinary shares at a price of 290.8p per share.</t>
  </si>
  <si>
    <t>The company returned £84,813 to shareholders by way of a buyback of 28,501 ordinary shares at a price of 297.58p per share.</t>
  </si>
  <si>
    <t>The company returned £127,206 to shareholders by way of a buyback of 42,408 ordinary shares at a price of 299.96p per share.</t>
  </si>
  <si>
    <t>The company returned £8,641 to shareholders by way of a buyback of 2,900 ordinary shares at a price of 297.98p per share.</t>
  </si>
  <si>
    <t>The company returned £199,550 to shareholders by way of a buyback of 65,000 ordinary shares at a price of 307.p per share.</t>
  </si>
  <si>
    <t>The company returned £332,060 to shareholders by way of a buyback of 108,680 ordinary shares at a price of 305.54p per share.</t>
  </si>
  <si>
    <t>The company returned £186,227 to shareholders by way of a buyback of 61,259 ordinary shares at a price of 304.p per share.</t>
  </si>
  <si>
    <t>The company returned £308,131 to shareholders by way of a buyback of 101,032 ordinary shares at a price of 304.98p per share.</t>
  </si>
  <si>
    <t>The company returned £609,824 to shareholders by way of a buyback of 200,000 ordinary shares at a price of 304.91p per share.</t>
  </si>
  <si>
    <t>The company returned £373,418 to shareholders by way of a buyback of 123,567 ordinary shares at a price of 302.2p per share.</t>
  </si>
  <si>
    <t>The company returned £112,075 to shareholders by way of a buyback of 36,663 ordinary shares at a price of 305.69p per share.</t>
  </si>
  <si>
    <t>The company returned £8,835,889 to shareholders by way of a buyback of 3,424,763 ordinary shares at a price of 258.p per share.</t>
  </si>
  <si>
    <t>The company returned £976,875 to shareholders by way of a buyback of 125,000 ordinary shares at a price of 781.5p per share.</t>
  </si>
  <si>
    <t>The company returned £668,347 to shareholders by way of a buyback of 85,000 ordinary shares at a price of 786.29p per share.</t>
  </si>
  <si>
    <t>The company returned £685,100 to shareholders by way of a buyback of 85,000 ordinary shares at a price of 806.p per share.</t>
  </si>
  <si>
    <t>The company returned £680,850 to shareholders by way of a buyback of 85,000 ordinary shares at a price of 801.p per share.</t>
  </si>
  <si>
    <t>The company returned £684,250 to shareholders by way of a buyback of 85,000 ordinary shares at a price of 805.p per share.</t>
  </si>
  <si>
    <t>The company returned £1,006,250 to shareholders by way of a buyback of 125,000 ordinary shares at a price of 805.p per share.</t>
  </si>
  <si>
    <t>The company returned £324,000 to shareholders by way of a buyback of 40,000 ordinary shares at a price of 810.p per share.</t>
  </si>
  <si>
    <t>The company returned £1,011,125 to shareholders by way of a buyback of 125,000 ordinary shares at a price of 808.9p per share.</t>
  </si>
  <si>
    <t>The company returned £691,662 to shareholders by way of a buyback of 85,000 ordinary shares at a price of 813.72p per share.</t>
  </si>
  <si>
    <t>The company returned £329,564 to shareholders by way of a buyback of 40,000 ordinary shares at a price of 823.91p per share.</t>
  </si>
  <si>
    <t>The company returned £695,292 to shareholders by way of a buyback of 85,000 ordinary shares at a price of 817.99p per share.</t>
  </si>
  <si>
    <t>The company returned £1,020,500 to shareholders by way of a buyback of 125,000 ordinary shares at a price of 816.4p per share.</t>
  </si>
  <si>
    <t>The company returned £693,235 to shareholders by way of a buyback of 85,000 ordinary shares at a price of 815.57p per share.</t>
  </si>
  <si>
    <t>The company returned £691,407 to shareholders by way of a buyback of 85,000 ordinary shares at a price of 813.42p per share.</t>
  </si>
  <si>
    <t>The company returned £689,053 to shareholders by way of a buyback of 85,000 ordinary shares at a price of 810.65p per share.</t>
  </si>
  <si>
    <t>The company returned £685,967 to shareholders by way of a buyback of 85,000 ordinary shares at a price of 807.02p per share.</t>
  </si>
  <si>
    <t>The company returned £672,775 to shareholders by way of a buyback of 85,000 ordinary shares at a price of 791.5p per share.</t>
  </si>
  <si>
    <t>The company returned £674,433 to shareholders by way of a buyback of 85,000 ordinary shares at a price of 793.45p per share.</t>
  </si>
  <si>
    <t>The company returned £739,940 to shareholders by way of a buyback of 60,000 ordinary shares at a price of 1,233.23p per share.</t>
  </si>
  <si>
    <t>The company returned £34,131 to shareholders by way of a buyback of 2,696 ordinary shares at a price of 1,266.p per share.</t>
  </si>
  <si>
    <t>The company returned £646,000 to shareholders by way of a buyback of 50,000 ordinary shares at a price of 1,292.p per share.</t>
  </si>
  <si>
    <t>The company returned £456,497 to shareholders by way of a buyback of 35,399 ordinary shares at a price of 1,289.58p per share.</t>
  </si>
  <si>
    <t>The company returned £28,569 to shareholders by way of a buyback of 2,225 ordinary shares at a price of 1,284.p per share.</t>
  </si>
  <si>
    <t>The company returned £899,000 to shareholders by way of a buyback of 70,000 ordinary shares at a price of 1,284.29p per share.</t>
  </si>
  <si>
    <t>The company returned £449,118 to shareholders by way of a buyback of 35,000 ordinary shares at a price of 1,283.19p per share.</t>
  </si>
  <si>
    <t>The company returned £841,049 to shareholders by way of a buyback of 65,830 ordinary shares at a price of 1,277.61p per share.</t>
  </si>
  <si>
    <t>The company returned £513,800 to shareholders by way of a buyback of 40,000 ordinary shares at a price of 1,284.5p per share.</t>
  </si>
  <si>
    <t>The company returned £15,899 to shareholders by way of a buyback of 5,000 ordinary shares at a price of 317.97p per share.</t>
  </si>
  <si>
    <t>The company returned £16,170 to shareholders by way of a buyback of 5,000 ordinary shares at a price of 323.41p per share.</t>
  </si>
  <si>
    <t>The company returned £16,343 to shareholders by way of a buyback of 5,000 ordinary shares at a price of 326.86p per share.</t>
  </si>
  <si>
    <t>The company returned £16,192 to shareholders by way of a buyback of 5,000 ordinary shares at a price of 323.85p per share.</t>
  </si>
  <si>
    <t>The company returned £16,213 to shareholders by way of a buyback of 5,000 ordinary shares at a price of 324.26p per share.</t>
  </si>
  <si>
    <t>The company returned £16,491 to shareholders by way of a buyback of 5,000 ordinary shares at a price of 329.82p per share.</t>
  </si>
  <si>
    <t>The company returned £16,289 to shareholders by way of a buyback of 5,000 ordinary shares at a price of 325.78p per share.</t>
  </si>
  <si>
    <t>The company returned £20,728 to shareholders by way of a buyback of 6,335 ordinary shares at a price of 327.2p per share.</t>
  </si>
  <si>
    <t>The company returned £20,247 to shareholders by way of a buyback of 6,184 ordinary shares at a price of 327.41p per share.</t>
  </si>
  <si>
    <t>The company returned £16,303 to shareholders by way of a buyback of 5,000 ordinary shares at a price of 326.07p per share.</t>
  </si>
  <si>
    <t>The company returned £166,649 to shareholders by way of a buyback of 50,000 ordinary shares at a price of 333.3p per share.</t>
  </si>
  <si>
    <t>The company returned £167,790 to shareholders by way of a buyback of 50,000 ordinary shares at a price of 335.58p per share.</t>
  </si>
  <si>
    <t>The company returned £685,998 to shareholders by way of a buyback of 115,000 ordinary shares at a price of 596.52p per share.</t>
  </si>
  <si>
    <t>The company returned £309,500 to shareholders by way of a buyback of 50,000 ordinary shares at a price of 619.p per share.</t>
  </si>
  <si>
    <t>The company returned £1,338,242 to shareholders by way of a buyback of 476,107 ordinary shares at a price of 281.08p per share.</t>
  </si>
  <si>
    <t>The company returned £308,361 to shareholders by way of a buyback of 110,058 ordinary shares at a price of 280.18p per share.</t>
  </si>
  <si>
    <t>The company returned £145,000 to shareholders by way of a buyback of 50,000 ordinary shares at a price of 290.p per share.</t>
  </si>
  <si>
    <t>The company returned £389,324 to shareholders by way of a buyback of 134,887 ordinary shares at a price of 288.63p per share.</t>
  </si>
  <si>
    <t>The company returned £373,213 to shareholders by way of a buyback of 130,003 ordinary shares at a price of 287.08p per share.</t>
  </si>
  <si>
    <t>The company returned £339,599 to shareholders by way of a buyback of 114,151 ordinary shares at a price of 297.5p per share.</t>
  </si>
  <si>
    <t>The company returned £311,751 to shareholders by way of a buyback of 107,988 ordinary shares at a price of 288.69p per share.</t>
  </si>
  <si>
    <t>The company returned £1,117,914 to shareholders by way of a buyback of 384,176 ordinary shares at a price of 290.99p per share.</t>
  </si>
  <si>
    <t>The company returned £625,763 to shareholders by way of a buyback of 50,001 ordinary shares at a price of 1,251.5p per share.</t>
  </si>
  <si>
    <t>The company returned £388,991 to shareholders by way of a buyback of 31,000 ordinary shares at a price of 1,254.81p per share.</t>
  </si>
  <si>
    <t>The company returned £829,602 to shareholders by way of a buyback of 65,000 ordinary shares at a price of 1,276.31p per share.</t>
  </si>
  <si>
    <t>The company returned £836,550 to shareholders by way of a buyback of 65,000 ordinary shares at a price of 1,287.p per share.</t>
  </si>
  <si>
    <t>The company returned £658,056 to shareholders by way of a buyback of 50,459 ordinary shares at a price of 1,304.14p per share.</t>
  </si>
  <si>
    <t>The company returned £326,250 to shareholders by way of a buyback of 25,000 ordinary shares at a price of 1,305.p per share.</t>
  </si>
  <si>
    <t>The company returned £403,693 to shareholders by way of a buyback of 30,150 ordinary shares at a price of 1,338.95p per share.</t>
  </si>
  <si>
    <t>The company returned £665,000 to shareholders by way of a buyback of 50,000 ordinary shares at a price of 1,330.p per share.</t>
  </si>
  <si>
    <t>The company returned £1,959,000 to shareholders by way of a buyback of 500,000 ordinary shares at a price of 391.8p per share.</t>
  </si>
  <si>
    <t>The company returned £556,146 to shareholders by way of a buyback of 138,714 ordinary shares at a price of 400.93p per share.</t>
  </si>
  <si>
    <t>The company returned £1,636,841 to shareholders by way of a buyback of 403,302 ordinary shares at a price of 405.86p per share.</t>
  </si>
  <si>
    <t>The company returned £662,280 to shareholders by way of a buyback of 158,984 ordinary shares at a price of 416.57p per share.</t>
  </si>
  <si>
    <t>The company returned £1,641,500 to shareholders by way of a buyback of 400,000 ordinary shares at a price of 410.38p per share.</t>
  </si>
  <si>
    <t>The company returned £2,037,118 to shareholders by way of a buyback of 499,000 ordinary shares at a price of 408.24p per share.</t>
  </si>
  <si>
    <t>The company returned £1,828,845 to shareholders by way of a buyback of 450,000 ordinary shares at a price of 406.41p per share.</t>
  </si>
  <si>
    <t>The company returned £1,413,580 to shareholders by way of a buyback of 350,000 ordinary shares at a price of 403.88p per share.</t>
  </si>
  <si>
    <t>The company returned £600,750 to shareholders by way of a buyback of 150,000 ordinary shares at a price of 400.5p per share.</t>
  </si>
  <si>
    <t>The company returned £1,983,900 to shareholders by way of a buyback of 500,000 ordinary shares at a price of 396.78p per share.</t>
  </si>
  <si>
    <t>The company returned £1,004,975 to shareholders by way of a buyback of 250,000 ordinary shares at a price of 401.99p per share.</t>
  </si>
  <si>
    <t>The company returned £1,131,530 to shareholders by way of a buyback of 154,737 ordinary shares at a price of 731.26p per share.</t>
  </si>
  <si>
    <t>The company returned £2,513,000 to shareholders by way of a buyback of 350,000 ordinary shares at a price of 718.p per share.</t>
  </si>
  <si>
    <t>The company returned £382,681 to shareholders by way of a buyback of 51,736 ordinary shares at a price of 739.68p per share.</t>
  </si>
  <si>
    <t>The company returned £1,803,812 to shareholders by way of a buyback of 247,233 ordinary shares at a price of 729.6p per share.</t>
  </si>
  <si>
    <t>The company returned £991,713 to shareholders by way of a buyback of 135,504 ordinary shares at a price of 731.87p per share.</t>
  </si>
  <si>
    <t>The company returned £544,860 to shareholders by way of a buyback of 74,342 ordinary shares at a price of 732.91p per share.</t>
  </si>
  <si>
    <t>The company returned £812,929 to shareholders by way of a buyback of 108,982 ordinary shares at a price of 745.93p per share.</t>
  </si>
  <si>
    <t>The company returned £934,013 to shareholders by way of a buyback of 125,000 ordinary shares at a price of 747.21p per share.</t>
  </si>
  <si>
    <t>The company returned £1,521,840 to shareholders by way of a buyback of 200,000 ordinary shares at a price of 760.92p per share.</t>
  </si>
  <si>
    <t>The company returned £1,695,423 to shareholders by way of a buyback of 217,599 ordinary shares at a price of 779.15p per share.</t>
  </si>
  <si>
    <t>The company returned £884,509 to shareholders by way of a buyback of 114,254 ordinary shares at a price of 774.16p per share.</t>
  </si>
  <si>
    <t>The company returned £935,651 to shareholders by way of a buyback of 119,771 ordinary shares at a price of 781.2p per share.</t>
  </si>
  <si>
    <t>The company returned £294,559 to shareholders by way of a buyback of 37,861 ordinary shares at a price of 778.p per share.</t>
  </si>
  <si>
    <t>The company returned £1,346,574 to shareholders by way of a buyback of 174,764 ordinary shares at a price of 770.51p per share.</t>
  </si>
  <si>
    <t>The company returned £635,454 to shareholders by way of a buyback of 82,366 ordinary shares at a price of 771.5p per share.</t>
  </si>
  <si>
    <t>The company returned £645,786 to shareholders by way of a buyback of 84,325 ordinary shares at a price of 765.83p per share.</t>
  </si>
  <si>
    <t>The company returned £1,286,892 to shareholders by way of a buyback of 168,307 ordinary shares at a price of 764.61p per share.</t>
  </si>
  <si>
    <t>The company returned £847,689 to shareholders by way of a buyback of 111,980 ordinary shares at a price of 757.p per share.</t>
  </si>
  <si>
    <t>The company returned £880,521 to shareholders by way of a buyback of 115,554 ordinary shares at a price of 762.p per share.</t>
  </si>
  <si>
    <t>The company returned £24,852 to shareholders by way of a buyback of 39,655 ordinary shares at a price of 62.67p per share.</t>
  </si>
  <si>
    <t>The company returned £61,008 to shareholders by way of a buyback of 96,900 ordinary shares at a price of 62.96p per share.</t>
  </si>
  <si>
    <t>The company returned £32,388 to shareholders by way of a buyback of 50,409 ordinary shares at a price of 64.25p per share.</t>
  </si>
  <si>
    <t>The company returned £32,058 to shareholders by way of a buyback of 49,672 ordinary shares at a price of 64.54p per share.</t>
  </si>
  <si>
    <t>The company returned £22,717 to shareholders by way of a buyback of 35,215 ordinary shares at a price of 64.51p per share.</t>
  </si>
  <si>
    <t>The company returned £57,163 to shareholders by way of a buyback of 87,339 ordinary shares at a price of 65.45p per share.</t>
  </si>
  <si>
    <t>The company returned £29,442 to shareholders by way of a buyback of 44,481 ordinary shares at a price of 66.19p per share.</t>
  </si>
  <si>
    <t>The company returned £26,510 to shareholders by way of a buyback of 39,175 ordinary shares at a price of 67.67p per share.</t>
  </si>
  <si>
    <t>The company returned £29,628 to shareholders by way of a buyback of 44,215 ordinary shares at a price of 67.01p per share.</t>
  </si>
  <si>
    <t>The company returned £29,109 to shareholders by way of a buyback of 43,272 ordinary shares at a price of 67.27p per share.</t>
  </si>
  <si>
    <t>The company returned £32,054 to shareholders by way of a buyback of 48,871 ordinary shares at a price of 65.59p per share.</t>
  </si>
  <si>
    <t>The company returned £29,062 to shareholders by way of a buyback of 44,911 ordinary shares at a price of 64.71p per share.</t>
  </si>
  <si>
    <t>The company returned £28,457 to shareholders by way of a buyback of 44,444 ordinary shares at a price of 64.03p per share.</t>
  </si>
  <si>
    <t>The company returned £28,572 to shareholders by way of a buyback of 43,147 ordinary shares at a price of 66.22p per share.</t>
  </si>
  <si>
    <t>The company returned £28,435 to shareholders by way of a buyback of 44,161 ordinary shares at a price of 64.39p per share.</t>
  </si>
  <si>
    <t>The company returned £24,753 to shareholders by way of a buyback of 38,629 ordinary shares at a price of 64.08p per share.</t>
  </si>
  <si>
    <t>The company returned £28,517 to shareholders by way of a buyback of 44,447 ordinary shares at a price of 64.16p per share.</t>
  </si>
  <si>
    <t>The company returned £28,203 to shareholders by way of a buyback of 44,219 ordinary shares at a price of 63.78p per share.</t>
  </si>
  <si>
    <t>The company returned £23,911 to shareholders by way of a buyback of 37,280 ordinary shares at a price of 64.14p per share.</t>
  </si>
  <si>
    <t>The company returned £28,480 to shareholders by way of a buyback of 44,362 ordinary shares at a price of 64.2p per share.</t>
  </si>
  <si>
    <t>The company returned £335,114 to shareholders by way of a buyback of 457,244 ordinary shares at a price of 73.29p per share.</t>
  </si>
  <si>
    <t>The company returned £334,122 to shareholders by way of a buyback of 454,217 ordinary shares at a price of 73.56p per share.</t>
  </si>
  <si>
    <t>The company returned £153,862 to shareholders by way of a buyback of 208,316 ordinary shares at a price of 73.86p per share.</t>
  </si>
  <si>
    <t>The company returned £33,814 to shareholders by way of a buyback of 44,440 ordinary shares at a price of 76.09p per share.</t>
  </si>
  <si>
    <t>The company returned £291,757 to shareholders by way of a buyback of 380,785 ordinary shares at a price of 76.62p per share.</t>
  </si>
  <si>
    <t>The company returned £325,771 to shareholders by way of a buyback of 429,494 ordinary shares at a price of 75.85p per share.</t>
  </si>
  <si>
    <t>The company returned £213,039 to shareholders by way of a buyback of 283,183 ordinary shares at a price of 75.23p per share.</t>
  </si>
  <si>
    <t>The company returned £361,022 to shareholders by way of a buyback of 477,605 ordinary shares at a price of 75.59p per share.</t>
  </si>
  <si>
    <t>The company returned £240,749 to shareholders by way of a buyback of 319,169 ordinary shares at a price of 75.43p per share.</t>
  </si>
  <si>
    <t>The company returned £321,227 to shareholders by way of a buyback of 425,466 ordinary shares at a price of 75.5p per share.</t>
  </si>
  <si>
    <t>The company returned £366,482 to shareholders by way of a buyback of 487,927 ordinary shares at a price of 75.11p per share.</t>
  </si>
  <si>
    <t>The company returned £301,496 to shareholders by way of a buyback of 408,033 ordinary shares at a price of 73.89p per share.</t>
  </si>
  <si>
    <t>The company returned £349,454 to shareholders by way of a buyback of 471,153 ordinary shares at a price of 74.17p per share.</t>
  </si>
  <si>
    <t>The company returned £292,117 to shareholders by way of a buyback of 391,315 ordinary shares at a price of 74.65p per share.</t>
  </si>
  <si>
    <t>The company returned £395,577 to shareholders by way of a buyback of 527,507 ordinary shares at a price of 74.99p per share.</t>
  </si>
  <si>
    <t>The company returned £135,855 to shareholders by way of a buyback of 182,822 ordinary shares at a price of 74.31p per share.</t>
  </si>
  <si>
    <t>The company returned £250,017 to shareholders by way of a buyback of 334,516 ordinary shares at a price of 74.74p per share.</t>
  </si>
  <si>
    <t>The company returned £309,989 to shareholders by way of a buyback of 416,092 ordinary shares at a price of 74.5p per share.</t>
  </si>
  <si>
    <t>The company returned £347,238 to shareholders by way of a buyback of 466,655 ordinary shares at a price of 74.41p per share.</t>
  </si>
  <si>
    <t>The company returned £25,001 to shareholders by way of a buyback of 33,694 ordinary shares at a price of 74.2p per share.</t>
  </si>
  <si>
    <t>The company returned £9,760 to shareholders by way of a buyback of 10,000 ordinary shares at a price of 97.6p per share.</t>
  </si>
  <si>
    <t>The company returned £198,440 to shareholders by way of a buyback of 200,000 ordinary shares at a price of 99.22p per share.</t>
  </si>
  <si>
    <t>The company returned £76,275 to shareholders by way of a buyback of 75,000 ordinary shares at a price of 101.7p per share.</t>
  </si>
  <si>
    <t>The company returned £127,925 to shareholders by way of a buyback of 125,000 ordinary shares at a price of 102.34p per share.</t>
  </si>
  <si>
    <t>The company returned £130,088 to shareholders by way of a buyback of 125,000 ordinary shares at a price of 104.07p per share.</t>
  </si>
  <si>
    <t>The company returned £209,260 to shareholders by way of a buyback of 200,000 ordinary shares at a price of 104.63p per share.</t>
  </si>
  <si>
    <t>The company returned £104,920 to shareholders by way of a buyback of 100,000 ordinary shares at a price of 104.92p per share.</t>
  </si>
  <si>
    <t>The company returned £275,704 to shareholders by way of a buyback of 262,500 ordinary shares at a price of 105.03p per share.</t>
  </si>
  <si>
    <t>The company returned £198,697 to shareholders by way of a buyback of 190,597 ordinary shares at a price of 104.25p per share.</t>
  </si>
  <si>
    <t>The company returned £183,435 to shareholders by way of a buyback of 175,000 ordinary shares at a price of 104.82p per share.</t>
  </si>
  <si>
    <t>The company returned £1,053,700 to shareholders by way of a buyback of 1,000,000 ordinary shares at a price of 105.37p per share.</t>
  </si>
  <si>
    <t>The company returned £657,438 to shareholders by way of a buyback of 625,000 ordinary shares at a price of 105.19p per share.</t>
  </si>
  <si>
    <t>The company returned £421,911 to shareholders by way of a buyback of 400,789 ordinary shares at a price of 105.27p per share.</t>
  </si>
  <si>
    <t>The company returned £450,713 to shareholders by way of a buyback of 722,560 ordinary shares at a price of 62.38p per share.</t>
  </si>
  <si>
    <t>The company returned £406,971 to shareholders by way of a buyback of 651,640 ordinary shares at a price of 62.45p per share.</t>
  </si>
  <si>
    <t>The company returned £333,032 to shareholders by way of a buyback of 514,284 ordinary shares at a price of 64.76p per share.</t>
  </si>
  <si>
    <t>The company returned £201,955 to shareholders by way of a buyback of 307,311 ordinary shares at a price of 65.72p per share.</t>
  </si>
  <si>
    <t>The company returned £387,769 to shareholders by way of a buyback of 600,321 ordinary shares at a price of 64.59p per share.</t>
  </si>
  <si>
    <t>The company returned £339,038 to shareholders by way of a buyback of 525,698 ordinary shares at a price of 64.49p per share.</t>
  </si>
  <si>
    <t>The company returned £240,067 to shareholders by way of a buyback of 375,151 ordinary shares at a price of 63.99p per share.</t>
  </si>
  <si>
    <t>The company returned £332,196 to shareholders by way of a buyback of 525,650 ordinary shares at a price of 63.2p per share.</t>
  </si>
  <si>
    <t>The company returned £254,333 to shareholders by way of a buyback of 400,402 ordinary shares at a price of 63.52p per share.</t>
  </si>
  <si>
    <t>The company returned £352,767 to shareholders by way of a buyback of 550,250 ordinary shares at a price of 64.11p per share.</t>
  </si>
  <si>
    <t>The company returned £337,254 to shareholders by way of a buyback of 528,652 ordinary shares at a price of 63.8p per share.</t>
  </si>
  <si>
    <t>The company returned £288,303 to shareholders by way of a buyback of 447,750 ordinary shares at a price of 64.39p per share.</t>
  </si>
  <si>
    <t>The company returned £325,011 to shareholders by way of a buyback of 505,878 ordinary shares at a price of 64.25p per share.</t>
  </si>
  <si>
    <t>The company returned £321,913 to shareholders by way of a buyback of 500,137 ordinary shares at a price of 64.36p per share.</t>
  </si>
  <si>
    <t>The company returned £320,552 to shareholders by way of a buyback of 500,618 ordinary shares at a price of 64.03p per share.</t>
  </si>
  <si>
    <t>The company returned £318,560 to shareholders by way of a buyback of 496,245 ordinary shares at a price of 64.19p per share.</t>
  </si>
  <si>
    <t>The company returned £273,534 to shareholders by way of a buyback of 418,132 ordinary shares at a price of 65.42p per share.</t>
  </si>
  <si>
    <t>The company returned £296,620 to shareholders by way of a buyback of 447,549 ordinary shares at a price of 66.28p per share.</t>
  </si>
  <si>
    <t>The company returned £215,600 to shareholders by way of a buyback of 326,890 ordinary shares at a price of 65.95p per share.</t>
  </si>
  <si>
    <t>The company returned £285,399 to shareholders by way of a buyback of 428,853 ordinary shares at a price of 66.55p per share.</t>
  </si>
  <si>
    <t>The company returned £79,950 to shareholders by way of a buyback of 30,000 ordinary shares at a price of 266.5p per share.</t>
  </si>
  <si>
    <t>The company returned £79,800 to shareholders by way of a buyback of 30,000 ordinary shares at a price of 266.p per share.</t>
  </si>
  <si>
    <t>The company returned £81,000 to shareholders by way of a buyback of 30,000 ordinary shares at a price of 270.p per share.</t>
  </si>
  <si>
    <t>The company returned £137,000 to shareholders by way of a buyback of 50,000 ordinary shares at a price of 274.p per share.</t>
  </si>
  <si>
    <t>The company returned £82,500 to shareholders by way of a buyback of 30,000 ordinary shares at a price of 275.p per share.</t>
  </si>
  <si>
    <t>The company returned £158,221 to shareholders by way of a buyback of 57,000 ordinary shares at a price of 277.58p per share.</t>
  </si>
  <si>
    <t>The company returned £611,774 to shareholders by way of a buyback of 20,000 ordinary shares at a price of 3,058.87p per share.</t>
  </si>
  <si>
    <t>The company returned £904,156 to shareholders by way of a buyback of 30,000 ordinary shares at a price of 3,013.85p per share.</t>
  </si>
  <si>
    <t>The company returned £918,894 to shareholders by way of a buyback of 30,000 ordinary shares at a price of 3,062.98p per share.</t>
  </si>
  <si>
    <t>The company returned £770,750 to shareholders by way of a buyback of 25,000 ordinary shares at a price of 3,083.p per share.</t>
  </si>
  <si>
    <t>The company returned £606,600 to shareholders by way of a buyback of 20,000 ordinary shares at a price of 3,033.p per share.</t>
  </si>
  <si>
    <t>The company returned £914,937 to shareholders by way of a buyback of 30,000 ordinary shares at a price of 3,049.79p per share.</t>
  </si>
  <si>
    <t>The company returned £908,354 to shareholders by way of a buyback of 30,000 ordinary shares at a price of 3,027.85p per share.</t>
  </si>
  <si>
    <t>The company returned £1,562,666 to shareholders by way of a buyback of 50,000 ordinary shares at a price of 3,125.33p per share.</t>
  </si>
  <si>
    <t>The company returned £1,590,435 to shareholders by way of a buyback of 50,000 ordinary shares at a price of 3,180.87p per share.</t>
  </si>
  <si>
    <t>The company returned £1,587,018 to shareholders by way of a buyback of 50,000 ordinary shares at a price of 3,174.04p per share.</t>
  </si>
  <si>
    <t>The company returned £954,750 to shareholders by way of a buyback of 30,000 ordinary shares at a price of 3,182.5p per share.</t>
  </si>
  <si>
    <t>The company returned £947,471 to shareholders by way of a buyback of 30,000 ordinary shares at a price of 3,158.24p per share.</t>
  </si>
  <si>
    <t>The company returned £796,000 to shareholders by way of a buyback of 25,000 ordinary shares at a price of 3,184.p per share.</t>
  </si>
  <si>
    <t>The company returned £635,989 to shareholders by way of a buyback of 20,000 ordinary shares at a price of 3,179.95p per share.</t>
  </si>
  <si>
    <t>The company returned £632,734 to shareholders by way of a buyback of 20,000 ordinary shares at a price of 3,163.67p per share.</t>
  </si>
  <si>
    <t>The company returned £790,150 to shareholders by way of a buyback of 25,000 ordinary shares at a price of 3,160.6p per share.</t>
  </si>
  <si>
    <t>The company returned £1,909,750 to shareholders by way of a buyback of 60,000 ordinary shares at a price of 3,182.92p per share.</t>
  </si>
  <si>
    <t>The company returned £480,750 to shareholders by way of a buyback of 15,000 ordinary shares at a price of 3,205.p per share.</t>
  </si>
  <si>
    <t>The company returned £484,500 to shareholders by way of a buyback of 15,000 ordinary shares at a price of 3,230.p per share.</t>
  </si>
  <si>
    <t>The company returned £178,969 to shareholders by way of a buyback of 22,230 ordinary shares at a price of 805.08p per share.</t>
  </si>
  <si>
    <t>The company returned £263,424 to shareholders by way of a buyback of 30,712 ordinary shares at a price of 857.72p per share.</t>
  </si>
  <si>
    <t>The company returned £378,181 to shareholders by way of a buyback of 44,766 ordinary shares at a price of 844.8p per share.</t>
  </si>
  <si>
    <t>The company returned £588,735 to shareholders by way of a buyback of 68,933 ordinary shares at a price of 854.07p per share.</t>
  </si>
  <si>
    <t>The company returned £212,500 to shareholders by way of a buyback of 25,000 ordinary shares at a price of 850.p per share.</t>
  </si>
  <si>
    <t>The company returned £438,940 to shareholders by way of a buyback of 50,000 ordinary shares at a price of 877.88p per share.</t>
  </si>
  <si>
    <t>The company returned £88,032 to shareholders by way of a buyback of 10,037 ordinary shares at a price of 877.07p per share.</t>
  </si>
  <si>
    <t>The company returned £548,051 to shareholders by way of a buyback of 61,394 ordinary shares at a price of 892.68p per share.</t>
  </si>
  <si>
    <t>The company returned £709,856 to shareholders by way of a buyback of 81,385 ordinary shares at a price of 872.22p per share.</t>
  </si>
  <si>
    <t>The company returned £444,415 to shareholders by way of a buyback of 51,500 ordinary shares at a price of 862.94p per share.</t>
  </si>
  <si>
    <t>The company returned £644,903 to shareholders by way of a buyback of 75,000 ordinary shares at a price of 859.87p per share.</t>
  </si>
  <si>
    <t>The company returned £193,666 to shareholders by way of a buyback of 22,282 ordinary shares at a price of 869.16p per share.</t>
  </si>
  <si>
    <t>The company returned £372,000 to shareholders by way of a buyback of 100,000 ordinary shares at a price of 372.p per share.</t>
  </si>
  <si>
    <t>The company returned £371,009 to shareholders by way of a buyback of 100,000 ordinary shares at a price of 371.01p per share.</t>
  </si>
  <si>
    <t>The company returned £386,560 to shareholders by way of a buyback of 100,000 ordinary shares at a price of 386.56p per share.</t>
  </si>
  <si>
    <t>The company returned £377,727 to shareholders by way of a buyback of 100,000 ordinary shares at a price of 377.73p per share.</t>
  </si>
  <si>
    <t>The company returned £366,806 to shareholders by way of a buyback of 100,000 ordinary shares at a price of 366.81p per share.</t>
  </si>
  <si>
    <t>The company returned £368,500 to shareholders by way of a buyback of 100,000 ordinary shares at a price of 368.5p per share.</t>
  </si>
  <si>
    <t>The company returned £360,750 to shareholders by way of a buyback of 100,000 ordinary shares at a price of 360.75p per share.</t>
  </si>
  <si>
    <t>The company returned £897,000 to shareholders by way of a buyback of 750,000 ordinary shares at a price of 119.6p per share.</t>
  </si>
  <si>
    <t>The company returned £1,212,640 to shareholders by way of a buyback of 1,000,000 ordinary shares at a price of 121.26p per share.</t>
  </si>
  <si>
    <t>The company returned £1,221,700 to shareholders by way of a buyback of 1,000,000 ordinary shares at a price of 122.17p per share.</t>
  </si>
  <si>
    <t>The company returned £1,840,095 to shareholders by way of a buyback of 1,500,000 ordinary shares at a price of 122.67p per share.</t>
  </si>
  <si>
    <t>The company returned £916,358 to shareholders by way of a buyback of 750,000 ordinary shares at a price of 122.18p per share.</t>
  </si>
  <si>
    <t>The company returned £373,800 to shareholders by way of a buyback of 300,000 ordinary shares at a price of 124.6p per share.</t>
  </si>
  <si>
    <t>The company returned £498,400 to shareholders by way of a buyback of 400,000 ordinary shares at a price of 124.6p per share.</t>
  </si>
  <si>
    <t>The company returned £310,500 to shareholders by way of a buyback of 250,000 ordinary shares at a price of 124.2p per share.</t>
  </si>
  <si>
    <t>The company returned £1,503,840 to shareholders by way of a buyback of 1,200,000 ordinary shares at a price of 125.32p per share.</t>
  </si>
  <si>
    <t>The company returned £983,026 to shareholders by way of a buyback of 775,000 ordinary shares at a price of 126.84p per share.</t>
  </si>
  <si>
    <t>The company returned £44,344 to shareholders by way of a buyback of 3,263 ordinary shares at a price of 1,359.p per share.</t>
  </si>
  <si>
    <t>The company returned £137,500 to shareholders by way of a buyback of 10,000 ordinary shares at a price of 1,375.p per share.</t>
  </si>
  <si>
    <t>The company returned £204,000 to shareholders by way of a buyback of 15,000 ordinary shares at a price of 1,360.p per share.</t>
  </si>
  <si>
    <t>The company returned £1,360,000 to shareholders by way of a buyback of 100,000 ordinary shares at a price of 1,360.p per share.</t>
  </si>
  <si>
    <t>The company returned £201,150 to shareholders by way of a buyback of 15,000 ordinary shares at a price of 1,341.p per share.</t>
  </si>
  <si>
    <t>The company returned £136,600 to shareholders by way of a buyback of 10,000 ordinary shares at a price of 1,366.p per share.</t>
  </si>
  <si>
    <t>The company returned £201,600 to shareholders by way of a buyback of 15,000 ordinary shares at a price of 1,344.p per share.</t>
  </si>
  <si>
    <t>The company returned £564,102 to shareholders by way of a buyback of 42,735 ordinary shares at a price of 1,320.p per share.</t>
  </si>
  <si>
    <t>The company returned £624,275 to shareholders by way of a buyback of 142,000 ordinary shares at a price of 439.63p per share.</t>
  </si>
  <si>
    <t>The company returned £456,869 to shareholders by way of a buyback of 103,273 ordinary shares at a price of 442.39p per share.</t>
  </si>
  <si>
    <t>The company returned £341,395 to shareholders by way of a buyback of 77,155 ordinary shares at a price of 442.48p per share.</t>
  </si>
  <si>
    <t>The company returned £659,235 to shareholders by way of a buyback of 150,000 ordinary shares at a price of 439.49p per share.</t>
  </si>
  <si>
    <t>The company returned £656,486 to shareholders by way of a buyback of 148,325 ordinary shares at a price of 442.6p per share.</t>
  </si>
  <si>
    <t>The company returned £658,140 to shareholders by way of a buyback of 150,000 ordinary shares at a price of 438.76p per share.</t>
  </si>
  <si>
    <t>The company returned £575,316 to shareholders by way of a buyback of 132,366 ordinary shares at a price of 434.64p per share.</t>
  </si>
  <si>
    <t>The company returned £39,510 to shareholders by way of a buyback of 26,000 ordinary shares at a price of 151.96p per share.</t>
  </si>
  <si>
    <t>The company returned £7,900 to shareholders by way of a buyback of 5,000 ordinary shares at a price of 158.p per share.</t>
  </si>
  <si>
    <t>The company returned £77,489 to shareholders by way of a buyback of 50,000 ordinary shares at a price of 154.98p per share.</t>
  </si>
  <si>
    <t>The company returned £39,250 to shareholders by way of a buyback of 25,000 ordinary shares at a price of 157.p per share.</t>
  </si>
  <si>
    <t>The company returned £79,000 to shareholders by way of a buyback of 50,000 ordinary shares at a price of 158.p per share.</t>
  </si>
  <si>
    <t>The company returned £278,014 to shareholders by way of a buyback of 30,000 ordinary shares at a price of 926.71p per share.</t>
  </si>
  <si>
    <t>The company returned £280,200 to shareholders by way of a buyback of 30,000 ordinary shares at a price of 934.p per share.</t>
  </si>
  <si>
    <t>The company returned £141,015 to shareholders by way of a buyback of 15,000 ordinary shares at a price of 940.1p per share.</t>
  </si>
  <si>
    <t>The company returned £98,968 to shareholders by way of a buyback of 77,500 ordinary shares at a price of 127.7p per share.</t>
  </si>
  <si>
    <t>The company returned £510,000 to shareholders by way of a buyback of 400,000 ordinary shares at a price of 127.5p per share.</t>
  </si>
  <si>
    <t>The company returned £514,400 to shareholders by way of a buyback of 400,000 ordinary shares at a price of 128.6p per share.</t>
  </si>
  <si>
    <t>The company returned £321,750 to shareholders by way of a buyback of 250,000 ordinary shares at a price of 128.7p per share.</t>
  </si>
  <si>
    <t>The company returned £372,650 to shareholders by way of a buyback of 290,000 ordinary shares at a price of 128.5p per share.</t>
  </si>
  <si>
    <t>The company returned £128,000 to shareholders by way of a buyback of 100,000 ordinary shares at a price of 128.p per share.</t>
  </si>
  <si>
    <t>The company returned £99,550 to shareholders by way of a buyback of 75,531 ordinary shares at a price of 131.8p per share.</t>
  </si>
  <si>
    <t>The company returned £199,050 to shareholders by way of a buyback of 150,000 ordinary shares at a price of 132.7p per share.</t>
  </si>
  <si>
    <t>The company returned £113,890 to shareholders by way of a buyback of 85,375 ordinary shares at a price of 133.4p per share.</t>
  </si>
  <si>
    <t>The company returned £201,900 to shareholders by way of a buyback of 150,000 ordinary shares at a price of 134.6p per share.</t>
  </si>
  <si>
    <t>The company returned £195,900 to shareholders by way of a buyback of 150,000 ordinary shares at a price of 130.6p per share.</t>
  </si>
  <si>
    <t>The company returned £196,650 to shareholders by way of a buyback of 150,000 ordinary shares at a price of 131.1p per share.</t>
  </si>
  <si>
    <t>The company returned £196,200 to shareholders by way of a buyback of 150,000 ordinary shares at a price of 130.8p per share.</t>
  </si>
  <si>
    <t>The company returned £196,800 to shareholders by way of a buyback of 150,000 ordinary shares at a price of 131.2p per share.</t>
  </si>
  <si>
    <t>The company returned £210,080 to shareholders by way of a buyback of 160,000 ordinary shares at a price of 131.3p per share.</t>
  </si>
  <si>
    <t>The company returned £198,300 to shareholders by way of a buyback of 150,000 ordinary shares at a price of 132.2p per share.</t>
  </si>
  <si>
    <t>The company returned £105,000 to shareholders by way of a buyback of 25,000 ordinary shares at a price of 420.p per share.</t>
  </si>
  <si>
    <t>The company returned £333,000 to shareholders by way of a buyback of 75,000 ordinary shares at a price of 444.p per share.</t>
  </si>
  <si>
    <t>The company returned £334,500 to shareholders by way of a buyback of 75,000 ordinary shares at a price of 446.p per share.</t>
  </si>
  <si>
    <t>The company returned £441,500 to shareholders by way of a buyback of 100,000 ordinary shares at a price of 441.5p per share.</t>
  </si>
  <si>
    <t>The company returned £109,998 to shareholders by way of a buyback of 10,133 ordinary shares at a price of 1,085.54p per share.</t>
  </si>
  <si>
    <t>The company returned £443,587 to shareholders by way of a buyback of 40,781 ordinary shares at a price of 1,087.73p per share.</t>
  </si>
  <si>
    <t>The company returned £305,533 to shareholders by way of a buyback of 28,103 ordinary shares at a price of 1,087.19p per share.</t>
  </si>
  <si>
    <t>The company returned £227,200 to shareholders by way of a buyback of 20,000 ordinary shares at a price of 1,136.p per share.</t>
  </si>
  <si>
    <t>The company returned £227,400 to shareholders by way of a buyback of 20,000 ordinary shares at a price of 1,137.p per share.</t>
  </si>
  <si>
    <t>The company returned £115,200 to shareholders by way of a buyback of 10,000 ordinary shares at a price of 1,152.p per share.</t>
  </si>
  <si>
    <t>The company returned £650,646 to shareholders by way of a buyback of 56,240 ordinary shares at a price of 1,156.91p per share.</t>
  </si>
  <si>
    <t>The company returned £203,762 to shareholders by way of a buyback of 17,596 ordinary shares at a price of 1,158.p per share.</t>
  </si>
  <si>
    <t>The company returned £637,642 to shareholders by way of a buyback of 55,162 ordinary shares at a price of 1,155.95p per share.</t>
  </si>
  <si>
    <t>The company returned £548,764 to shareholders by way of a buyback of 47,611 ordinary shares at a price of 1,152.6p per share.</t>
  </si>
  <si>
    <t>The company returned £345,213 to shareholders by way of a buyback of 125,000 ordinary shares at a price of 276.17p per share.</t>
  </si>
  <si>
    <t>The company returned £279,860 to shareholders by way of a buyback of 100,000 ordinary shares at a price of 279.86p per share.</t>
  </si>
  <si>
    <t>The company returned £169,516 to shareholders by way of a buyback of 58,331 ordinary shares at a price of 290.61p per share.</t>
  </si>
  <si>
    <t>The company returned £94,810 to shareholders by way of a buyback of 33,282 ordinary shares at a price of 284.87p per share.</t>
  </si>
  <si>
    <t>The company returned £232,238 to shareholders by way of a buyback of 83,055 ordinary shares at a price of 279.62p per share.</t>
  </si>
  <si>
    <t>The company returned £140,800 to shareholders by way of a buyback of 50,000 ordinary shares at a price of 281.6p per share.</t>
  </si>
  <si>
    <t>The company returned £288,280 to shareholders by way of a buyback of 200,000 ordinary shares at a price of 144.14p per share.</t>
  </si>
  <si>
    <t>The company returned £1,111,275 to shareholders by way of a buyback of 750,000 ordinary shares at a price of 148.17p per share.</t>
  </si>
  <si>
    <t>The company returned £750,400 to shareholders by way of a buyback of 500,000 ordinary shares at a price of 150.08p per share.</t>
  </si>
  <si>
    <t>The company returned £298,420 to shareholders by way of a buyback of 200,000 ordinary shares at a price of 149.21p per share.</t>
  </si>
  <si>
    <t>The company returned £516,154 to shareholders by way of a buyback of 340,000 ordinary shares at a price of 151.81p per share.</t>
  </si>
  <si>
    <t>The company returned £1,180,480 to shareholders by way of a buyback of 775,000 ordinary shares at a price of 152.32p per share.</t>
  </si>
  <si>
    <t>The company returned £508,581 to shareholders by way of a buyback of 326,118 ordinary shares at a price of 155.95p per share.</t>
  </si>
  <si>
    <t>The company returned £772,765 to shareholders by way of a buyback of 500,000 ordinary shares at a price of 154.55p per share.</t>
  </si>
  <si>
    <t>The company returned £775,500 to shareholders by way of a buyback of 500,000 ordinary shares at a price of 155.1p per share.</t>
  </si>
  <si>
    <t>The company returned £469,978 to shareholders by way of a buyback of 80,000 ordinary shares at a price of 587.47p per share.</t>
  </si>
  <si>
    <t>The company returned £177,623 to shareholders by way of a buyback of 30,686 ordinary shares at a price of 578.84p per share.</t>
  </si>
  <si>
    <t>The company returned £589,649 to shareholders by way of a buyback of 100,000 ordinary shares at a price of 589.65p per share.</t>
  </si>
  <si>
    <t>The company returned £311,497 to shareholders by way of a buyback of 51,255 ordinary shares at a price of 607.74p per share.</t>
  </si>
  <si>
    <t>The company returned £436,309 to shareholders by way of a buyback of 71,722 ordinary shares at a price of 608.33p per share.</t>
  </si>
  <si>
    <t>The company returned £431,880 to shareholders by way of a buyback of 70,000 ordinary shares at a price of 616.97p per share.</t>
  </si>
  <si>
    <t>The company returned £405,020 to shareholders by way of a buyback of 65,000 ordinary shares at a price of 623.11p per share.</t>
  </si>
  <si>
    <t>The company returned £312,031 to shareholders by way of a buyback of 49,815 ordinary shares at a price of 626.38p per share.</t>
  </si>
  <si>
    <t>The company returned £272,990 to shareholders by way of a buyback of 43,282 ordinary shares at a price of 630.73p per share.</t>
  </si>
  <si>
    <t>The company returned £315,791 to shareholders by way of a buyback of 50,000 ordinary shares at a price of 631.58p per share.</t>
  </si>
  <si>
    <t>The company returned £65,680 to shareholders by way of a buyback of 10,432 ordinary shares at a price of 629.6p per share.</t>
  </si>
  <si>
    <t>The company returned £225,063 to shareholders by way of a buyback of 36,183 ordinary shares at a price of 622.01p per share.</t>
  </si>
  <si>
    <t>The company returned £33,406 to shareholders by way of a buyback of 5,408 ordinary shares at a price of 617.71p per share.</t>
  </si>
  <si>
    <t>The company returned £110,212 to shareholders by way of a buyback of 17,831 ordinary shares at a price of 618.09p per share.</t>
  </si>
  <si>
    <t>The company returned £359,173 to shareholders by way of a buyback of 58,413 ordinary shares at a price of 614.89p per share.</t>
  </si>
  <si>
    <t>The company returned £259,954 to shareholders by way of a buyback of 42,430 ordinary shares at a price of 612.67p per share.</t>
  </si>
  <si>
    <t>The company returned £261,187 to shareholders by way of a buyback of 42,556 ordinary shares at a price of 613.75p per share.</t>
  </si>
  <si>
    <t>The company returned £447,525 to shareholders by way of a buyback of 250,000 ordinary shares at a price of 179.01p per share.</t>
  </si>
  <si>
    <t>The company returned £172,668 to shareholders by way of a buyback of 97,070 ordinary shares at a price of 177.88p per share.</t>
  </si>
  <si>
    <t>The company returned £894,500 to shareholders by way of a buyback of 500,000 ordinary shares at a price of 178.9p per share.</t>
  </si>
  <si>
    <t>The company returned £917,450 to shareholders by way of a buyback of 500,000 ordinary shares at a price of 183.49p per share.</t>
  </si>
  <si>
    <t>The company returned £464,075 to shareholders by way of a buyback of 250,000 ordinary shares at a price of 185.63p per share.</t>
  </si>
  <si>
    <t>The company returned £462,875 to shareholders by way of a buyback of 250,000 ordinary shares at a price of 185.15p per share.</t>
  </si>
  <si>
    <t>The company returned £468,700 to shareholders by way of a buyback of 250,000 ordinary shares at a price of 187.48p per share.</t>
  </si>
  <si>
    <t>The company returned £470,000 to shareholders by way of a buyback of 250,000 ordinary shares at a price of 188.p per share.</t>
  </si>
  <si>
    <t>The company returned £475,575 to shareholders by way of a buyback of 250,000 ordinary shares at a price of 190.23p per share.</t>
  </si>
  <si>
    <t>The company returned £1,381,925 to shareholders by way of a buyback of 250,000 ordinary shares at a price of 552.77p per share.</t>
  </si>
  <si>
    <t>The company returned £1,380,550 to shareholders by way of a buyback of 250,000 ordinary shares at a price of 552.22p per share.</t>
  </si>
  <si>
    <t>The company returned £1,377,175 to shareholders by way of a buyback of 250,000 ordinary shares at a price of 550.87p per share.</t>
  </si>
  <si>
    <t>The company returned £1,410,775 to shareholders by way of a buyback of 250,000 ordinary shares at a price of 564.31p per share.</t>
  </si>
  <si>
    <t>The company returned £1,426,025 to shareholders by way of a buyback of 250,000 ordinary shares at a price of 570.41p per share.</t>
  </si>
  <si>
    <t>The company returned £56,733 to shareholders by way of a buyback of 6,886 ordinary shares at a price of 823.89p per share.</t>
  </si>
  <si>
    <t>The company returned £86,800 to shareholders by way of a buyback of 10,000 ordinary shares at a price of 868.p per share.</t>
  </si>
  <si>
    <t>The company returned £434,250 to shareholders by way of a buyback of 50,000 ordinary shares at a price of 868.5p per share.</t>
  </si>
  <si>
    <t>The company returned £85,753 to shareholders by way of a buyback of 10,000 ordinary shares at a price of 857.53p per share.</t>
  </si>
  <si>
    <t>The company returned £533,400 to shareholders by way of a buyback of 60,000 ordinary shares at a price of 889.p per share.</t>
  </si>
  <si>
    <t>The company returned £442,438 to shareholders by way of a buyback of 50,000 ordinary shares at a price of 884.88p per share.</t>
  </si>
  <si>
    <t>The company returned £434,000 to shareholders by way of a buyback of 50,000 ordinary shares at a price of 868.p per share.</t>
  </si>
  <si>
    <t>The company returned £427,500 to shareholders by way of a buyback of 50,000 ordinary shares at a price of 855.p per share.</t>
  </si>
  <si>
    <t>The company returned £427,000 to shareholders by way of a buyback of 50,000 ordinary shares at a price of 854.p per share.</t>
  </si>
  <si>
    <t>The company returned £425,000 to shareholders by way of a buyback of 50,000 ordinary shares at a price of 850.p per share.</t>
  </si>
  <si>
    <t>The company returned £42,384 to shareholders by way of a buyback of 5,000 ordinary shares at a price of 847.68p per share.</t>
  </si>
  <si>
    <t>The company returned £83,616 to shareholders by way of a buyback of 10,000 ordinary shares at a price of 836.16p per share.</t>
  </si>
  <si>
    <t>The company returned £183,000 to shareholders by way of a buyback of 25,000 ordinary shares at a price of 732.p per share.</t>
  </si>
  <si>
    <t>The company returned £545,250 to shareholders by way of a buyback of 75,000 ordinary shares at a price of 727.p per share.</t>
  </si>
  <si>
    <t>The company returned £720,350 to shareholders by way of a buyback of 100,000 ordinary shares at a price of 720.35p per share.</t>
  </si>
  <si>
    <t>The company returned £745,750 to shareholders by way of a buyback of 100,000 ordinary shares at a price of 745.75p per share.</t>
  </si>
  <si>
    <t>The company returned £745,000 to shareholders by way of a buyback of 100,000 ordinary shares at a price of 745.p per share.</t>
  </si>
  <si>
    <t>The company returned £740,000 to shareholders by way of a buyback of 100,000 ordinary shares at a price of 740.p per share.</t>
  </si>
  <si>
    <t>The company returned £751,000 to shareholders by way of a buyback of 100,000 ordinary shares at a price of 751.p per share.</t>
  </si>
  <si>
    <t>The company returned £189,750 to shareholders by way of a buyback of 25,000 ordinary shares at a price of 759.p per share.</t>
  </si>
  <si>
    <t>The company returned £760,000 to shareholders by way of a buyback of 100,000 ordinary shares at a price of 760.p per share.</t>
  </si>
  <si>
    <t>The company returned £752,000 to shareholders by way of a buyback of 100,000 ordinary shares at a price of 752.p per share.</t>
  </si>
  <si>
    <t>The company returned £376,000 to shareholders by way of a buyback of 50,000 ordinary shares at a price of 752.p per share.</t>
  </si>
  <si>
    <t>The company returned £371,000 to shareholders by way of a buyback of 50,000 ordinary shares at a price of 742.p per share.</t>
  </si>
  <si>
    <t>The company returned £743,000 to shareholders by way of a buyback of 100,000 ordinary shares at a price of 743.p per share.</t>
  </si>
  <si>
    <t>The company returned £748,000 to shareholders by way of a buyback of 100,000 ordinary shares at a price of 748.p per share.</t>
  </si>
  <si>
    <t>The company returned £91,506 to shareholders by way of a buyback of 30,000 ordinary shares at a price of 305.02p per share.</t>
  </si>
  <si>
    <t>The company returned £92,015 to shareholders by way of a buyback of 30,000 ordinary shares at a price of 306.72p per share.</t>
  </si>
  <si>
    <t>The company returned £472,100 to shareholders by way of a buyback of 150,000 ordinary shares at a price of 314.73p per share.</t>
  </si>
  <si>
    <t>The company returned £239,351 to shareholders by way of a buyback of 75,000 ordinary shares at a price of 319.13p per share.</t>
  </si>
  <si>
    <t>The company returned £162,870 to shareholders by way of a buyback of 50,000 ordinary shares at a price of 325.74p per share.</t>
  </si>
  <si>
    <t>The company returned £132,826 to shareholders by way of a buyback of 40,000 ordinary shares at a price of 332.07p per share.</t>
  </si>
  <si>
    <t>The company returned £83,400 to shareholders by way of a buyback of 25,000 ordinary shares at a price of 333.6p per share.</t>
  </si>
  <si>
    <t>The company returned £82,632 to shareholders by way of a buyback of 25,000 ordinary shares at a price of 330.53p per share.</t>
  </si>
  <si>
    <t>The company returned £130,400 to shareholders by way of a buyback of 40,000 ordinary shares at a price of 326.p per share.</t>
  </si>
  <si>
    <t>The company returned £245,288 to shareholders by way of a buyback of 75,000 ordinary shares at a price of 327.05p per share.</t>
  </si>
  <si>
    <t>The company returned £48,525 to shareholders by way of a buyback of 15,000 ordinary shares at a price of 323.5p per share.</t>
  </si>
  <si>
    <t>The company returned £81,038 to shareholders by way of a buyback of 25,000 ordinary shares at a price of 324.15p per share.</t>
  </si>
  <si>
    <t>The company returned £118,450 to shareholders by way of a buyback of 30,000 ordinary shares at a price of 394.83p per share.</t>
  </si>
  <si>
    <t>The company returned £195,000 to shareholders by way of a buyback of 50,000 ordinary shares at a price of 390.p per share.</t>
  </si>
  <si>
    <t>The company returned £202,750 to shareholders by way of a buyback of 50,000 ordinary shares at a price of 405.5p per share.</t>
  </si>
  <si>
    <t>The company returned £123,000 to shareholders by way of a buyback of 30,000 ordinary shares at a price of 410.p per share.</t>
  </si>
  <si>
    <t>The company returned £103,875 to shareholders by way of a buyback of 25,000 ordinary shares at a price of 415.5p per share.</t>
  </si>
  <si>
    <t>The company returned £124,268 to shareholders by way of a buyback of 30,000 ordinary shares at a price of 414.23p per share.</t>
  </si>
  <si>
    <t>The company returned £125,917 to shareholders by way of a buyback of 30,000 ordinary shares at a price of 419.72p per share.</t>
  </si>
  <si>
    <t>The company returned £62,848 to shareholders by way of a buyback of 15,000 ordinary shares at a price of 418.99p per share.</t>
  </si>
  <si>
    <t>The company returned £146,125 to shareholders by way of a buyback of 35,000 ordinary shares at a price of 417.5p per share.</t>
  </si>
  <si>
    <t>The company returned £208,500 to shareholders by way of a buyback of 50,000 ordinary shares at a price of 417.p per share.</t>
  </si>
  <si>
    <t>The company returned £62,214 to shareholders by way of a buyback of 15,000 ordinary shares at a price of 414.76p per share.</t>
  </si>
  <si>
    <t>The company returned £166,400 to shareholders by way of a buyback of 40,000 ordinary shares at a price of 416.p per share.</t>
  </si>
  <si>
    <t>The company returned £62,100 to shareholders by way of a buyback of 15,000 ordinary shares at a price of 414.p per share.</t>
  </si>
  <si>
    <t>The company returned £430,097 to shareholders by way of a buyback of 350,000 ordinary shares at a price of 122.88p per share.</t>
  </si>
  <si>
    <t>The company returned £573,480 to shareholders by way of a buyback of 450,000 ordinary shares at a price of 127.44p per share.</t>
  </si>
  <si>
    <t>The company returned £149,693 to shareholders by way of a buyback of 60,851 ordinary shares at a price of 246.p per share.</t>
  </si>
  <si>
    <t>The company returned £1,449,967 to shareholders by way of a buyback of 587,745 ordinary shares at a price of 246.7p per share.</t>
  </si>
  <si>
    <t>The company returned £525,323 to shareholders by way of a buyback of 213,598 ordinary shares at a price of 245.94p per share.</t>
  </si>
  <si>
    <t>The company returned £2,547,000 to shareholders by way of a buyback of 1,000,000 ordinary shares at a price of 254.7p per share.</t>
  </si>
  <si>
    <t>The company returned £1,448,078 to shareholders by way of a buyback of 567,251 ordinary shares at a price of 255.28p per share.</t>
  </si>
  <si>
    <t>The company returned £2,613,000 to shareholders by way of a buyback of 1,000,000 ordinary shares at a price of 261.3p per share.</t>
  </si>
  <si>
    <t>The company returned £1,961,100 to shareholders by way of a buyback of 750,000 ordinary shares at a price of 261.48p per share.</t>
  </si>
  <si>
    <t>The company returned £1,977,750 to shareholders by way of a buyback of 750,000 ordinary shares at a price of 263.7p per share.</t>
  </si>
  <si>
    <t>The company returned £2,005,425 to shareholders by way of a buyback of 750,000 ordinary shares at a price of 267.39p per share.</t>
  </si>
  <si>
    <t>The company returned £2,015,100 to shareholders by way of a buyback of 750,000 ordinary shares at a price of 268.68p per share.</t>
  </si>
  <si>
    <t>The company returned £2,011,725 to shareholders by way of a buyback of 750,000 ordinary shares at a price of 268.23p per share.</t>
  </si>
  <si>
    <t>The company returned £1,990,350 to shareholders by way of a buyback of 750,000 ordinary shares at a price of 265.38p per share.</t>
  </si>
  <si>
    <t>The company returned £1,976,025 to shareholders by way of a buyback of 750,000 ordinary shares at a price of 263.47p per share.</t>
  </si>
  <si>
    <t>The company returned £1,973,175 to shareholders by way of a buyback of 750,000 ordinary shares at a price of 263.09p per share.</t>
  </si>
  <si>
    <t>The company returned £1,959,150 to shareholders by way of a buyback of 750,000 ordinary shares at a price of 261.22p per share.</t>
  </si>
  <si>
    <t>The company returned £1,931,850 to shareholders by way of a buyback of 750,000 ordinary shares at a price of 257.58p per share.</t>
  </si>
  <si>
    <t>The company returned £2,607,500 to shareholders by way of a buyback of 1,000,000 ordinary shares at a price of 260.75p per share.</t>
  </si>
  <si>
    <t>The company returned £593,300 to shareholders by way of a buyback of 85,000 ordinary shares at a price of 698.p per share.</t>
  </si>
  <si>
    <t>The company returned £175,750 to shareholders by way of a buyback of 25,000 ordinary shares at a price of 703.p per share.</t>
  </si>
  <si>
    <t>The company returned £531,179 to shareholders by way of a buyback of 74,000 ordinary shares at a price of 717.81p per share.</t>
  </si>
  <si>
    <t>The company returned £704,000 to shareholders by way of a buyback of 100,000 ordinary shares at a price of 704.p per share.</t>
  </si>
  <si>
    <t>The company returned £184,250 to shareholders by way of a buyback of 25,000 ordinary shares at a price of 737.p per share.</t>
  </si>
  <si>
    <t>The company returned £727,000 to shareholders by way of a buyback of 100,000 ordinary shares at a price of 727.p per share.</t>
  </si>
  <si>
    <t>The company returned £218,100 to shareholders by way of a buyback of 30,000 ordinary shares at a price of 727.p per share.</t>
  </si>
  <si>
    <t>The company returned £181,250 to shareholders by way of a buyback of 25,000 ordinary shares at a price of 725.p per share.</t>
  </si>
  <si>
    <t>The company returned £394,000 to shareholders by way of a buyback of 100,000 ordinary shares at a price of 394.p per share.</t>
  </si>
  <si>
    <t>The company returned £68,091 to shareholders by way of a buyback of 14,655 ordinary shares at a price of 464.62p per share.</t>
  </si>
  <si>
    <t>The company returned £91,859 to shareholders by way of a buyback of 20,000 ordinary shares at a price of 459.3p per share.</t>
  </si>
  <si>
    <t>The company returned £93,659 to shareholders by way of a buyback of 20,000 ordinary shares at a price of 468.29p per share.</t>
  </si>
  <si>
    <t>The company returned £95,025 to shareholders by way of a buyback of 20,000 ordinary shares at a price of 475.13p per share.</t>
  </si>
  <si>
    <t>The company returned £97,163 to shareholders by way of a buyback of 20,000 ordinary shares at a price of 485.81p per share.</t>
  </si>
  <si>
    <t>The company returned £97,708 to shareholders by way of a buyback of 20,000 ordinary shares at a price of 488.54p per share.</t>
  </si>
  <si>
    <t>The company returned £23,747 to shareholders by way of a buyback of 4,798 ordinary shares at a price of 494.93p per share.</t>
  </si>
  <si>
    <t>The company returned £77,222 to shareholders by way of a buyback of 15,000 ordinary shares at a price of 514.82p per share.</t>
  </si>
  <si>
    <t>The company returned £77,162 to shareholders by way of a buyback of 15,000 ordinary shares at a price of 514.41p per share.</t>
  </si>
  <si>
    <t>The company returned £35,359 to shareholders by way of a buyback of 6,868 ordinary shares at a price of 514.84p per share.</t>
  </si>
  <si>
    <t>The company returned £77,842 to shareholders by way of a buyback of 15,000 ordinary shares at a price of 518.94p per share.</t>
  </si>
  <si>
    <t>The company returned £1,473,400 to shareholders by way of a buyback of 100,000 ordinary shares at a price of 1,473.4p per share.</t>
  </si>
  <si>
    <t>The company returned £1,857,500 to shareholders by way of a buyback of 125,000 ordinary shares at a price of 1,486.p per share.</t>
  </si>
  <si>
    <t>The company returned £1,682,593 to shareholders by way of a buyback of 110,000 ordinary shares at a price of 1,529.63p per share.</t>
  </si>
  <si>
    <t>The company returned £1,226,416 to shareholders by way of a buyback of 80,000 ordinary shares at a price of 1,533.02p per share.</t>
  </si>
  <si>
    <t>The company returned £6,203,440 to shareholders by way of a buyback of 400,000 ordinary shares at a price of 1,550.86p per share.</t>
  </si>
  <si>
    <t>The company returned £2,806,128 to shareholders by way of a buyback of 180,000 ordinary shares at a price of 1,558.96p per share.</t>
  </si>
  <si>
    <t>The company returned £3,093,320 to shareholders by way of a buyback of 200,000 ordinary shares at a price of 1,546.66p per share.</t>
  </si>
  <si>
    <t>The company returned £122,112 to shareholders by way of a buyback of 80,000 ordinary shares at a price of 152.64p per share.</t>
  </si>
  <si>
    <t>The company returned £152,020 to shareholders by way of a buyback of 100,000 ordinary shares at a price of 152.02p per share.</t>
  </si>
  <si>
    <t>The company returned £273,223 to shareholders by way of a buyback of 178,274 ordinary shares at a price of 153.26p per share.</t>
  </si>
  <si>
    <t>The company returned £316,300 to shareholders by way of a buyback of 200,000 ordinary shares at a price of 158.15p per share.</t>
  </si>
  <si>
    <t>The company returned £316,848 to shareholders by way of a buyback of 199,816 ordinary shares at a price of 158.57p per share.</t>
  </si>
  <si>
    <t>The company returned £176,308 to shareholders by way of a buyback of 109,815 ordinary shares at a price of 160.55p per share.</t>
  </si>
  <si>
    <t>The company returned £58,859 to shareholders by way of a buyback of 36,099 ordinary shares at a price of 163.05p per share.</t>
  </si>
  <si>
    <t>The company returned £128,006 to shareholders by way of a buyback of 76,135 ordinary shares at a price of 168.13p per share.</t>
  </si>
  <si>
    <t>The company returned £116,969 to shareholders by way of a buyback of 68,021 ordinary shares at a price of 171.96p per share.</t>
  </si>
  <si>
    <t>The company returned £136,450 to shareholders by way of a buyback of 79,749 ordinary shares at a price of 171.1p per share.</t>
  </si>
  <si>
    <t>The company returned £244,410 to shareholders by way of a buyback of 142,949 ordinary shares at a price of 170.98p per share.</t>
  </si>
  <si>
    <t>The company returned £254,957 to shareholders by way of a buyback of 149,342 ordinary shares at a price of 170.72p per share.</t>
  </si>
  <si>
    <t>The company returned £169,043 to shareholders by way of a buyback of 100,000 ordinary shares at a price of 169.04p per share.</t>
  </si>
  <si>
    <t>The company returned £122,748 to shareholders by way of a buyback of 72,852 ordinary shares at a price of 168.49p per share.</t>
  </si>
  <si>
    <t>The company returned £119,761 to shareholders by way of a buyback of 70,856 ordinary shares at a price of 169.02p per share.</t>
  </si>
  <si>
    <t>The company returned £129,456 to shareholders by way of a buyback of 77,051 ordinary shares at a price of 168.01p per share.</t>
  </si>
  <si>
    <t>The company returned £137,852 to shareholders by way of a buyback of 82,539 ordinary shares at a price of 167.01p per share.</t>
  </si>
  <si>
    <t>The company returned £40,388 to shareholders by way of a buyback of 24,436 ordinary shares at a price of 165.28p per share.</t>
  </si>
  <si>
    <t>The company returned £28,419 to shareholders by way of a buyback of 30,000 ordinary shares at a price of 94.73p per share.</t>
  </si>
  <si>
    <t>The company returned £46,160 to shareholders by way of a buyback of 48,792 ordinary shares at a price of 94.61p per share.</t>
  </si>
  <si>
    <t>The company returned £81,062 to shareholders by way of a buyback of 84,115 ordinary shares at a price of 96.37p per share.</t>
  </si>
  <si>
    <t>The company returned £16,628 to shareholders by way of a buyback of 16,688 ordinary shares at a price of 99.64p per share.</t>
  </si>
  <si>
    <t>The company returned £75,563 to shareholders by way of a buyback of 75,000 ordinary shares at a price of 100.75p per share.</t>
  </si>
  <si>
    <t>The company returned £21,979 to shareholders by way of a buyback of 21,475 ordinary shares at a price of 102.35p per share.</t>
  </si>
  <si>
    <t>The company returned £102,909 to shareholders by way of a buyback of 100,000 ordinary shares at a price of 102.91p per share.</t>
  </si>
  <si>
    <t>The company returned £98,132 to shareholders by way of a buyback of 95,991 ordinary shares at a price of 102.23p per share.</t>
  </si>
  <si>
    <t>The company returned £312,480 to shareholders by way of a buyback of 300,000 ordinary shares at a price of 104.16p per share.</t>
  </si>
  <si>
    <t>The company returned £319,972 to shareholders by way of a buyback of 308,767 ordinary shares at a price of 103.63p per share.</t>
  </si>
  <si>
    <t>The company returned £75,208 to shareholders by way of a buyback of 72,316 ordinary shares at a price of 104.p per share.</t>
  </si>
  <si>
    <t>The company returned £124,915 to shareholders by way of a buyback of 120,697 ordinary shares at a price of 103.5p per share.</t>
  </si>
  <si>
    <t>The company returned £103,670 to shareholders by way of a buyback of 100,000 ordinary shares at a price of 103.67p per share.</t>
  </si>
  <si>
    <t>The company returned £76,551 to shareholders by way of a buyback of 74,041 ordinary shares at a price of 103.39p per share.</t>
  </si>
  <si>
    <t>The company returned £60,390 to shareholders by way of a buyback of 58,495 ordinary shares at a price of 103.24p per share.</t>
  </si>
  <si>
    <t>The company returned £97,787 to shareholders by way of a buyback of 94,880 ordinary shares at a price of 103.06p per share.</t>
  </si>
  <si>
    <t>The company returned £63,248 to shareholders by way of a buyback of 61,299 ordinary shares at a price of 103.18p per share.</t>
  </si>
  <si>
    <t>The company returned £23,504 to shareholders by way of a buyback of 22,773 ordinary shares at a price of 103.21p per share.</t>
  </si>
  <si>
    <t>The company returned £637,200 to shareholders by way of a buyback of 70,000 ordinary shares at a price of 910.29p per share.</t>
  </si>
  <si>
    <t>The company returned £954,000 to shareholders by way of a buyback of 100,000 ordinary shares at a price of 954.p per share.</t>
  </si>
  <si>
    <t>The company returned £953,000 to shareholders by way of a buyback of 100,000 ordinary shares at a price of 953.p per share.</t>
  </si>
  <si>
    <t>The company returned £948,000 to shareholders by way of a buyback of 100,000 ordinary shares at a price of 948.p per share.</t>
  </si>
  <si>
    <t>The company returned £945,000 to shareholders by way of a buyback of 100,000 ordinary shares at a price of 945.p per share.</t>
  </si>
  <si>
    <t>The company returned £942,000 to shareholders by way of a buyback of 100,000 ordinary shares at a price of 942.p per share.</t>
  </si>
  <si>
    <t>The company returned £121,751 to shareholders by way of a buyback of 9,032 ordinary shares at a price of 1,348.p per share.</t>
  </si>
  <si>
    <t>The company returned £73,348 to shareholders by way of a buyback of 5,486 ordinary shares at a price of 1,337.p per share.</t>
  </si>
  <si>
    <t>The company returned £266,504 to shareholders by way of a buyback of 19,933 ordinary shares at a price of 1,337.p per share.</t>
  </si>
  <si>
    <t>The company returned £60,040 to shareholders by way of a buyback of 4,335 ordinary shares at a price of 1,385.p per share.</t>
  </si>
  <si>
    <t>The company returned £222,482 to shareholders by way of a buyback of 15,960 ordinary shares at a price of 1,394.p per share.</t>
  </si>
  <si>
    <t>The company returned £82,706 to shareholders by way of a buyback of 5,933 ordinary shares at a price of 1,394.p per share.</t>
  </si>
  <si>
    <t>The company returned £126,831 to shareholders by way of a buyback of 9,118 ordinary shares at a price of 1,391.p per share.</t>
  </si>
  <si>
    <t>The company returned £83,090 to shareholders by way of a buyback of 5,835 ordinary shares at a price of 1,424.p per share.</t>
  </si>
  <si>
    <t>The company returned £43,680 to shareholders by way of a buyback of 3,000 ordinary shares at a price of 1,456.p per share.</t>
  </si>
  <si>
    <t>The company returned £43,020 to shareholders by way of a buyback of 3,000 ordinary shares at a price of 1,434.p per share.</t>
  </si>
  <si>
    <t>The company returned £42,480 to shareholders by way of a buyback of 3,000 ordinary shares at a price of 1,416.p per share.</t>
  </si>
  <si>
    <t>The company returned £42,525 to shareholders by way of a buyback of 3,000 ordinary shares at a price of 1,417.5p per share.</t>
  </si>
  <si>
    <t>The company returned £41,340 to shareholders by way of a buyback of 3,000 ordinary shares at a price of 1,378.p per share.</t>
  </si>
  <si>
    <t>The company returned £41,130 to shareholders by way of a buyback of 3,000 ordinary shares at a price of 1,371.p per share.</t>
  </si>
  <si>
    <t>The company returned £97,181 to shareholders by way of a buyback of 7,220 ordinary shares at a price of 1,346.p per share.</t>
  </si>
  <si>
    <t>The company returned £354,722 to shareholders by way of a buyback of 26,393 ordinary shares at a price of 1,344.p per share.</t>
  </si>
  <si>
    <t>The company returned £482,500 to shareholders by way of a buyback of 100,000 ordinary shares at a price of 482.5p per share.</t>
  </si>
  <si>
    <t>The company returned £387,377 to shareholders by way of a buyback of 43,062 ordinary shares at a price of 899.58p per share.</t>
  </si>
  <si>
    <t>The company returned £877,400 to shareholders by way of a buyback of 100,000 ordinary shares at a price of 877.4p per share.</t>
  </si>
  <si>
    <t>The company returned £937,330 to shareholders by way of a buyback of 100,000 ordinary shares at a price of 937.33p per share.</t>
  </si>
  <si>
    <t>The company returned £701,820 to shareholders by way of a buyback of 75,000 ordinary shares at a price of 935.76p per share.</t>
  </si>
  <si>
    <t>The company returned £1,890,880 to shareholders by way of a buyback of 200,000 ordinary shares at a price of 945.44p per share.</t>
  </si>
  <si>
    <t>The company returned £1,316,529 to shareholders by way of a buyback of 134,159 ordinary shares at a price of 981.32p per share.</t>
  </si>
  <si>
    <t>The company returned £1,095,956 to shareholders by way of a buyback of 110,080 ordinary shares at a price of 995.6p per share.</t>
  </si>
  <si>
    <t>The company returned £159,818 to shareholders by way of a buyback of 16,046 ordinary shares at a price of 996.p per share.</t>
  </si>
  <si>
    <t>The company returned £745,895 to shareholders by way of a buyback of 75,002 ordinary shares at a price of 994.5p per share.</t>
  </si>
  <si>
    <t>The company returned £1,396,218 to shareholders by way of a buyback of 138,003 ordinary shares at a price of 1,011.73p per share.</t>
  </si>
  <si>
    <t>The company returned £1,303,289 to shareholders by way of a buyback of 130,000 ordinary shares at a price of 1,002.53p per share.</t>
  </si>
  <si>
    <t>The company returned £508,275 to shareholders by way of a buyback of 50,000 ordinary shares at a price of 1,016.55p per share.</t>
  </si>
  <si>
    <t>The company returned £546,843 to shareholders by way of a buyback of 150,000 ordinary shares at a price of 364.56p per share.</t>
  </si>
  <si>
    <t>The company returned £546,641 to shareholders by way of a buyback of 150,000 ordinary shares at a price of 364.43p per share.</t>
  </si>
  <si>
    <t>The company returned £402,873 to shareholders by way of a buyback of 110,000 ordinary shares at a price of 366.25p per share.</t>
  </si>
  <si>
    <t>The company returned £386,389 to shareholders by way of a buyback of 104,252 ordinary shares at a price of 370.63p per share.</t>
  </si>
  <si>
    <t>The company returned £546,350 to shareholders by way of a buyback of 150,000 ordinary shares at a price of 364.23p per share.</t>
  </si>
  <si>
    <t>The company returned £371,699 to shareholders by way of a buyback of 100,996 ordinary shares at a price of 368.03p per share.</t>
  </si>
  <si>
    <t>The company returned £220,547 to shareholders by way of a buyback of 60,000 ordinary shares at a price of 367.58p per share.</t>
  </si>
  <si>
    <t>The company returned £397,460 to shareholders by way of a buyback of 103,752 ordinary shares at a price of 383.09p per share.</t>
  </si>
  <si>
    <t>The company returned £569,459 to shareholders by way of a buyback of 150,000 ordinary shares at a price of 379.64p per share.</t>
  </si>
  <si>
    <t>The company returned £319,099 to shareholders by way of a buyback of 85,000 ordinary shares at a price of 375.41p per share.</t>
  </si>
  <si>
    <t>The company returned £556,275 to shareholders by way of a buyback of 150,000 ordinary shares at a price of 370.85p per share.</t>
  </si>
  <si>
    <t>The company returned £291,933 to shareholders by way of a buyback of 78,950 ordinary shares at a price of 369.77p per share.</t>
  </si>
  <si>
    <t>The company returned £416,241 to shareholders by way of a buyback of 109,798 ordinary shares at a price of 379.1p per share.</t>
  </si>
  <si>
    <t>The company returned £376,750 to shareholders by way of a buyback of 100,000 ordinary shares at a price of 376.75p per share.</t>
  </si>
  <si>
    <t>The company returned £466,540 to shareholders by way of a buyback of 124,498 ordinary shares at a price of 374.74p per share.</t>
  </si>
  <si>
    <t>The company returned £223,714 to shareholders by way of a buyback of 60,000 ordinary shares at a price of 372.86p per share.</t>
  </si>
  <si>
    <t>The company returned £490,134 to shareholders by way of a buyback of 130,100 ordinary shares at a price of 376.74p per share.</t>
  </si>
  <si>
    <t>The company returned £468,814 to shareholders by way of a buyback of 125,000 ordinary shares at a price of 375.05p per share.</t>
  </si>
  <si>
    <t>The company returned £592,134 to shareholders by way of a buyback of 158,372 ordinary shares at a price of 373.89p per share.</t>
  </si>
  <si>
    <t>The company returned £302,398 to shareholders by way of a buyback of 80,708 ordinary shares at a price of 374.68p per share.</t>
  </si>
  <si>
    <t>The company returned £377,197 to shareholders by way of a buyback of 50,000 ordinary shares at a price of 754.39p per share.</t>
  </si>
  <si>
    <t>The company returned £567,346 to shareholders by way of a buyback of 75,000 ordinary shares at a price of 756.46p per share.</t>
  </si>
  <si>
    <t>The company returned £97,378 to shareholders by way of a buyback of 13,000 ordinary shares at a price of 749.06p per share.</t>
  </si>
  <si>
    <t>The company returned £218,174 to shareholders by way of a buyback of 29,500 ordinary shares at a price of 739.57p per share.</t>
  </si>
  <si>
    <t>The company returned £57,700 to shareholders by way of a buyback of 10,000 ordinary shares at a price of 577.p per share.</t>
  </si>
  <si>
    <t>The company returned £286,250 to shareholders by way of a buyback of 50,000 ordinary shares at a price of 572.5p per share.</t>
  </si>
  <si>
    <t>The company returned £86,700 to shareholders by way of a buyback of 15,000 ordinary shares at a price of 578.p per share.</t>
  </si>
  <si>
    <t>The company returned £87,510 to shareholders by way of a buyback of 15,000 ordinary shares at a price of 583.4p per share.</t>
  </si>
  <si>
    <t>The company returned £151,000 to shareholders by way of a buyback of 25,000 ordinary shares at a price of 604.p per share.</t>
  </si>
  <si>
    <t>The company returned £358,800 to shareholders by way of a buyback of 60,000 ordinary shares at a price of 598.p per share.</t>
  </si>
  <si>
    <t>The company returned £209,300 to shareholders by way of a buyback of 35,000 ordinary shares at a price of 598.p per share.</t>
  </si>
  <si>
    <t>The company returned £301,500 to shareholders by way of a buyback of 50,000 ordinary shares at a price of 603.p per share.</t>
  </si>
  <si>
    <t>The company returned £120,000 to shareholders by way of a buyback of 20,000 ordinary shares at a price of 600.p per share.</t>
  </si>
  <si>
    <t>The company returned £361,200 to shareholders by way of a buyback of 60,000 ordinary shares at a price of 602.p per share.</t>
  </si>
  <si>
    <t>The company returned £120,400 to shareholders by way of a buyback of 20,000 ordinary shares at a price of 602.p per share.</t>
  </si>
  <si>
    <t>The company returned £527,000 to shareholders by way of a buyback of 100,000 ordinary shares at a price of 527.p per share.</t>
  </si>
  <si>
    <t>The company returned £1,365,328 to shareholders by way of a buyback of 260,000 ordinary shares at a price of 525.13p per share.</t>
  </si>
  <si>
    <t>The company returned £264,200 to shareholders by way of a buyback of 50,000 ordinary shares at a price of 528.4p per share.</t>
  </si>
  <si>
    <t>The company returned £4,276,800 to shareholders by way of a buyback of 800,000 ordinary shares at a price of 534.6p per share.</t>
  </si>
  <si>
    <t>The company returned £667,675 to shareholders by way of a buyback of 125,000 ordinary shares at a price of 534.14p per share.</t>
  </si>
  <si>
    <t>The company returned £399,500 to shareholders by way of a buyback of 75,000 ordinary shares at a price of 532.67p per share.</t>
  </si>
  <si>
    <t>The company returned £63,750 to shareholders by way of a buyback of 30,000 ordinary shares at a price of 212.5p per share.</t>
  </si>
  <si>
    <t>The company returned £252,386 to shareholders by way of a buyback of 115,991 ordinary shares at a price of 217.59p per share.</t>
  </si>
  <si>
    <t>The company returned £704,448 to shareholders by way of a buyback of 318,605 ordinary shares at a price of 221.1p per share.</t>
  </si>
  <si>
    <t>The company returned £616,130 to shareholders by way of a buyback of 278,927 ordinary shares at a price of 220.89p per share.</t>
  </si>
  <si>
    <t>The company returned £890,944 to shareholders by way of a buyback of 400,000 ordinary shares at a price of 222.74p per share.</t>
  </si>
  <si>
    <t>The company returned £56,500 to shareholders by way of a buyback of 25,000 ordinary shares at a price of 226.p per share.</t>
  </si>
  <si>
    <t>The company returned £451,000 to shareholders by way of a buyback of 200,000 ordinary shares at a price of 225.5p per share.</t>
  </si>
  <si>
    <t>The company returned £565,000 to shareholders by way of a buyback of 250,000 ordinary shares at a price of 226.p per share.</t>
  </si>
  <si>
    <t>The company returned £265,774 to shareholders by way of a buyback of 120,576 ordinary shares at a price of 220.42p per share.</t>
  </si>
  <si>
    <t>The company returned £399,397 to shareholders by way of a buyback of 619,989 ordinary shares at a price of 64.42p per share.</t>
  </si>
  <si>
    <t>The company returned £398,211 to shareholders by way of a buyback of 605,000 ordinary shares at a price of 65.82p per share.</t>
  </si>
  <si>
    <t>The company returned £399,721 to shareholders by way of a buyback of 595,000 ordinary shares at a price of 67.18p per share.</t>
  </si>
  <si>
    <t>The company returned £398,750 to shareholders by way of a buyback of 580,000 ordinary shares at a price of 68.75p per share.</t>
  </si>
  <si>
    <t>The company returned £399,214 to shareholders by way of a buyback of 580,000 ordinary shares at a price of 68.83p per share.</t>
  </si>
  <si>
    <t>The company returned £398,286 to shareholders by way of a buyback of 580,000 ordinary shares at a price of 68.67p per share.</t>
  </si>
  <si>
    <t>The company returned £398,561 to shareholders by way of a buyback of 585,000 ordinary shares at a price of 68.13p per share.</t>
  </si>
  <si>
    <t>The company returned £397,996 to shareholders by way of a buyback of 595,000 ordinary shares at a price of 66.89p per share.</t>
  </si>
  <si>
    <t>The company returned £398,880 to shareholders by way of a buyback of 600,000 ordinary shares at a price of 66.48p per share.</t>
  </si>
  <si>
    <t>The company returned £398,690 to shareholders by way of a buyback of 587,000 ordinary shares at a price of 67.92p per share.</t>
  </si>
  <si>
    <t>The company returned £398,400 to shareholders by way of a buyback of 600,000 ordinary shares at a price of 66.4p per share.</t>
  </si>
  <si>
    <t>The company returned £398,879 to shareholders by way of a buyback of 610,000 ordinary shares at a price of 65.39p per share.</t>
  </si>
  <si>
    <t>The company returned £398,627 to shareholders by way of a buyback of 598,000 ordinary shares at a price of 66.66p per share.</t>
  </si>
  <si>
    <t>The company returned £399,194 to shareholders by way of a buyback of 590,000 ordinary shares at a price of 67.66p per share.</t>
  </si>
  <si>
    <t>The company returned £399,784 to shareholders by way of a buyback of 590,000 ordinary shares at a price of 67.76p per share.</t>
  </si>
  <si>
    <t>The company returned £399,281 to shareholders by way of a buyback of 584,000 ordinary shares at a price of 68.37p per share.</t>
  </si>
  <si>
    <t>The company returned £399,169 to shareholders by way of a buyback of 577,000 ordinary shares at a price of 69.18p per share.</t>
  </si>
  <si>
    <t>The company returned £399,399 to shareholders by way of a buyback of 577,000 ordinary shares at a price of 69.22p per share.</t>
  </si>
  <si>
    <t>The company returned £400,084 to shareholders by way of a buyback of 580,000 ordinary shares at a price of 68.98p per share.</t>
  </si>
  <si>
    <t>The company returned £399,794 to shareholders by way of a buyback of 580,000 ordinary shares at a price of 68.93p per share.</t>
  </si>
  <si>
    <t>The company returned £21,500 to shareholders by way of a buyback of 1,000 ordinary shares at a price of 2,150.p per share.</t>
  </si>
  <si>
    <t>The company returned £21,670 to shareholders by way of a buyback of 1,000 ordinary shares at a price of 2,167.p per share.</t>
  </si>
  <si>
    <t>The company returned £54,600 to shareholders by way of a buyback of 2,600 ordinary shares at a price of 2,100.p per share.</t>
  </si>
  <si>
    <t>The company returned £532,000 to shareholders by way of a buyback of 25,000 ordinary shares at a price of 2,128.p per share.</t>
  </si>
  <si>
    <t>The company returned £863,600 to shareholders by way of a buyback of 40,000 ordinary shares at a price of 2,159.p per share.</t>
  </si>
  <si>
    <t>The company returned £4,273,234 to shareholders by way of a buyback of 193,359 ordinary shares at a price of 2,210.p per share.</t>
  </si>
  <si>
    <t>The company returned £218,300 to shareholders by way of a buyback of 10,000 ordinary shares at a price of 2,183.p per share.</t>
  </si>
  <si>
    <t>The company returned £220,400 to shareholders by way of a buyback of 10,000 ordinary shares at a price of 2,204.p per share.</t>
  </si>
  <si>
    <t>The company returned £704,000 to shareholders by way of a buyback of 32,000 ordinary shares at a price of 2,200.p per share.</t>
  </si>
  <si>
    <t>The company returned £143,299 to shareholders by way of a buyback of 6,490 ordinary shares at a price of 2,208.p per share.</t>
  </si>
  <si>
    <t>The company returned £441,200 to shareholders by way of a buyback of 20,000 ordinary shares at a price of 2,206.p per share.</t>
  </si>
  <si>
    <t>The company returned £295,942 to shareholders by way of a buyback of 13,265 ordinary shares at a price of 2,231.p per share.</t>
  </si>
  <si>
    <t>The company returned £2,427,700 to shareholders by way of a buyback of 110,000 ordinary shares at a price of 2,207.p per share.</t>
  </si>
  <si>
    <t>The company returned £767,900 to shareholders by way of a buyback of 35,000 ordinary shares at a price of 2,194.p per share.</t>
  </si>
  <si>
    <t>The company returned £278,100 to shareholders by way of a buyback of 135,000 ordinary shares at a price of 206.p per share.</t>
  </si>
  <si>
    <t>The company returned £21,344 to shareholders by way of a buyback of 10,000 ordinary shares at a price of 213.44p per share.</t>
  </si>
  <si>
    <t>The company returned £42,562 to shareholders by way of a buyback of 20,000 ordinary shares at a price of 212.81p per share.</t>
  </si>
  <si>
    <t>The company returned £53,500 to shareholders by way of a buyback of 25,000 ordinary shares at a price of 214.p per share.</t>
  </si>
  <si>
    <t>The company returned £54,000 to shareholders by way of a buyback of 25,000 ordinary shares at a price of 216.p per share.</t>
  </si>
  <si>
    <t>The company returned £199,800 to shareholders by way of a buyback of 90,000 ordinary shares at a price of 222.p per share.</t>
  </si>
  <si>
    <t>The company returned £150,736 to shareholders by way of a buyback of 100,000 ordinary shares at a price of 150.74p per share.</t>
  </si>
  <si>
    <t>The company returned £153,271 to shareholders by way of a buyback of 100,000 ordinary shares at a price of 153.27p per share.</t>
  </si>
  <si>
    <t>The company returned £76,247 to shareholders by way of a buyback of 50,000 ordinary shares at a price of 152.49p per share.</t>
  </si>
  <si>
    <t>The company returned £159,364 to shareholders by way of a buyback of 100,000 ordinary shares at a price of 159.36p per share.</t>
  </si>
  <si>
    <t>The company returned £126,804 to shareholders by way of a buyback of 76,212 ordinary shares at a price of 166.38p per share.</t>
  </si>
  <si>
    <t>The company returned £422,822 to shareholders by way of a buyback of 250,000 ordinary shares at a price of 169.13p per share.</t>
  </si>
  <si>
    <t>The company returned £418,473 to shareholders by way of a buyback of 250,000 ordinary shares at a price of 167.39p per share.</t>
  </si>
  <si>
    <t>The company returned £409,429 to shareholders by way of a buyback of 250,000 ordinary shares at a price of 163.77p per share.</t>
  </si>
  <si>
    <t>The company returned £409,364 to shareholders by way of a buyback of 250,000 ordinary shares at a price of 163.75p per share.</t>
  </si>
  <si>
    <t>The company returned £405,511 to shareholders by way of a buyback of 250,000 ordinary shares at a price of 162.2p per share.</t>
  </si>
  <si>
    <t>The company returned £1,098,821 to shareholders by way of a buyback of 180,105 ordinary shares at a price of 610.1p per share.</t>
  </si>
  <si>
    <t>The company returned £228,548 to shareholders by way of a buyback of 36,967 ordinary shares at a price of 618.25p per share.</t>
  </si>
  <si>
    <t>The company returned £202,575 to shareholders by way of a buyback of 32,870 ordinary shares at a price of 616.29p per share.</t>
  </si>
  <si>
    <t>The company returned £444,598 to shareholders by way of a buyback of 72,175 ordinary shares at a price of 616.p per share.</t>
  </si>
  <si>
    <t>The company returned £290,783 to shareholders by way of a buyback of 46,746 ordinary shares at a price of 622.05p per share.</t>
  </si>
  <si>
    <t>The company returned £360,180 to shareholders by way of a buyback of 58,000 ordinary shares at a price of 621.p per share.</t>
  </si>
  <si>
    <t>The company returned £161,242 to shareholders by way of a buyback of 26,000 ordinary shares at a price of 620.16p per share.</t>
  </si>
  <si>
    <t>The company returned £202,424 to shareholders by way of a buyback of 30,000 ordinary shares at a price of 674.75p per share.</t>
  </si>
  <si>
    <t>The company returned £404,365 to shareholders by way of a buyback of 58,015 ordinary shares at a price of 697.p per share.</t>
  </si>
  <si>
    <t>The company returned £1,843,374 to shareholders by way of a buyback of 261,985 ordinary shares at a price of 703.62p per share.</t>
  </si>
  <si>
    <t>The company returned £350,000 to shareholders by way of a buyback of 50,000 ordinary shares at a price of 700.p per share.</t>
  </si>
  <si>
    <t>The company returned £196,300 to shareholders by way of a buyback of 27,493 ordinary shares at a price of 714.p per share.</t>
  </si>
  <si>
    <t>The company returned £253,457 to shareholders by way of a buyback of 35,000 ordinary shares at a price of 724.16p per share.</t>
  </si>
  <si>
    <t>The company returned £187,859 to shareholders by way of a buyback of 25,567 ordinary shares at a price of 734.77p per share.</t>
  </si>
  <si>
    <t>The company returned £511,148 to shareholders by way of a buyback of 69,465 ordinary shares at a price of 735.84p per share.</t>
  </si>
  <si>
    <t>The company returned £137,151 to shareholders by way of a buyback of 18,427 ordinary shares at a price of 744.3p per share.</t>
  </si>
  <si>
    <t>The company returned £375,000 to shareholders by way of a buyback of 50,000 ordinary shares at a price of 750.p per share.</t>
  </si>
  <si>
    <t>The company returned £745,050 to shareholders by way of a buyback of 100,000 ordinary shares at a price of 745.05p per share.</t>
  </si>
  <si>
    <t>The company returned £527,647 to shareholders by way of a buyback of 70,471 ordinary shares at a price of 748.74p per share.</t>
  </si>
  <si>
    <t>The company returned £71,238 to shareholders by way of a buyback of 9,507 ordinary shares at a price of 749.32p per share.</t>
  </si>
  <si>
    <t>The company returned £97,767 to shareholders by way of a buyback of 162,000 ordinary shares at a price of 60.35p per share.</t>
  </si>
  <si>
    <t>The company returned £4,800 to shareholders by way of a buyback of 7,869 ordinary shares at a price of 61.p per share.</t>
  </si>
  <si>
    <t>The company returned £17,817 to shareholders by way of a buyback of 28,138 ordinary shares at a price of 63.32p per share.</t>
  </si>
  <si>
    <t>The company returned £102,000 to shareholders by way of a buyback of 30,000 ordinary shares at a price of 340.p per share.</t>
  </si>
  <si>
    <t>The company returned £101,250 to shareholders by way of a buyback of 30,000 ordinary shares at a price of 337.5p per share.</t>
  </si>
  <si>
    <t>The company returned £52,200 to shareholders by way of a buyback of 15,000 ordinary shares at a price of 348.p per share.</t>
  </si>
  <si>
    <t>The company returned £104,345 to shareholders by way of a buyback of 30,000 ordinary shares at a price of 347.82p per share.</t>
  </si>
  <si>
    <t>The company returned £104,550 to shareholders by way of a buyback of 30,000 ordinary shares at a price of 348.5p per share.</t>
  </si>
  <si>
    <t>The company returned £105,100 to shareholders by way of a buyback of 30,000 ordinary shares at a price of 350.33p per share.</t>
  </si>
  <si>
    <t>The company returned £176,200 to shareholders by way of a buyback of 50,000 ordinary shares at a price of 352.4p per share.</t>
  </si>
  <si>
    <t>The company returned £177,550 to shareholders by way of a buyback of 50,000 ordinary shares at a price of 355.1p per share.</t>
  </si>
  <si>
    <t>The company returned £109,720 to shareholders by way of a buyback of 30,000 ordinary shares at a price of 365.73p per share.</t>
  </si>
  <si>
    <t>The company returned £90,005 to shareholders by way of a buyback of 25,000 ordinary shares at a price of 360.02p per share.</t>
  </si>
  <si>
    <t>The company returned £107,700 to shareholders by way of a buyback of 30,000 ordinary shares at a price of 359.p per share.</t>
  </si>
  <si>
    <t>The company returned £106,253 to shareholders by way of a buyback of 30,000 ordinary shares at a price of 354.18p per share.</t>
  </si>
  <si>
    <t>The company returned £53,150 to shareholders by way of a buyback of 15,000 ordinary shares at a price of 354.33p per share.</t>
  </si>
  <si>
    <t>The company returned £53,022 to shareholders by way of a buyback of 15,000 ordinary shares at a price of 353.48p per share.</t>
  </si>
  <si>
    <t>The company returned £52,310 to shareholders by way of a buyback of 15,000 ordinary shares at a price of 348.73p per share.</t>
  </si>
  <si>
    <t>The company returned £70,150 to shareholders by way of a buyback of 20,000 ordinary shares at a price of 350.75p per share.</t>
  </si>
  <si>
    <t>The company returned £103,322 to shareholders by way of a buyback of 32,041 ordinary shares at a price of 322.47p per share.</t>
  </si>
  <si>
    <t>The company returned £73,092 to shareholders by way of a buyback of 23,053 ordinary shares at a price of 317.06p per share.</t>
  </si>
  <si>
    <t>The company returned £158,002 to shareholders by way of a buyback of 49,647 ordinary shares at a price of 318.25p per share.</t>
  </si>
  <si>
    <t>The company returned £128,305 to shareholders by way of a buyback of 39,000 ordinary shares at a price of 328.99p per share.</t>
  </si>
  <si>
    <t>The company returned £108,010 to shareholders by way of a buyback of 32,500 ordinary shares at a price of 332.34p per share.</t>
  </si>
  <si>
    <t>The company returned £83,073 to shareholders by way of a buyback of 25,022 ordinary shares at a price of 332.p per share.</t>
  </si>
  <si>
    <t>The company returned £104,283 to shareholders by way of a buyback of 30,423 ordinary shares at a price of 342.78p per share.</t>
  </si>
  <si>
    <t>The company returned £171,992 to shareholders by way of a buyback of 50,000 ordinary shares at a price of 343.98p per share.</t>
  </si>
  <si>
    <t>The company returned £119,573 to shareholders by way of a buyback of 35,100 ordinary shares at a price of 340.66p per share.</t>
  </si>
  <si>
    <t>The company returned £167,578 to shareholders by way of a buyback of 50,000 ordinary shares at a price of 335.16p per share.</t>
  </si>
  <si>
    <t>The company returned £81,537 to shareholders by way of a buyback of 24,223 ordinary shares at a price of 336.61p per share.</t>
  </si>
  <si>
    <t>The company returned £61,627 to shareholders by way of a buyback of 17,967 ordinary shares at a price of 343.p per share.</t>
  </si>
  <si>
    <t>The company returned £249,907 to shareholders by way of a buyback of 68,374 ordinary shares at a price of 365.5p per share.</t>
  </si>
  <si>
    <t>The company returned £256,600 to shareholders by way of a buyback of 70,000 ordinary shares at a price of 366.57p per share.</t>
  </si>
  <si>
    <t>The company returned £377,000 to shareholders by way of a buyback of 100,000 ordinary shares at a price of 377.p per share.</t>
  </si>
  <si>
    <t>The company returned £687,485 to shareholders by way of a buyback of 180,000 ordinary shares at a price of 381.94p per share.</t>
  </si>
  <si>
    <t>The company returned £289,875 to shareholders by way of a buyback of 75,000 ordinary shares at a price of 386.5p per share.</t>
  </si>
  <si>
    <t>The company returned £274,376 to shareholders by way of a buyback of 69,000 ordinary shares at a price of 397.65p per share.</t>
  </si>
  <si>
    <t>The company returned £439,011 to shareholders by way of a buyback of 110,000 ordinary shares at a price of 399.1p per share.</t>
  </si>
  <si>
    <t>The company returned £69,000 to shareholders by way of a buyback of 10,000 ordinary shares at a price of 690.p per share.</t>
  </si>
  <si>
    <t>The company returned £72,554 to shareholders by way of a buyback of 10,500 ordinary shares at a price of 690.99p per share.</t>
  </si>
  <si>
    <t>The company returned £71,519 to shareholders by way of a buyback of 10,000 ordinary shares at a price of 715.19p per share.</t>
  </si>
  <si>
    <t>The company returned £109,073 to shareholders by way of a buyback of 15,000 ordinary shares at a price of 727.15p per share.</t>
  </si>
  <si>
    <t>The company returned £147,600 to shareholders by way of a buyback of 20,000 ordinary shares at a price of 738.p per share.</t>
  </si>
  <si>
    <t>The company returned £74,000 to shareholders by way of a buyback of 10,000 ordinary shares at a price of 740.p per share.</t>
  </si>
  <si>
    <t>The company returned £73,649 to shareholders by way of a buyback of 10,000 ordinary shares at a price of 736.49p per share.</t>
  </si>
  <si>
    <t>The company returned £72,500 to shareholders by way of a buyback of 10,000 ordinary shares at a price of 725.p per share.</t>
  </si>
  <si>
    <t>The company returned £142,776 to shareholders by way of a buyback of 20,000 ordinary shares at a price of 713.88p per share.</t>
  </si>
  <si>
    <t>The company returned £997,560 to shareholders by way of a buyback of 200,000 ordinary shares at a price of 498.78p per share.</t>
  </si>
  <si>
    <t>The company returned £993,580 to shareholders by way of a buyback of 200,000 ordinary shares at a price of 496.79p per share.</t>
  </si>
  <si>
    <t>The company returned £997,940 to shareholders by way of a buyback of 200,000 ordinary shares at a price of 498.97p per share.</t>
  </si>
  <si>
    <t>The company returned £1,018,900 to shareholders by way of a buyback of 200,000 ordinary shares at a price of 509.45p per share.</t>
  </si>
  <si>
    <t>The company returned £1,013,820 to shareholders by way of a buyback of 200,000 ordinary shares at a price of 506.91p per share.</t>
  </si>
  <si>
    <t>The company returned £1,019,320 to shareholders by way of a buyback of 200,000 ordinary shares at a price of 509.66p per share.</t>
  </si>
  <si>
    <t>The company returned £1,015,020 to shareholders by way of a buyback of 200,000 ordinary shares at a price of 507.51p per share.</t>
  </si>
  <si>
    <t>The company returned £1,024,160 to shareholders by way of a buyback of 200,000 ordinary shares at a price of 512.08p per share.</t>
  </si>
  <si>
    <t>The company returned £1,019,960 to shareholders by way of a buyback of 200,000 ordinary shares at a price of 509.98p per share.</t>
  </si>
  <si>
    <t>The company returned £1,024,660 to shareholders by way of a buyback of 200,000 ordinary shares at a price of 512.33p per share.</t>
  </si>
  <si>
    <t>The company returned £1,046,180 to shareholders by way of a buyback of 200,000 ordinary shares at a price of 523.09p per share.</t>
  </si>
  <si>
    <t>The company returned £1,042,740 to shareholders by way of a buyback of 200,000 ordinary shares at a price of 521.37p per share.</t>
  </si>
  <si>
    <t>The company returned £1,045,860 to shareholders by way of a buyback of 200,000 ordinary shares at a price of 522.93p per share.</t>
  </si>
  <si>
    <t>The company returned £1,046,040 to shareholders by way of a buyback of 200,000 ordinary shares at a price of 523.02p per share.</t>
  </si>
  <si>
    <t>The company returned £1,051,560 to shareholders by way of a buyback of 200,000 ordinary shares at a price of 525.78p per share.</t>
  </si>
  <si>
    <t>The company returned £1,051,420 to shareholders by way of a buyback of 200,000 ordinary shares at a price of 525.71p per share.</t>
  </si>
  <si>
    <t>The company returned £1,051,500 to shareholders by way of a buyback of 200,000 ordinary shares at a price of 525.75p per share.</t>
  </si>
  <si>
    <t>The company returned £1,045,080 to shareholders by way of a buyback of 200,000 ordinary shares at a price of 522.54p per share.</t>
  </si>
  <si>
    <t>The company returned £1,043,200 to shareholders by way of a buyback of 200,000 ordinary shares at a price of 521.6p per share.</t>
  </si>
  <si>
    <t>The company returned £1,048,160 to shareholders by way of a buyback of 200,000 ordinary shares at a price of 524.08p per share.</t>
  </si>
  <si>
    <t>The company returned £630 to shareholders by way of a buyback of 25,000 ordinary shares at a price of 2.52p per share.</t>
  </si>
  <si>
    <t>The company returned £198,750 to shareholders by way of a buyback of 75,000 ordinary shares at a price of 265.p per share.</t>
  </si>
  <si>
    <t>The company returned £66,750 to shareholders by way of a buyback of 25,000 ordinary shares at a price of 267.p per share.</t>
  </si>
  <si>
    <t>The company returned £201,000 to shareholders by way of a buyback of 75,000 ordinary shares at a price of 268.p per share.</t>
  </si>
  <si>
    <t>The company returned £40,500 to shareholders by way of a buyback of 15,000 ordinary shares at a price of 270.p per share.</t>
  </si>
  <si>
    <t>The company returned £107,200 to shareholders by way of a buyback of 40,000 ordinary shares at a price of 268.p per share.</t>
  </si>
  <si>
    <t>The company returned £324,870 to shareholders by way of a buyback of 420,000 ordinary shares at a price of 77.35p per share.</t>
  </si>
  <si>
    <t>The company returned £381,400 to shareholders by way of a buyback of 500,000 ordinary shares at a price of 76.28p per share.</t>
  </si>
  <si>
    <t>The company returned £523,575 to shareholders by way of a buyback of 682,894 ordinary shares at a price of 76.67p per share.</t>
  </si>
  <si>
    <t>The company returned £603,249 to shareholders by way of a buyback of 778,085 ordinary shares at a price of 77.53p per share.</t>
  </si>
  <si>
    <t>The company returned £444,376 to shareholders by way of a buyback of 573,315 ordinary shares at a price of 77.51p per share.</t>
  </si>
  <si>
    <t>The company returned £701,280 to shareholders by way of a buyback of 900,000 ordinary shares at a price of 77.92p per share.</t>
  </si>
  <si>
    <t>The company returned £315,063 to shareholders by way of a buyback of 405,486 ordinary shares at a price of 77.7p per share.</t>
  </si>
  <si>
    <t>The company returned £176,242 to shareholders by way of a buyback of 220,000 ordinary shares at a price of 80.11p per share.</t>
  </si>
  <si>
    <t>The company returned £282,349 to shareholders by way of a buyback of 350,439 ordinary shares at a price of 80.57p per share.</t>
  </si>
  <si>
    <t>The company returned £466,027 to shareholders by way of a buyback of 571,322 ordinary shares at a price of 81.57p per share.</t>
  </si>
  <si>
    <t>The company returned £324,200 to shareholders by way of a buyback of 400,000 ordinary shares at a price of 81.05p per share.</t>
  </si>
  <si>
    <t>The company returned £352,334 to shareholders by way of a buyback of 436,922 ordinary shares at a price of 80.64p per share.</t>
  </si>
  <si>
    <t>The company returned £356,972 to shareholders by way of a buyback of 440,000 ordinary shares at a price of 81.13p per share.</t>
  </si>
  <si>
    <t>The company returned £374,957 to shareholders by way of a buyback of 463,367 ordinary shares at a price of 80.92p per share.</t>
  </si>
  <si>
    <t>The company returned £266,013 to shareholders by way of a buyback of 325,000 ordinary shares at a price of 81.85p per share.</t>
  </si>
  <si>
    <t>The company returned £254,058 to shareholders by way of a buyback of 309,713 ordinary shares at a price of 82.03p per share.</t>
  </si>
  <si>
    <t>The company returned £308,773 to shareholders by way of a buyback of 375,636 ordinary shares at a price of 82.2p per share.</t>
  </si>
  <si>
    <t>The company returned £248,604 to shareholders by way of a buyback of 304,140 ordinary shares at a price of 81.74p per share.</t>
  </si>
  <si>
    <t>The company returned £286,196 to shareholders by way of a buyback of 350,001 ordinary shares at a price of 81.77p per share.</t>
  </si>
  <si>
    <t>The company returned £323,214 to shareholders by way of a buyback of 407,790 ordinary shares at a price of 79.26p per share.</t>
  </si>
  <si>
    <t>The company returned £252,375 to shareholders by way of a buyback of 75,000 ordinary shares at a price of 336.5p per share.</t>
  </si>
  <si>
    <t>The company returned £33,500 to shareholders by way of a buyback of 10,000 ordinary shares at a price of 335.p per share.</t>
  </si>
  <si>
    <t>The company returned £234,255 to shareholders by way of a buyback of 70,000 ordinary shares at a price of 334.65p per share.</t>
  </si>
  <si>
    <t>The company returned £307,206 to shareholders by way of a buyback of 90,000 ordinary shares at a price of 341.34p per share.</t>
  </si>
  <si>
    <t>The company returned £121,489 to shareholders by way of a buyback of 35,000 ordinary shares at a price of 347.11p per share.</t>
  </si>
  <si>
    <t>The company returned £85,750 to shareholders by way of a buyback of 25,000 ordinary shares at a price of 343.p per share.</t>
  </si>
  <si>
    <t>The company returned £88,000 to shareholders by way of a buyback of 25,000 ordinary shares at a price of 352.p per share.</t>
  </si>
  <si>
    <t>The company returned £88,625 to shareholders by way of a buyback of 25,000 ordinary shares at a price of 354.5p per share.</t>
  </si>
  <si>
    <t>The company returned £108,500 to shareholders by way of a buyback of 50,000 ordinary shares at a price of 217.p per share.</t>
  </si>
  <si>
    <t>The company returned £573,498 to shareholders by way of a buyback of 260,000 ordinary shares at a price of 220.58p per share.</t>
  </si>
  <si>
    <t>The company returned £196,200 to shareholders by way of a buyback of 90,000 ordinary shares at a price of 218.p per share.</t>
  </si>
  <si>
    <t>The company returned £132,000 to shareholders by way of a buyback of 60,000 ordinary shares at a price of 220.p per share.</t>
  </si>
  <si>
    <t>The company returned £332,499 to shareholders by way of a buyback of 150,000 ordinary shares at a price of 221.67p per share.</t>
  </si>
  <si>
    <t>The company returned £403,324 to shareholders by way of a buyback of 180,000 ordinary shares at a price of 224.07p per share.</t>
  </si>
  <si>
    <t>The company returned £111,750 to shareholders by way of a buyback of 50,000 ordinary shares at a price of 223.5p per share.</t>
  </si>
  <si>
    <t>The company returned £222,000 to shareholders by way of a buyback of 100,000 ordinary shares at a price of 222.p per share.</t>
  </si>
  <si>
    <t>The company returned £288,600 to shareholders by way of a buyback of 130,000 ordinary shares at a price of 222.p per share.</t>
  </si>
  <si>
    <t>The company returned £121,550 to shareholders by way of a buyback of 55,000 ordinary shares at a price of 221.p per share.</t>
  </si>
  <si>
    <t>The company returned £880,526 to shareholders by way of a buyback of 345,684 ordinary shares at a price of 254.72p per share.</t>
  </si>
  <si>
    <t>The company returned £153,741 to shareholders by way of a buyback of 58,000 ordinary shares at a price of 265.07p per share.</t>
  </si>
  <si>
    <t>The company returned £43,261 to shareholders by way of a buyback of 16,142 ordinary shares at a price of 268.p per share.</t>
  </si>
  <si>
    <t>The company returned £133,750 to shareholders by way of a buyback of 50,000 ordinary shares at a price of 267.5p per share.</t>
  </si>
  <si>
    <t>The company returned £629,573 to shareholders by way of a buyback of 230,250 ordinary shares at a price of 273.43p per share.</t>
  </si>
  <si>
    <t>The company returned £989,683 to shareholders by way of a buyback of 358,036 ordinary shares at a price of 276.42p per share.</t>
  </si>
  <si>
    <t>The company returned £989,798 to shareholders by way of a buyback of 353,891 ordinary shares at a price of 279.69p per share.</t>
  </si>
  <si>
    <t>The company returned £1,136,211 to shareholders by way of a buyback of 402,569 ordinary shares at a price of 282.24p per share.</t>
  </si>
  <si>
    <t>The company returned £524,513 to shareholders by way of a buyback of 183,006 ordinary shares at a price of 286.61p per share.</t>
  </si>
  <si>
    <t>The company returned £1,138,960 to shareholders by way of a buyback of 400,000 ordinary shares at a price of 284.74p per share.</t>
  </si>
  <si>
    <t>The company returned £2,848,600 to shareholders by way of a buyback of 1,000,000 ordinary shares at a price of 284.86p per share.</t>
  </si>
  <si>
    <t>The company returned £542,873 to shareholders by way of a buyback of 254,754 ordinary shares at a price of 213.1p per share.</t>
  </si>
  <si>
    <t>The company returned £208,057 to shareholders by way of a buyback of 95,985 ordinary shares at a price of 216.76p per share.</t>
  </si>
  <si>
    <t>The company returned £156,325 to shareholders by way of a buyback of 70,644 ordinary shares at a price of 221.29p per share.</t>
  </si>
  <si>
    <t>The company returned £431,302 to shareholders by way of a buyback of 192,728 ordinary shares at a price of 223.79p per share.</t>
  </si>
  <si>
    <t>The company returned £297,372 to shareholders by way of a buyback of 131,665 ordinary shares at a price of 225.86p per share.</t>
  </si>
  <si>
    <t>The company returned £1,140,820 to shareholders by way of a buyback of 500,000 ordinary shares at a price of 228.16p per share.</t>
  </si>
  <si>
    <t>The company returned £1,135,800 to shareholders by way of a buyback of 500,000 ordinary shares at a price of 227.16p per share.</t>
  </si>
  <si>
    <t>The company returned £1,058,086 to shareholders by way of a buyback of 466,109 ordinary shares at a price of 227.p per share.</t>
  </si>
  <si>
    <t>The company returned £1,131,225 to shareholders by way of a buyback of 500,000 ordinary shares at a price of 226.25p per share.</t>
  </si>
  <si>
    <t>The company returned £207,555 to shareholders by way of a buyback of 92,042 ordinary shares at a price of 225.5p per share.</t>
  </si>
  <si>
    <t>The company returned £160,740 to shareholders by way of a buyback of 90,000 ordinary shares at a price of 178.6p per share.</t>
  </si>
  <si>
    <t>The company returned £73,440 to shareholders by way of a buyback of 40,000 ordinary shares at a price of 183.6p per share.</t>
  </si>
  <si>
    <t>The company returned £170,460 to shareholders by way of a buyback of 90,000 ordinary shares at a price of 189.4p per share.</t>
  </si>
  <si>
    <t>The company returned £189,400 to shareholders by way of a buyback of 100,000 ordinary shares at a price of 189.4p per share.</t>
  </si>
  <si>
    <t>The company returned £328,685 to shareholders by way of a buyback of 175,000 ordinary shares at a price of 187.82p per share.</t>
  </si>
  <si>
    <t>The company returned £934,150 to shareholders by way of a buyback of 500,000 ordinary shares at a price of 186.83p per share.</t>
  </si>
  <si>
    <t>The company returned £56,400 to shareholders by way of a buyback of 30,000 ordinary shares at a price of 188.p per share.</t>
  </si>
  <si>
    <t>The company returned £276,500 to shareholders by way of a buyback of 100,000 ordinary shares at a price of 276.5p per share.</t>
  </si>
  <si>
    <t>The company returned £139,500 to shareholders by way of a buyback of 50,000 ordinary shares at a price of 279.p per share.</t>
  </si>
  <si>
    <t>The company returned £138,500 to shareholders by way of a buyback of 50,000 ordinary shares at a price of 277.p per share.</t>
  </si>
  <si>
    <t>The company returned £151,405 to shareholders by way of a buyback of 53,500 ordinary shares at a price of 283.p per share.</t>
  </si>
  <si>
    <t>The company returned £144,875 to shareholders by way of a buyback of 50,000 ordinary shares at a price of 289.75p per share.</t>
  </si>
  <si>
    <t>The company returned £1,232,240 to shareholders by way of a buyback of 422,000 ordinary shares at a price of 292.p per share.</t>
  </si>
  <si>
    <t>The company returned £295,450 to shareholders by way of a buyback of 100,000 ordinary shares at a price of 295.45p per share.</t>
  </si>
  <si>
    <t>The company returned £224,828 to shareholders by way of a buyback of 75,000 ordinary shares at a price of 299.77p per share.</t>
  </si>
  <si>
    <t>The company returned £94,922 to shareholders by way of a buyback of 32,000 ordinary shares at a price of 296.63p per share.</t>
  </si>
  <si>
    <t>The company returned £74,250 to shareholders by way of a buyback of 25,000 ordinary shares at a price of 297.p per share.</t>
  </si>
  <si>
    <t>The company returned £221,250 to shareholders by way of a buyback of 75,000 ordinary shares at a price of 295.p per share.</t>
  </si>
  <si>
    <t>The company returned £145,750 to shareholders by way of a buyback of 50,000 ordinary shares at a price of 291.5p per share.</t>
  </si>
  <si>
    <t>The company returned £143,500 to shareholders by way of a buyback of 50,000 ordinary shares at a price of 287.p per share.</t>
  </si>
  <si>
    <t>The company returned £431,550 to shareholders by way of a buyback of 150,000 ordinary shares at a price of 287.7p per share.</t>
  </si>
  <si>
    <t>The company returned £144,250 to shareholders by way of a buyback of 50,000 ordinary shares at a price of 288.5p per share.</t>
  </si>
  <si>
    <t>The company returned £171,900 to shareholders by way of a buyback of 90,000 ordinary shares at a price of 191.p per share.</t>
  </si>
  <si>
    <t>The company returned £1,510,163 to shareholders by way of a buyback of 204,668 ordinary shares at a price of 737.86p per share.</t>
  </si>
  <si>
    <t>The company returned £911,024 to shareholders by way of a buyback of 123,153 ordinary shares at a price of 739.75p per share.</t>
  </si>
  <si>
    <t>The company returned £1,084,995 to shareholders by way of a buyback of 150,000 ordinary shares at a price of 723.33p per share.</t>
  </si>
  <si>
    <t>The company returned £1,022,774 to shareholders by way of a buyback of 138,153 ordinary shares at a price of 740.32p per share.</t>
  </si>
  <si>
    <t>The company returned £1,230,018 to shareholders by way of a buyback of 165,325 ordinary shares at a price of 744.p per share.</t>
  </si>
  <si>
    <t>The company returned £445,800 to shareholders by way of a buyback of 60,000 ordinary shares at a price of 743.p per share.</t>
  </si>
  <si>
    <t>The company returned £1,310,722 to shareholders by way of a buyback of 174,326 ordinary shares at a price of 751.88p per share.</t>
  </si>
  <si>
    <t>The company returned £190,243 to shareholders by way of a buyback of 25,332 ordinary shares at a price of 751.p per share.</t>
  </si>
  <si>
    <t>The company returned £113,858 to shareholders by way of a buyback of 31,024 ordinary shares at a price of 367.p per share.</t>
  </si>
  <si>
    <t>The company returned £91,250 to shareholders by way of a buyback of 25,000 ordinary shares at a price of 365.p per share.</t>
  </si>
  <si>
    <t>The company returned £64,095 to shareholders by way of a buyback of 17,370 ordinary shares at a price of 369.p per share.</t>
  </si>
  <si>
    <t>The company returned £86,979 to shareholders by way of a buyback of 23,476 ordinary shares at a price of 370.5p per share.</t>
  </si>
  <si>
    <t>The company returned £554,036 to shareholders by way of a buyback of 121,604 ordinary shares at a price of 455.61p per share.</t>
  </si>
  <si>
    <t>The company returned £461,086 to shareholders by way of a buyback of 100,000 ordinary shares at a price of 461.09p per share.</t>
  </si>
  <si>
    <t>The company returned £138,000 to shareholders by way of a buyback of 30,000 ordinary shares at a price of 460.p per share.</t>
  </si>
  <si>
    <t>The company returned £146,067 to shareholders by way of a buyback of 30,854 ordinary shares at a price of 473.42p per share.</t>
  </si>
  <si>
    <t>The company returned £193,292 to shareholders by way of a buyback of 40,847 ordinary shares at a price of 473.21p per share.</t>
  </si>
  <si>
    <t>The company returned £79,748 to shareholders by way of a buyback of 16,999 ordinary shares at a price of 469.13p per share.</t>
  </si>
  <si>
    <t>The company returned £235,306 to shareholders by way of a buyback of 50,000 ordinary shares at a price of 470.61p per share.</t>
  </si>
  <si>
    <t>The company returned £104,982 to shareholders by way of a buyback of 22,505 ordinary shares at a price of 466.48p per share.</t>
  </si>
  <si>
    <t>The company returned £116,347 to shareholders by way of a buyback of 25,000 ordinary shares at a price of 465.39p per share.</t>
  </si>
  <si>
    <t>The company returned £464,481 to shareholders by way of a buyback of 100,000 ordinary shares at a price of 464.48p per share.</t>
  </si>
  <si>
    <t>The company returned £184,448 to shareholders by way of a buyback of 40,000 ordinary shares at a price of 461.12p per share.</t>
  </si>
  <si>
    <t>The company returned £182,834 to shareholders by way of a buyback of 39,718 ordinary shares at a price of 460.33p per share.</t>
  </si>
  <si>
    <t>The company returned £861,600 to shareholders by way of a buyback of 250,000 ordinary shares at a price of 344.64p per share.</t>
  </si>
  <si>
    <t>The company returned £4,816,700 to shareholders by way of a buyback of 1,400,000 ordinary shares at a price of 344.05p per share.</t>
  </si>
  <si>
    <t>The company returned £3,461,400 to shareholders by way of a buyback of 1,000,000 ordinary shares at a price of 346.14p per share.</t>
  </si>
  <si>
    <t>The company returned £2,959,275 to shareholders by way of a buyback of 850,000 ordinary shares at a price of 348.15p per share.</t>
  </si>
  <si>
    <t>The company returned £3,531,333 to shareholders by way of a buyback of 1,016,679 ordinary shares at a price of 347.34p per share.</t>
  </si>
  <si>
    <t>The company returned £2,219,945 to shareholders by way of a buyback of 650,000 ordinary shares at a price of 341.53p per share.</t>
  </si>
  <si>
    <t>The company returned £4,166,250 to shareholders by way of a buyback of 1,250,000 ordinary shares at a price of 333.3p per share.</t>
  </si>
  <si>
    <t>The company returned £6,768,026 to shareholders by way of a buyback of 325,389 ordinary shares at a price of 676.8p per share.</t>
  </si>
  <si>
    <t>The company returned £8,270,867 to shareholders by way of a buyback of 375,928 ordinary shares at a price of 827.09p per share.</t>
  </si>
  <si>
    <t>The company returned £8,197,246 to shareholders by way of a buyback of 391,849 ordinary shares at a price of 819.72p per share.</t>
  </si>
  <si>
    <t>The company returned £8,815,350 to shareholders by way of a buyback of 404,565 ordinary shares at a price of 881.53p per share.</t>
  </si>
  <si>
    <t>The company returned £8,887,336 to shareholders by way of a buyback of 410,133 ordinary shares at a price of 888.73p per share.</t>
  </si>
  <si>
    <t>The company returned £9,445,914 to shareholders by way of a buyback of 423,882 ordinary shares at a price of 944.59p per share.</t>
  </si>
  <si>
    <t>The company returned £3,073,738 to shareholders by way of a buyback of 134,310 ordinary shares at a price of 307.37p per share.</t>
  </si>
  <si>
    <t>The company returned £193,733 to shareholders by way of a buyback of 8,372 ordinary shares at a price of 19.37p per share.</t>
  </si>
  <si>
    <t>The company returned £8,976,711 to shareholders by way of a buyback of 383,142 ordinary shares at a price of 897.67p per share.</t>
  </si>
  <si>
    <t>The company returned £8,792,879 to shareholders by way of a buyback of 383,142 ordinary shares at a price of 879.29p per share.</t>
  </si>
  <si>
    <t>The company returned £8,839,622 to shareholders by way of a buyback of 383,142 ordinary shares at a price of 883.96p per share.</t>
  </si>
  <si>
    <t>The company returned £337,300 to shareholders by way of a buyback of 22,000 ordinary shares at a price of 33.73p per share.</t>
  </si>
  <si>
    <t>The company returned £384,496 to shareholders by way of a buyback of 25,000 ordinary shares at a price of 38.45p per share.</t>
  </si>
  <si>
    <t>The company returned £155,000 to shareholders by way of a buyback of 10,000 ordinary shares at a price of 15.5p per share.</t>
  </si>
  <si>
    <t>The company returned £544,400 to shareholders by way of a buyback of 35,000 ordinary shares at a price of 54.44p per share.</t>
  </si>
  <si>
    <t>The company returned £311,800 to shareholders by way of a buyback of 20,000 ordinary shares at a price of 31.18p per share.</t>
  </si>
  <si>
    <t>The company returned £155,400 to shareholders by way of a buyback of 10,000 ordinary shares at a price of 15.54p per share.</t>
  </si>
  <si>
    <t>The company returned £460,135 to shareholders by way of a buyback of 30,000 ordinary shares at a price of 46.01p per share.</t>
  </si>
  <si>
    <t>The company returned £229,150 to shareholders by way of a buyback of 15,000 ordinary shares at a price of 22.91p per share.</t>
  </si>
  <si>
    <t>The company returned £308,150 to shareholders by way of a buyback of 20,000 ordinary shares at a price of 30.82p per share.</t>
  </si>
  <si>
    <t>The company returned £244,160 to shareholders by way of a buyback of 16,000 ordinary shares at a price of 24.42p per share.</t>
  </si>
  <si>
    <t>The company returned £565,207 to shareholders by way of a buyback of 37,000 ordinary shares at a price of 56.52p per share.</t>
  </si>
  <si>
    <t>The company returned £539,725 to shareholders by way of a buyback of 35,000 ordinary shares at a price of 53.97p per share.</t>
  </si>
  <si>
    <t>The company returned £405,832 to shareholders by way of a buyback of 25,000 ordinary shares at a price of 40.58p per share.</t>
  </si>
  <si>
    <t>The company returned £162,700 to shareholders by way of a buyback of 10,000 ordinary shares at a price of 16.27p per share.</t>
  </si>
  <si>
    <t>The company returned £242,650 to shareholders by way of a buyback of 15,000 ordinary shares at a price of 24.26p per share.</t>
  </si>
  <si>
    <t>The company returned £406,960 to shareholders by way of a buyback of 25,000 ordinary shares at a price of 40.7p per share.</t>
  </si>
  <si>
    <t>The company returned £90,400 to shareholders by way of a buyback of 20,000 ordinary shares at a price of 9.04p per share.</t>
  </si>
  <si>
    <t>The company returned £220,200 to shareholders by way of a buyback of 50,000 ordinary shares at a price of 22.02p per share.</t>
  </si>
  <si>
    <t>The company returned £103,680 to shareholders by way of a buyback of 24,000 ordinary shares at a price of 10.37p per share.</t>
  </si>
  <si>
    <t>The company returned £584,550 to shareholders by way of a buyback of 135,000 ordinary shares at a price of 58.46p per share.</t>
  </si>
  <si>
    <t>The company returned £875,000 to shareholders by way of a buyback of 200,000 ordinary shares at a price of 87.5p per share.</t>
  </si>
  <si>
    <t>The company returned £101,100 to shareholders by way of a buyback of 15,000 ordinary shares at a price of 10.11p per share.</t>
  </si>
  <si>
    <t>The company returned £170,221 to shareholders by way of a buyback of 25,000 ordinary shares at a price of 17.02p per share.</t>
  </si>
  <si>
    <t>The company returned £171,462 to shareholders by way of a buyback of 25,000 ordinary shares at a price of 17.15p per share.</t>
  </si>
  <si>
    <t>The company returned £102,575 to shareholders by way of a buyback of 15,000 ordinary shares at a price of 10.26p per share.</t>
  </si>
  <si>
    <t>The company returned £209,557 to shareholders by way of a buyback of 31,000 ordinary shares at a price of 20.96p per share.</t>
  </si>
  <si>
    <t>The company returned £99,980 to shareholders by way of a buyback of 15,012 ordinary shares at a price of 10.p per share.</t>
  </si>
  <si>
    <t>The company returned £63,110 to shareholders by way of a buyback of 9,488 ordinary shares at a price of 6.31p per share.</t>
  </si>
  <si>
    <t>The company returned £175,971 to shareholders by way of a buyback of 26,500 ordinary shares at a price of 17.6p per share.</t>
  </si>
  <si>
    <t>The company returned £79,680 to shareholders by way of a buyback of 12,000 ordinary shares at a price of 7.97p per share.</t>
  </si>
  <si>
    <t>The company returned £165,979 to shareholders by way of a buyback of 25,000 ordinary shares at a price of 16.6p per share.</t>
  </si>
  <si>
    <t>The company returned £111,860 to shareholders by way of a buyback of 17,000 ordinary shares at a price of 11.19p per share.</t>
  </si>
  <si>
    <t>The company returned £105,600 to shareholders by way of a buyback of 16,000 ordinary shares at a price of 10.56p per share.</t>
  </si>
  <si>
    <t>The company returned £232,460 to shareholders by way of a buyback of 35,000 ordinary shares at a price of 23.25p per share.</t>
  </si>
  <si>
    <t>The company returned £202,921 to shareholders by way of a buyback of 30,000 ordinary shares at a price of 20.29p per share.</t>
  </si>
  <si>
    <t>The company returned £89,272 to shareholders by way of a buyback of 13,000 ordinary shares at a price of 8.93p per share.</t>
  </si>
  <si>
    <t>The company returned £74,951 to shareholders by way of a buyback of 11,000 ordinary shares at a price of 7.5p per share.</t>
  </si>
  <si>
    <t>The company returned £81,452 to shareholders by way of a buyback of 12,000 ordinary shares at a price of 8.15p per share.</t>
  </si>
  <si>
    <t>The company returned £81,516 to shareholders by way of a buyback of 12,000 ordinary shares at a price of 8.15p per share.</t>
  </si>
  <si>
    <t>The company returned £168,343 to shareholders by way of a buyback of 34,108 ordinary shares at a price of 16.83p per share.</t>
  </si>
  <si>
    <t>The company returned £203,131 to shareholders by way of a buyback of 41,352 ordinary shares at a price of 20.31p per share.</t>
  </si>
  <si>
    <t>The company returned £187,707 to shareholders by way of a buyback of 37,458 ordinary shares at a price of 18.77p per share.</t>
  </si>
  <si>
    <t>The company returned £459,477 to shareholders by way of a buyback of 92,000 ordinary shares at a price of 45.95p per share.</t>
  </si>
  <si>
    <t>The company returned £225,860 to shareholders by way of a buyback of 46,000 ordinary shares at a price of 22.59p per share.</t>
  </si>
  <si>
    <t>The company returned £332,401 to shareholders by way of a buyback of 68,000 ordinary shares at a price of 33.24p per share.</t>
  </si>
  <si>
    <t>The company returned £353,367 to shareholders by way of a buyback of 72,151 ordinary shares at a price of 35.34p per share.</t>
  </si>
  <si>
    <t>The company returned £405,750 to shareholders by way of a buyback of 83,036 ordinary shares at a price of 40.57p per share.</t>
  </si>
  <si>
    <t>The company returned £188,573 to shareholders by way of a buyback of 38,250 ordinary shares at a price of 18.86p per share.</t>
  </si>
  <si>
    <t>The company returned £200,029 to shareholders by way of a buyback of 40,848 ordinary shares at a price of 20.p per share.</t>
  </si>
  <si>
    <t>The company returned £90,016 to shareholders by way of a buyback of 18,149 ordinary shares at a price of 9.p per share.</t>
  </si>
  <si>
    <t>The company returned £151,888 to shareholders by way of a buyback of 29,960 ordinary shares at a price of 15.19p per share.</t>
  </si>
  <si>
    <t>The company returned £171,372 to shareholders by way of a buyback of 33,804 ordinary shares at a price of 17.14p per share.</t>
  </si>
  <si>
    <t>The company returned £182,820 to shareholders by way of a buyback of 36,340 ordinary shares at a price of 18.28p per share.</t>
  </si>
  <si>
    <t>The company returned £112,083 to shareholders by way of a buyback of 22,129 ordinary shares at a price of 11.21p per share.</t>
  </si>
  <si>
    <t>The company returned £640,000 to shareholders by way of a buyback of 50,000 ordinary shares at a price of 64.p per share.</t>
  </si>
  <si>
    <t>The company returned £960,000 to shareholders by way of a buyback of 75,000 ordinary shares at a price of 96.p per share.</t>
  </si>
  <si>
    <t>The company returned £2,609,738 to shareholders by way of a buyback of 200,000 ordinary shares at a price of 260.97p per share.</t>
  </si>
  <si>
    <t>The company returned £1,296,983 to shareholders by way of a buyback of 100,000 ordinary shares at a price of 129.7p per share.</t>
  </si>
  <si>
    <t>The company returned £3,218,400 to shareholders by way of a buyback of 250,000 ordinary shares at a price of 321.84p per share.</t>
  </si>
  <si>
    <t>The company returned £3,088,200 to shareholders by way of a buyback of 240,000 ordinary shares at a price of 308.82p per share.</t>
  </si>
  <si>
    <t>The company returned £2,988,673 to shareholders by way of a buyback of 230,000 ordinary shares at a price of 298.87p per share.</t>
  </si>
  <si>
    <t>The company returned £3,263,485 to shareholders by way of a buyback of 250,000 ordinary shares at a price of 326.35p per share.</t>
  </si>
  <si>
    <t>The company returned £3,252,425 to shareholders by way of a buyback of 250,000 ordinary shares at a price of 325.24p per share.</t>
  </si>
  <si>
    <t>The company returned £2,072,005 to shareholders by way of a buyback of 160,000 ordinary shares at a price of 207.2p per share.</t>
  </si>
  <si>
    <t>The company returned £653,910 to shareholders by way of a buyback of 50,000 ordinary shares at a price of 65.39p per share.</t>
  </si>
  <si>
    <t>The company returned £657,452 to shareholders by way of a buyback of 50,000 ordinary shares at a price of 65.75p per share.</t>
  </si>
  <si>
    <t>The company returned £330,500 to shareholders by way of a buyback of 25,000 ordinary shares at a price of 33.05p per share.</t>
  </si>
  <si>
    <t>The company returned £528,800 to shareholders by way of a buyback of 40,000 ordinary shares at a price of 52.88p per share.</t>
  </si>
  <si>
    <t>The company returned £3,119,350 to shareholders by way of a buyback of 500,000 ordinary shares at a price of 311.94p per share.</t>
  </si>
  <si>
    <t>The company returned £3,481,500 to shareholders by way of a buyback of 500,000 ordinary shares at a price of 348.15p per share.</t>
  </si>
  <si>
    <t>The company returned £3,371,200 to shareholders by way of a buyback of 500,000 ordinary shares at a price of 337.12p per share.</t>
  </si>
  <si>
    <t>The company returned £1,653,750 to shareholders by way of a buyback of 250,000 ordinary shares at a price of 165.38p per share.</t>
  </si>
  <si>
    <t>The company returned £2,443,669 to shareholders by way of a buyback of 358,115 ordinary shares at a price of 244.37p per share.</t>
  </si>
  <si>
    <t>The company returned £32,497 to shareholders by way of a buyback of 9,448 ordinary shares at a price of 3.25p per share.</t>
  </si>
  <si>
    <t>The company returned £29,220 to shareholders by way of a buyback of 8,416 ordinary shares at a price of 2.92p per share.</t>
  </si>
  <si>
    <t>The company returned £32,726 to shareholders by way of a buyback of 9,299 ordinary shares at a price of 3.27p per share.</t>
  </si>
  <si>
    <t>The company returned £40,661 to shareholders by way of a buyback of 11,570 ordinary shares at a price of 4.07p per share.</t>
  </si>
  <si>
    <t>The company returned £20,629 to shareholders by way of a buyback of 5,840 ordinary shares at a price of 2.06p per share.</t>
  </si>
  <si>
    <t>The company returned £42,223 to shareholders by way of a buyback of 12,000 ordinary shares at a price of 4.22p per share.</t>
  </si>
  <si>
    <t>The company returned £5,770 to shareholders by way of a buyback of 1,644 ordinary shares at a price of .58p per share.</t>
  </si>
  <si>
    <t>The company returned £20,833 to shareholders by way of a buyback of 5,935 ordinary shares at a price of 2.08p per share.</t>
  </si>
  <si>
    <t>The company returned £45,890 to shareholders by way of a buyback of 13,000 ordinary shares at a price of 4.59p per share.</t>
  </si>
  <si>
    <t>The company returned £21,105 to shareholders by way of a buyback of 6,000 ordinary shares at a price of 2.11p per share.</t>
  </si>
  <si>
    <t>The company returned £6,162 to shareholders by way of a buyback of 1,727 ordinary shares at a price of .62p per share.</t>
  </si>
  <si>
    <t>The company returned £46,930 to shareholders by way of a buyback of 13,000 ordinary shares at a price of 4.69p per share.</t>
  </si>
  <si>
    <t>The company returned £19,683 to shareholders by way of a buyback of 5,500 ordinary shares at a price of 1.97p per share.</t>
  </si>
  <si>
    <t>The company returned £60,331 to shareholders by way of a buyback of 25,000 ordinary shares at a price of 6.03p per share.</t>
  </si>
  <si>
    <t>The company returned £60,402 to shareholders by way of a buyback of 25,000 ordinary shares at a price of 6.04p per share.</t>
  </si>
  <si>
    <t>The company returned £66,301 to shareholders by way of a buyback of 27,635 ordinary shares at a price of 6.63p per share.</t>
  </si>
  <si>
    <t>The company returned £62,303 to shareholders by way of a buyback of 26,126 ordinary shares at a price of 6.23p per share.</t>
  </si>
  <si>
    <t>The company returned £81,877 to shareholders by way of a buyback of 35,000 ordinary shares at a price of 8.19p per share.</t>
  </si>
  <si>
    <t>The company returned £57,550 to shareholders by way of a buyback of 25,000 ordinary shares at a price of 5.76p per share.</t>
  </si>
  <si>
    <t>The company returned £24,331 to shareholders by way of a buyback of 10,632 ordinary shares at a price of 2.43p per share.</t>
  </si>
  <si>
    <t>The company returned £6,781 to shareholders by way of a buyback of 2,929 ordinary shares at a price of .68p per share.</t>
  </si>
  <si>
    <t>The company returned £3,925 to shareholders by way of a buyback of 1,670 ordinary shares at a price of .39p per share.</t>
  </si>
  <si>
    <t>The company returned £8,447 to shareholders by way of a buyback of 3,564 ordinary shares at a price of .84p per share.</t>
  </si>
  <si>
    <t>The company returned £17,057 to shareholders by way of a buyback of 7,082 ordinary shares at a price of 1.71p per share.</t>
  </si>
  <si>
    <t>The company returned £76,230 to shareholders by way of a buyback of 31,285 ordinary shares at a price of 7.62p per share.</t>
  </si>
  <si>
    <t>The company returned £13,344 to shareholders by way of a buyback of 5,514 ordinary shares at a price of 1.33p per share.</t>
  </si>
  <si>
    <t>The company returned £59,911 to shareholders by way of a buyback of 24,600 ordinary shares at a price of 5.99p per share.</t>
  </si>
  <si>
    <t>The company returned £653,700 to shareholders by way of a buyback of 250,000 ordinary shares at a price of 65.37p per share.</t>
  </si>
  <si>
    <t>The company returned £530,300 to shareholders by way of a buyback of 200,000 ordinary shares at a price of 53.03p per share.</t>
  </si>
  <si>
    <t>The company returned £400,095 to shareholders by way of a buyback of 150,000 ordinary shares at a price of 40.01p per share.</t>
  </si>
  <si>
    <t>The company returned £644,300 to shareholders by way of a buyback of 250,000 ordinary shares at a price of 64.43p per share.</t>
  </si>
  <si>
    <t>The company returned £260,750 to shareholders by way of a buyback of 100,000 ordinary shares at a price of 26.08p per share.</t>
  </si>
  <si>
    <t>The company returned £630,528 to shareholders by way of a buyback of 240,000 ordinary shares at a price of 63.05p per share.</t>
  </si>
  <si>
    <t>The company returned £158,700 to shareholders by way of a buyback of 60,000 ordinary shares at a price of 15.87p per share.</t>
  </si>
  <si>
    <t>The company returned £131,500 to shareholders by way of a buyback of 50,000 ordinary shares at a price of 13.15p per share.</t>
  </si>
  <si>
    <t>The company returned £85,180 to shareholders by way of a buyback of 26,723 ordinary shares at a price of 8.52p per share.</t>
  </si>
  <si>
    <t>The company returned £63,786 to shareholders by way of a buyback of 20,000 ordinary shares at a price of 6.38p per share.</t>
  </si>
  <si>
    <t>The company returned £128,613 to shareholders by way of a buyback of 40,100 ordinary shares at a price of 12.86p per share.</t>
  </si>
  <si>
    <t>The company returned £89,880 to shareholders by way of a buyback of 28,000 ordinary shares at a price of 8.99p per share.</t>
  </si>
  <si>
    <t>The company returned £19,256 to shareholders by way of a buyback of 5,923 ordinary shares at a price of 1.93p per share.</t>
  </si>
  <si>
    <t>The company returned £13,773 to shareholders by way of a buyback of 4,267 ordinary shares at a price of 1.38p per share.</t>
  </si>
  <si>
    <t>The company returned £58,540 to shareholders by way of a buyback of 18,259 ordinary shares at a price of 5.85p per share.</t>
  </si>
  <si>
    <t>The company returned £81,745 to shareholders by way of a buyback of 25,651 ordinary shares at a price of 8.17p per share.</t>
  </si>
  <si>
    <t>The company returned £127,230 to shareholders by way of a buyback of 40,041 ordinary shares at a price of 12.72p per share.</t>
  </si>
  <si>
    <t>The company returned £101,547 to shareholders by way of a buyback of 31,833 ordinary shares at a price of 10.15p per share.</t>
  </si>
  <si>
    <t>The company returned £86,831 to shareholders by way of a buyback of 27,500 ordinary shares at a price of 8.68p per share.</t>
  </si>
  <si>
    <t>The company returned £23,442 to shareholders by way of a buyback of 7,395 ordinary shares at a price of 2.34p per share.</t>
  </si>
  <si>
    <t>The company returned £26,826 to shareholders by way of a buyback of 8,480 ordinary shares at a price of 2.68p per share.</t>
  </si>
  <si>
    <t>The company returned £31,150 to shareholders by way of a buyback of 9,859 ordinary shares at a price of 3.11p per share.</t>
  </si>
  <si>
    <t>The company returned £202,600 to shareholders by way of a buyback of 200,000 ordinary shares at a price of 20.26p per share.</t>
  </si>
  <si>
    <t>The company returned £99,560 to shareholders by way of a buyback of 100,000 ordinary shares at a price of 9.96p per share.</t>
  </si>
  <si>
    <t>The company returned £76,868 to shareholders by way of a buyback of 75,000 ordinary shares at a price of 7.69p per share.</t>
  </si>
  <si>
    <t>The company returned £51,250 to shareholders by way of a buyback of 50,000 ordinary shares at a price of 5.13p per share.</t>
  </si>
  <si>
    <t>The company returned £203,000 to shareholders by way of a buyback of 200,000 ordinary shares at a price of 20.3p per share.</t>
  </si>
  <si>
    <t>The company returned £100,100 to shareholders by way of a buyback of 100,000 ordinary shares at a price of 10.01p per share.</t>
  </si>
  <si>
    <t>The company returned £99,080 to shareholders by way of a buyback of 100,000 ordinary shares at a price of 9.91p per share.</t>
  </si>
  <si>
    <t>The company returned £99,400 to shareholders by way of a buyback of 100,000 ordinary shares at a price of 9.94p per share.</t>
  </si>
  <si>
    <t>The company returned £100,000 to shareholders by way of a buyback of 100,000 ordinary shares at a price of 10.p per share.</t>
  </si>
  <si>
    <t>The company returned £99,360 to shareholders by way of a buyback of 100,000 ordinary shares at a price of 9.94p per share.</t>
  </si>
  <si>
    <t>The company returned £24,693 to shareholders by way of a buyback of 25,000 ordinary shares at a price of 2.47p per share.</t>
  </si>
  <si>
    <t>The company returned £49,900 to shareholders by way of a buyback of 50,000 ordinary shares at a price of 4.99p per share.</t>
  </si>
  <si>
    <t>The company returned £25,125 to shareholders by way of a buyback of 25,000 ordinary shares at a price of 2.51p per share.</t>
  </si>
  <si>
    <t>The company returned £51,500 to shareholders by way of a buyback of 50,000 ordinary shares at a price of 5.15p per share.</t>
  </si>
  <si>
    <t>The company returned £1,881,420 to shareholders by way of a buyback of 200,000 ordinary shares at a price of 188.14p per share.</t>
  </si>
  <si>
    <t>The company returned £944,960 to shareholders by way of a buyback of 100,000 ordinary shares at a price of 94.5p per share.</t>
  </si>
  <si>
    <t>The company returned £714,750 to shareholders by way of a buyback of 75,000 ordinary shares at a price of 71.48p per share.</t>
  </si>
  <si>
    <t>The company returned £381,600 to shareholders by way of a buyback of 40,000 ordinary shares at a price of 38.16p per share.</t>
  </si>
  <si>
    <t>The company returned £957,970 to shareholders by way of a buyback of 100,000 ordinary shares at a price of 95.8p per share.</t>
  </si>
  <si>
    <t>The company returned £473,500 to shareholders by way of a buyback of 50,000 ordinary shares at a price of 47.35p per share.</t>
  </si>
  <si>
    <t>The company returned £1,900,020 to shareholders by way of a buyback of 200,000 ordinary shares at a price of 190.p per share.</t>
  </si>
  <si>
    <t>The company returned £955,000 to shareholders by way of a buyback of 100,000 ordinary shares at a price of 95.5p per share.</t>
  </si>
  <si>
    <t>The company returned £985,000 to shareholders by way of a buyback of 100,000 ordinary shares at a price of 98.5p per share.</t>
  </si>
  <si>
    <t>The company returned £232,960 to shareholders by way of a buyback of 160,000 ordinary shares at a price of 23.3p per share.</t>
  </si>
  <si>
    <t>The company returned £146,000 to shareholders by way of a buyback of 100,000 ordinary shares at a price of 14.6p per share.</t>
  </si>
  <si>
    <t>The company returned £83,268 to shareholders by way of a buyback of 54,000 ordinary shares at a price of 8.33p per share.</t>
  </si>
  <si>
    <t>The company returned £38,492 to shareholders by way of a buyback of 24,209 ordinary shares at a price of 3.85p per share.</t>
  </si>
  <si>
    <t>The company returned £35,904 to shareholders by way of a buyback of 17,000 ordinary shares at a price of 3.59p per share.</t>
  </si>
  <si>
    <t>The company returned £84,575 to shareholders by way of a buyback of 40,274 ordinary shares at a price of 8.46p per share.</t>
  </si>
  <si>
    <t>The company returned £146,300 to shareholders by way of a buyback of 70,000 ordinary shares at a price of 14.63p per share.</t>
  </si>
  <si>
    <t>The company returned £150,380 to shareholders by way of a buyback of 73,000 ordinary shares at a price of 15.04p per share.</t>
  </si>
  <si>
    <t>The company returned £212,604 to shareholders by way of a buyback of 105,000 ordinary shares at a price of 21.26p per share.</t>
  </si>
  <si>
    <t>The company returned £55,350 to shareholders by way of a buyback of 27,000 ordinary shares at a price of 5.54p per share.</t>
  </si>
  <si>
    <t>The company returned £219,368 to shareholders by way of a buyback of 106,417 ordinary shares at a price of 21.94p per share.</t>
  </si>
  <si>
    <t>The company returned £93,051 to shareholders by way of a buyback of 45,000 ordinary shares at a price of 9.31p per share.</t>
  </si>
  <si>
    <t>The company returned £214,890 to shareholders by way of a buyback of 100,000 ordinary shares at a price of 21.49p per share.</t>
  </si>
  <si>
    <t>The company returned £177,156 to shareholders by way of a buyback of 82,698 ordinary shares at a price of 17.72p per share.</t>
  </si>
  <si>
    <t>The company returned £59,135 to shareholders by way of a buyback of 28,074 ordinary shares at a price of 5.91p per share.</t>
  </si>
  <si>
    <t>The company returned £43,158 to shareholders by way of a buyback of 20,367 ordinary shares at a price of 4.32p per share.</t>
  </si>
  <si>
    <t>The company returned £16,428 to shareholders by way of a buyback of 12,900 ordinary shares at a price of 1.64p per share.</t>
  </si>
  <si>
    <t>The company returned £19,200 to shareholders by way of a buyback of 15,000 ordinary shares at a price of 1.92p per share.</t>
  </si>
  <si>
    <t>The company returned £78,204 to shareholders by way of a buyback of 61,900 ordinary shares at a price of 7.82p per share.</t>
  </si>
  <si>
    <t>The company returned £43,325 to shareholders by way of a buyback of 35,000 ordinary shares at a price of 4.33p per share.</t>
  </si>
  <si>
    <t>The company returned £34,770 to shareholders by way of a buyback of 28,500 ordinary shares at a price of 3.48p per share.</t>
  </si>
  <si>
    <t>The company returned £29,813 to shareholders by way of a buyback of 25,000 ordinary shares at a price of 2.98p per share.</t>
  </si>
  <si>
    <t>The company returned £703,365 to shareholders by way of a buyback of 500,000 ordinary shares at a price of 70.34p per share.</t>
  </si>
  <si>
    <t>The company returned £517,880 to shareholders by way of a buyback of 368,425 ordinary shares at a price of 51.79p per share.</t>
  </si>
  <si>
    <t>The company returned £600,203 to shareholders by way of a buyback of 420,652 ordinary shares at a price of 60.02p per share.</t>
  </si>
  <si>
    <t>The company returned £458,328 to shareholders by way of a buyback of 319,952 ordinary shares at a price of 45.83p per share.</t>
  </si>
  <si>
    <t>The company returned £714,440 to shareholders by way of a buyback of 500,000 ordinary shares at a price of 71.44p per share.</t>
  </si>
  <si>
    <t>The company returned £429,792 to shareholders by way of a buyback of 300,000 ordinary shares at a price of 42.98p per share.</t>
  </si>
  <si>
    <t>The company returned £717,115 to shareholders by way of a buyback of 500,000 ordinary shares at a price of 71.71p per share.</t>
  </si>
  <si>
    <t>The company returned £722,875 to shareholders by way of a buyback of 500,000 ordinary shares at a price of 72.29p per share.</t>
  </si>
  <si>
    <t>The company returned £734,855 to shareholders by way of a buyback of 500,000 ordinary shares at a price of 73.49p per share.</t>
  </si>
  <si>
    <t>The company returned £733,055 to shareholders by way of a buyback of 500,000 ordinary shares at a price of 73.31p per share.</t>
  </si>
  <si>
    <t>The company returned £726,580 to shareholders by way of a buyback of 500,000 ordinary shares at a price of 72.66p per share.</t>
  </si>
  <si>
    <t>The company returned £723,035 to shareholders by way of a buyback of 500,000 ordinary shares at a price of 72.3p per share.</t>
  </si>
  <si>
    <t>The company returned £580,708 to shareholders by way of a buyback of 400,000 ordinary shares at a price of 58.07p per share.</t>
  </si>
  <si>
    <t>The company returned £583,880 to shareholders by way of a buyback of 400,000 ordinary shares at a price of 58.39p per share.</t>
  </si>
  <si>
    <t>The company returned £174,839 to shareholders by way of a buyback of 118,977 ordinary shares at a price of 17.48p per share.</t>
  </si>
  <si>
    <t>The company returned £595,616 to shareholders by way of a buyback of 400,000 ordinary shares at a price of 59.56p per share.</t>
  </si>
  <si>
    <t>The company returned £596,940 to shareholders by way of a buyback of 400,000 ordinary shares at a price of 59.69p per share.</t>
  </si>
  <si>
    <t>The company returned £1,116,750 to shareholders by way of a buyback of 750,000 ordinary shares at a price of 111.68p per share.</t>
  </si>
  <si>
    <t>The company returned £51,400 to shareholders by way of a buyback of 6,397 ordinary shares at a price of 5.14p per share.</t>
  </si>
  <si>
    <t>The company returned £26,658 to shareholders by way of a buyback of 20,054 ordinary shares at a price of 2.67p per share.</t>
  </si>
  <si>
    <t>The company returned £2,011 to shareholders by way of a buyback of 1,537 ordinary shares at a price of .2p per share.</t>
  </si>
  <si>
    <t>The company returned £29,470 to shareholders by way of a buyback of 22,225 ordinary shares at a price of 2.95p per share.</t>
  </si>
  <si>
    <t>The company returned £72,965 to shareholders by way of a buyback of 55,089 ordinary shares at a price of 7.3p per share.</t>
  </si>
  <si>
    <t>The company returned £64,027 to shareholders by way of a buyback of 48,623 ordinary shares at a price of 6.4p per share.</t>
  </si>
  <si>
    <t>The company returned £53,132 to shareholders by way of a buyback of 40,000 ordinary shares at a price of 5.31p per share.</t>
  </si>
  <si>
    <t>The company returned £5,014 to shareholders by way of a buyback of 3,790 ordinary shares at a price of .5p per share.</t>
  </si>
  <si>
    <t>The company returned £16,249 to shareholders by way of a buyback of 12,176 ordinary shares at a price of 1.62p per share.</t>
  </si>
  <si>
    <t>The company returned £101,306 to shareholders by way of a buyback of 75,281 ordinary shares at a price of 10.13p per share.</t>
  </si>
  <si>
    <t>The company returned £54,380 to shareholders by way of a buyback of 40,410 ordinary shares at a price of 5.44p per share.</t>
  </si>
  <si>
    <t>The company returned £50,009 to shareholders by way of a buyback of 36,774 ordinary shares at a price of 5.p per share.</t>
  </si>
  <si>
    <t>The company returned £88,559 to shareholders by way of a buyback of 65,002 ordinary shares at a price of 8.86p per share.</t>
  </si>
  <si>
    <t>The company returned £42,245 to shareholders by way of a buyback of 30,935 ordinary shares at a price of 4.22p per share.</t>
  </si>
  <si>
    <t>The company returned £47,542 to shareholders by way of a buyback of 34,531 ordinary shares at a price of 4.75p per share.</t>
  </si>
  <si>
    <t>The company returned £2,994 to shareholders by way of a buyback of 2,195 ordinary shares at a price of .3p per share.</t>
  </si>
  <si>
    <t>The company returned £4,339 to shareholders by way of a buyback of 3,182 ordinary shares at a price of .43p per share.</t>
  </si>
  <si>
    <t>The company returned £11,231 to shareholders by way of a buyback of 8,215 ordinary shares at a price of 1.12p per share.</t>
  </si>
  <si>
    <t>The company returned £82,614 to shareholders by way of a buyback of 61,209 ordinary shares at a price of 8.26p per share.</t>
  </si>
  <si>
    <t>The company returned £34,755 to shareholders by way of a buyback of 7,953 ordinary shares at a price of 3.48p per share.</t>
  </si>
  <si>
    <t>The company returned £217,000 to shareholders by way of a buyback of 50,000 ordinary shares at a price of 21.7p per share.</t>
  </si>
  <si>
    <t>The company returned £193,542 to shareholders by way of a buyback of 44,595 ordinary shares at a price of 19.35p per share.</t>
  </si>
  <si>
    <t>The company returned £671,563 to shareholders by way of a buyback of 154,738 ordinary shares at a price of 67.16p per share.</t>
  </si>
  <si>
    <t>The company returned £1,127,594 to shareholders by way of a buyback of 260,000 ordinary shares at a price of 112.76p per share.</t>
  </si>
  <si>
    <t>The company returned £1,327,792 to shareholders by way of a buyback of 310,000 ordinary shares at a price of 132.78p per share.</t>
  </si>
  <si>
    <t>The company returned £981,300 to shareholders by way of a buyback of 230,482 ordinary shares at a price of 98.13p per share.</t>
  </si>
  <si>
    <t>The company returned £1,305,772 to shareholders by way of a buyback of 309,000 ordinary shares at a price of 130.58p per share.</t>
  </si>
  <si>
    <t>The company returned £1,081,006 to shareholders by way of a buyback of 257,407 ordinary shares at a price of 108.1p per share.</t>
  </si>
  <si>
    <t>The company returned £955,635 to shareholders by way of a buyback of 225,189 ordinary shares at a price of 95.56p per share.</t>
  </si>
  <si>
    <t>The company returned £423,819 to shareholders by way of a buyback of 99,467 ordinary shares at a price of 42.38p per share.</t>
  </si>
  <si>
    <t>The company returned £606,134 to shareholders by way of a buyback of 141,620 ordinary shares at a price of 60.61p per share.</t>
  </si>
  <si>
    <t>The company returned £12,960 to shareholders by way of a buyback of 3,000 ordinary shares at a price of 1.3p per share.</t>
  </si>
  <si>
    <t>The company returned £17,868 to shareholders by way of a buyback of 4,136 ordinary shares at a price of 1.79p per share.</t>
  </si>
  <si>
    <t>The company returned £51,840 to shareholders by way of a buyback of 12,000 ordinary shares at a price of 5.18p per share.</t>
  </si>
  <si>
    <t>The company returned £43,472 to shareholders by way of a buyback of 10,063 ordinary shares at a price of 4.35p per share.</t>
  </si>
  <si>
    <t>The company returned £73,240 to shareholders by way of a buyback of 16,500 ordinary shares at a price of 7.32p per share.</t>
  </si>
  <si>
    <t>The company returned £35,520 to shareholders by way of a buyback of 8,000 ordinary shares at a price of 3.55p per share.</t>
  </si>
  <si>
    <t>The company returned £75,881 to shareholders by way of a buyback of 17,100 ordinary shares at a price of 7.59p per share.</t>
  </si>
  <si>
    <t>The company returned £58,122 to shareholders by way of a buyback of 13,100 ordinary shares at a price of 5.81p per share.</t>
  </si>
  <si>
    <t>The company returned £521 to shareholders by way of a buyback of 119 ordinary shares at a price of .05p per share.</t>
  </si>
  <si>
    <t>The company returned £18,698 to shareholders by way of a buyback of 4,269 ordinary shares at a price of 1.87p per share.</t>
  </si>
  <si>
    <t>The company returned £1,165 to shareholders by way of a buyback of 266 ordinary shares at a price of .12p per share.</t>
  </si>
  <si>
    <t>The company returned £44,293 to shareholders by way of a buyback of 10,159 ordinary shares at a price of 4.43p per share.</t>
  </si>
  <si>
    <t>The company returned £50,140 to shareholders by way of a buyback of 11,500 ordinary shares at a price of 5.01p per share.</t>
  </si>
  <si>
    <t>The company returned £26,160 to shareholders by way of a buyback of 6,000 ordinary shares at a price of 2.62p per share.</t>
  </si>
  <si>
    <t>The company returned £469,200 to shareholders by way of a buyback of 500,000 ordinary shares at a price of 46.92p per share.</t>
  </si>
  <si>
    <t>The company returned £47,000 to shareholders by way of a buyback of 50,000 ordinary shares at a price of 4.7p per share.</t>
  </si>
  <si>
    <t>The company returned £950,000 to shareholders by way of a buyback of 1,000,000 ordinary shares at a price of 95.p per share.</t>
  </si>
  <si>
    <t>The company returned £237,500 to shareholders by way of a buyback of 250,000 ordinary shares at a price of 23.75p per share.</t>
  </si>
  <si>
    <t>The company returned £760,000 to shareholders by way of a buyback of 800,000 ordinary shares at a price of 76.p per share.</t>
  </si>
  <si>
    <t>The company returned £142,500 to shareholders by way of a buyback of 150,000 ordinary shares at a price of 14.25p per share.</t>
  </si>
  <si>
    <t>The company returned £250,345 to shareholders by way of a buyback of 19,634 ordinary shares at a price of 25.03p per share.</t>
  </si>
  <si>
    <t>The company returned £565,780 to shareholders by way of a buyback of 42,259 ordinary shares at a price of 56.58p per share.</t>
  </si>
  <si>
    <t>The company returned £935,790 to shareholders by way of a buyback of 69,433 ordinary shares at a price of 93.58p per share.</t>
  </si>
  <si>
    <t>The company returned £771,066 to shareholders by way of a buyback of 60,000 ordinary shares at a price of 77.11p per share.</t>
  </si>
  <si>
    <t>The company returned £124,285 to shareholders by way of a buyback of 9,524 ordinary shares at a price of 12.43p per share.</t>
  </si>
  <si>
    <t>The company returned £43,545 to shareholders by way of a buyback of 22,000 ordinary shares at a price of 4.35p per share.</t>
  </si>
  <si>
    <t>The company returned £20,633 to shareholders by way of a buyback of 10,500 ordinary shares at a price of 2.06p per share.</t>
  </si>
  <si>
    <t>The company returned £136,330 to shareholders by way of a buyback of 25,000 ordinary shares at a price of 13.63p per share.</t>
  </si>
  <si>
    <t>The company returned £100,916 to shareholders by way of a buyback of 18,409 ordinary shares at a price of 10.09p per share.</t>
  </si>
  <si>
    <t>The company returned £66,474 to shareholders by way of a buyback of 12,032 ordinary shares at a price of 6.65p per share.</t>
  </si>
  <si>
    <t>The company returned £65,013 to shareholders by way of a buyback of 11,798 ordinary shares at a price of 6.5p per share.</t>
  </si>
  <si>
    <t>The company returned £142,915 to shareholders by way of a buyback of 25,000 ordinary shares at a price of 14.29p per share.</t>
  </si>
  <si>
    <t>The company returned £143,370 to shareholders by way of a buyback of 25,000 ordinary shares at a price of 14.34p per share.</t>
  </si>
  <si>
    <t>The company returned £141,340 to shareholders by way of a buyback of 25,000 ordinary shares at a price of 14.13p per share.</t>
  </si>
  <si>
    <t>The company returned £88,550 to shareholders by way of a buyback of 15,772 ordinary shares at a price of 8.86p per share.</t>
  </si>
  <si>
    <t>The company returned £139,573 to shareholders by way of a buyback of 25,000 ordinary shares at a price of 13.96p per share.</t>
  </si>
  <si>
    <t>The company returned £139,218 to shareholders by way of a buyback of 25,000 ordinary shares at a price of 13.92p per share.</t>
  </si>
  <si>
    <t>The company returned £224,560 to shareholders by way of a buyback of 40,120 ordinary shares at a price of 22.46p per share.</t>
  </si>
  <si>
    <t>The company returned £139,195 to shareholders by way of a buyback of 25,000 ordinary shares at a price of 13.92p per share.</t>
  </si>
  <si>
    <t>The company returned £139,630 to shareholders by way of a buyback of 25,000 ordinary shares at a price of 13.96p per share.</t>
  </si>
  <si>
    <t>The company returned £99,225 to shareholders by way of a buyback of 17,500 ordinary shares at a price of 9.92p per share.</t>
  </si>
  <si>
    <t>The company returned £142,500 to shareholders by way of a buyback of 25,000 ordinary shares at a price of 14.25p per share.</t>
  </si>
  <si>
    <t>The company returned £96,232 to shareholders by way of a buyback of 16,814 ordinary shares at a price of 9.62p per share.</t>
  </si>
  <si>
    <t>The company returned £94,804 to shareholders by way of a buyback of 16,289 ordinary shares at a price of 9.48p per share.</t>
  </si>
  <si>
    <t>The company returned £115,381 to shareholders by way of a buyback of 19,623 ordinary shares at a price of 11.54p per share.</t>
  </si>
  <si>
    <t>The company returned £194,700 to shareholders by way of a buyback of 15,000 ordinary shares at a price of 19.47p per share.</t>
  </si>
  <si>
    <t>The company returned £195,401 to shareholders by way of a buyback of 15,000 ordinary shares at a price of 19.54p per share.</t>
  </si>
  <si>
    <t>The company returned £192,000 to shareholders by way of a buyback of 15,000 ordinary shares at a price of 19.2p per share.</t>
  </si>
  <si>
    <t>The company returned £190,800 to shareholders by way of a buyback of 15,000 ordinary shares at a price of 19.08p per share.</t>
  </si>
  <si>
    <t>The company returned £192,300 to shareholders by way of a buyback of 15,000 ordinary shares at a price of 19.23p per share.</t>
  </si>
  <si>
    <t>The company returned £192,600 to shareholders by way of a buyback of 15,000 ordinary shares at a price of 19.26p per share.</t>
  </si>
  <si>
    <t>The company returned £192,900 to shareholders by way of a buyback of 15,000 ordinary shares at a price of 19.29p per share.</t>
  </si>
  <si>
    <t>The company returned £197,582 to shareholders by way of a buyback of 15,000 ordinary shares at a price of 19.76p per share.</t>
  </si>
  <si>
    <t>The company returned £199,200 to shareholders by way of a buyback of 15,000 ordinary shares at a price of 19.92p per share.</t>
  </si>
  <si>
    <t>The company returned £200,100 to shareholders by way of a buyback of 15,000 ordinary shares at a price of 20.01p per share.</t>
  </si>
  <si>
    <t>The company returned £72,165 to shareholders by way of a buyback of 5,100 ordinary shares at a price of 7.22p per share.</t>
  </si>
  <si>
    <t>The company returned £64,125 to shareholders by way of a buyback of 4,500 ordinary shares at a price of 6.41p per share.</t>
  </si>
  <si>
    <t>The company returned £42,900 to shareholders by way of a buyback of 3,000 ordinary shares at a price of 4.29p per share.</t>
  </si>
  <si>
    <t>The company returned £53,406 to shareholders by way of a buyback of 3,750 ordinary shares at a price of 5.34p per share.</t>
  </si>
  <si>
    <t>The company returned £142,978 to shareholders by way of a buyback of 10,000 ordinary shares at a price of 14.3p per share.</t>
  </si>
  <si>
    <t>The company returned £143,000 to shareholders by way of a buyback of 10,000 ordinary shares at a price of 14.3p per share.</t>
  </si>
  <si>
    <t>The company returned £144,000 to shareholders by way of a buyback of 10,000 ordinary shares at a price of 14.4p per share.</t>
  </si>
  <si>
    <t>The company returned £71,500 to shareholders by way of a buyback of 5,000 ordinary shares at a price of 7.15p per share.</t>
  </si>
  <si>
    <t>The company returned £92,625 to shareholders by way of a buyback of 6,500 ordinary shares at a price of 9.26p per share.</t>
  </si>
  <si>
    <t>The company returned £107,775 to shareholders by way of a buyback of 7,500 ordinary shares at a price of 10.78p per share.</t>
  </si>
  <si>
    <t>The company returned £72,625 to shareholders by way of a buyback of 5,000 ordinary shares at a price of 7.26p per share.</t>
  </si>
  <si>
    <t>The company returned £147,320 to shareholders by way of a buyback of 10,000 ordinary shares at a price of 14.73p per share.</t>
  </si>
  <si>
    <t>The company returned £28,326 to shareholders by way of a buyback of 1,914 ordinary shares at a price of 2.83p per share.</t>
  </si>
  <si>
    <t>The company returned £433,371 to shareholders by way of a buyback of 119,143 ordinary shares at a price of 43.34p per share.</t>
  </si>
  <si>
    <t>The company returned £418,617 to shareholders by way of a buyback of 116,031 ordinary shares at a price of 41.86p per share.</t>
  </si>
  <si>
    <t>The company returned £424,077 to shareholders by way of a buyback of 116,877 ordinary shares at a price of 42.41p per share.</t>
  </si>
  <si>
    <t>The company returned £545,415 to shareholders by way of a buyback of 150,000 ordinary shares at a price of 54.54p per share.</t>
  </si>
  <si>
    <t>The company returned £722,925 to shareholders by way of a buyback of 199,153 ordinary shares at a price of 72.29p per share.</t>
  </si>
  <si>
    <t>The company returned £570,875 to shareholders by way of a buyback of 156,567 ordinary shares at a price of 57.09p per share.</t>
  </si>
  <si>
    <t>The company returned £581,127 to shareholders by way of a buyback of 157,227 ordinary shares at a price of 58.11p per share.</t>
  </si>
  <si>
    <t>The company returned £445,896 to shareholders by way of a buyback of 120,000 ordinary shares at a price of 44.59p per share.</t>
  </si>
  <si>
    <t>The company returned £537,534 to shareholders by way of a buyback of 144,576 ordinary shares at a price of 53.75p per share.</t>
  </si>
  <si>
    <t>The company returned £643,007 to shareholders by way of a buyback of 173,420 ordinary shares at a price of 64.3p per share.</t>
  </si>
  <si>
    <t>The company returned £376,653 to shareholders by way of a buyback of 103,187 ordinary shares at a price of 37.67p per share.</t>
  </si>
  <si>
    <t>The company returned £552,906 to shareholders by way of a buyback of 153,440 ordinary shares at a price of 55.29p per share.</t>
  </si>
  <si>
    <t>The company returned £558,628 to shareholders by way of a buyback of 156,098 ordinary shares at a price of 55.86p per share.</t>
  </si>
  <si>
    <t>The company returned £272,933 to shareholders by way of a buyback of 75,000 ordinary shares at a price of 27.29p per share.</t>
  </si>
  <si>
    <t>The company returned £265,220 to shareholders by way of a buyback of 72,149 ordinary shares at a price of 26.52p per share.</t>
  </si>
  <si>
    <t>The company returned £298,371 to shareholders by way of a buyback of 82,137 ordinary shares at a price of 29.84p per share.</t>
  </si>
  <si>
    <t>The company returned £300,497 to shareholders by way of a buyback of 82,468 ordinary shares at a price of 30.05p per share.</t>
  </si>
  <si>
    <t>The company returned £4,133 to shareholders by way of a buyback of 82 ordinary shares at a price of .41p per share.</t>
  </si>
  <si>
    <t>The company returned £83,439 to shareholders by way of a buyback of 1,649 ordinary shares at a price of 8.34p per share.</t>
  </si>
  <si>
    <t>The company returned £34,983 to shareholders by way of a buyback of 690 ordinary shares at a price of 3.5p per share.</t>
  </si>
  <si>
    <t>The company returned £19,532 to shareholders by way of a buyback of 386 ordinary shares at a price of 1.95p per share.</t>
  </si>
  <si>
    <t>The company returned £19,989 to shareholders by way of a buyback of 395 ordinary shares at a price of 2.p per share.</t>
  </si>
  <si>
    <t>The company returned £1,115 to shareholders by way of a buyback of 22 ordinary shares at a price of .11p per share.</t>
  </si>
  <si>
    <t>The company returned £897,694 to shareholders by way of a buyback of 17,706 ordinary shares at a price of 89.77p per share.</t>
  </si>
  <si>
    <t>The company returned £942,770 to shareholders by way of a buyback of 18,552 ordinary shares at a price of 94.28p per share.</t>
  </si>
  <si>
    <t>The company returned £2,535 to shareholders by way of a buyback of 50 ordinary shares at a price of .25p per share.</t>
  </si>
  <si>
    <t>The company returned £13,537 to shareholders by way of a buyback of 267 ordinary shares at a price of 1.35p per share.</t>
  </si>
  <si>
    <t>The company returned £44,688 to shareholders by way of a buyback of 12,500 ordinary shares at a price of 4.47p per share.</t>
  </si>
  <si>
    <t>The company returned £152,000 to shareholders by way of a buyback of 50,000 ordinary shares at a price of 15.2p per share.</t>
  </si>
  <si>
    <t>The company returned £160,000 to shareholders by way of a buyback of 50,000 ordinary shares at a price of 16.p per share.</t>
  </si>
  <si>
    <t>The company returned £343,500 to shareholders by way of a buyback of 100,000 ordinary shares at a price of 34.35p per share.</t>
  </si>
  <si>
    <t>The company returned £771,750 to shareholders by way of a buyback of 225,000 ordinary shares at a price of 77.18p per share.</t>
  </si>
  <si>
    <t>The company returned £10,587 to shareholders by way of a buyback of 3,494 ordinary shares at a price of 1.06p per share.</t>
  </si>
  <si>
    <t>The company returned £6 to shareholders by way of a buyback of 2 ordinary shares at a price of .p per share.</t>
  </si>
  <si>
    <t>The company returned £675,750 to shareholders by way of a buyback of 85,000 ordinary shares at a price of 67.58p per share.</t>
  </si>
  <si>
    <t>The company returned £331,500 to shareholders by way of a buyback of 42,500 ordinary shares at a price of 33.15p per share.</t>
  </si>
  <si>
    <t>The company returned £674,237 to shareholders by way of a buyback of 85,000 ordinary shares at a price of 67.42p per share.</t>
  </si>
  <si>
    <t>The company returned £668,517 to shareholders by way of a buyback of 85,000 ordinary shares at a price of 66.85p per share.</t>
  </si>
  <si>
    <t>The company returned £662,116 to shareholders by way of a buyback of 85,000 ordinary shares at a price of 66.21p per share.</t>
  </si>
  <si>
    <t>The company returned £972,863 to shareholders by way of a buyback of 125,000 ordinary shares at a price of 97.29p per share.</t>
  </si>
  <si>
    <t>The company returned £658,742 to shareholders by way of a buyback of 85,000 ordinary shares at a price of 65.87p per share.</t>
  </si>
  <si>
    <t>The company returned £658,733 to shareholders by way of a buyback of 85,000 ordinary shares at a price of 65.87p per share.</t>
  </si>
  <si>
    <t>The company returned £663,799 to shareholders by way of a buyback of 85,000 ordinary shares at a price of 66.38p per share.</t>
  </si>
  <si>
    <t>The company returned £656,200 to shareholders by way of a buyback of 85,000 ordinary shares at a price of 65.62p per share.</t>
  </si>
  <si>
    <t>The company returned £975,438 to shareholders by way of a buyback of 125,000 ordinary shares at a price of 97.54p per share.</t>
  </si>
  <si>
    <t>The company returned £668,415 to shareholders by way of a buyback of 85,000 ordinary shares at a price of 66.84p per share.</t>
  </si>
  <si>
    <t>The company returned £674,050 to shareholders by way of a buyback of 85,000 ordinary shares at a price of 67.41p per share.</t>
  </si>
  <si>
    <t>The company returned £674,475 to shareholders by way of a buyback of 85,000 ordinary shares at a price of 67.45p per share.</t>
  </si>
  <si>
    <t>The company returned £677,714 to shareholders by way of a buyback of 85,000 ordinary shares at a price of 67.77p per share.</t>
  </si>
  <si>
    <t>The company returned £681,700 to shareholders by way of a buyback of 85,000 ordinary shares at a price of 68.17p per share.</t>
  </si>
  <si>
    <t>The company returned £683,273 to shareholders by way of a buyback of 85,000 ordinary shares at a price of 68.33p per share.</t>
  </si>
  <si>
    <t>The company returned £677,433 to shareholders by way of a buyback of 85,000 ordinary shares at a price of 67.74p per share.</t>
  </si>
  <si>
    <t>The company returned £401,500 to shareholders by way of a buyback of 50,000 ordinary shares at a price of 40.15p per share.</t>
  </si>
  <si>
    <t>The company returned £637,735 to shareholders by way of a buyback of 198,500 ordinary shares at a price of 63.77p per share.</t>
  </si>
  <si>
    <t>The company returned £792,390 to shareholders by way of a buyback of 244,812 ordinary shares at a price of 79.24p per share.</t>
  </si>
  <si>
    <t>The company returned £623,312 to shareholders by way of a buyback of 189,048 ordinary shares at a price of 62.33p per share.</t>
  </si>
  <si>
    <t>The company returned £245,210 to shareholders by way of a buyback of 75,000 ordinary shares at a price of 24.52p per share.</t>
  </si>
  <si>
    <t>The company returned £329,204 to shareholders by way of a buyback of 100,000 ordinary shares at a price of 32.92p per share.</t>
  </si>
  <si>
    <t>The company returned £159,863 to shareholders by way of a buyback of 48,139 ordinary shares at a price of 15.99p per share.</t>
  </si>
  <si>
    <t>The company returned £279,694 to shareholders by way of a buyback of 85,000 ordinary shares at a price of 27.97p per share.</t>
  </si>
  <si>
    <t>The company returned £296,460 to shareholders by way of a buyback of 90,000 ordinary shares at a price of 29.65p per share.</t>
  </si>
  <si>
    <t>The company returned £655,152 to shareholders by way of a buyback of 200,000 ordinary shares at a price of 65.52p per share.</t>
  </si>
  <si>
    <t>The company returned £329,587 to shareholders by way of a buyback of 100,000 ordinary shares at a price of 32.96p per share.</t>
  </si>
  <si>
    <t>The company returned £663,086 to shareholders by way of a buyback of 200,000 ordinary shares at a price of 66.31p per share.</t>
  </si>
  <si>
    <t>The company returned £1,341,312 to shareholders by way of a buyback of 400,000 ordinary shares at a price of 134.13p per share.</t>
  </si>
  <si>
    <t>The company returned £99,146 to shareholders by way of a buyback of 29,264 ordinary shares at a price of 9.91p per share.</t>
  </si>
  <si>
    <t>The company returned £20,937 to shareholders by way of a buyback of 6,176 ordinary shares at a price of 2.09p per share.</t>
  </si>
  <si>
    <t>The company returned £39,360 to shareholders by way of a buyback of 11,645 ordinary shares at a price of 3.94p per share.</t>
  </si>
  <si>
    <t>The company returned £679,018 to shareholders by way of a buyback of 200,000 ordinary shares at a price of 67.9p per share.</t>
  </si>
  <si>
    <t>The company returned £95,591 to shareholders by way of a buyback of 15,247 ordinary shares at a price of 9.56p per share.</t>
  </si>
  <si>
    <t>The company returned £21,279 to shareholders by way of a buyback of 3,449 ordinary shares at a price of 2.13p per share.</t>
  </si>
  <si>
    <t>The company returned £19,701 to shareholders by way of a buyback of 3,251 ordinary shares at a price of 1.97p per share.</t>
  </si>
  <si>
    <t>The company returned £118,048 to shareholders by way of a buyback of 19,860 ordinary shares at a price of 11.8p per share.</t>
  </si>
  <si>
    <t>The company returned £296,990 to shareholders by way of a buyback of 100,000 ordinary shares at a price of 29.7p per share.</t>
  </si>
  <si>
    <t>The company returned £577,932 to shareholders by way of a buyback of 198,527 ordinary shares at a price of 57.79p per share.</t>
  </si>
  <si>
    <t>The company returned £750,636 to shareholders by way of a buyback of 263,909 ordinary shares at a price of 75.06p per share.</t>
  </si>
  <si>
    <t>The company returned £144,024 to shareholders by way of a buyback of 51,029 ordinary shares at a price of 14.4p per share.</t>
  </si>
  <si>
    <t>The company returned £813,674 to shareholders by way of a buyback of 61,278 ordinary shares at a price of 81.37p per share.</t>
  </si>
  <si>
    <t>The company returned £789,194 to shareholders by way of a buyback of 58,729 ordinary shares at a price of 78.92p per share.</t>
  </si>
  <si>
    <t>The company returned £1,263,657 to shareholders by way of a buyback of 88,730 ordinary shares at a price of 126.37p per share.</t>
  </si>
  <si>
    <t>The company returned £749,130 to shareholders by way of a buyback of 52,804 ordinary shares at a price of 74.91p per share.</t>
  </si>
  <si>
    <t>The company returned £1,053,703 to shareholders by way of a buyback of 72,766 ordinary shares at a price of 105.37p per share.</t>
  </si>
  <si>
    <t>The company returned £693,801 to shareholders by way of a buyback of 47,819 ordinary shares at a price of 69.38p per share.</t>
  </si>
  <si>
    <t>The company returned £500,136 to shareholders by way of a buyback of 35,000 ordinary shares at a price of 50.01p per share.</t>
  </si>
  <si>
    <t>The company returned £1,203,785 to shareholders by way of a buyback of 85,350 ordinary shares at a price of 120.38p per share.</t>
  </si>
  <si>
    <t>The company returned £734,349 to shareholders by way of a buyback of 53,159 ordinary shares at a price of 73.43p per share.</t>
  </si>
  <si>
    <t>The company returned £617,839 to shareholders by way of a buyback of 45,010 ordinary shares at a price of 61.78p per share.</t>
  </si>
  <si>
    <t>The company returned £351,500 to shareholders by way of a buyback of 25,000 ordinary shares at a price of 35.15p per share.</t>
  </si>
  <si>
    <t>The company returned £804,448 to shareholders by way of a buyback of 55,129 ordinary shares at a price of 80.44p per share.</t>
  </si>
  <si>
    <t>The company returned £1,602,968 to shareholders by way of a buyback of 110,001 ordinary shares at a price of 160.3p per share.</t>
  </si>
  <si>
    <t>The company returned £233,069 to shareholders by way of a buyback of 15,920 ordinary shares at a price of 23.31p per share.</t>
  </si>
  <si>
    <t>The company returned £1,204,530 to shareholders by way of a buyback of 300,000 ordinary shares at a price of 120.45p per share.</t>
  </si>
  <si>
    <t>The company returned £1,235,160 to shareholders by way of a buyback of 300,000 ordinary shares at a price of 123.52p per share.</t>
  </si>
  <si>
    <t>The company returned £1,223,370 to shareholders by way of a buyback of 300,000 ordinary shares at a price of 122.34p per share.</t>
  </si>
  <si>
    <t>The company returned £2,024,600 to shareholders by way of a buyback of 500,000 ordinary shares at a price of 202.46p per share.</t>
  </si>
  <si>
    <t>The company returned £2,417,520 to shareholders by way of a buyback of 600,000 ordinary shares at a price of 241.75p per share.</t>
  </si>
  <si>
    <t>The company returned £2,028,100 to shareholders by way of a buyback of 500,000 ordinary shares at a price of 202.81p per share.</t>
  </si>
  <si>
    <t>The company returned £1,605,960 to shareholders by way of a buyback of 400,000 ordinary shares at a price of 160.6p per share.</t>
  </si>
  <si>
    <t>The company returned £1,413,650 to shareholders by way of a buyback of 350,000 ordinary shares at a price of 141.37p per share.</t>
  </si>
  <si>
    <t>The company returned £1,630,880 to shareholders by way of a buyback of 400,000 ordinary shares at a price of 163.09p per share.</t>
  </si>
  <si>
    <t>The company returned £2,065,900 to shareholders by way of a buyback of 500,000 ordinary shares at a price of 206.59p per share.</t>
  </si>
  <si>
    <t>The company returned £1,679,760 to shareholders by way of a buyback of 400,000 ordinary shares at a price of 167.98p per share.</t>
  </si>
  <si>
    <t>The company returned £1,679,800 to shareholders by way of a buyback of 400,000 ordinary shares at a price of 167.98p per share.</t>
  </si>
  <si>
    <t>The company returned £1,015,376 to shareholders by way of a buyback of 132,419 ordinary shares at a price of 101.54p per share.</t>
  </si>
  <si>
    <t>The company returned £1,141,050 to shareholders by way of a buyback of 150,000 ordinary shares at a price of 114.11p per share.</t>
  </si>
  <si>
    <t>The company returned £1,887,050 to shareholders by way of a buyback of 250,000 ordinary shares at a price of 188.71p per share.</t>
  </si>
  <si>
    <t>The company returned £1,496,540 to shareholders by way of a buyback of 200,000 ordinary shares at a price of 149.65p per share.</t>
  </si>
  <si>
    <t>The company returned £1,127,910 to shareholders by way of a buyback of 150,000 ordinary shares at a price of 112.79p per share.</t>
  </si>
  <si>
    <t>The company returned £1,485,040 to shareholders by way of a buyback of 200,000 ordinary shares at a price of 148.5p per share.</t>
  </si>
  <si>
    <t>The company returned £683,880 to shareholders by way of a buyback of 91,780 ordinary shares at a price of 68.39p per share.</t>
  </si>
  <si>
    <t>The company returned £1,416,203 to shareholders by way of a buyback of 190,000 ordinary shares at a price of 141.62p per share.</t>
  </si>
  <si>
    <t>The company returned £1,364,220 to shareholders by way of a buyback of 180,000 ordinary shares at a price of 136.42p per share.</t>
  </si>
  <si>
    <t>The company returned £959,563 to shareholders by way of a buyback of 125,000 ordinary shares at a price of 95.96p per share.</t>
  </si>
  <si>
    <t>The company returned £937,395 to shareholders by way of a buyback of 123,000 ordinary shares at a price of 93.74p per share.</t>
  </si>
  <si>
    <t>The company returned £1,066,436 to shareholders by way of a buyback of 140,000 ordinary shares at a price of 106.64p per share.</t>
  </si>
  <si>
    <t>The company returned £1,429,826 to shareholders by way of a buyback of 190,000 ordinary shares at a price of 142.98p per share.</t>
  </si>
  <si>
    <t>The company returned £30,851 to shareholders by way of a buyback of 47,683 ordinary shares at a price of 3.09p per share.</t>
  </si>
  <si>
    <t>The company returned £38,970 to shareholders by way of a buyback of 59,890 ordinary shares at a price of 3.9p per share.</t>
  </si>
  <si>
    <t>The company returned £29,770 to shareholders by way of a buyback of 46,213 ordinary shares at a price of 2.98p per share.</t>
  </si>
  <si>
    <t>The company returned £28,327 to shareholders by way of a buyback of 44,651 ordinary shares at a price of 2.83p per share.</t>
  </si>
  <si>
    <t>The company returned £48,479 to shareholders by way of a buyback of 77,000 ordinary shares at a price of 4.85p per share.</t>
  </si>
  <si>
    <t>The company returned £22,213 to shareholders by way of a buyback of 34,948 ordinary shares at a price of 2.22p per share.</t>
  </si>
  <si>
    <t>The company returned £28,090 to shareholders by way of a buyback of 44,201 ordinary shares at a price of 2.81p per share.</t>
  </si>
  <si>
    <t>The company returned £27,183 to shareholders by way of a buyback of 42,713 ordinary shares at a price of 2.72p per share.</t>
  </si>
  <si>
    <t>The company returned £21,338 to shareholders by way of a buyback of 33,289 ordinary shares at a price of 2.13p per share.</t>
  </si>
  <si>
    <t>The company returned £25,537 to shareholders by way of a buyback of 40,465 ordinary shares at a price of 2.55p per share.</t>
  </si>
  <si>
    <t>The company returned £12,764 to shareholders by way of a buyback of 19,994 ordinary shares at a price of 1.28p per share.</t>
  </si>
  <si>
    <t>The company returned £7,001 to shareholders by way of a buyback of 10,815 ordinary shares at a price of .7p per share.</t>
  </si>
  <si>
    <t>The company returned £13,016 to shareholders by way of a buyback of 19,994 ordinary shares at a price of 1.3p per share.</t>
  </si>
  <si>
    <t>The company returned £16,325 to shareholders by way of a buyback of 25,000 ordinary shares at a price of 1.63p per share.</t>
  </si>
  <si>
    <t>The company returned £11,669 to shareholders by way of a buyback of 17,577 ordinary shares at a price of 1.17p per share.</t>
  </si>
  <si>
    <t>The company returned £13,203 to shareholders by way of a buyback of 19,633 ordinary shares at a price of 1.32p per share.</t>
  </si>
  <si>
    <t>The company returned £9,217 to shareholders by way of a buyback of 13,765 ordinary shares at a price of .92p per share.</t>
  </si>
  <si>
    <t>The company returned £10,767 to shareholders by way of a buyback of 15,939 ordinary shares at a price of 1.08p per share.</t>
  </si>
  <si>
    <t>The company returned £354,316 to shareholders by way of a buyback of 475,847 ordinary shares at a price of 35.43p per share.</t>
  </si>
  <si>
    <t>The company returned £205,112 to shareholders by way of a buyback of 275,651 ordinary shares at a price of 20.51p per share.</t>
  </si>
  <si>
    <t>The company returned £394,190 to shareholders by way of a buyback of 525,867 ordinary shares at a price of 39.42p per share.</t>
  </si>
  <si>
    <t>The company returned £238,323 to shareholders by way of a buyback of 323,676 ordinary shares at a price of 23.83p per share.</t>
  </si>
  <si>
    <t>The company returned £201,375 to shareholders by way of a buyback of 272,533 ordinary shares at a price of 20.14p per share.</t>
  </si>
  <si>
    <t>The company returned £68,120 to shareholders by way of a buyback of 92,203 ordinary shares at a price of 6.81p per share.</t>
  </si>
  <si>
    <t>The company returned £61,802 to shareholders by way of a buyback of 84,084 ordinary shares at a price of 6.18p per share.</t>
  </si>
  <si>
    <t>The company returned £188,011 to shareholders by way of a buyback of 252,431 ordinary shares at a price of 18.8p per share.</t>
  </si>
  <si>
    <t>The company returned £331,968 to shareholders by way of a buyback of 445,236 ordinary shares at a price of 33.2p per share.</t>
  </si>
  <si>
    <t>The company returned £312,092 to shareholders by way of a buyback of 421,461 ordinary shares at a price of 31.21p per share.</t>
  </si>
  <si>
    <t>The company returned £272,021 to shareholders by way of a buyback of 366,654 ordinary shares at a price of 27.2p per share.</t>
  </si>
  <si>
    <t>The company returned £322,711 to shareholders by way of a buyback of 433,985 ordinary shares at a price of 32.27p per share.</t>
  </si>
  <si>
    <t>The company returned £110,384 to shareholders by way of a buyback of 148,206 ordinary shares at a price of 11.04p per share.</t>
  </si>
  <si>
    <t>The company returned £308,783 to shareholders by way of a buyback of 413,253 ordinary shares at a price of 30.88p per share.</t>
  </si>
  <si>
    <t>The company returned £115,977 to shareholders by way of a buyback of 155,737 ordinary shares at a price of 11.6p per share.</t>
  </si>
  <si>
    <t>The company returned £252,544 to shareholders by way of a buyback of 336,322 ordinary shares at a price of 25.25p per share.</t>
  </si>
  <si>
    <t>The company returned £336,638 to shareholders by way of a buyback of 448,014 ordinary shares at a price of 33.66p per share.</t>
  </si>
  <si>
    <t>The company returned £69,524 to shareholders by way of a buyback of 92,036 ordinary shares at a price of 6.95p per share.</t>
  </si>
  <si>
    <t>The company returned £658,723 to shareholders by way of a buyback of 624,500 ordinary shares at a price of 65.87p per share.</t>
  </si>
  <si>
    <t>The company returned £209,440 to shareholders by way of a buyback of 200,000 ordinary shares at a price of 20.94p per share.</t>
  </si>
  <si>
    <t>The company returned £133,875 to shareholders by way of a buyback of 125,000 ordinary shares at a price of 13.39p per share.</t>
  </si>
  <si>
    <t>The company returned £386,260 to shareholders by way of a buyback of 350,000 ordinary shares at a price of 38.63p per share.</t>
  </si>
  <si>
    <t>The company returned £710,956 to shareholders by way of a buyback of 637,000 ordinary shares at a price of 71.1p per share.</t>
  </si>
  <si>
    <t>The company returned £767,273 to shareholders by way of a buyback of 675,000 ordinary shares at a price of 76.73p per share.</t>
  </si>
  <si>
    <t>The company returned £261,203 to shareholders by way of a buyback of 225,000 ordinary shares at a price of 26.12p per share.</t>
  </si>
  <si>
    <t>The company returned £528,840 to shareholders by way of a buyback of 450,000 ordinary shares at a price of 52.88p per share.</t>
  </si>
  <si>
    <t>The company returned £456,028 to shareholders by way of a buyback of 395,000 ordinary shares at a price of 45.6p per share.</t>
  </si>
  <si>
    <t>The company returned £631,482 to shareholders by way of a buyback of 567,420 ordinary shares at a price of 63.15p per share.</t>
  </si>
  <si>
    <t>The company returned £658,920 to shareholders by way of a buyback of 600,000 ordinary shares at a price of 65.89p per share.</t>
  </si>
  <si>
    <t>The company returned £158,850 to shareholders by way of a buyback of 150,000 ordinary shares at a price of 15.89p per share.</t>
  </si>
  <si>
    <t>The company returned £224,680 to shareholders by way of a buyback of 212,705 ordinary shares at a price of 22.47p per share.</t>
  </si>
  <si>
    <t>The company returned £45,776 to shareholders by way of a buyback of 44,041 ordinary shares at a price of 4.58p per share.</t>
  </si>
  <si>
    <t>The company returned £31,812 to shareholders by way of a buyback of 30,000 ordinary shares at a price of 3.18p per share.</t>
  </si>
  <si>
    <t>The company returned £211,540 to shareholders by way of a buyback of 200,000 ordinary shares at a price of 21.15p per share.</t>
  </si>
  <si>
    <t>The company returned £52,200 to shareholders by way of a buyback of 50,000 ordinary shares at a price of 5.22p per share.</t>
  </si>
  <si>
    <t>The company returned £176,418 to shareholders by way of a buyback of 162,000 ordinary shares at a price of 17.64p per share.</t>
  </si>
  <si>
    <t>The company returned £215,530 to shareholders by way of a buyback of 279,112 ordinary shares at a price of 21.55p per share.</t>
  </si>
  <si>
    <t>The company returned £284,245 to shareholders by way of a buyback of 363,252 ordinary shares at a price of 28.42p per share.</t>
  </si>
  <si>
    <t>The company returned £243,440 to shareholders by way of a buyback of 309,484 ordinary shares at a price of 24.34p per share.</t>
  </si>
  <si>
    <t>The company returned £198,004 to shareholders by way of a buyback of 255,918 ordinary shares at a price of 19.8p per share.</t>
  </si>
  <si>
    <t>The company returned £213,276 to shareholders by way of a buyback of 278,102 ordinary shares at a price of 21.33p per share.</t>
  </si>
  <si>
    <t>The company returned £287,213 to shareholders by way of a buyback of 375,000 ordinary shares at a price of 28.72p per share.</t>
  </si>
  <si>
    <t>The company returned £186,166 to shareholders by way of a buyback of 242,562 ordinary shares at a price of 18.62p per share.</t>
  </si>
  <si>
    <t>The company returned £253,818 to shareholders by way of a buyback of 330,062 ordinary shares at a price of 25.38p per share.</t>
  </si>
  <si>
    <t>The company returned £177,604 to shareholders by way of a buyback of 231,950 ordinary shares at a price of 17.76p per share.</t>
  </si>
  <si>
    <t>The company returned £290,063 to shareholders by way of a buyback of 375,000 ordinary shares at a price of 29.01p per share.</t>
  </si>
  <si>
    <t>The company returned £260,889 to shareholders by way of a buyback of 335,635 ordinary shares at a price of 26.09p per share.</t>
  </si>
  <si>
    <t>The company returned £243,917 to shareholders by way of a buyback of 314,975 ordinary shares at a price of 24.39p per share.</t>
  </si>
  <si>
    <t>The company returned £188,915 to shareholders by way of a buyback of 242,136 ordinary shares at a price of 18.89p per share.</t>
  </si>
  <si>
    <t>The company returned £143,519 to shareholders by way of a buyback of 183,740 ordinary shares at a price of 14.35p per share.</t>
  </si>
  <si>
    <t>The company returned £171,368 to shareholders by way of a buyback of 219,000 ordinary shares at a price of 17.14p per share.</t>
  </si>
  <si>
    <t>The company returned £70,956 to shareholders by way of a buyback of 91,004 ordinary shares at a price of 7.1p per share.</t>
  </si>
  <si>
    <t>The company returned £137,235 to shareholders by way of a buyback of 184,878 ordinary shares at a price of 13.72p per share.</t>
  </si>
  <si>
    <t>The company returned £162,589 to shareholders by way of a buyback of 219,567 ordinary shares at a price of 16.26p per share.</t>
  </si>
  <si>
    <t>The company returned £83,700 to shareholders by way of a buyback of 30,000 ordinary shares at a price of 8.37p per share.</t>
  </si>
  <si>
    <t>The company returned £251,100 to shareholders by way of a buyback of 90,000 ordinary shares at a price of 25.11p per share.</t>
  </si>
  <si>
    <t>The company returned £158,675 to shareholders by way of a buyback of 55,000 ordinary shares at a price of 15.87p per share.</t>
  </si>
  <si>
    <t>The company returned £277,613 to shareholders by way of a buyback of 96,000 ordinary shares at a price of 27.76p per share.</t>
  </si>
  <si>
    <t>The company returned £98,600 to shareholders by way of a buyback of 34,000 ordinary shares at a price of 9.86p per share.</t>
  </si>
  <si>
    <t>The company returned £94,500 to shareholders by way of a buyback of 30,000 ordinary shares at a price of 9.45p per share.</t>
  </si>
  <si>
    <t>The company returned £489,500 to shareholders by way of a buyback of 15,000 ordinary shares at a price of 48.95p per share.</t>
  </si>
  <si>
    <t>The company returned £583,851 to shareholders by way of a buyback of 18,000 ordinary shares at a price of 58.39p per share.</t>
  </si>
  <si>
    <t>The company returned £519,680 to shareholders by way of a buyback of 16,000 ordinary shares at a price of 51.97p per share.</t>
  </si>
  <si>
    <t>The company returned £485,950 to shareholders by way of a buyback of 15,000 ordinary shares at a price of 48.59p per share.</t>
  </si>
  <si>
    <t>The company returned £287,639 to shareholders by way of a buyback of 8,903 ordinary shares at a price of 28.76p per share.</t>
  </si>
  <si>
    <t>The company returned £515,750 to shareholders by way of a buyback of 16,000 ordinary shares at a price of 51.57p per share.</t>
  </si>
  <si>
    <t>The company returned £485,357 to shareholders by way of a buyback of 15,000 ordinary shares at a price of 48.54p per share.</t>
  </si>
  <si>
    <t>The company returned £481,650 to shareholders by way of a buyback of 15,000 ordinary shares at a price of 48.17p per share.</t>
  </si>
  <si>
    <t>The company returned £522,400 to shareholders by way of a buyback of 16,000 ordinary shares at a price of 52.24p per share.</t>
  </si>
  <si>
    <t>The company returned £164,000 to shareholders by way of a buyback of 5,000 ordinary shares at a price of 16.4p per share.</t>
  </si>
  <si>
    <t>The company returned £359,030 to shareholders by way of a buyback of 11,000 ordinary shares at a price of 35.9p per share.</t>
  </si>
  <si>
    <t>The company returned £354,914 to shareholders by way of a buyback of 11,000 ordinary shares at a price of 35.49p per share.</t>
  </si>
  <si>
    <t>The company returned £176,313 to shareholders by way of a buyback of 5,425 ordinary shares at a price of 17.63p per share.</t>
  </si>
  <si>
    <t>The company returned £291,600 to shareholders by way of a buyback of 9,000 ordinary shares at a price of 29.16p per share.</t>
  </si>
  <si>
    <t>The company returned £294,725 to shareholders by way of a buyback of 9,000 ordinary shares at a price of 29.47p per share.</t>
  </si>
  <si>
    <t>The company returned £280,500 to shareholders by way of a buyback of 8,500 ordinary shares at a price of 28.05p per share.</t>
  </si>
  <si>
    <t>The company returned £1,008,161 to shareholders by way of a buyback of 30,000 ordinary shares at a price of 100.82p per share.</t>
  </si>
  <si>
    <t>The company returned £1,011,750 to shareholders by way of a buyback of 30,000 ordinary shares at a price of 101.18p per share.</t>
  </si>
  <si>
    <t>The company returned £519,467 to shareholders by way of a buyback of 15,057 ordinary shares at a price of 51.95p per share.</t>
  </si>
  <si>
    <t>The company returned £173,000 to shareholders by way of a buyback of 20,000 ordinary shares at a price of 17.3p per share.</t>
  </si>
  <si>
    <t>The company returned £330,332 to shareholders by way of a buyback of 38,000 ordinary shares at a price of 33.03p per share.</t>
  </si>
  <si>
    <t>The company returned £283,260 to shareholders by way of a buyback of 32,000 ordinary shares at a price of 28.33p per share.</t>
  </si>
  <si>
    <t>The company returned £2,156,440 to shareholders by way of a buyback of 250,000 ordinary shares at a price of 215.64p per share.</t>
  </si>
  <si>
    <t>The company returned £955,077 to shareholders by way of a buyback of 111,000 ordinary shares at a price of 95.51p per share.</t>
  </si>
  <si>
    <t>The company returned £474,400 to shareholders by way of a buyback of 55,001 ordinary shares at a price of 47.44p per share.</t>
  </si>
  <si>
    <t>The company returned £1,199,685 to shareholders by way of a buyback of 138,920 ordinary shares at a price of 119.97p per share.</t>
  </si>
  <si>
    <t>The company returned £385,936 to shareholders by way of a buyback of 44,241 ordinary shares at a price of 38.59p per share.</t>
  </si>
  <si>
    <t>The company returned £102,222 to shareholders by way of a buyback of 11,824 ordinary shares at a price of 10.22p per share.</t>
  </si>
  <si>
    <t>The company returned £98,320 to shareholders by way of a buyback of 11,142 ordinary shares at a price of 9.83p per share.</t>
  </si>
  <si>
    <t>The company returned £227,000 to shareholders by way of a buyback of 25,000 ordinary shares at a price of 22.7p per share.</t>
  </si>
  <si>
    <t>The company returned £457,322 to shareholders by way of a buyback of 50,000 ordinary shares at a price of 45.73p per share.</t>
  </si>
  <si>
    <t>The company returned £323,482 to shareholders by way of a buyback of 35,490 ordinary shares at a price of 32.35p per share.</t>
  </si>
  <si>
    <t>The company returned £381,000 to shareholders by way of a buyback of 300,000 ordinary shares at a price of 38.1p per share.</t>
  </si>
  <si>
    <t>The company returned £1,889,490 to shareholders by way of a buyback of 1,500,000 ordinary shares at a price of 188.95p per share.</t>
  </si>
  <si>
    <t>The company returned £1,906,140 to shareholders by way of a buyback of 1,500,000 ordinary shares at a price of 190.61p per share.</t>
  </si>
  <si>
    <t>The company returned £1,579,450 to shareholders by way of a buyback of 1,250,000 ordinary shares at a price of 157.95p per share.</t>
  </si>
  <si>
    <t>The company returned £1,263,860 to shareholders by way of a buyback of 1,000,000 ordinary shares at a price of 126.39p per share.</t>
  </si>
  <si>
    <t>The company returned £1,569,663 to shareholders by way of a buyback of 1,250,000 ordinary shares at a price of 156.97p per share.</t>
  </si>
  <si>
    <t>The company returned £1,228,210 to shareholders by way of a buyback of 1,000,000 ordinary shares at a price of 122.82p per share.</t>
  </si>
  <si>
    <t>The company returned £1,223,610 to shareholders by way of a buyback of 1,000,000 ordinary shares at a price of 122.36p per share.</t>
  </si>
  <si>
    <t>The company returned £848,270 to shareholders by way of a buyback of 685,000 ordinary shares at a price of 84.83p per share.</t>
  </si>
  <si>
    <t>The company returned £615,640 to shareholders by way of a buyback of 500,000 ordinary shares at a price of 61.56p per share.</t>
  </si>
  <si>
    <t>The company returned £1,048,042 to shareholders by way of a buyback of 850,000 ordinary shares at a price of 104.8p per share.</t>
  </si>
  <si>
    <t>The company returned £996,400 to shareholders by way of a buyback of 800,000 ordinary shares at a price of 99.64p per share.</t>
  </si>
  <si>
    <t>The company returned £688,358 to shareholders by way of a buyback of 550,000 ordinary shares at a price of 68.84p per share.</t>
  </si>
  <si>
    <t>The company returned £108,443 to shareholders by way of a buyback of 8,117 ordinary shares at a price of 10.84p per share.</t>
  </si>
  <si>
    <t>The company returned £208,500 to shareholders by way of a buyback of 15,000 ordinary shares at a price of 20.85p per share.</t>
  </si>
  <si>
    <t>The company returned £137,600 to shareholders by way of a buyback of 10,000 ordinary shares at a price of 13.76p per share.</t>
  </si>
  <si>
    <t>The company returned £375,300 to shareholders by way of a buyback of 27,000 ordinary shares at a price of 37.53p per share.</t>
  </si>
  <si>
    <t>The company returned £1,737,500 to shareholders by way of a buyback of 125,000 ordinary shares at a price of 173.75p per share.</t>
  </si>
  <si>
    <t>The company returned £205,950 to shareholders by way of a buyback of 15,000 ordinary shares at a price of 20.6p per share.</t>
  </si>
  <si>
    <t>The company returned £118,774 to shareholders by way of a buyback of 8,657 ordinary shares at a price of 11.88p per share.</t>
  </si>
  <si>
    <t>The company returned £136,600 to shareholders by way of a buyback of 10,000 ordinary shares at a price of 13.66p per share.</t>
  </si>
  <si>
    <t>The company returned £1,706,250 to shareholders by way of a buyback of 125,000 ordinary shares at a price of 170.63p per share.</t>
  </si>
  <si>
    <t>The company returned £202,500 to shareholders by way of a buyback of 15,000 ordinary shares at a price of 20.25p per share.</t>
  </si>
  <si>
    <t>The company returned £135,600 to shareholders by way of a buyback of 10,000 ordinary shares at a price of 13.56p per share.</t>
  </si>
  <si>
    <t>The company returned £201,000 to shareholders by way of a buyback of 15,000 ordinary shares at a price of 20.1p per share.</t>
  </si>
  <si>
    <t>The company returned £201,450 to shareholders by way of a buyback of 15,000 ordinary shares at a price of 20.15p per share.</t>
  </si>
  <si>
    <t>The company returned £548,675 to shareholders by way of a buyback of 125,000 ordinary shares at a price of 54.87p per share.</t>
  </si>
  <si>
    <t>The company returned £331,720 to shareholders by way of a buyback of 74,000 ordinary shares at a price of 33.17p per share.</t>
  </si>
  <si>
    <t>The company returned £466,216 to shareholders by way of a buyback of 103,500 ordinary shares at a price of 46.62p per share.</t>
  </si>
  <si>
    <t>The company returned £669,840 to shareholders by way of a buyback of 150,000 ordinary shares at a price of 66.98p per share.</t>
  </si>
  <si>
    <t>The company returned £561,675 to shareholders by way of a buyback of 125,000 ordinary shares at a price of 56.17p per share.</t>
  </si>
  <si>
    <t>The company returned £444,067 to shareholders by way of a buyback of 98,000 ordinary shares at a price of 44.41p per share.</t>
  </si>
  <si>
    <t>The company returned £402,970 to shareholders by way of a buyback of 87,818 ordinary shares at a price of 40.3p per share.</t>
  </si>
  <si>
    <t>The company returned £565,100 to shareholders by way of a buyback of 125,000 ordinary shares at a price of 56.51p per share.</t>
  </si>
  <si>
    <t>The company returned £116,704 to shareholders by way of a buyback of 25,696 ordinary shares at a price of 11.67p per share.</t>
  </si>
  <si>
    <t>The company returned £459,040 to shareholders by way of a buyback of 100,000 ordinary shares at a price of 45.9p per share.</t>
  </si>
  <si>
    <t>The company returned £464,080 to shareholders by way of a buyback of 100,000 ordinary shares at a price of 46.41p per share.</t>
  </si>
  <si>
    <t>The company returned £460,120 to shareholders by way of a buyback of 100,000 ordinary shares at a price of 46.01p per share.</t>
  </si>
  <si>
    <t>The company returned £461,810 to shareholders by way of a buyback of 100,000 ordinary shares at a price of 46.18p per share.</t>
  </si>
  <si>
    <t>The company returned £38,500 to shareholders by way of a buyback of 25,000 ordinary shares at a price of 3.85p per share.</t>
  </si>
  <si>
    <t>The company returned £115,250 to shareholders by way of a buyback of 75,000 ordinary shares at a price of 11.53p per share.</t>
  </si>
  <si>
    <t>The company returned £79,750 to shareholders by way of a buyback of 50,000 ordinary shares at a price of 7.98p per share.</t>
  </si>
  <si>
    <t>The company returned £184,940 to shareholders by way of a buyback of 140,000 ordinary shares at a price of 18.49p per share.</t>
  </si>
  <si>
    <t>The company returned £198,150 to shareholders by way of a buyback of 150,000 ordinary shares at a price of 19.82p per share.</t>
  </si>
  <si>
    <t>The company returned £46,773 to shareholders by way of a buyback of 35,274 ordinary shares at a price of 4.68p per share.</t>
  </si>
  <si>
    <t>The company returned £200,400 to shareholders by way of a buyback of 150,000 ordinary shares at a price of 20.04p per share.</t>
  </si>
  <si>
    <t>The company returned £199,050 to shareholders by way of a buyback of 150,000 ordinary shares at a price of 19.91p per share.</t>
  </si>
  <si>
    <t>The company returned £199,650 to shareholders by way of a buyback of 150,000 ordinary shares at a price of 19.97p per share.</t>
  </si>
  <si>
    <t>The company returned £195,900 to shareholders by way of a buyback of 150,000 ordinary shares at a price of 19.59p per share.</t>
  </si>
  <si>
    <t>The company returned £387,000 to shareholders by way of a buyback of 300,000 ordinary shares at a price of 38.7p per share.</t>
  </si>
  <si>
    <t>The company returned £195,000 to shareholders by way of a buyback of 150,000 ordinary shares at a price of 19.5p per share.</t>
  </si>
  <si>
    <t>The company returned £373,095 to shareholders by way of a buyback of 288,997 ordinary shares at a price of 37.31p per share.</t>
  </si>
  <si>
    <t>The company returned £194,100 to shareholders by way of a buyback of 150,000 ordinary shares at a price of 19.41p per share.</t>
  </si>
  <si>
    <t>The company returned £194,850 to shareholders by way of a buyback of 150,000 ordinary shares at a price of 19.49p per share.</t>
  </si>
  <si>
    <t>The company returned £196,500 to shareholders by way of a buyback of 150,000 ordinary shares at a price of 19.65p per share.</t>
  </si>
  <si>
    <t>The company returned £196,800 to shareholders by way of a buyback of 150,000 ordinary shares at a price of 19.68p per share.</t>
  </si>
  <si>
    <t>The company returned £39,349 to shareholders by way of a buyback of 29,697 ordinary shares at a price of 3.93p per share.</t>
  </si>
  <si>
    <t>The company returned £354,750 to shareholders by way of a buyback of 75,000 ordinary shares at a price of 35.48p per share.</t>
  </si>
  <si>
    <t>The company returned £349,875 to shareholders by way of a buyback of 75,000 ordinary shares at a price of 34.99p per share.</t>
  </si>
  <si>
    <t>The company returned £361,481 to shareholders by way of a buyback of 75,000 ordinary shares at a price of 36.15p per share.</t>
  </si>
  <si>
    <t>The company returned £472,000 to shareholders by way of a buyback of 100,000 ordinary shares at a price of 47.2p per share.</t>
  </si>
  <si>
    <t>The company returned £478,500 to shareholders by way of a buyback of 100,000 ordinary shares at a price of 47.85p per share.</t>
  </si>
  <si>
    <t>The company returned £144,000 to shareholders by way of a buyback of 30,000 ordinary shares at a price of 14.4p per share.</t>
  </si>
  <si>
    <t>The company returned £246,750 to shareholders by way of a buyback of 50,000 ordinary shares at a price of 24.68p per share.</t>
  </si>
  <si>
    <t>The company returned £664,876 to shareholders by way of a buyback of 57,310 ordinary shares at a price of 66.49p per share.</t>
  </si>
  <si>
    <t>The company returned £427,980 to shareholders by way of a buyback of 36,751 ordinary shares at a price of 42.8p per share.</t>
  </si>
  <si>
    <t>The company returned £330,239 to shareholders by way of a buyback of 27,993 ordinary shares at a price of 33.02p per share.</t>
  </si>
  <si>
    <t>The company returned £863,854 to shareholders by way of a buyback of 72,652 ordinary shares at a price of 86.39p per share.</t>
  </si>
  <si>
    <t>The company returned £266,600 to shareholders by way of a buyback of 21,965 ordinary shares at a price of 26.66p per share.</t>
  </si>
  <si>
    <t>The company returned £240,996 to shareholders by way of a buyback of 20,000 ordinary shares at a price of 24.1p per share.</t>
  </si>
  <si>
    <t>The company returned £536,760 to shareholders by way of a buyback of 45,000 ordinary shares at a price of 53.68p per share.</t>
  </si>
  <si>
    <t>The company returned £357,759 to shareholders by way of a buyback of 30,000 ordinary shares at a price of 35.78p per share.</t>
  </si>
  <si>
    <t>The company returned £480,384 to shareholders by way of a buyback of 40,000 ordinary shares at a price of 48.04p per share.</t>
  </si>
  <si>
    <t>The company returned £482,654 to shareholders by way of a buyback of 40,000 ordinary shares at a price of 48.27p per share.</t>
  </si>
  <si>
    <t>The company returned £114,384 to shareholders by way of a buyback of 40,000 ordinary shares at a price of 11.44p per share.</t>
  </si>
  <si>
    <t>The company returned £287,790 to shareholders by way of a buyback of 100,000 ordinary shares at a price of 28.78p per share.</t>
  </si>
  <si>
    <t>The company returned £285,880 to shareholders by way of a buyback of 100,000 ordinary shares at a price of 28.59p per share.</t>
  </si>
  <si>
    <t>The company returned £290,410 to shareholders by way of a buyback of 100,000 ordinary shares at a price of 29.04p per share.</t>
  </si>
  <si>
    <t>The company returned £286,110 to shareholders by way of a buyback of 100,000 ordinary shares at a price of 28.61p per share.</t>
  </si>
  <si>
    <t>The company returned £286,510 to shareholders by way of a buyback of 100,000 ordinary shares at a price of 28.65p per share.</t>
  </si>
  <si>
    <t>The company returned £285,590 to shareholders by way of a buyback of 100,000 ordinary shares at a price of 28.56p per share.</t>
  </si>
  <si>
    <t>The company returned £78,965 to shareholders by way of a buyback of 27,385 ordinary shares at a price of 7.9p per share.</t>
  </si>
  <si>
    <t>The company returned £285,500 to shareholders by way of a buyback of 100,000 ordinary shares at a price of 28.55p per share.</t>
  </si>
  <si>
    <t>The company returned £181,417 to shareholders by way of a buyback of 64,232 ordinary shares at a price of 18.14p per share.</t>
  </si>
  <si>
    <t>The company returned £451,384 to shareholders by way of a buyback of 290,522 ordinary shares at a price of 45.14p per share.</t>
  </si>
  <si>
    <t>The company returned £639,040 to shareholders by way of a buyback of 400,000 ordinary shares at a price of 63.9p per share.</t>
  </si>
  <si>
    <t>The company returned £655,440 to shareholders by way of a buyback of 400,000 ordinary shares at a price of 65.54p per share.</t>
  </si>
  <si>
    <t>The company returned £703,502 to shareholders by way of a buyback of 426,784 ordinary shares at a price of 70.35p per share.</t>
  </si>
  <si>
    <t>The company returned £320,987 to shareholders by way of a buyback of 199,000 ordinary shares at a price of 32.1p per share.</t>
  </si>
  <si>
    <t>The company returned £293,299 to shareholders by way of a buyback of 180,000 ordinary shares at a price of 29.33p per share.</t>
  </si>
  <si>
    <t>The company returned £188,871 to shareholders by way of a buyback of 30,816 ordinary shares at a price of 18.89p per share.</t>
  </si>
  <si>
    <t>The company returned £488,893 to shareholders by way of a buyback of 78,728 ordinary shares at a price of 48.89p per share.</t>
  </si>
  <si>
    <t>The company returned £28,843 to shareholders by way of a buyback of 4,527 ordinary shares at a price of 2.88p per share.</t>
  </si>
  <si>
    <t>The company returned £64,525 to shareholders by way of a buyback of 10,076 ordinary shares at a price of 6.45p per share.</t>
  </si>
  <si>
    <t>The company returned £314,214 to shareholders by way of a buyback of 49,154 ordinary shares at a price of 31.42p per share.</t>
  </si>
  <si>
    <t>The company returned £235,204 to shareholders by way of a buyback of 36,863 ordinary shares at a price of 23.52p per share.</t>
  </si>
  <si>
    <t>The company returned £39,124 to shareholders by way of a buyback of 6,139 ordinary shares at a price of 3.91p per share.</t>
  </si>
  <si>
    <t>The company returned £318,920 to shareholders by way of a buyback of 49,978 ordinary shares at a price of 31.89p per share.</t>
  </si>
  <si>
    <t>The company returned £288,876 to shareholders by way of a buyback of 44,803 ordinary shares at a price of 28.89p per share.</t>
  </si>
  <si>
    <t>The company returned £303,702 to shareholders by way of a buyback of 47,315 ordinary shares at a price of 30.37p per share.</t>
  </si>
  <si>
    <t>The company returned £189,272 to shareholders by way of a buyback of 29,691 ordinary shares at a price of 18.93p per share.</t>
  </si>
  <si>
    <t>The company returned £92,639 to shareholders by way of a buyback of 14,527 ordinary shares at a price of 9.26p per share.</t>
  </si>
  <si>
    <t>The company returned £151,763 to shareholders by way of a buyback of 23,676 ordinary shares at a price of 15.18p per share.</t>
  </si>
  <si>
    <t>The company returned £80,582 to shareholders by way of a buyback of 12,488 ordinary shares at a price of 8.06p per share.</t>
  </si>
  <si>
    <t>The company returned £103,588 to shareholders by way of a buyback of 52,291 ordinary shares at a price of 10.36p per share.</t>
  </si>
  <si>
    <t>The company returned £244,194 to shareholders by way of a buyback of 124,525 ordinary shares at a price of 24.42p per share.</t>
  </si>
  <si>
    <t>The company returned £394,940 to shareholders by way of a buyback of 200,000 ordinary shares at a price of 39.49p per share.</t>
  </si>
  <si>
    <t>The company returned £34,617 to shareholders by way of a buyback of 17,137 ordinary shares at a price of 3.46p per share.</t>
  </si>
  <si>
    <t>The company returned £119,866 to shareholders by way of a buyback of 58,758 ordinary shares at a price of 11.99p per share.</t>
  </si>
  <si>
    <t>The company returned £83,530 to shareholders by way of a buyback of 10,000 ordinary shares at a price of 8.35p per share.</t>
  </si>
  <si>
    <t>The company returned £500,808 to shareholders by way of a buyback of 60,000 ordinary shares at a price of 50.08p per share.</t>
  </si>
  <si>
    <t>The company returned £84,230 to shareholders by way of a buyback of 10,000 ordinary shares at a price of 8.42p per share.</t>
  </si>
  <si>
    <t>The company returned £85,021 to shareholders by way of a buyback of 10,000 ordinary shares at a price of 8.5p per share.</t>
  </si>
  <si>
    <t>The company returned £84,345 to shareholders by way of a buyback of 10,000 ordinary shares at a price of 8.43p per share.</t>
  </si>
  <si>
    <t>The company returned £83,064 to shareholders by way of a buyback of 10,000 ordinary shares at a price of 8.31p per share.</t>
  </si>
  <si>
    <t>The company returned £80,877 to shareholders by way of a buyback of 10,000 ordinary shares at a price of 8.09p per share.</t>
  </si>
  <si>
    <t>The company returned £486,000 to shareholders by way of a buyback of 60,000 ordinary shares at a price of 48.6p per share.</t>
  </si>
  <si>
    <t>The company returned £206,023 to shareholders by way of a buyback of 25,000 ordinary shares at a price of 20.6p per share.</t>
  </si>
  <si>
    <t>The company returned £47,627 to shareholders by way of a buyback of 5,794 ordinary shares at a price of 4.76p per share.</t>
  </si>
  <si>
    <t>The company returned £207,640 to shareholders by way of a buyback of 25,000 ordinary shares at a price of 20.76p per share.</t>
  </si>
  <si>
    <t>The company returned £57,092 to shareholders by way of a buyback of 6,813 ordinary shares at a price of 5.71p per share.</t>
  </si>
  <si>
    <t>The company returned £210,781 to shareholders by way of a buyback of 25,000 ordinary shares at a price of 21.08p per share.</t>
  </si>
  <si>
    <t>The company returned £209,050 to shareholders by way of a buyback of 25,000 ordinary shares at a price of 20.9p per share.</t>
  </si>
  <si>
    <t>The company returned £114,944 to shareholders by way of a buyback of 13,850 ordinary shares at a price of 11.49p per share.</t>
  </si>
  <si>
    <t>The company returned £84,307 to shareholders by way of a buyback of 10,000 ordinary shares at a price of 8.43p per share.</t>
  </si>
  <si>
    <t>The company returned £562,500 to shareholders by way of a buyback of 75,000 ordinary shares at a price of 56.25p per share.</t>
  </si>
  <si>
    <t>The company returned £777,000 to shareholders by way of a buyback of 100,000 ordinary shares at a price of 77.7p per share.</t>
  </si>
  <si>
    <t>The company returned £196,250 to shareholders by way of a buyback of 25,000 ordinary shares at a price of 19.63p per share.</t>
  </si>
  <si>
    <t>The company returned £591,000 to shareholders by way of a buyback of 75,000 ordinary shares at a price of 59.1p per share.</t>
  </si>
  <si>
    <t>The company returned £591,750 to shareholders by way of a buyback of 75,000 ordinary shares at a price of 59.18p per share.</t>
  </si>
  <si>
    <t>The company returned £1,192,500 to shareholders by way of a buyback of 150,000 ordinary shares at a price of 119.25p per share.</t>
  </si>
  <si>
    <t>The company returned £1,164,000 to shareholders by way of a buyback of 150,000 ordinary shares at a price of 116.4p per share.</t>
  </si>
  <si>
    <t>The company returned £961,250 to shareholders by way of a buyback of 125,000 ordinary shares at a price of 96.13p per share.</t>
  </si>
  <si>
    <t>The company returned £508,300 to shareholders by way of a buyback of 65,000 ordinary shares at a price of 50.83p per share.</t>
  </si>
  <si>
    <t>The company returned £1,212,000 to shareholders by way of a buyback of 150,000 ordinary shares at a price of 121.2p per share.</t>
  </si>
  <si>
    <t>The company returned £800,000 to shareholders by way of a buyback of 100,000 ordinary shares at a price of 80.p per share.</t>
  </si>
  <si>
    <t>The company returned £598,500 to shareholders by way of a buyback of 75,000 ordinary shares at a price of 59.85p per share.</t>
  </si>
  <si>
    <t>The company returned £803,000 to shareholders by way of a buyback of 100,000 ordinary shares at a price of 80.3p per share.</t>
  </si>
  <si>
    <t>The company returned £241,500 to shareholders by way of a buyback of 75,000 ordinary shares at a price of 24.15p per share.</t>
  </si>
  <si>
    <t>The company returned £240,665 to shareholders by way of a buyback of 75,000 ordinary shares at a price of 24.07p per share.</t>
  </si>
  <si>
    <t>The company returned £230,270 to shareholders by way of a buyback of 70,000 ordinary shares at a price of 23.03p per share.</t>
  </si>
  <si>
    <t>The company returned £164,000 to shareholders by way of a buyback of 50,000 ordinary shares at a price of 16.4p per share.</t>
  </si>
  <si>
    <t>The company returned £129,112 to shareholders by way of a buyback of 40,000 ordinary shares at a price of 12.91p per share.</t>
  </si>
  <si>
    <t>The company returned £209,518 to shareholders by way of a buyback of 65,000 ordinary shares at a price of 20.95p per share.</t>
  </si>
  <si>
    <t>The company returned £243,000 to shareholders by way of a buyback of 75,000 ordinary shares at a price of 24.3p per share.</t>
  </si>
  <si>
    <t>The company returned £208,200 to shareholders by way of a buyback of 65,000 ordinary shares at a price of 20.82p per share.</t>
  </si>
  <si>
    <t>The company returned £242,150 to shareholders by way of a buyback of 75,000 ordinary shares at a price of 24.21p per share.</t>
  </si>
  <si>
    <t>The company returned £489,510 to shareholders by way of a buyback of 150,000 ordinary shares at a price of 48.95p per share.</t>
  </si>
  <si>
    <t>The company returned £322,815 to shareholders by way of a buyback of 100,000 ordinary shares at a price of 32.28p per share.</t>
  </si>
  <si>
    <t>The company returned £486,668 to shareholders by way of a buyback of 150,000 ordinary shares at a price of 48.67p per share.</t>
  </si>
  <si>
    <t>The company returned £492,948 to shareholders by way of a buyback of 150,000 ordinary shares at a price of 49.29p per share.</t>
  </si>
  <si>
    <t>The company returned £164,500 to shareholders by way of a buyback of 50,000 ordinary shares at a price of 16.45p per share.</t>
  </si>
  <si>
    <t>The company returned £62,250 to shareholders by way of a buyback of 15,000 ordinary shares at a price of 6.23p per share.</t>
  </si>
  <si>
    <t>The company returned £124,650 to shareholders by way of a buyback of 30,000 ordinary shares at a price of 12.47p per share.</t>
  </si>
  <si>
    <t>The company returned £210,125 to shareholders by way of a buyback of 50,000 ordinary shares at a price of 21.01p per share.</t>
  </si>
  <si>
    <t>The company returned £125,850 to shareholders by way of a buyback of 30,000 ordinary shares at a price of 12.59p per share.</t>
  </si>
  <si>
    <t>The company returned £147,700 to shareholders by way of a buyback of 35,000 ordinary shares at a price of 14.77p per share.</t>
  </si>
  <si>
    <t>The company returned £168,000 to shareholders by way of a buyback of 40,000 ordinary shares at a price of 16.8p per share.</t>
  </si>
  <si>
    <t>The company returned £253,200 to shareholders by way of a buyback of 60,000 ordinary shares at a price of 25.32p per share.</t>
  </si>
  <si>
    <t>The company returned £379,574 to shareholders by way of a buyback of 90,000 ordinary shares at a price of 37.96p per share.</t>
  </si>
  <si>
    <t>The company returned £210,000 to shareholders by way of a buyback of 50,000 ordinary shares at a price of 21.p per share.</t>
  </si>
  <si>
    <t>The company returned £187,875 to shareholders by way of a buyback of 45,000 ordinary shares at a price of 18.79p per share.</t>
  </si>
  <si>
    <t>The company returned £147,000 to shareholders by way of a buyback of 35,000 ordinary shares at a price of 14.7p per share.</t>
  </si>
  <si>
    <t>The company returned £189,704 to shareholders by way of a buyback of 45,000 ordinary shares at a price of 18.97p per share.</t>
  </si>
  <si>
    <t>The company returned £171,350 to shareholders by way of a buyback of 40,000 ordinary shares at a price of 17.14p per share.</t>
  </si>
  <si>
    <t>The company returned £85,650 to shareholders by way of a buyback of 20,000 ordinary shares at a price of 8.57p per share.</t>
  </si>
  <si>
    <t>The company returned £85,604 to shareholders by way of a buyback of 20,000 ordinary shares at a price of 8.56p per share.</t>
  </si>
  <si>
    <t>The company returned £42,649 to shareholders by way of a buyback of 10,000 ordinary shares at a price of 4.26p per share.</t>
  </si>
  <si>
    <t>The company returned £174,500 to shareholders by way of a buyback of 100,000 ordinary shares at a price of 17.45p per share.</t>
  </si>
  <si>
    <t>The company returned £175,500 to shareholders by way of a buyback of 100,000 ordinary shares at a price of 17.55p per share.</t>
  </si>
  <si>
    <t>The company returned £529,500 to shareholders by way of a buyback of 300,000 ordinary shares at a price of 52.95p per share.</t>
  </si>
  <si>
    <t>The company returned £177,500 to shareholders by way of a buyback of 100,000 ordinary shares at a price of 17.75p per share.</t>
  </si>
  <si>
    <t>The company returned £532,500 to shareholders by way of a buyback of 300,000 ordinary shares at a price of 53.25p per share.</t>
  </si>
  <si>
    <t>The company returned £266,250 to shareholders by way of a buyback of 150,000 ordinary shares at a price of 26.63p per share.</t>
  </si>
  <si>
    <t>The company returned £77,293 to shareholders by way of a buyback of 46,283 ordinary shares at a price of 7.73p per share.</t>
  </si>
  <si>
    <t>The company returned £134,074 to shareholders by way of a buyback of 80,000 ordinary shares at a price of 13.41p per share.</t>
  </si>
  <si>
    <t>The company returned £117,949 to shareholders by way of a buyback of 70,000 ordinary shares at a price of 11.79p per share.</t>
  </si>
  <si>
    <t>The company returned £78,551 to shareholders by way of a buyback of 46,499 ordinary shares at a price of 7.86p per share.</t>
  </si>
  <si>
    <t>The company returned £67,600 to shareholders by way of a buyback of 40,000 ordinary shares at a price of 6.76p per share.</t>
  </si>
  <si>
    <t>The company returned £35,012 to shareholders by way of a buyback of 20,598 ordinary shares at a price of 3.5p per share.</t>
  </si>
  <si>
    <t>The company returned £46,336 to shareholders by way of a buyback of 27,097 ordinary shares at a price of 4.63p per share.</t>
  </si>
  <si>
    <t>The company returned £131,556 to shareholders by way of a buyback of 76,311 ordinary shares at a price of 13.16p per share.</t>
  </si>
  <si>
    <t>The company returned £30,562 to shareholders by way of a buyback of 17,717 ordinary shares at a price of 3.06p per share.</t>
  </si>
  <si>
    <t>The company returned £1,498,519 to shareholders by way of a buyback of 573,179 ordinary shares at a price of 149.85p per share.</t>
  </si>
  <si>
    <t>The company returned £391,500 to shareholders by way of a buyback of 150,000 ordinary shares at a price of 39.15p per share.</t>
  </si>
  <si>
    <t>The company returned £2,001,750 to shareholders by way of a buyback of 750,000 ordinary shares at a price of 200.18p per share.</t>
  </si>
  <si>
    <t>The company returned £1,219,127 to shareholders by way of a buyback of 457,287 ordinary shares at a price of 121.91p per share.</t>
  </si>
  <si>
    <t>The company returned £1,990,875 to shareholders by way of a buyback of 750,000 ordinary shares at a price of 199.09p per share.</t>
  </si>
  <si>
    <t>The company returned £1,480,996 to shareholders by way of a buyback of 562,240 ordinary shares at a price of 148.1p per share.</t>
  </si>
  <si>
    <t>The company returned £465,869 to shareholders by way of a buyback of 180,920 ordinary shares at a price of 46.59p per share.</t>
  </si>
  <si>
    <t>The company returned £1,134,800 to shareholders by way of a buyback of 442,331 ordinary shares at a price of 113.48p per share.</t>
  </si>
  <si>
    <t>The company returned £1,540,796 to shareholders by way of a buyback of 596,237 ordinary shares at a price of 154.08p per share.</t>
  </si>
  <si>
    <t>The company returned £1,919,625 to shareholders by way of a buyback of 750,000 ordinary shares at a price of 191.96p per share.</t>
  </si>
  <si>
    <t>The company returned £1,926,000 to shareholders by way of a buyback of 750,000 ordinary shares at a price of 192.6p per share.</t>
  </si>
  <si>
    <t>The company returned £1,676,768 to shareholders by way of a buyback of 647,751 ordinary shares at a price of 167.68p per share.</t>
  </si>
  <si>
    <t>The company returned £1,315,200 to shareholders by way of a buyback of 500,000 ordinary shares at a price of 131.52p per share.</t>
  </si>
  <si>
    <t>The company returned £1,337,000 to shareholders by way of a buyback of 500,000 ordinary shares at a price of 133.7p per share.</t>
  </si>
  <si>
    <t>The company returned £1,351,600 to shareholders by way of a buyback of 500,000 ordinary shares at a price of 135.16p per share.</t>
  </si>
  <si>
    <t>The company returned £156,216 to shareholders by way of a buyback of 57,965 ordinary shares at a price of 15.62p per share.</t>
  </si>
  <si>
    <t>The company returned £182,000 to shareholders by way of a buyback of 25,000 ordinary shares at a price of 18.2p per share.</t>
  </si>
  <si>
    <t>The company returned £476,450 to shareholders by way of a buyback of 65,000 ordinary shares at a price of 47.65p per share.</t>
  </si>
  <si>
    <t>The company returned £759,049 to shareholders by way of a buyback of 105,000 ordinary shares at a price of 75.9p per share.</t>
  </si>
  <si>
    <t>The company returned £362,250 to shareholders by way of a buyback of 50,000 ordinary shares at a price of 36.23p per share.</t>
  </si>
  <si>
    <t>The company returned £181,375 to shareholders by way of a buyback of 25,000 ordinary shares at a price of 18.14p per share.</t>
  </si>
  <si>
    <t>The company returned £181,875 to shareholders by way of a buyback of 25,000 ordinary shares at a price of 18.19p per share.</t>
  </si>
  <si>
    <t>The company returned £182,750 to shareholders by way of a buyback of 25,000 ordinary shares at a price of 18.28p per share.</t>
  </si>
  <si>
    <t>The company returned £185,000 to shareholders by way of a buyback of 25,000 ordinary shares at a price of 18.5p per share.</t>
  </si>
  <si>
    <t>The company returned £474,000 to shareholders by way of a buyback of 30,000 ordinary shares at a price of 47.4p per share.</t>
  </si>
  <si>
    <t>The company returned £5,299,767 to shareholders by way of a buyback of 335,000 ordinary shares at a price of 529.98p per share.</t>
  </si>
  <si>
    <t>The company returned £3,136,420 to shareholders by way of a buyback of 200,000 ordinary shares at a price of 313.64p per share.</t>
  </si>
  <si>
    <t>The company returned £1,347,786 to shareholders by way of a buyback of 85,000 ordinary shares at a price of 134.78p per share.</t>
  </si>
  <si>
    <t>The company returned £1,345,202 to shareholders by way of a buyback of 85,000 ordinary shares at a price of 134.52p per share.</t>
  </si>
  <si>
    <t>The company returned £2,360,355 to shareholders by way of a buyback of 150,000 ordinary shares at a price of 236.04p per share.</t>
  </si>
  <si>
    <t>The company returned £88,270 to shareholders by way of a buyback of 52,904 ordinary shares at a price of 8.83p per share.</t>
  </si>
  <si>
    <t>The company returned £209,589 to shareholders by way of a buyback of 121,194 ordinary shares at a price of 20.96p per share.</t>
  </si>
  <si>
    <t>The company returned £28,128 to shareholders by way of a buyback of 16,150 ordinary shares at a price of 2.81p per share.</t>
  </si>
  <si>
    <t>The company returned £30,755 to shareholders by way of a buyback of 17,680 ordinary shares at a price of 3.08p per share.</t>
  </si>
  <si>
    <t>The company returned £192,095 to shareholders by way of a buyback of 110,355 ordinary shares at a price of 19.21p per share.</t>
  </si>
  <si>
    <t>The company returned £90,365 to shareholders by way of a buyback of 52,352 ordinary shares at a price of 9.04p per share.</t>
  </si>
  <si>
    <t>The company returned £78,510 to shareholders by way of a buyback of 45,415 ordinary shares at a price of 7.85p per share.</t>
  </si>
  <si>
    <t>The company returned £117,594 to shareholders by way of a buyback of 67,844 ordinary shares at a price of 11.76p per share.</t>
  </si>
  <si>
    <t>The company returned £18,532 to shareholders by way of a buyback of 10,580 ordinary shares at a price of 1.85p per share.</t>
  </si>
  <si>
    <t>The company returned £52,968 to shareholders by way of a buyback of 30,068 ordinary shares at a price of 5.3p per share.</t>
  </si>
  <si>
    <t>The company returned £75,638 to shareholders by way of a buyback of 42,021 ordinary shares at a price of 7.56p per share.</t>
  </si>
  <si>
    <t>The company returned £68,609 to shareholders by way of a buyback of 37,795 ordinary shares at a price of 6.86p per share.</t>
  </si>
  <si>
    <t>The company returned £202,032 to shareholders by way of a buyback of 109,562 ordinary shares at a price of 20.2p per share.</t>
  </si>
  <si>
    <t>The company returned £47,618 to shareholders by way of a buyback of 25,494 ordinary shares at a price of 4.76p per share.</t>
  </si>
  <si>
    <t>The company returned £94,713 to shareholders by way of a buyback of 50,415 ordinary shares at a price of 9.47p per share.</t>
  </si>
  <si>
    <t>The company returned £84,244 to shareholders by way of a buyback of 81,000 ordinary shares at a price of 8.42p per share.</t>
  </si>
  <si>
    <t>The company returned £49,069 to shareholders by way of a buyback of 46,708 ordinary shares at a price of 4.91p per share.</t>
  </si>
  <si>
    <t>The company returned £106,477 to shareholders by way of a buyback of 100,000 ordinary shares at a price of 10.65p per share.</t>
  </si>
  <si>
    <t>The company returned £105,777 to shareholders by way of a buyback of 100,000 ordinary shares at a price of 10.58p per share.</t>
  </si>
  <si>
    <t>The company returned £104,510 to shareholders by way of a buyback of 100,000 ordinary shares at a price of 10.45p per share.</t>
  </si>
  <si>
    <t>The company returned £262,628 to shareholders by way of a buyback of 250,000 ordinary shares at a price of 26.26p per share.</t>
  </si>
  <si>
    <t>The company returned £169,058 to shareholders by way of a buyback of 161,423 ordinary shares at a price of 16.91p per share.</t>
  </si>
  <si>
    <t>The company returned £78,975 to shareholders by way of a buyback of 75,000 ordinary shares at a price of 7.9p per share.</t>
  </si>
  <si>
    <t>The company returned £85,991 to shareholders by way of a buyback of 80,781 ordinary shares at a price of 8.6p per share.</t>
  </si>
  <si>
    <t>The company returned £52,515 to shareholders by way of a buyback of 49,655 ordinary shares at a price of 5.25p per share.</t>
  </si>
  <si>
    <t>The company returned £15,391 to shareholders by way of a buyback of 14,491 ordinary shares at a price of 1.54p per share.</t>
  </si>
  <si>
    <t>The company returned £47,422 to shareholders by way of a buyback of 44,241 ordinary shares at a price of 4.74p per share.</t>
  </si>
  <si>
    <t>The company returned £67,220 to shareholders by way of a buyback of 61,674 ordinary shares at a price of 6.72p per share.</t>
  </si>
  <si>
    <t>The company returned £13,109 to shareholders by way of a buyback of 11,974 ordinary shares at a price of 1.31p per share.</t>
  </si>
  <si>
    <t>The company returned £30,462 to shareholders by way of a buyback of 28,013 ordinary shares at a price of 3.05p per share.</t>
  </si>
  <si>
    <t>The company returned £48,822 to shareholders by way of a buyback of 44,517 ordinary shares at a price of 4.88p per share.</t>
  </si>
  <si>
    <t>The company returned £917,000 to shareholders by way of a buyback of 100,000 ordinary shares at a price of 91.7p per share.</t>
  </si>
  <si>
    <t>The company returned £922,000 to shareholders by way of a buyback of 100,000 ordinary shares at a price of 92.2p per share.</t>
  </si>
  <si>
    <t>The company returned £23,149 to shareholders by way of a buyback of 1,663 ordinary shares at a price of 2.31p per share.</t>
  </si>
  <si>
    <t>The company returned £140,600 to shareholders by way of a buyback of 10,000 ordinary shares at a price of 14.06p per share.</t>
  </si>
  <si>
    <t>The company returned £34,880 to shareholders by way of a buyback of 2,479 ordinary shares at a price of 3.49p per share.</t>
  </si>
  <si>
    <t>The company returned £118,429 to shareholders by way of a buyback of 8,517 ordinary shares at a price of 11.84p per share.</t>
  </si>
  <si>
    <t>The company returned £139,500 to shareholders by way of a buyback of 10,000 ordinary shares at a price of 13.95p per share.</t>
  </si>
  <si>
    <t>The company returned £207,450 to shareholders by way of a buyback of 15,000 ordinary shares at a price of 20.75p per share.</t>
  </si>
  <si>
    <t>The company returned £277,600 to shareholders by way of a buyback of 20,000 ordinary shares at a price of 27.76p per share.</t>
  </si>
  <si>
    <t>The company returned £77,321 to shareholders by way of a buyback of 5,648 ordinary shares at a price of 7.73p per share.</t>
  </si>
  <si>
    <t>The company returned £342,500 to shareholders by way of a buyback of 25,000 ordinary shares at a price of 34.25p per share.</t>
  </si>
  <si>
    <t>The company returned £548,800 to shareholders by way of a buyback of 40,000 ordinary shares at a price of 54.88p per share.</t>
  </si>
  <si>
    <t>The company returned £204,000 to shareholders by way of a buyback of 15,000 ordinary shares at a price of 20.4p per share.</t>
  </si>
  <si>
    <t>The company returned £160,079 to shareholders by way of a buyback of 11,736 ordinary shares at a price of 16.01p per share.</t>
  </si>
  <si>
    <t>The company returned £362,397 to shareholders by way of a buyback of 26,491 ordinary shares at a price of 36.24p per share.</t>
  </si>
  <si>
    <t>The company returned £1,695,914 to shareholders by way of a buyback of 122,184 ordinary shares at a price of 169.59p per share.</t>
  </si>
  <si>
    <t>The company returned £32,278 to shareholders by way of a buyback of 2,313 ordinary shares at a price of 3.23p per share.</t>
  </si>
  <si>
    <t>The company returned £870,000 to shareholders by way of a buyback of 250,000 ordinary shares at a price of 87.p per share.</t>
  </si>
  <si>
    <t>The company returned £307,003 to shareholders by way of a buyback of 87,500 ordinary shares at a price of 30.7p per share.</t>
  </si>
  <si>
    <t>The company returned £364,812 to shareholders by way of a buyback of 100,000 ordinary shares at a price of 36.48p per share.</t>
  </si>
  <si>
    <t>The company returned £109,926 to shareholders by way of a buyback of 30,000 ordinary shares at a price of 10.99p per share.</t>
  </si>
  <si>
    <t>The company returned £381,500 to shareholders by way of a buyback of 100,000 ordinary shares at a price of 38.15p per share.</t>
  </si>
  <si>
    <t>The company returned £3,127 to shareholders by way of a buyback of 66,534 ordinary shares at a price of .31p per share.</t>
  </si>
  <si>
    <t>The company returned £461,960 to shareholders by way of a buyback of 100,000 ordinary shares at a price of 46.2p per share.</t>
  </si>
  <si>
    <t>The company returned £478,810 to shareholders by way of a buyback of 100,000 ordinary shares at a price of 47.88p per share.</t>
  </si>
  <si>
    <t>The company returned £480,040 to shareholders by way of a buyback of 100,000 ordinary shares at a price of 48.p per share.</t>
  </si>
  <si>
    <t>The company returned £501,670 to shareholders by way of a buyback of 100,000 ordinary shares at a price of 50.17p per share.</t>
  </si>
  <si>
    <t>The company returned £513,960 to shareholders by way of a buyback of 100,000 ordinary shares at a price of 51.4p per share.</t>
  </si>
  <si>
    <t>The company returned £2,414,651 to shareholders by way of a buyback of 220,506 ordinary shares at a price of 241.47p per share.</t>
  </si>
  <si>
    <t>The company returned £1,937,005 to shareholders by way of a buyback of 175,000 ordinary shares at a price of 193.7p per share.</t>
  </si>
  <si>
    <t>The company returned £220,284 to shareholders by way of a buyback of 20,000 ordinary shares at a price of 22.03p per share.</t>
  </si>
  <si>
    <t>The company returned £1,634,460 to shareholders by way of a buyback of 150,000 ordinary shares at a price of 163.45p per share.</t>
  </si>
  <si>
    <t>The company returned £574,374 to shareholders by way of a buyback of 51,293 ordinary shares at a price of 57.44p per share.</t>
  </si>
  <si>
    <t>The company returned £1,162,430 to shareholders by way of a buyback of 100,000 ordinary shares at a price of 116.24p per share.</t>
  </si>
  <si>
    <t>The company returned £231,316 to shareholders by way of a buyback of 20,000 ordinary shares at a price of 23.13p per share.</t>
  </si>
  <si>
    <t>The company returned £813,001 to shareholders by way of a buyback of 70,000 ordinary shares at a price of 81.3p per share.</t>
  </si>
  <si>
    <t>The company returned £456,561 to shareholders by way of a buyback of 120,001 ordinary shares at a price of 45.66p per share.</t>
  </si>
  <si>
    <t>The company returned £152,932 to shareholders by way of a buyback of 40,464 ordinary shares at a price of 15.29p per share.</t>
  </si>
  <si>
    <t>The company returned £276,540 to shareholders by way of a buyback of 72,307 ordinary shares at a price of 27.65p per share.</t>
  </si>
  <si>
    <t>The company returned £467,377 to shareholders by way of a buyback of 121,681 ordinary shares at a price of 46.74p per share.</t>
  </si>
  <si>
    <t>The company returned £386,448 to shareholders by way of a buyback of 100,000 ordinary shares at a price of 38.64p per share.</t>
  </si>
  <si>
    <t>The company returned £379,500 to shareholders by way of a buyback of 100,000 ordinary shares at a price of 37.95p per share.</t>
  </si>
  <si>
    <t>The company returned £2,792,599 to shareholders by way of a buyback of 725,000 ordinary shares at a price of 279.26p per share.</t>
  </si>
  <si>
    <t>The company returned £2,575,961 to shareholders by way of a buyback of 663,000 ordinary shares at a price of 257.6p per share.</t>
  </si>
  <si>
    <t>The company returned £4,703,988 to shareholders by way of a buyback of 1,200,000 ordinary shares at a price of 470.4p per share.</t>
  </si>
  <si>
    <t>The company returned £4,787,436 to shareholders by way of a buyback of 1,200,000 ordinary shares at a price of 478.74p per share.</t>
  </si>
  <si>
    <t>The company returned £3,094,411 to shareholders by way of a buyback of 770,003 ordinary shares at a price of 309.44p per share.</t>
  </si>
  <si>
    <t>The company returned £3,161,843 to shareholders by way of a buyback of 800,100 ordinary shares at a price of 316.18p per share.</t>
  </si>
  <si>
    <t>The company returned £1,706,360 to shareholders by way of a buyback of 430,156 ordinary shares at a price of 170.64p per share.</t>
  </si>
  <si>
    <t>The company returned £2,014,370 to shareholders by way of a buyback of 504,103 ordinary shares at a price of 201.44p per share.</t>
  </si>
  <si>
    <t>The company returned £1,636,431 to shareholders by way of a buyback of 408,167 ordinary shares at a price of 163.64p per share.</t>
  </si>
  <si>
    <t>The company returned £2,313,068 to shareholders by way of a buyback of 569,103 ordinary shares at a price of 231.31p per share.</t>
  </si>
  <si>
    <t>The company returned £1,151,700 to shareholders by way of a buyback of 285,000 ordinary shares at a price of 115.17p per share.</t>
  </si>
  <si>
    <t>The company returned £3,830,999 to shareholders by way of a buyback of 950,000 ordinary shares at a price of 383.1p per share.</t>
  </si>
  <si>
    <t>The company returned £2,100,280 to shareholders by way of a buyback of 520,000 ordinary shares at a price of 210.03p per share.</t>
  </si>
  <si>
    <t>The company returned £60,200 to shareholders by way of a buyback of 10,000 ordinary shares at a price of 6.02p per share.</t>
  </si>
  <si>
    <t>The company returned £271,800 to shareholders by way of a buyback of 45,000 ordinary shares at a price of 27.18p per share.</t>
  </si>
  <si>
    <t>The company returned £96,640 to shareholders by way of a buyback of 16,000 ordinary shares at a price of 9.66p per share.</t>
  </si>
  <si>
    <t>The company returned £241,600 to shareholders by way of a buyback of 40,000 ordinary shares at a price of 24.16p per share.</t>
  </si>
  <si>
    <t>The company returned £60,600 to shareholders by way of a buyback of 10,000 ordinary shares at a price of 6.06p per share.</t>
  </si>
  <si>
    <t>The company returned £168,068 to shareholders by way of a buyback of 4,146 ordinary shares at a price of 16.81p per share.</t>
  </si>
  <si>
    <t>The company returned £723,622 to shareholders by way of a buyback of 17,762 ordinary shares at a price of 72.36p per share.</t>
  </si>
  <si>
    <t>The company returned £734,362 to shareholders by way of a buyback of 17,994 ordinary shares at a price of 73.44p per share.</t>
  </si>
  <si>
    <t>The company returned £754,999 to shareholders by way of a buyback of 18,557 ordinary shares at a price of 75.5p per share.</t>
  </si>
  <si>
    <t>The company returned £760,325 to shareholders by way of a buyback of 18,531 ordinary shares at a price of 76.03p per share.</t>
  </si>
  <si>
    <t>The company returned £772,992 to shareholders by way of a buyback of 18,578 ordinary shares at a price of 77.3p per share.</t>
  </si>
  <si>
    <t>The company returned £774,682 to shareholders by way of a buyback of 18,621 ordinary shares at a price of 77.47p per share.</t>
  </si>
  <si>
    <t>The company returned £786,672 to shareholders by way of a buyback of 19,018 ordinary shares at a price of 78.67p per share.</t>
  </si>
  <si>
    <t>The company returned £813,743 to shareholders by way of a buyback of 19,607 ordinary shares at a price of 81.37p per share.</t>
  </si>
  <si>
    <t>The company returned £321,780 to shareholders by way of a buyback of 60,000 ordinary shares at a price of 32.18p per share.</t>
  </si>
  <si>
    <t>The company returned £266,750 to shareholders by way of a buyback of 50,000 ordinary shares at a price of 26.68p per share.</t>
  </si>
  <si>
    <t>The company returned £535,100 to shareholders by way of a buyback of 100,000 ordinary shares at a price of 53.51p per share.</t>
  </si>
  <si>
    <t>The company returned £2,885,971 to shareholders by way of a buyback of 540,000 ordinary shares at a price of 288.6p per share.</t>
  </si>
  <si>
    <t>The company returned £1,529,883 to shareholders by way of a buyback of 285,000 ordinary shares at a price of 152.99p per share.</t>
  </si>
  <si>
    <t>The company returned £1,480,573 to shareholders by way of a buyback of 275,000 ordinary shares at a price of 148.06p per share.</t>
  </si>
  <si>
    <t>The company returned £536,500 to shareholders by way of a buyback of 100,000 ordinary shares at a price of 53.65p per share.</t>
  </si>
  <si>
    <t>The company returned £305,170 to shareholders by way of a buyback of 136,192 ordinary shares at a price of 30.52p per share.</t>
  </si>
  <si>
    <t>The company returned £22,200 to shareholders by way of a buyback of 10,000 ordinary shares at a price of 2.22p per share.</t>
  </si>
  <si>
    <t>The company returned £61,546 to shareholders by way of a buyback of 27,599 ordinary shares at a price of 6.15p per share.</t>
  </si>
  <si>
    <t>The company returned £231,041 to shareholders by way of a buyback of 102,512 ordinary shares at a price of 23.1p per share.</t>
  </si>
  <si>
    <t>The company returned £116,281 to shareholders by way of a buyback of 51,285 ordinary shares at a price of 11.63p per share.</t>
  </si>
  <si>
    <t>The company returned £50,300 to shareholders by way of a buyback of 22,412 ordinary shares at a price of 5.03p per share.</t>
  </si>
  <si>
    <t>The company returned £1,151,077 to shareholders by way of a buyback of 172,219 ordinary shares at a price of 115.11p per share.</t>
  </si>
  <si>
    <t>The company returned £4,837,917 to shareholders by way of a buyback of 735,000 ordinary shares at a price of 483.79p per share.</t>
  </si>
  <si>
    <t>The company returned £399,332 to shareholders by way of a buyback of 574,000 ordinary shares at a price of 39.93p per share.</t>
  </si>
  <si>
    <t>The company returned £399,000 to shareholders by way of a buyback of 570,000 ordinary shares at a price of 39.9p per share.</t>
  </si>
  <si>
    <t>The company returned £164,872 to shareholders by way of a buyback of 235,970 ordinary shares at a price of 16.49p per share.</t>
  </si>
  <si>
    <t>The company returned £380,034 to shareholders by way of a buyback of 550,000 ordinary shares at a price of 38.p per share.</t>
  </si>
  <si>
    <t>The company returned £396,381 to shareholders by way of a buyback of 565,000 ordinary shares at a price of 39.64p per share.</t>
  </si>
  <si>
    <t>The company returned £398,880 to shareholders by way of a buyback of 570,000 ordinary shares at a price of 39.89p per share.</t>
  </si>
  <si>
    <t>The company returned £398,379 to shareholders by way of a buyback of 570,000 ordinary shares at a price of 39.84p per share.</t>
  </si>
  <si>
    <t>The company returned £398,367 to shareholders by way of a buyback of 560,000 ordinary shares at a price of 39.84p per share.</t>
  </si>
  <si>
    <t>The company returned £394,010 to shareholders by way of a buyback of 560,000 ordinary shares at a price of 39.4p per share.</t>
  </si>
  <si>
    <t>The company returned £397,746 to shareholders by way of a buyback of 560,000 ordinary shares at a price of 39.77p per share.</t>
  </si>
  <si>
    <t>The company returned £395,049 to shareholders by way of a buyback of 550,000 ordinary shares at a price of 39.5p per share.</t>
  </si>
  <si>
    <t>The company returned £396,055 to shareholders by way of a buyback of 550,000 ordinary shares at a price of 39.61p per share.</t>
  </si>
  <si>
    <t>The company returned £397,538 to shareholders by way of a buyback of 560,000 ordinary shares at a price of 39.75p per share.</t>
  </si>
  <si>
    <t>The company returned £397,975 to shareholders by way of a buyback of 550,000 ordinary shares at a price of 39.8p per share.</t>
  </si>
  <si>
    <t>The company returned £390,425 to shareholders by way of a buyback of 540,000 ordinary shares at a price of 39.04p per share.</t>
  </si>
  <si>
    <t>The company returned £396,684 to shareholders by way of a buyback of 545,000 ordinary shares at a price of 39.67p per share.</t>
  </si>
  <si>
    <t>The company returned £396,095 to shareholders by way of a buyback of 545,000 ordinary shares at a price of 39.61p per share.</t>
  </si>
  <si>
    <t>The company returned £396,679 to shareholders by way of a buyback of 540,000 ordinary shares at a price of 39.67p per share.</t>
  </si>
  <si>
    <t>The company returned £20,800 to shareholders by way of a buyback of 1,000 ordinary shares at a price of 2.08p per share.</t>
  </si>
  <si>
    <t>The company returned £157,043 to shareholders by way of a buyback of 7,500 ordinary shares at a price of 15.7p per share.</t>
  </si>
  <si>
    <t>The company returned £53,750 to shareholders by way of a buyback of 2,500 ordinary shares at a price of 5.38p per share.</t>
  </si>
  <si>
    <t>The company returned £65,100 to shareholders by way of a buyback of 3,000 ordinary shares at a price of 6.51p per share.</t>
  </si>
  <si>
    <t>The company returned £65,400 to shareholders by way of a buyback of 3,000 ordinary shares at a price of 6.54p per share.</t>
  </si>
  <si>
    <t>The company returned £65,064 to shareholders by way of a buyback of 3,000 ordinary shares at a price of 6.51p per share.</t>
  </si>
  <si>
    <t>The company returned £43,600 to shareholders by way of a buyback of 2,000 ordinary shares at a price of 4.36p per share.</t>
  </si>
  <si>
    <t>The company returned £140,021 to shareholders by way of a buyback of 6,382 ordinary shares at a price of 14.p per share.</t>
  </si>
  <si>
    <t>The company returned £44,000 to shareholders by way of a buyback of 2,000 ordinary shares at a price of 4.4p per share.</t>
  </si>
  <si>
    <t>The company returned £55,000 to shareholders by way of a buyback of 2,500 ordinary shares at a price of 5.5p per share.</t>
  </si>
  <si>
    <t>The company returned £66,000 to shareholders by way of a buyback of 3,000 ordinary shares at a price of 6.6p per share.</t>
  </si>
  <si>
    <t>The company returned £659,700 to shareholders by way of a buyback of 30,000 ordinary shares at a price of 65.97p per share.</t>
  </si>
  <si>
    <t>The company returned £262,800 to shareholders by way of a buyback of 12,000 ordinary shares at a price of 26.28p per share.</t>
  </si>
  <si>
    <t>The company returned £439,600 to shareholders by way of a buyback of 20,000 ordinary shares at a price of 43.96p per share.</t>
  </si>
  <si>
    <t>The company returned £220,700 to shareholders by way of a buyback of 10,000 ordinary shares at a price of 22.07p per share.</t>
  </si>
  <si>
    <t>The company returned £445,400 to shareholders by way of a buyback of 20,000 ordinary shares at a price of 44.54p per share.</t>
  </si>
  <si>
    <t>The company returned £1,115,000 to shareholders by way of a buyback of 50,000 ordinary shares at a price of 111.5p per share.</t>
  </si>
  <si>
    <t>The company returned £3,379,500 to shareholders by way of a buyback of 150,000 ordinary shares at a price of 337.95p per share.</t>
  </si>
  <si>
    <t>The company returned £183,017 to shareholders by way of a buyback of 7,992 ordinary shares at a price of 18.3p per share.</t>
  </si>
  <si>
    <t>The company returned £22,400 to shareholders by way of a buyback of 10,000 ordinary shares at a price of 2.24p per share.</t>
  </si>
  <si>
    <t>The company returned £58,025 to shareholders by way of a buyback of 25,904 ordinary shares at a price of 5.8p per share.</t>
  </si>
  <si>
    <t>The company returned £22,600 to shareholders by way of a buyback of 10,000 ordinary shares at a price of 2.26p per share.</t>
  </si>
  <si>
    <t>The company returned £11,500 to shareholders by way of a buyback of 5,000 ordinary shares at a price of 1.15p per share.</t>
  </si>
  <si>
    <t>The company returned £217,000 to shareholders by way of a buyback of 100,000 ordinary shares at a price of 21.7p per share.</t>
  </si>
  <si>
    <t>The company returned £113,560 to shareholders by way of a buyback of 17,000 ordinary shares at a price of 11.36p per share.</t>
  </si>
  <si>
    <t>The company returned £166,700 to shareholders by way of a buyback of 25,464 ordinary shares at a price of 16.67p per share.</t>
  </si>
  <si>
    <t>The company returned £603,750 to shareholders by way of a buyback of 75,000 ordinary shares at a price of 60.38p per share.</t>
  </si>
  <si>
    <t>The company returned £556,972 to shareholders by way of a buyback of 70,000 ordinary shares at a price of 55.7p per share.</t>
  </si>
  <si>
    <t>The company returned £194,914 to shareholders by way of a buyback of 24,000 ordinary shares at a price of 19.49p per share.</t>
  </si>
  <si>
    <t>The company returned £811,391 to shareholders by way of a buyback of 100,000 ordinary shares at a price of 81.14p per share.</t>
  </si>
  <si>
    <t>The company returned £467,711 to shareholders by way of a buyback of 58,000 ordinary shares at a price of 46.77p per share.</t>
  </si>
  <si>
    <t>The company returned £557,654 to shareholders by way of a buyback of 70,000 ordinary shares at a price of 55.77p per share.</t>
  </si>
  <si>
    <t>The company returned £130,897 to shareholders by way of a buyback of 16,374 ordinary shares at a price of 13.09p per share.</t>
  </si>
  <si>
    <t>The company returned £203,375 to shareholders by way of a buyback of 25,000 ordinary shares at a price of 20.34p per share.</t>
  </si>
  <si>
    <t>The company returned £93,750 to shareholders by way of a buyback of 150,000 ordinary shares at a price of 9.38p per share.</t>
  </si>
  <si>
    <t>The company returned £162,500 to shareholders by way of a buyback of 250,000 ordinary shares at a price of 16.25p per share.</t>
  </si>
  <si>
    <t>The company returned £70,383 to shareholders by way of a buyback of 20,000 ordinary shares at a price of 7.04p per share.</t>
  </si>
  <si>
    <t>The company returned £104,078 to shareholders by way of a buyback of 30,000 ordinary shares at a price of 10.41p per share.</t>
  </si>
  <si>
    <t>The company returned £105,750 to shareholders by way of a buyback of 30,000 ordinary shares at a price of 10.58p per share.</t>
  </si>
  <si>
    <t>The company returned £70,000 to shareholders by way of a buyback of 20,000 ordinary shares at a price of 7.p per share.</t>
  </si>
  <si>
    <t>The company returned £88,968 to shareholders by way of a buyback of 25,000 ordinary shares at a price of 8.9p per share.</t>
  </si>
  <si>
    <t>The company returned £70,175 to shareholders by way of a buyback of 20,000 ordinary shares at a price of 7.02p per share.</t>
  </si>
  <si>
    <t>The company returned £71,400 to shareholders by way of a buyback of 20,000 ordinary shares at a price of 7.14p per share.</t>
  </si>
  <si>
    <t>The company returned £54,450 to shareholders by way of a buyback of 15,000 ordinary shares at a price of 5.45p per share.</t>
  </si>
  <si>
    <t>The company returned £72,186 to shareholders by way of a buyback of 20,000 ordinary shares at a price of 7.22p per share.</t>
  </si>
  <si>
    <t>The company returned £36,200 to shareholders by way of a buyback of 10,000 ordinary shares at a price of 3.62p per share.</t>
  </si>
  <si>
    <t>The company returned £68,357 to shareholders by way of a buyback of 20,000 ordinary shares at a price of 6.84p per share.</t>
  </si>
  <si>
    <t>The company returned £166,082 to shareholders by way of a buyback of 46,662 ordinary shares at a price of 16.61p per share.</t>
  </si>
  <si>
    <t>The company returned £318,750 to shareholders by way of a buyback of 75,000 ordinary shares at a price of 31.88p per share.</t>
  </si>
  <si>
    <t>The company returned £423,132 to shareholders by way of a buyback of 100,000 ordinary shares at a price of 42.31p per share.</t>
  </si>
  <si>
    <t>The company returned £361,994 to shareholders by way of a buyback of 85,107 ordinary shares at a price of 36.2p per share.</t>
  </si>
  <si>
    <t>The company returned £170,800 to shareholders by way of a buyback of 40,000 ordinary shares at a price of 17.08p per share.</t>
  </si>
  <si>
    <t>The company returned £211,455 to shareholders by way of a buyback of 50,000 ordinary shares at a price of 21.15p per share.</t>
  </si>
  <si>
    <t>The company returned £294,508 to shareholders by way of a buyback of 70,000 ordinary shares at a price of 29.45p per share.</t>
  </si>
  <si>
    <t>The company returned £416,311 to shareholders by way of a buyback of 100,000 ordinary shares at a price of 41.63p per share.</t>
  </si>
  <si>
    <t>The company returned £216,937 to shareholders by way of a buyback of 50,000 ordinary shares at a price of 21.69p per share.</t>
  </si>
  <si>
    <t>The company returned £386,436 to shareholders by way of a buyback of 87,440 ordinary shares at a price of 38.64p per share.</t>
  </si>
  <si>
    <t>The company returned £142,400 to shareholders by way of a buyback of 20,000 ordinary shares at a price of 14.24p per share.</t>
  </si>
  <si>
    <t>The company returned £142,826 to shareholders by way of a buyback of 20,000 ordinary shares at a price of 14.28p per share.</t>
  </si>
  <si>
    <t>The company returned £126,140 to shareholders by way of a buyback of 17,500 ordinary shares at a price of 12.61p per share.</t>
  </si>
  <si>
    <t>The company returned £142,581 to shareholders by way of a buyback of 20,000 ordinary shares at a price of 14.26p per share.</t>
  </si>
  <si>
    <t>The company returned £211,890 to shareholders by way of a buyback of 30,000 ordinary shares at a price of 21.19p per share.</t>
  </si>
  <si>
    <t>The company returned £699,000 to shareholders by way of a buyback of 100,000 ordinary shares at a price of 69.9p per share.</t>
  </si>
  <si>
    <t>The company returned £141,800 to shareholders by way of a buyback of 20,000 ordinary shares at a price of 14.18p per share.</t>
  </si>
  <si>
    <t>The company returned £181,501 to shareholders by way of a buyback of 25,000 ordinary shares at a price of 18.15p per share.</t>
  </si>
  <si>
    <t>The company returned £295,524 to shareholders by way of a buyback of 40,000 ordinary shares at a price of 29.55p per share.</t>
  </si>
  <si>
    <t>The company returned £739,862 to shareholders by way of a buyback of 100,000 ordinary shares at a price of 73.99p per share.</t>
  </si>
  <si>
    <t>The company returned £367,080 to shareholders by way of a buyback of 50,000 ordinary shares at a price of 36.71p per share.</t>
  </si>
  <si>
    <t>The company returned £1,054,080 to shareholders by way of a buyback of 200,000 ordinary shares at a price of 105.41p per share.</t>
  </si>
  <si>
    <t>The company returned £1,055,860 to shareholders by way of a buyback of 200,000 ordinary shares at a price of 105.59p per share.</t>
  </si>
  <si>
    <t>The company returned £1,070,000 to shareholders by way of a buyback of 200,000 ordinary shares at a price of 107.p per share.</t>
  </si>
  <si>
    <t>The company returned £1,068,860 to shareholders by way of a buyback of 200,000 ordinary shares at a price of 106.89p per share.</t>
  </si>
  <si>
    <t>The company returned £1,070,520 to shareholders by way of a buyback of 200,000 ordinary shares at a price of 107.05p per share.</t>
  </si>
  <si>
    <t>The company returned £1,073,300 to shareholders by way of a buyback of 200,000 ordinary shares at a price of 107.33p per share.</t>
  </si>
  <si>
    <t>The company returned £1,074,060 to shareholders by way of a buyback of 200,000 ordinary shares at a price of 107.41p per share.</t>
  </si>
  <si>
    <t>The company returned £1,073,860 to shareholders by way of a buyback of 200,000 ordinary shares at a price of 107.39p per share.</t>
  </si>
  <si>
    <t>The company returned £1,082,440 to shareholders by way of a buyback of 200,000 ordinary shares at a price of 108.24p per share.</t>
  </si>
  <si>
    <t>The company returned £1,083,420 to shareholders by way of a buyback of 200,000 ordinary shares at a price of 108.34p per share.</t>
  </si>
  <si>
    <t>The company returned £1,085,640 to shareholders by way of a buyback of 200,000 ordinary shares at a price of 108.56p per share.</t>
  </si>
  <si>
    <t>The company returned £1,088,420 to shareholders by way of a buyback of 200,000 ordinary shares at a price of 108.84p per share.</t>
  </si>
  <si>
    <t>The company returned £818,925 to shareholders by way of a buyback of 150,000 ordinary shares at a price of 81.89p per share.</t>
  </si>
  <si>
    <t>The company returned £681,625 to shareholders by way of a buyback of 125,000 ordinary shares at a price of 68.16p per share.</t>
  </si>
  <si>
    <t>The company returned £272,815 to shareholders by way of a buyback of 50,000 ordinary shares at a price of 27.28p per share.</t>
  </si>
  <si>
    <t>The company returned £1,109,220 to shareholders by way of a buyback of 200,000 ordinary shares at a price of 110.92p per share.</t>
  </si>
  <si>
    <t>The company returned £1,101,220 to shareholders by way of a buyback of 200,000 ordinary shares at a price of 110.12p per share.</t>
  </si>
  <si>
    <t>The company returned £1,107,800 to shareholders by way of a buyback of 200,000 ordinary shares at a price of 110.78p per share.</t>
  </si>
  <si>
    <t>The company returned £208,500 to shareholders by way of a buyback of 75,000 ordinary shares at a price of 20.85p per share.</t>
  </si>
  <si>
    <t>The company returned £68,750 to shareholders by way of a buyback of 25,000 ordinary shares at a price of 6.88p per share.</t>
  </si>
  <si>
    <t>The company returned £80,700 to shareholders by way of a buyback of 30,000 ordinary shares at a price of 8.07p per share.</t>
  </si>
  <si>
    <t>The company returned £109,200 to shareholders by way of a buyback of 40,000 ordinary shares at a price of 10.92p per share.</t>
  </si>
  <si>
    <t>The company returned £69,000 to shareholders by way of a buyback of 25,000 ordinary shares at a price of 6.9p per share.</t>
  </si>
  <si>
    <t>The company returned £139,500 to shareholders by way of a buyback of 50,000 ordinary shares at a price of 13.95p per share.</t>
  </si>
  <si>
    <t>The company returned £55,400 to shareholders by way of a buyback of 20,000 ordinary shares at a price of 5.54p per share.</t>
  </si>
  <si>
    <t>The company returned £258,142 to shareholders by way of a buyback of 327,218 ordinary shares at a price of 25.81p per share.</t>
  </si>
  <si>
    <t>The company returned £134,340 to shareholders by way of a buyback of 170,960 ordinary shares at a price of 13.43p per share.</t>
  </si>
  <si>
    <t>The company returned £393,150 to shareholders by way of a buyback of 500,000 ordinary shares at a price of 39.32p per share.</t>
  </si>
  <si>
    <t>The company returned £467,080 to shareholders by way of a buyback of 595,765 ordinary shares at a price of 46.71p per share.</t>
  </si>
  <si>
    <t>The company returned £353,070 to shareholders by way of a buyback of 450,000 ordinary shares at a price of 35.31p per share.</t>
  </si>
  <si>
    <t>The company returned £468,720 to shareholders by way of a buyback of 600,000 ordinary shares at a price of 46.87p per share.</t>
  </si>
  <si>
    <t>The company returned £112,216 to shareholders by way of a buyback of 145,000 ordinary shares at a price of 11.22p per share.</t>
  </si>
  <si>
    <t>The company returned £154,360 to shareholders by way of a buyback of 200,000 ordinary shares at a price of 15.44p per share.</t>
  </si>
  <si>
    <t>The company returned £64,136 to shareholders by way of a buyback of 82,585 ordinary shares at a price of 6.41p per share.</t>
  </si>
  <si>
    <t>The company returned £39,050 to shareholders by way of a buyback of 50,000 ordinary shares at a price of 3.91p per share.</t>
  </si>
  <si>
    <t>The company returned £10,204 to shareholders by way of a buyback of 12,999 ordinary shares at a price of 1.02p per share.</t>
  </si>
  <si>
    <t>The company returned £39,250 to shareholders by way of a buyback of 50,000 ordinary shares at a price of 3.93p per share.</t>
  </si>
  <si>
    <t>The company returned £89,460 to shareholders by way of a buyback of 25,000 ordinary shares at a price of 8.95p per share.</t>
  </si>
  <si>
    <t>The company returned £90,625 to shareholders by way of a buyback of 25,000 ordinary shares at a price of 9.06p per share.</t>
  </si>
  <si>
    <t>The company returned £91,300 to shareholders by way of a buyback of 25,000 ordinary shares at a price of 9.13p per share.</t>
  </si>
  <si>
    <t>The company returned £184,438 to shareholders by way of a buyback of 50,000 ordinary shares at a price of 18.44p per share.</t>
  </si>
  <si>
    <t>The company returned £92,870 to shareholders by way of a buyback of 25,000 ordinary shares at a price of 9.29p per share.</t>
  </si>
  <si>
    <t>The company returned £185,325 to shareholders by way of a buyback of 50,000 ordinary shares at a price of 18.53p per share.</t>
  </si>
  <si>
    <t>The company returned £93,000 to shareholders by way of a buyback of 25,000 ordinary shares at a price of 9.3p per share.</t>
  </si>
  <si>
    <t>The company returned £267,600 to shareholders by way of a buyback of 120,000 ordinary shares at a price of 26.76p per share.</t>
  </si>
  <si>
    <t>The company returned £134,400 to shareholders by way of a buyback of 60,000 ordinary shares at a price of 13.44p per share.</t>
  </si>
  <si>
    <t>The company returned £256,574 to shareholders by way of a buyback of 115,000 ordinary shares at a price of 25.66p per share.</t>
  </si>
  <si>
    <t>The company returned £372,900 to shareholders by way of a buyback of 165,000 ordinary shares at a price of 37.29p per share.</t>
  </si>
  <si>
    <t>The company returned £113,500 to shareholders by way of a buyback of 50,000 ordinary shares at a price of 11.35p per share.</t>
  </si>
  <si>
    <t>The company returned £113,750 to shareholders by way of a buyback of 50,000 ordinary shares at a price of 11.38p per share.</t>
  </si>
  <si>
    <t>The company returned £568,400 to shareholders by way of a buyback of 245,000 ordinary shares at a price of 56.84p per share.</t>
  </si>
  <si>
    <t>The company returned £231,000 to shareholders by way of a buyback of 100,000 ordinary shares at a price of 23.1p per share.</t>
  </si>
  <si>
    <t>The company returned £371,200 to shareholders by way of a buyback of 160,000 ordinary shares at a price of 37.12p per share.</t>
  </si>
  <si>
    <t>The company returned £348,000 to shareholders by way of a buyback of 150,000 ordinary shares at a price of 34.8p per share.</t>
  </si>
  <si>
    <t>The company returned £462,750 to shareholders by way of a buyback of 200,000 ordinary shares at a price of 46.28p per share.</t>
  </si>
  <si>
    <t>The company returned £11,720 to shareholders by way of a buyback of 4,000 ordinary shares at a price of 1.17p per share.</t>
  </si>
  <si>
    <t>The company returned £1,468,848 to shareholders by way of a buyback of 480,000 ordinary shares at a price of 146.88p per share.</t>
  </si>
  <si>
    <t>The company returned £1,418,870 to shareholders by way of a buyback of 460,000 ordinary shares at a price of 141.89p per share.</t>
  </si>
  <si>
    <t>The company returned £3,958,110 to shareholders by way of a buyback of 1,300,000 ordinary shares at a price of 395.81p per share.</t>
  </si>
  <si>
    <t>The company returned £415,346 to shareholders by way of a buyback of 133,000 ordinary shares at a price of 41.53p per share.</t>
  </si>
  <si>
    <t>The company returned £496,545 to shareholders by way of a buyback of 160,026 ordinary shares at a price of 49.65p per share.</t>
  </si>
  <si>
    <t>The company returned £1,330,734 to shareholders by way of a buyback of 432,759 ordinary shares at a price of 133.07p per share.</t>
  </si>
  <si>
    <t>The company returned £806,739 to shareholders by way of a buyback of 267,265 ordinary shares at a price of 80.67p per share.</t>
  </si>
  <si>
    <t>The company returned £232,125 to shareholders by way of a buyback of 75,000 ordinary shares at a price of 23.21p per share.</t>
  </si>
  <si>
    <t>The company returned £508,000 to shareholders by way of a buyback of 162,000 ordinary shares at a price of 50.8p per share.</t>
  </si>
  <si>
    <t>The company returned £2,060,372 to shareholders by way of a buyback of 631,919 ordinary shares at a price of 206.04p per share.</t>
  </si>
  <si>
    <t>The company returned £1,327,465 to shareholders by way of a buyback of 400,297 ordinary shares at a price of 132.75p per share.</t>
  </si>
  <si>
    <t>The company returned £181,708 to shareholders by way of a buyback of 81,266 ordinary shares at a price of 18.17p per share.</t>
  </si>
  <si>
    <t>The company returned £346,500 to shareholders by way of a buyback of 150,000 ordinary shares at a price of 34.65p per share.</t>
  </si>
  <si>
    <t>The company returned £579,888 to shareholders by way of a buyback of 250,000 ordinary shares at a price of 57.99p per share.</t>
  </si>
  <si>
    <t>The company returned £367,450 to shareholders by way of a buyback of 160,000 ordinary shares at a price of 36.74p per share.</t>
  </si>
  <si>
    <t>The company returned £230,500 to shareholders by way of a buyback of 100,000 ordinary shares at a price of 23.05p per share.</t>
  </si>
  <si>
    <t>The company returned £298,303 to shareholders by way of a buyback of 128,687 ordinary shares at a price of 29.83p per share.</t>
  </si>
  <si>
    <t>The company returned £548,470 to shareholders by way of a buyback of 236,646 ordinary shares at a price of 54.85p per share.</t>
  </si>
  <si>
    <t>The company returned £579,750 to shareholders by way of a buyback of 250,000 ordinary shares at a price of 57.98p per share.</t>
  </si>
  <si>
    <t>The company returned £112,920 to shareholders by way of a buyback of 60,000 ordinary shares at a price of 11.29p per share.</t>
  </si>
  <si>
    <t>The company returned £190,000 to shareholders by way of a buyback of 100,000 ordinary shares at a price of 19.p per share.</t>
  </si>
  <si>
    <t>The company returned £333,900 to shareholders by way of a buyback of 175,000 ordinary shares at a price of 33.39p per share.</t>
  </si>
  <si>
    <t>The company returned £333,620 to shareholders by way of a buyback of 175,000 ordinary shares at a price of 33.36p per share.</t>
  </si>
  <si>
    <t>The company returned £327,600 to shareholders by way of a buyback of 175,000 ordinary shares at a price of 32.76p per share.</t>
  </si>
  <si>
    <t>The company returned £330,383 to shareholders by way of a buyback of 175,000 ordinary shares at a price of 33.04p per share.</t>
  </si>
  <si>
    <t>The company returned £653,800 to shareholders by way of a buyback of 350,000 ordinary shares at a price of 65.38p per share.</t>
  </si>
  <si>
    <t>The company returned £323,400 to shareholders by way of a buyback of 175,000 ordinary shares at a price of 32.34p per share.</t>
  </si>
  <si>
    <t>The company returned £185,800 to shareholders by way of a buyback of 100,000 ordinary shares at a price of 18.58p per share.</t>
  </si>
  <si>
    <t>The company returned £463,850 to shareholders by way of a buyback of 250,000 ordinary shares at a price of 46.39p per share.</t>
  </si>
  <si>
    <t>The company returned £327,250 to shareholders by way of a buyback of 175,000 ordinary shares at a price of 32.73p per share.</t>
  </si>
  <si>
    <t>The company returned £330,593 to shareholders by way of a buyback of 175,000 ordinary shares at a price of 33.06p per share.</t>
  </si>
  <si>
    <t>The company returned £618,150 to shareholders by way of a buyback of 325,000 ordinary shares at a price of 61.82p per share.</t>
  </si>
  <si>
    <t>The company returned £332,360 to shareholders by way of a buyback of 175,000 ordinary shares at a price of 33.24p per share.</t>
  </si>
  <si>
    <t>The company returned £189,800 to shareholders by way of a buyback of 100,000 ordinary shares at a price of 18.98p per share.</t>
  </si>
  <si>
    <t>The company returned £145,000 to shareholders by way of a buyback of 50,000 ordinary shares at a price of 14.5p per share.</t>
  </si>
  <si>
    <t>The company returned £144,690 to shareholders by way of a buyback of 50,000 ordinary shares at a price of 14.47p per share.</t>
  </si>
  <si>
    <t>The company returned £146,225 to shareholders by way of a buyback of 50,000 ordinary shares at a price of 14.62p per share.</t>
  </si>
  <si>
    <t>The company returned £145,900 to shareholders by way of a buyback of 50,000 ordinary shares at a price of 14.59p per share.</t>
  </si>
  <si>
    <t>The company returned £144,500 to shareholders by way of a buyback of 50,000 ordinary shares at a price of 14.45p per share.</t>
  </si>
  <si>
    <t>The company returned £213,000 to shareholders by way of a buyback of 75,000 ordinary shares at a price of 21.3p per share.</t>
  </si>
  <si>
    <t>The company returned £156,552 to shareholders by way of a buyback of 55,000 ordinary shares at a price of 15.66p per share.</t>
  </si>
  <si>
    <t>The company returned £70,500 to shareholders by way of a buyback of 25,000 ordinary shares at a price of 7.05p per share.</t>
  </si>
  <si>
    <t>The company returned £79,523 to shareholders by way of a buyback of 28,300 ordinary shares at a price of 7.95p per share.</t>
  </si>
  <si>
    <t>The company returned £28,350 to shareholders by way of a buyback of 10,000 ordinary shares at a price of 2.84p per share.</t>
  </si>
  <si>
    <t>The company returned £141,500 to shareholders by way of a buyback of 50,000 ordinary shares at a price of 14.15p per share.</t>
  </si>
  <si>
    <t>The company returned £114,000 to shareholders by way of a buyback of 40,000 ordinary shares at a price of 11.4p per share.</t>
  </si>
  <si>
    <t>The company returned £70,750 to shareholders by way of a buyback of 25,000 ordinary shares at a price of 7.08p per share.</t>
  </si>
  <si>
    <t>The company returned £140,220 to shareholders by way of a buyback of 49,200 ordinary shares at a price of 14.02p per share.</t>
  </si>
  <si>
    <t>The company returned £304,208 to shareholders by way of a buyback of 40,169 ordinary shares at a price of 30.42p per share.</t>
  </si>
  <si>
    <t>The company returned £954,000 to shareholders by way of a buyback of 125,000 ordinary shares at a price of 95.4p per share.</t>
  </si>
  <si>
    <t>The company returned £898,315 to shareholders by way of a buyback of 117,275 ordinary shares at a price of 89.83p per share.</t>
  </si>
  <si>
    <t>The company returned £106,966 to shareholders by way of a buyback of 13,896 ordinary shares at a price of 10.7p per share.</t>
  </si>
  <si>
    <t>The company returned £231,609 to shareholders by way of a buyback of 30,207 ordinary shares at a price of 23.16p per share.</t>
  </si>
  <si>
    <t>The company returned £155,142 to shareholders by way of a buyback of 20,221 ordinary shares at a price of 15.51p per share.</t>
  </si>
  <si>
    <t>The company returned £178,802 to shareholders by way of a buyback of 22,951 ordinary shares at a price of 17.88p per share.</t>
  </si>
  <si>
    <t>The company returned £337,985 to shareholders by way of a buyback of 43,611 ordinary shares at a price of 33.8p per share.</t>
  </si>
  <si>
    <t>The company returned £59,656 to shareholders by way of a buyback of 7,768 ordinary shares at a price of 5.97p per share.</t>
  </si>
  <si>
    <t>The company returned £85,503 to shareholders by way of a buyback of 11,037 ordinary shares at a price of 8.55p per share.</t>
  </si>
  <si>
    <t>The company returned £195,127 to shareholders by way of a buyback of 25,178 ordinary shares at a price of 19.51p per share.</t>
  </si>
  <si>
    <t>The company returned £160,613 to shareholders by way of a buyback of 44,246 ordinary shares at a price of 16.06p per share.</t>
  </si>
  <si>
    <t>The company returned £266,399 to shareholders by way of a buyback of 73,036 ordinary shares at a price of 26.64p per share.</t>
  </si>
  <si>
    <t>The company returned £334,142 to shareholders by way of a buyback of 93,860 ordinary shares at a price of 33.41p per share.</t>
  </si>
  <si>
    <t>The company returned £237,412 to shareholders by way of a buyback of 67,351 ordinary shares at a price of 23.74p per share.</t>
  </si>
  <si>
    <t>The company returned £171,013 to shareholders by way of a buyback of 37,056 ordinary shares at a price of 17.1p per share.</t>
  </si>
  <si>
    <t>The company returned £130,599 to shareholders by way of a buyback of 28,142 ordinary shares at a price of 13.06p per share.</t>
  </si>
  <si>
    <t>The company returned £112,552 to shareholders by way of a buyback of 24,200 ordinary shares at a price of 11.26p per share.</t>
  </si>
  <si>
    <t>The company returned £102,115 to shareholders by way of a buyback of 22,000 ordinary shares at a price of 10.21p per share.</t>
  </si>
  <si>
    <t>The company returned £278,020 to shareholders by way of a buyback of 60,000 ordinary shares at a price of 27.8p per share.</t>
  </si>
  <si>
    <t>The company returned £138,030 to shareholders by way of a buyback of 30,000 ordinary shares at a price of 13.8p per share.</t>
  </si>
  <si>
    <t>The company returned £74,240 to shareholders by way of a buyback of 16,000 ordinary shares at a price of 7.42p per share.</t>
  </si>
  <si>
    <t>The company returned £231,863 to shareholders by way of a buyback of 50,000 ordinary shares at a price of 23.19p per share.</t>
  </si>
  <si>
    <t>The company returned £100,725 to shareholders by way of a buyback of 21,809 ordinary shares at a price of 10.07p per share.</t>
  </si>
  <si>
    <t>The company returned £345,282 to shareholders by way of a buyback of 75,000 ordinary shares at a price of 34.53p per share.</t>
  </si>
  <si>
    <t>The company returned £120,792 to shareholders by way of a buyback of 26,257 ordinary shares at a price of 12.08p per share.</t>
  </si>
  <si>
    <t>The company returned £230,324 to shareholders by way of a buyback of 50,000 ordinary shares at a price of 23.03p per share.</t>
  </si>
  <si>
    <t>The company returned £78,474 to shareholders by way of a buyback of 17,143 ordinary shares at a price of 7.85p per share.</t>
  </si>
  <si>
    <t>The company returned £226,000 to shareholders by way of a buyback of 50,000 ordinary shares at a price of 22.6p per share.</t>
  </si>
  <si>
    <t>The company returned £411,582 to shareholders by way of a buyback of 90,281 ordinary shares at a price of 41.16p per share.</t>
  </si>
  <si>
    <t>The company returned £456,000 to shareholders by way of a buyback of 100,000 ordinary shares at a price of 45.6p per share.</t>
  </si>
  <si>
    <t>The company returned £2,021,700 to shareholders by way of a buyback of 600,000 ordinary shares at a price of 202.17p per share.</t>
  </si>
  <si>
    <t>The company returned £2,377,060 to shareholders by way of a buyback of 700,000 ordinary shares at a price of 237.71p per share.</t>
  </si>
  <si>
    <t>The company returned £1,183,345 to shareholders by way of a buyback of 349,709 ordinary shares at a price of 118.33p per share.</t>
  </si>
  <si>
    <t>The company returned £2,430,750 to shareholders by way of a buyback of 700,000 ordinary shares at a price of 243.08p per share.</t>
  </si>
  <si>
    <t>The company returned £2,233,447 to shareholders by way of a buyback of 649,957 ordinary shares at a price of 223.34p per share.</t>
  </si>
  <si>
    <t>The company returned £1,234,730 to shareholders by way of a buyback of 350,000 ordinary shares at a price of 123.47p per share.</t>
  </si>
  <si>
    <t>The company returned £8,555,777 to shareholders by way of a buyback of 382,142 ordinary shares at a price of 2,238.9p per share.</t>
  </si>
  <si>
    <t>The company returned £9,608,235 to shareholders by way of a buyback of 443,399 ordinary shares at a price of 2,166.95p per share.</t>
  </si>
  <si>
    <t>The company returned £9,481,292 to shareholders by way of a buyback of 443,563 ordinary shares at a price of 2,137.53p per share.</t>
  </si>
  <si>
    <t>The company returned £9,750,554 to shareholders by way of a buyback of 444,642 ordinary shares at a price of 2,192.9p per share.</t>
  </si>
  <si>
    <t>The company returned £9,881,012 to shareholders by way of a buyback of 444,642 ordinary shares at a price of 2,222.24p per share.</t>
  </si>
  <si>
    <t>The company returned £9,765,761 to shareholders by way of a buyback of 444,642 ordinary shares at a price of 2,196.32p per share.</t>
  </si>
  <si>
    <t>The company returned £9,816,806 to shareholders by way of a buyback of 444,642 ordinary shares at a price of 2,207.8p per share.</t>
  </si>
  <si>
    <t>The company returned £9,766,873 to shareholders by way of a buyback of 444,642 ordinary shares at a price of 2,196.57p per share.</t>
  </si>
  <si>
    <t>The company returned £8,524,526 to shareholders by way of a buyback of 383,142 ordinary shares at a price of 2,224.9p per share.</t>
  </si>
  <si>
    <t>The company returned £8,779,929 to shareholders by way of a buyback of 383,142 ordinary shares at a price of 2,291.56p per share.</t>
  </si>
  <si>
    <t>The company returned £8,840,754 to shareholders by way of a buyback of 381,090 ordinary shares at a price of 2,319.86p per share.</t>
  </si>
  <si>
    <t>The company returned £7,538,980 to shareholders by way of a buyback of 326,664 ordinary shares at a price of 2,307.87p per share.</t>
  </si>
  <si>
    <t>The company returned £8,911,291 to shareholders by way of a buyback of 382,385 ordinary shares at a price of 2,330.45p per share.</t>
  </si>
  <si>
    <t>The company returned £8,651,046 to shareholders by way of a buyback of 390,443 ordinary shares at a price of 2,215.7p per share.</t>
  </si>
  <si>
    <t>The company returned £8,680,214 to shareholders by way of a buyback of 391,475 ordinary shares at a price of 2,217.31p per share.</t>
  </si>
  <si>
    <t>The company returned £8,783,603 to shareholders by way of a buyback of 391,475 ordinary shares at a price of 2,243.72p per share.</t>
  </si>
  <si>
    <t>The company returned £8,835,826 to shareholders by way of a buyback of 391,475 ordinary shares at a price of 2,257.06p per share.</t>
  </si>
  <si>
    <t>The company returned £7,566,020 to shareholders by way of a buyback of 333,117 ordinary shares at a price of 2,271.28p per share.</t>
  </si>
  <si>
    <t>The company returned £5,763,105 to shareholders by way of a buyback of 229,465 ordinary shares at a price of 2,511.54p per share.</t>
  </si>
  <si>
    <t>The company returned £5,833,680 to shareholders by way of a buyback of 230,189 ordinary shares at a price of 2,534.3p per share.</t>
  </si>
  <si>
    <t>The company returned £405,550 to shareholders by way of a buyback of 25,000 ordinary shares at a price of 1,622.2p per share.</t>
  </si>
  <si>
    <t>The company returned £266,850 to shareholders by way of a buyback of 16,500 ordinary shares at a price of 1,617.27p per share.</t>
  </si>
  <si>
    <t>The company returned £321,800 to shareholders by way of a buyback of 20,000 ordinary shares at a price of 1,609.p per share.</t>
  </si>
  <si>
    <t>The company returned £241,761 to shareholders by way of a buyback of 15,000 ordinary shares at a price of 1,611.74p per share.</t>
  </si>
  <si>
    <t>The company returned £639,400 to shareholders by way of a buyback of 40,000 ordinary shares at a price of 1,598.5p per share.</t>
  </si>
  <si>
    <t>The company returned £398,700 to shareholders by way of a buyback of 25,000 ordinary shares at a price of 1,594.8p per share.</t>
  </si>
  <si>
    <t>The company returned £397,494 to shareholders by way of a buyback of 25,000 ordinary shares at a price of 1,589.98p per share.</t>
  </si>
  <si>
    <t>The company returned £240,600 to shareholders by way of a buyback of 15,000 ordinary shares at a price of 1,604.p per share.</t>
  </si>
  <si>
    <t>The company returned £245,869 to shareholders by way of a buyback of 15,000 ordinary shares at a price of 1,639.12p per share.</t>
  </si>
  <si>
    <t>The company returned £412,800 to shareholders by way of a buyback of 25,000 ordinary shares at a price of 1,651.2p per share.</t>
  </si>
  <si>
    <t>The company returned £329,260 to shareholders by way of a buyback of 20,000 ordinary shares at a price of 1,646.3p per share.</t>
  </si>
  <si>
    <t>The company returned £492,300 to shareholders by way of a buyback of 30,000 ordinary shares at a price of 1,641.p per share.</t>
  </si>
  <si>
    <t>The company returned £490,075 to shareholders by way of a buyback of 30,000 ordinary shares at a price of 1,633.58p per share.</t>
  </si>
  <si>
    <t>The company returned £294,560 to shareholders by way of a buyback of 18,000 ordinary shares at a price of 1,636.44p per share.</t>
  </si>
  <si>
    <t>The company returned £566,875 to shareholders by way of a buyback of 35,000 ordinary shares at a price of 1,619.64p per share.</t>
  </si>
  <si>
    <t>The company returned £79,750 to shareholders by way of a buyback of 5,000 ordinary shares at a price of 1,595.p per share.</t>
  </si>
  <si>
    <t>The company returned £159,400 to shareholders by way of a buyback of 10,000 ordinary shares at a price of 1,594.p per share.</t>
  </si>
  <si>
    <t>The company returned £243,450 to shareholders by way of a buyback of 15,000 ordinary shares at a price of 1,623.p per share.</t>
  </si>
  <si>
    <t>The company returned £161,600 to shareholders by way of a buyback of 10,000 ordinary shares at a price of 1,616.p per share.</t>
  </si>
  <si>
    <t>The company returned £407,732 to shareholders by way of a buyback of 25,000 ordinary shares at a price of 1,630.93p per share.</t>
  </si>
  <si>
    <t>The company returned £407,900 to shareholders by way of a buyback of 25,000 ordinary shares at a price of 1,631.6p per share.</t>
  </si>
  <si>
    <t>The company returned £620,362 to shareholders by way of a buyback of 147,306 ordinary shares at a price of 421.14p per share.</t>
  </si>
  <si>
    <t>The company returned £73,961 to shareholders by way of a buyback of 17,694 ordinary shares at a price of 418.p per share.</t>
  </si>
  <si>
    <t>The company returned £667,449 to shareholders by way of a buyback of 150,000 ordinary shares at a price of 444.97p per share.</t>
  </si>
  <si>
    <t>The company returned £145,302 to shareholders by way of a buyback of 32,506 ordinary shares at a price of 447.p per share.</t>
  </si>
  <si>
    <t>The company returned £701,224 to shareholders by way of a buyback of 160,000 ordinary shares at a price of 438.27p per share.</t>
  </si>
  <si>
    <t>The company returned £460,581 to shareholders by way of a buyback of 105,000 ordinary shares at a price of 438.65p per share.</t>
  </si>
  <si>
    <t>The company returned £757,733 to shareholders by way of a buyback of 176,217 ordinary shares at a price of 430.p per share.</t>
  </si>
  <si>
    <t>The company returned £371,450 to shareholders by way of a buyback of 85,000 ordinary shares at a price of 437.p per share.</t>
  </si>
  <si>
    <t>The company returned £93,874 to shareholders by way of a buyback of 14,000 ordinary shares at a price of 670.53p per share.</t>
  </si>
  <si>
    <t>The company returned £100,314 to shareholders by way of a buyback of 15,000 ordinary shares at a price of 668.76p per share.</t>
  </si>
  <si>
    <t>The company returned £106,534 to shareholders by way of a buyback of 16,000 ordinary shares at a price of 665.84p per share.</t>
  </si>
  <si>
    <t>The company returned £113,385 to shareholders by way of a buyback of 17,000 ordinary shares at a price of 666.97p per share.</t>
  </si>
  <si>
    <t>The company returned £92,887 to shareholders by way of a buyback of 14,000 ordinary shares at a price of 663.48p per share.</t>
  </si>
  <si>
    <t>The company returned £152,740 to shareholders by way of a buyback of 22,938 ordinary shares at a price of 665.88p per share.</t>
  </si>
  <si>
    <t>The company returned £235,073 to shareholders by way of a buyback of 35,062 ordinary shares at a price of 670.45p per share.</t>
  </si>
  <si>
    <t>The company returned £80,018 to shareholders by way of a buyback of 12,000 ordinary shares at a price of 666.82p per share.</t>
  </si>
  <si>
    <t>The company returned £81,403 to shareholders by way of a buyback of 12,000 ordinary shares at a price of 678.36p per share.</t>
  </si>
  <si>
    <t>The company returned £59,156 to shareholders by way of a buyback of 8,500 ordinary shares at a price of 695.95p per share.</t>
  </si>
  <si>
    <t>The company returned £168,245 to shareholders by way of a buyback of 23,500 ordinary shares at a price of 715.94p per share.</t>
  </si>
  <si>
    <t>The company returned £216,042 to shareholders by way of a buyback of 30,000 ordinary shares at a price of 720.14p per share.</t>
  </si>
  <si>
    <t>The company returned £71,754 to shareholders by way of a buyback of 10,000 ordinary shares at a price of 717.54p per share.</t>
  </si>
  <si>
    <t>The company returned £144,716 to shareholders by way of a buyback of 20,000 ordinary shares at a price of 723.58p per share.</t>
  </si>
  <si>
    <t>The company returned £372,427 to shareholders by way of a buyback of 74,331 ordinary shares at a price of 501.04p per share.</t>
  </si>
  <si>
    <t>The company returned £176,126 to shareholders by way of a buyback of 35,216 ordinary shares at a price of 500.13p per share.</t>
  </si>
  <si>
    <t>The company returned £228,588 to shareholders by way of a buyback of 45,926 ordinary shares at a price of 497.73p per share.</t>
  </si>
  <si>
    <t>The company returned £119,071 to shareholders by way of a buyback of 24,278 ordinary shares at a price of 490.45p per share.</t>
  </si>
  <si>
    <t>The company returned £118,351 to shareholders by way of a buyback of 24,178 ordinary shares at a price of 489.5p per share.</t>
  </si>
  <si>
    <t>The company returned £433,331 to shareholders by way of a buyback of 88,509 ordinary shares at a price of 489.59p per share.</t>
  </si>
  <si>
    <t>The company returned £67,653 to shareholders by way of a buyback of 13,729 ordinary shares at a price of 492.77p per share.</t>
  </si>
  <si>
    <t>The company returned £58,395 to shareholders by way of a buyback of 11,679 ordinary shares at a price of 500.p per share.</t>
  </si>
  <si>
    <t>The company returned £171,264 to shareholders by way of a buyback of 34,368 ordinary shares at a price of 498.32p per share.</t>
  </si>
  <si>
    <t>The company returned £45,969 to shareholders by way of a buyback of 9,232 ordinary shares at a price of 497.94p per share.</t>
  </si>
  <si>
    <t>The company returned £82,266 to shareholders by way of a buyback of 16,623 ordinary shares at a price of 494.89p per share.</t>
  </si>
  <si>
    <t>The company returned £489,983 to shareholders by way of a buyback of 100,000 ordinary shares at a price of 489.98p per share.</t>
  </si>
  <si>
    <t>The company returned £90,330 to shareholders by way of a buyback of 18,297 ordinary shares at a price of 493.69p per share.</t>
  </si>
  <si>
    <t>The company returned £96,058 to shareholders by way of a buyback of 19,250 ordinary shares at a price of 499.p per share.</t>
  </si>
  <si>
    <t>The company returned £49,518 to shareholders by way of a buyback of 10,000 ordinary shares at a price of 495.18p per share.</t>
  </si>
  <si>
    <t>The company returned £497,064 to shareholders by way of a buyback of 100,000 ordinary shares at a price of 497.06p per share.</t>
  </si>
  <si>
    <t>The company returned £1,854,098 to shareholders by way of a buyback of 140,000 ordinary shares at a price of 1,324.36p per share.</t>
  </si>
  <si>
    <t>The company returned £1,708,061 to shareholders by way of a buyback of 130,000 ordinary shares at a price of 1,313.89p per share.</t>
  </si>
  <si>
    <t>The company returned £924,000 to shareholders by way of a buyback of 70,000 ordinary shares at a price of 1,320.p per share.</t>
  </si>
  <si>
    <t>The company returned £1,976,309 to shareholders by way of a buyback of 150,000 ordinary shares at a price of 1,317.54p per share.</t>
  </si>
  <si>
    <t>The company returned £3,252,500 to shareholders by way of a buyback of 250,000 ordinary shares at a price of 1,301.p per share.</t>
  </si>
  <si>
    <t>The company returned £325,000 to shareholders by way of a buyback of 25,000 ordinary shares at a price of 1,300.p per share.</t>
  </si>
  <si>
    <t>The company returned £518,400 to shareholders by way of a buyback of 40,000 ordinary shares at a price of 1,296.p per share.</t>
  </si>
  <si>
    <t>The company returned £2,195,632 to shareholders by way of a buyback of 165,000 ordinary shares at a price of 1,330.69p per share.</t>
  </si>
  <si>
    <t>The company returned £3,353,623 to shareholders by way of a buyback of 250,000 ordinary shares at a price of 1,341.45p per share.</t>
  </si>
  <si>
    <t>The company returned £3,342,885 to shareholders by way of a buyback of 250,000 ordinary shares at a price of 1,337.15p per share.</t>
  </si>
  <si>
    <t>The company returned £1,197,000 to shareholders by way of a buyback of 90,000 ordinary shares at a price of 1,330.p per share.</t>
  </si>
  <si>
    <t>The company returned £2,389,932 to shareholders by way of a buyback of 180,000 ordinary shares at a price of 1,327.74p per share.</t>
  </si>
  <si>
    <t>The company returned £4,015,530 to shareholders by way of a buyback of 300,000 ordinary shares at a price of 1,338.51p per share.</t>
  </si>
  <si>
    <t>The company returned £3,340,750 to shareholders by way of a buyback of 250,000 ordinary shares at a price of 1,336.3p per share.</t>
  </si>
  <si>
    <t>The company returned £1,203,201 to shareholders by way of a buyback of 90,000 ordinary shares at a price of 1,336.89p per share.</t>
  </si>
  <si>
    <t>The company returned £1,228,529 to shareholders by way of a buyback of 163,043 ordinary shares at a price of 753.5p per share.</t>
  </si>
  <si>
    <t>The company returned £3,409,578 to shareholders by way of a buyback of 459,388 ordinary shares at a price of 742.2p per share.</t>
  </si>
  <si>
    <t>The company returned £3,608,600 to shareholders by way of a buyback of 500,000 ordinary shares at a price of 721.72p per share.</t>
  </si>
  <si>
    <t>The company returned £794,710 to shareholders by way of a buyback of 111,961 ordinary shares at a price of 709.81p per share.</t>
  </si>
  <si>
    <t>The company returned £3,465,450 to shareholders by way of a buyback of 500,000 ordinary shares at a price of 693.09p per share.</t>
  </si>
  <si>
    <t>The company returned £3,779,950 to shareholders by way of a buyback of 500,000 ordinary shares at a price of 755.99p per share.</t>
  </si>
  <si>
    <t>The company returned £4,766,125 to shareholders by way of a buyback of 650,000 ordinary shares at a price of 733.25p per share.</t>
  </si>
  <si>
    <t>The company returned £4,734,210 to shareholders by way of a buyback of 650,000 ordinary shares at a price of 728.34p per share.</t>
  </si>
  <si>
    <t>The company returned £28,991 to shareholders by way of a buyback of 8,017 ordinary shares at a price of 361.62p per share.</t>
  </si>
  <si>
    <t>The company returned £43,320 to shareholders by way of a buyback of 12,000 ordinary shares at a price of 361.p per share.</t>
  </si>
  <si>
    <t>The company returned £46,295 to shareholders by way of a buyback of 13,041 ordinary shares at a price of 355.p per share.</t>
  </si>
  <si>
    <t>The company returned £45,294 to shareholders by way of a buyback of 13,001 ordinary shares at a price of 348.39p per share.</t>
  </si>
  <si>
    <t>The company returned £40,981 to shareholders by way of a buyback of 11,897 ordinary shares at a price of 344.46p per share.</t>
  </si>
  <si>
    <t>The company returned £27,383 to shareholders by way of a buyback of 8,000 ordinary shares at a price of 342.29p per share.</t>
  </si>
  <si>
    <t>The company returned £33,573 to shareholders by way of a buyback of 9,639 ordinary shares at a price of 348.3p per share.</t>
  </si>
  <si>
    <t>The company returned £24,472 to shareholders by way of a buyback of 7,000 ordinary shares at a price of 349.6p per share.</t>
  </si>
  <si>
    <t>The company returned £31,430 to shareholders by way of a buyback of 9,000 ordinary shares at a price of 349.22p per share.</t>
  </si>
  <si>
    <t>The company returned £41,702 to shareholders by way of a buyback of 12,000 ordinary shares at a price of 347.52p per share.</t>
  </si>
  <si>
    <t>The company returned £40,722 to shareholders by way of a buyback of 11,859 ordinary shares at a price of 343.38p per share.</t>
  </si>
  <si>
    <t>The company returned £28,220 to shareholders by way of a buyback of 8,161 ordinary shares at a price of 345.8p per share.</t>
  </si>
  <si>
    <t>The company returned £42,115 to shareholders by way of a buyback of 12,000 ordinary shares at a price of 350.96p per share.</t>
  </si>
  <si>
    <t>The company returned £44,661 to shareholders by way of a buyback of 18,417 ordinary shares at a price of 242.5p per share.</t>
  </si>
  <si>
    <t>The company returned £60,000 to shareholders by way of a buyback of 25,000 ordinary shares at a price of 240.p per share.</t>
  </si>
  <si>
    <t>The company returned £36,000 to shareholders by way of a buyback of 15,000 ordinary shares at a price of 240.p per share.</t>
  </si>
  <si>
    <t>The company returned £178,500 to shareholders by way of a buyback of 75,000 ordinary shares at a price of 238.p per share.</t>
  </si>
  <si>
    <t>The company returned £237,319 to shareholders by way of a buyback of 100,000 ordinary shares at a price of 237.32p per share.</t>
  </si>
  <si>
    <t>The company returned £235,500 to shareholders by way of a buyback of 100,000 ordinary shares at a price of 235.5p per share.</t>
  </si>
  <si>
    <t>The company returned £236,750 to shareholders by way of a buyback of 100,000 ordinary shares at a price of 236.75p per share.</t>
  </si>
  <si>
    <t>The company returned £240,000 to shareholders by way of a buyback of 100,000 ordinary shares at a price of 240.p per share.</t>
  </si>
  <si>
    <t>The company returned £121,500 to shareholders by way of a buyback of 50,000 ordinary shares at a price of 243.p per share.</t>
  </si>
  <si>
    <t>The company returned £119,500 to shareholders by way of a buyback of 50,000 ordinary shares at a price of 239.p per share.</t>
  </si>
  <si>
    <t>The company returned £120,500 to shareholders by way of a buyback of 50,000 ordinary shares at a price of 241.p per share.</t>
  </si>
  <si>
    <t>The company returned £120,250 to shareholders by way of a buyback of 50,000 ordinary shares at a price of 240.5p per share.</t>
  </si>
  <si>
    <t>The company returned £119,750 to shareholders by way of a buyback of 50,000 ordinary shares at a price of 239.5p per share.</t>
  </si>
  <si>
    <t>The company returned £45,567 to shareholders by way of a buyback of 18,637 ordinary shares at a price of 244.5p per share.</t>
  </si>
  <si>
    <t>The company returned £124,083 to shareholders by way of a buyback of 50,000 ordinary shares at a price of 248.17p per share.</t>
  </si>
  <si>
    <t>The company returned £61,919 to shareholders by way of a buyback of 25,000 ordinary shares at a price of 247.68p per share.</t>
  </si>
  <si>
    <t>The company returned £265,350 to shareholders by way of a buyback of 100,000 ordinary shares at a price of 265.35p per share.</t>
  </si>
  <si>
    <t>The company returned £260,100 to shareholders by way of a buyback of 100,000 ordinary shares at a price of 260.1p per share.</t>
  </si>
  <si>
    <t>The company returned £767,250 to shareholders by way of a buyback of 300,000 ordinary shares at a price of 255.75p per share.</t>
  </si>
  <si>
    <t>The company returned £198,503 to shareholders by way of a buyback of 75,000 ordinary shares at a price of 264.67p per share.</t>
  </si>
  <si>
    <t>The company returned £527,500 to shareholders by way of a buyback of 200,000 ordinary shares at a price of 263.75p per share.</t>
  </si>
  <si>
    <t>The company returned £509,460 to shareholders by way of a buyback of 200,000 ordinary shares at a price of 254.73p per share.</t>
  </si>
  <si>
    <t>The company returned £253,870 to shareholders by way of a buyback of 100,000 ordinary shares at a price of 253.87p per share.</t>
  </si>
  <si>
    <t>The company returned £45,022 to shareholders by way of a buyback of 14,558 ordinary shares at a price of 309.26p per share.</t>
  </si>
  <si>
    <t>The company returned £105,000 to shareholders by way of a buyback of 100,000 ordinary shares at a price of 105.p per share.</t>
  </si>
  <si>
    <t>The company returned £281,250 to shareholders by way of a buyback of 250,000 ordinary shares at a price of 112.5p per share.</t>
  </si>
  <si>
    <t>The company returned £56,000 to shareholders by way of a buyback of 50,000 ordinary shares at a price of 112.p per share.</t>
  </si>
  <si>
    <t>The company returned £55,250 to shareholders by way of a buyback of 50,000 ordinary shares at a price of 110.5p per share.</t>
  </si>
  <si>
    <t>The company returned £54,250 to shareholders by way of a buyback of 50,000 ordinary shares at a price of 108.5p per share.</t>
  </si>
  <si>
    <t>The company returned £54,750 to shareholders by way of a buyback of 50,000 ordinary shares at a price of 109.5p per share.</t>
  </si>
  <si>
    <t>The company returned £402,400 to shareholders by way of a buyback of 40,000 ordinary shares at a price of 1,006.p per share.</t>
  </si>
  <si>
    <t>The company returned £987,000 to shareholders by way of a buyback of 100,000 ordinary shares at a price of 987.p per share.</t>
  </si>
  <si>
    <t>The company returned £975,000 to shareholders by way of a buyback of 100,000 ordinary shares at a price of 975.p per share.</t>
  </si>
  <si>
    <t>The company returned £1,934,000 to shareholders by way of a buyback of 200,000 ordinary shares at a price of 967.p per share.</t>
  </si>
  <si>
    <t>The company returned £1,191,250 to shareholders by way of a buyback of 125,000 ordinary shares at a price of 953.p per share.</t>
  </si>
  <si>
    <t>The company returned £682,367 to shareholders by way of a buyback of 70,000 ordinary shares at a price of 974.81p per share.</t>
  </si>
  <si>
    <t>The company returned £593,976 to shareholders by way of a buyback of 60,000 ordinary shares at a price of 989.96p per share.</t>
  </si>
  <si>
    <t>The company returned £748,095 to shareholders by way of a buyback of 75,000 ordinary shares at a price of 997.46p per share.</t>
  </si>
  <si>
    <t>The company returned £1,924,600 to shareholders by way of a buyback of 200,000 ordinary shares at a price of 962.3p per share.</t>
  </si>
  <si>
    <t>The company returned £727,073 to shareholders by way of a buyback of 75,000 ordinary shares at a price of 969.43p per share.</t>
  </si>
  <si>
    <t>The company returned £1,937,640 to shareholders by way of a buyback of 200,000 ordinary shares at a price of 968.82p per share.</t>
  </si>
  <si>
    <t>The company returned £1,212,113 to shareholders by way of a buyback of 125,000 ordinary shares at a price of 969.69p per share.</t>
  </si>
  <si>
    <t>The company returned £340,550 to shareholders by way of a buyback of 35,000 ordinary shares at a price of 973.p per share.</t>
  </si>
  <si>
    <t>The company returned £448,401 to shareholders by way of a buyback of 281,694 ordinary shares at a price of 159.18p per share.</t>
  </si>
  <si>
    <t>The company returned £108,240 to shareholders by way of a buyback of 66,000 ordinary shares at a price of 164.p per share.</t>
  </si>
  <si>
    <t>The company returned £639,480 to shareholders by way of a buyback of 400,000 ordinary shares at a price of 159.87p per share.</t>
  </si>
  <si>
    <t>The company returned £175,780 to shareholders by way of a buyback of 110,000 ordinary shares at a price of 159.8p per share.</t>
  </si>
  <si>
    <t>The company returned £805,200 to shareholders by way of a buyback of 500,000 ordinary shares at a price of 161.04p per share.</t>
  </si>
  <si>
    <t>The company returned £680,906 to shareholders by way of a buyback of 424,135 ordinary shares at a price of 160.54p per share.</t>
  </si>
  <si>
    <t>The company returned £227,978 to shareholders by way of a buyback of 140,997 ordinary shares at a price of 161.69p per share.</t>
  </si>
  <si>
    <t>The company returned £44,438 to shareholders by way of a buyback of 27,363 ordinary shares at a price of 162.4p per share.</t>
  </si>
  <si>
    <t>The company returned £210,291 to shareholders by way of a buyback of 99,208 ordinary shares at a price of 211.97p per share.</t>
  </si>
  <si>
    <t>The company returned £157,755 to shareholders by way of a buyback of 75,000 ordinary shares at a price of 210.34p per share.</t>
  </si>
  <si>
    <t>The company returned £106,973 to shareholders by way of a buyback of 51,000 ordinary shares at a price of 209.75p per share.</t>
  </si>
  <si>
    <t>The company returned £220,500 to shareholders by way of a buyback of 105,000 ordinary shares at a price of 210.p per share.</t>
  </si>
  <si>
    <t>The company returned £127,380 to shareholders by way of a buyback of 61,000 ordinary shares at a price of 208.82p per share.</t>
  </si>
  <si>
    <t>The company returned £94,698 to shareholders by way of a buyback of 45,000 ordinary shares at a price of 210.44p per share.</t>
  </si>
  <si>
    <t>The company returned £66,319 to shareholders by way of a buyback of 31,431 ordinary shares at a price of 211.p per share.</t>
  </si>
  <si>
    <t>The company returned £127,878 to shareholders by way of a buyback of 60,528 ordinary shares at a price of 211.27p per share.</t>
  </si>
  <si>
    <t>The company returned £52,250 to shareholders by way of a buyback of 25,000 ordinary shares at a price of 209.p per share.</t>
  </si>
  <si>
    <t>The company returned £25,080 to shareholders by way of a buyback of 12,000 ordinary shares at a price of 209.p per share.</t>
  </si>
  <si>
    <t>The company returned £246,526 to shareholders by way of a buyback of 118,000 ordinary shares at a price of 208.92p per share.</t>
  </si>
  <si>
    <t>The company returned £109,514 to shareholders by way of a buyback of 53,000 ordinary shares at a price of 206.63p per share.</t>
  </si>
  <si>
    <t>The company returned £29,120 to shareholders by way of a buyback of 14,000 ordinary shares at a price of 208.p per share.</t>
  </si>
  <si>
    <t>The company returned £135,838 to shareholders by way of a buyback of 64,691 ordinary shares at a price of 209.98p per share.</t>
  </si>
  <si>
    <t>The company returned £159,718 to shareholders by way of a buyback of 75,955 ordinary shares at a price of 210.28p per share.</t>
  </si>
  <si>
    <t>The company returned £94,950 to shareholders by way of a buyback of 45,000 ordinary shares at a price of 211.p per share.</t>
  </si>
  <si>
    <t>The company returned £88,398 to shareholders by way of a buyback of 41,697 ordinary shares at a price of 212.p per share.</t>
  </si>
  <si>
    <t>The company returned £57,445 to shareholders by way of a buyback of 44,500 ordinary shares at a price of 129.09p per share.</t>
  </si>
  <si>
    <t>The company returned £34,000 to shareholders by way of a buyback of 27,200 ordinary shares at a price of 125.p per share.</t>
  </si>
  <si>
    <t>The company returned £39,266 to shareholders by way of a buyback of 30,000 ordinary shares at a price of 130.89p per share.</t>
  </si>
  <si>
    <t>The company returned £31,450 to shareholders by way of a buyback of 25,000 ordinary shares at a price of 125.8p per share.</t>
  </si>
  <si>
    <t>The company returned £299,348 to shareholders by way of a buyback of 198,670 ordinary shares at a price of 150.68p per share.</t>
  </si>
  <si>
    <t>The company returned £418,551 to shareholders by way of a buyback of 277,421 ordinary shares at a price of 150.87p per share.</t>
  </si>
  <si>
    <t>The company returned £599,376 to shareholders by way of a buyback of 400,000 ordinary shares at a price of 149.84p per share.</t>
  </si>
  <si>
    <t>The company returned £590,844 to shareholders by way of a buyback of 400,000 ordinary shares at a price of 147.71p per share.</t>
  </si>
  <si>
    <t>The company returned £590,116 to shareholders by way of a buyback of 400,000 ordinary shares at a price of 147.53p per share.</t>
  </si>
  <si>
    <t>The company returned £531,849 to shareholders by way of a buyback of 365,000 ordinary shares at a price of 145.71p per share.</t>
  </si>
  <si>
    <t>The company returned £364,263 to shareholders by way of a buyback of 250,000 ordinary shares at a price of 145.71p per share.</t>
  </si>
  <si>
    <t>The company returned £473,325 to shareholders by way of a buyback of 320,000 ordinary shares at a price of 147.91p per share.</t>
  </si>
  <si>
    <t>The company returned £553,998 to shareholders by way of a buyback of 366,784 ordinary shares at a price of 151.04p per share.</t>
  </si>
  <si>
    <t>The company returned £302,420 to shareholders by way of a buyback of 200,000 ordinary shares at a price of 151.21p per share.</t>
  </si>
  <si>
    <t>The company returned £413,238 to shareholders by way of a buyback of 270,651 ordinary shares at a price of 152.68p per share.</t>
  </si>
  <si>
    <t>The company returned £510,667 to shareholders by way of a buyback of 335,429 ordinary shares at a price of 152.24p per share.</t>
  </si>
  <si>
    <t>The company returned £491,360 to shareholders by way of a buyback of 330,000 ordinary shares at a price of 148.9p per share.</t>
  </si>
  <si>
    <t>The company returned £484,088 to shareholders by way of a buyback of 325,000 ordinary shares at a price of 148.95p per share.</t>
  </si>
  <si>
    <t>The company returned £535,324 to shareholders by way of a buyback of 358,758 ordinary shares at a price of 149.22p per share.</t>
  </si>
  <si>
    <t>The company returned £419,112 to shareholders by way of a buyback of 281,253 ordinary shares at a price of 149.02p per share.</t>
  </si>
  <si>
    <t>The company returned £61,437 to shareholders by way of a buyback of 7,684 ordinary shares at a price of 799.55p per share.</t>
  </si>
  <si>
    <t>The company returned £111,889 to shareholders by way of a buyback of 14,000 ordinary shares at a price of 799.21p per share.</t>
  </si>
  <si>
    <t>The company returned £67,730 to shareholders by way of a buyback of 8,415 ordinary shares at a price of 804.87p per share.</t>
  </si>
  <si>
    <t>The company returned £17,394 to shareholders by way of a buyback of 2,072 ordinary shares at a price of 839.47p per share.</t>
  </si>
  <si>
    <t>The company returned £117,291 to shareholders by way of a buyback of 13,818 ordinary shares at a price of 848.83p per share.</t>
  </si>
  <si>
    <t>The company returned £50,106 to shareholders by way of a buyback of 6,000 ordinary shares at a price of 835.1p per share.</t>
  </si>
  <si>
    <t>The company returned £23,015 to shareholders by way of a buyback of 16,943 ordinary shares at a price of 135.84p per share.</t>
  </si>
  <si>
    <t>The company returned £3,705 to shareholders by way of a buyback of 2,761 ordinary shares at a price of 134.19p per share.</t>
  </si>
  <si>
    <t>The company returned £43,919 to shareholders by way of a buyback of 32,975 ordinary shares at a price of 133.19p per share.</t>
  </si>
  <si>
    <t>The company returned £28,631 to shareholders by way of a buyback of 21,527 ordinary shares at a price of 133.p per share.</t>
  </si>
  <si>
    <t>The company returned £2,295 to shareholders by way of a buyback of 1,739 ordinary shares at a price of 131.99p per share.</t>
  </si>
  <si>
    <t>The company returned £23,493 to shareholders by way of a buyback of 17,798 ordinary shares at a price of 132.p per share.</t>
  </si>
  <si>
    <t>The company returned £7,436 to shareholders by way of a buyback of 5,677 ordinary shares at a price of 130.99p per share.</t>
  </si>
  <si>
    <t>The company returned £60,356 to shareholders by way of a buyback of 46,777 ordinary shares at a price of 129.03p per share.</t>
  </si>
  <si>
    <t>The company returned £6,557 to shareholders by way of a buyback of 5,104 ordinary shares at a price of 128.47p per share.</t>
  </si>
  <si>
    <t>The company returned £38,466 to shareholders by way of a buyback of 30,000 ordinary shares at a price of 128.22p per share.</t>
  </si>
  <si>
    <t>The company returned £43,169 to shareholders by way of a buyback of 33,433 ordinary shares at a price of 129.12p per share.</t>
  </si>
  <si>
    <t>The company returned £7,786 to shareholders by way of a buyback of 6,006 ordinary shares at a price of 129.63p per share.</t>
  </si>
  <si>
    <t>The company returned £3,029 to shareholders by way of a buyback of 2,326 ordinary shares at a price of 130.21p per share.</t>
  </si>
  <si>
    <t>The company returned £32,114 to shareholders by way of a buyback of 24,166 ordinary shares at a price of 132.89p per share.</t>
  </si>
  <si>
    <t>The company returned £49,126 to shareholders by way of a buyback of 36,661 ordinary shares at a price of 134.p per share.</t>
  </si>
  <si>
    <t>The company returned £212 to shareholders by way of a buyback of 159 ordinary shares at a price of 133.6p per share.</t>
  </si>
  <si>
    <t>The company returned £29,683 to shareholders by way of a buyback of 22,046 ordinary shares at a price of 134.64p per share.</t>
  </si>
  <si>
    <t>The company returned £855,500 to shareholders by way of a buyback of 200,000 ordinary shares at a price of 427.75p per share.</t>
  </si>
  <si>
    <t>The company returned £53,808 to shareholders by way of a buyback of 12,572 ordinary shares at a price of 428.p per share.</t>
  </si>
  <si>
    <t>The company returned £1,107,890 to shareholders by way of a buyback of 256,658 ordinary shares at a price of 431.66p per share.</t>
  </si>
  <si>
    <t>The company returned £818,331 to shareholders by way of a buyback of 190,367 ordinary shares at a price of 429.87p per share.</t>
  </si>
  <si>
    <t>The company returned £1,129,948 to shareholders by way of a buyback of 263,834 ordinary shares at a price of 428.28p per share.</t>
  </si>
  <si>
    <t>The company returned £363,951 to shareholders by way of a buyback of 80,878 ordinary shares at a price of 450.p per share.</t>
  </si>
  <si>
    <t>The company returned £844,077 to shareholders by way of a buyback of 198,345 ordinary shares at a price of 425.56p per share.</t>
  </si>
  <si>
    <t>The company returned £261,503 to shareholders by way of a buyback of 61,533 ordinary shares at a price of 424.98p per share.</t>
  </si>
  <si>
    <t>The company returned £407,180 to shareholders by way of a buyback of 95,479 ordinary shares at a price of 426.46p per share.</t>
  </si>
  <si>
    <t>The company returned £1,128,768 to shareholders by way of a buyback of 265,000 ordinary shares at a price of 425.95p per share.</t>
  </si>
  <si>
    <t>The company returned £355,273 to shareholders by way of a buyback of 83,967 ordinary shares at a price of 423.11p per share.</t>
  </si>
  <si>
    <t>The company returned £1,200,599 to shareholders by way of a buyback of 283,000 ordinary shares at a price of 424.24p per share.</t>
  </si>
  <si>
    <t>The company returned £1,078,367 to shareholders by way of a buyback of 253,817 ordinary shares at a price of 424.86p per share.</t>
  </si>
  <si>
    <t>The company returned £510,211 to shareholders by way of a buyback of 120,061 ordinary shares at a price of 424.96p per share.</t>
  </si>
  <si>
    <t>The company returned £630,836 to shareholders by way of a buyback of 147,844 ordinary shares at a price of 426.69p per share.</t>
  </si>
  <si>
    <t>The company returned £285,794 to shareholders by way of a buyback of 66,951 ordinary shares at a price of 426.87p per share.</t>
  </si>
  <si>
    <t>The company returned £23,062 to shareholders by way of a buyback of 5,401 ordinary shares at a price of 427.p per share.</t>
  </si>
  <si>
    <t>The company returned £501,558 to shareholders by way of a buyback of 117,483 ordinary shares at a price of 426.92p per share.</t>
  </si>
  <si>
    <t>The company returned £485,894 to shareholders by way of a buyback of 113,982 ordinary shares at a price of 426.29p per share.</t>
  </si>
  <si>
    <t>The company returned £64,145 to shareholders by way of a buyback of 14,645 ordinary shares at a price of 325.98p per share.</t>
  </si>
  <si>
    <t>The company returned £65,133 to shareholders by way of a buyback of 14,736 ordinary shares at a price of 328.78p per share.</t>
  </si>
  <si>
    <t>The company returned £72,930 to shareholders by way of a buyback of 16,500 ordinary shares at a price of 330.18p per share.</t>
  </si>
  <si>
    <t>The company returned £66,300 to shareholders by way of a buyback of 15,000 ordinary shares at a price of 331.25p per share.</t>
  </si>
  <si>
    <t>The company returned £66,300 to shareholders by way of a buyback of 15,000 ordinary shares at a price of 329.94p per share.</t>
  </si>
  <si>
    <t>The company returned £43,796 to shareholders by way of a buyback of 10,000 ordinary shares at a price of 328.64p per share.</t>
  </si>
  <si>
    <t>The company returned £78,511 to shareholders by way of a buyback of 18,000 ordinary shares at a price of 325.13p per share.</t>
  </si>
  <si>
    <t>The company returned £59,511 to shareholders by way of a buyback of 13,587 ordinary shares at a price of 325.89p per share.</t>
  </si>
  <si>
    <t>The company returned £49,023 to shareholders by way of a buyback of 11,221 ordinary shares at a price of 325.37p per share.</t>
  </si>
  <si>
    <t>The company returned £56,620 to shareholders by way of a buyback of 13,000 ordinary shares at a price of 325.19p per share.</t>
  </si>
  <si>
    <t>The company returned £74,501 to shareholders by way of a buyback of 17,120 ordinary shares at a price of 328.39p per share.</t>
  </si>
  <si>
    <t>The company returned £43,600 to shareholders by way of a buyback of 10,000 ordinary shares at a price of 329.54p per share.</t>
  </si>
  <si>
    <t>The company returned £70,292 to shareholders by way of a buyback of 16,132 ordinary shares at a price of 328.54p per share.</t>
  </si>
  <si>
    <t>The company returned £57,166 to shareholders by way of a buyback of 13,112 ordinary shares at a price of 330.25p per share.</t>
  </si>
  <si>
    <t>The company returned £13,080 to shareholders by way of a buyback of 3,000 ordinary shares at a price of 330.17p per share.</t>
  </si>
  <si>
    <t>The company returned £63,217 to shareholders by way of a buyback of 14,500 ordinary shares at a price of 330.3p per share.</t>
  </si>
  <si>
    <t>The company returned £45,588 to shareholders by way of a buyback of 10,507 ordinary shares at a price of 327.54p per share.</t>
  </si>
  <si>
    <t>The company returned £670,623 to shareholders by way of a buyback of 53,315 ordinary shares at a price of 1,257.85p per share.</t>
  </si>
  <si>
    <t>The company returned £407,741 to shareholders by way of a buyback of 32,961 ordinary shares at a price of 1,237.04p per share.</t>
  </si>
  <si>
    <t>The company returned £746,186 to shareholders by way of a buyback of 55,967 ordinary shares at a price of 1,333.26p per share.</t>
  </si>
  <si>
    <t>The company returned £221,136 to shareholders by way of a buyback of 14,594 ordinary shares at a price of 1,515.25p per share.</t>
  </si>
  <si>
    <t>The company returned £56,695 to shareholders by way of a buyback of 29,000 ordinary shares at a price of 195.5p per share.</t>
  </si>
  <si>
    <t>The company returned £168,147 to shareholders by way of a buyback of 90,000 ordinary shares at a price of 186.83p per share.</t>
  </si>
  <si>
    <t>The company returned £46,080 to shareholders by way of a buyback of 24,000 ordinary shares at a price of 192.p per share.</t>
  </si>
  <si>
    <t>The company returned £13,370 to shareholders by way of a buyback of 7,000 ordinary shares at a price of 191.p per share.</t>
  </si>
  <si>
    <t>The company returned £121,622 to shareholders by way of a buyback of 65,000 ordinary shares at a price of 187.11p per share.</t>
  </si>
  <si>
    <t>The company returned £185,500 to shareholders by way of a buyback of 100,000 ordinary shares at a price of 185.5p per share.</t>
  </si>
  <si>
    <t>The company returned £134,670 to shareholders by way of a buyback of 75,000 ordinary shares at a price of 179.56p per share.</t>
  </si>
  <si>
    <t>The company returned £62,468 to shareholders by way of a buyback of 35,000 ordinary shares at a price of 178.48p per share.</t>
  </si>
  <si>
    <t>The company returned £87,690 to shareholders by way of a buyback of 15,000 ordinary shares at a price of 584.6p per share.</t>
  </si>
  <si>
    <t>The company returned £147,783 to shareholders by way of a buyback of 25,000 ordinary shares at a price of 591.13p per share.</t>
  </si>
  <si>
    <t>The company returned £76,442 to shareholders by way of a buyback of 13,065 ordinary shares at a price of 585.09p per share.</t>
  </si>
  <si>
    <t>The company returned £113,789 to shareholders by way of a buyback of 19,366 ordinary shares at a price of 587.57p per share.</t>
  </si>
  <si>
    <t>The company returned £86,931 to shareholders by way of a buyback of 15,000 ordinary shares at a price of 579.54p per share.</t>
  </si>
  <si>
    <t>The company returned £145,088 to shareholders by way of a buyback of 25,000 ordinary shares at a price of 580.35p per share.</t>
  </si>
  <si>
    <t>The company returned £144,885 to shareholders by way of a buyback of 25,000 ordinary shares at a price of 579.54p per share.</t>
  </si>
  <si>
    <t>The company returned £144,235 to shareholders by way of a buyback of 25,000 ordinary shares at a price of 576.94p per share.</t>
  </si>
  <si>
    <t>The company returned £144,895 to shareholders by way of a buyback of 25,000 ordinary shares at a price of 579.58p per share.</t>
  </si>
  <si>
    <t>The company returned £143,705 to shareholders by way of a buyback of 25,000 ordinary shares at a price of 574.82p per share.</t>
  </si>
  <si>
    <t>The company returned £116,214 to shareholders by way of a buyback of 20,000 ordinary shares at a price of 581.07p per share.</t>
  </si>
  <si>
    <t>The company returned £132,907 to shareholders by way of a buyback of 22,384 ordinary shares at a price of 593.76p per share.</t>
  </si>
  <si>
    <t>The company returned £134,437 to shareholders by way of a buyback of 22,250 ordinary shares at a price of 604.21p per share.</t>
  </si>
  <si>
    <t>The company returned £144,666 to shareholders by way of a buyback of 23,831 ordinary shares at a price of 607.05p per share.</t>
  </si>
  <si>
    <t>The company returned £91,994 to shareholders by way of a buyback of 15,000 ordinary shares at a price of 613.29p per share.</t>
  </si>
  <si>
    <t>The company returned £125,530 to shareholders by way of a buyback of 20,224 ordinary shares at a price of 620.7p per share.</t>
  </si>
  <si>
    <t>The company returned £154,828 to shareholders by way of a buyback of 25,000 ordinary shares at a price of 619.31p per share.</t>
  </si>
  <si>
    <t>The company returned £56,121 to shareholders by way of a buyback of 9,073 ordinary shares at a price of 618.55p per share.</t>
  </si>
  <si>
    <t>The company returned £44,018 to shareholders by way of a buyback of 7,193 ordinary shares at a price of 611.96p per share.</t>
  </si>
  <si>
    <t>The company returned £92,823 to shareholders by way of a buyback of 15,264 ordinary shares at a price of 608.12p per share.</t>
  </si>
  <si>
    <t>The company returned £152,700 to shareholders by way of a buyback of 25,000 ordinary shares at a price of 610.8p per share.</t>
  </si>
  <si>
    <t>The company returned £72,092 to shareholders by way of a buyback of 11,853 ordinary shares at a price of 608.22p per share.</t>
  </si>
  <si>
    <t>The company returned £22,000 to shareholders by way of a buyback of 10,000 ordinary shares at a price of 220.p per share.</t>
  </si>
  <si>
    <t>The company returned £200,100 to shareholders by way of a buyback of 15,000 ordinary shares at a price of 1,334.p per share.</t>
  </si>
  <si>
    <t>The company returned £198,900 to shareholders by way of a buyback of 15,000 ordinary shares at a price of 1,326.p per share.</t>
  </si>
  <si>
    <t>The company returned £195,900 to shareholders by way of a buyback of 15,000 ordinary shares at a price of 1,306.p per share.</t>
  </si>
  <si>
    <t>The company returned £197,700 to shareholders by way of a buyback of 15,000 ordinary shares at a price of 1,318.p per share.</t>
  </si>
  <si>
    <t>The company returned £197,400 to shareholders by way of a buyback of 15,000 ordinary shares at a price of 1,316.p per share.</t>
  </si>
  <si>
    <t>The company returned £195,000 to shareholders by way of a buyback of 15,000 ordinary shares at a price of 1,300.p per share.</t>
  </si>
  <si>
    <t>The company returned £195,600 to shareholders by way of a buyback of 15,000 ordinary shares at a price of 1,304.p per share.</t>
  </si>
  <si>
    <t>The company returned £193,500 to shareholders by way of a buyback of 15,000 ordinary shares at a price of 1,290.p per share.</t>
  </si>
  <si>
    <t>The company returned £194,700 to shareholders by way of a buyback of 15,000 ordinary shares at a price of 1,298.p per share.</t>
  </si>
  <si>
    <t>The company returned £197,100 to shareholders by way of a buyback of 15,000 ordinary shares at a price of 1,314.p per share.</t>
  </si>
  <si>
    <t>The company returned £196,800 to shareholders by way of a buyback of 15,000 ordinary shares at a price of 1,312.p per share.</t>
  </si>
  <si>
    <t>The company returned £196,200 to shareholders by way of a buyback of 15,000 ordinary shares at a price of 1,308.p per share.</t>
  </si>
  <si>
    <t>The company returned £195,300 to shareholders by way of a buyback of 15,000 ordinary shares at a price of 1,302.p per share.</t>
  </si>
  <si>
    <t>The company returned £51,975 to shareholders by way of a buyback of 3,500 ordinary shares at a price of 1,485.p per share.</t>
  </si>
  <si>
    <t>The company returned £74,000 to shareholders by way of a buyback of 5,000 ordinary shares at a price of 1,480.p per share.</t>
  </si>
  <si>
    <t>The company returned £147,750 to shareholders by way of a buyback of 10,000 ordinary shares at a price of 1,477.5p per share.</t>
  </si>
  <si>
    <t>The company returned £74,600 to shareholders by way of a buyback of 5,000 ordinary shares at a price of 1,492.p per share.</t>
  </si>
  <si>
    <t>The company returned £22,125 to shareholders by way of a buyback of 1,500 ordinary shares at a price of 1,475.p per share.</t>
  </si>
  <si>
    <t>The company returned £146,985 to shareholders by way of a buyback of 10,000 ordinary shares at a price of 1,469.85p per share.</t>
  </si>
  <si>
    <t>The company returned £87,320 to shareholders by way of a buyback of 5,900 ordinary shares at a price of 1,480.p per share.</t>
  </si>
  <si>
    <t>The company returned £153,476 to shareholders by way of a buyback of 10,000 ordinary shares at a price of 1,534.76p per share.</t>
  </si>
  <si>
    <t>The company returned £57,197 to shareholders by way of a buyback of 3,735 ordinary shares at a price of 1,531.39p per share.</t>
  </si>
  <si>
    <t>The company returned £156,132 to shareholders by way of a buyback of 10,000 ordinary shares at a price of 1,561.32p per share.</t>
  </si>
  <si>
    <t>The company returned £75,063 to shareholders by way of a buyback of 4,850 ordinary shares at a price of 1,547.7p per share.</t>
  </si>
  <si>
    <t>The company returned £313,972 to shareholders by way of a buyback of 20,000 ordinary shares at a price of 1,569.86p per share.</t>
  </si>
  <si>
    <t>The company returned £78,875 to shareholders by way of a buyback of 5,000 ordinary shares at a price of 1,577.5p per share.</t>
  </si>
  <si>
    <t>The company returned £200,858 to shareholders by way of a buyback of 12,500 ordinary shares at a price of 1,606.86p per share.</t>
  </si>
  <si>
    <t>The company returned £239,387 to shareholders by way of a buyback of 16,500 ordinary shares at a price of 1,450.83p per share.</t>
  </si>
  <si>
    <t>The company returned £232,213 to shareholders by way of a buyback of 15,950 ordinary shares at a price of 1,455.88p per share.</t>
  </si>
  <si>
    <t>The company returned £132,820 to shareholders by way of a buyback of 9,002 ordinary shares at a price of 1,475.45p per share.</t>
  </si>
  <si>
    <t>The company returned £209,114 to shareholders by way of a buyback of 13,975 ordinary shares at a price of 1,496.34p per share.</t>
  </si>
  <si>
    <t>The company returned £78,114 to shareholders by way of a buyback of 5,278 ordinary shares at a price of 1,480.p per share.</t>
  </si>
  <si>
    <t>The company returned £204,422 to shareholders by way of a buyback of 13,779 ordinary shares at a price of 1,483.58p per share.</t>
  </si>
  <si>
    <t>The company returned £136,214 to shareholders by way of a buyback of 9,223 ordinary shares at a price of 1,476.9p per share.</t>
  </si>
  <si>
    <t>The company returned £317,324 to shareholders by way of a buyback of 87,177 ordinary shares at a price of 364.p per share.</t>
  </si>
  <si>
    <t>The company returned £319,152 to shareholders by way of a buyback of 86,726 ordinary shares at a price of 368.p per share.</t>
  </si>
  <si>
    <t>The company returned £278,947 to shareholders by way of a buyback of 76,111 ordinary shares at a price of 366.5p per share.</t>
  </si>
  <si>
    <t>The company returned £347,203 to shareholders by way of a buyback of 95,124 ordinary shares at a price of 365.p per share.</t>
  </si>
  <si>
    <t>The company returned £390,746 to shareholders by way of a buyback of 110,119 ordinary shares at a price of 354.84p per share.</t>
  </si>
  <si>
    <t>The company returned £288,810 to shareholders by way of a buyback of 81,670 ordinary shares at a price of 353.63p per share.</t>
  </si>
  <si>
    <t>The company returned £279,478 to shareholders by way of a buyback of 79,828 ordinary shares at a price of 350.1p per share.</t>
  </si>
  <si>
    <t>The company returned £377,582 to shareholders by way of a buyback of 106,361 ordinary shares at a price of 355.p per share.</t>
  </si>
  <si>
    <t>The company returned £287,983 to shareholders by way of a buyback of 81,122 ordinary shares at a price of 355.p per share.</t>
  </si>
  <si>
    <t>The company returned £359,214 to shareholders by way of a buyback of 101,113 ordinary shares at a price of 355.26p per share.</t>
  </si>
  <si>
    <t>The company returned £399,395 to shareholders by way of a buyback of 111,916 ordinary shares at a price of 356.87p per share.</t>
  </si>
  <si>
    <t>The company returned £400,261 to shareholders by way of a buyback of 111,295 ordinary shares at a price of 359.64p per share.</t>
  </si>
  <si>
    <t>The company returned £385,229 to shareholders by way of a buyback of 107,862 ordinary shares at a price of 357.15p per share.</t>
  </si>
  <si>
    <t>The company returned £405,236 to shareholders by way of a buyback of 115,124 ordinary shares at a price of 352.p per share.</t>
  </si>
  <si>
    <t>The company returned £372,349 to shareholders by way of a buyback of 105,622 ordinary shares at a price of 352.53p per share.</t>
  </si>
  <si>
    <t>The company returned £441,431 to shareholders by way of a buyback of 124,137 ordinary shares at a price of 355.6p per share.</t>
  </si>
  <si>
    <t>The company returned £497,851 to shareholders by way of a buyback of 139,259 ordinary shares at a price of 357.5p per share.</t>
  </si>
  <si>
    <t>The company returned £549,951 to shareholders by way of a buyback of 151,206 ordinary shares at a price of 363.71p per share.</t>
  </si>
  <si>
    <t>The company returned £32,244 to shareholders by way of a buyback of 631 ordinary shares at a price of 5,110.p per share.</t>
  </si>
  <si>
    <t>The company returned £102,295 to shareholders by way of a buyback of 2,008 ordinary shares at a price of 5,094.37p per share.</t>
  </si>
  <si>
    <t>The company returned £63,874 to shareholders by way of a buyback of 17,900 ordinary shares at a price of 356.84p per share.</t>
  </si>
  <si>
    <t>The company returned £295,689 to shareholders by way of a buyback of 85,191 ordinary shares at a price of 347.09p per share.</t>
  </si>
  <si>
    <t>The company returned £431,875 to shareholders by way of a buyback of 125,000 ordinary shares at a price of 345.5p per share.</t>
  </si>
  <si>
    <t>The company returned £346,000 to shareholders by way of a buyback of 100,000 ordinary shares at a price of 346.p per share.</t>
  </si>
  <si>
    <t>The company returned £277,200 to shareholders by way of a buyback of 80,000 ordinary shares at a price of 346.5p per share.</t>
  </si>
  <si>
    <t>The company returned £277,600 to shareholders by way of a buyback of 80,000 ordinary shares at a price of 347.p per share.</t>
  </si>
  <si>
    <t>The company returned £106,794 to shareholders by way of a buyback of 35,837 ordinary shares at a price of 298.p per share.</t>
  </si>
  <si>
    <t>The company returned £888 to shareholders by way of a buyback of 297 ordinary shares at a price of 299.01p per share.</t>
  </si>
  <si>
    <t>The company returned £108,916 to shareholders by way of a buyback of 36,553 ordinary shares at a price of 297.97p per share.</t>
  </si>
  <si>
    <t>The company returned £59,400 to shareholders by way of a buyback of 20,000 ordinary shares at a price of 297.p per share.</t>
  </si>
  <si>
    <t>The company returned £21 to shareholders by way of a buyback of 7 ordinary shares at a price of 298.p per share.</t>
  </si>
  <si>
    <t>The company returned £676 to shareholders by way of a buyback of 227 ordinary shares at a price of 298.p per share.</t>
  </si>
  <si>
    <t>The company returned £398,935 to shareholders by way of a buyback of 50,000 ordinary shares at a price of 797.87p per share.</t>
  </si>
  <si>
    <t>The company returned £398,960 to shareholders by way of a buyback of 50,000 ordinary shares at a price of 797.92p per share.</t>
  </si>
  <si>
    <t>The company returned £675,504 to shareholders by way of a buyback of 85,000 ordinary shares at a price of 794.71p per share.</t>
  </si>
  <si>
    <t>The company returned £995,000 to shareholders by way of a buyback of 125,000 ordinary shares at a price of 796.p per share.</t>
  </si>
  <si>
    <t>The company returned £396,500 to shareholders by way of a buyback of 50,000 ordinary shares at a price of 793.p per share.</t>
  </si>
  <si>
    <t>The company returned £670,625 to shareholders by way of a buyback of 85,000 ordinary shares at a price of 788.97p per share.</t>
  </si>
  <si>
    <t>The company returned £397,250 to shareholders by way of a buyback of 50,000 ordinary shares at a price of 794.5p per share.</t>
  </si>
  <si>
    <t>The company returned £397,490 to shareholders by way of a buyback of 50,000 ordinary shares at a price of 794.98p per share.</t>
  </si>
  <si>
    <t>The company returned £681,624 to shareholders by way of a buyback of 85,000 ordinary shares at a price of 801.91p per share.</t>
  </si>
  <si>
    <t>The company returned £401,250 to shareholders by way of a buyback of 50,000 ordinary shares at a price of 802.5p per share.</t>
  </si>
  <si>
    <t>The company returned £801,320 to shareholders by way of a buyback of 100,000 ordinary shares at a price of 801.32p per share.</t>
  </si>
  <si>
    <t>The company returned £198,940 to shareholders by way of a buyback of 25,000 ordinary shares at a price of 795.76p per share.</t>
  </si>
  <si>
    <t>The company returned £669,554 to shareholders by way of a buyback of 85,000 ordinary shares at a price of 787.71p per share.</t>
  </si>
  <si>
    <t>The company returned £670,616 to shareholders by way of a buyback of 85,000 ordinary shares at a price of 788.96p per share.</t>
  </si>
  <si>
    <t>The company returned £668,398 to shareholders by way of a buyback of 85,000 ordinary shares at a price of 786.35p per share.</t>
  </si>
  <si>
    <t>The company returned £675,657 to shareholders by way of a buyback of 85,000 ordinary shares at a price of 794.89p per share.</t>
  </si>
  <si>
    <t>The company returned £677,850 to shareholders by way of a buyback of 85,000 ordinary shares at a price of 797.47p per share.</t>
  </si>
  <si>
    <t>The company returned £678,300 to shareholders by way of a buyback of 85,000 ordinary shares at a price of 798.p per share.</t>
  </si>
  <si>
    <t>The company returned £677,603 to shareholders by way of a buyback of 85,000 ordinary shares at a price of 797.18p per share.</t>
  </si>
  <si>
    <t>The company returned £509,619 to shareholders by way of a buyback of 150,000 ordinary shares at a price of 339.75p per share.</t>
  </si>
  <si>
    <t>The company returned £138,385 to shareholders by way of a buyback of 40,700 ordinary shares at a price of 340.01p per share.</t>
  </si>
  <si>
    <t>The company returned £620,663 to shareholders by way of a buyback of 181,687 ordinary shares at a price of 341.61p per share.</t>
  </si>
  <si>
    <t>The company returned £84,975 to shareholders by way of a buyback of 25,000 ordinary shares at a price of 339.9p per share.</t>
  </si>
  <si>
    <t>The company returned £23,393 to shareholders by way of a buyback of 6,927 ordinary shares at a price of 337.71p per share.</t>
  </si>
  <si>
    <t>The company returned £337,731 to shareholders by way of a buyback of 100,000 ordinary shares at a price of 337.73p per share.</t>
  </si>
  <si>
    <t>The company returned £334,265 to shareholders by way of a buyback of 100,000 ordinary shares at a price of 334.27p per share.</t>
  </si>
  <si>
    <t>The company returned £55,229 to shareholders by way of a buyback of 16,055 ordinary shares at a price of 344.p per share.</t>
  </si>
  <si>
    <t>The company returned £434,593 to shareholders by way of a buyback of 125,316 ordinary shares at a price of 346.8p per share.</t>
  </si>
  <si>
    <t>The company returned £114,700 to shareholders by way of a buyback of 20,000 ordinary shares at a price of 573.5p per share.</t>
  </si>
  <si>
    <t>The company returned £299,625 to shareholders by way of a buyback of 50,000 ordinary shares at a price of 599.25p per share.</t>
  </si>
  <si>
    <t>The company returned £149,838 to shareholders by way of a buyback of 25,141 ordinary shares at a price of 595.99p per share.</t>
  </si>
  <si>
    <t>The company returned £97,602 to shareholders by way of a buyback of 16,512 ordinary shares at a price of 591.1p per share.</t>
  </si>
  <si>
    <t>The company returned £142,985 to shareholders by way of a buyback of 25,085 ordinary shares at a price of 570.p per share.</t>
  </si>
  <si>
    <t>The company returned £431,543 to shareholders by way of a buyback of 74,783 ordinary shares at a price of 577.06p per share.</t>
  </si>
  <si>
    <t>The company returned £87,756 to shareholders by way of a buyback of 15,615 ordinary shares at a price of 562.p per share.</t>
  </si>
  <si>
    <t>The company returned £1,509,752 to shareholders by way of a buyback of 522,912 ordinary shares at a price of 288.72p per share.</t>
  </si>
  <si>
    <t>The company returned £328,935 to shareholders by way of a buyback of 115,000 ordinary shares at a price of 286.03p per share.</t>
  </si>
  <si>
    <t>The company returned £496,483 to shareholders by way of a buyback of 174,388 ordinary shares at a price of 284.7p per share.</t>
  </si>
  <si>
    <t>The company returned £526,960 to shareholders by way of a buyback of 188,604 ordinary shares at a price of 279.4p per share.</t>
  </si>
  <si>
    <t>The company returned £669,117 to shareholders by way of a buyback of 241,245 ordinary shares at a price of 277.36p per share.</t>
  </si>
  <si>
    <t>The company returned £353,198 to shareholders by way of a buyback of 128,170 ordinary shares at a price of 275.57p per share.</t>
  </si>
  <si>
    <t>The company returned £907,071 to shareholders by way of a buyback of 330,000 ordinary shares at a price of 274.87p per share.</t>
  </si>
  <si>
    <t>The company returned £381,397 to shareholders by way of a buyback of 139,196 ordinary shares at a price of 274.p per share.</t>
  </si>
  <si>
    <t>The company returned £52,375 to shareholders by way of a buyback of 18,908 ordinary shares at a price of 277.p per share.</t>
  </si>
  <si>
    <t>The company returned £913,679 to shareholders by way of a buyback of 335,295 ordinary shares at a price of 272.5p per share.</t>
  </si>
  <si>
    <t>The company returned £338,388 to shareholders by way of a buyback of 125,000 ordinary shares at a price of 270.71p per share.</t>
  </si>
  <si>
    <t>The company returned £594,937 to shareholders by way of a buyback of 228,120 ordinary shares at a price of 260.8p per share.</t>
  </si>
  <si>
    <t>The company returned £386,344 to shareholders by way of a buyback of 149,514 ordinary shares at a price of 258.4p per share.</t>
  </si>
  <si>
    <t>The company returned £785,657 to shareholders by way of a buyback of 306,144 ordinary shares at a price of 256.63p per share.</t>
  </si>
  <si>
    <t>The company returned £91,274 to shareholders by way of a buyback of 36,498 ordinary shares at a price of 250.08p per share.</t>
  </si>
  <si>
    <t>The company returned £255,378 to shareholders by way of a buyback of 103,025 ordinary shares at a price of 247.88p per share.</t>
  </si>
  <si>
    <t>The company returned £284,303 to shareholders by way of a buyback of 116,042 ordinary shares at a price of 245.p per share.</t>
  </si>
  <si>
    <t>The company returned £398,905 to shareholders by way of a buyback of 164,864 ordinary shares at a price of 241.96p per share.</t>
  </si>
  <si>
    <t>The company returned £2,252,595 to shareholders by way of a buyback of 150,000 ordinary shares at a price of 1,501.73p per share.</t>
  </si>
  <si>
    <t>The company returned £484,685 to shareholders by way of a buyback of 32,722 ordinary shares at a price of 1,481.22p per share.</t>
  </si>
  <si>
    <t>The company returned £1,897,545 to shareholders by way of a buyback of 135,761 ordinary shares at a price of 1,397.71p per share.</t>
  </si>
  <si>
    <t>The company returned £238,516 to shareholders by way of a buyback of 17,183 ordinary shares at a price of 1,388.09p per share.</t>
  </si>
  <si>
    <t>The company returned £1,892,409 to shareholders by way of a buyback of 137,755 ordinary shares at a price of 1,373.75p per share.</t>
  </si>
  <si>
    <t>The company returned £782,933 to shareholders by way of a buyback of 56,653 ordinary shares at a price of 1,381.98p per share.</t>
  </si>
  <si>
    <t>The company returned £1,364,422 to shareholders by way of a buyback of 93,000 ordinary shares at a price of 1,467.12p per share.</t>
  </si>
  <si>
    <t>The company returned £776,963 to shareholders by way of a buyback of 53,101 ordinary shares at a price of 1,463.18p per share.</t>
  </si>
  <si>
    <t>The company returned £445,672 to shareholders by way of a buyback of 30,032 ordinary shares at a price of 1,483.99p per share.</t>
  </si>
  <si>
    <t>The company returned £55,609 to shareholders by way of a buyback of 3,673 ordinary shares at a price of 1,513.99p per share.</t>
  </si>
  <si>
    <t>The company returned £914,196 to shareholders by way of a buyback of 60,000 ordinary shares at a price of 1,523.66p per share.</t>
  </si>
  <si>
    <t>The company returned £1,246,672 to shareholders by way of a buyback of 80,000 ordinary shares at a price of 1,558.34p per share.</t>
  </si>
  <si>
    <t>The company returned £645,823 to shareholders by way of a buyback of 42,725 ordinary shares at a price of 1,511.58p per share.</t>
  </si>
  <si>
    <t>The company returned £1,277,708 to shareholders by way of a buyback of 84,047 ordinary shares at a price of 1,520.23p per share.</t>
  </si>
  <si>
    <t>The company returned £1,540,040 to shareholders by way of a buyback of 100,000 ordinary shares at a price of 1,540.04p per share.</t>
  </si>
  <si>
    <t>The company returned £1,097,824 to shareholders by way of a buyback of 71,675 ordinary shares at a price of 1,531.67p per share.</t>
  </si>
  <si>
    <t>The company returned £1,513,171 to shareholders by way of a buyback of 362,662 ordinary shares at a price of 417.24p per share.</t>
  </si>
  <si>
    <t>The company returned £965,671 to shareholders by way of a buyback of 230,366 ordinary shares at a price of 419.19p per share.</t>
  </si>
  <si>
    <t>The company returned £1,655,548 to shareholders by way of a buyback of 400,000 ordinary shares at a price of 413.89p per share.</t>
  </si>
  <si>
    <t>The company returned £2,495,874 to shareholders by way of a buyback of 600,000 ordinary shares at a price of 415.98p per share.</t>
  </si>
  <si>
    <t>The company returned £210,000 to shareholders by way of a buyback of 50,000 ordinary shares at a price of 420.p per share.</t>
  </si>
  <si>
    <t>The company returned £680,478 to shareholders by way of a buyback of 160,000 ordinary shares at a price of 425.3p per share.</t>
  </si>
  <si>
    <t>The company returned £1,580,551 to shareholders by way of a buyback of 370,000 ordinary shares at a price of 427.18p per share.</t>
  </si>
  <si>
    <t>The company returned £2,381,283 to shareholders by way of a buyback of 555,000 ordinary shares at a price of 429.06p per share.</t>
  </si>
  <si>
    <t>The company returned £952,226 to shareholders by way of a buyback of 220,000 ordinary shares at a price of 432.83p per share.</t>
  </si>
  <si>
    <t>The company returned £1,944,806 to shareholders by way of a buyback of 450,000 ordinary shares at a price of 432.18p per share.</t>
  </si>
  <si>
    <t>The company returned £496,601 to shareholders by way of a buyback of 115,500 ordinary shares at a price of 429.96p per share.</t>
  </si>
  <si>
    <t>The company returned £489,900 to shareholders by way of a buyback of 115,000 ordinary shares at a price of 426.p per share.</t>
  </si>
  <si>
    <t>The company returned £1,277,973 to shareholders by way of a buyback of 300,000 ordinary shares at a price of 425.99p per share.</t>
  </si>
  <si>
    <t>The company returned £3,220,185 to shareholders by way of a buyback of 750,000 ordinary shares at a price of 429.36p per share.</t>
  </si>
  <si>
    <t>The company returned £427,000 to shareholders by way of a buyback of 100,000 ordinary shares at a price of 427.p per share.</t>
  </si>
  <si>
    <t>The company returned £1,065,481 to shareholders by way of a buyback of 140,877 ordinary shares at a price of 756.32p per share.</t>
  </si>
  <si>
    <t>The company returned £329,530 to shareholders by way of a buyback of 43,993 ordinary shares at a price of 749.05p per share.</t>
  </si>
  <si>
    <t>The company returned £1,330,753 to shareholders by way of a buyback of 175,000 ordinary shares at a price of 760.43p per share.</t>
  </si>
  <si>
    <t>The company returned £1,665,268 to shareholders by way of a buyback of 220,000 ordinary shares at a price of 756.94p per share.</t>
  </si>
  <si>
    <t>The company returned £1,599,276 to shareholders by way of a buyback of 210,000 ordinary shares at a price of 761.56p per share.</t>
  </si>
  <si>
    <t>The company returned £841,885 to shareholders by way of a buyback of 110,767 ordinary shares at a price of 760.05p per share.</t>
  </si>
  <si>
    <t>The company returned £376,480 to shareholders by way of a buyback of 50,000 ordinary shares at a price of 752.96p per share.</t>
  </si>
  <si>
    <t>The company returned £507,615 to shareholders by way of a buyback of 66,638 ordinary shares at a price of 761.75p per share.</t>
  </si>
  <si>
    <t>The company returned £542,857 to shareholders by way of a buyback of 71,484 ordinary shares at a price of 759.41p per share.</t>
  </si>
  <si>
    <t>The company returned £948,413 to shareholders by way of a buyback of 125,000 ordinary shares at a price of 758.73p per share.</t>
  </si>
  <si>
    <t>The company returned £977,301 to shareholders by way of a buyback of 130,000 ordinary shares at a price of 751.77p per share.</t>
  </si>
  <si>
    <t>The company returned £1,218,063 to shareholders by way of a buyback of 165,000 ordinary shares at a price of 738.22p per share.</t>
  </si>
  <si>
    <t>The company returned £1,140,351 to shareholders by way of a buyback of 155,000 ordinary shares at a price of 735.71p per share.</t>
  </si>
  <si>
    <t>The company returned £1,478,250 to shareholders by way of a buyback of 200,000 ordinary shares at a price of 739.13p per share.</t>
  </si>
  <si>
    <t>The company returned £1,109,162 to shareholders by way of a buyback of 148,789 ordinary shares at a price of 745.46p per share.</t>
  </si>
  <si>
    <t>The company returned £1,300,548 to shareholders by way of a buyback of 175,000 ordinary shares at a price of 743.17p per share.</t>
  </si>
  <si>
    <t>The company returned £255,859 to shareholders by way of a buyback of 34,410 ordinary shares at a price of 743.56p per share.</t>
  </si>
  <si>
    <t>The company returned £1,380,470 to shareholders by way of a buyback of 185,000 ordinary shares at a price of 746.2p per share.</t>
  </si>
  <si>
    <t>The company returned £8,561 to shareholders by way of a buyback of 12,290 ordinary shares at a price of 69.66p per share.</t>
  </si>
  <si>
    <t>The company returned £2,334 to shareholders by way of a buyback of 3,314 ordinary shares at a price of 70.43p per share.</t>
  </si>
  <si>
    <t>The company returned £13,023 to shareholders by way of a buyback of 18,322 ordinary shares at a price of 71.08p per share.</t>
  </si>
  <si>
    <t>The company returned £9,947 to shareholders by way of a buyback of 13,815 ordinary shares at a price of 72.p per share.</t>
  </si>
  <si>
    <t>The company returned £14,038 to shareholders by way of a buyback of 19,411 ordinary shares at a price of 72.32p per share.</t>
  </si>
  <si>
    <t>The company returned £10,234 to shareholders by way of a buyback of 14,420 ordinary shares at a price of 70.97p per share.</t>
  </si>
  <si>
    <t>The company returned £10,270 to shareholders by way of a buyback of 14,463 ordinary shares at a price of 71.01p per share.</t>
  </si>
  <si>
    <t>The company returned £10,080 to shareholders by way of a buyback of 13,927 ordinary shares at a price of 72.38p per share.</t>
  </si>
  <si>
    <t>The company returned £7,567 to shareholders by way of a buyback of 10,261 ordinary shares at a price of 73.75p per share.</t>
  </si>
  <si>
    <t>The company returned £11,009 to shareholders by way of a buyback of 14,928 ordinary shares at a price of 73.75p per share.</t>
  </si>
  <si>
    <t>The company returned £10,708 to shareholders by way of a buyback of 14,633 ordinary shares at a price of 73.18p per share.</t>
  </si>
  <si>
    <t>The company returned £10,815 to shareholders by way of a buyback of 14,994 ordinary shares at a price of 72.13p per share.</t>
  </si>
  <si>
    <t>The company returned £10,674 to shareholders by way of a buyback of 14,610 ordinary shares at a price of 73.06p per share.</t>
  </si>
  <si>
    <t>The company returned £9,157 to shareholders by way of a buyback of 12,408 ordinary shares at a price of 73.8p per share.</t>
  </si>
  <si>
    <t>The company returned £7,728 to shareholders by way of a buyback of 10,655 ordinary shares at a price of 72.53p per share.</t>
  </si>
  <si>
    <t>The company returned £10,121 to shareholders by way of a buyback of 14,071 ordinary shares at a price of 71.93p per share.</t>
  </si>
  <si>
    <t>The company returned £9,636 to shareholders by way of a buyback of 13,481 ordinary shares at a price of 71.48p per share.</t>
  </si>
  <si>
    <t>The company returned £9,918 to shareholders by way of a buyback of 13,863 ordinary shares at a price of 71.54p per share.</t>
  </si>
  <si>
    <t>The company returned £10,256 to shareholders by way of a buyback of 14,226 ordinary shares at a price of 72.09p per share.</t>
  </si>
  <si>
    <t>The company returned £7,473 to shareholders by way of a buyback of 10,347 ordinary shares at a price of 72.22p per share.</t>
  </si>
  <si>
    <t>The company returned £7,536 to shareholders by way of a buyback of 10,436 ordinary shares at a price of 72.21p per share.</t>
  </si>
  <si>
    <t>The company returned £260,567 to shareholders by way of a buyback of 340,388 ordinary shares at a price of 76.55p per share.</t>
  </si>
  <si>
    <t>The company returned £286,611 to shareholders by way of a buyback of 373,337 ordinary shares at a price of 76.77p per share.</t>
  </si>
  <si>
    <t>The company returned £218,776 to shareholders by way of a buyback of 285,311 ordinary shares at a price of 76.68p per share.</t>
  </si>
  <si>
    <t>The company returned £105,822 to shareholders by way of a buyback of 136,246 ordinary shares at a price of 77.67p per share.</t>
  </si>
  <si>
    <t>The company returned £313,519 to shareholders by way of a buyback of 402,981 ordinary shares at a price of 77.8p per share.</t>
  </si>
  <si>
    <t>The company returned £321,531 to shareholders by way of a buyback of 413,758 ordinary shares at a price of 77.71p per share.</t>
  </si>
  <si>
    <t>The company returned £236,437 to shareholders by way of a buyback of 303,787 ordinary shares at a price of 77.83p per share.</t>
  </si>
  <si>
    <t>The company returned £145,594 to shareholders by way of a buyback of 184,741 ordinary shares at a price of 78.81p per share.</t>
  </si>
  <si>
    <t>The company returned £219,140 to shareholders by way of a buyback of 276,308 ordinary shares at a price of 79.31p per share.</t>
  </si>
  <si>
    <t>The company returned £325,310 to shareholders by way of a buyback of 410,020 ordinary shares at a price of 79.34p per share.</t>
  </si>
  <si>
    <t>The company returned £176,844 to shareholders by way of a buyback of 225,826 ordinary shares at a price of 78.31p per share.</t>
  </si>
  <si>
    <t>The company returned £281,461 to shareholders by way of a buyback of 359,189 ordinary shares at a price of 78.36p per share.</t>
  </si>
  <si>
    <t>The company returned £206,334 to shareholders by way of a buyback of 262,345 ordinary shares at a price of 78.65p per share.</t>
  </si>
  <si>
    <t>The company returned £277,353 to shareholders by way of a buyback of 354,037 ordinary shares at a price of 78.34p per share.</t>
  </si>
  <si>
    <t>The company returned £297,707 to shareholders by way of a buyback of 378,089 ordinary shares at a price of 78.74p per share.</t>
  </si>
  <si>
    <t>The company returned £369,097 to shareholders by way of a buyback of 468,993 ordinary shares at a price of 78.7p per share.</t>
  </si>
  <si>
    <t>The company returned £240,280 to shareholders by way of a buyback of 303,729 ordinary shares at a price of 79.11p per share.</t>
  </si>
  <si>
    <t>The company returned £369,574 to shareholders by way of a buyback of 467,874 ordinary shares at a price of 78.99p per share.</t>
  </si>
  <si>
    <t>The company returned £122,393 to shareholders by way of a buyback of 155,341 ordinary shares at a price of 78.79p per share.</t>
  </si>
  <si>
    <t>The company returned £4,719,882 to shareholders by way of a buyback of 7,346,120 ordinary shares at a price of 64.25p per share.</t>
  </si>
  <si>
    <t>The company returned £17,163 to shareholders by way of a buyback of 27,033 ordinary shares at a price of 63.49p per share.</t>
  </si>
  <si>
    <t>The company returned £497,556 to shareholders by way of a buyback of 448,410 ordinary shares at a price of 110.96p per share.</t>
  </si>
  <si>
    <t>The company returned £416,327 to shareholders by way of a buyback of 372,752 ordinary shares at a price of 111.69p per share.</t>
  </si>
  <si>
    <t>The company returned £1,077,941 to shareholders by way of a buyback of 952,497 ordinary shares at a price of 113.17p per share.</t>
  </si>
  <si>
    <t>The company returned £101,988 to shareholders by way of a buyback of 90,000 ordinary shares at a price of 113.32p per share.</t>
  </si>
  <si>
    <t>The company returned £3,245,100 to shareholders by way of a buyback of 2,900,000 ordinary shares at a price of 111.9p per share.</t>
  </si>
  <si>
    <t>The company returned £204,260 to shareholders by way of a buyback of 200,000 ordinary shares at a price of 102.13p per share.</t>
  </si>
  <si>
    <t>The company returned £184,870 to shareholders by way of a buyback of 182,516 ordinary shares at a price of 101.29p per share.</t>
  </si>
  <si>
    <t>The company returned £193,259 to shareholders by way of a buyback of 199,216 ordinary shares at a price of 97.01p per share.</t>
  </si>
  <si>
    <t>The company returned £115,488 to shareholders by way of a buyback of 125,000 ordinary shares at a price of 92.39p per share.</t>
  </si>
  <si>
    <t>The company returned £81,699 to shareholders by way of a buyback of 87,500 ordinary shares at a price of 93.37p per share.</t>
  </si>
  <si>
    <t>The company returned £34,650 to shareholders by way of a buyback of 35,000 ordinary shares at a price of 99.p per share.</t>
  </si>
  <si>
    <t>The company returned £56,166 to shareholders by way of a buyback of 56,346 ordinary shares at a price of 99.68p per share.</t>
  </si>
  <si>
    <t>The company returned £108,124 to shareholders by way of a buyback of 108,113 ordinary shares at a price of 100.01p per share.</t>
  </si>
  <si>
    <t>The company returned £66,245 to shareholders by way of a buyback of 68,833 ordinary shares at a price of 96.24p per share.</t>
  </si>
  <si>
    <t>The company returned £21,983 to shareholders by way of a buyback of 22,234 ordinary shares at a price of 98.87p per share.</t>
  </si>
  <si>
    <t>The company returned £70,299 to shareholders by way of a buyback of 72,294 ordinary shares at a price of 97.24p per share.</t>
  </si>
  <si>
    <t>The company returned £111,171 to shareholders by way of a buyback of 116,862 ordinary shares at a price of 95.13p per share.</t>
  </si>
  <si>
    <t>The company returned £24,429 to shareholders by way of a buyback of 26,231 ordinary shares at a price of 93.13p per share.</t>
  </si>
  <si>
    <t>The company returned £69,710 to shareholders by way of a buyback of 75,599 ordinary shares at a price of 92.21p per share.</t>
  </si>
  <si>
    <t>The company returned £144,880 to shareholders by way of a buyback of 193,277 ordinary shares at a price of 64.8p per share.</t>
  </si>
  <si>
    <t>The company returned £176,404 to shareholders by way of a buyback of 233,000 ordinary shares at a price of 65.43p per share.</t>
  </si>
  <si>
    <t>The company returned £176,045 to shareholders by way of a buyback of 231,000 ordinary shares at a price of 65.86p per share.</t>
  </si>
  <si>
    <t>The company returned £141,790 to shareholders by way of a buyback of 182,979 ordinary shares at a price of 67.04p per share.</t>
  </si>
  <si>
    <t>The company returned £174,427 to shareholders by way of a buyback of 226,000 ordinary shares at a price of 66.64p per share.</t>
  </si>
  <si>
    <t>The company returned £162,974 to shareholders by way of a buyback of 211,271 ordinary shares at a price of 66.73p per share.</t>
  </si>
  <si>
    <t>The company returned £173,918 to shareholders by way of a buyback of 228,000 ordinary shares at a price of 65.83p per share.</t>
  </si>
  <si>
    <t>The company returned £174,197 to shareholders by way of a buyback of 231,000 ordinary shares at a price of 65.01p per share.</t>
  </si>
  <si>
    <t>The company returned £173,142 to shareholders by way of a buyback of 233,000 ordinary shares at a price of 64.22p per share.</t>
  </si>
  <si>
    <t>The company returned £174,716 to shareholders by way of a buyback of 237,000 ordinary shares at a price of 63.61p per share.</t>
  </si>
  <si>
    <t>The company returned £161,305 to shareholders by way of a buyback of 218,482 ordinary shares at a price of 63.76p per share.</t>
  </si>
  <si>
    <t>The company returned £147,097 to shareholders by way of a buyback of 200,514 ordinary shares at a price of 63.42p per share.</t>
  </si>
  <si>
    <t>The company returned £161,341 to shareholders by way of a buyback of 219,094 ordinary shares at a price of 63.72p per share.</t>
  </si>
  <si>
    <t>The company returned £168,714 to shareholders by way of a buyback of 224,653 ordinary shares at a price of 65.09p per share.</t>
  </si>
  <si>
    <t>The company returned £172,472 to shareholders by way of a buyback of 228,077 ordinary shares at a price of 65.55p per share.</t>
  </si>
  <si>
    <t>The company returned £168,037 to shareholders by way of a buyback of 221,831 ordinary shares at a price of 65.37p per share.</t>
  </si>
  <si>
    <t>The company returned £168,197 to shareholders by way of a buyback of 223,517 ordinary shares at a price of 64.88p per share.</t>
  </si>
  <si>
    <t>The company returned £159,777 to shareholders by way of a buyback of 215,217 ordinary shares at a price of 64.04p per share.</t>
  </si>
  <si>
    <t>The company returned £164,332 to shareholders by way of a buyback of 223,216 ordinary shares at a price of 63.42p per share.</t>
  </si>
  <si>
    <t>The company returned £164,547 to shareholders by way of a buyback of 226,868 ordinary shares at a price of 62.61p per share.</t>
  </si>
  <si>
    <t>The company returned £177,623 to shareholders by way of a buyback of 243,186 ordinary shares at a price of 62.98p per share.</t>
  </si>
  <si>
    <t>The company returned £127,550 to shareholders by way of a buyback of 125,000 ordinary shares at a price of 102.04p per share.</t>
  </si>
  <si>
    <t>The company returned £95,700 to shareholders by way of a buyback of 30,000 ordinary shares at a price of 319.p per share.</t>
  </si>
  <si>
    <t>The company returned £570,432 to shareholders by way of a buyback of 178,500 ordinary shares at a price of 319.57p per share.</t>
  </si>
  <si>
    <t>The company returned £57,690 to shareholders by way of a buyback of 18,000 ordinary shares at a price of 320.5p per share.</t>
  </si>
  <si>
    <t>The company returned £144,000 to shareholders by way of a buyback of 45,000 ordinary shares at a price of 320.p per share.</t>
  </si>
  <si>
    <t>The company returned £159,500 to shareholders by way of a buyback of 50,000 ordinary shares at a price of 319.p per share.</t>
  </si>
  <si>
    <t>The company returned £159,000 to shareholders by way of a buyback of 50,000 ordinary shares at a price of 318.p per share.</t>
  </si>
  <si>
    <t>The company returned £209,702 to shareholders by way of a buyback of 66,000 ordinary shares at a price of 317.73p per share.</t>
  </si>
  <si>
    <t>The company returned £427,950 to shareholders by way of a buyback of 135,000 ordinary shares at a price of 317.p per share.</t>
  </si>
  <si>
    <t>The company returned £225,400 to shareholders by way of a buyback of 70,000 ordinary shares at a price of 322.p per share.</t>
  </si>
  <si>
    <t>The company returned £1,177,600 to shareholders by way of a buyback of 368,000 ordinary shares at a price of 320.p per share.</t>
  </si>
  <si>
    <t>The company returned £528,000 to shareholders by way of a buyback of 165,000 ordinary shares at a price of 320.p per share.</t>
  </si>
  <si>
    <t>The company returned £240,000 to shareholders by way of a buyback of 75,000 ordinary shares at a price of 320.p per share.</t>
  </si>
  <si>
    <t>The company returned £492,922 to shareholders by way of a buyback of 14,500 ordinary shares at a price of 3,399.46p per share.</t>
  </si>
  <si>
    <t>The company returned £513,360 to shareholders by way of a buyback of 15,000 ordinary shares at a price of 3,422.4p per share.</t>
  </si>
  <si>
    <t>The company returned £521,575 to shareholders by way of a buyback of 15,500 ordinary shares at a price of 3,365.p per share.</t>
  </si>
  <si>
    <t>The company returned £600,110 to shareholders by way of a buyback of 17,500 ordinary shares at a price of 3,429.2p per share.</t>
  </si>
  <si>
    <t>The company returned £610,925 to shareholders by way of a buyback of 18,000 ordinary shares at a price of 3,394.03p per share.</t>
  </si>
  <si>
    <t>The company returned £677,800 to shareholders by way of a buyback of 20,000 ordinary shares at a price of 3,389.p per share.</t>
  </si>
  <si>
    <t>The company returned £673,500 to shareholders by way of a buyback of 20,000 ordinary shares at a price of 3,367.5p per share.</t>
  </si>
  <si>
    <t>The company returned £848,493 to shareholders by way of a buyback of 25,000 ordinary shares at a price of 3,393.97p per share.</t>
  </si>
  <si>
    <t>The company returned £507,732 to shareholders by way of a buyback of 15,000 ordinary shares at a price of 3,384.88p per share.</t>
  </si>
  <si>
    <t>The company returned £475,308 to shareholders by way of a buyback of 14,000 ordinary shares at a price of 3,395.06p per share.</t>
  </si>
  <si>
    <t>The company returned £338,531 to shareholders by way of a buyback of 10,000 ordinary shares at a price of 3,385.31p per share.</t>
  </si>
  <si>
    <t>The company returned £469,633 to shareholders by way of a buyback of 14,000 ordinary shares at a price of 3,354.52p per share.</t>
  </si>
  <si>
    <t>The company returned £399,144 to shareholders by way of a buyback of 12,000 ordinary shares at a price of 3,326.2p per share.</t>
  </si>
  <si>
    <t>The company returned £474,214 to shareholders by way of a buyback of 14,000 ordinary shares at a price of 3,387.24p per share.</t>
  </si>
  <si>
    <t>The company returned £439,010 to shareholders by way of a buyback of 13,000 ordinary shares at a price of 3,377.p per share.</t>
  </si>
  <si>
    <t>The company returned £451,548 to shareholders by way of a buyback of 13,500 ordinary shares at a price of 3,344.8p per share.</t>
  </si>
  <si>
    <t>The company returned £429,205 to shareholders by way of a buyback of 13,000 ordinary shares at a price of 3,301.58p per share.</t>
  </si>
  <si>
    <t>The company returned £430,083 to shareholders by way of a buyback of 13,000 ordinary shares at a price of 3,308.33p per share.</t>
  </si>
  <si>
    <t>The company returned £432,205 to shareholders by way of a buyback of 13,000 ordinary shares at a price of 3,324.65p per share.</t>
  </si>
  <si>
    <t>The company returned £468,696 to shareholders by way of a buyback of 14,000 ordinary shares at a price of 3,347.83p per share.</t>
  </si>
  <si>
    <t>The company returned £506,645 to shareholders by way of a buyback of 15,000 ordinary shares at a price of 3,377.63p per share.</t>
  </si>
  <si>
    <t>The company returned £316,491 to shareholders by way of a buyback of 35,116 ordinary shares at a price of 901.27p per share.</t>
  </si>
  <si>
    <t>The company returned £622,598 to shareholders by way of a buyback of 69,030 ordinary shares at a price of 901.92p per share.</t>
  </si>
  <si>
    <t>The company returned £89,343 to shareholders by way of a buyback of 10,000 ordinary shares at a price of 893.43p per share.</t>
  </si>
  <si>
    <t>The company returned £334,856 to shareholders by way of a buyback of 38,110 ordinary shares at a price of 878.66p per share.</t>
  </si>
  <si>
    <t>The company returned £227,250 to shareholders by way of a buyback of 25,000 ordinary shares at a price of 909.p per share.</t>
  </si>
  <si>
    <t>The company returned £718,254 to shareholders by way of a buyback of 80,127 ordinary shares at a price of 896.39p per share.</t>
  </si>
  <si>
    <t>The company returned £449,575 to shareholders by way of a buyback of 50,000 ordinary shares at a price of 899.15p per share.</t>
  </si>
  <si>
    <t>The company returned £1,347,414 to shareholders by way of a buyback of 150,000 ordinary shares at a price of 898.28p per share.</t>
  </si>
  <si>
    <t>The company returned £441,750 to shareholders by way of a buyback of 50,000 ordinary shares at a price of 883.5p per share.</t>
  </si>
  <si>
    <t>The company returned £1,341,500 to shareholders by way of a buyback of 150,000 ordinary shares at a price of 894.33p per share.</t>
  </si>
  <si>
    <t>The company returned £386,310 to shareholders by way of a buyback of 43,500 ordinary shares at a price of 888.07p per share.</t>
  </si>
  <si>
    <t>The company returned £195,255 to shareholders by way of a buyback of 21,757 ordinary shares at a price of 897.43p per share.</t>
  </si>
  <si>
    <t>The company returned £1,336,590 to shareholders by way of a buyback of 1,000,000 ordinary shares at a price of 133.66p per share.</t>
  </si>
  <si>
    <t>The company returned £1,988,925 to shareholders by way of a buyback of 1,500,000 ordinary shares at a price of 132.6p per share.</t>
  </si>
  <si>
    <t>The company returned £1,994,490 to shareholders by way of a buyback of 1,500,000 ordinary shares at a price of 132.97p per share.</t>
  </si>
  <si>
    <t>The company returned £210,600 to shareholders by way of a buyback of 15,000 ordinary shares at a price of 1,404.p per share.</t>
  </si>
  <si>
    <t>The company returned £460,040 to shareholders by way of a buyback of 100,000 ordinary shares at a price of 460.04p per share.</t>
  </si>
  <si>
    <t>The company returned £469,980 to shareholders by way of a buyback of 100,000 ordinary shares at a price of 469.98p per share.</t>
  </si>
  <si>
    <t>The company returned £468,990 to shareholders by way of a buyback of 100,000 ordinary shares at a price of 468.99p per share.</t>
  </si>
  <si>
    <t>The company returned £464,570 to shareholders by way of a buyback of 100,000 ordinary shares at a price of 464.57p per share.</t>
  </si>
  <si>
    <t>The company returned £258,064 to shareholders by way of a buyback of 56,046 ordinary shares at a price of 460.45p per share.</t>
  </si>
  <si>
    <t>The company returned £461,360 to shareholders by way of a buyback of 100,000 ordinary shares at a price of 461.36p per share.</t>
  </si>
  <si>
    <t>The company returned £570,900 to shareholders by way of a buyback of 125,000 ordinary shares at a price of 456.72p per share.</t>
  </si>
  <si>
    <t>The company returned £233,619 to shareholders by way of a buyback of 51,053 ordinary shares at a price of 457.6p per share.</t>
  </si>
  <si>
    <t>The company returned £584,788 to shareholders by way of a buyback of 125,000 ordinary shares at a price of 467.83p per share.</t>
  </si>
  <si>
    <t>The company returned £586,738 to shareholders by way of a buyback of 125,000 ordinary shares at a price of 469.39p per share.</t>
  </si>
  <si>
    <t>The company returned £158,925 to shareholders by way of a buyback of 100,000 ordinary shares at a price of 158.93p per share.</t>
  </si>
  <si>
    <t>The company returned £47,400 to shareholders by way of a buyback of 30,000 ordinary shares at a price of 158.p per share.</t>
  </si>
  <si>
    <t>The company returned £79,750 to shareholders by way of a buyback of 50,000 ordinary shares at a price of 159.5p per share.</t>
  </si>
  <si>
    <t>The company returned £40,000 to shareholders by way of a buyback of 25,000 ordinary shares at a price of 160.p per share.</t>
  </si>
  <si>
    <t>The company returned £129,375 to shareholders by way of a buyback of 75,000 ordinary shares at a price of 172.5p per share.</t>
  </si>
  <si>
    <t>The company returned £86,750 to shareholders by way of a buyback of 50,000 ordinary shares at a price of 173.5p per share.</t>
  </si>
  <si>
    <t>The company returned £204,450 to shareholders by way of a buyback of 150,000 ordinary shares at a price of 136.3p per share.</t>
  </si>
  <si>
    <t>The company returned £203,700 to shareholders by way of a buyback of 150,000 ordinary shares at a price of 135.8p per share.</t>
  </si>
  <si>
    <t>The company returned £204,000 to shareholders by way of a buyback of 150,000 ordinary shares at a price of 136.p per share.</t>
  </si>
  <si>
    <t>The company returned £205,500 to shareholders by way of a buyback of 150,000 ordinary shares at a price of 137.p per share.</t>
  </si>
  <si>
    <t>The company returned £206,400 to shareholders by way of a buyback of 150,000 ordinary shares at a price of 137.6p per share.</t>
  </si>
  <si>
    <t>The company returned £208,050 to shareholders by way of a buyback of 150,000 ordinary shares at a price of 138.7p per share.</t>
  </si>
  <si>
    <t>The company returned £126,747 to shareholders by way of a buyback of 91,779 ordinary shares at a price of 138.1p per share.</t>
  </si>
  <si>
    <t>The company returned £209,550 to shareholders by way of a buyback of 150,000 ordinary shares at a price of 139.7p per share.</t>
  </si>
  <si>
    <t>The company returned £211,500 to shareholders by way of a buyback of 150,000 ordinary shares at a price of 141.p per share.</t>
  </si>
  <si>
    <t>The company returned £249,000 to shareholders by way of a buyback of 50,000 ordinary shares at a price of 498.p per share.</t>
  </si>
  <si>
    <t>The company returned £506,000 to shareholders by way of a buyback of 100,000 ordinary shares at a price of 506.p per share.</t>
  </si>
  <si>
    <t>The company returned £628,750 to shareholders by way of a buyback of 125,000 ordinary shares at a price of 503.p per share.</t>
  </si>
  <si>
    <t>The company returned £486,000 to shareholders by way of a buyback of 100,000 ordinary shares at a price of 486.p per share.</t>
  </si>
  <si>
    <t>The company returned £477,500 to shareholders by way of a buyback of 100,000 ordinary shares at a price of 477.5p per share.</t>
  </si>
  <si>
    <t>The company returned £477,000 to shareholders by way of a buyback of 100,000 ordinary shares at a price of 477.p per share.</t>
  </si>
  <si>
    <t>The company returned £369,000 to shareholders by way of a buyback of 75,000 ordinary shares at a price of 492.p per share.</t>
  </si>
  <si>
    <t>The company returned £501,000 to shareholders by way of a buyback of 100,000 ordinary shares at a price of 501.p per share.</t>
  </si>
  <si>
    <t>The company returned £631,250 to shareholders by way of a buyback of 125,000 ordinary shares at a price of 505.p per share.</t>
  </si>
  <si>
    <t>The company returned £641,250 to shareholders by way of a buyback of 125,000 ordinary shares at a price of 513.p per share.</t>
  </si>
  <si>
    <t>The company returned £384,594 to shareholders by way of a buyback of 75,000 ordinary shares at a price of 512.79p per share.</t>
  </si>
  <si>
    <t>The company returned £247,500 to shareholders by way of a buyback of 50,000 ordinary shares at a price of 495.p per share.</t>
  </si>
  <si>
    <t>The company returned £618,750 to shareholders by way of a buyback of 125,000 ordinary shares at a price of 495.p per share.</t>
  </si>
  <si>
    <t>The company returned £555,910 to shareholders by way of a buyback of 45,591 ordinary shares at a price of 1,219.34p per share.</t>
  </si>
  <si>
    <t>The company returned £724,002 to shareholders by way of a buyback of 60,000 ordinary shares at a price of 1,206.67p per share.</t>
  </si>
  <si>
    <t>The company returned £363,351 to shareholders by way of a buyback of 30,000 ordinary shares at a price of 1,211.17p per share.</t>
  </si>
  <si>
    <t>The company returned £908,100 to shareholders by way of a buyback of 75,000 ordinary shares at a price of 1,210.8p per share.</t>
  </si>
  <si>
    <t>The company returned £282,370 to shareholders by way of a buyback of 100,000 ordinary shares at a price of 282.37p per share.</t>
  </si>
  <si>
    <t>The company returned £287,530 to shareholders by way of a buyback of 100,000 ordinary shares at a price of 287.53p per share.</t>
  </si>
  <si>
    <t>The company returned £284,490 to shareholders by way of a buyback of 100,000 ordinary shares at a price of 284.49p per share.</t>
  </si>
  <si>
    <t>The company returned £278,000 to shareholders by way of a buyback of 100,000 ordinary shares at a price of 278.p per share.</t>
  </si>
  <si>
    <t>The company returned £104,234 to shareholders by way of a buyback of 38,000 ordinary shares at a price of 274.3p per share.</t>
  </si>
  <si>
    <t>The company returned £273,360 to shareholders by way of a buyback of 100,000 ordinary shares at a price of 273.36p per share.</t>
  </si>
  <si>
    <t>The company returned £245,351 to shareholders by way of a buyback of 89,708 ordinary shares at a price of 273.5p per share.</t>
  </si>
  <si>
    <t>The company returned £265,311 to shareholders by way of a buyback of 98,002 ordinary shares at a price of 270.72p per share.</t>
  </si>
  <si>
    <t>The company returned £272,830 to shareholders by way of a buyback of 100,000 ordinary shares at a price of 272.83p per share.</t>
  </si>
  <si>
    <t>The company returned £474,536 to shareholders by way of a buyback of 292,400 ordinary shares at a price of 162.29p per share.</t>
  </si>
  <si>
    <t>The company returned £1,167,452 to shareholders by way of a buyback of 674,356 ordinary shares at a price of 173.12p per share.</t>
  </si>
  <si>
    <t>The company returned £895,160 to shareholders by way of a buyback of 508,100 ordinary shares at a price of 176.18p per share.</t>
  </si>
  <si>
    <t>The company returned £344,829 to shareholders by way of a buyback of 195,900 ordinary shares at a price of 176.02p per share.</t>
  </si>
  <si>
    <t>The company returned £153,453 to shareholders by way of a buyback of 85,998 ordinary shares at a price of 178.44p per share.</t>
  </si>
  <si>
    <t>The company returned £129,150 to shareholders by way of a buyback of 75,000 ordinary shares at a price of 172.2p per share.</t>
  </si>
  <si>
    <t>The company returned £390,599 to shareholders by way of a buyback of 225,376 ordinary shares at a price of 173.31p per share.</t>
  </si>
  <si>
    <t>The company returned £330,638 to shareholders by way of a buyback of 191,552 ordinary shares at a price of 172.61p per share.</t>
  </si>
  <si>
    <t>The company returned £118,534 to shareholders by way of a buyback of 18,426 ordinary shares at a price of 643.3p per share.</t>
  </si>
  <si>
    <t>The company returned £459,783 to shareholders by way of a buyback of 72,319 ordinary shares at a price of 635.77p per share.</t>
  </si>
  <si>
    <t>The company returned £195,340 to shareholders by way of a buyback of 30,131 ordinary shares at a price of 648.3p per share.</t>
  </si>
  <si>
    <t>The company returned £157,686 to shareholders by way of a buyback of 23,915 ordinary shares at a price of 659.36p per share.</t>
  </si>
  <si>
    <t>The company returned £432,515 to shareholders by way of a buyback of 65,571 ordinary shares at a price of 659.61p per share.</t>
  </si>
  <si>
    <t>The company returned £307,922 to shareholders by way of a buyback of 46,476 ordinary shares at a price of 662.54p per share.</t>
  </si>
  <si>
    <t>The company returned £658,217 to shareholders by way of a buyback of 99,999 ordinary shares at a price of 658.22p per share.</t>
  </si>
  <si>
    <t>The company returned £603,287 to shareholders by way of a buyback of 92,854 ordinary shares at a price of 649.72p per share.</t>
  </si>
  <si>
    <t>The company returned £579,529 to shareholders by way of a buyback of 89,590 ordinary shares at a price of 646.87p per share.</t>
  </si>
  <si>
    <t>The company returned £643,664 to shareholders by way of a buyback of 99,422 ordinary shares at a price of 647.41p per share.</t>
  </si>
  <si>
    <t>The company returned £596,141 to shareholders by way of a buyback of 93,085 ordinary shares at a price of 640.43p per share.</t>
  </si>
  <si>
    <t>The company returned £312,169 to shareholders by way of a buyback of 48,606 ordinary shares at a price of 642.24p per share.</t>
  </si>
  <si>
    <t>The company returned £339,918 to shareholders by way of a buyback of 162,167 ordinary shares at a price of 209.61p per share.</t>
  </si>
  <si>
    <t>The company returned £528,351 to shareholders by way of a buyback of 245,916 ordinary shares at a price of 214.85p per share.</t>
  </si>
  <si>
    <t>The company returned £522,500 to shareholders by way of a buyback of 250,000 ordinary shares at a price of 209.p per share.</t>
  </si>
  <si>
    <t>The company returned £834,480 to shareholders by way of a buyback of 400,000 ordinary shares at a price of 208.62p per share.</t>
  </si>
  <si>
    <t>The company returned £83,910 to shareholders by way of a buyback of 10,000 ordinary shares at a price of 839.1p per share.</t>
  </si>
  <si>
    <t>The company returned £83,154 to shareholders by way of a buyback of 10,000 ordinary shares at a price of 831.54p per share.</t>
  </si>
  <si>
    <t>The company returned £82,981 to shareholders by way of a buyback of 10,000 ordinary shares at a price of 829.81p per share.</t>
  </si>
  <si>
    <t>The company returned £81,665 to shareholders by way of a buyback of 10,000 ordinary shares at a price of 816.65p per share.</t>
  </si>
  <si>
    <t>The company returned £82,326 to shareholders by way of a buyback of 10,000 ordinary shares at a price of 823.26p per share.</t>
  </si>
  <si>
    <t>The company returned £82,645 to shareholders by way of a buyback of 10,000 ordinary shares at a price of 826.45p per share.</t>
  </si>
  <si>
    <t>The company returned £82,757 to shareholders by way of a buyback of 10,000 ordinary shares at a price of 827.57p per share.</t>
  </si>
  <si>
    <t>The company returned £83,974 to shareholders by way of a buyback of 10,000 ordinary shares at a price of 839.74p per share.</t>
  </si>
  <si>
    <t>The company returned £86,838 to shareholders by way of a buyback of 10,000 ordinary shares at a price of 868.38p per share.</t>
  </si>
  <si>
    <t>The company returned £157,817 to shareholders by way of a buyback of 18,260 ordinary shares at a price of 864.28p per share.</t>
  </si>
  <si>
    <t>The company returned £87,410 to shareholders by way of a buyback of 10,000 ordinary shares at a price of 874.1p per share.</t>
  </si>
  <si>
    <t>The company returned £86,271 to shareholders by way of a buyback of 10,000 ordinary shares at a price of 862.71p per share.</t>
  </si>
  <si>
    <t>The company returned £87,562 to shareholders by way of a buyback of 10,000 ordinary shares at a price of 875.62p per share.</t>
  </si>
  <si>
    <t>The company returned £118,174 to shareholders by way of a buyback of 13,437 ordinary shares at a price of 879.47p per share.</t>
  </si>
  <si>
    <t>The company returned £88,777 to shareholders by way of a buyback of 10,000 ordinary shares at a price of 887.77p per share.</t>
  </si>
  <si>
    <t>The company returned £22,903 to shareholders by way of a buyback of 2,592 ordinary shares at a price of 883.6p per share.</t>
  </si>
  <si>
    <t>The company returned £402,500 to shareholders by way of a buyback of 50,000 ordinary shares at a price of 805.p per share.</t>
  </si>
  <si>
    <t>The company returned £398,000 to shareholders by way of a buyback of 50,000 ordinary shares at a price of 796.p per share.</t>
  </si>
  <si>
    <t>The company returned £982,500 to shareholders by way of a buyback of 125,000 ordinary shares at a price of 786.p per share.</t>
  </si>
  <si>
    <t>The company returned £956,250 to shareholders by way of a buyback of 125,000 ordinary shares at a price of 765.p per share.</t>
  </si>
  <si>
    <t>The company returned £1,140,000 to shareholders by way of a buyback of 150,000 ordinary shares at a price of 760.p per share.</t>
  </si>
  <si>
    <t>The company returned £1,159,500 to shareholders by way of a buyback of 150,000 ordinary shares at a price of 773.p per share.</t>
  </si>
  <si>
    <t>The company returned £1,185,000 to shareholders by way of a buyback of 150,000 ordinary shares at a price of 790.p per share.</t>
  </si>
  <si>
    <t>The company returned £1,200,000 to shareholders by way of a buyback of 150,000 ordinary shares at a price of 800.p per share.</t>
  </si>
  <si>
    <t>The company returned £1,219,500 to shareholders by way of a buyback of 150,000 ordinary shares at a price of 813.p per share.</t>
  </si>
  <si>
    <t>The company returned £1,043,750 to shareholders by way of a buyback of 125,000 ordinary shares at a price of 835.p per share.</t>
  </si>
  <si>
    <t>The company returned £1,252,500 to shareholders by way of a buyback of 150,000 ordinary shares at a price of 835.p per share.</t>
  </si>
  <si>
    <t>The company returned £833,000 to shareholders by way of a buyback of 100,000 ordinary shares at a price of 833.p per share.</t>
  </si>
  <si>
    <t>The company returned £1,013,300 to shareholders by way of a buyback of 125,000 ordinary shares at a price of 810.64p per share.</t>
  </si>
  <si>
    <t>The company returned £1,214,138 to shareholders by way of a buyback of 150,000 ordinary shares at a price of 809.43p per share.</t>
  </si>
  <si>
    <t>The company returned £486,333 to shareholders by way of a buyback of 150,000 ordinary shares at a price of 324.22p per share.</t>
  </si>
  <si>
    <t>The company returned £487,580 to shareholders by way of a buyback of 150,000 ordinary shares at a price of 325.05p per share.</t>
  </si>
  <si>
    <t>The company returned £484,797 to shareholders by way of a buyback of 150,000 ordinary shares at a price of 323.2p per share.</t>
  </si>
  <si>
    <t>The company returned £161,250 to shareholders by way of a buyback of 50,000 ordinary shares at a price of 322.5p per share.</t>
  </si>
  <si>
    <t>The company returned £162,115 to shareholders by way of a buyback of 50,000 ordinary shares at a price of 324.23p per share.</t>
  </si>
  <si>
    <t>The company returned £336,337 to shareholders by way of a buyback of 105,000 ordinary shares at a price of 320.32p per share.</t>
  </si>
  <si>
    <t>The company returned £316,000 to shareholders by way of a buyback of 100,000 ordinary shares at a price of 316.p per share.</t>
  </si>
  <si>
    <t>The company returned £402,271 to shareholders by way of a buyback of 125,000 ordinary shares at a price of 321.82p per share.</t>
  </si>
  <si>
    <t>The company returned £164,500 to shareholders by way of a buyback of 50,000 ordinary shares at a price of 329.p per share.</t>
  </si>
  <si>
    <t>The company returned £377,292 to shareholders by way of a buyback of 115,000 ordinary shares at a price of 328.08p per share.</t>
  </si>
  <si>
    <t>The company returned £410,908 to shareholders by way of a buyback of 125,000 ordinary shares at a price of 328.73p per share.</t>
  </si>
  <si>
    <t>The company returned £279,350 to shareholders by way of a buyback of 85,000 ordinary shares at a price of 328.65p per share.</t>
  </si>
  <si>
    <t>The company returned £243,809 to shareholders by way of a buyback of 75,000 ordinary shares at a price of 325.08p per share.</t>
  </si>
  <si>
    <t>The company returned £368,388 to shareholders by way of a buyback of 115,000 ordinary shares at a price of 320.34p per share.</t>
  </si>
  <si>
    <t>The company returned £486,876 to shareholders by way of a buyback of 150,000 ordinary shares at a price of 324.58p per share.</t>
  </si>
  <si>
    <t>The company returned £162,750 to shareholders by way of a buyback of 50,000 ordinary shares at a price of 325.5p per share.</t>
  </si>
  <si>
    <t>The company returned £105,434 to shareholders by way of a buyback of 25,000 ordinary shares at a price of 421.73p per share.</t>
  </si>
  <si>
    <t>The company returned £84,225 to shareholders by way of a buyback of 20,000 ordinary shares at a price of 421.13p per share.</t>
  </si>
  <si>
    <t>The company returned £126,521 to shareholders by way of a buyback of 30,000 ordinary shares at a price of 421.74p per share.</t>
  </si>
  <si>
    <t>The company returned £84,544 to shareholders by way of a buyback of 20,000 ordinary shares at a price of 422.72p per share.</t>
  </si>
  <si>
    <t>The company returned £84,320 to shareholders by way of a buyback of 20,000 ordinary shares at a price of 421.6p per share.</t>
  </si>
  <si>
    <t>The company returned £105,500 to shareholders by way of a buyback of 25,000 ordinary shares at a price of 422.p per share.</t>
  </si>
  <si>
    <t>The company returned £83,910 to shareholders by way of a buyback of 20,000 ordinary shares at a price of 419.55p per share.</t>
  </si>
  <si>
    <t>The company returned £105,281 to shareholders by way of a buyback of 25,000 ordinary shares at a price of 421.13p per share.</t>
  </si>
  <si>
    <t>The company returned £62,993 to shareholders by way of a buyback of 15,000 ordinary shares at a price of 419.96p per share.</t>
  </si>
  <si>
    <t>The company returned £169,610 to shareholders by way of a buyback of 40,000 ordinary shares at a price of 424.03p per share.</t>
  </si>
  <si>
    <t>The company returned £85,614 to shareholders by way of a buyback of 20,000 ordinary shares at a price of 428.07p per share.</t>
  </si>
  <si>
    <t>The company returned £128,552 to shareholders by way of a buyback of 30,000 ordinary shares at a price of 428.51p per share.</t>
  </si>
  <si>
    <t>The company returned £78,030 to shareholders by way of a buyback of 18,000 ordinary shares at a price of 433.5p per share.</t>
  </si>
  <si>
    <t>The company returned £217,246 to shareholders by way of a buyback of 50,000 ordinary shares at a price of 434.49p per share.</t>
  </si>
  <si>
    <t>The company returned £172,443 to shareholders by way of a buyback of 40,000 ordinary shares at a price of 431.11p per share.</t>
  </si>
  <si>
    <t>The company returned £174,982 to shareholders by way of a buyback of 40,000 ordinary shares at a price of 437.45p per share.</t>
  </si>
  <si>
    <t>The company returned £175,428 to shareholders by way of a buyback of 40,000 ordinary shares at a price of 438.57p per share.</t>
  </si>
  <si>
    <t>The company returned £175,703 to shareholders by way of a buyback of 40,000 ordinary shares at a price of 439.26p per share.</t>
  </si>
  <si>
    <t>The company returned £177,508 to shareholders by way of a buyback of 40,000 ordinary shares at a price of 443.77p per share.</t>
  </si>
  <si>
    <t>The company returned £197,788 to shareholders by way of a buyback of 111,430 ordinary shares at a price of 132.1p per share.</t>
  </si>
  <si>
    <t>The company returned £478,508 to shareholders by way of a buyback of 269,582 ordinary shares at a price of 135.02p per share.</t>
  </si>
  <si>
    <t>The company returned £1,335,000 to shareholders by way of a buyback of 500,000 ordinary shares at a price of 267.p per share.</t>
  </si>
  <si>
    <t>The company returned £1,329,950 to shareholders by way of a buyback of 500,000 ordinary shares at a price of 265.99p per share.</t>
  </si>
  <si>
    <t>The company returned £1,149,220 to shareholders by way of a buyback of 431,940 ordinary shares at a price of 266.06p per share.</t>
  </si>
  <si>
    <t>The company returned £217,990 to shareholders by way of a buyback of 82,572 ordinary shares at a price of 264.p per share.</t>
  </si>
  <si>
    <t>The company returned £539,555 to shareholders by way of a buyback of 200,578 ordinary shares at a price of 269.p per share.</t>
  </si>
  <si>
    <t>The company returned £1,149,035 to shareholders by way of a buyback of 426,184 ordinary shares at a price of 269.61p per share.</t>
  </si>
  <si>
    <t>The company returned £1,343,550 to shareholders by way of a buyback of 500,000 ordinary shares at a price of 268.71p per share.</t>
  </si>
  <si>
    <t>The company returned £1,335,550 to shareholders by way of a buyback of 500,000 ordinary shares at a price of 267.11p per share.</t>
  </si>
  <si>
    <t>The company returned £1,333,500 to shareholders by way of a buyback of 500,000 ordinary shares at a price of 266.7p per share.</t>
  </si>
  <si>
    <t>The company returned £1,328,750 to shareholders by way of a buyback of 500,000 ordinary shares at a price of 265.75p per share.</t>
  </si>
  <si>
    <t>The company returned £1,336,850 to shareholders by way of a buyback of 500,000 ordinary shares at a price of 267.37p per share.</t>
  </si>
  <si>
    <t>The company returned £1,341,600 to shareholders by way of a buyback of 500,000 ordinary shares at a price of 268.32p per share.</t>
  </si>
  <si>
    <t>The company returned £226,950 to shareholders by way of a buyback of 30,000 ordinary shares at a price of 756.5p per share.</t>
  </si>
  <si>
    <t>The company returned £410,850 to shareholders by way of a buyback of 55,000 ordinary shares at a price of 747.p per share.</t>
  </si>
  <si>
    <t>The company returned £244,400 to shareholders by way of a buyback of 32,500 ordinary shares at a price of 752.p per share.</t>
  </si>
  <si>
    <t>The company returned £149,600 to shareholders by way of a buyback of 20,000 ordinary shares at a price of 748.p per share.</t>
  </si>
  <si>
    <t>The company returned £670,900 to shareholders by way of a buyback of 90,000 ordinary shares at a price of 745.44p per share.</t>
  </si>
  <si>
    <t>The company returned £1,047,250 to shareholders by way of a buyback of 142,000 ordinary shares at a price of 737.5p per share.</t>
  </si>
  <si>
    <t>The company returned £562,500 to shareholders by way of a buyback of 75,000 ordinary shares at a price of 750.p per share.</t>
  </si>
  <si>
    <t>The company returned £225,000 to shareholders by way of a buyback of 30,000 ordinary shares at a price of 750.p per share.</t>
  </si>
  <si>
    <t>The company returned £188,500 to shareholders by way of a buyback of 25,000 ordinary shares at a price of 754.p per share.</t>
  </si>
  <si>
    <t>The company returned £634,975 to shareholders by way of a buyback of 85,000 ordinary shares at a price of 747.03p per share.</t>
  </si>
  <si>
    <t>The company returned £666,450 to shareholders by way of a buyback of 90,000 ordinary shares at a price of 740.5p per share.</t>
  </si>
  <si>
    <t>The company returned £442,800 to shareholders by way of a buyback of 60,000 ordinary shares at a price of 738.p per share.</t>
  </si>
  <si>
    <t>The company returned £371,750 to shareholders by way of a buyback of 50,000 ordinary shares at a price of 743.5p per share.</t>
  </si>
  <si>
    <t>The company returned £219,000 to shareholders by way of a buyback of 30,000 ordinary shares at a price of 730.p per share.</t>
  </si>
  <si>
    <t>The company returned £1,566,600 to shareholders by way of a buyback of 210,000 ordinary shares at a price of 746.p per share.</t>
  </si>
  <si>
    <t>The company returned £89,721 to shareholders by way of a buyback of 15,000 ordinary shares at a price of 598.14p per share.</t>
  </si>
  <si>
    <t>The company returned £86,929 to shareholders by way of a buyback of 15,000 ordinary shares at a price of 579.53p per share.</t>
  </si>
  <si>
    <t>The company returned £87,129 to shareholders by way of a buyback of 15,000 ordinary shares at a price of 580.86p per share.</t>
  </si>
  <si>
    <t>The company returned £88,458 to shareholders by way of a buyback of 15,000 ordinary shares at a price of 589.72p per share.</t>
  </si>
  <si>
    <t>The company returned £85,284 to shareholders by way of a buyback of 15,000 ordinary shares at a price of 568.56p per share.</t>
  </si>
  <si>
    <t>The company returned £169,144 to shareholders by way of a buyback of 30,000 ordinary shares at a price of 563.81p per share.</t>
  </si>
  <si>
    <t>The company returned £175,887 to shareholders by way of a buyback of 30,000 ordinary shares at a price of 586.29p per share.</t>
  </si>
  <si>
    <t>The company returned £169,432 to shareholders by way of a buyback of 30,000 ordinary shares at a price of 564.77p per share.</t>
  </si>
  <si>
    <t>The company returned £3,996,975 to shareholders by way of a buyback of 250,000 ordinary shares at a price of 1,598.79p per share.</t>
  </si>
  <si>
    <t>The company returned £1,593,860 to shareholders by way of a buyback of 100,000 ordinary shares at a price of 1,593.86p per share.</t>
  </si>
  <si>
    <t>The company returned £6,322,880 to shareholders by way of a buyback of 400,000 ordinary shares at a price of 1,580.72p per share.</t>
  </si>
  <si>
    <t>The company returned £402,500 to shareholders by way of a buyback of 25,000 ordinary shares at a price of 1,610.p per share.</t>
  </si>
  <si>
    <t>The company returned £488,400 to shareholders by way of a buyback of 30,000 ordinary shares at a price of 1,628.p per share.</t>
  </si>
  <si>
    <t>The company returned £6,248,032 to shareholders by way of a buyback of 383,000 ordinary shares at a price of 1,631.34p per share.</t>
  </si>
  <si>
    <t>The company returned £6,539,040 to shareholders by way of a buyback of 400,000 ordinary shares at a price of 1,634.76p per share.</t>
  </si>
  <si>
    <t>The company returned £5,121,293 to shareholders by way of a buyback of 310,000 ordinary shares at a price of 1,652.03p per share.</t>
  </si>
  <si>
    <t>The company returned £2,425,515 to shareholders by way of a buyback of 150,000 ordinary shares at a price of 1,617.01p per share.</t>
  </si>
  <si>
    <t>The company returned £1,058,265 to shareholders by way of a buyback of 65,000 ordinary shares at a price of 1,628.1p per share.</t>
  </si>
  <si>
    <t>The company returned £3,248,240 to shareholders by way of a buyback of 200,000 ordinary shares at a price of 1,624.12p per share.</t>
  </si>
  <si>
    <t>The company returned £1,749,384 to shareholders by way of a buyback of 108,000 ordinary shares at a price of 1,619.8p per share.</t>
  </si>
  <si>
    <t>The company returned £83,970 to shareholders by way of a buyback of 45,000 ordinary shares at a price of 186.6p per share.</t>
  </si>
  <si>
    <t>The company returned £223,248 to shareholders by way of a buyback of 120,000 ordinary shares at a price of 186.04p per share.</t>
  </si>
  <si>
    <t>The company returned £92,885 to shareholders by way of a buyback of 50,000 ordinary shares at a price of 185.77p per share.</t>
  </si>
  <si>
    <t>The company returned £85,166 to shareholders by way of a buyback of 45,929 ordinary shares at a price of 185.43p per share.</t>
  </si>
  <si>
    <t>The company returned £166,142 to shareholders by way of a buyback of 89,719 ordinary shares at a price of 185.18p per share.</t>
  </si>
  <si>
    <t>The company returned £196,257 to shareholders by way of a buyback of 107,908 ordinary shares at a price of 181.87p per share.</t>
  </si>
  <si>
    <t>The company returned £64,366 to shareholders by way of a buyback of 35,240 ordinary shares at a price of 182.65p per share.</t>
  </si>
  <si>
    <t>The company returned £65,444 to shareholders by way of a buyback of 36,682 ordinary shares at a price of 178.41p per share.</t>
  </si>
  <si>
    <t>The company returned £359,875 to shareholders by way of a buyback of 199,587 ordinary shares at a price of 180.31p per share.</t>
  </si>
  <si>
    <t>The company returned £139,966 to shareholders by way of a buyback of 76,205 ordinary shares at a price of 183.67p per share.</t>
  </si>
  <si>
    <t>The company returned £62,818 to shareholders by way of a buyback of 34,325 ordinary shares at a price of 183.01p per share.</t>
  </si>
  <si>
    <t>The company returned £37,561 to shareholders by way of a buyback of 20,515 ordinary shares at a price of 183.09p per share.</t>
  </si>
  <si>
    <t>The company returned £76,058 to shareholders by way of a buyback of 41,873 ordinary shares at a price of 181.64p per share.</t>
  </si>
  <si>
    <t>The company returned £288,160 to shareholders by way of a buyback of 160,000 ordinary shares at a price of 180.1p per share.</t>
  </si>
  <si>
    <t>The company returned £46,042 to shareholders by way of a buyback of 25,958 ordinary shares at a price of 177.37p per share.</t>
  </si>
  <si>
    <t>The company returned £91,493 to shareholders by way of a buyback of 51,849 ordinary shares at a price of 176.46p per share.</t>
  </si>
  <si>
    <t>The company returned £235,732 to shareholders by way of a buyback of 133,152 ordinary shares at a price of 177.04p per share.</t>
  </si>
  <si>
    <t>The company returned £131,861 to shareholders by way of a buyback of 74,998 ordinary shares at a price of 175.82p per share.</t>
  </si>
  <si>
    <t>The company returned £32,607 to shareholders by way of a buyback of 18,593 ordinary shares at a price of 175.37p per share.</t>
  </si>
  <si>
    <t>The company returned £36,555 to shareholders by way of a buyback of 33,571 ordinary shares at a price of 108.89p per share.</t>
  </si>
  <si>
    <t>The company returned £70,725 to shareholders by way of a buyback of 65,070 ordinary shares at a price of 108.69p per share.</t>
  </si>
  <si>
    <t>The company returned £6,005 to shareholders by way of a buyback of 5,584 ordinary shares at a price of 107.54p per share.</t>
  </si>
  <si>
    <t>The company returned £35,050 to shareholders by way of a buyback of 32,458 ordinary shares at a price of 107.99p per share.</t>
  </si>
  <si>
    <t>The company returned £48,726 to shareholders by way of a buyback of 45,308 ordinary shares at a price of 107.54p per share.</t>
  </si>
  <si>
    <t>The company returned £20,714 to shareholders by way of a buyback of 19,352 ordinary shares at a price of 107.04p per share.</t>
  </si>
  <si>
    <t>The company returned £40,010 to shareholders by way of a buyback of 37,688 ordinary shares at a price of 106.16p per share.</t>
  </si>
  <si>
    <t>The company returned £21,912 to shareholders by way of a buyback of 20,119 ordinary shares at a price of 108.91p per share.</t>
  </si>
  <si>
    <t>The company returned £4,826 to shareholders by way of a buyback of 4,407 ordinary shares at a price of 109.5p per share.</t>
  </si>
  <si>
    <t>The company returned £21,856 to shareholders by way of a buyback of 20,088 ordinary shares at a price of 108.8p per share.</t>
  </si>
  <si>
    <t>The company returned £62,049 to shareholders by way of a buyback of 58,066 ordinary shares at a price of 106.86p per share.</t>
  </si>
  <si>
    <t>The company returned £17,831 to shareholders by way of a buyback of 16,697 ordinary shares at a price of 106.79p per share.</t>
  </si>
  <si>
    <t>The company returned £30,204 to shareholders by way of a buyback of 28,265 ordinary shares at a price of 106.86p per share.</t>
  </si>
  <si>
    <t>The company returned £105,870 to shareholders by way of a buyback of 100,000 ordinary shares at a price of 105.87p per share.</t>
  </si>
  <si>
    <t>The company returned £62,956 to shareholders by way of a buyback of 59,691 ordinary shares at a price of 105.47p per share.</t>
  </si>
  <si>
    <t>The company returned £17,159 to shareholders by way of a buyback of 16,144 ordinary shares at a price of 106.29p per share.</t>
  </si>
  <si>
    <t>The company returned £23,318 to shareholders by way of a buyback of 22,157 ordinary shares at a price of 105.24p per share.</t>
  </si>
  <si>
    <t>The company returned £16,052 to shareholders by way of a buyback of 15,108 ordinary shares at a price of 106.25p per share.</t>
  </si>
  <si>
    <t>The company returned £938,000 to shareholders by way of a buyback of 100,000 ordinary shares at a price of 938.p per share.</t>
  </si>
  <si>
    <t>The company returned £481,000 to shareholders by way of a buyback of 50,000 ordinary shares at a price of 962.p per share.</t>
  </si>
  <si>
    <t>The company returned £967,200 to shareholders by way of a buyback of 100,000 ordinary shares at a price of 967.2p per share.</t>
  </si>
  <si>
    <t>The company returned £29,458 to shareholders by way of a buyback of 2,033 ordinary shares at a price of 1,449.p per share.</t>
  </si>
  <si>
    <t>The company returned £63,992 to shareholders by way of a buyback of 4,383 ordinary shares at a price of 1,460.p per share.</t>
  </si>
  <si>
    <t>The company returned £926,900 to shareholders by way of a buyback of 62,000 ordinary shares at a price of 1,495.p per share.</t>
  </si>
  <si>
    <t>The company returned £954,200 to shareholders by way of a buyback of 65,000 ordinary shares at a price of 1,468.p per share.</t>
  </si>
  <si>
    <t>The company returned £306,494 to shareholders by way of a buyback of 20,964 ordinary shares at a price of 1,462.p per share.</t>
  </si>
  <si>
    <t>The company returned £221,181 to shareholders by way of a buyback of 15,108 ordinary shares at a price of 1,464.p per share.</t>
  </si>
  <si>
    <t>The company returned £329,068 to shareholders by way of a buyback of 11,231 ordinary shares at a price of 2,930.p per share.</t>
  </si>
  <si>
    <t>The company returned £130,558 to shareholders by way of a buyback of 8,924 ordinary shares at a price of 1,463.p per share.</t>
  </si>
  <si>
    <t>The company returned £730,000 to shareholders by way of a buyback of 50,000 ordinary shares at a price of 1,460.p per share.</t>
  </si>
  <si>
    <t>The company returned £304,443 to shareholders by way of a buyback of 20,838 ordinary shares at a price of 1,461.p per share.</t>
  </si>
  <si>
    <t>The company returned £546,826 to shareholders by way of a buyback of 37,326 ordinary shares at a price of 1,465.p per share.</t>
  </si>
  <si>
    <t>The company returned £733,500 to shareholders by way of a buyback of 50,000 ordinary shares at a price of 1,467.p per share.</t>
  </si>
  <si>
    <t>The company returned £365,750 to shareholders by way of a buyback of 25,000 ordinary shares at a price of 1,463.p per share.</t>
  </si>
  <si>
    <t>The company returned £74,565 to shareholders by way of a buyback of 5,069 ordinary shares at a price of 1,471.p per share.</t>
  </si>
  <si>
    <t>The company returned £434,447 to shareholders by way of a buyback of 29,474 ordinary shares at a price of 1,474.p per share.</t>
  </si>
  <si>
    <t>The company returned £441,600 to shareholders by way of a buyback of 30,000 ordinary shares at a price of 1,472.p per share.</t>
  </si>
  <si>
    <t>The company returned £482,365 to shareholders by way of a buyback of 33,084 ordinary shares at a price of 1,458.p per share.</t>
  </si>
  <si>
    <t>The company returned £1,446,000 to shareholders by way of a buyback of 100,000 ordinary shares at a price of 1,446.p per share.</t>
  </si>
  <si>
    <t>The company returned £44,627 to shareholders by way of a buyback of 3,082 ordinary shares at a price of 1,448.p per share.</t>
  </si>
  <si>
    <t>The company returned £572,898 to shareholders by way of a buyback of 39,757 ordinary shares at a price of 1,441.p per share.</t>
  </si>
  <si>
    <t>The company returned £692,126 to shareholders by way of a buyback of 47,898 ordinary shares at a price of 1,445.p per share.</t>
  </si>
  <si>
    <t>The company returned £107,881 to shareholders by way of a buyback of 26,699 ordinary shares at a price of 404.06p per share.</t>
  </si>
  <si>
    <t>The company returned £100,125 to shareholders by way of a buyback of 26,290 ordinary shares at a price of 380.85p per share.</t>
  </si>
  <si>
    <t>The company returned £780,000 to shareholders by way of a buyback of 200,000 ordinary shares at a price of 390.p per share.</t>
  </si>
  <si>
    <t>The company returned £427,276 to shareholders by way of a buyback of 109,558 ordinary shares at a price of 390.p per share.</t>
  </si>
  <si>
    <t>The company returned £113,693 to shareholders by way of a buyback of 29,152 ordinary shares at a price of 390.p per share.</t>
  </si>
  <si>
    <t>The company returned £292,500 to shareholders by way of a buyback of 75,000 ordinary shares at a price of 390.p per share.</t>
  </si>
  <si>
    <t>The company returned £631,253 to shareholders by way of a buyback of 159,500 ordinary shares at a price of 395.77p per share.</t>
  </si>
  <si>
    <t>The company returned £296,205 to shareholders by way of a buyback of 75,000 ordinary shares at a price of 394.94p per share.</t>
  </si>
  <si>
    <t>The company returned £197,500 to shareholders by way of a buyback of 50,000 ordinary shares at a price of 395.p per share.</t>
  </si>
  <si>
    <t>The company returned £258,500 to shareholders by way of a buyback of 50,000 ordinary shares at a price of 517.p per share.</t>
  </si>
  <si>
    <t>The company returned £786,000 to shareholders by way of a buyback of 150,000 ordinary shares at a price of 524.p per share.</t>
  </si>
  <si>
    <t>The company returned £516,000 to shareholders by way of a buyback of 100,000 ordinary shares at a price of 516.p per share.</t>
  </si>
  <si>
    <t>The company returned £500,000 to shareholders by way of a buyback of 100,000 ordinary shares at a price of 500.p per share.</t>
  </si>
  <si>
    <t>The company returned £478,000 to shareholders by way of a buyback of 100,000 ordinary shares at a price of 478.p per share.</t>
  </si>
  <si>
    <t>The company returned £354,000 to shareholders by way of a buyback of 75,000 ordinary shares at a price of 472.p per share.</t>
  </si>
  <si>
    <t>The company returned £1,480,813 to shareholders by way of a buyback of 125,000 ordinary shares at a price of 1,184.65p per share.</t>
  </si>
  <si>
    <t>The company returned £883,013 to shareholders by way of a buyback of 75,000 ordinary shares at a price of 1,177.35p per share.</t>
  </si>
  <si>
    <t>The company returned £1,093,860 to shareholders by way of a buyback of 100,000 ordinary shares at a price of 1,093.86p per share.</t>
  </si>
  <si>
    <t>The company returned £2,142,700 to shareholders by way of a buyback of 200,000 ordinary shares at a price of 1,071.35p per share.</t>
  </si>
  <si>
    <t>The company returned £1,080,680 to shareholders by way of a buyback of 100,000 ordinary shares at a price of 1,080.68p per share.</t>
  </si>
  <si>
    <t>The company returned £2,423,200 to shareholders by way of a buyback of 200,000 ordinary shares at a price of 1,211.6p per share.</t>
  </si>
  <si>
    <t>The company returned £1,598,543 to shareholders by way of a buyback of 128,922 ordinary shares at a price of 1,239.93p per share.</t>
  </si>
  <si>
    <t>The company returned £1,178,320 to shareholders by way of a buyback of 100,000 ordinary shares at a price of 1,178.32p per share.</t>
  </si>
  <si>
    <t>The company returned £589,095 to shareholders by way of a buyback of 50,000 ordinary shares at a price of 1,178.19p per share.</t>
  </si>
  <si>
    <t>The company returned £236,030 to shareholders by way of a buyback of 20,000 ordinary shares at a price of 1,180.15p per share.</t>
  </si>
  <si>
    <t>The company returned £344,526 to shareholders by way of a buyback of 30,000 ordinary shares at a price of 1,148.42p per share.</t>
  </si>
  <si>
    <t>The company returned £397,432 to shareholders by way of a buyback of 35,000 ordinary shares at a price of 1,135.52p per share.</t>
  </si>
  <si>
    <t>The company returned £421,578 to shareholders by way of a buyback of 36,000 ordinary shares at a price of 1,171.05p per share.</t>
  </si>
  <si>
    <t>The company returned £20,960,500 to shareholders by way of a buyback of 5,150,000 ordinary shares at a price of 407.p per share.</t>
  </si>
  <si>
    <t>The company returned £2,645,045 to shareholders by way of a buyback of 650,000 ordinary shares at a price of 406.93p per share.</t>
  </si>
  <si>
    <t>The company returned £7,666,500 to shareholders by way of a buyback of 1,900,000 ordinary shares at a price of 403.5p per share.</t>
  </si>
  <si>
    <t>The company returned £1,714,529 to shareholders by way of a buyback of 427,718 ordinary shares at a price of 400.86p per share.</t>
  </si>
  <si>
    <t>The company returned £4,000,000 to shareholders by way of a buyback of 1,000,000 ordinary shares at a price of 400.p per share.</t>
  </si>
  <si>
    <t>The company returned £587,637 to shareholders by way of a buyback of 150,100 ordinary shares at a price of 391.5p per share.</t>
  </si>
  <si>
    <t>The company returned £976,948 to shareholders by way of a buyback of 250,000 ordinary shares at a price of 390.78p per share.</t>
  </si>
  <si>
    <t>The company returned £740,738 to shareholders by way of a buyback of 189,500 ordinary shares at a price of 390.89p per share.</t>
  </si>
  <si>
    <t>The company returned £702,941 to shareholders by way of a buyback of 180,293 ordinary shares at a price of 389.89p per share.</t>
  </si>
  <si>
    <t>The company returned £4,680,425 to shareholders by way of a buyback of 1,200,109 ordinary shares at a price of 390.p per share.</t>
  </si>
  <si>
    <t>The company returned £508,929 to shareholders by way of a buyback of 128,265 ordinary shares at a price of 396.78p per share.</t>
  </si>
  <si>
    <t>The company returned £218,329 to shareholders by way of a buyback of 55,089 ordinary shares at a price of 396.32p per share.</t>
  </si>
  <si>
    <t>The company returned £5,349,909 to shareholders by way of a buyback of 1,354,236 ordinary shares at a price of 395.05p per share.</t>
  </si>
  <si>
    <t>The company returned £454,627 to shareholders by way of a buyback of 115,078 ordinary shares at a price of 395.06p per share.</t>
  </si>
  <si>
    <t>The company returned £2,605,132 to shareholders by way of a buyback of 660,000 ordinary shares at a price of 394.72p per share.</t>
  </si>
  <si>
    <t>The company returned £1,240,570 to shareholders by way of a buyback of 316,876 ordinary shares at a price of 391.5p per share.</t>
  </si>
  <si>
    <t>The company returned £774,000 to shareholders by way of a buyback of 200,000 ordinary shares at a price of 387.p per share.</t>
  </si>
  <si>
    <t>The company returned £2,372,978 to shareholders by way of a buyback of 615,000 ordinary shares at a price of 385.85p per share.</t>
  </si>
  <si>
    <t>The company returned £402,158 to shareholders by way of a buyback of 105,000 ordinary shares at a price of 383.01p per share.</t>
  </si>
  <si>
    <t>The company returned £346,320 to shareholders by way of a buyback of 90,000 ordinary shares at a price of 384.8p per share.</t>
  </si>
  <si>
    <t>The company returned £1,164,000 to shareholders by way of a buyback of 300,000 ordinary shares at a price of 388.p per share.</t>
  </si>
  <si>
    <t>The company returned £436,000 to shareholders by way of a buyback of 50,000 ordinary shares at a price of 754.27p per share.</t>
  </si>
  <si>
    <t>The company returned £437,000 to shareholders by way of a buyback of 50,000 ordinary shares at a price of 754.31p per share.</t>
  </si>
  <si>
    <t>The company returned £425,000 to shareholders by way of a buyback of 50,000 ordinary shares at a price of 732.75p per share.</t>
  </si>
  <si>
    <t>The company returned £421,058 to shareholders by way of a buyback of 50,000 ordinary shares at a price of 727.83p per share.</t>
  </si>
  <si>
    <t>The company returned £251,146 to shareholders by way of a buyback of 30,000 ordinary shares at a price of 722.29p per share.</t>
  </si>
  <si>
    <t>The company returned £419,997 to shareholders by way of a buyback of 50,000 ordinary shares at a price of 725.47p per share.</t>
  </si>
  <si>
    <t>The company returned £174,239 to shareholders by way of a buyback of 21,000 ordinary shares at a price of 716.04p per share.</t>
  </si>
  <si>
    <t>The company returned £598,000 to shareholders by way of a buyback of 75,000 ordinary shares at a price of 687.47p per share.</t>
  </si>
  <si>
    <t>The company returned £750,000 to shareholders by way of a buyback of 100,000 ordinary shares at a price of 647.p per share.</t>
  </si>
  <si>
    <t>The company returned £538,580 to shareholders by way of a buyback of 75,000 ordinary shares at a price of 618.65p per share.</t>
  </si>
  <si>
    <t>The company returned £292,429 to shareholders by way of a buyback of 42,186 ordinary shares at a price of 598.42p per share.</t>
  </si>
  <si>
    <t>The company returned £121,200 to shareholders by way of a buyback of 20,000 ordinary shares at a price of 606.p per share.</t>
  </si>
  <si>
    <t>The company returned £60,600 to shareholders by way of a buyback of 10,000 ordinary shares at a price of 606.p per share.</t>
  </si>
  <si>
    <t>The company returned £60,400 to shareholders by way of a buyback of 10,000 ordinary shares at a price of 604.p per share.</t>
  </si>
  <si>
    <t>The company returned £797,922 to shareholders by way of a buyback of 19,661 ordinary shares at a price of 4,058.4p per share.</t>
  </si>
  <si>
    <t>The company returned £806,938 to shareholders by way of a buyback of 20,366 ordinary shares at a price of 3,962.18p per share.</t>
  </si>
  <si>
    <t>The company returned £860,056 to shareholders by way of a buyback of 21,731 ordinary shares at a price of 3,957.74p per share.</t>
  </si>
  <si>
    <t>The company returned £874,788 to shareholders by way of a buyback of 21,961 ordinary shares at a price of 3,983.37p per share.</t>
  </si>
  <si>
    <t>The company returned £866,718 to shareholders by way of a buyback of 21,509 ordinary shares at a price of 4,029.56p per share.</t>
  </si>
  <si>
    <t>The company returned £831,872 to shareholders by way of a buyback of 21,017 ordinary shares at a price of 3,958.09p per share.</t>
  </si>
  <si>
    <t>The company returned £823,087 to shareholders by way of a buyback of 20,708 ordinary shares at a price of 3,974.73p per share.</t>
  </si>
  <si>
    <t>The company returned £841,547 to shareholders by way of a buyback of 21,380 ordinary shares at a price of 3,936.14p per share.</t>
  </si>
  <si>
    <t>The company returned £852,226 to shareholders by way of a buyback of 22,137 ordinary shares at a price of 3,849.78p per share.</t>
  </si>
  <si>
    <t>The company returned £857,169 to shareholders by way of a buyback of 22,190 ordinary shares at a price of 3,862.86p per share.</t>
  </si>
  <si>
    <t>The company returned £890,975 to shareholders by way of a buyback of 22,772 ordinary shares at a price of 3,912.59p per share.</t>
  </si>
  <si>
    <t>The company returned £897,672 to shareholders by way of a buyback of 22,819 ordinary shares at a price of 3,933.88p per share.</t>
  </si>
  <si>
    <t>The company returned £914,050 to shareholders by way of a buyback of 23,071 ordinary shares at a price of 3,961.9p per share.</t>
  </si>
  <si>
    <t>The company returned £886,230 to shareholders by way of a buyback of 22,981 ordinary shares at a price of 3,856.36p per share.</t>
  </si>
  <si>
    <t>The company returned £896,311 to shareholders by way of a buyback of 23,108 ordinary shares at a price of 3,878.79p per share.</t>
  </si>
  <si>
    <t>The company returned £967,271 to shareholders by way of a buyback of 24,851 ordinary shares at a price of 3,892.28p per share.</t>
  </si>
  <si>
    <t>The company returned £940,558 to shareholders by way of a buyback of 25,214 ordinary shares at a price of 3,730.3p per share.</t>
  </si>
  <si>
    <t>The company returned £977,728 to shareholders by way of a buyback of 26,087 ordinary shares at a price of 3,747.95p per share.</t>
  </si>
  <si>
    <t>The company returned £1,003,397 to shareholders by way of a buyback of 26,389 ordinary shares at a price of 3,802.33p per share.</t>
  </si>
  <si>
    <t>The company returned £1,008,327 to shareholders by way of a buyback of 26,627 ordinary shares at a price of 3,786.86p per share.</t>
  </si>
  <si>
    <t>The company returned £6,665,730 to shareholders by way of a buyback of 1,245,000 ordinary shares at a price of 535.4p per share.</t>
  </si>
  <si>
    <t>The company returned £1,066,800 to shareholders by way of a buyback of 200,000 ordinary shares at a price of 533.4p per share.</t>
  </si>
  <si>
    <t>The company returned £930,899 to shareholders by way of a buyback of 175,000 ordinary shares at a price of 531.94p per share.</t>
  </si>
  <si>
    <t>The company returned £265,700 to shareholders by way of a buyback of 50,000 ordinary shares at a price of 531.4p per share.</t>
  </si>
  <si>
    <t>The company returned £534,400 to shareholders by way of a buyback of 100,000 ordinary shares at a price of 534.4p per share.</t>
  </si>
  <si>
    <t>The company returned £640,080 to shareholders by way of a buyback of 120,000 ordinary shares at a price of 533.4p per share.</t>
  </si>
  <si>
    <t>The company returned £103,190 to shareholders by way of a buyback of 46,000 ordinary shares at a price of 224.33p per share.</t>
  </si>
  <si>
    <t>The company returned £83,302 to shareholders by way of a buyback of 37,023 ordinary shares at a price of 225.p per share.</t>
  </si>
  <si>
    <t>The company returned £452,248 to shareholders by way of a buyback of 200,000 ordinary shares at a price of 226.12p per share.</t>
  </si>
  <si>
    <t>The company returned £52,055 to shareholders by way of a buyback of 23,019 ordinary shares at a price of 226.14p per share.</t>
  </si>
  <si>
    <t>The company returned £256,763 to shareholders by way of a buyback of 113,099 ordinary shares at a price of 227.03p per share.</t>
  </si>
  <si>
    <t>The company returned £23,149 to shareholders by way of a buyback of 10,000 ordinary shares at a price of 231.49p per share.</t>
  </si>
  <si>
    <t>The company returned £340,951 to shareholders by way of a buyback of 145,395 ordinary shares at a price of 234.5p per share.</t>
  </si>
  <si>
    <t>The company returned £23,742 to shareholders by way of a buyback of 10,000 ordinary shares at a price of 237.42p per share.</t>
  </si>
  <si>
    <t>The company returned £120,000 to shareholders by way of a buyback of 50,000 ordinary shares at a price of 240.p per share.</t>
  </si>
  <si>
    <t>The company returned £122,940 to shareholders by way of a buyback of 51,764 ordinary shares at a price of 237.5p per share.</t>
  </si>
  <si>
    <t>The company returned £32,606 to shareholders by way of a buyback of 13,700 ordinary shares at a price of 238.p per share.</t>
  </si>
  <si>
    <t>The company returned £6,837,470 to shareholders by way of a buyback of 1,000,000 ordinary shares at a price of 683.75p per share.</t>
  </si>
  <si>
    <t>The company returned £3,868,295 to shareholders by way of a buyback of 568,454 ordinary shares at a price of 680.49p per share.</t>
  </si>
  <si>
    <t>The company returned £4,991,498 to shareholders by way of a buyback of 750,000 ordinary shares at a price of 665.53p per share.</t>
  </si>
  <si>
    <t>The company returned £3,006,007 to shareholders by way of a buyback of 459,443 ordinary shares at a price of 654.27p per share.</t>
  </si>
  <si>
    <t>The company returned £3,321,200 to shareholders by way of a buyback of 500,000 ordinary shares at a price of 664.24p per share.</t>
  </si>
  <si>
    <t>The company returned £3,635,100 to shareholders by way of a buyback of 500,000 ordinary shares at a price of 727.02p per share.</t>
  </si>
  <si>
    <t>The company returned £5,251,950 to shareholders by way of a buyback of 750,000 ordinary shares at a price of 700.26p per share.</t>
  </si>
  <si>
    <t>The company returned £3,504,150 to shareholders by way of a buyback of 500,000 ordinary shares at a price of 700.83p per share.</t>
  </si>
  <si>
    <t>The company returned £2,929,189 to shareholders by way of a buyback of 414,043 ordinary shares at a price of 707.46p per share.</t>
  </si>
  <si>
    <t>The company returned £360,396 to shareholders by way of a buyback of 52,817 ordinary shares at a price of 682.35p per share.</t>
  </si>
  <si>
    <t>The company returned £496,482 to shareholders by way of a buyback of 665,000 ordinary shares at a price of 74.66p per share.</t>
  </si>
  <si>
    <t>The company returned £497,074 to shareholders by way of a buyback of 665,000 ordinary shares at a price of 74.75p per share.</t>
  </si>
  <si>
    <t>The company returned £495,099 to shareholders by way of a buyback of 665,000 ordinary shares at a price of 74.45p per share.</t>
  </si>
  <si>
    <t>The company returned £497,739 to shareholders by way of a buyback of 665,000 ordinary shares at a price of 74.85p per share.</t>
  </si>
  <si>
    <t>The company returned £497,852 to shareholders by way of a buyback of 665,000 ordinary shares at a price of 74.87p per share.</t>
  </si>
  <si>
    <t>The company returned £497,657 to shareholders by way of a buyback of 675,000 ordinary shares at a price of 73.73p per share.</t>
  </si>
  <si>
    <t>The company returned £486,945 to shareholders by way of a buyback of 675,000 ordinary shares at a price of 72.14p per share.</t>
  </si>
  <si>
    <t>The company returned £498,401 to shareholders by way of a buyback of 690,000 ordinary shares at a price of 72.23p per share.</t>
  </si>
  <si>
    <t>The company returned £497,313 to shareholders by way of a buyback of 675,000 ordinary shares at a price of 73.68p per share.</t>
  </si>
  <si>
    <t>The company returned £497,227 to shareholders by way of a buyback of 670,000 ordinary shares at a price of 74.21p per share.</t>
  </si>
  <si>
    <t>The company returned £491,814 to shareholders by way of a buyback of 665,000 ordinary shares at a price of 73.96p per share.</t>
  </si>
  <si>
    <t>The company returned £493,145 to shareholders by way of a buyback of 660,000 ordinary shares at a price of 74.72p per share.</t>
  </si>
  <si>
    <t>The company returned £497,407 to shareholders by way of a buyback of 665,000 ordinary shares at a price of 74.8p per share.</t>
  </si>
  <si>
    <t>The company returned £499,988 to shareholders by way of a buyback of 670,000 ordinary shares at a price of 74.63p per share.</t>
  </si>
  <si>
    <t>The company returned £491,728 to shareholders by way of a buyback of 665,000 ordinary shares at a price of 73.94p per share.</t>
  </si>
  <si>
    <t>The company returned £496,497 to shareholders by way of a buyback of 670,000 ordinary shares at a price of 74.1p per share.</t>
  </si>
  <si>
    <t>The company returned £496,517 to shareholders by way of a buyback of 670,000 ordinary shares at a price of 74.11p per share.</t>
  </si>
  <si>
    <t>The company returned £491,053 to shareholders by way of a buyback of 660,000 ordinary shares at a price of 74.4p per share.</t>
  </si>
  <si>
    <t>The company returned £492,697 to shareholders by way of a buyback of 660,000 ordinary shares at a price of 74.65p per share.</t>
  </si>
  <si>
    <t>The company returned £492,007 to shareholders by way of a buyback of 665,000 ordinary shares at a price of 73.99p per share.</t>
  </si>
  <si>
    <t>The company returned £488,369 to shareholders by way of a buyback of 665,000 ordinary shares at a price of 73.44p per share.</t>
  </si>
  <si>
    <t>The company returned £87,640 to shareholders by way of a buyback of 4,000 ordinary shares at a price of 2,191.p per share.</t>
  </si>
  <si>
    <t>The company returned £130,920 to shareholders by way of a buyback of 6,000 ordinary shares at a price of 2,182.p per share.</t>
  </si>
  <si>
    <t>The company returned £109,800 to shareholders by way of a buyback of 5,000 ordinary shares at a price of 2,196.p per share.</t>
  </si>
  <si>
    <t>The company returned £64,328 to shareholders by way of a buyback of 2,924 ordinary shares at a price of 2,200.p per share.</t>
  </si>
  <si>
    <t>The company returned £65,970 to shareholders by way of a buyback of 3,000 ordinary shares at a price of 2,199.p per share.</t>
  </si>
  <si>
    <t>The company returned £63,093 to shareholders by way of a buyback of 2,877 ordinary shares at a price of 2,193.01p per share.</t>
  </si>
  <si>
    <t>The company returned £44,000 to shareholders by way of a buyback of 2,000 ordinary shares at a price of 2,200.p per share.</t>
  </si>
  <si>
    <t>The company returned £55,050 to shareholders by way of a buyback of 2,500 ordinary shares at a price of 2,202.p per share.</t>
  </si>
  <si>
    <t>The company returned £43,600 to shareholders by way of a buyback of 2,000 ordinary shares at a price of 2,180.p per share.</t>
  </si>
  <si>
    <t>The company returned £54,000 to shareholders by way of a buyback of 2,500 ordinary shares at a price of 2,160.p per share.</t>
  </si>
  <si>
    <t>The company returned £54,500 to shareholders by way of a buyback of 2,500 ordinary shares at a price of 2,180.p per share.</t>
  </si>
  <si>
    <t>The company returned £436 to shareholders by way of a buyback of 2,000 ordinary shares at a price of 21.8p per share.</t>
  </si>
  <si>
    <t>The company returned £739,520 to shareholders by way of a buyback of 32,000 ordinary shares at a price of 2,311.p per share.</t>
  </si>
  <si>
    <t>The company returned £809,900 to shareholders by way of a buyback of 35,000 ordinary shares at a price of 2,314.p per share.</t>
  </si>
  <si>
    <t>The company returned £344,700 to shareholders by way of a buyback of 15,000 ordinary shares at a price of 2,298.p per share.</t>
  </si>
  <si>
    <t>The company returned £457,400 to shareholders by way of a buyback of 20,000 ordinary shares at a price of 2,287.p per share.</t>
  </si>
  <si>
    <t>The company returned £1,142,500 to shareholders by way of a buyback of 50,000 ordinary shares at a price of 2,285.p per share.</t>
  </si>
  <si>
    <t>The company returned £609,960 to shareholders by way of a buyback of 26,000 ordinary shares at a price of 2,346.p per share.</t>
  </si>
  <si>
    <t>The company returned £698,400 to shareholders by way of a buyback of 30,000 ordinary shares at a price of 2,328.p per share.</t>
  </si>
  <si>
    <t>The company returned £957,222 to shareholders by way of a buyback of 41,313 ordinary shares at a price of 2,317.p per share.</t>
  </si>
  <si>
    <t>The company returned £231,400 to shareholders by way of a buyback of 10,000 ordinary shares at a price of 2,314.p per share.</t>
  </si>
  <si>
    <t>The company returned £507,540 to shareholders by way of a buyback of 22,000 ordinary shares at a price of 2,307.p per share.</t>
  </si>
  <si>
    <t>The company returned £690,900 to shareholders by way of a buyback of 30,000 ordinary shares at a price of 2,303.p per share.</t>
  </si>
  <si>
    <t>The company returned £908,400 to shareholders by way of a buyback of 40,000 ordinary shares at a price of 2,271.p per share.</t>
  </si>
  <si>
    <t>The company returned £524,860 to shareholders by way of a buyback of 23,000 ordinary shares at a price of 2,282.p per share.</t>
  </si>
  <si>
    <t>The company returned £342,600 to shareholders by way of a buyback of 15,000 ordinary shares at a price of 2,284.p per share.</t>
  </si>
  <si>
    <t>The company returned £1,827,200 to shareholders by way of a buyback of 80,000 ordinary shares at a price of 2,284.p per share.</t>
  </si>
  <si>
    <t>The company returned £916,800 to shareholders by way of a buyback of 40,000 ordinary shares at a price of 2,292.p per share.</t>
  </si>
  <si>
    <t>The company returned £23,200 to shareholders by way of a buyback of 10,000 ordinary shares at a price of 232.p per share.</t>
  </si>
  <si>
    <t>The company returned £92,800 to shareholders by way of a buyback of 40,000 ordinary shares at a price of 232.p per share.</t>
  </si>
  <si>
    <t>The company returned £219,000 to shareholders by way of a buyback of 100,000 ordinary shares at a price of 162.55p per share.</t>
  </si>
  <si>
    <t>The company returned £217,000 to shareholders by way of a buyback of 100,000 ordinary shares at a price of 162.1p per share.</t>
  </si>
  <si>
    <t>The company returned £156,890 to shareholders by way of a buyback of 73,313 ordinary shares at a price of 159.74p per share.</t>
  </si>
  <si>
    <t>The company returned £220,000 to shareholders by way of a buyback of 100,000 ordinary shares at a price of 163.84p per share.</t>
  </si>
  <si>
    <t>The company returned £217,000 to shareholders by way of a buyback of 100,000 ordinary shares at a price of 162.02p per share.</t>
  </si>
  <si>
    <t>The company returned £162,478 to shareholders by way of a buyback of 72,860 ordinary shares at a price of 168.92p per share.</t>
  </si>
  <si>
    <t>The company returned £295,100 to shareholders by way of a buyback of 130,000 ordinary shares at a price of 172.67p per share.</t>
  </si>
  <si>
    <t>The company returned £230,000 to shareholders by way of a buyback of 100,000 ordinary shares at a price of 174.25p per share.</t>
  </si>
  <si>
    <t>The company returned £732,323 to shareholders by way of a buyback of 250,000 ordinary shares at a price of 292.93p per share.</t>
  </si>
  <si>
    <t>The company returned £777,240 to shareholders by way of a buyback of 400,000 ordinary shares at a price of 147.21p per share.</t>
  </si>
  <si>
    <t>The company returned £489,650 to shareholders by way of a buyback of 250,000 ordinary shares at a price of 147.86p per share.</t>
  </si>
  <si>
    <t>The company returned £166,750 to shareholders by way of a buyback of 25,000 ordinary shares at a price of 667.p per share.</t>
  </si>
  <si>
    <t>The company returned £83,596 to shareholders by way of a buyback of 12,323 ordinary shares at a price of 678.37p per share.</t>
  </si>
  <si>
    <t>The company returned £128,068 to shareholders by way of a buyback of 18,331 ordinary shares at a price of 698.64p per share.</t>
  </si>
  <si>
    <t>The company returned £454,955 to shareholders by way of a buyback of 65,000 ordinary shares at a price of 699.93p per share.</t>
  </si>
  <si>
    <t>The company returned £114,560 to shareholders by way of a buyback of 16,000 ordinary shares at a price of 716.p per share.</t>
  </si>
  <si>
    <t>The company returned £140,471 to shareholders by way of a buyback of 19,190 ordinary shares at a price of 732.p per share.</t>
  </si>
  <si>
    <t>The company returned £177,500 to shareholders by way of a buyback of 25,000 ordinary shares at a price of 710.p per share.</t>
  </si>
  <si>
    <t>The company returned £18,499 to shareholders by way of a buyback of 2,681 ordinary shares at a price of 690.p per share.</t>
  </si>
  <si>
    <t>The company returned £960,967 to shareholders by way of a buyback of 109,229 ordinary shares at a price of 879.77p per share.</t>
  </si>
  <si>
    <t>The company returned £1,302,206 to shareholders by way of a buyback of 150,000 ordinary shares at a price of 868.14p per share.</t>
  </si>
  <si>
    <t>The company returned £751,313 to shareholders by way of a buyback of 89,000 ordinary shares at a price of 844.17p per share.</t>
  </si>
  <si>
    <t>The company returned £168,765 to shareholders by way of a buyback of 20,408 ordinary shares at a price of 826.95p per share.</t>
  </si>
  <si>
    <t>The company returned £533,435 to shareholders by way of a buyback of 64,313 ordinary shares at a price of 829.44p per share.</t>
  </si>
  <si>
    <t>The company returned £653,879 to shareholders by way of a buyback of 80,000 ordinary shares at a price of 817.35p per share.</t>
  </si>
  <si>
    <t>The company returned £438,565 to shareholders by way of a buyback of 53,494 ordinary shares at a price of 819.84p per share.</t>
  </si>
  <si>
    <t>The company returned £864,623 to shareholders by way of a buyback of 100,000 ordinary shares at a price of 864.62p per share.</t>
  </si>
  <si>
    <t>The company returned £747,729 to shareholders by way of a buyback of 86,658 ordinary shares at a price of 862.85p per share.</t>
  </si>
  <si>
    <t>The company returned £1,099,922 to shareholders by way of a buyback of 125,663 ordinary shares at a price of 875.3p per share.</t>
  </si>
  <si>
    <t>The company returned £885,360 to shareholders by way of a buyback of 100,000 ordinary shares at a price of 885.36p per share.</t>
  </si>
  <si>
    <t>The company returned £429,103 to shareholders by way of a buyback of 50,000 ordinary shares at a price of 858.21p per share.</t>
  </si>
  <si>
    <t>The company returned £527,781 to shareholders by way of a buyback of 61,620 ordinary shares at a price of 856.51p per share.</t>
  </si>
  <si>
    <t>The company returned £524,783 to shareholders by way of a buyback of 61,253 ordinary shares at a price of 856.75p per share.</t>
  </si>
  <si>
    <t>The company returned £195,927 to shareholders by way of a buyback of 23,259 ordinary shares at a price of 842.37p per share.</t>
  </si>
  <si>
    <t>The company returned £243,843 to shareholders by way of a buyback of 29,029 ordinary shares at a price of 840.p per share.</t>
  </si>
  <si>
    <t>The company returned £17,770 to shareholders by way of a buyback of 26,522 ordinary shares at a price of 67.p per share.</t>
  </si>
  <si>
    <t>The company returned £20,700 to shareholders by way of a buyback of 30,000 ordinary shares at a price of 69.p per share.</t>
  </si>
  <si>
    <t>The company returned £39,394 to shareholders by way of a buyback of 55,563 ordinary shares at a price of 70.9p per share.</t>
  </si>
  <si>
    <t>The company returned £28,400 to shareholders by way of a buyback of 40,000 ordinary shares at a price of 71.p per share.</t>
  </si>
  <si>
    <t>The company returned £71,200 to shareholders by way of a buyback of 20,000 ordinary shares at a price of 356.p per share.</t>
  </si>
  <si>
    <t>The company returned £71,400 to shareholders by way of a buyback of 20,000 ordinary shares at a price of 357.p per share.</t>
  </si>
  <si>
    <t>The company returned £14,958 to shareholders by way of a buyback of 4,190 ordinary shares at a price of 357.p per share.</t>
  </si>
  <si>
    <t>The company returned £107,268 to shareholders by way of a buyback of 30,000 ordinary shares at a price of 357.56p per share.</t>
  </si>
  <si>
    <t>The company returned £71,100 to shareholders by way of a buyback of 20,000 ordinary shares at a price of 355.5p per share.</t>
  </si>
  <si>
    <t>The company returned £72,400 to shareholders by way of a buyback of 20,000 ordinary shares at a price of 362.p per share.</t>
  </si>
  <si>
    <t>The company returned £72,600 to shareholders by way of a buyback of 20,000 ordinary shares at a price of 363.p per share.</t>
  </si>
  <si>
    <t>The company returned £72,200 to shareholders by way of a buyback of 20,000 ordinary shares at a price of 361.p per share.</t>
  </si>
  <si>
    <t>The company returned £71,600 to shareholders by way of a buyback of 20,000 ordinary shares at a price of 358.p per share.</t>
  </si>
  <si>
    <t>The company returned £35,900 to shareholders by way of a buyback of 10,000 ordinary shares at a price of 359.p per share.</t>
  </si>
  <si>
    <t>The company returned £94,000 to shareholders by way of a buyback of 25,000 ordinary shares at a price of 376.p per share.</t>
  </si>
  <si>
    <t>The company returned £109,490 to shareholders by way of a buyback of 28,500 ordinary shares at a price of 384.18p per share.</t>
  </si>
  <si>
    <t>The company returned £670,443 to shareholders by way of a buyback of 150,000 ordinary shares at a price of 446.96p per share.</t>
  </si>
  <si>
    <t>The company returned £441,686 to shareholders by way of a buyback of 100,000 ordinary shares at a price of 441.69p per share.</t>
  </si>
  <si>
    <t>The company returned £537,896 to shareholders by way of a buyback of 125,000 ordinary shares at a price of 430.32p per share.</t>
  </si>
  <si>
    <t>The company returned £339,759 to shareholders by way of a buyback of 78,447 ordinary shares at a price of 433.11p per share.</t>
  </si>
  <si>
    <t>The company returned £212,286 to shareholders by way of a buyback of 50,000 ordinary shares at a price of 424.57p per share.</t>
  </si>
  <si>
    <t>The company returned £163,481 to shareholders by way of a buyback of 38,033 ordinary shares at a price of 429.84p per share.</t>
  </si>
  <si>
    <t>The company returned £68,172 to shareholders by way of a buyback of 15,600 ordinary shares at a price of 437.p per share.</t>
  </si>
  <si>
    <t>The company returned £447,349 to shareholders by way of a buyback of 100,000 ordinary shares at a price of 447.35p per share.</t>
  </si>
  <si>
    <t>The company returned £254,138 to shareholders by way of a buyback of 56,239 ordinary shares at a price of 451.89p per share.</t>
  </si>
  <si>
    <t>The company returned £443,720 to shareholders by way of a buyback of 100,000 ordinary shares at a price of 443.72p per share.</t>
  </si>
  <si>
    <t>The company returned £663,101 to shareholders by way of a buyback of 150,000 ordinary shares at a price of 442.07p per share.</t>
  </si>
  <si>
    <t>The company returned £442,197 to shareholders by way of a buyback of 100,000 ordinary shares at a price of 442.2p per share.</t>
  </si>
  <si>
    <t>The company returned £423,935 to shareholders by way of a buyback of 97,228 ordinary shares at a price of 436.02p per share.</t>
  </si>
  <si>
    <t>The company returned £325,961 to shareholders by way of a buyback of 75,000 ordinary shares at a price of 434.61p per share.</t>
  </si>
  <si>
    <t>The company returned £102,876 to shareholders by way of a buyback of 14,000 ordinary shares at a price of 734.83p per share.</t>
  </si>
  <si>
    <t>The company returned £72,873 to shareholders by way of a buyback of 10,000 ordinary shares at a price of 728.73p per share.</t>
  </si>
  <si>
    <t>The company returned £144,428 to shareholders by way of a buyback of 20,000 ordinary shares at a price of 722.14p per share.</t>
  </si>
  <si>
    <t>The company returned £216,425 to shareholders by way of a buyback of 30,000 ordinary shares at a price of 721.42p per share.</t>
  </si>
  <si>
    <t>The company returned £361,125 to shareholders by way of a buyback of 50,000 ordinary shares at a price of 722.25p per share.</t>
  </si>
  <si>
    <t>The company returned £71,500 to shareholders by way of a buyback of 10,000 ordinary shares at a price of 715.p per share.</t>
  </si>
  <si>
    <t>The company returned £107,100 to shareholders by way of a buyback of 15,000 ordinary shares at a price of 714.p per share.</t>
  </si>
  <si>
    <t>The company returned £54,200 to shareholders by way of a buyback of 7,500 ordinary shares at a price of 722.67p per share.</t>
  </si>
  <si>
    <t>The company returned £72,615 to shareholders by way of a buyback of 10,000 ordinary shares at a price of 726.15p per share.</t>
  </si>
  <si>
    <t>The company returned £142,400 to shareholders by way of a buyback of 20,000 ordinary shares at a price of 712.p per share.</t>
  </si>
  <si>
    <t>The company returned £884,503 to shareholders by way of a buyback of 160,065 ordinary shares at a price of 552.59p per share.</t>
  </si>
  <si>
    <t>The company returned £1,101,300 to shareholders by way of a buyback of 200,000 ordinary shares at a price of 550.65p per share.</t>
  </si>
  <si>
    <t>The company returned £1,096,000 to shareholders by way of a buyback of 200,000 ordinary shares at a price of 548.p per share.</t>
  </si>
  <si>
    <t>The company returned £1,090,720 to shareholders by way of a buyback of 200,000 ordinary shares at a price of 545.36p per share.</t>
  </si>
  <si>
    <t>The company returned £325,200 to shareholders by way of a buyback of 60,000 ordinary shares at a price of 542.p per share.</t>
  </si>
  <si>
    <t>The company returned £1,074,500 to shareholders by way of a buyback of 200,000 ordinary shares at a price of 537.25p per share.</t>
  </si>
  <si>
    <t>The company returned £1,073,820 to shareholders by way of a buyback of 200,000 ordinary shares at a price of 536.91p per share.</t>
  </si>
  <si>
    <t>The company returned £539,710 to shareholders by way of a buyback of 100,000 ordinary shares at a price of 539.71p per share.</t>
  </si>
  <si>
    <t>The company returned £815,325 to shareholders by way of a buyback of 150,000 ordinary shares at a price of 543.55p per share.</t>
  </si>
  <si>
    <t>The company returned £903,293 to shareholders by way of a buyback of 165,000 ordinary shares at a price of 547.45p per share.</t>
  </si>
  <si>
    <t>The company returned £1,010,581 to shareholders by way of a buyback of 185,000 ordinary shares at a price of 546.26p per share.</t>
  </si>
  <si>
    <t>The company returned £816,255 to shareholders by way of a buyback of 150,000 ordinary shares at a price of 544.17p per share.</t>
  </si>
  <si>
    <t>The company returned £1,090,060 to shareholders by way of a buyback of 200,000 ordinary shares at a price of 545.03p per share.</t>
  </si>
  <si>
    <t>The company returned £1,077,880 to shareholders by way of a buyback of 200,000 ordinary shares at a price of 538.94p per share.</t>
  </si>
  <si>
    <t>The company returned £801,045 to shareholders by way of a buyback of 150,000 ordinary shares at a price of 534.03p per share.</t>
  </si>
  <si>
    <t>The company returned £1,073,860 to shareholders by way of a buyback of 200,000 ordinary shares at a price of 536.93p per share.</t>
  </si>
  <si>
    <t>The company returned £1,072,280 to shareholders by way of a buyback of 200,000 ordinary shares at a price of 536.14p per share.</t>
  </si>
  <si>
    <t>The company returned £801,885 to shareholders by way of a buyback of 150,000 ordinary shares at a price of 534.59p per share.</t>
  </si>
  <si>
    <t>The company returned £935,165 to shareholders by way of a buyback of 175,000 ordinary shares at a price of 534.38p per share.</t>
  </si>
  <si>
    <t>The company returned £1,080,520 to shareholders by way of a buyback of 200,000 ordinary shares at a price of 540.26p per share.</t>
  </si>
  <si>
    <t>The company returned £11,494,880 to shareholders by way of a buyback of 800,000 ordinary shares at a price of 1,436.86p per share.</t>
  </si>
  <si>
    <t>The company returned £10,717,050 to shareholders by way of a buyback of 750,000 ordinary shares at a price of 1,428.94p per share.</t>
  </si>
  <si>
    <t>The company returned £14,139,100 to shareholders by way of a buyback of 1,000,000 ordinary shares at a price of 1,413.91p per share.</t>
  </si>
  <si>
    <t>The company returned £6,150,639 to shareholders by way of a buyback of 435,000 ordinary shares at a price of 1,413.94p per share.</t>
  </si>
  <si>
    <t>The company returned £14,452,100 to shareholders by way of a buyback of 1,000,000 ordinary shares at a price of 1,445.21p per share.</t>
  </si>
  <si>
    <t>The company returned £34,553,918 to shareholders by way of a buyback of 2,325,000 ordinary shares at a price of 1,486.19p per share.</t>
  </si>
  <si>
    <t>The company returned £26,939,700 to shareholders by way of a buyback of 1,800,000 ordinary shares at a price of 1,496.65p per share.</t>
  </si>
  <si>
    <t>The company returned £23,784,960 to shareholders by way of a buyback of 1,600,000 ordinary shares at a price of 1,486.56p per share.</t>
  </si>
  <si>
    <t>The company returned £31,836,502 to shareholders by way of a buyback of 2,180,000 ordinary shares at a price of 1,460.39p per share.</t>
  </si>
  <si>
    <t>The company returned £23,448,320 to shareholders by way of a buyback of 1,600,000 ordinary shares at a price of 1,465.52p per share.</t>
  </si>
  <si>
    <t>The company returned £24,317,825 to shareholders by way of a buyback of 1,750,000 ordinary shares at a price of 1,389.59p per share.</t>
  </si>
  <si>
    <t>The company returned £20,948,850 to shareholders by way of a buyback of 1,500,000 ordinary shares at a price of 1,396.59p per share.</t>
  </si>
  <si>
    <t>The company returned £34,525,645 to shareholders by way of a buyback of 2,450,000 ordinary shares at a price of 1,409.21p per share.</t>
  </si>
  <si>
    <t>The company returned £22,401,440 to shareholders by way of a buyback of 1,600,000 ordinary shares at a price of 1,400.09p per share.</t>
  </si>
  <si>
    <t>The company returned £21,423,000 to shareholders by way of a buyback of 1,500,000 ordinary shares at a price of 1,428.2p per share.</t>
  </si>
  <si>
    <t>The company returned £25,641,175 to shareholders by way of a buyback of 1,750,000 ordinary shares at a price of 1,465.21p per share.</t>
  </si>
  <si>
    <t>The company returned £41,100 to shareholders by way of a buyback of 15,000 ordinary shares at a price of 274.p per share.</t>
  </si>
  <si>
    <t>The company returned £202,500 to shareholders by way of a buyback of 75,000 ordinary shares at a price of 270.p per share.</t>
  </si>
  <si>
    <t>The company returned £79,200 to shareholders by way of a buyback of 30,000 ordinary shares at a price of 264.p per share.</t>
  </si>
  <si>
    <t>The company returned £130,500 to shareholders by way of a buyback of 50,000 ordinary shares at a price of 261.p per share.</t>
  </si>
  <si>
    <t>The company returned £69,500 to shareholders by way of a buyback of 25,000 ordinary shares at a price of 278.p per share.</t>
  </si>
  <si>
    <t>The company returned £56,600 to shareholders by way of a buyback of 20,000 ordinary shares at a price of 283.p per share.</t>
  </si>
  <si>
    <t>The company returned £41,550 to shareholders by way of a buyback of 15,000 ordinary shares at a price of 277.p per share.</t>
  </si>
  <si>
    <t>The company returned £41,400 to shareholders by way of a buyback of 15,000 ordinary shares at a price of 276.p per share.</t>
  </si>
  <si>
    <t>The company returned £224,400 to shareholders by way of a buyback of 60,000 ordinary shares at a price of 374.p per share.</t>
  </si>
  <si>
    <t>The company returned £129,199 to shareholders by way of a buyback of 35,000 ordinary shares at a price of 369.14p per share.</t>
  </si>
  <si>
    <t>The company returned £72,470 to shareholders by way of a buyback of 20,000 ordinary shares at a price of 362.35p per share.</t>
  </si>
  <si>
    <t>The company returned £107,505 to shareholders by way of a buyback of 30,000 ordinary shares at a price of 358.35p per share.</t>
  </si>
  <si>
    <t>The company returned £146,280 to shareholders by way of a buyback of 40,000 ordinary shares at a price of 365.7p per share.</t>
  </si>
  <si>
    <t>The company returned £149,500 to shareholders by way of a buyback of 65,000 ordinary shares at a price of 230.p per share.</t>
  </si>
  <si>
    <t>The company returned £225,500 to shareholders by way of a buyback of 100,000 ordinary shares at a price of 225.5p per share.</t>
  </si>
  <si>
    <t>The company returned £866,250 to shareholders by way of a buyback of 385,000 ordinary shares at a price of 225.p per share.</t>
  </si>
  <si>
    <t>The company returned £406,800 to shareholders by way of a buyback of 180,000 ordinary shares at a price of 226.p per share.</t>
  </si>
  <si>
    <t>The company returned £114,000 to shareholders by way of a buyback of 50,000 ordinary shares at a price of 228.p per share.</t>
  </si>
  <si>
    <t>The company returned £227,750 to shareholders by way of a buyback of 100,000 ordinary shares at a price of 227.75p per share.</t>
  </si>
  <si>
    <t>The company returned £179,200 to shareholders by way of a buyback of 80,000 ordinary shares at a price of 224.p per share.</t>
  </si>
  <si>
    <t>The company returned £361,600 to shareholders by way of a buyback of 160,000 ordinary shares at a price of 226.p per share.</t>
  </si>
  <si>
    <t>The company returned £225,000 to shareholders by way of a buyback of 100,000 ordinary shares at a price of 225.p per share.</t>
  </si>
  <si>
    <t>The company returned £270,000 to shareholders by way of a buyback of 120,000 ordinary shares at a price of 225.p per share.</t>
  </si>
  <si>
    <t>The company returned £2,325,804 to shareholders by way of a buyback of 690,170 ordinary shares at a price of 336.99p per share.</t>
  </si>
  <si>
    <t>The company returned £231,173 to shareholders by way of a buyback of 68,046 ordinary shares at a price of 339.73p per share.</t>
  </si>
  <si>
    <t>The company returned £1,446,740 to shareholders by way of a buyback of 424,862 ordinary shares at a price of 340.52p per share.</t>
  </si>
  <si>
    <t>The company returned £3,350,500 to shareholders by way of a buyback of 1,000,000 ordinary shares at a price of 335.05p per share.</t>
  </si>
  <si>
    <t>The company returned £3,215,102 to shareholders by way of a buyback of 988,198 ordinary shares at a price of 325.35p per share.</t>
  </si>
  <si>
    <t>The company returned £2,732,410 to shareholders by way of a buyback of 850,000 ordinary shares at a price of 321.46p per share.</t>
  </si>
  <si>
    <t>The company returned £302,684 to shareholders by way of a buyback of 95,484 ordinary shares at a price of 317.p per share.</t>
  </si>
  <si>
    <t>The company returned £444,907 to shareholders by way of a buyback of 139,238 ordinary shares at a price of 319.53p per share.</t>
  </si>
  <si>
    <t>The company returned £3,499,800 to shareholders by way of a buyback of 1,000,000 ordinary shares at a price of 349.98p per share.</t>
  </si>
  <si>
    <t>The company returned £1,762,768 to shareholders by way of a buyback of 530,092 ordinary shares at a price of 332.54p per share.</t>
  </si>
  <si>
    <t>The company returned £977,867 to shareholders by way of a buyback of 294,618 ordinary shares at a price of 331.91p per share.</t>
  </si>
  <si>
    <t>The company returned £2,506,275 to shareholders by way of a buyback of 750,000 ordinary shares at a price of 334.17p per share.</t>
  </si>
  <si>
    <t>The company returned £1,634,450 to shareholders by way of a buyback of 500,000 ordinary shares at a price of 326.89p per share.</t>
  </si>
  <si>
    <t>The company returned £3,250,200 to shareholders by way of a buyback of 1,000,000 ordinary shares at a price of 325.02p per share.</t>
  </si>
  <si>
    <t>The company returned £329,936 to shareholders by way of a buyback of 140,732 ordinary shares at a price of 234.44p per share.</t>
  </si>
  <si>
    <t>The company returned £1,192,610 to shareholders by way of a buyback of 500,000 ordinary shares at a price of 238.52p per share.</t>
  </si>
  <si>
    <t>The company returned £518,310 to shareholders by way of a buyback of 223,000 ordinary shares at a price of 232.43p per share.</t>
  </si>
  <si>
    <t>The company returned £472,692 to shareholders by way of a buyback of 202,566 ordinary shares at a price of 233.35p per share.</t>
  </si>
  <si>
    <t>The company returned £244,425 to shareholders by way of a buyback of 129,875 ordinary shares at a price of 188.2p per share.</t>
  </si>
  <si>
    <t>The company returned £941,650 to shareholders by way of a buyback of 500,000 ordinary shares at a price of 188.33p per share.</t>
  </si>
  <si>
    <t>The company returned £169,200 to shareholders by way of a buyback of 90,000 ordinary shares at a price of 188.p per share.</t>
  </si>
  <si>
    <t>The company returned £328,598 to shareholders by way of a buyback of 175,000 ordinary shares at a price of 187.77p per share.</t>
  </si>
  <si>
    <t>The company returned £328,230 to shareholders by way of a buyback of 175,000 ordinary shares at a price of 187.56p per share.</t>
  </si>
  <si>
    <t>The company returned £187,800 to shareholders by way of a buyback of 100,000 ordinary shares at a price of 187.8p per share.</t>
  </si>
  <si>
    <t>The company returned £219,831 to shareholders by way of a buyback of 114,020 ordinary shares at a price of 192.8p per share.</t>
  </si>
  <si>
    <t>The company returned £291,300 to shareholders by way of a buyback of 150,000 ordinary shares at a price of 194.2p per share.</t>
  </si>
  <si>
    <t>The company returned £97,025 to shareholders by way of a buyback of 50,000 ordinary shares at a price of 194.05p per share.</t>
  </si>
  <si>
    <t>The company returned £145,575 to shareholders by way of a buyback of 75,000 ordinary shares at a price of 194.1p per share.</t>
  </si>
  <si>
    <t>The company returned £184,300 to shareholders by way of a buyback of 95,000 ordinary shares at a price of 194.p per share.</t>
  </si>
  <si>
    <t>The company returned £341,250 to shareholders by way of a buyback of 175,000 ordinary shares at a price of 195.p per share.</t>
  </si>
  <si>
    <t>The company returned £136,360 to shareholders by way of a buyback of 70,000 ordinary shares at a price of 194.8p per share.</t>
  </si>
  <si>
    <t>The company returned £340,200 to shareholders by way of a buyback of 175,000 ordinary shares at a price of 194.4p per share.</t>
  </si>
  <si>
    <t>The company returned £327,750 to shareholders by way of a buyback of 115,000 ordinary shares at a price of 285.p per share.</t>
  </si>
  <si>
    <t>The company returned £343,200 to shareholders by way of a buyback of 120,000 ordinary shares at a price of 286.p per share.</t>
  </si>
  <si>
    <t>The company returned £140,500 to shareholders by way of a buyback of 50,000 ordinary shares at a price of 281.p per share.</t>
  </si>
  <si>
    <t>The company returned £142,500 to shareholders by way of a buyback of 50,000 ordinary shares at a price of 285.p per share.</t>
  </si>
  <si>
    <t>The company returned £87,600 to shareholders by way of a buyback of 30,000 ordinary shares at a price of 292.p per share.</t>
  </si>
  <si>
    <t>The company returned £144,750 to shareholders by way of a buyback of 50,000 ordinary shares at a price of 289.5p per share.</t>
  </si>
  <si>
    <t>The company returned £143,250 to shareholders by way of a buyback of 50,000 ordinary shares at a price of 286.5p per share.</t>
  </si>
  <si>
    <t>The company returned £214,403 to shareholders by way of a buyback of 75,000 ordinary shares at a price of 285.87p per share.</t>
  </si>
  <si>
    <t>The company returned £361,601 to shareholders by way of a buyback of 47,392 ordinary shares at a price of 763.p per share.</t>
  </si>
  <si>
    <t>The company returned £228,620 to shareholders by way of a buyback of 65,790 ordinary shares at a price of 347.5p per share.</t>
  </si>
  <si>
    <t>The company returned £169,000 to shareholders by way of a buyback of 50,000 ordinary shares at a price of 338.p per share.</t>
  </si>
  <si>
    <t>The company returned £402,244 to shareholders by way of a buyback of 89,114 ordinary shares at a price of 451.38p per share.</t>
  </si>
  <si>
    <t>The company returned £269,270 to shareholders by way of a buyback of 60,105 ordinary shares at a price of 448.p per share.</t>
  </si>
  <si>
    <t>The company returned £346,239 to shareholders by way of a buyback of 77,829 ordinary shares at a price of 444.87p per share.</t>
  </si>
  <si>
    <t>The company returned £44,277 to shareholders by way of a buyback of 10,000 ordinary shares at a price of 442.77p per share.</t>
  </si>
  <si>
    <t>The company returned £178,757 to shareholders by way of a buyback of 40,000 ordinary shares at a price of 446.89p per share.</t>
  </si>
  <si>
    <t>The company returned £414,357 to shareholders by way of a buyback of 92,220 ordinary shares at a price of 449.31p per share.</t>
  </si>
  <si>
    <t>The company returned £267,363 to shareholders by way of a buyback of 60,000 ordinary shares at a price of 445.61p per share.</t>
  </si>
  <si>
    <t>The company returned £238,841 to shareholders by way of a buyback of 53,365 ordinary shares at a price of 447.56p per share.</t>
  </si>
  <si>
    <t>The company returned £44,545 to shareholders by way of a buyback of 10,000 ordinary shares at a price of 445.45p per share.</t>
  </si>
  <si>
    <t>The company returned £89,634 to shareholders by way of a buyback of 20,010 ordinary shares at a price of 447.95p per share.</t>
  </si>
  <si>
    <t>The company returned £675,000 to shareholders by way of a buyback of 150,000 ordinary shares at a price of 450.p per share.</t>
  </si>
  <si>
    <t>The company returned £274,576 to shareholders by way of a buyback of 61,153 ordinary shares at a price of 449.p per share.</t>
  </si>
  <si>
    <t>The company returned £350,703 to shareholders by way of a buyback of 77,936 ordinary shares at a price of 449.99p per share.</t>
  </si>
  <si>
    <t>The company returned £226,612 to shareholders by way of a buyback of 50,081 ordinary shares at a price of 452.49p per share.</t>
  </si>
  <si>
    <t>The company returned £283,216 to shareholders by way of a buyback of 62,263 ordinary shares at a price of 454.87p per share.</t>
  </si>
  <si>
    <t>The company returned £111,996 to shareholders by way of a buyback of 24,630 ordinary shares at a price of 454.71p per share.</t>
  </si>
  <si>
    <t>The company returned £562,575 to shareholders by way of a buyback of 122,326 ordinary shares at a price of 459.9p per share.</t>
  </si>
  <si>
    <t>The company returned £461,331 to shareholders by way of a buyback of 101,000 ordinary shares at a price of 456.76p per share.</t>
  </si>
  <si>
    <t>The company returned £350,732 to shareholders by way of a buyback of 76,261 ordinary shares at a price of 459.91p per share.</t>
  </si>
  <si>
    <t>The company returned £353,850 to shareholders by way of a buyback of 76,428 ordinary shares at a price of 462.99p per share.</t>
  </si>
  <si>
    <t>The company returned £2,085,208 to shareholders by way of a buyback of 607,295 ordinary shares at a price of 343.36p per share.</t>
  </si>
  <si>
    <t>The company returned £1,234,135 to shareholders by way of a buyback of 350,000 ordinary shares at a price of 352.61p per share.</t>
  </si>
  <si>
    <t>The company returned £875,250 to shareholders by way of a buyback of 250,000 ordinary shares at a price of 350.1p per share.</t>
  </si>
  <si>
    <t>The company returned £1,229,725 to shareholders by way of a buyback of 350,000 ordinary shares at a price of 351.35p per share.</t>
  </si>
  <si>
    <t>The company returned £2,101,500 to shareholders by way of a buyback of 600,000 ordinary shares at a price of 350.25p per share.</t>
  </si>
  <si>
    <t>The company returned £1,781,000 to shareholders by way of a buyback of 500,000 ordinary shares at a price of 356.2p per share.</t>
  </si>
  <si>
    <t>The company returned £2,436,179 to shareholders by way of a buyback of 680,003 ordinary shares at a price of 358.26p per share.</t>
  </si>
  <si>
    <t>The company returned £1,587,408 to shareholders by way of a buyback of 421,880 ordinary shares at a price of 376.27p per share.</t>
  </si>
  <si>
    <t>The company returned £5,777,960 to shareholders by way of a buyback of 230,858 ordinary shares at a price of 2,502.82p per share.</t>
  </si>
  <si>
    <t>The company returned £5,874,528 to shareholders by way of a buyback of 230,858 ordinary shares at a price of 2,544.65p per share.</t>
  </si>
  <si>
    <t>The company returned £5,739,012 to shareholders by way of a buyback of 221,610 ordinary shares at a price of 2,589.69p per share.</t>
  </si>
  <si>
    <t>The company returned £5,767,985 to shareholders by way of a buyback of 221,032 ordinary shares at a price of 2,609.57p per share.</t>
  </si>
  <si>
    <t>The company returned £5,872,980 to shareholders by way of a buyback of 222,187 ordinary shares at a price of 2,643.26p per share.</t>
  </si>
  <si>
    <t>The company returned £5,803,294 to shareholders by way of a buyback of 222,305 ordinary shares at a price of 2,610.51p per share.</t>
  </si>
  <si>
    <t>The company returned £5,801,563 to shareholders by way of a buyback of 221,536 ordinary shares at a price of 2,618.79p per share.</t>
  </si>
  <si>
    <t>The company returned £5,954,484 to shareholders by way of a buyback of 222,305 ordinary shares at a price of 2,678.52p per share.</t>
  </si>
  <si>
    <t>The company returned £5,967,022 to shareholders by way of a buyback of 222,305 ordinary shares at a price of 2,684.16p per share.</t>
  </si>
  <si>
    <t>The company returned £5,864,273 to shareholders by way of a buyback of 222,305 ordinary shares at a price of 2,637.94p per share.</t>
  </si>
  <si>
    <t>The company returned £5,916,159 to shareholders by way of a buyback of 222,305 ordinary shares at a price of 2,661.28p per share.</t>
  </si>
  <si>
    <t>The company returned £5,894,462 to shareholders by way of a buyback of 222,305 ordinary shares at a price of 2,651.52p per share.</t>
  </si>
  <si>
    <t>The company returned £5,814,187 to shareholders by way of a buyback of 222,305 ordinary shares at a price of 2,615.41p per share.</t>
  </si>
  <si>
    <t>The company returned £7,830,435 to shareholders by way of a buyback of 307,811 ordinary shares at a price of 2,543.91p per share.</t>
  </si>
  <si>
    <t>The company returned £7,685,302 to shareholders by way of a buyback of 307,811 ordinary shares at a price of 2,496.76p per share.</t>
  </si>
  <si>
    <t>The company returned £7,810,489 to shareholders by way of a buyback of 307,811 ordinary shares at a price of 2,537.43p per share.</t>
  </si>
  <si>
    <t>The company returned £3,643,185 to shareholders by way of a buyback of 135,278 ordinary shares at a price of 2,693.11p per share.</t>
  </si>
  <si>
    <t>The company returned £2,931,108 to shareholders by way of a buyback of 106,981 ordinary shares at a price of 2,739.84p per share.</t>
  </si>
  <si>
    <t>The company returned £99,966 to shareholders by way of a buyback of 6,000 ordinary shares at a price of 1,666.1p per share.</t>
  </si>
  <si>
    <t>The company returned £423,306 to shareholders by way of a buyback of 25,000 ordinary shares at a price of 1,693.22p per share.</t>
  </si>
  <si>
    <t>The company returned £509,166 to shareholders by way of a buyback of 30,000 ordinary shares at a price of 1,697.22p per share.</t>
  </si>
  <si>
    <t>The company returned £436,393 to shareholders by way of a buyback of 26,000 ordinary shares at a price of 1,678.43p per share.</t>
  </si>
  <si>
    <t>The company returned £506,400 to shareholders by way of a buyback of 30,000 ordinary shares at a price of 1,688.p per share.</t>
  </si>
  <si>
    <t>The company returned £272,760 to shareholders by way of a buyback of 16,000 ordinary shares at a price of 1,704.75p per share.</t>
  </si>
  <si>
    <t>The company returned £119,099 to shareholders by way of a buyback of 7,000 ordinary shares at a price of 1,701.42p per share.</t>
  </si>
  <si>
    <t>The company returned £258,966 to shareholders by way of a buyback of 15,000 ordinary shares at a price of 1,726.44p per share.</t>
  </si>
  <si>
    <t>The company returned £433,766 to shareholders by way of a buyback of 25,000 ordinary shares at a price of 1,735.06p per share.</t>
  </si>
  <si>
    <t>The company returned £129,960 to shareholders by way of a buyback of 7,500 ordinary shares at a price of 1,732.8p per share.</t>
  </si>
  <si>
    <t>The company returned £520,161 to shareholders by way of a buyback of 30,000 ordinary shares at a price of 1,733.87p per share.</t>
  </si>
  <si>
    <t>The company returned £517,609 to shareholders by way of a buyback of 30,000 ordinary shares at a price of 1,725.36p per share.</t>
  </si>
  <si>
    <t>The company returned £378,917 to shareholders by way of a buyback of 22,000 ordinary shares at a price of 1,722.35p per share.</t>
  </si>
  <si>
    <t>The company returned £429,560 to shareholders by way of a buyback of 25,000 ordinary shares at a price of 1,718.24p per share.</t>
  </si>
  <si>
    <t>The company returned £481,300 to shareholders by way of a buyback of 28,000 ordinary shares at a price of 1,718.93p per share.</t>
  </si>
  <si>
    <t>The company returned £375,544 to shareholders by way of a buyback of 22,000 ordinary shares at a price of 1,707.02p per share.</t>
  </si>
  <si>
    <t>The company returned £510,757 to shareholders by way of a buyback of 30,000 ordinary shares at a price of 1,702.52p per share.</t>
  </si>
  <si>
    <t>The company returned £109,750 to shareholders by way of a buyback of 25,000 ordinary shares at a price of 439.p per share.</t>
  </si>
  <si>
    <t>The company returned £435,500 to shareholders by way of a buyback of 100,000 ordinary shares at a price of 435.5p per share.</t>
  </si>
  <si>
    <t>The company returned £325,000 to shareholders by way of a buyback of 75,000 ordinary shares at a price of 433.33p per share.</t>
  </si>
  <si>
    <t>The company returned £256,800 to shareholders by way of a buyback of 60,000 ordinary shares at a price of 428.p per share.</t>
  </si>
  <si>
    <t>The company returned £134,119 to shareholders by way of a buyback of 31,277 ordinary shares at a price of 428.81p per share.</t>
  </si>
  <si>
    <t>The company returned £104,500 to shareholders by way of a buyback of 25,000 ordinary shares at a price of 418.p per share.</t>
  </si>
  <si>
    <t>The company returned £1,042,500 to shareholders by way of a buyback of 250,000 ordinary shares at a price of 417.p per share.</t>
  </si>
  <si>
    <t>The company returned £215,865 to shareholders by way of a buyback of 30,000 ordinary shares at a price of 719.55p per share.</t>
  </si>
  <si>
    <t>The company returned £143,600 to shareholders by way of a buyback of 20,000 ordinary shares at a price of 718.p per share.</t>
  </si>
  <si>
    <t>The company returned £144,800 to shareholders by way of a buyback of 20,000 ordinary shares at a price of 724.p per share.</t>
  </si>
  <si>
    <t>The company returned £247,800 to shareholders by way of a buyback of 35,000 ordinary shares at a price of 708.p per share.</t>
  </si>
  <si>
    <t>The company returned £176,500 to shareholders by way of a buyback of 25,000 ordinary shares at a price of 706.p per share.</t>
  </si>
  <si>
    <t>The company returned £352,000 to shareholders by way of a buyback of 50,000 ordinary shares at a price of 704.p per share.</t>
  </si>
  <si>
    <t>The company returned £70,800 to shareholders by way of a buyback of 10,000 ordinary shares at a price of 708.p per share.</t>
  </si>
  <si>
    <t>The company returned £180,000 to shareholders by way of a buyback of 25,000 ordinary shares at a price of 720.p per share.</t>
  </si>
  <si>
    <t>The company returned £108,600 to shareholders by way of a buyback of 15,000 ordinary shares at a price of 724.p per share.</t>
  </si>
  <si>
    <t>The company returned £430,492 to shareholders by way of a buyback of 84,931 ordinary shares at a price of 506.87p per share.</t>
  </si>
  <si>
    <t>The company returned £509,428 to shareholders by way of a buyback of 100,000 ordinary shares at a price of 509.43p per share.</t>
  </si>
  <si>
    <t>The company returned £55,716 to shareholders by way of a buyback of 11,044 ordinary shares at a price of 504.49p per share.</t>
  </si>
  <si>
    <t>The company returned £237,945 to shareholders by way of a buyback of 47,356 ordinary shares at a price of 502.46p per share.</t>
  </si>
  <si>
    <t>The company returned £493,331 to shareholders by way of a buyback of 100,000 ordinary shares at a price of 493.33p per share.</t>
  </si>
  <si>
    <t>The company returned £147,352 to shareholders by way of a buyback of 29,686 ordinary shares at a price of 496.37p per share.</t>
  </si>
  <si>
    <t>The company returned £244,243 to shareholders by way of a buyback of 48,955 ordinary shares at a price of 498.91p per share.</t>
  </si>
  <si>
    <t>The company returned £126,500 to shareholders by way of a buyback of 25,000 ordinary shares at a price of 506.p per share.</t>
  </si>
  <si>
    <t>The company returned £73,225 to shareholders by way of a buyback of 14,500 ordinary shares at a price of 505.p per share.</t>
  </si>
  <si>
    <t>The company returned £231,844 to shareholders by way of a buyback of 44,949 ordinary shares at a price of 515.79p per share.</t>
  </si>
  <si>
    <t>The company returned £522,994 to shareholders by way of a buyback of 102,048 ordinary shares at a price of 512.5p per share.</t>
  </si>
  <si>
    <t>The company returned £486,456 to shareholders by way of a buyback of 95,273 ordinary shares at a price of 510.59p per share.</t>
  </si>
  <si>
    <t>The company returned £593,856 to shareholders by way of a buyback of 115,137 ordinary shares at a price of 515.78p per share.</t>
  </si>
  <si>
    <t>The company returned £534,333 to shareholders by way of a buyback of 104,124 ordinary shares at a price of 513.17p per share.</t>
  </si>
  <si>
    <t>The company returned £499,800 to shareholders by way of a buyback of 98,000 ordinary shares at a price of 510.p per share.</t>
  </si>
  <si>
    <t>The company returned £202,649 to shareholders by way of a buyback of 39,677 ordinary shares at a price of 510.75p per share.</t>
  </si>
  <si>
    <t>The company returned £2,687,308 to shareholders by way of a buyback of 200,000 ordinary shares at a price of 1,343.65p per share.</t>
  </si>
  <si>
    <t>The company returned £3,654,750 to shareholders by way of a buyback of 275,000 ordinary shares at a price of 1,329.p per share.</t>
  </si>
  <si>
    <t>The company returned £267,000 to shareholders by way of a buyback of 20,000 ordinary shares at a price of 1,335.p per share.</t>
  </si>
  <si>
    <t>The company returned £2,801,068 to shareholders by way of a buyback of 210,000 ordinary shares at a price of 1,333.84p per share.</t>
  </si>
  <si>
    <t>The company returned £1,846,527 to shareholders by way of a buyback of 140,000 ordinary shares at a price of 1,318.95p per share.</t>
  </si>
  <si>
    <t>The company returned £1,065,525 to shareholders by way of a buyback of 80,000 ordinary shares at a price of 1,331.91p per share.</t>
  </si>
  <si>
    <t>The company returned £2,174,520 to shareholders by way of a buyback of 165,000 ordinary shares at a price of 1,317.89p per share.</t>
  </si>
  <si>
    <t>The company returned £804,446 to shareholders by way of a buyback of 60,000 ordinary shares at a price of 1,340.74p per share.</t>
  </si>
  <si>
    <t>The company returned £465,150 to shareholders by way of a buyback of 35,000 ordinary shares at a price of 1,329.p per share.</t>
  </si>
  <si>
    <t>The company returned £3,762,050 to shareholders by way of a buyback of 500,000 ordinary shares at a price of 752.41p per share.</t>
  </si>
  <si>
    <t>The company returned £4,214,460 to shareholders by way of a buyback of 600,000 ordinary shares at a price of 702.41p per share.</t>
  </si>
  <si>
    <t>The company returned £2,589,836 to shareholders by way of a buyback of 360,606 ordinary shares at a price of 718.19p per share.</t>
  </si>
  <si>
    <t>The company returned £3,561,900 to shareholders by way of a buyback of 500,000 ordinary shares at a price of 712.38p per share.</t>
  </si>
  <si>
    <t>The company returned £3,527,200 to shareholders by way of a buyback of 500,000 ordinary shares at a price of 705.44p per share.</t>
  </si>
  <si>
    <t>The company returned £2,663,735 to shareholders by way of a buyback of 382,314 ordinary shares at a price of 696.74p per share.</t>
  </si>
  <si>
    <t>The company returned £34,259,194 to shareholders by way of a buyback of 4,987,000 ordinary shares at a price of 686.97p per share.</t>
  </si>
  <si>
    <t>The company returned £1,475,991 to shareholders by way of a buyback of 217,000 ordinary shares at a price of 680.18p per share.</t>
  </si>
  <si>
    <t>The company returned £2,668,480 to shareholders by way of a buyback of 400,000 ordinary shares at a price of 667.12p per share.</t>
  </si>
  <si>
    <t>The company returned £3,191,655 to shareholders by way of a buyback of 489,773 ordinary shares at a price of 651.66p per share.</t>
  </si>
  <si>
    <t>The company returned £1,460,745 to shareholders by way of a buyback of 225,000 ordinary shares at a price of 649.22p per share.</t>
  </si>
  <si>
    <t>The company returned £2,640 to shareholders by way of a buyback of 13,200 ordinary shares at a price of 20.p per share.</t>
  </si>
  <si>
    <t>The company returned £11,852 to shareholders by way of a buyback of 3,319 ordinary shares at a price of 357.09p per share.</t>
  </si>
  <si>
    <t>The company returned £47,502 to shareholders by way of a buyback of 13,100 ordinary shares at a price of 362.61p per share.</t>
  </si>
  <si>
    <t>The company returned £37,154 to shareholders by way of a buyback of 10,069 ordinary shares at a price of 368.99p per share.</t>
  </si>
  <si>
    <t>The company returned £43,298 to shareholders by way of a buyback of 11,830 ordinary shares at a price of 366.p per share.</t>
  </si>
  <si>
    <t>The company returned £43,990 to shareholders by way of a buyback of 12,000 ordinary shares at a price of 366.58p per share.</t>
  </si>
  <si>
    <t>The company returned £15,221 to shareholders by way of a buyback of 4,090 ordinary shares at a price of 372.16p per share.</t>
  </si>
  <si>
    <t>The company returned £25,056 to shareholders by way of a buyback of 6,674 ordinary shares at a price of 375.42p per share.</t>
  </si>
  <si>
    <t>The company returned £55,492 to shareholders by way of a buyback of 14,776 ordinary shares at a price of 375.55p per share.</t>
  </si>
  <si>
    <t>The company returned £28,746 to shareholders by way of a buyback of 7,671 ordinary shares at a price of 374.74p per share.</t>
  </si>
  <si>
    <t>The company returned £27,766 to shareholders by way of a buyback of 7,308 ordinary shares at a price of 379.94p per share.</t>
  </si>
  <si>
    <t>The company returned £10,288 to shareholders by way of a buyback of 2,674 ordinary shares at a price of 384.75p per share.</t>
  </si>
  <si>
    <t>The company returned £16,559 to shareholders by way of a buyback of 4,273 ordinary shares at a price of 387.54p per share.</t>
  </si>
  <si>
    <t>The company returned £123,229 to shareholders by way of a buyback of 50,000 ordinary shares at a price of 246.46p per share.</t>
  </si>
  <si>
    <t>The company returned £34,284 to shareholders by way of a buyback of 13,551 ordinary shares at a price of 253.p per share.</t>
  </si>
  <si>
    <t>The company returned £13,878 to shareholders by way of a buyback of 5,507 ordinary shares at a price of 252.p per share.</t>
  </si>
  <si>
    <t>The company returned £62,286 to shareholders by way of a buyback of 25,000 ordinary shares at a price of 249.14p per share.</t>
  </si>
  <si>
    <t>The company returned £55,746 to shareholders by way of a buyback of 22,460 ordinary shares at a price of 248.2p per share.</t>
  </si>
  <si>
    <t>The company returned £61,868 to shareholders by way of a buyback of 25,000 ordinary shares at a price of 247.47p per share.</t>
  </si>
  <si>
    <t>The company returned £122,250 to shareholders by way of a buyback of 50,000 ordinary shares at a price of 244.5p per share.</t>
  </si>
  <si>
    <t>The company returned £60,750 to shareholders by way of a buyback of 25,000 ordinary shares at a price of 243.p per share.</t>
  </si>
  <si>
    <t>The company returned £25,976 to shareholders by way of a buyback of 10,646 ordinary shares at a price of 244.p per share.</t>
  </si>
  <si>
    <t>The company returned £61,150 to shareholders by way of a buyback of 25,000 ordinary shares at a price of 244.6p per share.</t>
  </si>
  <si>
    <t>The company returned £68,036 to shareholders by way of a buyback of 27,688 ordinary shares at a price of 245.72p per share.</t>
  </si>
  <si>
    <t>The company returned £62,212 to shareholders by way of a buyback of 25,000 ordinary shares at a price of 248.85p per share.</t>
  </si>
  <si>
    <t>The company returned £62,341 to shareholders by way of a buyback of 25,000 ordinary shares at a price of 249.36p per share.</t>
  </si>
  <si>
    <t>The company returned £82,125 to shareholders by way of a buyback of 32,666 ordinary shares at a price of 251.41p per share.</t>
  </si>
  <si>
    <t>The company returned £127,100 to shareholders by way of a buyback of 50,000 ordinary shares at a price of 254.2p per share.</t>
  </si>
  <si>
    <t>The company returned £513,020 to shareholders by way of a buyback of 200,000 ordinary shares at a price of 256.51p per share.</t>
  </si>
  <si>
    <t>The company returned £543,018 to shareholders by way of a buyback of 210,000 ordinary shares at a price of 258.58p per share.</t>
  </si>
  <si>
    <t>The company returned £256,890 to shareholders by way of a buyback of 100,000 ordinary shares at a price of 256.89p per share.</t>
  </si>
  <si>
    <t>The company returned £252,500 to shareholders by way of a buyback of 100,000 ordinary shares at a price of 252.5p per share.</t>
  </si>
  <si>
    <t>The company returned £814,710 to shareholders by way of a buyback of 325,000 ordinary shares at a price of 250.68p per share.</t>
  </si>
  <si>
    <t>The company returned £250,850 to shareholders by way of a buyback of 100,000 ordinary shares at a price of 250.85p per share.</t>
  </si>
  <si>
    <t>The company returned £439,373 to shareholders by way of a buyback of 175,000 ordinary shares at a price of 251.07p per share.</t>
  </si>
  <si>
    <t>The company returned £442,068 to shareholders by way of a buyback of 175,000 ordinary shares at a price of 252.61p per share.</t>
  </si>
  <si>
    <t>The company returned £1,023,770 to shareholders by way of a buyback of 410,000 ordinary shares at a price of 249.7p per share.</t>
  </si>
  <si>
    <t>The company returned £756,960 to shareholders by way of a buyback of 300,000 ordinary shares at a price of 252.32p per share.</t>
  </si>
  <si>
    <t>The company returned £420,173 to shareholders by way of a buyback of 165,000 ordinary shares at a price of 254.65p per share.</t>
  </si>
  <si>
    <t>The company returned £894 to shareholders by way of a buyback of 295 ordinary shares at a price of 303.p per share.</t>
  </si>
  <si>
    <t>The company returned £1,768 to shareholders by way of a buyback of 574 ordinary shares at a price of 308.p per share.</t>
  </si>
  <si>
    <t>The company returned £92,708 to shareholders by way of a buyback of 30,100 ordinary shares at a price of 308.p per share.</t>
  </si>
  <si>
    <t>The company returned £289,300 to shareholders by way of a buyback of 250,000 ordinary shares at a price of 115.72p per share.</t>
  </si>
  <si>
    <t>The company returned £172,950 to shareholders by way of a buyback of 150,000 ordinary shares at a price of 115.3p per share.</t>
  </si>
  <si>
    <t>The company returned £143,750 to shareholders by way of a buyback of 125,000 ordinary shares at a price of 115.p per share.</t>
  </si>
  <si>
    <t>The company returned £173,250 to shareholders by way of a buyback of 150,000 ordinary shares at a price of 115.5p per share.</t>
  </si>
  <si>
    <t>The company returned £142,500 to shareholders by way of a buyback of 125,000 ordinary shares at a price of 114.p per share.</t>
  </si>
  <si>
    <t>The company returned £171,750 to shareholders by way of a buyback of 150,000 ordinary shares at a price of 114.5p per share.</t>
  </si>
  <si>
    <t>The company returned £172,500 to shareholders by way of a buyback of 150,000 ordinary shares at a price of 115.p per share.</t>
  </si>
  <si>
    <t>The company returned £142,400 to shareholders by way of a buyback of 125,000 ordinary shares at a price of 113.92p per share.</t>
  </si>
  <si>
    <t>The company returned £171,615 to shareholders by way of a buyback of 150,000 ordinary shares at a price of 114.41p per share.</t>
  </si>
  <si>
    <t>The company returned £57,000 to shareholders by way of a buyback of 50,000 ordinary shares at a price of 114.p per share.</t>
  </si>
  <si>
    <t>The company returned £227,880 to shareholders by way of a buyback of 200,000 ordinary shares at a price of 113.94p per share.</t>
  </si>
  <si>
    <t>The company returned £169,500 to shareholders by way of a buyback of 150,000 ordinary shares at a price of 113.p per share.</t>
  </si>
  <si>
    <t>The company returned £22,800 to shareholders by way of a buyback of 20,000 ordinary shares at a price of 114.p per share.</t>
  </si>
  <si>
    <t>The company returned £231,000 to shareholders by way of a buyback of 200,000 ordinary shares at a price of 115.5p per share.</t>
  </si>
  <si>
    <t>The company returned £228,000 to shareholders by way of a buyback of 200,000 ordinary shares at a price of 114.p per share.</t>
  </si>
  <si>
    <t>The company returned £148,850 to shareholders by way of a buyback of 130,000 ordinary shares at a price of 114.5p per share.</t>
  </si>
  <si>
    <t>The company returned £171,000 to shareholders by way of a buyback of 150,000 ordinary shares at a price of 114.p per share.</t>
  </si>
  <si>
    <t>The company returned £115,500 to shareholders by way of a buyback of 100,000 ordinary shares at a price of 115.5p per share.</t>
  </si>
  <si>
    <t>The company returned £488,750 to shareholders by way of a buyback of 50,000 ordinary shares at a price of 977.5p per share.</t>
  </si>
  <si>
    <t>The company returned £744,000 to shareholders by way of a buyback of 75,000 ordinary shares at a price of 992.p per share.</t>
  </si>
  <si>
    <t>The company returned £1,014,000 to shareholders by way of a buyback of 100,000 ordinary shares at a price of 1,014.p per share.</t>
  </si>
  <si>
    <t>The company returned £756,000 to shareholders by way of a buyback of 75,000 ordinary shares at a price of 1,008.p per share.</t>
  </si>
  <si>
    <t>The company returned £126,750 to shareholders by way of a buyback of 12,500 ordinary shares at a price of 1,014.p per share.</t>
  </si>
  <si>
    <t>The company returned £1,252,450 to shareholders by way of a buyback of 125,000 ordinary shares at a price of 1,001.96p per share.</t>
  </si>
  <si>
    <t>The company returned £390,780 to shareholders by way of a buyback of 39,000 ordinary shares at a price of 1,002.p per share.</t>
  </si>
  <si>
    <t>The company returned £1,481,850 to shareholders by way of a buyback of 150,000 ordinary shares at a price of 987.9p per share.</t>
  </si>
  <si>
    <t>The company returned £1,964,320 to shareholders by way of a buyback of 200,000 ordinary shares at a price of 982.16p per share.</t>
  </si>
  <si>
    <t>The company returned £741,000 to shareholders by way of a buyback of 75,000 ordinary shares at a price of 988.p per share.</t>
  </si>
  <si>
    <t>The company returned £1,242,500 to shareholders by way of a buyback of 125,000 ordinary shares at a price of 994.p per share.</t>
  </si>
  <si>
    <t>The company returned £1,008,000 to shareholders by way of a buyback of 100,000 ordinary shares at a price of 1,008.p per share.</t>
  </si>
  <si>
    <t>The company returned £774,000 to shareholders by way of a buyback of 75,000 ordinary shares at a price of 1,032.p per share.</t>
  </si>
  <si>
    <t>The company returned £2,072,000 to shareholders by way of a buyback of 200,000 ordinary shares at a price of 1,036.p per share.</t>
  </si>
  <si>
    <t>The company returned £406,500 to shareholders by way of a buyback of 250,000 ordinary shares at a price of 162.6p per share.</t>
  </si>
  <si>
    <t>The company returned £254,238 to shareholders by way of a buyback of 151,413 ordinary shares at a price of 167.91p per share.</t>
  </si>
  <si>
    <t>The company returned £409,450 to shareholders by way of a buyback of 250,000 ordinary shares at a price of 163.78p per share.</t>
  </si>
  <si>
    <t>The company returned £655,720 to shareholders by way of a buyback of 400,000 ordinary shares at a price of 163.93p per share.</t>
  </si>
  <si>
    <t>The company returned £212,114 to shareholders by way of a buyback of 130,299 ordinary shares at a price of 162.79p per share.</t>
  </si>
  <si>
    <t>The company returned £125,613 to shareholders by way of a buyback of 78,513 ordinary shares at a price of 159.99p per share.</t>
  </si>
  <si>
    <t>The company returned £393,725 to shareholders by way of a buyback of 250,000 ordinary shares at a price of 157.49p per share.</t>
  </si>
  <si>
    <t>The company returned £643,520 to shareholders by way of a buyback of 400,000 ordinary shares at a price of 160.88p per share.</t>
  </si>
  <si>
    <t>The company returned £448,563 to shareholders by way of a buyback of 285,600 ordinary shares at a price of 157.06p per share.</t>
  </si>
  <si>
    <t>The company returned £281,640 to shareholders by way of a buyback of 176,943 ordinary shares at a price of 159.17p per share.</t>
  </si>
  <si>
    <t>The company returned £644,600 to shareholders by way of a buyback of 400,000 ordinary shares at a price of 161.15p per share.</t>
  </si>
  <si>
    <t>The company returned £217,000 to shareholders by way of a buyback of 100,000 ordinary shares at a price of 217.p per share.</t>
  </si>
  <si>
    <t>The company returned £141,102 to shareholders by way of a buyback of 65,000 ordinary shares at a price of 217.08p per share.</t>
  </si>
  <si>
    <t>The company returned £57,454 to shareholders by way of a buyback of 50,000 ordinary shares at a price of 213.26p per share.</t>
  </si>
  <si>
    <t>The company returned £53,750 to shareholders by way of a buyback of 26,941 ordinary shares at a price of 215.p per share.</t>
  </si>
  <si>
    <t>The company returned £93,682 to shareholders by way of a buyback of 25,000 ordinary shares at a price of 213.68p per share.</t>
  </si>
  <si>
    <t>The company returned £116,578 to shareholders by way of a buyback of 43,842 ordinary shares at a price of 219.8p per share.</t>
  </si>
  <si>
    <t>The company returned £170,161 to shareholders by way of a buyback of 53,038 ordinary shares at a price of 221.p per share.</t>
  </si>
  <si>
    <t>The company returned £88,000 to shareholders by way of a buyback of 76,996 ordinary shares at a price of 220.p per share.</t>
  </si>
  <si>
    <t>The company returned £17,475 to shareholders by way of a buyback of 15,000 ordinary shares at a price of 116.5p per share.</t>
  </si>
  <si>
    <t>The company returned £40,425 to shareholders by way of a buyback of 35,000 ordinary shares at a price of 115.5p per share.</t>
  </si>
  <si>
    <t>The company returned £331,019 to shareholders by way of a buyback of 220,000 ordinary shares at a price of 150.46p per share.</t>
  </si>
  <si>
    <t>The company returned £344,709 to shareholders by way of a buyback of 230,107 ordinary shares at a price of 149.8p per share.</t>
  </si>
  <si>
    <t>The company returned £279,399 to shareholders by way of a buyback of 185,551 ordinary shares at a price of 150.58p per share.</t>
  </si>
  <si>
    <t>The company returned £526,654 to shareholders by way of a buyback of 352,820 ordinary shares at a price of 149.27p per share.</t>
  </si>
  <si>
    <t>The company returned £443,845 to shareholders by way of a buyback of 299,640 ordinary shares at a price of 148.13p per share.</t>
  </si>
  <si>
    <t>The company returned £447,465 to shareholders by way of a buyback of 299,596 ordinary shares at a price of 149.36p per share.</t>
  </si>
  <si>
    <t>The company returned £374,585 to shareholders by way of a buyback of 250,000 ordinary shares at a price of 149.83p per share.</t>
  </si>
  <si>
    <t>The company returned £426,500 to shareholders by way of a buyback of 285,000 ordinary shares at a price of 149.65p per share.</t>
  </si>
  <si>
    <t>The company returned £390,675 to shareholders by way of a buyback of 260,145 ordinary shares at a price of 150.18p per share.</t>
  </si>
  <si>
    <t>The company returned £416,399 to shareholders by way of a buyback of 280,000 ordinary shares at a price of 148.71p per share.</t>
  </si>
  <si>
    <t>The company returned £367,400 to shareholders by way of a buyback of 250,000 ordinary shares at a price of 146.96p per share.</t>
  </si>
  <si>
    <t>The company returned £282,031 to shareholders by way of a buyback of 190,380 ordinary shares at a price of 148.14p per share.</t>
  </si>
  <si>
    <t>The company returned £348,786 to shareholders by way of a buyback of 234,437 ordinary shares at a price of 148.78p per share.</t>
  </si>
  <si>
    <t>The company returned £474,205 to shareholders by way of a buyback of 320,000 ordinary shares at a price of 148.19p per share.</t>
  </si>
  <si>
    <t>The company returned £475,037 to shareholders by way of a buyback of 320,000 ordinary shares at a price of 148.45p per share.</t>
  </si>
  <si>
    <t>The company returned £359,547 to shareholders by way of a buyback of 245,000 ordinary shares at a price of 146.75p per share.</t>
  </si>
  <si>
    <t>The company returned £410,348 to shareholders by way of a buyback of 280,000 ordinary shares at a price of 146.55p per share.</t>
  </si>
  <si>
    <t>The company returned £363,108 to shareholders by way of a buyback of 250,000 ordinary shares at a price of 145.24p per share.</t>
  </si>
  <si>
    <t>The company returned £8,755 to shareholders by way of a buyback of 1,063 ordinary shares at a price of 823.62p per share.</t>
  </si>
  <si>
    <t>The company returned £3,504 to shareholders by way of a buyback of 433 ordinary shares at a price of 809.2p per share.</t>
  </si>
  <si>
    <t>The company returned £12,070 to shareholders by way of a buyback of 1,493 ordinary shares at a price of 808.45p per share.</t>
  </si>
  <si>
    <t>The company returned £41,136 to shareholders by way of a buyback of 5,198 ordinary shares at a price of 791.38p per share.</t>
  </si>
  <si>
    <t>The company returned £7,475 to shareholders by way of a buyback of 911 ordinary shares at a price of 820.5p per share.</t>
  </si>
  <si>
    <t>The company returned £24,092 to shareholders by way of a buyback of 2,938 ordinary shares at a price of 820.03p per share.</t>
  </si>
  <si>
    <t>The company returned £3,705 to shareholders by way of a buyback of 450 ordinary shares at a price of 823.44p per share.</t>
  </si>
  <si>
    <t>The company returned £41,917 to shareholders by way of a buyback of 30,828 ordinary shares at a price of 135.97p per share.</t>
  </si>
  <si>
    <t>The company returned £3,282 to shareholders by way of a buyback of 2,429 ordinary shares at a price of 135.1p per share.</t>
  </si>
  <si>
    <t>The company returned £13,678 to shareholders by way of a buyback of 10,058 ordinary shares at a price of 135.99p per share.</t>
  </si>
  <si>
    <t>The company returned £55,088 to shareholders by way of a buyback of 40,530 ordinary shares at a price of 135.92p per share.</t>
  </si>
  <si>
    <t>The company returned £42,001 to shareholders by way of a buyback of 30,940 ordinary shares at a price of 135.75p per share.</t>
  </si>
  <si>
    <t>The company returned £40,470 to shareholders by way of a buyback of 30,000 ordinary shares at a price of 134.9p per share.</t>
  </si>
  <si>
    <t>The company returned £30,874 to shareholders by way of a buyback of 22,977 ordinary shares at a price of 134.37p per share.</t>
  </si>
  <si>
    <t>The company returned £13,760 to shareholders by way of a buyback of 10,000 ordinary shares at a price of 137.6p per share.</t>
  </si>
  <si>
    <t>The company returned £194 to shareholders by way of a buyback of 134 ordinary shares at a price of 145.p per share.</t>
  </si>
  <si>
    <t>The company returned £14,930 to shareholders by way of a buyback of 3,517 ordinary shares at a price of 424.5p per share.</t>
  </si>
  <si>
    <t>The company returned £14,492 to shareholders by way of a buyback of 3,414 ordinary shares at a price of 424.5p per share.</t>
  </si>
  <si>
    <t>The company returned £32,779 to shareholders by way of a buyback of 7,740 ordinary shares at a price of 423.5p per share.</t>
  </si>
  <si>
    <t>The company returned £58,155 to shareholders by way of a buyback of 13,732 ordinary shares at a price of 423.5p per share.</t>
  </si>
  <si>
    <t>The company returned £16,068 to shareholders by way of a buyback of 3,794 ordinary shares at a price of 423.5p per share.</t>
  </si>
  <si>
    <t>The company returned £35,098 to shareholders by way of a buyback of 8,317 ordinary shares at a price of 422.p per share.</t>
  </si>
  <si>
    <t>The company returned £123,950 to shareholders by way of a buyback of 29,372 ordinary shares at a price of 422.p per share.</t>
  </si>
  <si>
    <t>The company returned £37,980 to shareholders by way of a buyback of 9,000 ordinary shares at a price of 422.p per share.</t>
  </si>
  <si>
    <t>The company returned £126,600 to shareholders by way of a buyback of 30,000 ordinary shares at a price of 422.p per share.</t>
  </si>
  <si>
    <t>The company returned £167,800 to shareholders by way of a buyback of 40,000 ordinary shares at a price of 419.5p per share.</t>
  </si>
  <si>
    <t>The company returned £29,073 to shareholders by way of a buyback of 6,972 ordinary shares at a price of 417.p per share.</t>
  </si>
  <si>
    <t>The company returned £63,413 to shareholders by way of a buyback of 15,207 ordinary shares at a price of 417.p per share.</t>
  </si>
  <si>
    <t>The company returned £21,129 to shareholders by way of a buyback of 5,067 ordinary shares at a price of 417.p per share.</t>
  </si>
  <si>
    <t>The company returned £158,097 to shareholders by way of a buyback of 37,913 ordinary shares at a price of 417.p per share.</t>
  </si>
  <si>
    <t>The company returned £65,400 to shareholders by way of a buyback of 15,000 ordinary shares at a price of 326.41p per share.</t>
  </si>
  <si>
    <t>The company returned £26,739 to shareholders by way of a buyback of 6,161 ordinary shares at a price of 324.38p per share.</t>
  </si>
  <si>
    <t>The company returned £69,505 to shareholders by way of a buyback of 14,757 ordinary shares at a price of 351.71p per share.</t>
  </si>
  <si>
    <t>The company returned £6,605 to shareholders by way of a buyback of 1,536 ordinary shares at a price of 320.12p per share.</t>
  </si>
  <si>
    <t>The company returned £21,500 to shareholders by way of a buyback of 5,000 ordinary shares at a price of 321.61p per share.</t>
  </si>
  <si>
    <t>The company returned £51,080 to shareholders by way of a buyback of 12,000 ordinary shares at a price of 318.27p per share.</t>
  </si>
  <si>
    <t>The company returned £10,075 to shareholders by way of a buyback of 2,365 ordinary shares at a price of 319.63p per share.</t>
  </si>
  <si>
    <t>The company returned £43,499 to shareholders by way of a buyback of 10,212 ordinary shares at a price of 320.23p per share.</t>
  </si>
  <si>
    <t>The company returned £21,300 to shareholders by way of a buyback of 5,000 ordinary shares at a price of 320.51p per share.</t>
  </si>
  <si>
    <t>The company returned £43,405 to shareholders by way of a buyback of 10,263 ordinary shares at a price of 314.97p per share.</t>
  </si>
  <si>
    <t>The company returned £1,334,824 to shareholders by way of a buyback of 86,136 ordinary shares at a price of 1,549.67p per share.</t>
  </si>
  <si>
    <t>The company returned £774,113 to shareholders by way of a buyback of 49,126 ordinary shares at a price of 1,575.77p per share.</t>
  </si>
  <si>
    <t>The company returned £801,925 to shareholders by way of a buyback of 50,000 ordinary shares at a price of 1,603.85p per share.</t>
  </si>
  <si>
    <t>The company returned £674,087 to shareholders by way of a buyback of 42,000 ordinary shares at a price of 1,604.97p per share.</t>
  </si>
  <si>
    <t>The company returned £61,807 to shareholders by way of a buyback of 35,000 ordinary shares at a price of 176.59p per share.</t>
  </si>
  <si>
    <t>The company returned £70,540 to shareholders by way of a buyback of 40,000 ordinary shares at a price of 176.35p per share.</t>
  </si>
  <si>
    <t>The company returned £87,975 to shareholders by way of a buyback of 50,000 ordinary shares at a price of 175.95p per share.</t>
  </si>
  <si>
    <t>The company returned £87,625 to shareholders by way of a buyback of 50,000 ordinary shares at a price of 175.25p per share.</t>
  </si>
  <si>
    <t>The company returned £61,425 to shareholders by way of a buyback of 35,000 ordinary shares at a price of 175.5p per share.</t>
  </si>
  <si>
    <t>The company returned £60,795 to shareholders by way of a buyback of 35,004 ordinary shares at a price of 173.68p per share.</t>
  </si>
  <si>
    <t>The company returned £68,549 to shareholders by way of a buyback of 39,996 ordinary shares at a price of 171.39p per share.</t>
  </si>
  <si>
    <t>The company returned £86,120 to shareholders by way of a buyback of 50,000 ordinary shares at a price of 172.24p per share.</t>
  </si>
  <si>
    <t>The company returned £69,176 to shareholders by way of a buyback of 40,000 ordinary shares at a price of 172.94p per share.</t>
  </si>
  <si>
    <t>The company returned £86,210 to shareholders by way of a buyback of 50,000 ordinary shares at a price of 172.42p per share.</t>
  </si>
  <si>
    <t>The company returned £51,900 to shareholders by way of a buyback of 29,800 ordinary shares at a price of 174.16p per share.</t>
  </si>
  <si>
    <t>The company returned £79,580 to shareholders by way of a buyback of 46,000 ordinary shares at a price of 173.p per share.</t>
  </si>
  <si>
    <t>The company returned £85,750 to shareholders by way of a buyback of 50,000 ordinary shares at a price of 171.5p per share.</t>
  </si>
  <si>
    <t>The company returned £93,972 to shareholders by way of a buyback of 53,591 ordinary shares at a price of 175.35p per share.</t>
  </si>
  <si>
    <t>The company returned £75,640 to shareholders by way of a buyback of 12,501 ordinary shares at a price of 605.07p per share.</t>
  </si>
  <si>
    <t>The company returned £140,776 to shareholders by way of a buyback of 22,905 ordinary shares at a price of 614.61p per share.</t>
  </si>
  <si>
    <t>The company returned £107,583 to shareholders by way of a buyback of 17,500 ordinary shares at a price of 614.76p per share.</t>
  </si>
  <si>
    <t>The company returned £154,013 to shareholders by way of a buyback of 25,000 ordinary shares at a price of 616.05p per share.</t>
  </si>
  <si>
    <t>The company returned £54,678 to shareholders by way of a buyback of 8,867 ordinary shares at a price of 616.65p per share.</t>
  </si>
  <si>
    <t>The company returned £153,295 to shareholders by way of a buyback of 25,000 ordinary shares at a price of 613.18p per share.</t>
  </si>
  <si>
    <t>The company returned £149,578 to shareholders by way of a buyback of 25,000 ordinary shares at a price of 598.31p per share.</t>
  </si>
  <si>
    <t>The company returned £59,821 to shareholders by way of a buyback of 10,001 ordinary shares at a price of 598.15p per share.</t>
  </si>
  <si>
    <t>The company returned £128,838 to shareholders by way of a buyback of 21,443 ordinary shares at a price of 600.84p per share.</t>
  </si>
  <si>
    <t>The company returned £149,225 to shareholders by way of a buyback of 25,000 ordinary shares at a price of 596.9p per share.</t>
  </si>
  <si>
    <t>The company returned £148,959 to shareholders by way of a buyback of 24,877 ordinary shares at a price of 598.78p per share.</t>
  </si>
  <si>
    <t>The company returned £148,645 to shareholders by way of a buyback of 24,865 ordinary shares at a price of 597.81p per share.</t>
  </si>
  <si>
    <t>The company returned £148,805 to shareholders by way of a buyback of 25,000 ordinary shares at a price of 595.22p per share.</t>
  </si>
  <si>
    <t>The company returned £147,545 to shareholders by way of a buyback of 25,000 ordinary shares at a price of 590.18p per share.</t>
  </si>
  <si>
    <t>The company returned £117,278 to shareholders by way of a buyback of 20,000 ordinary shares at a price of 586.39p per share.</t>
  </si>
  <si>
    <t>The company returned £147,965 to shareholders by way of a buyback of 25,000 ordinary shares at a price of 591.86p per share.</t>
  </si>
  <si>
    <t>The company returned £148,680 to shareholders by way of a buyback of 25,000 ordinary shares at a price of 594.72p per share.</t>
  </si>
  <si>
    <t>The company returned £147,600 to shareholders by way of a buyback of 25,000 ordinary shares at a price of 590.4p per share.</t>
  </si>
  <si>
    <t>The company returned £133,515 to shareholders by way of a buyback of 22,538 ordinary shares at a price of 592.4p per share.</t>
  </si>
  <si>
    <t>The company returned £179,889 to shareholders by way of a buyback of 30,000 ordinary shares at a price of 599.63p per share.</t>
  </si>
  <si>
    <t>The company returned £37,693 to shareholders by way of a buyback of 6,391 ordinary shares at a price of 589.78p per share.</t>
  </si>
  <si>
    <t>The company returned £82,241 to shareholders by way of a buyback of 14,066 ordinary shares at a price of 584.68p per share.</t>
  </si>
  <si>
    <t>The company returned £22,200 to shareholders by way of a buyback of 10,000 ordinary shares at a price of 222.p per share.</t>
  </si>
  <si>
    <t>The company returned £22,977 to shareholders by way of a buyback of 10,000 ordinary shares at a price of 229.77p per share.</t>
  </si>
  <si>
    <t>The company returned £201,075 to shareholders by way of a buyback of 75,000 ordinary shares at a price of 268.1p per share.</t>
  </si>
  <si>
    <t>The company returned £201,878 to shareholders by way of a buyback of 75,000 ordinary shares at a price of 269.17p per share.</t>
  </si>
  <si>
    <t>The company returned £201,900 to shareholders by way of a buyback of 75,000 ordinary shares at a price of 269.2p per share.</t>
  </si>
  <si>
    <t>The company returned £131,250 to shareholders by way of a buyback of 50,000 ordinary shares at a price of 262.5p per share.</t>
  </si>
  <si>
    <t>The company returned £197,250 to shareholders by way of a buyback of 75,000 ordinary shares at a price of 263.p per share.</t>
  </si>
  <si>
    <t>The company returned £158,838 to shareholders by way of a buyback of 60,000 ordinary shares at a price of 264.73p per share.</t>
  </si>
  <si>
    <t>The company returned £199,875 to shareholders by way of a buyback of 75,000 ordinary shares at a price of 266.5p per share.</t>
  </si>
  <si>
    <t>The company returned £200,475 to shareholders by way of a buyback of 75,000 ordinary shares at a price of 267.3p per share.</t>
  </si>
  <si>
    <t>The company returned £200,625 to shareholders by way of a buyback of 75,000 ordinary shares at a price of 267.5p per share.</t>
  </si>
  <si>
    <t>The company returned £201,750 to shareholders by way of a buyback of 75,000 ordinary shares at a price of 269.p per share.</t>
  </si>
  <si>
    <t>The company returned £201,375 to shareholders by way of a buyback of 75,000 ordinary shares at a price of 268.5p per share.</t>
  </si>
  <si>
    <t>The company returned £203,625 to shareholders by way of a buyback of 75,000 ordinary shares at a price of 271.5p per share.</t>
  </si>
  <si>
    <t>The company returned £204,750 to shareholders by way of a buyback of 75,000 ordinary shares at a price of 273.p per share.</t>
  </si>
  <si>
    <t>The company returned £202,875 to shareholders by way of a buyback of 75,000 ordinary shares at a price of 270.5p per share.</t>
  </si>
  <si>
    <t>The company returned £204,375 to shareholders by way of a buyback of 75,000 ordinary shares at a price of 272.5p per share.</t>
  </si>
  <si>
    <t>The company returned £405,765 to shareholders by way of a buyback of 150,000 ordinary shares at a price of 270.51p per share.</t>
  </si>
  <si>
    <t>The company returned £64,656 to shareholders by way of a buyback of 4,000 ordinary shares at a price of 1,616.4p per share.</t>
  </si>
  <si>
    <t>The company returned £40,694 to shareholders by way of a buyback of 2,500 ordinary shares at a price of 1,627.74p per share.</t>
  </si>
  <si>
    <t>The company returned £79,920 to shareholders by way of a buyback of 5,000 ordinary shares at a price of 1,598.4p per share.</t>
  </si>
  <si>
    <t>The company returned £158,500 to shareholders by way of a buyback of 10,000 ordinary shares at a price of 1,585.p per share.</t>
  </si>
  <si>
    <t>The company returned £160,650 to shareholders by way of a buyback of 10,000 ordinary shares at a price of 1,606.5p per share.</t>
  </si>
  <si>
    <t>The company returned £160,350 to shareholders by way of a buyback of 10,000 ordinary shares at a price of 1,603.5p per share.</t>
  </si>
  <si>
    <t>The company returned £39,968 to shareholders by way of a buyback of 2,500 ordinary shares at a price of 1,598.7p per share.</t>
  </si>
  <si>
    <t>The company returned £128,358 to shareholders by way of a buyback of 8,484 ordinary shares at a price of 1,512.94p per share.</t>
  </si>
  <si>
    <t>The company returned £121,840 to shareholders by way of a buyback of 8,133 ordinary shares at a price of 1,498.09p per share.</t>
  </si>
  <si>
    <t>The company returned £185,746 to shareholders by way of a buyback of 12,319 ordinary shares at a price of 1,507.8p per share.</t>
  </si>
  <si>
    <t>The company returned £54,069 to shareholders by way of a buyback of 3,556 ordinary shares at a price of 1,520.51p per share.</t>
  </si>
  <si>
    <t>The company returned £232,473 to shareholders by way of a buyback of 15,093 ordinary shares at a price of 1,540.27p per share.</t>
  </si>
  <si>
    <t>The company returned £416,029 to shareholders by way of a buyback of 111,545 ordinary shares at a price of 372.97p per share.</t>
  </si>
  <si>
    <t>The company returned £417,705 to shareholders by way of a buyback of 111,388 ordinary shares at a price of 375.p per share.</t>
  </si>
  <si>
    <t>The company returned £411,898 to shareholders by way of a buyback of 109,277 ordinary shares at a price of 376.93p per share.</t>
  </si>
  <si>
    <t>The company returned £341,185 to shareholders by way of a buyback of 90,500 ordinary shares at a price of 377.p per share.</t>
  </si>
  <si>
    <t>The company returned £143,119 to shareholders by way of a buyback of 38,013 ordinary shares at a price of 376.5p per share.</t>
  </si>
  <si>
    <t>The company returned £390,361 to shareholders by way of a buyback of 102,732 ordinary shares at a price of 379.98p per share.</t>
  </si>
  <si>
    <t>The company returned £143,671 to shareholders by way of a buyback of 37,709 ordinary shares at a price of 381.p per share.</t>
  </si>
  <si>
    <t>The company returned £335,525 to shareholders by way of a buyback of 88,259 ordinary shares at a price of 380.16p per share.</t>
  </si>
  <si>
    <t>The company returned £465,770 to shareholders by way of a buyback of 122,410 ordinary shares at a price of 380.5p per share.</t>
  </si>
  <si>
    <t>The company returned £457,494 to shareholders by way of a buyback of 120,947 ordinary shares at a price of 378.26p per share.</t>
  </si>
  <si>
    <t>The company returned £383,923 to shareholders by way of a buyback of 101,299 ordinary shares at a price of 379.p per share.</t>
  </si>
  <si>
    <t>The company returned £494,470 to shareholders by way of a buyback of 131,027 ordinary shares at a price of 377.38p per share.</t>
  </si>
  <si>
    <t>The company returned £486,693 to shareholders by way of a buyback of 127,741 ordinary shares at a price of 381.p per share.</t>
  </si>
  <si>
    <t>The company returned £71,568 to shareholders by way of a buyback of 22,000 ordinary shares at a price of 325.31p per share.</t>
  </si>
  <si>
    <t>The company returned £49,315 to shareholders by way of a buyback of 15,180 ordinary shares at a price of 324.87p per share.</t>
  </si>
  <si>
    <t>The company returned £35,946 to shareholders by way of a buyback of 7,340 ordinary shares at a price of 489.73p per share.</t>
  </si>
  <si>
    <t>The company returned £137,857 to shareholders by way of a buyback of 27,660 ordinary shares at a price of 498.4p per share.</t>
  </si>
  <si>
    <t>The company returned £124,415 to shareholders by way of a buyback of 25,000 ordinary shares at a price of 497.66p per share.</t>
  </si>
  <si>
    <t>The company returned £124,540 to shareholders by way of a buyback of 25,000 ordinary shares at a price of 498.16p per share.</t>
  </si>
  <si>
    <t>The company returned £37,328 to shareholders by way of a buyback of 7,500 ordinary shares at a price of 497.7p per share.</t>
  </si>
  <si>
    <t>The company returned £37,060 to shareholders by way of a buyback of 7,500 ordinary shares at a price of 494.13p per share.</t>
  </si>
  <si>
    <t>The company returned £438,750 to shareholders by way of a buyback of 125,000 ordinary shares at a price of 351.p per share.</t>
  </si>
  <si>
    <t>The company returned £11,244 to shareholders by way of a buyback of 3,773 ordinary shares at a price of 298.p per share.</t>
  </si>
  <si>
    <t>The company returned £38,687 to shareholders by way of a buyback of 12,692 ordinary shares at a price of 304.82p per share.</t>
  </si>
  <si>
    <t>The company returned £31,957 to shareholders by way of a buyback of 10,489 ordinary shares at a price of 304.67p per share.</t>
  </si>
  <si>
    <t>The company returned £156,362 to shareholders by way of a buyback of 51,299 ordinary shares at a price of 304.81p per share.</t>
  </si>
  <si>
    <t>The company returned £664 to shareholders by way of a buyback of 218 ordinary shares at a price of 304.55p per share.</t>
  </si>
  <si>
    <t>The company returned £46,231 to shareholders by way of a buyback of 15,359 ordinary shares at a price of 301.p per share.</t>
  </si>
  <si>
    <t>The company returned £100,044 to shareholders by way of a buyback of 33,348 ordinary shares at a price of 300.p per share.</t>
  </si>
  <si>
    <t>The company returned £31,536 to shareholders by way of a buyback of 10,477 ordinary shares at a price of 301.p per share.</t>
  </si>
  <si>
    <t>The company returned £21,052 to shareholders by way of a buyback of 6,936 ordinary shares at a price of 303.52p per share.</t>
  </si>
  <si>
    <t>The company returned £83,600 to shareholders by way of a buyback of 27,500 ordinary shares at a price of 304.p per share.</t>
  </si>
  <si>
    <t>The company returned £280,928 to shareholders by way of a buyback of 89,898 ordinary shares at a price of 312.5p per share.</t>
  </si>
  <si>
    <t>The company returned £189,042 to shareholders by way of a buyback of 60,214 ordinary shares at a price of 313.95p per share.</t>
  </si>
  <si>
    <t>The company returned £662,908 to shareholders by way of a buyback of 210,100 ordinary shares at a price of 315.52p per share.</t>
  </si>
  <si>
    <t>The company returned £693,073 to shareholders by way of a buyback of 85,000 ordinary shares at a price of 815.38p per share.</t>
  </si>
  <si>
    <t>The company returned £693,133 to shareholders by way of a buyback of 85,000 ordinary shares at a price of 815.45p per share.</t>
  </si>
  <si>
    <t>The company returned £691,900 to shareholders by way of a buyback of 85,000 ordinary shares at a price of 814.p per share.</t>
  </si>
  <si>
    <t>The company returned £699,185 to shareholders by way of a buyback of 85,000 ordinary shares at a price of 822.57p per share.</t>
  </si>
  <si>
    <t>The company returned £686,800 to shareholders by way of a buyback of 85,000 ordinary shares at a price of 808.p per share.</t>
  </si>
  <si>
    <t>The company returned £149,295 to shareholders by way of a buyback of 18,500 ordinary shares at a price of 807.p per share.</t>
  </si>
  <si>
    <t>The company returned £405,190 to shareholders by way of a buyback of 50,000 ordinary shares at a price of 810.38p per share.</t>
  </si>
  <si>
    <t>The company returned £406,765 to shareholders by way of a buyback of 50,000 ordinary shares at a price of 813.53p per share.</t>
  </si>
  <si>
    <t>The company returned £406,000 to shareholders by way of a buyback of 50,000 ordinary shares at a price of 812.p per share.</t>
  </si>
  <si>
    <t>The company returned £692,691 to shareholders by way of a buyback of 85,000 ordinary shares at a price of 814.93p per share.</t>
  </si>
  <si>
    <t>The company returned £413,900 to shareholders by way of a buyback of 50,000 ordinary shares at a price of 827.8p per share.</t>
  </si>
  <si>
    <t>The company returned £414,345 to shareholders by way of a buyback of 50,000 ordinary shares at a price of 828.69p per share.</t>
  </si>
  <si>
    <t>The company returned £413,995 to shareholders by way of a buyback of 50,000 ordinary shares at a price of 827.99p per share.</t>
  </si>
  <si>
    <t>The company returned £412,500 to shareholders by way of a buyback of 50,000 ordinary shares at a price of 825.p per share.</t>
  </si>
  <si>
    <t>The company returned £703,800 to shareholders by way of a buyback of 85,000 ordinary shares at a price of 828.p per share.</t>
  </si>
  <si>
    <t>The company returned £698,700 to shareholders by way of a buyback of 85,000 ordinary shares at a price of 822.p per share.</t>
  </si>
  <si>
    <t>The company returned £705,500 to shareholders by way of a buyback of 85,000 ordinary shares at a price of 830.p per share.</t>
  </si>
  <si>
    <t>The company returned £711,450 to shareholders by way of a buyback of 85,000 ordinary shares at a price of 837.p per share.</t>
  </si>
  <si>
    <t>The company returned £723,350 to shareholders by way of a buyback of 85,000 ordinary shares at a price of 851.p per share.</t>
  </si>
  <si>
    <t>The company returned £729,581 to shareholders by way of a buyback of 85,000 ordinary shares at a price of 858.33p per share.</t>
  </si>
  <si>
    <t>The company returned £719,100 to shareholders by way of a buyback of 85,000 ordinary shares at a price of 846.p per share.</t>
  </si>
  <si>
    <t>The company returned £186,920 to shareholders by way of a buyback of 55,000 ordinary shares at a price of 339.85p per share.</t>
  </si>
  <si>
    <t>The company returned £480,252 to shareholders by way of a buyback of 141,575 ordinary shares at a price of 339.22p per share.</t>
  </si>
  <si>
    <t>The company returned £446,029 to shareholders by way of a buyback of 132,356 ordinary shares at a price of 336.99p per share.</t>
  </si>
  <si>
    <t>The company returned £333,420 to shareholders by way of a buyback of 100,000 ordinary shares at a price of 333.42p per share.</t>
  </si>
  <si>
    <t>The company returned £433,748 to shareholders by way of a buyback of 129,140 ordinary shares at a price of 335.87p per share.</t>
  </si>
  <si>
    <t>The company returned £338,700 to shareholders by way of a buyback of 100,000 ordinary shares at a price of 338.7p per share.</t>
  </si>
  <si>
    <t>The company returned £670,780 to shareholders by way of a buyback of 200,000 ordinary shares at a price of 335.39p per share.</t>
  </si>
  <si>
    <t>The company returned £634,178 to shareholders by way of a buyback of 190,000 ordinary shares at a price of 333.78p per share.</t>
  </si>
  <si>
    <t>The company returned £521,801 to shareholders by way of a buyback of 155,553 ordinary shares at a price of 335.45p per share.</t>
  </si>
  <si>
    <t>The company returned £1,189,271 to shareholders by way of a buyback of 356,922 ordinary shares at a price of 333.2p per share.</t>
  </si>
  <si>
    <t>The company returned £432,779 to shareholders by way of a buyback of 130,000 ordinary shares at a price of 332.91p per share.</t>
  </si>
  <si>
    <t>The company returned £661,520 to shareholders by way of a buyback of 200,000 ordinary shares at a price of 330.76p per share.</t>
  </si>
  <si>
    <t>The company returned £795,998 to shareholders by way of a buyback of 240,000 ordinary shares at a price of 331.67p per share.</t>
  </si>
  <si>
    <t>The company returned £84,562 to shareholders by way of a buyback of 15,093 ordinary shares at a price of 560.27p per share.</t>
  </si>
  <si>
    <t>The company returned £905,518 to shareholders by way of a buyback of 159,268 ordinary shares at a price of 568.55p per share.</t>
  </si>
  <si>
    <t>The company returned £324,547 to shareholders by way of a buyback of 56,640 ordinary shares at a price of 573.p per share.</t>
  </si>
  <si>
    <t>The company returned £344,650 to shareholders by way of a buyback of 60,203 ordinary shares at a price of 572.48p per share.</t>
  </si>
  <si>
    <t>The company returned £62,062 to shareholders by way of a buyback of 10,954 ordinary shares at a price of 566.57p per share.</t>
  </si>
  <si>
    <t>The company returned £51,896 to shareholders by way of a buyback of 9,061 ordinary shares at a price of 572.74p per share.</t>
  </si>
  <si>
    <t>The company returned £245,603 to shareholders by way of a buyback of 42,056 ordinary shares at a price of 583.99p per share.</t>
  </si>
  <si>
    <t>The company returned £7,689 to shareholders by way of a buyback of 1,318 ordinary shares at a price of 583.38p per share.</t>
  </si>
  <si>
    <t>The company returned £37,236 to shareholders by way of a buyback of 6,376 ordinary shares at a price of 584.p per share.</t>
  </si>
  <si>
    <t>The company returned £178,775 to shareholders by way of a buyback of 70,009 ordinary shares at a price of 255.36p per share.</t>
  </si>
  <si>
    <t>The company returned £152,513 to shareholders by way of a buyback of 60,002 ordinary shares at a price of 254.18p per share.</t>
  </si>
  <si>
    <t>The company returned £262,083 to shareholders by way of a buyback of 101,681 ordinary shares at a price of 257.75p per share.</t>
  </si>
  <si>
    <t>The company returned £154,482 to shareholders by way of a buyback of 60,000 ordinary shares at a price of 257.47p per share.</t>
  </si>
  <si>
    <t>The company returned £785,691 to shareholders by way of a buyback of 306,360 ordinary shares at a price of 256.46p per share.</t>
  </si>
  <si>
    <t>The company returned £410,569 to shareholders by way of a buyback of 27,001 ordinary shares at a price of 1,520.57p per share.</t>
  </si>
  <si>
    <t>The company returned £38,277 to shareholders by way of a buyback of 2,492 ordinary shares at a price of 1,536.p per share.</t>
  </si>
  <si>
    <t>The company returned £222,701 to shareholders by way of a buyback of 15,000 ordinary shares at a price of 1,484.67p per share.</t>
  </si>
  <si>
    <t>The company returned £406,454 to shareholders by way of a buyback of 29,946 ordinary shares at a price of 1,357.29p per share.</t>
  </si>
  <si>
    <t>The company returned £341,150 to shareholders by way of a buyback of 25,000 ordinary shares at a price of 1,364.6p per share.</t>
  </si>
  <si>
    <t>The company returned £1,053,000 to shareholders by way of a buyback of 75,000 ordinary shares at a price of 1,404.p per share.</t>
  </si>
  <si>
    <t>The company returned £1,092,335 to shareholders by way of a buyback of 76,183 ordinary shares at a price of 1,433.83p per share.</t>
  </si>
  <si>
    <t>The company returned £207,644 to shareholders by way of a buyback of 14,692 ordinary shares at a price of 1,413.31p per share.</t>
  </si>
  <si>
    <t>The company returned £1,063,500 to shareholders by way of a buyback of 75,000 ordinary shares at a price of 1,418.p per share.</t>
  </si>
  <si>
    <t>The company returned £478,993 to shareholders by way of a buyback of 35,000 ordinary shares at a price of 1,368.55p per share.</t>
  </si>
  <si>
    <t>The company returned £475,200 to shareholders by way of a buyback of 110,000 ordinary shares at a price of 432.p per share.</t>
  </si>
  <si>
    <t>The company returned £213,000 to shareholders by way of a buyback of 50,000 ordinary shares at a price of 426.p per share.</t>
  </si>
  <si>
    <t>The company returned £982,049 to shareholders by way of a buyback of 230,000 ordinary shares at a price of 426.98p per share.</t>
  </si>
  <si>
    <t>The company returned £212,750 to shareholders by way of a buyback of 50,000 ordinary shares at a price of 425.5p per share.</t>
  </si>
  <si>
    <t>The company returned £425,385 to shareholders by way of a buyback of 100,000 ordinary shares at a price of 425.39p per share.</t>
  </si>
  <si>
    <t>The company returned £421,450 to shareholders by way of a buyback of 100,000 ordinary shares at a price of 421.45p per share.</t>
  </si>
  <si>
    <t>The company returned £1,168,368 to shareholders by way of a buyback of 275,000 ordinary shares at a price of 424.86p per share.</t>
  </si>
  <si>
    <t>The company returned £484,084 to shareholders by way of a buyback of 115,000 ordinary shares at a price of 420.94p per share.</t>
  </si>
  <si>
    <t>The company returned £212,434 to shareholders by way of a buyback of 50,000 ordinary shares at a price of 424.87p per share.</t>
  </si>
  <si>
    <t>The company returned £2,140,450 to shareholders by way of a buyback of 500,000 ordinary shares at a price of 428.09p per share.</t>
  </si>
  <si>
    <t>The company returned £1,008,113 to shareholders by way of a buyback of 135,000 ordinary shares at a price of 746.75p per share.</t>
  </si>
  <si>
    <t>The company returned £1,250,073 to shareholders by way of a buyback of 165,000 ordinary shares at a price of 757.62p per share.</t>
  </si>
  <si>
    <t>The company returned £1,094,997 to shareholders by way of a buyback of 145,000 ordinary shares at a price of 755.17p per share.</t>
  </si>
  <si>
    <t>The company returned £1,329,668 to shareholders by way of a buyback of 175,000 ordinary shares at a price of 759.81p per share.</t>
  </si>
  <si>
    <t>The company returned £968,535 to shareholders by way of a buyback of 125,226 ordinary shares at a price of 773.43p per share.</t>
  </si>
  <si>
    <t>The company returned £439,253 to shareholders by way of a buyback of 58,163 ordinary shares at a price of 755.21p per share.</t>
  </si>
  <si>
    <t>The company returned £446,986 to shareholders by way of a buyback of 59,408 ordinary shares at a price of 752.4p per share.</t>
  </si>
  <si>
    <t>The company returned £213,484 to shareholders by way of a buyback of 28,169 ordinary shares at a price of 757.87p per share.</t>
  </si>
  <si>
    <t>The company returned £953,063 to shareholders by way of a buyback of 125,000 ordinary shares at a price of 762.45p per share.</t>
  </si>
  <si>
    <t>The company returned £847,000 to shareholders by way of a buyback of 110,000 ordinary shares at a price of 770.p per share.</t>
  </si>
  <si>
    <t>The company returned £1,037,665 to shareholders by way of a buyback of 134,802 ordinary shares at a price of 769.77p per share.</t>
  </si>
  <si>
    <t>The company returned £1,113,629 to shareholders by way of a buyback of 145,000 ordinary shares at a price of 768.02p per share.</t>
  </si>
  <si>
    <t>The company returned £957,500 to shareholders by way of a buyback of 125,000 ordinary shares at a price of 766.p per share.</t>
  </si>
  <si>
    <t>The company returned £1,189,331 to shareholders by way of a buyback of 155,000 ordinary shares at a price of 767.31p per share.</t>
  </si>
  <si>
    <t>The company returned £869,596 to shareholders by way of a buyback of 115,000 ordinary shares at a price of 756.17p per share.</t>
  </si>
  <si>
    <t>The company returned £729,914 to shareholders by way of a buyback of 95,000 ordinary shares at a price of 768.33p per share.</t>
  </si>
  <si>
    <t>The company returned £1,236,940 to shareholders by way of a buyback of 157,000 ordinary shares at a price of 787.86p per share.</t>
  </si>
  <si>
    <t>The company returned £1,093,500 to shareholders by way of a buyback of 135,000 ordinary shares at a price of 810.p per share.</t>
  </si>
  <si>
    <t>The company returned £13,369 to shareholders by way of a buyback of 18,822 ordinary shares at a price of 71.03p per share.</t>
  </si>
  <si>
    <t>The company returned £9,493 to shareholders by way of a buyback of 13,220 ordinary shares at a price of 71.81p per share.</t>
  </si>
  <si>
    <t>The company returned £8,608 to shareholders by way of a buyback of 11,976 ordinary shares at a price of 71.88p per share.</t>
  </si>
  <si>
    <t>The company returned £6,309 to shareholders by way of a buyback of 8,785 ordinary shares at a price of 71.81p per share.</t>
  </si>
  <si>
    <t>The company returned £5,123 to shareholders by way of a buyback of 7,125 ordinary shares at a price of 71.9p per share.</t>
  </si>
  <si>
    <t>The company returned £18,053 to shareholders by way of a buyback of 25,036 ordinary shares at a price of 72.11p per share.</t>
  </si>
  <si>
    <t>The company returned £4,792 to shareholders by way of a buyback of 6,670 ordinary shares at a price of 71.85p per share.</t>
  </si>
  <si>
    <t>The company returned £15,346 to shareholders by way of a buyback of 21,170 ordinary shares at a price of 72.49p per share.</t>
  </si>
  <si>
    <t>The company returned £10,740 to shareholders by way of a buyback of 14,808 ordinary shares at a price of 72.53p per share.</t>
  </si>
  <si>
    <t>The company returned £10,820 to shareholders by way of a buyback of 15,000 ordinary shares at a price of 72.13p per share.</t>
  </si>
  <si>
    <t>The company returned £8,375 to shareholders by way of a buyback of 11,413 ordinary shares at a price of 73.38p per share.</t>
  </si>
  <si>
    <t>The company returned £10,680 to shareholders by way of a buyback of 14,432 ordinary shares at a price of 74.p per share.</t>
  </si>
  <si>
    <t>The company returned £6,812 to shareholders by way of a buyback of 9,217 ordinary shares at a price of 73.91p per share.</t>
  </si>
  <si>
    <t>The company returned £9,843 to shareholders by way of a buyback of 13,150 ordinary shares at a price of 74.85p per share.</t>
  </si>
  <si>
    <t>The company returned £10,749 to shareholders by way of a buyback of 14,432 ordinary shares at a price of 74.48p per share.</t>
  </si>
  <si>
    <t>The company returned £10,737 to shareholders by way of a buyback of 14,393 ordinary shares at a price of 74.6p per share.</t>
  </si>
  <si>
    <t>The company returned £10,408 to shareholders by way of a buyback of 14,411 ordinary shares at a price of 72.22p per share.</t>
  </si>
  <si>
    <t>The company returned £7,563 to shareholders by way of a buyback of 10,500 ordinary shares at a price of 72.03p per share.</t>
  </si>
  <si>
    <t>The company returned £10,378 to shareholders by way of a buyback of 14,396 ordinary shares at a price of 72.09p per share.</t>
  </si>
  <si>
    <t>The company returned £10,316 to shareholders by way of a buyback of 14,376 ordinary shares at a price of 71.76p per share.</t>
  </si>
  <si>
    <t>The company returned £8,029 to shareholders by way of a buyback of 11,241 ordinary shares at a price of 71.43p per share.</t>
  </si>
  <si>
    <t>The company returned £9,230 to shareholders by way of a buyback of 12,940 ordinary shares at a price of 71.33p per share.</t>
  </si>
  <si>
    <t>The company returned £1,865,430 to shareholders by way of a buyback of 2,350,000 ordinary shares at a price of 79.38p per share.</t>
  </si>
  <si>
    <t>The company returned £1,960,320 to shareholders by way of a buyback of 2,400,000 ordinary shares at a price of 81.68p per share.</t>
  </si>
  <si>
    <t>The company returned £1,411,118 to shareholders by way of a buyback of 1,713,562 ordinary shares at a price of 82.35p per share.</t>
  </si>
  <si>
    <t>The company returned £2,990,160 to shareholders by way of a buyback of 3,600,000 ordinary shares at a price of 83.06p per share.</t>
  </si>
  <si>
    <t>The company returned £2,926,350 to shareholders by way of a buyback of 3,500,000 ordinary shares at a price of 83.61p per share.</t>
  </si>
  <si>
    <t>The company returned £1,998,757 to shareholders by way of a buyback of 2,390,000 ordinary shares at a price of 83.63p per share.</t>
  </si>
  <si>
    <t>The company returned £2,982,735 to shareholders by way of a buyback of 3,570,000 ordinary shares at a price of 83.55p per share.</t>
  </si>
  <si>
    <t>The company returned £248,490 to shareholders by way of a buyback of 300,000 ordinary shares at a price of 82.83p per share.</t>
  </si>
  <si>
    <t>The company returned £154,266 to shareholders by way of a buyback of 185,706 ordinary shares at a price of 83.07p per share.</t>
  </si>
  <si>
    <t>The company returned £207,750 to shareholders by way of a buyback of 250,000 ordinary shares at a price of 83.1p per share.</t>
  </si>
  <si>
    <t>The company returned £515,688 to shareholders by way of a buyback of 625,000 ordinary shares at a price of 82.51p per share.</t>
  </si>
  <si>
    <t>The company returned £164,900 to shareholders by way of a buyback of 200,000 ordinary shares at a price of 82.45p per share.</t>
  </si>
  <si>
    <t>The company returned £166,800 to shareholders by way of a buyback of 200,000 ordinary shares at a price of 83.4p per share.</t>
  </si>
  <si>
    <t>The company returned £124,420 to shareholders by way of a buyback of 200,000 ordinary shares at a price of 62.21p per share.</t>
  </si>
  <si>
    <t>The company returned £123,340 to shareholders by way of a buyback of 200,000 ordinary shares at a price of 61.67p per share.</t>
  </si>
  <si>
    <t>The company returned £91,281 to shareholders by way of a buyback of 94,700 ordinary shares at a price of 96.39p per share.</t>
  </si>
  <si>
    <t>The company returned £63,191 to shareholders by way of a buyback of 67,053 ordinary shares at a price of 94.24p per share.</t>
  </si>
  <si>
    <t>The company returned £186,084 to shareholders by way of a buyback of 247,716 ordinary shares at a price of 64.47p per share.</t>
  </si>
  <si>
    <t>The company returned £115,795 to shareholders by way of a buyback of 153,452 ordinary shares at a price of 64.57p per share.</t>
  </si>
  <si>
    <t>The company returned £135,597 to shareholders by way of a buyback of 177,762 ordinary shares at a price of 65.34p per share.</t>
  </si>
  <si>
    <t>The company returned £186,145 to shareholders by way of a buyback of 244,509 ordinary shares at a price of 65.08p per share.</t>
  </si>
  <si>
    <t>The company returned £150,590 to shareholders by way of a buyback of 196,362 ordinary shares at a price of 65.54p per share.</t>
  </si>
  <si>
    <t>The company returned £134,525 to shareholders by way of a buyback of 176,635 ordinary shares at a price of 64.97p per share.</t>
  </si>
  <si>
    <t>The company returned £130,729 to shareholders by way of a buyback of 170,865 ordinary shares at a price of 65.32p per share.</t>
  </si>
  <si>
    <t>The company returned £94,531 to shareholders by way of a buyback of 124,138 ordinary shares at a price of 64.87p per share.</t>
  </si>
  <si>
    <t>The company returned £190,602 to shareholders by way of a buyback of 251,586 ordinary shares at a price of 64.59p per share.</t>
  </si>
  <si>
    <t>The company returned £206,418 to shareholders by way of a buyback of 271,961 ordinary shares at a price of 64.79p per share.</t>
  </si>
  <si>
    <t>The company returned £145,529 to shareholders by way of a buyback of 191,789 ordinary shares at a price of 64.38p per share.</t>
  </si>
  <si>
    <t>The company returned £575 to shareholders by way of a buyback of 760 ordinary shares at a price of 64.22p per share.</t>
  </si>
  <si>
    <t>The company returned £65,484 to shareholders by way of a buyback of 86,745 ordinary shares at a price of 64.23p per share.</t>
  </si>
  <si>
    <t>The company returned £213,419 to shareholders by way of a buyback of 280,815 ordinary shares at a price of 64.54p per share.</t>
  </si>
  <si>
    <t>The company returned £206,965 to shareholders by way of a buyback of 271,109 ordinary shares at a price of 65.12p per share.</t>
  </si>
  <si>
    <t>The company returned £190,636 to shareholders by way of a buyback of 250,014 ordinary shares at a price of 65.05p per share.</t>
  </si>
  <si>
    <t>The company returned £248,055 to shareholders by way of a buyback of 322,778 ordinary shares at a price of 65.62p per share.</t>
  </si>
  <si>
    <t>The company returned £262,332 to shareholders by way of a buyback of 336,022 ordinary shares at a price of 66.65p per share.</t>
  </si>
  <si>
    <t>The company returned £239,387 to shareholders by way of a buyback of 304,719 ordinary shares at a price of 67.16p per share.</t>
  </si>
  <si>
    <t>The company returned £225,175 to shareholders by way of a buyback of 282,528 ordinary shares at a price of 68.27p per share.</t>
  </si>
  <si>
    <t>The company returned £201,744 to shareholders by way of a buyback of 257,688 ordinary shares at a price of 67.05p per share.</t>
  </si>
  <si>
    <t>The company returned £146,028 to shareholders by way of a buyback of 186,213 ordinary shares at a price of 67.18p per share.</t>
  </si>
  <si>
    <t>The company returned £240,750 to shareholders by way of a buyback of 75,000 ordinary shares at a price of 321.p per share.</t>
  </si>
  <si>
    <t>The company returned £595,700 to shareholders by way of a buyback of 185,000 ordinary shares at a price of 322.p per share.</t>
  </si>
  <si>
    <t>The company returned £112,350 to shareholders by way of a buyback of 35,000 ordinary shares at a price of 321.p per share.</t>
  </si>
  <si>
    <t>The company returned £80,500 to shareholders by way of a buyback of 25,000 ordinary shares at a price of 322.p per share.</t>
  </si>
  <si>
    <t>The company returned £86,430 to shareholders by way of a buyback of 26,947 ordinary shares at a price of 320.74p per share.</t>
  </si>
  <si>
    <t>The company returned £44,800 to shareholders by way of a buyback of 14,000 ordinary shares at a price of 320.p per share.</t>
  </si>
  <si>
    <t>The company returned £142,200 to shareholders by way of a buyback of 45,000 ordinary shares at a price of 316.p per share.</t>
  </si>
  <si>
    <t>The company returned £63,000 to shareholders by way of a buyback of 20,000 ordinary shares at a price of 315.p per share.</t>
  </si>
  <si>
    <t>The company returned £46,350 to shareholders by way of a buyback of 15,000 ordinary shares at a price of 309.p per share.</t>
  </si>
  <si>
    <t>The company returned £62,800 to shareholders by way of a buyback of 20,000 ordinary shares at a price of 314.p per share.</t>
  </si>
  <si>
    <t>The company returned £63,600 to shareholders by way of a buyback of 20,000 ordinary shares at a price of 318.p per share.</t>
  </si>
  <si>
    <t>The company returned £252,375 to shareholders by way of a buyback of 7,500 ordinary shares at a price of 3,365.p per share.</t>
  </si>
  <si>
    <t>The company returned £265,832 to shareholders by way of a buyback of 8,000 ordinary shares at a price of 3,322.9p per share.</t>
  </si>
  <si>
    <t>The company returned £250,571 to shareholders by way of a buyback of 7,500 ordinary shares at a price of 3,340.94p per share.</t>
  </si>
  <si>
    <t>The company returned £247,646 to shareholders by way of a buyback of 7,500 ordinary shares at a price of 3,301.94p per share.</t>
  </si>
  <si>
    <t>The company returned £249,453 to shareholders by way of a buyback of 7,500 ordinary shares at a price of 3,326.04p per share.</t>
  </si>
  <si>
    <t>The company returned £252,658 to shareholders by way of a buyback of 7,500 ordinary shares at a price of 3,368.77p per share.</t>
  </si>
  <si>
    <t>The company returned £234,067 to shareholders by way of a buyback of 7,000 ordinary shares at a price of 3,343.82p per share.</t>
  </si>
  <si>
    <t>The company returned £231,803 to shareholders by way of a buyback of 7,000 ordinary shares at a price of 3,311.47p per share.</t>
  </si>
  <si>
    <t>The company returned £235,262 to shareholders by way of a buyback of 7,000 ordinary shares at a price of 3,360.88p per share.</t>
  </si>
  <si>
    <t>The company returned £238,224 to shareholders by way of a buyback of 7,000 ordinary shares at a price of 3,403.2p per share.</t>
  </si>
  <si>
    <t>The company returned £235,600 to shareholders by way of a buyback of 7,000 ordinary shares at a price of 3,365.72p per share.</t>
  </si>
  <si>
    <t>The company returned £234,808 to shareholders by way of a buyback of 7,000 ordinary shares at a price of 3,354.4p per share.</t>
  </si>
  <si>
    <t>The company returned £232,123 to shareholders by way of a buyback of 7,000 ordinary shares at a price of 3,316.04p per share.</t>
  </si>
  <si>
    <t>The company returned £263,802 to shareholders by way of a buyback of 8,000 ordinary shares at a price of 3,297.53p per share.</t>
  </si>
  <si>
    <t>The company returned £232,060 to shareholders by way of a buyback of 7,000 ordinary shares at a price of 3,315.14p per share.</t>
  </si>
  <si>
    <t>The company returned £233,444 to shareholders by way of a buyback of 7,000 ordinary shares at a price of 3,334.91p per share.</t>
  </si>
  <si>
    <t>The company returned £232,961 to shareholders by way of a buyback of 7,000 ordinary shares at a price of 3,328.01p per share.</t>
  </si>
  <si>
    <t>The company returned £251,114 to shareholders by way of a buyback of 7,500 ordinary shares at a price of 3,348.19p per share.</t>
  </si>
  <si>
    <t>The company returned £237,183 to shareholders by way of a buyback of 7,000 ordinary shares at a price of 3,388.33p per share.</t>
  </si>
  <si>
    <t>The company returned £254,190 to shareholders by way of a buyback of 7,500 ordinary shares at a price of 3,389.2p per share.</t>
  </si>
  <si>
    <t>The company returned £253,545 to shareholders by way of a buyback of 7,500 ordinary shares at a price of 3,380.6p per share.</t>
  </si>
  <si>
    <t>The company returned £250,205 to shareholders by way of a buyback of 7,500 ordinary shares at a price of 3,336.06p per share.</t>
  </si>
  <si>
    <t>The company returned £173,386 to shareholders by way of a buyback of 19,102 ordinary shares at a price of 907.68p per share.</t>
  </si>
  <si>
    <t>The company returned £180,801 to shareholders by way of a buyback of 19,546 ordinary shares at a price of 925.p per share.</t>
  </si>
  <si>
    <t>The company returned £320,600 to shareholders by way of a buyback of 35,000 ordinary shares at a price of 916.p per share.</t>
  </si>
  <si>
    <t>The company returned £846,023 to shareholders by way of a buyback of 91,680 ordinary shares at a price of 922.8p per share.</t>
  </si>
  <si>
    <t>The company returned £416,126 to shareholders by way of a buyback of 46,072 ordinary shares at a price of 903.21p per share.</t>
  </si>
  <si>
    <t>The company returned £178,454 to shareholders by way of a buyback of 19,509 ordinary shares at a price of 914.73p per share.</t>
  </si>
  <si>
    <t>The company returned £94,400 to shareholders by way of a buyback of 10,000 ordinary shares at a price of 944.p per share.</t>
  </si>
  <si>
    <t>The company returned £283,266 to shareholders by way of a buyback of 30,000 ordinary shares at a price of 944.22p per share.</t>
  </si>
  <si>
    <t>The company returned £333,216 to shareholders by way of a buyback of 35,000 ordinary shares at a price of 952.05p per share.</t>
  </si>
  <si>
    <t>The company returned £380,481 to shareholders by way of a buyback of 40,135 ordinary shares at a price of 948.p per share.</t>
  </si>
  <si>
    <t>The company returned £180,615 to shareholders by way of a buyback of 19,066 ordinary shares at a price of 947.32p per share.</t>
  </si>
  <si>
    <t>The company returned £328,684 to shareholders by way of a buyback of 34,483 ordinary shares at a price of 953.18p per share.</t>
  </si>
  <si>
    <t>The company returned £666,000 to shareholders by way of a buyback of 500,000 ordinary shares at a price of 133.2p per share.</t>
  </si>
  <si>
    <t>The company returned £1,326,400 to shareholders by way of a buyback of 1,000,000 ordinary shares at a price of 132.64p per share.</t>
  </si>
  <si>
    <t>The company returned £134,494 to shareholders by way of a buyback of 100,407 ordinary shares at a price of 133.95p per share.</t>
  </si>
  <si>
    <t>The company returned £672,610 to shareholders by way of a buyback of 500,000 ordinary shares at a price of 134.52p per share.</t>
  </si>
  <si>
    <t>The company returned £337,000 to shareholders by way of a buyback of 250,000 ordinary shares at a price of 134.8p per share.</t>
  </si>
  <si>
    <t>The company returned £470,425 to shareholders by way of a buyback of 350,000 ordinary shares at a price of 134.41p per share.</t>
  </si>
  <si>
    <t>The company returned £134,354 to shareholders by way of a buyback of 100,000 ordinary shares at a price of 134.35p per share.</t>
  </si>
  <si>
    <t>The company returned £1,012,823 to shareholders by way of a buyback of 750,000 ordinary shares at a price of 135.04p per share.</t>
  </si>
  <si>
    <t>The company returned £1,012,650 to shareholders by way of a buyback of 750,000 ordinary shares at a price of 135.02p per share.</t>
  </si>
  <si>
    <t>The company returned £674,600 to shareholders by way of a buyback of 500,000 ordinary shares at a price of 134.92p per share.</t>
  </si>
  <si>
    <t>The company returned £1,012,050 to shareholders by way of a buyback of 750,000 ordinary shares at a price of 134.94p per share.</t>
  </si>
  <si>
    <t>The company returned £536,800 to shareholders by way of a buyback of 400,000 ordinary shares at a price of 134.2p per share.</t>
  </si>
  <si>
    <t>The company returned £1,015,500 to shareholders by way of a buyback of 750,000 ordinary shares at a price of 135.4p per share.</t>
  </si>
  <si>
    <t>The company returned £86,500 to shareholders by way of a buyback of 50,000 ordinary shares at a price of 173.p per share.</t>
  </si>
  <si>
    <t>The company returned £43,175 to shareholders by way of a buyback of 25,000 ordinary shares at a price of 172.7p per share.</t>
  </si>
  <si>
    <t>The company returned £172,000 to shareholders by way of a buyback of 100,000 ordinary shares at a price of 172.p per share.</t>
  </si>
  <si>
    <t>The company returned £42,750 to shareholders by way of a buyback of 25,000 ordinary shares at a price of 171.p per share.</t>
  </si>
  <si>
    <t>The company returned £340,000 to shareholders by way of a buyback of 200,000 ordinary shares at a price of 170.p per share.</t>
  </si>
  <si>
    <t>The company returned £92,901 to shareholders by way of a buyback of 55,000 ordinary shares at a price of 168.91p per share.</t>
  </si>
  <si>
    <t>The company returned £25,500 to shareholders by way of a buyback of 15,000 ordinary shares at a price of 170.p per share.</t>
  </si>
  <si>
    <t>The company returned £84,500 to shareholders by way of a buyback of 50,000 ordinary shares at a price of 169.p per share.</t>
  </si>
  <si>
    <t>The company returned £83,500 to shareholders by way of a buyback of 50,000 ordinary shares at a price of 167.p per share.</t>
  </si>
  <si>
    <t>The company returned £85,000 to shareholders by way of a buyback of 50,000 ordinary shares at a price of 170.p per share.</t>
  </si>
  <si>
    <t>The company returned £87,150 to shareholders by way of a buyback of 50,000 ordinary shares at a price of 174.3p per share.</t>
  </si>
  <si>
    <t>The company returned £295,000 to shareholders by way of a buyback of 25,000 ordinary shares at a price of 1,180.p per share.</t>
  </si>
  <si>
    <t>The company returned £1,080,000 to shareholders by way of a buyback of 100,000 ordinary shares at a price of 1,080.p per share.</t>
  </si>
  <si>
    <t>The company returned £540,000 to shareholders by way of a buyback of 50,000 ordinary shares at a price of 1,080.p per share.</t>
  </si>
  <si>
    <t>The company returned £208,500 to shareholders by way of a buyback of 150,000 ordinary shares at a price of 139.p per share.</t>
  </si>
  <si>
    <t>The company returned £208,950 to shareholders by way of a buyback of 150,000 ordinary shares at a price of 139.3p per share.</t>
  </si>
  <si>
    <t>The company returned £209,100 to shareholders by way of a buyback of 150,000 ordinary shares at a price of 139.4p per share.</t>
  </si>
  <si>
    <t>The company returned £209,850 to shareholders by way of a buyback of 150,000 ordinary shares at a price of 139.9p per share.</t>
  </si>
  <si>
    <t>The company returned £275,520 to shareholders by way of a buyback of 56,000 ordinary shares at a price of 492.p per share.</t>
  </si>
  <si>
    <t>The company returned £382,840 to shareholders by way of a buyback of 80,000 ordinary shares at a price of 478.55p per share.</t>
  </si>
  <si>
    <t>The company returned £593,750 to shareholders by way of a buyback of 125,000 ordinary shares at a price of 475.p per share.</t>
  </si>
  <si>
    <t>The company returned £241,500 to shareholders by way of a buyback of 50,000 ordinary shares at a price of 483.p per share.</t>
  </si>
  <si>
    <t>The company returned £679,137 to shareholders by way of a buyback of 55,762 ordinary shares at a price of 1,217.92p per share.</t>
  </si>
  <si>
    <t>The company returned £730,422 to shareholders by way of a buyback of 60,000 ordinary shares at a price of 1,217.37p per share.</t>
  </si>
  <si>
    <t>The company returned £605,485 to shareholders by way of a buyback of 50,000 ordinary shares at a price of 1,210.97p per share.</t>
  </si>
  <si>
    <t>The company returned £609,895 to shareholders by way of a buyback of 50,000 ordinary shares at a price of 1,219.79p per share.</t>
  </si>
  <si>
    <t>The company returned £74,992 to shareholders by way of a buyback of 6,145 ordinary shares at a price of 1,220.37p per share.</t>
  </si>
  <si>
    <t>The company returned £611,395 to shareholders by way of a buyback of 50,000 ordinary shares at a price of 1,222.79p per share.</t>
  </si>
  <si>
    <t>The company returned £487,612 to shareholders by way of a buyback of 40,000 ordinary shares at a price of 1,219.03p per share.</t>
  </si>
  <si>
    <t>The company returned £303,349 to shareholders by way of a buyback of 25,004 ordinary shares at a price of 1,213.2p per share.</t>
  </si>
  <si>
    <t>The company returned £719,400 to shareholders by way of a buyback of 60,000 ordinary shares at a price of 1,199.p per share.</t>
  </si>
  <si>
    <t>The company returned £369,020 to shareholders by way of a buyback of 30,678 ordinary shares at a price of 1,202.88p per share.</t>
  </si>
  <si>
    <t>The company returned £603,800 to shareholders by way of a buyback of 50,000 ordinary shares at a price of 1,207.6p per share.</t>
  </si>
  <si>
    <t>The company returned £425,835 to shareholders by way of a buyback of 35,000 ordinary shares at a price of 1,216.67p per share.</t>
  </si>
  <si>
    <t>The company returned £653,843 to shareholders by way of a buyback of 54,457 ordinary shares at a price of 1,200.66p per share.</t>
  </si>
  <si>
    <t>The company returned £592,289 to shareholders by way of a buyback of 49,131 ordinary shares at a price of 1,205.53p per share.</t>
  </si>
  <si>
    <t>The company returned £895,410 to shareholders by way of a buyback of 75,000 ordinary shares at a price of 1,193.88p per share.</t>
  </si>
  <si>
    <t>The company returned £473,900 to shareholders by way of a buyback of 40,000 ordinary shares at a price of 1,184.75p per share.</t>
  </si>
  <si>
    <t>The company returned £19,707 to shareholders by way of a buyback of 7,153 ordinary shares at a price of 275.5p per share.</t>
  </si>
  <si>
    <t>The company returned £251,704 to shareholders by way of a buyback of 90,126 ordinary shares at a price of 279.28p per share.</t>
  </si>
  <si>
    <t>The company returned £269,220 to shareholders by way of a buyback of 100,000 ordinary shares at a price of 269.22p per share.</t>
  </si>
  <si>
    <t>The company returned £393,000 to shareholders by way of a buyback of 250,000 ordinary shares at a price of 157.2p per share.</t>
  </si>
  <si>
    <t>The company returned £1,141,345 to shareholders by way of a buyback of 726,000 ordinary shares at a price of 157.21p per share.</t>
  </si>
  <si>
    <t>The company returned £162,849 to shareholders by way of a buyback of 25,250 ordinary shares at a price of 644.95p per share.</t>
  </si>
  <si>
    <t>The company returned £153,057 to shareholders by way of a buyback of 23,723 ordinary shares at a price of 645.18p per share.</t>
  </si>
  <si>
    <t>The company returned £340,480 to shareholders by way of a buyback of 53,239 ordinary shares at a price of 639.53p per share.</t>
  </si>
  <si>
    <t>The company returned £85,737 to shareholders by way of a buyback of 13,696 ordinary shares at a price of 626.p per share.</t>
  </si>
  <si>
    <t>The company returned £50,911 to shareholders by way of a buyback of 8,185 ordinary shares at a price of 622.p per share.</t>
  </si>
  <si>
    <t>The company returned £42,841 to shareholders by way of a buyback of 6,903 ordinary shares at a price of 620.61p per share.</t>
  </si>
  <si>
    <t>The company returned £218,310 to shareholders by way of a buyback of 35,480 ordinary shares at a price of 615.3p per share.</t>
  </si>
  <si>
    <t>The company returned £624,710 to shareholders by way of a buyback of 100,000 ordinary shares at a price of 624.71p per share.</t>
  </si>
  <si>
    <t>The company returned £594,494 to shareholders by way of a buyback of 95,743 ordinary shares at a price of 620.93p per share.</t>
  </si>
  <si>
    <t>The company returned £296,166 to shareholders by way of a buyback of 47,732 ordinary shares at a price of 620.48p per share.</t>
  </si>
  <si>
    <t>The company returned £46,686 to shareholders by way of a buyback of 7,551 ordinary shares at a price of 618.27p per share.</t>
  </si>
  <si>
    <t>The company returned £48,543 to shareholders by way of a buyback of 7,835 ordinary shares at a price of 619.56p per share.</t>
  </si>
  <si>
    <t>The company returned £46,142 to shareholders by way of a buyback of 7,423 ordinary shares at a price of 621.62p per share.</t>
  </si>
  <si>
    <t>The company returned £67,188 to shareholders by way of a buyback of 10,750 ordinary shares at a price of 625.p per share.</t>
  </si>
  <si>
    <t>The company returned £70,175 to shareholders by way of a buyback of 35,000 ordinary shares at a price of 200.5p per share.</t>
  </si>
  <si>
    <t>The company returned £607,380 to shareholders by way of a buyback of 300,000 ordinary shares at a price of 202.46p per share.</t>
  </si>
  <si>
    <t>The company returned £399,140 to shareholders by way of a buyback of 200,000 ordinary shares at a price of 199.57p per share.</t>
  </si>
  <si>
    <t>The company returned £88,461 to shareholders by way of a buyback of 10,000 ordinary shares at a price of 884.61p per share.</t>
  </si>
  <si>
    <t>The company returned £87,400 to shareholders by way of a buyback of 10,000 ordinary shares at a price of 874.p per share.</t>
  </si>
  <si>
    <t>The company returned £405,500 to shareholders by way of a buyback of 50,000 ordinary shares at a price of 811.p per share.</t>
  </si>
  <si>
    <t>The company returned £813,000 to shareholders by way of a buyback of 100,000 ordinary shares at a price of 813.p per share.</t>
  </si>
  <si>
    <t>The company returned £1,019,544 to shareholders by way of a buyback of 125,000 ordinary shares at a price of 815.64p per share.</t>
  </si>
  <si>
    <t>The company returned £644,208 to shareholders by way of a buyback of 80,000 ordinary shares at a price of 805.26p per share.</t>
  </si>
  <si>
    <t>The company returned £241,800 to shareholders by way of a buyback of 30,000 ordinary shares at a price of 806.p per share.</t>
  </si>
  <si>
    <t>The company returned £790,532 to shareholders by way of a buyback of 100,000 ordinary shares at a price of 790.53p per share.</t>
  </si>
  <si>
    <t>The company returned £792,000 to shareholders by way of a buyback of 100,000 ordinary shares at a price of 792.p per share.</t>
  </si>
  <si>
    <t>The company returned £793,000 to shareholders by way of a buyback of 100,000 ordinary shares at a price of 793.p per share.</t>
  </si>
  <si>
    <t>The company returned £249,441 to shareholders by way of a buyback of 75,000 ordinary shares at a price of 332.59p per share.</t>
  </si>
  <si>
    <t>The company returned £315,049 to shareholders by way of a buyback of 95,000 ordinary shares at a price of 331.63p per share.</t>
  </si>
  <si>
    <t>The company returned £416,438 to shareholders by way of a buyback of 125,000 ordinary shares at a price of 333.15p per share.</t>
  </si>
  <si>
    <t>The company returned £216,027 to shareholders by way of a buyback of 65,000 ordinary shares at a price of 332.35p per share.</t>
  </si>
  <si>
    <t>The company returned £83,181 to shareholders by way of a buyback of 25,000 ordinary shares at a price of 332.73p per share.</t>
  </si>
  <si>
    <t>The company returned £366,791 to shareholders by way of a buyback of 110,000 ordinary shares at a price of 333.45p per share.</t>
  </si>
  <si>
    <t>The company returned £170,250 to shareholders by way of a buyback of 50,000 ordinary shares at a price of 340.5p per share.</t>
  </si>
  <si>
    <t>The company returned £158,183 to shareholders by way of a buyback of 35,000 ordinary shares at a price of 451.95p per share.</t>
  </si>
  <si>
    <t>The company returned £50,656 to shareholders by way of a buyback of 11,210 ordinary shares at a price of 451.88p per share.</t>
  </si>
  <si>
    <t>The company returned £91,000 to shareholders by way of a buyback of 20,000 ordinary shares at a price of 455.p per share.</t>
  </si>
  <si>
    <t>The company returned £297,700 to shareholders by way of a buyback of 65,000 ordinary shares at a price of 458.p per share.</t>
  </si>
  <si>
    <t>The company returned £229,337 to shareholders by way of a buyback of 50,000 ordinary shares at a price of 458.67p per share.</t>
  </si>
  <si>
    <t>The company returned £223,050 to shareholders by way of a buyback of 50,000 ordinary shares at a price of 446.1p per share.</t>
  </si>
  <si>
    <t>The company returned £331,919 to shareholders by way of a buyback of 75,000 ordinary shares at a price of 442.56p per share.</t>
  </si>
  <si>
    <t>The company returned £144,210 to shareholders by way of a buyback of 33,000 ordinary shares at a price of 437.p per share.</t>
  </si>
  <si>
    <t>The company returned £73,144 to shareholders by way of a buyback of 16,757 ordinary shares at a price of 436.5p per share.</t>
  </si>
  <si>
    <t>The company returned £653,000 to shareholders by way of a buyback of 150,000 ordinary shares at a price of 435.33p per share.</t>
  </si>
  <si>
    <t>The company returned £2,544,000 to shareholders by way of a buyback of 600,000 ordinary shares at a price of 424.p per share.</t>
  </si>
  <si>
    <t>The company returned £430,199 to shareholders by way of a buyback of 100,000 ordinary shares at a price of 430.2p per share.</t>
  </si>
  <si>
    <t>The company returned £324,804 to shareholders by way of a buyback of 75,000 ordinary shares at a price of 433.07p per share.</t>
  </si>
  <si>
    <t>The company returned £219,125 to shareholders by way of a buyback of 50,000 ordinary shares at a price of 438.25p per share.</t>
  </si>
  <si>
    <t>The company returned £216,021 to shareholders by way of a buyback of 50,358 ordinary shares at a price of 428.97p per share.</t>
  </si>
  <si>
    <t>The company returned £215,758 to shareholders by way of a buyback of 50,000 ordinary shares at a price of 431.52p per share.</t>
  </si>
  <si>
    <t>The company returned £251,676 to shareholders by way of a buyback of 140,730 ordinary shares at a price of 178.84p per share.</t>
  </si>
  <si>
    <t>The company returned £279,988 to shareholders by way of a buyback of 154,153 ordinary shares at a price of 181.63p per share.</t>
  </si>
  <si>
    <t>The company returned £227,051 to shareholders by way of a buyback of 125,316 ordinary shares at a price of 181.18p per share.</t>
  </si>
  <si>
    <t>The company returned £126,825 to shareholders by way of a buyback of 69,437 ordinary shares at a price of 182.65p per share.</t>
  </si>
  <si>
    <t>The company returned £1,352,900 to shareholders by way of a buyback of 500,000 ordinary shares at a price of 270.58p per share.</t>
  </si>
  <si>
    <t>The company returned £1,374,100 to shareholders by way of a buyback of 500,000 ordinary shares at a price of 274.82p per share.</t>
  </si>
  <si>
    <t>The company returned £1,258,186 to shareholders by way of a buyback of 455,106 ordinary shares at a price of 276.46p per share.</t>
  </si>
  <si>
    <t>The company returned £40,285 to shareholders by way of a buyback of 14,958 ordinary shares at a price of 269.32p per share.</t>
  </si>
  <si>
    <t>The company returned £1,357,350 to shareholders by way of a buyback of 500,000 ordinary shares at a price of 271.47p per share.</t>
  </si>
  <si>
    <t>The company returned £730,724 to shareholders by way of a buyback of 269,173 ordinary shares at a price of 271.47p per share.</t>
  </si>
  <si>
    <t>The company returned £295,935 to shareholders by way of a buyback of 109,000 ordinary shares at a price of 271.5p per share.</t>
  </si>
  <si>
    <t>The company returned £1,222,858 to shareholders by way of a buyback of 447,000 ordinary shares at a price of 273.57p per share.</t>
  </si>
  <si>
    <t>The company returned £551,260 to shareholders by way of a buyback of 200,000 ordinary shares at a price of 275.63p per share.</t>
  </si>
  <si>
    <t>The company returned £341,250 to shareholders by way of a buyback of 125,000 ordinary shares at a price of 273.p per share.</t>
  </si>
  <si>
    <t>The company returned £1,159,229 to shareholders by way of a buyback of 419,039 ordinary shares at a price of 276.64p per share.</t>
  </si>
  <si>
    <t>The company returned £465,095 to shareholders by way of a buyback of 167,000 ordinary shares at a price of 278.5p per share.</t>
  </si>
  <si>
    <t>The company returned £1,188,259 to shareholders by way of a buyback of 432,000 ordinary shares at a price of 275.06p per share.</t>
  </si>
  <si>
    <t>The company returned £534,842 to shareholders by way of a buyback of 193,000 ordinary shares at a price of 277.12p per share.</t>
  </si>
  <si>
    <t>The company returned £900,416 to shareholders by way of a buyback of 321,577 ordinary shares at a price of 280.p per share.</t>
  </si>
  <si>
    <t>The company returned £186,266 to shareholders by way of a buyback of 66,405 ordinary shares at a price of 280.5p per share.</t>
  </si>
  <si>
    <t>The company returned £369,232 to shareholders by way of a buyback of 132,308 ordinary shares at a price of 279.07p per share.</t>
  </si>
  <si>
    <t>The company returned £1,395,000 to shareholders by way of a buyback of 500,000 ordinary shares at a price of 279.p per share.</t>
  </si>
  <si>
    <t>The company returned £485,598 to shareholders by way of a buyback of 175,439 ordinary shares at a price of 276.79p per share.</t>
  </si>
  <si>
    <t>The company returned £382,000 to shareholders by way of a buyback of 50,000 ordinary shares at a price of 764.p per share.</t>
  </si>
  <si>
    <t>The company returned £229,800 to shareholders by way of a buyback of 30,000 ordinary shares at a price of 766.p per share.</t>
  </si>
  <si>
    <t>The company returned £454,500 to shareholders by way of a buyback of 60,000 ordinary shares at a price of 757.5p per share.</t>
  </si>
  <si>
    <t>The company returned £343,500 to shareholders by way of a buyback of 45,000 ordinary shares at a price of 763.33p per share.</t>
  </si>
  <si>
    <t>The company returned £934,087 to shareholders by way of a buyback of 123,500 ordinary shares at a price of 756.35p per share.</t>
  </si>
  <si>
    <t>The company returned £194,438 to shareholders by way of a buyback of 25,000 ordinary shares at a price of 777.75p per share.</t>
  </si>
  <si>
    <t>The company returned £176,549 to shareholders by way of a buyback of 30,000 ordinary shares at a price of 588.5p per share.</t>
  </si>
  <si>
    <t>The company returned £176,025 to shareholders by way of a buyback of 30,000 ordinary shares at a price of 586.75p per share.</t>
  </si>
  <si>
    <t>The company returned £175,977 to shareholders by way of a buyback of 30,000 ordinary shares at a price of 586.59p per share.</t>
  </si>
  <si>
    <t>The company returned £177,685 to shareholders by way of a buyback of 30,000 ordinary shares at a price of 592.28p per share.</t>
  </si>
  <si>
    <t>The company returned £175,483 to shareholders by way of a buyback of 30,000 ordinary shares at a price of 584.94p per share.</t>
  </si>
  <si>
    <t>The company returned £171,581 to shareholders by way of a buyback of 30,000 ordinary shares at a price of 571.94p per share.</t>
  </si>
  <si>
    <t>The company returned £128,049 to shareholders by way of a buyback of 21,959 ordinary shares at a price of 583.13p per share.</t>
  </si>
  <si>
    <t>The company returned £91,204 to shareholders by way of a buyback of 15,000 ordinary shares at a price of 608.03p per share.</t>
  </si>
  <si>
    <t>The company returned £150,941 to shareholders by way of a buyback of 24,815 ordinary shares at a price of 608.27p per share.</t>
  </si>
  <si>
    <t>The company returned £157,431 to shareholders by way of a buyback of 25,856 ordinary shares at a price of 608.88p per share.</t>
  </si>
  <si>
    <t>The company returned £185,113 to shareholders by way of a buyback of 30,000 ordinary shares at a price of 617.04p per share.</t>
  </si>
  <si>
    <t>The company returned £180,715 to shareholders by way of a buyback of 30,000 ordinary shares at a price of 602.38p per share.</t>
  </si>
  <si>
    <t>The company returned £176,761 to shareholders by way of a buyback of 30,000 ordinary shares at a price of 589.2p per share.</t>
  </si>
  <si>
    <t>The company returned £174,921 to shareholders by way of a buyback of 30,000 ordinary shares at a price of 583.07p per share.</t>
  </si>
  <si>
    <t>The company returned £175,026 to shareholders by way of a buyback of 30,000 ordinary shares at a price of 583.42p per share.</t>
  </si>
  <si>
    <t>The company returned £174,667 to shareholders by way of a buyback of 30,000 ordinary shares at a price of 582.22p per share.</t>
  </si>
  <si>
    <t>The company returned £178,118 to shareholders by way of a buyback of 30,000 ordinary shares at a price of 593.73p per share.</t>
  </si>
  <si>
    <t>The company returned £159,695 to shareholders by way of a buyback of 26,355 ordinary shares at a price of 605.94p per share.</t>
  </si>
  <si>
    <t>The company returned £186,132 to shareholders by way of a buyback of 30,000 ordinary shares at a price of 620.44p per share.</t>
  </si>
  <si>
    <t>The company returned £180,758 to shareholders by way of a buyback of 30,000 ordinary shares at a price of 602.53p per share.</t>
  </si>
  <si>
    <t>The company returned £114,133 to shareholders by way of a buyback of 18,929 ordinary shares at a price of 602.95p per share.</t>
  </si>
  <si>
    <t>The company returned £1,956,648 to shareholders by way of a buyback of 120,000 ordinary shares at a price of 1,630.54p per share.</t>
  </si>
  <si>
    <t>The company returned £1,793,891 to shareholders by way of a buyback of 110,000 ordinary shares at a price of 1,630.81p per share.</t>
  </si>
  <si>
    <t>The company returned £397,500 to shareholders by way of a buyback of 25,000 ordinary shares at a price of 1,590.p per share.</t>
  </si>
  <si>
    <t>The company returned £2,073,617 to shareholders by way of a buyback of 130,000 ordinary shares at a price of 1,595.09p per share.</t>
  </si>
  <si>
    <t>The company returned £3,169,500 to shareholders by way of a buyback of 200,000 ordinary shares at a price of 1,584.75p per share.</t>
  </si>
  <si>
    <t>The company returned £1,659,956 to shareholders by way of a buyback of 105,000 ordinary shares at a price of 1,580.91p per share.</t>
  </si>
  <si>
    <t>The company returned £88,997 to shareholders by way of a buyback of 49,836 ordinary shares at a price of 178.58p per share.</t>
  </si>
  <si>
    <t>The company returned £85,767 to shareholders by way of a buyback of 47,752 ordinary shares at a price of 179.61p per share.</t>
  </si>
  <si>
    <t>The company returned £135,289 to shareholders by way of a buyback of 75,937 ordinary shares at a price of 178.16p per share.</t>
  </si>
  <si>
    <t>The company returned £79,157 to shareholders by way of a buyback of 45,091 ordinary shares at a price of 175.55p per share.</t>
  </si>
  <si>
    <t>The company returned £107,628 to shareholders by way of a buyback of 62,184 ordinary shares at a price of 173.08p per share.</t>
  </si>
  <si>
    <t>The company returned £64,086 to shareholders by way of a buyback of 36,937 ordinary shares at a price of 173.5p per share.</t>
  </si>
  <si>
    <t>The company returned £255,179 to shareholders by way of a buyback of 147,069 ordinary shares at a price of 173.51p per share.</t>
  </si>
  <si>
    <t>The company returned £288,302 to shareholders by way of a buyback of 168,637 ordinary shares at a price of 170.96p per share.</t>
  </si>
  <si>
    <t>The company returned £34,100 to shareholders by way of a buyback of 20,000 ordinary shares at a price of 170.5p per share.</t>
  </si>
  <si>
    <t>The company returned £69,270 to shareholders by way of a buyback of 40,442 ordinary shares at a price of 171.28p per share.</t>
  </si>
  <si>
    <t>The company returned £93,320 to shareholders by way of a buyback of 53,670 ordinary shares at a price of 173.88p per share.</t>
  </si>
  <si>
    <t>The company returned £326,079 to shareholders by way of a buyback of 189,254 ordinary shares at a price of 172.3p per share.</t>
  </si>
  <si>
    <t>The company returned £182,914 to shareholders by way of a buyback of 106,043 ordinary shares at a price of 172.49p per share.</t>
  </si>
  <si>
    <t>The company returned £121,235 to shareholders by way of a buyback of 70,007 ordinary shares at a price of 173.18p per share.</t>
  </si>
  <si>
    <t>The company returned £79,783 to shareholders by way of a buyback of 46,016 ordinary shares at a price of 173.38p per share.</t>
  </si>
  <si>
    <t>The company returned £38,804 to shareholders by way of a buyback of 36,549 ordinary shares at a price of 106.17p per share.</t>
  </si>
  <si>
    <t>The company returned £36,226 to shareholders by way of a buyback of 33,746 ordinary shares at a price of 107.35p per share.</t>
  </si>
  <si>
    <t>The company returned £9,119 to shareholders by way of a buyback of 8,490 ordinary shares at a price of 107.41p per share.</t>
  </si>
  <si>
    <t>The company returned £3,680,500 to shareholders by way of a buyback of 850,000 ordinary shares at a price of 433.p per share.</t>
  </si>
  <si>
    <t>The company returned £420,000 to shareholders by way of a buyback of 100,000 ordinary shares at a price of 420.p per share.</t>
  </si>
  <si>
    <t>The company returned £209,000 to shareholders by way of a buyback of 50,000 ordinary shares at a price of 418.p per share.</t>
  </si>
  <si>
    <t>The company returned £357,750 to shareholders by way of a buyback of 75,000 ordinary shares at a price of 477.p per share.</t>
  </si>
  <si>
    <t>The company returned £376,500 to shareholders by way of a buyback of 75,000 ordinary shares at a price of 502.p per share.</t>
  </si>
  <si>
    <t>The company returned £179,200 to shareholders by way of a buyback of 35,000 ordinary shares at a price of 512.p per share.</t>
  </si>
  <si>
    <t>The company returned £508,000 to shareholders by way of a buyback of 100,000 ordinary shares at a price of 508.p per share.</t>
  </si>
  <si>
    <t>The company returned £125,700 to shareholders by way of a buyback of 25,000 ordinary shares at a price of 502.8p per share.</t>
  </si>
  <si>
    <t>The company returned £390,750 to shareholders by way of a buyback of 75,000 ordinary shares at a price of 521.p per share.</t>
  </si>
  <si>
    <t>The company returned £860,137 to shareholders by way of a buyback of 76,254 ordinary shares at a price of 1,127.99p per share.</t>
  </si>
  <si>
    <t>The company returned £1,109,380 to shareholders by way of a buyback of 100,000 ordinary shares at a price of 1,109.38p per share.</t>
  </si>
  <si>
    <t>The company returned £62,762 to shareholders by way of a buyback of 5,648 ordinary shares at a price of 1,111.23p per share.</t>
  </si>
  <si>
    <t>The company returned £999,192 to shareholders by way of a buyback of 92,643 ordinary shares at a price of 1,078.54p per share.</t>
  </si>
  <si>
    <t>The company returned £1,094,500 to shareholders by way of a buyback of 100,000 ordinary shares at a price of 1,094.5p per share.</t>
  </si>
  <si>
    <t>The company returned £2,132,960 to shareholders by way of a buyback of 200,000 ordinary shares at a price of 1,066.48p per share.</t>
  </si>
  <si>
    <t>The company returned £1,546,950 to shareholders by way of a buyback of 150,000 ordinary shares at a price of 1,031.3p per share.</t>
  </si>
  <si>
    <t>The company returned £817,053 to shareholders by way of a buyback of 76,000 ordinary shares at a price of 1,075.07p per share.</t>
  </si>
  <si>
    <t>The company returned £1,970,982 to shareholders by way of a buyback of 182,092 ordinary shares at a price of 1,082.41p per share.</t>
  </si>
  <si>
    <t>The company returned £529,335 to shareholders by way of a buyback of 50,000 ordinary shares at a price of 1,058.67p per share.</t>
  </si>
  <si>
    <t>The company returned £498,230 to shareholders by way of a buyback of 50,000 ordinary shares at a price of 996.46p per share.</t>
  </si>
  <si>
    <t>The company returned £871,333 to shareholders by way of a buyback of 82,743 ordinary shares at a price of 1,053.06p per share.</t>
  </si>
  <si>
    <t>The company returned £3,778,125 to shareholders by way of a buyback of 975,000 ordinary shares at a price of 387.5p per share.</t>
  </si>
  <si>
    <t>The company returned £1,064,250 to shareholders by way of a buyback of 275,000 ordinary shares at a price of 387.p per share.</t>
  </si>
  <si>
    <t>The company returned £1,204,363 to shareholders by way of a buyback of 309,329 ordinary shares at a price of 389.35p per share.</t>
  </si>
  <si>
    <t>The company returned £643,933 to shareholders by way of a buyback of 166,822 ordinary shares at a price of 386.p per share.</t>
  </si>
  <si>
    <t>The company returned £215,453 to shareholders by way of a buyback of 55,885 ordinary shares at a price of 385.53p per share.</t>
  </si>
  <si>
    <t>The company returned £894,118 to shareholders by way of a buyback of 230,000 ordinary shares at a price of 388.75p per share.</t>
  </si>
  <si>
    <t>The company returned £2,327,196 to shareholders by way of a buyback of 600,000 ordinary shares at a price of 387.87p per share.</t>
  </si>
  <si>
    <t>The company returned £1,059,593 to shareholders by way of a buyback of 272,894 ordinary shares at a price of 388.28p per share.</t>
  </si>
  <si>
    <t>The company returned £38,600 to shareholders by way of a buyback of 10,000 ordinary shares at a price of 386.p per share.</t>
  </si>
  <si>
    <t>The company returned £1,143,973 to shareholders by way of a buyback of 293,337 ordinary shares at a price of 389.99p per share.</t>
  </si>
  <si>
    <t>The company returned £1,611,623 to shareholders by way of a buyback of 414,218 ordinary shares at a price of 389.08p per share.</t>
  </si>
  <si>
    <t>The company returned £1,719,363 to shareholders by way of a buyback of 443,519 ordinary shares at a price of 387.66p per share.</t>
  </si>
  <si>
    <t>The company returned £289,500 to shareholders by way of a buyback of 75,000 ordinary shares at a price of 386.p per share.</t>
  </si>
  <si>
    <t>The company returned £1,258,461 to shareholders by way of a buyback of 321,866 ordinary shares at a price of 390.99p per share.</t>
  </si>
  <si>
    <t>The company returned £1,150,236 to shareholders by way of a buyback of 295,189 ordinary shares at a price of 389.66p per share.</t>
  </si>
  <si>
    <t>The company returned £972,875 to shareholders by way of a buyback of 250,000 ordinary shares at a price of 389.15p per share.</t>
  </si>
  <si>
    <t>The company returned £680,645 to shareholders by way of a buyback of 175,000 ordinary shares at a price of 388.94p per share.</t>
  </si>
  <si>
    <t>The company returned £1,558,468 to shareholders by way of a buyback of 400,000 ordinary shares at a price of 389.62p per share.</t>
  </si>
  <si>
    <t>The company returned £1,759,320 to shareholders by way of a buyback of 450,000 ordinary shares at a price of 390.96p per share.</t>
  </si>
  <si>
    <t>The company returned £255,460 to shareholders by way of a buyback of 65,000 ordinary shares at a price of 393.02p per share.</t>
  </si>
  <si>
    <t>The company returned £1,299,474 to shareholders by way of a buyback of 330,000 ordinary shares at a price of 393.78p per share.</t>
  </si>
  <si>
    <t>The company returned £393,500 to shareholders by way of a buyback of 100,000 ordinary shares at a price of 393.5p per share.</t>
  </si>
  <si>
    <t>The company returned £231,056 to shareholders by way of a buyback of 32,914 ordinary shares at a price of 602.44p per share.</t>
  </si>
  <si>
    <t>The company returned £187,500 to shareholders by way of a buyback of 25,000 ordinary shares at a price of 639.82p per share.</t>
  </si>
  <si>
    <t>The company returned £104,718 to shareholders by way of a buyback of 14,350 ordinary shares at a price of 622.99p per share.</t>
  </si>
  <si>
    <t>The company returned £220,500 to shareholders by way of a buyback of 30,000 ordinary shares at a price of 626.67p per share.</t>
  </si>
  <si>
    <t>The company returned £219,446 to shareholders by way of a buyback of 30,000 ordinary shares at a price of 624.44p per share.</t>
  </si>
  <si>
    <t>The company returned £220,800 to shareholders by way of a buyback of 30,000 ordinary shares at a price of 624.45p per share.</t>
  </si>
  <si>
    <t>The company returned £183,750 to shareholders by way of a buyback of 25,000 ordinary shares at a price of 623.53p per share.</t>
  </si>
  <si>
    <t>The company returned £225,000 to shareholders by way of a buyback of 30,000 ordinary shares at a price of 636.91p per share.</t>
  </si>
  <si>
    <t>The company returned £186,000 to shareholders by way of a buyback of 25,000 ordinary shares at a price of 634.66p per share.</t>
  </si>
  <si>
    <t>The company returned £184,000 to shareholders by way of a buyback of 25,000 ordinary shares at a price of 627.9p per share.</t>
  </si>
  <si>
    <t>The company returned £146,967 to shareholders by way of a buyback of 20,500 ordinary shares at a price of 612.18p per share.</t>
  </si>
  <si>
    <t>The company returned £284,000 to shareholders by way of a buyback of 40,000 ordinary shares at a price of 606.18p per share.</t>
  </si>
  <si>
    <t>The company returned £280,000 to shareholders by way of a buyback of 40,000 ordinary shares at a price of 598.43p per share.</t>
  </si>
  <si>
    <t>The company returned £244,704 to shareholders by way of a buyback of 35,000 ordinary shares at a price of 598.92p per share.</t>
  </si>
  <si>
    <t>The company returned £244,994 to shareholders by way of a buyback of 35,000 ordinary shares at a price of 599.53p per share.</t>
  </si>
  <si>
    <t>The company returned £302,000 to shareholders by way of a buyback of 50,000 ordinary shares at a price of 604.p per share.</t>
  </si>
  <si>
    <t>The company returned £981,472 to shareholders by way of a buyback of 26,588 ordinary shares at a price of 3,691.41p per share.</t>
  </si>
  <si>
    <t>The company returned £1,056,083 to shareholders by way of a buyback of 27,494 ordinary shares at a price of 3,841.14p per share.</t>
  </si>
  <si>
    <t>The company returned £1,044,303 to shareholders by way of a buyback of 27,643 ordinary shares at a price of 3,777.82p per share.</t>
  </si>
  <si>
    <t>The company returned £1,038,109 to shareholders by way of a buyback of 27,271 ordinary shares at a price of 3,806.64p per share.</t>
  </si>
  <si>
    <t>The company returned £1,048,285 to shareholders by way of a buyback of 27,749 ordinary shares at a price of 3,777.74p per share.</t>
  </si>
  <si>
    <t>The company returned £1,022,518 to shareholders by way of a buyback of 27,196 ordinary shares at a price of 3,759.81p per share.</t>
  </si>
  <si>
    <t>The company returned £1,044,496 to shareholders by way of a buyback of 27,118 ordinary shares at a price of 3,851.67p per share.</t>
  </si>
  <si>
    <t>The company returned £1,046,046 to shareholders by way of a buyback of 26,891 ordinary shares at a price of 3,889.95p per share.</t>
  </si>
  <si>
    <t>The company returned £1,025,340 to shareholders by way of a buyback of 26,385 ordinary shares at a price of 3,886.07p per share.</t>
  </si>
  <si>
    <t>The company returned £1,005,517 to shareholders by way of a buyback of 25,990 ordinary shares at a price of 3,868.86p per share.</t>
  </si>
  <si>
    <t>The company returned £993,290 to shareholders by way of a buyback of 25,566 ordinary shares at a price of 3,885.2p per share.</t>
  </si>
  <si>
    <t>The company returned £1,010,547 to shareholders by way of a buyback of 25,713 ordinary shares at a price of 3,930.1p per share.</t>
  </si>
  <si>
    <t>The company returned £986,057 to shareholders by way of a buyback of 25,462 ordinary shares at a price of 3,872.66p per share.</t>
  </si>
  <si>
    <t>The company returned £912,404 to shareholders by way of a buyback of 24,132 ordinary shares at a price of 3,780.89p per share.</t>
  </si>
  <si>
    <t>The company returned £905,964 to shareholders by way of a buyback of 24,047 ordinary shares at a price of 3,767.47p per share.</t>
  </si>
  <si>
    <t>The company returned £889,024 to shareholders by way of a buyback of 23,309 ordinary shares at a price of 3,814.08p per share.</t>
  </si>
  <si>
    <t>The company returned £852,463 to shareholders by way of a buyback of 22,964 ordinary shares at a price of 3,712.17p per share.</t>
  </si>
  <si>
    <t>The company returned £848,347 to shareholders by way of a buyback of 22,765 ordinary shares at a price of 3,726.54p per share.</t>
  </si>
  <si>
    <t>The company returned £871,444 to shareholders by way of a buyback of 22,936 ordinary shares at a price of 3,799.46p per share.</t>
  </si>
  <si>
    <t>The company returned £846,076 to shareholders by way of a buyback of 22,370 ordinary shares at a price of 3,782.19p per share.</t>
  </si>
  <si>
    <t>The company returned £789,874 to shareholders by way of a buyback of 21,005 ordinary shares at a price of 3,760.41p per share.</t>
  </si>
  <si>
    <t>The company returned £744,801 to shareholders by way of a buyback of 19,809 ordinary shares at a price of 3,759.91p per share.</t>
  </si>
  <si>
    <t>The company returned £942,650 to shareholders by way of a buyback of 175,000 ordinary shares at a price of 538.66p per share.</t>
  </si>
  <si>
    <t>The company returned £886,050 to shareholders by way of a buyback of 165,000 ordinary shares at a price of 537.p per share.</t>
  </si>
  <si>
    <t>The company returned £802,650 to shareholders by way of a buyback of 150,000 ordinary shares at a price of 535.1p per share.</t>
  </si>
  <si>
    <t>The company returned £1,614,600 to shareholders by way of a buyback of 300,000 ordinary shares at a price of 538.2p per share.</t>
  </si>
  <si>
    <t>The company returned £705,329 to shareholders by way of a buyback of 130,000 ordinary shares at a price of 542.56p per share.</t>
  </si>
  <si>
    <t>The company returned £215,675 to shareholders by way of a buyback of 89,359 ordinary shares at a price of 241.36p per share.</t>
  </si>
  <si>
    <t>The company returned £2,460,997 to shareholders by way of a buyback of 350,000 ordinary shares at a price of 703.14p per share.</t>
  </si>
  <si>
    <t>The company returned £2,735,640 to shareholders by way of a buyback of 400,000 ordinary shares at a price of 683.91p per share.</t>
  </si>
  <si>
    <t>The company returned £2,795,608 to shareholders by way of a buyback of 425,000 ordinary shares at a price of 657.79p per share.</t>
  </si>
  <si>
    <t>The company returned £2,244,374 to shareholders by way of a buyback of 341,111 ordinary shares at a price of 657.96p per share.</t>
  </si>
  <si>
    <t>The company returned £67,800 to shareholders by way of a buyback of 10,000 ordinary shares at a price of 678.p per share.</t>
  </si>
  <si>
    <t>The company returned £349,003 to shareholders by way of a buyback of 55,000 ordinary shares at a price of 634.55p per share.</t>
  </si>
  <si>
    <t>The company returned £487,372 to shareholders by way of a buyback of 665,000 ordinary shares at a price of 73.29p per share.</t>
  </si>
  <si>
    <t>The company returned £149,115 to shareholders by way of a buyback of 205,000 ordinary shares at a price of 72.74p per share.</t>
  </si>
  <si>
    <t>The company returned £148,629 to shareholders by way of a buyback of 205,000 ordinary shares at a price of 72.5p per share.</t>
  </si>
  <si>
    <t>The company returned £148,061 to shareholders by way of a buyback of 205,000 ordinary shares at a price of 72.23p per share.</t>
  </si>
  <si>
    <t>The company returned £147,364 to shareholders by way of a buyback of 205,000 ordinary shares at a price of 71.89p per share.</t>
  </si>
  <si>
    <t>The company returned £150,719 to shareholders by way of a buyback of 210,000 ordinary shares at a price of 71.77p per share.</t>
  </si>
  <si>
    <t>The company returned £148,050 to shareholders by way of a buyback of 210,000 ordinary shares at a price of 70.5p per share.</t>
  </si>
  <si>
    <t>The company returned £197,739 to shareholders by way of a buyback of 280,000 ordinary shares at a price of 70.62p per share.</t>
  </si>
  <si>
    <t>The company returned £197,698 to shareholders by way of a buyback of 275,000 ordinary shares at a price of 71.89p per share.</t>
  </si>
  <si>
    <t>The company returned £197,640 to shareholders by way of a buyback of 270,000 ordinary shares at a price of 73.2p per share.</t>
  </si>
  <si>
    <t>The company returned £198,080 to shareholders by way of a buyback of 270,000 ordinary shares at a price of 73.36p per share.</t>
  </si>
  <si>
    <t>The company returned £199,803 to shareholders by way of a buyback of 270,000 ordinary shares at a price of 74.p per share.</t>
  </si>
  <si>
    <t>The company returned £197,608 to shareholders by way of a buyback of 265,000 ordinary shares at a price of 74.57p per share.</t>
  </si>
  <si>
    <t>The company returned £197,544 to shareholders by way of a buyback of 265,000 ordinary shares at a price of 74.55p per share.</t>
  </si>
  <si>
    <t>The company returned £197,388 to shareholders by way of a buyback of 265,000 ordinary shares at a price of 74.49p per share.</t>
  </si>
  <si>
    <t>The company returned £198,480 to shareholders by way of a buyback of 265,000 ordinary shares at a price of 74.9p per share.</t>
  </si>
  <si>
    <t>The company returned £198,750 to shareholders by way of a buyback of 265,000 ordinary shares at a price of 75.p per share.</t>
  </si>
  <si>
    <t>The company returned £197,600 to shareholders by way of a buyback of 260,000 ordinary shares at a price of 76.p per share.</t>
  </si>
  <si>
    <t>The company returned £198,588 to shareholders by way of a buyback of 260,000 ordinary shares at a price of 76.38p per share.</t>
  </si>
  <si>
    <t>The company returned £195,330 to shareholders by way of a buyback of 255,000 ordinary shares at a price of 76.6p per share.</t>
  </si>
  <si>
    <t>The company returned £199,160 to shareholders by way of a buyback of 260,000 ordinary shares at a price of 76.6p per share.</t>
  </si>
  <si>
    <t>The company returned £196,095 to shareholders by way of a buyback of 255,000 ordinary shares at a price of 76.9p per share.</t>
  </si>
  <si>
    <t>The company returned £57,330 to shareholders by way of a buyback of 2,600 ordinary shares at a price of 2,205.p per share.</t>
  </si>
  <si>
    <t>The company returned £80,416 to shareholders by way of a buyback of 3,647 ordinary shares at a price of 2,205.p per share.</t>
  </si>
  <si>
    <t>The company returned £44,100 to shareholders by way of a buyback of 2,000 ordinary shares at a price of 2,205.p per share.</t>
  </si>
  <si>
    <t>The company returned £44,800 to shareholders by way of a buyback of 2,000 ordinary shares at a price of 2,240.p per share.</t>
  </si>
  <si>
    <t>The company returned £95,727 to shareholders by way of a buyback of 4,264 ordinary shares at a price of 2,245.p per share.</t>
  </si>
  <si>
    <t>The company returned £115,065 to shareholders by way of a buyback of 4,992 ordinary shares at a price of 2,304.99p per share.</t>
  </si>
  <si>
    <t>The company returned £162,050 to shareholders by way of a buyback of 7,000 ordinary shares at a price of 2,315.p per share.</t>
  </si>
  <si>
    <t>The company returned £92,200 to shareholders by way of a buyback of 4,000 ordinary shares at a price of 2,305.p per share.</t>
  </si>
  <si>
    <t>The company returned £131,085 to shareholders by way of a buyback of 5,687 ordinary shares at a price of 2,305.p per share.</t>
  </si>
  <si>
    <t>The company returned £1,147,500 to shareholders by way of a buyback of 50,000 ordinary shares at a price of 2,295.p per share.</t>
  </si>
  <si>
    <t>The company returned £613,000 to shareholders by way of a buyback of 25,000 ordinary shares at a price of 2,452.p per share.</t>
  </si>
  <si>
    <t>The company returned £632,500 to shareholders by way of a buyback of 25,000 ordinary shares at a price of 2,530.p per share.</t>
  </si>
  <si>
    <t>The company returned £29,056 to shareholders by way of a buyback of 12,744 ordinary shares at a price of 228.p per share.</t>
  </si>
  <si>
    <t>The company returned £244,000 to shareholders by way of a buyback of 100,000 ordinary shares at a price of 182.2p per share.</t>
  </si>
  <si>
    <t>The company returned £292,000 to shareholders by way of a buyback of 100,000 ordinary shares at a price of 292.p per share.</t>
  </si>
  <si>
    <t>The company returned £877,224 to shareholders by way of a buyback of 300,000 ordinary shares at a price of 292.41p per share.</t>
  </si>
  <si>
    <t>The company returned £1,462,175 to shareholders by way of a buyback of 500,000 ordinary shares at a price of 292.44p per share.</t>
  </si>
  <si>
    <t>The company returned £1,171,880 to shareholders by way of a buyback of 400,000 ordinary shares at a price of 292.97p per share.</t>
  </si>
  <si>
    <t>The company returned £732,293 to shareholders by way of a buyback of 250,000 ordinary shares at a price of 292.92p per share.</t>
  </si>
  <si>
    <t>The company returned £1,035,108 to shareholders by way of a buyback of 350,000 ordinary shares at a price of 295.75p per share.</t>
  </si>
  <si>
    <t>The company returned £339,120 to shareholders by way of a buyback of 50,000 ordinary shares at a price of 678.24p per share.</t>
  </si>
  <si>
    <t>The company returned £593,037 to shareholders by way of a buyback of 88,222 ordinary shares at a price of 672.21p per share.</t>
  </si>
  <si>
    <t>The company returned £29,066 to shareholders by way of a buyback of 4,404 ordinary shares at a price of 660.p per share.</t>
  </si>
  <si>
    <t>The company returned £998,983 to shareholders by way of a buyback of 149,573 ordinary shares at a price of 667.89p per share.</t>
  </si>
  <si>
    <t>The company returned £406,600 to shareholders by way of a buyback of 50,000 ordinary shares at a price of 813.2p per share.</t>
  </si>
  <si>
    <t>The company returned £120,000 to shareholders by way of a buyback of 15,000 ordinary shares at a price of 800.p per share.</t>
  </si>
  <si>
    <t>The company returned £398,900 to shareholders by way of a buyback of 50,000 ordinary shares at a price of 797.8p per share.</t>
  </si>
  <si>
    <t>The company returned £28,584 to shareholders by way of a buyback of 40,000 ordinary shares at a price of 71.46p per share.</t>
  </si>
  <si>
    <t>The company returned £12,218 to shareholders by way of a buyback of 16,511 ordinary shares at a price of 74.p per share.</t>
  </si>
  <si>
    <t>The company returned £6,975 to shareholders by way of a buyback of 9,300 ordinary shares at a price of 75.p per share.</t>
  </si>
  <si>
    <t>The company returned £17,166 to shareholders by way of a buyback of 22,587 ordinary shares at a price of 76.p per share.</t>
  </si>
  <si>
    <t>The company returned £107,500 to shareholders by way of a buyback of 30,000 ordinary shares at a price of 358.33p per share.</t>
  </si>
  <si>
    <t>The company returned £36,100 to shareholders by way of a buyback of 10,000 ordinary shares at a price of 361.p per share.</t>
  </si>
  <si>
    <t>The company returned £54,300 to shareholders by way of a buyback of 15,000 ordinary shares at a price of 362.p per share.</t>
  </si>
  <si>
    <t>The company returned £107,121 to shareholders by way of a buyback of 30,000 ordinary shares at a price of 357.07p per share.</t>
  </si>
  <si>
    <t>The company returned £35,500 to shareholders by way of a buyback of 10,000 ordinary shares at a price of 355.p per share.</t>
  </si>
  <si>
    <t>The company returned £35,600 to shareholders by way of a buyback of 10,000 ordinary shares at a price of 356.p per share.</t>
  </si>
  <si>
    <t>The company returned £35,700 to shareholders by way of a buyback of 10,000 ordinary shares at a price of 357.p per share.</t>
  </si>
  <si>
    <t>The company returned £73,400 to shareholders by way of a buyback of 20,000 ordinary shares at a price of 367.p per share.</t>
  </si>
  <si>
    <t>The company returned £73,800 to shareholders by way of a buyback of 20,000 ordinary shares at a price of 369.p per share.</t>
  </si>
  <si>
    <t>The company returned £92,520 to shareholders by way of a buyback of 25,000 ordinary shares at a price of 370.08p per share.</t>
  </si>
  <si>
    <t>The company returned £74,590 to shareholders by way of a buyback of 20,000 ordinary shares at a price of 372.95p per share.</t>
  </si>
  <si>
    <t>The company returned £61,629 to shareholders by way of a buyback of 16,810 ordinary shares at a price of 366.62p per share.</t>
  </si>
  <si>
    <t>The company returned £475,002 to shareholders by way of a buyback of 110,534 ordinary shares at a price of 429.73p per share.</t>
  </si>
  <si>
    <t>The company returned £324,161 to shareholders by way of a buyback of 75,000 ordinary shares at a price of 432.22p per share.</t>
  </si>
  <si>
    <t>The company returned £329,757 to shareholders by way of a buyback of 76,105 ordinary shares at a price of 433.29p per share.</t>
  </si>
  <si>
    <t>The company returned £153,670 to shareholders by way of a buyback of 35,571 ordinary shares at a price of 432.01p per share.</t>
  </si>
  <si>
    <t>The company returned £864,984 to shareholders by way of a buyback of 200,000 ordinary shares at a price of 432.49p per share.</t>
  </si>
  <si>
    <t>The company returned £82,622 to shareholders by way of a buyback of 19,567 ordinary shares at a price of 422.25p per share.</t>
  </si>
  <si>
    <t>The company returned £146,300 to shareholders by way of a buyback of 20,000 ordinary shares at a price of 731.5p per share.</t>
  </si>
  <si>
    <t>The company returned £148,350 to shareholders by way of a buyback of 20,000 ordinary shares at a price of 741.75p per share.</t>
  </si>
  <si>
    <t>The company returned £112,673 to shareholders by way of a buyback of 15,000 ordinary shares at a price of 751.15p per share.</t>
  </si>
  <si>
    <t>The company returned £813,810 to shareholders by way of a buyback of 150,000 ordinary shares at a price of 542.54p per share.</t>
  </si>
  <si>
    <t>The company returned £682,613 to shareholders by way of a buyback of 125,000 ordinary shares at a price of 546.09p per share.</t>
  </si>
  <si>
    <t>The company returned £1,087,820 to shareholders by way of a buyback of 200,000 ordinary shares at a price of 543.91p per share.</t>
  </si>
  <si>
    <t>The company returned £819,375 to shareholders by way of a buyback of 150,000 ordinary shares at a price of 546.25p per share.</t>
  </si>
  <si>
    <t>The company returned £407,228 to shareholders by way of a buyback of 75,000 ordinary shares at a price of 542.97p per share.</t>
  </si>
  <si>
    <t>The company returned £676,375 to shareholders by way of a buyback of 125,000 ordinary shares at a price of 541.1p per share.</t>
  </si>
  <si>
    <t>The company returned £544,130 to shareholders by way of a buyback of 100,000 ordinary shares at a price of 544.13p per share.</t>
  </si>
  <si>
    <t>The company returned £680,975 to shareholders by way of a buyback of 125,000 ordinary shares at a price of 544.78p per share.</t>
  </si>
  <si>
    <t>The company returned £923,100 to shareholders by way of a buyback of 170,000 ordinary shares at a price of 543.p per share.</t>
  </si>
  <si>
    <t>The company returned £678,250 to shareholders by way of a buyback of 125,000 ordinary shares at a price of 542.6p per share.</t>
  </si>
  <si>
    <t>The company returned £812,640 to shareholders by way of a buyback of 150,000 ordinary shares at a price of 541.76p per share.</t>
  </si>
  <si>
    <t>The company returned £812,265 to shareholders by way of a buyback of 150,000 ordinary shares at a price of 541.51p per share.</t>
  </si>
  <si>
    <t>The company returned £1,081,100 to shareholders by way of a buyback of 200,000 ordinary shares at a price of 540.55p per share.</t>
  </si>
  <si>
    <t>The company returned £1,087,000 to shareholders by way of a buyback of 200,000 ordinary shares at a price of 543.5p per share.</t>
  </si>
  <si>
    <t>The company returned £1,092,680 to shareholders by way of a buyback of 200,000 ordinary shares at a price of 546.34p per share.</t>
  </si>
  <si>
    <t>The company returned £1,081,980 to shareholders by way of a buyback of 200,000 ordinary shares at a price of 540.99p per share.</t>
  </si>
  <si>
    <t>The company returned £1,088,500 to shareholders by way of a buyback of 200,000 ordinary shares at a price of 544.25p per share.</t>
  </si>
  <si>
    <t>The company returned £825,480 to shareholders by way of a buyback of 150,000 ordinary shares at a price of 550.32p per share.</t>
  </si>
  <si>
    <t>The company returned £836,790 to shareholders by way of a buyback of 150,000 ordinary shares at a price of 557.86p per share.</t>
  </si>
  <si>
    <t>The company returned £696,900 to shareholders by way of a buyback of 125,000 ordinary shares at a price of 557.52p per share.</t>
  </si>
  <si>
    <t>The company returned £697,300 to shareholders by way of a buyback of 125,000 ordinary shares at a price of 557.84p per share.</t>
  </si>
  <si>
    <t>The company returned £1,109,080 to shareholders by way of a buyback of 200,000 ordinary shares at a price of 554.54p per share.</t>
  </si>
  <si>
    <t>The company returned £34,450,378 to shareholders by way of a buyback of 2,320,047 ordinary shares at a price of 1,484.9p per share.</t>
  </si>
  <si>
    <t>The company returned £44,653,500 to shareholders by way of a buyback of 3,000,000 ordinary shares at a price of 1,488.45p per share.</t>
  </si>
  <si>
    <t>The company returned £16,836,952 to shareholders by way of a buyback of 1,122,703 ordinary shares at a price of 1,499.68p per share.</t>
  </si>
  <si>
    <t>The company returned £33,580,191 to shareholders by way of a buyback of 2,232,577 ordinary shares at a price of 1,504.1p per share.</t>
  </si>
  <si>
    <t>The company returned £18,631,157 to shareholders by way of a buyback of 1,259,645 ordinary shares at a price of 1,479.08p per share.</t>
  </si>
  <si>
    <t>The company returned £18,585,425 to shareholders by way of a buyback of 1,274,502 ordinary shares at a price of 1,458.25p per share.</t>
  </si>
  <si>
    <t>The company returned £18,669,430 to shareholders by way of a buyback of 1,282,567 ordinary shares at a price of 1,455.63p per share.</t>
  </si>
  <si>
    <t>The company returned £15,790,408 to shareholders by way of a buyback of 1,067,908 ordinary shares at a price of 1,478.63p per share.</t>
  </si>
  <si>
    <t>The company returned £10,103,923 to shareholders by way of a buyback of 702,066 ordinary shares at a price of 1,439.17p per share.</t>
  </si>
  <si>
    <t>The company returned £13,297,056 to shareholders by way of a buyback of 938,236 ordinary shares at a price of 1,417.24p per share.</t>
  </si>
  <si>
    <t>The company returned £16,464,533 to shareholders by way of a buyback of 1,172,245 ordinary shares at a price of 1,404.53p per share.</t>
  </si>
  <si>
    <t>The company returned £13,358,104 to shareholders by way of a buyback of 982,423 ordinary shares at a price of 1,359.71p per share.</t>
  </si>
  <si>
    <t>The company returned £6,727,500 to shareholders by way of a buyback of 500,000 ordinary shares at a price of 1,345.5p per share.</t>
  </si>
  <si>
    <t>The company returned £6,756,350 to shareholders by way of a buyback of 500,000 ordinary shares at a price of 1,351.27p per share.</t>
  </si>
  <si>
    <t>The company returned £6,737,450 to shareholders by way of a buyback of 500,000 ordinary shares at a price of 1,347.49p per share.</t>
  </si>
  <si>
    <t>The company returned £26,199,000 to shareholders by way of a buyback of 2,000,000 ordinary shares at a price of 1,309.95p per share.</t>
  </si>
  <si>
    <t>The company returned £6,601,100 to shareholders by way of a buyback of 500,000 ordinary shares at a price of 1,320.22p per share.</t>
  </si>
  <si>
    <t>The company returned £6,665,500 to shareholders by way of a buyback of 500,000 ordinary shares at a price of 1,333.1p per share.</t>
  </si>
  <si>
    <t>The company returned £6,614,350 to shareholders by way of a buyback of 500,000 ordinary shares at a price of 1,322.87p per share.</t>
  </si>
  <si>
    <t>The company returned £6,616,350 to shareholders by way of a buyback of 500,000 ordinary shares at a price of 1,323.27p per share.</t>
  </si>
  <si>
    <t>The company returned £6,572,750 to shareholders by way of a buyback of 500,000 ordinary shares at a price of 1,314.55p per share.</t>
  </si>
  <si>
    <t>The company returned £138,000 to shareholders by way of a buyback of 50,000 ordinary shares at a price of 276.p per share.</t>
  </si>
  <si>
    <t>The company returned £91,350 to shareholders by way of a buyback of 35,000 ordinary shares at a price of 261.p per share.</t>
  </si>
  <si>
    <t>The company returned £52,200 to shareholders by way of a buyback of 20,000 ordinary shares at a price of 261.p per share.</t>
  </si>
  <si>
    <t>The company returned £90,650 to shareholders by way of a buyback of 35,000 ordinary shares at a price of 259.p per share.</t>
  </si>
  <si>
    <t>The company returned £65,250 to shareholders by way of a buyback of 25,000 ordinary shares at a price of 261.p per share.</t>
  </si>
  <si>
    <t>The company returned £90,300 to shareholders by way of a buyback of 35,000 ordinary shares at a price of 258.p per share.</t>
  </si>
  <si>
    <t>The company returned £53,400 to shareholders by way of a buyback of 15,000 ordinary shares at a price of 356.p per share.</t>
  </si>
  <si>
    <t>The company returned £89,250 to shareholders by way of a buyback of 25,000 ordinary shares at a price of 357.p per share.</t>
  </si>
  <si>
    <t>The company returned £178,135 to shareholders by way of a buyback of 50,000 ordinary shares at a price of 356.27p per share.</t>
  </si>
  <si>
    <t>The company returned £90,750 to shareholders by way of a buyback of 25,000 ordinary shares at a price of 363.p per share.</t>
  </si>
  <si>
    <t>The company returned £167,625 to shareholders by way of a buyback of 75,000 ordinary shares at a price of 223.5p per share.</t>
  </si>
  <si>
    <t>The company returned £574,500 to shareholders by way of a buyback of 250,000 ordinary shares at a price of 229.8p per share.</t>
  </si>
  <si>
    <t>The company returned £158,200 to shareholders by way of a buyback of 70,000 ordinary shares at a price of 226.p per share.</t>
  </si>
  <si>
    <t>The company returned £262,775 to shareholders by way of a buyback of 115,000 ordinary shares at a price of 228.5p per share.</t>
  </si>
  <si>
    <t>The company returned £152,750 to shareholders by way of a buyback of 65,000 ordinary shares at a price of 235.p per share.</t>
  </si>
  <si>
    <t>The company returned £117,750 to shareholders by way of a buyback of 50,000 ordinary shares at a price of 235.5p per share.</t>
  </si>
  <si>
    <t>The company returned £375,600 to shareholders by way of a buyback of 160,000 ordinary shares at a price of 234.75p per share.</t>
  </si>
  <si>
    <t>The company returned £160,300 to shareholders by way of a buyback of 70,000 ordinary shares at a price of 229.p per share.</t>
  </si>
  <si>
    <t>The company returned £2,436,047 to shareholders by way of a buyback of 740,620 ordinary shares at a price of 328.92p per share.</t>
  </si>
  <si>
    <t>The company returned £1,026,052 to shareholders by way of a buyback of 319,513 ordinary shares at a price of 321.13p per share.</t>
  </si>
  <si>
    <t>The company returned £20,235 to shareholders by way of a buyback of 6,188 ordinary shares at a price of 327.p per share.</t>
  </si>
  <si>
    <t>The company returned £1,034,735 to shareholders by way of a buyback of 325,000 ordinary shares at a price of 318.38p per share.</t>
  </si>
  <si>
    <t>The company returned £200,024 to shareholders by way of a buyback of 62,966 ordinary shares at a price of 317.67p per share.</t>
  </si>
  <si>
    <t>The company returned £1,542,603 to shareholders by way of a buyback of 478,045 ordinary shares at a price of 322.69p per share.</t>
  </si>
  <si>
    <t>The company returned £134,867 to shareholders by way of a buyback of 41,935 ordinary shares at a price of 321.61p per share.</t>
  </si>
  <si>
    <t>The company returned £89,242 to shareholders by way of a buyback of 28,421 ordinary shares at a price of 314.p per share.</t>
  </si>
  <si>
    <t>The company returned £455,118 to shareholders by way of a buyback of 143,729 ordinary shares at a price of 316.65p per share.</t>
  </si>
  <si>
    <t>The company returned £1,954,034 to shareholders by way of a buyback of 616,434 ordinary shares at a price of 316.99p per share.</t>
  </si>
  <si>
    <t>The company returned £391,255 to shareholders by way of a buyback of 126,126 ordinary shares at a price of 310.21p per share.</t>
  </si>
  <si>
    <t>The company returned £75,125 to shareholders by way of a buyback of 25,000 ordinary shares at a price of 300.5p per share.</t>
  </si>
  <si>
    <t>The company returned £2,070,217 to shareholders by way of a buyback of 676,652 ordinary shares at a price of 305.95p per share.</t>
  </si>
  <si>
    <t>The company returned £1,317,237 to shareholders by way of a buyback of 423,195 ordinary shares at a price of 311.26p per share.</t>
  </si>
  <si>
    <t>The company returned £1,147,667 to shareholders by way of a buyback of 367,630 ordinary shares at a price of 312.18p per share.</t>
  </si>
  <si>
    <t>The company returned £3,126,200 to shareholders by way of a buyback of 1,000,000 ordinary shares at a price of 312.62p per share.</t>
  </si>
  <si>
    <t>The company returned £1,232,520 to shareholders by way of a buyback of 400,000 ordinary shares at a price of 308.13p per share.</t>
  </si>
  <si>
    <t>The company returned £2,431,789 to shareholders by way of a buyback of 792,785 ordinary shares at a price of 306.74p per share.</t>
  </si>
  <si>
    <t>The company returned £1,086,534 to shareholders by way of a buyback of 368,967 ordinary shares at a price of 294.48p per share.</t>
  </si>
  <si>
    <t>The company returned £1,183,652 to shareholders by way of a buyback of 406,000 ordinary shares at a price of 291.54p per share.</t>
  </si>
  <si>
    <t>The company returned £1,292,434 to shareholders by way of a buyback of 423,000 ordinary shares at a price of 305.54p per share.</t>
  </si>
  <si>
    <t>The company returned £662,910 to shareholders by way of a buyback of 284,184 ordinary shares at a price of 233.27p per share.</t>
  </si>
  <si>
    <t>The company returned £116,000 to shareholders by way of a buyback of 50,000 ordinary shares at a price of 232.p per share.</t>
  </si>
  <si>
    <t>The company returned £694,454 to shareholders by way of a buyback of 298,560 ordinary shares at a price of 232.6p per share.</t>
  </si>
  <si>
    <t>The company returned £108,240 to shareholders by way of a buyback of 55,000 ordinary shares at a price of 196.8p per share.</t>
  </si>
  <si>
    <t>The company returned £144,450 to shareholders by way of a buyback of 75,000 ordinary shares at a price of 192.6p per share.</t>
  </si>
  <si>
    <t>The company returned £336,700 to shareholders by way of a buyback of 175,000 ordinary shares at a price of 192.4p per share.</t>
  </si>
  <si>
    <t>The company returned £164,050 to shareholders by way of a buyback of 85,000 ordinary shares at a price of 193.p per share.</t>
  </si>
  <si>
    <t>The company returned £22,815 to shareholders by way of a buyback of 11,700 ordinary shares at a price of 195.p per share.</t>
  </si>
  <si>
    <t>The company returned £47,500 to shareholders by way of a buyback of 25,000 ordinary shares at a price of 190.p per share.</t>
  </si>
  <si>
    <t>The company returned £37,977 to shareholders by way of a buyback of 5,132 ordinary shares at a price of 740.p per share.</t>
  </si>
  <si>
    <t>The company returned £56,144 to shareholders by way of a buyback of 16,747 ordinary shares at a price of 335.25p per share.</t>
  </si>
  <si>
    <t>The company returned £231,368 to shareholders by way of a buyback of 50,000 ordinary shares at a price of 462.74p per share.</t>
  </si>
  <si>
    <t>The company returned £343,750 to shareholders by way of a buyback of 75,000 ordinary shares at a price of 458.33p per share.</t>
  </si>
  <si>
    <t>The company returned £155,196 to shareholders by way of a buyback of 34,101 ordinary shares at a price of 455.11p per share.</t>
  </si>
  <si>
    <t>The company returned £227,500 to shareholders by way of a buyback of 50,000 ordinary shares at a price of 455.p per share.</t>
  </si>
  <si>
    <t>The company returned £225,952 to shareholders by way of a buyback of 50,000 ordinary shares at a price of 451.9p per share.</t>
  </si>
  <si>
    <t>The company returned £337,055 to shareholders by way of a buyback of 74,735 ordinary shares at a price of 451.p per share.</t>
  </si>
  <si>
    <t>The company returned £224,000 to shareholders by way of a buyback of 50,000 ordinary shares at a price of 448.p per share.</t>
  </si>
  <si>
    <t>The company returned £133,500 to shareholders by way of a buyback of 30,000 ordinary shares at a price of 445.p per share.</t>
  </si>
  <si>
    <t>The company returned £152,724 to shareholders by way of a buyback of 35,228 ordinary shares at a price of 433.53p per share.</t>
  </si>
  <si>
    <t>The company returned £173,482 to shareholders by way of a buyback of 40,000 ordinary shares at a price of 433.7p per share.</t>
  </si>
  <si>
    <t>The company returned £210,800 to shareholders by way of a buyback of 50,000 ordinary shares at a price of 421.6p per share.</t>
  </si>
  <si>
    <t>The company returned £201,980 to shareholders by way of a buyback of 48,000 ordinary shares at a price of 420.79p per share.</t>
  </si>
  <si>
    <t>The company returned £64,890 to shareholders by way of a buyback of 15,539 ordinary shares at a price of 417.59p per share.</t>
  </si>
  <si>
    <t>The company returned £178,674 to shareholders by way of a buyback of 43,138 ordinary shares at a price of 414.19p per share.</t>
  </si>
  <si>
    <t>The company returned £164,369 to shareholders by way of a buyback of 39,500 ordinary shares at a price of 416.13p per share.</t>
  </si>
  <si>
    <t>The company returned £1,377,676 to shareholders by way of a buyback of 356,320 ordinary shares at a price of 386.64p per share.</t>
  </si>
  <si>
    <t>The company returned £39,470 to shareholders by way of a buyback of 10,005 ordinary shares at a price of 394.5p per share.</t>
  </si>
  <si>
    <t>The company returned £1,763,853 to shareholders by way of a buyback of 446,907 ordinary shares at a price of 394.68p per share.</t>
  </si>
  <si>
    <t>The company returned £1,116,631 to shareholders by way of a buyback of 285,073 ordinary shares at a price of 391.7p per share.</t>
  </si>
  <si>
    <t>The company returned £465,453 to shareholders by way of a buyback of 120,024 ordinary shares at a price of 387.8p per share.</t>
  </si>
  <si>
    <t>The company returned £165,295 to shareholders by way of a buyback of 312,466 ordinary shares at a price of 52.9p per share.</t>
  </si>
  <si>
    <t>The company returned £18,105 to shareholders by way of a buyback of 34,160 ordinary shares at a price of 53.p per share.</t>
  </si>
  <si>
    <t>The company returned £49,375 to shareholders by way of a buyback of 94,047 ordinary shares at a price of 52.5p per share.</t>
  </si>
  <si>
    <t>The company returned £1,879,756 to shareholders by way of a buyback of 4,329,240 ordinary shares at a price of 43.42p per share.</t>
  </si>
  <si>
    <t>The company returned £155,476 to shareholders by way of a buyback of 510,091 ordinary shares at a price of 30.48p per share.</t>
  </si>
  <si>
    <t>The company returned £41,127 to shareholders by way of a buyback of 136,680 ordinary shares at a price of 30.09p per share.</t>
  </si>
  <si>
    <t>The company returned £264,910 to shareholders by way of a buyback of 626,265 ordinary shares at a price of 42.3p per share.</t>
  </si>
  <si>
    <t>The company returned £793,158 to shareholders by way of a buyback of 2,832,707 ordinary shares at a price of 28.p per share.</t>
  </si>
  <si>
    <t>The company returned £127,732 to shareholders by way of a buyback of 456,187 ordinary shares at a price of 28.p per share.</t>
  </si>
  <si>
    <t>The company returned £798,144 to shareholders by way of a buyback of 2,411,311 ordinary shares at a price of 33.1p per share.</t>
  </si>
  <si>
    <t>The company returned £1,529,113 to shareholders by way of a buyback of 3,370,317 ordinary shares at a price of 45.37p per share.</t>
  </si>
  <si>
    <t>The company returned £2,554,659 to shareholders by way of a buyback of 6,671,869 ordinary shares at a price of 38.29p per share.</t>
  </si>
  <si>
    <t>The company returned £1,172,700 to shareholders by way of a buyback of 2,260,845 ordinary shares at a price of 51.87p per share.</t>
  </si>
  <si>
    <t>The company returned £1,087,739 to shareholders by way of a buyback of 1,345,379 ordinary shares at a price of 80.85p per share.</t>
  </si>
  <si>
    <t>The company returned £1,325,839 to shareholders by way of a buyback of 2,414,568 ordinary shares at a price of 54.91p per share.</t>
  </si>
  <si>
    <t>The company returned £202,423 to shareholders by way of a buyback of 675,533 ordinary shares at a price of 29.97p per share.</t>
  </si>
  <si>
    <t>The company returned £297,417 to shareholders by way of a buyback of 747,148 ordinary shares at a price of 39.81p per share.</t>
  </si>
  <si>
    <t>The company returned £1,032,458 to shareholders by way of a buyback of 1,231,462 ordinary shares at a price of 83.84p per share.</t>
  </si>
  <si>
    <t>The company returned £1,398,124 to shareholders by way of a buyback of 1,211,651 ordinary shares at a price of 115.39p per share.</t>
  </si>
  <si>
    <t>The company returned £1,320,271 to shareholders by way of a buyback of 2,335,110 ordinary shares at a price of 56.54p per share.</t>
  </si>
  <si>
    <t>The company returned £1,299,912 to shareholders by way of a buyback of 1,883,931 ordinary shares at a price of 69.p per share.</t>
  </si>
  <si>
    <t>No. of occurrences</t>
  </si>
  <si>
    <t>The company has announced plans to raise up to £10,000,000 (with an over-allotment facility of £10,000,000 by way of an open offer for subscription of shares, and has raised £858,244 to date. The offer opened on 14/02/2026 and will close on 12/02/2027.</t>
  </si>
  <si>
    <t>to Aberdeen, effective 01/08/26.</t>
  </si>
  <si>
    <t>Dowgate Wealth Limited</t>
  </si>
  <si>
    <t>The company raised £2,841,763 by way of an open offer for subscription of shares.The offer opened on 02/02/2026 and closed on 26/05/2026.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</si>
</sst>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u/>
      <sz val="9"/>
      <color rgb="FFFF0000"/>
      <name val="Calibri"/>
      <family val="2"/>
      <scheme val="minor"/>
    </font>
    <font>
      <sz val="10"/>
      <name val="Calibri"/>
      <family val="2"/>
      <scheme val="minor"/>
    </font>
    <font>
      <b/>
      <i/>
      <sz val="9"/>
      <name val="Calibri"/>
      <family val="2"/>
      <scheme val="minor"/>
    </font>
    <font>
      <i/>
      <sz val="10"/>
      <name val="Calibri"/>
      <family val="2"/>
      <scheme val="minor"/>
    </font>
    <font>
      <sz val="10"/>
      <name val="Arial"/>
      <family val="2"/>
    </font>
    <font>
      <sz val="10"/>
      <color theme="1"/>
      <name val="Calibri"/>
      <family val="2"/>
      <scheme val="minor"/>
    </font>
    <font>
      <sz val="8"/>
      <name val="Calibri"/>
      <family val="2"/>
      <scheme val="minor"/>
    </font>
    <font>
      <sz val="11"/>
      <color theme="0"/>
      <name val="Calibri"/>
      <family val="2"/>
      <scheme val="minor"/>
    </font>
    <font>
      <b/>
      <sz val="10"/>
      <color theme="0"/>
      <name val="Calibri"/>
      <family val="2"/>
      <scheme val="minor"/>
    </font>
    <font>
      <b/>
      <i/>
      <sz val="9"/>
      <name val="Arial"/>
      <family val="2"/>
    </font>
    <font>
      <i/>
      <sz val="10"/>
      <name val="Arial"/>
      <family val="2"/>
    </font>
    <font>
      <b/>
      <sz val="10"/>
      <color theme="0"/>
      <name val="Arial"/>
      <family val="2"/>
    </font>
    <font>
      <sz val="10"/>
      <color theme="1"/>
      <name val="Arial"/>
      <family val="2"/>
    </font>
    <font>
      <sz val="11"/>
      <color theme="1"/>
      <name val="Arial"/>
      <family val="2"/>
    </font>
    <font>
      <b/>
      <sz val="12"/>
      <color theme="0"/>
      <name val="Arial"/>
      <family val="2"/>
    </font>
    <font>
      <i/>
      <sz val="11"/>
      <color theme="0"/>
      <name val="Calibri"/>
      <family val="2"/>
      <scheme val="minor"/>
    </font>
    <font>
      <sz val="10"/>
      <color theme="0"/>
      <name val="Arial"/>
      <family val="2"/>
    </font>
    <font>
      <sz val="8"/>
      <color theme="1"/>
      <name val="Calibri"/>
      <family val="2"/>
      <scheme val="minor"/>
    </font>
    <font>
      <b/>
      <i/>
      <sz val="10"/>
      <name val="Arial"/>
      <family val="2"/>
    </font>
    <font>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9" tint="-0.499984740745262"/>
        <bgColor indexed="64"/>
      </patternFill>
    </fill>
    <fill>
      <patternFill patternType="solid">
        <fgColor rgb="FF002060"/>
        <bgColor indexed="64"/>
      </patternFill>
    </fill>
  </fills>
  <borders count="20">
    <border>
      <left/>
      <right/>
      <top/>
      <bottom/>
      <diagonal/>
    </border>
    <border>
      <left/>
      <right style="thin">
        <color theme="0" tint="-0.14996795556505021"/>
      </right>
      <top/>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top style="thin">
        <color indexed="64"/>
      </top>
      <bottom/>
      <diagonal/>
    </border>
    <border>
      <left/>
      <right style="thin">
        <color indexed="64"/>
      </right>
      <top style="thin">
        <color indexed="64"/>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3743705557422"/>
      </bottom>
      <diagonal/>
    </border>
    <border>
      <left style="thin">
        <color theme="0" tint="-4.9989318521683403E-2"/>
      </left>
      <right/>
      <top/>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style="thin">
        <color auto="1"/>
      </left>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2">
    <xf numFmtId="0" fontId="0" fillId="0" borderId="0"/>
    <xf numFmtId="0" fontId="5" fillId="0" borderId="0"/>
  </cellStyleXfs>
  <cellXfs count="98">
    <xf numFmtId="0" fontId="0" fillId="0" borderId="0" xfId="0"/>
    <xf numFmtId="0" fontId="2" fillId="0" borderId="0" xfId="0" applyFont="1" applyAlignment="1">
      <alignment vertical="top"/>
    </xf>
    <xf numFmtId="0" fontId="1" fillId="0" borderId="0" xfId="0" applyFont="1" applyAlignment="1">
      <alignment horizontal="left" vertical="top"/>
    </xf>
    <xf numFmtId="0" fontId="0" fillId="2" borderId="0" xfId="0" applyFill="1" applyAlignment="1">
      <alignment vertical="top"/>
    </xf>
    <xf numFmtId="0" fontId="3" fillId="0" borderId="0" xfId="0" applyFont="1" applyAlignment="1">
      <alignment horizontal="left" vertical="top"/>
    </xf>
    <xf numFmtId="0" fontId="4" fillId="0" borderId="0" xfId="0" applyFont="1" applyAlignment="1">
      <alignment vertical="top"/>
    </xf>
    <xf numFmtId="0" fontId="0" fillId="0" borderId="0" xfId="0" applyAlignment="1">
      <alignment wrapText="1"/>
    </xf>
    <xf numFmtId="0" fontId="6" fillId="2" borderId="0" xfId="0" applyFont="1" applyFill="1" applyAlignment="1">
      <alignment vertical="top" wrapText="1"/>
    </xf>
    <xf numFmtId="2" fontId="0" fillId="0" borderId="0" xfId="0" applyNumberFormat="1"/>
    <xf numFmtId="2"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14" fontId="0" fillId="0" borderId="0" xfId="0" applyNumberFormat="1"/>
    <xf numFmtId="0" fontId="6" fillId="0" borderId="7" xfId="0" applyFont="1" applyBorder="1" applyAlignment="1">
      <alignment horizontal="left" vertical="top" wrapText="1"/>
    </xf>
    <xf numFmtId="0" fontId="10"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2" fontId="5" fillId="0" borderId="0" xfId="0" applyNumberFormat="1" applyFont="1" applyAlignment="1">
      <alignment horizontal="left" vertical="top"/>
    </xf>
    <xf numFmtId="0" fontId="10" fillId="0" borderId="1" xfId="0" applyFont="1" applyBorder="1" applyAlignment="1">
      <alignment horizontal="left" vertical="top"/>
    </xf>
    <xf numFmtId="0" fontId="11" fillId="0" borderId="0" xfId="0" applyFont="1" applyAlignment="1">
      <alignment horizontal="left" vertical="top"/>
    </xf>
    <xf numFmtId="0" fontId="11" fillId="0" borderId="0" xfId="0" applyFont="1" applyAlignment="1">
      <alignment horizontal="left" vertical="top" wrapText="1"/>
    </xf>
    <xf numFmtId="2" fontId="11" fillId="0" borderId="0" xfId="0" applyNumberFormat="1" applyFont="1" applyAlignment="1">
      <alignment horizontal="left" vertical="top"/>
    </xf>
    <xf numFmtId="0" fontId="13" fillId="0" borderId="5" xfId="0" applyFont="1" applyBorder="1" applyAlignment="1">
      <alignment horizontal="left" vertical="top" wrapText="1"/>
    </xf>
    <xf numFmtId="0" fontId="13" fillId="0" borderId="4" xfId="0" applyFont="1" applyBorder="1" applyAlignment="1">
      <alignment horizontal="left" vertical="top" wrapText="1"/>
    </xf>
    <xf numFmtId="0" fontId="5" fillId="0" borderId="4" xfId="0" applyFont="1" applyBorder="1" applyAlignment="1">
      <alignment horizontal="left" vertical="top" wrapText="1"/>
    </xf>
    <xf numFmtId="1" fontId="13" fillId="0" borderId="4" xfId="0" applyNumberFormat="1" applyFont="1" applyBorder="1" applyAlignment="1">
      <alignment horizontal="left" vertical="top" wrapText="1"/>
    </xf>
    <xf numFmtId="2" fontId="13" fillId="0" borderId="4" xfId="0" applyNumberFormat="1" applyFont="1" applyBorder="1" applyAlignment="1">
      <alignment horizontal="left" vertical="top" wrapText="1"/>
    </xf>
    <xf numFmtId="0" fontId="5" fillId="0" borderId="6" xfId="0" applyFont="1" applyBorder="1" applyAlignment="1">
      <alignment horizontal="left" vertical="top" wrapText="1"/>
    </xf>
    <xf numFmtId="0" fontId="13" fillId="0" borderId="4" xfId="0" applyFont="1" applyBorder="1" applyAlignment="1">
      <alignment horizontal="left" vertical="top"/>
    </xf>
    <xf numFmtId="0" fontId="5" fillId="0" borderId="4" xfId="0" applyFont="1" applyBorder="1" applyAlignment="1">
      <alignment horizontal="left" vertical="top"/>
    </xf>
    <xf numFmtId="0" fontId="11" fillId="0" borderId="0" xfId="0" applyFont="1" applyAlignment="1">
      <alignment vertical="top"/>
    </xf>
    <xf numFmtId="0" fontId="11" fillId="0" borderId="0" xfId="0" applyFont="1" applyAlignment="1">
      <alignment vertical="top" wrapText="1"/>
    </xf>
    <xf numFmtId="0" fontId="11" fillId="2" borderId="0" xfId="0" applyFont="1" applyFill="1" applyAlignment="1">
      <alignment vertical="top" wrapText="1"/>
    </xf>
    <xf numFmtId="0" fontId="11" fillId="2" borderId="0" xfId="0" applyFont="1" applyFill="1" applyAlignment="1">
      <alignment horizontal="left" vertical="top" wrapText="1"/>
    </xf>
    <xf numFmtId="2" fontId="11" fillId="2" borderId="0" xfId="0" applyNumberFormat="1" applyFont="1" applyFill="1" applyAlignment="1">
      <alignment vertical="top"/>
    </xf>
    <xf numFmtId="1" fontId="11" fillId="2" borderId="0" xfId="0" applyNumberFormat="1" applyFont="1" applyFill="1" applyAlignment="1">
      <alignment vertical="top" wrapText="1"/>
    </xf>
    <xf numFmtId="14" fontId="11" fillId="2" borderId="0" xfId="0" applyNumberFormat="1" applyFont="1" applyFill="1" applyAlignment="1">
      <alignment vertical="top" wrapText="1"/>
    </xf>
    <xf numFmtId="14" fontId="11" fillId="2" borderId="0" xfId="0" applyNumberFormat="1" applyFont="1" applyFill="1" applyAlignment="1">
      <alignment vertical="top"/>
    </xf>
    <xf numFmtId="1" fontId="5" fillId="0" borderId="5" xfId="0" applyNumberFormat="1" applyFont="1" applyBorder="1" applyAlignment="1">
      <alignment horizontal="left" vertical="top" wrapText="1"/>
    </xf>
    <xf numFmtId="2" fontId="5" fillId="0" borderId="4" xfId="0" applyNumberFormat="1" applyFont="1" applyBorder="1" applyAlignment="1">
      <alignment horizontal="left" vertical="top" wrapText="1"/>
    </xf>
    <xf numFmtId="14" fontId="5" fillId="0" borderId="4" xfId="0" applyNumberFormat="1" applyFont="1" applyBorder="1" applyAlignment="1">
      <alignment horizontal="left" vertical="top" wrapText="1"/>
    </xf>
    <xf numFmtId="1" fontId="0" fillId="0" borderId="0" xfId="0" applyNumberFormat="1"/>
    <xf numFmtId="0" fontId="8" fillId="0" borderId="0" xfId="0" applyFont="1"/>
    <xf numFmtId="0" fontId="16" fillId="0" borderId="0" xfId="0" applyFont="1"/>
    <xf numFmtId="3" fontId="13" fillId="0" borderId="11" xfId="0" applyNumberFormat="1" applyFont="1" applyBorder="1" applyAlignment="1">
      <alignment horizontal="center"/>
    </xf>
    <xf numFmtId="3" fontId="0" fillId="0" borderId="0" xfId="0" applyNumberFormat="1"/>
    <xf numFmtId="3" fontId="14" fillId="0" borderId="0" xfId="0" applyNumberFormat="1" applyFont="1"/>
    <xf numFmtId="3" fontId="13" fillId="0" borderId="11" xfId="0" applyNumberFormat="1" applyFont="1" applyBorder="1"/>
    <xf numFmtId="3" fontId="13" fillId="0" borderId="12" xfId="0" applyNumberFormat="1" applyFont="1" applyBorder="1"/>
    <xf numFmtId="3" fontId="13" fillId="0" borderId="0" xfId="0" applyNumberFormat="1" applyFont="1" applyAlignment="1">
      <alignment vertical="top" wrapText="1"/>
    </xf>
    <xf numFmtId="3" fontId="17" fillId="0" borderId="0" xfId="0" applyNumberFormat="1" applyFont="1" applyAlignment="1">
      <alignment vertical="top" wrapText="1"/>
    </xf>
    <xf numFmtId="3" fontId="13" fillId="0" borderId="0" xfId="0" applyNumberFormat="1" applyFont="1"/>
    <xf numFmtId="3" fontId="17" fillId="0" borderId="0" xfId="0" applyNumberFormat="1" applyFont="1"/>
    <xf numFmtId="3" fontId="13" fillId="0" borderId="12" xfId="0" applyNumberFormat="1" applyFont="1" applyBorder="1" applyAlignment="1">
      <alignment horizontal="center"/>
    </xf>
    <xf numFmtId="3" fontId="16" fillId="0" borderId="0" xfId="0" applyNumberFormat="1" applyFont="1"/>
    <xf numFmtId="3" fontId="12" fillId="4" borderId="10" xfId="0" applyNumberFormat="1" applyFont="1" applyFill="1" applyBorder="1" applyAlignment="1">
      <alignment vertical="top" wrapText="1"/>
    </xf>
    <xf numFmtId="3" fontId="12" fillId="4" borderId="10" xfId="0" applyNumberFormat="1" applyFont="1" applyFill="1" applyBorder="1" applyAlignment="1">
      <alignment horizontal="center" vertical="top" wrapText="1"/>
    </xf>
    <xf numFmtId="0" fontId="9" fillId="4" borderId="8" xfId="0" applyFont="1" applyFill="1" applyBorder="1" applyAlignment="1">
      <alignment horizontal="left" vertical="top" wrapText="1"/>
    </xf>
    <xf numFmtId="0" fontId="9" fillId="4" borderId="9" xfId="0" applyFont="1" applyFill="1" applyBorder="1" applyAlignment="1">
      <alignment horizontal="left" vertical="top" wrapText="1"/>
    </xf>
    <xf numFmtId="0" fontId="12" fillId="4" borderId="3" xfId="0" applyFont="1" applyFill="1" applyBorder="1" applyAlignment="1">
      <alignment horizontal="left" vertical="top" wrapText="1"/>
    </xf>
    <xf numFmtId="2" fontId="12" fillId="4" borderId="3" xfId="0" applyNumberFormat="1" applyFont="1" applyFill="1" applyBorder="1" applyAlignment="1">
      <alignment horizontal="left" vertical="top" wrapText="1"/>
    </xf>
    <xf numFmtId="14" fontId="12" fillId="4" borderId="3" xfId="0" applyNumberFormat="1" applyFont="1" applyFill="1" applyBorder="1" applyAlignment="1">
      <alignment horizontal="left" vertical="top" wrapText="1"/>
    </xf>
    <xf numFmtId="0" fontId="12" fillId="4" borderId="2" xfId="0" applyFont="1" applyFill="1" applyBorder="1" applyAlignment="1">
      <alignment horizontal="left" vertical="top" wrapText="1"/>
    </xf>
    <xf numFmtId="0" fontId="12" fillId="4" borderId="2" xfId="0" applyFont="1" applyFill="1" applyBorder="1" applyAlignment="1">
      <alignment horizontal="left" vertical="top"/>
    </xf>
    <xf numFmtId="2" fontId="12" fillId="4" borderId="2" xfId="0" applyNumberFormat="1" applyFont="1" applyFill="1" applyBorder="1" applyAlignment="1">
      <alignment horizontal="left" vertical="top" wrapText="1"/>
    </xf>
    <xf numFmtId="3" fontId="18" fillId="0" borderId="0" xfId="0" applyNumberFormat="1" applyFont="1"/>
    <xf numFmtId="0" fontId="18" fillId="0" borderId="0" xfId="0" applyFont="1"/>
    <xf numFmtId="3" fontId="15" fillId="3" borderId="0" xfId="0" applyNumberFormat="1" applyFont="1" applyFill="1" applyAlignment="1">
      <alignment horizontal="center" vertical="center"/>
    </xf>
    <xf numFmtId="3" fontId="13" fillId="0" borderId="0" xfId="0" applyNumberFormat="1" applyFont="1" applyAlignment="1">
      <alignment horizontal="center"/>
    </xf>
    <xf numFmtId="3" fontId="14" fillId="0" borderId="13" xfId="0" applyNumberFormat="1" applyFont="1" applyBorder="1"/>
    <xf numFmtId="3" fontId="14" fillId="0" borderId="14" xfId="0" applyNumberFormat="1" applyFont="1" applyBorder="1"/>
    <xf numFmtId="3" fontId="14" fillId="0" borderId="15" xfId="0" applyNumberFormat="1" applyFont="1" applyBorder="1"/>
    <xf numFmtId="3" fontId="0" fillId="0" borderId="15" xfId="0" applyNumberFormat="1" applyBorder="1"/>
    <xf numFmtId="0" fontId="19" fillId="0" borderId="0" xfId="0" applyFont="1" applyAlignment="1">
      <alignment horizontal="left" vertical="top"/>
    </xf>
    <xf numFmtId="1" fontId="13" fillId="0" borderId="0" xfId="0" applyNumberFormat="1" applyFont="1" applyAlignment="1">
      <alignment horizontal="center"/>
    </xf>
    <xf numFmtId="1" fontId="0" fillId="0" borderId="0" xfId="0" applyNumberFormat="1" applyAlignment="1">
      <alignment horizontal="center"/>
    </xf>
    <xf numFmtId="0" fontId="0" fillId="0" borderId="16" xfId="0" applyBorder="1"/>
    <xf numFmtId="2" fontId="13" fillId="0" borderId="18" xfId="0" applyNumberFormat="1" applyFont="1" applyBorder="1"/>
    <xf numFmtId="1" fontId="13" fillId="0" borderId="18" xfId="0" applyNumberFormat="1" applyFont="1" applyBorder="1" applyAlignment="1">
      <alignment horizontal="center"/>
    </xf>
    <xf numFmtId="2" fontId="0" fillId="0" borderId="19" xfId="0" applyNumberFormat="1" applyBorder="1"/>
    <xf numFmtId="1" fontId="0" fillId="0" borderId="19" xfId="0" applyNumberFormat="1" applyBorder="1" applyAlignment="1">
      <alignment horizontal="center"/>
    </xf>
    <xf numFmtId="2" fontId="0" fillId="0" borderId="18" xfId="0" applyNumberFormat="1" applyBorder="1"/>
    <xf numFmtId="2" fontId="13" fillId="0" borderId="19" xfId="0" applyNumberFormat="1" applyFont="1" applyBorder="1"/>
    <xf numFmtId="3" fontId="20" fillId="0" borderId="13" xfId="0" applyNumberFormat="1" applyFont="1" applyBorder="1" applyAlignment="1">
      <alignment horizontal="right"/>
    </xf>
    <xf numFmtId="3" fontId="20" fillId="0" borderId="0" xfId="0" applyNumberFormat="1" applyFont="1"/>
    <xf numFmtId="3" fontId="20" fillId="0" borderId="13" xfId="0" applyNumberFormat="1" applyFont="1" applyBorder="1"/>
    <xf numFmtId="2" fontId="6" fillId="0" borderId="0" xfId="0" applyNumberFormat="1" applyFont="1" applyAlignment="1">
      <alignment horizontal="left" vertical="top"/>
    </xf>
    <xf numFmtId="1" fontId="0" fillId="0" borderId="18" xfId="0" applyNumberFormat="1" applyBorder="1" applyAlignment="1">
      <alignment horizontal="center"/>
    </xf>
    <xf numFmtId="2" fontId="12" fillId="4" borderId="19" xfId="0" applyNumberFormat="1" applyFont="1" applyFill="1" applyBorder="1" applyAlignment="1">
      <alignment vertical="top" wrapText="1"/>
    </xf>
    <xf numFmtId="2" fontId="12" fillId="4" borderId="17" xfId="0" applyNumberFormat="1" applyFont="1" applyFill="1" applyBorder="1" applyAlignment="1">
      <alignment horizontal="left" vertical="top" wrapText="1"/>
    </xf>
    <xf numFmtId="1" fontId="12" fillId="4" borderId="17" xfId="0" applyNumberFormat="1" applyFont="1" applyFill="1" applyBorder="1" applyAlignment="1">
      <alignment horizontal="center" vertical="top" wrapText="1"/>
    </xf>
    <xf numFmtId="1" fontId="12" fillId="4" borderId="17" xfId="0" applyNumberFormat="1" applyFont="1" applyFill="1" applyBorder="1" applyAlignment="1">
      <alignment horizontal="center" wrapText="1"/>
    </xf>
    <xf numFmtId="1" fontId="13" fillId="0" borderId="4" xfId="0" applyNumberFormat="1" applyFont="1" applyBorder="1" applyAlignment="1">
      <alignment horizontal="left" vertical="top"/>
    </xf>
    <xf numFmtId="1" fontId="13" fillId="0" borderId="18" xfId="0" applyNumberFormat="1" applyFont="1" applyBorder="1" applyAlignment="1">
      <alignment horizontal="center"/>
    </xf>
    <xf numFmtId="1" fontId="13" fillId="0" borderId="19" xfId="0" applyNumberFormat="1" applyFont="1" applyBorder="1" applyAlignment="1">
      <alignment horizontal="center"/>
    </xf>
    <xf numFmtId="2" fontId="12" fillId="4" borderId="17" xfId="0" applyNumberFormat="1" applyFont="1" applyFill="1" applyBorder="1" applyAlignment="1">
      <alignment horizontal="center" vertical="top" wrapText="1"/>
    </xf>
    <xf numFmtId="3" fontId="15" fillId="4" borderId="13" xfId="0" applyNumberFormat="1" applyFont="1" applyFill="1" applyBorder="1" applyAlignment="1">
      <alignment horizontal="center" vertical="center"/>
    </xf>
    <xf numFmtId="3" fontId="15" fillId="4" borderId="0" xfId="0" applyNumberFormat="1" applyFont="1" applyFill="1" applyAlignment="1">
      <alignment horizontal="center" vertical="center"/>
    </xf>
  </cellXfs>
  <cellStyles count="2">
    <cellStyle name="Normal" xfId="0" builtinId="0"/>
    <cellStyle name="Normal 2" xfId="1" xr:uid="{3DC24B0E-316D-43B7-A1DC-FDF879C0836C}"/>
  </cellStyles>
  <dxfs count="0"/>
  <tableStyles count="0" defaultTableStyle="TableStyleMedium2" defaultPivotStyle="PivotStyleLight16"/>
  <colors>
    <mruColors>
      <color rgb="FFFF5050"/>
      <color rgb="FFFF8A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845809872056587E-2"/>
          <c:y val="4.8441545693358914E-2"/>
          <c:w val="0.85315563372340542"/>
          <c:h val="0.85113571134645227"/>
        </c:manualLayout>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Summary!$B$5:$B$9</c:f>
              <c:strCache>
                <c:ptCount val="5"/>
                <c:pt idx="0">
                  <c:v>IPOs</c:v>
                </c:pt>
                <c:pt idx="1">
                  <c:v>Issuance</c:v>
                </c:pt>
                <c:pt idx="2">
                  <c:v>Buybacks</c:v>
                </c:pt>
                <c:pt idx="3">
                  <c:v>Company departures</c:v>
                </c:pt>
                <c:pt idx="4">
                  <c:v>Tenders &amp; redemptions</c:v>
                </c:pt>
              </c:strCache>
            </c:strRef>
          </c:cat>
          <c:val>
            <c:numRef>
              <c:f>Summary!$C$5:$C$9</c:f>
              <c:numCache>
                <c:formatCode>#,##0</c:formatCode>
                <c:ptCount val="5"/>
                <c:pt idx="0">
                  <c:v>0</c:v>
                </c:pt>
                <c:pt idx="1">
                  <c:v>1473.6760513083364</c:v>
                </c:pt>
                <c:pt idx="2">
                  <c:v>-5022.282542259306</c:v>
                </c:pt>
                <c:pt idx="3">
                  <c:v>-5213.7460757383542</c:v>
                </c:pt>
                <c:pt idx="4">
                  <c:v>-3034.3348845578021</c:v>
                </c:pt>
              </c:numCache>
            </c:numRef>
          </c:val>
          <c:extLst>
            <c:ext xmlns:c16="http://schemas.microsoft.com/office/drawing/2014/chart" uri="{C3380CC4-5D6E-409C-BE32-E72D297353CC}">
              <c16:uniqueId val="{00000000-D039-4D13-B51C-ECD86F464A89}"/>
            </c:ext>
          </c:extLst>
        </c:ser>
        <c:dLbls>
          <c:showLegendKey val="0"/>
          <c:showVal val="0"/>
          <c:showCatName val="0"/>
          <c:showSerName val="0"/>
          <c:showPercent val="0"/>
          <c:showBubbleSize val="0"/>
        </c:dLbls>
        <c:gapWidth val="59"/>
        <c:overlap val="-27"/>
        <c:axId val="170217327"/>
        <c:axId val="170218407"/>
      </c:barChart>
      <c:catAx>
        <c:axId val="17021732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0218407"/>
        <c:crosses val="autoZero"/>
        <c:auto val="1"/>
        <c:lblAlgn val="ctr"/>
        <c:lblOffset val="100"/>
        <c:noMultiLvlLbl val="0"/>
      </c:catAx>
      <c:valAx>
        <c:axId val="170218407"/>
        <c:scaling>
          <c:orientation val="minMax"/>
          <c:max val="200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1100"/>
                  <a:t>Value</a:t>
                </a:r>
                <a:r>
                  <a:rPr lang="en-GB" sz="1100" baseline="0"/>
                  <a:t> (£m)</a:t>
                </a:r>
                <a:endParaRPr lang="en-GB" sz="1100"/>
              </a:p>
            </c:rich>
          </c:tx>
          <c:layout>
            <c:manualLayout>
              <c:xMode val="edge"/>
              <c:yMode val="edge"/>
              <c:x val="1.297839925523531E-2"/>
              <c:y val="0.3434471754860429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0217327"/>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22412</xdr:colOff>
      <xdr:row>3</xdr:row>
      <xdr:rowOff>108138</xdr:rowOff>
    </xdr:from>
    <xdr:to>
      <xdr:col>13</xdr:col>
      <xdr:colOff>268941</xdr:colOff>
      <xdr:row>14</xdr:row>
      <xdr:rowOff>79563</xdr:rowOff>
    </xdr:to>
    <xdr:graphicFrame macro="">
      <xdr:nvGraphicFramePr>
        <xdr:cNvPr id="5" name="Chart 1">
          <a:extLst>
            <a:ext uri="{FF2B5EF4-FFF2-40B4-BE49-F238E27FC236}">
              <a16:creationId xmlns:a16="http://schemas.microsoft.com/office/drawing/2014/main" id="{BA505F52-F0DB-0C8B-5DD6-FB1EC8A5B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6EF5-2BB3-47F4-989F-D21375265CB5}">
  <dimension ref="B2:Q1000"/>
  <sheetViews>
    <sheetView workbookViewId="0">
      <selection activeCell="O2" sqref="O2"/>
    </sheetView>
  </sheetViews>
  <sheetFormatPr defaultRowHeight="15" x14ac:dyDescent="0.25"/>
  <cols>
    <col min="6" max="6" width="5.28515625" bestFit="1" customWidth="1"/>
    <col min="10" max="10" width="7.5703125" bestFit="1" customWidth="1"/>
  </cols>
  <sheetData>
    <row r="2" spans="2:17" x14ac:dyDescent="0.25">
      <c r="C2" t="s">
        <v>19</v>
      </c>
      <c r="D2" t="s">
        <v>90</v>
      </c>
      <c r="E2" t="s">
        <v>128</v>
      </c>
      <c r="F2" t="s">
        <v>130</v>
      </c>
      <c r="I2" t="s">
        <v>129</v>
      </c>
      <c r="J2" t="s">
        <v>130</v>
      </c>
      <c r="M2" t="s">
        <v>92</v>
      </c>
      <c r="N2" t="s">
        <v>125</v>
      </c>
      <c r="O2" t="s">
        <v>124</v>
      </c>
      <c r="P2" t="s">
        <v>131</v>
      </c>
    </row>
    <row r="3" spans="2:17" x14ac:dyDescent="0.25">
      <c r="B3" t="str" cm="1">
        <f t="array" ref="B3:B50">_xlfn.UNIQUE(Issuance!D4:D65536)</f>
        <v>Aberdeen Equity Income Trust</v>
      </c>
      <c r="C3">
        <f>SUMIFS(Issuance!$H:$H,Issuance!$D:$D,Formulas!$B3,Issuance!$C:$C,Formulas!C$2)</f>
        <v>9.7169819250000007</v>
      </c>
      <c r="D3">
        <f>SUMIFS(Issuance!$H:$H,Issuance!$D:$D,Formulas!$B3,Issuance!$C:$C,Formulas!D$2)</f>
        <v>0.62175000000000002</v>
      </c>
      <c r="E3">
        <f>SUM(C3:D3)</f>
        <v>10.338731925000001</v>
      </c>
      <c r="F3" s="41" t="str">
        <f>IF(OR(B3="",B3=0,E3=0),"",IF(COUNTIFS($E$3:$E$500,"&gt;"&amp;E3,$E$3:$E$500,"&lt;&gt;0")+1&lt;=20,COUNTIFS($E$3:$E$500,"&gt;"&amp;E3,$E$3:$E$500,"&lt;&gt;0")+1,""))</f>
        <v/>
      </c>
      <c r="H3" t="str" cm="1">
        <f t="array" ref="H3:H141">_xlfn.UNIQUE(Buybacks!D4:D64390)</f>
        <v>Aberdeen Asia Focus</v>
      </c>
      <c r="I3">
        <f>SUMIFS(Buybacks!H:H,Buybacks!D:D,Formulas!H3)</f>
        <v>-16.649146348749998</v>
      </c>
      <c r="J3" s="41" t="str">
        <f>IF(OR(H3="",H3=0,I3=0),"",IF(COUNTIFS($I$3:$I$500,"&lt;"&amp;I3,$I$3:$I$500,"&lt;&gt;0")+1&lt;=20,COUNTIFS($I$3:$I$500,"&lt;"&amp;I3,$I$3:$I$500,"&lt;&gt;0")+1,""))</f>
        <v/>
      </c>
      <c r="L3" t="str" cm="1">
        <f t="array" ref="L3:L114">_xlfn.UNIQUE('Corporate activity'!D4:D65536)</f>
        <v>Aquila European Renewables</v>
      </c>
      <c r="M3">
        <f>SUMIFS('Corporate activity'!$H:$H,'Corporate activity'!$D:$D,Formulas!$L3,'Corporate activity'!$C:$C,Formulas!M$2)</f>
        <v>0</v>
      </c>
      <c r="N3">
        <f>SUMIFS('Corporate activity'!$H:$H,'Corporate activity'!$D:$D,Formulas!$L3,'Corporate activity'!$C:$C,Formulas!N$2)</f>
        <v>0</v>
      </c>
      <c r="O3">
        <f>SUMIFS('Corporate activity'!$H:$H,'Corporate activity'!$D:$D,Formulas!$L3,'Corporate activity'!$C:$C,Formulas!O$2)</f>
        <v>-46.8</v>
      </c>
      <c r="P3">
        <f t="shared" ref="P3:P34" si="0">SUM(M3:O3)</f>
        <v>-46.8</v>
      </c>
      <c r="Q3">
        <f t="shared" ref="Q3:Q34" si="1">IF(OR(L3="",L3=0,P3=0),"",IF(COUNTIFS($P$3:$P$500,"&lt;"&amp;P3,$P$3:$P$500,"&lt;&gt;0")+1&lt;=20,COUNTIFS($P$3:$P$500,"&lt;"&amp;P3,$P$3:$P$500,"&lt;&gt;0")+1,""))</f>
        <v>8</v>
      </c>
    </row>
    <row r="4" spans="2:17" x14ac:dyDescent="0.25">
      <c r="B4" t="str">
        <v>Ashoka India Equity</v>
      </c>
      <c r="C4">
        <f>SUMIFS(Issuance!$H:$H,Issuance!$D:$D,Formulas!$B4,Issuance!$C:$C,Formulas!C$2)</f>
        <v>1.023525</v>
      </c>
      <c r="D4">
        <f>SUMIFS(Issuance!$H:$H,Issuance!$D:$D,Formulas!$B4,Issuance!$C:$C,Formulas!D$2)</f>
        <v>0</v>
      </c>
      <c r="E4">
        <f t="shared" ref="E4:E50" si="2">SUM(C4:D4)</f>
        <v>1.023525</v>
      </c>
      <c r="F4" s="41" t="str">
        <f t="shared" ref="F4:F67" si="3">IF(OR(B4="",B4=0,E4=0),"",IF(COUNTIFS($E$3:$E$500,"&gt;"&amp;E4,$E$3:$E$500,"&lt;&gt;0")+1&lt;=20,COUNTIFS($E$3:$E$500,"&gt;"&amp;E4,$E$3:$E$500,"&lt;&gt;0")+1,""))</f>
        <v/>
      </c>
      <c r="H4" t="str">
        <v>Aberdeen New India Investment Trust</v>
      </c>
      <c r="I4">
        <f>SUMIFS(Buybacks!H:H,Buybacks!D:D,Formulas!H4)</f>
        <v>-13.104288210990005</v>
      </c>
      <c r="J4" s="41" t="str">
        <f t="shared" ref="J4:J67" si="4">IF(OR(H4="",H4=0,I4=0),"",IF(COUNTIFS($I$3:$I$500,"&lt;"&amp;I4,$I$3:$I$500,"&lt;&gt;0")+1&lt;=20,COUNTIFS($I$3:$I$500,"&lt;"&amp;I4,$I$3:$I$500,"&lt;&gt;0")+1,""))</f>
        <v/>
      </c>
      <c r="L4" t="str">
        <v>LMS Capital</v>
      </c>
      <c r="M4">
        <f>SUMIFS('Corporate activity'!$H:$H,'Corporate activity'!$D:$D,Formulas!$L4,'Corporate activity'!$C:$C,Formulas!M$2)</f>
        <v>0</v>
      </c>
      <c r="N4">
        <f>SUMIFS('Corporate activity'!$H:$H,'Corporate activity'!$D:$D,Formulas!$L4,'Corporate activity'!$C:$C,Formulas!N$2)</f>
        <v>0</v>
      </c>
      <c r="O4">
        <f>SUMIFS('Corporate activity'!$H:$H,'Corporate activity'!$D:$D,Formulas!$L4,'Corporate activity'!$C:$C,Formulas!O$2)</f>
        <v>-1.614549</v>
      </c>
      <c r="P4">
        <f t="shared" si="0"/>
        <v>-1.614549</v>
      </c>
      <c r="Q4" t="str">
        <f t="shared" si="1"/>
        <v/>
      </c>
    </row>
    <row r="5" spans="2:17" x14ac:dyDescent="0.25">
      <c r="B5" t="str">
        <v>Ashoka WhiteOak Emerging Markets</v>
      </c>
      <c r="C5">
        <f>SUMIFS(Issuance!$H:$H,Issuance!$D:$D,Formulas!$B5,Issuance!$C:$C,Formulas!C$2)</f>
        <v>6.1690168507999994</v>
      </c>
      <c r="D5">
        <f>SUMIFS(Issuance!$H:$H,Issuance!$D:$D,Formulas!$B5,Issuance!$C:$C,Formulas!D$2)</f>
        <v>0</v>
      </c>
      <c r="E5">
        <f t="shared" si="2"/>
        <v>6.1690168507999994</v>
      </c>
      <c r="F5" s="41" t="str">
        <f t="shared" si="3"/>
        <v/>
      </c>
      <c r="H5" t="str">
        <v>Aberdeen UK Smaller Companies Growth</v>
      </c>
      <c r="I5">
        <f>SUMIFS(Buybacks!H:H,Buybacks!D:D,Formulas!H5)</f>
        <v>-36.699983666050009</v>
      </c>
      <c r="J5" s="41" t="str">
        <f t="shared" si="4"/>
        <v/>
      </c>
      <c r="L5" t="str">
        <v>Ashoka WhiteOak Emerging Markets</v>
      </c>
      <c r="M5">
        <f>SUMIFS('Corporate activity'!$H:$H,'Corporate activity'!$D:$D,Formulas!$L5,'Corporate activity'!$C:$C,Formulas!M$2)</f>
        <v>0</v>
      </c>
      <c r="N5">
        <f>SUMIFS('Corporate activity'!$H:$H,'Corporate activity'!$D:$D,Formulas!$L5,'Corporate activity'!$C:$C,Formulas!N$2)</f>
        <v>-0.13720199999999999</v>
      </c>
      <c r="O5">
        <f>SUMIFS('Corporate activity'!$H:$H,'Corporate activity'!$D:$D,Formulas!$L5,'Corporate activity'!$C:$C,Formulas!O$2)</f>
        <v>0</v>
      </c>
      <c r="P5">
        <f t="shared" si="0"/>
        <v>-0.13720199999999999</v>
      </c>
      <c r="Q5" t="str">
        <f t="shared" si="1"/>
        <v/>
      </c>
    </row>
    <row r="6" spans="2:17" x14ac:dyDescent="0.25">
      <c r="B6" t="str">
        <v>City of London Investment Trust</v>
      </c>
      <c r="C6">
        <f>SUMIFS(Issuance!$H:$H,Issuance!$D:$D,Formulas!$B6,Issuance!$C:$C,Formulas!C$2)</f>
        <v>63.327500000000001</v>
      </c>
      <c r="D6">
        <f>SUMIFS(Issuance!$H:$H,Issuance!$D:$D,Formulas!$B6,Issuance!$C:$C,Formulas!D$2)</f>
        <v>0</v>
      </c>
      <c r="E6">
        <f t="shared" si="2"/>
        <v>63.327500000000001</v>
      </c>
      <c r="F6" s="41">
        <f t="shared" si="3"/>
        <v>5</v>
      </c>
      <c r="H6" t="str">
        <v>Aberforth Smaller Companies</v>
      </c>
      <c r="I6">
        <f>SUMIFS(Buybacks!H:H,Buybacks!D:D,Formulas!H6)</f>
        <v>-43.303369544999988</v>
      </c>
      <c r="J6" s="41" t="str">
        <f t="shared" si="4"/>
        <v/>
      </c>
      <c r="L6" t="str">
        <v>JPEL Private Equity</v>
      </c>
      <c r="M6">
        <f>SUMIFS('Corporate activity'!$H:$H,'Corporate activity'!$D:$D,Formulas!$L6,'Corporate activity'!$C:$C,Formulas!M$2)</f>
        <v>0</v>
      </c>
      <c r="N6">
        <f>SUMIFS('Corporate activity'!$H:$H,'Corporate activity'!$D:$D,Formulas!$L6,'Corporate activity'!$C:$C,Formulas!N$2)</f>
        <v>-4.4618159999999998</v>
      </c>
      <c r="O6">
        <f>SUMIFS('Corporate activity'!$H:$H,'Corporate activity'!$D:$D,Formulas!$L6,'Corporate activity'!$C:$C,Formulas!O$2)</f>
        <v>0</v>
      </c>
      <c r="P6">
        <f t="shared" si="0"/>
        <v>-4.4618159999999998</v>
      </c>
      <c r="Q6" t="str">
        <f t="shared" si="1"/>
        <v/>
      </c>
    </row>
    <row r="7" spans="2:17" x14ac:dyDescent="0.25">
      <c r="B7" t="str">
        <v>CQS New City High Yield Fund</v>
      </c>
      <c r="C7">
        <f>SUMIFS(Issuance!$H:$H,Issuance!$D:$D,Formulas!$B7,Issuance!$C:$C,Formulas!C$2)</f>
        <v>17.700424999999999</v>
      </c>
      <c r="D7">
        <f>SUMIFS(Issuance!$H:$H,Issuance!$D:$D,Formulas!$B7,Issuance!$C:$C,Formulas!D$2)</f>
        <v>0</v>
      </c>
      <c r="E7">
        <f t="shared" si="2"/>
        <v>17.700424999999999</v>
      </c>
      <c r="F7" s="41">
        <f t="shared" si="3"/>
        <v>16</v>
      </c>
      <c r="H7" t="str">
        <v>Alliance Witan</v>
      </c>
      <c r="I7">
        <f>SUMIFS(Buybacks!H:H,Buybacks!D:D,Formulas!H7)</f>
        <v>-141.56233131589997</v>
      </c>
      <c r="J7" s="41">
        <f t="shared" si="4"/>
        <v>7</v>
      </c>
      <c r="L7" t="str">
        <v>Doric Nimrod Air Three</v>
      </c>
      <c r="M7">
        <f>SUMIFS('Corporate activity'!$H:$H,'Corporate activity'!$D:$D,Formulas!$L7,'Corporate activity'!$C:$C,Formulas!M$2)</f>
        <v>0</v>
      </c>
      <c r="N7">
        <f>SUMIFS('Corporate activity'!$H:$H,'Corporate activity'!$D:$D,Formulas!$L7,'Corporate activity'!$C:$C,Formulas!N$2)</f>
        <v>0</v>
      </c>
      <c r="O7">
        <f>SUMIFS('Corporate activity'!$H:$H,'Corporate activity'!$D:$D,Formulas!$L7,'Corporate activity'!$C:$C,Formulas!O$2)</f>
        <v>0</v>
      </c>
      <c r="P7">
        <f t="shared" si="0"/>
        <v>0</v>
      </c>
      <c r="Q7" t="str">
        <f t="shared" si="1"/>
        <v/>
      </c>
    </row>
    <row r="8" spans="2:17" x14ac:dyDescent="0.25">
      <c r="B8" t="str">
        <v>CT Global Managed Portfolio Growth</v>
      </c>
      <c r="C8">
        <f>SUMIFS(Issuance!$H:$H,Issuance!$D:$D,Formulas!$B8,Issuance!$C:$C,Formulas!C$2)</f>
        <v>0.54962499999999992</v>
      </c>
      <c r="D8">
        <f>SUMIFS(Issuance!$H:$H,Issuance!$D:$D,Formulas!$B8,Issuance!$C:$C,Formulas!D$2)</f>
        <v>0.60549999999999993</v>
      </c>
      <c r="E8">
        <f t="shared" si="2"/>
        <v>1.155125</v>
      </c>
      <c r="F8" s="41" t="str">
        <f t="shared" si="3"/>
        <v/>
      </c>
      <c r="H8" t="str">
        <v>Allianz Technology Trust</v>
      </c>
      <c r="I8">
        <f>SUMIFS(Buybacks!H:H,Buybacks!D:D,Formulas!H8)</f>
        <v>-160.62451804239998</v>
      </c>
      <c r="J8" s="41">
        <f t="shared" si="4"/>
        <v>3</v>
      </c>
      <c r="L8" t="str">
        <v>PRS REIT</v>
      </c>
      <c r="M8">
        <f>SUMIFS('Corporate activity'!$H:$H,'Corporate activity'!$D:$D,Formulas!$L8,'Corporate activity'!$C:$C,Formulas!M$2)</f>
        <v>0</v>
      </c>
      <c r="N8">
        <f>SUMIFS('Corporate activity'!$H:$H,'Corporate activity'!$D:$D,Formulas!$L8,'Corporate activity'!$C:$C,Formulas!N$2)</f>
        <v>0</v>
      </c>
      <c r="O8">
        <f>SUMIFS('Corporate activity'!$H:$H,'Corporate activity'!$D:$D,Formulas!$L8,'Corporate activity'!$C:$C,Formulas!O$2)</f>
        <v>0</v>
      </c>
      <c r="P8">
        <f t="shared" si="0"/>
        <v>0</v>
      </c>
      <c r="Q8" t="str">
        <f t="shared" si="1"/>
        <v/>
      </c>
    </row>
    <row r="9" spans="2:17" x14ac:dyDescent="0.25">
      <c r="B9" t="str">
        <v>CT Global Managed Portfolio Income</v>
      </c>
      <c r="C9">
        <f>SUMIFS(Issuance!$H:$H,Issuance!$D:$D,Formulas!$B9,Issuance!$C:$C,Formulas!C$2)</f>
        <v>3.7655205</v>
      </c>
      <c r="D9">
        <f>SUMIFS(Issuance!$H:$H,Issuance!$D:$D,Formulas!$B9,Issuance!$C:$C,Formulas!D$2)</f>
        <v>0</v>
      </c>
      <c r="E9">
        <f t="shared" si="2"/>
        <v>3.7655205</v>
      </c>
      <c r="F9" s="41" t="str">
        <f t="shared" si="3"/>
        <v/>
      </c>
      <c r="H9" t="str">
        <v>Artemis UK Future Leaders</v>
      </c>
      <c r="I9">
        <f>SUMIFS(Buybacks!H:H,Buybacks!D:D,Formulas!H9)</f>
        <v>-2.6335214073200008</v>
      </c>
      <c r="J9" s="41" t="str">
        <f t="shared" si="4"/>
        <v/>
      </c>
      <c r="L9" t="str">
        <v>Aberdeen Equity Income Trust</v>
      </c>
      <c r="M9">
        <f>SUMIFS('Corporate activity'!$H:$H,'Corporate activity'!$D:$D,Formulas!$L9,'Corporate activity'!$C:$C,Formulas!M$2)</f>
        <v>0</v>
      </c>
      <c r="N9">
        <f>SUMIFS('Corporate activity'!$H:$H,'Corporate activity'!$D:$D,Formulas!$L9,'Corporate activity'!$C:$C,Formulas!N$2)</f>
        <v>0</v>
      </c>
      <c r="O9">
        <f>SUMIFS('Corporate activity'!$H:$H,'Corporate activity'!$D:$D,Formulas!$L9,'Corporate activity'!$C:$C,Formulas!O$2)</f>
        <v>0</v>
      </c>
      <c r="P9">
        <f t="shared" si="0"/>
        <v>0</v>
      </c>
      <c r="Q9" t="str">
        <f t="shared" si="1"/>
        <v/>
      </c>
    </row>
    <row r="10" spans="2:17" x14ac:dyDescent="0.25">
      <c r="B10" t="str">
        <v>EJF Investments</v>
      </c>
      <c r="C10">
        <f>SUMIFS(Issuance!$H:$H,Issuance!$D:$D,Formulas!$B10,Issuance!$C:$C,Formulas!C$2)</f>
        <v>8.6486294649999991</v>
      </c>
      <c r="D10">
        <f>SUMIFS(Issuance!$H:$H,Issuance!$D:$D,Formulas!$B10,Issuance!$C:$C,Formulas!D$2)</f>
        <v>0</v>
      </c>
      <c r="E10">
        <f t="shared" si="2"/>
        <v>8.6486294649999991</v>
      </c>
      <c r="F10" s="41" t="str">
        <f t="shared" si="3"/>
        <v/>
      </c>
      <c r="H10" t="str">
        <v>AVI Global Trust</v>
      </c>
      <c r="I10">
        <f>SUMIFS(Buybacks!H:H,Buybacks!D:D,Formulas!H10)</f>
        <v>-40.507971499999989</v>
      </c>
      <c r="J10" s="41" t="str">
        <f t="shared" si="4"/>
        <v/>
      </c>
      <c r="L10" t="str">
        <v>Athelney Trust</v>
      </c>
      <c r="M10">
        <f>SUMIFS('Corporate activity'!$H:$H,'Corporate activity'!$D:$D,Formulas!$L10,'Corporate activity'!$C:$C,Formulas!M$2)</f>
        <v>0</v>
      </c>
      <c r="N10">
        <f>SUMIFS('Corporate activity'!$H:$H,'Corporate activity'!$D:$D,Formulas!$L10,'Corporate activity'!$C:$C,Formulas!N$2)</f>
        <v>0</v>
      </c>
      <c r="O10">
        <f>SUMIFS('Corporate activity'!$H:$H,'Corporate activity'!$D:$D,Formulas!$L10,'Corporate activity'!$C:$C,Formulas!O$2)</f>
        <v>0</v>
      </c>
      <c r="P10">
        <f t="shared" si="0"/>
        <v>0</v>
      </c>
      <c r="Q10" t="str">
        <f t="shared" si="1"/>
        <v/>
      </c>
    </row>
    <row r="11" spans="2:17" x14ac:dyDescent="0.25">
      <c r="B11" t="str">
        <v>Henderson Far East Income</v>
      </c>
      <c r="C11">
        <f>SUMIFS(Issuance!$H:$H,Issuance!$D:$D,Formulas!$B11,Issuance!$C:$C,Formulas!C$2)</f>
        <v>90.027287500000014</v>
      </c>
      <c r="D11">
        <f>SUMIFS(Issuance!$H:$H,Issuance!$D:$D,Formulas!$B11,Issuance!$C:$C,Formulas!D$2)</f>
        <v>0</v>
      </c>
      <c r="E11">
        <f t="shared" si="2"/>
        <v>90.027287500000014</v>
      </c>
      <c r="F11" s="41">
        <f t="shared" si="3"/>
        <v>4</v>
      </c>
      <c r="H11" t="str">
        <v>Baillie Gifford China Growth</v>
      </c>
      <c r="I11">
        <f>SUMIFS(Buybacks!H:H,Buybacks!D:D,Formulas!H11)</f>
        <v>-9.4854533660000016</v>
      </c>
      <c r="J11" s="41" t="str">
        <f t="shared" si="4"/>
        <v/>
      </c>
      <c r="L11" t="str">
        <v>Develop North</v>
      </c>
      <c r="M11">
        <f>SUMIFS('Corporate activity'!$H:$H,'Corporate activity'!$D:$D,Formulas!$L11,'Corporate activity'!$C:$C,Formulas!M$2)</f>
        <v>0</v>
      </c>
      <c r="N11">
        <f>SUMIFS('Corporate activity'!$H:$H,'Corporate activity'!$D:$D,Formulas!$L11,'Corporate activity'!$C:$C,Formulas!N$2)</f>
        <v>0</v>
      </c>
      <c r="O11">
        <f>SUMIFS('Corporate activity'!$H:$H,'Corporate activity'!$D:$D,Formulas!$L11,'Corporate activity'!$C:$C,Formulas!O$2)</f>
        <v>0</v>
      </c>
      <c r="P11">
        <f t="shared" si="0"/>
        <v>0</v>
      </c>
      <c r="Q11" t="str">
        <f t="shared" si="1"/>
        <v/>
      </c>
    </row>
    <row r="12" spans="2:17" x14ac:dyDescent="0.25">
      <c r="B12" t="str">
        <v>Invesco Bond Income Plus</v>
      </c>
      <c r="C12">
        <f>SUMIFS(Issuance!$H:$H,Issuance!$D:$D,Formulas!$B12,Issuance!$C:$C,Formulas!C$2)</f>
        <v>98.90915560000002</v>
      </c>
      <c r="D12">
        <f>SUMIFS(Issuance!$H:$H,Issuance!$D:$D,Formulas!$B12,Issuance!$C:$C,Formulas!D$2)</f>
        <v>0</v>
      </c>
      <c r="E12">
        <f t="shared" si="2"/>
        <v>98.90915560000002</v>
      </c>
      <c r="F12" s="41">
        <f t="shared" si="3"/>
        <v>3</v>
      </c>
      <c r="H12" t="str">
        <v>Baillie Gifford European Growth</v>
      </c>
      <c r="I12">
        <f>SUMIFS(Buybacks!H:H,Buybacks!D:D,Formulas!H12)</f>
        <v>-17.920472000000004</v>
      </c>
      <c r="J12" s="41" t="str">
        <f t="shared" si="4"/>
        <v/>
      </c>
      <c r="L12" t="str">
        <v>Global Opportunities</v>
      </c>
      <c r="M12">
        <f>SUMIFS('Corporate activity'!$H:$H,'Corporate activity'!$D:$D,Formulas!$L12,'Corporate activity'!$C:$C,Formulas!M$2)</f>
        <v>0</v>
      </c>
      <c r="N12">
        <f>SUMIFS('Corporate activity'!$H:$H,'Corporate activity'!$D:$D,Formulas!$L12,'Corporate activity'!$C:$C,Formulas!N$2)</f>
        <v>0</v>
      </c>
      <c r="O12">
        <f>SUMIFS('Corporate activity'!$H:$H,'Corporate activity'!$D:$D,Formulas!$L12,'Corporate activity'!$C:$C,Formulas!O$2)</f>
        <v>0</v>
      </c>
      <c r="P12">
        <f t="shared" si="0"/>
        <v>0</v>
      </c>
      <c r="Q12" t="str">
        <f t="shared" si="1"/>
        <v/>
      </c>
    </row>
    <row r="13" spans="2:17" x14ac:dyDescent="0.25">
      <c r="B13" t="str">
        <v>M&amp;G Credit Income</v>
      </c>
      <c r="C13">
        <f>SUMIFS(Issuance!$H:$H,Issuance!$D:$D,Formulas!$B13,Issuance!$C:$C,Formulas!C$2)</f>
        <v>6.9309000000000003</v>
      </c>
      <c r="D13">
        <f>SUMIFS(Issuance!$H:$H,Issuance!$D:$D,Formulas!$B13,Issuance!$C:$C,Formulas!D$2)</f>
        <v>9.3200000000000005E-2</v>
      </c>
      <c r="E13">
        <f t="shared" si="2"/>
        <v>7.0241000000000007</v>
      </c>
      <c r="F13" s="41" t="str">
        <f t="shared" si="3"/>
        <v/>
      </c>
      <c r="H13" t="str">
        <v>Baillie Gifford Japan Trust</v>
      </c>
      <c r="I13">
        <f>SUMIFS(Buybacks!H:H,Buybacks!D:D,Formulas!H13)</f>
        <v>-97.394717</v>
      </c>
      <c r="J13" s="41">
        <f t="shared" si="4"/>
        <v>11</v>
      </c>
      <c r="L13" t="str">
        <v>Volta Finance</v>
      </c>
      <c r="M13">
        <f>SUMIFS('Corporate activity'!$H:$H,'Corporate activity'!$D:$D,Formulas!$L13,'Corporate activity'!$C:$C,Formulas!M$2)</f>
        <v>0</v>
      </c>
      <c r="N13">
        <f>SUMIFS('Corporate activity'!$H:$H,'Corporate activity'!$D:$D,Formulas!$L13,'Corporate activity'!$C:$C,Formulas!N$2)</f>
        <v>0</v>
      </c>
      <c r="O13">
        <f>SUMIFS('Corporate activity'!$H:$H,'Corporate activity'!$D:$D,Formulas!$L13,'Corporate activity'!$C:$C,Formulas!O$2)</f>
        <v>0</v>
      </c>
      <c r="P13">
        <f t="shared" si="0"/>
        <v>0</v>
      </c>
      <c r="Q13" t="str">
        <f t="shared" si="1"/>
        <v/>
      </c>
    </row>
    <row r="14" spans="2:17" x14ac:dyDescent="0.25">
      <c r="B14" t="str">
        <v>Odyssean Investment Trust</v>
      </c>
      <c r="C14">
        <f>SUMIFS(Issuance!$H:$H,Issuance!$D:$D,Formulas!$B14,Issuance!$C:$C,Formulas!C$2)</f>
        <v>12.324713000000001</v>
      </c>
      <c r="D14">
        <f>SUMIFS(Issuance!$H:$H,Issuance!$D:$D,Formulas!$B14,Issuance!$C:$C,Formulas!D$2)</f>
        <v>0</v>
      </c>
      <c r="E14">
        <f t="shared" si="2"/>
        <v>12.324713000000001</v>
      </c>
      <c r="F14" s="41">
        <f t="shared" si="3"/>
        <v>18</v>
      </c>
      <c r="H14" t="str">
        <v>Baillie Gifford Shin Nippon</v>
      </c>
      <c r="I14">
        <f>SUMIFS(Buybacks!H:H,Buybacks!D:D,Formulas!H14)</f>
        <v>-20.471347282300005</v>
      </c>
      <c r="J14" s="41" t="str">
        <f t="shared" si="4"/>
        <v/>
      </c>
      <c r="L14" t="str">
        <v>N/A</v>
      </c>
      <c r="M14">
        <f>SUMIFS('Corporate activity'!$H:$H,'Corporate activity'!$D:$D,Formulas!$L14,'Corporate activity'!$C:$C,Formulas!M$2)</f>
        <v>0</v>
      </c>
      <c r="N14">
        <f>SUMIFS('Corporate activity'!$H:$H,'Corporate activity'!$D:$D,Formulas!$L14,'Corporate activity'!$C:$C,Formulas!N$2)</f>
        <v>0</v>
      </c>
      <c r="O14">
        <f>SUMIFS('Corporate activity'!$H:$H,'Corporate activity'!$D:$D,Formulas!$L14,'Corporate activity'!$C:$C,Formulas!O$2)</f>
        <v>0</v>
      </c>
      <c r="P14">
        <f t="shared" si="0"/>
        <v>0</v>
      </c>
      <c r="Q14" t="str">
        <f t="shared" si="1"/>
        <v/>
      </c>
    </row>
    <row r="15" spans="2:17" x14ac:dyDescent="0.25">
      <c r="B15" t="str">
        <v>Onward Opportunities</v>
      </c>
      <c r="C15">
        <f>SUMIFS(Issuance!$H:$H,Issuance!$D:$D,Formulas!$B15,Issuance!$C:$C,Formulas!C$2)</f>
        <v>6.0800467500000002</v>
      </c>
      <c r="D15">
        <f>SUMIFS(Issuance!$H:$H,Issuance!$D:$D,Formulas!$B15,Issuance!$C:$C,Formulas!D$2)</f>
        <v>0</v>
      </c>
      <c r="E15">
        <f t="shared" si="2"/>
        <v>6.0800467500000002</v>
      </c>
      <c r="F15" s="41" t="str">
        <f t="shared" si="3"/>
        <v/>
      </c>
      <c r="H15" t="str">
        <v>Baillie Gifford UK Growth</v>
      </c>
      <c r="I15">
        <f>SUMIFS(Buybacks!H:H,Buybacks!D:D,Formulas!H15)</f>
        <v>-18.5357139893</v>
      </c>
      <c r="J15" s="41" t="str">
        <f t="shared" si="4"/>
        <v/>
      </c>
      <c r="L15" t="str">
        <v>JPMorgan Global Emerging Markets Income</v>
      </c>
      <c r="M15">
        <f>SUMIFS('Corporate activity'!$H:$H,'Corporate activity'!$D:$D,Formulas!$L15,'Corporate activity'!$C:$C,Formulas!M$2)</f>
        <v>0</v>
      </c>
      <c r="N15">
        <f>SUMIFS('Corporate activity'!$H:$H,'Corporate activity'!$D:$D,Formulas!$L15,'Corporate activity'!$C:$C,Formulas!N$2)</f>
        <v>0</v>
      </c>
      <c r="O15">
        <f>SUMIFS('Corporate activity'!$H:$H,'Corporate activity'!$D:$D,Formulas!$L15,'Corporate activity'!$C:$C,Formulas!O$2)</f>
        <v>0</v>
      </c>
      <c r="P15">
        <f t="shared" si="0"/>
        <v>0</v>
      </c>
      <c r="Q15" t="str">
        <f t="shared" si="1"/>
        <v/>
      </c>
    </row>
    <row r="16" spans="2:17" x14ac:dyDescent="0.25">
      <c r="B16" t="str">
        <v>Rockwood Strategic</v>
      </c>
      <c r="C16">
        <f>SUMIFS(Issuance!$H:$H,Issuance!$D:$D,Formulas!$B16,Issuance!$C:$C,Formulas!C$2)</f>
        <v>23.674805768000002</v>
      </c>
      <c r="D16">
        <f>SUMIFS(Issuance!$H:$H,Issuance!$D:$D,Formulas!$B16,Issuance!$C:$C,Formulas!D$2)</f>
        <v>0</v>
      </c>
      <c r="E16">
        <f t="shared" si="2"/>
        <v>23.674805768000002</v>
      </c>
      <c r="F16" s="41">
        <f t="shared" si="3"/>
        <v>10</v>
      </c>
      <c r="H16" t="str">
        <v>Bankers</v>
      </c>
      <c r="I16">
        <f>SUMIFS(Buybacks!H:H,Buybacks!D:D,Formulas!H16)</f>
        <v>-77.113361079929987</v>
      </c>
      <c r="J16" s="41">
        <f t="shared" si="4"/>
        <v>18</v>
      </c>
      <c r="L16" t="str">
        <v>JPMorgan Emerging Markets Dividend Income</v>
      </c>
      <c r="M16">
        <f>SUMIFS('Corporate activity'!$H:$H,'Corporate activity'!$D:$D,Formulas!$L16,'Corporate activity'!$C:$C,Formulas!M$2)</f>
        <v>0</v>
      </c>
      <c r="N16">
        <f>SUMIFS('Corporate activity'!$H:$H,'Corporate activity'!$D:$D,Formulas!$L16,'Corporate activity'!$C:$C,Formulas!N$2)</f>
        <v>0</v>
      </c>
      <c r="O16">
        <f>SUMIFS('Corporate activity'!$H:$H,'Corporate activity'!$D:$D,Formulas!$L16,'Corporate activity'!$C:$C,Formulas!O$2)</f>
        <v>0</v>
      </c>
      <c r="P16">
        <f t="shared" si="0"/>
        <v>0</v>
      </c>
      <c r="Q16" t="str">
        <f t="shared" si="1"/>
        <v/>
      </c>
    </row>
    <row r="17" spans="2:17" x14ac:dyDescent="0.25">
      <c r="B17" t="str">
        <v>TwentyFour Income Fund</v>
      </c>
      <c r="C17">
        <f>SUMIFS(Issuance!$H:$H,Issuance!$D:$D,Formulas!$B17,Issuance!$C:$C,Formulas!C$2)</f>
        <v>110.620465</v>
      </c>
      <c r="D17">
        <f>SUMIFS(Issuance!$H:$H,Issuance!$D:$D,Formulas!$B17,Issuance!$C:$C,Formulas!D$2)</f>
        <v>0</v>
      </c>
      <c r="E17">
        <f t="shared" si="2"/>
        <v>110.620465</v>
      </c>
      <c r="F17" s="41">
        <f t="shared" si="3"/>
        <v>2</v>
      </c>
      <c r="H17" t="str">
        <v>Barings Emerging EMEA Opportunities</v>
      </c>
      <c r="I17">
        <f>SUMIFS(Buybacks!H:H,Buybacks!D:D,Formulas!H17)</f>
        <v>-0.82965328911000014</v>
      </c>
      <c r="J17" s="41" t="str">
        <f t="shared" si="4"/>
        <v/>
      </c>
      <c r="L17" t="str">
        <v>AVI Japan Opportunity Trust</v>
      </c>
      <c r="M17">
        <f>SUMIFS('Corporate activity'!$H:$H,'Corporate activity'!$D:$D,Formulas!$L17,'Corporate activity'!$C:$C,Formulas!M$2)</f>
        <v>-46.740591000000002</v>
      </c>
      <c r="N17">
        <f>SUMIFS('Corporate activity'!$H:$H,'Corporate activity'!$D:$D,Formulas!$L17,'Corporate activity'!$C:$C,Formulas!N$2)</f>
        <v>0</v>
      </c>
      <c r="O17">
        <f>SUMIFS('Corporate activity'!$H:$H,'Corporate activity'!$D:$D,Formulas!$L17,'Corporate activity'!$C:$C,Formulas!O$2)</f>
        <v>0</v>
      </c>
      <c r="P17">
        <f t="shared" si="0"/>
        <v>-46.740591000000002</v>
      </c>
      <c r="Q17">
        <f t="shared" si="1"/>
        <v>9</v>
      </c>
    </row>
    <row r="18" spans="2:17" x14ac:dyDescent="0.25">
      <c r="B18" t="str">
        <v>TwentyFour Select Monthly Income</v>
      </c>
      <c r="C18">
        <f>SUMIFS(Issuance!$H:$H,Issuance!$D:$D,Formulas!$B18,Issuance!$C:$C,Formulas!C$2)</f>
        <v>21.092097108899999</v>
      </c>
      <c r="D18">
        <f>SUMIFS(Issuance!$H:$H,Issuance!$D:$D,Formulas!$B18,Issuance!$C:$C,Formulas!D$2)</f>
        <v>0.28422818010000001</v>
      </c>
      <c r="E18">
        <f t="shared" si="2"/>
        <v>21.376325289</v>
      </c>
      <c r="F18" s="41">
        <f t="shared" si="3"/>
        <v>12</v>
      </c>
      <c r="H18" t="str">
        <v>BH Macro</v>
      </c>
      <c r="I18">
        <f>SUMIFS(Buybacks!H:H,Buybacks!D:D,Formulas!H18)</f>
        <v>-60.061224863099994</v>
      </c>
      <c r="J18" s="41" t="str">
        <f t="shared" si="4"/>
        <v/>
      </c>
      <c r="L18" t="str">
        <v>TwentyFour Select Monthly Income</v>
      </c>
      <c r="M18">
        <f>SUMIFS('Corporate activity'!$H:$H,'Corporate activity'!$D:$D,Formulas!$L18,'Corporate activity'!$C:$C,Formulas!M$2)</f>
        <v>-0.85044399999999998</v>
      </c>
      <c r="N18">
        <f>SUMIFS('Corporate activity'!$H:$H,'Corporate activity'!$D:$D,Formulas!$L18,'Corporate activity'!$C:$C,Formulas!N$2)</f>
        <v>0</v>
      </c>
      <c r="O18">
        <f>SUMIFS('Corporate activity'!$H:$H,'Corporate activity'!$D:$D,Formulas!$L18,'Corporate activity'!$C:$C,Formulas!O$2)</f>
        <v>0</v>
      </c>
      <c r="P18">
        <f t="shared" si="0"/>
        <v>-0.85044399999999998</v>
      </c>
      <c r="Q18" t="str">
        <f t="shared" si="1"/>
        <v/>
      </c>
    </row>
    <row r="19" spans="2:17" x14ac:dyDescent="0.25">
      <c r="B19" t="str">
        <v>CQS Natural Resources Growth &amp; Income</v>
      </c>
      <c r="C19">
        <f>SUMIFS(Issuance!$H:$H,Issuance!$D:$D,Formulas!$B19,Issuance!$C:$C,Formulas!C$2)</f>
        <v>0</v>
      </c>
      <c r="D19">
        <f>SUMIFS(Issuance!$H:$H,Issuance!$D:$D,Formulas!$B19,Issuance!$C:$C,Formulas!D$2)</f>
        <v>5.9249784999999999</v>
      </c>
      <c r="E19">
        <f t="shared" si="2"/>
        <v>5.9249784999999999</v>
      </c>
      <c r="F19" s="41" t="str">
        <f t="shared" si="3"/>
        <v/>
      </c>
      <c r="H19" t="str">
        <v>BH Macro USD</v>
      </c>
      <c r="I19">
        <f>SUMIFS(Buybacks!H:H,Buybacks!D:D,Formulas!H19)</f>
        <v>-2.6410722710385164</v>
      </c>
      <c r="J19" s="41" t="str">
        <f t="shared" si="4"/>
        <v/>
      </c>
      <c r="L19" t="str">
        <v>Vietnam Enterprise Investments</v>
      </c>
      <c r="M19">
        <f>SUMIFS('Corporate activity'!$H:$H,'Corporate activity'!$D:$D,Formulas!$L19,'Corporate activity'!$C:$C,Formulas!M$2)</f>
        <v>-263.55334628309402</v>
      </c>
      <c r="N19">
        <f>SUMIFS('Corporate activity'!$H:$H,'Corporate activity'!$D:$D,Formulas!$L19,'Corporate activity'!$C:$C,Formulas!N$2)</f>
        <v>0</v>
      </c>
      <c r="O19">
        <f>SUMIFS('Corporate activity'!$H:$H,'Corporate activity'!$D:$D,Formulas!$L19,'Corporate activity'!$C:$C,Formulas!O$2)</f>
        <v>0</v>
      </c>
      <c r="P19">
        <f t="shared" si="0"/>
        <v>-263.55334628309402</v>
      </c>
      <c r="Q19">
        <f t="shared" si="1"/>
        <v>4</v>
      </c>
    </row>
    <row r="20" spans="2:17" x14ac:dyDescent="0.25">
      <c r="B20" t="str">
        <v>CT UK High Income Trust</v>
      </c>
      <c r="C20">
        <f>SUMIFS(Issuance!$H:$H,Issuance!$D:$D,Formulas!$B20,Issuance!$C:$C,Formulas!C$2)</f>
        <v>0</v>
      </c>
      <c r="D20">
        <f>SUMIFS(Issuance!$H:$H,Issuance!$D:$D,Formulas!$B20,Issuance!$C:$C,Formulas!D$2)</f>
        <v>2.176955</v>
      </c>
      <c r="E20">
        <f t="shared" si="2"/>
        <v>2.176955</v>
      </c>
      <c r="F20" s="41" t="str">
        <f t="shared" si="3"/>
        <v/>
      </c>
      <c r="H20" t="str">
        <v>Biotech Growth Trust</v>
      </c>
      <c r="I20">
        <f>SUMIFS(Buybacks!H:H,Buybacks!D:D,Formulas!H20)</f>
        <v>-26.131203104100003</v>
      </c>
      <c r="J20" s="41" t="str">
        <f t="shared" si="4"/>
        <v/>
      </c>
      <c r="L20" t="str">
        <v>abrdn Diversified Income &amp; Growth</v>
      </c>
      <c r="M20">
        <f>SUMIFS('Corporate activity'!$H:$H,'Corporate activity'!$D:$D,Formulas!$L20,'Corporate activity'!$C:$C,Formulas!M$2)</f>
        <v>0</v>
      </c>
      <c r="N20">
        <f>SUMIFS('Corporate activity'!$H:$H,'Corporate activity'!$D:$D,Formulas!$L20,'Corporate activity'!$C:$C,Formulas!N$2)</f>
        <v>0</v>
      </c>
      <c r="O20">
        <f>SUMIFS('Corporate activity'!$H:$H,'Corporate activity'!$D:$D,Formulas!$L20,'Corporate activity'!$C:$C,Formulas!O$2)</f>
        <v>-43.7</v>
      </c>
      <c r="P20">
        <f t="shared" si="0"/>
        <v>-43.7</v>
      </c>
      <c r="Q20">
        <f t="shared" si="1"/>
        <v>12</v>
      </c>
    </row>
    <row r="21" spans="2:17" x14ac:dyDescent="0.25">
      <c r="B21" t="str">
        <v>CT UK High Income Trust B</v>
      </c>
      <c r="C21">
        <f>SUMIFS(Issuance!$H:$H,Issuance!$D:$D,Formulas!$B21,Issuance!$C:$C,Formulas!C$2)</f>
        <v>0</v>
      </c>
      <c r="D21">
        <f>SUMIFS(Issuance!$H:$H,Issuance!$D:$D,Formulas!$B21,Issuance!$C:$C,Formulas!D$2)</f>
        <v>0.51972499999999999</v>
      </c>
      <c r="E21">
        <f t="shared" si="2"/>
        <v>0.51972499999999999</v>
      </c>
      <c r="F21" s="41" t="str">
        <f t="shared" si="3"/>
        <v/>
      </c>
      <c r="H21" t="str">
        <v>BlackRock Energy and Resources Income</v>
      </c>
      <c r="I21">
        <f>SUMIFS(Buybacks!H:H,Buybacks!D:D,Formulas!H21)</f>
        <v>-19.627939577100008</v>
      </c>
      <c r="J21" s="41" t="str">
        <f t="shared" si="4"/>
        <v/>
      </c>
      <c r="L21" t="str">
        <v>JPMorgan Global Core Real Assets</v>
      </c>
      <c r="M21">
        <f>SUMIFS('Corporate activity'!$H:$H,'Corporate activity'!$D:$D,Formulas!$L21,'Corporate activity'!$C:$C,Formulas!M$2)</f>
        <v>0</v>
      </c>
      <c r="N21">
        <f>SUMIFS('Corporate activity'!$H:$H,'Corporate activity'!$D:$D,Formulas!$L21,'Corporate activity'!$C:$C,Formulas!N$2)</f>
        <v>-44.547622000000004</v>
      </c>
      <c r="O21">
        <f>SUMIFS('Corporate activity'!$H:$H,'Corporate activity'!$D:$D,Formulas!$L21,'Corporate activity'!$C:$C,Formulas!O$2)</f>
        <v>0</v>
      </c>
      <c r="P21">
        <f t="shared" si="0"/>
        <v>-44.547622000000004</v>
      </c>
      <c r="Q21">
        <f t="shared" si="1"/>
        <v>11</v>
      </c>
    </row>
    <row r="22" spans="2:17" x14ac:dyDescent="0.25">
      <c r="B22" t="str">
        <v>CVC Income &amp; Growth</v>
      </c>
      <c r="C22">
        <f>SUMIFS(Issuance!$H:$H,Issuance!$D:$D,Formulas!$B22,Issuance!$C:$C,Formulas!C$2)</f>
        <v>16.595569000000001</v>
      </c>
      <c r="D22">
        <f>SUMIFS(Issuance!$H:$H,Issuance!$D:$D,Formulas!$B22,Issuance!$C:$C,Formulas!D$2)</f>
        <v>23.460085400000004</v>
      </c>
      <c r="E22">
        <f t="shared" si="2"/>
        <v>40.055654400000009</v>
      </c>
      <c r="F22" s="41">
        <f t="shared" si="3"/>
        <v>7</v>
      </c>
      <c r="H22" t="str">
        <v>BlackRock Greater Europe</v>
      </c>
      <c r="I22">
        <f>SUMIFS(Buybacks!H:H,Buybacks!D:D,Formulas!H22)</f>
        <v>-16.810994126099992</v>
      </c>
      <c r="J22" s="41" t="str">
        <f t="shared" si="4"/>
        <v/>
      </c>
      <c r="L22" t="str">
        <v>Starwood European Real Estate Finance</v>
      </c>
      <c r="M22">
        <f>SUMIFS('Corporate activity'!$H:$H,'Corporate activity'!$D:$D,Formulas!$L22,'Corporate activity'!$C:$C,Formulas!M$2)</f>
        <v>0</v>
      </c>
      <c r="N22">
        <f>SUMIFS('Corporate activity'!$H:$H,'Corporate activity'!$D:$D,Formulas!$L22,'Corporate activity'!$C:$C,Formulas!N$2)</f>
        <v>0</v>
      </c>
      <c r="O22">
        <f>SUMIFS('Corporate activity'!$H:$H,'Corporate activity'!$D:$D,Formulas!$L22,'Corporate activity'!$C:$C,Formulas!O$2)</f>
        <v>0</v>
      </c>
      <c r="P22">
        <f t="shared" si="0"/>
        <v>0</v>
      </c>
      <c r="Q22" t="str">
        <f t="shared" si="1"/>
        <v/>
      </c>
    </row>
    <row r="23" spans="2:17" x14ac:dyDescent="0.25">
      <c r="B23" t="str">
        <v>Invesco Global Equity Income Trust</v>
      </c>
      <c r="C23">
        <f>SUMIFS(Issuance!$H:$H,Issuance!$D:$D,Formulas!$B23,Issuance!$C:$C,Formulas!C$2)</f>
        <v>17.145649999999996</v>
      </c>
      <c r="D23">
        <f>SUMIFS(Issuance!$H:$H,Issuance!$D:$D,Formulas!$B23,Issuance!$C:$C,Formulas!D$2)</f>
        <v>11.931029704000002</v>
      </c>
      <c r="E23">
        <f t="shared" si="2"/>
        <v>29.076679704</v>
      </c>
      <c r="F23" s="41">
        <f t="shared" si="3"/>
        <v>9</v>
      </c>
      <c r="H23" t="str">
        <v>BlackRock Income &amp; Growth</v>
      </c>
      <c r="I23">
        <f>SUMIFS(Buybacks!H:H,Buybacks!D:D,Formulas!H23)</f>
        <v>-0.88740872000000015</v>
      </c>
      <c r="J23" s="41" t="str">
        <f t="shared" si="4"/>
        <v/>
      </c>
      <c r="L23" t="str">
        <v>Schiehallion Fund</v>
      </c>
      <c r="M23">
        <f>SUMIFS('Corporate activity'!$H:$H,'Corporate activity'!$D:$D,Formulas!$L23,'Corporate activity'!$C:$C,Formulas!M$2)</f>
        <v>0</v>
      </c>
      <c r="N23">
        <f>SUMIFS('Corporate activity'!$H:$H,'Corporate activity'!$D:$D,Formulas!$L23,'Corporate activity'!$C:$C,Formulas!N$2)</f>
        <v>0</v>
      </c>
      <c r="O23">
        <f>SUMIFS('Corporate activity'!$H:$H,'Corporate activity'!$D:$D,Formulas!$L23,'Corporate activity'!$C:$C,Formulas!O$2)</f>
        <v>0</v>
      </c>
      <c r="P23">
        <f t="shared" si="0"/>
        <v>0</v>
      </c>
      <c r="Q23" t="str">
        <f t="shared" si="1"/>
        <v/>
      </c>
    </row>
    <row r="24" spans="2:17" x14ac:dyDescent="0.25">
      <c r="B24" t="str">
        <v>JPMorgan European Growth &amp; Income</v>
      </c>
      <c r="C24">
        <f>SUMIFS(Issuance!$H:$H,Issuance!$D:$D,Formulas!$B24,Issuance!$C:$C,Formulas!C$2)</f>
        <v>0</v>
      </c>
      <c r="D24">
        <f>SUMIFS(Issuance!$H:$H,Issuance!$D:$D,Formulas!$B24,Issuance!$C:$C,Formulas!D$2)</f>
        <v>0.86824999999999997</v>
      </c>
      <c r="E24">
        <f t="shared" si="2"/>
        <v>0.86824999999999997</v>
      </c>
      <c r="F24" s="41" t="str">
        <f t="shared" si="3"/>
        <v/>
      </c>
      <c r="H24" t="str">
        <v>Caledonia Investments</v>
      </c>
      <c r="I24">
        <f>SUMIFS(Buybacks!H:H,Buybacks!D:D,Formulas!H24)</f>
        <v>-35.514913009800011</v>
      </c>
      <c r="J24" s="41" t="str">
        <f t="shared" si="4"/>
        <v/>
      </c>
      <c r="L24" t="str">
        <v>BlackRock Throgmorton Trust</v>
      </c>
      <c r="M24">
        <f>SUMIFS('Corporate activity'!$H:$H,'Corporate activity'!$D:$D,Formulas!$L24,'Corporate activity'!$C:$C,Formulas!M$2)</f>
        <v>0</v>
      </c>
      <c r="N24">
        <f>SUMIFS('Corporate activity'!$H:$H,'Corporate activity'!$D:$D,Formulas!$L24,'Corporate activity'!$C:$C,Formulas!N$2)</f>
        <v>0</v>
      </c>
      <c r="O24">
        <f>SUMIFS('Corporate activity'!$H:$H,'Corporate activity'!$D:$D,Formulas!$L24,'Corporate activity'!$C:$C,Formulas!O$2)</f>
        <v>0</v>
      </c>
      <c r="P24">
        <f t="shared" si="0"/>
        <v>0</v>
      </c>
      <c r="Q24" t="str">
        <f t="shared" si="1"/>
        <v/>
      </c>
    </row>
    <row r="25" spans="2:17" x14ac:dyDescent="0.25">
      <c r="B25" t="str">
        <v>Personal Assets Trust</v>
      </c>
      <c r="C25">
        <f>SUMIFS(Issuance!$H:$H,Issuance!$D:$D,Formulas!$B25,Issuance!$C:$C,Formulas!C$2)</f>
        <v>0</v>
      </c>
      <c r="D25">
        <f>SUMIFS(Issuance!$H:$H,Issuance!$D:$D,Formulas!$B25,Issuance!$C:$C,Formulas!D$2)</f>
        <v>14.801727499999998</v>
      </c>
      <c r="E25">
        <f t="shared" si="2"/>
        <v>14.801727499999998</v>
      </c>
      <c r="F25" s="41">
        <f t="shared" si="3"/>
        <v>17</v>
      </c>
      <c r="H25" t="str">
        <v>Capital Gearing Trust</v>
      </c>
      <c r="I25">
        <f>SUMIFS(Buybacks!H:H,Buybacks!D:D,Formulas!H25)</f>
        <v>-26.771197086500003</v>
      </c>
      <c r="J25" s="41" t="str">
        <f t="shared" si="4"/>
        <v/>
      </c>
      <c r="L25" t="str">
        <v>Pantheon International</v>
      </c>
      <c r="M25">
        <f>SUMIFS('Corporate activity'!$H:$H,'Corporate activity'!$D:$D,Formulas!$L25,'Corporate activity'!$C:$C,Formulas!M$2)</f>
        <v>0</v>
      </c>
      <c r="N25">
        <f>SUMIFS('Corporate activity'!$H:$H,'Corporate activity'!$D:$D,Formulas!$L25,'Corporate activity'!$C:$C,Formulas!N$2)</f>
        <v>0</v>
      </c>
      <c r="O25">
        <f>SUMIFS('Corporate activity'!$H:$H,'Corporate activity'!$D:$D,Formulas!$L25,'Corporate activity'!$C:$C,Formulas!O$2)</f>
        <v>0</v>
      </c>
      <c r="P25">
        <f t="shared" si="0"/>
        <v>0</v>
      </c>
      <c r="Q25" t="str">
        <f t="shared" si="1"/>
        <v/>
      </c>
    </row>
    <row r="26" spans="2:17" x14ac:dyDescent="0.25">
      <c r="B26" t="str">
        <v>Polar Capital Global Healthcare</v>
      </c>
      <c r="C26">
        <f>SUMIFS(Issuance!$H:$H,Issuance!$D:$D,Formulas!$B26,Issuance!$C:$C,Formulas!C$2)</f>
        <v>0.41899999999999998</v>
      </c>
      <c r="D26">
        <f>SUMIFS(Issuance!$H:$H,Issuance!$D:$D,Formulas!$B26,Issuance!$C:$C,Formulas!D$2)</f>
        <v>38.623794000000004</v>
      </c>
      <c r="E26">
        <f t="shared" si="2"/>
        <v>39.042794000000001</v>
      </c>
      <c r="F26" s="41">
        <f t="shared" si="3"/>
        <v>8</v>
      </c>
      <c r="H26" t="str">
        <v>Chrysalis Investments</v>
      </c>
      <c r="I26">
        <f>SUMIFS(Buybacks!H:H,Buybacks!D:D,Formulas!H26)</f>
        <v>-13.959457400000005</v>
      </c>
      <c r="J26" s="41" t="str">
        <f t="shared" si="4"/>
        <v/>
      </c>
      <c r="L26" t="str">
        <v>Invesco Global Equity Income Trust</v>
      </c>
      <c r="M26">
        <f>SUMIFS('Corporate activity'!$H:$H,'Corporate activity'!$D:$D,Formulas!$L26,'Corporate activity'!$C:$C,Formulas!M$2)</f>
        <v>0</v>
      </c>
      <c r="N26">
        <f>SUMIFS('Corporate activity'!$H:$H,'Corporate activity'!$D:$D,Formulas!$L26,'Corporate activity'!$C:$C,Formulas!N$2)</f>
        <v>0</v>
      </c>
      <c r="O26">
        <f>SUMIFS('Corporate activity'!$H:$H,'Corporate activity'!$D:$D,Formulas!$L26,'Corporate activity'!$C:$C,Formulas!O$2)</f>
        <v>0</v>
      </c>
      <c r="P26">
        <f t="shared" si="0"/>
        <v>0</v>
      </c>
      <c r="Q26" t="str">
        <f t="shared" si="1"/>
        <v/>
      </c>
    </row>
    <row r="27" spans="2:17" x14ac:dyDescent="0.25">
      <c r="B27" t="str">
        <v>Temple Bar Investment Trust</v>
      </c>
      <c r="C27">
        <f>SUMIFS(Issuance!$H:$H,Issuance!$D:$D,Formulas!$B27,Issuance!$C:$C,Formulas!C$2)</f>
        <v>0</v>
      </c>
      <c r="D27">
        <f>SUMIFS(Issuance!$H:$H,Issuance!$D:$D,Formulas!$B27,Issuance!$C:$C,Formulas!D$2)</f>
        <v>59.647077500000009</v>
      </c>
      <c r="E27">
        <f t="shared" si="2"/>
        <v>59.647077500000009</v>
      </c>
      <c r="F27" s="41">
        <f t="shared" si="3"/>
        <v>6</v>
      </c>
      <c r="H27" t="str">
        <v>Crystal Amber Fund</v>
      </c>
      <c r="I27">
        <f>SUMIFS(Buybacks!H:H,Buybacks!D:D,Formulas!H27)</f>
        <v>-1.0184964999999999</v>
      </c>
      <c r="J27" s="41" t="str">
        <f t="shared" si="4"/>
        <v/>
      </c>
      <c r="L27" t="str">
        <v xml:space="preserve">Franklin Global Trust </v>
      </c>
      <c r="M27">
        <f>SUMIFS('Corporate activity'!$H:$H,'Corporate activity'!$D:$D,Formulas!$L27,'Corporate activity'!$C:$C,Formulas!M$2)</f>
        <v>0</v>
      </c>
      <c r="N27">
        <f>SUMIFS('Corporate activity'!$H:$H,'Corporate activity'!$D:$D,Formulas!$L27,'Corporate activity'!$C:$C,Formulas!N$2)</f>
        <v>0</v>
      </c>
      <c r="O27">
        <f>SUMIFS('Corporate activity'!$H:$H,'Corporate activity'!$D:$D,Formulas!$L27,'Corporate activity'!$C:$C,Formulas!O$2)</f>
        <v>0</v>
      </c>
      <c r="P27">
        <f t="shared" si="0"/>
        <v>0</v>
      </c>
      <c r="Q27" t="str">
        <f t="shared" si="1"/>
        <v/>
      </c>
    </row>
    <row r="28" spans="2:17" x14ac:dyDescent="0.25">
      <c r="B28" t="str">
        <v>BlackRock Frontiers</v>
      </c>
      <c r="C28">
        <f>SUMIFS(Issuance!$H:$H,Issuance!$D:$D,Formulas!$B28,Issuance!$C:$C,Formulas!C$2)</f>
        <v>0.50019999999999998</v>
      </c>
      <c r="D28">
        <f>SUMIFS(Issuance!$H:$H,Issuance!$D:$D,Formulas!$B28,Issuance!$C:$C,Formulas!D$2)</f>
        <v>2.5045999999999995</v>
      </c>
      <c r="E28">
        <f t="shared" si="2"/>
        <v>3.0047999999999995</v>
      </c>
      <c r="F28" s="41" t="str">
        <f t="shared" si="3"/>
        <v/>
      </c>
      <c r="H28" t="str">
        <v>CT Healthcare Trust</v>
      </c>
      <c r="I28">
        <f>SUMIFS(Buybacks!H:H,Buybacks!D:D,Formulas!H28)</f>
        <v>-13.012814560400001</v>
      </c>
      <c r="J28" s="41" t="str">
        <f t="shared" si="4"/>
        <v/>
      </c>
      <c r="L28" t="str">
        <v>Smithson</v>
      </c>
      <c r="M28">
        <f>SUMIFS('Corporate activity'!$H:$H,'Corporate activity'!$D:$D,Formulas!$L28,'Corporate activity'!$C:$C,Formulas!M$2)</f>
        <v>0</v>
      </c>
      <c r="N28">
        <f>SUMIFS('Corporate activity'!$H:$H,'Corporate activity'!$D:$D,Formulas!$L28,'Corporate activity'!$C:$C,Formulas!N$2)</f>
        <v>0</v>
      </c>
      <c r="O28">
        <f>SUMIFS('Corporate activity'!$H:$H,'Corporate activity'!$D:$D,Formulas!$L28,'Corporate activity'!$C:$C,Formulas!O$2)</f>
        <v>0</v>
      </c>
      <c r="P28">
        <f t="shared" si="0"/>
        <v>0</v>
      </c>
      <c r="Q28" t="str">
        <f t="shared" si="1"/>
        <v/>
      </c>
    </row>
    <row r="29" spans="2:17" x14ac:dyDescent="0.25">
      <c r="B29" t="str">
        <v>Fidelity Special Values</v>
      </c>
      <c r="C29">
        <f>SUMIFS(Issuance!$H:$H,Issuance!$D:$D,Formulas!$B29,Issuance!$C:$C,Formulas!C$2)</f>
        <v>0.45250000000000001</v>
      </c>
      <c r="D29">
        <f>SUMIFS(Issuance!$H:$H,Issuance!$D:$D,Formulas!$B29,Issuance!$C:$C,Formulas!D$2)</f>
        <v>4.16913</v>
      </c>
      <c r="E29">
        <f t="shared" si="2"/>
        <v>4.6216299999999997</v>
      </c>
      <c r="F29" s="41" t="str">
        <f t="shared" si="3"/>
        <v/>
      </c>
      <c r="H29" t="str">
        <v>Dunedin Income Growth</v>
      </c>
      <c r="I29">
        <f>SUMIFS(Buybacks!H:H,Buybacks!D:D,Formulas!H29)</f>
        <v>-9.2778528677200018</v>
      </c>
      <c r="J29" s="41" t="str">
        <f t="shared" si="4"/>
        <v/>
      </c>
      <c r="L29" t="str">
        <v>Strategic Equity Capital</v>
      </c>
      <c r="M29">
        <f>SUMIFS('Corporate activity'!$H:$H,'Corporate activity'!$D:$D,Formulas!$L29,'Corporate activity'!$C:$C,Formulas!M$2)</f>
        <v>-10.021072399999998</v>
      </c>
      <c r="N29">
        <f>SUMIFS('Corporate activity'!$H:$H,'Corporate activity'!$D:$D,Formulas!$L29,'Corporate activity'!$C:$C,Formulas!N$2)</f>
        <v>0</v>
      </c>
      <c r="O29">
        <f>SUMIFS('Corporate activity'!$H:$H,'Corporate activity'!$D:$D,Formulas!$L29,'Corporate activity'!$C:$C,Formulas!O$2)</f>
        <v>0</v>
      </c>
      <c r="P29">
        <f t="shared" si="0"/>
        <v>-10.021072399999998</v>
      </c>
      <c r="Q29" t="str">
        <f t="shared" si="1"/>
        <v/>
      </c>
    </row>
    <row r="30" spans="2:17" x14ac:dyDescent="0.25">
      <c r="B30" t="str">
        <v>Nippon Active Value Fund</v>
      </c>
      <c r="C30">
        <f>SUMIFS(Issuance!$H:$H,Issuance!$D:$D,Formulas!$B30,Issuance!$C:$C,Formulas!C$2)</f>
        <v>11.6601</v>
      </c>
      <c r="D30">
        <f>SUMIFS(Issuance!$H:$H,Issuance!$D:$D,Formulas!$B30,Issuance!$C:$C,Formulas!D$2)</f>
        <v>0</v>
      </c>
      <c r="E30">
        <f t="shared" si="2"/>
        <v>11.6601</v>
      </c>
      <c r="F30" s="41">
        <f t="shared" si="3"/>
        <v>19</v>
      </c>
      <c r="H30" t="str">
        <v>Ecofin Global Utilities and Infrastructure</v>
      </c>
      <c r="I30">
        <f>SUMIFS(Buybacks!H:H,Buybacks!D:D,Formulas!H30)</f>
        <v>-10.57929707429</v>
      </c>
      <c r="J30" s="41" t="str">
        <f t="shared" si="4"/>
        <v/>
      </c>
      <c r="L30" t="str">
        <v>Riverstone Credit Opportunities Income</v>
      </c>
      <c r="M30">
        <f>SUMIFS('Corporate activity'!$H:$H,'Corporate activity'!$D:$D,Formulas!$L30,'Corporate activity'!$C:$C,Formulas!M$2)</f>
        <v>0</v>
      </c>
      <c r="N30">
        <f>SUMIFS('Corporate activity'!$H:$H,'Corporate activity'!$D:$D,Formulas!$L30,'Corporate activity'!$C:$C,Formulas!N$2)</f>
        <v>-8.1134550000000001</v>
      </c>
      <c r="O30">
        <f>SUMIFS('Corporate activity'!$H:$H,'Corporate activity'!$D:$D,Formulas!$L30,'Corporate activity'!$C:$C,Formulas!O$2)</f>
        <v>0</v>
      </c>
      <c r="P30">
        <f t="shared" si="0"/>
        <v>-8.1134550000000001</v>
      </c>
      <c r="Q30" t="str">
        <f t="shared" si="1"/>
        <v/>
      </c>
    </row>
    <row r="31" spans="2:17" x14ac:dyDescent="0.25">
      <c r="B31" t="str">
        <v>AVI Japan Opportunity Trust</v>
      </c>
      <c r="C31">
        <f>SUMIFS(Issuance!$H:$H,Issuance!$D:$D,Formulas!$B31,Issuance!$C:$C,Formulas!C$2)</f>
        <v>0</v>
      </c>
      <c r="D31">
        <f>SUMIFS(Issuance!$H:$H,Issuance!$D:$D,Formulas!$B31,Issuance!$C:$C,Formulas!D$2)</f>
        <v>3.9795499999999997</v>
      </c>
      <c r="E31">
        <f t="shared" si="2"/>
        <v>3.9795499999999997</v>
      </c>
      <c r="F31" s="41" t="str">
        <f t="shared" si="3"/>
        <v/>
      </c>
      <c r="H31" t="str">
        <v>Edinburgh Investment Trust</v>
      </c>
      <c r="I31">
        <f>SUMIFS(Buybacks!H:H,Buybacks!D:D,Formulas!H31)</f>
        <v>-85.722487349999994</v>
      </c>
      <c r="J31" s="41">
        <f t="shared" si="4"/>
        <v>15</v>
      </c>
      <c r="L31" t="str">
        <v>Alliance Witan</v>
      </c>
      <c r="M31">
        <f>SUMIFS('Corporate activity'!$H:$H,'Corporate activity'!$D:$D,Formulas!$L31,'Corporate activity'!$C:$C,Formulas!M$2)</f>
        <v>0</v>
      </c>
      <c r="N31">
        <f>SUMIFS('Corporate activity'!$H:$H,'Corporate activity'!$D:$D,Formulas!$L31,'Corporate activity'!$C:$C,Formulas!N$2)</f>
        <v>0</v>
      </c>
      <c r="O31">
        <f>SUMIFS('Corporate activity'!$H:$H,'Corporate activity'!$D:$D,Formulas!$L31,'Corporate activity'!$C:$C,Formulas!O$2)</f>
        <v>0</v>
      </c>
      <c r="P31">
        <f t="shared" si="0"/>
        <v>0</v>
      </c>
      <c r="Q31" t="str">
        <f t="shared" si="1"/>
        <v/>
      </c>
    </row>
    <row r="32" spans="2:17" x14ac:dyDescent="0.25">
      <c r="B32" t="str">
        <v>Murray International</v>
      </c>
      <c r="C32">
        <f>SUMIFS(Issuance!$H:$H,Issuance!$D:$D,Formulas!$B32,Issuance!$C:$C,Formulas!C$2)</f>
        <v>0</v>
      </c>
      <c r="D32">
        <f>SUMIFS(Issuance!$H:$H,Issuance!$D:$D,Formulas!$B32,Issuance!$C:$C,Formulas!D$2)</f>
        <v>18.523796010799998</v>
      </c>
      <c r="E32">
        <f t="shared" si="2"/>
        <v>18.523796010799998</v>
      </c>
      <c r="F32" s="41">
        <f t="shared" si="3"/>
        <v>15</v>
      </c>
      <c r="H32" t="str">
        <v>Edinburgh Worldwide</v>
      </c>
      <c r="I32">
        <f>SUMIFS(Buybacks!H:H,Buybacks!D:D,Formulas!H32)</f>
        <v>-2.2534999999999998</v>
      </c>
      <c r="J32" s="41" t="str">
        <f t="shared" si="4"/>
        <v/>
      </c>
      <c r="L32" t="str">
        <v>Henderson High Income</v>
      </c>
      <c r="M32">
        <f>SUMIFS('Corporate activity'!$H:$H,'Corporate activity'!$D:$D,Formulas!$L32,'Corporate activity'!$C:$C,Formulas!M$2)</f>
        <v>0</v>
      </c>
      <c r="N32">
        <f>SUMIFS('Corporate activity'!$H:$H,'Corporate activity'!$D:$D,Formulas!$L32,'Corporate activity'!$C:$C,Formulas!N$2)</f>
        <v>0</v>
      </c>
      <c r="O32">
        <f>SUMIFS('Corporate activity'!$H:$H,'Corporate activity'!$D:$D,Formulas!$L32,'Corporate activity'!$C:$C,Formulas!O$2)</f>
        <v>0</v>
      </c>
      <c r="P32">
        <f t="shared" si="0"/>
        <v>0</v>
      </c>
      <c r="Q32" t="str">
        <f t="shared" si="1"/>
        <v/>
      </c>
    </row>
    <row r="33" spans="2:17" x14ac:dyDescent="0.25">
      <c r="B33" t="str">
        <v>Schiehallion Fund</v>
      </c>
      <c r="C33">
        <f>SUMIFS(Issuance!$H:$H,Issuance!$D:$D,Formulas!$B33,Issuance!$C:$C,Formulas!C$2)</f>
        <v>2.5932059999999995</v>
      </c>
      <c r="D33">
        <f>SUMIFS(Issuance!$H:$H,Issuance!$D:$D,Formulas!$B33,Issuance!$C:$C,Formulas!D$2)</f>
        <v>18.15248803992624</v>
      </c>
      <c r="E33">
        <f t="shared" si="2"/>
        <v>20.745694039926239</v>
      </c>
      <c r="F33" s="41">
        <f t="shared" si="3"/>
        <v>13</v>
      </c>
      <c r="H33" t="str">
        <v>F&amp;C Investment Trust</v>
      </c>
      <c r="I33">
        <f>SUMIFS(Buybacks!H:H,Buybacks!D:D,Formulas!H33)</f>
        <v>-48.521923651430001</v>
      </c>
      <c r="J33" s="41" t="str">
        <f>IF(OR(H33="",H33=0,I33=0),"",IF(COUNTIFS($I$3:$I$500,"&lt;"&amp;I33,$I$3:$I$500,"&lt;&gt;0")+1&lt;=20,COUNTIFS($I$3:$I$500,"&lt;"&amp;I33,$I$3:$I$500,"&lt;&gt;0")+1,""))</f>
        <v/>
      </c>
      <c r="L33" t="str">
        <v>Scottish Oriental Smaller Companies</v>
      </c>
      <c r="M33">
        <f>SUMIFS('Corporate activity'!$H:$H,'Corporate activity'!$D:$D,Formulas!$L33,'Corporate activity'!$C:$C,Formulas!M$2)</f>
        <v>0</v>
      </c>
      <c r="N33">
        <f>SUMIFS('Corporate activity'!$H:$H,'Corporate activity'!$D:$D,Formulas!$L33,'Corporate activity'!$C:$C,Formulas!N$2)</f>
        <v>0</v>
      </c>
      <c r="O33">
        <f>SUMIFS('Corporate activity'!$H:$H,'Corporate activity'!$D:$D,Formulas!$L33,'Corporate activity'!$C:$C,Formulas!O$2)</f>
        <v>0</v>
      </c>
      <c r="P33">
        <f t="shared" si="0"/>
        <v>0</v>
      </c>
      <c r="Q33" t="str">
        <f t="shared" si="1"/>
        <v/>
      </c>
    </row>
    <row r="34" spans="2:17" x14ac:dyDescent="0.25">
      <c r="B34" t="str">
        <v>Cordiant Digital Infrastructure</v>
      </c>
      <c r="C34">
        <f>SUMIFS(Issuance!$H:$H,Issuance!$D:$D,Formulas!$B34,Issuance!$C:$C,Formulas!C$2)</f>
        <v>3.6593087999999998E-3</v>
      </c>
      <c r="D34">
        <f>SUMIFS(Issuance!$H:$H,Issuance!$D:$D,Formulas!$B34,Issuance!$C:$C,Formulas!D$2)</f>
        <v>0</v>
      </c>
      <c r="E34">
        <f t="shared" si="2"/>
        <v>3.6593087999999998E-3</v>
      </c>
      <c r="F34" s="41" t="str">
        <f t="shared" si="3"/>
        <v/>
      </c>
      <c r="H34" t="str">
        <v>Fair Oaks Income 2021</v>
      </c>
      <c r="I34">
        <f>SUMIFS(Buybacks!H:H,Buybacks!D:D,Formulas!H34)</f>
        <v>-1.6561024681490486</v>
      </c>
      <c r="J34" s="41" t="str">
        <f t="shared" si="4"/>
        <v/>
      </c>
      <c r="L34" t="str">
        <v>STS Global Income &amp; Growth Trust</v>
      </c>
      <c r="M34">
        <f>SUMIFS('Corporate activity'!$H:$H,'Corporate activity'!$D:$D,Formulas!$L34,'Corporate activity'!$C:$C,Formulas!M$2)</f>
        <v>0</v>
      </c>
      <c r="N34">
        <f>SUMIFS('Corporate activity'!$H:$H,'Corporate activity'!$D:$D,Formulas!$L34,'Corporate activity'!$C:$C,Formulas!N$2)</f>
        <v>0</v>
      </c>
      <c r="O34">
        <f>SUMIFS('Corporate activity'!$H:$H,'Corporate activity'!$D:$D,Formulas!$L34,'Corporate activity'!$C:$C,Formulas!O$2)</f>
        <v>0</v>
      </c>
      <c r="P34">
        <f t="shared" si="0"/>
        <v>0</v>
      </c>
      <c r="Q34" t="str">
        <f t="shared" si="1"/>
        <v/>
      </c>
    </row>
    <row r="35" spans="2:17" x14ac:dyDescent="0.25">
      <c r="B35" t="str">
        <v>Develop North</v>
      </c>
      <c r="C35">
        <f>SUMIFS(Issuance!$H:$H,Issuance!$D:$D,Formulas!$B35,Issuance!$C:$C,Formulas!C$2)</f>
        <v>0.85487199999999997</v>
      </c>
      <c r="D35">
        <f>SUMIFS(Issuance!$H:$H,Issuance!$D:$D,Formulas!$B35,Issuance!$C:$C,Formulas!D$2)</f>
        <v>0</v>
      </c>
      <c r="E35">
        <f t="shared" si="2"/>
        <v>0.85487199999999997</v>
      </c>
      <c r="F35" s="41" t="str">
        <f t="shared" si="3"/>
        <v/>
      </c>
      <c r="H35" t="str">
        <v>Fidelity Asian Values</v>
      </c>
      <c r="I35">
        <f>SUMIFS(Buybacks!H:H,Buybacks!D:D,Formulas!H35)</f>
        <v>-6.2817216160999987</v>
      </c>
      <c r="J35" s="41" t="str">
        <f t="shared" si="4"/>
        <v/>
      </c>
      <c r="L35" t="str">
        <v>Triple Point Venture VCT Venture shares</v>
      </c>
      <c r="M35">
        <f>SUMIFS('Corporate activity'!$H:$H,'Corporate activity'!$D:$D,Formulas!$L35,'Corporate activity'!$C:$C,Formulas!M$2)</f>
        <v>0</v>
      </c>
      <c r="N35">
        <f>SUMIFS('Corporate activity'!$H:$H,'Corporate activity'!$D:$D,Formulas!$L35,'Corporate activity'!$C:$C,Formulas!N$2)</f>
        <v>0</v>
      </c>
      <c r="O35">
        <f>SUMIFS('Corporate activity'!$H:$H,'Corporate activity'!$D:$D,Formulas!$L35,'Corporate activity'!$C:$C,Formulas!O$2)</f>
        <v>0</v>
      </c>
      <c r="P35">
        <f t="shared" ref="P35:P66" si="5">SUM(M35:O35)</f>
        <v>0</v>
      </c>
      <c r="Q35" t="str">
        <f t="shared" ref="Q35:Q66" si="6">IF(OR(L35="",L35=0,P35=0),"",IF(COUNTIFS($P$3:$P$500,"&lt;"&amp;P35,$P$3:$P$500,"&lt;&gt;0")+1&lt;=20,COUNTIFS($P$3:$P$500,"&lt;"&amp;P35,$P$3:$P$500,"&lt;&gt;0")+1,""))</f>
        <v/>
      </c>
    </row>
    <row r="36" spans="2:17" x14ac:dyDescent="0.25">
      <c r="B36" t="str">
        <v>Bellevue Healthcare Trust</v>
      </c>
      <c r="C36">
        <f>SUMIFS(Issuance!$H:$H,Issuance!$D:$D,Formulas!$B36,Issuance!$C:$C,Formulas!C$2)</f>
        <v>0</v>
      </c>
      <c r="D36">
        <f>SUMIFS(Issuance!$H:$H,Issuance!$D:$D,Formulas!$B36,Issuance!$C:$C,Formulas!D$2)</f>
        <v>18.68</v>
      </c>
      <c r="E36">
        <f t="shared" si="2"/>
        <v>18.68</v>
      </c>
      <c r="F36" s="41">
        <f t="shared" si="3"/>
        <v>14</v>
      </c>
      <c r="H36" t="str">
        <v>Fidelity China Special Situations</v>
      </c>
      <c r="I36">
        <f>SUMIFS(Buybacks!H:H,Buybacks!D:D,Formulas!H36)</f>
        <v>-60.614537305400042</v>
      </c>
      <c r="J36" s="41" t="str">
        <f t="shared" si="4"/>
        <v/>
      </c>
      <c r="L36" t="str">
        <v>Bellevue Healthcare Trust</v>
      </c>
      <c r="M36">
        <f>SUMIFS('Corporate activity'!$H:$H,'Corporate activity'!$D:$D,Formulas!$L36,'Corporate activity'!$C:$C,Formulas!M$2)</f>
        <v>-41.807384710531998</v>
      </c>
      <c r="N36">
        <f>SUMIFS('Corporate activity'!$H:$H,'Corporate activity'!$D:$D,Formulas!$L36,'Corporate activity'!$C:$C,Formulas!N$2)</f>
        <v>0</v>
      </c>
      <c r="O36">
        <f>SUMIFS('Corporate activity'!$H:$H,'Corporate activity'!$D:$D,Formulas!$L36,'Corporate activity'!$C:$C,Formulas!O$2)</f>
        <v>0</v>
      </c>
      <c r="P36">
        <f t="shared" si="5"/>
        <v>-41.807384710531998</v>
      </c>
      <c r="Q36">
        <f t="shared" si="6"/>
        <v>13</v>
      </c>
    </row>
    <row r="37" spans="2:17" x14ac:dyDescent="0.25">
      <c r="B37" t="str">
        <v>Ruffer Investment Company</v>
      </c>
      <c r="C37">
        <f>SUMIFS(Issuance!$H:$H,Issuance!$D:$D,Formulas!$B37,Issuance!$C:$C,Formulas!C$2)</f>
        <v>1.5549999999999999</v>
      </c>
      <c r="D37">
        <f>SUMIFS(Issuance!$H:$H,Issuance!$D:$D,Formulas!$B37,Issuance!$C:$C,Formulas!D$2)</f>
        <v>0</v>
      </c>
      <c r="E37">
        <f t="shared" si="2"/>
        <v>1.5549999999999999</v>
      </c>
      <c r="F37" s="41" t="str">
        <f t="shared" si="3"/>
        <v/>
      </c>
      <c r="H37" t="str">
        <v>Fidelity Emerging Markets</v>
      </c>
      <c r="I37">
        <f>SUMIFS(Buybacks!H:H,Buybacks!D:D,Formulas!H37)</f>
        <v>-70.850707973500008</v>
      </c>
      <c r="J37" s="41">
        <f t="shared" si="4"/>
        <v>20</v>
      </c>
      <c r="L37" t="str">
        <v>Murray Income</v>
      </c>
      <c r="M37">
        <f>SUMIFS('Corporate activity'!$H:$H,'Corporate activity'!$D:$D,Formulas!$L37,'Corporate activity'!$C:$C,Formulas!M$2)</f>
        <v>0</v>
      </c>
      <c r="N37">
        <f>SUMIFS('Corporate activity'!$H:$H,'Corporate activity'!$D:$D,Formulas!$L37,'Corporate activity'!$C:$C,Formulas!N$2)</f>
        <v>0</v>
      </c>
      <c r="O37">
        <f>SUMIFS('Corporate activity'!$H:$H,'Corporate activity'!$D:$D,Formulas!$L37,'Corporate activity'!$C:$C,Formulas!O$2)</f>
        <v>0</v>
      </c>
      <c r="P37">
        <f t="shared" si="5"/>
        <v>0</v>
      </c>
      <c r="Q37" t="str">
        <f t="shared" si="6"/>
        <v/>
      </c>
    </row>
    <row r="38" spans="2:17" x14ac:dyDescent="0.25">
      <c r="B38" t="str">
        <v>BlackRock American Income</v>
      </c>
      <c r="C38">
        <f>SUMIFS(Issuance!$H:$H,Issuance!$D:$D,Formulas!$B38,Issuance!$C:$C,Formulas!C$2)</f>
        <v>0</v>
      </c>
      <c r="D38">
        <f>SUMIFS(Issuance!$H:$H,Issuance!$D:$D,Formulas!$B38,Issuance!$C:$C,Formulas!D$2)</f>
        <v>21.838319500000004</v>
      </c>
      <c r="E38">
        <f t="shared" si="2"/>
        <v>21.838319500000004</v>
      </c>
      <c r="F38" s="41">
        <f t="shared" si="3"/>
        <v>11</v>
      </c>
      <c r="H38" t="str">
        <v>Finsbury Growth &amp; Income Trust</v>
      </c>
      <c r="I38">
        <f>SUMIFS(Buybacks!H:H,Buybacks!D:D,Formulas!H38)</f>
        <v>-139.90656346790004</v>
      </c>
      <c r="J38" s="41">
        <f t="shared" si="4"/>
        <v>8</v>
      </c>
      <c r="L38" t="str">
        <v>Shires Income</v>
      </c>
      <c r="M38">
        <f>SUMIFS('Corporate activity'!$H:$H,'Corporate activity'!$D:$D,Formulas!$L38,'Corporate activity'!$C:$C,Formulas!M$2)</f>
        <v>0</v>
      </c>
      <c r="N38">
        <f>SUMIFS('Corporate activity'!$H:$H,'Corporate activity'!$D:$D,Formulas!$L38,'Corporate activity'!$C:$C,Formulas!N$2)</f>
        <v>0</v>
      </c>
      <c r="O38">
        <f>SUMIFS('Corporate activity'!$H:$H,'Corporate activity'!$D:$D,Formulas!$L38,'Corporate activity'!$C:$C,Formulas!O$2)</f>
        <v>0</v>
      </c>
      <c r="P38">
        <f t="shared" si="5"/>
        <v>0</v>
      </c>
      <c r="Q38" t="str">
        <f t="shared" si="6"/>
        <v/>
      </c>
    </row>
    <row r="39" spans="2:17" x14ac:dyDescent="0.25">
      <c r="B39" t="str">
        <v>Ecofin Global Utilities and Infrastructure</v>
      </c>
      <c r="C39">
        <f>SUMIFS(Issuance!$H:$H,Issuance!$D:$D,Formulas!$B39,Issuance!$C:$C,Formulas!C$2)</f>
        <v>0</v>
      </c>
      <c r="D39">
        <f>SUMIFS(Issuance!$H:$H,Issuance!$D:$D,Formulas!$B39,Issuance!$C:$C,Formulas!D$2)</f>
        <v>6.78811284901</v>
      </c>
      <c r="E39">
        <f t="shared" si="2"/>
        <v>6.78811284901</v>
      </c>
      <c r="F39" s="41" t="str">
        <f t="shared" si="3"/>
        <v/>
      </c>
      <c r="H39" t="str">
        <v>Foresight Solar Fund</v>
      </c>
      <c r="I39">
        <f>SUMIFS(Buybacks!H:H,Buybacks!D:D,Formulas!H39)</f>
        <v>-3.2876748216</v>
      </c>
      <c r="J39" s="41" t="str">
        <f t="shared" si="4"/>
        <v/>
      </c>
      <c r="L39" t="str">
        <v>CT Healthcare Trust</v>
      </c>
      <c r="M39">
        <f>SUMIFS('Corporate activity'!$H:$H,'Corporate activity'!$D:$D,Formulas!$L39,'Corporate activity'!$C:$C,Formulas!M$2)</f>
        <v>-11.420372</v>
      </c>
      <c r="N39">
        <f>SUMIFS('Corporate activity'!$H:$H,'Corporate activity'!$D:$D,Formulas!$L39,'Corporate activity'!$C:$C,Formulas!N$2)</f>
        <v>0</v>
      </c>
      <c r="O39">
        <f>SUMIFS('Corporate activity'!$H:$H,'Corporate activity'!$D:$D,Formulas!$L39,'Corporate activity'!$C:$C,Formulas!O$2)</f>
        <v>0</v>
      </c>
      <c r="P39">
        <f t="shared" si="5"/>
        <v>-11.420372</v>
      </c>
      <c r="Q39" t="str">
        <f t="shared" si="6"/>
        <v/>
      </c>
    </row>
    <row r="40" spans="2:17" x14ac:dyDescent="0.25">
      <c r="B40" t="str">
        <v>Scottish Mortgage</v>
      </c>
      <c r="C40">
        <f>SUMIFS(Issuance!$H:$H,Issuance!$D:$D,Formulas!$B40,Issuance!$C:$C,Formulas!C$2)</f>
        <v>0</v>
      </c>
      <c r="D40">
        <f>SUMIFS(Issuance!$H:$H,Issuance!$D:$D,Formulas!$B40,Issuance!$C:$C,Formulas!D$2)</f>
        <v>519.08239000000003</v>
      </c>
      <c r="E40">
        <f t="shared" si="2"/>
        <v>519.08239000000003</v>
      </c>
      <c r="F40" s="41">
        <f t="shared" si="3"/>
        <v>1</v>
      </c>
      <c r="H40" t="str">
        <v xml:space="preserve">Franklin Global Trust </v>
      </c>
      <c r="I40">
        <f>SUMIFS(Buybacks!H:H,Buybacks!D:D,Formulas!H40)</f>
        <v>-3.0985424614999997</v>
      </c>
      <c r="J40" s="41" t="str">
        <f t="shared" si="4"/>
        <v/>
      </c>
      <c r="L40" t="str">
        <v>Syncona</v>
      </c>
      <c r="M40">
        <f>SUMIFS('Corporate activity'!$H:$H,'Corporate activity'!$D:$D,Formulas!$L40,'Corporate activity'!$C:$C,Formulas!M$2)</f>
        <v>0</v>
      </c>
      <c r="N40">
        <f>SUMIFS('Corporate activity'!$H:$H,'Corporate activity'!$D:$D,Formulas!$L40,'Corporate activity'!$C:$C,Formulas!N$2)</f>
        <v>0</v>
      </c>
      <c r="O40">
        <f>SUMIFS('Corporate activity'!$H:$H,'Corporate activity'!$D:$D,Formulas!$L40,'Corporate activity'!$C:$C,Formulas!O$2)</f>
        <v>0</v>
      </c>
      <c r="P40">
        <f t="shared" si="5"/>
        <v>0</v>
      </c>
      <c r="Q40" t="str">
        <f t="shared" si="6"/>
        <v/>
      </c>
    </row>
    <row r="41" spans="2:17" x14ac:dyDescent="0.25">
      <c r="B41" t="str">
        <v>Value and Indexed Property Income Trust</v>
      </c>
      <c r="C41">
        <f>SUMIFS(Issuance!$H:$H,Issuance!$D:$D,Formulas!$B41,Issuance!$C:$C,Formulas!C$2)</f>
        <v>0</v>
      </c>
      <c r="D41">
        <f>SUMIFS(Issuance!$H:$H,Issuance!$D:$D,Formulas!$B41,Issuance!$C:$C,Formulas!D$2)</f>
        <v>5.4900910000000005</v>
      </c>
      <c r="E41">
        <f t="shared" si="2"/>
        <v>5.4900910000000005</v>
      </c>
      <c r="F41" s="41" t="str">
        <f t="shared" si="3"/>
        <v/>
      </c>
      <c r="H41" t="str">
        <v>GCP Infrastructure Investments</v>
      </c>
      <c r="I41">
        <f>SUMIFS(Buybacks!H:H,Buybacks!D:D,Formulas!H41)</f>
        <v>-38.247749699700002</v>
      </c>
      <c r="J41" s="41" t="str">
        <f t="shared" si="4"/>
        <v/>
      </c>
      <c r="L41" t="str">
        <v>Chrysalis Investments</v>
      </c>
      <c r="M41">
        <f>SUMIFS('Corporate activity'!$H:$H,'Corporate activity'!$D:$D,Formulas!$L41,'Corporate activity'!$C:$C,Formulas!M$2)</f>
        <v>0</v>
      </c>
      <c r="N41">
        <f>SUMIFS('Corporate activity'!$H:$H,'Corporate activity'!$D:$D,Formulas!$L41,'Corporate activity'!$C:$C,Formulas!N$2)</f>
        <v>0</v>
      </c>
      <c r="O41">
        <f>SUMIFS('Corporate activity'!$H:$H,'Corporate activity'!$D:$D,Formulas!$L41,'Corporate activity'!$C:$C,Formulas!O$2)</f>
        <v>0</v>
      </c>
      <c r="P41">
        <f t="shared" si="5"/>
        <v>0</v>
      </c>
      <c r="Q41" t="str">
        <f t="shared" si="6"/>
        <v/>
      </c>
    </row>
    <row r="42" spans="2:17" x14ac:dyDescent="0.25">
      <c r="B42" t="str">
        <v>Ceiba Investments</v>
      </c>
      <c r="C42">
        <f>SUMIFS(Issuance!$H:$H,Issuance!$D:$D,Formulas!$B42,Issuance!$C:$C,Formulas!C$2)</f>
        <v>10.463039999999999</v>
      </c>
      <c r="D42">
        <f>SUMIFS(Issuance!$H:$H,Issuance!$D:$D,Formulas!$B42,Issuance!$C:$C,Formulas!D$2)</f>
        <v>0</v>
      </c>
      <c r="E42">
        <f t="shared" si="2"/>
        <v>10.463039999999999</v>
      </c>
      <c r="F42" s="41">
        <f t="shared" si="3"/>
        <v>20</v>
      </c>
      <c r="H42" t="str">
        <v>Greencoat UK Wind</v>
      </c>
      <c r="I42">
        <f>SUMIFS(Buybacks!H:H,Buybacks!D:D,Formulas!H42)</f>
        <v>-1.7403513043000003</v>
      </c>
      <c r="J42" s="41" t="str">
        <f t="shared" si="4"/>
        <v/>
      </c>
      <c r="L42" t="str">
        <v>Baillie Gifford Shin Nippon</v>
      </c>
      <c r="M42">
        <f>SUMIFS('Corporate activity'!$H:$H,'Corporate activity'!$D:$D,Formulas!$L42,'Corporate activity'!$C:$C,Formulas!M$2)</f>
        <v>-57.755504999999999</v>
      </c>
      <c r="N42">
        <f>SUMIFS('Corporate activity'!$H:$H,'Corporate activity'!$D:$D,Formulas!$L42,'Corporate activity'!$C:$C,Formulas!N$2)</f>
        <v>0</v>
      </c>
      <c r="O42">
        <f>SUMIFS('Corporate activity'!$H:$H,'Corporate activity'!$D:$D,Formulas!$L42,'Corporate activity'!$C:$C,Formulas!O$2)</f>
        <v>0</v>
      </c>
      <c r="P42">
        <f t="shared" si="5"/>
        <v>-57.755504999999999</v>
      </c>
      <c r="Q42">
        <f t="shared" si="6"/>
        <v>6</v>
      </c>
    </row>
    <row r="43" spans="2:17" x14ac:dyDescent="0.25">
      <c r="B43" t="str">
        <v>Geiger Counter</v>
      </c>
      <c r="C43">
        <f>SUMIFS(Issuance!$H:$H,Issuance!$D:$D,Formulas!$B43,Issuance!$C:$C,Formulas!C$2)</f>
        <v>7.799779108000001</v>
      </c>
      <c r="D43">
        <f>SUMIFS(Issuance!$H:$H,Issuance!$D:$D,Formulas!$B43,Issuance!$C:$C,Formulas!D$2)</f>
        <v>0</v>
      </c>
      <c r="E43">
        <f t="shared" si="2"/>
        <v>7.799779108000001</v>
      </c>
      <c r="F43" s="41" t="str">
        <f t="shared" si="3"/>
        <v/>
      </c>
      <c r="H43" t="str">
        <v>Hansa Investment Company (A share)</v>
      </c>
      <c r="I43">
        <f>SUMIFS(Buybacks!H:H,Buybacks!D:D,Formulas!H43)</f>
        <v>-22.315625757799989</v>
      </c>
      <c r="J43" s="41" t="str">
        <f t="shared" si="4"/>
        <v/>
      </c>
      <c r="L43" t="str">
        <v>BlackRock Frontiers</v>
      </c>
      <c r="M43">
        <f>SUMIFS('Corporate activity'!$H:$H,'Corporate activity'!$D:$D,Formulas!$L43,'Corporate activity'!$C:$C,Formulas!M$2)</f>
        <v>-48.139318000000003</v>
      </c>
      <c r="N43">
        <f>SUMIFS('Corporate activity'!$H:$H,'Corporate activity'!$D:$D,Formulas!$L43,'Corporate activity'!$C:$C,Formulas!N$2)</f>
        <v>0</v>
      </c>
      <c r="O43">
        <f>SUMIFS('Corporate activity'!$H:$H,'Corporate activity'!$D:$D,Formulas!$L43,'Corporate activity'!$C:$C,Formulas!O$2)</f>
        <v>0</v>
      </c>
      <c r="P43">
        <f t="shared" si="5"/>
        <v>-48.139318000000003</v>
      </c>
      <c r="Q43">
        <f t="shared" si="6"/>
        <v>7</v>
      </c>
    </row>
    <row r="44" spans="2:17" x14ac:dyDescent="0.25">
      <c r="B44" t="str">
        <v>Seraphim Space C shares</v>
      </c>
      <c r="C44">
        <f>SUMIFS(Issuance!$H:$H,Issuance!$D:$D,Formulas!$B44,Issuance!$C:$C,Formulas!C$2)</f>
        <v>0</v>
      </c>
      <c r="D44">
        <f>SUMIFS(Issuance!$H:$H,Issuance!$D:$D,Formulas!$B44,Issuance!$C:$C,Formulas!D$2)</f>
        <v>0</v>
      </c>
      <c r="E44">
        <f t="shared" si="2"/>
        <v>0</v>
      </c>
      <c r="F44" s="41" t="str">
        <f t="shared" si="3"/>
        <v/>
      </c>
      <c r="H44" t="str">
        <v>Hansa Investment Company (Ord)</v>
      </c>
      <c r="I44">
        <f>SUMIFS(Buybacks!H:H,Buybacks!D:D,Formulas!H44)</f>
        <v>-2.4507630700000003</v>
      </c>
      <c r="J44" s="41" t="str">
        <f t="shared" si="4"/>
        <v/>
      </c>
      <c r="L44" t="str">
        <v>Fair Oaks Income 2021</v>
      </c>
      <c r="M44">
        <f>SUMIFS('Corporate activity'!$H:$H,'Corporate activity'!$D:$D,Formulas!$L44,'Corporate activity'!$C:$C,Formulas!M$2)</f>
        <v>0</v>
      </c>
      <c r="N44">
        <f>SUMIFS('Corporate activity'!$H:$H,'Corporate activity'!$D:$D,Formulas!$L44,'Corporate activity'!$C:$C,Formulas!N$2)</f>
        <v>-7.7952899999999996</v>
      </c>
      <c r="O44">
        <f>SUMIFS('Corporate activity'!$H:$H,'Corporate activity'!$D:$D,Formulas!$L44,'Corporate activity'!$C:$C,Formulas!O$2)</f>
        <v>0</v>
      </c>
      <c r="P44">
        <f t="shared" si="5"/>
        <v>-7.7952899999999996</v>
      </c>
      <c r="Q44" t="str">
        <f t="shared" si="6"/>
        <v/>
      </c>
    </row>
    <row r="45" spans="2:17" x14ac:dyDescent="0.25">
      <c r="B45" t="str">
        <v>Investment Company</v>
      </c>
      <c r="C45">
        <f>SUMIFS(Issuance!$H:$H,Issuance!$D:$D,Formulas!$B45,Issuance!$C:$C,Formulas!C$2)</f>
        <v>0.29999700000000001</v>
      </c>
      <c r="D45">
        <f>SUMIFS(Issuance!$H:$H,Issuance!$D:$D,Formulas!$B45,Issuance!$C:$C,Formulas!D$2)</f>
        <v>2.7916607400000002</v>
      </c>
      <c r="E45">
        <f t="shared" si="2"/>
        <v>3.09165774</v>
      </c>
      <c r="F45" s="41" t="str">
        <f t="shared" si="3"/>
        <v/>
      </c>
      <c r="H45" t="str">
        <v>HarbourVest Global Private Equity</v>
      </c>
      <c r="I45">
        <f>SUMIFS(Buybacks!H:H,Buybacks!D:D,Formulas!H45)</f>
        <v>-80.046921041040022</v>
      </c>
      <c r="J45" s="41">
        <f t="shared" si="4"/>
        <v>16</v>
      </c>
      <c r="L45" t="str">
        <v>Digital 9 Infrastructure</v>
      </c>
      <c r="M45">
        <f>SUMIFS('Corporate activity'!$H:$H,'Corporate activity'!$D:$D,Formulas!$L45,'Corporate activity'!$C:$C,Formulas!M$2)</f>
        <v>0</v>
      </c>
      <c r="N45">
        <f>SUMIFS('Corporate activity'!$H:$H,'Corporate activity'!$D:$D,Formulas!$L45,'Corporate activity'!$C:$C,Formulas!N$2)</f>
        <v>-29.996542999999999</v>
      </c>
      <c r="O45">
        <f>SUMIFS('Corporate activity'!$H:$H,'Corporate activity'!$D:$D,Formulas!$L45,'Corporate activity'!$C:$C,Formulas!O$2)</f>
        <v>0</v>
      </c>
      <c r="P45">
        <f t="shared" si="5"/>
        <v>-29.996542999999999</v>
      </c>
      <c r="Q45">
        <f t="shared" si="6"/>
        <v>17</v>
      </c>
    </row>
    <row r="46" spans="2:17" x14ac:dyDescent="0.25">
      <c r="B46" t="str">
        <v>Law Debenture Corporation</v>
      </c>
      <c r="C46">
        <f>SUMIFS(Issuance!$H:$H,Issuance!$D:$D,Formulas!$B46,Issuance!$C:$C,Formulas!C$2)</f>
        <v>4.4419500000000001E-2</v>
      </c>
      <c r="D46">
        <f>SUMIFS(Issuance!$H:$H,Issuance!$D:$D,Formulas!$B46,Issuance!$C:$C,Formulas!D$2)</f>
        <v>0</v>
      </c>
      <c r="E46">
        <f t="shared" si="2"/>
        <v>4.4419500000000001E-2</v>
      </c>
      <c r="F46" s="41" t="str">
        <f t="shared" si="3"/>
        <v/>
      </c>
      <c r="H46" t="str">
        <v>Henderson Smaller Companies</v>
      </c>
      <c r="I46">
        <f>SUMIFS(Buybacks!H:H,Buybacks!D:D,Formulas!H46)</f>
        <v>-31.354232452640005</v>
      </c>
      <c r="J46" s="41" t="str">
        <f t="shared" si="4"/>
        <v/>
      </c>
      <c r="L46" t="str">
        <v>Riverstone Energy</v>
      </c>
      <c r="M46">
        <f>SUMIFS('Corporate activity'!$H:$H,'Corporate activity'!$D:$D,Formulas!$L46,'Corporate activity'!$C:$C,Formulas!M$2)</f>
        <v>0</v>
      </c>
      <c r="N46">
        <f>SUMIFS('Corporate activity'!$H:$H,'Corporate activity'!$D:$D,Formulas!$L46,'Corporate activity'!$C:$C,Formulas!N$2)</f>
        <v>-29.999034999999999</v>
      </c>
      <c r="O46">
        <f>SUMIFS('Corporate activity'!$H:$H,'Corporate activity'!$D:$D,Formulas!$L46,'Corporate activity'!$C:$C,Formulas!O$2)</f>
        <v>0</v>
      </c>
      <c r="P46">
        <f t="shared" si="5"/>
        <v>-29.999034999999999</v>
      </c>
      <c r="Q46">
        <f t="shared" si="6"/>
        <v>16</v>
      </c>
    </row>
    <row r="47" spans="2:17" x14ac:dyDescent="0.25">
      <c r="B47" t="str">
        <v>Syncona</v>
      </c>
      <c r="C47">
        <f>SUMIFS(Issuance!$H:$H,Issuance!$D:$D,Formulas!$B47,Issuance!$C:$C,Formulas!C$2)</f>
        <v>9.9830000000000006E-3</v>
      </c>
      <c r="D47">
        <f>SUMIFS(Issuance!$H:$H,Issuance!$D:$D,Formulas!$B47,Issuance!$C:$C,Formulas!D$2)</f>
        <v>0</v>
      </c>
      <c r="E47">
        <f t="shared" si="2"/>
        <v>9.9830000000000006E-3</v>
      </c>
      <c r="F47" s="41" t="str">
        <f t="shared" si="3"/>
        <v/>
      </c>
      <c r="H47" t="str">
        <v>ICG Enterprise Trust</v>
      </c>
      <c r="I47">
        <f>SUMIFS(Buybacks!H:H,Buybacks!D:D,Formulas!H47)</f>
        <v>-20.832793330000005</v>
      </c>
      <c r="J47" s="41" t="str">
        <f t="shared" si="4"/>
        <v/>
      </c>
      <c r="L47" t="str">
        <v>JPMorgan US Smaller Companies</v>
      </c>
      <c r="M47">
        <f>SUMIFS('Corporate activity'!$H:$H,'Corporate activity'!$D:$D,Formulas!$L47,'Corporate activity'!$C:$C,Formulas!M$2)</f>
        <v>0</v>
      </c>
      <c r="N47">
        <f>SUMIFS('Corporate activity'!$H:$H,'Corporate activity'!$D:$D,Formulas!$L47,'Corporate activity'!$C:$C,Formulas!N$2)</f>
        <v>0</v>
      </c>
      <c r="O47">
        <f>SUMIFS('Corporate activity'!$H:$H,'Corporate activity'!$D:$D,Formulas!$L47,'Corporate activity'!$C:$C,Formulas!O$2)</f>
        <v>0</v>
      </c>
      <c r="P47">
        <f t="shared" si="5"/>
        <v>0</v>
      </c>
      <c r="Q47" t="str">
        <f t="shared" si="6"/>
        <v/>
      </c>
    </row>
    <row r="48" spans="2:17" x14ac:dyDescent="0.25">
      <c r="B48" t="str">
        <v>Living REIT</v>
      </c>
      <c r="C48">
        <f>SUMIFS(Issuance!$H:$H,Issuance!$D:$D,Formulas!$B48,Issuance!$C:$C,Formulas!C$2)</f>
        <v>0</v>
      </c>
      <c r="D48">
        <f>SUMIFS(Issuance!$H:$H,Issuance!$D:$D,Formulas!$B48,Issuance!$C:$C,Formulas!D$2)</f>
        <v>0</v>
      </c>
      <c r="E48">
        <f t="shared" si="2"/>
        <v>0</v>
      </c>
      <c r="F48" s="41" t="str">
        <f t="shared" si="3"/>
        <v/>
      </c>
      <c r="H48" t="str">
        <v>India Capital Growth Fund</v>
      </c>
      <c r="I48">
        <f>SUMIFS(Buybacks!H:H,Buybacks!D:D,Formulas!H48)</f>
        <v>-3.8748383499999997</v>
      </c>
      <c r="J48" s="41" t="str">
        <f t="shared" si="4"/>
        <v/>
      </c>
      <c r="L48" t="str">
        <v>Parvus Energy Efficiency Trust</v>
      </c>
      <c r="M48">
        <f>SUMIFS('Corporate activity'!$H:$H,'Corporate activity'!$D:$D,Formulas!$L48,'Corporate activity'!$C:$C,Formulas!M$2)</f>
        <v>0</v>
      </c>
      <c r="N48">
        <f>SUMIFS('Corporate activity'!$H:$H,'Corporate activity'!$D:$D,Formulas!$L48,'Corporate activity'!$C:$C,Formulas!N$2)</f>
        <v>0</v>
      </c>
      <c r="O48">
        <f>SUMIFS('Corporate activity'!$H:$H,'Corporate activity'!$D:$D,Formulas!$L48,'Corporate activity'!$C:$C,Formulas!O$2)</f>
        <v>0</v>
      </c>
      <c r="P48">
        <f t="shared" si="5"/>
        <v>0</v>
      </c>
      <c r="Q48" t="str">
        <f t="shared" si="6"/>
        <v/>
      </c>
    </row>
    <row r="49" spans="2:17" x14ac:dyDescent="0.25">
      <c r="B49" t="str">
        <v>BlackRock World Mining</v>
      </c>
      <c r="C49">
        <f>SUMIFS(Issuance!$H:$H,Issuance!$D:$D,Formulas!$B49,Issuance!$C:$C,Formulas!C$2)</f>
        <v>0</v>
      </c>
      <c r="D49">
        <f>SUMIFS(Issuance!$H:$H,Issuance!$D:$D,Formulas!$B49,Issuance!$C:$C,Formulas!D$2)</f>
        <v>4.6512799999999999</v>
      </c>
      <c r="E49">
        <f t="shared" si="2"/>
        <v>4.6512799999999999</v>
      </c>
      <c r="F49" s="41" t="str">
        <f t="shared" si="3"/>
        <v/>
      </c>
      <c r="H49" t="str">
        <v>International Public Partnerships</v>
      </c>
      <c r="I49">
        <f>SUMIFS(Buybacks!H:H,Buybacks!D:D,Formulas!H49)</f>
        <v>-28.869251603000009</v>
      </c>
      <c r="J49" s="41" t="str">
        <f t="shared" si="4"/>
        <v/>
      </c>
      <c r="L49" t="str">
        <v>Schroder Japan Trust</v>
      </c>
      <c r="M49">
        <f>SUMIFS('Corporate activity'!$H:$H,'Corporate activity'!$D:$D,Formulas!$L49,'Corporate activity'!$C:$C,Formulas!M$2)</f>
        <v>0</v>
      </c>
      <c r="N49">
        <f>SUMIFS('Corporate activity'!$H:$H,'Corporate activity'!$D:$D,Formulas!$L49,'Corporate activity'!$C:$C,Formulas!N$2)</f>
        <v>0</v>
      </c>
      <c r="O49">
        <f>SUMIFS('Corporate activity'!$H:$H,'Corporate activity'!$D:$D,Formulas!$L49,'Corporate activity'!$C:$C,Formulas!O$2)</f>
        <v>0</v>
      </c>
      <c r="P49">
        <f t="shared" si="5"/>
        <v>0</v>
      </c>
      <c r="Q49" t="str">
        <f t="shared" si="6"/>
        <v/>
      </c>
    </row>
    <row r="50" spans="2:17" x14ac:dyDescent="0.25">
      <c r="B50">
        <v>0</v>
      </c>
      <c r="C50">
        <f>SUMIFS(Issuance!$H:$H,Issuance!$D:$D,Formulas!$B50,Issuance!$C:$C,Formulas!C$2)</f>
        <v>0</v>
      </c>
      <c r="D50">
        <f>SUMIFS(Issuance!$H:$H,Issuance!$D:$D,Formulas!$B50,Issuance!$C:$C,Formulas!D$2)</f>
        <v>0</v>
      </c>
      <c r="E50">
        <f t="shared" si="2"/>
        <v>0</v>
      </c>
      <c r="F50" s="41" t="str">
        <f t="shared" si="3"/>
        <v/>
      </c>
      <c r="H50" t="str">
        <v>Invesco Asia Dragon Trust</v>
      </c>
      <c r="I50">
        <f>SUMIFS(Buybacks!H:H,Buybacks!D:D,Formulas!H50)</f>
        <v>-22.123445250000003</v>
      </c>
      <c r="J50" s="41" t="str">
        <f t="shared" si="4"/>
        <v/>
      </c>
      <c r="L50" t="str">
        <v>Cordiant Digital Infrastructure</v>
      </c>
      <c r="M50">
        <f>SUMIFS('Corporate activity'!$H:$H,'Corporate activity'!$D:$D,Formulas!$L50,'Corporate activity'!$C:$C,Formulas!M$2)</f>
        <v>0</v>
      </c>
      <c r="N50">
        <f>SUMIFS('Corporate activity'!$H:$H,'Corporate activity'!$D:$D,Formulas!$L50,'Corporate activity'!$C:$C,Formulas!N$2)</f>
        <v>0</v>
      </c>
      <c r="O50">
        <f>SUMIFS('Corporate activity'!$H:$H,'Corporate activity'!$D:$D,Formulas!$L50,'Corporate activity'!$C:$C,Formulas!O$2)</f>
        <v>0</v>
      </c>
      <c r="P50">
        <f t="shared" si="5"/>
        <v>0</v>
      </c>
      <c r="Q50" t="str">
        <f t="shared" si="6"/>
        <v/>
      </c>
    </row>
    <row r="51" spans="2:17" x14ac:dyDescent="0.25">
      <c r="C51">
        <f>SUMIFS(Issuance!$H:$H,Issuance!$D:$D,Formulas!$B51,Issuance!$C:$C,Formulas!C$2)</f>
        <v>0</v>
      </c>
      <c r="D51">
        <f>SUMIFS(Issuance!$H:$H,Issuance!$D:$D,Formulas!$B51,Issuance!$C:$C,Formulas!D$2)</f>
        <v>0</v>
      </c>
      <c r="E51">
        <f t="shared" ref="E51:E114" si="7">SUM(C51:D51)</f>
        <v>0</v>
      </c>
      <c r="F51" s="41" t="str">
        <f t="shared" si="3"/>
        <v/>
      </c>
      <c r="H51" t="str">
        <v>JPEL Private Equity</v>
      </c>
      <c r="I51">
        <f>SUMIFS(Buybacks!H:H,Buybacks!D:D,Formulas!H51)</f>
        <v>-4.4652024874512</v>
      </c>
      <c r="J51" s="41" t="str">
        <f t="shared" si="4"/>
        <v/>
      </c>
      <c r="L51" t="str">
        <v>Onward Opportunities</v>
      </c>
      <c r="M51">
        <f>SUMIFS('Corporate activity'!$H:$H,'Corporate activity'!$D:$D,Formulas!$L51,'Corporate activity'!$C:$C,Formulas!M$2)</f>
        <v>0</v>
      </c>
      <c r="N51">
        <f>SUMIFS('Corporate activity'!$H:$H,'Corporate activity'!$D:$D,Formulas!$L51,'Corporate activity'!$C:$C,Formulas!N$2)</f>
        <v>0</v>
      </c>
      <c r="O51">
        <f>SUMIFS('Corporate activity'!$H:$H,'Corporate activity'!$D:$D,Formulas!$L51,'Corporate activity'!$C:$C,Formulas!O$2)</f>
        <v>0</v>
      </c>
      <c r="P51">
        <f t="shared" si="5"/>
        <v>0</v>
      </c>
      <c r="Q51" t="str">
        <f t="shared" si="6"/>
        <v/>
      </c>
    </row>
    <row r="52" spans="2:17" x14ac:dyDescent="0.25">
      <c r="C52">
        <f>SUMIFS(Issuance!$H:$H,Issuance!$D:$D,Formulas!$B52,Issuance!$C:$C,Formulas!C$2)</f>
        <v>0</v>
      </c>
      <c r="D52">
        <f>SUMIFS(Issuance!$H:$H,Issuance!$D:$D,Formulas!$B52,Issuance!$C:$C,Formulas!D$2)</f>
        <v>0</v>
      </c>
      <c r="E52">
        <f t="shared" si="7"/>
        <v>0</v>
      </c>
      <c r="F52" s="41" t="str">
        <f t="shared" si="3"/>
        <v/>
      </c>
      <c r="H52" t="str">
        <v>JPMorgan American</v>
      </c>
      <c r="I52">
        <f>SUMIFS(Buybacks!H:H,Buybacks!D:D,Formulas!H52)</f>
        <v>-50.287900558720025</v>
      </c>
      <c r="J52" s="41" t="str">
        <f t="shared" si="4"/>
        <v/>
      </c>
      <c r="L52" t="str">
        <v>Aquila Energy Efficiency</v>
      </c>
      <c r="M52">
        <f>SUMIFS('Corporate activity'!$H:$H,'Corporate activity'!$D:$D,Formulas!$L52,'Corporate activity'!$C:$C,Formulas!M$2)</f>
        <v>0</v>
      </c>
      <c r="N52">
        <f>SUMIFS('Corporate activity'!$H:$H,'Corporate activity'!$D:$D,Formulas!$L52,'Corporate activity'!$C:$C,Formulas!N$2)</f>
        <v>0</v>
      </c>
      <c r="O52">
        <f>SUMIFS('Corporate activity'!$H:$H,'Corporate activity'!$D:$D,Formulas!$L52,'Corporate activity'!$C:$C,Formulas!O$2)</f>
        <v>0</v>
      </c>
      <c r="P52">
        <f t="shared" si="5"/>
        <v>0</v>
      </c>
      <c r="Q52" t="str">
        <f t="shared" si="6"/>
        <v/>
      </c>
    </row>
    <row r="53" spans="2:17" x14ac:dyDescent="0.25">
      <c r="C53">
        <f>SUMIFS(Issuance!$H:$H,Issuance!$D:$D,Formulas!$B53,Issuance!$C:$C,Formulas!C$2)</f>
        <v>0</v>
      </c>
      <c r="D53">
        <f>SUMIFS(Issuance!$H:$H,Issuance!$D:$D,Formulas!$B53,Issuance!$C:$C,Formulas!D$2)</f>
        <v>0</v>
      </c>
      <c r="E53">
        <f t="shared" si="7"/>
        <v>0</v>
      </c>
      <c r="F53" s="41" t="str">
        <f t="shared" si="3"/>
        <v/>
      </c>
      <c r="H53" t="str">
        <v>JPMorgan Emerging Markets Growth &amp; Income</v>
      </c>
      <c r="I53">
        <f>SUMIFS(Buybacks!H:H,Buybacks!D:D,Formulas!H53)</f>
        <v>-46.271991381420008</v>
      </c>
      <c r="J53" s="41" t="str">
        <f t="shared" si="4"/>
        <v/>
      </c>
      <c r="L53" t="str">
        <v>Crystal Amber Fund</v>
      </c>
      <c r="M53">
        <f>SUMIFS('Corporate activity'!$H:$H,'Corporate activity'!$D:$D,Formulas!$L53,'Corporate activity'!$C:$C,Formulas!M$2)</f>
        <v>0</v>
      </c>
      <c r="N53">
        <f>SUMIFS('Corporate activity'!$H:$H,'Corporate activity'!$D:$D,Formulas!$L53,'Corporate activity'!$C:$C,Formulas!N$2)</f>
        <v>0</v>
      </c>
      <c r="O53">
        <f>SUMIFS('Corporate activity'!$H:$H,'Corporate activity'!$D:$D,Formulas!$L53,'Corporate activity'!$C:$C,Formulas!O$2)</f>
        <v>0</v>
      </c>
      <c r="P53">
        <f t="shared" si="5"/>
        <v>0</v>
      </c>
      <c r="Q53" t="str">
        <f t="shared" si="6"/>
        <v/>
      </c>
    </row>
    <row r="54" spans="2:17" x14ac:dyDescent="0.25">
      <c r="C54">
        <f>SUMIFS(Issuance!$H:$H,Issuance!$D:$D,Formulas!$B54,Issuance!$C:$C,Formulas!C$2)</f>
        <v>0</v>
      </c>
      <c r="D54">
        <f>SUMIFS(Issuance!$H:$H,Issuance!$D:$D,Formulas!$B54,Issuance!$C:$C,Formulas!D$2)</f>
        <v>0</v>
      </c>
      <c r="E54">
        <f t="shared" si="7"/>
        <v>0</v>
      </c>
      <c r="F54" s="41" t="str">
        <f t="shared" si="3"/>
        <v/>
      </c>
      <c r="H54" t="str">
        <v>JPMorgan Global Growth &amp; Income</v>
      </c>
      <c r="I54">
        <f>SUMIFS(Buybacks!H:H,Buybacks!D:D,Formulas!H54)</f>
        <v>-88.062386020899993</v>
      </c>
      <c r="J54" s="41">
        <f t="shared" si="4"/>
        <v>14</v>
      </c>
      <c r="L54" t="str">
        <v>BlackRock Smaller Companies</v>
      </c>
      <c r="M54">
        <f>SUMIFS('Corporate activity'!$H:$H,'Corporate activity'!$D:$D,Formulas!$L54,'Corporate activity'!$C:$C,Formulas!M$2)</f>
        <v>-162.91716600000001</v>
      </c>
      <c r="N54">
        <f>SUMIFS('Corporate activity'!$H:$H,'Corporate activity'!$D:$D,Formulas!$L54,'Corporate activity'!$C:$C,Formulas!N$2)</f>
        <v>0</v>
      </c>
      <c r="O54">
        <f>SUMIFS('Corporate activity'!$H:$H,'Corporate activity'!$D:$D,Formulas!$L54,'Corporate activity'!$C:$C,Formulas!O$2)</f>
        <v>0</v>
      </c>
      <c r="P54">
        <f t="shared" si="5"/>
        <v>-162.91716600000001</v>
      </c>
      <c r="Q54">
        <f t="shared" si="6"/>
        <v>5</v>
      </c>
    </row>
    <row r="55" spans="2:17" x14ac:dyDescent="0.25">
      <c r="C55">
        <f>SUMIFS(Issuance!$H:$H,Issuance!$D:$D,Formulas!$B55,Issuance!$C:$C,Formulas!C$2)</f>
        <v>0</v>
      </c>
      <c r="D55">
        <f>SUMIFS(Issuance!$H:$H,Issuance!$D:$D,Formulas!$B55,Issuance!$C:$C,Formulas!D$2)</f>
        <v>0</v>
      </c>
      <c r="E55">
        <f t="shared" si="7"/>
        <v>0</v>
      </c>
      <c r="F55" s="41" t="str">
        <f t="shared" si="3"/>
        <v/>
      </c>
      <c r="H55" t="str">
        <v>JPMorgan India Growth &amp; Income</v>
      </c>
      <c r="I55">
        <f>SUMIFS(Buybacks!H:H,Buybacks!D:D,Formulas!H55)</f>
        <v>-11.488200103830007</v>
      </c>
      <c r="J55" s="41" t="str">
        <f t="shared" si="4"/>
        <v/>
      </c>
      <c r="L55" t="str">
        <v>Scottish Mortgage</v>
      </c>
      <c r="M55">
        <f>SUMIFS('Corporate activity'!$H:$H,'Corporate activity'!$D:$D,Formulas!$L55,'Corporate activity'!$C:$C,Formulas!M$2)</f>
        <v>0</v>
      </c>
      <c r="N55">
        <f>SUMIFS('Corporate activity'!$H:$H,'Corporate activity'!$D:$D,Formulas!$L55,'Corporate activity'!$C:$C,Formulas!N$2)</f>
        <v>0</v>
      </c>
      <c r="O55">
        <f>SUMIFS('Corporate activity'!$H:$H,'Corporate activity'!$D:$D,Formulas!$L55,'Corporate activity'!$C:$C,Formulas!O$2)</f>
        <v>0</v>
      </c>
      <c r="P55">
        <f t="shared" si="5"/>
        <v>0</v>
      </c>
      <c r="Q55" t="str">
        <f t="shared" si="6"/>
        <v/>
      </c>
    </row>
    <row r="56" spans="2:17" x14ac:dyDescent="0.25">
      <c r="C56">
        <f>SUMIFS(Issuance!$H:$H,Issuance!$D:$D,Formulas!$B56,Issuance!$C:$C,Formulas!C$2)</f>
        <v>0</v>
      </c>
      <c r="D56">
        <f>SUMIFS(Issuance!$H:$H,Issuance!$D:$D,Formulas!$B56,Issuance!$C:$C,Formulas!D$2)</f>
        <v>0</v>
      </c>
      <c r="E56">
        <f t="shared" si="7"/>
        <v>0</v>
      </c>
      <c r="F56" s="41" t="str">
        <f t="shared" si="3"/>
        <v/>
      </c>
      <c r="H56" t="str">
        <v>JPMorgan Japanese</v>
      </c>
      <c r="I56">
        <f>SUMIFS(Buybacks!H:H,Buybacks!D:D,Formulas!H56)</f>
        <v>-61.268783500000005</v>
      </c>
      <c r="J56" s="41" t="str">
        <f t="shared" si="4"/>
        <v/>
      </c>
      <c r="L56" t="str">
        <v>Hydrogen Capital Growth</v>
      </c>
      <c r="M56">
        <f>SUMIFS('Corporate activity'!$H:$H,'Corporate activity'!$D:$D,Formulas!$L56,'Corporate activity'!$C:$C,Formulas!M$2)</f>
        <v>0</v>
      </c>
      <c r="N56">
        <f>SUMIFS('Corporate activity'!$H:$H,'Corporate activity'!$D:$D,Formulas!$L56,'Corporate activity'!$C:$C,Formulas!N$2)</f>
        <v>0</v>
      </c>
      <c r="O56">
        <f>SUMIFS('Corporate activity'!$H:$H,'Corporate activity'!$D:$D,Formulas!$L56,'Corporate activity'!$C:$C,Formulas!O$2)</f>
        <v>0</v>
      </c>
      <c r="P56">
        <f t="shared" si="5"/>
        <v>0</v>
      </c>
      <c r="Q56" t="str">
        <f t="shared" si="6"/>
        <v/>
      </c>
    </row>
    <row r="57" spans="2:17" x14ac:dyDescent="0.25">
      <c r="C57">
        <f>SUMIFS(Issuance!$H:$H,Issuance!$D:$D,Formulas!$B57,Issuance!$C:$C,Formulas!C$2)</f>
        <v>0</v>
      </c>
      <c r="D57">
        <f>SUMIFS(Issuance!$H:$H,Issuance!$D:$D,Formulas!$B57,Issuance!$C:$C,Formulas!D$2)</f>
        <v>0</v>
      </c>
      <c r="E57">
        <f t="shared" si="7"/>
        <v>0</v>
      </c>
      <c r="F57" s="41" t="str">
        <f t="shared" si="3"/>
        <v/>
      </c>
      <c r="H57" t="str">
        <v>JPMorgan US Smaller Companies</v>
      </c>
      <c r="I57">
        <f>SUMIFS(Buybacks!H:H,Buybacks!D:D,Formulas!H57)</f>
        <v>-19.967124345769999</v>
      </c>
      <c r="J57" s="41" t="str">
        <f t="shared" si="4"/>
        <v/>
      </c>
      <c r="L57" t="str">
        <v>Life Science REIT</v>
      </c>
      <c r="M57">
        <f>SUMIFS('Corporate activity'!$H:$H,'Corporate activity'!$D:$D,Formulas!$L57,'Corporate activity'!$C:$C,Formulas!M$2)</f>
        <v>0</v>
      </c>
      <c r="N57">
        <f>SUMIFS('Corporate activity'!$H:$H,'Corporate activity'!$D:$D,Formulas!$L57,'Corporate activity'!$C:$C,Formulas!N$2)</f>
        <v>0</v>
      </c>
      <c r="O57">
        <f>SUMIFS('Corporate activity'!$H:$H,'Corporate activity'!$D:$D,Formulas!$L57,'Corporate activity'!$C:$C,Formulas!O$2)</f>
        <v>0</v>
      </c>
      <c r="P57">
        <f t="shared" si="5"/>
        <v>0</v>
      </c>
      <c r="Q57" t="str">
        <f t="shared" si="6"/>
        <v/>
      </c>
    </row>
    <row r="58" spans="2:17" x14ac:dyDescent="0.25">
      <c r="C58">
        <f>SUMIFS(Issuance!$H:$H,Issuance!$D:$D,Formulas!$B58,Issuance!$C:$C,Formulas!C$2)</f>
        <v>0</v>
      </c>
      <c r="D58">
        <f>SUMIFS(Issuance!$H:$H,Issuance!$D:$D,Formulas!$B58,Issuance!$C:$C,Formulas!D$2)</f>
        <v>0</v>
      </c>
      <c r="E58">
        <f t="shared" si="7"/>
        <v>0</v>
      </c>
      <c r="F58" s="41" t="str">
        <f t="shared" si="3"/>
        <v/>
      </c>
      <c r="H58" t="str">
        <v>Mercantile Investment Trust</v>
      </c>
      <c r="I58">
        <f>SUMIFS(Buybacks!H:H,Buybacks!D:D,Formulas!H58)</f>
        <v>-145.38549672126001</v>
      </c>
      <c r="J58" s="41">
        <f t="shared" si="4"/>
        <v>6</v>
      </c>
      <c r="L58" t="str">
        <v>CVC Income &amp; Growth</v>
      </c>
      <c r="M58">
        <f>SUMIFS('Corporate activity'!$H:$H,'Corporate activity'!$D:$D,Formulas!$L58,'Corporate activity'!$C:$C,Formulas!M$2)</f>
        <v>-3.3264000000000002E-2</v>
      </c>
      <c r="N58">
        <f>SUMIFS('Corporate activity'!$H:$H,'Corporate activity'!$D:$D,Formulas!$L58,'Corporate activity'!$C:$C,Formulas!N$2)</f>
        <v>0</v>
      </c>
      <c r="O58">
        <f>SUMIFS('Corporate activity'!$H:$H,'Corporate activity'!$D:$D,Formulas!$L58,'Corporate activity'!$C:$C,Formulas!O$2)</f>
        <v>0</v>
      </c>
      <c r="P58">
        <f t="shared" si="5"/>
        <v>-3.3264000000000002E-2</v>
      </c>
      <c r="Q58" t="str">
        <f t="shared" si="6"/>
        <v/>
      </c>
    </row>
    <row r="59" spans="2:17" x14ac:dyDescent="0.25">
      <c r="C59">
        <f>SUMIFS(Issuance!$H:$H,Issuance!$D:$D,Formulas!$B59,Issuance!$C:$C,Formulas!C$2)</f>
        <v>0</v>
      </c>
      <c r="D59">
        <f>SUMIFS(Issuance!$H:$H,Issuance!$D:$D,Formulas!$B59,Issuance!$C:$C,Formulas!D$2)</f>
        <v>0</v>
      </c>
      <c r="E59">
        <f t="shared" si="7"/>
        <v>0</v>
      </c>
      <c r="F59" s="41" t="str">
        <f t="shared" si="3"/>
        <v/>
      </c>
      <c r="H59" t="str">
        <v>Mid Wynd International</v>
      </c>
      <c r="I59">
        <f>SUMIFS(Buybacks!H:H,Buybacks!D:D,Formulas!H59)</f>
        <v>-43.485890839999996</v>
      </c>
      <c r="J59" s="41" t="str">
        <f t="shared" si="4"/>
        <v/>
      </c>
      <c r="L59" t="str">
        <v>Tetragon Financial Group</v>
      </c>
      <c r="M59">
        <f>SUMIFS('Corporate activity'!$H:$H,'Corporate activity'!$D:$D,Formulas!$L59,'Corporate activity'!$C:$C,Formulas!M$2)</f>
        <v>-36.887999999999998</v>
      </c>
      <c r="N59">
        <f>SUMIFS('Corporate activity'!$H:$H,'Corporate activity'!$D:$D,Formulas!$L59,'Corporate activity'!$C:$C,Formulas!N$2)</f>
        <v>0</v>
      </c>
      <c r="O59">
        <f>SUMIFS('Corporate activity'!$H:$H,'Corporate activity'!$D:$D,Formulas!$L59,'Corporate activity'!$C:$C,Formulas!O$2)</f>
        <v>0</v>
      </c>
      <c r="P59">
        <f t="shared" si="5"/>
        <v>-36.887999999999998</v>
      </c>
      <c r="Q59">
        <f t="shared" si="6"/>
        <v>14</v>
      </c>
    </row>
    <row r="60" spans="2:17" x14ac:dyDescent="0.25">
      <c r="C60">
        <f>SUMIFS(Issuance!$H:$H,Issuance!$D:$D,Formulas!$B60,Issuance!$C:$C,Formulas!C$2)</f>
        <v>0</v>
      </c>
      <c r="D60">
        <f>SUMIFS(Issuance!$H:$H,Issuance!$D:$D,Formulas!$B60,Issuance!$C:$C,Formulas!D$2)</f>
        <v>0</v>
      </c>
      <c r="E60">
        <f t="shared" si="7"/>
        <v>0</v>
      </c>
      <c r="F60" s="41" t="str">
        <f t="shared" si="3"/>
        <v/>
      </c>
      <c r="H60" t="str">
        <v>MIGO Opportunities Trust</v>
      </c>
      <c r="I60">
        <f>SUMIFS(Buybacks!H:H,Buybacks!D:D,Formulas!H60)</f>
        <v>-2.0076496000000001</v>
      </c>
      <c r="J60" s="41" t="str">
        <f t="shared" si="4"/>
        <v/>
      </c>
      <c r="L60" t="str">
        <v>Home REIT</v>
      </c>
      <c r="M60">
        <f>SUMIFS('Corporate activity'!$H:$H,'Corporate activity'!$D:$D,Formulas!$L60,'Corporate activity'!$C:$C,Formulas!M$2)</f>
        <v>0</v>
      </c>
      <c r="N60">
        <f>SUMIFS('Corporate activity'!$H:$H,'Corporate activity'!$D:$D,Formulas!$L60,'Corporate activity'!$C:$C,Formulas!N$2)</f>
        <v>0</v>
      </c>
      <c r="O60">
        <f>SUMIFS('Corporate activity'!$H:$H,'Corporate activity'!$D:$D,Formulas!$L60,'Corporate activity'!$C:$C,Formulas!O$2)</f>
        <v>0</v>
      </c>
      <c r="P60">
        <f t="shared" si="5"/>
        <v>0</v>
      </c>
      <c r="Q60" t="str">
        <f t="shared" si="6"/>
        <v/>
      </c>
    </row>
    <row r="61" spans="2:17" x14ac:dyDescent="0.25">
      <c r="C61">
        <f>SUMIFS(Issuance!$H:$H,Issuance!$D:$D,Formulas!$B61,Issuance!$C:$C,Formulas!C$2)</f>
        <v>0</v>
      </c>
      <c r="D61">
        <f>SUMIFS(Issuance!$H:$H,Issuance!$D:$D,Formulas!$B61,Issuance!$C:$C,Formulas!D$2)</f>
        <v>0</v>
      </c>
      <c r="E61">
        <f t="shared" si="7"/>
        <v>0</v>
      </c>
      <c r="F61" s="41" t="str">
        <f t="shared" si="3"/>
        <v/>
      </c>
      <c r="H61" t="str">
        <v>Molten Ventures</v>
      </c>
      <c r="I61">
        <f>SUMIFS(Buybacks!H:H,Buybacks!D:D,Formulas!H61)</f>
        <v>-12.413618213820001</v>
      </c>
      <c r="J61" s="41" t="str">
        <f t="shared" si="4"/>
        <v/>
      </c>
      <c r="L61" t="str">
        <v>Biotech Growth Trust</v>
      </c>
      <c r="M61">
        <f>SUMIFS('Corporate activity'!$H:$H,'Corporate activity'!$D:$D,Formulas!$L61,'Corporate activity'!$C:$C,Formulas!M$2)</f>
        <v>0</v>
      </c>
      <c r="N61">
        <f>SUMIFS('Corporate activity'!$H:$H,'Corporate activity'!$D:$D,Formulas!$L61,'Corporate activity'!$C:$C,Formulas!N$2)</f>
        <v>0</v>
      </c>
      <c r="O61">
        <f>SUMIFS('Corporate activity'!$H:$H,'Corporate activity'!$D:$D,Formulas!$L61,'Corporate activity'!$C:$C,Formulas!O$2)</f>
        <v>0</v>
      </c>
      <c r="P61">
        <f t="shared" si="5"/>
        <v>0</v>
      </c>
      <c r="Q61" t="str">
        <f t="shared" si="6"/>
        <v/>
      </c>
    </row>
    <row r="62" spans="2:17" x14ac:dyDescent="0.25">
      <c r="C62">
        <f>SUMIFS(Issuance!$H:$H,Issuance!$D:$D,Formulas!$B62,Issuance!$C:$C,Formulas!C$2)</f>
        <v>0</v>
      </c>
      <c r="D62">
        <f>SUMIFS(Issuance!$H:$H,Issuance!$D:$D,Formulas!$B62,Issuance!$C:$C,Formulas!D$2)</f>
        <v>0</v>
      </c>
      <c r="E62">
        <f t="shared" si="7"/>
        <v>0</v>
      </c>
      <c r="F62" s="41" t="str">
        <f t="shared" si="3"/>
        <v/>
      </c>
      <c r="H62" t="str">
        <v>Monks</v>
      </c>
      <c r="I62">
        <f>SUMIFS(Buybacks!H:H,Buybacks!D:D,Formulas!H62)</f>
        <v>-156.71251750000005</v>
      </c>
      <c r="J62" s="41">
        <f t="shared" si="4"/>
        <v>5</v>
      </c>
      <c r="L62" t="str">
        <v>International Biotechnology</v>
      </c>
      <c r="M62">
        <f>SUMIFS('Corporate activity'!$H:$H,'Corporate activity'!$D:$D,Formulas!$L62,'Corporate activity'!$C:$C,Formulas!M$2)</f>
        <v>0</v>
      </c>
      <c r="N62">
        <f>SUMIFS('Corporate activity'!$H:$H,'Corporate activity'!$D:$D,Formulas!$L62,'Corporate activity'!$C:$C,Formulas!N$2)</f>
        <v>0</v>
      </c>
      <c r="O62">
        <f>SUMIFS('Corporate activity'!$H:$H,'Corporate activity'!$D:$D,Formulas!$L62,'Corporate activity'!$C:$C,Formulas!O$2)</f>
        <v>0</v>
      </c>
      <c r="P62">
        <f t="shared" si="5"/>
        <v>0</v>
      </c>
      <c r="Q62" t="str">
        <f t="shared" si="6"/>
        <v/>
      </c>
    </row>
    <row r="63" spans="2:17" x14ac:dyDescent="0.25">
      <c r="C63">
        <f>SUMIFS(Issuance!$H:$H,Issuance!$D:$D,Formulas!$B63,Issuance!$C:$C,Formulas!C$2)</f>
        <v>0</v>
      </c>
      <c r="D63">
        <f>SUMIFS(Issuance!$H:$H,Issuance!$D:$D,Formulas!$B63,Issuance!$C:$C,Formulas!D$2)</f>
        <v>0</v>
      </c>
      <c r="E63">
        <f t="shared" si="7"/>
        <v>0</v>
      </c>
      <c r="F63" s="41" t="str">
        <f t="shared" si="3"/>
        <v/>
      </c>
      <c r="H63" t="str">
        <v>Montanaro European Smaller Companies</v>
      </c>
      <c r="I63">
        <f>SUMIFS(Buybacks!H:H,Buybacks!D:D,Formulas!H63)</f>
        <v>-18.944425024059996</v>
      </c>
      <c r="J63" s="41" t="str">
        <f t="shared" si="4"/>
        <v/>
      </c>
      <c r="L63" t="str">
        <v>Polar Capital Global Healthcare</v>
      </c>
      <c r="M63">
        <f>SUMIFS('Corporate activity'!$H:$H,'Corporate activity'!$D:$D,Formulas!$L63,'Corporate activity'!$C:$C,Formulas!M$2)</f>
        <v>0</v>
      </c>
      <c r="N63">
        <f>SUMIFS('Corporate activity'!$H:$H,'Corporate activity'!$D:$D,Formulas!$L63,'Corporate activity'!$C:$C,Formulas!N$2)</f>
        <v>0</v>
      </c>
      <c r="O63">
        <f>SUMIFS('Corporate activity'!$H:$H,'Corporate activity'!$D:$D,Formulas!$L63,'Corporate activity'!$C:$C,Formulas!O$2)</f>
        <v>0</v>
      </c>
      <c r="P63">
        <f t="shared" si="5"/>
        <v>0</v>
      </c>
      <c r="Q63" t="str">
        <f t="shared" si="6"/>
        <v/>
      </c>
    </row>
    <row r="64" spans="2:17" x14ac:dyDescent="0.25">
      <c r="C64">
        <f>SUMIFS(Issuance!$H:$H,Issuance!$D:$D,Formulas!$B64,Issuance!$C:$C,Formulas!C$2)</f>
        <v>0</v>
      </c>
      <c r="D64">
        <f>SUMIFS(Issuance!$H:$H,Issuance!$D:$D,Formulas!$B64,Issuance!$C:$C,Formulas!D$2)</f>
        <v>0</v>
      </c>
      <c r="E64">
        <f t="shared" si="7"/>
        <v>0</v>
      </c>
      <c r="F64" s="41" t="str">
        <f t="shared" si="3"/>
        <v/>
      </c>
      <c r="H64" t="str">
        <v>Murray Income</v>
      </c>
      <c r="I64">
        <f>SUMIFS(Buybacks!H:H,Buybacks!D:D,Formulas!H64)</f>
        <v>-20.433484499999999</v>
      </c>
      <c r="J64" s="41" t="str">
        <f t="shared" si="4"/>
        <v/>
      </c>
      <c r="L64" t="str">
        <v>RTW Biotech Opportunities</v>
      </c>
      <c r="M64">
        <f>SUMIFS('Corporate activity'!$H:$H,'Corporate activity'!$D:$D,Formulas!$L64,'Corporate activity'!$C:$C,Formulas!M$2)</f>
        <v>0</v>
      </c>
      <c r="N64">
        <f>SUMIFS('Corporate activity'!$H:$H,'Corporate activity'!$D:$D,Formulas!$L64,'Corporate activity'!$C:$C,Formulas!N$2)</f>
        <v>0</v>
      </c>
      <c r="O64">
        <f>SUMIFS('Corporate activity'!$H:$H,'Corporate activity'!$D:$D,Formulas!$L64,'Corporate activity'!$C:$C,Formulas!O$2)</f>
        <v>0</v>
      </c>
      <c r="P64">
        <f t="shared" si="5"/>
        <v>0</v>
      </c>
      <c r="Q64" t="str">
        <f t="shared" si="6"/>
        <v/>
      </c>
    </row>
    <row r="65" spans="3:17" x14ac:dyDescent="0.25">
      <c r="C65">
        <f>SUMIFS(Issuance!$H:$H,Issuance!$D:$D,Formulas!$B65,Issuance!$C:$C,Formulas!C$2)</f>
        <v>0</v>
      </c>
      <c r="D65">
        <f>SUMIFS(Issuance!$H:$H,Issuance!$D:$D,Formulas!$B65,Issuance!$C:$C,Formulas!D$2)</f>
        <v>0</v>
      </c>
      <c r="E65">
        <f t="shared" si="7"/>
        <v>0</v>
      </c>
      <c r="F65" s="41" t="str">
        <f t="shared" si="3"/>
        <v/>
      </c>
      <c r="H65" t="str">
        <v>NB Private Equity Partners</v>
      </c>
      <c r="I65">
        <f>SUMIFS(Buybacks!H:H,Buybacks!D:D,Formulas!H65)</f>
        <v>-21.083789780000007</v>
      </c>
      <c r="J65" s="41" t="str">
        <f t="shared" si="4"/>
        <v/>
      </c>
      <c r="L65" t="str">
        <v>Worldwide Healthcare Trust</v>
      </c>
      <c r="M65">
        <f>SUMIFS('Corporate activity'!$H:$H,'Corporate activity'!$D:$D,Formulas!$L65,'Corporate activity'!$C:$C,Formulas!M$2)</f>
        <v>0</v>
      </c>
      <c r="N65">
        <f>SUMIFS('Corporate activity'!$H:$H,'Corporate activity'!$D:$D,Formulas!$L65,'Corporate activity'!$C:$C,Formulas!N$2)</f>
        <v>0</v>
      </c>
      <c r="O65">
        <f>SUMIFS('Corporate activity'!$H:$H,'Corporate activity'!$D:$D,Formulas!$L65,'Corporate activity'!$C:$C,Formulas!O$2)</f>
        <v>0</v>
      </c>
      <c r="P65">
        <f t="shared" si="5"/>
        <v>0</v>
      </c>
      <c r="Q65" t="str">
        <f t="shared" si="6"/>
        <v/>
      </c>
    </row>
    <row r="66" spans="3:17" x14ac:dyDescent="0.25">
      <c r="C66">
        <f>SUMIFS(Issuance!$H:$H,Issuance!$D:$D,Formulas!$B66,Issuance!$C:$C,Formulas!C$2)</f>
        <v>0</v>
      </c>
      <c r="D66">
        <f>SUMIFS(Issuance!$H:$H,Issuance!$D:$D,Formulas!$B66,Issuance!$C:$C,Formulas!D$2)</f>
        <v>0</v>
      </c>
      <c r="E66">
        <f t="shared" si="7"/>
        <v>0</v>
      </c>
      <c r="F66" s="41" t="str">
        <f t="shared" si="3"/>
        <v/>
      </c>
      <c r="H66" t="str">
        <v>North Atlantic Smaller Companies</v>
      </c>
      <c r="I66">
        <f>SUMIFS(Buybacks!H:H,Buybacks!D:D,Formulas!H66)</f>
        <v>-14.713116115</v>
      </c>
      <c r="J66" s="41" t="str">
        <f t="shared" si="4"/>
        <v/>
      </c>
      <c r="L66" t="str">
        <v>F&amp;C Investment Trust</v>
      </c>
      <c r="M66">
        <f>SUMIFS('Corporate activity'!$H:$H,'Corporate activity'!$D:$D,Formulas!$L66,'Corporate activity'!$C:$C,Formulas!M$2)</f>
        <v>0</v>
      </c>
      <c r="N66">
        <f>SUMIFS('Corporate activity'!$H:$H,'Corporate activity'!$D:$D,Formulas!$L66,'Corporate activity'!$C:$C,Formulas!N$2)</f>
        <v>0</v>
      </c>
      <c r="O66">
        <f>SUMIFS('Corporate activity'!$H:$H,'Corporate activity'!$D:$D,Formulas!$L66,'Corporate activity'!$C:$C,Formulas!O$2)</f>
        <v>0</v>
      </c>
      <c r="P66">
        <f t="shared" si="5"/>
        <v>0</v>
      </c>
      <c r="Q66" t="str">
        <f t="shared" si="6"/>
        <v/>
      </c>
    </row>
    <row r="67" spans="3:17" x14ac:dyDescent="0.25">
      <c r="C67">
        <f>SUMIFS(Issuance!$H:$H,Issuance!$D:$D,Formulas!$B67,Issuance!$C:$C,Formulas!C$2)</f>
        <v>0</v>
      </c>
      <c r="D67">
        <f>SUMIFS(Issuance!$H:$H,Issuance!$D:$D,Formulas!$B67,Issuance!$C:$C,Formulas!D$2)</f>
        <v>0</v>
      </c>
      <c r="E67">
        <f t="shared" si="7"/>
        <v>0</v>
      </c>
      <c r="F67" s="41" t="str">
        <f t="shared" si="3"/>
        <v/>
      </c>
      <c r="H67" t="str">
        <v>Oakley Capital Investments</v>
      </c>
      <c r="I67">
        <f>SUMIFS(Buybacks!H:H,Buybacks!D:D,Formulas!H67)</f>
        <v>-13.326732097999999</v>
      </c>
      <c r="J67" s="41" t="str">
        <f t="shared" si="4"/>
        <v/>
      </c>
      <c r="L67" t="str">
        <v>abrdn European Logistics Income</v>
      </c>
      <c r="M67">
        <f>SUMIFS('Corporate activity'!$H:$H,'Corporate activity'!$D:$D,Formulas!$L67,'Corporate activity'!$C:$C,Formulas!M$2)</f>
        <v>0</v>
      </c>
      <c r="N67">
        <f>SUMIFS('Corporate activity'!$H:$H,'Corporate activity'!$D:$D,Formulas!$L67,'Corporate activity'!$C:$C,Formulas!N$2)</f>
        <v>0</v>
      </c>
      <c r="O67">
        <f>SUMIFS('Corporate activity'!$H:$H,'Corporate activity'!$D:$D,Formulas!$L67,'Corporate activity'!$C:$C,Formulas!O$2)</f>
        <v>-16.5</v>
      </c>
      <c r="P67">
        <f t="shared" ref="P67:P90" si="8">SUM(M67:O67)</f>
        <v>-16.5</v>
      </c>
      <c r="Q67">
        <f t="shared" ref="Q67:Q90" si="9">IF(OR(L67="",L67=0,P67=0),"",IF(COUNTIFS($P$3:$P$500,"&lt;"&amp;P67,$P$3:$P$500,"&lt;&gt;0")+1&lt;=20,COUNTIFS($P$3:$P$500,"&lt;"&amp;P67,$P$3:$P$500,"&lt;&gt;0")+1,""))</f>
        <v>19</v>
      </c>
    </row>
    <row r="68" spans="3:17" x14ac:dyDescent="0.25">
      <c r="C68">
        <f>SUMIFS(Issuance!$H:$H,Issuance!$D:$D,Formulas!$B68,Issuance!$C:$C,Formulas!C$2)</f>
        <v>0</v>
      </c>
      <c r="D68">
        <f>SUMIFS(Issuance!$H:$H,Issuance!$D:$D,Formulas!$B68,Issuance!$C:$C,Formulas!D$2)</f>
        <v>0</v>
      </c>
      <c r="E68">
        <f t="shared" si="7"/>
        <v>0</v>
      </c>
      <c r="F68" s="41" t="str">
        <f t="shared" ref="F68:F131" si="10">IF(OR(B68="",B68=0,E68=0),"",IF(COUNTIFS($E$3:$E$500,"&gt;"&amp;E68,$E$3:$E$500,"&lt;&gt;0")+1&lt;=20,COUNTIFS($E$3:$E$500,"&gt;"&amp;E68,$E$3:$E$500,"&lt;&gt;0")+1,""))</f>
        <v/>
      </c>
      <c r="H68" t="str">
        <v>Pantheon International</v>
      </c>
      <c r="I68">
        <f>SUMIFS(Buybacks!H:H,Buybacks!D:D,Formulas!H68)</f>
        <v>-158.22094557417986</v>
      </c>
      <c r="J68" s="41">
        <f t="shared" ref="J68:J131" si="11">IF(OR(H68="",H68=0,I68=0),"",IF(COUNTIFS($I$3:$I$500,"&lt;"&amp;I68,$I$3:$I$500,"&lt;&gt;0")+1&lt;=20,COUNTIFS($I$3:$I$500,"&lt;"&amp;I68,$I$3:$I$500,"&lt;&gt;0")+1,""))</f>
        <v>4</v>
      </c>
      <c r="L68" t="str">
        <v>Ecofin US Renewables Infrastructure</v>
      </c>
      <c r="M68">
        <f>SUMIFS('Corporate activity'!$H:$H,'Corporate activity'!$D:$D,Formulas!$L68,'Corporate activity'!$C:$C,Formulas!M$2)</f>
        <v>0</v>
      </c>
      <c r="N68">
        <f>SUMIFS('Corporate activity'!$H:$H,'Corporate activity'!$D:$D,Formulas!$L68,'Corporate activity'!$C:$C,Formulas!N$2)</f>
        <v>0</v>
      </c>
      <c r="O68">
        <f>SUMIFS('Corporate activity'!$H:$H,'Corporate activity'!$D:$D,Formulas!$L68,'Corporate activity'!$C:$C,Formulas!O$2)</f>
        <v>-7.40239724</v>
      </c>
      <c r="P68">
        <f t="shared" si="8"/>
        <v>-7.40239724</v>
      </c>
      <c r="Q68" t="str">
        <f t="shared" si="9"/>
        <v/>
      </c>
    </row>
    <row r="69" spans="3:17" x14ac:dyDescent="0.25">
      <c r="C69">
        <f>SUMIFS(Issuance!$H:$H,Issuance!$D:$D,Formulas!$B69,Issuance!$C:$C,Formulas!C$2)</f>
        <v>0</v>
      </c>
      <c r="D69">
        <f>SUMIFS(Issuance!$H:$H,Issuance!$D:$D,Formulas!$B69,Issuance!$C:$C,Formulas!D$2)</f>
        <v>0</v>
      </c>
      <c r="E69">
        <f t="shared" si="7"/>
        <v>0</v>
      </c>
      <c r="F69" s="41" t="str">
        <f t="shared" si="10"/>
        <v/>
      </c>
      <c r="H69" t="str">
        <v>Partners Group Private Equity</v>
      </c>
      <c r="I69">
        <f>SUMIFS(Buybacks!H:H,Buybacks!D:D,Formulas!H69)</f>
        <v>-15.286362511092729</v>
      </c>
      <c r="J69" s="41" t="str">
        <f t="shared" si="11"/>
        <v/>
      </c>
      <c r="L69" t="str">
        <v>Augmentum Fintech</v>
      </c>
      <c r="M69">
        <f>SUMIFS('Corporate activity'!$H:$H,'Corporate activity'!$D:$D,Formulas!$L69,'Corporate activity'!$C:$C,Formulas!M$2)</f>
        <v>0</v>
      </c>
      <c r="N69">
        <f>SUMIFS('Corporate activity'!$H:$H,'Corporate activity'!$D:$D,Formulas!$L69,'Corporate activity'!$C:$C,Formulas!N$2)</f>
        <v>0</v>
      </c>
      <c r="O69">
        <f>SUMIFS('Corporate activity'!$H:$H,'Corporate activity'!$D:$D,Formulas!$L69,'Corporate activity'!$C:$C,Formulas!O$2)</f>
        <v>0</v>
      </c>
      <c r="P69">
        <f t="shared" si="8"/>
        <v>0</v>
      </c>
      <c r="Q69" t="str">
        <f t="shared" si="9"/>
        <v/>
      </c>
    </row>
    <row r="70" spans="3:17" x14ac:dyDescent="0.25">
      <c r="C70">
        <f>SUMIFS(Issuance!$H:$H,Issuance!$D:$D,Formulas!$B70,Issuance!$C:$C,Formulas!C$2)</f>
        <v>0</v>
      </c>
      <c r="D70">
        <f>SUMIFS(Issuance!$H:$H,Issuance!$D:$D,Formulas!$B70,Issuance!$C:$C,Formulas!D$2)</f>
        <v>0</v>
      </c>
      <c r="E70">
        <f t="shared" si="7"/>
        <v>0</v>
      </c>
      <c r="F70" s="41" t="str">
        <f t="shared" si="10"/>
        <v/>
      </c>
      <c r="H70" t="str">
        <v>Patria Private Equity Trust</v>
      </c>
      <c r="I70">
        <f>SUMIFS(Buybacks!H:H,Buybacks!D:D,Formulas!H70)</f>
        <v>-14.408690140000006</v>
      </c>
      <c r="J70" s="41" t="str">
        <f t="shared" si="11"/>
        <v/>
      </c>
      <c r="L70" t="str">
        <v>HICL Infrastructure</v>
      </c>
      <c r="M70">
        <f>SUMIFS('Corporate activity'!$H:$H,'Corporate activity'!$D:$D,Formulas!$L70,'Corporate activity'!$C:$C,Formulas!M$2)</f>
        <v>0</v>
      </c>
      <c r="N70">
        <f>SUMIFS('Corporate activity'!$H:$H,'Corporate activity'!$D:$D,Formulas!$L70,'Corporate activity'!$C:$C,Formulas!N$2)</f>
        <v>0</v>
      </c>
      <c r="O70">
        <f>SUMIFS('Corporate activity'!$H:$H,'Corporate activity'!$D:$D,Formulas!$L70,'Corporate activity'!$C:$C,Formulas!O$2)</f>
        <v>0</v>
      </c>
      <c r="P70">
        <f t="shared" si="8"/>
        <v>0</v>
      </c>
      <c r="Q70" t="str">
        <f t="shared" si="9"/>
        <v/>
      </c>
    </row>
    <row r="71" spans="3:17" x14ac:dyDescent="0.25">
      <c r="C71">
        <f>SUMIFS(Issuance!$H:$H,Issuance!$D:$D,Formulas!$B71,Issuance!$C:$C,Formulas!C$2)</f>
        <v>0</v>
      </c>
      <c r="D71">
        <f>SUMIFS(Issuance!$H:$H,Issuance!$D:$D,Formulas!$B71,Issuance!$C:$C,Formulas!D$2)</f>
        <v>0</v>
      </c>
      <c r="E71">
        <f t="shared" si="7"/>
        <v>0</v>
      </c>
      <c r="F71" s="41" t="str">
        <f t="shared" si="10"/>
        <v/>
      </c>
      <c r="H71" t="str">
        <v>Pershing Square Holdings</v>
      </c>
      <c r="I71">
        <f>SUMIFS(Buybacks!H:H,Buybacks!D:D,Formulas!H71)</f>
        <v>-95.952900638300008</v>
      </c>
      <c r="J71" s="41">
        <f t="shared" si="11"/>
        <v>13</v>
      </c>
      <c r="L71" t="str">
        <v>Mid Wynd International</v>
      </c>
      <c r="M71">
        <f>SUMIFS('Corporate activity'!$H:$H,'Corporate activity'!$D:$D,Formulas!$L71,'Corporate activity'!$C:$C,Formulas!M$2)</f>
        <v>0</v>
      </c>
      <c r="N71">
        <f>SUMIFS('Corporate activity'!$H:$H,'Corporate activity'!$D:$D,Formulas!$L71,'Corporate activity'!$C:$C,Formulas!N$2)</f>
        <v>0</v>
      </c>
      <c r="O71">
        <f>SUMIFS('Corporate activity'!$H:$H,'Corporate activity'!$D:$D,Formulas!$L71,'Corporate activity'!$C:$C,Formulas!O$2)</f>
        <v>0</v>
      </c>
      <c r="P71">
        <f t="shared" si="8"/>
        <v>0</v>
      </c>
      <c r="Q71" t="str">
        <f t="shared" si="9"/>
        <v/>
      </c>
    </row>
    <row r="72" spans="3:17" x14ac:dyDescent="0.25">
      <c r="C72">
        <f>SUMIFS(Issuance!$H:$H,Issuance!$D:$D,Formulas!$B72,Issuance!$C:$C,Formulas!C$2)</f>
        <v>0</v>
      </c>
      <c r="D72">
        <f>SUMIFS(Issuance!$H:$H,Issuance!$D:$D,Formulas!$B72,Issuance!$C:$C,Formulas!D$2)</f>
        <v>0</v>
      </c>
      <c r="E72">
        <f t="shared" si="7"/>
        <v>0</v>
      </c>
      <c r="F72" s="41" t="str">
        <f t="shared" si="10"/>
        <v/>
      </c>
      <c r="H72" t="str">
        <v>Polar Capital Technology</v>
      </c>
      <c r="I72">
        <f>SUMIFS(Buybacks!H:H,Buybacks!D:D,Formulas!H72)</f>
        <v>-75.047679539500024</v>
      </c>
      <c r="J72" s="41">
        <f t="shared" si="11"/>
        <v>19</v>
      </c>
      <c r="L72" t="str">
        <v>Renewables Infrastructure Group</v>
      </c>
      <c r="M72">
        <f>SUMIFS('Corporate activity'!$H:$H,'Corporate activity'!$D:$D,Formulas!$L72,'Corporate activity'!$C:$C,Formulas!M$2)</f>
        <v>0</v>
      </c>
      <c r="N72">
        <f>SUMIFS('Corporate activity'!$H:$H,'Corporate activity'!$D:$D,Formulas!$L72,'Corporate activity'!$C:$C,Formulas!N$2)</f>
        <v>0</v>
      </c>
      <c r="O72">
        <f>SUMIFS('Corporate activity'!$H:$H,'Corporate activity'!$D:$D,Formulas!$L72,'Corporate activity'!$C:$C,Formulas!O$2)</f>
        <v>0</v>
      </c>
      <c r="P72">
        <f t="shared" si="8"/>
        <v>0</v>
      </c>
      <c r="Q72" t="str">
        <f t="shared" si="9"/>
        <v/>
      </c>
    </row>
    <row r="73" spans="3:17" x14ac:dyDescent="0.25">
      <c r="C73">
        <f>SUMIFS(Issuance!$H:$H,Issuance!$D:$D,Formulas!$B73,Issuance!$C:$C,Formulas!C$2)</f>
        <v>0</v>
      </c>
      <c r="D73">
        <f>SUMIFS(Issuance!$H:$H,Issuance!$D:$D,Formulas!$B73,Issuance!$C:$C,Formulas!D$2)</f>
        <v>0</v>
      </c>
      <c r="E73">
        <f t="shared" si="7"/>
        <v>0</v>
      </c>
      <c r="F73" s="41" t="str">
        <f t="shared" si="10"/>
        <v/>
      </c>
      <c r="H73" t="str">
        <v>Renewables Infrastructure Group</v>
      </c>
      <c r="I73">
        <f>SUMIFS(Buybacks!H:H,Buybacks!D:D,Formulas!H73)</f>
        <v>-42.785210652800011</v>
      </c>
      <c r="J73" s="41" t="str">
        <f t="shared" si="11"/>
        <v/>
      </c>
      <c r="L73" t="str">
        <v>Bailiwick Investments</v>
      </c>
      <c r="M73">
        <f>SUMIFS('Corporate activity'!$H:$H,'Corporate activity'!$D:$D,Formulas!$L73,'Corporate activity'!$C:$C,Formulas!M$2)</f>
        <v>0</v>
      </c>
      <c r="N73">
        <f>SUMIFS('Corporate activity'!$H:$H,'Corporate activity'!$D:$D,Formulas!$L73,'Corporate activity'!$C:$C,Formulas!N$2)</f>
        <v>0</v>
      </c>
      <c r="O73">
        <f>SUMIFS('Corporate activity'!$H:$H,'Corporate activity'!$D:$D,Formulas!$L73,'Corporate activity'!$C:$C,Formulas!O$2)</f>
        <v>0</v>
      </c>
      <c r="P73">
        <f t="shared" si="8"/>
        <v>0</v>
      </c>
      <c r="Q73" t="str">
        <f t="shared" si="9"/>
        <v/>
      </c>
    </row>
    <row r="74" spans="3:17" x14ac:dyDescent="0.25">
      <c r="C74">
        <f>SUMIFS(Issuance!$H:$H,Issuance!$D:$D,Formulas!$B74,Issuance!$C:$C,Formulas!C$2)</f>
        <v>0</v>
      </c>
      <c r="D74">
        <f>SUMIFS(Issuance!$H:$H,Issuance!$D:$D,Formulas!$B74,Issuance!$C:$C,Formulas!D$2)</f>
        <v>0</v>
      </c>
      <c r="E74">
        <f t="shared" si="7"/>
        <v>0</v>
      </c>
      <c r="F74" s="41" t="str">
        <f t="shared" si="10"/>
        <v/>
      </c>
      <c r="H74" t="str">
        <v>RIT Capital Partners</v>
      </c>
      <c r="I74">
        <f>SUMIFS(Buybacks!H:H,Buybacks!D:D,Formulas!H74)</f>
        <v>-60.063994259999994</v>
      </c>
      <c r="J74" s="41" t="str">
        <f t="shared" si="11"/>
        <v/>
      </c>
      <c r="L74" t="str">
        <v>Impax Environmental Markets</v>
      </c>
      <c r="M74">
        <f>SUMIFS('Corporate activity'!$H:$H,'Corporate activity'!$D:$D,Formulas!$L74,'Corporate activity'!$C:$C,Formulas!M$2)</f>
        <v>-733.24779730417504</v>
      </c>
      <c r="N74">
        <f>SUMIFS('Corporate activity'!$H:$H,'Corporate activity'!$D:$D,Formulas!$L74,'Corporate activity'!$C:$C,Formulas!N$2)</f>
        <v>0</v>
      </c>
      <c r="O74">
        <f>SUMIFS('Corporate activity'!$H:$H,'Corporate activity'!$D:$D,Formulas!$L74,'Corporate activity'!$C:$C,Formulas!O$2)</f>
        <v>0</v>
      </c>
      <c r="P74">
        <f t="shared" si="8"/>
        <v>-733.24779730417504</v>
      </c>
      <c r="Q74">
        <f t="shared" si="9"/>
        <v>2</v>
      </c>
    </row>
    <row r="75" spans="3:17" x14ac:dyDescent="0.25">
      <c r="C75">
        <f>SUMIFS(Issuance!$H:$H,Issuance!$D:$D,Formulas!$B75,Issuance!$C:$C,Formulas!C$2)</f>
        <v>0</v>
      </c>
      <c r="D75">
        <f>SUMIFS(Issuance!$H:$H,Issuance!$D:$D,Formulas!$B75,Issuance!$C:$C,Formulas!D$2)</f>
        <v>0</v>
      </c>
      <c r="E75">
        <f t="shared" si="7"/>
        <v>0</v>
      </c>
      <c r="F75" s="41" t="str">
        <f t="shared" si="10"/>
        <v/>
      </c>
      <c r="H75" t="str">
        <v>River UK Micro Cap</v>
      </c>
      <c r="I75">
        <f>SUMIFS(Buybacks!H:H,Buybacks!D:D,Formulas!H75)</f>
        <v>-2.4719305800000009</v>
      </c>
      <c r="J75" s="41" t="str">
        <f t="shared" si="11"/>
        <v/>
      </c>
      <c r="L75" t="str">
        <v>RM Infrastructure Income</v>
      </c>
      <c r="M75">
        <f>SUMIFS('Corporate activity'!$H:$H,'Corporate activity'!$D:$D,Formulas!$L75,'Corporate activity'!$C:$C,Formulas!M$2)</f>
        <v>-12.379</v>
      </c>
      <c r="N75">
        <f>SUMIFS('Corporate activity'!$H:$H,'Corporate activity'!$D:$D,Formulas!$L75,'Corporate activity'!$C:$C,Formulas!N$2)</f>
        <v>0</v>
      </c>
      <c r="O75">
        <f>SUMIFS('Corporate activity'!$H:$H,'Corporate activity'!$D:$D,Formulas!$L75,'Corporate activity'!$C:$C,Formulas!O$2)</f>
        <v>0</v>
      </c>
      <c r="P75">
        <f t="shared" si="8"/>
        <v>-12.379</v>
      </c>
      <c r="Q75">
        <f t="shared" si="9"/>
        <v>20</v>
      </c>
    </row>
    <row r="76" spans="3:17" x14ac:dyDescent="0.25">
      <c r="C76">
        <f>SUMIFS(Issuance!$H:$H,Issuance!$D:$D,Formulas!$B76,Issuance!$C:$C,Formulas!C$2)</f>
        <v>0</v>
      </c>
      <c r="D76">
        <f>SUMIFS(Issuance!$H:$H,Issuance!$D:$D,Formulas!$B76,Issuance!$C:$C,Formulas!D$2)</f>
        <v>0</v>
      </c>
      <c r="E76">
        <f t="shared" si="7"/>
        <v>0</v>
      </c>
      <c r="F76" s="41" t="str">
        <f t="shared" si="10"/>
        <v/>
      </c>
      <c r="H76" t="str">
        <v>Ruffer Investment Company</v>
      </c>
      <c r="I76">
        <f>SUMIFS(Buybacks!H:H,Buybacks!D:D,Formulas!H76)</f>
        <v>-7.6399882999999988</v>
      </c>
      <c r="J76" s="41" t="str">
        <f t="shared" si="11"/>
        <v/>
      </c>
      <c r="L76" t="str">
        <v>Diverse Income Trust</v>
      </c>
      <c r="M76">
        <f>SUMIFS('Corporate activity'!$H:$H,'Corporate activity'!$D:$D,Formulas!$L76,'Corporate activity'!$C:$C,Formulas!M$2)</f>
        <v>0</v>
      </c>
      <c r="N76">
        <f>SUMIFS('Corporate activity'!$H:$H,'Corporate activity'!$D:$D,Formulas!$L76,'Corporate activity'!$C:$C,Formulas!N$2)</f>
        <v>0</v>
      </c>
      <c r="O76">
        <f>SUMIFS('Corporate activity'!$H:$H,'Corporate activity'!$D:$D,Formulas!$L76,'Corporate activity'!$C:$C,Formulas!O$2)</f>
        <v>0</v>
      </c>
      <c r="P76">
        <f t="shared" si="8"/>
        <v>0</v>
      </c>
      <c r="Q76" t="str">
        <f t="shared" si="9"/>
        <v/>
      </c>
    </row>
    <row r="77" spans="3:17" x14ac:dyDescent="0.25">
      <c r="C77">
        <f>SUMIFS(Issuance!$H:$H,Issuance!$D:$D,Formulas!$B77,Issuance!$C:$C,Formulas!C$2)</f>
        <v>0</v>
      </c>
      <c r="D77">
        <f>SUMIFS(Issuance!$H:$H,Issuance!$D:$D,Formulas!$B77,Issuance!$C:$C,Formulas!D$2)</f>
        <v>0</v>
      </c>
      <c r="E77">
        <f t="shared" si="7"/>
        <v>0</v>
      </c>
      <c r="F77" s="41" t="str">
        <f t="shared" si="10"/>
        <v/>
      </c>
      <c r="H77" t="str">
        <v>Schroder AsiaPacific Fund</v>
      </c>
      <c r="I77">
        <f>SUMIFS(Buybacks!H:H,Buybacks!D:D,Formulas!H77)</f>
        <v>-43.954446177850002</v>
      </c>
      <c r="J77" s="41" t="str">
        <f t="shared" si="11"/>
        <v/>
      </c>
      <c r="L77" t="str">
        <v>Investment Company</v>
      </c>
      <c r="M77">
        <f>SUMIFS('Corporate activity'!$H:$H,'Corporate activity'!$D:$D,Formulas!$L77,'Corporate activity'!$C:$C,Formulas!M$2)</f>
        <v>-4.029401</v>
      </c>
      <c r="N77">
        <f>SUMIFS('Corporate activity'!$H:$H,'Corporate activity'!$D:$D,Formulas!$L77,'Corporate activity'!$C:$C,Formulas!N$2)</f>
        <v>0</v>
      </c>
      <c r="O77">
        <f>SUMIFS('Corporate activity'!$H:$H,'Corporate activity'!$D:$D,Formulas!$L77,'Corporate activity'!$C:$C,Formulas!O$2)</f>
        <v>0</v>
      </c>
      <c r="P77">
        <f t="shared" si="8"/>
        <v>-4.029401</v>
      </c>
      <c r="Q77" t="str">
        <f t="shared" si="9"/>
        <v/>
      </c>
    </row>
    <row r="78" spans="3:17" x14ac:dyDescent="0.25">
      <c r="C78">
        <f>SUMIFS(Issuance!$H:$H,Issuance!$D:$D,Formulas!$B78,Issuance!$C:$C,Formulas!C$2)</f>
        <v>0</v>
      </c>
      <c r="D78">
        <f>SUMIFS(Issuance!$H:$H,Issuance!$D:$D,Formulas!$B78,Issuance!$C:$C,Formulas!D$2)</f>
        <v>0</v>
      </c>
      <c r="E78">
        <f t="shared" si="7"/>
        <v>0</v>
      </c>
      <c r="F78" s="41" t="str">
        <f t="shared" si="10"/>
        <v/>
      </c>
      <c r="H78" t="str">
        <v>Schroder BSC Social Impact</v>
      </c>
      <c r="I78">
        <f>SUMIFS(Buybacks!H:H,Buybacks!D:D,Formulas!H78)</f>
        <v>-0.75276399859999998</v>
      </c>
      <c r="J78" s="41" t="str">
        <f t="shared" si="11"/>
        <v/>
      </c>
      <c r="L78" t="str">
        <v>GCP Asset Backed Income</v>
      </c>
      <c r="M78">
        <f>SUMIFS('Corporate activity'!$H:$H,'Corporate activity'!$D:$D,Formulas!$L78,'Corporate activity'!$C:$C,Formulas!M$2)</f>
        <v>0</v>
      </c>
      <c r="N78">
        <f>SUMIFS('Corporate activity'!$H:$H,'Corporate activity'!$D:$D,Formulas!$L78,'Corporate activity'!$C:$C,Formulas!N$2)</f>
        <v>-44.999564499999998</v>
      </c>
      <c r="O78">
        <f>SUMIFS('Corporate activity'!$H:$H,'Corporate activity'!$D:$D,Formulas!$L78,'Corporate activity'!$C:$C,Formulas!O$2)</f>
        <v>0</v>
      </c>
      <c r="P78">
        <f t="shared" si="8"/>
        <v>-44.999564499999998</v>
      </c>
      <c r="Q78">
        <f t="shared" si="9"/>
        <v>10</v>
      </c>
    </row>
    <row r="79" spans="3:17" x14ac:dyDescent="0.25">
      <c r="C79">
        <f>SUMIFS(Issuance!$H:$H,Issuance!$D:$D,Formulas!$B79,Issuance!$C:$C,Formulas!C$2)</f>
        <v>0</v>
      </c>
      <c r="D79">
        <f>SUMIFS(Issuance!$H:$H,Issuance!$D:$D,Formulas!$B79,Issuance!$C:$C,Formulas!D$2)</f>
        <v>0</v>
      </c>
      <c r="E79">
        <f t="shared" si="7"/>
        <v>0</v>
      </c>
      <c r="F79" s="41" t="str">
        <f t="shared" si="10"/>
        <v/>
      </c>
      <c r="H79" t="str">
        <v>Schroder Income Growth Fund</v>
      </c>
      <c r="I79">
        <f>SUMIFS(Buybacks!H:H,Buybacks!D:D,Formulas!H79)</f>
        <v>-8.3520029544799979</v>
      </c>
      <c r="J79" s="41" t="str">
        <f t="shared" si="11"/>
        <v/>
      </c>
      <c r="L79" t="str">
        <v>Phoenix Spree Deutschland</v>
      </c>
      <c r="M79">
        <f>SUMIFS('Corporate activity'!$H:$H,'Corporate activity'!$D:$D,Formulas!$L79,'Corporate activity'!$C:$C,Formulas!M$2)</f>
        <v>0</v>
      </c>
      <c r="N79">
        <f>SUMIFS('Corporate activity'!$H:$H,'Corporate activity'!$D:$D,Formulas!$L79,'Corporate activity'!$C:$C,Formulas!N$2)</f>
        <v>-17.500001280000003</v>
      </c>
      <c r="O79">
        <f>SUMIFS('Corporate activity'!$H:$H,'Corporate activity'!$D:$D,Formulas!$L79,'Corporate activity'!$C:$C,Formulas!O$2)</f>
        <v>0</v>
      </c>
      <c r="P79">
        <f t="shared" si="8"/>
        <v>-17.500001280000003</v>
      </c>
      <c r="Q79">
        <f t="shared" si="9"/>
        <v>18</v>
      </c>
    </row>
    <row r="80" spans="3:17" x14ac:dyDescent="0.25">
      <c r="C80">
        <f>SUMIFS(Issuance!$H:$H,Issuance!$D:$D,Formulas!$B80,Issuance!$C:$C,Formulas!C$2)</f>
        <v>0</v>
      </c>
      <c r="D80">
        <f>SUMIFS(Issuance!$H:$H,Issuance!$D:$D,Formulas!$B80,Issuance!$C:$C,Formulas!D$2)</f>
        <v>0</v>
      </c>
      <c r="E80">
        <f t="shared" si="7"/>
        <v>0</v>
      </c>
      <c r="F80" s="41" t="str">
        <f t="shared" si="10"/>
        <v/>
      </c>
      <c r="H80" t="str">
        <v>Schroder UK Mid Cap Fund</v>
      </c>
      <c r="I80">
        <f>SUMIFS(Buybacks!H:H,Buybacks!D:D,Formulas!H80)</f>
        <v>-6.4388486950000008</v>
      </c>
      <c r="J80" s="41" t="str">
        <f t="shared" si="11"/>
        <v/>
      </c>
      <c r="L80" t="str">
        <v>Amedeo Air Four Plus</v>
      </c>
      <c r="M80">
        <f>SUMIFS('Corporate activity'!$H:$H,'Corporate activity'!$D:$D,Formulas!$L80,'Corporate activity'!$C:$C,Formulas!M$2)</f>
        <v>0</v>
      </c>
      <c r="N80">
        <f>SUMIFS('Corporate activity'!$H:$H,'Corporate activity'!$D:$D,Formulas!$L80,'Corporate activity'!$C:$C,Formulas!N$2)</f>
        <v>0</v>
      </c>
      <c r="O80">
        <f>SUMIFS('Corporate activity'!$H:$H,'Corporate activity'!$D:$D,Formulas!$L80,'Corporate activity'!$C:$C,Formulas!O$2)</f>
        <v>0</v>
      </c>
      <c r="P80">
        <f t="shared" si="8"/>
        <v>0</v>
      </c>
      <c r="Q80" t="str">
        <f t="shared" si="9"/>
        <v/>
      </c>
    </row>
    <row r="81" spans="3:17" x14ac:dyDescent="0.25">
      <c r="C81">
        <f>SUMIFS(Issuance!$H:$H,Issuance!$D:$D,Formulas!$B81,Issuance!$C:$C,Formulas!C$2)</f>
        <v>0</v>
      </c>
      <c r="D81">
        <f>SUMIFS(Issuance!$H:$H,Issuance!$D:$D,Formulas!$B81,Issuance!$C:$C,Formulas!D$2)</f>
        <v>0</v>
      </c>
      <c r="E81">
        <f t="shared" si="7"/>
        <v>0</v>
      </c>
      <c r="F81" s="41" t="str">
        <f t="shared" si="10"/>
        <v/>
      </c>
      <c r="H81" t="str">
        <v>Scottish American</v>
      </c>
      <c r="I81">
        <f>SUMIFS(Buybacks!H:H,Buybacks!D:D,Formulas!H81)</f>
        <v>-96.787293683499996</v>
      </c>
      <c r="J81" s="41">
        <f t="shared" si="11"/>
        <v>12</v>
      </c>
      <c r="L81" t="str">
        <v>Baillie Gifford UK Growth</v>
      </c>
      <c r="M81">
        <f>SUMIFS('Corporate activity'!$H:$H,'Corporate activity'!$D:$D,Formulas!$L81,'Corporate activity'!$C:$C,Formulas!M$2)</f>
        <v>0</v>
      </c>
      <c r="N81">
        <f>SUMIFS('Corporate activity'!$H:$H,'Corporate activity'!$D:$D,Formulas!$L81,'Corporate activity'!$C:$C,Formulas!N$2)</f>
        <v>0</v>
      </c>
      <c r="O81">
        <f>SUMIFS('Corporate activity'!$H:$H,'Corporate activity'!$D:$D,Formulas!$L81,'Corporate activity'!$C:$C,Formulas!O$2)</f>
        <v>0</v>
      </c>
      <c r="P81">
        <f t="shared" si="8"/>
        <v>0</v>
      </c>
      <c r="Q81" t="str">
        <f t="shared" si="9"/>
        <v/>
      </c>
    </row>
    <row r="82" spans="3:17" x14ac:dyDescent="0.25">
      <c r="C82">
        <f>SUMIFS(Issuance!$H:$H,Issuance!$D:$D,Formulas!$B82,Issuance!$C:$C,Formulas!C$2)</f>
        <v>0</v>
      </c>
      <c r="D82">
        <f>SUMIFS(Issuance!$H:$H,Issuance!$D:$D,Formulas!$B82,Issuance!$C:$C,Formulas!D$2)</f>
        <v>0</v>
      </c>
      <c r="E82">
        <f t="shared" si="7"/>
        <v>0</v>
      </c>
      <c r="F82" s="41" t="str">
        <f t="shared" si="10"/>
        <v/>
      </c>
      <c r="H82" t="str">
        <v>Scottish Mortgage</v>
      </c>
      <c r="I82">
        <f>SUMIFS(Buybacks!H:H,Buybacks!D:D,Formulas!H82)</f>
        <v>-796.68847593759961</v>
      </c>
      <c r="J82" s="41">
        <f t="shared" si="11"/>
        <v>1</v>
      </c>
      <c r="L82" t="str">
        <v>ICG Enterprise Trust</v>
      </c>
      <c r="M82">
        <f>SUMIFS('Corporate activity'!$H:$H,'Corporate activity'!$D:$D,Formulas!$L82,'Corporate activity'!$C:$C,Formulas!M$2)</f>
        <v>0</v>
      </c>
      <c r="N82">
        <f>SUMIFS('Corporate activity'!$H:$H,'Corporate activity'!$D:$D,Formulas!$L82,'Corporate activity'!$C:$C,Formulas!N$2)</f>
        <v>0</v>
      </c>
      <c r="O82">
        <f>SUMIFS('Corporate activity'!$H:$H,'Corporate activity'!$D:$D,Formulas!$L82,'Corporate activity'!$C:$C,Formulas!O$2)</f>
        <v>0</v>
      </c>
      <c r="P82">
        <f t="shared" si="8"/>
        <v>0</v>
      </c>
      <c r="Q82" t="str">
        <f t="shared" si="9"/>
        <v/>
      </c>
    </row>
    <row r="83" spans="3:17" x14ac:dyDescent="0.25">
      <c r="C83">
        <f>SUMIFS(Issuance!$H:$H,Issuance!$D:$D,Formulas!$B83,Issuance!$C:$C,Formulas!C$2)</f>
        <v>0</v>
      </c>
      <c r="D83">
        <f>SUMIFS(Issuance!$H:$H,Issuance!$D:$D,Formulas!$B83,Issuance!$C:$C,Formulas!D$2)</f>
        <v>0</v>
      </c>
      <c r="E83">
        <f t="shared" si="7"/>
        <v>0</v>
      </c>
      <c r="F83" s="41" t="str">
        <f t="shared" si="10"/>
        <v/>
      </c>
      <c r="H83" t="str">
        <v>Scottish Oriental Smaller Companies</v>
      </c>
      <c r="I83">
        <f>SUMIFS(Buybacks!H:H,Buybacks!D:D,Formulas!H83)</f>
        <v>-5.6423573500000019</v>
      </c>
      <c r="J83" s="41" t="str">
        <f t="shared" si="11"/>
        <v/>
      </c>
      <c r="L83" t="str">
        <v>Templeton Emerging Markets</v>
      </c>
      <c r="M83">
        <f>SUMIFS('Corporate activity'!$H:$H,'Corporate activity'!$D:$D,Formulas!$L83,'Corporate activity'!$C:$C,Formulas!M$2)</f>
        <v>0</v>
      </c>
      <c r="N83">
        <f>SUMIFS('Corporate activity'!$H:$H,'Corporate activity'!$D:$D,Formulas!$L83,'Corporate activity'!$C:$C,Formulas!N$2)</f>
        <v>0</v>
      </c>
      <c r="O83">
        <f>SUMIFS('Corporate activity'!$H:$H,'Corporate activity'!$D:$D,Formulas!$L83,'Corporate activity'!$C:$C,Formulas!O$2)</f>
        <v>0</v>
      </c>
      <c r="P83">
        <f t="shared" si="8"/>
        <v>0</v>
      </c>
      <c r="Q83" t="str">
        <f t="shared" si="9"/>
        <v/>
      </c>
    </row>
    <row r="84" spans="3:17" x14ac:dyDescent="0.25">
      <c r="C84">
        <f>SUMIFS(Issuance!$H:$H,Issuance!$D:$D,Formulas!$B84,Issuance!$C:$C,Formulas!C$2)</f>
        <v>0</v>
      </c>
      <c r="D84">
        <f>SUMIFS(Issuance!$H:$H,Issuance!$D:$D,Formulas!$B84,Issuance!$C:$C,Formulas!D$2)</f>
        <v>0</v>
      </c>
      <c r="E84">
        <f t="shared" si="7"/>
        <v>0</v>
      </c>
      <c r="F84" s="41" t="str">
        <f t="shared" si="10"/>
        <v/>
      </c>
      <c r="H84" t="str">
        <v>Sequoia Economic Infrastructure Income</v>
      </c>
      <c r="I84">
        <f>SUMIFS(Buybacks!H:H,Buybacks!D:D,Formulas!H84)</f>
        <v>-20.849833888599996</v>
      </c>
      <c r="J84" s="41" t="str">
        <f t="shared" si="11"/>
        <v/>
      </c>
      <c r="L84" t="str">
        <v>VinaCapital Vietnam Opportunity</v>
      </c>
      <c r="M84">
        <f>SUMIFS('Corporate activity'!$H:$H,'Corporate activity'!$D:$D,Formulas!$L84,'Corporate activity'!$C:$C,Formulas!M$2)</f>
        <v>0</v>
      </c>
      <c r="N84">
        <f>SUMIFS('Corporate activity'!$H:$H,'Corporate activity'!$D:$D,Formulas!$L84,'Corporate activity'!$C:$C,Formulas!N$2)</f>
        <v>0</v>
      </c>
      <c r="O84">
        <f>SUMIFS('Corporate activity'!$H:$H,'Corporate activity'!$D:$D,Formulas!$L84,'Corporate activity'!$C:$C,Formulas!O$2)</f>
        <v>0</v>
      </c>
      <c r="P84">
        <f t="shared" si="8"/>
        <v>0</v>
      </c>
      <c r="Q84" t="str">
        <f t="shared" si="9"/>
        <v/>
      </c>
    </row>
    <row r="85" spans="3:17" x14ac:dyDescent="0.25">
      <c r="C85">
        <f>SUMIFS(Issuance!$H:$H,Issuance!$D:$D,Formulas!$B85,Issuance!$C:$C,Formulas!C$2)</f>
        <v>0</v>
      </c>
      <c r="D85">
        <f>SUMIFS(Issuance!$H:$H,Issuance!$D:$D,Formulas!$B85,Issuance!$C:$C,Formulas!D$2)</f>
        <v>0</v>
      </c>
      <c r="E85">
        <f t="shared" si="7"/>
        <v>0</v>
      </c>
      <c r="F85" s="41" t="str">
        <f t="shared" si="10"/>
        <v/>
      </c>
      <c r="H85" t="str">
        <v>Strategic Equity Capital</v>
      </c>
      <c r="I85">
        <f>SUMIFS(Buybacks!H:H,Buybacks!D:D,Formulas!H85)</f>
        <v>-5.45153555</v>
      </c>
      <c r="J85" s="41" t="str">
        <f t="shared" si="11"/>
        <v/>
      </c>
      <c r="L85" t="str">
        <v>India Capital Growth</v>
      </c>
      <c r="M85">
        <f>SUMIFS('Corporate activity'!$H:$H,'Corporate activity'!$D:$D,Formulas!$L85,'Corporate activity'!$C:$C,Formulas!M$2)</f>
        <v>0</v>
      </c>
      <c r="N85">
        <f>SUMIFS('Corporate activity'!$H:$H,'Corporate activity'!$D:$D,Formulas!$L85,'Corporate activity'!$C:$C,Formulas!N$2)</f>
        <v>0</v>
      </c>
      <c r="O85">
        <f>SUMIFS('Corporate activity'!$H:$H,'Corporate activity'!$D:$D,Formulas!$L85,'Corporate activity'!$C:$C,Formulas!O$2)</f>
        <v>0</v>
      </c>
      <c r="P85">
        <f t="shared" si="8"/>
        <v>0</v>
      </c>
      <c r="Q85" t="str">
        <f t="shared" si="9"/>
        <v/>
      </c>
    </row>
    <row r="86" spans="3:17" x14ac:dyDescent="0.25">
      <c r="C86">
        <f>SUMIFS(Issuance!$H:$H,Issuance!$D:$D,Formulas!$B86,Issuance!$C:$C,Formulas!C$2)</f>
        <v>0</v>
      </c>
      <c r="D86">
        <f>SUMIFS(Issuance!$H:$H,Issuance!$D:$D,Formulas!$B86,Issuance!$C:$C,Formulas!D$2)</f>
        <v>0</v>
      </c>
      <c r="E86">
        <f t="shared" si="7"/>
        <v>0</v>
      </c>
      <c r="F86" s="41" t="str">
        <f t="shared" si="10"/>
        <v/>
      </c>
      <c r="H86" t="str">
        <v>STS Global Income &amp; Growth Trust</v>
      </c>
      <c r="I86">
        <f>SUMIFS(Buybacks!H:H,Buybacks!D:D,Formulas!H86)</f>
        <v>-16.183298999999998</v>
      </c>
      <c r="J86" s="41" t="str">
        <f t="shared" si="11"/>
        <v/>
      </c>
      <c r="L86" t="str">
        <v>River UK Micro Cap</v>
      </c>
      <c r="M86">
        <f>SUMIFS('Corporate activity'!$H:$H,'Corporate activity'!$D:$D,Formulas!$L86,'Corporate activity'!$C:$C,Formulas!M$2)</f>
        <v>0</v>
      </c>
      <c r="N86">
        <f>SUMIFS('Corporate activity'!$H:$H,'Corporate activity'!$D:$D,Formulas!$L86,'Corporate activity'!$C:$C,Formulas!N$2)</f>
        <v>0</v>
      </c>
      <c r="O86">
        <f>SUMIFS('Corporate activity'!$H:$H,'Corporate activity'!$D:$D,Formulas!$L86,'Corporate activity'!$C:$C,Formulas!O$2)</f>
        <v>0</v>
      </c>
      <c r="P86">
        <f t="shared" si="8"/>
        <v>0</v>
      </c>
      <c r="Q86" t="str">
        <f t="shared" si="9"/>
        <v/>
      </c>
    </row>
    <row r="87" spans="3:17" x14ac:dyDescent="0.25">
      <c r="C87">
        <f>SUMIFS(Issuance!$H:$H,Issuance!$D:$D,Formulas!$B87,Issuance!$C:$C,Formulas!C$2)</f>
        <v>0</v>
      </c>
      <c r="D87">
        <f>SUMIFS(Issuance!$H:$H,Issuance!$D:$D,Formulas!$B87,Issuance!$C:$C,Formulas!D$2)</f>
        <v>0</v>
      </c>
      <c r="E87">
        <f t="shared" si="7"/>
        <v>0</v>
      </c>
      <c r="F87" s="41" t="str">
        <f t="shared" si="10"/>
        <v/>
      </c>
      <c r="H87" t="str">
        <v>Templeton Emerging Markets</v>
      </c>
      <c r="I87">
        <f>SUMIFS(Buybacks!H:H,Buybacks!D:D,Formulas!H87)</f>
        <v>-111.29840623509997</v>
      </c>
      <c r="J87" s="41">
        <f t="shared" si="11"/>
        <v>9</v>
      </c>
      <c r="L87" t="str">
        <v>NB Private Equity Partners</v>
      </c>
      <c r="M87">
        <f>SUMIFS('Corporate activity'!$H:$H,'Corporate activity'!$D:$D,Formulas!$L87,'Corporate activity'!$C:$C,Formulas!M$2)</f>
        <v>0</v>
      </c>
      <c r="N87">
        <f>SUMIFS('Corporate activity'!$H:$H,'Corporate activity'!$D:$D,Formulas!$L87,'Corporate activity'!$C:$C,Formulas!N$2)</f>
        <v>0</v>
      </c>
      <c r="O87">
        <f>SUMIFS('Corporate activity'!$H:$H,'Corporate activity'!$D:$D,Formulas!$L87,'Corporate activity'!$C:$C,Formulas!O$2)</f>
        <v>0</v>
      </c>
      <c r="P87">
        <f t="shared" si="8"/>
        <v>0</v>
      </c>
      <c r="Q87" t="str">
        <f t="shared" si="9"/>
        <v/>
      </c>
    </row>
    <row r="88" spans="3:17" x14ac:dyDescent="0.25">
      <c r="C88">
        <f>SUMIFS(Issuance!$H:$H,Issuance!$D:$D,Formulas!$B88,Issuance!$C:$C,Formulas!C$2)</f>
        <v>0</v>
      </c>
      <c r="D88">
        <f>SUMIFS(Issuance!$H:$H,Issuance!$D:$D,Formulas!$B88,Issuance!$C:$C,Formulas!D$2)</f>
        <v>0</v>
      </c>
      <c r="E88">
        <f t="shared" si="7"/>
        <v>0</v>
      </c>
      <c r="F88" s="41" t="str">
        <f t="shared" si="10"/>
        <v/>
      </c>
      <c r="H88" t="str">
        <v>The European Smaller Companies Trust</v>
      </c>
      <c r="I88">
        <f>SUMIFS(Buybacks!H:H,Buybacks!D:D,Formulas!H88)</f>
        <v>-24.347726566649996</v>
      </c>
      <c r="J88" s="41" t="str">
        <f t="shared" si="11"/>
        <v/>
      </c>
      <c r="L88" t="str">
        <v>Social Housing REIT</v>
      </c>
      <c r="M88">
        <f>SUMIFS('Corporate activity'!$H:$H,'Corporate activity'!$D:$D,Formulas!$L88,'Corporate activity'!$C:$C,Formulas!M$2)</f>
        <v>0</v>
      </c>
      <c r="N88">
        <f>SUMIFS('Corporate activity'!$H:$H,'Corporate activity'!$D:$D,Formulas!$L88,'Corporate activity'!$C:$C,Formulas!N$2)</f>
        <v>0</v>
      </c>
      <c r="O88">
        <f>SUMIFS('Corporate activity'!$H:$H,'Corporate activity'!$D:$D,Formulas!$L88,'Corporate activity'!$C:$C,Formulas!O$2)</f>
        <v>0</v>
      </c>
      <c r="P88">
        <f t="shared" si="8"/>
        <v>0</v>
      </c>
      <c r="Q88" t="str">
        <f t="shared" si="9"/>
        <v/>
      </c>
    </row>
    <row r="89" spans="3:17" x14ac:dyDescent="0.25">
      <c r="C89">
        <f>SUMIFS(Issuance!$H:$H,Issuance!$D:$D,Formulas!$B89,Issuance!$C:$C,Formulas!C$2)</f>
        <v>0</v>
      </c>
      <c r="D89">
        <f>SUMIFS(Issuance!$H:$H,Issuance!$D:$D,Formulas!$B89,Issuance!$C:$C,Formulas!D$2)</f>
        <v>0</v>
      </c>
      <c r="E89">
        <f t="shared" si="7"/>
        <v>0</v>
      </c>
      <c r="F89" s="41" t="str">
        <f t="shared" si="10"/>
        <v/>
      </c>
      <c r="H89" t="str">
        <v>The Global Smaller Companies Trust</v>
      </c>
      <c r="I89">
        <f>SUMIFS(Buybacks!H:H,Buybacks!D:D,Formulas!H89)</f>
        <v>-23.938525009999999</v>
      </c>
      <c r="J89" s="41" t="str">
        <f t="shared" si="11"/>
        <v/>
      </c>
      <c r="L89" t="str">
        <v>Living REIT</v>
      </c>
      <c r="M89">
        <f>SUMIFS('Corporate activity'!$H:$H,'Corporate activity'!$D:$D,Formulas!$L89,'Corporate activity'!$C:$C,Formulas!M$2)</f>
        <v>0</v>
      </c>
      <c r="N89">
        <f>SUMIFS('Corporate activity'!$H:$H,'Corporate activity'!$D:$D,Formulas!$L89,'Corporate activity'!$C:$C,Formulas!N$2)</f>
        <v>0</v>
      </c>
      <c r="O89">
        <f>SUMIFS('Corporate activity'!$H:$H,'Corporate activity'!$D:$D,Formulas!$L89,'Corporate activity'!$C:$C,Formulas!O$2)</f>
        <v>0</v>
      </c>
      <c r="P89">
        <f t="shared" si="8"/>
        <v>0</v>
      </c>
      <c r="Q89" t="str">
        <f t="shared" si="9"/>
        <v/>
      </c>
    </row>
    <row r="90" spans="3:17" x14ac:dyDescent="0.25">
      <c r="C90">
        <f>SUMIFS(Issuance!$H:$H,Issuance!$D:$D,Formulas!$B90,Issuance!$C:$C,Formulas!C$2)</f>
        <v>0</v>
      </c>
      <c r="D90">
        <f>SUMIFS(Issuance!$H:$H,Issuance!$D:$D,Formulas!$B90,Issuance!$C:$C,Formulas!D$2)</f>
        <v>0</v>
      </c>
      <c r="E90">
        <f t="shared" si="7"/>
        <v>0</v>
      </c>
      <c r="F90" s="41" t="str">
        <f t="shared" si="10"/>
        <v/>
      </c>
      <c r="H90" t="str">
        <v>Utilico Emerging Markets Trust</v>
      </c>
      <c r="I90">
        <f>SUMIFS(Buybacks!H:H,Buybacks!D:D,Formulas!H90)</f>
        <v>-15.339277599999996</v>
      </c>
      <c r="J90" s="41" t="str">
        <f t="shared" si="11"/>
        <v/>
      </c>
      <c r="L90" t="str">
        <v>Neuberger Private Equity Partners</v>
      </c>
      <c r="M90">
        <f>SUMIFS('Corporate activity'!$H:$H,'Corporate activity'!$D:$D,Formulas!$L90,'Corporate activity'!$C:$C,Formulas!M$2)</f>
        <v>0</v>
      </c>
      <c r="N90">
        <f>SUMIFS('Corporate activity'!$H:$H,'Corporate activity'!$D:$D,Formulas!$L90,'Corporate activity'!$C:$C,Formulas!N$2)</f>
        <v>0</v>
      </c>
      <c r="O90">
        <f>SUMIFS('Corporate activity'!$H:$H,'Corporate activity'!$D:$D,Formulas!$L90,'Corporate activity'!$C:$C,Formulas!O$2)</f>
        <v>0</v>
      </c>
      <c r="P90">
        <f t="shared" si="8"/>
        <v>0</v>
      </c>
      <c r="Q90" t="str">
        <f t="shared" si="9"/>
        <v/>
      </c>
    </row>
    <row r="91" spans="3:17" x14ac:dyDescent="0.25">
      <c r="C91">
        <f>SUMIFS(Issuance!$H:$H,Issuance!$D:$D,Formulas!$B91,Issuance!$C:$C,Formulas!C$2)</f>
        <v>0</v>
      </c>
      <c r="D91">
        <f>SUMIFS(Issuance!$H:$H,Issuance!$D:$D,Formulas!$B91,Issuance!$C:$C,Formulas!D$2)</f>
        <v>0</v>
      </c>
      <c r="E91">
        <f t="shared" si="7"/>
        <v>0</v>
      </c>
      <c r="F91" s="41" t="str">
        <f t="shared" si="10"/>
        <v/>
      </c>
      <c r="H91" t="str">
        <v>Vietnam Enterprise Investments</v>
      </c>
      <c r="I91">
        <f>SUMIFS(Buybacks!H:H,Buybacks!D:D,Formulas!H91)</f>
        <v>-57.575685945399997</v>
      </c>
      <c r="J91" s="41" t="str">
        <f t="shared" si="11"/>
        <v/>
      </c>
      <c r="L91" t="str">
        <v>BlackRock Latin American</v>
      </c>
      <c r="M91">
        <f>SUMIFS('Corporate activity'!$H:$H,'Corporate activity'!$D:$D,Formulas!$L91,'Corporate activity'!$C:$C,Formulas!M$2)</f>
        <v>-32.590349000000003</v>
      </c>
      <c r="N91">
        <f>SUMIFS('Corporate activity'!$H:$H,'Corporate activity'!$D:$D,Formulas!$L91,'Corporate activity'!$C:$C,Formulas!N$2)</f>
        <v>0</v>
      </c>
      <c r="O91">
        <f>SUMIFS('Corporate activity'!$H:$H,'Corporate activity'!$D:$D,Formulas!$L91,'Corporate activity'!$C:$C,Formulas!O$2)</f>
        <v>0</v>
      </c>
      <c r="P91">
        <f t="shared" ref="P91:P114" si="12">SUM(M91:O91)</f>
        <v>-32.590349000000003</v>
      </c>
      <c r="Q91">
        <f t="shared" ref="Q91:Q154" si="13">IF(OR(L91="",L91=0,P91=0),"",IF(COUNTIFS($P$3:$P$500,"&lt;"&amp;P91,$P$3:$P$500,"&lt;&gt;0")+1&lt;=20,COUNTIFS($P$3:$P$500,"&lt;"&amp;P91,$P$3:$P$500,"&lt;&gt;0")+1,""))</f>
        <v>15</v>
      </c>
    </row>
    <row r="92" spans="3:17" x14ac:dyDescent="0.25">
      <c r="C92">
        <f>SUMIFS(Issuance!$H:$H,Issuance!$D:$D,Formulas!$B92,Issuance!$C:$C,Formulas!C$2)</f>
        <v>0</v>
      </c>
      <c r="D92">
        <f>SUMIFS(Issuance!$H:$H,Issuance!$D:$D,Formulas!$B92,Issuance!$C:$C,Formulas!D$2)</f>
        <v>0</v>
      </c>
      <c r="E92">
        <f t="shared" si="7"/>
        <v>0</v>
      </c>
      <c r="F92" s="41" t="str">
        <f t="shared" si="10"/>
        <v/>
      </c>
      <c r="H92" t="str">
        <v>VietNam Holding</v>
      </c>
      <c r="I92">
        <f>SUMIFS(Buybacks!H:H,Buybacks!D:D,Formulas!H92)</f>
        <v>-2.5627527522999998</v>
      </c>
      <c r="J92" s="41" t="str">
        <f t="shared" si="11"/>
        <v/>
      </c>
      <c r="L92" t="str">
        <v>Capital Gearing Trust</v>
      </c>
      <c r="M92">
        <f>SUMIFS('Corporate activity'!$H:$H,'Corporate activity'!$D:$D,Formulas!$L92,'Corporate activity'!$C:$C,Formulas!M$2)</f>
        <v>0</v>
      </c>
      <c r="N92">
        <f>SUMIFS('Corporate activity'!$H:$H,'Corporate activity'!$D:$D,Formulas!$L92,'Corporate activity'!$C:$C,Formulas!N$2)</f>
        <v>0</v>
      </c>
      <c r="O92">
        <f>SUMIFS('Corporate activity'!$H:$H,'Corporate activity'!$D:$D,Formulas!$L92,'Corporate activity'!$C:$C,Formulas!O$2)</f>
        <v>0</v>
      </c>
      <c r="P92">
        <f t="shared" si="12"/>
        <v>0</v>
      </c>
      <c r="Q92" t="str">
        <f t="shared" si="13"/>
        <v/>
      </c>
    </row>
    <row r="93" spans="3:17" x14ac:dyDescent="0.25">
      <c r="C93">
        <f>SUMIFS(Issuance!$H:$H,Issuance!$D:$D,Formulas!$B93,Issuance!$C:$C,Formulas!C$2)</f>
        <v>0</v>
      </c>
      <c r="D93">
        <f>SUMIFS(Issuance!$H:$H,Issuance!$D:$D,Formulas!$B93,Issuance!$C:$C,Formulas!D$2)</f>
        <v>0</v>
      </c>
      <c r="E93">
        <f t="shared" si="7"/>
        <v>0</v>
      </c>
      <c r="F93" s="41" t="str">
        <f t="shared" si="10"/>
        <v/>
      </c>
      <c r="H93" t="str">
        <v>VinaCapital Vietnam Opportunity</v>
      </c>
      <c r="I93">
        <f>SUMIFS(Buybacks!H:H,Buybacks!D:D,Formulas!H93)</f>
        <v>-35.247555490340012</v>
      </c>
      <c r="J93" s="41" t="str">
        <f t="shared" si="11"/>
        <v/>
      </c>
      <c r="L93" t="str">
        <v>Bluefield Solar Income Fund</v>
      </c>
      <c r="M93">
        <f>SUMIFS('Corporate activity'!$H:$H,'Corporate activity'!$D:$D,Formulas!$L93,'Corporate activity'!$C:$C,Formulas!M$2)</f>
        <v>0</v>
      </c>
      <c r="N93">
        <f>SUMIFS('Corporate activity'!$H:$H,'Corporate activity'!$D:$D,Formulas!$L93,'Corporate activity'!$C:$C,Formulas!N$2)</f>
        <v>0</v>
      </c>
      <c r="O93">
        <f>SUMIFS('Corporate activity'!$H:$H,'Corporate activity'!$D:$D,Formulas!$L93,'Corporate activity'!$C:$C,Formulas!O$2)</f>
        <v>0</v>
      </c>
      <c r="P93">
        <f t="shared" si="12"/>
        <v>0</v>
      </c>
      <c r="Q93" t="str">
        <f t="shared" si="13"/>
        <v/>
      </c>
    </row>
    <row r="94" spans="3:17" x14ac:dyDescent="0.25">
      <c r="C94">
        <f>SUMIFS(Issuance!$H:$H,Issuance!$D:$D,Formulas!$B94,Issuance!$C:$C,Formulas!C$2)</f>
        <v>0</v>
      </c>
      <c r="D94">
        <f>SUMIFS(Issuance!$H:$H,Issuance!$D:$D,Formulas!$B94,Issuance!$C:$C,Formulas!D$2)</f>
        <v>0</v>
      </c>
      <c r="E94">
        <f t="shared" si="7"/>
        <v>0</v>
      </c>
      <c r="F94" s="41" t="str">
        <f t="shared" si="10"/>
        <v/>
      </c>
      <c r="H94" t="str">
        <v>Worldwide Healthcare Trust</v>
      </c>
      <c r="I94">
        <f>SUMIFS(Buybacks!H:H,Buybacks!D:D,Formulas!H94)</f>
        <v>-103.18444629829997</v>
      </c>
      <c r="J94" s="41">
        <f t="shared" si="11"/>
        <v>10</v>
      </c>
      <c r="L94" t="str">
        <v>Aberforth Smaller Companies</v>
      </c>
      <c r="M94">
        <f>SUMIFS('Corporate activity'!$H:$H,'Corporate activity'!$D:$D,Formulas!$L94,'Corporate activity'!$C:$C,Formulas!M$2)</f>
        <v>0</v>
      </c>
      <c r="N94">
        <f>SUMIFS('Corporate activity'!$H:$H,'Corporate activity'!$D:$D,Formulas!$L94,'Corporate activity'!$C:$C,Formulas!N$2)</f>
        <v>0</v>
      </c>
      <c r="O94">
        <f>SUMIFS('Corporate activity'!$H:$H,'Corporate activity'!$D:$D,Formulas!$L94,'Corporate activity'!$C:$C,Formulas!O$2)</f>
        <v>0</v>
      </c>
      <c r="P94">
        <f t="shared" si="12"/>
        <v>0</v>
      </c>
      <c r="Q94" t="str">
        <f t="shared" si="13"/>
        <v/>
      </c>
    </row>
    <row r="95" spans="3:17" x14ac:dyDescent="0.25">
      <c r="C95">
        <f>SUMIFS(Issuance!$H:$H,Issuance!$D:$D,Formulas!$B95,Issuance!$C:$C,Formulas!C$2)</f>
        <v>0</v>
      </c>
      <c r="D95">
        <f>SUMIFS(Issuance!$H:$H,Issuance!$D:$D,Formulas!$B95,Issuance!$C:$C,Formulas!D$2)</f>
        <v>0</v>
      </c>
      <c r="E95">
        <f t="shared" si="7"/>
        <v>0</v>
      </c>
      <c r="F95" s="41" t="str">
        <f t="shared" si="10"/>
        <v/>
      </c>
      <c r="H95" t="str">
        <v>Aurora UK Alpha</v>
      </c>
      <c r="I95">
        <f>SUMIFS(Buybacks!H:H,Buybacks!D:D,Formulas!H95)</f>
        <v>-6.8448143241399997</v>
      </c>
      <c r="J95" s="41" t="str">
        <f t="shared" si="11"/>
        <v/>
      </c>
      <c r="L95" t="str">
        <v>SDCL Efficiency Income</v>
      </c>
      <c r="M95">
        <f>SUMIFS('Corporate activity'!$H:$H,'Corporate activity'!$D:$D,Formulas!$L95,'Corporate activity'!$C:$C,Formulas!M$2)</f>
        <v>0</v>
      </c>
      <c r="N95">
        <f>SUMIFS('Corporate activity'!$H:$H,'Corporate activity'!$D:$D,Formulas!$L95,'Corporate activity'!$C:$C,Formulas!N$2)</f>
        <v>0</v>
      </c>
      <c r="O95">
        <f>SUMIFS('Corporate activity'!$H:$H,'Corporate activity'!$D:$D,Formulas!$L95,'Corporate activity'!$C:$C,Formulas!O$2)</f>
        <v>0</v>
      </c>
      <c r="P95">
        <f t="shared" si="12"/>
        <v>0</v>
      </c>
      <c r="Q95" t="str">
        <f t="shared" si="13"/>
        <v/>
      </c>
    </row>
    <row r="96" spans="3:17" x14ac:dyDescent="0.25">
      <c r="C96">
        <f>SUMIFS(Issuance!$H:$H,Issuance!$D:$D,Formulas!$B96,Issuance!$C:$C,Formulas!C$2)</f>
        <v>0</v>
      </c>
      <c r="D96">
        <f>SUMIFS(Issuance!$H:$H,Issuance!$D:$D,Formulas!$B96,Issuance!$C:$C,Formulas!D$2)</f>
        <v>0</v>
      </c>
      <c r="E96">
        <f t="shared" si="7"/>
        <v>0</v>
      </c>
      <c r="F96" s="41" t="str">
        <f t="shared" si="10"/>
        <v/>
      </c>
      <c r="H96" t="str">
        <v>Baker Steel Resources Trust</v>
      </c>
      <c r="I96">
        <f>SUMIFS(Buybacks!H:H,Buybacks!D:D,Formulas!H96)</f>
        <v>-1.4250597012399999</v>
      </c>
      <c r="J96" s="41" t="str">
        <f t="shared" si="11"/>
        <v/>
      </c>
      <c r="L96" t="str">
        <v>Herald Investment Trust</v>
      </c>
      <c r="M96">
        <f>SUMIFS('Corporate activity'!$H:$H,'Corporate activity'!$D:$D,Formulas!$L96,'Corporate activity'!$C:$C,Formulas!M$2)</f>
        <v>-957.358473</v>
      </c>
      <c r="N96">
        <f>SUMIFS('Corporate activity'!$H:$H,'Corporate activity'!$D:$D,Formulas!$L96,'Corporate activity'!$C:$C,Formulas!N$2)</f>
        <v>0</v>
      </c>
      <c r="O96">
        <f>SUMIFS('Corporate activity'!$H:$H,'Corporate activity'!$D:$D,Formulas!$L96,'Corporate activity'!$C:$C,Formulas!O$2)</f>
        <v>0</v>
      </c>
      <c r="P96">
        <f t="shared" si="12"/>
        <v>-957.358473</v>
      </c>
      <c r="Q96">
        <f t="shared" si="13"/>
        <v>1</v>
      </c>
    </row>
    <row r="97" spans="3:17" x14ac:dyDescent="0.25">
      <c r="C97">
        <f>SUMIFS(Issuance!$H:$H,Issuance!$D:$D,Formulas!$B97,Issuance!$C:$C,Formulas!C$2)</f>
        <v>0</v>
      </c>
      <c r="D97">
        <f>SUMIFS(Issuance!$H:$H,Issuance!$D:$D,Formulas!$B97,Issuance!$C:$C,Formulas!D$2)</f>
        <v>0</v>
      </c>
      <c r="E97">
        <f t="shared" si="7"/>
        <v>0</v>
      </c>
      <c r="F97" s="41" t="str">
        <f t="shared" si="10"/>
        <v/>
      </c>
      <c r="H97" t="str">
        <v>CT UK Capital &amp; Income</v>
      </c>
      <c r="I97">
        <f>SUMIFS(Buybacks!H:H,Buybacks!D:D,Formulas!H97)</f>
        <v>-4.9996999999999989</v>
      </c>
      <c r="J97" s="41" t="str">
        <f t="shared" si="11"/>
        <v/>
      </c>
      <c r="L97" t="str">
        <v>Montanaro European Smaller Companies</v>
      </c>
      <c r="M97">
        <f>SUMIFS('Corporate activity'!$H:$H,'Corporate activity'!$D:$D,Formulas!$L97,'Corporate activity'!$C:$C,Formulas!M$2)</f>
        <v>-11.035931</v>
      </c>
      <c r="N97">
        <f>SUMIFS('Corporate activity'!$H:$H,'Corporate activity'!$D:$D,Formulas!$L97,'Corporate activity'!$C:$C,Formulas!N$2)</f>
        <v>0</v>
      </c>
      <c r="O97">
        <f>SUMIFS('Corporate activity'!$H:$H,'Corporate activity'!$D:$D,Formulas!$L97,'Corporate activity'!$C:$C,Formulas!O$2)</f>
        <v>0</v>
      </c>
      <c r="P97">
        <f t="shared" si="12"/>
        <v>-11.035931</v>
      </c>
      <c r="Q97" t="str">
        <f t="shared" si="13"/>
        <v/>
      </c>
    </row>
    <row r="98" spans="3:17" x14ac:dyDescent="0.25">
      <c r="C98">
        <f>SUMIFS(Issuance!$H:$H,Issuance!$D:$D,Formulas!$B98,Issuance!$C:$C,Formulas!C$2)</f>
        <v>0</v>
      </c>
      <c r="D98">
        <f>SUMIFS(Issuance!$H:$H,Issuance!$D:$D,Formulas!$B98,Issuance!$C:$C,Formulas!D$2)</f>
        <v>0</v>
      </c>
      <c r="E98">
        <f t="shared" si="7"/>
        <v>0</v>
      </c>
      <c r="F98" s="41" t="str">
        <f t="shared" si="10"/>
        <v/>
      </c>
      <c r="H98" t="str">
        <v>HgCapital Trust</v>
      </c>
      <c r="I98">
        <f>SUMIFS(Buybacks!H:H,Buybacks!D:D,Formulas!H98)</f>
        <v>-19.195817857919998</v>
      </c>
      <c r="J98" s="41" t="str">
        <f t="shared" si="11"/>
        <v/>
      </c>
      <c r="L98" t="str">
        <v>RIT Capital Partners</v>
      </c>
      <c r="M98">
        <f>SUMIFS('Corporate activity'!$H:$H,'Corporate activity'!$D:$D,Formulas!$L98,'Corporate activity'!$C:$C,Formulas!M$2)</f>
        <v>-299.99999484000006</v>
      </c>
      <c r="N98">
        <f>SUMIFS('Corporate activity'!$H:$H,'Corporate activity'!$D:$D,Formulas!$L98,'Corporate activity'!$C:$C,Formulas!N$2)</f>
        <v>0</v>
      </c>
      <c r="O98">
        <f>SUMIFS('Corporate activity'!$H:$H,'Corporate activity'!$D:$D,Formulas!$L98,'Corporate activity'!$C:$C,Formulas!O$2)</f>
        <v>0</v>
      </c>
      <c r="P98">
        <f t="shared" si="12"/>
        <v>-299.99999484000006</v>
      </c>
      <c r="Q98">
        <f t="shared" si="13"/>
        <v>3</v>
      </c>
    </row>
    <row r="99" spans="3:17" x14ac:dyDescent="0.25">
      <c r="C99">
        <f>SUMIFS(Issuance!$H:$H,Issuance!$D:$D,Formulas!$B99,Issuance!$C:$C,Formulas!C$2)</f>
        <v>0</v>
      </c>
      <c r="D99">
        <f>SUMIFS(Issuance!$H:$H,Issuance!$D:$D,Formulas!$B99,Issuance!$C:$C,Formulas!D$2)</f>
        <v>0</v>
      </c>
      <c r="E99">
        <f t="shared" si="7"/>
        <v>0</v>
      </c>
      <c r="F99" s="41" t="str">
        <f t="shared" si="10"/>
        <v/>
      </c>
      <c r="H99" t="str">
        <v>HICL Infrastructure</v>
      </c>
      <c r="I99">
        <f>SUMIFS(Buybacks!H:H,Buybacks!D:D,Formulas!H99)</f>
        <v>-53.119732972430015</v>
      </c>
      <c r="J99" s="41" t="str">
        <f t="shared" si="11"/>
        <v/>
      </c>
      <c r="L99" t="str">
        <v>Ceiba Investments</v>
      </c>
      <c r="M99">
        <f>SUMIFS('Corporate activity'!$H:$H,'Corporate activity'!$D:$D,Formulas!$L99,'Corporate activity'!$C:$C,Formulas!M$2)</f>
        <v>0</v>
      </c>
      <c r="N99">
        <f>SUMIFS('Corporate activity'!$H:$H,'Corporate activity'!$D:$D,Formulas!$L99,'Corporate activity'!$C:$C,Formulas!N$2)</f>
        <v>0</v>
      </c>
      <c r="O99">
        <f>SUMIFS('Corporate activity'!$H:$H,'Corporate activity'!$D:$D,Formulas!$L99,'Corporate activity'!$C:$C,Formulas!O$2)</f>
        <v>0</v>
      </c>
      <c r="P99">
        <f t="shared" si="12"/>
        <v>0</v>
      </c>
      <c r="Q99" t="str">
        <f t="shared" si="13"/>
        <v/>
      </c>
    </row>
    <row r="100" spans="3:17" x14ac:dyDescent="0.25">
      <c r="C100">
        <f>SUMIFS(Issuance!$H:$H,Issuance!$D:$D,Formulas!$B100,Issuance!$C:$C,Formulas!C$2)</f>
        <v>0</v>
      </c>
      <c r="D100">
        <f>SUMIFS(Issuance!$H:$H,Issuance!$D:$D,Formulas!$B100,Issuance!$C:$C,Formulas!D$2)</f>
        <v>0</v>
      </c>
      <c r="E100">
        <f t="shared" si="7"/>
        <v>0</v>
      </c>
      <c r="F100" s="41" t="str">
        <f t="shared" si="10"/>
        <v/>
      </c>
      <c r="H100" t="str">
        <v>JPMorgan China Growth &amp; Income</v>
      </c>
      <c r="I100">
        <f>SUMIFS(Buybacks!H:H,Buybacks!D:D,Formulas!H100)</f>
        <v>-9.3759036330000001</v>
      </c>
      <c r="J100" s="41" t="str">
        <f t="shared" si="11"/>
        <v/>
      </c>
      <c r="L100" t="str">
        <v>European Opportunities</v>
      </c>
      <c r="M100">
        <f>SUMIFS('Corporate activity'!$H:$H,'Corporate activity'!$D:$D,Formulas!$L100,'Corporate activity'!$C:$C,Formulas!M$2)</f>
        <v>0</v>
      </c>
      <c r="N100">
        <f>SUMIFS('Corporate activity'!$H:$H,'Corporate activity'!$D:$D,Formulas!$L100,'Corporate activity'!$C:$C,Formulas!N$2)</f>
        <v>0</v>
      </c>
      <c r="O100">
        <f>SUMIFS('Corporate activity'!$H:$H,'Corporate activity'!$D:$D,Formulas!$L100,'Corporate activity'!$C:$C,Formulas!O$2)</f>
        <v>0</v>
      </c>
      <c r="P100">
        <f t="shared" si="12"/>
        <v>0</v>
      </c>
      <c r="Q100" t="str">
        <f t="shared" si="13"/>
        <v/>
      </c>
    </row>
    <row r="101" spans="3:17" x14ac:dyDescent="0.25">
      <c r="C101">
        <f>SUMIFS(Issuance!$H:$H,Issuance!$D:$D,Formulas!$B101,Issuance!$C:$C,Formulas!C$2)</f>
        <v>0</v>
      </c>
      <c r="D101">
        <f>SUMIFS(Issuance!$H:$H,Issuance!$D:$D,Formulas!$B101,Issuance!$C:$C,Formulas!D$2)</f>
        <v>0</v>
      </c>
      <c r="E101">
        <f t="shared" si="7"/>
        <v>0</v>
      </c>
      <c r="F101" s="41" t="str">
        <f t="shared" si="10"/>
        <v/>
      </c>
      <c r="H101" t="str">
        <v>Pacific Horizon Investment Trust</v>
      </c>
      <c r="I101">
        <f>SUMIFS(Buybacks!H:H,Buybacks!D:D,Formulas!H101)</f>
        <v>-53.659678623200001</v>
      </c>
      <c r="J101" s="41" t="str">
        <f t="shared" si="11"/>
        <v/>
      </c>
      <c r="L101" t="str">
        <v>Schroder UK Mid Cap Fund</v>
      </c>
      <c r="M101">
        <f>SUMIFS('Corporate activity'!$H:$H,'Corporate activity'!$D:$D,Formulas!$L101,'Corporate activity'!$C:$C,Formulas!M$2)</f>
        <v>0</v>
      </c>
      <c r="N101">
        <f>SUMIFS('Corporate activity'!$H:$H,'Corporate activity'!$D:$D,Formulas!$L101,'Corporate activity'!$C:$C,Formulas!N$2)</f>
        <v>0</v>
      </c>
      <c r="O101">
        <f>SUMIFS('Corporate activity'!$H:$H,'Corporate activity'!$D:$D,Formulas!$L101,'Corporate activity'!$C:$C,Formulas!O$2)</f>
        <v>0</v>
      </c>
      <c r="P101">
        <f t="shared" si="12"/>
        <v>0</v>
      </c>
      <c r="Q101" t="str">
        <f t="shared" si="13"/>
        <v/>
      </c>
    </row>
    <row r="102" spans="3:17" x14ac:dyDescent="0.25">
      <c r="C102">
        <f>SUMIFS(Issuance!$H:$H,Issuance!$D:$D,Formulas!$B102,Issuance!$C:$C,Formulas!C$2)</f>
        <v>0</v>
      </c>
      <c r="D102">
        <f>SUMIFS(Issuance!$H:$H,Issuance!$D:$D,Formulas!$B102,Issuance!$C:$C,Formulas!D$2)</f>
        <v>0</v>
      </c>
      <c r="E102">
        <f t="shared" si="7"/>
        <v>0</v>
      </c>
      <c r="F102" s="41" t="str">
        <f t="shared" si="10"/>
        <v/>
      </c>
      <c r="H102" t="str">
        <v>RM Infrastructure Income</v>
      </c>
      <c r="I102">
        <f>SUMIFS(Buybacks!H:H,Buybacks!D:D,Formulas!H102)</f>
        <v>-0.1133014</v>
      </c>
      <c r="J102" s="41" t="str">
        <f t="shared" si="11"/>
        <v/>
      </c>
      <c r="L102" t="str">
        <v>Schroders Capital Global Innovation</v>
      </c>
      <c r="M102">
        <f>SUMIFS('Corporate activity'!$H:$H,'Corporate activity'!$D:$D,Formulas!$L102,'Corporate activity'!$C:$C,Formulas!M$2)</f>
        <v>0</v>
      </c>
      <c r="N102">
        <f>SUMIFS('Corporate activity'!$H:$H,'Corporate activity'!$D:$D,Formulas!$L102,'Corporate activity'!$C:$C,Formulas!N$2)</f>
        <v>0</v>
      </c>
      <c r="O102">
        <f>SUMIFS('Corporate activity'!$H:$H,'Corporate activity'!$D:$D,Formulas!$L102,'Corporate activity'!$C:$C,Formulas!O$2)</f>
        <v>0</v>
      </c>
      <c r="P102">
        <f t="shared" si="12"/>
        <v>0</v>
      </c>
      <c r="Q102" t="str">
        <f t="shared" si="13"/>
        <v/>
      </c>
    </row>
    <row r="103" spans="3:17" x14ac:dyDescent="0.25">
      <c r="C103">
        <f>SUMIFS(Issuance!$H:$H,Issuance!$D:$D,Formulas!$B103,Issuance!$C:$C,Formulas!C$2)</f>
        <v>0</v>
      </c>
      <c r="D103">
        <f>SUMIFS(Issuance!$H:$H,Issuance!$D:$D,Formulas!$B103,Issuance!$C:$C,Formulas!D$2)</f>
        <v>0</v>
      </c>
      <c r="E103">
        <f t="shared" si="7"/>
        <v>0</v>
      </c>
      <c r="F103" s="41" t="str">
        <f t="shared" si="10"/>
        <v/>
      </c>
      <c r="H103" t="str">
        <v>Schroder Oriental Income</v>
      </c>
      <c r="I103">
        <f>SUMIFS(Buybacks!H:H,Buybacks!D:D,Formulas!H103)</f>
        <v>-18.656047725690009</v>
      </c>
      <c r="J103" s="41" t="str">
        <f t="shared" si="11"/>
        <v/>
      </c>
      <c r="L103" t="str">
        <v>Schroder BSC Social Impact</v>
      </c>
      <c r="M103">
        <f>SUMIFS('Corporate activity'!$H:$H,'Corporate activity'!$D:$D,Formulas!$L103,'Corporate activity'!$C:$C,Formulas!M$2)</f>
        <v>0</v>
      </c>
      <c r="N103">
        <f>SUMIFS('Corporate activity'!$H:$H,'Corporate activity'!$D:$D,Formulas!$L103,'Corporate activity'!$C:$C,Formulas!N$2)</f>
        <v>0</v>
      </c>
      <c r="O103">
        <f>SUMIFS('Corporate activity'!$H:$H,'Corporate activity'!$D:$D,Formulas!$L103,'Corporate activity'!$C:$C,Formulas!O$2)</f>
        <v>0</v>
      </c>
      <c r="P103">
        <f t="shared" si="12"/>
        <v>0</v>
      </c>
      <c r="Q103" t="str">
        <f t="shared" si="13"/>
        <v/>
      </c>
    </row>
    <row r="104" spans="3:17" x14ac:dyDescent="0.25">
      <c r="C104">
        <f>SUMIFS(Issuance!$H:$H,Issuance!$D:$D,Formulas!$B104,Issuance!$C:$C,Formulas!C$2)</f>
        <v>0</v>
      </c>
      <c r="D104">
        <f>SUMIFS(Issuance!$H:$H,Issuance!$D:$D,Formulas!$B104,Issuance!$C:$C,Formulas!D$2)</f>
        <v>0</v>
      </c>
      <c r="E104">
        <f t="shared" si="7"/>
        <v>0</v>
      </c>
      <c r="F104" s="41" t="str">
        <f t="shared" si="10"/>
        <v/>
      </c>
      <c r="H104" t="str">
        <v>BlackRock World Mining</v>
      </c>
      <c r="I104">
        <f>SUMIFS(Buybacks!H:H,Buybacks!D:D,Formulas!H104)</f>
        <v>-2.774057</v>
      </c>
      <c r="J104" s="41" t="str">
        <f t="shared" si="11"/>
        <v/>
      </c>
      <c r="L104" t="str">
        <v>AEW UK REIT</v>
      </c>
      <c r="M104">
        <f>SUMIFS('Corporate activity'!$H:$H,'Corporate activity'!$D:$D,Formulas!$L104,'Corporate activity'!$C:$C,Formulas!M$2)</f>
        <v>0</v>
      </c>
      <c r="N104">
        <f>SUMIFS('Corporate activity'!$H:$H,'Corporate activity'!$D:$D,Formulas!$L104,'Corporate activity'!$C:$C,Formulas!N$2)</f>
        <v>0</v>
      </c>
      <c r="O104">
        <f>SUMIFS('Corporate activity'!$H:$H,'Corporate activity'!$D:$D,Formulas!$L104,'Corporate activity'!$C:$C,Formulas!O$2)</f>
        <v>0</v>
      </c>
      <c r="P104">
        <f t="shared" si="12"/>
        <v>0</v>
      </c>
      <c r="Q104" t="str">
        <f t="shared" si="13"/>
        <v/>
      </c>
    </row>
    <row r="105" spans="3:17" x14ac:dyDescent="0.25">
      <c r="C105">
        <f>SUMIFS(Issuance!$H:$H,Issuance!$D:$D,Formulas!$B105,Issuance!$C:$C,Formulas!C$2)</f>
        <v>0</v>
      </c>
      <c r="D105">
        <f>SUMIFS(Issuance!$H:$H,Issuance!$D:$D,Formulas!$B105,Issuance!$C:$C,Formulas!D$2)</f>
        <v>0</v>
      </c>
      <c r="E105">
        <f t="shared" si="7"/>
        <v>0</v>
      </c>
      <c r="F105" s="41" t="str">
        <f t="shared" si="10"/>
        <v/>
      </c>
      <c r="H105" t="str">
        <v>Brown Advisory US Smaller Companies</v>
      </c>
      <c r="I105">
        <f>SUMIFS(Buybacks!H:H,Buybacks!D:D,Formulas!H105)</f>
        <v>-4.3975482273000006</v>
      </c>
      <c r="J105" s="41" t="str">
        <f t="shared" si="11"/>
        <v/>
      </c>
      <c r="L105" t="str">
        <v>Golden Prospect Precious Metals</v>
      </c>
      <c r="M105">
        <f>SUMIFS('Corporate activity'!$H:$H,'Corporate activity'!$D:$D,Formulas!$L105,'Corporate activity'!$C:$C,Formulas!M$2)</f>
        <v>0</v>
      </c>
      <c r="N105">
        <f>SUMIFS('Corporate activity'!$H:$H,'Corporate activity'!$D:$D,Formulas!$L105,'Corporate activity'!$C:$C,Formulas!N$2)</f>
        <v>0</v>
      </c>
      <c r="O105">
        <f>SUMIFS('Corporate activity'!$H:$H,'Corporate activity'!$D:$D,Formulas!$L105,'Corporate activity'!$C:$C,Formulas!O$2)</f>
        <v>0</v>
      </c>
      <c r="P105">
        <f t="shared" si="12"/>
        <v>0</v>
      </c>
      <c r="Q105" t="str">
        <f t="shared" si="13"/>
        <v/>
      </c>
    </row>
    <row r="106" spans="3:17" x14ac:dyDescent="0.25">
      <c r="C106">
        <f>SUMIFS(Issuance!$H:$H,Issuance!$D:$D,Formulas!$B106,Issuance!$C:$C,Formulas!C$2)</f>
        <v>0</v>
      </c>
      <c r="D106">
        <f>SUMIFS(Issuance!$H:$H,Issuance!$D:$D,Formulas!$B106,Issuance!$C:$C,Formulas!D$2)</f>
        <v>0</v>
      </c>
      <c r="E106">
        <f t="shared" si="7"/>
        <v>0</v>
      </c>
      <c r="F106" s="41" t="str">
        <f t="shared" si="10"/>
        <v/>
      </c>
      <c r="H106" t="str">
        <v>Brunner</v>
      </c>
      <c r="I106">
        <f>SUMIFS(Buybacks!H:H,Buybacks!D:D,Formulas!H106)</f>
        <v>-4.1066428543000004</v>
      </c>
      <c r="J106" s="41" t="str">
        <f t="shared" si="11"/>
        <v/>
      </c>
      <c r="L106" t="str">
        <v>Schroder Asian Total Return</v>
      </c>
      <c r="M106">
        <f>SUMIFS('Corporate activity'!$H:$H,'Corporate activity'!$D:$D,Formulas!$L106,'Corporate activity'!$C:$C,Formulas!M$2)</f>
        <v>0</v>
      </c>
      <c r="N106">
        <f>SUMIFS('Corporate activity'!$H:$H,'Corporate activity'!$D:$D,Formulas!$L106,'Corporate activity'!$C:$C,Formulas!N$2)</f>
        <v>0</v>
      </c>
      <c r="O106">
        <f>SUMIFS('Corporate activity'!$H:$H,'Corporate activity'!$D:$D,Formulas!$L106,'Corporate activity'!$C:$C,Formulas!O$2)</f>
        <v>0</v>
      </c>
      <c r="P106">
        <f t="shared" si="12"/>
        <v>0</v>
      </c>
      <c r="Q106" t="str">
        <f t="shared" si="13"/>
        <v/>
      </c>
    </row>
    <row r="107" spans="3:17" x14ac:dyDescent="0.25">
      <c r="C107">
        <f>SUMIFS(Issuance!$H:$H,Issuance!$D:$D,Formulas!$B107,Issuance!$C:$C,Formulas!C$2)</f>
        <v>0</v>
      </c>
      <c r="D107">
        <f>SUMIFS(Issuance!$H:$H,Issuance!$D:$D,Formulas!$B107,Issuance!$C:$C,Formulas!D$2)</f>
        <v>0</v>
      </c>
      <c r="E107">
        <f t="shared" si="7"/>
        <v>0</v>
      </c>
      <c r="F107" s="41" t="str">
        <f t="shared" si="10"/>
        <v/>
      </c>
      <c r="H107" t="str">
        <v>CQS Natural Resources Growth &amp; Income</v>
      </c>
      <c r="I107">
        <f>SUMIFS(Buybacks!H:H,Buybacks!D:D,Formulas!H107)</f>
        <v>-2.8108216935400003</v>
      </c>
      <c r="J107" s="41" t="str">
        <f t="shared" si="11"/>
        <v/>
      </c>
      <c r="L107" t="str">
        <v>Pacific Assets</v>
      </c>
      <c r="M107">
        <f>SUMIFS('Corporate activity'!$H:$H,'Corporate activity'!$D:$D,Formulas!$L107,'Corporate activity'!$C:$C,Formulas!M$2)</f>
        <v>0</v>
      </c>
      <c r="N107">
        <f>SUMIFS('Corporate activity'!$H:$H,'Corporate activity'!$D:$D,Formulas!$L107,'Corporate activity'!$C:$C,Formulas!N$2)</f>
        <v>0</v>
      </c>
      <c r="O107">
        <f>SUMIFS('Corporate activity'!$H:$H,'Corporate activity'!$D:$D,Formulas!$L107,'Corporate activity'!$C:$C,Formulas!O$2)</f>
        <v>0</v>
      </c>
      <c r="P107">
        <f t="shared" si="12"/>
        <v>0</v>
      </c>
      <c r="Q107" t="str">
        <f t="shared" si="13"/>
        <v/>
      </c>
    </row>
    <row r="108" spans="3:17" x14ac:dyDescent="0.25">
      <c r="C108">
        <f>SUMIFS(Issuance!$H:$H,Issuance!$D:$D,Formulas!$B108,Issuance!$C:$C,Formulas!C$2)</f>
        <v>0</v>
      </c>
      <c r="D108">
        <f>SUMIFS(Issuance!$H:$H,Issuance!$D:$D,Formulas!$B108,Issuance!$C:$C,Formulas!D$2)</f>
        <v>0</v>
      </c>
      <c r="E108">
        <f t="shared" si="7"/>
        <v>0</v>
      </c>
      <c r="F108" s="41" t="str">
        <f t="shared" si="10"/>
        <v/>
      </c>
      <c r="H108" t="str">
        <v>Custodian Property Income REIT</v>
      </c>
      <c r="I108">
        <f>SUMIFS(Buybacks!H:H,Buybacks!D:D,Formulas!H108)</f>
        <v>-0.15760000000000002</v>
      </c>
      <c r="J108" s="41" t="str">
        <f t="shared" si="11"/>
        <v/>
      </c>
      <c r="L108" t="str">
        <v>HarbourVest Global Private Equity</v>
      </c>
      <c r="M108">
        <f>SUMIFS('Corporate activity'!$H:$H,'Corporate activity'!$D:$D,Formulas!$L108,'Corporate activity'!$C:$C,Formulas!M$2)</f>
        <v>0</v>
      </c>
      <c r="N108">
        <f>SUMIFS('Corporate activity'!$H:$H,'Corporate activity'!$D:$D,Formulas!$L108,'Corporate activity'!$C:$C,Formulas!N$2)</f>
        <v>0</v>
      </c>
      <c r="O108">
        <f>SUMIFS('Corporate activity'!$H:$H,'Corporate activity'!$D:$D,Formulas!$L108,'Corporate activity'!$C:$C,Formulas!O$2)</f>
        <v>0</v>
      </c>
      <c r="P108">
        <f t="shared" si="12"/>
        <v>0</v>
      </c>
      <c r="Q108" t="str">
        <f t="shared" si="13"/>
        <v/>
      </c>
    </row>
    <row r="109" spans="3:17" x14ac:dyDescent="0.25">
      <c r="C109">
        <f>SUMIFS(Issuance!$H:$H,Issuance!$D:$D,Formulas!$B109,Issuance!$C:$C,Formulas!C$2)</f>
        <v>0</v>
      </c>
      <c r="D109">
        <f>SUMIFS(Issuance!$H:$H,Issuance!$D:$D,Formulas!$B109,Issuance!$C:$C,Formulas!D$2)</f>
        <v>0</v>
      </c>
      <c r="E109">
        <f t="shared" si="7"/>
        <v>0</v>
      </c>
      <c r="F109" s="41" t="str">
        <f t="shared" si="10"/>
        <v/>
      </c>
      <c r="H109" t="str">
        <v>Fidelity European</v>
      </c>
      <c r="I109">
        <f>SUMIFS(Buybacks!H:H,Buybacks!D:D,Formulas!H109)</f>
        <v>-77.137178120400023</v>
      </c>
      <c r="J109" s="41">
        <f t="shared" si="11"/>
        <v>17</v>
      </c>
      <c r="L109" t="str">
        <v>Schroder British Opportunities</v>
      </c>
      <c r="M109">
        <f>SUMIFS('Corporate activity'!$H:$H,'Corporate activity'!$D:$D,Formulas!$L109,'Corporate activity'!$C:$C,Formulas!M$2)</f>
        <v>0</v>
      </c>
      <c r="N109">
        <f>SUMIFS('Corporate activity'!$H:$H,'Corporate activity'!$D:$D,Formulas!$L109,'Corporate activity'!$C:$C,Formulas!N$2)</f>
        <v>0</v>
      </c>
      <c r="O109">
        <f>SUMIFS('Corporate activity'!$H:$H,'Corporate activity'!$D:$D,Formulas!$L109,'Corporate activity'!$C:$C,Formulas!O$2)</f>
        <v>0</v>
      </c>
      <c r="P109">
        <f t="shared" si="12"/>
        <v>0</v>
      </c>
      <c r="Q109" t="str">
        <f t="shared" si="13"/>
        <v/>
      </c>
    </row>
    <row r="110" spans="3:17" x14ac:dyDescent="0.25">
      <c r="C110">
        <f>SUMIFS(Issuance!$H:$H,Issuance!$D:$D,Formulas!$B110,Issuance!$C:$C,Formulas!C$2)</f>
        <v>0</v>
      </c>
      <c r="D110">
        <f>SUMIFS(Issuance!$H:$H,Issuance!$D:$D,Formulas!$B110,Issuance!$C:$C,Formulas!D$2)</f>
        <v>0</v>
      </c>
      <c r="E110">
        <f t="shared" si="7"/>
        <v>0</v>
      </c>
      <c r="F110" s="41" t="str">
        <f t="shared" si="10"/>
        <v/>
      </c>
      <c r="H110" t="str">
        <v>Greencoat Renewables</v>
      </c>
      <c r="I110">
        <f>SUMIFS(Buybacks!H:H,Buybacks!D:D,Formulas!H110)</f>
        <v>-22.538277545157051</v>
      </c>
      <c r="J110" s="41" t="str">
        <f t="shared" si="11"/>
        <v/>
      </c>
      <c r="L110" t="str">
        <v>Alternative Income REIT</v>
      </c>
      <c r="M110">
        <f>SUMIFS('Corporate activity'!$H:$H,'Corporate activity'!$D:$D,Formulas!$L110,'Corporate activity'!$C:$C,Formulas!M$2)</f>
        <v>0</v>
      </c>
      <c r="N110">
        <f>SUMIFS('Corporate activity'!$H:$H,'Corporate activity'!$D:$D,Formulas!$L110,'Corporate activity'!$C:$C,Formulas!N$2)</f>
        <v>0</v>
      </c>
      <c r="O110">
        <f>SUMIFS('Corporate activity'!$H:$H,'Corporate activity'!$D:$D,Formulas!$L110,'Corporate activity'!$C:$C,Formulas!O$2)</f>
        <v>0</v>
      </c>
      <c r="P110">
        <f t="shared" si="12"/>
        <v>0</v>
      </c>
      <c r="Q110" t="str">
        <f t="shared" si="13"/>
        <v/>
      </c>
    </row>
    <row r="111" spans="3:17" x14ac:dyDescent="0.25">
      <c r="C111">
        <f>SUMIFS(Issuance!$H:$H,Issuance!$D:$D,Formulas!$B111,Issuance!$C:$C,Formulas!C$2)</f>
        <v>0</v>
      </c>
      <c r="D111">
        <f>SUMIFS(Issuance!$H:$H,Issuance!$D:$D,Formulas!$B111,Issuance!$C:$C,Formulas!D$2)</f>
        <v>0</v>
      </c>
      <c r="E111">
        <f t="shared" si="7"/>
        <v>0</v>
      </c>
      <c r="F111" s="41" t="str">
        <f t="shared" si="10"/>
        <v/>
      </c>
      <c r="H111" t="str">
        <v>JPMorgan Claverhouse</v>
      </c>
      <c r="I111">
        <f>SUMIFS(Buybacks!H:H,Buybacks!D:D,Formulas!H111)</f>
        <v>-1.3605745174199999</v>
      </c>
      <c r="J111" s="41" t="str">
        <f t="shared" si="11"/>
        <v/>
      </c>
      <c r="L111" t="str">
        <v>Schroder Real Estate</v>
      </c>
      <c r="M111">
        <f>SUMIFS('Corporate activity'!$H:$H,'Corporate activity'!$D:$D,Formulas!$L111,'Corporate activity'!$C:$C,Formulas!M$2)</f>
        <v>0</v>
      </c>
      <c r="N111">
        <f>SUMIFS('Corporate activity'!$H:$H,'Corporate activity'!$D:$D,Formulas!$L111,'Corporate activity'!$C:$C,Formulas!N$2)</f>
        <v>0</v>
      </c>
      <c r="O111">
        <f>SUMIFS('Corporate activity'!$H:$H,'Corporate activity'!$D:$D,Formulas!$L111,'Corporate activity'!$C:$C,Formulas!O$2)</f>
        <v>0</v>
      </c>
      <c r="P111">
        <f t="shared" si="12"/>
        <v>0</v>
      </c>
      <c r="Q111" t="str">
        <f t="shared" si="13"/>
        <v/>
      </c>
    </row>
    <row r="112" spans="3:17" x14ac:dyDescent="0.25">
      <c r="C112">
        <f>SUMIFS(Issuance!$H:$H,Issuance!$D:$D,Formulas!$B112,Issuance!$C:$C,Formulas!C$2)</f>
        <v>0</v>
      </c>
      <c r="D112">
        <f>SUMIFS(Issuance!$H:$H,Issuance!$D:$D,Formulas!$B112,Issuance!$C:$C,Formulas!D$2)</f>
        <v>0</v>
      </c>
      <c r="E112">
        <f t="shared" si="7"/>
        <v>0</v>
      </c>
      <c r="F112" s="41" t="str">
        <f t="shared" si="10"/>
        <v/>
      </c>
      <c r="H112" t="str">
        <v>JPMorgan European Discovery</v>
      </c>
      <c r="I112">
        <f>SUMIFS(Buybacks!H:H,Buybacks!D:D,Formulas!H112)</f>
        <v>-22.779494882079998</v>
      </c>
      <c r="J112" s="41" t="str">
        <f t="shared" si="11"/>
        <v/>
      </c>
      <c r="L112" t="str">
        <v>Schroder European Real Estate</v>
      </c>
      <c r="M112">
        <f>SUMIFS('Corporate activity'!$H:$H,'Corporate activity'!$D:$D,Formulas!$L112,'Corporate activity'!$C:$C,Formulas!M$2)</f>
        <v>0</v>
      </c>
      <c r="N112">
        <f>SUMIFS('Corporate activity'!$H:$H,'Corporate activity'!$D:$D,Formulas!$L112,'Corporate activity'!$C:$C,Formulas!N$2)</f>
        <v>0</v>
      </c>
      <c r="O112">
        <f>SUMIFS('Corporate activity'!$H:$H,'Corporate activity'!$D:$D,Formulas!$L112,'Corporate activity'!$C:$C,Formulas!O$2)</f>
        <v>0</v>
      </c>
      <c r="P112">
        <f t="shared" si="12"/>
        <v>0</v>
      </c>
      <c r="Q112" t="str">
        <f t="shared" si="13"/>
        <v/>
      </c>
    </row>
    <row r="113" spans="3:17" x14ac:dyDescent="0.25">
      <c r="C113">
        <f>SUMIFS(Issuance!$H:$H,Issuance!$D:$D,Formulas!$B113,Issuance!$C:$C,Formulas!C$2)</f>
        <v>0</v>
      </c>
      <c r="D113">
        <f>SUMIFS(Issuance!$H:$H,Issuance!$D:$D,Formulas!$B113,Issuance!$C:$C,Formulas!D$2)</f>
        <v>0</v>
      </c>
      <c r="E113">
        <f t="shared" si="7"/>
        <v>0</v>
      </c>
      <c r="F113" s="41" t="str">
        <f t="shared" si="10"/>
        <v/>
      </c>
      <c r="H113" t="str">
        <v>JPMorgan UK Small Cap Growth &amp; Income</v>
      </c>
      <c r="I113">
        <f>SUMIFS(Buybacks!H:H,Buybacks!D:D,Formulas!H113)</f>
        <v>-13.905853450000004</v>
      </c>
      <c r="J113" s="41" t="str">
        <f t="shared" si="11"/>
        <v/>
      </c>
      <c r="L113" t="str">
        <v>NextEnergy Solar</v>
      </c>
      <c r="M113">
        <f>SUMIFS('Corporate activity'!$H:$H,'Corporate activity'!$D:$D,Formulas!$L113,'Corporate activity'!$C:$C,Formulas!M$2)</f>
        <v>0</v>
      </c>
      <c r="N113">
        <f>SUMIFS('Corporate activity'!$H:$H,'Corporate activity'!$D:$D,Formulas!$L113,'Corporate activity'!$C:$C,Formulas!N$2)</f>
        <v>0</v>
      </c>
      <c r="O113">
        <f>SUMIFS('Corporate activity'!$H:$H,'Corporate activity'!$D:$D,Formulas!$L113,'Corporate activity'!$C:$C,Formulas!O$2)</f>
        <v>0</v>
      </c>
      <c r="P113">
        <f t="shared" si="12"/>
        <v>0</v>
      </c>
      <c r="Q113" t="str">
        <f t="shared" si="13"/>
        <v/>
      </c>
    </row>
    <row r="114" spans="3:17" x14ac:dyDescent="0.25">
      <c r="C114">
        <f>SUMIFS(Issuance!$H:$H,Issuance!$D:$D,Formulas!$B114,Issuance!$C:$C,Formulas!C$2)</f>
        <v>0</v>
      </c>
      <c r="D114">
        <f>SUMIFS(Issuance!$H:$H,Issuance!$D:$D,Formulas!$B114,Issuance!$C:$C,Formulas!D$2)</f>
        <v>0</v>
      </c>
      <c r="E114">
        <f t="shared" si="7"/>
        <v>0</v>
      </c>
      <c r="F114" s="41" t="str">
        <f t="shared" si="10"/>
        <v/>
      </c>
      <c r="H114" t="str">
        <v>Life Settlement Assets</v>
      </c>
      <c r="I114">
        <f>SUMIFS(Buybacks!H:H,Buybacks!D:D,Formulas!H114)</f>
        <v>-3.7889855180397953</v>
      </c>
      <c r="J114" s="41" t="str">
        <f t="shared" si="11"/>
        <v/>
      </c>
      <c r="L114">
        <v>0</v>
      </c>
      <c r="M114">
        <f>SUMIFS('Corporate activity'!$H:$H,'Corporate activity'!$D:$D,Formulas!$L114,'Corporate activity'!$C:$C,Formulas!M$2)</f>
        <v>0</v>
      </c>
      <c r="N114">
        <f>SUMIFS('Corporate activity'!$H:$H,'Corporate activity'!$D:$D,Formulas!$L114,'Corporate activity'!$C:$C,Formulas!N$2)</f>
        <v>0</v>
      </c>
      <c r="O114">
        <f>SUMIFS('Corporate activity'!$H:$H,'Corporate activity'!$D:$D,Formulas!$L114,'Corporate activity'!$C:$C,Formulas!O$2)</f>
        <v>0</v>
      </c>
      <c r="P114">
        <f t="shared" si="12"/>
        <v>0</v>
      </c>
      <c r="Q114" t="str">
        <f t="shared" si="13"/>
        <v/>
      </c>
    </row>
    <row r="115" spans="3:17" x14ac:dyDescent="0.25">
      <c r="C115">
        <f>SUMIFS(Issuance!$H:$H,Issuance!$D:$D,Formulas!$B115,Issuance!$C:$C,Formulas!C$2)</f>
        <v>0</v>
      </c>
      <c r="D115">
        <f>SUMIFS(Issuance!$H:$H,Issuance!$D:$D,Formulas!$B115,Issuance!$C:$C,Formulas!D$2)</f>
        <v>0</v>
      </c>
      <c r="E115">
        <f t="shared" ref="E115:E178" si="14">SUM(C115:D115)</f>
        <v>0</v>
      </c>
      <c r="F115" s="41" t="str">
        <f t="shared" si="10"/>
        <v/>
      </c>
      <c r="H115" t="str">
        <v>M&amp;G Credit Income</v>
      </c>
      <c r="I115">
        <f>SUMIFS(Buybacks!H:H,Buybacks!D:D,Formulas!H115)</f>
        <v>-0.22300249999999999</v>
      </c>
      <c r="J115" s="41" t="str">
        <f t="shared" si="11"/>
        <v/>
      </c>
      <c r="M115">
        <f>SUMIFS('Corporate activity'!$H:$H,'Corporate activity'!$D:$D,Formulas!$L115,'Corporate activity'!$C:$C,Formulas!M$2)</f>
        <v>0</v>
      </c>
      <c r="N115">
        <f>SUMIFS('Corporate activity'!$H:$H,'Corporate activity'!$D:$D,Formulas!$L115,'Corporate activity'!$C:$C,Formulas!N$2)</f>
        <v>0</v>
      </c>
      <c r="O115">
        <f>SUMIFS('Corporate activity'!$H:$H,'Corporate activity'!$D:$D,Formulas!$L115,'Corporate activity'!$C:$C,Formulas!O$2)</f>
        <v>0</v>
      </c>
      <c r="P115">
        <f t="shared" ref="P115:P178" si="15">SUM(M115:O115)</f>
        <v>0</v>
      </c>
      <c r="Q115" t="str">
        <f t="shared" si="13"/>
        <v/>
      </c>
    </row>
    <row r="116" spans="3:17" x14ac:dyDescent="0.25">
      <c r="C116">
        <f>SUMIFS(Issuance!$H:$H,Issuance!$D:$D,Formulas!$B116,Issuance!$C:$C,Formulas!C$2)</f>
        <v>0</v>
      </c>
      <c r="D116">
        <f>SUMIFS(Issuance!$H:$H,Issuance!$D:$D,Formulas!$B116,Issuance!$C:$C,Formulas!D$2)</f>
        <v>0</v>
      </c>
      <c r="E116">
        <f t="shared" si="14"/>
        <v>0</v>
      </c>
      <c r="F116" s="41" t="str">
        <f t="shared" si="10"/>
        <v/>
      </c>
      <c r="H116" t="str">
        <v>Montanaro UK Smaller Companies</v>
      </c>
      <c r="I116">
        <f>SUMIFS(Buybacks!H:H,Buybacks!D:D,Formulas!H116)</f>
        <v>-5.3833051549199986</v>
      </c>
      <c r="J116" s="41" t="str">
        <f t="shared" si="11"/>
        <v/>
      </c>
      <c r="M116">
        <f>SUMIFS('Corporate activity'!$H:$H,'Corporate activity'!$D:$D,Formulas!$L116,'Corporate activity'!$C:$C,Formulas!M$2)</f>
        <v>0</v>
      </c>
      <c r="N116">
        <f>SUMIFS('Corporate activity'!$H:$H,'Corporate activity'!$D:$D,Formulas!$L116,'Corporate activity'!$C:$C,Formulas!N$2)</f>
        <v>0</v>
      </c>
      <c r="O116">
        <f>SUMIFS('Corporate activity'!$H:$H,'Corporate activity'!$D:$D,Formulas!$L116,'Corporate activity'!$C:$C,Formulas!O$2)</f>
        <v>0</v>
      </c>
      <c r="P116">
        <f t="shared" si="15"/>
        <v>0</v>
      </c>
      <c r="Q116" t="str">
        <f t="shared" si="13"/>
        <v/>
      </c>
    </row>
    <row r="117" spans="3:17" x14ac:dyDescent="0.25">
      <c r="C117">
        <f>SUMIFS(Issuance!$H:$H,Issuance!$D:$D,Formulas!$B117,Issuance!$C:$C,Formulas!C$2)</f>
        <v>0</v>
      </c>
      <c r="D117">
        <f>SUMIFS(Issuance!$H:$H,Issuance!$D:$D,Formulas!$B117,Issuance!$C:$C,Formulas!D$2)</f>
        <v>0</v>
      </c>
      <c r="E117">
        <f t="shared" si="14"/>
        <v>0</v>
      </c>
      <c r="F117" s="41" t="str">
        <f t="shared" si="10"/>
        <v/>
      </c>
      <c r="H117" t="str">
        <v>North American Income Trust</v>
      </c>
      <c r="I117">
        <f>SUMIFS(Buybacks!H:H,Buybacks!D:D,Formulas!H117)</f>
        <v>-0.19755983606999999</v>
      </c>
      <c r="J117" s="41" t="str">
        <f t="shared" si="11"/>
        <v/>
      </c>
      <c r="M117">
        <f>SUMIFS('Corporate activity'!$H:$H,'Corporate activity'!$D:$D,Formulas!$L117,'Corporate activity'!$C:$C,Formulas!M$2)</f>
        <v>0</v>
      </c>
      <c r="N117">
        <f>SUMIFS('Corporate activity'!$H:$H,'Corporate activity'!$D:$D,Formulas!$L117,'Corporate activity'!$C:$C,Formulas!N$2)</f>
        <v>0</v>
      </c>
      <c r="O117">
        <f>SUMIFS('Corporate activity'!$H:$H,'Corporate activity'!$D:$D,Formulas!$L117,'Corporate activity'!$C:$C,Formulas!O$2)</f>
        <v>0</v>
      </c>
      <c r="P117">
        <f t="shared" si="15"/>
        <v>0</v>
      </c>
      <c r="Q117" t="str">
        <f t="shared" si="13"/>
        <v/>
      </c>
    </row>
    <row r="118" spans="3:17" x14ac:dyDescent="0.25">
      <c r="C118">
        <f>SUMIFS(Issuance!$H:$H,Issuance!$D:$D,Formulas!$B118,Issuance!$C:$C,Formulas!C$2)</f>
        <v>0</v>
      </c>
      <c r="D118">
        <f>SUMIFS(Issuance!$H:$H,Issuance!$D:$D,Formulas!$B118,Issuance!$C:$C,Formulas!D$2)</f>
        <v>0</v>
      </c>
      <c r="E118">
        <f t="shared" si="14"/>
        <v>0</v>
      </c>
      <c r="F118" s="41" t="str">
        <f t="shared" si="10"/>
        <v/>
      </c>
      <c r="H118" t="str">
        <v>Personal Assets Trust</v>
      </c>
      <c r="I118">
        <f>SUMIFS(Buybacks!H:H,Buybacks!D:D,Formulas!H118)</f>
        <v>-40.194673200000004</v>
      </c>
      <c r="J118" s="41" t="str">
        <f t="shared" si="11"/>
        <v/>
      </c>
      <c r="M118">
        <f>SUMIFS('Corporate activity'!$H:$H,'Corporate activity'!$D:$D,Formulas!$L118,'Corporate activity'!$C:$C,Formulas!M$2)</f>
        <v>0</v>
      </c>
      <c r="N118">
        <f>SUMIFS('Corporate activity'!$H:$H,'Corporate activity'!$D:$D,Formulas!$L118,'Corporate activity'!$C:$C,Formulas!N$2)</f>
        <v>0</v>
      </c>
      <c r="O118">
        <f>SUMIFS('Corporate activity'!$H:$H,'Corporate activity'!$D:$D,Formulas!$L118,'Corporate activity'!$C:$C,Formulas!O$2)</f>
        <v>0</v>
      </c>
      <c r="P118">
        <f t="shared" si="15"/>
        <v>0</v>
      </c>
      <c r="Q118" t="str">
        <f t="shared" si="13"/>
        <v/>
      </c>
    </row>
    <row r="119" spans="3:17" x14ac:dyDescent="0.25">
      <c r="C119">
        <f>SUMIFS(Issuance!$H:$H,Issuance!$D:$D,Formulas!$B119,Issuance!$C:$C,Formulas!C$2)</f>
        <v>0</v>
      </c>
      <c r="D119">
        <f>SUMIFS(Issuance!$H:$H,Issuance!$D:$D,Formulas!$B119,Issuance!$C:$C,Formulas!D$2)</f>
        <v>0</v>
      </c>
      <c r="E119">
        <f t="shared" si="14"/>
        <v>0</v>
      </c>
      <c r="F119" s="41" t="str">
        <f t="shared" si="10"/>
        <v/>
      </c>
      <c r="H119" t="str">
        <v>Polar Capital Global Financials</v>
      </c>
      <c r="I119">
        <f>SUMIFS(Buybacks!H:H,Buybacks!D:D,Formulas!H119)</f>
        <v>-12.386149182530003</v>
      </c>
      <c r="J119" s="41" t="str">
        <f t="shared" si="11"/>
        <v/>
      </c>
      <c r="M119">
        <f>SUMIFS('Corporate activity'!$H:$H,'Corporate activity'!$D:$D,Formulas!$L119,'Corporate activity'!$C:$C,Formulas!M$2)</f>
        <v>0</v>
      </c>
      <c r="N119">
        <f>SUMIFS('Corporate activity'!$H:$H,'Corporate activity'!$D:$D,Formulas!$L119,'Corporate activity'!$C:$C,Formulas!N$2)</f>
        <v>0</v>
      </c>
      <c r="O119">
        <f>SUMIFS('Corporate activity'!$H:$H,'Corporate activity'!$D:$D,Formulas!$L119,'Corporate activity'!$C:$C,Formulas!O$2)</f>
        <v>0</v>
      </c>
      <c r="P119">
        <f t="shared" si="15"/>
        <v>0</v>
      </c>
      <c r="Q119" t="str">
        <f t="shared" si="13"/>
        <v/>
      </c>
    </row>
    <row r="120" spans="3:17" x14ac:dyDescent="0.25">
      <c r="C120">
        <f>SUMIFS(Issuance!$H:$H,Issuance!$D:$D,Formulas!$B120,Issuance!$C:$C,Formulas!C$2)</f>
        <v>0</v>
      </c>
      <c r="D120">
        <f>SUMIFS(Issuance!$H:$H,Issuance!$D:$D,Formulas!$B120,Issuance!$C:$C,Formulas!D$2)</f>
        <v>0</v>
      </c>
      <c r="E120">
        <f t="shared" si="14"/>
        <v>0</v>
      </c>
      <c r="F120" s="41" t="str">
        <f t="shared" si="10"/>
        <v/>
      </c>
      <c r="H120" t="str">
        <v>Real Estate Credit Investments</v>
      </c>
      <c r="I120">
        <f>SUMIFS(Buybacks!H:H,Buybacks!D:D,Formulas!H120)</f>
        <v>-0.82074999999999987</v>
      </c>
      <c r="J120" s="41" t="str">
        <f t="shared" si="11"/>
        <v/>
      </c>
      <c r="M120">
        <f>SUMIFS('Corporate activity'!$H:$H,'Corporate activity'!$D:$D,Formulas!$L120,'Corporate activity'!$C:$C,Formulas!M$2)</f>
        <v>0</v>
      </c>
      <c r="N120">
        <f>SUMIFS('Corporate activity'!$H:$H,'Corporate activity'!$D:$D,Formulas!$L120,'Corporate activity'!$C:$C,Formulas!N$2)</f>
        <v>0</v>
      </c>
      <c r="O120">
        <f>SUMIFS('Corporate activity'!$H:$H,'Corporate activity'!$D:$D,Formulas!$L120,'Corporate activity'!$C:$C,Formulas!O$2)</f>
        <v>0</v>
      </c>
      <c r="P120">
        <f t="shared" si="15"/>
        <v>0</v>
      </c>
      <c r="Q120" t="str">
        <f t="shared" si="13"/>
        <v/>
      </c>
    </row>
    <row r="121" spans="3:17" x14ac:dyDescent="0.25">
      <c r="C121">
        <f>SUMIFS(Issuance!$H:$H,Issuance!$D:$D,Formulas!$B121,Issuance!$C:$C,Formulas!C$2)</f>
        <v>0</v>
      </c>
      <c r="D121">
        <f>SUMIFS(Issuance!$H:$H,Issuance!$D:$D,Formulas!$B121,Issuance!$C:$C,Formulas!D$2)</f>
        <v>0</v>
      </c>
      <c r="E121">
        <f t="shared" si="14"/>
        <v>0</v>
      </c>
      <c r="F121" s="41" t="str">
        <f t="shared" si="10"/>
        <v/>
      </c>
      <c r="H121" t="str">
        <v>RTW Biotech Opportunities</v>
      </c>
      <c r="I121">
        <f>SUMIFS(Buybacks!H:H,Buybacks!D:D,Formulas!H121)</f>
        <v>-6.4663945394599862</v>
      </c>
      <c r="J121" s="41" t="str">
        <f t="shared" si="11"/>
        <v/>
      </c>
      <c r="M121">
        <f>SUMIFS('Corporate activity'!$H:$H,'Corporate activity'!$D:$D,Formulas!$L121,'Corporate activity'!$C:$C,Formulas!M$2)</f>
        <v>0</v>
      </c>
      <c r="N121">
        <f>SUMIFS('Corporate activity'!$H:$H,'Corporate activity'!$D:$D,Formulas!$L121,'Corporate activity'!$C:$C,Formulas!N$2)</f>
        <v>0</v>
      </c>
      <c r="O121">
        <f>SUMIFS('Corporate activity'!$H:$H,'Corporate activity'!$D:$D,Formulas!$L121,'Corporate activity'!$C:$C,Formulas!O$2)</f>
        <v>0</v>
      </c>
      <c r="P121">
        <f t="shared" si="15"/>
        <v>0</v>
      </c>
      <c r="Q121" t="str">
        <f t="shared" si="13"/>
        <v/>
      </c>
    </row>
    <row r="122" spans="3:17" x14ac:dyDescent="0.25">
      <c r="C122">
        <f>SUMIFS(Issuance!$H:$H,Issuance!$D:$D,Formulas!$B122,Issuance!$C:$C,Formulas!C$2)</f>
        <v>0</v>
      </c>
      <c r="D122">
        <f>SUMIFS(Issuance!$H:$H,Issuance!$D:$D,Formulas!$B122,Issuance!$C:$C,Formulas!D$2)</f>
        <v>0</v>
      </c>
      <c r="E122">
        <f t="shared" si="14"/>
        <v>0</v>
      </c>
      <c r="F122" s="41" t="str">
        <f t="shared" si="10"/>
        <v/>
      </c>
      <c r="H122" t="str">
        <v>Schroder Japan Trust</v>
      </c>
      <c r="I122">
        <f>SUMIFS(Buybacks!H:H,Buybacks!D:D,Formulas!H122)</f>
        <v>-2.4055199689499993</v>
      </c>
      <c r="J122" s="41" t="str">
        <f t="shared" si="11"/>
        <v/>
      </c>
      <c r="M122">
        <f>SUMIFS('Corporate activity'!$H:$H,'Corporate activity'!$D:$D,Formulas!$L122,'Corporate activity'!$C:$C,Formulas!M$2)</f>
        <v>0</v>
      </c>
      <c r="N122">
        <f>SUMIFS('Corporate activity'!$H:$H,'Corporate activity'!$D:$D,Formulas!$L122,'Corporate activity'!$C:$C,Formulas!N$2)</f>
        <v>0</v>
      </c>
      <c r="O122">
        <f>SUMIFS('Corporate activity'!$H:$H,'Corporate activity'!$D:$D,Formulas!$L122,'Corporate activity'!$C:$C,Formulas!O$2)</f>
        <v>0</v>
      </c>
      <c r="P122">
        <f t="shared" si="15"/>
        <v>0</v>
      </c>
      <c r="Q122" t="str">
        <f t="shared" si="13"/>
        <v/>
      </c>
    </row>
    <row r="123" spans="3:17" x14ac:dyDescent="0.25">
      <c r="C123">
        <f>SUMIFS(Issuance!$H:$H,Issuance!$D:$D,Formulas!$B123,Issuance!$C:$C,Formulas!C$2)</f>
        <v>0</v>
      </c>
      <c r="D123">
        <f>SUMIFS(Issuance!$H:$H,Issuance!$D:$D,Formulas!$B123,Issuance!$C:$C,Formulas!D$2)</f>
        <v>0</v>
      </c>
      <c r="E123">
        <f t="shared" si="14"/>
        <v>0</v>
      </c>
      <c r="F123" s="41" t="str">
        <f t="shared" si="10"/>
        <v/>
      </c>
      <c r="H123" t="str">
        <v>Value and Indexed Property Income Trust</v>
      </c>
      <c r="I123">
        <f>SUMIFS(Buybacks!H:H,Buybacks!D:D,Formulas!H123)</f>
        <v>-0.98170000000000002</v>
      </c>
      <c r="J123" s="41" t="str">
        <f t="shared" si="11"/>
        <v/>
      </c>
      <c r="M123">
        <f>SUMIFS('Corporate activity'!$H:$H,'Corporate activity'!$D:$D,Formulas!$L123,'Corporate activity'!$C:$C,Formulas!M$2)</f>
        <v>0</v>
      </c>
      <c r="N123">
        <f>SUMIFS('Corporate activity'!$H:$H,'Corporate activity'!$D:$D,Formulas!$L123,'Corporate activity'!$C:$C,Formulas!N$2)</f>
        <v>0</v>
      </c>
      <c r="O123">
        <f>SUMIFS('Corporate activity'!$H:$H,'Corporate activity'!$D:$D,Formulas!$L123,'Corporate activity'!$C:$C,Formulas!O$2)</f>
        <v>0</v>
      </c>
      <c r="P123">
        <f t="shared" si="15"/>
        <v>0</v>
      </c>
      <c r="Q123" t="str">
        <f t="shared" si="13"/>
        <v/>
      </c>
    </row>
    <row r="124" spans="3:17" x14ac:dyDescent="0.25">
      <c r="C124">
        <f>SUMIFS(Issuance!$H:$H,Issuance!$D:$D,Formulas!$B124,Issuance!$C:$C,Formulas!C$2)</f>
        <v>0</v>
      </c>
      <c r="D124">
        <f>SUMIFS(Issuance!$H:$H,Issuance!$D:$D,Formulas!$B124,Issuance!$C:$C,Formulas!D$2)</f>
        <v>0</v>
      </c>
      <c r="E124">
        <f t="shared" si="14"/>
        <v>0</v>
      </c>
      <c r="F124" s="41" t="str">
        <f t="shared" si="10"/>
        <v/>
      </c>
      <c r="H124" t="str">
        <v>AVI Japan Opportunity Trust</v>
      </c>
      <c r="I124">
        <f>SUMIFS(Buybacks!H:H,Buybacks!D:D,Formulas!H124)</f>
        <v>-0.56578499999999998</v>
      </c>
      <c r="J124" s="41" t="str">
        <f t="shared" si="11"/>
        <v/>
      </c>
      <c r="M124">
        <f>SUMIFS('Corporate activity'!$H:$H,'Corporate activity'!$D:$D,Formulas!$L124,'Corporate activity'!$C:$C,Formulas!M$2)</f>
        <v>0</v>
      </c>
      <c r="N124">
        <f>SUMIFS('Corporate activity'!$H:$H,'Corporate activity'!$D:$D,Formulas!$L124,'Corporate activity'!$C:$C,Formulas!N$2)</f>
        <v>0</v>
      </c>
      <c r="O124">
        <f>SUMIFS('Corporate activity'!$H:$H,'Corporate activity'!$D:$D,Formulas!$L124,'Corporate activity'!$C:$C,Formulas!O$2)</f>
        <v>0</v>
      </c>
      <c r="P124">
        <f t="shared" si="15"/>
        <v>0</v>
      </c>
      <c r="Q124" t="str">
        <f t="shared" si="13"/>
        <v/>
      </c>
    </row>
    <row r="125" spans="3:17" x14ac:dyDescent="0.25">
      <c r="C125">
        <f>SUMIFS(Issuance!$H:$H,Issuance!$D:$D,Formulas!$B125,Issuance!$C:$C,Formulas!C$2)</f>
        <v>0</v>
      </c>
      <c r="D125">
        <f>SUMIFS(Issuance!$H:$H,Issuance!$D:$D,Formulas!$B125,Issuance!$C:$C,Formulas!D$2)</f>
        <v>0</v>
      </c>
      <c r="E125">
        <f t="shared" si="14"/>
        <v>0</v>
      </c>
      <c r="F125" s="41" t="str">
        <f t="shared" si="10"/>
        <v/>
      </c>
      <c r="H125" t="str">
        <v>BioPharma Credit</v>
      </c>
      <c r="I125">
        <f>SUMIFS(Buybacks!H:H,Buybacks!D:D,Formulas!H125)</f>
        <v>-5.5877547847499986</v>
      </c>
      <c r="J125" s="41" t="str">
        <f t="shared" si="11"/>
        <v/>
      </c>
      <c r="M125">
        <f>SUMIFS('Corporate activity'!$H:$H,'Corporate activity'!$D:$D,Formulas!$L125,'Corporate activity'!$C:$C,Formulas!M$2)</f>
        <v>0</v>
      </c>
      <c r="N125">
        <f>SUMIFS('Corporate activity'!$H:$H,'Corporate activity'!$D:$D,Formulas!$L125,'Corporate activity'!$C:$C,Formulas!N$2)</f>
        <v>0</v>
      </c>
      <c r="O125">
        <f>SUMIFS('Corporate activity'!$H:$H,'Corporate activity'!$D:$D,Formulas!$L125,'Corporate activity'!$C:$C,Formulas!O$2)</f>
        <v>0</v>
      </c>
      <c r="P125">
        <f t="shared" si="15"/>
        <v>0</v>
      </c>
      <c r="Q125" t="str">
        <f t="shared" si="13"/>
        <v/>
      </c>
    </row>
    <row r="126" spans="3:17" x14ac:dyDescent="0.25">
      <c r="C126">
        <f>SUMIFS(Issuance!$H:$H,Issuance!$D:$D,Formulas!$B126,Issuance!$C:$C,Formulas!C$2)</f>
        <v>0</v>
      </c>
      <c r="D126">
        <f>SUMIFS(Issuance!$H:$H,Issuance!$D:$D,Formulas!$B126,Issuance!$C:$C,Formulas!D$2)</f>
        <v>0</v>
      </c>
      <c r="E126">
        <f t="shared" si="14"/>
        <v>0</v>
      </c>
      <c r="F126" s="41" t="str">
        <f t="shared" si="10"/>
        <v/>
      </c>
      <c r="H126" t="str">
        <v>Golden Prospect Precious Metals</v>
      </c>
      <c r="I126">
        <f>SUMIFS(Buybacks!H:H,Buybacks!D:D,Formulas!H126)</f>
        <v>-16.787560666100003</v>
      </c>
      <c r="J126" s="41" t="str">
        <f t="shared" si="11"/>
        <v/>
      </c>
      <c r="M126">
        <f>SUMIFS('Corporate activity'!$H:$H,'Corporate activity'!$D:$D,Formulas!$L126,'Corporate activity'!$C:$C,Formulas!M$2)</f>
        <v>0</v>
      </c>
      <c r="N126">
        <f>SUMIFS('Corporate activity'!$H:$H,'Corporate activity'!$D:$D,Formulas!$L126,'Corporate activity'!$C:$C,Formulas!N$2)</f>
        <v>0</v>
      </c>
      <c r="O126">
        <f>SUMIFS('Corporate activity'!$H:$H,'Corporate activity'!$D:$D,Formulas!$L126,'Corporate activity'!$C:$C,Formulas!O$2)</f>
        <v>0</v>
      </c>
      <c r="P126">
        <f t="shared" si="15"/>
        <v>0</v>
      </c>
      <c r="Q126" t="str">
        <f t="shared" si="13"/>
        <v/>
      </c>
    </row>
    <row r="127" spans="3:17" x14ac:dyDescent="0.25">
      <c r="C127">
        <f>SUMIFS(Issuance!$H:$H,Issuance!$D:$D,Formulas!$B127,Issuance!$C:$C,Formulas!C$2)</f>
        <v>0</v>
      </c>
      <c r="D127">
        <f>SUMIFS(Issuance!$H:$H,Issuance!$D:$D,Formulas!$B127,Issuance!$C:$C,Formulas!D$2)</f>
        <v>0</v>
      </c>
      <c r="E127">
        <f t="shared" si="14"/>
        <v>0</v>
      </c>
      <c r="F127" s="41" t="str">
        <f t="shared" si="10"/>
        <v/>
      </c>
      <c r="H127" t="str">
        <v>Impax Environmental Markets</v>
      </c>
      <c r="I127">
        <f>SUMIFS(Buybacks!H:H,Buybacks!D:D,Formulas!H127)</f>
        <v>-14.599010765899996</v>
      </c>
      <c r="J127" s="41" t="str">
        <f t="shared" si="11"/>
        <v/>
      </c>
      <c r="M127">
        <f>SUMIFS('Corporate activity'!$H:$H,'Corporate activity'!$D:$D,Formulas!$L127,'Corporate activity'!$C:$C,Formulas!M$2)</f>
        <v>0</v>
      </c>
      <c r="N127">
        <f>SUMIFS('Corporate activity'!$H:$H,'Corporate activity'!$D:$D,Formulas!$L127,'Corporate activity'!$C:$C,Formulas!N$2)</f>
        <v>0</v>
      </c>
      <c r="O127">
        <f>SUMIFS('Corporate activity'!$H:$H,'Corporate activity'!$D:$D,Formulas!$L127,'Corporate activity'!$C:$C,Formulas!O$2)</f>
        <v>0</v>
      </c>
      <c r="P127">
        <f t="shared" si="15"/>
        <v>0</v>
      </c>
      <c r="Q127" t="str">
        <f t="shared" si="13"/>
        <v/>
      </c>
    </row>
    <row r="128" spans="3:17" x14ac:dyDescent="0.25">
      <c r="C128">
        <f>SUMIFS(Issuance!$H:$H,Issuance!$D:$D,Formulas!$B128,Issuance!$C:$C,Formulas!C$2)</f>
        <v>0</v>
      </c>
      <c r="D128">
        <f>SUMIFS(Issuance!$H:$H,Issuance!$D:$D,Formulas!$B128,Issuance!$C:$C,Formulas!D$2)</f>
        <v>0</v>
      </c>
      <c r="E128">
        <f t="shared" si="14"/>
        <v>0</v>
      </c>
      <c r="F128" s="41" t="str">
        <f t="shared" si="10"/>
        <v/>
      </c>
      <c r="H128" t="str">
        <v>International Biotechnology</v>
      </c>
      <c r="I128">
        <f>SUMIFS(Buybacks!H:H,Buybacks!D:D,Formulas!H128)</f>
        <v>-2.6142289000000001</v>
      </c>
      <c r="J128" s="41" t="str">
        <f t="shared" si="11"/>
        <v/>
      </c>
      <c r="M128">
        <f>SUMIFS('Corporate activity'!$H:$H,'Corporate activity'!$D:$D,Formulas!$L128,'Corporate activity'!$C:$C,Formulas!M$2)</f>
        <v>0</v>
      </c>
      <c r="N128">
        <f>SUMIFS('Corporate activity'!$H:$H,'Corporate activity'!$D:$D,Formulas!$L128,'Corporate activity'!$C:$C,Formulas!N$2)</f>
        <v>0</v>
      </c>
      <c r="O128">
        <f>SUMIFS('Corporate activity'!$H:$H,'Corporate activity'!$D:$D,Formulas!$L128,'Corporate activity'!$C:$C,Formulas!O$2)</f>
        <v>0</v>
      </c>
      <c r="P128">
        <f t="shared" si="15"/>
        <v>0</v>
      </c>
      <c r="Q128" t="str">
        <f t="shared" si="13"/>
        <v/>
      </c>
    </row>
    <row r="129" spans="3:17" x14ac:dyDescent="0.25">
      <c r="C129">
        <f>SUMIFS(Issuance!$H:$H,Issuance!$D:$D,Formulas!$B129,Issuance!$C:$C,Formulas!C$2)</f>
        <v>0</v>
      </c>
      <c r="D129">
        <f>SUMIFS(Issuance!$H:$H,Issuance!$D:$D,Formulas!$B129,Issuance!$C:$C,Formulas!D$2)</f>
        <v>0</v>
      </c>
      <c r="E129">
        <f t="shared" si="14"/>
        <v>0</v>
      </c>
      <c r="F129" s="41" t="str">
        <f t="shared" si="10"/>
        <v/>
      </c>
      <c r="H129" t="str">
        <v>JPMorgan Emerging Markets Dividend Income</v>
      </c>
      <c r="I129">
        <f>SUMIFS(Buybacks!H:H,Buybacks!D:D,Formulas!H129)</f>
        <v>-8.972516946699999</v>
      </c>
      <c r="J129" s="41" t="str">
        <f t="shared" si="11"/>
        <v/>
      </c>
      <c r="M129">
        <f>SUMIFS('Corporate activity'!$H:$H,'Corporate activity'!$D:$D,Formulas!$L129,'Corporate activity'!$C:$C,Formulas!M$2)</f>
        <v>0</v>
      </c>
      <c r="N129">
        <f>SUMIFS('Corporate activity'!$H:$H,'Corporate activity'!$D:$D,Formulas!$L129,'Corporate activity'!$C:$C,Formulas!N$2)</f>
        <v>0</v>
      </c>
      <c r="O129">
        <f>SUMIFS('Corporate activity'!$H:$H,'Corporate activity'!$D:$D,Formulas!$L129,'Corporate activity'!$C:$C,Formulas!O$2)</f>
        <v>0</v>
      </c>
      <c r="P129">
        <f t="shared" si="15"/>
        <v>0</v>
      </c>
      <c r="Q129" t="str">
        <f t="shared" si="13"/>
        <v/>
      </c>
    </row>
    <row r="130" spans="3:17" x14ac:dyDescent="0.25">
      <c r="C130">
        <f>SUMIFS(Issuance!$H:$H,Issuance!$D:$D,Formulas!$B130,Issuance!$C:$C,Formulas!C$2)</f>
        <v>0</v>
      </c>
      <c r="D130">
        <f>SUMIFS(Issuance!$H:$H,Issuance!$D:$D,Formulas!$B130,Issuance!$C:$C,Formulas!D$2)</f>
        <v>0</v>
      </c>
      <c r="E130">
        <f t="shared" si="14"/>
        <v>0</v>
      </c>
      <c r="F130" s="41" t="str">
        <f t="shared" si="10"/>
        <v/>
      </c>
      <c r="H130" t="str">
        <v>Rights &amp; Issues Investment Trust</v>
      </c>
      <c r="I130">
        <f>SUMIFS(Buybacks!H:H,Buybacks!D:D,Formulas!H130)</f>
        <v>-2.5584589148100001</v>
      </c>
      <c r="J130" s="41" t="str">
        <f t="shared" si="11"/>
        <v/>
      </c>
      <c r="M130">
        <f>SUMIFS('Corporate activity'!$H:$H,'Corporate activity'!$D:$D,Formulas!$L130,'Corporate activity'!$C:$C,Formulas!M$2)</f>
        <v>0</v>
      </c>
      <c r="N130">
        <f>SUMIFS('Corporate activity'!$H:$H,'Corporate activity'!$D:$D,Formulas!$L130,'Corporate activity'!$C:$C,Formulas!N$2)</f>
        <v>0</v>
      </c>
      <c r="O130">
        <f>SUMIFS('Corporate activity'!$H:$H,'Corporate activity'!$D:$D,Formulas!$L130,'Corporate activity'!$C:$C,Formulas!O$2)</f>
        <v>0</v>
      </c>
      <c r="P130">
        <f t="shared" si="15"/>
        <v>0</v>
      </c>
      <c r="Q130" t="str">
        <f t="shared" si="13"/>
        <v/>
      </c>
    </row>
    <row r="131" spans="3:17" x14ac:dyDescent="0.25">
      <c r="C131">
        <f>SUMIFS(Issuance!$H:$H,Issuance!$D:$D,Formulas!$B131,Issuance!$C:$C,Formulas!C$2)</f>
        <v>0</v>
      </c>
      <c r="D131">
        <f>SUMIFS(Issuance!$H:$H,Issuance!$D:$D,Formulas!$B131,Issuance!$C:$C,Formulas!D$2)</f>
        <v>0</v>
      </c>
      <c r="E131">
        <f t="shared" si="14"/>
        <v>0</v>
      </c>
      <c r="F131" s="41" t="str">
        <f t="shared" si="10"/>
        <v/>
      </c>
      <c r="H131" t="str">
        <v>Schroder Asian Total Return</v>
      </c>
      <c r="I131">
        <f>SUMIFS(Buybacks!H:H,Buybacks!D:D,Formulas!H131)</f>
        <v>-6.3116108238999997</v>
      </c>
      <c r="J131" s="41" t="str">
        <f t="shared" si="11"/>
        <v/>
      </c>
      <c r="M131">
        <f>SUMIFS('Corporate activity'!$H:$H,'Corporate activity'!$D:$D,Formulas!$L131,'Corporate activity'!$C:$C,Formulas!M$2)</f>
        <v>0</v>
      </c>
      <c r="N131">
        <f>SUMIFS('Corporate activity'!$H:$H,'Corporate activity'!$D:$D,Formulas!$L131,'Corporate activity'!$C:$C,Formulas!N$2)</f>
        <v>0</v>
      </c>
      <c r="O131">
        <f>SUMIFS('Corporate activity'!$H:$H,'Corporate activity'!$D:$D,Formulas!$L131,'Corporate activity'!$C:$C,Formulas!O$2)</f>
        <v>0</v>
      </c>
      <c r="P131">
        <f t="shared" si="15"/>
        <v>0</v>
      </c>
      <c r="Q131" t="str">
        <f t="shared" si="13"/>
        <v/>
      </c>
    </row>
    <row r="132" spans="3:17" x14ac:dyDescent="0.25">
      <c r="C132">
        <f>SUMIFS(Issuance!$H:$H,Issuance!$D:$D,Formulas!$B132,Issuance!$C:$C,Formulas!C$2)</f>
        <v>0</v>
      </c>
      <c r="D132">
        <f>SUMIFS(Issuance!$H:$H,Issuance!$D:$D,Formulas!$B132,Issuance!$C:$C,Formulas!D$2)</f>
        <v>0</v>
      </c>
      <c r="E132">
        <f t="shared" si="14"/>
        <v>0</v>
      </c>
      <c r="F132" s="41" t="str">
        <f t="shared" ref="F132:F195" si="16">IF(OR(B132="",B132=0,E132=0),"",IF(COUNTIFS($E$3:$E$500,"&gt;"&amp;E132,$E$3:$E$500,"&lt;&gt;0")+1&lt;=20,COUNTIFS($E$3:$E$500,"&gt;"&amp;E132,$E$3:$E$500,"&lt;&gt;0")+1,""))</f>
        <v/>
      </c>
      <c r="H132" t="str">
        <v>3i Group</v>
      </c>
      <c r="I132">
        <f>SUMIFS(Buybacks!H:H,Buybacks!D:D,Formulas!H132)</f>
        <v>-359.54513396730005</v>
      </c>
      <c r="J132" s="41">
        <f t="shared" ref="J132:J195" si="17">IF(OR(H132="",H132=0,I132=0),"",IF(COUNTIFS($I$3:$I$500,"&lt;"&amp;I132,$I$3:$I$500,"&lt;&gt;0")+1&lt;=20,COUNTIFS($I$3:$I$500,"&lt;"&amp;I132,$I$3:$I$500,"&lt;&gt;0")+1,""))</f>
        <v>2</v>
      </c>
      <c r="M132">
        <f>SUMIFS('Corporate activity'!$H:$H,'Corporate activity'!$D:$D,Formulas!$L132,'Corporate activity'!$C:$C,Formulas!M$2)</f>
        <v>0</v>
      </c>
      <c r="N132">
        <f>SUMIFS('Corporate activity'!$H:$H,'Corporate activity'!$D:$D,Formulas!$L132,'Corporate activity'!$C:$C,Formulas!N$2)</f>
        <v>0</v>
      </c>
      <c r="O132">
        <f>SUMIFS('Corporate activity'!$H:$H,'Corporate activity'!$D:$D,Formulas!$L132,'Corporate activity'!$C:$C,Formulas!O$2)</f>
        <v>0</v>
      </c>
      <c r="P132">
        <f t="shared" si="15"/>
        <v>0</v>
      </c>
      <c r="Q132" t="str">
        <f t="shared" si="13"/>
        <v/>
      </c>
    </row>
    <row r="133" spans="3:17" x14ac:dyDescent="0.25">
      <c r="C133">
        <f>SUMIFS(Issuance!$H:$H,Issuance!$D:$D,Formulas!$B133,Issuance!$C:$C,Formulas!C$2)</f>
        <v>0</v>
      </c>
      <c r="D133">
        <f>SUMIFS(Issuance!$H:$H,Issuance!$D:$D,Formulas!$B133,Issuance!$C:$C,Formulas!D$2)</f>
        <v>0</v>
      </c>
      <c r="E133">
        <f t="shared" si="14"/>
        <v>0</v>
      </c>
      <c r="F133" s="41" t="str">
        <f t="shared" si="16"/>
        <v/>
      </c>
      <c r="H133" t="str">
        <v>BlackRock Smaller Companies</v>
      </c>
      <c r="I133">
        <f>SUMIFS(Buybacks!H:H,Buybacks!D:D,Formulas!H133)</f>
        <v>-9.9970125000000039</v>
      </c>
      <c r="J133" s="41" t="str">
        <f t="shared" si="17"/>
        <v/>
      </c>
      <c r="M133">
        <f>SUMIFS('Corporate activity'!$H:$H,'Corporate activity'!$D:$D,Formulas!$L133,'Corporate activity'!$C:$C,Formulas!M$2)</f>
        <v>0</v>
      </c>
      <c r="N133">
        <f>SUMIFS('Corporate activity'!$H:$H,'Corporate activity'!$D:$D,Formulas!$L133,'Corporate activity'!$C:$C,Formulas!N$2)</f>
        <v>0</v>
      </c>
      <c r="O133">
        <f>SUMIFS('Corporate activity'!$H:$H,'Corporate activity'!$D:$D,Formulas!$L133,'Corporate activity'!$C:$C,Formulas!O$2)</f>
        <v>0</v>
      </c>
      <c r="P133">
        <f t="shared" si="15"/>
        <v>0</v>
      </c>
      <c r="Q133" t="str">
        <f t="shared" si="13"/>
        <v/>
      </c>
    </row>
    <row r="134" spans="3:17" x14ac:dyDescent="0.25">
      <c r="C134">
        <f>SUMIFS(Issuance!$H:$H,Issuance!$D:$D,Formulas!$B134,Issuance!$C:$C,Formulas!C$2)</f>
        <v>0</v>
      </c>
      <c r="D134">
        <f>SUMIFS(Issuance!$H:$H,Issuance!$D:$D,Formulas!$B134,Issuance!$C:$C,Formulas!D$2)</f>
        <v>0</v>
      </c>
      <c r="E134">
        <f t="shared" si="14"/>
        <v>0</v>
      </c>
      <c r="F134" s="41" t="str">
        <f t="shared" si="16"/>
        <v/>
      </c>
      <c r="H134" t="str">
        <v>CT Global Managed Portfolio Growth</v>
      </c>
      <c r="I134">
        <f>SUMIFS(Buybacks!H:H,Buybacks!D:D,Formulas!H134)</f>
        <v>-0.312</v>
      </c>
      <c r="J134" s="41" t="str">
        <f t="shared" si="17"/>
        <v/>
      </c>
      <c r="M134">
        <f>SUMIFS('Corporate activity'!$H:$H,'Corporate activity'!$D:$D,Formulas!$L134,'Corporate activity'!$C:$C,Formulas!M$2)</f>
        <v>0</v>
      </c>
      <c r="N134">
        <f>SUMIFS('Corporate activity'!$H:$H,'Corporate activity'!$D:$D,Formulas!$L134,'Corporate activity'!$C:$C,Formulas!N$2)</f>
        <v>0</v>
      </c>
      <c r="O134">
        <f>SUMIFS('Corporate activity'!$H:$H,'Corporate activity'!$D:$D,Formulas!$L134,'Corporate activity'!$C:$C,Formulas!O$2)</f>
        <v>0</v>
      </c>
      <c r="P134">
        <f t="shared" si="15"/>
        <v>0</v>
      </c>
      <c r="Q134" t="str">
        <f t="shared" si="13"/>
        <v/>
      </c>
    </row>
    <row r="135" spans="3:17" x14ac:dyDescent="0.25">
      <c r="C135">
        <f>SUMIFS(Issuance!$H:$H,Issuance!$D:$D,Formulas!$B135,Issuance!$C:$C,Formulas!C$2)</f>
        <v>0</v>
      </c>
      <c r="D135">
        <f>SUMIFS(Issuance!$H:$H,Issuance!$D:$D,Formulas!$B135,Issuance!$C:$C,Formulas!D$2)</f>
        <v>0</v>
      </c>
      <c r="E135">
        <f t="shared" si="14"/>
        <v>0</v>
      </c>
      <c r="F135" s="41" t="str">
        <f t="shared" si="16"/>
        <v/>
      </c>
      <c r="H135" t="str">
        <v>Lowland</v>
      </c>
      <c r="I135">
        <f>SUMIFS(Buybacks!H:H,Buybacks!D:D,Formulas!H135)</f>
        <v>-1.60447347129</v>
      </c>
      <c r="J135" s="41" t="str">
        <f t="shared" si="17"/>
        <v/>
      </c>
      <c r="M135">
        <f>SUMIFS('Corporate activity'!$H:$H,'Corporate activity'!$D:$D,Formulas!$L135,'Corporate activity'!$C:$C,Formulas!M$2)</f>
        <v>0</v>
      </c>
      <c r="N135">
        <f>SUMIFS('Corporate activity'!$H:$H,'Corporate activity'!$D:$D,Formulas!$L135,'Corporate activity'!$C:$C,Formulas!N$2)</f>
        <v>0</v>
      </c>
      <c r="O135">
        <f>SUMIFS('Corporate activity'!$H:$H,'Corporate activity'!$D:$D,Formulas!$L135,'Corporate activity'!$C:$C,Formulas!O$2)</f>
        <v>0</v>
      </c>
      <c r="P135">
        <f t="shared" si="15"/>
        <v>0</v>
      </c>
      <c r="Q135" t="str">
        <f t="shared" si="13"/>
        <v/>
      </c>
    </row>
    <row r="136" spans="3:17" x14ac:dyDescent="0.25">
      <c r="C136">
        <f>SUMIFS(Issuance!$H:$H,Issuance!$D:$D,Formulas!$B136,Issuance!$C:$C,Formulas!C$2)</f>
        <v>0</v>
      </c>
      <c r="D136">
        <f>SUMIFS(Issuance!$H:$H,Issuance!$D:$D,Formulas!$B136,Issuance!$C:$C,Formulas!D$2)</f>
        <v>0</v>
      </c>
      <c r="E136">
        <f t="shared" si="14"/>
        <v>0</v>
      </c>
      <c r="F136" s="41" t="str">
        <f t="shared" si="16"/>
        <v/>
      </c>
      <c r="H136" t="str">
        <v>Geiger Counter</v>
      </c>
      <c r="I136">
        <f>SUMIFS(Buybacks!H:H,Buybacks!D:D,Formulas!H136)</f>
        <v>-4.9848053516999995</v>
      </c>
      <c r="J136" s="41" t="str">
        <f t="shared" si="17"/>
        <v/>
      </c>
      <c r="M136">
        <f>SUMIFS('Corporate activity'!$H:$H,'Corporate activity'!$D:$D,Formulas!$L136,'Corporate activity'!$C:$C,Formulas!M$2)</f>
        <v>0</v>
      </c>
      <c r="N136">
        <f>SUMIFS('Corporate activity'!$H:$H,'Corporate activity'!$D:$D,Formulas!$L136,'Corporate activity'!$C:$C,Formulas!N$2)</f>
        <v>0</v>
      </c>
      <c r="O136">
        <f>SUMIFS('Corporate activity'!$H:$H,'Corporate activity'!$D:$D,Formulas!$L136,'Corporate activity'!$C:$C,Formulas!O$2)</f>
        <v>0</v>
      </c>
      <c r="P136">
        <f t="shared" si="15"/>
        <v>0</v>
      </c>
      <c r="Q136" t="str">
        <f t="shared" si="13"/>
        <v/>
      </c>
    </row>
    <row r="137" spans="3:17" x14ac:dyDescent="0.25">
      <c r="C137">
        <f>SUMIFS(Issuance!$H:$H,Issuance!$D:$D,Formulas!$B137,Issuance!$C:$C,Formulas!C$2)</f>
        <v>0</v>
      </c>
      <c r="D137">
        <f>SUMIFS(Issuance!$H:$H,Issuance!$D:$D,Formulas!$B137,Issuance!$C:$C,Formulas!D$2)</f>
        <v>0</v>
      </c>
      <c r="E137">
        <f t="shared" si="14"/>
        <v>0</v>
      </c>
      <c r="F137" s="41" t="str">
        <f t="shared" si="16"/>
        <v/>
      </c>
      <c r="H137" t="str">
        <v>Neuberger Private Equity Partners</v>
      </c>
      <c r="I137">
        <f>SUMIFS(Buybacks!H:H,Buybacks!D:D,Formulas!H137)</f>
        <v>-9.8309985700000002</v>
      </c>
      <c r="J137" s="41" t="str">
        <f t="shared" si="17"/>
        <v/>
      </c>
      <c r="M137">
        <f>SUMIFS('Corporate activity'!$H:$H,'Corporate activity'!$D:$D,Formulas!$L137,'Corporate activity'!$C:$C,Formulas!M$2)</f>
        <v>0</v>
      </c>
      <c r="N137">
        <f>SUMIFS('Corporate activity'!$H:$H,'Corporate activity'!$D:$D,Formulas!$L137,'Corporate activity'!$C:$C,Formulas!N$2)</f>
        <v>0</v>
      </c>
      <c r="O137">
        <f>SUMIFS('Corporate activity'!$H:$H,'Corporate activity'!$D:$D,Formulas!$L137,'Corporate activity'!$C:$C,Formulas!O$2)</f>
        <v>0</v>
      </c>
      <c r="P137">
        <f t="shared" si="15"/>
        <v>0</v>
      </c>
      <c r="Q137" t="str">
        <f t="shared" si="13"/>
        <v/>
      </c>
    </row>
    <row r="138" spans="3:17" x14ac:dyDescent="0.25">
      <c r="C138">
        <f>SUMIFS(Issuance!$H:$H,Issuance!$D:$D,Formulas!$B138,Issuance!$C:$C,Formulas!C$2)</f>
        <v>0</v>
      </c>
      <c r="D138">
        <f>SUMIFS(Issuance!$H:$H,Issuance!$D:$D,Formulas!$B138,Issuance!$C:$C,Formulas!D$2)</f>
        <v>0</v>
      </c>
      <c r="E138">
        <f t="shared" si="14"/>
        <v>0</v>
      </c>
      <c r="F138" s="41" t="str">
        <f t="shared" si="16"/>
        <v/>
      </c>
      <c r="H138" t="str">
        <v>Schiehallion Fund</v>
      </c>
      <c r="I138">
        <f>SUMIFS(Buybacks!H:H,Buybacks!D:D,Formulas!H138)</f>
        <v>-1.2668900000000001</v>
      </c>
      <c r="J138" s="41" t="str">
        <f t="shared" si="17"/>
        <v/>
      </c>
      <c r="M138">
        <f>SUMIFS('Corporate activity'!$H:$H,'Corporate activity'!$D:$D,Formulas!$L138,'Corporate activity'!$C:$C,Formulas!M$2)</f>
        <v>0</v>
      </c>
      <c r="N138">
        <f>SUMIFS('Corporate activity'!$H:$H,'Corporate activity'!$D:$D,Formulas!$L138,'Corporate activity'!$C:$C,Formulas!N$2)</f>
        <v>0</v>
      </c>
      <c r="O138">
        <f>SUMIFS('Corporate activity'!$H:$H,'Corporate activity'!$D:$D,Formulas!$L138,'Corporate activity'!$C:$C,Formulas!O$2)</f>
        <v>0</v>
      </c>
      <c r="P138">
        <f t="shared" si="15"/>
        <v>0</v>
      </c>
      <c r="Q138" t="str">
        <f t="shared" si="13"/>
        <v/>
      </c>
    </row>
    <row r="139" spans="3:17" x14ac:dyDescent="0.25">
      <c r="C139">
        <f>SUMIFS(Issuance!$H:$H,Issuance!$D:$D,Formulas!$B139,Issuance!$C:$C,Formulas!C$2)</f>
        <v>0</v>
      </c>
      <c r="D139">
        <f>SUMIFS(Issuance!$H:$H,Issuance!$D:$D,Formulas!$B139,Issuance!$C:$C,Formulas!D$2)</f>
        <v>0</v>
      </c>
      <c r="E139">
        <f t="shared" si="14"/>
        <v>0</v>
      </c>
      <c r="F139" s="41" t="str">
        <f t="shared" si="16"/>
        <v/>
      </c>
      <c r="H139" t="str">
        <v>CT Private Equity Trust</v>
      </c>
      <c r="I139">
        <f>SUMIFS(Buybacks!H:H,Buybacks!D:D,Formulas!H139)</f>
        <v>-0.49714587199999999</v>
      </c>
      <c r="J139" s="41" t="str">
        <f t="shared" si="17"/>
        <v/>
      </c>
      <c r="M139">
        <f>SUMIFS('Corporate activity'!$H:$H,'Corporate activity'!$D:$D,Formulas!$L139,'Corporate activity'!$C:$C,Formulas!M$2)</f>
        <v>0</v>
      </c>
      <c r="N139">
        <f>SUMIFS('Corporate activity'!$H:$H,'Corporate activity'!$D:$D,Formulas!$L139,'Corporate activity'!$C:$C,Formulas!N$2)</f>
        <v>0</v>
      </c>
      <c r="O139">
        <f>SUMIFS('Corporate activity'!$H:$H,'Corporate activity'!$D:$D,Formulas!$L139,'Corporate activity'!$C:$C,Formulas!O$2)</f>
        <v>0</v>
      </c>
      <c r="P139">
        <f t="shared" si="15"/>
        <v>0</v>
      </c>
      <c r="Q139" t="str">
        <f t="shared" si="13"/>
        <v/>
      </c>
    </row>
    <row r="140" spans="3:17" x14ac:dyDescent="0.25">
      <c r="C140">
        <f>SUMIFS(Issuance!$H:$H,Issuance!$D:$D,Formulas!$B140,Issuance!$C:$C,Formulas!C$2)</f>
        <v>0</v>
      </c>
      <c r="D140">
        <f>SUMIFS(Issuance!$H:$H,Issuance!$D:$D,Formulas!$B140,Issuance!$C:$C,Formulas!D$2)</f>
        <v>0</v>
      </c>
      <c r="E140">
        <f t="shared" si="14"/>
        <v>0</v>
      </c>
      <c r="F140" s="41" t="str">
        <f t="shared" si="16"/>
        <v/>
      </c>
      <c r="H140" t="str">
        <v>UIL</v>
      </c>
      <c r="I140">
        <f>SUMIFS(Buybacks!H:H,Buybacks!D:D,Formulas!H140)</f>
        <v>-7.0315000000000003E-2</v>
      </c>
      <c r="J140" s="41" t="str">
        <f t="shared" si="17"/>
        <v/>
      </c>
      <c r="M140">
        <f>SUMIFS('Corporate activity'!$H:$H,'Corporate activity'!$D:$D,Formulas!$L140,'Corporate activity'!$C:$C,Formulas!M$2)</f>
        <v>0</v>
      </c>
      <c r="N140">
        <f>SUMIFS('Corporate activity'!$H:$H,'Corporate activity'!$D:$D,Formulas!$L140,'Corporate activity'!$C:$C,Formulas!N$2)</f>
        <v>0</v>
      </c>
      <c r="O140">
        <f>SUMIFS('Corporate activity'!$H:$H,'Corporate activity'!$D:$D,Formulas!$L140,'Corporate activity'!$C:$C,Formulas!O$2)</f>
        <v>0</v>
      </c>
      <c r="P140">
        <f t="shared" si="15"/>
        <v>0</v>
      </c>
      <c r="Q140" t="str">
        <f t="shared" si="13"/>
        <v/>
      </c>
    </row>
    <row r="141" spans="3:17" x14ac:dyDescent="0.25">
      <c r="C141">
        <f>SUMIFS(Issuance!$H:$H,Issuance!$D:$D,Formulas!$B141,Issuance!$C:$C,Formulas!C$2)</f>
        <v>0</v>
      </c>
      <c r="D141">
        <f>SUMIFS(Issuance!$H:$H,Issuance!$D:$D,Formulas!$B141,Issuance!$C:$C,Formulas!D$2)</f>
        <v>0</v>
      </c>
      <c r="E141">
        <f t="shared" si="14"/>
        <v>0</v>
      </c>
      <c r="F141" s="41" t="str">
        <f t="shared" si="16"/>
        <v/>
      </c>
      <c r="H141">
        <v>0</v>
      </c>
      <c r="I141">
        <f>SUMIFS(Buybacks!H:H,Buybacks!D:D,Formulas!H141)</f>
        <v>0</v>
      </c>
      <c r="J141" s="41" t="str">
        <f t="shared" si="17"/>
        <v/>
      </c>
      <c r="M141">
        <f>SUMIFS('Corporate activity'!$H:$H,'Corporate activity'!$D:$D,Formulas!$L141,'Corporate activity'!$C:$C,Formulas!M$2)</f>
        <v>0</v>
      </c>
      <c r="N141">
        <f>SUMIFS('Corporate activity'!$H:$H,'Corporate activity'!$D:$D,Formulas!$L141,'Corporate activity'!$C:$C,Formulas!N$2)</f>
        <v>0</v>
      </c>
      <c r="O141">
        <f>SUMIFS('Corporate activity'!$H:$H,'Corporate activity'!$D:$D,Formulas!$L141,'Corporate activity'!$C:$C,Formulas!O$2)</f>
        <v>0</v>
      </c>
      <c r="P141">
        <f t="shared" si="15"/>
        <v>0</v>
      </c>
      <c r="Q141" t="str">
        <f t="shared" si="13"/>
        <v/>
      </c>
    </row>
    <row r="142" spans="3:17" x14ac:dyDescent="0.25">
      <c r="C142">
        <f>SUMIFS(Issuance!$H:$H,Issuance!$D:$D,Formulas!$B142,Issuance!$C:$C,Formulas!C$2)</f>
        <v>0</v>
      </c>
      <c r="D142">
        <f>SUMIFS(Issuance!$H:$H,Issuance!$D:$D,Formulas!$B142,Issuance!$C:$C,Formulas!D$2)</f>
        <v>0</v>
      </c>
      <c r="E142">
        <f t="shared" si="14"/>
        <v>0</v>
      </c>
      <c r="F142" s="41" t="str">
        <f t="shared" si="16"/>
        <v/>
      </c>
      <c r="I142">
        <f>SUMIFS(Buybacks!H:H,Buybacks!D:D,Formulas!H142)</f>
        <v>0</v>
      </c>
      <c r="J142" s="41" t="str">
        <f t="shared" si="17"/>
        <v/>
      </c>
      <c r="M142">
        <f>SUMIFS('Corporate activity'!$H:$H,'Corporate activity'!$D:$D,Formulas!$L142,'Corporate activity'!$C:$C,Formulas!M$2)</f>
        <v>0</v>
      </c>
      <c r="N142">
        <f>SUMIFS('Corporate activity'!$H:$H,'Corporate activity'!$D:$D,Formulas!$L142,'Corporate activity'!$C:$C,Formulas!N$2)</f>
        <v>0</v>
      </c>
      <c r="O142">
        <f>SUMIFS('Corporate activity'!$H:$H,'Corporate activity'!$D:$D,Formulas!$L142,'Corporate activity'!$C:$C,Formulas!O$2)</f>
        <v>0</v>
      </c>
      <c r="P142">
        <f t="shared" si="15"/>
        <v>0</v>
      </c>
      <c r="Q142" t="str">
        <f t="shared" si="13"/>
        <v/>
      </c>
    </row>
    <row r="143" spans="3:17" x14ac:dyDescent="0.25">
      <c r="C143">
        <f>SUMIFS(Issuance!$H:$H,Issuance!$D:$D,Formulas!$B143,Issuance!$C:$C,Formulas!C$2)</f>
        <v>0</v>
      </c>
      <c r="D143">
        <f>SUMIFS(Issuance!$H:$H,Issuance!$D:$D,Formulas!$B143,Issuance!$C:$C,Formulas!D$2)</f>
        <v>0</v>
      </c>
      <c r="E143">
        <f t="shared" si="14"/>
        <v>0</v>
      </c>
      <c r="F143" s="41" t="str">
        <f t="shared" si="16"/>
        <v/>
      </c>
      <c r="I143">
        <f>SUMIFS(Buybacks!H:H,Buybacks!D:D,Formulas!H143)</f>
        <v>0</v>
      </c>
      <c r="J143" s="41" t="str">
        <f t="shared" si="17"/>
        <v/>
      </c>
      <c r="M143">
        <f>SUMIFS('Corporate activity'!$H:$H,'Corporate activity'!$D:$D,Formulas!$L143,'Corporate activity'!$C:$C,Formulas!M$2)</f>
        <v>0</v>
      </c>
      <c r="N143">
        <f>SUMIFS('Corporate activity'!$H:$H,'Corporate activity'!$D:$D,Formulas!$L143,'Corporate activity'!$C:$C,Formulas!N$2)</f>
        <v>0</v>
      </c>
      <c r="O143">
        <f>SUMIFS('Corporate activity'!$H:$H,'Corporate activity'!$D:$D,Formulas!$L143,'Corporate activity'!$C:$C,Formulas!O$2)</f>
        <v>0</v>
      </c>
      <c r="P143">
        <f t="shared" si="15"/>
        <v>0</v>
      </c>
      <c r="Q143" t="str">
        <f t="shared" si="13"/>
        <v/>
      </c>
    </row>
    <row r="144" spans="3:17" x14ac:dyDescent="0.25">
      <c r="C144">
        <f>SUMIFS(Issuance!$H:$H,Issuance!$D:$D,Formulas!$B144,Issuance!$C:$C,Formulas!C$2)</f>
        <v>0</v>
      </c>
      <c r="D144">
        <f>SUMIFS(Issuance!$H:$H,Issuance!$D:$D,Formulas!$B144,Issuance!$C:$C,Formulas!D$2)</f>
        <v>0</v>
      </c>
      <c r="E144">
        <f t="shared" si="14"/>
        <v>0</v>
      </c>
      <c r="F144" s="41" t="str">
        <f t="shared" si="16"/>
        <v/>
      </c>
      <c r="I144">
        <f>SUMIFS(Buybacks!H:H,Buybacks!D:D,Formulas!H144)</f>
        <v>0</v>
      </c>
      <c r="J144" s="41" t="str">
        <f t="shared" si="17"/>
        <v/>
      </c>
      <c r="M144">
        <f>SUMIFS('Corporate activity'!$H:$H,'Corporate activity'!$D:$D,Formulas!$L144,'Corporate activity'!$C:$C,Formulas!M$2)</f>
        <v>0</v>
      </c>
      <c r="N144">
        <f>SUMIFS('Corporate activity'!$H:$H,'Corporate activity'!$D:$D,Formulas!$L144,'Corporate activity'!$C:$C,Formulas!N$2)</f>
        <v>0</v>
      </c>
      <c r="O144">
        <f>SUMIFS('Corporate activity'!$H:$H,'Corporate activity'!$D:$D,Formulas!$L144,'Corporate activity'!$C:$C,Formulas!O$2)</f>
        <v>0</v>
      </c>
      <c r="P144">
        <f t="shared" si="15"/>
        <v>0</v>
      </c>
      <c r="Q144" t="str">
        <f t="shared" si="13"/>
        <v/>
      </c>
    </row>
    <row r="145" spans="3:17" x14ac:dyDescent="0.25">
      <c r="C145">
        <f>SUMIFS(Issuance!$H:$H,Issuance!$D:$D,Formulas!$B145,Issuance!$C:$C,Formulas!C$2)</f>
        <v>0</v>
      </c>
      <c r="D145">
        <f>SUMIFS(Issuance!$H:$H,Issuance!$D:$D,Formulas!$B145,Issuance!$C:$C,Formulas!D$2)</f>
        <v>0</v>
      </c>
      <c r="E145">
        <f t="shared" si="14"/>
        <v>0</v>
      </c>
      <c r="F145" s="41" t="str">
        <f t="shared" si="16"/>
        <v/>
      </c>
      <c r="I145">
        <f>SUMIFS(Buybacks!H:H,Buybacks!D:D,Formulas!H145)</f>
        <v>0</v>
      </c>
      <c r="J145" s="41" t="str">
        <f t="shared" si="17"/>
        <v/>
      </c>
      <c r="M145">
        <f>SUMIFS('Corporate activity'!$H:$H,'Corporate activity'!$D:$D,Formulas!$L145,'Corporate activity'!$C:$C,Formulas!M$2)</f>
        <v>0</v>
      </c>
      <c r="N145">
        <f>SUMIFS('Corporate activity'!$H:$H,'Corporate activity'!$D:$D,Formulas!$L145,'Corporate activity'!$C:$C,Formulas!N$2)</f>
        <v>0</v>
      </c>
      <c r="O145">
        <f>SUMIFS('Corporate activity'!$H:$H,'Corporate activity'!$D:$D,Formulas!$L145,'Corporate activity'!$C:$C,Formulas!O$2)</f>
        <v>0</v>
      </c>
      <c r="P145">
        <f t="shared" si="15"/>
        <v>0</v>
      </c>
      <c r="Q145" t="str">
        <f t="shared" si="13"/>
        <v/>
      </c>
    </row>
    <row r="146" spans="3:17" x14ac:dyDescent="0.25">
      <c r="C146">
        <f>SUMIFS(Issuance!$H:$H,Issuance!$D:$D,Formulas!$B146,Issuance!$C:$C,Formulas!C$2)</f>
        <v>0</v>
      </c>
      <c r="D146">
        <f>SUMIFS(Issuance!$H:$H,Issuance!$D:$D,Formulas!$B146,Issuance!$C:$C,Formulas!D$2)</f>
        <v>0</v>
      </c>
      <c r="E146">
        <f t="shared" si="14"/>
        <v>0</v>
      </c>
      <c r="F146" s="41" t="str">
        <f t="shared" si="16"/>
        <v/>
      </c>
      <c r="I146">
        <f>SUMIFS(Buybacks!H:H,Buybacks!D:D,Formulas!H146)</f>
        <v>0</v>
      </c>
      <c r="J146" s="41" t="str">
        <f t="shared" si="17"/>
        <v/>
      </c>
      <c r="M146">
        <f>SUMIFS('Corporate activity'!$H:$H,'Corporate activity'!$D:$D,Formulas!$L146,'Corporate activity'!$C:$C,Formulas!M$2)</f>
        <v>0</v>
      </c>
      <c r="N146">
        <f>SUMIFS('Corporate activity'!$H:$H,'Corporate activity'!$D:$D,Formulas!$L146,'Corporate activity'!$C:$C,Formulas!N$2)</f>
        <v>0</v>
      </c>
      <c r="O146">
        <f>SUMIFS('Corporate activity'!$H:$H,'Corporate activity'!$D:$D,Formulas!$L146,'Corporate activity'!$C:$C,Formulas!O$2)</f>
        <v>0</v>
      </c>
      <c r="P146">
        <f t="shared" si="15"/>
        <v>0</v>
      </c>
      <c r="Q146" t="str">
        <f t="shared" si="13"/>
        <v/>
      </c>
    </row>
    <row r="147" spans="3:17" x14ac:dyDescent="0.25">
      <c r="C147">
        <f>SUMIFS(Issuance!$H:$H,Issuance!$D:$D,Formulas!$B147,Issuance!$C:$C,Formulas!C$2)</f>
        <v>0</v>
      </c>
      <c r="D147">
        <f>SUMIFS(Issuance!$H:$H,Issuance!$D:$D,Formulas!$B147,Issuance!$C:$C,Formulas!D$2)</f>
        <v>0</v>
      </c>
      <c r="E147">
        <f t="shared" si="14"/>
        <v>0</v>
      </c>
      <c r="F147" s="41" t="str">
        <f t="shared" si="16"/>
        <v/>
      </c>
      <c r="I147">
        <f>SUMIFS(Buybacks!H:H,Buybacks!D:D,Formulas!H147)</f>
        <v>0</v>
      </c>
      <c r="J147" s="41" t="str">
        <f t="shared" si="17"/>
        <v/>
      </c>
      <c r="M147">
        <f>SUMIFS('Corporate activity'!$H:$H,'Corporate activity'!$D:$D,Formulas!$L147,'Corporate activity'!$C:$C,Formulas!M$2)</f>
        <v>0</v>
      </c>
      <c r="N147">
        <f>SUMIFS('Corporate activity'!$H:$H,'Corporate activity'!$D:$D,Formulas!$L147,'Corporate activity'!$C:$C,Formulas!N$2)</f>
        <v>0</v>
      </c>
      <c r="O147">
        <f>SUMIFS('Corporate activity'!$H:$H,'Corporate activity'!$D:$D,Formulas!$L147,'Corporate activity'!$C:$C,Formulas!O$2)</f>
        <v>0</v>
      </c>
      <c r="P147">
        <f t="shared" si="15"/>
        <v>0</v>
      </c>
      <c r="Q147" t="str">
        <f t="shared" si="13"/>
        <v/>
      </c>
    </row>
    <row r="148" spans="3:17" x14ac:dyDescent="0.25">
      <c r="C148">
        <f>SUMIFS(Issuance!$H:$H,Issuance!$D:$D,Formulas!$B148,Issuance!$C:$C,Formulas!C$2)</f>
        <v>0</v>
      </c>
      <c r="D148">
        <f>SUMIFS(Issuance!$H:$H,Issuance!$D:$D,Formulas!$B148,Issuance!$C:$C,Formulas!D$2)</f>
        <v>0</v>
      </c>
      <c r="E148">
        <f t="shared" si="14"/>
        <v>0</v>
      </c>
      <c r="F148" s="41" t="str">
        <f t="shared" si="16"/>
        <v/>
      </c>
      <c r="I148">
        <f>SUMIFS(Buybacks!H:H,Buybacks!D:D,Formulas!H148)</f>
        <v>0</v>
      </c>
      <c r="J148" s="41" t="str">
        <f t="shared" si="17"/>
        <v/>
      </c>
      <c r="M148">
        <f>SUMIFS('Corporate activity'!$H:$H,'Corporate activity'!$D:$D,Formulas!$L148,'Corporate activity'!$C:$C,Formulas!M$2)</f>
        <v>0</v>
      </c>
      <c r="N148">
        <f>SUMIFS('Corporate activity'!$H:$H,'Corporate activity'!$D:$D,Formulas!$L148,'Corporate activity'!$C:$C,Formulas!N$2)</f>
        <v>0</v>
      </c>
      <c r="O148">
        <f>SUMIFS('Corporate activity'!$H:$H,'Corporate activity'!$D:$D,Formulas!$L148,'Corporate activity'!$C:$C,Formulas!O$2)</f>
        <v>0</v>
      </c>
      <c r="P148">
        <f t="shared" si="15"/>
        <v>0</v>
      </c>
      <c r="Q148" t="str">
        <f t="shared" si="13"/>
        <v/>
      </c>
    </row>
    <row r="149" spans="3:17" x14ac:dyDescent="0.25">
      <c r="C149">
        <f>SUMIFS(Issuance!$H:$H,Issuance!$D:$D,Formulas!$B149,Issuance!$C:$C,Formulas!C$2)</f>
        <v>0</v>
      </c>
      <c r="D149">
        <f>SUMIFS(Issuance!$H:$H,Issuance!$D:$D,Formulas!$B149,Issuance!$C:$C,Formulas!D$2)</f>
        <v>0</v>
      </c>
      <c r="E149">
        <f t="shared" si="14"/>
        <v>0</v>
      </c>
      <c r="F149" s="41" t="str">
        <f t="shared" si="16"/>
        <v/>
      </c>
      <c r="I149">
        <f>SUMIFS(Buybacks!H:H,Buybacks!D:D,Formulas!H149)</f>
        <v>0</v>
      </c>
      <c r="J149" s="41" t="str">
        <f t="shared" si="17"/>
        <v/>
      </c>
      <c r="M149">
        <f>SUMIFS('Corporate activity'!$H:$H,'Corporate activity'!$D:$D,Formulas!$L149,'Corporate activity'!$C:$C,Formulas!M$2)</f>
        <v>0</v>
      </c>
      <c r="N149">
        <f>SUMIFS('Corporate activity'!$H:$H,'Corporate activity'!$D:$D,Formulas!$L149,'Corporate activity'!$C:$C,Formulas!N$2)</f>
        <v>0</v>
      </c>
      <c r="O149">
        <f>SUMIFS('Corporate activity'!$H:$H,'Corporate activity'!$D:$D,Formulas!$L149,'Corporate activity'!$C:$C,Formulas!O$2)</f>
        <v>0</v>
      </c>
      <c r="P149">
        <f t="shared" si="15"/>
        <v>0</v>
      </c>
      <c r="Q149" t="str">
        <f t="shared" si="13"/>
        <v/>
      </c>
    </row>
    <row r="150" spans="3:17" x14ac:dyDescent="0.25">
      <c r="C150">
        <f>SUMIFS(Issuance!$H:$H,Issuance!$D:$D,Formulas!$B150,Issuance!$C:$C,Formulas!C$2)</f>
        <v>0</v>
      </c>
      <c r="D150">
        <f>SUMIFS(Issuance!$H:$H,Issuance!$D:$D,Formulas!$B150,Issuance!$C:$C,Formulas!D$2)</f>
        <v>0</v>
      </c>
      <c r="E150">
        <f t="shared" si="14"/>
        <v>0</v>
      </c>
      <c r="F150" s="41" t="str">
        <f t="shared" si="16"/>
        <v/>
      </c>
      <c r="I150">
        <f>SUMIFS(Buybacks!H:H,Buybacks!D:D,Formulas!H150)</f>
        <v>0</v>
      </c>
      <c r="J150" s="41" t="str">
        <f t="shared" si="17"/>
        <v/>
      </c>
      <c r="M150">
        <f>SUMIFS('Corporate activity'!$H:$H,'Corporate activity'!$D:$D,Formulas!$L150,'Corporate activity'!$C:$C,Formulas!M$2)</f>
        <v>0</v>
      </c>
      <c r="N150">
        <f>SUMIFS('Corporate activity'!$H:$H,'Corporate activity'!$D:$D,Formulas!$L150,'Corporate activity'!$C:$C,Formulas!N$2)</f>
        <v>0</v>
      </c>
      <c r="O150">
        <f>SUMIFS('Corporate activity'!$H:$H,'Corporate activity'!$D:$D,Formulas!$L150,'Corporate activity'!$C:$C,Formulas!O$2)</f>
        <v>0</v>
      </c>
      <c r="P150">
        <f t="shared" si="15"/>
        <v>0</v>
      </c>
      <c r="Q150" t="str">
        <f t="shared" si="13"/>
        <v/>
      </c>
    </row>
    <row r="151" spans="3:17" x14ac:dyDescent="0.25">
      <c r="C151">
        <f>SUMIFS(Issuance!$H:$H,Issuance!$D:$D,Formulas!$B151,Issuance!$C:$C,Formulas!C$2)</f>
        <v>0</v>
      </c>
      <c r="D151">
        <f>SUMIFS(Issuance!$H:$H,Issuance!$D:$D,Formulas!$B151,Issuance!$C:$C,Formulas!D$2)</f>
        <v>0</v>
      </c>
      <c r="E151">
        <f t="shared" si="14"/>
        <v>0</v>
      </c>
      <c r="F151" s="41" t="str">
        <f t="shared" si="16"/>
        <v/>
      </c>
      <c r="I151">
        <f>SUMIFS(Buybacks!H:H,Buybacks!D:D,Formulas!H151)</f>
        <v>0</v>
      </c>
      <c r="J151" s="41" t="str">
        <f t="shared" si="17"/>
        <v/>
      </c>
      <c r="M151">
        <f>SUMIFS('Corporate activity'!$H:$H,'Corporate activity'!$D:$D,Formulas!$L151,'Corporate activity'!$C:$C,Formulas!M$2)</f>
        <v>0</v>
      </c>
      <c r="N151">
        <f>SUMIFS('Corporate activity'!$H:$H,'Corporate activity'!$D:$D,Formulas!$L151,'Corporate activity'!$C:$C,Formulas!N$2)</f>
        <v>0</v>
      </c>
      <c r="O151">
        <f>SUMIFS('Corporate activity'!$H:$H,'Corporate activity'!$D:$D,Formulas!$L151,'Corporate activity'!$C:$C,Formulas!O$2)</f>
        <v>0</v>
      </c>
      <c r="P151">
        <f t="shared" si="15"/>
        <v>0</v>
      </c>
      <c r="Q151" t="str">
        <f t="shared" si="13"/>
        <v/>
      </c>
    </row>
    <row r="152" spans="3:17" x14ac:dyDescent="0.25">
      <c r="C152">
        <f>SUMIFS(Issuance!$H:$H,Issuance!$D:$D,Formulas!$B152,Issuance!$C:$C,Formulas!C$2)</f>
        <v>0</v>
      </c>
      <c r="D152">
        <f>SUMIFS(Issuance!$H:$H,Issuance!$D:$D,Formulas!$B152,Issuance!$C:$C,Formulas!D$2)</f>
        <v>0</v>
      </c>
      <c r="E152">
        <f t="shared" si="14"/>
        <v>0</v>
      </c>
      <c r="F152" s="41" t="str">
        <f t="shared" si="16"/>
        <v/>
      </c>
      <c r="I152">
        <f>SUMIFS(Buybacks!H:H,Buybacks!D:D,Formulas!H152)</f>
        <v>0</v>
      </c>
      <c r="J152" s="41" t="str">
        <f t="shared" si="17"/>
        <v/>
      </c>
      <c r="M152">
        <f>SUMIFS('Corporate activity'!$H:$H,'Corporate activity'!$D:$D,Formulas!$L152,'Corporate activity'!$C:$C,Formulas!M$2)</f>
        <v>0</v>
      </c>
      <c r="N152">
        <f>SUMIFS('Corporate activity'!$H:$H,'Corporate activity'!$D:$D,Formulas!$L152,'Corporate activity'!$C:$C,Formulas!N$2)</f>
        <v>0</v>
      </c>
      <c r="O152">
        <f>SUMIFS('Corporate activity'!$H:$H,'Corporate activity'!$D:$D,Formulas!$L152,'Corporate activity'!$C:$C,Formulas!O$2)</f>
        <v>0</v>
      </c>
      <c r="P152">
        <f t="shared" si="15"/>
        <v>0</v>
      </c>
      <c r="Q152" t="str">
        <f t="shared" si="13"/>
        <v/>
      </c>
    </row>
    <row r="153" spans="3:17" x14ac:dyDescent="0.25">
      <c r="C153">
        <f>SUMIFS(Issuance!$H:$H,Issuance!$D:$D,Formulas!$B153,Issuance!$C:$C,Formulas!C$2)</f>
        <v>0</v>
      </c>
      <c r="D153">
        <f>SUMIFS(Issuance!$H:$H,Issuance!$D:$D,Formulas!$B153,Issuance!$C:$C,Formulas!D$2)</f>
        <v>0</v>
      </c>
      <c r="E153">
        <f t="shared" si="14"/>
        <v>0</v>
      </c>
      <c r="F153" s="41" t="str">
        <f t="shared" si="16"/>
        <v/>
      </c>
      <c r="I153">
        <f>SUMIFS(Buybacks!H:H,Buybacks!D:D,Formulas!H153)</f>
        <v>0</v>
      </c>
      <c r="J153" s="41" t="str">
        <f t="shared" si="17"/>
        <v/>
      </c>
      <c r="M153">
        <f>SUMIFS('Corporate activity'!$H:$H,'Corporate activity'!$D:$D,Formulas!$L153,'Corporate activity'!$C:$C,Formulas!M$2)</f>
        <v>0</v>
      </c>
      <c r="N153">
        <f>SUMIFS('Corporate activity'!$H:$H,'Corporate activity'!$D:$D,Formulas!$L153,'Corporate activity'!$C:$C,Formulas!N$2)</f>
        <v>0</v>
      </c>
      <c r="O153">
        <f>SUMIFS('Corporate activity'!$H:$H,'Corporate activity'!$D:$D,Formulas!$L153,'Corporate activity'!$C:$C,Formulas!O$2)</f>
        <v>0</v>
      </c>
      <c r="P153">
        <f t="shared" si="15"/>
        <v>0</v>
      </c>
      <c r="Q153" t="str">
        <f t="shared" si="13"/>
        <v/>
      </c>
    </row>
    <row r="154" spans="3:17" x14ac:dyDescent="0.25">
      <c r="C154">
        <f>SUMIFS(Issuance!$H:$H,Issuance!$D:$D,Formulas!$B154,Issuance!$C:$C,Formulas!C$2)</f>
        <v>0</v>
      </c>
      <c r="D154">
        <f>SUMIFS(Issuance!$H:$H,Issuance!$D:$D,Formulas!$B154,Issuance!$C:$C,Formulas!D$2)</f>
        <v>0</v>
      </c>
      <c r="E154">
        <f t="shared" si="14"/>
        <v>0</v>
      </c>
      <c r="F154" s="41" t="str">
        <f t="shared" si="16"/>
        <v/>
      </c>
      <c r="I154">
        <f>SUMIFS(Buybacks!H:H,Buybacks!D:D,Formulas!H154)</f>
        <v>0</v>
      </c>
      <c r="J154" s="41" t="str">
        <f t="shared" si="17"/>
        <v/>
      </c>
      <c r="M154">
        <f>SUMIFS('Corporate activity'!$H:$H,'Corporate activity'!$D:$D,Formulas!$L154,'Corporate activity'!$C:$C,Formulas!M$2)</f>
        <v>0</v>
      </c>
      <c r="N154">
        <f>SUMIFS('Corporate activity'!$H:$H,'Corporate activity'!$D:$D,Formulas!$L154,'Corporate activity'!$C:$C,Formulas!N$2)</f>
        <v>0</v>
      </c>
      <c r="O154">
        <f>SUMIFS('Corporate activity'!$H:$H,'Corporate activity'!$D:$D,Formulas!$L154,'Corporate activity'!$C:$C,Formulas!O$2)</f>
        <v>0</v>
      </c>
      <c r="P154">
        <f t="shared" si="15"/>
        <v>0</v>
      </c>
      <c r="Q154" t="str">
        <f t="shared" si="13"/>
        <v/>
      </c>
    </row>
    <row r="155" spans="3:17" x14ac:dyDescent="0.25">
      <c r="C155">
        <f>SUMIFS(Issuance!$H:$H,Issuance!$D:$D,Formulas!$B155,Issuance!$C:$C,Formulas!C$2)</f>
        <v>0</v>
      </c>
      <c r="D155">
        <f>SUMIFS(Issuance!$H:$H,Issuance!$D:$D,Formulas!$B155,Issuance!$C:$C,Formulas!D$2)</f>
        <v>0</v>
      </c>
      <c r="E155">
        <f t="shared" si="14"/>
        <v>0</v>
      </c>
      <c r="F155" s="41" t="str">
        <f t="shared" si="16"/>
        <v/>
      </c>
      <c r="I155">
        <f>SUMIFS(Buybacks!H:H,Buybacks!D:D,Formulas!H155)</f>
        <v>0</v>
      </c>
      <c r="J155" s="41" t="str">
        <f t="shared" si="17"/>
        <v/>
      </c>
      <c r="M155">
        <f>SUMIFS('Corporate activity'!$H:$H,'Corporate activity'!$D:$D,Formulas!$L155,'Corporate activity'!$C:$C,Formulas!M$2)</f>
        <v>0</v>
      </c>
      <c r="N155">
        <f>SUMIFS('Corporate activity'!$H:$H,'Corporate activity'!$D:$D,Formulas!$L155,'Corporate activity'!$C:$C,Formulas!N$2)</f>
        <v>0</v>
      </c>
      <c r="O155">
        <f>SUMIFS('Corporate activity'!$H:$H,'Corporate activity'!$D:$D,Formulas!$L155,'Corporate activity'!$C:$C,Formulas!O$2)</f>
        <v>0</v>
      </c>
      <c r="P155">
        <f t="shared" si="15"/>
        <v>0</v>
      </c>
      <c r="Q155" t="str">
        <f t="shared" ref="Q155:Q218" si="18">IF(OR(L155="",L155=0,P155=0),"",IF(COUNTIFS($P$3:$P$500,"&lt;"&amp;P155,$P$3:$P$500,"&lt;&gt;0")+1&lt;=20,COUNTIFS($P$3:$P$500,"&lt;"&amp;P155,$P$3:$P$500,"&lt;&gt;0")+1,""))</f>
        <v/>
      </c>
    </row>
    <row r="156" spans="3:17" x14ac:dyDescent="0.25">
      <c r="C156">
        <f>SUMIFS(Issuance!$H:$H,Issuance!$D:$D,Formulas!$B156,Issuance!$C:$C,Formulas!C$2)</f>
        <v>0</v>
      </c>
      <c r="D156">
        <f>SUMIFS(Issuance!$H:$H,Issuance!$D:$D,Formulas!$B156,Issuance!$C:$C,Formulas!D$2)</f>
        <v>0</v>
      </c>
      <c r="E156">
        <f t="shared" si="14"/>
        <v>0</v>
      </c>
      <c r="F156" s="41" t="str">
        <f t="shared" si="16"/>
        <v/>
      </c>
      <c r="I156">
        <f>SUMIFS(Buybacks!H:H,Buybacks!D:D,Formulas!H156)</f>
        <v>0</v>
      </c>
      <c r="J156" s="41" t="str">
        <f t="shared" si="17"/>
        <v/>
      </c>
      <c r="M156">
        <f>SUMIFS('Corporate activity'!$H:$H,'Corporate activity'!$D:$D,Formulas!$L156,'Corporate activity'!$C:$C,Formulas!M$2)</f>
        <v>0</v>
      </c>
      <c r="N156">
        <f>SUMIFS('Corporate activity'!$H:$H,'Corporate activity'!$D:$D,Formulas!$L156,'Corporate activity'!$C:$C,Formulas!N$2)</f>
        <v>0</v>
      </c>
      <c r="O156">
        <f>SUMIFS('Corporate activity'!$H:$H,'Corporate activity'!$D:$D,Formulas!$L156,'Corporate activity'!$C:$C,Formulas!O$2)</f>
        <v>0</v>
      </c>
      <c r="P156">
        <f t="shared" si="15"/>
        <v>0</v>
      </c>
      <c r="Q156" t="str">
        <f t="shared" si="18"/>
        <v/>
      </c>
    </row>
    <row r="157" spans="3:17" x14ac:dyDescent="0.25">
      <c r="C157">
        <f>SUMIFS(Issuance!$H:$H,Issuance!$D:$D,Formulas!$B157,Issuance!$C:$C,Formulas!C$2)</f>
        <v>0</v>
      </c>
      <c r="D157">
        <f>SUMIFS(Issuance!$H:$H,Issuance!$D:$D,Formulas!$B157,Issuance!$C:$C,Formulas!D$2)</f>
        <v>0</v>
      </c>
      <c r="E157">
        <f t="shared" si="14"/>
        <v>0</v>
      </c>
      <c r="F157" s="41" t="str">
        <f t="shared" si="16"/>
        <v/>
      </c>
      <c r="I157">
        <f>SUMIFS(Buybacks!H:H,Buybacks!D:D,Formulas!H157)</f>
        <v>0</v>
      </c>
      <c r="J157" s="41" t="str">
        <f t="shared" si="17"/>
        <v/>
      </c>
      <c r="M157">
        <f>SUMIFS('Corporate activity'!$H:$H,'Corporate activity'!$D:$D,Formulas!$L157,'Corporate activity'!$C:$C,Formulas!M$2)</f>
        <v>0</v>
      </c>
      <c r="N157">
        <f>SUMIFS('Corporate activity'!$H:$H,'Corporate activity'!$D:$D,Formulas!$L157,'Corporate activity'!$C:$C,Formulas!N$2)</f>
        <v>0</v>
      </c>
      <c r="O157">
        <f>SUMIFS('Corporate activity'!$H:$H,'Corporate activity'!$D:$D,Formulas!$L157,'Corporate activity'!$C:$C,Formulas!O$2)</f>
        <v>0</v>
      </c>
      <c r="P157">
        <f t="shared" si="15"/>
        <v>0</v>
      </c>
      <c r="Q157" t="str">
        <f t="shared" si="18"/>
        <v/>
      </c>
    </row>
    <row r="158" spans="3:17" x14ac:dyDescent="0.25">
      <c r="C158">
        <f>SUMIFS(Issuance!$H:$H,Issuance!$D:$D,Formulas!$B158,Issuance!$C:$C,Formulas!C$2)</f>
        <v>0</v>
      </c>
      <c r="D158">
        <f>SUMIFS(Issuance!$H:$H,Issuance!$D:$D,Formulas!$B158,Issuance!$C:$C,Formulas!D$2)</f>
        <v>0</v>
      </c>
      <c r="E158">
        <f t="shared" si="14"/>
        <v>0</v>
      </c>
      <c r="F158" s="41" t="str">
        <f t="shared" si="16"/>
        <v/>
      </c>
      <c r="I158">
        <f>SUMIFS(Buybacks!H:H,Buybacks!D:D,Formulas!H158)</f>
        <v>0</v>
      </c>
      <c r="J158" s="41" t="str">
        <f t="shared" si="17"/>
        <v/>
      </c>
      <c r="M158">
        <f>SUMIFS('Corporate activity'!$H:$H,'Corporate activity'!$D:$D,Formulas!$L158,'Corporate activity'!$C:$C,Formulas!M$2)</f>
        <v>0</v>
      </c>
      <c r="N158">
        <f>SUMIFS('Corporate activity'!$H:$H,'Corporate activity'!$D:$D,Formulas!$L158,'Corporate activity'!$C:$C,Formulas!N$2)</f>
        <v>0</v>
      </c>
      <c r="O158">
        <f>SUMIFS('Corporate activity'!$H:$H,'Corporate activity'!$D:$D,Formulas!$L158,'Corporate activity'!$C:$C,Formulas!O$2)</f>
        <v>0</v>
      </c>
      <c r="P158">
        <f t="shared" si="15"/>
        <v>0</v>
      </c>
      <c r="Q158" t="str">
        <f t="shared" si="18"/>
        <v/>
      </c>
    </row>
    <row r="159" spans="3:17" x14ac:dyDescent="0.25">
      <c r="C159">
        <f>SUMIFS(Issuance!$H:$H,Issuance!$D:$D,Formulas!$B159,Issuance!$C:$C,Formulas!C$2)</f>
        <v>0</v>
      </c>
      <c r="D159">
        <f>SUMIFS(Issuance!$H:$H,Issuance!$D:$D,Formulas!$B159,Issuance!$C:$C,Formulas!D$2)</f>
        <v>0</v>
      </c>
      <c r="E159">
        <f t="shared" si="14"/>
        <v>0</v>
      </c>
      <c r="F159" s="41" t="str">
        <f t="shared" si="16"/>
        <v/>
      </c>
      <c r="I159">
        <f>SUMIFS(Buybacks!H:H,Buybacks!D:D,Formulas!H159)</f>
        <v>0</v>
      </c>
      <c r="J159" s="41" t="str">
        <f t="shared" si="17"/>
        <v/>
      </c>
      <c r="M159">
        <f>SUMIFS('Corporate activity'!$H:$H,'Corporate activity'!$D:$D,Formulas!$L159,'Corporate activity'!$C:$C,Formulas!M$2)</f>
        <v>0</v>
      </c>
      <c r="N159">
        <f>SUMIFS('Corporate activity'!$H:$H,'Corporate activity'!$D:$D,Formulas!$L159,'Corporate activity'!$C:$C,Formulas!N$2)</f>
        <v>0</v>
      </c>
      <c r="O159">
        <f>SUMIFS('Corporate activity'!$H:$H,'Corporate activity'!$D:$D,Formulas!$L159,'Corporate activity'!$C:$C,Formulas!O$2)</f>
        <v>0</v>
      </c>
      <c r="P159">
        <f t="shared" si="15"/>
        <v>0</v>
      </c>
      <c r="Q159" t="str">
        <f t="shared" si="18"/>
        <v/>
      </c>
    </row>
    <row r="160" spans="3:17" x14ac:dyDescent="0.25">
      <c r="C160">
        <f>SUMIFS(Issuance!$H:$H,Issuance!$D:$D,Formulas!$B160,Issuance!$C:$C,Formulas!C$2)</f>
        <v>0</v>
      </c>
      <c r="D160">
        <f>SUMIFS(Issuance!$H:$H,Issuance!$D:$D,Formulas!$B160,Issuance!$C:$C,Formulas!D$2)</f>
        <v>0</v>
      </c>
      <c r="E160">
        <f t="shared" si="14"/>
        <v>0</v>
      </c>
      <c r="F160" s="41" t="str">
        <f t="shared" si="16"/>
        <v/>
      </c>
      <c r="I160">
        <f>SUMIFS(Buybacks!H:H,Buybacks!D:D,Formulas!H160)</f>
        <v>0</v>
      </c>
      <c r="J160" s="41" t="str">
        <f t="shared" si="17"/>
        <v/>
      </c>
      <c r="M160">
        <f>SUMIFS('Corporate activity'!$H:$H,'Corporate activity'!$D:$D,Formulas!$L160,'Corporate activity'!$C:$C,Formulas!M$2)</f>
        <v>0</v>
      </c>
      <c r="N160">
        <f>SUMIFS('Corporate activity'!$H:$H,'Corporate activity'!$D:$D,Formulas!$L160,'Corporate activity'!$C:$C,Formulas!N$2)</f>
        <v>0</v>
      </c>
      <c r="O160">
        <f>SUMIFS('Corporate activity'!$H:$H,'Corporate activity'!$D:$D,Formulas!$L160,'Corporate activity'!$C:$C,Formulas!O$2)</f>
        <v>0</v>
      </c>
      <c r="P160">
        <f t="shared" si="15"/>
        <v>0</v>
      </c>
      <c r="Q160" t="str">
        <f t="shared" si="18"/>
        <v/>
      </c>
    </row>
    <row r="161" spans="3:17" x14ac:dyDescent="0.25">
      <c r="C161">
        <f>SUMIFS(Issuance!$H:$H,Issuance!$D:$D,Formulas!$B161,Issuance!$C:$C,Formulas!C$2)</f>
        <v>0</v>
      </c>
      <c r="D161">
        <f>SUMIFS(Issuance!$H:$H,Issuance!$D:$D,Formulas!$B161,Issuance!$C:$C,Formulas!D$2)</f>
        <v>0</v>
      </c>
      <c r="E161">
        <f t="shared" si="14"/>
        <v>0</v>
      </c>
      <c r="F161" s="41" t="str">
        <f t="shared" si="16"/>
        <v/>
      </c>
      <c r="I161">
        <f>SUMIFS(Buybacks!H:H,Buybacks!D:D,Formulas!H161)</f>
        <v>0</v>
      </c>
      <c r="J161" s="41" t="str">
        <f t="shared" si="17"/>
        <v/>
      </c>
      <c r="M161">
        <f>SUMIFS('Corporate activity'!$H:$H,'Corporate activity'!$D:$D,Formulas!$L161,'Corporate activity'!$C:$C,Formulas!M$2)</f>
        <v>0</v>
      </c>
      <c r="N161">
        <f>SUMIFS('Corporate activity'!$H:$H,'Corporate activity'!$D:$D,Formulas!$L161,'Corporate activity'!$C:$C,Formulas!N$2)</f>
        <v>0</v>
      </c>
      <c r="O161">
        <f>SUMIFS('Corporate activity'!$H:$H,'Corporate activity'!$D:$D,Formulas!$L161,'Corporate activity'!$C:$C,Formulas!O$2)</f>
        <v>0</v>
      </c>
      <c r="P161">
        <f t="shared" si="15"/>
        <v>0</v>
      </c>
      <c r="Q161" t="str">
        <f t="shared" si="18"/>
        <v/>
      </c>
    </row>
    <row r="162" spans="3:17" x14ac:dyDescent="0.25">
      <c r="C162">
        <f>SUMIFS(Issuance!$H:$H,Issuance!$D:$D,Formulas!$B162,Issuance!$C:$C,Formulas!C$2)</f>
        <v>0</v>
      </c>
      <c r="D162">
        <f>SUMIFS(Issuance!$H:$H,Issuance!$D:$D,Formulas!$B162,Issuance!$C:$C,Formulas!D$2)</f>
        <v>0</v>
      </c>
      <c r="E162">
        <f t="shared" si="14"/>
        <v>0</v>
      </c>
      <c r="F162" s="41" t="str">
        <f t="shared" si="16"/>
        <v/>
      </c>
      <c r="I162">
        <f>SUMIFS(Buybacks!H:H,Buybacks!D:D,Formulas!H162)</f>
        <v>0</v>
      </c>
      <c r="J162" s="41" t="str">
        <f t="shared" si="17"/>
        <v/>
      </c>
      <c r="M162">
        <f>SUMIFS('Corporate activity'!$H:$H,'Corporate activity'!$D:$D,Formulas!$L162,'Corporate activity'!$C:$C,Formulas!M$2)</f>
        <v>0</v>
      </c>
      <c r="N162">
        <f>SUMIFS('Corporate activity'!$H:$H,'Corporate activity'!$D:$D,Formulas!$L162,'Corporate activity'!$C:$C,Formulas!N$2)</f>
        <v>0</v>
      </c>
      <c r="O162">
        <f>SUMIFS('Corporate activity'!$H:$H,'Corporate activity'!$D:$D,Formulas!$L162,'Corporate activity'!$C:$C,Formulas!O$2)</f>
        <v>0</v>
      </c>
      <c r="P162">
        <f t="shared" si="15"/>
        <v>0</v>
      </c>
      <c r="Q162" t="str">
        <f t="shared" si="18"/>
        <v/>
      </c>
    </row>
    <row r="163" spans="3:17" x14ac:dyDescent="0.25">
      <c r="C163">
        <f>SUMIFS(Issuance!$H:$H,Issuance!$D:$D,Formulas!$B163,Issuance!$C:$C,Formulas!C$2)</f>
        <v>0</v>
      </c>
      <c r="D163">
        <f>SUMIFS(Issuance!$H:$H,Issuance!$D:$D,Formulas!$B163,Issuance!$C:$C,Formulas!D$2)</f>
        <v>0</v>
      </c>
      <c r="E163">
        <f t="shared" si="14"/>
        <v>0</v>
      </c>
      <c r="F163" s="41" t="str">
        <f t="shared" si="16"/>
        <v/>
      </c>
      <c r="I163">
        <f>SUMIFS(Buybacks!H:H,Buybacks!D:D,Formulas!H163)</f>
        <v>0</v>
      </c>
      <c r="J163" s="41" t="str">
        <f t="shared" si="17"/>
        <v/>
      </c>
      <c r="M163">
        <f>SUMIFS('Corporate activity'!$H:$H,'Corporate activity'!$D:$D,Formulas!$L163,'Corporate activity'!$C:$C,Formulas!M$2)</f>
        <v>0</v>
      </c>
      <c r="N163">
        <f>SUMIFS('Corporate activity'!$H:$H,'Corporate activity'!$D:$D,Formulas!$L163,'Corporate activity'!$C:$C,Formulas!N$2)</f>
        <v>0</v>
      </c>
      <c r="O163">
        <f>SUMIFS('Corporate activity'!$H:$H,'Corporate activity'!$D:$D,Formulas!$L163,'Corporate activity'!$C:$C,Formulas!O$2)</f>
        <v>0</v>
      </c>
      <c r="P163">
        <f t="shared" si="15"/>
        <v>0</v>
      </c>
      <c r="Q163" t="str">
        <f t="shared" si="18"/>
        <v/>
      </c>
    </row>
    <row r="164" spans="3:17" x14ac:dyDescent="0.25">
      <c r="C164">
        <f>SUMIFS(Issuance!$H:$H,Issuance!$D:$D,Formulas!$B164,Issuance!$C:$C,Formulas!C$2)</f>
        <v>0</v>
      </c>
      <c r="D164">
        <f>SUMIFS(Issuance!$H:$H,Issuance!$D:$D,Formulas!$B164,Issuance!$C:$C,Formulas!D$2)</f>
        <v>0</v>
      </c>
      <c r="E164">
        <f t="shared" si="14"/>
        <v>0</v>
      </c>
      <c r="F164" s="41" t="str">
        <f t="shared" si="16"/>
        <v/>
      </c>
      <c r="I164">
        <f>SUMIFS(Buybacks!H:H,Buybacks!D:D,Formulas!H164)</f>
        <v>0</v>
      </c>
      <c r="J164" s="41" t="str">
        <f t="shared" si="17"/>
        <v/>
      </c>
      <c r="M164">
        <f>SUMIFS('Corporate activity'!$H:$H,'Corporate activity'!$D:$D,Formulas!$L164,'Corporate activity'!$C:$C,Formulas!M$2)</f>
        <v>0</v>
      </c>
      <c r="N164">
        <f>SUMIFS('Corporate activity'!$H:$H,'Corporate activity'!$D:$D,Formulas!$L164,'Corporate activity'!$C:$C,Formulas!N$2)</f>
        <v>0</v>
      </c>
      <c r="O164">
        <f>SUMIFS('Corporate activity'!$H:$H,'Corporate activity'!$D:$D,Formulas!$L164,'Corporate activity'!$C:$C,Formulas!O$2)</f>
        <v>0</v>
      </c>
      <c r="P164">
        <f t="shared" si="15"/>
        <v>0</v>
      </c>
      <c r="Q164" t="str">
        <f t="shared" si="18"/>
        <v/>
      </c>
    </row>
    <row r="165" spans="3:17" x14ac:dyDescent="0.25">
      <c r="C165">
        <f>SUMIFS(Issuance!$H:$H,Issuance!$D:$D,Formulas!$B165,Issuance!$C:$C,Formulas!C$2)</f>
        <v>0</v>
      </c>
      <c r="D165">
        <f>SUMIFS(Issuance!$H:$H,Issuance!$D:$D,Formulas!$B165,Issuance!$C:$C,Formulas!D$2)</f>
        <v>0</v>
      </c>
      <c r="E165">
        <f t="shared" si="14"/>
        <v>0</v>
      </c>
      <c r="F165" s="41" t="str">
        <f t="shared" si="16"/>
        <v/>
      </c>
      <c r="I165">
        <f>SUMIFS(Buybacks!H:H,Buybacks!D:D,Formulas!H165)</f>
        <v>0</v>
      </c>
      <c r="J165" s="41" t="str">
        <f t="shared" si="17"/>
        <v/>
      </c>
      <c r="M165">
        <f>SUMIFS('Corporate activity'!$H:$H,'Corporate activity'!$D:$D,Formulas!$L165,'Corporate activity'!$C:$C,Formulas!M$2)</f>
        <v>0</v>
      </c>
      <c r="N165">
        <f>SUMIFS('Corporate activity'!$H:$H,'Corporate activity'!$D:$D,Formulas!$L165,'Corporate activity'!$C:$C,Formulas!N$2)</f>
        <v>0</v>
      </c>
      <c r="O165">
        <f>SUMIFS('Corporate activity'!$H:$H,'Corporate activity'!$D:$D,Formulas!$L165,'Corporate activity'!$C:$C,Formulas!O$2)</f>
        <v>0</v>
      </c>
      <c r="P165">
        <f t="shared" si="15"/>
        <v>0</v>
      </c>
      <c r="Q165" t="str">
        <f t="shared" si="18"/>
        <v/>
      </c>
    </row>
    <row r="166" spans="3:17" x14ac:dyDescent="0.25">
      <c r="C166">
        <f>SUMIFS(Issuance!$H:$H,Issuance!$D:$D,Formulas!$B166,Issuance!$C:$C,Formulas!C$2)</f>
        <v>0</v>
      </c>
      <c r="D166">
        <f>SUMIFS(Issuance!$H:$H,Issuance!$D:$D,Formulas!$B166,Issuance!$C:$C,Formulas!D$2)</f>
        <v>0</v>
      </c>
      <c r="E166">
        <f t="shared" si="14"/>
        <v>0</v>
      </c>
      <c r="F166" s="41" t="str">
        <f t="shared" si="16"/>
        <v/>
      </c>
      <c r="I166">
        <f>SUMIFS(Buybacks!H:H,Buybacks!D:D,Formulas!H166)</f>
        <v>0</v>
      </c>
      <c r="J166" s="41" t="str">
        <f t="shared" si="17"/>
        <v/>
      </c>
      <c r="M166">
        <f>SUMIFS('Corporate activity'!$H:$H,'Corporate activity'!$D:$D,Formulas!$L166,'Corporate activity'!$C:$C,Formulas!M$2)</f>
        <v>0</v>
      </c>
      <c r="N166">
        <f>SUMIFS('Corporate activity'!$H:$H,'Corporate activity'!$D:$D,Formulas!$L166,'Corporate activity'!$C:$C,Formulas!N$2)</f>
        <v>0</v>
      </c>
      <c r="O166">
        <f>SUMIFS('Corporate activity'!$H:$H,'Corporate activity'!$D:$D,Formulas!$L166,'Corporate activity'!$C:$C,Formulas!O$2)</f>
        <v>0</v>
      </c>
      <c r="P166">
        <f t="shared" si="15"/>
        <v>0</v>
      </c>
      <c r="Q166" t="str">
        <f t="shared" si="18"/>
        <v/>
      </c>
    </row>
    <row r="167" spans="3:17" x14ac:dyDescent="0.25">
      <c r="C167">
        <f>SUMIFS(Issuance!$H:$H,Issuance!$D:$D,Formulas!$B167,Issuance!$C:$C,Formulas!C$2)</f>
        <v>0</v>
      </c>
      <c r="D167">
        <f>SUMIFS(Issuance!$H:$H,Issuance!$D:$D,Formulas!$B167,Issuance!$C:$C,Formulas!D$2)</f>
        <v>0</v>
      </c>
      <c r="E167">
        <f t="shared" si="14"/>
        <v>0</v>
      </c>
      <c r="F167" s="41" t="str">
        <f t="shared" si="16"/>
        <v/>
      </c>
      <c r="I167">
        <f>SUMIFS(Buybacks!H:H,Buybacks!D:D,Formulas!H167)</f>
        <v>0</v>
      </c>
      <c r="J167" s="41" t="str">
        <f t="shared" si="17"/>
        <v/>
      </c>
      <c r="M167">
        <f>SUMIFS('Corporate activity'!$H:$H,'Corporate activity'!$D:$D,Formulas!$L167,'Corporate activity'!$C:$C,Formulas!M$2)</f>
        <v>0</v>
      </c>
      <c r="N167">
        <f>SUMIFS('Corporate activity'!$H:$H,'Corporate activity'!$D:$D,Formulas!$L167,'Corporate activity'!$C:$C,Formulas!N$2)</f>
        <v>0</v>
      </c>
      <c r="O167">
        <f>SUMIFS('Corporate activity'!$H:$H,'Corporate activity'!$D:$D,Formulas!$L167,'Corporate activity'!$C:$C,Formulas!O$2)</f>
        <v>0</v>
      </c>
      <c r="P167">
        <f t="shared" si="15"/>
        <v>0</v>
      </c>
      <c r="Q167" t="str">
        <f t="shared" si="18"/>
        <v/>
      </c>
    </row>
    <row r="168" spans="3:17" x14ac:dyDescent="0.25">
      <c r="C168">
        <f>SUMIFS(Issuance!$H:$H,Issuance!$D:$D,Formulas!$B168,Issuance!$C:$C,Formulas!C$2)</f>
        <v>0</v>
      </c>
      <c r="D168">
        <f>SUMIFS(Issuance!$H:$H,Issuance!$D:$D,Formulas!$B168,Issuance!$C:$C,Formulas!D$2)</f>
        <v>0</v>
      </c>
      <c r="E168">
        <f t="shared" si="14"/>
        <v>0</v>
      </c>
      <c r="F168" s="41" t="str">
        <f t="shared" si="16"/>
        <v/>
      </c>
      <c r="I168">
        <f>SUMIFS(Buybacks!H:H,Buybacks!D:D,Formulas!H168)</f>
        <v>0</v>
      </c>
      <c r="J168" s="41" t="str">
        <f t="shared" si="17"/>
        <v/>
      </c>
      <c r="M168">
        <f>SUMIFS('Corporate activity'!$H:$H,'Corporate activity'!$D:$D,Formulas!$L168,'Corporate activity'!$C:$C,Formulas!M$2)</f>
        <v>0</v>
      </c>
      <c r="N168">
        <f>SUMIFS('Corporate activity'!$H:$H,'Corporate activity'!$D:$D,Formulas!$L168,'Corporate activity'!$C:$C,Formulas!N$2)</f>
        <v>0</v>
      </c>
      <c r="O168">
        <f>SUMIFS('Corporate activity'!$H:$H,'Corporate activity'!$D:$D,Formulas!$L168,'Corporate activity'!$C:$C,Formulas!O$2)</f>
        <v>0</v>
      </c>
      <c r="P168">
        <f t="shared" si="15"/>
        <v>0</v>
      </c>
      <c r="Q168" t="str">
        <f t="shared" si="18"/>
        <v/>
      </c>
    </row>
    <row r="169" spans="3:17" x14ac:dyDescent="0.25">
      <c r="C169">
        <f>SUMIFS(Issuance!$H:$H,Issuance!$D:$D,Formulas!$B169,Issuance!$C:$C,Formulas!C$2)</f>
        <v>0</v>
      </c>
      <c r="D169">
        <f>SUMIFS(Issuance!$H:$H,Issuance!$D:$D,Formulas!$B169,Issuance!$C:$C,Formulas!D$2)</f>
        <v>0</v>
      </c>
      <c r="E169">
        <f t="shared" si="14"/>
        <v>0</v>
      </c>
      <c r="F169" s="41" t="str">
        <f t="shared" si="16"/>
        <v/>
      </c>
      <c r="I169">
        <f>SUMIFS(Buybacks!H:H,Buybacks!D:D,Formulas!H169)</f>
        <v>0</v>
      </c>
      <c r="J169" s="41" t="str">
        <f t="shared" si="17"/>
        <v/>
      </c>
      <c r="M169">
        <f>SUMIFS('Corporate activity'!$H:$H,'Corporate activity'!$D:$D,Formulas!$L169,'Corporate activity'!$C:$C,Formulas!M$2)</f>
        <v>0</v>
      </c>
      <c r="N169">
        <f>SUMIFS('Corporate activity'!$H:$H,'Corporate activity'!$D:$D,Formulas!$L169,'Corporate activity'!$C:$C,Formulas!N$2)</f>
        <v>0</v>
      </c>
      <c r="O169">
        <f>SUMIFS('Corporate activity'!$H:$H,'Corporate activity'!$D:$D,Formulas!$L169,'Corporate activity'!$C:$C,Formulas!O$2)</f>
        <v>0</v>
      </c>
      <c r="P169">
        <f t="shared" si="15"/>
        <v>0</v>
      </c>
      <c r="Q169" t="str">
        <f t="shared" si="18"/>
        <v/>
      </c>
    </row>
    <row r="170" spans="3:17" x14ac:dyDescent="0.25">
      <c r="C170">
        <f>SUMIFS(Issuance!$H:$H,Issuance!$D:$D,Formulas!$B170,Issuance!$C:$C,Formulas!C$2)</f>
        <v>0</v>
      </c>
      <c r="D170">
        <f>SUMIFS(Issuance!$H:$H,Issuance!$D:$D,Formulas!$B170,Issuance!$C:$C,Formulas!D$2)</f>
        <v>0</v>
      </c>
      <c r="E170">
        <f t="shared" si="14"/>
        <v>0</v>
      </c>
      <c r="F170" s="41" t="str">
        <f t="shared" si="16"/>
        <v/>
      </c>
      <c r="I170">
        <f>SUMIFS(Buybacks!H:H,Buybacks!D:D,Formulas!H170)</f>
        <v>0</v>
      </c>
      <c r="J170" s="41" t="str">
        <f t="shared" si="17"/>
        <v/>
      </c>
      <c r="M170">
        <f>SUMIFS('Corporate activity'!$H:$H,'Corporate activity'!$D:$D,Formulas!$L170,'Corporate activity'!$C:$C,Formulas!M$2)</f>
        <v>0</v>
      </c>
      <c r="N170">
        <f>SUMIFS('Corporate activity'!$H:$H,'Corporate activity'!$D:$D,Formulas!$L170,'Corporate activity'!$C:$C,Formulas!N$2)</f>
        <v>0</v>
      </c>
      <c r="O170">
        <f>SUMIFS('Corporate activity'!$H:$H,'Corporate activity'!$D:$D,Formulas!$L170,'Corporate activity'!$C:$C,Formulas!O$2)</f>
        <v>0</v>
      </c>
      <c r="P170">
        <f t="shared" si="15"/>
        <v>0</v>
      </c>
      <c r="Q170" t="str">
        <f t="shared" si="18"/>
        <v/>
      </c>
    </row>
    <row r="171" spans="3:17" x14ac:dyDescent="0.25">
      <c r="C171">
        <f>SUMIFS(Issuance!$H:$H,Issuance!$D:$D,Formulas!$B171,Issuance!$C:$C,Formulas!C$2)</f>
        <v>0</v>
      </c>
      <c r="D171">
        <f>SUMIFS(Issuance!$H:$H,Issuance!$D:$D,Formulas!$B171,Issuance!$C:$C,Formulas!D$2)</f>
        <v>0</v>
      </c>
      <c r="E171">
        <f t="shared" si="14"/>
        <v>0</v>
      </c>
      <c r="F171" s="41" t="str">
        <f t="shared" si="16"/>
        <v/>
      </c>
      <c r="I171">
        <f>SUMIFS(Buybacks!H:H,Buybacks!D:D,Formulas!H171)</f>
        <v>0</v>
      </c>
      <c r="J171" s="41" t="str">
        <f t="shared" si="17"/>
        <v/>
      </c>
      <c r="M171">
        <f>SUMIFS('Corporate activity'!$H:$H,'Corporate activity'!$D:$D,Formulas!$L171,'Corporate activity'!$C:$C,Formulas!M$2)</f>
        <v>0</v>
      </c>
      <c r="N171">
        <f>SUMIFS('Corporate activity'!$H:$H,'Corporate activity'!$D:$D,Formulas!$L171,'Corporate activity'!$C:$C,Formulas!N$2)</f>
        <v>0</v>
      </c>
      <c r="O171">
        <f>SUMIFS('Corporate activity'!$H:$H,'Corporate activity'!$D:$D,Formulas!$L171,'Corporate activity'!$C:$C,Formulas!O$2)</f>
        <v>0</v>
      </c>
      <c r="P171">
        <f t="shared" si="15"/>
        <v>0</v>
      </c>
      <c r="Q171" t="str">
        <f t="shared" si="18"/>
        <v/>
      </c>
    </row>
    <row r="172" spans="3:17" x14ac:dyDescent="0.25">
      <c r="C172">
        <f>SUMIFS(Issuance!$H:$H,Issuance!$D:$D,Formulas!$B172,Issuance!$C:$C,Formulas!C$2)</f>
        <v>0</v>
      </c>
      <c r="D172">
        <f>SUMIFS(Issuance!$H:$H,Issuance!$D:$D,Formulas!$B172,Issuance!$C:$C,Formulas!D$2)</f>
        <v>0</v>
      </c>
      <c r="E172">
        <f t="shared" si="14"/>
        <v>0</v>
      </c>
      <c r="F172" s="41" t="str">
        <f t="shared" si="16"/>
        <v/>
      </c>
      <c r="I172">
        <f>SUMIFS(Buybacks!H:H,Buybacks!D:D,Formulas!H172)</f>
        <v>0</v>
      </c>
      <c r="J172" s="41" t="str">
        <f t="shared" si="17"/>
        <v/>
      </c>
      <c r="M172">
        <f>SUMIFS('Corporate activity'!$H:$H,'Corporate activity'!$D:$D,Formulas!$L172,'Corporate activity'!$C:$C,Formulas!M$2)</f>
        <v>0</v>
      </c>
      <c r="N172">
        <f>SUMIFS('Corporate activity'!$H:$H,'Corporate activity'!$D:$D,Formulas!$L172,'Corporate activity'!$C:$C,Formulas!N$2)</f>
        <v>0</v>
      </c>
      <c r="O172">
        <f>SUMIFS('Corporate activity'!$H:$H,'Corporate activity'!$D:$D,Formulas!$L172,'Corporate activity'!$C:$C,Formulas!O$2)</f>
        <v>0</v>
      </c>
      <c r="P172">
        <f t="shared" si="15"/>
        <v>0</v>
      </c>
      <c r="Q172" t="str">
        <f t="shared" si="18"/>
        <v/>
      </c>
    </row>
    <row r="173" spans="3:17" x14ac:dyDescent="0.25">
      <c r="C173">
        <f>SUMIFS(Issuance!$H:$H,Issuance!$D:$D,Formulas!$B173,Issuance!$C:$C,Formulas!C$2)</f>
        <v>0</v>
      </c>
      <c r="D173">
        <f>SUMIFS(Issuance!$H:$H,Issuance!$D:$D,Formulas!$B173,Issuance!$C:$C,Formulas!D$2)</f>
        <v>0</v>
      </c>
      <c r="E173">
        <f t="shared" si="14"/>
        <v>0</v>
      </c>
      <c r="F173" s="41" t="str">
        <f t="shared" si="16"/>
        <v/>
      </c>
      <c r="I173">
        <f>SUMIFS(Buybacks!H:H,Buybacks!D:D,Formulas!H173)</f>
        <v>0</v>
      </c>
      <c r="J173" s="41" t="str">
        <f t="shared" si="17"/>
        <v/>
      </c>
      <c r="M173">
        <f>SUMIFS('Corporate activity'!$H:$H,'Corporate activity'!$D:$D,Formulas!$L173,'Corporate activity'!$C:$C,Formulas!M$2)</f>
        <v>0</v>
      </c>
      <c r="N173">
        <f>SUMIFS('Corporate activity'!$H:$H,'Corporate activity'!$D:$D,Formulas!$L173,'Corporate activity'!$C:$C,Formulas!N$2)</f>
        <v>0</v>
      </c>
      <c r="O173">
        <f>SUMIFS('Corporate activity'!$H:$H,'Corporate activity'!$D:$D,Formulas!$L173,'Corporate activity'!$C:$C,Formulas!O$2)</f>
        <v>0</v>
      </c>
      <c r="P173">
        <f t="shared" si="15"/>
        <v>0</v>
      </c>
      <c r="Q173" t="str">
        <f t="shared" si="18"/>
        <v/>
      </c>
    </row>
    <row r="174" spans="3:17" x14ac:dyDescent="0.25">
      <c r="C174">
        <f>SUMIFS(Issuance!$H:$H,Issuance!$D:$D,Formulas!$B174,Issuance!$C:$C,Formulas!C$2)</f>
        <v>0</v>
      </c>
      <c r="D174">
        <f>SUMIFS(Issuance!$H:$H,Issuance!$D:$D,Formulas!$B174,Issuance!$C:$C,Formulas!D$2)</f>
        <v>0</v>
      </c>
      <c r="E174">
        <f t="shared" si="14"/>
        <v>0</v>
      </c>
      <c r="F174" s="41" t="str">
        <f t="shared" si="16"/>
        <v/>
      </c>
      <c r="I174">
        <f>SUMIFS(Buybacks!H:H,Buybacks!D:D,Formulas!H174)</f>
        <v>0</v>
      </c>
      <c r="J174" s="41" t="str">
        <f t="shared" si="17"/>
        <v/>
      </c>
      <c r="M174">
        <f>SUMIFS('Corporate activity'!$H:$H,'Corporate activity'!$D:$D,Formulas!$L174,'Corporate activity'!$C:$C,Formulas!M$2)</f>
        <v>0</v>
      </c>
      <c r="N174">
        <f>SUMIFS('Corporate activity'!$H:$H,'Corporate activity'!$D:$D,Formulas!$L174,'Corporate activity'!$C:$C,Formulas!N$2)</f>
        <v>0</v>
      </c>
      <c r="O174">
        <f>SUMIFS('Corporate activity'!$H:$H,'Corporate activity'!$D:$D,Formulas!$L174,'Corporate activity'!$C:$C,Formulas!O$2)</f>
        <v>0</v>
      </c>
      <c r="P174">
        <f t="shared" si="15"/>
        <v>0</v>
      </c>
      <c r="Q174" t="str">
        <f t="shared" si="18"/>
        <v/>
      </c>
    </row>
    <row r="175" spans="3:17" x14ac:dyDescent="0.25">
      <c r="C175">
        <f>SUMIFS(Issuance!$H:$H,Issuance!$D:$D,Formulas!$B175,Issuance!$C:$C,Formulas!C$2)</f>
        <v>0</v>
      </c>
      <c r="D175">
        <f>SUMIFS(Issuance!$H:$H,Issuance!$D:$D,Formulas!$B175,Issuance!$C:$C,Formulas!D$2)</f>
        <v>0</v>
      </c>
      <c r="E175">
        <f t="shared" si="14"/>
        <v>0</v>
      </c>
      <c r="F175" s="41" t="str">
        <f t="shared" si="16"/>
        <v/>
      </c>
      <c r="I175">
        <f>SUMIFS(Buybacks!H:H,Buybacks!D:D,Formulas!H175)</f>
        <v>0</v>
      </c>
      <c r="J175" s="41" t="str">
        <f t="shared" si="17"/>
        <v/>
      </c>
      <c r="M175">
        <f>SUMIFS('Corporate activity'!$H:$H,'Corporate activity'!$D:$D,Formulas!$L175,'Corporate activity'!$C:$C,Formulas!M$2)</f>
        <v>0</v>
      </c>
      <c r="N175">
        <f>SUMIFS('Corporate activity'!$H:$H,'Corporate activity'!$D:$D,Formulas!$L175,'Corporate activity'!$C:$C,Formulas!N$2)</f>
        <v>0</v>
      </c>
      <c r="O175">
        <f>SUMIFS('Corporate activity'!$H:$H,'Corporate activity'!$D:$D,Formulas!$L175,'Corporate activity'!$C:$C,Formulas!O$2)</f>
        <v>0</v>
      </c>
      <c r="P175">
        <f t="shared" si="15"/>
        <v>0</v>
      </c>
      <c r="Q175" t="str">
        <f t="shared" si="18"/>
        <v/>
      </c>
    </row>
    <row r="176" spans="3:17" x14ac:dyDescent="0.25">
      <c r="C176">
        <f>SUMIFS(Issuance!$H:$H,Issuance!$D:$D,Formulas!$B176,Issuance!$C:$C,Formulas!C$2)</f>
        <v>0</v>
      </c>
      <c r="D176">
        <f>SUMIFS(Issuance!$H:$H,Issuance!$D:$D,Formulas!$B176,Issuance!$C:$C,Formulas!D$2)</f>
        <v>0</v>
      </c>
      <c r="E176">
        <f t="shared" si="14"/>
        <v>0</v>
      </c>
      <c r="F176" s="41" t="str">
        <f t="shared" si="16"/>
        <v/>
      </c>
      <c r="I176">
        <f>SUMIFS(Buybacks!H:H,Buybacks!D:D,Formulas!H176)</f>
        <v>0</v>
      </c>
      <c r="J176" s="41" t="str">
        <f t="shared" si="17"/>
        <v/>
      </c>
      <c r="M176">
        <f>SUMIFS('Corporate activity'!$H:$H,'Corporate activity'!$D:$D,Formulas!$L176,'Corporate activity'!$C:$C,Formulas!M$2)</f>
        <v>0</v>
      </c>
      <c r="N176">
        <f>SUMIFS('Corporate activity'!$H:$H,'Corporate activity'!$D:$D,Formulas!$L176,'Corporate activity'!$C:$C,Formulas!N$2)</f>
        <v>0</v>
      </c>
      <c r="O176">
        <f>SUMIFS('Corporate activity'!$H:$H,'Corporate activity'!$D:$D,Formulas!$L176,'Corporate activity'!$C:$C,Formulas!O$2)</f>
        <v>0</v>
      </c>
      <c r="P176">
        <f t="shared" si="15"/>
        <v>0</v>
      </c>
      <c r="Q176" t="str">
        <f t="shared" si="18"/>
        <v/>
      </c>
    </row>
    <row r="177" spans="3:17" x14ac:dyDescent="0.25">
      <c r="C177">
        <f>SUMIFS(Issuance!$H:$H,Issuance!$D:$D,Formulas!$B177,Issuance!$C:$C,Formulas!C$2)</f>
        <v>0</v>
      </c>
      <c r="D177">
        <f>SUMIFS(Issuance!$H:$H,Issuance!$D:$D,Formulas!$B177,Issuance!$C:$C,Formulas!D$2)</f>
        <v>0</v>
      </c>
      <c r="E177">
        <f t="shared" si="14"/>
        <v>0</v>
      </c>
      <c r="F177" s="41" t="str">
        <f t="shared" si="16"/>
        <v/>
      </c>
      <c r="I177">
        <f>SUMIFS(Buybacks!H:H,Buybacks!D:D,Formulas!H177)</f>
        <v>0</v>
      </c>
      <c r="J177" s="41" t="str">
        <f t="shared" si="17"/>
        <v/>
      </c>
      <c r="M177">
        <f>SUMIFS('Corporate activity'!$H:$H,'Corporate activity'!$D:$D,Formulas!$L177,'Corporate activity'!$C:$C,Formulas!M$2)</f>
        <v>0</v>
      </c>
      <c r="N177">
        <f>SUMIFS('Corporate activity'!$H:$H,'Corporate activity'!$D:$D,Formulas!$L177,'Corporate activity'!$C:$C,Formulas!N$2)</f>
        <v>0</v>
      </c>
      <c r="O177">
        <f>SUMIFS('Corporate activity'!$H:$H,'Corporate activity'!$D:$D,Formulas!$L177,'Corporate activity'!$C:$C,Formulas!O$2)</f>
        <v>0</v>
      </c>
      <c r="P177">
        <f t="shared" si="15"/>
        <v>0</v>
      </c>
      <c r="Q177" t="str">
        <f t="shared" si="18"/>
        <v/>
      </c>
    </row>
    <row r="178" spans="3:17" x14ac:dyDescent="0.25">
      <c r="C178">
        <f>SUMIFS(Issuance!$H:$H,Issuance!$D:$D,Formulas!$B178,Issuance!$C:$C,Formulas!C$2)</f>
        <v>0</v>
      </c>
      <c r="D178">
        <f>SUMIFS(Issuance!$H:$H,Issuance!$D:$D,Formulas!$B178,Issuance!$C:$C,Formulas!D$2)</f>
        <v>0</v>
      </c>
      <c r="E178">
        <f t="shared" si="14"/>
        <v>0</v>
      </c>
      <c r="F178" s="41" t="str">
        <f t="shared" si="16"/>
        <v/>
      </c>
      <c r="I178">
        <f>SUMIFS(Buybacks!H:H,Buybacks!D:D,Formulas!H178)</f>
        <v>0</v>
      </c>
      <c r="J178" s="41" t="str">
        <f t="shared" si="17"/>
        <v/>
      </c>
      <c r="M178">
        <f>SUMIFS('Corporate activity'!$H:$H,'Corporate activity'!$D:$D,Formulas!$L178,'Corporate activity'!$C:$C,Formulas!M$2)</f>
        <v>0</v>
      </c>
      <c r="N178">
        <f>SUMIFS('Corporate activity'!$H:$H,'Corporate activity'!$D:$D,Formulas!$L178,'Corporate activity'!$C:$C,Formulas!N$2)</f>
        <v>0</v>
      </c>
      <c r="O178">
        <f>SUMIFS('Corporate activity'!$H:$H,'Corporate activity'!$D:$D,Formulas!$L178,'Corporate activity'!$C:$C,Formulas!O$2)</f>
        <v>0</v>
      </c>
      <c r="P178">
        <f t="shared" si="15"/>
        <v>0</v>
      </c>
      <c r="Q178" t="str">
        <f t="shared" si="18"/>
        <v/>
      </c>
    </row>
    <row r="179" spans="3:17" x14ac:dyDescent="0.25">
      <c r="C179">
        <f>SUMIFS(Issuance!$H:$H,Issuance!$D:$D,Formulas!$B179,Issuance!$C:$C,Formulas!C$2)</f>
        <v>0</v>
      </c>
      <c r="D179">
        <f>SUMIFS(Issuance!$H:$H,Issuance!$D:$D,Formulas!$B179,Issuance!$C:$C,Formulas!D$2)</f>
        <v>0</v>
      </c>
      <c r="E179">
        <f t="shared" ref="E179:E242" si="19">SUM(C179:D179)</f>
        <v>0</v>
      </c>
      <c r="F179" s="41" t="str">
        <f t="shared" si="16"/>
        <v/>
      </c>
      <c r="I179">
        <f>SUMIFS(Buybacks!H:H,Buybacks!D:D,Formulas!H179)</f>
        <v>0</v>
      </c>
      <c r="J179" s="41" t="str">
        <f t="shared" si="17"/>
        <v/>
      </c>
      <c r="M179">
        <f>SUMIFS('Corporate activity'!$H:$H,'Corporate activity'!$D:$D,Formulas!$L179,'Corporate activity'!$C:$C,Formulas!M$2)</f>
        <v>0</v>
      </c>
      <c r="N179">
        <f>SUMIFS('Corporate activity'!$H:$H,'Corporate activity'!$D:$D,Formulas!$L179,'Corporate activity'!$C:$C,Formulas!N$2)</f>
        <v>0</v>
      </c>
      <c r="O179">
        <f>SUMIFS('Corporate activity'!$H:$H,'Corporate activity'!$D:$D,Formulas!$L179,'Corporate activity'!$C:$C,Formulas!O$2)</f>
        <v>0</v>
      </c>
      <c r="P179">
        <f t="shared" ref="P179:P242" si="20">SUM(M179:O179)</f>
        <v>0</v>
      </c>
      <c r="Q179" t="str">
        <f t="shared" si="18"/>
        <v/>
      </c>
    </row>
    <row r="180" spans="3:17" x14ac:dyDescent="0.25">
      <c r="C180">
        <f>SUMIFS(Issuance!$H:$H,Issuance!$D:$D,Formulas!$B180,Issuance!$C:$C,Formulas!C$2)</f>
        <v>0</v>
      </c>
      <c r="D180">
        <f>SUMIFS(Issuance!$H:$H,Issuance!$D:$D,Formulas!$B180,Issuance!$C:$C,Formulas!D$2)</f>
        <v>0</v>
      </c>
      <c r="E180">
        <f t="shared" si="19"/>
        <v>0</v>
      </c>
      <c r="F180" s="41" t="str">
        <f t="shared" si="16"/>
        <v/>
      </c>
      <c r="I180">
        <f>SUMIFS(Buybacks!H:H,Buybacks!D:D,Formulas!H180)</f>
        <v>0</v>
      </c>
      <c r="J180" s="41" t="str">
        <f t="shared" si="17"/>
        <v/>
      </c>
      <c r="M180">
        <f>SUMIFS('Corporate activity'!$H:$H,'Corporate activity'!$D:$D,Formulas!$L180,'Corporate activity'!$C:$C,Formulas!M$2)</f>
        <v>0</v>
      </c>
      <c r="N180">
        <f>SUMIFS('Corporate activity'!$H:$H,'Corporate activity'!$D:$D,Formulas!$L180,'Corporate activity'!$C:$C,Formulas!N$2)</f>
        <v>0</v>
      </c>
      <c r="O180">
        <f>SUMIFS('Corporate activity'!$H:$H,'Corporate activity'!$D:$D,Formulas!$L180,'Corporate activity'!$C:$C,Formulas!O$2)</f>
        <v>0</v>
      </c>
      <c r="P180">
        <f t="shared" si="20"/>
        <v>0</v>
      </c>
      <c r="Q180" t="str">
        <f t="shared" si="18"/>
        <v/>
      </c>
    </row>
    <row r="181" spans="3:17" x14ac:dyDescent="0.25">
      <c r="C181">
        <f>SUMIFS(Issuance!$H:$H,Issuance!$D:$D,Formulas!$B181,Issuance!$C:$C,Formulas!C$2)</f>
        <v>0</v>
      </c>
      <c r="D181">
        <f>SUMIFS(Issuance!$H:$H,Issuance!$D:$D,Formulas!$B181,Issuance!$C:$C,Formulas!D$2)</f>
        <v>0</v>
      </c>
      <c r="E181">
        <f t="shared" si="19"/>
        <v>0</v>
      </c>
      <c r="F181" s="41" t="str">
        <f t="shared" si="16"/>
        <v/>
      </c>
      <c r="I181">
        <f>SUMIFS(Buybacks!H:H,Buybacks!D:D,Formulas!H181)</f>
        <v>0</v>
      </c>
      <c r="J181" s="41" t="str">
        <f t="shared" si="17"/>
        <v/>
      </c>
      <c r="M181">
        <f>SUMIFS('Corporate activity'!$H:$H,'Corporate activity'!$D:$D,Formulas!$L181,'Corporate activity'!$C:$C,Formulas!M$2)</f>
        <v>0</v>
      </c>
      <c r="N181">
        <f>SUMIFS('Corporate activity'!$H:$H,'Corporate activity'!$D:$D,Formulas!$L181,'Corporate activity'!$C:$C,Formulas!N$2)</f>
        <v>0</v>
      </c>
      <c r="O181">
        <f>SUMIFS('Corporate activity'!$H:$H,'Corporate activity'!$D:$D,Formulas!$L181,'Corporate activity'!$C:$C,Formulas!O$2)</f>
        <v>0</v>
      </c>
      <c r="P181">
        <f t="shared" si="20"/>
        <v>0</v>
      </c>
      <c r="Q181" t="str">
        <f t="shared" si="18"/>
        <v/>
      </c>
    </row>
    <row r="182" spans="3:17" x14ac:dyDescent="0.25">
      <c r="C182">
        <f>SUMIFS(Issuance!$H:$H,Issuance!$D:$D,Formulas!$B182,Issuance!$C:$C,Formulas!C$2)</f>
        <v>0</v>
      </c>
      <c r="D182">
        <f>SUMIFS(Issuance!$H:$H,Issuance!$D:$D,Formulas!$B182,Issuance!$C:$C,Formulas!D$2)</f>
        <v>0</v>
      </c>
      <c r="E182">
        <f t="shared" si="19"/>
        <v>0</v>
      </c>
      <c r="F182" s="41" t="str">
        <f t="shared" si="16"/>
        <v/>
      </c>
      <c r="I182">
        <f>SUMIFS(Buybacks!H:H,Buybacks!D:D,Formulas!H182)</f>
        <v>0</v>
      </c>
      <c r="J182" s="41" t="str">
        <f t="shared" si="17"/>
        <v/>
      </c>
      <c r="M182">
        <f>SUMIFS('Corporate activity'!$H:$H,'Corporate activity'!$D:$D,Formulas!$L182,'Corporate activity'!$C:$C,Formulas!M$2)</f>
        <v>0</v>
      </c>
      <c r="N182">
        <f>SUMIFS('Corporate activity'!$H:$H,'Corporate activity'!$D:$D,Formulas!$L182,'Corporate activity'!$C:$C,Formulas!N$2)</f>
        <v>0</v>
      </c>
      <c r="O182">
        <f>SUMIFS('Corporate activity'!$H:$H,'Corporate activity'!$D:$D,Formulas!$L182,'Corporate activity'!$C:$C,Formulas!O$2)</f>
        <v>0</v>
      </c>
      <c r="P182">
        <f t="shared" si="20"/>
        <v>0</v>
      </c>
      <c r="Q182" t="str">
        <f t="shared" si="18"/>
        <v/>
      </c>
    </row>
    <row r="183" spans="3:17" x14ac:dyDescent="0.25">
      <c r="C183">
        <f>SUMIFS(Issuance!$H:$H,Issuance!$D:$D,Formulas!$B183,Issuance!$C:$C,Formulas!C$2)</f>
        <v>0</v>
      </c>
      <c r="D183">
        <f>SUMIFS(Issuance!$H:$H,Issuance!$D:$D,Formulas!$B183,Issuance!$C:$C,Formulas!D$2)</f>
        <v>0</v>
      </c>
      <c r="E183">
        <f t="shared" si="19"/>
        <v>0</v>
      </c>
      <c r="F183" s="41" t="str">
        <f t="shared" si="16"/>
        <v/>
      </c>
      <c r="I183">
        <f>SUMIFS(Buybacks!H:H,Buybacks!D:D,Formulas!H183)</f>
        <v>0</v>
      </c>
      <c r="J183" s="41" t="str">
        <f t="shared" si="17"/>
        <v/>
      </c>
      <c r="M183">
        <f>SUMIFS('Corporate activity'!$H:$H,'Corporate activity'!$D:$D,Formulas!$L183,'Corporate activity'!$C:$C,Formulas!M$2)</f>
        <v>0</v>
      </c>
      <c r="N183">
        <f>SUMIFS('Corporate activity'!$H:$H,'Corporate activity'!$D:$D,Formulas!$L183,'Corporate activity'!$C:$C,Formulas!N$2)</f>
        <v>0</v>
      </c>
      <c r="O183">
        <f>SUMIFS('Corporate activity'!$H:$H,'Corporate activity'!$D:$D,Formulas!$L183,'Corporate activity'!$C:$C,Formulas!O$2)</f>
        <v>0</v>
      </c>
      <c r="P183">
        <f t="shared" si="20"/>
        <v>0</v>
      </c>
      <c r="Q183" t="str">
        <f t="shared" si="18"/>
        <v/>
      </c>
    </row>
    <row r="184" spans="3:17" x14ac:dyDescent="0.25">
      <c r="C184">
        <f>SUMIFS(Issuance!$H:$H,Issuance!$D:$D,Formulas!$B184,Issuance!$C:$C,Formulas!C$2)</f>
        <v>0</v>
      </c>
      <c r="D184">
        <f>SUMIFS(Issuance!$H:$H,Issuance!$D:$D,Formulas!$B184,Issuance!$C:$C,Formulas!D$2)</f>
        <v>0</v>
      </c>
      <c r="E184">
        <f t="shared" si="19"/>
        <v>0</v>
      </c>
      <c r="F184" s="41" t="str">
        <f t="shared" si="16"/>
        <v/>
      </c>
      <c r="I184">
        <f>SUMIFS(Buybacks!H:H,Buybacks!D:D,Formulas!H184)</f>
        <v>0</v>
      </c>
      <c r="J184" s="41" t="str">
        <f t="shared" si="17"/>
        <v/>
      </c>
      <c r="M184">
        <f>SUMIFS('Corporate activity'!$H:$H,'Corporate activity'!$D:$D,Formulas!$L184,'Corporate activity'!$C:$C,Formulas!M$2)</f>
        <v>0</v>
      </c>
      <c r="N184">
        <f>SUMIFS('Corporate activity'!$H:$H,'Corporate activity'!$D:$D,Formulas!$L184,'Corporate activity'!$C:$C,Formulas!N$2)</f>
        <v>0</v>
      </c>
      <c r="O184">
        <f>SUMIFS('Corporate activity'!$H:$H,'Corporate activity'!$D:$D,Formulas!$L184,'Corporate activity'!$C:$C,Formulas!O$2)</f>
        <v>0</v>
      </c>
      <c r="P184">
        <f t="shared" si="20"/>
        <v>0</v>
      </c>
      <c r="Q184" t="str">
        <f t="shared" si="18"/>
        <v/>
      </c>
    </row>
    <row r="185" spans="3:17" x14ac:dyDescent="0.25">
      <c r="C185">
        <f>SUMIFS(Issuance!$H:$H,Issuance!$D:$D,Formulas!$B185,Issuance!$C:$C,Formulas!C$2)</f>
        <v>0</v>
      </c>
      <c r="D185">
        <f>SUMIFS(Issuance!$H:$H,Issuance!$D:$D,Formulas!$B185,Issuance!$C:$C,Formulas!D$2)</f>
        <v>0</v>
      </c>
      <c r="E185">
        <f t="shared" si="19"/>
        <v>0</v>
      </c>
      <c r="F185" s="41" t="str">
        <f t="shared" si="16"/>
        <v/>
      </c>
      <c r="I185">
        <f>SUMIFS(Buybacks!H:H,Buybacks!D:D,Formulas!H185)</f>
        <v>0</v>
      </c>
      <c r="J185" s="41" t="str">
        <f t="shared" si="17"/>
        <v/>
      </c>
      <c r="M185">
        <f>SUMIFS('Corporate activity'!$H:$H,'Corporate activity'!$D:$D,Formulas!$L185,'Corporate activity'!$C:$C,Formulas!M$2)</f>
        <v>0</v>
      </c>
      <c r="N185">
        <f>SUMIFS('Corporate activity'!$H:$H,'Corporate activity'!$D:$D,Formulas!$L185,'Corporate activity'!$C:$C,Formulas!N$2)</f>
        <v>0</v>
      </c>
      <c r="O185">
        <f>SUMIFS('Corporate activity'!$H:$H,'Corporate activity'!$D:$D,Formulas!$L185,'Corporate activity'!$C:$C,Formulas!O$2)</f>
        <v>0</v>
      </c>
      <c r="P185">
        <f t="shared" si="20"/>
        <v>0</v>
      </c>
      <c r="Q185" t="str">
        <f t="shared" si="18"/>
        <v/>
      </c>
    </row>
    <row r="186" spans="3:17" x14ac:dyDescent="0.25">
      <c r="C186">
        <f>SUMIFS(Issuance!$H:$H,Issuance!$D:$D,Formulas!$B186,Issuance!$C:$C,Formulas!C$2)</f>
        <v>0</v>
      </c>
      <c r="D186">
        <f>SUMIFS(Issuance!$H:$H,Issuance!$D:$D,Formulas!$B186,Issuance!$C:$C,Formulas!D$2)</f>
        <v>0</v>
      </c>
      <c r="E186">
        <f t="shared" si="19"/>
        <v>0</v>
      </c>
      <c r="F186" s="41" t="str">
        <f t="shared" si="16"/>
        <v/>
      </c>
      <c r="I186">
        <f>SUMIFS(Buybacks!H:H,Buybacks!D:D,Formulas!H186)</f>
        <v>0</v>
      </c>
      <c r="J186" s="41" t="str">
        <f t="shared" si="17"/>
        <v/>
      </c>
      <c r="M186">
        <f>SUMIFS('Corporate activity'!$H:$H,'Corporate activity'!$D:$D,Formulas!$L186,'Corporate activity'!$C:$C,Formulas!M$2)</f>
        <v>0</v>
      </c>
      <c r="N186">
        <f>SUMIFS('Corporate activity'!$H:$H,'Corporate activity'!$D:$D,Formulas!$L186,'Corporate activity'!$C:$C,Formulas!N$2)</f>
        <v>0</v>
      </c>
      <c r="O186">
        <f>SUMIFS('Corporate activity'!$H:$H,'Corporate activity'!$D:$D,Formulas!$L186,'Corporate activity'!$C:$C,Formulas!O$2)</f>
        <v>0</v>
      </c>
      <c r="P186">
        <f t="shared" si="20"/>
        <v>0</v>
      </c>
      <c r="Q186" t="str">
        <f t="shared" si="18"/>
        <v/>
      </c>
    </row>
    <row r="187" spans="3:17" x14ac:dyDescent="0.25">
      <c r="C187">
        <f>SUMIFS(Issuance!$H:$H,Issuance!$D:$D,Formulas!$B187,Issuance!$C:$C,Formulas!C$2)</f>
        <v>0</v>
      </c>
      <c r="D187">
        <f>SUMIFS(Issuance!$H:$H,Issuance!$D:$D,Formulas!$B187,Issuance!$C:$C,Formulas!D$2)</f>
        <v>0</v>
      </c>
      <c r="E187">
        <f t="shared" si="19"/>
        <v>0</v>
      </c>
      <c r="F187" s="41" t="str">
        <f t="shared" si="16"/>
        <v/>
      </c>
      <c r="I187">
        <f>SUMIFS(Buybacks!H:H,Buybacks!D:D,Formulas!H187)</f>
        <v>0</v>
      </c>
      <c r="J187" s="41" t="str">
        <f t="shared" si="17"/>
        <v/>
      </c>
      <c r="M187">
        <f>SUMIFS('Corporate activity'!$H:$H,'Corporate activity'!$D:$D,Formulas!$L187,'Corporate activity'!$C:$C,Formulas!M$2)</f>
        <v>0</v>
      </c>
      <c r="N187">
        <f>SUMIFS('Corporate activity'!$H:$H,'Corporate activity'!$D:$D,Formulas!$L187,'Corporate activity'!$C:$C,Formulas!N$2)</f>
        <v>0</v>
      </c>
      <c r="O187">
        <f>SUMIFS('Corporate activity'!$H:$H,'Corporate activity'!$D:$D,Formulas!$L187,'Corporate activity'!$C:$C,Formulas!O$2)</f>
        <v>0</v>
      </c>
      <c r="P187">
        <f t="shared" si="20"/>
        <v>0</v>
      </c>
      <c r="Q187" t="str">
        <f t="shared" si="18"/>
        <v/>
      </c>
    </row>
    <row r="188" spans="3:17" x14ac:dyDescent="0.25">
      <c r="C188">
        <f>SUMIFS(Issuance!$H:$H,Issuance!$D:$D,Formulas!$B188,Issuance!$C:$C,Formulas!C$2)</f>
        <v>0</v>
      </c>
      <c r="D188">
        <f>SUMIFS(Issuance!$H:$H,Issuance!$D:$D,Formulas!$B188,Issuance!$C:$C,Formulas!D$2)</f>
        <v>0</v>
      </c>
      <c r="E188">
        <f t="shared" si="19"/>
        <v>0</v>
      </c>
      <c r="F188" s="41" t="str">
        <f t="shared" si="16"/>
        <v/>
      </c>
      <c r="I188">
        <f>SUMIFS(Buybacks!H:H,Buybacks!D:D,Formulas!H188)</f>
        <v>0</v>
      </c>
      <c r="J188" s="41" t="str">
        <f t="shared" si="17"/>
        <v/>
      </c>
      <c r="M188">
        <f>SUMIFS('Corporate activity'!$H:$H,'Corporate activity'!$D:$D,Formulas!$L188,'Corporate activity'!$C:$C,Formulas!M$2)</f>
        <v>0</v>
      </c>
      <c r="N188">
        <f>SUMIFS('Corporate activity'!$H:$H,'Corporate activity'!$D:$D,Formulas!$L188,'Corporate activity'!$C:$C,Formulas!N$2)</f>
        <v>0</v>
      </c>
      <c r="O188">
        <f>SUMIFS('Corporate activity'!$H:$H,'Corporate activity'!$D:$D,Formulas!$L188,'Corporate activity'!$C:$C,Formulas!O$2)</f>
        <v>0</v>
      </c>
      <c r="P188">
        <f t="shared" si="20"/>
        <v>0</v>
      </c>
      <c r="Q188" t="str">
        <f t="shared" si="18"/>
        <v/>
      </c>
    </row>
    <row r="189" spans="3:17" x14ac:dyDescent="0.25">
      <c r="C189">
        <f>SUMIFS(Issuance!$H:$H,Issuance!$D:$D,Formulas!$B189,Issuance!$C:$C,Formulas!C$2)</f>
        <v>0</v>
      </c>
      <c r="D189">
        <f>SUMIFS(Issuance!$H:$H,Issuance!$D:$D,Formulas!$B189,Issuance!$C:$C,Formulas!D$2)</f>
        <v>0</v>
      </c>
      <c r="E189">
        <f t="shared" si="19"/>
        <v>0</v>
      </c>
      <c r="F189" s="41" t="str">
        <f t="shared" si="16"/>
        <v/>
      </c>
      <c r="I189">
        <f>SUMIFS(Buybacks!H:H,Buybacks!D:D,Formulas!H189)</f>
        <v>0</v>
      </c>
      <c r="J189" s="41" t="str">
        <f t="shared" si="17"/>
        <v/>
      </c>
      <c r="M189">
        <f>SUMIFS('Corporate activity'!$H:$H,'Corporate activity'!$D:$D,Formulas!$L189,'Corporate activity'!$C:$C,Formulas!M$2)</f>
        <v>0</v>
      </c>
      <c r="N189">
        <f>SUMIFS('Corporate activity'!$H:$H,'Corporate activity'!$D:$D,Formulas!$L189,'Corporate activity'!$C:$C,Formulas!N$2)</f>
        <v>0</v>
      </c>
      <c r="O189">
        <f>SUMIFS('Corporate activity'!$H:$H,'Corporate activity'!$D:$D,Formulas!$L189,'Corporate activity'!$C:$C,Formulas!O$2)</f>
        <v>0</v>
      </c>
      <c r="P189">
        <f t="shared" si="20"/>
        <v>0</v>
      </c>
      <c r="Q189" t="str">
        <f t="shared" si="18"/>
        <v/>
      </c>
    </row>
    <row r="190" spans="3:17" x14ac:dyDescent="0.25">
      <c r="C190">
        <f>SUMIFS(Issuance!$H:$H,Issuance!$D:$D,Formulas!$B190,Issuance!$C:$C,Formulas!C$2)</f>
        <v>0</v>
      </c>
      <c r="D190">
        <f>SUMIFS(Issuance!$H:$H,Issuance!$D:$D,Formulas!$B190,Issuance!$C:$C,Formulas!D$2)</f>
        <v>0</v>
      </c>
      <c r="E190">
        <f t="shared" si="19"/>
        <v>0</v>
      </c>
      <c r="F190" s="41" t="str">
        <f t="shared" si="16"/>
        <v/>
      </c>
      <c r="I190">
        <f>SUMIFS(Buybacks!H:H,Buybacks!D:D,Formulas!H190)</f>
        <v>0</v>
      </c>
      <c r="J190" s="41" t="str">
        <f t="shared" si="17"/>
        <v/>
      </c>
      <c r="M190">
        <f>SUMIFS('Corporate activity'!$H:$H,'Corporate activity'!$D:$D,Formulas!$L190,'Corporate activity'!$C:$C,Formulas!M$2)</f>
        <v>0</v>
      </c>
      <c r="N190">
        <f>SUMIFS('Corporate activity'!$H:$H,'Corporate activity'!$D:$D,Formulas!$L190,'Corporate activity'!$C:$C,Formulas!N$2)</f>
        <v>0</v>
      </c>
      <c r="O190">
        <f>SUMIFS('Corporate activity'!$H:$H,'Corporate activity'!$D:$D,Formulas!$L190,'Corporate activity'!$C:$C,Formulas!O$2)</f>
        <v>0</v>
      </c>
      <c r="P190">
        <f t="shared" si="20"/>
        <v>0</v>
      </c>
      <c r="Q190" t="str">
        <f t="shared" si="18"/>
        <v/>
      </c>
    </row>
    <row r="191" spans="3:17" x14ac:dyDescent="0.25">
      <c r="C191">
        <f>SUMIFS(Issuance!$H:$H,Issuance!$D:$D,Formulas!$B191,Issuance!$C:$C,Formulas!C$2)</f>
        <v>0</v>
      </c>
      <c r="D191">
        <f>SUMIFS(Issuance!$H:$H,Issuance!$D:$D,Formulas!$B191,Issuance!$C:$C,Formulas!D$2)</f>
        <v>0</v>
      </c>
      <c r="E191">
        <f t="shared" si="19"/>
        <v>0</v>
      </c>
      <c r="F191" s="41" t="str">
        <f t="shared" si="16"/>
        <v/>
      </c>
      <c r="I191">
        <f>SUMIFS(Buybacks!H:H,Buybacks!D:D,Formulas!H191)</f>
        <v>0</v>
      </c>
      <c r="J191" s="41" t="str">
        <f t="shared" si="17"/>
        <v/>
      </c>
      <c r="M191">
        <f>SUMIFS('Corporate activity'!$H:$H,'Corporate activity'!$D:$D,Formulas!$L191,'Corporate activity'!$C:$C,Formulas!M$2)</f>
        <v>0</v>
      </c>
      <c r="N191">
        <f>SUMIFS('Corporate activity'!$H:$H,'Corporate activity'!$D:$D,Formulas!$L191,'Corporate activity'!$C:$C,Formulas!N$2)</f>
        <v>0</v>
      </c>
      <c r="O191">
        <f>SUMIFS('Corporate activity'!$H:$H,'Corporate activity'!$D:$D,Formulas!$L191,'Corporate activity'!$C:$C,Formulas!O$2)</f>
        <v>0</v>
      </c>
      <c r="P191">
        <f t="shared" si="20"/>
        <v>0</v>
      </c>
      <c r="Q191" t="str">
        <f t="shared" si="18"/>
        <v/>
      </c>
    </row>
    <row r="192" spans="3:17" x14ac:dyDescent="0.25">
      <c r="C192">
        <f>SUMIFS(Issuance!$H:$H,Issuance!$D:$D,Formulas!$B192,Issuance!$C:$C,Formulas!C$2)</f>
        <v>0</v>
      </c>
      <c r="D192">
        <f>SUMIFS(Issuance!$H:$H,Issuance!$D:$D,Formulas!$B192,Issuance!$C:$C,Formulas!D$2)</f>
        <v>0</v>
      </c>
      <c r="E192">
        <f t="shared" si="19"/>
        <v>0</v>
      </c>
      <c r="F192" s="41" t="str">
        <f t="shared" si="16"/>
        <v/>
      </c>
      <c r="I192">
        <f>SUMIFS(Buybacks!H:H,Buybacks!D:D,Formulas!H192)</f>
        <v>0</v>
      </c>
      <c r="J192" s="41" t="str">
        <f t="shared" si="17"/>
        <v/>
      </c>
      <c r="M192">
        <f>SUMIFS('Corporate activity'!$H:$H,'Corporate activity'!$D:$D,Formulas!$L192,'Corporate activity'!$C:$C,Formulas!M$2)</f>
        <v>0</v>
      </c>
      <c r="N192">
        <f>SUMIFS('Corporate activity'!$H:$H,'Corporate activity'!$D:$D,Formulas!$L192,'Corporate activity'!$C:$C,Formulas!N$2)</f>
        <v>0</v>
      </c>
      <c r="O192">
        <f>SUMIFS('Corporate activity'!$H:$H,'Corporate activity'!$D:$D,Formulas!$L192,'Corporate activity'!$C:$C,Formulas!O$2)</f>
        <v>0</v>
      </c>
      <c r="P192">
        <f t="shared" si="20"/>
        <v>0</v>
      </c>
      <c r="Q192" t="str">
        <f t="shared" si="18"/>
        <v/>
      </c>
    </row>
    <row r="193" spans="3:17" x14ac:dyDescent="0.25">
      <c r="C193">
        <f>SUMIFS(Issuance!$H:$H,Issuance!$D:$D,Formulas!$B193,Issuance!$C:$C,Formulas!C$2)</f>
        <v>0</v>
      </c>
      <c r="D193">
        <f>SUMIFS(Issuance!$H:$H,Issuance!$D:$D,Formulas!$B193,Issuance!$C:$C,Formulas!D$2)</f>
        <v>0</v>
      </c>
      <c r="E193">
        <f t="shared" si="19"/>
        <v>0</v>
      </c>
      <c r="F193" s="41" t="str">
        <f t="shared" si="16"/>
        <v/>
      </c>
      <c r="I193">
        <f>SUMIFS(Buybacks!H:H,Buybacks!D:D,Formulas!H193)</f>
        <v>0</v>
      </c>
      <c r="J193" s="41" t="str">
        <f t="shared" si="17"/>
        <v/>
      </c>
      <c r="M193">
        <f>SUMIFS('Corporate activity'!$H:$H,'Corporate activity'!$D:$D,Formulas!$L193,'Corporate activity'!$C:$C,Formulas!M$2)</f>
        <v>0</v>
      </c>
      <c r="N193">
        <f>SUMIFS('Corporate activity'!$H:$H,'Corporate activity'!$D:$D,Formulas!$L193,'Corporate activity'!$C:$C,Formulas!N$2)</f>
        <v>0</v>
      </c>
      <c r="O193">
        <f>SUMIFS('Corporate activity'!$H:$H,'Corporate activity'!$D:$D,Formulas!$L193,'Corporate activity'!$C:$C,Formulas!O$2)</f>
        <v>0</v>
      </c>
      <c r="P193">
        <f t="shared" si="20"/>
        <v>0</v>
      </c>
      <c r="Q193" t="str">
        <f t="shared" si="18"/>
        <v/>
      </c>
    </row>
    <row r="194" spans="3:17" x14ac:dyDescent="0.25">
      <c r="C194">
        <f>SUMIFS(Issuance!$H:$H,Issuance!$D:$D,Formulas!$B194,Issuance!$C:$C,Formulas!C$2)</f>
        <v>0</v>
      </c>
      <c r="D194">
        <f>SUMIFS(Issuance!$H:$H,Issuance!$D:$D,Formulas!$B194,Issuance!$C:$C,Formulas!D$2)</f>
        <v>0</v>
      </c>
      <c r="E194">
        <f t="shared" si="19"/>
        <v>0</v>
      </c>
      <c r="F194" s="41" t="str">
        <f t="shared" si="16"/>
        <v/>
      </c>
      <c r="I194">
        <f>SUMIFS(Buybacks!H:H,Buybacks!D:D,Formulas!H194)</f>
        <v>0</v>
      </c>
      <c r="J194" s="41" t="str">
        <f t="shared" si="17"/>
        <v/>
      </c>
      <c r="M194">
        <f>SUMIFS('Corporate activity'!$H:$H,'Corporate activity'!$D:$D,Formulas!$L194,'Corporate activity'!$C:$C,Formulas!M$2)</f>
        <v>0</v>
      </c>
      <c r="N194">
        <f>SUMIFS('Corporate activity'!$H:$H,'Corporate activity'!$D:$D,Formulas!$L194,'Corporate activity'!$C:$C,Formulas!N$2)</f>
        <v>0</v>
      </c>
      <c r="O194">
        <f>SUMIFS('Corporate activity'!$H:$H,'Corporate activity'!$D:$D,Formulas!$L194,'Corporate activity'!$C:$C,Formulas!O$2)</f>
        <v>0</v>
      </c>
      <c r="P194">
        <f t="shared" si="20"/>
        <v>0</v>
      </c>
      <c r="Q194" t="str">
        <f t="shared" si="18"/>
        <v/>
      </c>
    </row>
    <row r="195" spans="3:17" x14ac:dyDescent="0.25">
      <c r="C195">
        <f>SUMIFS(Issuance!$H:$H,Issuance!$D:$D,Formulas!$B195,Issuance!$C:$C,Formulas!C$2)</f>
        <v>0</v>
      </c>
      <c r="D195">
        <f>SUMIFS(Issuance!$H:$H,Issuance!$D:$D,Formulas!$B195,Issuance!$C:$C,Formulas!D$2)</f>
        <v>0</v>
      </c>
      <c r="E195">
        <f t="shared" si="19"/>
        <v>0</v>
      </c>
      <c r="F195" s="41" t="str">
        <f t="shared" si="16"/>
        <v/>
      </c>
      <c r="I195">
        <f>SUMIFS(Buybacks!H:H,Buybacks!D:D,Formulas!H195)</f>
        <v>0</v>
      </c>
      <c r="J195" s="41" t="str">
        <f t="shared" si="17"/>
        <v/>
      </c>
      <c r="M195">
        <f>SUMIFS('Corporate activity'!$H:$H,'Corporate activity'!$D:$D,Formulas!$L195,'Corporate activity'!$C:$C,Formulas!M$2)</f>
        <v>0</v>
      </c>
      <c r="N195">
        <f>SUMIFS('Corporate activity'!$H:$H,'Corporate activity'!$D:$D,Formulas!$L195,'Corporate activity'!$C:$C,Formulas!N$2)</f>
        <v>0</v>
      </c>
      <c r="O195">
        <f>SUMIFS('Corporate activity'!$H:$H,'Corporate activity'!$D:$D,Formulas!$L195,'Corporate activity'!$C:$C,Formulas!O$2)</f>
        <v>0</v>
      </c>
      <c r="P195">
        <f t="shared" si="20"/>
        <v>0</v>
      </c>
      <c r="Q195" t="str">
        <f t="shared" si="18"/>
        <v/>
      </c>
    </row>
    <row r="196" spans="3:17" x14ac:dyDescent="0.25">
      <c r="C196">
        <f>SUMIFS(Issuance!$H:$H,Issuance!$D:$D,Formulas!$B196,Issuance!$C:$C,Formulas!C$2)</f>
        <v>0</v>
      </c>
      <c r="D196">
        <f>SUMIFS(Issuance!$H:$H,Issuance!$D:$D,Formulas!$B196,Issuance!$C:$C,Formulas!D$2)</f>
        <v>0</v>
      </c>
      <c r="E196">
        <f t="shared" si="19"/>
        <v>0</v>
      </c>
      <c r="F196" s="41" t="str">
        <f t="shared" ref="F196:F259" si="21">IF(OR(B196="",B196=0,E196=0),"",IF(COUNTIFS($E$3:$E$500,"&gt;"&amp;E196,$E$3:$E$500,"&lt;&gt;0")+1&lt;=20,COUNTIFS($E$3:$E$500,"&gt;"&amp;E196,$E$3:$E$500,"&lt;&gt;0")+1,""))</f>
        <v/>
      </c>
      <c r="I196">
        <f>SUMIFS(Buybacks!H:H,Buybacks!D:D,Formulas!H196)</f>
        <v>0</v>
      </c>
      <c r="J196" s="41" t="str">
        <f t="shared" ref="J196:J259" si="22">IF(OR(H196="",H196=0,I196=0),"",IF(COUNTIFS($I$3:$I$500,"&lt;"&amp;I196,$I$3:$I$500,"&lt;&gt;0")+1&lt;=20,COUNTIFS($I$3:$I$500,"&lt;"&amp;I196,$I$3:$I$500,"&lt;&gt;0")+1,""))</f>
        <v/>
      </c>
      <c r="M196">
        <f>SUMIFS('Corporate activity'!$H:$H,'Corporate activity'!$D:$D,Formulas!$L196,'Corporate activity'!$C:$C,Formulas!M$2)</f>
        <v>0</v>
      </c>
      <c r="N196">
        <f>SUMIFS('Corporate activity'!$H:$H,'Corporate activity'!$D:$D,Formulas!$L196,'Corporate activity'!$C:$C,Formulas!N$2)</f>
        <v>0</v>
      </c>
      <c r="O196">
        <f>SUMIFS('Corporate activity'!$H:$H,'Corporate activity'!$D:$D,Formulas!$L196,'Corporate activity'!$C:$C,Formulas!O$2)</f>
        <v>0</v>
      </c>
      <c r="P196">
        <f t="shared" si="20"/>
        <v>0</v>
      </c>
      <c r="Q196" t="str">
        <f t="shared" si="18"/>
        <v/>
      </c>
    </row>
    <row r="197" spans="3:17" x14ac:dyDescent="0.25">
      <c r="C197">
        <f>SUMIFS(Issuance!$H:$H,Issuance!$D:$D,Formulas!$B197,Issuance!$C:$C,Formulas!C$2)</f>
        <v>0</v>
      </c>
      <c r="D197">
        <f>SUMIFS(Issuance!$H:$H,Issuance!$D:$D,Formulas!$B197,Issuance!$C:$C,Formulas!D$2)</f>
        <v>0</v>
      </c>
      <c r="E197">
        <f t="shared" si="19"/>
        <v>0</v>
      </c>
      <c r="F197" s="41" t="str">
        <f t="shared" si="21"/>
        <v/>
      </c>
      <c r="I197">
        <f>SUMIFS(Buybacks!H:H,Buybacks!D:D,Formulas!H197)</f>
        <v>0</v>
      </c>
      <c r="J197" s="41" t="str">
        <f t="shared" si="22"/>
        <v/>
      </c>
      <c r="M197">
        <f>SUMIFS('Corporate activity'!$H:$H,'Corporate activity'!$D:$D,Formulas!$L197,'Corporate activity'!$C:$C,Formulas!M$2)</f>
        <v>0</v>
      </c>
      <c r="N197">
        <f>SUMIFS('Corporate activity'!$H:$H,'Corporate activity'!$D:$D,Formulas!$L197,'Corporate activity'!$C:$C,Formulas!N$2)</f>
        <v>0</v>
      </c>
      <c r="O197">
        <f>SUMIFS('Corporate activity'!$H:$H,'Corporate activity'!$D:$D,Formulas!$L197,'Corporate activity'!$C:$C,Formulas!O$2)</f>
        <v>0</v>
      </c>
      <c r="P197">
        <f t="shared" si="20"/>
        <v>0</v>
      </c>
      <c r="Q197" t="str">
        <f t="shared" si="18"/>
        <v/>
      </c>
    </row>
    <row r="198" spans="3:17" x14ac:dyDescent="0.25">
      <c r="C198">
        <f>SUMIFS(Issuance!$H:$H,Issuance!$D:$D,Formulas!$B198,Issuance!$C:$C,Formulas!C$2)</f>
        <v>0</v>
      </c>
      <c r="D198">
        <f>SUMIFS(Issuance!$H:$H,Issuance!$D:$D,Formulas!$B198,Issuance!$C:$C,Formulas!D$2)</f>
        <v>0</v>
      </c>
      <c r="E198">
        <f t="shared" si="19"/>
        <v>0</v>
      </c>
      <c r="F198" s="41" t="str">
        <f t="shared" si="21"/>
        <v/>
      </c>
      <c r="I198">
        <f>SUMIFS(Buybacks!H:H,Buybacks!D:D,Formulas!H198)</f>
        <v>0</v>
      </c>
      <c r="J198" s="41" t="str">
        <f t="shared" si="22"/>
        <v/>
      </c>
      <c r="M198">
        <f>SUMIFS('Corporate activity'!$H:$H,'Corporate activity'!$D:$D,Formulas!$L198,'Corporate activity'!$C:$C,Formulas!M$2)</f>
        <v>0</v>
      </c>
      <c r="N198">
        <f>SUMIFS('Corporate activity'!$H:$H,'Corporate activity'!$D:$D,Formulas!$L198,'Corporate activity'!$C:$C,Formulas!N$2)</f>
        <v>0</v>
      </c>
      <c r="O198">
        <f>SUMIFS('Corporate activity'!$H:$H,'Corporate activity'!$D:$D,Formulas!$L198,'Corporate activity'!$C:$C,Formulas!O$2)</f>
        <v>0</v>
      </c>
      <c r="P198">
        <f t="shared" si="20"/>
        <v>0</v>
      </c>
      <c r="Q198" t="str">
        <f t="shared" si="18"/>
        <v/>
      </c>
    </row>
    <row r="199" spans="3:17" x14ac:dyDescent="0.25">
      <c r="C199">
        <f>SUMIFS(Issuance!$H:$H,Issuance!$D:$D,Formulas!$B199,Issuance!$C:$C,Formulas!C$2)</f>
        <v>0</v>
      </c>
      <c r="D199">
        <f>SUMIFS(Issuance!$H:$H,Issuance!$D:$D,Formulas!$B199,Issuance!$C:$C,Formulas!D$2)</f>
        <v>0</v>
      </c>
      <c r="E199">
        <f t="shared" si="19"/>
        <v>0</v>
      </c>
      <c r="F199" s="41" t="str">
        <f t="shared" si="21"/>
        <v/>
      </c>
      <c r="I199">
        <f>SUMIFS(Buybacks!H:H,Buybacks!D:D,Formulas!H199)</f>
        <v>0</v>
      </c>
      <c r="J199" s="41" t="str">
        <f t="shared" si="22"/>
        <v/>
      </c>
      <c r="M199">
        <f>SUMIFS('Corporate activity'!$H:$H,'Corporate activity'!$D:$D,Formulas!$L199,'Corporate activity'!$C:$C,Formulas!M$2)</f>
        <v>0</v>
      </c>
      <c r="N199">
        <f>SUMIFS('Corporate activity'!$H:$H,'Corporate activity'!$D:$D,Formulas!$L199,'Corporate activity'!$C:$C,Formulas!N$2)</f>
        <v>0</v>
      </c>
      <c r="O199">
        <f>SUMIFS('Corporate activity'!$H:$H,'Corporate activity'!$D:$D,Formulas!$L199,'Corporate activity'!$C:$C,Formulas!O$2)</f>
        <v>0</v>
      </c>
      <c r="P199">
        <f t="shared" si="20"/>
        <v>0</v>
      </c>
      <c r="Q199" t="str">
        <f t="shared" si="18"/>
        <v/>
      </c>
    </row>
    <row r="200" spans="3:17" x14ac:dyDescent="0.25">
      <c r="C200">
        <f>SUMIFS(Issuance!$H:$H,Issuance!$D:$D,Formulas!$B200,Issuance!$C:$C,Formulas!C$2)</f>
        <v>0</v>
      </c>
      <c r="D200">
        <f>SUMIFS(Issuance!$H:$H,Issuance!$D:$D,Formulas!$B200,Issuance!$C:$C,Formulas!D$2)</f>
        <v>0</v>
      </c>
      <c r="E200">
        <f t="shared" si="19"/>
        <v>0</v>
      </c>
      <c r="F200" s="41" t="str">
        <f t="shared" si="21"/>
        <v/>
      </c>
      <c r="I200">
        <f>SUMIFS(Buybacks!H:H,Buybacks!D:D,Formulas!H200)</f>
        <v>0</v>
      </c>
      <c r="J200" s="41" t="str">
        <f t="shared" si="22"/>
        <v/>
      </c>
      <c r="M200">
        <f>SUMIFS('Corporate activity'!$H:$H,'Corporate activity'!$D:$D,Formulas!$L200,'Corporate activity'!$C:$C,Formulas!M$2)</f>
        <v>0</v>
      </c>
      <c r="N200">
        <f>SUMIFS('Corporate activity'!$H:$H,'Corporate activity'!$D:$D,Formulas!$L200,'Corporate activity'!$C:$C,Formulas!N$2)</f>
        <v>0</v>
      </c>
      <c r="O200">
        <f>SUMIFS('Corporate activity'!$H:$H,'Corporate activity'!$D:$D,Formulas!$L200,'Corporate activity'!$C:$C,Formulas!O$2)</f>
        <v>0</v>
      </c>
      <c r="P200">
        <f t="shared" si="20"/>
        <v>0</v>
      </c>
      <c r="Q200" t="str">
        <f t="shared" si="18"/>
        <v/>
      </c>
    </row>
    <row r="201" spans="3:17" x14ac:dyDescent="0.25">
      <c r="C201">
        <f>SUMIFS(Issuance!$H:$H,Issuance!$D:$D,Formulas!$B201,Issuance!$C:$C,Formulas!C$2)</f>
        <v>0</v>
      </c>
      <c r="D201">
        <f>SUMIFS(Issuance!$H:$H,Issuance!$D:$D,Formulas!$B201,Issuance!$C:$C,Formulas!D$2)</f>
        <v>0</v>
      </c>
      <c r="E201">
        <f t="shared" si="19"/>
        <v>0</v>
      </c>
      <c r="F201" s="41" t="str">
        <f t="shared" si="21"/>
        <v/>
      </c>
      <c r="I201">
        <f>SUMIFS(Buybacks!H:H,Buybacks!D:D,Formulas!H201)</f>
        <v>0</v>
      </c>
      <c r="J201" s="41" t="str">
        <f t="shared" si="22"/>
        <v/>
      </c>
      <c r="M201">
        <f>SUMIFS('Corporate activity'!$H:$H,'Corporate activity'!$D:$D,Formulas!$L201,'Corporate activity'!$C:$C,Formulas!M$2)</f>
        <v>0</v>
      </c>
      <c r="N201">
        <f>SUMIFS('Corporate activity'!$H:$H,'Corporate activity'!$D:$D,Formulas!$L201,'Corporate activity'!$C:$C,Formulas!N$2)</f>
        <v>0</v>
      </c>
      <c r="O201">
        <f>SUMIFS('Corporate activity'!$H:$H,'Corporate activity'!$D:$D,Formulas!$L201,'Corporate activity'!$C:$C,Formulas!O$2)</f>
        <v>0</v>
      </c>
      <c r="P201">
        <f t="shared" si="20"/>
        <v>0</v>
      </c>
      <c r="Q201" t="str">
        <f t="shared" si="18"/>
        <v/>
      </c>
    </row>
    <row r="202" spans="3:17" x14ac:dyDescent="0.25">
      <c r="C202">
        <f>SUMIFS(Issuance!$H:$H,Issuance!$D:$D,Formulas!$B202,Issuance!$C:$C,Formulas!C$2)</f>
        <v>0</v>
      </c>
      <c r="D202">
        <f>SUMIFS(Issuance!$H:$H,Issuance!$D:$D,Formulas!$B202,Issuance!$C:$C,Formulas!D$2)</f>
        <v>0</v>
      </c>
      <c r="E202">
        <f t="shared" si="19"/>
        <v>0</v>
      </c>
      <c r="F202" s="41" t="str">
        <f t="shared" si="21"/>
        <v/>
      </c>
      <c r="I202">
        <f>SUMIFS(Buybacks!H:H,Buybacks!D:D,Formulas!H202)</f>
        <v>0</v>
      </c>
      <c r="J202" s="41" t="str">
        <f t="shared" si="22"/>
        <v/>
      </c>
      <c r="M202">
        <f>SUMIFS('Corporate activity'!$H:$H,'Corporate activity'!$D:$D,Formulas!$L202,'Corporate activity'!$C:$C,Formulas!M$2)</f>
        <v>0</v>
      </c>
      <c r="N202">
        <f>SUMIFS('Corporate activity'!$H:$H,'Corporate activity'!$D:$D,Formulas!$L202,'Corporate activity'!$C:$C,Formulas!N$2)</f>
        <v>0</v>
      </c>
      <c r="O202">
        <f>SUMIFS('Corporate activity'!$H:$H,'Corporate activity'!$D:$D,Formulas!$L202,'Corporate activity'!$C:$C,Formulas!O$2)</f>
        <v>0</v>
      </c>
      <c r="P202">
        <f t="shared" si="20"/>
        <v>0</v>
      </c>
      <c r="Q202" t="str">
        <f t="shared" si="18"/>
        <v/>
      </c>
    </row>
    <row r="203" spans="3:17" x14ac:dyDescent="0.25">
      <c r="C203">
        <f>SUMIFS(Issuance!$H:$H,Issuance!$D:$D,Formulas!$B203,Issuance!$C:$C,Formulas!C$2)</f>
        <v>0</v>
      </c>
      <c r="D203">
        <f>SUMIFS(Issuance!$H:$H,Issuance!$D:$D,Formulas!$B203,Issuance!$C:$C,Formulas!D$2)</f>
        <v>0</v>
      </c>
      <c r="E203">
        <f t="shared" si="19"/>
        <v>0</v>
      </c>
      <c r="F203" s="41" t="str">
        <f t="shared" si="21"/>
        <v/>
      </c>
      <c r="I203">
        <f>SUMIFS(Buybacks!H:H,Buybacks!D:D,Formulas!H203)</f>
        <v>0</v>
      </c>
      <c r="J203" s="41" t="str">
        <f t="shared" si="22"/>
        <v/>
      </c>
      <c r="M203">
        <f>SUMIFS('Corporate activity'!$H:$H,'Corporate activity'!$D:$D,Formulas!$L203,'Corporate activity'!$C:$C,Formulas!M$2)</f>
        <v>0</v>
      </c>
      <c r="N203">
        <f>SUMIFS('Corporate activity'!$H:$H,'Corporate activity'!$D:$D,Formulas!$L203,'Corporate activity'!$C:$C,Formulas!N$2)</f>
        <v>0</v>
      </c>
      <c r="O203">
        <f>SUMIFS('Corporate activity'!$H:$H,'Corporate activity'!$D:$D,Formulas!$L203,'Corporate activity'!$C:$C,Formulas!O$2)</f>
        <v>0</v>
      </c>
      <c r="P203">
        <f t="shared" si="20"/>
        <v>0</v>
      </c>
      <c r="Q203" t="str">
        <f t="shared" si="18"/>
        <v/>
      </c>
    </row>
    <row r="204" spans="3:17" x14ac:dyDescent="0.25">
      <c r="C204">
        <f>SUMIFS(Issuance!$H:$H,Issuance!$D:$D,Formulas!$B204,Issuance!$C:$C,Formulas!C$2)</f>
        <v>0</v>
      </c>
      <c r="D204">
        <f>SUMIFS(Issuance!$H:$H,Issuance!$D:$D,Formulas!$B204,Issuance!$C:$C,Formulas!D$2)</f>
        <v>0</v>
      </c>
      <c r="E204">
        <f t="shared" si="19"/>
        <v>0</v>
      </c>
      <c r="F204" s="41" t="str">
        <f t="shared" si="21"/>
        <v/>
      </c>
      <c r="I204">
        <f>SUMIFS(Buybacks!H:H,Buybacks!D:D,Formulas!H204)</f>
        <v>0</v>
      </c>
      <c r="J204" s="41" t="str">
        <f t="shared" si="22"/>
        <v/>
      </c>
      <c r="M204">
        <f>SUMIFS('Corporate activity'!$H:$H,'Corporate activity'!$D:$D,Formulas!$L204,'Corporate activity'!$C:$C,Formulas!M$2)</f>
        <v>0</v>
      </c>
      <c r="N204">
        <f>SUMIFS('Corporate activity'!$H:$H,'Corporate activity'!$D:$D,Formulas!$L204,'Corporate activity'!$C:$C,Formulas!N$2)</f>
        <v>0</v>
      </c>
      <c r="O204">
        <f>SUMIFS('Corporate activity'!$H:$H,'Corporate activity'!$D:$D,Formulas!$L204,'Corporate activity'!$C:$C,Formulas!O$2)</f>
        <v>0</v>
      </c>
      <c r="P204">
        <f t="shared" si="20"/>
        <v>0</v>
      </c>
      <c r="Q204" t="str">
        <f t="shared" si="18"/>
        <v/>
      </c>
    </row>
    <row r="205" spans="3:17" x14ac:dyDescent="0.25">
      <c r="C205">
        <f>SUMIFS(Issuance!$H:$H,Issuance!$D:$D,Formulas!$B205,Issuance!$C:$C,Formulas!C$2)</f>
        <v>0</v>
      </c>
      <c r="D205">
        <f>SUMIFS(Issuance!$H:$H,Issuance!$D:$D,Formulas!$B205,Issuance!$C:$C,Formulas!D$2)</f>
        <v>0</v>
      </c>
      <c r="E205">
        <f t="shared" si="19"/>
        <v>0</v>
      </c>
      <c r="F205" s="41" t="str">
        <f t="shared" si="21"/>
        <v/>
      </c>
      <c r="I205">
        <f>SUMIFS(Buybacks!H:H,Buybacks!D:D,Formulas!H205)</f>
        <v>0</v>
      </c>
      <c r="J205" s="41" t="str">
        <f t="shared" si="22"/>
        <v/>
      </c>
      <c r="M205">
        <f>SUMIFS('Corporate activity'!$H:$H,'Corporate activity'!$D:$D,Formulas!$L205,'Corporate activity'!$C:$C,Formulas!M$2)</f>
        <v>0</v>
      </c>
      <c r="N205">
        <f>SUMIFS('Corporate activity'!$H:$H,'Corporate activity'!$D:$D,Formulas!$L205,'Corporate activity'!$C:$C,Formulas!N$2)</f>
        <v>0</v>
      </c>
      <c r="O205">
        <f>SUMIFS('Corporate activity'!$H:$H,'Corporate activity'!$D:$D,Formulas!$L205,'Corporate activity'!$C:$C,Formulas!O$2)</f>
        <v>0</v>
      </c>
      <c r="P205">
        <f t="shared" si="20"/>
        <v>0</v>
      </c>
      <c r="Q205" t="str">
        <f t="shared" si="18"/>
        <v/>
      </c>
    </row>
    <row r="206" spans="3:17" x14ac:dyDescent="0.25">
      <c r="C206">
        <f>SUMIFS(Issuance!$H:$H,Issuance!$D:$D,Formulas!$B206,Issuance!$C:$C,Formulas!C$2)</f>
        <v>0</v>
      </c>
      <c r="D206">
        <f>SUMIFS(Issuance!$H:$H,Issuance!$D:$D,Formulas!$B206,Issuance!$C:$C,Formulas!D$2)</f>
        <v>0</v>
      </c>
      <c r="E206">
        <f t="shared" si="19"/>
        <v>0</v>
      </c>
      <c r="F206" s="41" t="str">
        <f t="shared" si="21"/>
        <v/>
      </c>
      <c r="I206">
        <f>SUMIFS(Buybacks!H:H,Buybacks!D:D,Formulas!H206)</f>
        <v>0</v>
      </c>
      <c r="J206" s="41" t="str">
        <f t="shared" si="22"/>
        <v/>
      </c>
      <c r="M206">
        <f>SUMIFS('Corporate activity'!$H:$H,'Corporate activity'!$D:$D,Formulas!$L206,'Corporate activity'!$C:$C,Formulas!M$2)</f>
        <v>0</v>
      </c>
      <c r="N206">
        <f>SUMIFS('Corporate activity'!$H:$H,'Corporate activity'!$D:$D,Formulas!$L206,'Corporate activity'!$C:$C,Formulas!N$2)</f>
        <v>0</v>
      </c>
      <c r="O206">
        <f>SUMIFS('Corporate activity'!$H:$H,'Corporate activity'!$D:$D,Formulas!$L206,'Corporate activity'!$C:$C,Formulas!O$2)</f>
        <v>0</v>
      </c>
      <c r="P206">
        <f t="shared" si="20"/>
        <v>0</v>
      </c>
      <c r="Q206" t="str">
        <f t="shared" si="18"/>
        <v/>
      </c>
    </row>
    <row r="207" spans="3:17" x14ac:dyDescent="0.25">
      <c r="C207">
        <f>SUMIFS(Issuance!$H:$H,Issuance!$D:$D,Formulas!$B207,Issuance!$C:$C,Formulas!C$2)</f>
        <v>0</v>
      </c>
      <c r="D207">
        <f>SUMIFS(Issuance!$H:$H,Issuance!$D:$D,Formulas!$B207,Issuance!$C:$C,Formulas!D$2)</f>
        <v>0</v>
      </c>
      <c r="E207">
        <f t="shared" si="19"/>
        <v>0</v>
      </c>
      <c r="F207" s="41" t="str">
        <f t="shared" si="21"/>
        <v/>
      </c>
      <c r="I207">
        <f>SUMIFS(Buybacks!H:H,Buybacks!D:D,Formulas!H207)</f>
        <v>0</v>
      </c>
      <c r="J207" s="41" t="str">
        <f t="shared" si="22"/>
        <v/>
      </c>
      <c r="M207">
        <f>SUMIFS('Corporate activity'!$H:$H,'Corporate activity'!$D:$D,Formulas!$L207,'Corporate activity'!$C:$C,Formulas!M$2)</f>
        <v>0</v>
      </c>
      <c r="N207">
        <f>SUMIFS('Corporate activity'!$H:$H,'Corporate activity'!$D:$D,Formulas!$L207,'Corporate activity'!$C:$C,Formulas!N$2)</f>
        <v>0</v>
      </c>
      <c r="O207">
        <f>SUMIFS('Corporate activity'!$H:$H,'Corporate activity'!$D:$D,Formulas!$L207,'Corporate activity'!$C:$C,Formulas!O$2)</f>
        <v>0</v>
      </c>
      <c r="P207">
        <f t="shared" si="20"/>
        <v>0</v>
      </c>
      <c r="Q207" t="str">
        <f t="shared" si="18"/>
        <v/>
      </c>
    </row>
    <row r="208" spans="3:17" x14ac:dyDescent="0.25">
      <c r="C208">
        <f>SUMIFS(Issuance!$H:$H,Issuance!$D:$D,Formulas!$B208,Issuance!$C:$C,Formulas!C$2)</f>
        <v>0</v>
      </c>
      <c r="D208">
        <f>SUMIFS(Issuance!$H:$H,Issuance!$D:$D,Formulas!$B208,Issuance!$C:$C,Formulas!D$2)</f>
        <v>0</v>
      </c>
      <c r="E208">
        <f t="shared" si="19"/>
        <v>0</v>
      </c>
      <c r="F208" s="41" t="str">
        <f t="shared" si="21"/>
        <v/>
      </c>
      <c r="I208">
        <f>SUMIFS(Buybacks!H:H,Buybacks!D:D,Formulas!H208)</f>
        <v>0</v>
      </c>
      <c r="J208" s="41" t="str">
        <f t="shared" si="22"/>
        <v/>
      </c>
      <c r="M208">
        <f>SUMIFS('Corporate activity'!$H:$H,'Corporate activity'!$D:$D,Formulas!$L208,'Corporate activity'!$C:$C,Formulas!M$2)</f>
        <v>0</v>
      </c>
      <c r="N208">
        <f>SUMIFS('Corporate activity'!$H:$H,'Corporate activity'!$D:$D,Formulas!$L208,'Corporate activity'!$C:$C,Formulas!N$2)</f>
        <v>0</v>
      </c>
      <c r="O208">
        <f>SUMIFS('Corporate activity'!$H:$H,'Corporate activity'!$D:$D,Formulas!$L208,'Corporate activity'!$C:$C,Formulas!O$2)</f>
        <v>0</v>
      </c>
      <c r="P208">
        <f t="shared" si="20"/>
        <v>0</v>
      </c>
      <c r="Q208" t="str">
        <f t="shared" si="18"/>
        <v/>
      </c>
    </row>
    <row r="209" spans="3:17" x14ac:dyDescent="0.25">
      <c r="C209">
        <f>SUMIFS(Issuance!$H:$H,Issuance!$D:$D,Formulas!$B209,Issuance!$C:$C,Formulas!C$2)</f>
        <v>0</v>
      </c>
      <c r="D209">
        <f>SUMIFS(Issuance!$H:$H,Issuance!$D:$D,Formulas!$B209,Issuance!$C:$C,Formulas!D$2)</f>
        <v>0</v>
      </c>
      <c r="E209">
        <f t="shared" si="19"/>
        <v>0</v>
      </c>
      <c r="F209" s="41" t="str">
        <f t="shared" si="21"/>
        <v/>
      </c>
      <c r="I209">
        <f>SUMIFS(Buybacks!H:H,Buybacks!D:D,Formulas!H209)</f>
        <v>0</v>
      </c>
      <c r="J209" s="41" t="str">
        <f t="shared" si="22"/>
        <v/>
      </c>
      <c r="M209">
        <f>SUMIFS('Corporate activity'!$H:$H,'Corporate activity'!$D:$D,Formulas!$L209,'Corporate activity'!$C:$C,Formulas!M$2)</f>
        <v>0</v>
      </c>
      <c r="N209">
        <f>SUMIFS('Corporate activity'!$H:$H,'Corporate activity'!$D:$D,Formulas!$L209,'Corporate activity'!$C:$C,Formulas!N$2)</f>
        <v>0</v>
      </c>
      <c r="O209">
        <f>SUMIFS('Corporate activity'!$H:$H,'Corporate activity'!$D:$D,Formulas!$L209,'Corporate activity'!$C:$C,Formulas!O$2)</f>
        <v>0</v>
      </c>
      <c r="P209">
        <f t="shared" si="20"/>
        <v>0</v>
      </c>
      <c r="Q209" t="str">
        <f t="shared" si="18"/>
        <v/>
      </c>
    </row>
    <row r="210" spans="3:17" x14ac:dyDescent="0.25">
      <c r="C210">
        <f>SUMIFS(Issuance!$H:$H,Issuance!$D:$D,Formulas!$B210,Issuance!$C:$C,Formulas!C$2)</f>
        <v>0</v>
      </c>
      <c r="D210">
        <f>SUMIFS(Issuance!$H:$H,Issuance!$D:$D,Formulas!$B210,Issuance!$C:$C,Formulas!D$2)</f>
        <v>0</v>
      </c>
      <c r="E210">
        <f t="shared" si="19"/>
        <v>0</v>
      </c>
      <c r="F210" s="41" t="str">
        <f t="shared" si="21"/>
        <v/>
      </c>
      <c r="I210">
        <f>SUMIFS(Buybacks!H:H,Buybacks!D:D,Formulas!H210)</f>
        <v>0</v>
      </c>
      <c r="J210" s="41" t="str">
        <f t="shared" si="22"/>
        <v/>
      </c>
      <c r="M210">
        <f>SUMIFS('Corporate activity'!$H:$H,'Corporate activity'!$D:$D,Formulas!$L210,'Corporate activity'!$C:$C,Formulas!M$2)</f>
        <v>0</v>
      </c>
      <c r="N210">
        <f>SUMIFS('Corporate activity'!$H:$H,'Corporate activity'!$D:$D,Formulas!$L210,'Corporate activity'!$C:$C,Formulas!N$2)</f>
        <v>0</v>
      </c>
      <c r="O210">
        <f>SUMIFS('Corporate activity'!$H:$H,'Corporate activity'!$D:$D,Formulas!$L210,'Corporate activity'!$C:$C,Formulas!O$2)</f>
        <v>0</v>
      </c>
      <c r="P210">
        <f t="shared" si="20"/>
        <v>0</v>
      </c>
      <c r="Q210" t="str">
        <f t="shared" si="18"/>
        <v/>
      </c>
    </row>
    <row r="211" spans="3:17" x14ac:dyDescent="0.25">
      <c r="C211">
        <f>SUMIFS(Issuance!$H:$H,Issuance!$D:$D,Formulas!$B211,Issuance!$C:$C,Formulas!C$2)</f>
        <v>0</v>
      </c>
      <c r="D211">
        <f>SUMIFS(Issuance!$H:$H,Issuance!$D:$D,Formulas!$B211,Issuance!$C:$C,Formulas!D$2)</f>
        <v>0</v>
      </c>
      <c r="E211">
        <f t="shared" si="19"/>
        <v>0</v>
      </c>
      <c r="F211" s="41" t="str">
        <f t="shared" si="21"/>
        <v/>
      </c>
      <c r="I211">
        <f>SUMIFS(Buybacks!H:H,Buybacks!D:D,Formulas!H211)</f>
        <v>0</v>
      </c>
      <c r="J211" s="41" t="str">
        <f t="shared" si="22"/>
        <v/>
      </c>
      <c r="M211">
        <f>SUMIFS('Corporate activity'!$H:$H,'Corporate activity'!$D:$D,Formulas!$L211,'Corporate activity'!$C:$C,Formulas!M$2)</f>
        <v>0</v>
      </c>
      <c r="N211">
        <f>SUMIFS('Corporate activity'!$H:$H,'Corporate activity'!$D:$D,Formulas!$L211,'Corporate activity'!$C:$C,Formulas!N$2)</f>
        <v>0</v>
      </c>
      <c r="O211">
        <f>SUMIFS('Corporate activity'!$H:$H,'Corporate activity'!$D:$D,Formulas!$L211,'Corporate activity'!$C:$C,Formulas!O$2)</f>
        <v>0</v>
      </c>
      <c r="P211">
        <f t="shared" si="20"/>
        <v>0</v>
      </c>
      <c r="Q211" t="str">
        <f t="shared" si="18"/>
        <v/>
      </c>
    </row>
    <row r="212" spans="3:17" x14ac:dyDescent="0.25">
      <c r="C212">
        <f>SUMIFS(Issuance!$H:$H,Issuance!$D:$D,Formulas!$B212,Issuance!$C:$C,Formulas!C$2)</f>
        <v>0</v>
      </c>
      <c r="D212">
        <f>SUMIFS(Issuance!$H:$H,Issuance!$D:$D,Formulas!$B212,Issuance!$C:$C,Formulas!D$2)</f>
        <v>0</v>
      </c>
      <c r="E212">
        <f t="shared" si="19"/>
        <v>0</v>
      </c>
      <c r="F212" s="41" t="str">
        <f t="shared" si="21"/>
        <v/>
      </c>
      <c r="I212">
        <f>SUMIFS(Buybacks!H:H,Buybacks!D:D,Formulas!H212)</f>
        <v>0</v>
      </c>
      <c r="J212" s="41" t="str">
        <f t="shared" si="22"/>
        <v/>
      </c>
      <c r="M212">
        <f>SUMIFS('Corporate activity'!$H:$H,'Corporate activity'!$D:$D,Formulas!$L212,'Corporate activity'!$C:$C,Formulas!M$2)</f>
        <v>0</v>
      </c>
      <c r="N212">
        <f>SUMIFS('Corporate activity'!$H:$H,'Corporate activity'!$D:$D,Formulas!$L212,'Corporate activity'!$C:$C,Formulas!N$2)</f>
        <v>0</v>
      </c>
      <c r="O212">
        <f>SUMIFS('Corporate activity'!$H:$H,'Corporate activity'!$D:$D,Formulas!$L212,'Corporate activity'!$C:$C,Formulas!O$2)</f>
        <v>0</v>
      </c>
      <c r="P212">
        <f t="shared" si="20"/>
        <v>0</v>
      </c>
      <c r="Q212" t="str">
        <f t="shared" si="18"/>
        <v/>
      </c>
    </row>
    <row r="213" spans="3:17" x14ac:dyDescent="0.25">
      <c r="C213">
        <f>SUMIFS(Issuance!$H:$H,Issuance!$D:$D,Formulas!$B213,Issuance!$C:$C,Formulas!C$2)</f>
        <v>0</v>
      </c>
      <c r="D213">
        <f>SUMIFS(Issuance!$H:$H,Issuance!$D:$D,Formulas!$B213,Issuance!$C:$C,Formulas!D$2)</f>
        <v>0</v>
      </c>
      <c r="E213">
        <f t="shared" si="19"/>
        <v>0</v>
      </c>
      <c r="F213" s="41" t="str">
        <f t="shared" si="21"/>
        <v/>
      </c>
      <c r="I213">
        <f>SUMIFS(Buybacks!H:H,Buybacks!D:D,Formulas!H213)</f>
        <v>0</v>
      </c>
      <c r="J213" s="41" t="str">
        <f t="shared" si="22"/>
        <v/>
      </c>
      <c r="M213">
        <f>SUMIFS('Corporate activity'!$H:$H,'Corporate activity'!$D:$D,Formulas!$L213,'Corporate activity'!$C:$C,Formulas!M$2)</f>
        <v>0</v>
      </c>
      <c r="N213">
        <f>SUMIFS('Corporate activity'!$H:$H,'Corporate activity'!$D:$D,Formulas!$L213,'Corporate activity'!$C:$C,Formulas!N$2)</f>
        <v>0</v>
      </c>
      <c r="O213">
        <f>SUMIFS('Corporate activity'!$H:$H,'Corporate activity'!$D:$D,Formulas!$L213,'Corporate activity'!$C:$C,Formulas!O$2)</f>
        <v>0</v>
      </c>
      <c r="P213">
        <f t="shared" si="20"/>
        <v>0</v>
      </c>
      <c r="Q213" t="str">
        <f t="shared" si="18"/>
        <v/>
      </c>
    </row>
    <row r="214" spans="3:17" x14ac:dyDescent="0.25">
      <c r="C214">
        <f>SUMIFS(Issuance!$H:$H,Issuance!$D:$D,Formulas!$B214,Issuance!$C:$C,Formulas!C$2)</f>
        <v>0</v>
      </c>
      <c r="D214">
        <f>SUMIFS(Issuance!$H:$H,Issuance!$D:$D,Formulas!$B214,Issuance!$C:$C,Formulas!D$2)</f>
        <v>0</v>
      </c>
      <c r="E214">
        <f t="shared" si="19"/>
        <v>0</v>
      </c>
      <c r="F214" s="41" t="str">
        <f t="shared" si="21"/>
        <v/>
      </c>
      <c r="I214">
        <f>SUMIFS(Buybacks!H:H,Buybacks!D:D,Formulas!H214)</f>
        <v>0</v>
      </c>
      <c r="J214" s="41" t="str">
        <f t="shared" si="22"/>
        <v/>
      </c>
      <c r="M214">
        <f>SUMIFS('Corporate activity'!$H:$H,'Corporate activity'!$D:$D,Formulas!$L214,'Corporate activity'!$C:$C,Formulas!M$2)</f>
        <v>0</v>
      </c>
      <c r="N214">
        <f>SUMIFS('Corporate activity'!$H:$H,'Corporate activity'!$D:$D,Formulas!$L214,'Corporate activity'!$C:$C,Formulas!N$2)</f>
        <v>0</v>
      </c>
      <c r="O214">
        <f>SUMIFS('Corporate activity'!$H:$H,'Corporate activity'!$D:$D,Formulas!$L214,'Corporate activity'!$C:$C,Formulas!O$2)</f>
        <v>0</v>
      </c>
      <c r="P214">
        <f t="shared" si="20"/>
        <v>0</v>
      </c>
      <c r="Q214" t="str">
        <f t="shared" si="18"/>
        <v/>
      </c>
    </row>
    <row r="215" spans="3:17" x14ac:dyDescent="0.25">
      <c r="C215">
        <f>SUMIFS(Issuance!$H:$H,Issuance!$D:$D,Formulas!$B215,Issuance!$C:$C,Formulas!C$2)</f>
        <v>0</v>
      </c>
      <c r="D215">
        <f>SUMIFS(Issuance!$H:$H,Issuance!$D:$D,Formulas!$B215,Issuance!$C:$C,Formulas!D$2)</f>
        <v>0</v>
      </c>
      <c r="E215">
        <f t="shared" si="19"/>
        <v>0</v>
      </c>
      <c r="F215" s="41" t="str">
        <f t="shared" si="21"/>
        <v/>
      </c>
      <c r="I215">
        <f>SUMIFS(Buybacks!H:H,Buybacks!D:D,Formulas!H215)</f>
        <v>0</v>
      </c>
      <c r="J215" s="41" t="str">
        <f t="shared" si="22"/>
        <v/>
      </c>
      <c r="M215">
        <f>SUMIFS('Corporate activity'!$H:$H,'Corporate activity'!$D:$D,Formulas!$L215,'Corporate activity'!$C:$C,Formulas!M$2)</f>
        <v>0</v>
      </c>
      <c r="N215">
        <f>SUMIFS('Corporate activity'!$H:$H,'Corporate activity'!$D:$D,Formulas!$L215,'Corporate activity'!$C:$C,Formulas!N$2)</f>
        <v>0</v>
      </c>
      <c r="O215">
        <f>SUMIFS('Corporate activity'!$H:$H,'Corporate activity'!$D:$D,Formulas!$L215,'Corporate activity'!$C:$C,Formulas!O$2)</f>
        <v>0</v>
      </c>
      <c r="P215">
        <f t="shared" si="20"/>
        <v>0</v>
      </c>
      <c r="Q215" t="str">
        <f t="shared" si="18"/>
        <v/>
      </c>
    </row>
    <row r="216" spans="3:17" x14ac:dyDescent="0.25">
      <c r="C216">
        <f>SUMIFS(Issuance!$H:$H,Issuance!$D:$D,Formulas!$B216,Issuance!$C:$C,Formulas!C$2)</f>
        <v>0</v>
      </c>
      <c r="D216">
        <f>SUMIFS(Issuance!$H:$H,Issuance!$D:$D,Formulas!$B216,Issuance!$C:$C,Formulas!D$2)</f>
        <v>0</v>
      </c>
      <c r="E216">
        <f t="shared" si="19"/>
        <v>0</v>
      </c>
      <c r="F216" s="41" t="str">
        <f t="shared" si="21"/>
        <v/>
      </c>
      <c r="I216">
        <f>SUMIFS(Buybacks!H:H,Buybacks!D:D,Formulas!H216)</f>
        <v>0</v>
      </c>
      <c r="J216" s="41" t="str">
        <f t="shared" si="22"/>
        <v/>
      </c>
      <c r="M216">
        <f>SUMIFS('Corporate activity'!$H:$H,'Corporate activity'!$D:$D,Formulas!$L216,'Corporate activity'!$C:$C,Formulas!M$2)</f>
        <v>0</v>
      </c>
      <c r="N216">
        <f>SUMIFS('Corporate activity'!$H:$H,'Corporate activity'!$D:$D,Formulas!$L216,'Corporate activity'!$C:$C,Formulas!N$2)</f>
        <v>0</v>
      </c>
      <c r="O216">
        <f>SUMIFS('Corporate activity'!$H:$H,'Corporate activity'!$D:$D,Formulas!$L216,'Corporate activity'!$C:$C,Formulas!O$2)</f>
        <v>0</v>
      </c>
      <c r="P216">
        <f t="shared" si="20"/>
        <v>0</v>
      </c>
      <c r="Q216" t="str">
        <f t="shared" si="18"/>
        <v/>
      </c>
    </row>
    <row r="217" spans="3:17" x14ac:dyDescent="0.25">
      <c r="C217">
        <f>SUMIFS(Issuance!$H:$H,Issuance!$D:$D,Formulas!$B217,Issuance!$C:$C,Formulas!C$2)</f>
        <v>0</v>
      </c>
      <c r="D217">
        <f>SUMIFS(Issuance!$H:$H,Issuance!$D:$D,Formulas!$B217,Issuance!$C:$C,Formulas!D$2)</f>
        <v>0</v>
      </c>
      <c r="E217">
        <f t="shared" si="19"/>
        <v>0</v>
      </c>
      <c r="F217" s="41" t="str">
        <f t="shared" si="21"/>
        <v/>
      </c>
      <c r="I217">
        <f>SUMIFS(Buybacks!H:H,Buybacks!D:D,Formulas!H217)</f>
        <v>0</v>
      </c>
      <c r="J217" s="41" t="str">
        <f t="shared" si="22"/>
        <v/>
      </c>
      <c r="M217">
        <f>SUMIFS('Corporate activity'!$H:$H,'Corporate activity'!$D:$D,Formulas!$L217,'Corporate activity'!$C:$C,Formulas!M$2)</f>
        <v>0</v>
      </c>
      <c r="N217">
        <f>SUMIFS('Corporate activity'!$H:$H,'Corporate activity'!$D:$D,Formulas!$L217,'Corporate activity'!$C:$C,Formulas!N$2)</f>
        <v>0</v>
      </c>
      <c r="O217">
        <f>SUMIFS('Corporate activity'!$H:$H,'Corporate activity'!$D:$D,Formulas!$L217,'Corporate activity'!$C:$C,Formulas!O$2)</f>
        <v>0</v>
      </c>
      <c r="P217">
        <f t="shared" si="20"/>
        <v>0</v>
      </c>
      <c r="Q217" t="str">
        <f t="shared" si="18"/>
        <v/>
      </c>
    </row>
    <row r="218" spans="3:17" x14ac:dyDescent="0.25">
      <c r="C218">
        <f>SUMIFS(Issuance!$H:$H,Issuance!$D:$D,Formulas!$B218,Issuance!$C:$C,Formulas!C$2)</f>
        <v>0</v>
      </c>
      <c r="D218">
        <f>SUMIFS(Issuance!$H:$H,Issuance!$D:$D,Formulas!$B218,Issuance!$C:$C,Formulas!D$2)</f>
        <v>0</v>
      </c>
      <c r="E218">
        <f t="shared" si="19"/>
        <v>0</v>
      </c>
      <c r="F218" s="41" t="str">
        <f t="shared" si="21"/>
        <v/>
      </c>
      <c r="I218">
        <f>SUMIFS(Buybacks!H:H,Buybacks!D:D,Formulas!H218)</f>
        <v>0</v>
      </c>
      <c r="J218" s="41" t="str">
        <f t="shared" si="22"/>
        <v/>
      </c>
      <c r="M218">
        <f>SUMIFS('Corporate activity'!$H:$H,'Corporate activity'!$D:$D,Formulas!$L218,'Corporate activity'!$C:$C,Formulas!M$2)</f>
        <v>0</v>
      </c>
      <c r="N218">
        <f>SUMIFS('Corporate activity'!$H:$H,'Corporate activity'!$D:$D,Formulas!$L218,'Corporate activity'!$C:$C,Formulas!N$2)</f>
        <v>0</v>
      </c>
      <c r="O218">
        <f>SUMIFS('Corporate activity'!$H:$H,'Corporate activity'!$D:$D,Formulas!$L218,'Corporate activity'!$C:$C,Formulas!O$2)</f>
        <v>0</v>
      </c>
      <c r="P218">
        <f t="shared" si="20"/>
        <v>0</v>
      </c>
      <c r="Q218" t="str">
        <f t="shared" si="18"/>
        <v/>
      </c>
    </row>
    <row r="219" spans="3:17" x14ac:dyDescent="0.25">
      <c r="C219">
        <f>SUMIFS(Issuance!$H:$H,Issuance!$D:$D,Formulas!$B219,Issuance!$C:$C,Formulas!C$2)</f>
        <v>0</v>
      </c>
      <c r="D219">
        <f>SUMIFS(Issuance!$H:$H,Issuance!$D:$D,Formulas!$B219,Issuance!$C:$C,Formulas!D$2)</f>
        <v>0</v>
      </c>
      <c r="E219">
        <f t="shared" si="19"/>
        <v>0</v>
      </c>
      <c r="F219" s="41" t="str">
        <f t="shared" si="21"/>
        <v/>
      </c>
      <c r="I219">
        <f>SUMIFS(Buybacks!H:H,Buybacks!D:D,Formulas!H219)</f>
        <v>0</v>
      </c>
      <c r="J219" s="41" t="str">
        <f t="shared" si="22"/>
        <v/>
      </c>
      <c r="M219">
        <f>SUMIFS('Corporate activity'!$H:$H,'Corporate activity'!$D:$D,Formulas!$L219,'Corporate activity'!$C:$C,Formulas!M$2)</f>
        <v>0</v>
      </c>
      <c r="N219">
        <f>SUMIFS('Corporate activity'!$H:$H,'Corporate activity'!$D:$D,Formulas!$L219,'Corporate activity'!$C:$C,Formulas!N$2)</f>
        <v>0</v>
      </c>
      <c r="O219">
        <f>SUMIFS('Corporate activity'!$H:$H,'Corporate activity'!$D:$D,Formulas!$L219,'Corporate activity'!$C:$C,Formulas!O$2)</f>
        <v>0</v>
      </c>
      <c r="P219">
        <f t="shared" si="20"/>
        <v>0</v>
      </c>
      <c r="Q219" t="str">
        <f t="shared" ref="Q219:Q282" si="23">IF(OR(L219="",L219=0,P219=0),"",IF(COUNTIFS($P$3:$P$500,"&lt;"&amp;P219,$P$3:$P$500,"&lt;&gt;0")+1&lt;=20,COUNTIFS($P$3:$P$500,"&lt;"&amp;P219,$P$3:$P$500,"&lt;&gt;0")+1,""))</f>
        <v/>
      </c>
    </row>
    <row r="220" spans="3:17" x14ac:dyDescent="0.25">
      <c r="C220">
        <f>SUMIFS(Issuance!$H:$H,Issuance!$D:$D,Formulas!$B220,Issuance!$C:$C,Formulas!C$2)</f>
        <v>0</v>
      </c>
      <c r="D220">
        <f>SUMIFS(Issuance!$H:$H,Issuance!$D:$D,Formulas!$B220,Issuance!$C:$C,Formulas!D$2)</f>
        <v>0</v>
      </c>
      <c r="E220">
        <f t="shared" si="19"/>
        <v>0</v>
      </c>
      <c r="F220" s="41" t="str">
        <f t="shared" si="21"/>
        <v/>
      </c>
      <c r="I220">
        <f>SUMIFS(Buybacks!H:H,Buybacks!D:D,Formulas!H220)</f>
        <v>0</v>
      </c>
      <c r="J220" s="41" t="str">
        <f t="shared" si="22"/>
        <v/>
      </c>
      <c r="M220">
        <f>SUMIFS('Corporate activity'!$H:$H,'Corporate activity'!$D:$D,Formulas!$L220,'Corporate activity'!$C:$C,Formulas!M$2)</f>
        <v>0</v>
      </c>
      <c r="N220">
        <f>SUMIFS('Corporate activity'!$H:$H,'Corporate activity'!$D:$D,Formulas!$L220,'Corporate activity'!$C:$C,Formulas!N$2)</f>
        <v>0</v>
      </c>
      <c r="O220">
        <f>SUMIFS('Corporate activity'!$H:$H,'Corporate activity'!$D:$D,Formulas!$L220,'Corporate activity'!$C:$C,Formulas!O$2)</f>
        <v>0</v>
      </c>
      <c r="P220">
        <f t="shared" si="20"/>
        <v>0</v>
      </c>
      <c r="Q220" t="str">
        <f t="shared" si="23"/>
        <v/>
      </c>
    </row>
    <row r="221" spans="3:17" x14ac:dyDescent="0.25">
      <c r="C221">
        <f>SUMIFS(Issuance!$H:$H,Issuance!$D:$D,Formulas!$B221,Issuance!$C:$C,Formulas!C$2)</f>
        <v>0</v>
      </c>
      <c r="D221">
        <f>SUMIFS(Issuance!$H:$H,Issuance!$D:$D,Formulas!$B221,Issuance!$C:$C,Formulas!D$2)</f>
        <v>0</v>
      </c>
      <c r="E221">
        <f t="shared" si="19"/>
        <v>0</v>
      </c>
      <c r="F221" s="41" t="str">
        <f t="shared" si="21"/>
        <v/>
      </c>
      <c r="I221">
        <f>SUMIFS(Buybacks!H:H,Buybacks!D:D,Formulas!H221)</f>
        <v>0</v>
      </c>
      <c r="J221" s="41" t="str">
        <f t="shared" si="22"/>
        <v/>
      </c>
      <c r="M221">
        <f>SUMIFS('Corporate activity'!$H:$H,'Corporate activity'!$D:$D,Formulas!$L221,'Corporate activity'!$C:$C,Formulas!M$2)</f>
        <v>0</v>
      </c>
      <c r="N221">
        <f>SUMIFS('Corporate activity'!$H:$H,'Corporate activity'!$D:$D,Formulas!$L221,'Corporate activity'!$C:$C,Formulas!N$2)</f>
        <v>0</v>
      </c>
      <c r="O221">
        <f>SUMIFS('Corporate activity'!$H:$H,'Corporate activity'!$D:$D,Formulas!$L221,'Corporate activity'!$C:$C,Formulas!O$2)</f>
        <v>0</v>
      </c>
      <c r="P221">
        <f t="shared" si="20"/>
        <v>0</v>
      </c>
      <c r="Q221" t="str">
        <f t="shared" si="23"/>
        <v/>
      </c>
    </row>
    <row r="222" spans="3:17" x14ac:dyDescent="0.25">
      <c r="C222">
        <f>SUMIFS(Issuance!$H:$H,Issuance!$D:$D,Formulas!$B222,Issuance!$C:$C,Formulas!C$2)</f>
        <v>0</v>
      </c>
      <c r="D222">
        <f>SUMIFS(Issuance!$H:$H,Issuance!$D:$D,Formulas!$B222,Issuance!$C:$C,Formulas!D$2)</f>
        <v>0</v>
      </c>
      <c r="E222">
        <f t="shared" si="19"/>
        <v>0</v>
      </c>
      <c r="F222" s="41" t="str">
        <f t="shared" si="21"/>
        <v/>
      </c>
      <c r="I222">
        <f>SUMIFS(Buybacks!H:H,Buybacks!D:D,Formulas!H222)</f>
        <v>0</v>
      </c>
      <c r="J222" s="41" t="str">
        <f t="shared" si="22"/>
        <v/>
      </c>
      <c r="M222">
        <f>SUMIFS('Corporate activity'!$H:$H,'Corporate activity'!$D:$D,Formulas!$L222,'Corporate activity'!$C:$C,Formulas!M$2)</f>
        <v>0</v>
      </c>
      <c r="N222">
        <f>SUMIFS('Corporate activity'!$H:$H,'Corporate activity'!$D:$D,Formulas!$L222,'Corporate activity'!$C:$C,Formulas!N$2)</f>
        <v>0</v>
      </c>
      <c r="O222">
        <f>SUMIFS('Corporate activity'!$H:$H,'Corporate activity'!$D:$D,Formulas!$L222,'Corporate activity'!$C:$C,Formulas!O$2)</f>
        <v>0</v>
      </c>
      <c r="P222">
        <f t="shared" si="20"/>
        <v>0</v>
      </c>
      <c r="Q222" t="str">
        <f t="shared" si="23"/>
        <v/>
      </c>
    </row>
    <row r="223" spans="3:17" x14ac:dyDescent="0.25">
      <c r="C223">
        <f>SUMIFS(Issuance!$H:$H,Issuance!$D:$D,Formulas!$B223,Issuance!$C:$C,Formulas!C$2)</f>
        <v>0</v>
      </c>
      <c r="D223">
        <f>SUMIFS(Issuance!$H:$H,Issuance!$D:$D,Formulas!$B223,Issuance!$C:$C,Formulas!D$2)</f>
        <v>0</v>
      </c>
      <c r="E223">
        <f t="shared" si="19"/>
        <v>0</v>
      </c>
      <c r="F223" s="41" t="str">
        <f t="shared" si="21"/>
        <v/>
      </c>
      <c r="I223">
        <f>SUMIFS(Buybacks!H:H,Buybacks!D:D,Formulas!H223)</f>
        <v>0</v>
      </c>
      <c r="J223" s="41" t="str">
        <f t="shared" si="22"/>
        <v/>
      </c>
      <c r="M223">
        <f>SUMIFS('Corporate activity'!$H:$H,'Corporate activity'!$D:$D,Formulas!$L223,'Corporate activity'!$C:$C,Formulas!M$2)</f>
        <v>0</v>
      </c>
      <c r="N223">
        <f>SUMIFS('Corporate activity'!$H:$H,'Corporate activity'!$D:$D,Formulas!$L223,'Corporate activity'!$C:$C,Formulas!N$2)</f>
        <v>0</v>
      </c>
      <c r="O223">
        <f>SUMIFS('Corporate activity'!$H:$H,'Corporate activity'!$D:$D,Formulas!$L223,'Corporate activity'!$C:$C,Formulas!O$2)</f>
        <v>0</v>
      </c>
      <c r="P223">
        <f t="shared" si="20"/>
        <v>0</v>
      </c>
      <c r="Q223" t="str">
        <f t="shared" si="23"/>
        <v/>
      </c>
    </row>
    <row r="224" spans="3:17" x14ac:dyDescent="0.25">
      <c r="C224">
        <f>SUMIFS(Issuance!$H:$H,Issuance!$D:$D,Formulas!$B224,Issuance!$C:$C,Formulas!C$2)</f>
        <v>0</v>
      </c>
      <c r="D224">
        <f>SUMIFS(Issuance!$H:$H,Issuance!$D:$D,Formulas!$B224,Issuance!$C:$C,Formulas!D$2)</f>
        <v>0</v>
      </c>
      <c r="E224">
        <f t="shared" si="19"/>
        <v>0</v>
      </c>
      <c r="F224" s="41" t="str">
        <f t="shared" si="21"/>
        <v/>
      </c>
      <c r="I224">
        <f>SUMIFS(Buybacks!H:H,Buybacks!D:D,Formulas!H224)</f>
        <v>0</v>
      </c>
      <c r="J224" s="41" t="str">
        <f t="shared" si="22"/>
        <v/>
      </c>
      <c r="M224">
        <f>SUMIFS('Corporate activity'!$H:$H,'Corporate activity'!$D:$D,Formulas!$L224,'Corporate activity'!$C:$C,Formulas!M$2)</f>
        <v>0</v>
      </c>
      <c r="N224">
        <f>SUMIFS('Corporate activity'!$H:$H,'Corporate activity'!$D:$D,Formulas!$L224,'Corporate activity'!$C:$C,Formulas!N$2)</f>
        <v>0</v>
      </c>
      <c r="O224">
        <f>SUMIFS('Corporate activity'!$H:$H,'Corporate activity'!$D:$D,Formulas!$L224,'Corporate activity'!$C:$C,Formulas!O$2)</f>
        <v>0</v>
      </c>
      <c r="P224">
        <f t="shared" si="20"/>
        <v>0</v>
      </c>
      <c r="Q224" t="str">
        <f t="shared" si="23"/>
        <v/>
      </c>
    </row>
    <row r="225" spans="3:17" x14ac:dyDescent="0.25">
      <c r="C225">
        <f>SUMIFS(Issuance!$H:$H,Issuance!$D:$D,Formulas!$B225,Issuance!$C:$C,Formulas!C$2)</f>
        <v>0</v>
      </c>
      <c r="D225">
        <f>SUMIFS(Issuance!$H:$H,Issuance!$D:$D,Formulas!$B225,Issuance!$C:$C,Formulas!D$2)</f>
        <v>0</v>
      </c>
      <c r="E225">
        <f t="shared" si="19"/>
        <v>0</v>
      </c>
      <c r="F225" s="41" t="str">
        <f t="shared" si="21"/>
        <v/>
      </c>
      <c r="I225">
        <f>SUMIFS(Buybacks!H:H,Buybacks!D:D,Formulas!H225)</f>
        <v>0</v>
      </c>
      <c r="J225" s="41" t="str">
        <f t="shared" si="22"/>
        <v/>
      </c>
      <c r="M225">
        <f>SUMIFS('Corporate activity'!$H:$H,'Corporate activity'!$D:$D,Formulas!$L225,'Corporate activity'!$C:$C,Formulas!M$2)</f>
        <v>0</v>
      </c>
      <c r="N225">
        <f>SUMIFS('Corporate activity'!$H:$H,'Corporate activity'!$D:$D,Formulas!$L225,'Corporate activity'!$C:$C,Formulas!N$2)</f>
        <v>0</v>
      </c>
      <c r="O225">
        <f>SUMIFS('Corporate activity'!$H:$H,'Corporate activity'!$D:$D,Formulas!$L225,'Corporate activity'!$C:$C,Formulas!O$2)</f>
        <v>0</v>
      </c>
      <c r="P225">
        <f t="shared" si="20"/>
        <v>0</v>
      </c>
      <c r="Q225" t="str">
        <f t="shared" si="23"/>
        <v/>
      </c>
    </row>
    <row r="226" spans="3:17" x14ac:dyDescent="0.25">
      <c r="C226">
        <f>SUMIFS(Issuance!$H:$H,Issuance!$D:$D,Formulas!$B226,Issuance!$C:$C,Formulas!C$2)</f>
        <v>0</v>
      </c>
      <c r="D226">
        <f>SUMIFS(Issuance!$H:$H,Issuance!$D:$D,Formulas!$B226,Issuance!$C:$C,Formulas!D$2)</f>
        <v>0</v>
      </c>
      <c r="E226">
        <f t="shared" si="19"/>
        <v>0</v>
      </c>
      <c r="F226" s="41" t="str">
        <f t="shared" si="21"/>
        <v/>
      </c>
      <c r="I226">
        <f>SUMIFS(Buybacks!H:H,Buybacks!D:D,Formulas!H226)</f>
        <v>0</v>
      </c>
      <c r="J226" s="41" t="str">
        <f t="shared" si="22"/>
        <v/>
      </c>
      <c r="M226">
        <f>SUMIFS('Corporate activity'!$H:$H,'Corporate activity'!$D:$D,Formulas!$L226,'Corporate activity'!$C:$C,Formulas!M$2)</f>
        <v>0</v>
      </c>
      <c r="N226">
        <f>SUMIFS('Corporate activity'!$H:$H,'Corporate activity'!$D:$D,Formulas!$L226,'Corporate activity'!$C:$C,Formulas!N$2)</f>
        <v>0</v>
      </c>
      <c r="O226">
        <f>SUMIFS('Corporate activity'!$H:$H,'Corporate activity'!$D:$D,Formulas!$L226,'Corporate activity'!$C:$C,Formulas!O$2)</f>
        <v>0</v>
      </c>
      <c r="P226">
        <f t="shared" si="20"/>
        <v>0</v>
      </c>
      <c r="Q226" t="str">
        <f t="shared" si="23"/>
        <v/>
      </c>
    </row>
    <row r="227" spans="3:17" x14ac:dyDescent="0.25">
      <c r="C227">
        <f>SUMIFS(Issuance!$H:$H,Issuance!$D:$D,Formulas!$B227,Issuance!$C:$C,Formulas!C$2)</f>
        <v>0</v>
      </c>
      <c r="D227">
        <f>SUMIFS(Issuance!$H:$H,Issuance!$D:$D,Formulas!$B227,Issuance!$C:$C,Formulas!D$2)</f>
        <v>0</v>
      </c>
      <c r="E227">
        <f t="shared" si="19"/>
        <v>0</v>
      </c>
      <c r="F227" s="41" t="str">
        <f t="shared" si="21"/>
        <v/>
      </c>
      <c r="I227">
        <f>SUMIFS(Buybacks!H:H,Buybacks!D:D,Formulas!H227)</f>
        <v>0</v>
      </c>
      <c r="J227" s="41" t="str">
        <f t="shared" si="22"/>
        <v/>
      </c>
      <c r="M227">
        <f>SUMIFS('Corporate activity'!$H:$H,'Corporate activity'!$D:$D,Formulas!$L227,'Corporate activity'!$C:$C,Formulas!M$2)</f>
        <v>0</v>
      </c>
      <c r="N227">
        <f>SUMIFS('Corporate activity'!$H:$H,'Corporate activity'!$D:$D,Formulas!$L227,'Corporate activity'!$C:$C,Formulas!N$2)</f>
        <v>0</v>
      </c>
      <c r="O227">
        <f>SUMIFS('Corporate activity'!$H:$H,'Corporate activity'!$D:$D,Formulas!$L227,'Corporate activity'!$C:$C,Formulas!O$2)</f>
        <v>0</v>
      </c>
      <c r="P227">
        <f t="shared" si="20"/>
        <v>0</v>
      </c>
      <c r="Q227" t="str">
        <f t="shared" si="23"/>
        <v/>
      </c>
    </row>
    <row r="228" spans="3:17" x14ac:dyDescent="0.25">
      <c r="C228">
        <f>SUMIFS(Issuance!$H:$H,Issuance!$D:$D,Formulas!$B228,Issuance!$C:$C,Formulas!C$2)</f>
        <v>0</v>
      </c>
      <c r="D228">
        <f>SUMIFS(Issuance!$H:$H,Issuance!$D:$D,Formulas!$B228,Issuance!$C:$C,Formulas!D$2)</f>
        <v>0</v>
      </c>
      <c r="E228">
        <f t="shared" si="19"/>
        <v>0</v>
      </c>
      <c r="F228" s="41" t="str">
        <f t="shared" si="21"/>
        <v/>
      </c>
      <c r="I228">
        <f>SUMIFS(Buybacks!H:H,Buybacks!D:D,Formulas!H228)</f>
        <v>0</v>
      </c>
      <c r="J228" s="41" t="str">
        <f t="shared" si="22"/>
        <v/>
      </c>
      <c r="M228">
        <f>SUMIFS('Corporate activity'!$H:$H,'Corporate activity'!$D:$D,Formulas!$L228,'Corporate activity'!$C:$C,Formulas!M$2)</f>
        <v>0</v>
      </c>
      <c r="N228">
        <f>SUMIFS('Corporate activity'!$H:$H,'Corporate activity'!$D:$D,Formulas!$L228,'Corporate activity'!$C:$C,Formulas!N$2)</f>
        <v>0</v>
      </c>
      <c r="O228">
        <f>SUMIFS('Corporate activity'!$H:$H,'Corporate activity'!$D:$D,Formulas!$L228,'Corporate activity'!$C:$C,Formulas!O$2)</f>
        <v>0</v>
      </c>
      <c r="P228">
        <f t="shared" si="20"/>
        <v>0</v>
      </c>
      <c r="Q228" t="str">
        <f t="shared" si="23"/>
        <v/>
      </c>
    </row>
    <row r="229" spans="3:17" x14ac:dyDescent="0.25">
      <c r="C229">
        <f>SUMIFS(Issuance!$H:$H,Issuance!$D:$D,Formulas!$B229,Issuance!$C:$C,Formulas!C$2)</f>
        <v>0</v>
      </c>
      <c r="D229">
        <f>SUMIFS(Issuance!$H:$H,Issuance!$D:$D,Formulas!$B229,Issuance!$C:$C,Formulas!D$2)</f>
        <v>0</v>
      </c>
      <c r="E229">
        <f t="shared" si="19"/>
        <v>0</v>
      </c>
      <c r="F229" s="41" t="str">
        <f t="shared" si="21"/>
        <v/>
      </c>
      <c r="I229">
        <f>SUMIFS(Buybacks!H:H,Buybacks!D:D,Formulas!H229)</f>
        <v>0</v>
      </c>
      <c r="J229" s="41" t="str">
        <f t="shared" si="22"/>
        <v/>
      </c>
      <c r="M229">
        <f>SUMIFS('Corporate activity'!$H:$H,'Corporate activity'!$D:$D,Formulas!$L229,'Corporate activity'!$C:$C,Formulas!M$2)</f>
        <v>0</v>
      </c>
      <c r="N229">
        <f>SUMIFS('Corporate activity'!$H:$H,'Corporate activity'!$D:$D,Formulas!$L229,'Corporate activity'!$C:$C,Formulas!N$2)</f>
        <v>0</v>
      </c>
      <c r="O229">
        <f>SUMIFS('Corporate activity'!$H:$H,'Corporate activity'!$D:$D,Formulas!$L229,'Corporate activity'!$C:$C,Formulas!O$2)</f>
        <v>0</v>
      </c>
      <c r="P229">
        <f t="shared" si="20"/>
        <v>0</v>
      </c>
      <c r="Q229" t="str">
        <f t="shared" si="23"/>
        <v/>
      </c>
    </row>
    <row r="230" spans="3:17" x14ac:dyDescent="0.25">
      <c r="C230">
        <f>SUMIFS(Issuance!$H:$H,Issuance!$D:$D,Formulas!$B230,Issuance!$C:$C,Formulas!C$2)</f>
        <v>0</v>
      </c>
      <c r="D230">
        <f>SUMIFS(Issuance!$H:$H,Issuance!$D:$D,Formulas!$B230,Issuance!$C:$C,Formulas!D$2)</f>
        <v>0</v>
      </c>
      <c r="E230">
        <f t="shared" si="19"/>
        <v>0</v>
      </c>
      <c r="F230" s="41" t="str">
        <f t="shared" si="21"/>
        <v/>
      </c>
      <c r="I230">
        <f>SUMIFS(Buybacks!H:H,Buybacks!D:D,Formulas!H230)</f>
        <v>0</v>
      </c>
      <c r="J230" s="41" t="str">
        <f t="shared" si="22"/>
        <v/>
      </c>
      <c r="M230">
        <f>SUMIFS('Corporate activity'!$H:$H,'Corporate activity'!$D:$D,Formulas!$L230,'Corporate activity'!$C:$C,Formulas!M$2)</f>
        <v>0</v>
      </c>
      <c r="N230">
        <f>SUMIFS('Corporate activity'!$H:$H,'Corporate activity'!$D:$D,Formulas!$L230,'Corporate activity'!$C:$C,Formulas!N$2)</f>
        <v>0</v>
      </c>
      <c r="O230">
        <f>SUMIFS('Corporate activity'!$H:$H,'Corporate activity'!$D:$D,Formulas!$L230,'Corporate activity'!$C:$C,Formulas!O$2)</f>
        <v>0</v>
      </c>
      <c r="P230">
        <f t="shared" si="20"/>
        <v>0</v>
      </c>
      <c r="Q230" t="str">
        <f t="shared" si="23"/>
        <v/>
      </c>
    </row>
    <row r="231" spans="3:17" x14ac:dyDescent="0.25">
      <c r="C231">
        <f>SUMIFS(Issuance!$H:$H,Issuance!$D:$D,Formulas!$B231,Issuance!$C:$C,Formulas!C$2)</f>
        <v>0</v>
      </c>
      <c r="D231">
        <f>SUMIFS(Issuance!$H:$H,Issuance!$D:$D,Formulas!$B231,Issuance!$C:$C,Formulas!D$2)</f>
        <v>0</v>
      </c>
      <c r="E231">
        <f t="shared" si="19"/>
        <v>0</v>
      </c>
      <c r="F231" s="41" t="str">
        <f t="shared" si="21"/>
        <v/>
      </c>
      <c r="I231">
        <f>SUMIFS(Buybacks!H:H,Buybacks!D:D,Formulas!H231)</f>
        <v>0</v>
      </c>
      <c r="J231" s="41" t="str">
        <f t="shared" si="22"/>
        <v/>
      </c>
      <c r="M231">
        <f>SUMIFS('Corporate activity'!$H:$H,'Corporate activity'!$D:$D,Formulas!$L231,'Corporate activity'!$C:$C,Formulas!M$2)</f>
        <v>0</v>
      </c>
      <c r="N231">
        <f>SUMIFS('Corporate activity'!$H:$H,'Corporate activity'!$D:$D,Formulas!$L231,'Corporate activity'!$C:$C,Formulas!N$2)</f>
        <v>0</v>
      </c>
      <c r="O231">
        <f>SUMIFS('Corporate activity'!$H:$H,'Corporate activity'!$D:$D,Formulas!$L231,'Corporate activity'!$C:$C,Formulas!O$2)</f>
        <v>0</v>
      </c>
      <c r="P231">
        <f t="shared" si="20"/>
        <v>0</v>
      </c>
      <c r="Q231" t="str">
        <f t="shared" si="23"/>
        <v/>
      </c>
    </row>
    <row r="232" spans="3:17" x14ac:dyDescent="0.25">
      <c r="C232">
        <f>SUMIFS(Issuance!$H:$H,Issuance!$D:$D,Formulas!$B232,Issuance!$C:$C,Formulas!C$2)</f>
        <v>0</v>
      </c>
      <c r="D232">
        <f>SUMIFS(Issuance!$H:$H,Issuance!$D:$D,Formulas!$B232,Issuance!$C:$C,Formulas!D$2)</f>
        <v>0</v>
      </c>
      <c r="E232">
        <f t="shared" si="19"/>
        <v>0</v>
      </c>
      <c r="F232" s="41" t="str">
        <f t="shared" si="21"/>
        <v/>
      </c>
      <c r="I232">
        <f>SUMIFS(Buybacks!H:H,Buybacks!D:D,Formulas!H232)</f>
        <v>0</v>
      </c>
      <c r="J232" s="41" t="str">
        <f t="shared" si="22"/>
        <v/>
      </c>
      <c r="M232">
        <f>SUMIFS('Corporate activity'!$H:$H,'Corporate activity'!$D:$D,Formulas!$L232,'Corporate activity'!$C:$C,Formulas!M$2)</f>
        <v>0</v>
      </c>
      <c r="N232">
        <f>SUMIFS('Corporate activity'!$H:$H,'Corporate activity'!$D:$D,Formulas!$L232,'Corporate activity'!$C:$C,Formulas!N$2)</f>
        <v>0</v>
      </c>
      <c r="O232">
        <f>SUMIFS('Corporate activity'!$H:$H,'Corporate activity'!$D:$D,Formulas!$L232,'Corporate activity'!$C:$C,Formulas!O$2)</f>
        <v>0</v>
      </c>
      <c r="P232">
        <f t="shared" si="20"/>
        <v>0</v>
      </c>
      <c r="Q232" t="str">
        <f t="shared" si="23"/>
        <v/>
      </c>
    </row>
    <row r="233" spans="3:17" x14ac:dyDescent="0.25">
      <c r="C233">
        <f>SUMIFS(Issuance!$H:$H,Issuance!$D:$D,Formulas!$B233,Issuance!$C:$C,Formulas!C$2)</f>
        <v>0</v>
      </c>
      <c r="D233">
        <f>SUMIFS(Issuance!$H:$H,Issuance!$D:$D,Formulas!$B233,Issuance!$C:$C,Formulas!D$2)</f>
        <v>0</v>
      </c>
      <c r="E233">
        <f t="shared" si="19"/>
        <v>0</v>
      </c>
      <c r="F233" s="41" t="str">
        <f t="shared" si="21"/>
        <v/>
      </c>
      <c r="I233">
        <f>SUMIFS(Buybacks!H:H,Buybacks!D:D,Formulas!H233)</f>
        <v>0</v>
      </c>
      <c r="J233" s="41" t="str">
        <f t="shared" si="22"/>
        <v/>
      </c>
      <c r="M233">
        <f>SUMIFS('Corporate activity'!$H:$H,'Corporate activity'!$D:$D,Formulas!$L233,'Corporate activity'!$C:$C,Formulas!M$2)</f>
        <v>0</v>
      </c>
      <c r="N233">
        <f>SUMIFS('Corporate activity'!$H:$H,'Corporate activity'!$D:$D,Formulas!$L233,'Corporate activity'!$C:$C,Formulas!N$2)</f>
        <v>0</v>
      </c>
      <c r="O233">
        <f>SUMIFS('Corporate activity'!$H:$H,'Corporate activity'!$D:$D,Formulas!$L233,'Corporate activity'!$C:$C,Formulas!O$2)</f>
        <v>0</v>
      </c>
      <c r="P233">
        <f t="shared" si="20"/>
        <v>0</v>
      </c>
      <c r="Q233" t="str">
        <f t="shared" si="23"/>
        <v/>
      </c>
    </row>
    <row r="234" spans="3:17" x14ac:dyDescent="0.25">
      <c r="C234">
        <f>SUMIFS(Issuance!$H:$H,Issuance!$D:$D,Formulas!$B234,Issuance!$C:$C,Formulas!C$2)</f>
        <v>0</v>
      </c>
      <c r="D234">
        <f>SUMIFS(Issuance!$H:$H,Issuance!$D:$D,Formulas!$B234,Issuance!$C:$C,Formulas!D$2)</f>
        <v>0</v>
      </c>
      <c r="E234">
        <f t="shared" si="19"/>
        <v>0</v>
      </c>
      <c r="F234" s="41" t="str">
        <f t="shared" si="21"/>
        <v/>
      </c>
      <c r="I234">
        <f>SUMIFS(Buybacks!H:H,Buybacks!D:D,Formulas!H234)</f>
        <v>0</v>
      </c>
      <c r="J234" s="41" t="str">
        <f t="shared" si="22"/>
        <v/>
      </c>
      <c r="M234">
        <f>SUMIFS('Corporate activity'!$H:$H,'Corporate activity'!$D:$D,Formulas!$L234,'Corporate activity'!$C:$C,Formulas!M$2)</f>
        <v>0</v>
      </c>
      <c r="N234">
        <f>SUMIFS('Corporate activity'!$H:$H,'Corporate activity'!$D:$D,Formulas!$L234,'Corporate activity'!$C:$C,Formulas!N$2)</f>
        <v>0</v>
      </c>
      <c r="O234">
        <f>SUMIFS('Corporate activity'!$H:$H,'Corporate activity'!$D:$D,Formulas!$L234,'Corporate activity'!$C:$C,Formulas!O$2)</f>
        <v>0</v>
      </c>
      <c r="P234">
        <f t="shared" si="20"/>
        <v>0</v>
      </c>
      <c r="Q234" t="str">
        <f t="shared" si="23"/>
        <v/>
      </c>
    </row>
    <row r="235" spans="3:17" x14ac:dyDescent="0.25">
      <c r="C235">
        <f>SUMIFS(Issuance!$H:$H,Issuance!$D:$D,Formulas!$B235,Issuance!$C:$C,Formulas!C$2)</f>
        <v>0</v>
      </c>
      <c r="D235">
        <f>SUMIFS(Issuance!$H:$H,Issuance!$D:$D,Formulas!$B235,Issuance!$C:$C,Formulas!D$2)</f>
        <v>0</v>
      </c>
      <c r="E235">
        <f t="shared" si="19"/>
        <v>0</v>
      </c>
      <c r="F235" s="41" t="str">
        <f t="shared" si="21"/>
        <v/>
      </c>
      <c r="I235">
        <f>SUMIFS(Buybacks!H:H,Buybacks!D:D,Formulas!H235)</f>
        <v>0</v>
      </c>
      <c r="J235" s="41" t="str">
        <f t="shared" si="22"/>
        <v/>
      </c>
      <c r="M235">
        <f>SUMIFS('Corporate activity'!$H:$H,'Corporate activity'!$D:$D,Formulas!$L235,'Corporate activity'!$C:$C,Formulas!M$2)</f>
        <v>0</v>
      </c>
      <c r="N235">
        <f>SUMIFS('Corporate activity'!$H:$H,'Corporate activity'!$D:$D,Formulas!$L235,'Corporate activity'!$C:$C,Formulas!N$2)</f>
        <v>0</v>
      </c>
      <c r="O235">
        <f>SUMIFS('Corporate activity'!$H:$H,'Corporate activity'!$D:$D,Formulas!$L235,'Corporate activity'!$C:$C,Formulas!O$2)</f>
        <v>0</v>
      </c>
      <c r="P235">
        <f t="shared" si="20"/>
        <v>0</v>
      </c>
      <c r="Q235" t="str">
        <f t="shared" si="23"/>
        <v/>
      </c>
    </row>
    <row r="236" spans="3:17" x14ac:dyDescent="0.25">
      <c r="C236">
        <f>SUMIFS(Issuance!$H:$H,Issuance!$D:$D,Formulas!$B236,Issuance!$C:$C,Formulas!C$2)</f>
        <v>0</v>
      </c>
      <c r="D236">
        <f>SUMIFS(Issuance!$H:$H,Issuance!$D:$D,Formulas!$B236,Issuance!$C:$C,Formulas!D$2)</f>
        <v>0</v>
      </c>
      <c r="E236">
        <f t="shared" si="19"/>
        <v>0</v>
      </c>
      <c r="F236" s="41" t="str">
        <f t="shared" si="21"/>
        <v/>
      </c>
      <c r="I236">
        <f>SUMIFS(Buybacks!H:H,Buybacks!D:D,Formulas!H236)</f>
        <v>0</v>
      </c>
      <c r="J236" s="41" t="str">
        <f t="shared" si="22"/>
        <v/>
      </c>
      <c r="M236">
        <f>SUMIFS('Corporate activity'!$H:$H,'Corporate activity'!$D:$D,Formulas!$L236,'Corporate activity'!$C:$C,Formulas!M$2)</f>
        <v>0</v>
      </c>
      <c r="N236">
        <f>SUMIFS('Corporate activity'!$H:$H,'Corporate activity'!$D:$D,Formulas!$L236,'Corporate activity'!$C:$C,Formulas!N$2)</f>
        <v>0</v>
      </c>
      <c r="O236">
        <f>SUMIFS('Corporate activity'!$H:$H,'Corporate activity'!$D:$D,Formulas!$L236,'Corporate activity'!$C:$C,Formulas!O$2)</f>
        <v>0</v>
      </c>
      <c r="P236">
        <f t="shared" si="20"/>
        <v>0</v>
      </c>
      <c r="Q236" t="str">
        <f t="shared" si="23"/>
        <v/>
      </c>
    </row>
    <row r="237" spans="3:17" x14ac:dyDescent="0.25">
      <c r="C237">
        <f>SUMIFS(Issuance!$H:$H,Issuance!$D:$D,Formulas!$B237,Issuance!$C:$C,Formulas!C$2)</f>
        <v>0</v>
      </c>
      <c r="D237">
        <f>SUMIFS(Issuance!$H:$H,Issuance!$D:$D,Formulas!$B237,Issuance!$C:$C,Formulas!D$2)</f>
        <v>0</v>
      </c>
      <c r="E237">
        <f t="shared" si="19"/>
        <v>0</v>
      </c>
      <c r="F237" s="41" t="str">
        <f t="shared" si="21"/>
        <v/>
      </c>
      <c r="I237">
        <f>SUMIFS(Buybacks!H:H,Buybacks!D:D,Formulas!H237)</f>
        <v>0</v>
      </c>
      <c r="J237" s="41" t="str">
        <f t="shared" si="22"/>
        <v/>
      </c>
      <c r="M237">
        <f>SUMIFS('Corporate activity'!$H:$H,'Corporate activity'!$D:$D,Formulas!$L237,'Corporate activity'!$C:$C,Formulas!M$2)</f>
        <v>0</v>
      </c>
      <c r="N237">
        <f>SUMIFS('Corporate activity'!$H:$H,'Corporate activity'!$D:$D,Formulas!$L237,'Corporate activity'!$C:$C,Formulas!N$2)</f>
        <v>0</v>
      </c>
      <c r="O237">
        <f>SUMIFS('Corporate activity'!$H:$H,'Corporate activity'!$D:$D,Formulas!$L237,'Corporate activity'!$C:$C,Formulas!O$2)</f>
        <v>0</v>
      </c>
      <c r="P237">
        <f t="shared" si="20"/>
        <v>0</v>
      </c>
      <c r="Q237" t="str">
        <f t="shared" si="23"/>
        <v/>
      </c>
    </row>
    <row r="238" spans="3:17" x14ac:dyDescent="0.25">
      <c r="C238">
        <f>SUMIFS(Issuance!$H:$H,Issuance!$D:$D,Formulas!$B238,Issuance!$C:$C,Formulas!C$2)</f>
        <v>0</v>
      </c>
      <c r="D238">
        <f>SUMIFS(Issuance!$H:$H,Issuance!$D:$D,Formulas!$B238,Issuance!$C:$C,Formulas!D$2)</f>
        <v>0</v>
      </c>
      <c r="E238">
        <f t="shared" si="19"/>
        <v>0</v>
      </c>
      <c r="F238" s="41" t="str">
        <f t="shared" si="21"/>
        <v/>
      </c>
      <c r="I238">
        <f>SUMIFS(Buybacks!H:H,Buybacks!D:D,Formulas!H238)</f>
        <v>0</v>
      </c>
      <c r="J238" s="41" t="str">
        <f t="shared" si="22"/>
        <v/>
      </c>
      <c r="M238">
        <f>SUMIFS('Corporate activity'!$H:$H,'Corporate activity'!$D:$D,Formulas!$L238,'Corporate activity'!$C:$C,Formulas!M$2)</f>
        <v>0</v>
      </c>
      <c r="N238">
        <f>SUMIFS('Corporate activity'!$H:$H,'Corporate activity'!$D:$D,Formulas!$L238,'Corporate activity'!$C:$C,Formulas!N$2)</f>
        <v>0</v>
      </c>
      <c r="O238">
        <f>SUMIFS('Corporate activity'!$H:$H,'Corporate activity'!$D:$D,Formulas!$L238,'Corporate activity'!$C:$C,Formulas!O$2)</f>
        <v>0</v>
      </c>
      <c r="P238">
        <f t="shared" si="20"/>
        <v>0</v>
      </c>
      <c r="Q238" t="str">
        <f t="shared" si="23"/>
        <v/>
      </c>
    </row>
    <row r="239" spans="3:17" x14ac:dyDescent="0.25">
      <c r="C239">
        <f>SUMIFS(Issuance!$H:$H,Issuance!$D:$D,Formulas!$B239,Issuance!$C:$C,Formulas!C$2)</f>
        <v>0</v>
      </c>
      <c r="D239">
        <f>SUMIFS(Issuance!$H:$H,Issuance!$D:$D,Formulas!$B239,Issuance!$C:$C,Formulas!D$2)</f>
        <v>0</v>
      </c>
      <c r="E239">
        <f t="shared" si="19"/>
        <v>0</v>
      </c>
      <c r="F239" s="41" t="str">
        <f t="shared" si="21"/>
        <v/>
      </c>
      <c r="I239">
        <f>SUMIFS(Buybacks!H:H,Buybacks!D:D,Formulas!H239)</f>
        <v>0</v>
      </c>
      <c r="J239" s="41" t="str">
        <f t="shared" si="22"/>
        <v/>
      </c>
      <c r="M239">
        <f>SUMIFS('Corporate activity'!$H:$H,'Corporate activity'!$D:$D,Formulas!$L239,'Corporate activity'!$C:$C,Formulas!M$2)</f>
        <v>0</v>
      </c>
      <c r="N239">
        <f>SUMIFS('Corporate activity'!$H:$H,'Corporate activity'!$D:$D,Formulas!$L239,'Corporate activity'!$C:$C,Formulas!N$2)</f>
        <v>0</v>
      </c>
      <c r="O239">
        <f>SUMIFS('Corporate activity'!$H:$H,'Corporate activity'!$D:$D,Formulas!$L239,'Corporate activity'!$C:$C,Formulas!O$2)</f>
        <v>0</v>
      </c>
      <c r="P239">
        <f t="shared" si="20"/>
        <v>0</v>
      </c>
      <c r="Q239" t="str">
        <f t="shared" si="23"/>
        <v/>
      </c>
    </row>
    <row r="240" spans="3:17" x14ac:dyDescent="0.25">
      <c r="C240">
        <f>SUMIFS(Issuance!$H:$H,Issuance!$D:$D,Formulas!$B240,Issuance!$C:$C,Formulas!C$2)</f>
        <v>0</v>
      </c>
      <c r="D240">
        <f>SUMIFS(Issuance!$H:$H,Issuance!$D:$D,Formulas!$B240,Issuance!$C:$C,Formulas!D$2)</f>
        <v>0</v>
      </c>
      <c r="E240">
        <f t="shared" si="19"/>
        <v>0</v>
      </c>
      <c r="F240" s="41" t="str">
        <f t="shared" si="21"/>
        <v/>
      </c>
      <c r="I240">
        <f>SUMIFS(Buybacks!H:H,Buybacks!D:D,Formulas!H240)</f>
        <v>0</v>
      </c>
      <c r="J240" s="41" t="str">
        <f t="shared" si="22"/>
        <v/>
      </c>
      <c r="M240">
        <f>SUMIFS('Corporate activity'!$H:$H,'Corporate activity'!$D:$D,Formulas!$L240,'Corporate activity'!$C:$C,Formulas!M$2)</f>
        <v>0</v>
      </c>
      <c r="N240">
        <f>SUMIFS('Corporate activity'!$H:$H,'Corporate activity'!$D:$D,Formulas!$L240,'Corporate activity'!$C:$C,Formulas!N$2)</f>
        <v>0</v>
      </c>
      <c r="O240">
        <f>SUMIFS('Corporate activity'!$H:$H,'Corporate activity'!$D:$D,Formulas!$L240,'Corporate activity'!$C:$C,Formulas!O$2)</f>
        <v>0</v>
      </c>
      <c r="P240">
        <f t="shared" si="20"/>
        <v>0</v>
      </c>
      <c r="Q240" t="str">
        <f t="shared" si="23"/>
        <v/>
      </c>
    </row>
    <row r="241" spans="3:17" x14ac:dyDescent="0.25">
      <c r="C241">
        <f>SUMIFS(Issuance!$H:$H,Issuance!$D:$D,Formulas!$B241,Issuance!$C:$C,Formulas!C$2)</f>
        <v>0</v>
      </c>
      <c r="D241">
        <f>SUMIFS(Issuance!$H:$H,Issuance!$D:$D,Formulas!$B241,Issuance!$C:$C,Formulas!D$2)</f>
        <v>0</v>
      </c>
      <c r="E241">
        <f t="shared" si="19"/>
        <v>0</v>
      </c>
      <c r="F241" s="41" t="str">
        <f t="shared" si="21"/>
        <v/>
      </c>
      <c r="I241">
        <f>SUMIFS(Buybacks!H:H,Buybacks!D:D,Formulas!H241)</f>
        <v>0</v>
      </c>
      <c r="J241" s="41" t="str">
        <f t="shared" si="22"/>
        <v/>
      </c>
      <c r="M241">
        <f>SUMIFS('Corporate activity'!$H:$H,'Corporate activity'!$D:$D,Formulas!$L241,'Corporate activity'!$C:$C,Formulas!M$2)</f>
        <v>0</v>
      </c>
      <c r="N241">
        <f>SUMIFS('Corporate activity'!$H:$H,'Corporate activity'!$D:$D,Formulas!$L241,'Corporate activity'!$C:$C,Formulas!N$2)</f>
        <v>0</v>
      </c>
      <c r="O241">
        <f>SUMIFS('Corporate activity'!$H:$H,'Corporate activity'!$D:$D,Formulas!$L241,'Corporate activity'!$C:$C,Formulas!O$2)</f>
        <v>0</v>
      </c>
      <c r="P241">
        <f t="shared" si="20"/>
        <v>0</v>
      </c>
      <c r="Q241" t="str">
        <f t="shared" si="23"/>
        <v/>
      </c>
    </row>
    <row r="242" spans="3:17" x14ac:dyDescent="0.25">
      <c r="C242">
        <f>SUMIFS(Issuance!$H:$H,Issuance!$D:$D,Formulas!$B242,Issuance!$C:$C,Formulas!C$2)</f>
        <v>0</v>
      </c>
      <c r="D242">
        <f>SUMIFS(Issuance!$H:$H,Issuance!$D:$D,Formulas!$B242,Issuance!$C:$C,Formulas!D$2)</f>
        <v>0</v>
      </c>
      <c r="E242">
        <f t="shared" si="19"/>
        <v>0</v>
      </c>
      <c r="F242" s="41" t="str">
        <f t="shared" si="21"/>
        <v/>
      </c>
      <c r="I242">
        <f>SUMIFS(Buybacks!H:H,Buybacks!D:D,Formulas!H242)</f>
        <v>0</v>
      </c>
      <c r="J242" s="41" t="str">
        <f t="shared" si="22"/>
        <v/>
      </c>
      <c r="M242">
        <f>SUMIFS('Corporate activity'!$H:$H,'Corporate activity'!$D:$D,Formulas!$L242,'Corporate activity'!$C:$C,Formulas!M$2)</f>
        <v>0</v>
      </c>
      <c r="N242">
        <f>SUMIFS('Corporate activity'!$H:$H,'Corporate activity'!$D:$D,Formulas!$L242,'Corporate activity'!$C:$C,Formulas!N$2)</f>
        <v>0</v>
      </c>
      <c r="O242">
        <f>SUMIFS('Corporate activity'!$H:$H,'Corporate activity'!$D:$D,Formulas!$L242,'Corporate activity'!$C:$C,Formulas!O$2)</f>
        <v>0</v>
      </c>
      <c r="P242">
        <f t="shared" si="20"/>
        <v>0</v>
      </c>
      <c r="Q242" t="str">
        <f t="shared" si="23"/>
        <v/>
      </c>
    </row>
    <row r="243" spans="3:17" x14ac:dyDescent="0.25">
      <c r="C243">
        <f>SUMIFS(Issuance!$H:$H,Issuance!$D:$D,Formulas!$B243,Issuance!$C:$C,Formulas!C$2)</f>
        <v>0</v>
      </c>
      <c r="D243">
        <f>SUMIFS(Issuance!$H:$H,Issuance!$D:$D,Formulas!$B243,Issuance!$C:$C,Formulas!D$2)</f>
        <v>0</v>
      </c>
      <c r="E243">
        <f t="shared" ref="E243:E306" si="24">SUM(C243:D243)</f>
        <v>0</v>
      </c>
      <c r="F243" s="41" t="str">
        <f t="shared" si="21"/>
        <v/>
      </c>
      <c r="I243">
        <f>SUMIFS(Buybacks!H:H,Buybacks!D:D,Formulas!H243)</f>
        <v>0</v>
      </c>
      <c r="J243" s="41" t="str">
        <f t="shared" si="22"/>
        <v/>
      </c>
      <c r="M243">
        <f>SUMIFS('Corporate activity'!$H:$H,'Corporate activity'!$D:$D,Formulas!$L243,'Corporate activity'!$C:$C,Formulas!M$2)</f>
        <v>0</v>
      </c>
      <c r="N243">
        <f>SUMIFS('Corporate activity'!$H:$H,'Corporate activity'!$D:$D,Formulas!$L243,'Corporate activity'!$C:$C,Formulas!N$2)</f>
        <v>0</v>
      </c>
      <c r="O243">
        <f>SUMIFS('Corporate activity'!$H:$H,'Corporate activity'!$D:$D,Formulas!$L243,'Corporate activity'!$C:$C,Formulas!O$2)</f>
        <v>0</v>
      </c>
      <c r="P243">
        <f t="shared" ref="P243:P306" si="25">SUM(M243:O243)</f>
        <v>0</v>
      </c>
      <c r="Q243" t="str">
        <f t="shared" si="23"/>
        <v/>
      </c>
    </row>
    <row r="244" spans="3:17" x14ac:dyDescent="0.25">
      <c r="C244">
        <f>SUMIFS(Issuance!$H:$H,Issuance!$D:$D,Formulas!$B244,Issuance!$C:$C,Formulas!C$2)</f>
        <v>0</v>
      </c>
      <c r="D244">
        <f>SUMIFS(Issuance!$H:$H,Issuance!$D:$D,Formulas!$B244,Issuance!$C:$C,Formulas!D$2)</f>
        <v>0</v>
      </c>
      <c r="E244">
        <f t="shared" si="24"/>
        <v>0</v>
      </c>
      <c r="F244" s="41" t="str">
        <f t="shared" si="21"/>
        <v/>
      </c>
      <c r="I244">
        <f>SUMIFS(Buybacks!H:H,Buybacks!D:D,Formulas!H244)</f>
        <v>0</v>
      </c>
      <c r="J244" s="41" t="str">
        <f t="shared" si="22"/>
        <v/>
      </c>
      <c r="M244">
        <f>SUMIFS('Corporate activity'!$H:$H,'Corporate activity'!$D:$D,Formulas!$L244,'Corporate activity'!$C:$C,Formulas!M$2)</f>
        <v>0</v>
      </c>
      <c r="N244">
        <f>SUMIFS('Corporate activity'!$H:$H,'Corporate activity'!$D:$D,Formulas!$L244,'Corporate activity'!$C:$C,Formulas!N$2)</f>
        <v>0</v>
      </c>
      <c r="O244">
        <f>SUMIFS('Corporate activity'!$H:$H,'Corporate activity'!$D:$D,Formulas!$L244,'Corporate activity'!$C:$C,Formulas!O$2)</f>
        <v>0</v>
      </c>
      <c r="P244">
        <f t="shared" si="25"/>
        <v>0</v>
      </c>
      <c r="Q244" t="str">
        <f t="shared" si="23"/>
        <v/>
      </c>
    </row>
    <row r="245" spans="3:17" x14ac:dyDescent="0.25">
      <c r="C245">
        <f>SUMIFS(Issuance!$H:$H,Issuance!$D:$D,Formulas!$B245,Issuance!$C:$C,Formulas!C$2)</f>
        <v>0</v>
      </c>
      <c r="D245">
        <f>SUMIFS(Issuance!$H:$H,Issuance!$D:$D,Formulas!$B245,Issuance!$C:$C,Formulas!D$2)</f>
        <v>0</v>
      </c>
      <c r="E245">
        <f t="shared" si="24"/>
        <v>0</v>
      </c>
      <c r="F245" s="41" t="str">
        <f t="shared" si="21"/>
        <v/>
      </c>
      <c r="I245">
        <f>SUMIFS(Buybacks!H:H,Buybacks!D:D,Formulas!H245)</f>
        <v>0</v>
      </c>
      <c r="J245" s="41" t="str">
        <f t="shared" si="22"/>
        <v/>
      </c>
      <c r="M245">
        <f>SUMIFS('Corporate activity'!$H:$H,'Corporate activity'!$D:$D,Formulas!$L245,'Corporate activity'!$C:$C,Formulas!M$2)</f>
        <v>0</v>
      </c>
      <c r="N245">
        <f>SUMIFS('Corporate activity'!$H:$H,'Corporate activity'!$D:$D,Formulas!$L245,'Corporate activity'!$C:$C,Formulas!N$2)</f>
        <v>0</v>
      </c>
      <c r="O245">
        <f>SUMIFS('Corporate activity'!$H:$H,'Corporate activity'!$D:$D,Formulas!$L245,'Corporate activity'!$C:$C,Formulas!O$2)</f>
        <v>0</v>
      </c>
      <c r="P245">
        <f t="shared" si="25"/>
        <v>0</v>
      </c>
      <c r="Q245" t="str">
        <f t="shared" si="23"/>
        <v/>
      </c>
    </row>
    <row r="246" spans="3:17" x14ac:dyDescent="0.25">
      <c r="C246">
        <f>SUMIFS(Issuance!$H:$H,Issuance!$D:$D,Formulas!$B246,Issuance!$C:$C,Formulas!C$2)</f>
        <v>0</v>
      </c>
      <c r="D246">
        <f>SUMIFS(Issuance!$H:$H,Issuance!$D:$D,Formulas!$B246,Issuance!$C:$C,Formulas!D$2)</f>
        <v>0</v>
      </c>
      <c r="E246">
        <f t="shared" si="24"/>
        <v>0</v>
      </c>
      <c r="F246" s="41" t="str">
        <f t="shared" si="21"/>
        <v/>
      </c>
      <c r="I246">
        <f>SUMIFS(Buybacks!H:H,Buybacks!D:D,Formulas!H246)</f>
        <v>0</v>
      </c>
      <c r="J246" s="41" t="str">
        <f t="shared" si="22"/>
        <v/>
      </c>
      <c r="M246">
        <f>SUMIFS('Corporate activity'!$H:$H,'Corporate activity'!$D:$D,Formulas!$L246,'Corporate activity'!$C:$C,Formulas!M$2)</f>
        <v>0</v>
      </c>
      <c r="N246">
        <f>SUMIFS('Corporate activity'!$H:$H,'Corporate activity'!$D:$D,Formulas!$L246,'Corporate activity'!$C:$C,Formulas!N$2)</f>
        <v>0</v>
      </c>
      <c r="O246">
        <f>SUMIFS('Corporate activity'!$H:$H,'Corporate activity'!$D:$D,Formulas!$L246,'Corporate activity'!$C:$C,Formulas!O$2)</f>
        <v>0</v>
      </c>
      <c r="P246">
        <f t="shared" si="25"/>
        <v>0</v>
      </c>
      <c r="Q246" t="str">
        <f t="shared" si="23"/>
        <v/>
      </c>
    </row>
    <row r="247" spans="3:17" x14ac:dyDescent="0.25">
      <c r="C247">
        <f>SUMIFS(Issuance!$H:$H,Issuance!$D:$D,Formulas!$B247,Issuance!$C:$C,Formulas!C$2)</f>
        <v>0</v>
      </c>
      <c r="D247">
        <f>SUMIFS(Issuance!$H:$H,Issuance!$D:$D,Formulas!$B247,Issuance!$C:$C,Formulas!D$2)</f>
        <v>0</v>
      </c>
      <c r="E247">
        <f t="shared" si="24"/>
        <v>0</v>
      </c>
      <c r="F247" s="41" t="str">
        <f t="shared" si="21"/>
        <v/>
      </c>
      <c r="I247">
        <f>SUMIFS(Buybacks!H:H,Buybacks!D:D,Formulas!H247)</f>
        <v>0</v>
      </c>
      <c r="J247" s="41" t="str">
        <f t="shared" si="22"/>
        <v/>
      </c>
      <c r="M247">
        <f>SUMIFS('Corporate activity'!$H:$H,'Corporate activity'!$D:$D,Formulas!$L247,'Corporate activity'!$C:$C,Formulas!M$2)</f>
        <v>0</v>
      </c>
      <c r="N247">
        <f>SUMIFS('Corporate activity'!$H:$H,'Corporate activity'!$D:$D,Formulas!$L247,'Corporate activity'!$C:$C,Formulas!N$2)</f>
        <v>0</v>
      </c>
      <c r="O247">
        <f>SUMIFS('Corporate activity'!$H:$H,'Corporate activity'!$D:$D,Formulas!$L247,'Corporate activity'!$C:$C,Formulas!O$2)</f>
        <v>0</v>
      </c>
      <c r="P247">
        <f t="shared" si="25"/>
        <v>0</v>
      </c>
      <c r="Q247" t="str">
        <f t="shared" si="23"/>
        <v/>
      </c>
    </row>
    <row r="248" spans="3:17" x14ac:dyDescent="0.25">
      <c r="C248">
        <f>SUMIFS(Issuance!$H:$H,Issuance!$D:$D,Formulas!$B248,Issuance!$C:$C,Formulas!C$2)</f>
        <v>0</v>
      </c>
      <c r="D248">
        <f>SUMIFS(Issuance!$H:$H,Issuance!$D:$D,Formulas!$B248,Issuance!$C:$C,Formulas!D$2)</f>
        <v>0</v>
      </c>
      <c r="E248">
        <f t="shared" si="24"/>
        <v>0</v>
      </c>
      <c r="F248" s="41" t="str">
        <f t="shared" si="21"/>
        <v/>
      </c>
      <c r="I248">
        <f>SUMIFS(Buybacks!H:H,Buybacks!D:D,Formulas!H248)</f>
        <v>0</v>
      </c>
      <c r="J248" s="41" t="str">
        <f t="shared" si="22"/>
        <v/>
      </c>
      <c r="M248">
        <f>SUMIFS('Corporate activity'!$H:$H,'Corporate activity'!$D:$D,Formulas!$L248,'Corporate activity'!$C:$C,Formulas!M$2)</f>
        <v>0</v>
      </c>
      <c r="N248">
        <f>SUMIFS('Corporate activity'!$H:$H,'Corporate activity'!$D:$D,Formulas!$L248,'Corporate activity'!$C:$C,Formulas!N$2)</f>
        <v>0</v>
      </c>
      <c r="O248">
        <f>SUMIFS('Corporate activity'!$H:$H,'Corporate activity'!$D:$D,Formulas!$L248,'Corporate activity'!$C:$C,Formulas!O$2)</f>
        <v>0</v>
      </c>
      <c r="P248">
        <f t="shared" si="25"/>
        <v>0</v>
      </c>
      <c r="Q248" t="str">
        <f t="shared" si="23"/>
        <v/>
      </c>
    </row>
    <row r="249" spans="3:17" x14ac:dyDescent="0.25">
      <c r="C249">
        <f>SUMIFS(Issuance!$H:$H,Issuance!$D:$D,Formulas!$B249,Issuance!$C:$C,Formulas!C$2)</f>
        <v>0</v>
      </c>
      <c r="D249">
        <f>SUMIFS(Issuance!$H:$H,Issuance!$D:$D,Formulas!$B249,Issuance!$C:$C,Formulas!D$2)</f>
        <v>0</v>
      </c>
      <c r="E249">
        <f t="shared" si="24"/>
        <v>0</v>
      </c>
      <c r="F249" s="41" t="str">
        <f t="shared" si="21"/>
        <v/>
      </c>
      <c r="I249">
        <f>SUMIFS(Buybacks!H:H,Buybacks!D:D,Formulas!H249)</f>
        <v>0</v>
      </c>
      <c r="J249" s="41" t="str">
        <f t="shared" si="22"/>
        <v/>
      </c>
      <c r="M249">
        <f>SUMIFS('Corporate activity'!$H:$H,'Corporate activity'!$D:$D,Formulas!$L249,'Corporate activity'!$C:$C,Formulas!M$2)</f>
        <v>0</v>
      </c>
      <c r="N249">
        <f>SUMIFS('Corporate activity'!$H:$H,'Corporate activity'!$D:$D,Formulas!$L249,'Corporate activity'!$C:$C,Formulas!N$2)</f>
        <v>0</v>
      </c>
      <c r="O249">
        <f>SUMIFS('Corporate activity'!$H:$H,'Corporate activity'!$D:$D,Formulas!$L249,'Corporate activity'!$C:$C,Formulas!O$2)</f>
        <v>0</v>
      </c>
      <c r="P249">
        <f t="shared" si="25"/>
        <v>0</v>
      </c>
      <c r="Q249" t="str">
        <f t="shared" si="23"/>
        <v/>
      </c>
    </row>
    <row r="250" spans="3:17" x14ac:dyDescent="0.25">
      <c r="C250">
        <f>SUMIFS(Issuance!$H:$H,Issuance!$D:$D,Formulas!$B250,Issuance!$C:$C,Formulas!C$2)</f>
        <v>0</v>
      </c>
      <c r="D250">
        <f>SUMIFS(Issuance!$H:$H,Issuance!$D:$D,Formulas!$B250,Issuance!$C:$C,Formulas!D$2)</f>
        <v>0</v>
      </c>
      <c r="E250">
        <f t="shared" si="24"/>
        <v>0</v>
      </c>
      <c r="F250" s="41" t="str">
        <f t="shared" si="21"/>
        <v/>
      </c>
      <c r="I250">
        <f>SUMIFS(Buybacks!H:H,Buybacks!D:D,Formulas!H250)</f>
        <v>0</v>
      </c>
      <c r="J250" s="41" t="str">
        <f t="shared" si="22"/>
        <v/>
      </c>
      <c r="M250">
        <f>SUMIFS('Corporate activity'!$H:$H,'Corporate activity'!$D:$D,Formulas!$L250,'Corporate activity'!$C:$C,Formulas!M$2)</f>
        <v>0</v>
      </c>
      <c r="N250">
        <f>SUMIFS('Corporate activity'!$H:$H,'Corporate activity'!$D:$D,Formulas!$L250,'Corporate activity'!$C:$C,Formulas!N$2)</f>
        <v>0</v>
      </c>
      <c r="O250">
        <f>SUMIFS('Corporate activity'!$H:$H,'Corporate activity'!$D:$D,Formulas!$L250,'Corporate activity'!$C:$C,Formulas!O$2)</f>
        <v>0</v>
      </c>
      <c r="P250">
        <f t="shared" si="25"/>
        <v>0</v>
      </c>
      <c r="Q250" t="str">
        <f t="shared" si="23"/>
        <v/>
      </c>
    </row>
    <row r="251" spans="3:17" x14ac:dyDescent="0.25">
      <c r="C251">
        <f>SUMIFS(Issuance!$H:$H,Issuance!$D:$D,Formulas!$B251,Issuance!$C:$C,Formulas!C$2)</f>
        <v>0</v>
      </c>
      <c r="D251">
        <f>SUMIFS(Issuance!$H:$H,Issuance!$D:$D,Formulas!$B251,Issuance!$C:$C,Formulas!D$2)</f>
        <v>0</v>
      </c>
      <c r="E251">
        <f t="shared" si="24"/>
        <v>0</v>
      </c>
      <c r="F251" s="41" t="str">
        <f t="shared" si="21"/>
        <v/>
      </c>
      <c r="I251">
        <f>SUMIFS(Buybacks!H:H,Buybacks!D:D,Formulas!H251)</f>
        <v>0</v>
      </c>
      <c r="J251" s="41" t="str">
        <f t="shared" si="22"/>
        <v/>
      </c>
      <c r="M251">
        <f>SUMIFS('Corporate activity'!$H:$H,'Corporate activity'!$D:$D,Formulas!$L251,'Corporate activity'!$C:$C,Formulas!M$2)</f>
        <v>0</v>
      </c>
      <c r="N251">
        <f>SUMIFS('Corporate activity'!$H:$H,'Corporate activity'!$D:$D,Formulas!$L251,'Corporate activity'!$C:$C,Formulas!N$2)</f>
        <v>0</v>
      </c>
      <c r="O251">
        <f>SUMIFS('Corporate activity'!$H:$H,'Corporate activity'!$D:$D,Formulas!$L251,'Corporate activity'!$C:$C,Formulas!O$2)</f>
        <v>0</v>
      </c>
      <c r="P251">
        <f t="shared" si="25"/>
        <v>0</v>
      </c>
      <c r="Q251" t="str">
        <f t="shared" si="23"/>
        <v/>
      </c>
    </row>
    <row r="252" spans="3:17" x14ac:dyDescent="0.25">
      <c r="C252">
        <f>SUMIFS(Issuance!$H:$H,Issuance!$D:$D,Formulas!$B252,Issuance!$C:$C,Formulas!C$2)</f>
        <v>0</v>
      </c>
      <c r="D252">
        <f>SUMIFS(Issuance!$H:$H,Issuance!$D:$D,Formulas!$B252,Issuance!$C:$C,Formulas!D$2)</f>
        <v>0</v>
      </c>
      <c r="E252">
        <f t="shared" si="24"/>
        <v>0</v>
      </c>
      <c r="F252" s="41" t="str">
        <f t="shared" si="21"/>
        <v/>
      </c>
      <c r="I252">
        <f>SUMIFS(Buybacks!H:H,Buybacks!D:D,Formulas!H252)</f>
        <v>0</v>
      </c>
      <c r="J252" s="41" t="str">
        <f t="shared" si="22"/>
        <v/>
      </c>
      <c r="M252">
        <f>SUMIFS('Corporate activity'!$H:$H,'Corporate activity'!$D:$D,Formulas!$L252,'Corporate activity'!$C:$C,Formulas!M$2)</f>
        <v>0</v>
      </c>
      <c r="N252">
        <f>SUMIFS('Corporate activity'!$H:$H,'Corporate activity'!$D:$D,Formulas!$L252,'Corporate activity'!$C:$C,Formulas!N$2)</f>
        <v>0</v>
      </c>
      <c r="O252">
        <f>SUMIFS('Corporate activity'!$H:$H,'Corporate activity'!$D:$D,Formulas!$L252,'Corporate activity'!$C:$C,Formulas!O$2)</f>
        <v>0</v>
      </c>
      <c r="P252">
        <f t="shared" si="25"/>
        <v>0</v>
      </c>
      <c r="Q252" t="str">
        <f t="shared" si="23"/>
        <v/>
      </c>
    </row>
    <row r="253" spans="3:17" x14ac:dyDescent="0.25">
      <c r="C253">
        <f>SUMIFS(Issuance!$H:$H,Issuance!$D:$D,Formulas!$B253,Issuance!$C:$C,Formulas!C$2)</f>
        <v>0</v>
      </c>
      <c r="D253">
        <f>SUMIFS(Issuance!$H:$H,Issuance!$D:$D,Formulas!$B253,Issuance!$C:$C,Formulas!D$2)</f>
        <v>0</v>
      </c>
      <c r="E253">
        <f t="shared" si="24"/>
        <v>0</v>
      </c>
      <c r="F253" s="41" t="str">
        <f t="shared" si="21"/>
        <v/>
      </c>
      <c r="I253">
        <f>SUMIFS(Buybacks!H:H,Buybacks!D:D,Formulas!H253)</f>
        <v>0</v>
      </c>
      <c r="J253" s="41" t="str">
        <f t="shared" si="22"/>
        <v/>
      </c>
      <c r="M253">
        <f>SUMIFS('Corporate activity'!$H:$H,'Corporate activity'!$D:$D,Formulas!$L253,'Corporate activity'!$C:$C,Formulas!M$2)</f>
        <v>0</v>
      </c>
      <c r="N253">
        <f>SUMIFS('Corporate activity'!$H:$H,'Corporate activity'!$D:$D,Formulas!$L253,'Corporate activity'!$C:$C,Formulas!N$2)</f>
        <v>0</v>
      </c>
      <c r="O253">
        <f>SUMIFS('Corporate activity'!$H:$H,'Corporate activity'!$D:$D,Formulas!$L253,'Corporate activity'!$C:$C,Formulas!O$2)</f>
        <v>0</v>
      </c>
      <c r="P253">
        <f t="shared" si="25"/>
        <v>0</v>
      </c>
      <c r="Q253" t="str">
        <f t="shared" si="23"/>
        <v/>
      </c>
    </row>
    <row r="254" spans="3:17" x14ac:dyDescent="0.25">
      <c r="C254">
        <f>SUMIFS(Issuance!$H:$H,Issuance!$D:$D,Formulas!$B254,Issuance!$C:$C,Formulas!C$2)</f>
        <v>0</v>
      </c>
      <c r="D254">
        <f>SUMIFS(Issuance!$H:$H,Issuance!$D:$D,Formulas!$B254,Issuance!$C:$C,Formulas!D$2)</f>
        <v>0</v>
      </c>
      <c r="E254">
        <f t="shared" si="24"/>
        <v>0</v>
      </c>
      <c r="F254" s="41" t="str">
        <f t="shared" si="21"/>
        <v/>
      </c>
      <c r="I254">
        <f>SUMIFS(Buybacks!H:H,Buybacks!D:D,Formulas!H254)</f>
        <v>0</v>
      </c>
      <c r="J254" s="41" t="str">
        <f t="shared" si="22"/>
        <v/>
      </c>
      <c r="M254">
        <f>SUMIFS('Corporate activity'!$H:$H,'Corporate activity'!$D:$D,Formulas!$L254,'Corporate activity'!$C:$C,Formulas!M$2)</f>
        <v>0</v>
      </c>
      <c r="N254">
        <f>SUMIFS('Corporate activity'!$H:$H,'Corporate activity'!$D:$D,Formulas!$L254,'Corporate activity'!$C:$C,Formulas!N$2)</f>
        <v>0</v>
      </c>
      <c r="O254">
        <f>SUMIFS('Corporate activity'!$H:$H,'Corporate activity'!$D:$D,Formulas!$L254,'Corporate activity'!$C:$C,Formulas!O$2)</f>
        <v>0</v>
      </c>
      <c r="P254">
        <f t="shared" si="25"/>
        <v>0</v>
      </c>
      <c r="Q254" t="str">
        <f t="shared" si="23"/>
        <v/>
      </c>
    </row>
    <row r="255" spans="3:17" x14ac:dyDescent="0.25">
      <c r="C255">
        <f>SUMIFS(Issuance!$H:$H,Issuance!$D:$D,Formulas!$B255,Issuance!$C:$C,Formulas!C$2)</f>
        <v>0</v>
      </c>
      <c r="D255">
        <f>SUMIFS(Issuance!$H:$H,Issuance!$D:$D,Formulas!$B255,Issuance!$C:$C,Formulas!D$2)</f>
        <v>0</v>
      </c>
      <c r="E255">
        <f t="shared" si="24"/>
        <v>0</v>
      </c>
      <c r="F255" s="41" t="str">
        <f t="shared" si="21"/>
        <v/>
      </c>
      <c r="I255">
        <f>SUMIFS(Buybacks!H:H,Buybacks!D:D,Formulas!H255)</f>
        <v>0</v>
      </c>
      <c r="J255" s="41" t="str">
        <f t="shared" si="22"/>
        <v/>
      </c>
      <c r="M255">
        <f>SUMIFS('Corporate activity'!$H:$H,'Corporate activity'!$D:$D,Formulas!$L255,'Corporate activity'!$C:$C,Formulas!M$2)</f>
        <v>0</v>
      </c>
      <c r="N255">
        <f>SUMIFS('Corporate activity'!$H:$H,'Corporate activity'!$D:$D,Formulas!$L255,'Corporate activity'!$C:$C,Formulas!N$2)</f>
        <v>0</v>
      </c>
      <c r="O255">
        <f>SUMIFS('Corporate activity'!$H:$H,'Corporate activity'!$D:$D,Formulas!$L255,'Corporate activity'!$C:$C,Formulas!O$2)</f>
        <v>0</v>
      </c>
      <c r="P255">
        <f t="shared" si="25"/>
        <v>0</v>
      </c>
      <c r="Q255" t="str">
        <f t="shared" si="23"/>
        <v/>
      </c>
    </row>
    <row r="256" spans="3:17" x14ac:dyDescent="0.25">
      <c r="C256">
        <f>SUMIFS(Issuance!$H:$H,Issuance!$D:$D,Formulas!$B256,Issuance!$C:$C,Formulas!C$2)</f>
        <v>0</v>
      </c>
      <c r="D256">
        <f>SUMIFS(Issuance!$H:$H,Issuance!$D:$D,Formulas!$B256,Issuance!$C:$C,Formulas!D$2)</f>
        <v>0</v>
      </c>
      <c r="E256">
        <f t="shared" si="24"/>
        <v>0</v>
      </c>
      <c r="F256" s="41" t="str">
        <f t="shared" si="21"/>
        <v/>
      </c>
      <c r="I256">
        <f>SUMIFS(Buybacks!H:H,Buybacks!D:D,Formulas!H256)</f>
        <v>0</v>
      </c>
      <c r="J256" s="41" t="str">
        <f t="shared" si="22"/>
        <v/>
      </c>
      <c r="M256">
        <f>SUMIFS('Corporate activity'!$H:$H,'Corporate activity'!$D:$D,Formulas!$L256,'Corporate activity'!$C:$C,Formulas!M$2)</f>
        <v>0</v>
      </c>
      <c r="N256">
        <f>SUMIFS('Corporate activity'!$H:$H,'Corporate activity'!$D:$D,Formulas!$L256,'Corporate activity'!$C:$C,Formulas!N$2)</f>
        <v>0</v>
      </c>
      <c r="O256">
        <f>SUMIFS('Corporate activity'!$H:$H,'Corporate activity'!$D:$D,Formulas!$L256,'Corporate activity'!$C:$C,Formulas!O$2)</f>
        <v>0</v>
      </c>
      <c r="P256">
        <f t="shared" si="25"/>
        <v>0</v>
      </c>
      <c r="Q256" t="str">
        <f t="shared" si="23"/>
        <v/>
      </c>
    </row>
    <row r="257" spans="3:17" x14ac:dyDescent="0.25">
      <c r="C257">
        <f>SUMIFS(Issuance!$H:$H,Issuance!$D:$D,Formulas!$B257,Issuance!$C:$C,Formulas!C$2)</f>
        <v>0</v>
      </c>
      <c r="D257">
        <f>SUMIFS(Issuance!$H:$H,Issuance!$D:$D,Formulas!$B257,Issuance!$C:$C,Formulas!D$2)</f>
        <v>0</v>
      </c>
      <c r="E257">
        <f t="shared" si="24"/>
        <v>0</v>
      </c>
      <c r="F257" s="41" t="str">
        <f t="shared" si="21"/>
        <v/>
      </c>
      <c r="I257">
        <f>SUMIFS(Buybacks!H:H,Buybacks!D:D,Formulas!H257)</f>
        <v>0</v>
      </c>
      <c r="J257" s="41" t="str">
        <f t="shared" si="22"/>
        <v/>
      </c>
      <c r="M257">
        <f>SUMIFS('Corporate activity'!$H:$H,'Corporate activity'!$D:$D,Formulas!$L257,'Corporate activity'!$C:$C,Formulas!M$2)</f>
        <v>0</v>
      </c>
      <c r="N257">
        <f>SUMIFS('Corporate activity'!$H:$H,'Corporate activity'!$D:$D,Formulas!$L257,'Corporate activity'!$C:$C,Formulas!N$2)</f>
        <v>0</v>
      </c>
      <c r="O257">
        <f>SUMIFS('Corporate activity'!$H:$H,'Corporate activity'!$D:$D,Formulas!$L257,'Corporate activity'!$C:$C,Formulas!O$2)</f>
        <v>0</v>
      </c>
      <c r="P257">
        <f t="shared" si="25"/>
        <v>0</v>
      </c>
      <c r="Q257" t="str">
        <f t="shared" si="23"/>
        <v/>
      </c>
    </row>
    <row r="258" spans="3:17" x14ac:dyDescent="0.25">
      <c r="C258">
        <f>SUMIFS(Issuance!$H:$H,Issuance!$D:$D,Formulas!$B258,Issuance!$C:$C,Formulas!C$2)</f>
        <v>0</v>
      </c>
      <c r="D258">
        <f>SUMIFS(Issuance!$H:$H,Issuance!$D:$D,Formulas!$B258,Issuance!$C:$C,Formulas!D$2)</f>
        <v>0</v>
      </c>
      <c r="E258">
        <f t="shared" si="24"/>
        <v>0</v>
      </c>
      <c r="F258" s="41" t="str">
        <f t="shared" si="21"/>
        <v/>
      </c>
      <c r="I258">
        <f>SUMIFS(Buybacks!H:H,Buybacks!D:D,Formulas!H258)</f>
        <v>0</v>
      </c>
      <c r="J258" s="41" t="str">
        <f t="shared" si="22"/>
        <v/>
      </c>
      <c r="M258">
        <f>SUMIFS('Corporate activity'!$H:$H,'Corporate activity'!$D:$D,Formulas!$L258,'Corporate activity'!$C:$C,Formulas!M$2)</f>
        <v>0</v>
      </c>
      <c r="N258">
        <f>SUMIFS('Corporate activity'!$H:$H,'Corporate activity'!$D:$D,Formulas!$L258,'Corporate activity'!$C:$C,Formulas!N$2)</f>
        <v>0</v>
      </c>
      <c r="O258">
        <f>SUMIFS('Corporate activity'!$H:$H,'Corporate activity'!$D:$D,Formulas!$L258,'Corporate activity'!$C:$C,Formulas!O$2)</f>
        <v>0</v>
      </c>
      <c r="P258">
        <f t="shared" si="25"/>
        <v>0</v>
      </c>
      <c r="Q258" t="str">
        <f t="shared" si="23"/>
        <v/>
      </c>
    </row>
    <row r="259" spans="3:17" x14ac:dyDescent="0.25">
      <c r="C259">
        <f>SUMIFS(Issuance!$H:$H,Issuance!$D:$D,Formulas!$B259,Issuance!$C:$C,Formulas!C$2)</f>
        <v>0</v>
      </c>
      <c r="D259">
        <f>SUMIFS(Issuance!$H:$H,Issuance!$D:$D,Formulas!$B259,Issuance!$C:$C,Formulas!D$2)</f>
        <v>0</v>
      </c>
      <c r="E259">
        <f t="shared" si="24"/>
        <v>0</v>
      </c>
      <c r="F259" s="41" t="str">
        <f t="shared" si="21"/>
        <v/>
      </c>
      <c r="I259">
        <f>SUMIFS(Buybacks!H:H,Buybacks!D:D,Formulas!H259)</f>
        <v>0</v>
      </c>
      <c r="J259" s="41" t="str">
        <f t="shared" si="22"/>
        <v/>
      </c>
      <c r="M259">
        <f>SUMIFS('Corporate activity'!$H:$H,'Corporate activity'!$D:$D,Formulas!$L259,'Corporate activity'!$C:$C,Formulas!M$2)</f>
        <v>0</v>
      </c>
      <c r="N259">
        <f>SUMIFS('Corporate activity'!$H:$H,'Corporate activity'!$D:$D,Formulas!$L259,'Corporate activity'!$C:$C,Formulas!N$2)</f>
        <v>0</v>
      </c>
      <c r="O259">
        <f>SUMIFS('Corporate activity'!$H:$H,'Corporate activity'!$D:$D,Formulas!$L259,'Corporate activity'!$C:$C,Formulas!O$2)</f>
        <v>0</v>
      </c>
      <c r="P259">
        <f t="shared" si="25"/>
        <v>0</v>
      </c>
      <c r="Q259" t="str">
        <f t="shared" si="23"/>
        <v/>
      </c>
    </row>
    <row r="260" spans="3:17" x14ac:dyDescent="0.25">
      <c r="C260">
        <f>SUMIFS(Issuance!$H:$H,Issuance!$D:$D,Formulas!$B260,Issuance!$C:$C,Formulas!C$2)</f>
        <v>0</v>
      </c>
      <c r="D260">
        <f>SUMIFS(Issuance!$H:$H,Issuance!$D:$D,Formulas!$B260,Issuance!$C:$C,Formulas!D$2)</f>
        <v>0</v>
      </c>
      <c r="E260">
        <f t="shared" si="24"/>
        <v>0</v>
      </c>
      <c r="F260" s="41" t="str">
        <f t="shared" ref="F260:F323" si="26">IF(OR(B260="",B260=0,E260=0),"",IF(COUNTIFS($E$3:$E$500,"&gt;"&amp;E260,$E$3:$E$500,"&lt;&gt;0")+1&lt;=20,COUNTIFS($E$3:$E$500,"&gt;"&amp;E260,$E$3:$E$500,"&lt;&gt;0")+1,""))</f>
        <v/>
      </c>
      <c r="I260">
        <f>SUMIFS(Buybacks!H:H,Buybacks!D:D,Formulas!H260)</f>
        <v>0</v>
      </c>
      <c r="J260" s="41" t="str">
        <f t="shared" ref="J260:J323" si="27">IF(OR(H260="",H260=0,I260=0),"",IF(COUNTIFS($I$3:$I$500,"&lt;"&amp;I260,$I$3:$I$500,"&lt;&gt;0")+1&lt;=20,COUNTIFS($I$3:$I$500,"&lt;"&amp;I260,$I$3:$I$500,"&lt;&gt;0")+1,""))</f>
        <v/>
      </c>
      <c r="M260">
        <f>SUMIFS('Corporate activity'!$H:$H,'Corporate activity'!$D:$D,Formulas!$L260,'Corporate activity'!$C:$C,Formulas!M$2)</f>
        <v>0</v>
      </c>
      <c r="N260">
        <f>SUMIFS('Corporate activity'!$H:$H,'Corporate activity'!$D:$D,Formulas!$L260,'Corporate activity'!$C:$C,Formulas!N$2)</f>
        <v>0</v>
      </c>
      <c r="O260">
        <f>SUMIFS('Corporate activity'!$H:$H,'Corporate activity'!$D:$D,Formulas!$L260,'Corporate activity'!$C:$C,Formulas!O$2)</f>
        <v>0</v>
      </c>
      <c r="P260">
        <f t="shared" si="25"/>
        <v>0</v>
      </c>
      <c r="Q260" t="str">
        <f t="shared" si="23"/>
        <v/>
      </c>
    </row>
    <row r="261" spans="3:17" x14ac:dyDescent="0.25">
      <c r="C261">
        <f>SUMIFS(Issuance!$H:$H,Issuance!$D:$D,Formulas!$B261,Issuance!$C:$C,Formulas!C$2)</f>
        <v>0</v>
      </c>
      <c r="D261">
        <f>SUMIFS(Issuance!$H:$H,Issuance!$D:$D,Formulas!$B261,Issuance!$C:$C,Formulas!D$2)</f>
        <v>0</v>
      </c>
      <c r="E261">
        <f t="shared" si="24"/>
        <v>0</v>
      </c>
      <c r="F261" s="41" t="str">
        <f t="shared" si="26"/>
        <v/>
      </c>
      <c r="I261">
        <f>SUMIFS(Buybacks!H:H,Buybacks!D:D,Formulas!H261)</f>
        <v>0</v>
      </c>
      <c r="J261" s="41" t="str">
        <f t="shared" si="27"/>
        <v/>
      </c>
      <c r="M261">
        <f>SUMIFS('Corporate activity'!$H:$H,'Corporate activity'!$D:$D,Formulas!$L261,'Corporate activity'!$C:$C,Formulas!M$2)</f>
        <v>0</v>
      </c>
      <c r="N261">
        <f>SUMIFS('Corporate activity'!$H:$H,'Corporate activity'!$D:$D,Formulas!$L261,'Corporate activity'!$C:$C,Formulas!N$2)</f>
        <v>0</v>
      </c>
      <c r="O261">
        <f>SUMIFS('Corporate activity'!$H:$H,'Corporate activity'!$D:$D,Formulas!$L261,'Corporate activity'!$C:$C,Formulas!O$2)</f>
        <v>0</v>
      </c>
      <c r="P261">
        <f t="shared" si="25"/>
        <v>0</v>
      </c>
      <c r="Q261" t="str">
        <f t="shared" si="23"/>
        <v/>
      </c>
    </row>
    <row r="262" spans="3:17" x14ac:dyDescent="0.25">
      <c r="C262">
        <f>SUMIFS(Issuance!$H:$H,Issuance!$D:$D,Formulas!$B262,Issuance!$C:$C,Formulas!C$2)</f>
        <v>0</v>
      </c>
      <c r="D262">
        <f>SUMIFS(Issuance!$H:$H,Issuance!$D:$D,Formulas!$B262,Issuance!$C:$C,Formulas!D$2)</f>
        <v>0</v>
      </c>
      <c r="E262">
        <f t="shared" si="24"/>
        <v>0</v>
      </c>
      <c r="F262" s="41" t="str">
        <f t="shared" si="26"/>
        <v/>
      </c>
      <c r="I262">
        <f>SUMIFS(Buybacks!H:H,Buybacks!D:D,Formulas!H262)</f>
        <v>0</v>
      </c>
      <c r="J262" s="41" t="str">
        <f t="shared" si="27"/>
        <v/>
      </c>
      <c r="M262">
        <f>SUMIFS('Corporate activity'!$H:$H,'Corporate activity'!$D:$D,Formulas!$L262,'Corporate activity'!$C:$C,Formulas!M$2)</f>
        <v>0</v>
      </c>
      <c r="N262">
        <f>SUMIFS('Corporate activity'!$H:$H,'Corporate activity'!$D:$D,Formulas!$L262,'Corporate activity'!$C:$C,Formulas!N$2)</f>
        <v>0</v>
      </c>
      <c r="O262">
        <f>SUMIFS('Corporate activity'!$H:$H,'Corporate activity'!$D:$D,Formulas!$L262,'Corporate activity'!$C:$C,Formulas!O$2)</f>
        <v>0</v>
      </c>
      <c r="P262">
        <f t="shared" si="25"/>
        <v>0</v>
      </c>
      <c r="Q262" t="str">
        <f t="shared" si="23"/>
        <v/>
      </c>
    </row>
    <row r="263" spans="3:17" x14ac:dyDescent="0.25">
      <c r="C263">
        <f>SUMIFS(Issuance!$H:$H,Issuance!$D:$D,Formulas!$B263,Issuance!$C:$C,Formulas!C$2)</f>
        <v>0</v>
      </c>
      <c r="D263">
        <f>SUMIFS(Issuance!$H:$H,Issuance!$D:$D,Formulas!$B263,Issuance!$C:$C,Formulas!D$2)</f>
        <v>0</v>
      </c>
      <c r="E263">
        <f t="shared" si="24"/>
        <v>0</v>
      </c>
      <c r="F263" s="41" t="str">
        <f t="shared" si="26"/>
        <v/>
      </c>
      <c r="I263">
        <f>SUMIFS(Buybacks!H:H,Buybacks!D:D,Formulas!H263)</f>
        <v>0</v>
      </c>
      <c r="J263" s="41" t="str">
        <f t="shared" si="27"/>
        <v/>
      </c>
      <c r="M263">
        <f>SUMIFS('Corporate activity'!$H:$H,'Corporate activity'!$D:$D,Formulas!$L263,'Corporate activity'!$C:$C,Formulas!M$2)</f>
        <v>0</v>
      </c>
      <c r="N263">
        <f>SUMIFS('Corporate activity'!$H:$H,'Corporate activity'!$D:$D,Formulas!$L263,'Corporate activity'!$C:$C,Formulas!N$2)</f>
        <v>0</v>
      </c>
      <c r="O263">
        <f>SUMIFS('Corporate activity'!$H:$H,'Corporate activity'!$D:$D,Formulas!$L263,'Corporate activity'!$C:$C,Formulas!O$2)</f>
        <v>0</v>
      </c>
      <c r="P263">
        <f t="shared" si="25"/>
        <v>0</v>
      </c>
      <c r="Q263" t="str">
        <f t="shared" si="23"/>
        <v/>
      </c>
    </row>
    <row r="264" spans="3:17" x14ac:dyDescent="0.25">
      <c r="C264">
        <f>SUMIFS(Issuance!$H:$H,Issuance!$D:$D,Formulas!$B264,Issuance!$C:$C,Formulas!C$2)</f>
        <v>0</v>
      </c>
      <c r="D264">
        <f>SUMIFS(Issuance!$H:$H,Issuance!$D:$D,Formulas!$B264,Issuance!$C:$C,Formulas!D$2)</f>
        <v>0</v>
      </c>
      <c r="E264">
        <f t="shared" si="24"/>
        <v>0</v>
      </c>
      <c r="F264" s="41" t="str">
        <f t="shared" si="26"/>
        <v/>
      </c>
      <c r="I264">
        <f>SUMIFS(Buybacks!H:H,Buybacks!D:D,Formulas!H264)</f>
        <v>0</v>
      </c>
      <c r="J264" s="41" t="str">
        <f t="shared" si="27"/>
        <v/>
      </c>
      <c r="M264">
        <f>SUMIFS('Corporate activity'!$H:$H,'Corporate activity'!$D:$D,Formulas!$L264,'Corporate activity'!$C:$C,Formulas!M$2)</f>
        <v>0</v>
      </c>
      <c r="N264">
        <f>SUMIFS('Corporate activity'!$H:$H,'Corporate activity'!$D:$D,Formulas!$L264,'Corporate activity'!$C:$C,Formulas!N$2)</f>
        <v>0</v>
      </c>
      <c r="O264">
        <f>SUMIFS('Corporate activity'!$H:$H,'Corporate activity'!$D:$D,Formulas!$L264,'Corporate activity'!$C:$C,Formulas!O$2)</f>
        <v>0</v>
      </c>
      <c r="P264">
        <f t="shared" si="25"/>
        <v>0</v>
      </c>
      <c r="Q264" t="str">
        <f t="shared" si="23"/>
        <v/>
      </c>
    </row>
    <row r="265" spans="3:17" x14ac:dyDescent="0.25">
      <c r="C265">
        <f>SUMIFS(Issuance!$H:$H,Issuance!$D:$D,Formulas!$B265,Issuance!$C:$C,Formulas!C$2)</f>
        <v>0</v>
      </c>
      <c r="D265">
        <f>SUMIFS(Issuance!$H:$H,Issuance!$D:$D,Formulas!$B265,Issuance!$C:$C,Formulas!D$2)</f>
        <v>0</v>
      </c>
      <c r="E265">
        <f t="shared" si="24"/>
        <v>0</v>
      </c>
      <c r="F265" s="41" t="str">
        <f t="shared" si="26"/>
        <v/>
      </c>
      <c r="I265">
        <f>SUMIFS(Buybacks!H:H,Buybacks!D:D,Formulas!H265)</f>
        <v>0</v>
      </c>
      <c r="J265" s="41" t="str">
        <f t="shared" si="27"/>
        <v/>
      </c>
      <c r="M265">
        <f>SUMIFS('Corporate activity'!$H:$H,'Corporate activity'!$D:$D,Formulas!$L265,'Corporate activity'!$C:$C,Formulas!M$2)</f>
        <v>0</v>
      </c>
      <c r="N265">
        <f>SUMIFS('Corporate activity'!$H:$H,'Corporate activity'!$D:$D,Formulas!$L265,'Corporate activity'!$C:$C,Formulas!N$2)</f>
        <v>0</v>
      </c>
      <c r="O265">
        <f>SUMIFS('Corporate activity'!$H:$H,'Corporate activity'!$D:$D,Formulas!$L265,'Corporate activity'!$C:$C,Formulas!O$2)</f>
        <v>0</v>
      </c>
      <c r="P265">
        <f t="shared" si="25"/>
        <v>0</v>
      </c>
      <c r="Q265" t="str">
        <f t="shared" si="23"/>
        <v/>
      </c>
    </row>
    <row r="266" spans="3:17" x14ac:dyDescent="0.25">
      <c r="C266">
        <f>SUMIFS(Issuance!$H:$H,Issuance!$D:$D,Formulas!$B266,Issuance!$C:$C,Formulas!C$2)</f>
        <v>0</v>
      </c>
      <c r="D266">
        <f>SUMIFS(Issuance!$H:$H,Issuance!$D:$D,Formulas!$B266,Issuance!$C:$C,Formulas!D$2)</f>
        <v>0</v>
      </c>
      <c r="E266">
        <f t="shared" si="24"/>
        <v>0</v>
      </c>
      <c r="F266" s="41" t="str">
        <f t="shared" si="26"/>
        <v/>
      </c>
      <c r="I266">
        <f>SUMIFS(Buybacks!H:H,Buybacks!D:D,Formulas!H266)</f>
        <v>0</v>
      </c>
      <c r="J266" s="41" t="str">
        <f t="shared" si="27"/>
        <v/>
      </c>
      <c r="M266">
        <f>SUMIFS('Corporate activity'!$H:$H,'Corporate activity'!$D:$D,Formulas!$L266,'Corporate activity'!$C:$C,Formulas!M$2)</f>
        <v>0</v>
      </c>
      <c r="N266">
        <f>SUMIFS('Corporate activity'!$H:$H,'Corporate activity'!$D:$D,Formulas!$L266,'Corporate activity'!$C:$C,Formulas!N$2)</f>
        <v>0</v>
      </c>
      <c r="O266">
        <f>SUMIFS('Corporate activity'!$H:$H,'Corporate activity'!$D:$D,Formulas!$L266,'Corporate activity'!$C:$C,Formulas!O$2)</f>
        <v>0</v>
      </c>
      <c r="P266">
        <f t="shared" si="25"/>
        <v>0</v>
      </c>
      <c r="Q266" t="str">
        <f t="shared" si="23"/>
        <v/>
      </c>
    </row>
    <row r="267" spans="3:17" x14ac:dyDescent="0.25">
      <c r="C267">
        <f>SUMIFS(Issuance!$H:$H,Issuance!$D:$D,Formulas!$B267,Issuance!$C:$C,Formulas!C$2)</f>
        <v>0</v>
      </c>
      <c r="D267">
        <f>SUMIFS(Issuance!$H:$H,Issuance!$D:$D,Formulas!$B267,Issuance!$C:$C,Formulas!D$2)</f>
        <v>0</v>
      </c>
      <c r="E267">
        <f t="shared" si="24"/>
        <v>0</v>
      </c>
      <c r="F267" s="41" t="str">
        <f t="shared" si="26"/>
        <v/>
      </c>
      <c r="I267">
        <f>SUMIFS(Buybacks!H:H,Buybacks!D:D,Formulas!H267)</f>
        <v>0</v>
      </c>
      <c r="J267" s="41" t="str">
        <f t="shared" si="27"/>
        <v/>
      </c>
      <c r="M267">
        <f>SUMIFS('Corporate activity'!$H:$H,'Corporate activity'!$D:$D,Formulas!$L267,'Corporate activity'!$C:$C,Formulas!M$2)</f>
        <v>0</v>
      </c>
      <c r="N267">
        <f>SUMIFS('Corporate activity'!$H:$H,'Corporate activity'!$D:$D,Formulas!$L267,'Corporate activity'!$C:$C,Formulas!N$2)</f>
        <v>0</v>
      </c>
      <c r="O267">
        <f>SUMIFS('Corporate activity'!$H:$H,'Corporate activity'!$D:$D,Formulas!$L267,'Corporate activity'!$C:$C,Formulas!O$2)</f>
        <v>0</v>
      </c>
      <c r="P267">
        <f t="shared" si="25"/>
        <v>0</v>
      </c>
      <c r="Q267" t="str">
        <f t="shared" si="23"/>
        <v/>
      </c>
    </row>
    <row r="268" spans="3:17" x14ac:dyDescent="0.25">
      <c r="C268">
        <f>SUMIFS(Issuance!$H:$H,Issuance!$D:$D,Formulas!$B268,Issuance!$C:$C,Formulas!C$2)</f>
        <v>0</v>
      </c>
      <c r="D268">
        <f>SUMIFS(Issuance!$H:$H,Issuance!$D:$D,Formulas!$B268,Issuance!$C:$C,Formulas!D$2)</f>
        <v>0</v>
      </c>
      <c r="E268">
        <f t="shared" si="24"/>
        <v>0</v>
      </c>
      <c r="F268" s="41" t="str">
        <f t="shared" si="26"/>
        <v/>
      </c>
      <c r="I268">
        <f>SUMIFS(Buybacks!H:H,Buybacks!D:D,Formulas!H268)</f>
        <v>0</v>
      </c>
      <c r="J268" s="41" t="str">
        <f t="shared" si="27"/>
        <v/>
      </c>
      <c r="M268">
        <f>SUMIFS('Corporate activity'!$H:$H,'Corporate activity'!$D:$D,Formulas!$L268,'Corporate activity'!$C:$C,Formulas!M$2)</f>
        <v>0</v>
      </c>
      <c r="N268">
        <f>SUMIFS('Corporate activity'!$H:$H,'Corporate activity'!$D:$D,Formulas!$L268,'Corporate activity'!$C:$C,Formulas!N$2)</f>
        <v>0</v>
      </c>
      <c r="O268">
        <f>SUMIFS('Corporate activity'!$H:$H,'Corporate activity'!$D:$D,Formulas!$L268,'Corporate activity'!$C:$C,Formulas!O$2)</f>
        <v>0</v>
      </c>
      <c r="P268">
        <f t="shared" si="25"/>
        <v>0</v>
      </c>
      <c r="Q268" t="str">
        <f t="shared" si="23"/>
        <v/>
      </c>
    </row>
    <row r="269" spans="3:17" x14ac:dyDescent="0.25">
      <c r="C269">
        <f>SUMIFS(Issuance!$H:$H,Issuance!$D:$D,Formulas!$B269,Issuance!$C:$C,Formulas!C$2)</f>
        <v>0</v>
      </c>
      <c r="D269">
        <f>SUMIFS(Issuance!$H:$H,Issuance!$D:$D,Formulas!$B269,Issuance!$C:$C,Formulas!D$2)</f>
        <v>0</v>
      </c>
      <c r="E269">
        <f t="shared" si="24"/>
        <v>0</v>
      </c>
      <c r="F269" s="41" t="str">
        <f t="shared" si="26"/>
        <v/>
      </c>
      <c r="I269">
        <f>SUMIFS(Buybacks!H:H,Buybacks!D:D,Formulas!H269)</f>
        <v>0</v>
      </c>
      <c r="J269" s="41" t="str">
        <f t="shared" si="27"/>
        <v/>
      </c>
      <c r="M269">
        <f>SUMIFS('Corporate activity'!$H:$H,'Corporate activity'!$D:$D,Formulas!$L269,'Corporate activity'!$C:$C,Formulas!M$2)</f>
        <v>0</v>
      </c>
      <c r="N269">
        <f>SUMIFS('Corporate activity'!$H:$H,'Corporate activity'!$D:$D,Formulas!$L269,'Corporate activity'!$C:$C,Formulas!N$2)</f>
        <v>0</v>
      </c>
      <c r="O269">
        <f>SUMIFS('Corporate activity'!$H:$H,'Corporate activity'!$D:$D,Formulas!$L269,'Corporate activity'!$C:$C,Formulas!O$2)</f>
        <v>0</v>
      </c>
      <c r="P269">
        <f t="shared" si="25"/>
        <v>0</v>
      </c>
      <c r="Q269" t="str">
        <f t="shared" si="23"/>
        <v/>
      </c>
    </row>
    <row r="270" spans="3:17" x14ac:dyDescent="0.25">
      <c r="C270">
        <f>SUMIFS(Issuance!$H:$H,Issuance!$D:$D,Formulas!$B270,Issuance!$C:$C,Formulas!C$2)</f>
        <v>0</v>
      </c>
      <c r="D270">
        <f>SUMIFS(Issuance!$H:$H,Issuance!$D:$D,Formulas!$B270,Issuance!$C:$C,Formulas!D$2)</f>
        <v>0</v>
      </c>
      <c r="E270">
        <f t="shared" si="24"/>
        <v>0</v>
      </c>
      <c r="F270" s="41" t="str">
        <f t="shared" si="26"/>
        <v/>
      </c>
      <c r="I270">
        <f>SUMIFS(Buybacks!H:H,Buybacks!D:D,Formulas!H270)</f>
        <v>0</v>
      </c>
      <c r="J270" s="41" t="str">
        <f t="shared" si="27"/>
        <v/>
      </c>
      <c r="M270">
        <f>SUMIFS('Corporate activity'!$H:$H,'Corporate activity'!$D:$D,Formulas!$L270,'Corporate activity'!$C:$C,Formulas!M$2)</f>
        <v>0</v>
      </c>
      <c r="N270">
        <f>SUMIFS('Corporate activity'!$H:$H,'Corporate activity'!$D:$D,Formulas!$L270,'Corporate activity'!$C:$C,Formulas!N$2)</f>
        <v>0</v>
      </c>
      <c r="O270">
        <f>SUMIFS('Corporate activity'!$H:$H,'Corporate activity'!$D:$D,Formulas!$L270,'Corporate activity'!$C:$C,Formulas!O$2)</f>
        <v>0</v>
      </c>
      <c r="P270">
        <f t="shared" si="25"/>
        <v>0</v>
      </c>
      <c r="Q270" t="str">
        <f t="shared" si="23"/>
        <v/>
      </c>
    </row>
    <row r="271" spans="3:17" x14ac:dyDescent="0.25">
      <c r="C271">
        <f>SUMIFS(Issuance!$H:$H,Issuance!$D:$D,Formulas!$B271,Issuance!$C:$C,Formulas!C$2)</f>
        <v>0</v>
      </c>
      <c r="D271">
        <f>SUMIFS(Issuance!$H:$H,Issuance!$D:$D,Formulas!$B271,Issuance!$C:$C,Formulas!D$2)</f>
        <v>0</v>
      </c>
      <c r="E271">
        <f t="shared" si="24"/>
        <v>0</v>
      </c>
      <c r="F271" s="41" t="str">
        <f t="shared" si="26"/>
        <v/>
      </c>
      <c r="I271">
        <f>SUMIFS(Buybacks!H:H,Buybacks!D:D,Formulas!H271)</f>
        <v>0</v>
      </c>
      <c r="J271" s="41" t="str">
        <f t="shared" si="27"/>
        <v/>
      </c>
      <c r="M271">
        <f>SUMIFS('Corporate activity'!$H:$H,'Corporate activity'!$D:$D,Formulas!$L271,'Corporate activity'!$C:$C,Formulas!M$2)</f>
        <v>0</v>
      </c>
      <c r="N271">
        <f>SUMIFS('Corporate activity'!$H:$H,'Corporate activity'!$D:$D,Formulas!$L271,'Corporate activity'!$C:$C,Formulas!N$2)</f>
        <v>0</v>
      </c>
      <c r="O271">
        <f>SUMIFS('Corporate activity'!$H:$H,'Corporate activity'!$D:$D,Formulas!$L271,'Corporate activity'!$C:$C,Formulas!O$2)</f>
        <v>0</v>
      </c>
      <c r="P271">
        <f t="shared" si="25"/>
        <v>0</v>
      </c>
      <c r="Q271" t="str">
        <f t="shared" si="23"/>
        <v/>
      </c>
    </row>
    <row r="272" spans="3:17" x14ac:dyDescent="0.25">
      <c r="C272">
        <f>SUMIFS(Issuance!$H:$H,Issuance!$D:$D,Formulas!$B272,Issuance!$C:$C,Formulas!C$2)</f>
        <v>0</v>
      </c>
      <c r="D272">
        <f>SUMIFS(Issuance!$H:$H,Issuance!$D:$D,Formulas!$B272,Issuance!$C:$C,Formulas!D$2)</f>
        <v>0</v>
      </c>
      <c r="E272">
        <f t="shared" si="24"/>
        <v>0</v>
      </c>
      <c r="F272" s="41" t="str">
        <f t="shared" si="26"/>
        <v/>
      </c>
      <c r="I272">
        <f>SUMIFS(Buybacks!H:H,Buybacks!D:D,Formulas!H272)</f>
        <v>0</v>
      </c>
      <c r="J272" s="41" t="str">
        <f t="shared" si="27"/>
        <v/>
      </c>
      <c r="M272">
        <f>SUMIFS('Corporate activity'!$H:$H,'Corporate activity'!$D:$D,Formulas!$L272,'Corporate activity'!$C:$C,Formulas!M$2)</f>
        <v>0</v>
      </c>
      <c r="N272">
        <f>SUMIFS('Corporate activity'!$H:$H,'Corporate activity'!$D:$D,Formulas!$L272,'Corporate activity'!$C:$C,Formulas!N$2)</f>
        <v>0</v>
      </c>
      <c r="O272">
        <f>SUMIFS('Corporate activity'!$H:$H,'Corporate activity'!$D:$D,Formulas!$L272,'Corporate activity'!$C:$C,Formulas!O$2)</f>
        <v>0</v>
      </c>
      <c r="P272">
        <f t="shared" si="25"/>
        <v>0</v>
      </c>
      <c r="Q272" t="str">
        <f t="shared" si="23"/>
        <v/>
      </c>
    </row>
    <row r="273" spans="3:17" x14ac:dyDescent="0.25">
      <c r="C273">
        <f>SUMIFS(Issuance!$H:$H,Issuance!$D:$D,Formulas!$B273,Issuance!$C:$C,Formulas!C$2)</f>
        <v>0</v>
      </c>
      <c r="D273">
        <f>SUMIFS(Issuance!$H:$H,Issuance!$D:$D,Formulas!$B273,Issuance!$C:$C,Formulas!D$2)</f>
        <v>0</v>
      </c>
      <c r="E273">
        <f t="shared" si="24"/>
        <v>0</v>
      </c>
      <c r="F273" s="41" t="str">
        <f t="shared" si="26"/>
        <v/>
      </c>
      <c r="I273">
        <f>SUMIFS(Buybacks!H:H,Buybacks!D:D,Formulas!H273)</f>
        <v>0</v>
      </c>
      <c r="J273" s="41" t="str">
        <f t="shared" si="27"/>
        <v/>
      </c>
      <c r="M273">
        <f>SUMIFS('Corporate activity'!$H:$H,'Corporate activity'!$D:$D,Formulas!$L273,'Corporate activity'!$C:$C,Formulas!M$2)</f>
        <v>0</v>
      </c>
      <c r="N273">
        <f>SUMIFS('Corporate activity'!$H:$H,'Corporate activity'!$D:$D,Formulas!$L273,'Corporate activity'!$C:$C,Formulas!N$2)</f>
        <v>0</v>
      </c>
      <c r="O273">
        <f>SUMIFS('Corporate activity'!$H:$H,'Corporate activity'!$D:$D,Formulas!$L273,'Corporate activity'!$C:$C,Formulas!O$2)</f>
        <v>0</v>
      </c>
      <c r="P273">
        <f t="shared" si="25"/>
        <v>0</v>
      </c>
      <c r="Q273" t="str">
        <f t="shared" si="23"/>
        <v/>
      </c>
    </row>
    <row r="274" spans="3:17" x14ac:dyDescent="0.25">
      <c r="C274">
        <f>SUMIFS(Issuance!$H:$H,Issuance!$D:$D,Formulas!$B274,Issuance!$C:$C,Formulas!C$2)</f>
        <v>0</v>
      </c>
      <c r="D274">
        <f>SUMIFS(Issuance!$H:$H,Issuance!$D:$D,Formulas!$B274,Issuance!$C:$C,Formulas!D$2)</f>
        <v>0</v>
      </c>
      <c r="E274">
        <f t="shared" si="24"/>
        <v>0</v>
      </c>
      <c r="F274" s="41" t="str">
        <f t="shared" si="26"/>
        <v/>
      </c>
      <c r="I274">
        <f>SUMIFS(Buybacks!H:H,Buybacks!D:D,Formulas!H274)</f>
        <v>0</v>
      </c>
      <c r="J274" s="41" t="str">
        <f t="shared" si="27"/>
        <v/>
      </c>
      <c r="M274">
        <f>SUMIFS('Corporate activity'!$H:$H,'Corporate activity'!$D:$D,Formulas!$L274,'Corporate activity'!$C:$C,Formulas!M$2)</f>
        <v>0</v>
      </c>
      <c r="N274">
        <f>SUMIFS('Corporate activity'!$H:$H,'Corporate activity'!$D:$D,Formulas!$L274,'Corporate activity'!$C:$C,Formulas!N$2)</f>
        <v>0</v>
      </c>
      <c r="O274">
        <f>SUMIFS('Corporate activity'!$H:$H,'Corporate activity'!$D:$D,Formulas!$L274,'Corporate activity'!$C:$C,Formulas!O$2)</f>
        <v>0</v>
      </c>
      <c r="P274">
        <f t="shared" si="25"/>
        <v>0</v>
      </c>
      <c r="Q274" t="str">
        <f t="shared" si="23"/>
        <v/>
      </c>
    </row>
    <row r="275" spans="3:17" x14ac:dyDescent="0.25">
      <c r="C275">
        <f>SUMIFS(Issuance!$H:$H,Issuance!$D:$D,Formulas!$B275,Issuance!$C:$C,Formulas!C$2)</f>
        <v>0</v>
      </c>
      <c r="D275">
        <f>SUMIFS(Issuance!$H:$H,Issuance!$D:$D,Formulas!$B275,Issuance!$C:$C,Formulas!D$2)</f>
        <v>0</v>
      </c>
      <c r="E275">
        <f t="shared" si="24"/>
        <v>0</v>
      </c>
      <c r="F275" s="41" t="str">
        <f t="shared" si="26"/>
        <v/>
      </c>
      <c r="I275">
        <f>SUMIFS(Buybacks!H:H,Buybacks!D:D,Formulas!H275)</f>
        <v>0</v>
      </c>
      <c r="J275" s="41" t="str">
        <f t="shared" si="27"/>
        <v/>
      </c>
      <c r="M275">
        <f>SUMIFS('Corporate activity'!$H:$H,'Corporate activity'!$D:$D,Formulas!$L275,'Corporate activity'!$C:$C,Formulas!M$2)</f>
        <v>0</v>
      </c>
      <c r="N275">
        <f>SUMIFS('Corporate activity'!$H:$H,'Corporate activity'!$D:$D,Formulas!$L275,'Corporate activity'!$C:$C,Formulas!N$2)</f>
        <v>0</v>
      </c>
      <c r="O275">
        <f>SUMIFS('Corporate activity'!$H:$H,'Corporate activity'!$D:$D,Formulas!$L275,'Corporate activity'!$C:$C,Formulas!O$2)</f>
        <v>0</v>
      </c>
      <c r="P275">
        <f t="shared" si="25"/>
        <v>0</v>
      </c>
      <c r="Q275" t="str">
        <f t="shared" si="23"/>
        <v/>
      </c>
    </row>
    <row r="276" spans="3:17" x14ac:dyDescent="0.25">
      <c r="C276">
        <f>SUMIFS(Issuance!$H:$H,Issuance!$D:$D,Formulas!$B276,Issuance!$C:$C,Formulas!C$2)</f>
        <v>0</v>
      </c>
      <c r="D276">
        <f>SUMIFS(Issuance!$H:$H,Issuance!$D:$D,Formulas!$B276,Issuance!$C:$C,Formulas!D$2)</f>
        <v>0</v>
      </c>
      <c r="E276">
        <f t="shared" si="24"/>
        <v>0</v>
      </c>
      <c r="F276" s="41" t="str">
        <f t="shared" si="26"/>
        <v/>
      </c>
      <c r="I276">
        <f>SUMIFS(Buybacks!H:H,Buybacks!D:D,Formulas!H276)</f>
        <v>0</v>
      </c>
      <c r="J276" s="41" t="str">
        <f t="shared" si="27"/>
        <v/>
      </c>
      <c r="M276">
        <f>SUMIFS('Corporate activity'!$H:$H,'Corporate activity'!$D:$D,Formulas!$L276,'Corporate activity'!$C:$C,Formulas!M$2)</f>
        <v>0</v>
      </c>
      <c r="N276">
        <f>SUMIFS('Corporate activity'!$H:$H,'Corporate activity'!$D:$D,Formulas!$L276,'Corporate activity'!$C:$C,Formulas!N$2)</f>
        <v>0</v>
      </c>
      <c r="O276">
        <f>SUMIFS('Corporate activity'!$H:$H,'Corporate activity'!$D:$D,Formulas!$L276,'Corporate activity'!$C:$C,Formulas!O$2)</f>
        <v>0</v>
      </c>
      <c r="P276">
        <f t="shared" si="25"/>
        <v>0</v>
      </c>
      <c r="Q276" t="str">
        <f t="shared" si="23"/>
        <v/>
      </c>
    </row>
    <row r="277" spans="3:17" x14ac:dyDescent="0.25">
      <c r="C277">
        <f>SUMIFS(Issuance!$H:$H,Issuance!$D:$D,Formulas!$B277,Issuance!$C:$C,Formulas!C$2)</f>
        <v>0</v>
      </c>
      <c r="D277">
        <f>SUMIFS(Issuance!$H:$H,Issuance!$D:$D,Formulas!$B277,Issuance!$C:$C,Formulas!D$2)</f>
        <v>0</v>
      </c>
      <c r="E277">
        <f t="shared" si="24"/>
        <v>0</v>
      </c>
      <c r="F277" s="41" t="str">
        <f t="shared" si="26"/>
        <v/>
      </c>
      <c r="I277">
        <f>SUMIFS(Buybacks!H:H,Buybacks!D:D,Formulas!H277)</f>
        <v>0</v>
      </c>
      <c r="J277" s="41" t="str">
        <f t="shared" si="27"/>
        <v/>
      </c>
      <c r="M277">
        <f>SUMIFS('Corporate activity'!$H:$H,'Corporate activity'!$D:$D,Formulas!$L277,'Corporate activity'!$C:$C,Formulas!M$2)</f>
        <v>0</v>
      </c>
      <c r="N277">
        <f>SUMIFS('Corporate activity'!$H:$H,'Corporate activity'!$D:$D,Formulas!$L277,'Corporate activity'!$C:$C,Formulas!N$2)</f>
        <v>0</v>
      </c>
      <c r="O277">
        <f>SUMIFS('Corporate activity'!$H:$H,'Corporate activity'!$D:$D,Formulas!$L277,'Corporate activity'!$C:$C,Formulas!O$2)</f>
        <v>0</v>
      </c>
      <c r="P277">
        <f t="shared" si="25"/>
        <v>0</v>
      </c>
      <c r="Q277" t="str">
        <f t="shared" si="23"/>
        <v/>
      </c>
    </row>
    <row r="278" spans="3:17" x14ac:dyDescent="0.25">
      <c r="C278">
        <f>SUMIFS(Issuance!$H:$H,Issuance!$D:$D,Formulas!$B278,Issuance!$C:$C,Formulas!C$2)</f>
        <v>0</v>
      </c>
      <c r="D278">
        <f>SUMIFS(Issuance!$H:$H,Issuance!$D:$D,Formulas!$B278,Issuance!$C:$C,Formulas!D$2)</f>
        <v>0</v>
      </c>
      <c r="E278">
        <f t="shared" si="24"/>
        <v>0</v>
      </c>
      <c r="F278" s="41" t="str">
        <f t="shared" si="26"/>
        <v/>
      </c>
      <c r="I278">
        <f>SUMIFS(Buybacks!H:H,Buybacks!D:D,Formulas!H278)</f>
        <v>0</v>
      </c>
      <c r="J278" s="41" t="str">
        <f t="shared" si="27"/>
        <v/>
      </c>
      <c r="M278">
        <f>SUMIFS('Corporate activity'!$H:$H,'Corporate activity'!$D:$D,Formulas!$L278,'Corporate activity'!$C:$C,Formulas!M$2)</f>
        <v>0</v>
      </c>
      <c r="N278">
        <f>SUMIFS('Corporate activity'!$H:$H,'Corporate activity'!$D:$D,Formulas!$L278,'Corporate activity'!$C:$C,Formulas!N$2)</f>
        <v>0</v>
      </c>
      <c r="O278">
        <f>SUMIFS('Corporate activity'!$H:$H,'Corporate activity'!$D:$D,Formulas!$L278,'Corporate activity'!$C:$C,Formulas!O$2)</f>
        <v>0</v>
      </c>
      <c r="P278">
        <f t="shared" si="25"/>
        <v>0</v>
      </c>
      <c r="Q278" t="str">
        <f t="shared" si="23"/>
        <v/>
      </c>
    </row>
    <row r="279" spans="3:17" x14ac:dyDescent="0.25">
      <c r="C279">
        <f>SUMIFS(Issuance!$H:$H,Issuance!$D:$D,Formulas!$B279,Issuance!$C:$C,Formulas!C$2)</f>
        <v>0</v>
      </c>
      <c r="D279">
        <f>SUMIFS(Issuance!$H:$H,Issuance!$D:$D,Formulas!$B279,Issuance!$C:$C,Formulas!D$2)</f>
        <v>0</v>
      </c>
      <c r="E279">
        <f t="shared" si="24"/>
        <v>0</v>
      </c>
      <c r="F279" s="41" t="str">
        <f t="shared" si="26"/>
        <v/>
      </c>
      <c r="I279">
        <f>SUMIFS(Buybacks!H:H,Buybacks!D:D,Formulas!H279)</f>
        <v>0</v>
      </c>
      <c r="J279" s="41" t="str">
        <f t="shared" si="27"/>
        <v/>
      </c>
      <c r="M279">
        <f>SUMIFS('Corporate activity'!$H:$H,'Corporate activity'!$D:$D,Formulas!$L279,'Corporate activity'!$C:$C,Formulas!M$2)</f>
        <v>0</v>
      </c>
      <c r="N279">
        <f>SUMIFS('Corporate activity'!$H:$H,'Corporate activity'!$D:$D,Formulas!$L279,'Corporate activity'!$C:$C,Formulas!N$2)</f>
        <v>0</v>
      </c>
      <c r="O279">
        <f>SUMIFS('Corporate activity'!$H:$H,'Corporate activity'!$D:$D,Formulas!$L279,'Corporate activity'!$C:$C,Formulas!O$2)</f>
        <v>0</v>
      </c>
      <c r="P279">
        <f t="shared" si="25"/>
        <v>0</v>
      </c>
      <c r="Q279" t="str">
        <f t="shared" si="23"/>
        <v/>
      </c>
    </row>
    <row r="280" spans="3:17" x14ac:dyDescent="0.25">
      <c r="C280">
        <f>SUMIFS(Issuance!$H:$H,Issuance!$D:$D,Formulas!$B280,Issuance!$C:$C,Formulas!C$2)</f>
        <v>0</v>
      </c>
      <c r="D280">
        <f>SUMIFS(Issuance!$H:$H,Issuance!$D:$D,Formulas!$B280,Issuance!$C:$C,Formulas!D$2)</f>
        <v>0</v>
      </c>
      <c r="E280">
        <f t="shared" si="24"/>
        <v>0</v>
      </c>
      <c r="F280" s="41" t="str">
        <f t="shared" si="26"/>
        <v/>
      </c>
      <c r="I280">
        <f>SUMIFS(Buybacks!H:H,Buybacks!D:D,Formulas!H280)</f>
        <v>0</v>
      </c>
      <c r="J280" s="41" t="str">
        <f t="shared" si="27"/>
        <v/>
      </c>
      <c r="M280">
        <f>SUMIFS('Corporate activity'!$H:$H,'Corporate activity'!$D:$D,Formulas!$L280,'Corporate activity'!$C:$C,Formulas!M$2)</f>
        <v>0</v>
      </c>
      <c r="N280">
        <f>SUMIFS('Corporate activity'!$H:$H,'Corporate activity'!$D:$D,Formulas!$L280,'Corporate activity'!$C:$C,Formulas!N$2)</f>
        <v>0</v>
      </c>
      <c r="O280">
        <f>SUMIFS('Corporate activity'!$H:$H,'Corporate activity'!$D:$D,Formulas!$L280,'Corporate activity'!$C:$C,Formulas!O$2)</f>
        <v>0</v>
      </c>
      <c r="P280">
        <f t="shared" si="25"/>
        <v>0</v>
      </c>
      <c r="Q280" t="str">
        <f t="shared" si="23"/>
        <v/>
      </c>
    </row>
    <row r="281" spans="3:17" x14ac:dyDescent="0.25">
      <c r="C281">
        <f>SUMIFS(Issuance!$H:$H,Issuance!$D:$D,Formulas!$B281,Issuance!$C:$C,Formulas!C$2)</f>
        <v>0</v>
      </c>
      <c r="D281">
        <f>SUMIFS(Issuance!$H:$H,Issuance!$D:$D,Formulas!$B281,Issuance!$C:$C,Formulas!D$2)</f>
        <v>0</v>
      </c>
      <c r="E281">
        <f t="shared" si="24"/>
        <v>0</v>
      </c>
      <c r="F281" s="41" t="str">
        <f t="shared" si="26"/>
        <v/>
      </c>
      <c r="I281">
        <f>SUMIFS(Buybacks!H:H,Buybacks!D:D,Formulas!H281)</f>
        <v>0</v>
      </c>
      <c r="J281" s="41" t="str">
        <f t="shared" si="27"/>
        <v/>
      </c>
      <c r="M281">
        <f>SUMIFS('Corporate activity'!$H:$H,'Corporate activity'!$D:$D,Formulas!$L281,'Corporate activity'!$C:$C,Formulas!M$2)</f>
        <v>0</v>
      </c>
      <c r="N281">
        <f>SUMIFS('Corporate activity'!$H:$H,'Corporate activity'!$D:$D,Formulas!$L281,'Corporate activity'!$C:$C,Formulas!N$2)</f>
        <v>0</v>
      </c>
      <c r="O281">
        <f>SUMIFS('Corporate activity'!$H:$H,'Corporate activity'!$D:$D,Formulas!$L281,'Corporate activity'!$C:$C,Formulas!O$2)</f>
        <v>0</v>
      </c>
      <c r="P281">
        <f t="shared" si="25"/>
        <v>0</v>
      </c>
      <c r="Q281" t="str">
        <f t="shared" si="23"/>
        <v/>
      </c>
    </row>
    <row r="282" spans="3:17" x14ac:dyDescent="0.25">
      <c r="C282">
        <f>SUMIFS(Issuance!$H:$H,Issuance!$D:$D,Formulas!$B282,Issuance!$C:$C,Formulas!C$2)</f>
        <v>0</v>
      </c>
      <c r="D282">
        <f>SUMIFS(Issuance!$H:$H,Issuance!$D:$D,Formulas!$B282,Issuance!$C:$C,Formulas!D$2)</f>
        <v>0</v>
      </c>
      <c r="E282">
        <f t="shared" si="24"/>
        <v>0</v>
      </c>
      <c r="F282" s="41" t="str">
        <f t="shared" si="26"/>
        <v/>
      </c>
      <c r="I282">
        <f>SUMIFS(Buybacks!H:H,Buybacks!D:D,Formulas!H282)</f>
        <v>0</v>
      </c>
      <c r="J282" s="41" t="str">
        <f t="shared" si="27"/>
        <v/>
      </c>
      <c r="M282">
        <f>SUMIFS('Corporate activity'!$H:$H,'Corporate activity'!$D:$D,Formulas!$L282,'Corporate activity'!$C:$C,Formulas!M$2)</f>
        <v>0</v>
      </c>
      <c r="N282">
        <f>SUMIFS('Corporate activity'!$H:$H,'Corporate activity'!$D:$D,Formulas!$L282,'Corporate activity'!$C:$C,Formulas!N$2)</f>
        <v>0</v>
      </c>
      <c r="O282">
        <f>SUMIFS('Corporate activity'!$H:$H,'Corporate activity'!$D:$D,Formulas!$L282,'Corporate activity'!$C:$C,Formulas!O$2)</f>
        <v>0</v>
      </c>
      <c r="P282">
        <f t="shared" si="25"/>
        <v>0</v>
      </c>
      <c r="Q282" t="str">
        <f t="shared" si="23"/>
        <v/>
      </c>
    </row>
    <row r="283" spans="3:17" x14ac:dyDescent="0.25">
      <c r="C283">
        <f>SUMIFS(Issuance!$H:$H,Issuance!$D:$D,Formulas!$B283,Issuance!$C:$C,Formulas!C$2)</f>
        <v>0</v>
      </c>
      <c r="D283">
        <f>SUMIFS(Issuance!$H:$H,Issuance!$D:$D,Formulas!$B283,Issuance!$C:$C,Formulas!D$2)</f>
        <v>0</v>
      </c>
      <c r="E283">
        <f t="shared" si="24"/>
        <v>0</v>
      </c>
      <c r="F283" s="41" t="str">
        <f t="shared" si="26"/>
        <v/>
      </c>
      <c r="I283">
        <f>SUMIFS(Buybacks!H:H,Buybacks!D:D,Formulas!H283)</f>
        <v>0</v>
      </c>
      <c r="J283" s="41" t="str">
        <f t="shared" si="27"/>
        <v/>
      </c>
      <c r="M283">
        <f>SUMIFS('Corporate activity'!$H:$H,'Corporate activity'!$D:$D,Formulas!$L283,'Corporate activity'!$C:$C,Formulas!M$2)</f>
        <v>0</v>
      </c>
      <c r="N283">
        <f>SUMIFS('Corporate activity'!$H:$H,'Corporate activity'!$D:$D,Formulas!$L283,'Corporate activity'!$C:$C,Formulas!N$2)</f>
        <v>0</v>
      </c>
      <c r="O283">
        <f>SUMIFS('Corporate activity'!$H:$H,'Corporate activity'!$D:$D,Formulas!$L283,'Corporate activity'!$C:$C,Formulas!O$2)</f>
        <v>0</v>
      </c>
      <c r="P283">
        <f t="shared" si="25"/>
        <v>0</v>
      </c>
      <c r="Q283" t="str">
        <f t="shared" ref="Q283:Q346" si="28">IF(OR(L283="",L283=0,P283=0),"",IF(COUNTIFS($P$3:$P$500,"&lt;"&amp;P283,$P$3:$P$500,"&lt;&gt;0")+1&lt;=20,COUNTIFS($P$3:$P$500,"&lt;"&amp;P283,$P$3:$P$500,"&lt;&gt;0")+1,""))</f>
        <v/>
      </c>
    </row>
    <row r="284" spans="3:17" x14ac:dyDescent="0.25">
      <c r="C284">
        <f>SUMIFS(Issuance!$H:$H,Issuance!$D:$D,Formulas!$B284,Issuance!$C:$C,Formulas!C$2)</f>
        <v>0</v>
      </c>
      <c r="D284">
        <f>SUMIFS(Issuance!$H:$H,Issuance!$D:$D,Formulas!$B284,Issuance!$C:$C,Formulas!D$2)</f>
        <v>0</v>
      </c>
      <c r="E284">
        <f t="shared" si="24"/>
        <v>0</v>
      </c>
      <c r="F284" s="41" t="str">
        <f t="shared" si="26"/>
        <v/>
      </c>
      <c r="I284">
        <f>SUMIFS(Buybacks!H:H,Buybacks!D:D,Formulas!H284)</f>
        <v>0</v>
      </c>
      <c r="J284" s="41" t="str">
        <f t="shared" si="27"/>
        <v/>
      </c>
      <c r="M284">
        <f>SUMIFS('Corporate activity'!$H:$H,'Corporate activity'!$D:$D,Formulas!$L284,'Corporate activity'!$C:$C,Formulas!M$2)</f>
        <v>0</v>
      </c>
      <c r="N284">
        <f>SUMIFS('Corporate activity'!$H:$H,'Corporate activity'!$D:$D,Formulas!$L284,'Corporate activity'!$C:$C,Formulas!N$2)</f>
        <v>0</v>
      </c>
      <c r="O284">
        <f>SUMIFS('Corporate activity'!$H:$H,'Corporate activity'!$D:$D,Formulas!$L284,'Corporate activity'!$C:$C,Formulas!O$2)</f>
        <v>0</v>
      </c>
      <c r="P284">
        <f t="shared" si="25"/>
        <v>0</v>
      </c>
      <c r="Q284" t="str">
        <f t="shared" si="28"/>
        <v/>
      </c>
    </row>
    <row r="285" spans="3:17" x14ac:dyDescent="0.25">
      <c r="C285">
        <f>SUMIFS(Issuance!$H:$H,Issuance!$D:$D,Formulas!$B285,Issuance!$C:$C,Formulas!C$2)</f>
        <v>0</v>
      </c>
      <c r="D285">
        <f>SUMIFS(Issuance!$H:$H,Issuance!$D:$D,Formulas!$B285,Issuance!$C:$C,Formulas!D$2)</f>
        <v>0</v>
      </c>
      <c r="E285">
        <f t="shared" si="24"/>
        <v>0</v>
      </c>
      <c r="F285" s="41" t="str">
        <f t="shared" si="26"/>
        <v/>
      </c>
      <c r="I285">
        <f>SUMIFS(Buybacks!H:H,Buybacks!D:D,Formulas!H285)</f>
        <v>0</v>
      </c>
      <c r="J285" s="41" t="str">
        <f t="shared" si="27"/>
        <v/>
      </c>
      <c r="M285">
        <f>SUMIFS('Corporate activity'!$H:$H,'Corporate activity'!$D:$D,Formulas!$L285,'Corporate activity'!$C:$C,Formulas!M$2)</f>
        <v>0</v>
      </c>
      <c r="N285">
        <f>SUMIFS('Corporate activity'!$H:$H,'Corporate activity'!$D:$D,Formulas!$L285,'Corporate activity'!$C:$C,Formulas!N$2)</f>
        <v>0</v>
      </c>
      <c r="O285">
        <f>SUMIFS('Corporate activity'!$H:$H,'Corporate activity'!$D:$D,Formulas!$L285,'Corporate activity'!$C:$C,Formulas!O$2)</f>
        <v>0</v>
      </c>
      <c r="P285">
        <f t="shared" si="25"/>
        <v>0</v>
      </c>
      <c r="Q285" t="str">
        <f t="shared" si="28"/>
        <v/>
      </c>
    </row>
    <row r="286" spans="3:17" x14ac:dyDescent="0.25">
      <c r="C286">
        <f>SUMIFS(Issuance!$H:$H,Issuance!$D:$D,Formulas!$B286,Issuance!$C:$C,Formulas!C$2)</f>
        <v>0</v>
      </c>
      <c r="D286">
        <f>SUMIFS(Issuance!$H:$H,Issuance!$D:$D,Formulas!$B286,Issuance!$C:$C,Formulas!D$2)</f>
        <v>0</v>
      </c>
      <c r="E286">
        <f t="shared" si="24"/>
        <v>0</v>
      </c>
      <c r="F286" s="41" t="str">
        <f t="shared" si="26"/>
        <v/>
      </c>
      <c r="I286">
        <f>SUMIFS(Buybacks!H:H,Buybacks!D:D,Formulas!H286)</f>
        <v>0</v>
      </c>
      <c r="J286" s="41" t="str">
        <f t="shared" si="27"/>
        <v/>
      </c>
      <c r="M286">
        <f>SUMIFS('Corporate activity'!$H:$H,'Corporate activity'!$D:$D,Formulas!$L286,'Corporate activity'!$C:$C,Formulas!M$2)</f>
        <v>0</v>
      </c>
      <c r="N286">
        <f>SUMIFS('Corporate activity'!$H:$H,'Corporate activity'!$D:$D,Formulas!$L286,'Corporate activity'!$C:$C,Formulas!N$2)</f>
        <v>0</v>
      </c>
      <c r="O286">
        <f>SUMIFS('Corporate activity'!$H:$H,'Corporate activity'!$D:$D,Formulas!$L286,'Corporate activity'!$C:$C,Formulas!O$2)</f>
        <v>0</v>
      </c>
      <c r="P286">
        <f t="shared" si="25"/>
        <v>0</v>
      </c>
      <c r="Q286" t="str">
        <f t="shared" si="28"/>
        <v/>
      </c>
    </row>
    <row r="287" spans="3:17" x14ac:dyDescent="0.25">
      <c r="C287">
        <f>SUMIFS(Issuance!$H:$H,Issuance!$D:$D,Formulas!$B287,Issuance!$C:$C,Formulas!C$2)</f>
        <v>0</v>
      </c>
      <c r="D287">
        <f>SUMIFS(Issuance!$H:$H,Issuance!$D:$D,Formulas!$B287,Issuance!$C:$C,Formulas!D$2)</f>
        <v>0</v>
      </c>
      <c r="E287">
        <f t="shared" si="24"/>
        <v>0</v>
      </c>
      <c r="F287" s="41" t="str">
        <f t="shared" si="26"/>
        <v/>
      </c>
      <c r="I287">
        <f>SUMIFS(Buybacks!H:H,Buybacks!D:D,Formulas!H287)</f>
        <v>0</v>
      </c>
      <c r="J287" s="41" t="str">
        <f t="shared" si="27"/>
        <v/>
      </c>
      <c r="M287">
        <f>SUMIFS('Corporate activity'!$H:$H,'Corporate activity'!$D:$D,Formulas!$L287,'Corporate activity'!$C:$C,Formulas!M$2)</f>
        <v>0</v>
      </c>
      <c r="N287">
        <f>SUMIFS('Corporate activity'!$H:$H,'Corporate activity'!$D:$D,Formulas!$L287,'Corporate activity'!$C:$C,Formulas!N$2)</f>
        <v>0</v>
      </c>
      <c r="O287">
        <f>SUMIFS('Corporate activity'!$H:$H,'Corporate activity'!$D:$D,Formulas!$L287,'Corporate activity'!$C:$C,Formulas!O$2)</f>
        <v>0</v>
      </c>
      <c r="P287">
        <f t="shared" si="25"/>
        <v>0</v>
      </c>
      <c r="Q287" t="str">
        <f t="shared" si="28"/>
        <v/>
      </c>
    </row>
    <row r="288" spans="3:17" x14ac:dyDescent="0.25">
      <c r="C288">
        <f>SUMIFS(Issuance!$H:$H,Issuance!$D:$D,Formulas!$B288,Issuance!$C:$C,Formulas!C$2)</f>
        <v>0</v>
      </c>
      <c r="D288">
        <f>SUMIFS(Issuance!$H:$H,Issuance!$D:$D,Formulas!$B288,Issuance!$C:$C,Formulas!D$2)</f>
        <v>0</v>
      </c>
      <c r="E288">
        <f t="shared" si="24"/>
        <v>0</v>
      </c>
      <c r="F288" s="41" t="str">
        <f t="shared" si="26"/>
        <v/>
      </c>
      <c r="I288">
        <f>SUMIFS(Buybacks!H:H,Buybacks!D:D,Formulas!H288)</f>
        <v>0</v>
      </c>
      <c r="J288" s="41" t="str">
        <f t="shared" si="27"/>
        <v/>
      </c>
      <c r="M288">
        <f>SUMIFS('Corporate activity'!$H:$H,'Corporate activity'!$D:$D,Formulas!$L288,'Corporate activity'!$C:$C,Formulas!M$2)</f>
        <v>0</v>
      </c>
      <c r="N288">
        <f>SUMIFS('Corporate activity'!$H:$H,'Corporate activity'!$D:$D,Formulas!$L288,'Corporate activity'!$C:$C,Formulas!N$2)</f>
        <v>0</v>
      </c>
      <c r="O288">
        <f>SUMIFS('Corporate activity'!$H:$H,'Corporate activity'!$D:$D,Formulas!$L288,'Corporate activity'!$C:$C,Formulas!O$2)</f>
        <v>0</v>
      </c>
      <c r="P288">
        <f t="shared" si="25"/>
        <v>0</v>
      </c>
      <c r="Q288" t="str">
        <f t="shared" si="28"/>
        <v/>
      </c>
    </row>
    <row r="289" spans="3:17" x14ac:dyDescent="0.25">
      <c r="C289">
        <f>SUMIFS(Issuance!$H:$H,Issuance!$D:$D,Formulas!$B289,Issuance!$C:$C,Formulas!C$2)</f>
        <v>0</v>
      </c>
      <c r="D289">
        <f>SUMIFS(Issuance!$H:$H,Issuance!$D:$D,Formulas!$B289,Issuance!$C:$C,Formulas!D$2)</f>
        <v>0</v>
      </c>
      <c r="E289">
        <f t="shared" si="24"/>
        <v>0</v>
      </c>
      <c r="F289" s="41" t="str">
        <f t="shared" si="26"/>
        <v/>
      </c>
      <c r="I289">
        <f>SUMIFS(Buybacks!H:H,Buybacks!D:D,Formulas!H289)</f>
        <v>0</v>
      </c>
      <c r="J289" s="41" t="str">
        <f t="shared" si="27"/>
        <v/>
      </c>
      <c r="M289">
        <f>SUMIFS('Corporate activity'!$H:$H,'Corporate activity'!$D:$D,Formulas!$L289,'Corporate activity'!$C:$C,Formulas!M$2)</f>
        <v>0</v>
      </c>
      <c r="N289">
        <f>SUMIFS('Corporate activity'!$H:$H,'Corporate activity'!$D:$D,Formulas!$L289,'Corporate activity'!$C:$C,Formulas!N$2)</f>
        <v>0</v>
      </c>
      <c r="O289">
        <f>SUMIFS('Corporate activity'!$H:$H,'Corporate activity'!$D:$D,Formulas!$L289,'Corporate activity'!$C:$C,Formulas!O$2)</f>
        <v>0</v>
      </c>
      <c r="P289">
        <f t="shared" si="25"/>
        <v>0</v>
      </c>
      <c r="Q289" t="str">
        <f t="shared" si="28"/>
        <v/>
      </c>
    </row>
    <row r="290" spans="3:17" x14ac:dyDescent="0.25">
      <c r="C290">
        <f>SUMIFS(Issuance!$H:$H,Issuance!$D:$D,Formulas!$B290,Issuance!$C:$C,Formulas!C$2)</f>
        <v>0</v>
      </c>
      <c r="D290">
        <f>SUMIFS(Issuance!$H:$H,Issuance!$D:$D,Formulas!$B290,Issuance!$C:$C,Formulas!D$2)</f>
        <v>0</v>
      </c>
      <c r="E290">
        <f t="shared" si="24"/>
        <v>0</v>
      </c>
      <c r="F290" s="41" t="str">
        <f t="shared" si="26"/>
        <v/>
      </c>
      <c r="I290">
        <f>SUMIFS(Buybacks!H:H,Buybacks!D:D,Formulas!H290)</f>
        <v>0</v>
      </c>
      <c r="J290" s="41" t="str">
        <f t="shared" si="27"/>
        <v/>
      </c>
      <c r="M290">
        <f>SUMIFS('Corporate activity'!$H:$H,'Corporate activity'!$D:$D,Formulas!$L290,'Corporate activity'!$C:$C,Formulas!M$2)</f>
        <v>0</v>
      </c>
      <c r="N290">
        <f>SUMIFS('Corporate activity'!$H:$H,'Corporate activity'!$D:$D,Formulas!$L290,'Corporate activity'!$C:$C,Formulas!N$2)</f>
        <v>0</v>
      </c>
      <c r="O290">
        <f>SUMIFS('Corporate activity'!$H:$H,'Corporate activity'!$D:$D,Formulas!$L290,'Corporate activity'!$C:$C,Formulas!O$2)</f>
        <v>0</v>
      </c>
      <c r="P290">
        <f t="shared" si="25"/>
        <v>0</v>
      </c>
      <c r="Q290" t="str">
        <f t="shared" si="28"/>
        <v/>
      </c>
    </row>
    <row r="291" spans="3:17" x14ac:dyDescent="0.25">
      <c r="C291">
        <f>SUMIFS(Issuance!$H:$H,Issuance!$D:$D,Formulas!$B291,Issuance!$C:$C,Formulas!C$2)</f>
        <v>0</v>
      </c>
      <c r="D291">
        <f>SUMIFS(Issuance!$H:$H,Issuance!$D:$D,Formulas!$B291,Issuance!$C:$C,Formulas!D$2)</f>
        <v>0</v>
      </c>
      <c r="E291">
        <f t="shared" si="24"/>
        <v>0</v>
      </c>
      <c r="F291" s="41" t="str">
        <f t="shared" si="26"/>
        <v/>
      </c>
      <c r="I291">
        <f>SUMIFS(Buybacks!H:H,Buybacks!D:D,Formulas!H291)</f>
        <v>0</v>
      </c>
      <c r="J291" s="41" t="str">
        <f t="shared" si="27"/>
        <v/>
      </c>
      <c r="M291">
        <f>SUMIFS('Corporate activity'!$H:$H,'Corporate activity'!$D:$D,Formulas!$L291,'Corporate activity'!$C:$C,Formulas!M$2)</f>
        <v>0</v>
      </c>
      <c r="N291">
        <f>SUMIFS('Corporate activity'!$H:$H,'Corporate activity'!$D:$D,Formulas!$L291,'Corporate activity'!$C:$C,Formulas!N$2)</f>
        <v>0</v>
      </c>
      <c r="O291">
        <f>SUMIFS('Corporate activity'!$H:$H,'Corporate activity'!$D:$D,Formulas!$L291,'Corporate activity'!$C:$C,Formulas!O$2)</f>
        <v>0</v>
      </c>
      <c r="P291">
        <f t="shared" si="25"/>
        <v>0</v>
      </c>
      <c r="Q291" t="str">
        <f t="shared" si="28"/>
        <v/>
      </c>
    </row>
    <row r="292" spans="3:17" x14ac:dyDescent="0.25">
      <c r="C292">
        <f>SUMIFS(Issuance!$H:$H,Issuance!$D:$D,Formulas!$B292,Issuance!$C:$C,Formulas!C$2)</f>
        <v>0</v>
      </c>
      <c r="D292">
        <f>SUMIFS(Issuance!$H:$H,Issuance!$D:$D,Formulas!$B292,Issuance!$C:$C,Formulas!D$2)</f>
        <v>0</v>
      </c>
      <c r="E292">
        <f t="shared" si="24"/>
        <v>0</v>
      </c>
      <c r="F292" s="41" t="str">
        <f t="shared" si="26"/>
        <v/>
      </c>
      <c r="I292">
        <f>SUMIFS(Buybacks!H:H,Buybacks!D:D,Formulas!H292)</f>
        <v>0</v>
      </c>
      <c r="J292" s="41" t="str">
        <f t="shared" si="27"/>
        <v/>
      </c>
      <c r="M292">
        <f>SUMIFS('Corporate activity'!$H:$H,'Corporate activity'!$D:$D,Formulas!$L292,'Corporate activity'!$C:$C,Formulas!M$2)</f>
        <v>0</v>
      </c>
      <c r="N292">
        <f>SUMIFS('Corporate activity'!$H:$H,'Corporate activity'!$D:$D,Formulas!$L292,'Corporate activity'!$C:$C,Formulas!N$2)</f>
        <v>0</v>
      </c>
      <c r="O292">
        <f>SUMIFS('Corporate activity'!$H:$H,'Corporate activity'!$D:$D,Formulas!$L292,'Corporate activity'!$C:$C,Formulas!O$2)</f>
        <v>0</v>
      </c>
      <c r="P292">
        <f t="shared" si="25"/>
        <v>0</v>
      </c>
      <c r="Q292" t="str">
        <f t="shared" si="28"/>
        <v/>
      </c>
    </row>
    <row r="293" spans="3:17" x14ac:dyDescent="0.25">
      <c r="C293">
        <f>SUMIFS(Issuance!$H:$H,Issuance!$D:$D,Formulas!$B293,Issuance!$C:$C,Formulas!C$2)</f>
        <v>0</v>
      </c>
      <c r="D293">
        <f>SUMIFS(Issuance!$H:$H,Issuance!$D:$D,Formulas!$B293,Issuance!$C:$C,Formulas!D$2)</f>
        <v>0</v>
      </c>
      <c r="E293">
        <f t="shared" si="24"/>
        <v>0</v>
      </c>
      <c r="F293" s="41" t="str">
        <f t="shared" si="26"/>
        <v/>
      </c>
      <c r="I293">
        <f>SUMIFS(Buybacks!H:H,Buybacks!D:D,Formulas!H293)</f>
        <v>0</v>
      </c>
      <c r="J293" s="41" t="str">
        <f t="shared" si="27"/>
        <v/>
      </c>
      <c r="M293">
        <f>SUMIFS('Corporate activity'!$H:$H,'Corporate activity'!$D:$D,Formulas!$L293,'Corporate activity'!$C:$C,Formulas!M$2)</f>
        <v>0</v>
      </c>
      <c r="N293">
        <f>SUMIFS('Corporate activity'!$H:$H,'Corporate activity'!$D:$D,Formulas!$L293,'Corporate activity'!$C:$C,Formulas!N$2)</f>
        <v>0</v>
      </c>
      <c r="O293">
        <f>SUMIFS('Corporate activity'!$H:$H,'Corporate activity'!$D:$D,Formulas!$L293,'Corporate activity'!$C:$C,Formulas!O$2)</f>
        <v>0</v>
      </c>
      <c r="P293">
        <f t="shared" si="25"/>
        <v>0</v>
      </c>
      <c r="Q293" t="str">
        <f t="shared" si="28"/>
        <v/>
      </c>
    </row>
    <row r="294" spans="3:17" x14ac:dyDescent="0.25">
      <c r="C294">
        <f>SUMIFS(Issuance!$H:$H,Issuance!$D:$D,Formulas!$B294,Issuance!$C:$C,Formulas!C$2)</f>
        <v>0</v>
      </c>
      <c r="D294">
        <f>SUMIFS(Issuance!$H:$H,Issuance!$D:$D,Formulas!$B294,Issuance!$C:$C,Formulas!D$2)</f>
        <v>0</v>
      </c>
      <c r="E294">
        <f t="shared" si="24"/>
        <v>0</v>
      </c>
      <c r="F294" s="41" t="str">
        <f t="shared" si="26"/>
        <v/>
      </c>
      <c r="I294">
        <f>SUMIFS(Buybacks!H:H,Buybacks!D:D,Formulas!H294)</f>
        <v>0</v>
      </c>
      <c r="J294" s="41" t="str">
        <f t="shared" si="27"/>
        <v/>
      </c>
      <c r="M294">
        <f>SUMIFS('Corporate activity'!$H:$H,'Corporate activity'!$D:$D,Formulas!$L294,'Corporate activity'!$C:$C,Formulas!M$2)</f>
        <v>0</v>
      </c>
      <c r="N294">
        <f>SUMIFS('Corporate activity'!$H:$H,'Corporate activity'!$D:$D,Formulas!$L294,'Corporate activity'!$C:$C,Formulas!N$2)</f>
        <v>0</v>
      </c>
      <c r="O294">
        <f>SUMIFS('Corporate activity'!$H:$H,'Corporate activity'!$D:$D,Formulas!$L294,'Corporate activity'!$C:$C,Formulas!O$2)</f>
        <v>0</v>
      </c>
      <c r="P294">
        <f t="shared" si="25"/>
        <v>0</v>
      </c>
      <c r="Q294" t="str">
        <f t="shared" si="28"/>
        <v/>
      </c>
    </row>
    <row r="295" spans="3:17" x14ac:dyDescent="0.25">
      <c r="C295">
        <f>SUMIFS(Issuance!$H:$H,Issuance!$D:$D,Formulas!$B295,Issuance!$C:$C,Formulas!C$2)</f>
        <v>0</v>
      </c>
      <c r="D295">
        <f>SUMIFS(Issuance!$H:$H,Issuance!$D:$D,Formulas!$B295,Issuance!$C:$C,Formulas!D$2)</f>
        <v>0</v>
      </c>
      <c r="E295">
        <f t="shared" si="24"/>
        <v>0</v>
      </c>
      <c r="F295" s="41" t="str">
        <f t="shared" si="26"/>
        <v/>
      </c>
      <c r="I295">
        <f>SUMIFS(Buybacks!H:H,Buybacks!D:D,Formulas!H295)</f>
        <v>0</v>
      </c>
      <c r="J295" s="41" t="str">
        <f t="shared" si="27"/>
        <v/>
      </c>
      <c r="M295">
        <f>SUMIFS('Corporate activity'!$H:$H,'Corporate activity'!$D:$D,Formulas!$L295,'Corporate activity'!$C:$C,Formulas!M$2)</f>
        <v>0</v>
      </c>
      <c r="N295">
        <f>SUMIFS('Corporate activity'!$H:$H,'Corporate activity'!$D:$D,Formulas!$L295,'Corporate activity'!$C:$C,Formulas!N$2)</f>
        <v>0</v>
      </c>
      <c r="O295">
        <f>SUMIFS('Corporate activity'!$H:$H,'Corporate activity'!$D:$D,Formulas!$L295,'Corporate activity'!$C:$C,Formulas!O$2)</f>
        <v>0</v>
      </c>
      <c r="P295">
        <f t="shared" si="25"/>
        <v>0</v>
      </c>
      <c r="Q295" t="str">
        <f t="shared" si="28"/>
        <v/>
      </c>
    </row>
    <row r="296" spans="3:17" x14ac:dyDescent="0.25">
      <c r="C296">
        <f>SUMIFS(Issuance!$H:$H,Issuance!$D:$D,Formulas!$B296,Issuance!$C:$C,Formulas!C$2)</f>
        <v>0</v>
      </c>
      <c r="D296">
        <f>SUMIFS(Issuance!$H:$H,Issuance!$D:$D,Formulas!$B296,Issuance!$C:$C,Formulas!D$2)</f>
        <v>0</v>
      </c>
      <c r="E296">
        <f t="shared" si="24"/>
        <v>0</v>
      </c>
      <c r="F296" s="41" t="str">
        <f t="shared" si="26"/>
        <v/>
      </c>
      <c r="I296">
        <f>SUMIFS(Buybacks!H:H,Buybacks!D:D,Formulas!H296)</f>
        <v>0</v>
      </c>
      <c r="J296" s="41" t="str">
        <f t="shared" si="27"/>
        <v/>
      </c>
      <c r="M296">
        <f>SUMIFS('Corporate activity'!$H:$H,'Corporate activity'!$D:$D,Formulas!$L296,'Corporate activity'!$C:$C,Formulas!M$2)</f>
        <v>0</v>
      </c>
      <c r="N296">
        <f>SUMIFS('Corporate activity'!$H:$H,'Corporate activity'!$D:$D,Formulas!$L296,'Corporate activity'!$C:$C,Formulas!N$2)</f>
        <v>0</v>
      </c>
      <c r="O296">
        <f>SUMIFS('Corporate activity'!$H:$H,'Corporate activity'!$D:$D,Formulas!$L296,'Corporate activity'!$C:$C,Formulas!O$2)</f>
        <v>0</v>
      </c>
      <c r="P296">
        <f t="shared" si="25"/>
        <v>0</v>
      </c>
      <c r="Q296" t="str">
        <f t="shared" si="28"/>
        <v/>
      </c>
    </row>
    <row r="297" spans="3:17" x14ac:dyDescent="0.25">
      <c r="C297">
        <f>SUMIFS(Issuance!$H:$H,Issuance!$D:$D,Formulas!$B297,Issuance!$C:$C,Formulas!C$2)</f>
        <v>0</v>
      </c>
      <c r="D297">
        <f>SUMIFS(Issuance!$H:$H,Issuance!$D:$D,Formulas!$B297,Issuance!$C:$C,Formulas!D$2)</f>
        <v>0</v>
      </c>
      <c r="E297">
        <f t="shared" si="24"/>
        <v>0</v>
      </c>
      <c r="F297" s="41" t="str">
        <f t="shared" si="26"/>
        <v/>
      </c>
      <c r="I297">
        <f>SUMIFS(Buybacks!H:H,Buybacks!D:D,Formulas!H297)</f>
        <v>0</v>
      </c>
      <c r="J297" s="41" t="str">
        <f t="shared" si="27"/>
        <v/>
      </c>
      <c r="M297">
        <f>SUMIFS('Corporate activity'!$H:$H,'Corporate activity'!$D:$D,Formulas!$L297,'Corporate activity'!$C:$C,Formulas!M$2)</f>
        <v>0</v>
      </c>
      <c r="N297">
        <f>SUMIFS('Corporate activity'!$H:$H,'Corporate activity'!$D:$D,Formulas!$L297,'Corporate activity'!$C:$C,Formulas!N$2)</f>
        <v>0</v>
      </c>
      <c r="O297">
        <f>SUMIFS('Corporate activity'!$H:$H,'Corporate activity'!$D:$D,Formulas!$L297,'Corporate activity'!$C:$C,Formulas!O$2)</f>
        <v>0</v>
      </c>
      <c r="P297">
        <f t="shared" si="25"/>
        <v>0</v>
      </c>
      <c r="Q297" t="str">
        <f t="shared" si="28"/>
        <v/>
      </c>
    </row>
    <row r="298" spans="3:17" x14ac:dyDescent="0.25">
      <c r="C298">
        <f>SUMIFS(Issuance!$H:$H,Issuance!$D:$D,Formulas!$B298,Issuance!$C:$C,Formulas!C$2)</f>
        <v>0</v>
      </c>
      <c r="D298">
        <f>SUMIFS(Issuance!$H:$H,Issuance!$D:$D,Formulas!$B298,Issuance!$C:$C,Formulas!D$2)</f>
        <v>0</v>
      </c>
      <c r="E298">
        <f t="shared" si="24"/>
        <v>0</v>
      </c>
      <c r="F298" s="41" t="str">
        <f t="shared" si="26"/>
        <v/>
      </c>
      <c r="I298">
        <f>SUMIFS(Buybacks!H:H,Buybacks!D:D,Formulas!H298)</f>
        <v>0</v>
      </c>
      <c r="J298" s="41" t="str">
        <f t="shared" si="27"/>
        <v/>
      </c>
      <c r="M298">
        <f>SUMIFS('Corporate activity'!$H:$H,'Corporate activity'!$D:$D,Formulas!$L298,'Corporate activity'!$C:$C,Formulas!M$2)</f>
        <v>0</v>
      </c>
      <c r="N298">
        <f>SUMIFS('Corporate activity'!$H:$H,'Corporate activity'!$D:$D,Formulas!$L298,'Corporate activity'!$C:$C,Formulas!N$2)</f>
        <v>0</v>
      </c>
      <c r="O298">
        <f>SUMIFS('Corporate activity'!$H:$H,'Corporate activity'!$D:$D,Formulas!$L298,'Corporate activity'!$C:$C,Formulas!O$2)</f>
        <v>0</v>
      </c>
      <c r="P298">
        <f t="shared" si="25"/>
        <v>0</v>
      </c>
      <c r="Q298" t="str">
        <f t="shared" si="28"/>
        <v/>
      </c>
    </row>
    <row r="299" spans="3:17" x14ac:dyDescent="0.25">
      <c r="C299">
        <f>SUMIFS(Issuance!$H:$H,Issuance!$D:$D,Formulas!$B299,Issuance!$C:$C,Formulas!C$2)</f>
        <v>0</v>
      </c>
      <c r="D299">
        <f>SUMIFS(Issuance!$H:$H,Issuance!$D:$D,Formulas!$B299,Issuance!$C:$C,Formulas!D$2)</f>
        <v>0</v>
      </c>
      <c r="E299">
        <f t="shared" si="24"/>
        <v>0</v>
      </c>
      <c r="F299" s="41" t="str">
        <f t="shared" si="26"/>
        <v/>
      </c>
      <c r="I299">
        <f>SUMIFS(Buybacks!H:H,Buybacks!D:D,Formulas!H299)</f>
        <v>0</v>
      </c>
      <c r="J299" s="41" t="str">
        <f t="shared" si="27"/>
        <v/>
      </c>
      <c r="M299">
        <f>SUMIFS('Corporate activity'!$H:$H,'Corporate activity'!$D:$D,Formulas!$L299,'Corporate activity'!$C:$C,Formulas!M$2)</f>
        <v>0</v>
      </c>
      <c r="N299">
        <f>SUMIFS('Corporate activity'!$H:$H,'Corporate activity'!$D:$D,Formulas!$L299,'Corporate activity'!$C:$C,Formulas!N$2)</f>
        <v>0</v>
      </c>
      <c r="O299">
        <f>SUMIFS('Corporate activity'!$H:$H,'Corporate activity'!$D:$D,Formulas!$L299,'Corporate activity'!$C:$C,Formulas!O$2)</f>
        <v>0</v>
      </c>
      <c r="P299">
        <f t="shared" si="25"/>
        <v>0</v>
      </c>
      <c r="Q299" t="str">
        <f t="shared" si="28"/>
        <v/>
      </c>
    </row>
    <row r="300" spans="3:17" x14ac:dyDescent="0.25">
      <c r="C300">
        <f>SUMIFS(Issuance!$H:$H,Issuance!$D:$D,Formulas!$B300,Issuance!$C:$C,Formulas!C$2)</f>
        <v>0</v>
      </c>
      <c r="D300">
        <f>SUMIFS(Issuance!$H:$H,Issuance!$D:$D,Formulas!$B300,Issuance!$C:$C,Formulas!D$2)</f>
        <v>0</v>
      </c>
      <c r="E300">
        <f t="shared" si="24"/>
        <v>0</v>
      </c>
      <c r="F300" s="41" t="str">
        <f t="shared" si="26"/>
        <v/>
      </c>
      <c r="I300">
        <f>SUMIFS(Buybacks!H:H,Buybacks!D:D,Formulas!H300)</f>
        <v>0</v>
      </c>
      <c r="J300" s="41" t="str">
        <f t="shared" si="27"/>
        <v/>
      </c>
      <c r="M300">
        <f>SUMIFS('Corporate activity'!$H:$H,'Corporate activity'!$D:$D,Formulas!$L300,'Corporate activity'!$C:$C,Formulas!M$2)</f>
        <v>0</v>
      </c>
      <c r="N300">
        <f>SUMIFS('Corporate activity'!$H:$H,'Corporate activity'!$D:$D,Formulas!$L300,'Corporate activity'!$C:$C,Formulas!N$2)</f>
        <v>0</v>
      </c>
      <c r="O300">
        <f>SUMIFS('Corporate activity'!$H:$H,'Corporate activity'!$D:$D,Formulas!$L300,'Corporate activity'!$C:$C,Formulas!O$2)</f>
        <v>0</v>
      </c>
      <c r="P300">
        <f t="shared" si="25"/>
        <v>0</v>
      </c>
      <c r="Q300" t="str">
        <f t="shared" si="28"/>
        <v/>
      </c>
    </row>
    <row r="301" spans="3:17" x14ac:dyDescent="0.25">
      <c r="C301">
        <f>SUMIFS(Issuance!$H:$H,Issuance!$D:$D,Formulas!$B301,Issuance!$C:$C,Formulas!C$2)</f>
        <v>0</v>
      </c>
      <c r="D301">
        <f>SUMIFS(Issuance!$H:$H,Issuance!$D:$D,Formulas!$B301,Issuance!$C:$C,Formulas!D$2)</f>
        <v>0</v>
      </c>
      <c r="E301">
        <f t="shared" si="24"/>
        <v>0</v>
      </c>
      <c r="F301" s="41" t="str">
        <f t="shared" si="26"/>
        <v/>
      </c>
      <c r="I301">
        <f>SUMIFS(Buybacks!H:H,Buybacks!D:D,Formulas!H301)</f>
        <v>0</v>
      </c>
      <c r="J301" s="41" t="str">
        <f t="shared" si="27"/>
        <v/>
      </c>
      <c r="M301">
        <f>SUMIFS('Corporate activity'!$H:$H,'Corporate activity'!$D:$D,Formulas!$L301,'Corporate activity'!$C:$C,Formulas!M$2)</f>
        <v>0</v>
      </c>
      <c r="N301">
        <f>SUMIFS('Corporate activity'!$H:$H,'Corporate activity'!$D:$D,Formulas!$L301,'Corporate activity'!$C:$C,Formulas!N$2)</f>
        <v>0</v>
      </c>
      <c r="O301">
        <f>SUMIFS('Corporate activity'!$H:$H,'Corporate activity'!$D:$D,Formulas!$L301,'Corporate activity'!$C:$C,Formulas!O$2)</f>
        <v>0</v>
      </c>
      <c r="P301">
        <f t="shared" si="25"/>
        <v>0</v>
      </c>
      <c r="Q301" t="str">
        <f t="shared" si="28"/>
        <v/>
      </c>
    </row>
    <row r="302" spans="3:17" x14ac:dyDescent="0.25">
      <c r="C302">
        <f>SUMIFS(Issuance!$H:$H,Issuance!$D:$D,Formulas!$B302,Issuance!$C:$C,Formulas!C$2)</f>
        <v>0</v>
      </c>
      <c r="D302">
        <f>SUMIFS(Issuance!$H:$H,Issuance!$D:$D,Formulas!$B302,Issuance!$C:$C,Formulas!D$2)</f>
        <v>0</v>
      </c>
      <c r="E302">
        <f t="shared" si="24"/>
        <v>0</v>
      </c>
      <c r="F302" s="41" t="str">
        <f t="shared" si="26"/>
        <v/>
      </c>
      <c r="I302">
        <f>SUMIFS(Buybacks!H:H,Buybacks!D:D,Formulas!H302)</f>
        <v>0</v>
      </c>
      <c r="J302" s="41" t="str">
        <f t="shared" si="27"/>
        <v/>
      </c>
      <c r="M302">
        <f>SUMIFS('Corporate activity'!$H:$H,'Corporate activity'!$D:$D,Formulas!$L302,'Corporate activity'!$C:$C,Formulas!M$2)</f>
        <v>0</v>
      </c>
      <c r="N302">
        <f>SUMIFS('Corporate activity'!$H:$H,'Corporate activity'!$D:$D,Formulas!$L302,'Corporate activity'!$C:$C,Formulas!N$2)</f>
        <v>0</v>
      </c>
      <c r="O302">
        <f>SUMIFS('Corporate activity'!$H:$H,'Corporate activity'!$D:$D,Formulas!$L302,'Corporate activity'!$C:$C,Formulas!O$2)</f>
        <v>0</v>
      </c>
      <c r="P302">
        <f t="shared" si="25"/>
        <v>0</v>
      </c>
      <c r="Q302" t="str">
        <f t="shared" si="28"/>
        <v/>
      </c>
    </row>
    <row r="303" spans="3:17" x14ac:dyDescent="0.25">
      <c r="C303">
        <f>SUMIFS(Issuance!$H:$H,Issuance!$D:$D,Formulas!$B303,Issuance!$C:$C,Formulas!C$2)</f>
        <v>0</v>
      </c>
      <c r="D303">
        <f>SUMIFS(Issuance!$H:$H,Issuance!$D:$D,Formulas!$B303,Issuance!$C:$C,Formulas!D$2)</f>
        <v>0</v>
      </c>
      <c r="E303">
        <f t="shared" si="24"/>
        <v>0</v>
      </c>
      <c r="F303" s="41" t="str">
        <f t="shared" si="26"/>
        <v/>
      </c>
      <c r="I303">
        <f>SUMIFS(Buybacks!H:H,Buybacks!D:D,Formulas!H303)</f>
        <v>0</v>
      </c>
      <c r="J303" s="41" t="str">
        <f t="shared" si="27"/>
        <v/>
      </c>
      <c r="M303">
        <f>SUMIFS('Corporate activity'!$H:$H,'Corporate activity'!$D:$D,Formulas!$L303,'Corporate activity'!$C:$C,Formulas!M$2)</f>
        <v>0</v>
      </c>
      <c r="N303">
        <f>SUMIFS('Corporate activity'!$H:$H,'Corporate activity'!$D:$D,Formulas!$L303,'Corporate activity'!$C:$C,Formulas!N$2)</f>
        <v>0</v>
      </c>
      <c r="O303">
        <f>SUMIFS('Corporate activity'!$H:$H,'Corporate activity'!$D:$D,Formulas!$L303,'Corporate activity'!$C:$C,Formulas!O$2)</f>
        <v>0</v>
      </c>
      <c r="P303">
        <f t="shared" si="25"/>
        <v>0</v>
      </c>
      <c r="Q303" t="str">
        <f t="shared" si="28"/>
        <v/>
      </c>
    </row>
    <row r="304" spans="3:17" x14ac:dyDescent="0.25">
      <c r="C304">
        <f>SUMIFS(Issuance!$H:$H,Issuance!$D:$D,Formulas!$B304,Issuance!$C:$C,Formulas!C$2)</f>
        <v>0</v>
      </c>
      <c r="D304">
        <f>SUMIFS(Issuance!$H:$H,Issuance!$D:$D,Formulas!$B304,Issuance!$C:$C,Formulas!D$2)</f>
        <v>0</v>
      </c>
      <c r="E304">
        <f t="shared" si="24"/>
        <v>0</v>
      </c>
      <c r="F304" s="41" t="str">
        <f t="shared" si="26"/>
        <v/>
      </c>
      <c r="I304">
        <f>SUMIFS(Buybacks!H:H,Buybacks!D:D,Formulas!H304)</f>
        <v>0</v>
      </c>
      <c r="J304" s="41" t="str">
        <f t="shared" si="27"/>
        <v/>
      </c>
      <c r="M304">
        <f>SUMIFS('Corporate activity'!$H:$H,'Corporate activity'!$D:$D,Formulas!$L304,'Corporate activity'!$C:$C,Formulas!M$2)</f>
        <v>0</v>
      </c>
      <c r="N304">
        <f>SUMIFS('Corporate activity'!$H:$H,'Corporate activity'!$D:$D,Formulas!$L304,'Corporate activity'!$C:$C,Formulas!N$2)</f>
        <v>0</v>
      </c>
      <c r="O304">
        <f>SUMIFS('Corporate activity'!$H:$H,'Corporate activity'!$D:$D,Formulas!$L304,'Corporate activity'!$C:$C,Formulas!O$2)</f>
        <v>0</v>
      </c>
      <c r="P304">
        <f t="shared" si="25"/>
        <v>0</v>
      </c>
      <c r="Q304" t="str">
        <f t="shared" si="28"/>
        <v/>
      </c>
    </row>
    <row r="305" spans="3:17" x14ac:dyDescent="0.25">
      <c r="C305">
        <f>SUMIFS(Issuance!$H:$H,Issuance!$D:$D,Formulas!$B305,Issuance!$C:$C,Formulas!C$2)</f>
        <v>0</v>
      </c>
      <c r="D305">
        <f>SUMIFS(Issuance!$H:$H,Issuance!$D:$D,Formulas!$B305,Issuance!$C:$C,Formulas!D$2)</f>
        <v>0</v>
      </c>
      <c r="E305">
        <f t="shared" si="24"/>
        <v>0</v>
      </c>
      <c r="F305" s="41" t="str">
        <f t="shared" si="26"/>
        <v/>
      </c>
      <c r="I305">
        <f>SUMIFS(Buybacks!H:H,Buybacks!D:D,Formulas!H305)</f>
        <v>0</v>
      </c>
      <c r="J305" s="41" t="str">
        <f t="shared" si="27"/>
        <v/>
      </c>
      <c r="M305">
        <f>SUMIFS('Corporate activity'!$H:$H,'Corporate activity'!$D:$D,Formulas!$L305,'Corporate activity'!$C:$C,Formulas!M$2)</f>
        <v>0</v>
      </c>
      <c r="N305">
        <f>SUMIFS('Corporate activity'!$H:$H,'Corporate activity'!$D:$D,Formulas!$L305,'Corporate activity'!$C:$C,Formulas!N$2)</f>
        <v>0</v>
      </c>
      <c r="O305">
        <f>SUMIFS('Corporate activity'!$H:$H,'Corporate activity'!$D:$D,Formulas!$L305,'Corporate activity'!$C:$C,Formulas!O$2)</f>
        <v>0</v>
      </c>
      <c r="P305">
        <f t="shared" si="25"/>
        <v>0</v>
      </c>
      <c r="Q305" t="str">
        <f t="shared" si="28"/>
        <v/>
      </c>
    </row>
    <row r="306" spans="3:17" x14ac:dyDescent="0.25">
      <c r="C306">
        <f>SUMIFS(Issuance!$H:$H,Issuance!$D:$D,Formulas!$B306,Issuance!$C:$C,Formulas!C$2)</f>
        <v>0</v>
      </c>
      <c r="D306">
        <f>SUMIFS(Issuance!$H:$H,Issuance!$D:$D,Formulas!$B306,Issuance!$C:$C,Formulas!D$2)</f>
        <v>0</v>
      </c>
      <c r="E306">
        <f t="shared" si="24"/>
        <v>0</v>
      </c>
      <c r="F306" s="41" t="str">
        <f t="shared" si="26"/>
        <v/>
      </c>
      <c r="I306">
        <f>SUMIFS(Buybacks!H:H,Buybacks!D:D,Formulas!H306)</f>
        <v>0</v>
      </c>
      <c r="J306" s="41" t="str">
        <f t="shared" si="27"/>
        <v/>
      </c>
      <c r="M306">
        <f>SUMIFS('Corporate activity'!$H:$H,'Corporate activity'!$D:$D,Formulas!$L306,'Corporate activity'!$C:$C,Formulas!M$2)</f>
        <v>0</v>
      </c>
      <c r="N306">
        <f>SUMIFS('Corporate activity'!$H:$H,'Corporate activity'!$D:$D,Formulas!$L306,'Corporate activity'!$C:$C,Formulas!N$2)</f>
        <v>0</v>
      </c>
      <c r="O306">
        <f>SUMIFS('Corporate activity'!$H:$H,'Corporate activity'!$D:$D,Formulas!$L306,'Corporate activity'!$C:$C,Formulas!O$2)</f>
        <v>0</v>
      </c>
      <c r="P306">
        <f t="shared" si="25"/>
        <v>0</v>
      </c>
      <c r="Q306" t="str">
        <f t="shared" si="28"/>
        <v/>
      </c>
    </row>
    <row r="307" spans="3:17" x14ac:dyDescent="0.25">
      <c r="C307">
        <f>SUMIFS(Issuance!$H:$H,Issuance!$D:$D,Formulas!$B307,Issuance!$C:$C,Formulas!C$2)</f>
        <v>0</v>
      </c>
      <c r="D307">
        <f>SUMIFS(Issuance!$H:$H,Issuance!$D:$D,Formulas!$B307,Issuance!$C:$C,Formulas!D$2)</f>
        <v>0</v>
      </c>
      <c r="E307">
        <f t="shared" ref="E307:E370" si="29">SUM(C307:D307)</f>
        <v>0</v>
      </c>
      <c r="F307" s="41" t="str">
        <f t="shared" si="26"/>
        <v/>
      </c>
      <c r="I307">
        <f>SUMIFS(Buybacks!H:H,Buybacks!D:D,Formulas!H307)</f>
        <v>0</v>
      </c>
      <c r="J307" s="41" t="str">
        <f t="shared" si="27"/>
        <v/>
      </c>
      <c r="M307">
        <f>SUMIFS('Corporate activity'!$H:$H,'Corporate activity'!$D:$D,Formulas!$L307,'Corporate activity'!$C:$C,Formulas!M$2)</f>
        <v>0</v>
      </c>
      <c r="N307">
        <f>SUMIFS('Corporate activity'!$H:$H,'Corporate activity'!$D:$D,Formulas!$L307,'Corporate activity'!$C:$C,Formulas!N$2)</f>
        <v>0</v>
      </c>
      <c r="O307">
        <f>SUMIFS('Corporate activity'!$H:$H,'Corporate activity'!$D:$D,Formulas!$L307,'Corporate activity'!$C:$C,Formulas!O$2)</f>
        <v>0</v>
      </c>
      <c r="P307">
        <f t="shared" ref="P307:P370" si="30">SUM(M307:O307)</f>
        <v>0</v>
      </c>
      <c r="Q307" t="str">
        <f t="shared" si="28"/>
        <v/>
      </c>
    </row>
    <row r="308" spans="3:17" x14ac:dyDescent="0.25">
      <c r="C308">
        <f>SUMIFS(Issuance!$H:$H,Issuance!$D:$D,Formulas!$B308,Issuance!$C:$C,Formulas!C$2)</f>
        <v>0</v>
      </c>
      <c r="D308">
        <f>SUMIFS(Issuance!$H:$H,Issuance!$D:$D,Formulas!$B308,Issuance!$C:$C,Formulas!D$2)</f>
        <v>0</v>
      </c>
      <c r="E308">
        <f t="shared" si="29"/>
        <v>0</v>
      </c>
      <c r="F308" s="41" t="str">
        <f t="shared" si="26"/>
        <v/>
      </c>
      <c r="I308">
        <f>SUMIFS(Buybacks!H:H,Buybacks!D:D,Formulas!H308)</f>
        <v>0</v>
      </c>
      <c r="J308" s="41" t="str">
        <f t="shared" si="27"/>
        <v/>
      </c>
      <c r="M308">
        <f>SUMIFS('Corporate activity'!$H:$H,'Corporate activity'!$D:$D,Formulas!$L308,'Corporate activity'!$C:$C,Formulas!M$2)</f>
        <v>0</v>
      </c>
      <c r="N308">
        <f>SUMIFS('Corporate activity'!$H:$H,'Corporate activity'!$D:$D,Formulas!$L308,'Corporate activity'!$C:$C,Formulas!N$2)</f>
        <v>0</v>
      </c>
      <c r="O308">
        <f>SUMIFS('Corporate activity'!$H:$H,'Corporate activity'!$D:$D,Formulas!$L308,'Corporate activity'!$C:$C,Formulas!O$2)</f>
        <v>0</v>
      </c>
      <c r="P308">
        <f t="shared" si="30"/>
        <v>0</v>
      </c>
      <c r="Q308" t="str">
        <f t="shared" si="28"/>
        <v/>
      </c>
    </row>
    <row r="309" spans="3:17" x14ac:dyDescent="0.25">
      <c r="C309">
        <f>SUMIFS(Issuance!$H:$H,Issuance!$D:$D,Formulas!$B309,Issuance!$C:$C,Formulas!C$2)</f>
        <v>0</v>
      </c>
      <c r="D309">
        <f>SUMIFS(Issuance!$H:$H,Issuance!$D:$D,Formulas!$B309,Issuance!$C:$C,Formulas!D$2)</f>
        <v>0</v>
      </c>
      <c r="E309">
        <f t="shared" si="29"/>
        <v>0</v>
      </c>
      <c r="F309" s="41" t="str">
        <f t="shared" si="26"/>
        <v/>
      </c>
      <c r="I309">
        <f>SUMIFS(Buybacks!H:H,Buybacks!D:D,Formulas!H309)</f>
        <v>0</v>
      </c>
      <c r="J309" s="41" t="str">
        <f t="shared" si="27"/>
        <v/>
      </c>
      <c r="M309">
        <f>SUMIFS('Corporate activity'!$H:$H,'Corporate activity'!$D:$D,Formulas!$L309,'Corporate activity'!$C:$C,Formulas!M$2)</f>
        <v>0</v>
      </c>
      <c r="N309">
        <f>SUMIFS('Corporate activity'!$H:$H,'Corporate activity'!$D:$D,Formulas!$L309,'Corporate activity'!$C:$C,Formulas!N$2)</f>
        <v>0</v>
      </c>
      <c r="O309">
        <f>SUMIFS('Corporate activity'!$H:$H,'Corporate activity'!$D:$D,Formulas!$L309,'Corporate activity'!$C:$C,Formulas!O$2)</f>
        <v>0</v>
      </c>
      <c r="P309">
        <f t="shared" si="30"/>
        <v>0</v>
      </c>
      <c r="Q309" t="str">
        <f t="shared" si="28"/>
        <v/>
      </c>
    </row>
    <row r="310" spans="3:17" x14ac:dyDescent="0.25">
      <c r="C310">
        <f>SUMIFS(Issuance!$H:$H,Issuance!$D:$D,Formulas!$B310,Issuance!$C:$C,Formulas!C$2)</f>
        <v>0</v>
      </c>
      <c r="D310">
        <f>SUMIFS(Issuance!$H:$H,Issuance!$D:$D,Formulas!$B310,Issuance!$C:$C,Formulas!D$2)</f>
        <v>0</v>
      </c>
      <c r="E310">
        <f t="shared" si="29"/>
        <v>0</v>
      </c>
      <c r="F310" s="41" t="str">
        <f t="shared" si="26"/>
        <v/>
      </c>
      <c r="I310">
        <f>SUMIFS(Buybacks!H:H,Buybacks!D:D,Formulas!H310)</f>
        <v>0</v>
      </c>
      <c r="J310" s="41" t="str">
        <f t="shared" si="27"/>
        <v/>
      </c>
      <c r="M310">
        <f>SUMIFS('Corporate activity'!$H:$H,'Corporate activity'!$D:$D,Formulas!$L310,'Corporate activity'!$C:$C,Formulas!M$2)</f>
        <v>0</v>
      </c>
      <c r="N310">
        <f>SUMIFS('Corporate activity'!$H:$H,'Corporate activity'!$D:$D,Formulas!$L310,'Corporate activity'!$C:$C,Formulas!N$2)</f>
        <v>0</v>
      </c>
      <c r="O310">
        <f>SUMIFS('Corporate activity'!$H:$H,'Corporate activity'!$D:$D,Formulas!$L310,'Corporate activity'!$C:$C,Formulas!O$2)</f>
        <v>0</v>
      </c>
      <c r="P310">
        <f t="shared" si="30"/>
        <v>0</v>
      </c>
      <c r="Q310" t="str">
        <f t="shared" si="28"/>
        <v/>
      </c>
    </row>
    <row r="311" spans="3:17" x14ac:dyDescent="0.25">
      <c r="C311">
        <f>SUMIFS(Issuance!$H:$H,Issuance!$D:$D,Formulas!$B311,Issuance!$C:$C,Formulas!C$2)</f>
        <v>0</v>
      </c>
      <c r="D311">
        <f>SUMIFS(Issuance!$H:$H,Issuance!$D:$D,Formulas!$B311,Issuance!$C:$C,Formulas!D$2)</f>
        <v>0</v>
      </c>
      <c r="E311">
        <f t="shared" si="29"/>
        <v>0</v>
      </c>
      <c r="F311" s="41" t="str">
        <f t="shared" si="26"/>
        <v/>
      </c>
      <c r="I311">
        <f>SUMIFS(Buybacks!H:H,Buybacks!D:D,Formulas!H311)</f>
        <v>0</v>
      </c>
      <c r="J311" s="41" t="str">
        <f t="shared" si="27"/>
        <v/>
      </c>
      <c r="M311">
        <f>SUMIFS('Corporate activity'!$H:$H,'Corporate activity'!$D:$D,Formulas!$L311,'Corporate activity'!$C:$C,Formulas!M$2)</f>
        <v>0</v>
      </c>
      <c r="N311">
        <f>SUMIFS('Corporate activity'!$H:$H,'Corporate activity'!$D:$D,Formulas!$L311,'Corporate activity'!$C:$C,Formulas!N$2)</f>
        <v>0</v>
      </c>
      <c r="O311">
        <f>SUMIFS('Corporate activity'!$H:$H,'Corporate activity'!$D:$D,Formulas!$L311,'Corporate activity'!$C:$C,Formulas!O$2)</f>
        <v>0</v>
      </c>
      <c r="P311">
        <f t="shared" si="30"/>
        <v>0</v>
      </c>
      <c r="Q311" t="str">
        <f t="shared" si="28"/>
        <v/>
      </c>
    </row>
    <row r="312" spans="3:17" x14ac:dyDescent="0.25">
      <c r="C312">
        <f>SUMIFS(Issuance!$H:$H,Issuance!$D:$D,Formulas!$B312,Issuance!$C:$C,Formulas!C$2)</f>
        <v>0</v>
      </c>
      <c r="D312">
        <f>SUMIFS(Issuance!$H:$H,Issuance!$D:$D,Formulas!$B312,Issuance!$C:$C,Formulas!D$2)</f>
        <v>0</v>
      </c>
      <c r="E312">
        <f t="shared" si="29"/>
        <v>0</v>
      </c>
      <c r="F312" s="41" t="str">
        <f t="shared" si="26"/>
        <v/>
      </c>
      <c r="I312">
        <f>SUMIFS(Buybacks!H:H,Buybacks!D:D,Formulas!H312)</f>
        <v>0</v>
      </c>
      <c r="J312" s="41" t="str">
        <f t="shared" si="27"/>
        <v/>
      </c>
      <c r="M312">
        <f>SUMIFS('Corporate activity'!$H:$H,'Corporate activity'!$D:$D,Formulas!$L312,'Corporate activity'!$C:$C,Formulas!M$2)</f>
        <v>0</v>
      </c>
      <c r="N312">
        <f>SUMIFS('Corporate activity'!$H:$H,'Corporate activity'!$D:$D,Formulas!$L312,'Corporate activity'!$C:$C,Formulas!N$2)</f>
        <v>0</v>
      </c>
      <c r="O312">
        <f>SUMIFS('Corporate activity'!$H:$H,'Corporate activity'!$D:$D,Formulas!$L312,'Corporate activity'!$C:$C,Formulas!O$2)</f>
        <v>0</v>
      </c>
      <c r="P312">
        <f t="shared" si="30"/>
        <v>0</v>
      </c>
      <c r="Q312" t="str">
        <f t="shared" si="28"/>
        <v/>
      </c>
    </row>
    <row r="313" spans="3:17" x14ac:dyDescent="0.25">
      <c r="C313">
        <f>SUMIFS(Issuance!$H:$H,Issuance!$D:$D,Formulas!$B313,Issuance!$C:$C,Formulas!C$2)</f>
        <v>0</v>
      </c>
      <c r="D313">
        <f>SUMIFS(Issuance!$H:$H,Issuance!$D:$D,Formulas!$B313,Issuance!$C:$C,Formulas!D$2)</f>
        <v>0</v>
      </c>
      <c r="E313">
        <f t="shared" si="29"/>
        <v>0</v>
      </c>
      <c r="F313" s="41" t="str">
        <f t="shared" si="26"/>
        <v/>
      </c>
      <c r="I313">
        <f>SUMIFS(Buybacks!H:H,Buybacks!D:D,Formulas!H313)</f>
        <v>0</v>
      </c>
      <c r="J313" s="41" t="str">
        <f t="shared" si="27"/>
        <v/>
      </c>
      <c r="M313">
        <f>SUMIFS('Corporate activity'!$H:$H,'Corporate activity'!$D:$D,Formulas!$L313,'Corporate activity'!$C:$C,Formulas!M$2)</f>
        <v>0</v>
      </c>
      <c r="N313">
        <f>SUMIFS('Corporate activity'!$H:$H,'Corporate activity'!$D:$D,Formulas!$L313,'Corporate activity'!$C:$C,Formulas!N$2)</f>
        <v>0</v>
      </c>
      <c r="O313">
        <f>SUMIFS('Corporate activity'!$H:$H,'Corporate activity'!$D:$D,Formulas!$L313,'Corporate activity'!$C:$C,Formulas!O$2)</f>
        <v>0</v>
      </c>
      <c r="P313">
        <f t="shared" si="30"/>
        <v>0</v>
      </c>
      <c r="Q313" t="str">
        <f t="shared" si="28"/>
        <v/>
      </c>
    </row>
    <row r="314" spans="3:17" x14ac:dyDescent="0.25">
      <c r="C314">
        <f>SUMIFS(Issuance!$H:$H,Issuance!$D:$D,Formulas!$B314,Issuance!$C:$C,Formulas!C$2)</f>
        <v>0</v>
      </c>
      <c r="D314">
        <f>SUMIFS(Issuance!$H:$H,Issuance!$D:$D,Formulas!$B314,Issuance!$C:$C,Formulas!D$2)</f>
        <v>0</v>
      </c>
      <c r="E314">
        <f t="shared" si="29"/>
        <v>0</v>
      </c>
      <c r="F314" s="41" t="str">
        <f t="shared" si="26"/>
        <v/>
      </c>
      <c r="I314">
        <f>SUMIFS(Buybacks!H:H,Buybacks!D:D,Formulas!H314)</f>
        <v>0</v>
      </c>
      <c r="J314" s="41" t="str">
        <f t="shared" si="27"/>
        <v/>
      </c>
      <c r="M314">
        <f>SUMIFS('Corporate activity'!$H:$H,'Corporate activity'!$D:$D,Formulas!$L314,'Corporate activity'!$C:$C,Formulas!M$2)</f>
        <v>0</v>
      </c>
      <c r="N314">
        <f>SUMIFS('Corporate activity'!$H:$H,'Corporate activity'!$D:$D,Formulas!$L314,'Corporate activity'!$C:$C,Formulas!N$2)</f>
        <v>0</v>
      </c>
      <c r="O314">
        <f>SUMIFS('Corporate activity'!$H:$H,'Corporate activity'!$D:$D,Formulas!$L314,'Corporate activity'!$C:$C,Formulas!O$2)</f>
        <v>0</v>
      </c>
      <c r="P314">
        <f t="shared" si="30"/>
        <v>0</v>
      </c>
      <c r="Q314" t="str">
        <f t="shared" si="28"/>
        <v/>
      </c>
    </row>
    <row r="315" spans="3:17" x14ac:dyDescent="0.25">
      <c r="C315">
        <f>SUMIFS(Issuance!$H:$H,Issuance!$D:$D,Formulas!$B315,Issuance!$C:$C,Formulas!C$2)</f>
        <v>0</v>
      </c>
      <c r="D315">
        <f>SUMIFS(Issuance!$H:$H,Issuance!$D:$D,Formulas!$B315,Issuance!$C:$C,Formulas!D$2)</f>
        <v>0</v>
      </c>
      <c r="E315">
        <f t="shared" si="29"/>
        <v>0</v>
      </c>
      <c r="F315" s="41" t="str">
        <f t="shared" si="26"/>
        <v/>
      </c>
      <c r="I315">
        <f>SUMIFS(Buybacks!H:H,Buybacks!D:D,Formulas!H315)</f>
        <v>0</v>
      </c>
      <c r="J315" s="41" t="str">
        <f t="shared" si="27"/>
        <v/>
      </c>
      <c r="M315">
        <f>SUMIFS('Corporate activity'!$H:$H,'Corporate activity'!$D:$D,Formulas!$L315,'Corporate activity'!$C:$C,Formulas!M$2)</f>
        <v>0</v>
      </c>
      <c r="N315">
        <f>SUMIFS('Corporate activity'!$H:$H,'Corporate activity'!$D:$D,Formulas!$L315,'Corporate activity'!$C:$C,Formulas!N$2)</f>
        <v>0</v>
      </c>
      <c r="O315">
        <f>SUMIFS('Corporate activity'!$H:$H,'Corporate activity'!$D:$D,Formulas!$L315,'Corporate activity'!$C:$C,Formulas!O$2)</f>
        <v>0</v>
      </c>
      <c r="P315">
        <f t="shared" si="30"/>
        <v>0</v>
      </c>
      <c r="Q315" t="str">
        <f t="shared" si="28"/>
        <v/>
      </c>
    </row>
    <row r="316" spans="3:17" x14ac:dyDescent="0.25">
      <c r="C316">
        <f>SUMIFS(Issuance!$H:$H,Issuance!$D:$D,Formulas!$B316,Issuance!$C:$C,Formulas!C$2)</f>
        <v>0</v>
      </c>
      <c r="D316">
        <f>SUMIFS(Issuance!$H:$H,Issuance!$D:$D,Formulas!$B316,Issuance!$C:$C,Formulas!D$2)</f>
        <v>0</v>
      </c>
      <c r="E316">
        <f t="shared" si="29"/>
        <v>0</v>
      </c>
      <c r="F316" s="41" t="str">
        <f t="shared" si="26"/>
        <v/>
      </c>
      <c r="I316">
        <f>SUMIFS(Buybacks!H:H,Buybacks!D:D,Formulas!H316)</f>
        <v>0</v>
      </c>
      <c r="J316" s="41" t="str">
        <f t="shared" si="27"/>
        <v/>
      </c>
      <c r="M316">
        <f>SUMIFS('Corporate activity'!$H:$H,'Corporate activity'!$D:$D,Formulas!$L316,'Corporate activity'!$C:$C,Formulas!M$2)</f>
        <v>0</v>
      </c>
      <c r="N316">
        <f>SUMIFS('Corporate activity'!$H:$H,'Corporate activity'!$D:$D,Formulas!$L316,'Corporate activity'!$C:$C,Formulas!N$2)</f>
        <v>0</v>
      </c>
      <c r="O316">
        <f>SUMIFS('Corporate activity'!$H:$H,'Corporate activity'!$D:$D,Formulas!$L316,'Corporate activity'!$C:$C,Formulas!O$2)</f>
        <v>0</v>
      </c>
      <c r="P316">
        <f t="shared" si="30"/>
        <v>0</v>
      </c>
      <c r="Q316" t="str">
        <f t="shared" si="28"/>
        <v/>
      </c>
    </row>
    <row r="317" spans="3:17" x14ac:dyDescent="0.25">
      <c r="C317">
        <f>SUMIFS(Issuance!$H:$H,Issuance!$D:$D,Formulas!$B317,Issuance!$C:$C,Formulas!C$2)</f>
        <v>0</v>
      </c>
      <c r="D317">
        <f>SUMIFS(Issuance!$H:$H,Issuance!$D:$D,Formulas!$B317,Issuance!$C:$C,Formulas!D$2)</f>
        <v>0</v>
      </c>
      <c r="E317">
        <f t="shared" si="29"/>
        <v>0</v>
      </c>
      <c r="F317" s="41" t="str">
        <f t="shared" si="26"/>
        <v/>
      </c>
      <c r="I317">
        <f>SUMIFS(Buybacks!H:H,Buybacks!D:D,Formulas!H317)</f>
        <v>0</v>
      </c>
      <c r="J317" s="41" t="str">
        <f t="shared" si="27"/>
        <v/>
      </c>
      <c r="M317">
        <f>SUMIFS('Corporate activity'!$H:$H,'Corporate activity'!$D:$D,Formulas!$L317,'Corporate activity'!$C:$C,Formulas!M$2)</f>
        <v>0</v>
      </c>
      <c r="N317">
        <f>SUMIFS('Corporate activity'!$H:$H,'Corporate activity'!$D:$D,Formulas!$L317,'Corporate activity'!$C:$C,Formulas!N$2)</f>
        <v>0</v>
      </c>
      <c r="O317">
        <f>SUMIFS('Corporate activity'!$H:$H,'Corporate activity'!$D:$D,Formulas!$L317,'Corporate activity'!$C:$C,Formulas!O$2)</f>
        <v>0</v>
      </c>
      <c r="P317">
        <f t="shared" si="30"/>
        <v>0</v>
      </c>
      <c r="Q317" t="str">
        <f t="shared" si="28"/>
        <v/>
      </c>
    </row>
    <row r="318" spans="3:17" x14ac:dyDescent="0.25">
      <c r="C318">
        <f>SUMIFS(Issuance!$H:$H,Issuance!$D:$D,Formulas!$B318,Issuance!$C:$C,Formulas!C$2)</f>
        <v>0</v>
      </c>
      <c r="D318">
        <f>SUMIFS(Issuance!$H:$H,Issuance!$D:$D,Formulas!$B318,Issuance!$C:$C,Formulas!D$2)</f>
        <v>0</v>
      </c>
      <c r="E318">
        <f t="shared" si="29"/>
        <v>0</v>
      </c>
      <c r="F318" s="41" t="str">
        <f t="shared" si="26"/>
        <v/>
      </c>
      <c r="I318">
        <f>SUMIFS(Buybacks!H:H,Buybacks!D:D,Formulas!H318)</f>
        <v>0</v>
      </c>
      <c r="J318" s="41" t="str">
        <f t="shared" si="27"/>
        <v/>
      </c>
      <c r="M318">
        <f>SUMIFS('Corporate activity'!$H:$H,'Corporate activity'!$D:$D,Formulas!$L318,'Corporate activity'!$C:$C,Formulas!M$2)</f>
        <v>0</v>
      </c>
      <c r="N318">
        <f>SUMIFS('Corporate activity'!$H:$H,'Corporate activity'!$D:$D,Formulas!$L318,'Corporate activity'!$C:$C,Formulas!N$2)</f>
        <v>0</v>
      </c>
      <c r="O318">
        <f>SUMIFS('Corporate activity'!$H:$H,'Corporate activity'!$D:$D,Formulas!$L318,'Corporate activity'!$C:$C,Formulas!O$2)</f>
        <v>0</v>
      </c>
      <c r="P318">
        <f t="shared" si="30"/>
        <v>0</v>
      </c>
      <c r="Q318" t="str">
        <f t="shared" si="28"/>
        <v/>
      </c>
    </row>
    <row r="319" spans="3:17" x14ac:dyDescent="0.25">
      <c r="C319">
        <f>SUMIFS(Issuance!$H:$H,Issuance!$D:$D,Formulas!$B319,Issuance!$C:$C,Formulas!C$2)</f>
        <v>0</v>
      </c>
      <c r="D319">
        <f>SUMIFS(Issuance!$H:$H,Issuance!$D:$D,Formulas!$B319,Issuance!$C:$C,Formulas!D$2)</f>
        <v>0</v>
      </c>
      <c r="E319">
        <f t="shared" si="29"/>
        <v>0</v>
      </c>
      <c r="F319" s="41" t="str">
        <f t="shared" si="26"/>
        <v/>
      </c>
      <c r="I319">
        <f>SUMIFS(Buybacks!H:H,Buybacks!D:D,Formulas!H319)</f>
        <v>0</v>
      </c>
      <c r="J319" s="41" t="str">
        <f t="shared" si="27"/>
        <v/>
      </c>
      <c r="M319">
        <f>SUMIFS('Corporate activity'!$H:$H,'Corporate activity'!$D:$D,Formulas!$L319,'Corporate activity'!$C:$C,Formulas!M$2)</f>
        <v>0</v>
      </c>
      <c r="N319">
        <f>SUMIFS('Corporate activity'!$H:$H,'Corporate activity'!$D:$D,Formulas!$L319,'Corporate activity'!$C:$C,Formulas!N$2)</f>
        <v>0</v>
      </c>
      <c r="O319">
        <f>SUMIFS('Corporate activity'!$H:$H,'Corporate activity'!$D:$D,Formulas!$L319,'Corporate activity'!$C:$C,Formulas!O$2)</f>
        <v>0</v>
      </c>
      <c r="P319">
        <f t="shared" si="30"/>
        <v>0</v>
      </c>
      <c r="Q319" t="str">
        <f t="shared" si="28"/>
        <v/>
      </c>
    </row>
    <row r="320" spans="3:17" x14ac:dyDescent="0.25">
      <c r="C320">
        <f>SUMIFS(Issuance!$H:$H,Issuance!$D:$D,Formulas!$B320,Issuance!$C:$C,Formulas!C$2)</f>
        <v>0</v>
      </c>
      <c r="D320">
        <f>SUMIFS(Issuance!$H:$H,Issuance!$D:$D,Formulas!$B320,Issuance!$C:$C,Formulas!D$2)</f>
        <v>0</v>
      </c>
      <c r="E320">
        <f t="shared" si="29"/>
        <v>0</v>
      </c>
      <c r="F320" s="41" t="str">
        <f t="shared" si="26"/>
        <v/>
      </c>
      <c r="I320">
        <f>SUMIFS(Buybacks!H:H,Buybacks!D:D,Formulas!H320)</f>
        <v>0</v>
      </c>
      <c r="J320" s="41" t="str">
        <f t="shared" si="27"/>
        <v/>
      </c>
      <c r="M320">
        <f>SUMIFS('Corporate activity'!$H:$H,'Corporate activity'!$D:$D,Formulas!$L320,'Corporate activity'!$C:$C,Formulas!M$2)</f>
        <v>0</v>
      </c>
      <c r="N320">
        <f>SUMIFS('Corporate activity'!$H:$H,'Corporate activity'!$D:$D,Formulas!$L320,'Corporate activity'!$C:$C,Formulas!N$2)</f>
        <v>0</v>
      </c>
      <c r="O320">
        <f>SUMIFS('Corporate activity'!$H:$H,'Corporate activity'!$D:$D,Formulas!$L320,'Corporate activity'!$C:$C,Formulas!O$2)</f>
        <v>0</v>
      </c>
      <c r="P320">
        <f t="shared" si="30"/>
        <v>0</v>
      </c>
      <c r="Q320" t="str">
        <f t="shared" si="28"/>
        <v/>
      </c>
    </row>
    <row r="321" spans="3:17" x14ac:dyDescent="0.25">
      <c r="C321">
        <f>SUMIFS(Issuance!$H:$H,Issuance!$D:$D,Formulas!$B321,Issuance!$C:$C,Formulas!C$2)</f>
        <v>0</v>
      </c>
      <c r="D321">
        <f>SUMIFS(Issuance!$H:$H,Issuance!$D:$D,Formulas!$B321,Issuance!$C:$C,Formulas!D$2)</f>
        <v>0</v>
      </c>
      <c r="E321">
        <f t="shared" si="29"/>
        <v>0</v>
      </c>
      <c r="F321" s="41" t="str">
        <f t="shared" si="26"/>
        <v/>
      </c>
      <c r="I321">
        <f>SUMIFS(Buybacks!H:H,Buybacks!D:D,Formulas!H321)</f>
        <v>0</v>
      </c>
      <c r="J321" s="41" t="str">
        <f t="shared" si="27"/>
        <v/>
      </c>
      <c r="M321">
        <f>SUMIFS('Corporate activity'!$H:$H,'Corporate activity'!$D:$D,Formulas!$L321,'Corporate activity'!$C:$C,Formulas!M$2)</f>
        <v>0</v>
      </c>
      <c r="N321">
        <f>SUMIFS('Corporate activity'!$H:$H,'Corporate activity'!$D:$D,Formulas!$L321,'Corporate activity'!$C:$C,Formulas!N$2)</f>
        <v>0</v>
      </c>
      <c r="O321">
        <f>SUMIFS('Corporate activity'!$H:$H,'Corporate activity'!$D:$D,Formulas!$L321,'Corporate activity'!$C:$C,Formulas!O$2)</f>
        <v>0</v>
      </c>
      <c r="P321">
        <f t="shared" si="30"/>
        <v>0</v>
      </c>
      <c r="Q321" t="str">
        <f t="shared" si="28"/>
        <v/>
      </c>
    </row>
    <row r="322" spans="3:17" x14ac:dyDescent="0.25">
      <c r="C322">
        <f>SUMIFS(Issuance!$H:$H,Issuance!$D:$D,Formulas!$B322,Issuance!$C:$C,Formulas!C$2)</f>
        <v>0</v>
      </c>
      <c r="D322">
        <f>SUMIFS(Issuance!$H:$H,Issuance!$D:$D,Formulas!$B322,Issuance!$C:$C,Formulas!D$2)</f>
        <v>0</v>
      </c>
      <c r="E322">
        <f t="shared" si="29"/>
        <v>0</v>
      </c>
      <c r="F322" s="41" t="str">
        <f t="shared" si="26"/>
        <v/>
      </c>
      <c r="I322">
        <f>SUMIFS(Buybacks!H:H,Buybacks!D:D,Formulas!H322)</f>
        <v>0</v>
      </c>
      <c r="J322" s="41" t="str">
        <f t="shared" si="27"/>
        <v/>
      </c>
      <c r="M322">
        <f>SUMIFS('Corporate activity'!$H:$H,'Corporate activity'!$D:$D,Formulas!$L322,'Corporate activity'!$C:$C,Formulas!M$2)</f>
        <v>0</v>
      </c>
      <c r="N322">
        <f>SUMIFS('Corporate activity'!$H:$H,'Corporate activity'!$D:$D,Formulas!$L322,'Corporate activity'!$C:$C,Formulas!N$2)</f>
        <v>0</v>
      </c>
      <c r="O322">
        <f>SUMIFS('Corporate activity'!$H:$H,'Corporate activity'!$D:$D,Formulas!$L322,'Corporate activity'!$C:$C,Formulas!O$2)</f>
        <v>0</v>
      </c>
      <c r="P322">
        <f t="shared" si="30"/>
        <v>0</v>
      </c>
      <c r="Q322" t="str">
        <f t="shared" si="28"/>
        <v/>
      </c>
    </row>
    <row r="323" spans="3:17" x14ac:dyDescent="0.25">
      <c r="C323">
        <f>SUMIFS(Issuance!$H:$H,Issuance!$D:$D,Formulas!$B323,Issuance!$C:$C,Formulas!C$2)</f>
        <v>0</v>
      </c>
      <c r="D323">
        <f>SUMIFS(Issuance!$H:$H,Issuance!$D:$D,Formulas!$B323,Issuance!$C:$C,Formulas!D$2)</f>
        <v>0</v>
      </c>
      <c r="E323">
        <f t="shared" si="29"/>
        <v>0</v>
      </c>
      <c r="F323" s="41" t="str">
        <f t="shared" si="26"/>
        <v/>
      </c>
      <c r="I323">
        <f>SUMIFS(Buybacks!H:H,Buybacks!D:D,Formulas!H323)</f>
        <v>0</v>
      </c>
      <c r="J323" s="41" t="str">
        <f t="shared" si="27"/>
        <v/>
      </c>
      <c r="M323">
        <f>SUMIFS('Corporate activity'!$H:$H,'Corporate activity'!$D:$D,Formulas!$L323,'Corporate activity'!$C:$C,Formulas!M$2)</f>
        <v>0</v>
      </c>
      <c r="N323">
        <f>SUMIFS('Corporate activity'!$H:$H,'Corporate activity'!$D:$D,Formulas!$L323,'Corporate activity'!$C:$C,Formulas!N$2)</f>
        <v>0</v>
      </c>
      <c r="O323">
        <f>SUMIFS('Corporate activity'!$H:$H,'Corporate activity'!$D:$D,Formulas!$L323,'Corporate activity'!$C:$C,Formulas!O$2)</f>
        <v>0</v>
      </c>
      <c r="P323">
        <f t="shared" si="30"/>
        <v>0</v>
      </c>
      <c r="Q323" t="str">
        <f t="shared" si="28"/>
        <v/>
      </c>
    </row>
    <row r="324" spans="3:17" x14ac:dyDescent="0.25">
      <c r="C324">
        <f>SUMIFS(Issuance!$H:$H,Issuance!$D:$D,Formulas!$B324,Issuance!$C:$C,Formulas!C$2)</f>
        <v>0</v>
      </c>
      <c r="D324">
        <f>SUMIFS(Issuance!$H:$H,Issuance!$D:$D,Formulas!$B324,Issuance!$C:$C,Formulas!D$2)</f>
        <v>0</v>
      </c>
      <c r="E324">
        <f t="shared" si="29"/>
        <v>0</v>
      </c>
      <c r="F324" s="41" t="str">
        <f t="shared" ref="F324:F387" si="31">IF(OR(B324="",B324=0,E324=0),"",IF(COUNTIFS($E$3:$E$500,"&gt;"&amp;E324,$E$3:$E$500,"&lt;&gt;0")+1&lt;=20,COUNTIFS($E$3:$E$500,"&gt;"&amp;E324,$E$3:$E$500,"&lt;&gt;0")+1,""))</f>
        <v/>
      </c>
      <c r="I324">
        <f>SUMIFS(Buybacks!H:H,Buybacks!D:D,Formulas!H324)</f>
        <v>0</v>
      </c>
      <c r="J324" s="41" t="str">
        <f t="shared" ref="J324:J387" si="32">IF(OR(H324="",H324=0,I324=0),"",IF(COUNTIFS($I$3:$I$500,"&lt;"&amp;I324,$I$3:$I$500,"&lt;&gt;0")+1&lt;=20,COUNTIFS($I$3:$I$500,"&lt;"&amp;I324,$I$3:$I$500,"&lt;&gt;0")+1,""))</f>
        <v/>
      </c>
      <c r="M324">
        <f>SUMIFS('Corporate activity'!$H:$H,'Corporate activity'!$D:$D,Formulas!$L324,'Corporate activity'!$C:$C,Formulas!M$2)</f>
        <v>0</v>
      </c>
      <c r="N324">
        <f>SUMIFS('Corporate activity'!$H:$H,'Corporate activity'!$D:$D,Formulas!$L324,'Corporate activity'!$C:$C,Formulas!N$2)</f>
        <v>0</v>
      </c>
      <c r="O324">
        <f>SUMIFS('Corporate activity'!$H:$H,'Corporate activity'!$D:$D,Formulas!$L324,'Corporate activity'!$C:$C,Formulas!O$2)</f>
        <v>0</v>
      </c>
      <c r="P324">
        <f t="shared" si="30"/>
        <v>0</v>
      </c>
      <c r="Q324" t="str">
        <f t="shared" si="28"/>
        <v/>
      </c>
    </row>
    <row r="325" spans="3:17" x14ac:dyDescent="0.25">
      <c r="C325">
        <f>SUMIFS(Issuance!$H:$H,Issuance!$D:$D,Formulas!$B325,Issuance!$C:$C,Formulas!C$2)</f>
        <v>0</v>
      </c>
      <c r="D325">
        <f>SUMIFS(Issuance!$H:$H,Issuance!$D:$D,Formulas!$B325,Issuance!$C:$C,Formulas!D$2)</f>
        <v>0</v>
      </c>
      <c r="E325">
        <f t="shared" si="29"/>
        <v>0</v>
      </c>
      <c r="F325" s="41" t="str">
        <f t="shared" si="31"/>
        <v/>
      </c>
      <c r="I325">
        <f>SUMIFS(Buybacks!H:H,Buybacks!D:D,Formulas!H325)</f>
        <v>0</v>
      </c>
      <c r="J325" s="41" t="str">
        <f t="shared" si="32"/>
        <v/>
      </c>
      <c r="M325">
        <f>SUMIFS('Corporate activity'!$H:$H,'Corporate activity'!$D:$D,Formulas!$L325,'Corporate activity'!$C:$C,Formulas!M$2)</f>
        <v>0</v>
      </c>
      <c r="N325">
        <f>SUMIFS('Corporate activity'!$H:$H,'Corporate activity'!$D:$D,Formulas!$L325,'Corporate activity'!$C:$C,Formulas!N$2)</f>
        <v>0</v>
      </c>
      <c r="O325">
        <f>SUMIFS('Corporate activity'!$H:$H,'Corporate activity'!$D:$D,Formulas!$L325,'Corporate activity'!$C:$C,Formulas!O$2)</f>
        <v>0</v>
      </c>
      <c r="P325">
        <f t="shared" si="30"/>
        <v>0</v>
      </c>
      <c r="Q325" t="str">
        <f t="shared" si="28"/>
        <v/>
      </c>
    </row>
    <row r="326" spans="3:17" x14ac:dyDescent="0.25">
      <c r="C326">
        <f>SUMIFS(Issuance!$H:$H,Issuance!$D:$D,Formulas!$B326,Issuance!$C:$C,Formulas!C$2)</f>
        <v>0</v>
      </c>
      <c r="D326">
        <f>SUMIFS(Issuance!$H:$H,Issuance!$D:$D,Formulas!$B326,Issuance!$C:$C,Formulas!D$2)</f>
        <v>0</v>
      </c>
      <c r="E326">
        <f t="shared" si="29"/>
        <v>0</v>
      </c>
      <c r="F326" s="41" t="str">
        <f t="shared" si="31"/>
        <v/>
      </c>
      <c r="I326">
        <f>SUMIFS(Buybacks!H:H,Buybacks!D:D,Formulas!H326)</f>
        <v>0</v>
      </c>
      <c r="J326" s="41" t="str">
        <f t="shared" si="32"/>
        <v/>
      </c>
      <c r="M326">
        <f>SUMIFS('Corporate activity'!$H:$H,'Corporate activity'!$D:$D,Formulas!$L326,'Corporate activity'!$C:$C,Formulas!M$2)</f>
        <v>0</v>
      </c>
      <c r="N326">
        <f>SUMIFS('Corporate activity'!$H:$H,'Corporate activity'!$D:$D,Formulas!$L326,'Corporate activity'!$C:$C,Formulas!N$2)</f>
        <v>0</v>
      </c>
      <c r="O326">
        <f>SUMIFS('Corporate activity'!$H:$H,'Corporate activity'!$D:$D,Formulas!$L326,'Corporate activity'!$C:$C,Formulas!O$2)</f>
        <v>0</v>
      </c>
      <c r="P326">
        <f t="shared" si="30"/>
        <v>0</v>
      </c>
      <c r="Q326" t="str">
        <f t="shared" si="28"/>
        <v/>
      </c>
    </row>
    <row r="327" spans="3:17" x14ac:dyDescent="0.25">
      <c r="C327">
        <f>SUMIFS(Issuance!$H:$H,Issuance!$D:$D,Formulas!$B327,Issuance!$C:$C,Formulas!C$2)</f>
        <v>0</v>
      </c>
      <c r="D327">
        <f>SUMIFS(Issuance!$H:$H,Issuance!$D:$D,Formulas!$B327,Issuance!$C:$C,Formulas!D$2)</f>
        <v>0</v>
      </c>
      <c r="E327">
        <f t="shared" si="29"/>
        <v>0</v>
      </c>
      <c r="F327" s="41" t="str">
        <f t="shared" si="31"/>
        <v/>
      </c>
      <c r="I327">
        <f>SUMIFS(Buybacks!H:H,Buybacks!D:D,Formulas!H327)</f>
        <v>0</v>
      </c>
      <c r="J327" s="41" t="str">
        <f t="shared" si="32"/>
        <v/>
      </c>
      <c r="M327">
        <f>SUMIFS('Corporate activity'!$H:$H,'Corporate activity'!$D:$D,Formulas!$L327,'Corporate activity'!$C:$C,Formulas!M$2)</f>
        <v>0</v>
      </c>
      <c r="N327">
        <f>SUMIFS('Corporate activity'!$H:$H,'Corporate activity'!$D:$D,Formulas!$L327,'Corporate activity'!$C:$C,Formulas!N$2)</f>
        <v>0</v>
      </c>
      <c r="O327">
        <f>SUMIFS('Corporate activity'!$H:$H,'Corporate activity'!$D:$D,Formulas!$L327,'Corporate activity'!$C:$C,Formulas!O$2)</f>
        <v>0</v>
      </c>
      <c r="P327">
        <f t="shared" si="30"/>
        <v>0</v>
      </c>
      <c r="Q327" t="str">
        <f t="shared" si="28"/>
        <v/>
      </c>
    </row>
    <row r="328" spans="3:17" x14ac:dyDescent="0.25">
      <c r="C328">
        <f>SUMIFS(Issuance!$H:$H,Issuance!$D:$D,Formulas!$B328,Issuance!$C:$C,Formulas!C$2)</f>
        <v>0</v>
      </c>
      <c r="D328">
        <f>SUMIFS(Issuance!$H:$H,Issuance!$D:$D,Formulas!$B328,Issuance!$C:$C,Formulas!D$2)</f>
        <v>0</v>
      </c>
      <c r="E328">
        <f t="shared" si="29"/>
        <v>0</v>
      </c>
      <c r="F328" s="41" t="str">
        <f t="shared" si="31"/>
        <v/>
      </c>
      <c r="I328">
        <f>SUMIFS(Buybacks!H:H,Buybacks!D:D,Formulas!H328)</f>
        <v>0</v>
      </c>
      <c r="J328" s="41" t="str">
        <f t="shared" si="32"/>
        <v/>
      </c>
      <c r="M328">
        <f>SUMIFS('Corporate activity'!$H:$H,'Corporate activity'!$D:$D,Formulas!$L328,'Corporate activity'!$C:$C,Formulas!M$2)</f>
        <v>0</v>
      </c>
      <c r="N328">
        <f>SUMIFS('Corporate activity'!$H:$H,'Corporate activity'!$D:$D,Formulas!$L328,'Corporate activity'!$C:$C,Formulas!N$2)</f>
        <v>0</v>
      </c>
      <c r="O328">
        <f>SUMIFS('Corporate activity'!$H:$H,'Corporate activity'!$D:$D,Formulas!$L328,'Corporate activity'!$C:$C,Formulas!O$2)</f>
        <v>0</v>
      </c>
      <c r="P328">
        <f t="shared" si="30"/>
        <v>0</v>
      </c>
      <c r="Q328" t="str">
        <f t="shared" si="28"/>
        <v/>
      </c>
    </row>
    <row r="329" spans="3:17" x14ac:dyDescent="0.25">
      <c r="C329">
        <f>SUMIFS(Issuance!$H:$H,Issuance!$D:$D,Formulas!$B329,Issuance!$C:$C,Formulas!C$2)</f>
        <v>0</v>
      </c>
      <c r="D329">
        <f>SUMIFS(Issuance!$H:$H,Issuance!$D:$D,Formulas!$B329,Issuance!$C:$C,Formulas!D$2)</f>
        <v>0</v>
      </c>
      <c r="E329">
        <f t="shared" si="29"/>
        <v>0</v>
      </c>
      <c r="F329" s="41" t="str">
        <f t="shared" si="31"/>
        <v/>
      </c>
      <c r="I329">
        <f>SUMIFS(Buybacks!H:H,Buybacks!D:D,Formulas!H329)</f>
        <v>0</v>
      </c>
      <c r="J329" s="41" t="str">
        <f t="shared" si="32"/>
        <v/>
      </c>
      <c r="M329">
        <f>SUMIFS('Corporate activity'!$H:$H,'Corporate activity'!$D:$D,Formulas!$L329,'Corporate activity'!$C:$C,Formulas!M$2)</f>
        <v>0</v>
      </c>
      <c r="N329">
        <f>SUMIFS('Corporate activity'!$H:$H,'Corporate activity'!$D:$D,Formulas!$L329,'Corporate activity'!$C:$C,Formulas!N$2)</f>
        <v>0</v>
      </c>
      <c r="O329">
        <f>SUMIFS('Corporate activity'!$H:$H,'Corporate activity'!$D:$D,Formulas!$L329,'Corporate activity'!$C:$C,Formulas!O$2)</f>
        <v>0</v>
      </c>
      <c r="P329">
        <f t="shared" si="30"/>
        <v>0</v>
      </c>
      <c r="Q329" t="str">
        <f t="shared" si="28"/>
        <v/>
      </c>
    </row>
    <row r="330" spans="3:17" x14ac:dyDescent="0.25">
      <c r="C330">
        <f>SUMIFS(Issuance!$H:$H,Issuance!$D:$D,Formulas!$B330,Issuance!$C:$C,Formulas!C$2)</f>
        <v>0</v>
      </c>
      <c r="D330">
        <f>SUMIFS(Issuance!$H:$H,Issuance!$D:$D,Formulas!$B330,Issuance!$C:$C,Formulas!D$2)</f>
        <v>0</v>
      </c>
      <c r="E330">
        <f t="shared" si="29"/>
        <v>0</v>
      </c>
      <c r="F330" s="41" t="str">
        <f t="shared" si="31"/>
        <v/>
      </c>
      <c r="I330">
        <f>SUMIFS(Buybacks!H:H,Buybacks!D:D,Formulas!H330)</f>
        <v>0</v>
      </c>
      <c r="J330" s="41" t="str">
        <f t="shared" si="32"/>
        <v/>
      </c>
      <c r="M330">
        <f>SUMIFS('Corporate activity'!$H:$H,'Corporate activity'!$D:$D,Formulas!$L330,'Corporate activity'!$C:$C,Formulas!M$2)</f>
        <v>0</v>
      </c>
      <c r="N330">
        <f>SUMIFS('Corporate activity'!$H:$H,'Corporate activity'!$D:$D,Formulas!$L330,'Corporate activity'!$C:$C,Formulas!N$2)</f>
        <v>0</v>
      </c>
      <c r="O330">
        <f>SUMIFS('Corporate activity'!$H:$H,'Corporate activity'!$D:$D,Formulas!$L330,'Corporate activity'!$C:$C,Formulas!O$2)</f>
        <v>0</v>
      </c>
      <c r="P330">
        <f t="shared" si="30"/>
        <v>0</v>
      </c>
      <c r="Q330" t="str">
        <f t="shared" si="28"/>
        <v/>
      </c>
    </row>
    <row r="331" spans="3:17" x14ac:dyDescent="0.25">
      <c r="C331">
        <f>SUMIFS(Issuance!$H:$H,Issuance!$D:$D,Formulas!$B331,Issuance!$C:$C,Formulas!C$2)</f>
        <v>0</v>
      </c>
      <c r="D331">
        <f>SUMIFS(Issuance!$H:$H,Issuance!$D:$D,Formulas!$B331,Issuance!$C:$C,Formulas!D$2)</f>
        <v>0</v>
      </c>
      <c r="E331">
        <f t="shared" si="29"/>
        <v>0</v>
      </c>
      <c r="F331" s="41" t="str">
        <f t="shared" si="31"/>
        <v/>
      </c>
      <c r="I331">
        <f>SUMIFS(Buybacks!H:H,Buybacks!D:D,Formulas!H331)</f>
        <v>0</v>
      </c>
      <c r="J331" s="41" t="str">
        <f t="shared" si="32"/>
        <v/>
      </c>
      <c r="M331">
        <f>SUMIFS('Corporate activity'!$H:$H,'Corporate activity'!$D:$D,Formulas!$L331,'Corporate activity'!$C:$C,Formulas!M$2)</f>
        <v>0</v>
      </c>
      <c r="N331">
        <f>SUMIFS('Corporate activity'!$H:$H,'Corporate activity'!$D:$D,Formulas!$L331,'Corporate activity'!$C:$C,Formulas!N$2)</f>
        <v>0</v>
      </c>
      <c r="O331">
        <f>SUMIFS('Corporate activity'!$H:$H,'Corporate activity'!$D:$D,Formulas!$L331,'Corporate activity'!$C:$C,Formulas!O$2)</f>
        <v>0</v>
      </c>
      <c r="P331">
        <f t="shared" si="30"/>
        <v>0</v>
      </c>
      <c r="Q331" t="str">
        <f t="shared" si="28"/>
        <v/>
      </c>
    </row>
    <row r="332" spans="3:17" x14ac:dyDescent="0.25">
      <c r="C332">
        <f>SUMIFS(Issuance!$H:$H,Issuance!$D:$D,Formulas!$B332,Issuance!$C:$C,Formulas!C$2)</f>
        <v>0</v>
      </c>
      <c r="D332">
        <f>SUMIFS(Issuance!$H:$H,Issuance!$D:$D,Formulas!$B332,Issuance!$C:$C,Formulas!D$2)</f>
        <v>0</v>
      </c>
      <c r="E332">
        <f t="shared" si="29"/>
        <v>0</v>
      </c>
      <c r="F332" s="41" t="str">
        <f t="shared" si="31"/>
        <v/>
      </c>
      <c r="I332">
        <f>SUMIFS(Buybacks!H:H,Buybacks!D:D,Formulas!H332)</f>
        <v>0</v>
      </c>
      <c r="J332" s="41" t="str">
        <f t="shared" si="32"/>
        <v/>
      </c>
      <c r="M332">
        <f>SUMIFS('Corporate activity'!$H:$H,'Corporate activity'!$D:$D,Formulas!$L332,'Corporate activity'!$C:$C,Formulas!M$2)</f>
        <v>0</v>
      </c>
      <c r="N332">
        <f>SUMIFS('Corporate activity'!$H:$H,'Corporate activity'!$D:$D,Formulas!$L332,'Corporate activity'!$C:$C,Formulas!N$2)</f>
        <v>0</v>
      </c>
      <c r="O332">
        <f>SUMIFS('Corporate activity'!$H:$H,'Corporate activity'!$D:$D,Formulas!$L332,'Corporate activity'!$C:$C,Formulas!O$2)</f>
        <v>0</v>
      </c>
      <c r="P332">
        <f t="shared" si="30"/>
        <v>0</v>
      </c>
      <c r="Q332" t="str">
        <f t="shared" si="28"/>
        <v/>
      </c>
    </row>
    <row r="333" spans="3:17" x14ac:dyDescent="0.25">
      <c r="C333">
        <f>SUMIFS(Issuance!$H:$H,Issuance!$D:$D,Formulas!$B333,Issuance!$C:$C,Formulas!C$2)</f>
        <v>0</v>
      </c>
      <c r="D333">
        <f>SUMIFS(Issuance!$H:$H,Issuance!$D:$D,Formulas!$B333,Issuance!$C:$C,Formulas!D$2)</f>
        <v>0</v>
      </c>
      <c r="E333">
        <f t="shared" si="29"/>
        <v>0</v>
      </c>
      <c r="F333" s="41" t="str">
        <f t="shared" si="31"/>
        <v/>
      </c>
      <c r="I333">
        <f>SUMIFS(Buybacks!H:H,Buybacks!D:D,Formulas!H333)</f>
        <v>0</v>
      </c>
      <c r="J333" s="41" t="str">
        <f t="shared" si="32"/>
        <v/>
      </c>
      <c r="M333">
        <f>SUMIFS('Corporate activity'!$H:$H,'Corporate activity'!$D:$D,Formulas!$L333,'Corporate activity'!$C:$C,Formulas!M$2)</f>
        <v>0</v>
      </c>
      <c r="N333">
        <f>SUMIFS('Corporate activity'!$H:$H,'Corporate activity'!$D:$D,Formulas!$L333,'Corporate activity'!$C:$C,Formulas!N$2)</f>
        <v>0</v>
      </c>
      <c r="O333">
        <f>SUMIFS('Corporate activity'!$H:$H,'Corporate activity'!$D:$D,Formulas!$L333,'Corporate activity'!$C:$C,Formulas!O$2)</f>
        <v>0</v>
      </c>
      <c r="P333">
        <f t="shared" si="30"/>
        <v>0</v>
      </c>
      <c r="Q333" t="str">
        <f t="shared" si="28"/>
        <v/>
      </c>
    </row>
    <row r="334" spans="3:17" x14ac:dyDescent="0.25">
      <c r="C334">
        <f>SUMIFS(Issuance!$H:$H,Issuance!$D:$D,Formulas!$B334,Issuance!$C:$C,Formulas!C$2)</f>
        <v>0</v>
      </c>
      <c r="D334">
        <f>SUMIFS(Issuance!$H:$H,Issuance!$D:$D,Formulas!$B334,Issuance!$C:$C,Formulas!D$2)</f>
        <v>0</v>
      </c>
      <c r="E334">
        <f t="shared" si="29"/>
        <v>0</v>
      </c>
      <c r="F334" s="41" t="str">
        <f t="shared" si="31"/>
        <v/>
      </c>
      <c r="I334">
        <f>SUMIFS(Buybacks!H:H,Buybacks!D:D,Formulas!H334)</f>
        <v>0</v>
      </c>
      <c r="J334" s="41" t="str">
        <f t="shared" si="32"/>
        <v/>
      </c>
      <c r="M334">
        <f>SUMIFS('Corporate activity'!$H:$H,'Corporate activity'!$D:$D,Formulas!$L334,'Corporate activity'!$C:$C,Formulas!M$2)</f>
        <v>0</v>
      </c>
      <c r="N334">
        <f>SUMIFS('Corporate activity'!$H:$H,'Corporate activity'!$D:$D,Formulas!$L334,'Corporate activity'!$C:$C,Formulas!N$2)</f>
        <v>0</v>
      </c>
      <c r="O334">
        <f>SUMIFS('Corporate activity'!$H:$H,'Corporate activity'!$D:$D,Formulas!$L334,'Corporate activity'!$C:$C,Formulas!O$2)</f>
        <v>0</v>
      </c>
      <c r="P334">
        <f t="shared" si="30"/>
        <v>0</v>
      </c>
      <c r="Q334" t="str">
        <f t="shared" si="28"/>
        <v/>
      </c>
    </row>
    <row r="335" spans="3:17" x14ac:dyDescent="0.25">
      <c r="C335">
        <f>SUMIFS(Issuance!$H:$H,Issuance!$D:$D,Formulas!$B335,Issuance!$C:$C,Formulas!C$2)</f>
        <v>0</v>
      </c>
      <c r="D335">
        <f>SUMIFS(Issuance!$H:$H,Issuance!$D:$D,Formulas!$B335,Issuance!$C:$C,Formulas!D$2)</f>
        <v>0</v>
      </c>
      <c r="E335">
        <f t="shared" si="29"/>
        <v>0</v>
      </c>
      <c r="F335" s="41" t="str">
        <f t="shared" si="31"/>
        <v/>
      </c>
      <c r="I335">
        <f>SUMIFS(Buybacks!H:H,Buybacks!D:D,Formulas!H335)</f>
        <v>0</v>
      </c>
      <c r="J335" s="41" t="str">
        <f t="shared" si="32"/>
        <v/>
      </c>
      <c r="M335">
        <f>SUMIFS('Corporate activity'!$H:$H,'Corporate activity'!$D:$D,Formulas!$L335,'Corporate activity'!$C:$C,Formulas!M$2)</f>
        <v>0</v>
      </c>
      <c r="N335">
        <f>SUMIFS('Corporate activity'!$H:$H,'Corporate activity'!$D:$D,Formulas!$L335,'Corporate activity'!$C:$C,Formulas!N$2)</f>
        <v>0</v>
      </c>
      <c r="O335">
        <f>SUMIFS('Corporate activity'!$H:$H,'Corporate activity'!$D:$D,Formulas!$L335,'Corporate activity'!$C:$C,Formulas!O$2)</f>
        <v>0</v>
      </c>
      <c r="P335">
        <f t="shared" si="30"/>
        <v>0</v>
      </c>
      <c r="Q335" t="str">
        <f t="shared" si="28"/>
        <v/>
      </c>
    </row>
    <row r="336" spans="3:17" x14ac:dyDescent="0.25">
      <c r="C336">
        <f>SUMIFS(Issuance!$H:$H,Issuance!$D:$D,Formulas!$B336,Issuance!$C:$C,Formulas!C$2)</f>
        <v>0</v>
      </c>
      <c r="D336">
        <f>SUMIFS(Issuance!$H:$H,Issuance!$D:$D,Formulas!$B336,Issuance!$C:$C,Formulas!D$2)</f>
        <v>0</v>
      </c>
      <c r="E336">
        <f t="shared" si="29"/>
        <v>0</v>
      </c>
      <c r="F336" s="41" t="str">
        <f t="shared" si="31"/>
        <v/>
      </c>
      <c r="I336">
        <f>SUMIFS(Buybacks!H:H,Buybacks!D:D,Formulas!H336)</f>
        <v>0</v>
      </c>
      <c r="J336" s="41" t="str">
        <f t="shared" si="32"/>
        <v/>
      </c>
      <c r="M336">
        <f>SUMIFS('Corporate activity'!$H:$H,'Corporate activity'!$D:$D,Formulas!$L336,'Corporate activity'!$C:$C,Formulas!M$2)</f>
        <v>0</v>
      </c>
      <c r="N336">
        <f>SUMIFS('Corporate activity'!$H:$H,'Corporate activity'!$D:$D,Formulas!$L336,'Corporate activity'!$C:$C,Formulas!N$2)</f>
        <v>0</v>
      </c>
      <c r="O336">
        <f>SUMIFS('Corporate activity'!$H:$H,'Corporate activity'!$D:$D,Formulas!$L336,'Corporate activity'!$C:$C,Formulas!O$2)</f>
        <v>0</v>
      </c>
      <c r="P336">
        <f t="shared" si="30"/>
        <v>0</v>
      </c>
      <c r="Q336" t="str">
        <f t="shared" si="28"/>
        <v/>
      </c>
    </row>
    <row r="337" spans="3:17" x14ac:dyDescent="0.25">
      <c r="C337">
        <f>SUMIFS(Issuance!$H:$H,Issuance!$D:$D,Formulas!$B337,Issuance!$C:$C,Formulas!C$2)</f>
        <v>0</v>
      </c>
      <c r="D337">
        <f>SUMIFS(Issuance!$H:$H,Issuance!$D:$D,Formulas!$B337,Issuance!$C:$C,Formulas!D$2)</f>
        <v>0</v>
      </c>
      <c r="E337">
        <f t="shared" si="29"/>
        <v>0</v>
      </c>
      <c r="F337" s="41" t="str">
        <f t="shared" si="31"/>
        <v/>
      </c>
      <c r="I337">
        <f>SUMIFS(Buybacks!H:H,Buybacks!D:D,Formulas!H337)</f>
        <v>0</v>
      </c>
      <c r="J337" s="41" t="str">
        <f t="shared" si="32"/>
        <v/>
      </c>
      <c r="M337">
        <f>SUMIFS('Corporate activity'!$H:$H,'Corporate activity'!$D:$D,Formulas!$L337,'Corporate activity'!$C:$C,Formulas!M$2)</f>
        <v>0</v>
      </c>
      <c r="N337">
        <f>SUMIFS('Corporate activity'!$H:$H,'Corporate activity'!$D:$D,Formulas!$L337,'Corporate activity'!$C:$C,Formulas!N$2)</f>
        <v>0</v>
      </c>
      <c r="O337">
        <f>SUMIFS('Corporate activity'!$H:$H,'Corporate activity'!$D:$D,Formulas!$L337,'Corporate activity'!$C:$C,Formulas!O$2)</f>
        <v>0</v>
      </c>
      <c r="P337">
        <f t="shared" si="30"/>
        <v>0</v>
      </c>
      <c r="Q337" t="str">
        <f t="shared" si="28"/>
        <v/>
      </c>
    </row>
    <row r="338" spans="3:17" x14ac:dyDescent="0.25">
      <c r="C338">
        <f>SUMIFS(Issuance!$H:$H,Issuance!$D:$D,Formulas!$B338,Issuance!$C:$C,Formulas!C$2)</f>
        <v>0</v>
      </c>
      <c r="D338">
        <f>SUMIFS(Issuance!$H:$H,Issuance!$D:$D,Formulas!$B338,Issuance!$C:$C,Formulas!D$2)</f>
        <v>0</v>
      </c>
      <c r="E338">
        <f t="shared" si="29"/>
        <v>0</v>
      </c>
      <c r="F338" s="41" t="str">
        <f t="shared" si="31"/>
        <v/>
      </c>
      <c r="I338">
        <f>SUMIFS(Buybacks!H:H,Buybacks!D:D,Formulas!H338)</f>
        <v>0</v>
      </c>
      <c r="J338" s="41" t="str">
        <f t="shared" si="32"/>
        <v/>
      </c>
      <c r="M338">
        <f>SUMIFS('Corporate activity'!$H:$H,'Corporate activity'!$D:$D,Formulas!$L338,'Corporate activity'!$C:$C,Formulas!M$2)</f>
        <v>0</v>
      </c>
      <c r="N338">
        <f>SUMIFS('Corporate activity'!$H:$H,'Corporate activity'!$D:$D,Formulas!$L338,'Corporate activity'!$C:$C,Formulas!N$2)</f>
        <v>0</v>
      </c>
      <c r="O338">
        <f>SUMIFS('Corporate activity'!$H:$H,'Corporate activity'!$D:$D,Formulas!$L338,'Corporate activity'!$C:$C,Formulas!O$2)</f>
        <v>0</v>
      </c>
      <c r="P338">
        <f t="shared" si="30"/>
        <v>0</v>
      </c>
      <c r="Q338" t="str">
        <f t="shared" si="28"/>
        <v/>
      </c>
    </row>
    <row r="339" spans="3:17" x14ac:dyDescent="0.25">
      <c r="C339">
        <f>SUMIFS(Issuance!$H:$H,Issuance!$D:$D,Formulas!$B339,Issuance!$C:$C,Formulas!C$2)</f>
        <v>0</v>
      </c>
      <c r="D339">
        <f>SUMIFS(Issuance!$H:$H,Issuance!$D:$D,Formulas!$B339,Issuance!$C:$C,Formulas!D$2)</f>
        <v>0</v>
      </c>
      <c r="E339">
        <f t="shared" si="29"/>
        <v>0</v>
      </c>
      <c r="F339" s="41" t="str">
        <f t="shared" si="31"/>
        <v/>
      </c>
      <c r="I339">
        <f>SUMIFS(Buybacks!H:H,Buybacks!D:D,Formulas!H339)</f>
        <v>0</v>
      </c>
      <c r="J339" s="41" t="str">
        <f t="shared" si="32"/>
        <v/>
      </c>
      <c r="M339">
        <f>SUMIFS('Corporate activity'!$H:$H,'Corporate activity'!$D:$D,Formulas!$L339,'Corporate activity'!$C:$C,Formulas!M$2)</f>
        <v>0</v>
      </c>
      <c r="N339">
        <f>SUMIFS('Corporate activity'!$H:$H,'Corporate activity'!$D:$D,Formulas!$L339,'Corporate activity'!$C:$C,Formulas!N$2)</f>
        <v>0</v>
      </c>
      <c r="O339">
        <f>SUMIFS('Corporate activity'!$H:$H,'Corporate activity'!$D:$D,Formulas!$L339,'Corporate activity'!$C:$C,Formulas!O$2)</f>
        <v>0</v>
      </c>
      <c r="P339">
        <f t="shared" si="30"/>
        <v>0</v>
      </c>
      <c r="Q339" t="str">
        <f t="shared" si="28"/>
        <v/>
      </c>
    </row>
    <row r="340" spans="3:17" x14ac:dyDescent="0.25">
      <c r="C340">
        <f>SUMIFS(Issuance!$H:$H,Issuance!$D:$D,Formulas!$B340,Issuance!$C:$C,Formulas!C$2)</f>
        <v>0</v>
      </c>
      <c r="D340">
        <f>SUMIFS(Issuance!$H:$H,Issuance!$D:$D,Formulas!$B340,Issuance!$C:$C,Formulas!D$2)</f>
        <v>0</v>
      </c>
      <c r="E340">
        <f t="shared" si="29"/>
        <v>0</v>
      </c>
      <c r="F340" s="41" t="str">
        <f t="shared" si="31"/>
        <v/>
      </c>
      <c r="I340">
        <f>SUMIFS(Buybacks!H:H,Buybacks!D:D,Formulas!H340)</f>
        <v>0</v>
      </c>
      <c r="J340" s="41" t="str">
        <f t="shared" si="32"/>
        <v/>
      </c>
      <c r="M340">
        <f>SUMIFS('Corporate activity'!$H:$H,'Corporate activity'!$D:$D,Formulas!$L340,'Corporate activity'!$C:$C,Formulas!M$2)</f>
        <v>0</v>
      </c>
      <c r="N340">
        <f>SUMIFS('Corporate activity'!$H:$H,'Corporate activity'!$D:$D,Formulas!$L340,'Corporate activity'!$C:$C,Formulas!N$2)</f>
        <v>0</v>
      </c>
      <c r="O340">
        <f>SUMIFS('Corporate activity'!$H:$H,'Corporate activity'!$D:$D,Formulas!$L340,'Corporate activity'!$C:$C,Formulas!O$2)</f>
        <v>0</v>
      </c>
      <c r="P340">
        <f t="shared" si="30"/>
        <v>0</v>
      </c>
      <c r="Q340" t="str">
        <f t="shared" si="28"/>
        <v/>
      </c>
    </row>
    <row r="341" spans="3:17" x14ac:dyDescent="0.25">
      <c r="C341">
        <f>SUMIFS(Issuance!$H:$H,Issuance!$D:$D,Formulas!$B341,Issuance!$C:$C,Formulas!C$2)</f>
        <v>0</v>
      </c>
      <c r="D341">
        <f>SUMIFS(Issuance!$H:$H,Issuance!$D:$D,Formulas!$B341,Issuance!$C:$C,Formulas!D$2)</f>
        <v>0</v>
      </c>
      <c r="E341">
        <f t="shared" si="29"/>
        <v>0</v>
      </c>
      <c r="F341" s="41" t="str">
        <f t="shared" si="31"/>
        <v/>
      </c>
      <c r="I341">
        <f>SUMIFS(Buybacks!H:H,Buybacks!D:D,Formulas!H341)</f>
        <v>0</v>
      </c>
      <c r="J341" s="41" t="str">
        <f t="shared" si="32"/>
        <v/>
      </c>
      <c r="M341">
        <f>SUMIFS('Corporate activity'!$H:$H,'Corporate activity'!$D:$D,Formulas!$L341,'Corporate activity'!$C:$C,Formulas!M$2)</f>
        <v>0</v>
      </c>
      <c r="N341">
        <f>SUMIFS('Corporate activity'!$H:$H,'Corporate activity'!$D:$D,Formulas!$L341,'Corporate activity'!$C:$C,Formulas!N$2)</f>
        <v>0</v>
      </c>
      <c r="O341">
        <f>SUMIFS('Corporate activity'!$H:$H,'Corporate activity'!$D:$D,Formulas!$L341,'Corporate activity'!$C:$C,Formulas!O$2)</f>
        <v>0</v>
      </c>
      <c r="P341">
        <f t="shared" si="30"/>
        <v>0</v>
      </c>
      <c r="Q341" t="str">
        <f t="shared" si="28"/>
        <v/>
      </c>
    </row>
    <row r="342" spans="3:17" x14ac:dyDescent="0.25">
      <c r="C342">
        <f>SUMIFS(Issuance!$H:$H,Issuance!$D:$D,Formulas!$B342,Issuance!$C:$C,Formulas!C$2)</f>
        <v>0</v>
      </c>
      <c r="D342">
        <f>SUMIFS(Issuance!$H:$H,Issuance!$D:$D,Formulas!$B342,Issuance!$C:$C,Formulas!D$2)</f>
        <v>0</v>
      </c>
      <c r="E342">
        <f t="shared" si="29"/>
        <v>0</v>
      </c>
      <c r="F342" s="41" t="str">
        <f t="shared" si="31"/>
        <v/>
      </c>
      <c r="I342">
        <f>SUMIFS(Buybacks!H:H,Buybacks!D:D,Formulas!H342)</f>
        <v>0</v>
      </c>
      <c r="J342" s="41" t="str">
        <f t="shared" si="32"/>
        <v/>
      </c>
      <c r="M342">
        <f>SUMIFS('Corporate activity'!$H:$H,'Corporate activity'!$D:$D,Formulas!$L342,'Corporate activity'!$C:$C,Formulas!M$2)</f>
        <v>0</v>
      </c>
      <c r="N342">
        <f>SUMIFS('Corporate activity'!$H:$H,'Corporate activity'!$D:$D,Formulas!$L342,'Corporate activity'!$C:$C,Formulas!N$2)</f>
        <v>0</v>
      </c>
      <c r="O342">
        <f>SUMIFS('Corporate activity'!$H:$H,'Corporate activity'!$D:$D,Formulas!$L342,'Corporate activity'!$C:$C,Formulas!O$2)</f>
        <v>0</v>
      </c>
      <c r="P342">
        <f t="shared" si="30"/>
        <v>0</v>
      </c>
      <c r="Q342" t="str">
        <f t="shared" si="28"/>
        <v/>
      </c>
    </row>
    <row r="343" spans="3:17" x14ac:dyDescent="0.25">
      <c r="C343">
        <f>SUMIFS(Issuance!$H:$H,Issuance!$D:$D,Formulas!$B343,Issuance!$C:$C,Formulas!C$2)</f>
        <v>0</v>
      </c>
      <c r="D343">
        <f>SUMIFS(Issuance!$H:$H,Issuance!$D:$D,Formulas!$B343,Issuance!$C:$C,Formulas!D$2)</f>
        <v>0</v>
      </c>
      <c r="E343">
        <f t="shared" si="29"/>
        <v>0</v>
      </c>
      <c r="F343" s="41" t="str">
        <f t="shared" si="31"/>
        <v/>
      </c>
      <c r="I343">
        <f>SUMIFS(Buybacks!H:H,Buybacks!D:D,Formulas!H343)</f>
        <v>0</v>
      </c>
      <c r="J343" s="41" t="str">
        <f t="shared" si="32"/>
        <v/>
      </c>
      <c r="M343">
        <f>SUMIFS('Corporate activity'!$H:$H,'Corporate activity'!$D:$D,Formulas!$L343,'Corporate activity'!$C:$C,Formulas!M$2)</f>
        <v>0</v>
      </c>
      <c r="N343">
        <f>SUMIFS('Corporate activity'!$H:$H,'Corporate activity'!$D:$D,Formulas!$L343,'Corporate activity'!$C:$C,Formulas!N$2)</f>
        <v>0</v>
      </c>
      <c r="O343">
        <f>SUMIFS('Corporate activity'!$H:$H,'Corporate activity'!$D:$D,Formulas!$L343,'Corporate activity'!$C:$C,Formulas!O$2)</f>
        <v>0</v>
      </c>
      <c r="P343">
        <f t="shared" si="30"/>
        <v>0</v>
      </c>
      <c r="Q343" t="str">
        <f t="shared" si="28"/>
        <v/>
      </c>
    </row>
    <row r="344" spans="3:17" x14ac:dyDescent="0.25">
      <c r="C344">
        <f>SUMIFS(Issuance!$H:$H,Issuance!$D:$D,Formulas!$B344,Issuance!$C:$C,Formulas!C$2)</f>
        <v>0</v>
      </c>
      <c r="D344">
        <f>SUMIFS(Issuance!$H:$H,Issuance!$D:$D,Formulas!$B344,Issuance!$C:$C,Formulas!D$2)</f>
        <v>0</v>
      </c>
      <c r="E344">
        <f t="shared" si="29"/>
        <v>0</v>
      </c>
      <c r="F344" s="41" t="str">
        <f t="shared" si="31"/>
        <v/>
      </c>
      <c r="I344">
        <f>SUMIFS(Buybacks!H:H,Buybacks!D:D,Formulas!H344)</f>
        <v>0</v>
      </c>
      <c r="J344" s="41" t="str">
        <f t="shared" si="32"/>
        <v/>
      </c>
      <c r="M344">
        <f>SUMIFS('Corporate activity'!$H:$H,'Corporate activity'!$D:$D,Formulas!$L344,'Corporate activity'!$C:$C,Formulas!M$2)</f>
        <v>0</v>
      </c>
      <c r="N344">
        <f>SUMIFS('Corporate activity'!$H:$H,'Corporate activity'!$D:$D,Formulas!$L344,'Corporate activity'!$C:$C,Formulas!N$2)</f>
        <v>0</v>
      </c>
      <c r="O344">
        <f>SUMIFS('Corporate activity'!$H:$H,'Corporate activity'!$D:$D,Formulas!$L344,'Corporate activity'!$C:$C,Formulas!O$2)</f>
        <v>0</v>
      </c>
      <c r="P344">
        <f t="shared" si="30"/>
        <v>0</v>
      </c>
      <c r="Q344" t="str">
        <f t="shared" si="28"/>
        <v/>
      </c>
    </row>
    <row r="345" spans="3:17" x14ac:dyDescent="0.25">
      <c r="C345">
        <f>SUMIFS(Issuance!$H:$H,Issuance!$D:$D,Formulas!$B345,Issuance!$C:$C,Formulas!C$2)</f>
        <v>0</v>
      </c>
      <c r="D345">
        <f>SUMIFS(Issuance!$H:$H,Issuance!$D:$D,Formulas!$B345,Issuance!$C:$C,Formulas!D$2)</f>
        <v>0</v>
      </c>
      <c r="E345">
        <f t="shared" si="29"/>
        <v>0</v>
      </c>
      <c r="F345" s="41" t="str">
        <f t="shared" si="31"/>
        <v/>
      </c>
      <c r="I345">
        <f>SUMIFS(Buybacks!H:H,Buybacks!D:D,Formulas!H345)</f>
        <v>0</v>
      </c>
      <c r="J345" s="41" t="str">
        <f t="shared" si="32"/>
        <v/>
      </c>
      <c r="M345">
        <f>SUMIFS('Corporate activity'!$H:$H,'Corporate activity'!$D:$D,Formulas!$L345,'Corporate activity'!$C:$C,Formulas!M$2)</f>
        <v>0</v>
      </c>
      <c r="N345">
        <f>SUMIFS('Corporate activity'!$H:$H,'Corporate activity'!$D:$D,Formulas!$L345,'Corporate activity'!$C:$C,Formulas!N$2)</f>
        <v>0</v>
      </c>
      <c r="O345">
        <f>SUMIFS('Corporate activity'!$H:$H,'Corporate activity'!$D:$D,Formulas!$L345,'Corporate activity'!$C:$C,Formulas!O$2)</f>
        <v>0</v>
      </c>
      <c r="P345">
        <f t="shared" si="30"/>
        <v>0</v>
      </c>
      <c r="Q345" t="str">
        <f t="shared" si="28"/>
        <v/>
      </c>
    </row>
    <row r="346" spans="3:17" x14ac:dyDescent="0.25">
      <c r="C346">
        <f>SUMIFS(Issuance!$H:$H,Issuance!$D:$D,Formulas!$B346,Issuance!$C:$C,Formulas!C$2)</f>
        <v>0</v>
      </c>
      <c r="D346">
        <f>SUMIFS(Issuance!$H:$H,Issuance!$D:$D,Formulas!$B346,Issuance!$C:$C,Formulas!D$2)</f>
        <v>0</v>
      </c>
      <c r="E346">
        <f t="shared" si="29"/>
        <v>0</v>
      </c>
      <c r="F346" s="41" t="str">
        <f t="shared" si="31"/>
        <v/>
      </c>
      <c r="I346">
        <f>SUMIFS(Buybacks!H:H,Buybacks!D:D,Formulas!H346)</f>
        <v>0</v>
      </c>
      <c r="J346" s="41" t="str">
        <f t="shared" si="32"/>
        <v/>
      </c>
      <c r="M346">
        <f>SUMIFS('Corporate activity'!$H:$H,'Corporate activity'!$D:$D,Formulas!$L346,'Corporate activity'!$C:$C,Formulas!M$2)</f>
        <v>0</v>
      </c>
      <c r="N346">
        <f>SUMIFS('Corporate activity'!$H:$H,'Corporate activity'!$D:$D,Formulas!$L346,'Corporate activity'!$C:$C,Formulas!N$2)</f>
        <v>0</v>
      </c>
      <c r="O346">
        <f>SUMIFS('Corporate activity'!$H:$H,'Corporate activity'!$D:$D,Formulas!$L346,'Corporate activity'!$C:$C,Formulas!O$2)</f>
        <v>0</v>
      </c>
      <c r="P346">
        <f t="shared" si="30"/>
        <v>0</v>
      </c>
      <c r="Q346" t="str">
        <f t="shared" si="28"/>
        <v/>
      </c>
    </row>
    <row r="347" spans="3:17" x14ac:dyDescent="0.25">
      <c r="C347">
        <f>SUMIFS(Issuance!$H:$H,Issuance!$D:$D,Formulas!$B347,Issuance!$C:$C,Formulas!C$2)</f>
        <v>0</v>
      </c>
      <c r="D347">
        <f>SUMIFS(Issuance!$H:$H,Issuance!$D:$D,Formulas!$B347,Issuance!$C:$C,Formulas!D$2)</f>
        <v>0</v>
      </c>
      <c r="E347">
        <f t="shared" si="29"/>
        <v>0</v>
      </c>
      <c r="F347" s="41" t="str">
        <f t="shared" si="31"/>
        <v/>
      </c>
      <c r="I347">
        <f>SUMIFS(Buybacks!H:H,Buybacks!D:D,Formulas!H347)</f>
        <v>0</v>
      </c>
      <c r="J347" s="41" t="str">
        <f t="shared" si="32"/>
        <v/>
      </c>
      <c r="M347">
        <f>SUMIFS('Corporate activity'!$H:$H,'Corporate activity'!$D:$D,Formulas!$L347,'Corporate activity'!$C:$C,Formulas!M$2)</f>
        <v>0</v>
      </c>
      <c r="N347">
        <f>SUMIFS('Corporate activity'!$H:$H,'Corporate activity'!$D:$D,Formulas!$L347,'Corporate activity'!$C:$C,Formulas!N$2)</f>
        <v>0</v>
      </c>
      <c r="O347">
        <f>SUMIFS('Corporate activity'!$H:$H,'Corporate activity'!$D:$D,Formulas!$L347,'Corporate activity'!$C:$C,Formulas!O$2)</f>
        <v>0</v>
      </c>
      <c r="P347">
        <f t="shared" si="30"/>
        <v>0</v>
      </c>
      <c r="Q347" t="str">
        <f t="shared" ref="Q347:Q410" si="33">IF(OR(L347="",L347=0,P347=0),"",IF(COUNTIFS($P$3:$P$500,"&lt;"&amp;P347,$P$3:$P$500,"&lt;&gt;0")+1&lt;=20,COUNTIFS($P$3:$P$500,"&lt;"&amp;P347,$P$3:$P$500,"&lt;&gt;0")+1,""))</f>
        <v/>
      </c>
    </row>
    <row r="348" spans="3:17" x14ac:dyDescent="0.25">
      <c r="C348">
        <f>SUMIFS(Issuance!$H:$H,Issuance!$D:$D,Formulas!$B348,Issuance!$C:$C,Formulas!C$2)</f>
        <v>0</v>
      </c>
      <c r="D348">
        <f>SUMIFS(Issuance!$H:$H,Issuance!$D:$D,Formulas!$B348,Issuance!$C:$C,Formulas!D$2)</f>
        <v>0</v>
      </c>
      <c r="E348">
        <f t="shared" si="29"/>
        <v>0</v>
      </c>
      <c r="F348" s="41" t="str">
        <f t="shared" si="31"/>
        <v/>
      </c>
      <c r="I348">
        <f>SUMIFS(Buybacks!H:H,Buybacks!D:D,Formulas!H348)</f>
        <v>0</v>
      </c>
      <c r="J348" s="41" t="str">
        <f t="shared" si="32"/>
        <v/>
      </c>
      <c r="M348">
        <f>SUMIFS('Corporate activity'!$H:$H,'Corporate activity'!$D:$D,Formulas!$L348,'Corporate activity'!$C:$C,Formulas!M$2)</f>
        <v>0</v>
      </c>
      <c r="N348">
        <f>SUMIFS('Corporate activity'!$H:$H,'Corporate activity'!$D:$D,Formulas!$L348,'Corporate activity'!$C:$C,Formulas!N$2)</f>
        <v>0</v>
      </c>
      <c r="O348">
        <f>SUMIFS('Corporate activity'!$H:$H,'Corporate activity'!$D:$D,Formulas!$L348,'Corporate activity'!$C:$C,Formulas!O$2)</f>
        <v>0</v>
      </c>
      <c r="P348">
        <f t="shared" si="30"/>
        <v>0</v>
      </c>
      <c r="Q348" t="str">
        <f t="shared" si="33"/>
        <v/>
      </c>
    </row>
    <row r="349" spans="3:17" x14ac:dyDescent="0.25">
      <c r="C349">
        <f>SUMIFS(Issuance!$H:$H,Issuance!$D:$D,Formulas!$B349,Issuance!$C:$C,Formulas!C$2)</f>
        <v>0</v>
      </c>
      <c r="D349">
        <f>SUMIFS(Issuance!$H:$H,Issuance!$D:$D,Formulas!$B349,Issuance!$C:$C,Formulas!D$2)</f>
        <v>0</v>
      </c>
      <c r="E349">
        <f t="shared" si="29"/>
        <v>0</v>
      </c>
      <c r="F349" s="41" t="str">
        <f t="shared" si="31"/>
        <v/>
      </c>
      <c r="I349">
        <f>SUMIFS(Buybacks!H:H,Buybacks!D:D,Formulas!H349)</f>
        <v>0</v>
      </c>
      <c r="J349" s="41" t="str">
        <f t="shared" si="32"/>
        <v/>
      </c>
      <c r="M349">
        <f>SUMIFS('Corporate activity'!$H:$H,'Corporate activity'!$D:$D,Formulas!$L349,'Corporate activity'!$C:$C,Formulas!M$2)</f>
        <v>0</v>
      </c>
      <c r="N349">
        <f>SUMIFS('Corporate activity'!$H:$H,'Corporate activity'!$D:$D,Formulas!$L349,'Corporate activity'!$C:$C,Formulas!N$2)</f>
        <v>0</v>
      </c>
      <c r="O349">
        <f>SUMIFS('Corporate activity'!$H:$H,'Corporate activity'!$D:$D,Formulas!$L349,'Corporate activity'!$C:$C,Formulas!O$2)</f>
        <v>0</v>
      </c>
      <c r="P349">
        <f t="shared" si="30"/>
        <v>0</v>
      </c>
      <c r="Q349" t="str">
        <f t="shared" si="33"/>
        <v/>
      </c>
    </row>
    <row r="350" spans="3:17" x14ac:dyDescent="0.25">
      <c r="C350">
        <f>SUMIFS(Issuance!$H:$H,Issuance!$D:$D,Formulas!$B350,Issuance!$C:$C,Formulas!C$2)</f>
        <v>0</v>
      </c>
      <c r="D350">
        <f>SUMIFS(Issuance!$H:$H,Issuance!$D:$D,Formulas!$B350,Issuance!$C:$C,Formulas!D$2)</f>
        <v>0</v>
      </c>
      <c r="E350">
        <f t="shared" si="29"/>
        <v>0</v>
      </c>
      <c r="F350" s="41" t="str">
        <f t="shared" si="31"/>
        <v/>
      </c>
      <c r="I350">
        <f>SUMIFS(Buybacks!H:H,Buybacks!D:D,Formulas!H350)</f>
        <v>0</v>
      </c>
      <c r="J350" s="41" t="str">
        <f t="shared" si="32"/>
        <v/>
      </c>
      <c r="M350">
        <f>SUMIFS('Corporate activity'!$H:$H,'Corporate activity'!$D:$D,Formulas!$L350,'Corporate activity'!$C:$C,Formulas!M$2)</f>
        <v>0</v>
      </c>
      <c r="N350">
        <f>SUMIFS('Corporate activity'!$H:$H,'Corporate activity'!$D:$D,Formulas!$L350,'Corporate activity'!$C:$C,Formulas!N$2)</f>
        <v>0</v>
      </c>
      <c r="O350">
        <f>SUMIFS('Corporate activity'!$H:$H,'Corporate activity'!$D:$D,Formulas!$L350,'Corporate activity'!$C:$C,Formulas!O$2)</f>
        <v>0</v>
      </c>
      <c r="P350">
        <f t="shared" si="30"/>
        <v>0</v>
      </c>
      <c r="Q350" t="str">
        <f t="shared" si="33"/>
        <v/>
      </c>
    </row>
    <row r="351" spans="3:17" x14ac:dyDescent="0.25">
      <c r="C351">
        <f>SUMIFS(Issuance!$H:$H,Issuance!$D:$D,Formulas!$B351,Issuance!$C:$C,Formulas!C$2)</f>
        <v>0</v>
      </c>
      <c r="D351">
        <f>SUMIFS(Issuance!$H:$H,Issuance!$D:$D,Formulas!$B351,Issuance!$C:$C,Formulas!D$2)</f>
        <v>0</v>
      </c>
      <c r="E351">
        <f t="shared" si="29"/>
        <v>0</v>
      </c>
      <c r="F351" s="41" t="str">
        <f t="shared" si="31"/>
        <v/>
      </c>
      <c r="I351">
        <f>SUMIFS(Buybacks!H:H,Buybacks!D:D,Formulas!H351)</f>
        <v>0</v>
      </c>
      <c r="J351" s="41" t="str">
        <f t="shared" si="32"/>
        <v/>
      </c>
      <c r="M351">
        <f>SUMIFS('Corporate activity'!$H:$H,'Corporate activity'!$D:$D,Formulas!$L351,'Corporate activity'!$C:$C,Formulas!M$2)</f>
        <v>0</v>
      </c>
      <c r="N351">
        <f>SUMIFS('Corporate activity'!$H:$H,'Corporate activity'!$D:$D,Formulas!$L351,'Corporate activity'!$C:$C,Formulas!N$2)</f>
        <v>0</v>
      </c>
      <c r="O351">
        <f>SUMIFS('Corporate activity'!$H:$H,'Corporate activity'!$D:$D,Formulas!$L351,'Corporate activity'!$C:$C,Formulas!O$2)</f>
        <v>0</v>
      </c>
      <c r="P351">
        <f t="shared" si="30"/>
        <v>0</v>
      </c>
      <c r="Q351" t="str">
        <f t="shared" si="33"/>
        <v/>
      </c>
    </row>
    <row r="352" spans="3:17" x14ac:dyDescent="0.25">
      <c r="C352">
        <f>SUMIFS(Issuance!$H:$H,Issuance!$D:$D,Formulas!$B352,Issuance!$C:$C,Formulas!C$2)</f>
        <v>0</v>
      </c>
      <c r="D352">
        <f>SUMIFS(Issuance!$H:$H,Issuance!$D:$D,Formulas!$B352,Issuance!$C:$C,Formulas!D$2)</f>
        <v>0</v>
      </c>
      <c r="E352">
        <f t="shared" si="29"/>
        <v>0</v>
      </c>
      <c r="F352" s="41" t="str">
        <f t="shared" si="31"/>
        <v/>
      </c>
      <c r="I352">
        <f>SUMIFS(Buybacks!H:H,Buybacks!D:D,Formulas!H352)</f>
        <v>0</v>
      </c>
      <c r="J352" s="41" t="str">
        <f t="shared" si="32"/>
        <v/>
      </c>
      <c r="M352">
        <f>SUMIFS('Corporate activity'!$H:$H,'Corporate activity'!$D:$D,Formulas!$L352,'Corporate activity'!$C:$C,Formulas!M$2)</f>
        <v>0</v>
      </c>
      <c r="N352">
        <f>SUMIFS('Corporate activity'!$H:$H,'Corporate activity'!$D:$D,Formulas!$L352,'Corporate activity'!$C:$C,Formulas!N$2)</f>
        <v>0</v>
      </c>
      <c r="O352">
        <f>SUMIFS('Corporate activity'!$H:$H,'Corporate activity'!$D:$D,Formulas!$L352,'Corporate activity'!$C:$C,Formulas!O$2)</f>
        <v>0</v>
      </c>
      <c r="P352">
        <f t="shared" si="30"/>
        <v>0</v>
      </c>
      <c r="Q352" t="str">
        <f t="shared" si="33"/>
        <v/>
      </c>
    </row>
    <row r="353" spans="3:17" x14ac:dyDescent="0.25">
      <c r="C353">
        <f>SUMIFS(Issuance!$H:$H,Issuance!$D:$D,Formulas!$B353,Issuance!$C:$C,Formulas!C$2)</f>
        <v>0</v>
      </c>
      <c r="D353">
        <f>SUMIFS(Issuance!$H:$H,Issuance!$D:$D,Formulas!$B353,Issuance!$C:$C,Formulas!D$2)</f>
        <v>0</v>
      </c>
      <c r="E353">
        <f t="shared" si="29"/>
        <v>0</v>
      </c>
      <c r="F353" s="41" t="str">
        <f t="shared" si="31"/>
        <v/>
      </c>
      <c r="I353">
        <f>SUMIFS(Buybacks!H:H,Buybacks!D:D,Formulas!H353)</f>
        <v>0</v>
      </c>
      <c r="J353" s="41" t="str">
        <f t="shared" si="32"/>
        <v/>
      </c>
      <c r="M353">
        <f>SUMIFS('Corporate activity'!$H:$H,'Corporate activity'!$D:$D,Formulas!$L353,'Corporate activity'!$C:$C,Formulas!M$2)</f>
        <v>0</v>
      </c>
      <c r="N353">
        <f>SUMIFS('Corporate activity'!$H:$H,'Corporate activity'!$D:$D,Formulas!$L353,'Corporate activity'!$C:$C,Formulas!N$2)</f>
        <v>0</v>
      </c>
      <c r="O353">
        <f>SUMIFS('Corporate activity'!$H:$H,'Corporate activity'!$D:$D,Formulas!$L353,'Corporate activity'!$C:$C,Formulas!O$2)</f>
        <v>0</v>
      </c>
      <c r="P353">
        <f t="shared" si="30"/>
        <v>0</v>
      </c>
      <c r="Q353" t="str">
        <f t="shared" si="33"/>
        <v/>
      </c>
    </row>
    <row r="354" spans="3:17" x14ac:dyDescent="0.25">
      <c r="C354">
        <f>SUMIFS(Issuance!$H:$H,Issuance!$D:$D,Formulas!$B354,Issuance!$C:$C,Formulas!C$2)</f>
        <v>0</v>
      </c>
      <c r="D354">
        <f>SUMIFS(Issuance!$H:$H,Issuance!$D:$D,Formulas!$B354,Issuance!$C:$C,Formulas!D$2)</f>
        <v>0</v>
      </c>
      <c r="E354">
        <f t="shared" si="29"/>
        <v>0</v>
      </c>
      <c r="F354" s="41" t="str">
        <f t="shared" si="31"/>
        <v/>
      </c>
      <c r="I354">
        <f>SUMIFS(Buybacks!H:H,Buybacks!D:D,Formulas!H354)</f>
        <v>0</v>
      </c>
      <c r="J354" s="41" t="str">
        <f t="shared" si="32"/>
        <v/>
      </c>
      <c r="M354">
        <f>SUMIFS('Corporate activity'!$H:$H,'Corporate activity'!$D:$D,Formulas!$L354,'Corporate activity'!$C:$C,Formulas!M$2)</f>
        <v>0</v>
      </c>
      <c r="N354">
        <f>SUMIFS('Corporate activity'!$H:$H,'Corporate activity'!$D:$D,Formulas!$L354,'Corporate activity'!$C:$C,Formulas!N$2)</f>
        <v>0</v>
      </c>
      <c r="O354">
        <f>SUMIFS('Corporate activity'!$H:$H,'Corporate activity'!$D:$D,Formulas!$L354,'Corporate activity'!$C:$C,Formulas!O$2)</f>
        <v>0</v>
      </c>
      <c r="P354">
        <f t="shared" si="30"/>
        <v>0</v>
      </c>
      <c r="Q354" t="str">
        <f t="shared" si="33"/>
        <v/>
      </c>
    </row>
    <row r="355" spans="3:17" x14ac:dyDescent="0.25">
      <c r="C355">
        <f>SUMIFS(Issuance!$H:$H,Issuance!$D:$D,Formulas!$B355,Issuance!$C:$C,Formulas!C$2)</f>
        <v>0</v>
      </c>
      <c r="D355">
        <f>SUMIFS(Issuance!$H:$H,Issuance!$D:$D,Formulas!$B355,Issuance!$C:$C,Formulas!D$2)</f>
        <v>0</v>
      </c>
      <c r="E355">
        <f t="shared" si="29"/>
        <v>0</v>
      </c>
      <c r="F355" s="41" t="str">
        <f t="shared" si="31"/>
        <v/>
      </c>
      <c r="I355">
        <f>SUMIFS(Buybacks!H:H,Buybacks!D:D,Formulas!H355)</f>
        <v>0</v>
      </c>
      <c r="J355" s="41" t="str">
        <f t="shared" si="32"/>
        <v/>
      </c>
      <c r="M355">
        <f>SUMIFS('Corporate activity'!$H:$H,'Corporate activity'!$D:$D,Formulas!$L355,'Corporate activity'!$C:$C,Formulas!M$2)</f>
        <v>0</v>
      </c>
      <c r="N355">
        <f>SUMIFS('Corporate activity'!$H:$H,'Corporate activity'!$D:$D,Formulas!$L355,'Corporate activity'!$C:$C,Formulas!N$2)</f>
        <v>0</v>
      </c>
      <c r="O355">
        <f>SUMIFS('Corporate activity'!$H:$H,'Corporate activity'!$D:$D,Formulas!$L355,'Corporate activity'!$C:$C,Formulas!O$2)</f>
        <v>0</v>
      </c>
      <c r="P355">
        <f t="shared" si="30"/>
        <v>0</v>
      </c>
      <c r="Q355" t="str">
        <f t="shared" si="33"/>
        <v/>
      </c>
    </row>
    <row r="356" spans="3:17" x14ac:dyDescent="0.25">
      <c r="C356">
        <f>SUMIFS(Issuance!$H:$H,Issuance!$D:$D,Formulas!$B356,Issuance!$C:$C,Formulas!C$2)</f>
        <v>0</v>
      </c>
      <c r="D356">
        <f>SUMIFS(Issuance!$H:$H,Issuance!$D:$D,Formulas!$B356,Issuance!$C:$C,Formulas!D$2)</f>
        <v>0</v>
      </c>
      <c r="E356">
        <f t="shared" si="29"/>
        <v>0</v>
      </c>
      <c r="F356" s="41" t="str">
        <f t="shared" si="31"/>
        <v/>
      </c>
      <c r="I356">
        <f>SUMIFS(Buybacks!H:H,Buybacks!D:D,Formulas!H356)</f>
        <v>0</v>
      </c>
      <c r="J356" s="41" t="str">
        <f t="shared" si="32"/>
        <v/>
      </c>
      <c r="M356">
        <f>SUMIFS('Corporate activity'!$H:$H,'Corporate activity'!$D:$D,Formulas!$L356,'Corporate activity'!$C:$C,Formulas!M$2)</f>
        <v>0</v>
      </c>
      <c r="N356">
        <f>SUMIFS('Corporate activity'!$H:$H,'Corporate activity'!$D:$D,Formulas!$L356,'Corporate activity'!$C:$C,Formulas!N$2)</f>
        <v>0</v>
      </c>
      <c r="O356">
        <f>SUMIFS('Corporate activity'!$H:$H,'Corporate activity'!$D:$D,Formulas!$L356,'Corporate activity'!$C:$C,Formulas!O$2)</f>
        <v>0</v>
      </c>
      <c r="P356">
        <f t="shared" si="30"/>
        <v>0</v>
      </c>
      <c r="Q356" t="str">
        <f t="shared" si="33"/>
        <v/>
      </c>
    </row>
    <row r="357" spans="3:17" x14ac:dyDescent="0.25">
      <c r="C357">
        <f>SUMIFS(Issuance!$H:$H,Issuance!$D:$D,Formulas!$B357,Issuance!$C:$C,Formulas!C$2)</f>
        <v>0</v>
      </c>
      <c r="D357">
        <f>SUMIFS(Issuance!$H:$H,Issuance!$D:$D,Formulas!$B357,Issuance!$C:$C,Formulas!D$2)</f>
        <v>0</v>
      </c>
      <c r="E357">
        <f t="shared" si="29"/>
        <v>0</v>
      </c>
      <c r="F357" s="41" t="str">
        <f t="shared" si="31"/>
        <v/>
      </c>
      <c r="I357">
        <f>SUMIFS(Buybacks!H:H,Buybacks!D:D,Formulas!H357)</f>
        <v>0</v>
      </c>
      <c r="J357" s="41" t="str">
        <f t="shared" si="32"/>
        <v/>
      </c>
      <c r="M357">
        <f>SUMIFS('Corporate activity'!$H:$H,'Corporate activity'!$D:$D,Formulas!$L357,'Corporate activity'!$C:$C,Formulas!M$2)</f>
        <v>0</v>
      </c>
      <c r="N357">
        <f>SUMIFS('Corporate activity'!$H:$H,'Corporate activity'!$D:$D,Formulas!$L357,'Corporate activity'!$C:$C,Formulas!N$2)</f>
        <v>0</v>
      </c>
      <c r="O357">
        <f>SUMIFS('Corporate activity'!$H:$H,'Corporate activity'!$D:$D,Formulas!$L357,'Corporate activity'!$C:$C,Formulas!O$2)</f>
        <v>0</v>
      </c>
      <c r="P357">
        <f t="shared" si="30"/>
        <v>0</v>
      </c>
      <c r="Q357" t="str">
        <f t="shared" si="33"/>
        <v/>
      </c>
    </row>
    <row r="358" spans="3:17" x14ac:dyDescent="0.25">
      <c r="C358">
        <f>SUMIFS(Issuance!$H:$H,Issuance!$D:$D,Formulas!$B358,Issuance!$C:$C,Formulas!C$2)</f>
        <v>0</v>
      </c>
      <c r="D358">
        <f>SUMIFS(Issuance!$H:$H,Issuance!$D:$D,Formulas!$B358,Issuance!$C:$C,Formulas!D$2)</f>
        <v>0</v>
      </c>
      <c r="E358">
        <f t="shared" si="29"/>
        <v>0</v>
      </c>
      <c r="F358" s="41" t="str">
        <f t="shared" si="31"/>
        <v/>
      </c>
      <c r="I358">
        <f>SUMIFS(Buybacks!H:H,Buybacks!D:D,Formulas!H358)</f>
        <v>0</v>
      </c>
      <c r="J358" s="41" t="str">
        <f t="shared" si="32"/>
        <v/>
      </c>
      <c r="M358">
        <f>SUMIFS('Corporate activity'!$H:$H,'Corporate activity'!$D:$D,Formulas!$L358,'Corporate activity'!$C:$C,Formulas!M$2)</f>
        <v>0</v>
      </c>
      <c r="N358">
        <f>SUMIFS('Corporate activity'!$H:$H,'Corporate activity'!$D:$D,Formulas!$L358,'Corporate activity'!$C:$C,Formulas!N$2)</f>
        <v>0</v>
      </c>
      <c r="O358">
        <f>SUMIFS('Corporate activity'!$H:$H,'Corporate activity'!$D:$D,Formulas!$L358,'Corporate activity'!$C:$C,Formulas!O$2)</f>
        <v>0</v>
      </c>
      <c r="P358">
        <f t="shared" si="30"/>
        <v>0</v>
      </c>
      <c r="Q358" t="str">
        <f t="shared" si="33"/>
        <v/>
      </c>
    </row>
    <row r="359" spans="3:17" x14ac:dyDescent="0.25">
      <c r="C359">
        <f>SUMIFS(Issuance!$H:$H,Issuance!$D:$D,Formulas!$B359,Issuance!$C:$C,Formulas!C$2)</f>
        <v>0</v>
      </c>
      <c r="D359">
        <f>SUMIFS(Issuance!$H:$H,Issuance!$D:$D,Formulas!$B359,Issuance!$C:$C,Formulas!D$2)</f>
        <v>0</v>
      </c>
      <c r="E359">
        <f t="shared" si="29"/>
        <v>0</v>
      </c>
      <c r="F359" s="41" t="str">
        <f t="shared" si="31"/>
        <v/>
      </c>
      <c r="I359">
        <f>SUMIFS(Buybacks!H:H,Buybacks!D:D,Formulas!H359)</f>
        <v>0</v>
      </c>
      <c r="J359" s="41" t="str">
        <f t="shared" si="32"/>
        <v/>
      </c>
      <c r="M359">
        <f>SUMIFS('Corporate activity'!$H:$H,'Corporate activity'!$D:$D,Formulas!$L359,'Corporate activity'!$C:$C,Formulas!M$2)</f>
        <v>0</v>
      </c>
      <c r="N359">
        <f>SUMIFS('Corporate activity'!$H:$H,'Corporate activity'!$D:$D,Formulas!$L359,'Corporate activity'!$C:$C,Formulas!N$2)</f>
        <v>0</v>
      </c>
      <c r="O359">
        <f>SUMIFS('Corporate activity'!$H:$H,'Corporate activity'!$D:$D,Formulas!$L359,'Corporate activity'!$C:$C,Formulas!O$2)</f>
        <v>0</v>
      </c>
      <c r="P359">
        <f t="shared" si="30"/>
        <v>0</v>
      </c>
      <c r="Q359" t="str">
        <f t="shared" si="33"/>
        <v/>
      </c>
    </row>
    <row r="360" spans="3:17" x14ac:dyDescent="0.25">
      <c r="C360">
        <f>SUMIFS(Issuance!$H:$H,Issuance!$D:$D,Formulas!$B360,Issuance!$C:$C,Formulas!C$2)</f>
        <v>0</v>
      </c>
      <c r="D360">
        <f>SUMIFS(Issuance!$H:$H,Issuance!$D:$D,Formulas!$B360,Issuance!$C:$C,Formulas!D$2)</f>
        <v>0</v>
      </c>
      <c r="E360">
        <f t="shared" si="29"/>
        <v>0</v>
      </c>
      <c r="F360" s="41" t="str">
        <f t="shared" si="31"/>
        <v/>
      </c>
      <c r="I360">
        <f>SUMIFS(Buybacks!H:H,Buybacks!D:D,Formulas!H360)</f>
        <v>0</v>
      </c>
      <c r="J360" s="41" t="str">
        <f t="shared" si="32"/>
        <v/>
      </c>
      <c r="M360">
        <f>SUMIFS('Corporate activity'!$H:$H,'Corporate activity'!$D:$D,Formulas!$L360,'Corporate activity'!$C:$C,Formulas!M$2)</f>
        <v>0</v>
      </c>
      <c r="N360">
        <f>SUMIFS('Corporate activity'!$H:$H,'Corporate activity'!$D:$D,Formulas!$L360,'Corporate activity'!$C:$C,Formulas!N$2)</f>
        <v>0</v>
      </c>
      <c r="O360">
        <f>SUMIFS('Corporate activity'!$H:$H,'Corporate activity'!$D:$D,Formulas!$L360,'Corporate activity'!$C:$C,Formulas!O$2)</f>
        <v>0</v>
      </c>
      <c r="P360">
        <f t="shared" si="30"/>
        <v>0</v>
      </c>
      <c r="Q360" t="str">
        <f t="shared" si="33"/>
        <v/>
      </c>
    </row>
    <row r="361" spans="3:17" x14ac:dyDescent="0.25">
      <c r="C361">
        <f>SUMIFS(Issuance!$H:$H,Issuance!$D:$D,Formulas!$B361,Issuance!$C:$C,Formulas!C$2)</f>
        <v>0</v>
      </c>
      <c r="D361">
        <f>SUMIFS(Issuance!$H:$H,Issuance!$D:$D,Formulas!$B361,Issuance!$C:$C,Formulas!D$2)</f>
        <v>0</v>
      </c>
      <c r="E361">
        <f t="shared" si="29"/>
        <v>0</v>
      </c>
      <c r="F361" s="41" t="str">
        <f t="shared" si="31"/>
        <v/>
      </c>
      <c r="I361">
        <f>SUMIFS(Buybacks!H:H,Buybacks!D:D,Formulas!H361)</f>
        <v>0</v>
      </c>
      <c r="J361" s="41" t="str">
        <f t="shared" si="32"/>
        <v/>
      </c>
      <c r="M361">
        <f>SUMIFS('Corporate activity'!$H:$H,'Corporate activity'!$D:$D,Formulas!$L361,'Corporate activity'!$C:$C,Formulas!M$2)</f>
        <v>0</v>
      </c>
      <c r="N361">
        <f>SUMIFS('Corporate activity'!$H:$H,'Corporate activity'!$D:$D,Formulas!$L361,'Corporate activity'!$C:$C,Formulas!N$2)</f>
        <v>0</v>
      </c>
      <c r="O361">
        <f>SUMIFS('Corporate activity'!$H:$H,'Corporate activity'!$D:$D,Formulas!$L361,'Corporate activity'!$C:$C,Formulas!O$2)</f>
        <v>0</v>
      </c>
      <c r="P361">
        <f t="shared" si="30"/>
        <v>0</v>
      </c>
      <c r="Q361" t="str">
        <f t="shared" si="33"/>
        <v/>
      </c>
    </row>
    <row r="362" spans="3:17" x14ac:dyDescent="0.25">
      <c r="C362">
        <f>SUMIFS(Issuance!$H:$H,Issuance!$D:$D,Formulas!$B362,Issuance!$C:$C,Formulas!C$2)</f>
        <v>0</v>
      </c>
      <c r="D362">
        <f>SUMIFS(Issuance!$H:$H,Issuance!$D:$D,Formulas!$B362,Issuance!$C:$C,Formulas!D$2)</f>
        <v>0</v>
      </c>
      <c r="E362">
        <f t="shared" si="29"/>
        <v>0</v>
      </c>
      <c r="F362" s="41" t="str">
        <f t="shared" si="31"/>
        <v/>
      </c>
      <c r="I362">
        <f>SUMIFS(Buybacks!H:H,Buybacks!D:D,Formulas!H362)</f>
        <v>0</v>
      </c>
      <c r="J362" s="41" t="str">
        <f t="shared" si="32"/>
        <v/>
      </c>
      <c r="M362">
        <f>SUMIFS('Corporate activity'!$H:$H,'Corporate activity'!$D:$D,Formulas!$L362,'Corporate activity'!$C:$C,Formulas!M$2)</f>
        <v>0</v>
      </c>
      <c r="N362">
        <f>SUMIFS('Corporate activity'!$H:$H,'Corporate activity'!$D:$D,Formulas!$L362,'Corporate activity'!$C:$C,Formulas!N$2)</f>
        <v>0</v>
      </c>
      <c r="O362">
        <f>SUMIFS('Corporate activity'!$H:$H,'Corporate activity'!$D:$D,Formulas!$L362,'Corporate activity'!$C:$C,Formulas!O$2)</f>
        <v>0</v>
      </c>
      <c r="P362">
        <f t="shared" si="30"/>
        <v>0</v>
      </c>
      <c r="Q362" t="str">
        <f t="shared" si="33"/>
        <v/>
      </c>
    </row>
    <row r="363" spans="3:17" x14ac:dyDescent="0.25">
      <c r="C363">
        <f>SUMIFS(Issuance!$H:$H,Issuance!$D:$D,Formulas!$B363,Issuance!$C:$C,Formulas!C$2)</f>
        <v>0</v>
      </c>
      <c r="D363">
        <f>SUMIFS(Issuance!$H:$H,Issuance!$D:$D,Formulas!$B363,Issuance!$C:$C,Formulas!D$2)</f>
        <v>0</v>
      </c>
      <c r="E363">
        <f t="shared" si="29"/>
        <v>0</v>
      </c>
      <c r="F363" s="41" t="str">
        <f t="shared" si="31"/>
        <v/>
      </c>
      <c r="I363">
        <f>SUMIFS(Buybacks!H:H,Buybacks!D:D,Formulas!H363)</f>
        <v>0</v>
      </c>
      <c r="J363" s="41" t="str">
        <f t="shared" si="32"/>
        <v/>
      </c>
      <c r="M363">
        <f>SUMIFS('Corporate activity'!$H:$H,'Corporate activity'!$D:$D,Formulas!$L363,'Corporate activity'!$C:$C,Formulas!M$2)</f>
        <v>0</v>
      </c>
      <c r="N363">
        <f>SUMIFS('Corporate activity'!$H:$H,'Corporate activity'!$D:$D,Formulas!$L363,'Corporate activity'!$C:$C,Formulas!N$2)</f>
        <v>0</v>
      </c>
      <c r="O363">
        <f>SUMIFS('Corporate activity'!$H:$H,'Corporate activity'!$D:$D,Formulas!$L363,'Corporate activity'!$C:$C,Formulas!O$2)</f>
        <v>0</v>
      </c>
      <c r="P363">
        <f t="shared" si="30"/>
        <v>0</v>
      </c>
      <c r="Q363" t="str">
        <f t="shared" si="33"/>
        <v/>
      </c>
    </row>
    <row r="364" spans="3:17" x14ac:dyDescent="0.25">
      <c r="C364">
        <f>SUMIFS(Issuance!$H:$H,Issuance!$D:$D,Formulas!$B364,Issuance!$C:$C,Formulas!C$2)</f>
        <v>0</v>
      </c>
      <c r="D364">
        <f>SUMIFS(Issuance!$H:$H,Issuance!$D:$D,Formulas!$B364,Issuance!$C:$C,Formulas!D$2)</f>
        <v>0</v>
      </c>
      <c r="E364">
        <f t="shared" si="29"/>
        <v>0</v>
      </c>
      <c r="F364" s="41" t="str">
        <f t="shared" si="31"/>
        <v/>
      </c>
      <c r="I364">
        <f>SUMIFS(Buybacks!H:H,Buybacks!D:D,Formulas!H364)</f>
        <v>0</v>
      </c>
      <c r="J364" s="41" t="str">
        <f t="shared" si="32"/>
        <v/>
      </c>
      <c r="M364">
        <f>SUMIFS('Corporate activity'!$H:$H,'Corporate activity'!$D:$D,Formulas!$L364,'Corporate activity'!$C:$C,Formulas!M$2)</f>
        <v>0</v>
      </c>
      <c r="N364">
        <f>SUMIFS('Corporate activity'!$H:$H,'Corporate activity'!$D:$D,Formulas!$L364,'Corporate activity'!$C:$C,Formulas!N$2)</f>
        <v>0</v>
      </c>
      <c r="O364">
        <f>SUMIFS('Corporate activity'!$H:$H,'Corporate activity'!$D:$D,Formulas!$L364,'Corporate activity'!$C:$C,Formulas!O$2)</f>
        <v>0</v>
      </c>
      <c r="P364">
        <f t="shared" si="30"/>
        <v>0</v>
      </c>
      <c r="Q364" t="str">
        <f t="shared" si="33"/>
        <v/>
      </c>
    </row>
    <row r="365" spans="3:17" x14ac:dyDescent="0.25">
      <c r="C365">
        <f>SUMIFS(Issuance!$H:$H,Issuance!$D:$D,Formulas!$B365,Issuance!$C:$C,Formulas!C$2)</f>
        <v>0</v>
      </c>
      <c r="D365">
        <f>SUMIFS(Issuance!$H:$H,Issuance!$D:$D,Formulas!$B365,Issuance!$C:$C,Formulas!D$2)</f>
        <v>0</v>
      </c>
      <c r="E365">
        <f t="shared" si="29"/>
        <v>0</v>
      </c>
      <c r="F365" s="41" t="str">
        <f t="shared" si="31"/>
        <v/>
      </c>
      <c r="I365">
        <f>SUMIFS(Buybacks!H:H,Buybacks!D:D,Formulas!H365)</f>
        <v>0</v>
      </c>
      <c r="J365" s="41" t="str">
        <f t="shared" si="32"/>
        <v/>
      </c>
      <c r="M365">
        <f>SUMIFS('Corporate activity'!$H:$H,'Corporate activity'!$D:$D,Formulas!$L365,'Corporate activity'!$C:$C,Formulas!M$2)</f>
        <v>0</v>
      </c>
      <c r="N365">
        <f>SUMIFS('Corporate activity'!$H:$H,'Corporate activity'!$D:$D,Formulas!$L365,'Corporate activity'!$C:$C,Formulas!N$2)</f>
        <v>0</v>
      </c>
      <c r="O365">
        <f>SUMIFS('Corporate activity'!$H:$H,'Corporate activity'!$D:$D,Formulas!$L365,'Corporate activity'!$C:$C,Formulas!O$2)</f>
        <v>0</v>
      </c>
      <c r="P365">
        <f t="shared" si="30"/>
        <v>0</v>
      </c>
      <c r="Q365" t="str">
        <f t="shared" si="33"/>
        <v/>
      </c>
    </row>
    <row r="366" spans="3:17" x14ac:dyDescent="0.25">
      <c r="C366">
        <f>SUMIFS(Issuance!$H:$H,Issuance!$D:$D,Formulas!$B366,Issuance!$C:$C,Formulas!C$2)</f>
        <v>0</v>
      </c>
      <c r="D366">
        <f>SUMIFS(Issuance!$H:$H,Issuance!$D:$D,Formulas!$B366,Issuance!$C:$C,Formulas!D$2)</f>
        <v>0</v>
      </c>
      <c r="E366">
        <f t="shared" si="29"/>
        <v>0</v>
      </c>
      <c r="F366" s="41" t="str">
        <f t="shared" si="31"/>
        <v/>
      </c>
      <c r="I366">
        <f>SUMIFS(Buybacks!H:H,Buybacks!D:D,Formulas!H366)</f>
        <v>0</v>
      </c>
      <c r="J366" s="41" t="str">
        <f t="shared" si="32"/>
        <v/>
      </c>
      <c r="M366">
        <f>SUMIFS('Corporate activity'!$H:$H,'Corporate activity'!$D:$D,Formulas!$L366,'Corporate activity'!$C:$C,Formulas!M$2)</f>
        <v>0</v>
      </c>
      <c r="N366">
        <f>SUMIFS('Corporate activity'!$H:$H,'Corporate activity'!$D:$D,Formulas!$L366,'Corporate activity'!$C:$C,Formulas!N$2)</f>
        <v>0</v>
      </c>
      <c r="O366">
        <f>SUMIFS('Corporate activity'!$H:$H,'Corporate activity'!$D:$D,Formulas!$L366,'Corporate activity'!$C:$C,Formulas!O$2)</f>
        <v>0</v>
      </c>
      <c r="P366">
        <f t="shared" si="30"/>
        <v>0</v>
      </c>
      <c r="Q366" t="str">
        <f t="shared" si="33"/>
        <v/>
      </c>
    </row>
    <row r="367" spans="3:17" x14ac:dyDescent="0.25">
      <c r="C367">
        <f>SUMIFS(Issuance!$H:$H,Issuance!$D:$D,Formulas!$B367,Issuance!$C:$C,Formulas!C$2)</f>
        <v>0</v>
      </c>
      <c r="D367">
        <f>SUMIFS(Issuance!$H:$H,Issuance!$D:$D,Formulas!$B367,Issuance!$C:$C,Formulas!D$2)</f>
        <v>0</v>
      </c>
      <c r="E367">
        <f t="shared" si="29"/>
        <v>0</v>
      </c>
      <c r="F367" s="41" t="str">
        <f t="shared" si="31"/>
        <v/>
      </c>
      <c r="I367">
        <f>SUMIFS(Buybacks!H:H,Buybacks!D:D,Formulas!H367)</f>
        <v>0</v>
      </c>
      <c r="J367" s="41" t="str">
        <f t="shared" si="32"/>
        <v/>
      </c>
      <c r="M367">
        <f>SUMIFS('Corporate activity'!$H:$H,'Corporate activity'!$D:$D,Formulas!$L367,'Corporate activity'!$C:$C,Formulas!M$2)</f>
        <v>0</v>
      </c>
      <c r="N367">
        <f>SUMIFS('Corporate activity'!$H:$H,'Corporate activity'!$D:$D,Formulas!$L367,'Corporate activity'!$C:$C,Formulas!N$2)</f>
        <v>0</v>
      </c>
      <c r="O367">
        <f>SUMIFS('Corporate activity'!$H:$H,'Corporate activity'!$D:$D,Formulas!$L367,'Corporate activity'!$C:$C,Formulas!O$2)</f>
        <v>0</v>
      </c>
      <c r="P367">
        <f t="shared" si="30"/>
        <v>0</v>
      </c>
      <c r="Q367" t="str">
        <f t="shared" si="33"/>
        <v/>
      </c>
    </row>
    <row r="368" spans="3:17" x14ac:dyDescent="0.25">
      <c r="C368">
        <f>SUMIFS(Issuance!$H:$H,Issuance!$D:$D,Formulas!$B368,Issuance!$C:$C,Formulas!C$2)</f>
        <v>0</v>
      </c>
      <c r="D368">
        <f>SUMIFS(Issuance!$H:$H,Issuance!$D:$D,Formulas!$B368,Issuance!$C:$C,Formulas!D$2)</f>
        <v>0</v>
      </c>
      <c r="E368">
        <f t="shared" si="29"/>
        <v>0</v>
      </c>
      <c r="F368" s="41" t="str">
        <f t="shared" si="31"/>
        <v/>
      </c>
      <c r="I368">
        <f>SUMIFS(Buybacks!H:H,Buybacks!D:D,Formulas!H368)</f>
        <v>0</v>
      </c>
      <c r="J368" s="41" t="str">
        <f t="shared" si="32"/>
        <v/>
      </c>
      <c r="M368">
        <f>SUMIFS('Corporate activity'!$H:$H,'Corporate activity'!$D:$D,Formulas!$L368,'Corporate activity'!$C:$C,Formulas!M$2)</f>
        <v>0</v>
      </c>
      <c r="N368">
        <f>SUMIFS('Corporate activity'!$H:$H,'Corporate activity'!$D:$D,Formulas!$L368,'Corporate activity'!$C:$C,Formulas!N$2)</f>
        <v>0</v>
      </c>
      <c r="O368">
        <f>SUMIFS('Corporate activity'!$H:$H,'Corporate activity'!$D:$D,Formulas!$L368,'Corporate activity'!$C:$C,Formulas!O$2)</f>
        <v>0</v>
      </c>
      <c r="P368">
        <f t="shared" si="30"/>
        <v>0</v>
      </c>
      <c r="Q368" t="str">
        <f t="shared" si="33"/>
        <v/>
      </c>
    </row>
    <row r="369" spans="3:17" x14ac:dyDescent="0.25">
      <c r="C369">
        <f>SUMIFS(Issuance!$H:$H,Issuance!$D:$D,Formulas!$B369,Issuance!$C:$C,Formulas!C$2)</f>
        <v>0</v>
      </c>
      <c r="D369">
        <f>SUMIFS(Issuance!$H:$H,Issuance!$D:$D,Formulas!$B369,Issuance!$C:$C,Formulas!D$2)</f>
        <v>0</v>
      </c>
      <c r="E369">
        <f t="shared" si="29"/>
        <v>0</v>
      </c>
      <c r="F369" s="41" t="str">
        <f t="shared" si="31"/>
        <v/>
      </c>
      <c r="I369">
        <f>SUMIFS(Buybacks!H:H,Buybacks!D:D,Formulas!H369)</f>
        <v>0</v>
      </c>
      <c r="J369" s="41" t="str">
        <f t="shared" si="32"/>
        <v/>
      </c>
      <c r="M369">
        <f>SUMIFS('Corporate activity'!$H:$H,'Corporate activity'!$D:$D,Formulas!$L369,'Corporate activity'!$C:$C,Formulas!M$2)</f>
        <v>0</v>
      </c>
      <c r="N369">
        <f>SUMIFS('Corporate activity'!$H:$H,'Corporate activity'!$D:$D,Formulas!$L369,'Corporate activity'!$C:$C,Formulas!N$2)</f>
        <v>0</v>
      </c>
      <c r="O369">
        <f>SUMIFS('Corporate activity'!$H:$H,'Corporate activity'!$D:$D,Formulas!$L369,'Corporate activity'!$C:$C,Formulas!O$2)</f>
        <v>0</v>
      </c>
      <c r="P369">
        <f t="shared" si="30"/>
        <v>0</v>
      </c>
      <c r="Q369" t="str">
        <f t="shared" si="33"/>
        <v/>
      </c>
    </row>
    <row r="370" spans="3:17" x14ac:dyDescent="0.25">
      <c r="C370">
        <f>SUMIFS(Issuance!$H:$H,Issuance!$D:$D,Formulas!$B370,Issuance!$C:$C,Formulas!C$2)</f>
        <v>0</v>
      </c>
      <c r="D370">
        <f>SUMIFS(Issuance!$H:$H,Issuance!$D:$D,Formulas!$B370,Issuance!$C:$C,Formulas!D$2)</f>
        <v>0</v>
      </c>
      <c r="E370">
        <f t="shared" si="29"/>
        <v>0</v>
      </c>
      <c r="F370" s="41" t="str">
        <f t="shared" si="31"/>
        <v/>
      </c>
      <c r="I370">
        <f>SUMIFS(Buybacks!H:H,Buybacks!D:D,Formulas!H370)</f>
        <v>0</v>
      </c>
      <c r="J370" s="41" t="str">
        <f t="shared" si="32"/>
        <v/>
      </c>
      <c r="M370">
        <f>SUMIFS('Corporate activity'!$H:$H,'Corporate activity'!$D:$D,Formulas!$L370,'Corporate activity'!$C:$C,Formulas!M$2)</f>
        <v>0</v>
      </c>
      <c r="N370">
        <f>SUMIFS('Corporate activity'!$H:$H,'Corporate activity'!$D:$D,Formulas!$L370,'Corporate activity'!$C:$C,Formulas!N$2)</f>
        <v>0</v>
      </c>
      <c r="O370">
        <f>SUMIFS('Corporate activity'!$H:$H,'Corporate activity'!$D:$D,Formulas!$L370,'Corporate activity'!$C:$C,Formulas!O$2)</f>
        <v>0</v>
      </c>
      <c r="P370">
        <f t="shared" si="30"/>
        <v>0</v>
      </c>
      <c r="Q370" t="str">
        <f t="shared" si="33"/>
        <v/>
      </c>
    </row>
    <row r="371" spans="3:17" x14ac:dyDescent="0.25">
      <c r="C371">
        <f>SUMIFS(Issuance!$H:$H,Issuance!$D:$D,Formulas!$B371,Issuance!$C:$C,Formulas!C$2)</f>
        <v>0</v>
      </c>
      <c r="D371">
        <f>SUMIFS(Issuance!$H:$H,Issuance!$D:$D,Formulas!$B371,Issuance!$C:$C,Formulas!D$2)</f>
        <v>0</v>
      </c>
      <c r="E371">
        <f t="shared" ref="E371:E434" si="34">SUM(C371:D371)</f>
        <v>0</v>
      </c>
      <c r="F371" s="41" t="str">
        <f t="shared" si="31"/>
        <v/>
      </c>
      <c r="I371">
        <f>SUMIFS(Buybacks!H:H,Buybacks!D:D,Formulas!H371)</f>
        <v>0</v>
      </c>
      <c r="J371" s="41" t="str">
        <f t="shared" si="32"/>
        <v/>
      </c>
      <c r="M371">
        <f>SUMIFS('Corporate activity'!$H:$H,'Corporate activity'!$D:$D,Formulas!$L371,'Corporate activity'!$C:$C,Formulas!M$2)</f>
        <v>0</v>
      </c>
      <c r="N371">
        <f>SUMIFS('Corporate activity'!$H:$H,'Corporate activity'!$D:$D,Formulas!$L371,'Corporate activity'!$C:$C,Formulas!N$2)</f>
        <v>0</v>
      </c>
      <c r="O371">
        <f>SUMIFS('Corporate activity'!$H:$H,'Corporate activity'!$D:$D,Formulas!$L371,'Corporate activity'!$C:$C,Formulas!O$2)</f>
        <v>0</v>
      </c>
      <c r="P371">
        <f t="shared" ref="P371:P434" si="35">SUM(M371:O371)</f>
        <v>0</v>
      </c>
      <c r="Q371" t="str">
        <f t="shared" si="33"/>
        <v/>
      </c>
    </row>
    <row r="372" spans="3:17" x14ac:dyDescent="0.25">
      <c r="C372">
        <f>SUMIFS(Issuance!$H:$H,Issuance!$D:$D,Formulas!$B372,Issuance!$C:$C,Formulas!C$2)</f>
        <v>0</v>
      </c>
      <c r="D372">
        <f>SUMIFS(Issuance!$H:$H,Issuance!$D:$D,Formulas!$B372,Issuance!$C:$C,Formulas!D$2)</f>
        <v>0</v>
      </c>
      <c r="E372">
        <f t="shared" si="34"/>
        <v>0</v>
      </c>
      <c r="F372" s="41" t="str">
        <f t="shared" si="31"/>
        <v/>
      </c>
      <c r="I372">
        <f>SUMIFS(Buybacks!H:H,Buybacks!D:D,Formulas!H372)</f>
        <v>0</v>
      </c>
      <c r="J372" s="41" t="str">
        <f t="shared" si="32"/>
        <v/>
      </c>
      <c r="M372">
        <f>SUMIFS('Corporate activity'!$H:$H,'Corporate activity'!$D:$D,Formulas!$L372,'Corporate activity'!$C:$C,Formulas!M$2)</f>
        <v>0</v>
      </c>
      <c r="N372">
        <f>SUMIFS('Corporate activity'!$H:$H,'Corporate activity'!$D:$D,Formulas!$L372,'Corporate activity'!$C:$C,Formulas!N$2)</f>
        <v>0</v>
      </c>
      <c r="O372">
        <f>SUMIFS('Corporate activity'!$H:$H,'Corporate activity'!$D:$D,Formulas!$L372,'Corporate activity'!$C:$C,Formulas!O$2)</f>
        <v>0</v>
      </c>
      <c r="P372">
        <f t="shared" si="35"/>
        <v>0</v>
      </c>
      <c r="Q372" t="str">
        <f t="shared" si="33"/>
        <v/>
      </c>
    </row>
    <row r="373" spans="3:17" x14ac:dyDescent="0.25">
      <c r="C373">
        <f>SUMIFS(Issuance!$H:$H,Issuance!$D:$D,Formulas!$B373,Issuance!$C:$C,Formulas!C$2)</f>
        <v>0</v>
      </c>
      <c r="D373">
        <f>SUMIFS(Issuance!$H:$H,Issuance!$D:$D,Formulas!$B373,Issuance!$C:$C,Formulas!D$2)</f>
        <v>0</v>
      </c>
      <c r="E373">
        <f t="shared" si="34"/>
        <v>0</v>
      </c>
      <c r="F373" s="41" t="str">
        <f t="shared" si="31"/>
        <v/>
      </c>
      <c r="I373">
        <f>SUMIFS(Buybacks!H:H,Buybacks!D:D,Formulas!H373)</f>
        <v>0</v>
      </c>
      <c r="J373" s="41" t="str">
        <f t="shared" si="32"/>
        <v/>
      </c>
      <c r="M373">
        <f>SUMIFS('Corporate activity'!$H:$H,'Corporate activity'!$D:$D,Formulas!$L373,'Corporate activity'!$C:$C,Formulas!M$2)</f>
        <v>0</v>
      </c>
      <c r="N373">
        <f>SUMIFS('Corporate activity'!$H:$H,'Corporate activity'!$D:$D,Formulas!$L373,'Corporate activity'!$C:$C,Formulas!N$2)</f>
        <v>0</v>
      </c>
      <c r="O373">
        <f>SUMIFS('Corporate activity'!$H:$H,'Corporate activity'!$D:$D,Formulas!$L373,'Corporate activity'!$C:$C,Formulas!O$2)</f>
        <v>0</v>
      </c>
      <c r="P373">
        <f t="shared" si="35"/>
        <v>0</v>
      </c>
      <c r="Q373" t="str">
        <f t="shared" si="33"/>
        <v/>
      </c>
    </row>
    <row r="374" spans="3:17" x14ac:dyDescent="0.25">
      <c r="C374">
        <f>SUMIFS(Issuance!$H:$H,Issuance!$D:$D,Formulas!$B374,Issuance!$C:$C,Formulas!C$2)</f>
        <v>0</v>
      </c>
      <c r="D374">
        <f>SUMIFS(Issuance!$H:$H,Issuance!$D:$D,Formulas!$B374,Issuance!$C:$C,Formulas!D$2)</f>
        <v>0</v>
      </c>
      <c r="E374">
        <f t="shared" si="34"/>
        <v>0</v>
      </c>
      <c r="F374" s="41" t="str">
        <f t="shared" si="31"/>
        <v/>
      </c>
      <c r="I374">
        <f>SUMIFS(Buybacks!H:H,Buybacks!D:D,Formulas!H374)</f>
        <v>0</v>
      </c>
      <c r="J374" s="41" t="str">
        <f t="shared" si="32"/>
        <v/>
      </c>
      <c r="M374">
        <f>SUMIFS('Corporate activity'!$H:$H,'Corporate activity'!$D:$D,Formulas!$L374,'Corporate activity'!$C:$C,Formulas!M$2)</f>
        <v>0</v>
      </c>
      <c r="N374">
        <f>SUMIFS('Corporate activity'!$H:$H,'Corporate activity'!$D:$D,Formulas!$L374,'Corporate activity'!$C:$C,Formulas!N$2)</f>
        <v>0</v>
      </c>
      <c r="O374">
        <f>SUMIFS('Corporate activity'!$H:$H,'Corporate activity'!$D:$D,Formulas!$L374,'Corporate activity'!$C:$C,Formulas!O$2)</f>
        <v>0</v>
      </c>
      <c r="P374">
        <f t="shared" si="35"/>
        <v>0</v>
      </c>
      <c r="Q374" t="str">
        <f t="shared" si="33"/>
        <v/>
      </c>
    </row>
    <row r="375" spans="3:17" x14ac:dyDescent="0.25">
      <c r="C375">
        <f>SUMIFS(Issuance!$H:$H,Issuance!$D:$D,Formulas!$B375,Issuance!$C:$C,Formulas!C$2)</f>
        <v>0</v>
      </c>
      <c r="D375">
        <f>SUMIFS(Issuance!$H:$H,Issuance!$D:$D,Formulas!$B375,Issuance!$C:$C,Formulas!D$2)</f>
        <v>0</v>
      </c>
      <c r="E375">
        <f t="shared" si="34"/>
        <v>0</v>
      </c>
      <c r="F375" s="41" t="str">
        <f t="shared" si="31"/>
        <v/>
      </c>
      <c r="I375">
        <f>SUMIFS(Buybacks!H:H,Buybacks!D:D,Formulas!H375)</f>
        <v>0</v>
      </c>
      <c r="J375" s="41" t="str">
        <f t="shared" si="32"/>
        <v/>
      </c>
      <c r="M375">
        <f>SUMIFS('Corporate activity'!$H:$H,'Corporate activity'!$D:$D,Formulas!$L375,'Corporate activity'!$C:$C,Formulas!M$2)</f>
        <v>0</v>
      </c>
      <c r="N375">
        <f>SUMIFS('Corporate activity'!$H:$H,'Corporate activity'!$D:$D,Formulas!$L375,'Corporate activity'!$C:$C,Formulas!N$2)</f>
        <v>0</v>
      </c>
      <c r="O375">
        <f>SUMIFS('Corporate activity'!$H:$H,'Corporate activity'!$D:$D,Formulas!$L375,'Corporate activity'!$C:$C,Formulas!O$2)</f>
        <v>0</v>
      </c>
      <c r="P375">
        <f t="shared" si="35"/>
        <v>0</v>
      </c>
      <c r="Q375" t="str">
        <f t="shared" si="33"/>
        <v/>
      </c>
    </row>
    <row r="376" spans="3:17" x14ac:dyDescent="0.25">
      <c r="C376">
        <f>SUMIFS(Issuance!$H:$H,Issuance!$D:$D,Formulas!$B376,Issuance!$C:$C,Formulas!C$2)</f>
        <v>0</v>
      </c>
      <c r="D376">
        <f>SUMIFS(Issuance!$H:$H,Issuance!$D:$D,Formulas!$B376,Issuance!$C:$C,Formulas!D$2)</f>
        <v>0</v>
      </c>
      <c r="E376">
        <f t="shared" si="34"/>
        <v>0</v>
      </c>
      <c r="F376" s="41" t="str">
        <f t="shared" si="31"/>
        <v/>
      </c>
      <c r="I376">
        <f>SUMIFS(Buybacks!H:H,Buybacks!D:D,Formulas!H376)</f>
        <v>0</v>
      </c>
      <c r="J376" s="41" t="str">
        <f t="shared" si="32"/>
        <v/>
      </c>
      <c r="M376">
        <f>SUMIFS('Corporate activity'!$H:$H,'Corporate activity'!$D:$D,Formulas!$L376,'Corporate activity'!$C:$C,Formulas!M$2)</f>
        <v>0</v>
      </c>
      <c r="N376">
        <f>SUMIFS('Corporate activity'!$H:$H,'Corporate activity'!$D:$D,Formulas!$L376,'Corporate activity'!$C:$C,Formulas!N$2)</f>
        <v>0</v>
      </c>
      <c r="O376">
        <f>SUMIFS('Corporate activity'!$H:$H,'Corporate activity'!$D:$D,Formulas!$L376,'Corporate activity'!$C:$C,Formulas!O$2)</f>
        <v>0</v>
      </c>
      <c r="P376">
        <f t="shared" si="35"/>
        <v>0</v>
      </c>
      <c r="Q376" t="str">
        <f t="shared" si="33"/>
        <v/>
      </c>
    </row>
    <row r="377" spans="3:17" x14ac:dyDescent="0.25">
      <c r="C377">
        <f>SUMIFS(Issuance!$H:$H,Issuance!$D:$D,Formulas!$B377,Issuance!$C:$C,Formulas!C$2)</f>
        <v>0</v>
      </c>
      <c r="D377">
        <f>SUMIFS(Issuance!$H:$H,Issuance!$D:$D,Formulas!$B377,Issuance!$C:$C,Formulas!D$2)</f>
        <v>0</v>
      </c>
      <c r="E377">
        <f t="shared" si="34"/>
        <v>0</v>
      </c>
      <c r="F377" s="41" t="str">
        <f t="shared" si="31"/>
        <v/>
      </c>
      <c r="I377">
        <f>SUMIFS(Buybacks!H:H,Buybacks!D:D,Formulas!H377)</f>
        <v>0</v>
      </c>
      <c r="J377" s="41" t="str">
        <f t="shared" si="32"/>
        <v/>
      </c>
      <c r="M377">
        <f>SUMIFS('Corporate activity'!$H:$H,'Corporate activity'!$D:$D,Formulas!$L377,'Corporate activity'!$C:$C,Formulas!M$2)</f>
        <v>0</v>
      </c>
      <c r="N377">
        <f>SUMIFS('Corporate activity'!$H:$H,'Corporate activity'!$D:$D,Formulas!$L377,'Corporate activity'!$C:$C,Formulas!N$2)</f>
        <v>0</v>
      </c>
      <c r="O377">
        <f>SUMIFS('Corporate activity'!$H:$H,'Corporate activity'!$D:$D,Formulas!$L377,'Corporate activity'!$C:$C,Formulas!O$2)</f>
        <v>0</v>
      </c>
      <c r="P377">
        <f t="shared" si="35"/>
        <v>0</v>
      </c>
      <c r="Q377" t="str">
        <f t="shared" si="33"/>
        <v/>
      </c>
    </row>
    <row r="378" spans="3:17" x14ac:dyDescent="0.25">
      <c r="C378">
        <f>SUMIFS(Issuance!$H:$H,Issuance!$D:$D,Formulas!$B378,Issuance!$C:$C,Formulas!C$2)</f>
        <v>0</v>
      </c>
      <c r="D378">
        <f>SUMIFS(Issuance!$H:$H,Issuance!$D:$D,Formulas!$B378,Issuance!$C:$C,Formulas!D$2)</f>
        <v>0</v>
      </c>
      <c r="E378">
        <f t="shared" si="34"/>
        <v>0</v>
      </c>
      <c r="F378" s="41" t="str">
        <f t="shared" si="31"/>
        <v/>
      </c>
      <c r="I378">
        <f>SUMIFS(Buybacks!H:H,Buybacks!D:D,Formulas!H378)</f>
        <v>0</v>
      </c>
      <c r="J378" s="41" t="str">
        <f t="shared" si="32"/>
        <v/>
      </c>
      <c r="M378">
        <f>SUMIFS('Corporate activity'!$H:$H,'Corporate activity'!$D:$D,Formulas!$L378,'Corporate activity'!$C:$C,Formulas!M$2)</f>
        <v>0</v>
      </c>
      <c r="N378">
        <f>SUMIFS('Corporate activity'!$H:$H,'Corporate activity'!$D:$D,Formulas!$L378,'Corporate activity'!$C:$C,Formulas!N$2)</f>
        <v>0</v>
      </c>
      <c r="O378">
        <f>SUMIFS('Corporate activity'!$H:$H,'Corporate activity'!$D:$D,Formulas!$L378,'Corporate activity'!$C:$C,Formulas!O$2)</f>
        <v>0</v>
      </c>
      <c r="P378">
        <f t="shared" si="35"/>
        <v>0</v>
      </c>
      <c r="Q378" t="str">
        <f t="shared" si="33"/>
        <v/>
      </c>
    </row>
    <row r="379" spans="3:17" x14ac:dyDescent="0.25">
      <c r="C379">
        <f>SUMIFS(Issuance!$H:$H,Issuance!$D:$D,Formulas!$B379,Issuance!$C:$C,Formulas!C$2)</f>
        <v>0</v>
      </c>
      <c r="D379">
        <f>SUMIFS(Issuance!$H:$H,Issuance!$D:$D,Formulas!$B379,Issuance!$C:$C,Formulas!D$2)</f>
        <v>0</v>
      </c>
      <c r="E379">
        <f t="shared" si="34"/>
        <v>0</v>
      </c>
      <c r="F379" s="41" t="str">
        <f t="shared" si="31"/>
        <v/>
      </c>
      <c r="I379">
        <f>SUMIFS(Buybacks!H:H,Buybacks!D:D,Formulas!H379)</f>
        <v>0</v>
      </c>
      <c r="J379" s="41" t="str">
        <f t="shared" si="32"/>
        <v/>
      </c>
      <c r="M379">
        <f>SUMIFS('Corporate activity'!$H:$H,'Corporate activity'!$D:$D,Formulas!$L379,'Corporate activity'!$C:$C,Formulas!M$2)</f>
        <v>0</v>
      </c>
      <c r="N379">
        <f>SUMIFS('Corporate activity'!$H:$H,'Corporate activity'!$D:$D,Formulas!$L379,'Corporate activity'!$C:$C,Formulas!N$2)</f>
        <v>0</v>
      </c>
      <c r="O379">
        <f>SUMIFS('Corporate activity'!$H:$H,'Corporate activity'!$D:$D,Formulas!$L379,'Corporate activity'!$C:$C,Formulas!O$2)</f>
        <v>0</v>
      </c>
      <c r="P379">
        <f t="shared" si="35"/>
        <v>0</v>
      </c>
      <c r="Q379" t="str">
        <f t="shared" si="33"/>
        <v/>
      </c>
    </row>
    <row r="380" spans="3:17" x14ac:dyDescent="0.25">
      <c r="C380">
        <f>SUMIFS(Issuance!$H:$H,Issuance!$D:$D,Formulas!$B380,Issuance!$C:$C,Formulas!C$2)</f>
        <v>0</v>
      </c>
      <c r="D380">
        <f>SUMIFS(Issuance!$H:$H,Issuance!$D:$D,Formulas!$B380,Issuance!$C:$C,Formulas!D$2)</f>
        <v>0</v>
      </c>
      <c r="E380">
        <f t="shared" si="34"/>
        <v>0</v>
      </c>
      <c r="F380" s="41" t="str">
        <f t="shared" si="31"/>
        <v/>
      </c>
      <c r="I380">
        <f>SUMIFS(Buybacks!H:H,Buybacks!D:D,Formulas!H380)</f>
        <v>0</v>
      </c>
      <c r="J380" s="41" t="str">
        <f t="shared" si="32"/>
        <v/>
      </c>
      <c r="M380">
        <f>SUMIFS('Corporate activity'!$H:$H,'Corporate activity'!$D:$D,Formulas!$L380,'Corporate activity'!$C:$C,Formulas!M$2)</f>
        <v>0</v>
      </c>
      <c r="N380">
        <f>SUMIFS('Corporate activity'!$H:$H,'Corporate activity'!$D:$D,Formulas!$L380,'Corporate activity'!$C:$C,Formulas!N$2)</f>
        <v>0</v>
      </c>
      <c r="O380">
        <f>SUMIFS('Corporate activity'!$H:$H,'Corporate activity'!$D:$D,Formulas!$L380,'Corporate activity'!$C:$C,Formulas!O$2)</f>
        <v>0</v>
      </c>
      <c r="P380">
        <f t="shared" si="35"/>
        <v>0</v>
      </c>
      <c r="Q380" t="str">
        <f t="shared" si="33"/>
        <v/>
      </c>
    </row>
    <row r="381" spans="3:17" x14ac:dyDescent="0.25">
      <c r="C381">
        <f>SUMIFS(Issuance!$H:$H,Issuance!$D:$D,Formulas!$B381,Issuance!$C:$C,Formulas!C$2)</f>
        <v>0</v>
      </c>
      <c r="D381">
        <f>SUMIFS(Issuance!$H:$H,Issuance!$D:$D,Formulas!$B381,Issuance!$C:$C,Formulas!D$2)</f>
        <v>0</v>
      </c>
      <c r="E381">
        <f t="shared" si="34"/>
        <v>0</v>
      </c>
      <c r="F381" s="41" t="str">
        <f t="shared" si="31"/>
        <v/>
      </c>
      <c r="I381">
        <f>SUMIFS(Buybacks!H:H,Buybacks!D:D,Formulas!H381)</f>
        <v>0</v>
      </c>
      <c r="J381" s="41" t="str">
        <f t="shared" si="32"/>
        <v/>
      </c>
      <c r="M381">
        <f>SUMIFS('Corporate activity'!$H:$H,'Corporate activity'!$D:$D,Formulas!$L381,'Corporate activity'!$C:$C,Formulas!M$2)</f>
        <v>0</v>
      </c>
      <c r="N381">
        <f>SUMIFS('Corporate activity'!$H:$H,'Corporate activity'!$D:$D,Formulas!$L381,'Corporate activity'!$C:$C,Formulas!N$2)</f>
        <v>0</v>
      </c>
      <c r="O381">
        <f>SUMIFS('Corporate activity'!$H:$H,'Corporate activity'!$D:$D,Formulas!$L381,'Corporate activity'!$C:$C,Formulas!O$2)</f>
        <v>0</v>
      </c>
      <c r="P381">
        <f t="shared" si="35"/>
        <v>0</v>
      </c>
      <c r="Q381" t="str">
        <f t="shared" si="33"/>
        <v/>
      </c>
    </row>
    <row r="382" spans="3:17" x14ac:dyDescent="0.25">
      <c r="C382">
        <f>SUMIFS(Issuance!$H:$H,Issuance!$D:$D,Formulas!$B382,Issuance!$C:$C,Formulas!C$2)</f>
        <v>0</v>
      </c>
      <c r="D382">
        <f>SUMIFS(Issuance!$H:$H,Issuance!$D:$D,Formulas!$B382,Issuance!$C:$C,Formulas!D$2)</f>
        <v>0</v>
      </c>
      <c r="E382">
        <f t="shared" si="34"/>
        <v>0</v>
      </c>
      <c r="F382" s="41" t="str">
        <f t="shared" si="31"/>
        <v/>
      </c>
      <c r="I382">
        <f>SUMIFS(Buybacks!H:H,Buybacks!D:D,Formulas!H382)</f>
        <v>0</v>
      </c>
      <c r="J382" s="41" t="str">
        <f t="shared" si="32"/>
        <v/>
      </c>
      <c r="M382">
        <f>SUMIFS('Corporate activity'!$H:$H,'Corporate activity'!$D:$D,Formulas!$L382,'Corporate activity'!$C:$C,Formulas!M$2)</f>
        <v>0</v>
      </c>
      <c r="N382">
        <f>SUMIFS('Corporate activity'!$H:$H,'Corporate activity'!$D:$D,Formulas!$L382,'Corporate activity'!$C:$C,Formulas!N$2)</f>
        <v>0</v>
      </c>
      <c r="O382">
        <f>SUMIFS('Corporate activity'!$H:$H,'Corporate activity'!$D:$D,Formulas!$L382,'Corporate activity'!$C:$C,Formulas!O$2)</f>
        <v>0</v>
      </c>
      <c r="P382">
        <f t="shared" si="35"/>
        <v>0</v>
      </c>
      <c r="Q382" t="str">
        <f t="shared" si="33"/>
        <v/>
      </c>
    </row>
    <row r="383" spans="3:17" x14ac:dyDescent="0.25">
      <c r="C383">
        <f>SUMIFS(Issuance!$H:$H,Issuance!$D:$D,Formulas!$B383,Issuance!$C:$C,Formulas!C$2)</f>
        <v>0</v>
      </c>
      <c r="D383">
        <f>SUMIFS(Issuance!$H:$H,Issuance!$D:$D,Formulas!$B383,Issuance!$C:$C,Formulas!D$2)</f>
        <v>0</v>
      </c>
      <c r="E383">
        <f t="shared" si="34"/>
        <v>0</v>
      </c>
      <c r="F383" s="41" t="str">
        <f t="shared" si="31"/>
        <v/>
      </c>
      <c r="I383">
        <f>SUMIFS(Buybacks!H:H,Buybacks!D:D,Formulas!H383)</f>
        <v>0</v>
      </c>
      <c r="J383" s="41" t="str">
        <f t="shared" si="32"/>
        <v/>
      </c>
      <c r="M383">
        <f>SUMIFS('Corporate activity'!$H:$H,'Corporate activity'!$D:$D,Formulas!$L383,'Corporate activity'!$C:$C,Formulas!M$2)</f>
        <v>0</v>
      </c>
      <c r="N383">
        <f>SUMIFS('Corporate activity'!$H:$H,'Corporate activity'!$D:$D,Formulas!$L383,'Corporate activity'!$C:$C,Formulas!N$2)</f>
        <v>0</v>
      </c>
      <c r="O383">
        <f>SUMIFS('Corporate activity'!$H:$H,'Corporate activity'!$D:$D,Formulas!$L383,'Corporate activity'!$C:$C,Formulas!O$2)</f>
        <v>0</v>
      </c>
      <c r="P383">
        <f t="shared" si="35"/>
        <v>0</v>
      </c>
      <c r="Q383" t="str">
        <f t="shared" si="33"/>
        <v/>
      </c>
    </row>
    <row r="384" spans="3:17" x14ac:dyDescent="0.25">
      <c r="C384">
        <f>SUMIFS(Issuance!$H:$H,Issuance!$D:$D,Formulas!$B384,Issuance!$C:$C,Formulas!C$2)</f>
        <v>0</v>
      </c>
      <c r="D384">
        <f>SUMIFS(Issuance!$H:$H,Issuance!$D:$D,Formulas!$B384,Issuance!$C:$C,Formulas!D$2)</f>
        <v>0</v>
      </c>
      <c r="E384">
        <f t="shared" si="34"/>
        <v>0</v>
      </c>
      <c r="F384" s="41" t="str">
        <f t="shared" si="31"/>
        <v/>
      </c>
      <c r="I384">
        <f>SUMIFS(Buybacks!H:H,Buybacks!D:D,Formulas!H384)</f>
        <v>0</v>
      </c>
      <c r="J384" s="41" t="str">
        <f t="shared" si="32"/>
        <v/>
      </c>
      <c r="M384">
        <f>SUMIFS('Corporate activity'!$H:$H,'Corporate activity'!$D:$D,Formulas!$L384,'Corporate activity'!$C:$C,Formulas!M$2)</f>
        <v>0</v>
      </c>
      <c r="N384">
        <f>SUMIFS('Corporate activity'!$H:$H,'Corporate activity'!$D:$D,Formulas!$L384,'Corporate activity'!$C:$C,Formulas!N$2)</f>
        <v>0</v>
      </c>
      <c r="O384">
        <f>SUMIFS('Corporate activity'!$H:$H,'Corporate activity'!$D:$D,Formulas!$L384,'Corporate activity'!$C:$C,Formulas!O$2)</f>
        <v>0</v>
      </c>
      <c r="P384">
        <f t="shared" si="35"/>
        <v>0</v>
      </c>
      <c r="Q384" t="str">
        <f t="shared" si="33"/>
        <v/>
      </c>
    </row>
    <row r="385" spans="3:17" x14ac:dyDescent="0.25">
      <c r="C385">
        <f>SUMIFS(Issuance!$H:$H,Issuance!$D:$D,Formulas!$B385,Issuance!$C:$C,Formulas!C$2)</f>
        <v>0</v>
      </c>
      <c r="D385">
        <f>SUMIFS(Issuance!$H:$H,Issuance!$D:$D,Formulas!$B385,Issuance!$C:$C,Formulas!D$2)</f>
        <v>0</v>
      </c>
      <c r="E385">
        <f t="shared" si="34"/>
        <v>0</v>
      </c>
      <c r="F385" s="41" t="str">
        <f t="shared" si="31"/>
        <v/>
      </c>
      <c r="I385">
        <f>SUMIFS(Buybacks!H:H,Buybacks!D:D,Formulas!H385)</f>
        <v>0</v>
      </c>
      <c r="J385" s="41" t="str">
        <f t="shared" si="32"/>
        <v/>
      </c>
      <c r="M385">
        <f>SUMIFS('Corporate activity'!$H:$H,'Corporate activity'!$D:$D,Formulas!$L385,'Corporate activity'!$C:$C,Formulas!M$2)</f>
        <v>0</v>
      </c>
      <c r="N385">
        <f>SUMIFS('Corporate activity'!$H:$H,'Corporate activity'!$D:$D,Formulas!$L385,'Corporate activity'!$C:$C,Formulas!N$2)</f>
        <v>0</v>
      </c>
      <c r="O385">
        <f>SUMIFS('Corporate activity'!$H:$H,'Corporate activity'!$D:$D,Formulas!$L385,'Corporate activity'!$C:$C,Formulas!O$2)</f>
        <v>0</v>
      </c>
      <c r="P385">
        <f t="shared" si="35"/>
        <v>0</v>
      </c>
      <c r="Q385" t="str">
        <f t="shared" si="33"/>
        <v/>
      </c>
    </row>
    <row r="386" spans="3:17" x14ac:dyDescent="0.25">
      <c r="C386">
        <f>SUMIFS(Issuance!$H:$H,Issuance!$D:$D,Formulas!$B386,Issuance!$C:$C,Formulas!C$2)</f>
        <v>0</v>
      </c>
      <c r="D386">
        <f>SUMIFS(Issuance!$H:$H,Issuance!$D:$D,Formulas!$B386,Issuance!$C:$C,Formulas!D$2)</f>
        <v>0</v>
      </c>
      <c r="E386">
        <f t="shared" si="34"/>
        <v>0</v>
      </c>
      <c r="F386" s="41" t="str">
        <f t="shared" si="31"/>
        <v/>
      </c>
      <c r="I386">
        <f>SUMIFS(Buybacks!H:H,Buybacks!D:D,Formulas!H386)</f>
        <v>0</v>
      </c>
      <c r="J386" s="41" t="str">
        <f t="shared" si="32"/>
        <v/>
      </c>
      <c r="M386">
        <f>SUMIFS('Corporate activity'!$H:$H,'Corporate activity'!$D:$D,Formulas!$L386,'Corporate activity'!$C:$C,Formulas!M$2)</f>
        <v>0</v>
      </c>
      <c r="N386">
        <f>SUMIFS('Corporate activity'!$H:$H,'Corporate activity'!$D:$D,Formulas!$L386,'Corporate activity'!$C:$C,Formulas!N$2)</f>
        <v>0</v>
      </c>
      <c r="O386">
        <f>SUMIFS('Corporate activity'!$H:$H,'Corporate activity'!$D:$D,Formulas!$L386,'Corporate activity'!$C:$C,Formulas!O$2)</f>
        <v>0</v>
      </c>
      <c r="P386">
        <f t="shared" si="35"/>
        <v>0</v>
      </c>
      <c r="Q386" t="str">
        <f t="shared" si="33"/>
        <v/>
      </c>
    </row>
    <row r="387" spans="3:17" x14ac:dyDescent="0.25">
      <c r="C387">
        <f>SUMIFS(Issuance!$H:$H,Issuance!$D:$D,Formulas!$B387,Issuance!$C:$C,Formulas!C$2)</f>
        <v>0</v>
      </c>
      <c r="D387">
        <f>SUMIFS(Issuance!$H:$H,Issuance!$D:$D,Formulas!$B387,Issuance!$C:$C,Formulas!D$2)</f>
        <v>0</v>
      </c>
      <c r="E387">
        <f t="shared" si="34"/>
        <v>0</v>
      </c>
      <c r="F387" s="41" t="str">
        <f t="shared" si="31"/>
        <v/>
      </c>
      <c r="I387">
        <f>SUMIFS(Buybacks!H:H,Buybacks!D:D,Formulas!H387)</f>
        <v>0</v>
      </c>
      <c r="J387" s="41" t="str">
        <f t="shared" si="32"/>
        <v/>
      </c>
      <c r="M387">
        <f>SUMIFS('Corporate activity'!$H:$H,'Corporate activity'!$D:$D,Formulas!$L387,'Corporate activity'!$C:$C,Formulas!M$2)</f>
        <v>0</v>
      </c>
      <c r="N387">
        <f>SUMIFS('Corporate activity'!$H:$H,'Corporate activity'!$D:$D,Formulas!$L387,'Corporate activity'!$C:$C,Formulas!N$2)</f>
        <v>0</v>
      </c>
      <c r="O387">
        <f>SUMIFS('Corporate activity'!$H:$H,'Corporate activity'!$D:$D,Formulas!$L387,'Corporate activity'!$C:$C,Formulas!O$2)</f>
        <v>0</v>
      </c>
      <c r="P387">
        <f t="shared" si="35"/>
        <v>0</v>
      </c>
      <c r="Q387" t="str">
        <f t="shared" si="33"/>
        <v/>
      </c>
    </row>
    <row r="388" spans="3:17" x14ac:dyDescent="0.25">
      <c r="C388">
        <f>SUMIFS(Issuance!$H:$H,Issuance!$D:$D,Formulas!$B388,Issuance!$C:$C,Formulas!C$2)</f>
        <v>0</v>
      </c>
      <c r="D388">
        <f>SUMIFS(Issuance!$H:$H,Issuance!$D:$D,Formulas!$B388,Issuance!$C:$C,Formulas!D$2)</f>
        <v>0</v>
      </c>
      <c r="E388">
        <f t="shared" si="34"/>
        <v>0</v>
      </c>
      <c r="F388" s="41" t="str">
        <f t="shared" ref="F388:F451" si="36">IF(OR(B388="",B388=0,E388=0),"",IF(COUNTIFS($E$3:$E$500,"&gt;"&amp;E388,$E$3:$E$500,"&lt;&gt;0")+1&lt;=20,COUNTIFS($E$3:$E$500,"&gt;"&amp;E388,$E$3:$E$500,"&lt;&gt;0")+1,""))</f>
        <v/>
      </c>
      <c r="I388">
        <f>SUMIFS(Buybacks!H:H,Buybacks!D:D,Formulas!H388)</f>
        <v>0</v>
      </c>
      <c r="J388" s="41" t="str">
        <f t="shared" ref="J388:J451" si="37">IF(OR(H388="",H388=0,I388=0),"",IF(COUNTIFS($I$3:$I$500,"&lt;"&amp;I388,$I$3:$I$500,"&lt;&gt;0")+1&lt;=20,COUNTIFS($I$3:$I$500,"&lt;"&amp;I388,$I$3:$I$500,"&lt;&gt;0")+1,""))</f>
        <v/>
      </c>
      <c r="M388">
        <f>SUMIFS('Corporate activity'!$H:$H,'Corporate activity'!$D:$D,Formulas!$L388,'Corporate activity'!$C:$C,Formulas!M$2)</f>
        <v>0</v>
      </c>
      <c r="N388">
        <f>SUMIFS('Corporate activity'!$H:$H,'Corporate activity'!$D:$D,Formulas!$L388,'Corporate activity'!$C:$C,Formulas!N$2)</f>
        <v>0</v>
      </c>
      <c r="O388">
        <f>SUMIFS('Corporate activity'!$H:$H,'Corporate activity'!$D:$D,Formulas!$L388,'Corporate activity'!$C:$C,Formulas!O$2)</f>
        <v>0</v>
      </c>
      <c r="P388">
        <f t="shared" si="35"/>
        <v>0</v>
      </c>
      <c r="Q388" t="str">
        <f t="shared" si="33"/>
        <v/>
      </c>
    </row>
    <row r="389" spans="3:17" x14ac:dyDescent="0.25">
      <c r="C389">
        <f>SUMIFS(Issuance!$H:$H,Issuance!$D:$D,Formulas!$B389,Issuance!$C:$C,Formulas!C$2)</f>
        <v>0</v>
      </c>
      <c r="D389">
        <f>SUMIFS(Issuance!$H:$H,Issuance!$D:$D,Formulas!$B389,Issuance!$C:$C,Formulas!D$2)</f>
        <v>0</v>
      </c>
      <c r="E389">
        <f t="shared" si="34"/>
        <v>0</v>
      </c>
      <c r="F389" s="41" t="str">
        <f t="shared" si="36"/>
        <v/>
      </c>
      <c r="I389">
        <f>SUMIFS(Buybacks!H:H,Buybacks!D:D,Formulas!H389)</f>
        <v>0</v>
      </c>
      <c r="J389" s="41" t="str">
        <f t="shared" si="37"/>
        <v/>
      </c>
      <c r="M389">
        <f>SUMIFS('Corporate activity'!$H:$H,'Corporate activity'!$D:$D,Formulas!$L389,'Corporate activity'!$C:$C,Formulas!M$2)</f>
        <v>0</v>
      </c>
      <c r="N389">
        <f>SUMIFS('Corporate activity'!$H:$H,'Corporate activity'!$D:$D,Formulas!$L389,'Corporate activity'!$C:$C,Formulas!N$2)</f>
        <v>0</v>
      </c>
      <c r="O389">
        <f>SUMIFS('Corporate activity'!$H:$H,'Corporate activity'!$D:$D,Formulas!$L389,'Corporate activity'!$C:$C,Formulas!O$2)</f>
        <v>0</v>
      </c>
      <c r="P389">
        <f t="shared" si="35"/>
        <v>0</v>
      </c>
      <c r="Q389" t="str">
        <f t="shared" si="33"/>
        <v/>
      </c>
    </row>
    <row r="390" spans="3:17" x14ac:dyDescent="0.25">
      <c r="C390">
        <f>SUMIFS(Issuance!$H:$H,Issuance!$D:$D,Formulas!$B390,Issuance!$C:$C,Formulas!C$2)</f>
        <v>0</v>
      </c>
      <c r="D390">
        <f>SUMIFS(Issuance!$H:$H,Issuance!$D:$D,Formulas!$B390,Issuance!$C:$C,Formulas!D$2)</f>
        <v>0</v>
      </c>
      <c r="E390">
        <f t="shared" si="34"/>
        <v>0</v>
      </c>
      <c r="F390" s="41" t="str">
        <f t="shared" si="36"/>
        <v/>
      </c>
      <c r="I390">
        <f>SUMIFS(Buybacks!H:H,Buybacks!D:D,Formulas!H390)</f>
        <v>0</v>
      </c>
      <c r="J390" s="41" t="str">
        <f t="shared" si="37"/>
        <v/>
      </c>
      <c r="M390">
        <f>SUMIFS('Corporate activity'!$H:$H,'Corporate activity'!$D:$D,Formulas!$L390,'Corporate activity'!$C:$C,Formulas!M$2)</f>
        <v>0</v>
      </c>
      <c r="N390">
        <f>SUMIFS('Corporate activity'!$H:$H,'Corporate activity'!$D:$D,Formulas!$L390,'Corporate activity'!$C:$C,Formulas!N$2)</f>
        <v>0</v>
      </c>
      <c r="O390">
        <f>SUMIFS('Corporate activity'!$H:$H,'Corporate activity'!$D:$D,Formulas!$L390,'Corporate activity'!$C:$C,Formulas!O$2)</f>
        <v>0</v>
      </c>
      <c r="P390">
        <f t="shared" si="35"/>
        <v>0</v>
      </c>
      <c r="Q390" t="str">
        <f t="shared" si="33"/>
        <v/>
      </c>
    </row>
    <row r="391" spans="3:17" x14ac:dyDescent="0.25">
      <c r="C391">
        <f>SUMIFS(Issuance!$H:$H,Issuance!$D:$D,Formulas!$B391,Issuance!$C:$C,Formulas!C$2)</f>
        <v>0</v>
      </c>
      <c r="D391">
        <f>SUMIFS(Issuance!$H:$H,Issuance!$D:$D,Formulas!$B391,Issuance!$C:$C,Formulas!D$2)</f>
        <v>0</v>
      </c>
      <c r="E391">
        <f t="shared" si="34"/>
        <v>0</v>
      </c>
      <c r="F391" s="41" t="str">
        <f t="shared" si="36"/>
        <v/>
      </c>
      <c r="I391">
        <f>SUMIFS(Buybacks!H:H,Buybacks!D:D,Formulas!H391)</f>
        <v>0</v>
      </c>
      <c r="J391" s="41" t="str">
        <f t="shared" si="37"/>
        <v/>
      </c>
      <c r="M391">
        <f>SUMIFS('Corporate activity'!$H:$H,'Corporate activity'!$D:$D,Formulas!$L391,'Corporate activity'!$C:$C,Formulas!M$2)</f>
        <v>0</v>
      </c>
      <c r="N391">
        <f>SUMIFS('Corporate activity'!$H:$H,'Corporate activity'!$D:$D,Formulas!$L391,'Corporate activity'!$C:$C,Formulas!N$2)</f>
        <v>0</v>
      </c>
      <c r="O391">
        <f>SUMIFS('Corporate activity'!$H:$H,'Corporate activity'!$D:$D,Formulas!$L391,'Corporate activity'!$C:$C,Formulas!O$2)</f>
        <v>0</v>
      </c>
      <c r="P391">
        <f t="shared" si="35"/>
        <v>0</v>
      </c>
      <c r="Q391" t="str">
        <f t="shared" si="33"/>
        <v/>
      </c>
    </row>
    <row r="392" spans="3:17" x14ac:dyDescent="0.25">
      <c r="C392">
        <f>SUMIFS(Issuance!$H:$H,Issuance!$D:$D,Formulas!$B392,Issuance!$C:$C,Formulas!C$2)</f>
        <v>0</v>
      </c>
      <c r="D392">
        <f>SUMIFS(Issuance!$H:$H,Issuance!$D:$D,Formulas!$B392,Issuance!$C:$C,Formulas!D$2)</f>
        <v>0</v>
      </c>
      <c r="E392">
        <f t="shared" si="34"/>
        <v>0</v>
      </c>
      <c r="F392" s="41" t="str">
        <f t="shared" si="36"/>
        <v/>
      </c>
      <c r="I392">
        <f>SUMIFS(Buybacks!H:H,Buybacks!D:D,Formulas!H392)</f>
        <v>0</v>
      </c>
      <c r="J392" s="41" t="str">
        <f t="shared" si="37"/>
        <v/>
      </c>
      <c r="M392">
        <f>SUMIFS('Corporate activity'!$H:$H,'Corporate activity'!$D:$D,Formulas!$L392,'Corporate activity'!$C:$C,Formulas!M$2)</f>
        <v>0</v>
      </c>
      <c r="N392">
        <f>SUMIFS('Corporate activity'!$H:$H,'Corporate activity'!$D:$D,Formulas!$L392,'Corporate activity'!$C:$C,Formulas!N$2)</f>
        <v>0</v>
      </c>
      <c r="O392">
        <f>SUMIFS('Corporate activity'!$H:$H,'Corporate activity'!$D:$D,Formulas!$L392,'Corporate activity'!$C:$C,Formulas!O$2)</f>
        <v>0</v>
      </c>
      <c r="P392">
        <f t="shared" si="35"/>
        <v>0</v>
      </c>
      <c r="Q392" t="str">
        <f t="shared" si="33"/>
        <v/>
      </c>
    </row>
    <row r="393" spans="3:17" x14ac:dyDescent="0.25">
      <c r="C393">
        <f>SUMIFS(Issuance!$H:$H,Issuance!$D:$D,Formulas!$B393,Issuance!$C:$C,Formulas!C$2)</f>
        <v>0</v>
      </c>
      <c r="D393">
        <f>SUMIFS(Issuance!$H:$H,Issuance!$D:$D,Formulas!$B393,Issuance!$C:$C,Formulas!D$2)</f>
        <v>0</v>
      </c>
      <c r="E393">
        <f t="shared" si="34"/>
        <v>0</v>
      </c>
      <c r="F393" s="41" t="str">
        <f t="shared" si="36"/>
        <v/>
      </c>
      <c r="I393">
        <f>SUMIFS(Buybacks!H:H,Buybacks!D:D,Formulas!H393)</f>
        <v>0</v>
      </c>
      <c r="J393" s="41" t="str">
        <f t="shared" si="37"/>
        <v/>
      </c>
      <c r="M393">
        <f>SUMIFS('Corporate activity'!$H:$H,'Corporate activity'!$D:$D,Formulas!$L393,'Corporate activity'!$C:$C,Formulas!M$2)</f>
        <v>0</v>
      </c>
      <c r="N393">
        <f>SUMIFS('Corporate activity'!$H:$H,'Corporate activity'!$D:$D,Formulas!$L393,'Corporate activity'!$C:$C,Formulas!N$2)</f>
        <v>0</v>
      </c>
      <c r="O393">
        <f>SUMIFS('Corporate activity'!$H:$H,'Corporate activity'!$D:$D,Formulas!$L393,'Corporate activity'!$C:$C,Formulas!O$2)</f>
        <v>0</v>
      </c>
      <c r="P393">
        <f t="shared" si="35"/>
        <v>0</v>
      </c>
      <c r="Q393" t="str">
        <f t="shared" si="33"/>
        <v/>
      </c>
    </row>
    <row r="394" spans="3:17" x14ac:dyDescent="0.25">
      <c r="C394">
        <f>SUMIFS(Issuance!$H:$H,Issuance!$D:$D,Formulas!$B394,Issuance!$C:$C,Formulas!C$2)</f>
        <v>0</v>
      </c>
      <c r="D394">
        <f>SUMIFS(Issuance!$H:$H,Issuance!$D:$D,Formulas!$B394,Issuance!$C:$C,Formulas!D$2)</f>
        <v>0</v>
      </c>
      <c r="E394">
        <f t="shared" si="34"/>
        <v>0</v>
      </c>
      <c r="F394" s="41" t="str">
        <f t="shared" si="36"/>
        <v/>
      </c>
      <c r="I394">
        <f>SUMIFS(Buybacks!H:H,Buybacks!D:D,Formulas!H394)</f>
        <v>0</v>
      </c>
      <c r="J394" s="41" t="str">
        <f t="shared" si="37"/>
        <v/>
      </c>
      <c r="M394">
        <f>SUMIFS('Corporate activity'!$H:$H,'Corporate activity'!$D:$D,Formulas!$L394,'Corporate activity'!$C:$C,Formulas!M$2)</f>
        <v>0</v>
      </c>
      <c r="N394">
        <f>SUMIFS('Corporate activity'!$H:$H,'Corporate activity'!$D:$D,Formulas!$L394,'Corporate activity'!$C:$C,Formulas!N$2)</f>
        <v>0</v>
      </c>
      <c r="O394">
        <f>SUMIFS('Corporate activity'!$H:$H,'Corporate activity'!$D:$D,Formulas!$L394,'Corporate activity'!$C:$C,Formulas!O$2)</f>
        <v>0</v>
      </c>
      <c r="P394">
        <f t="shared" si="35"/>
        <v>0</v>
      </c>
      <c r="Q394" t="str">
        <f t="shared" si="33"/>
        <v/>
      </c>
    </row>
    <row r="395" spans="3:17" x14ac:dyDescent="0.25">
      <c r="C395">
        <f>SUMIFS(Issuance!$H:$H,Issuance!$D:$D,Formulas!$B395,Issuance!$C:$C,Formulas!C$2)</f>
        <v>0</v>
      </c>
      <c r="D395">
        <f>SUMIFS(Issuance!$H:$H,Issuance!$D:$D,Formulas!$B395,Issuance!$C:$C,Formulas!D$2)</f>
        <v>0</v>
      </c>
      <c r="E395">
        <f t="shared" si="34"/>
        <v>0</v>
      </c>
      <c r="F395" s="41" t="str">
        <f t="shared" si="36"/>
        <v/>
      </c>
      <c r="I395">
        <f>SUMIFS(Buybacks!H:H,Buybacks!D:D,Formulas!H395)</f>
        <v>0</v>
      </c>
      <c r="J395" s="41" t="str">
        <f t="shared" si="37"/>
        <v/>
      </c>
      <c r="M395">
        <f>SUMIFS('Corporate activity'!$H:$H,'Corporate activity'!$D:$D,Formulas!$L395,'Corporate activity'!$C:$C,Formulas!M$2)</f>
        <v>0</v>
      </c>
      <c r="N395">
        <f>SUMIFS('Corporate activity'!$H:$H,'Corporate activity'!$D:$D,Formulas!$L395,'Corporate activity'!$C:$C,Formulas!N$2)</f>
        <v>0</v>
      </c>
      <c r="O395">
        <f>SUMIFS('Corporate activity'!$H:$H,'Corporate activity'!$D:$D,Formulas!$L395,'Corporate activity'!$C:$C,Formulas!O$2)</f>
        <v>0</v>
      </c>
      <c r="P395">
        <f t="shared" si="35"/>
        <v>0</v>
      </c>
      <c r="Q395" t="str">
        <f t="shared" si="33"/>
        <v/>
      </c>
    </row>
    <row r="396" spans="3:17" x14ac:dyDescent="0.25">
      <c r="C396">
        <f>SUMIFS(Issuance!$H:$H,Issuance!$D:$D,Formulas!$B396,Issuance!$C:$C,Formulas!C$2)</f>
        <v>0</v>
      </c>
      <c r="D396">
        <f>SUMIFS(Issuance!$H:$H,Issuance!$D:$D,Formulas!$B396,Issuance!$C:$C,Formulas!D$2)</f>
        <v>0</v>
      </c>
      <c r="E396">
        <f t="shared" si="34"/>
        <v>0</v>
      </c>
      <c r="F396" s="41" t="str">
        <f t="shared" si="36"/>
        <v/>
      </c>
      <c r="I396">
        <f>SUMIFS(Buybacks!H:H,Buybacks!D:D,Formulas!H396)</f>
        <v>0</v>
      </c>
      <c r="J396" s="41" t="str">
        <f t="shared" si="37"/>
        <v/>
      </c>
      <c r="M396">
        <f>SUMIFS('Corporate activity'!$H:$H,'Corporate activity'!$D:$D,Formulas!$L396,'Corporate activity'!$C:$C,Formulas!M$2)</f>
        <v>0</v>
      </c>
      <c r="N396">
        <f>SUMIFS('Corporate activity'!$H:$H,'Corporate activity'!$D:$D,Formulas!$L396,'Corporate activity'!$C:$C,Formulas!N$2)</f>
        <v>0</v>
      </c>
      <c r="O396">
        <f>SUMIFS('Corporate activity'!$H:$H,'Corporate activity'!$D:$D,Formulas!$L396,'Corporate activity'!$C:$C,Formulas!O$2)</f>
        <v>0</v>
      </c>
      <c r="P396">
        <f t="shared" si="35"/>
        <v>0</v>
      </c>
      <c r="Q396" t="str">
        <f t="shared" si="33"/>
        <v/>
      </c>
    </row>
    <row r="397" spans="3:17" x14ac:dyDescent="0.25">
      <c r="C397">
        <f>SUMIFS(Issuance!$H:$H,Issuance!$D:$D,Formulas!$B397,Issuance!$C:$C,Formulas!C$2)</f>
        <v>0</v>
      </c>
      <c r="D397">
        <f>SUMIFS(Issuance!$H:$H,Issuance!$D:$D,Formulas!$B397,Issuance!$C:$C,Formulas!D$2)</f>
        <v>0</v>
      </c>
      <c r="E397">
        <f t="shared" si="34"/>
        <v>0</v>
      </c>
      <c r="F397" s="41" t="str">
        <f t="shared" si="36"/>
        <v/>
      </c>
      <c r="I397">
        <f>SUMIFS(Buybacks!H:H,Buybacks!D:D,Formulas!H397)</f>
        <v>0</v>
      </c>
      <c r="J397" s="41" t="str">
        <f t="shared" si="37"/>
        <v/>
      </c>
      <c r="M397">
        <f>SUMIFS('Corporate activity'!$H:$H,'Corporate activity'!$D:$D,Formulas!$L397,'Corporate activity'!$C:$C,Formulas!M$2)</f>
        <v>0</v>
      </c>
      <c r="N397">
        <f>SUMIFS('Corporate activity'!$H:$H,'Corporate activity'!$D:$D,Formulas!$L397,'Corporate activity'!$C:$C,Formulas!N$2)</f>
        <v>0</v>
      </c>
      <c r="O397">
        <f>SUMIFS('Corporate activity'!$H:$H,'Corporate activity'!$D:$D,Formulas!$L397,'Corporate activity'!$C:$C,Formulas!O$2)</f>
        <v>0</v>
      </c>
      <c r="P397">
        <f t="shared" si="35"/>
        <v>0</v>
      </c>
      <c r="Q397" t="str">
        <f t="shared" si="33"/>
        <v/>
      </c>
    </row>
    <row r="398" spans="3:17" x14ac:dyDescent="0.25">
      <c r="C398">
        <f>SUMIFS(Issuance!$H:$H,Issuance!$D:$D,Formulas!$B398,Issuance!$C:$C,Formulas!C$2)</f>
        <v>0</v>
      </c>
      <c r="D398">
        <f>SUMIFS(Issuance!$H:$H,Issuance!$D:$D,Formulas!$B398,Issuance!$C:$C,Formulas!D$2)</f>
        <v>0</v>
      </c>
      <c r="E398">
        <f t="shared" si="34"/>
        <v>0</v>
      </c>
      <c r="F398" s="41" t="str">
        <f t="shared" si="36"/>
        <v/>
      </c>
      <c r="I398">
        <f>SUMIFS(Buybacks!H:H,Buybacks!D:D,Formulas!H398)</f>
        <v>0</v>
      </c>
      <c r="J398" s="41" t="str">
        <f t="shared" si="37"/>
        <v/>
      </c>
      <c r="M398">
        <f>SUMIFS('Corporate activity'!$H:$H,'Corporate activity'!$D:$D,Formulas!$L398,'Corporate activity'!$C:$C,Formulas!M$2)</f>
        <v>0</v>
      </c>
      <c r="N398">
        <f>SUMIFS('Corporate activity'!$H:$H,'Corporate activity'!$D:$D,Formulas!$L398,'Corporate activity'!$C:$C,Formulas!N$2)</f>
        <v>0</v>
      </c>
      <c r="O398">
        <f>SUMIFS('Corporate activity'!$H:$H,'Corporate activity'!$D:$D,Formulas!$L398,'Corporate activity'!$C:$C,Formulas!O$2)</f>
        <v>0</v>
      </c>
      <c r="P398">
        <f t="shared" si="35"/>
        <v>0</v>
      </c>
      <c r="Q398" t="str">
        <f t="shared" si="33"/>
        <v/>
      </c>
    </row>
    <row r="399" spans="3:17" x14ac:dyDescent="0.25">
      <c r="C399">
        <f>SUMIFS(Issuance!$H:$H,Issuance!$D:$D,Formulas!$B399,Issuance!$C:$C,Formulas!C$2)</f>
        <v>0</v>
      </c>
      <c r="D399">
        <f>SUMIFS(Issuance!$H:$H,Issuance!$D:$D,Formulas!$B399,Issuance!$C:$C,Formulas!D$2)</f>
        <v>0</v>
      </c>
      <c r="E399">
        <f t="shared" si="34"/>
        <v>0</v>
      </c>
      <c r="F399" s="41" t="str">
        <f t="shared" si="36"/>
        <v/>
      </c>
      <c r="I399">
        <f>SUMIFS(Buybacks!H:H,Buybacks!D:D,Formulas!H399)</f>
        <v>0</v>
      </c>
      <c r="J399" s="41" t="str">
        <f t="shared" si="37"/>
        <v/>
      </c>
      <c r="M399">
        <f>SUMIFS('Corporate activity'!$H:$H,'Corporate activity'!$D:$D,Formulas!$L399,'Corporate activity'!$C:$C,Formulas!M$2)</f>
        <v>0</v>
      </c>
      <c r="N399">
        <f>SUMIFS('Corporate activity'!$H:$H,'Corporate activity'!$D:$D,Formulas!$L399,'Corporate activity'!$C:$C,Formulas!N$2)</f>
        <v>0</v>
      </c>
      <c r="O399">
        <f>SUMIFS('Corporate activity'!$H:$H,'Corporate activity'!$D:$D,Formulas!$L399,'Corporate activity'!$C:$C,Formulas!O$2)</f>
        <v>0</v>
      </c>
      <c r="P399">
        <f t="shared" si="35"/>
        <v>0</v>
      </c>
      <c r="Q399" t="str">
        <f t="shared" si="33"/>
        <v/>
      </c>
    </row>
    <row r="400" spans="3:17" x14ac:dyDescent="0.25">
      <c r="C400">
        <f>SUMIFS(Issuance!$H:$H,Issuance!$D:$D,Formulas!$B400,Issuance!$C:$C,Formulas!C$2)</f>
        <v>0</v>
      </c>
      <c r="D400">
        <f>SUMIFS(Issuance!$H:$H,Issuance!$D:$D,Formulas!$B400,Issuance!$C:$C,Formulas!D$2)</f>
        <v>0</v>
      </c>
      <c r="E400">
        <f t="shared" si="34"/>
        <v>0</v>
      </c>
      <c r="F400" s="41" t="str">
        <f t="shared" si="36"/>
        <v/>
      </c>
      <c r="I400">
        <f>SUMIFS(Buybacks!H:H,Buybacks!D:D,Formulas!H400)</f>
        <v>0</v>
      </c>
      <c r="J400" s="41" t="str">
        <f t="shared" si="37"/>
        <v/>
      </c>
      <c r="M400">
        <f>SUMIFS('Corporate activity'!$H:$H,'Corporate activity'!$D:$D,Formulas!$L400,'Corporate activity'!$C:$C,Formulas!M$2)</f>
        <v>0</v>
      </c>
      <c r="N400">
        <f>SUMIFS('Corporate activity'!$H:$H,'Corporate activity'!$D:$D,Formulas!$L400,'Corporate activity'!$C:$C,Formulas!N$2)</f>
        <v>0</v>
      </c>
      <c r="O400">
        <f>SUMIFS('Corporate activity'!$H:$H,'Corporate activity'!$D:$D,Formulas!$L400,'Corporate activity'!$C:$C,Formulas!O$2)</f>
        <v>0</v>
      </c>
      <c r="P400">
        <f t="shared" si="35"/>
        <v>0</v>
      </c>
      <c r="Q400" t="str">
        <f t="shared" si="33"/>
        <v/>
      </c>
    </row>
    <row r="401" spans="3:17" x14ac:dyDescent="0.25">
      <c r="C401">
        <f>SUMIFS(Issuance!$H:$H,Issuance!$D:$D,Formulas!$B401,Issuance!$C:$C,Formulas!C$2)</f>
        <v>0</v>
      </c>
      <c r="D401">
        <f>SUMIFS(Issuance!$H:$H,Issuance!$D:$D,Formulas!$B401,Issuance!$C:$C,Formulas!D$2)</f>
        <v>0</v>
      </c>
      <c r="E401">
        <f t="shared" si="34"/>
        <v>0</v>
      </c>
      <c r="F401" s="41" t="str">
        <f t="shared" si="36"/>
        <v/>
      </c>
      <c r="I401">
        <f>SUMIFS(Buybacks!H:H,Buybacks!D:D,Formulas!H401)</f>
        <v>0</v>
      </c>
      <c r="J401" s="41" t="str">
        <f t="shared" si="37"/>
        <v/>
      </c>
      <c r="M401">
        <f>SUMIFS('Corporate activity'!$H:$H,'Corporate activity'!$D:$D,Formulas!$L401,'Corporate activity'!$C:$C,Formulas!M$2)</f>
        <v>0</v>
      </c>
      <c r="N401">
        <f>SUMIFS('Corporate activity'!$H:$H,'Corporate activity'!$D:$D,Formulas!$L401,'Corporate activity'!$C:$C,Formulas!N$2)</f>
        <v>0</v>
      </c>
      <c r="O401">
        <f>SUMIFS('Corporate activity'!$H:$H,'Corporate activity'!$D:$D,Formulas!$L401,'Corporate activity'!$C:$C,Formulas!O$2)</f>
        <v>0</v>
      </c>
      <c r="P401">
        <f t="shared" si="35"/>
        <v>0</v>
      </c>
      <c r="Q401" t="str">
        <f t="shared" si="33"/>
        <v/>
      </c>
    </row>
    <row r="402" spans="3:17" x14ac:dyDescent="0.25">
      <c r="C402">
        <f>SUMIFS(Issuance!$H:$H,Issuance!$D:$D,Formulas!$B402,Issuance!$C:$C,Formulas!C$2)</f>
        <v>0</v>
      </c>
      <c r="D402">
        <f>SUMIFS(Issuance!$H:$H,Issuance!$D:$D,Formulas!$B402,Issuance!$C:$C,Formulas!D$2)</f>
        <v>0</v>
      </c>
      <c r="E402">
        <f t="shared" si="34"/>
        <v>0</v>
      </c>
      <c r="F402" s="41" t="str">
        <f t="shared" si="36"/>
        <v/>
      </c>
      <c r="I402">
        <f>SUMIFS(Buybacks!H:H,Buybacks!D:D,Formulas!H402)</f>
        <v>0</v>
      </c>
      <c r="J402" s="41" t="str">
        <f t="shared" si="37"/>
        <v/>
      </c>
      <c r="M402">
        <f>SUMIFS('Corporate activity'!$H:$H,'Corporate activity'!$D:$D,Formulas!$L402,'Corporate activity'!$C:$C,Formulas!M$2)</f>
        <v>0</v>
      </c>
      <c r="N402">
        <f>SUMIFS('Corporate activity'!$H:$H,'Corporate activity'!$D:$D,Formulas!$L402,'Corporate activity'!$C:$C,Formulas!N$2)</f>
        <v>0</v>
      </c>
      <c r="O402">
        <f>SUMIFS('Corporate activity'!$H:$H,'Corporate activity'!$D:$D,Formulas!$L402,'Corporate activity'!$C:$C,Formulas!O$2)</f>
        <v>0</v>
      </c>
      <c r="P402">
        <f t="shared" si="35"/>
        <v>0</v>
      </c>
      <c r="Q402" t="str">
        <f t="shared" si="33"/>
        <v/>
      </c>
    </row>
    <row r="403" spans="3:17" x14ac:dyDescent="0.25">
      <c r="C403">
        <f>SUMIFS(Issuance!$H:$H,Issuance!$D:$D,Formulas!$B403,Issuance!$C:$C,Formulas!C$2)</f>
        <v>0</v>
      </c>
      <c r="D403">
        <f>SUMIFS(Issuance!$H:$H,Issuance!$D:$D,Formulas!$B403,Issuance!$C:$C,Formulas!D$2)</f>
        <v>0</v>
      </c>
      <c r="E403">
        <f t="shared" si="34"/>
        <v>0</v>
      </c>
      <c r="F403" s="41" t="str">
        <f t="shared" si="36"/>
        <v/>
      </c>
      <c r="I403">
        <f>SUMIFS(Buybacks!H:H,Buybacks!D:D,Formulas!H403)</f>
        <v>0</v>
      </c>
      <c r="J403" s="41" t="str">
        <f t="shared" si="37"/>
        <v/>
      </c>
      <c r="M403">
        <f>SUMIFS('Corporate activity'!$H:$H,'Corporate activity'!$D:$D,Formulas!$L403,'Corporate activity'!$C:$C,Formulas!M$2)</f>
        <v>0</v>
      </c>
      <c r="N403">
        <f>SUMIFS('Corporate activity'!$H:$H,'Corporate activity'!$D:$D,Formulas!$L403,'Corporate activity'!$C:$C,Formulas!N$2)</f>
        <v>0</v>
      </c>
      <c r="O403">
        <f>SUMIFS('Corporate activity'!$H:$H,'Corporate activity'!$D:$D,Formulas!$L403,'Corporate activity'!$C:$C,Formulas!O$2)</f>
        <v>0</v>
      </c>
      <c r="P403">
        <f t="shared" si="35"/>
        <v>0</v>
      </c>
      <c r="Q403" t="str">
        <f t="shared" si="33"/>
        <v/>
      </c>
    </row>
    <row r="404" spans="3:17" x14ac:dyDescent="0.25">
      <c r="C404">
        <f>SUMIFS(Issuance!$H:$H,Issuance!$D:$D,Formulas!$B404,Issuance!$C:$C,Formulas!C$2)</f>
        <v>0</v>
      </c>
      <c r="D404">
        <f>SUMIFS(Issuance!$H:$H,Issuance!$D:$D,Formulas!$B404,Issuance!$C:$C,Formulas!D$2)</f>
        <v>0</v>
      </c>
      <c r="E404">
        <f t="shared" si="34"/>
        <v>0</v>
      </c>
      <c r="F404" s="41" t="str">
        <f t="shared" si="36"/>
        <v/>
      </c>
      <c r="I404">
        <f>SUMIFS(Buybacks!H:H,Buybacks!D:D,Formulas!H404)</f>
        <v>0</v>
      </c>
      <c r="J404" s="41" t="str">
        <f t="shared" si="37"/>
        <v/>
      </c>
      <c r="M404">
        <f>SUMIFS('Corporate activity'!$H:$H,'Corporate activity'!$D:$D,Formulas!$L404,'Corporate activity'!$C:$C,Formulas!M$2)</f>
        <v>0</v>
      </c>
      <c r="N404">
        <f>SUMIFS('Corporate activity'!$H:$H,'Corporate activity'!$D:$D,Formulas!$L404,'Corporate activity'!$C:$C,Formulas!N$2)</f>
        <v>0</v>
      </c>
      <c r="O404">
        <f>SUMIFS('Corporate activity'!$H:$H,'Corporate activity'!$D:$D,Formulas!$L404,'Corporate activity'!$C:$C,Formulas!O$2)</f>
        <v>0</v>
      </c>
      <c r="P404">
        <f t="shared" si="35"/>
        <v>0</v>
      </c>
      <c r="Q404" t="str">
        <f t="shared" si="33"/>
        <v/>
      </c>
    </row>
    <row r="405" spans="3:17" x14ac:dyDescent="0.25">
      <c r="C405">
        <f>SUMIFS(Issuance!$H:$H,Issuance!$D:$D,Formulas!$B405,Issuance!$C:$C,Formulas!C$2)</f>
        <v>0</v>
      </c>
      <c r="D405">
        <f>SUMIFS(Issuance!$H:$H,Issuance!$D:$D,Formulas!$B405,Issuance!$C:$C,Formulas!D$2)</f>
        <v>0</v>
      </c>
      <c r="E405">
        <f t="shared" si="34"/>
        <v>0</v>
      </c>
      <c r="F405" s="41" t="str">
        <f t="shared" si="36"/>
        <v/>
      </c>
      <c r="I405">
        <f>SUMIFS(Buybacks!H:H,Buybacks!D:D,Formulas!H405)</f>
        <v>0</v>
      </c>
      <c r="J405" s="41" t="str">
        <f t="shared" si="37"/>
        <v/>
      </c>
      <c r="M405">
        <f>SUMIFS('Corporate activity'!$H:$H,'Corporate activity'!$D:$D,Formulas!$L405,'Corporate activity'!$C:$C,Formulas!M$2)</f>
        <v>0</v>
      </c>
      <c r="N405">
        <f>SUMIFS('Corporate activity'!$H:$H,'Corporate activity'!$D:$D,Formulas!$L405,'Corporate activity'!$C:$C,Formulas!N$2)</f>
        <v>0</v>
      </c>
      <c r="O405">
        <f>SUMIFS('Corporate activity'!$H:$H,'Corporate activity'!$D:$D,Formulas!$L405,'Corporate activity'!$C:$C,Formulas!O$2)</f>
        <v>0</v>
      </c>
      <c r="P405">
        <f t="shared" si="35"/>
        <v>0</v>
      </c>
      <c r="Q405" t="str">
        <f t="shared" si="33"/>
        <v/>
      </c>
    </row>
    <row r="406" spans="3:17" x14ac:dyDescent="0.25">
      <c r="C406">
        <f>SUMIFS(Issuance!$H:$H,Issuance!$D:$D,Formulas!$B406,Issuance!$C:$C,Formulas!C$2)</f>
        <v>0</v>
      </c>
      <c r="D406">
        <f>SUMIFS(Issuance!$H:$H,Issuance!$D:$D,Formulas!$B406,Issuance!$C:$C,Formulas!D$2)</f>
        <v>0</v>
      </c>
      <c r="E406">
        <f t="shared" si="34"/>
        <v>0</v>
      </c>
      <c r="F406" s="41" t="str">
        <f t="shared" si="36"/>
        <v/>
      </c>
      <c r="I406">
        <f>SUMIFS(Buybacks!H:H,Buybacks!D:D,Formulas!H406)</f>
        <v>0</v>
      </c>
      <c r="J406" s="41" t="str">
        <f t="shared" si="37"/>
        <v/>
      </c>
      <c r="M406">
        <f>SUMIFS('Corporate activity'!$H:$H,'Corporate activity'!$D:$D,Formulas!$L406,'Corporate activity'!$C:$C,Formulas!M$2)</f>
        <v>0</v>
      </c>
      <c r="N406">
        <f>SUMIFS('Corporate activity'!$H:$H,'Corporate activity'!$D:$D,Formulas!$L406,'Corporate activity'!$C:$C,Formulas!N$2)</f>
        <v>0</v>
      </c>
      <c r="O406">
        <f>SUMIFS('Corporate activity'!$H:$H,'Corporate activity'!$D:$D,Formulas!$L406,'Corporate activity'!$C:$C,Formulas!O$2)</f>
        <v>0</v>
      </c>
      <c r="P406">
        <f t="shared" si="35"/>
        <v>0</v>
      </c>
      <c r="Q406" t="str">
        <f t="shared" si="33"/>
        <v/>
      </c>
    </row>
    <row r="407" spans="3:17" x14ac:dyDescent="0.25">
      <c r="C407">
        <f>SUMIFS(Issuance!$H:$H,Issuance!$D:$D,Formulas!$B407,Issuance!$C:$C,Formulas!C$2)</f>
        <v>0</v>
      </c>
      <c r="D407">
        <f>SUMIFS(Issuance!$H:$H,Issuance!$D:$D,Formulas!$B407,Issuance!$C:$C,Formulas!D$2)</f>
        <v>0</v>
      </c>
      <c r="E407">
        <f t="shared" si="34"/>
        <v>0</v>
      </c>
      <c r="F407" s="41" t="str">
        <f t="shared" si="36"/>
        <v/>
      </c>
      <c r="I407">
        <f>SUMIFS(Buybacks!H:H,Buybacks!D:D,Formulas!H407)</f>
        <v>0</v>
      </c>
      <c r="J407" s="41" t="str">
        <f t="shared" si="37"/>
        <v/>
      </c>
      <c r="M407">
        <f>SUMIFS('Corporate activity'!$H:$H,'Corporate activity'!$D:$D,Formulas!$L407,'Corporate activity'!$C:$C,Formulas!M$2)</f>
        <v>0</v>
      </c>
      <c r="N407">
        <f>SUMIFS('Corporate activity'!$H:$H,'Corporate activity'!$D:$D,Formulas!$L407,'Corporate activity'!$C:$C,Formulas!N$2)</f>
        <v>0</v>
      </c>
      <c r="O407">
        <f>SUMIFS('Corporate activity'!$H:$H,'Corporate activity'!$D:$D,Formulas!$L407,'Corporate activity'!$C:$C,Formulas!O$2)</f>
        <v>0</v>
      </c>
      <c r="P407">
        <f t="shared" si="35"/>
        <v>0</v>
      </c>
      <c r="Q407" t="str">
        <f t="shared" si="33"/>
        <v/>
      </c>
    </row>
    <row r="408" spans="3:17" x14ac:dyDescent="0.25">
      <c r="C408">
        <f>SUMIFS(Issuance!$H:$H,Issuance!$D:$D,Formulas!$B408,Issuance!$C:$C,Formulas!C$2)</f>
        <v>0</v>
      </c>
      <c r="D408">
        <f>SUMIFS(Issuance!$H:$H,Issuance!$D:$D,Formulas!$B408,Issuance!$C:$C,Formulas!D$2)</f>
        <v>0</v>
      </c>
      <c r="E408">
        <f t="shared" si="34"/>
        <v>0</v>
      </c>
      <c r="F408" s="41" t="str">
        <f t="shared" si="36"/>
        <v/>
      </c>
      <c r="I408">
        <f>SUMIFS(Buybacks!H:H,Buybacks!D:D,Formulas!H408)</f>
        <v>0</v>
      </c>
      <c r="J408" s="41" t="str">
        <f t="shared" si="37"/>
        <v/>
      </c>
      <c r="M408">
        <f>SUMIFS('Corporate activity'!$H:$H,'Corporate activity'!$D:$D,Formulas!$L408,'Corporate activity'!$C:$C,Formulas!M$2)</f>
        <v>0</v>
      </c>
      <c r="N408">
        <f>SUMIFS('Corporate activity'!$H:$H,'Corporate activity'!$D:$D,Formulas!$L408,'Corporate activity'!$C:$C,Formulas!N$2)</f>
        <v>0</v>
      </c>
      <c r="O408">
        <f>SUMIFS('Corporate activity'!$H:$H,'Corporate activity'!$D:$D,Formulas!$L408,'Corporate activity'!$C:$C,Formulas!O$2)</f>
        <v>0</v>
      </c>
      <c r="P408">
        <f t="shared" si="35"/>
        <v>0</v>
      </c>
      <c r="Q408" t="str">
        <f t="shared" si="33"/>
        <v/>
      </c>
    </row>
    <row r="409" spans="3:17" x14ac:dyDescent="0.25">
      <c r="C409">
        <f>SUMIFS(Issuance!$H:$H,Issuance!$D:$D,Formulas!$B409,Issuance!$C:$C,Formulas!C$2)</f>
        <v>0</v>
      </c>
      <c r="D409">
        <f>SUMIFS(Issuance!$H:$H,Issuance!$D:$D,Formulas!$B409,Issuance!$C:$C,Formulas!D$2)</f>
        <v>0</v>
      </c>
      <c r="E409">
        <f t="shared" si="34"/>
        <v>0</v>
      </c>
      <c r="F409" s="41" t="str">
        <f t="shared" si="36"/>
        <v/>
      </c>
      <c r="I409">
        <f>SUMIFS(Buybacks!H:H,Buybacks!D:D,Formulas!H409)</f>
        <v>0</v>
      </c>
      <c r="J409" s="41" t="str">
        <f t="shared" si="37"/>
        <v/>
      </c>
      <c r="M409">
        <f>SUMIFS('Corporate activity'!$H:$H,'Corporate activity'!$D:$D,Formulas!$L409,'Corporate activity'!$C:$C,Formulas!M$2)</f>
        <v>0</v>
      </c>
      <c r="N409">
        <f>SUMIFS('Corporate activity'!$H:$H,'Corporate activity'!$D:$D,Formulas!$L409,'Corporate activity'!$C:$C,Formulas!N$2)</f>
        <v>0</v>
      </c>
      <c r="O409">
        <f>SUMIFS('Corporate activity'!$H:$H,'Corporate activity'!$D:$D,Formulas!$L409,'Corporate activity'!$C:$C,Formulas!O$2)</f>
        <v>0</v>
      </c>
      <c r="P409">
        <f t="shared" si="35"/>
        <v>0</v>
      </c>
      <c r="Q409" t="str">
        <f t="shared" si="33"/>
        <v/>
      </c>
    </row>
    <row r="410" spans="3:17" x14ac:dyDescent="0.25">
      <c r="C410">
        <f>SUMIFS(Issuance!$H:$H,Issuance!$D:$D,Formulas!$B410,Issuance!$C:$C,Formulas!C$2)</f>
        <v>0</v>
      </c>
      <c r="D410">
        <f>SUMIFS(Issuance!$H:$H,Issuance!$D:$D,Formulas!$B410,Issuance!$C:$C,Formulas!D$2)</f>
        <v>0</v>
      </c>
      <c r="E410">
        <f t="shared" si="34"/>
        <v>0</v>
      </c>
      <c r="F410" s="41" t="str">
        <f t="shared" si="36"/>
        <v/>
      </c>
      <c r="I410">
        <f>SUMIFS(Buybacks!H:H,Buybacks!D:D,Formulas!H410)</f>
        <v>0</v>
      </c>
      <c r="J410" s="41" t="str">
        <f t="shared" si="37"/>
        <v/>
      </c>
      <c r="M410">
        <f>SUMIFS('Corporate activity'!$H:$H,'Corporate activity'!$D:$D,Formulas!$L410,'Corporate activity'!$C:$C,Formulas!M$2)</f>
        <v>0</v>
      </c>
      <c r="N410">
        <f>SUMIFS('Corporate activity'!$H:$H,'Corporate activity'!$D:$D,Formulas!$L410,'Corporate activity'!$C:$C,Formulas!N$2)</f>
        <v>0</v>
      </c>
      <c r="O410">
        <f>SUMIFS('Corporate activity'!$H:$H,'Corporate activity'!$D:$D,Formulas!$L410,'Corporate activity'!$C:$C,Formulas!O$2)</f>
        <v>0</v>
      </c>
      <c r="P410">
        <f t="shared" si="35"/>
        <v>0</v>
      </c>
      <c r="Q410" t="str">
        <f t="shared" si="33"/>
        <v/>
      </c>
    </row>
    <row r="411" spans="3:17" x14ac:dyDescent="0.25">
      <c r="C411">
        <f>SUMIFS(Issuance!$H:$H,Issuance!$D:$D,Formulas!$B411,Issuance!$C:$C,Formulas!C$2)</f>
        <v>0</v>
      </c>
      <c r="D411">
        <f>SUMIFS(Issuance!$H:$H,Issuance!$D:$D,Formulas!$B411,Issuance!$C:$C,Formulas!D$2)</f>
        <v>0</v>
      </c>
      <c r="E411">
        <f t="shared" si="34"/>
        <v>0</v>
      </c>
      <c r="F411" s="41" t="str">
        <f t="shared" si="36"/>
        <v/>
      </c>
      <c r="I411">
        <f>SUMIFS(Buybacks!H:H,Buybacks!D:D,Formulas!H411)</f>
        <v>0</v>
      </c>
      <c r="J411" s="41" t="str">
        <f t="shared" si="37"/>
        <v/>
      </c>
      <c r="M411">
        <f>SUMIFS('Corporate activity'!$H:$H,'Corporate activity'!$D:$D,Formulas!$L411,'Corporate activity'!$C:$C,Formulas!M$2)</f>
        <v>0</v>
      </c>
      <c r="N411">
        <f>SUMIFS('Corporate activity'!$H:$H,'Corporate activity'!$D:$D,Formulas!$L411,'Corporate activity'!$C:$C,Formulas!N$2)</f>
        <v>0</v>
      </c>
      <c r="O411">
        <f>SUMIFS('Corporate activity'!$H:$H,'Corporate activity'!$D:$D,Formulas!$L411,'Corporate activity'!$C:$C,Formulas!O$2)</f>
        <v>0</v>
      </c>
      <c r="P411">
        <f t="shared" si="35"/>
        <v>0</v>
      </c>
      <c r="Q411" t="str">
        <f t="shared" ref="Q411:Q474" si="38">IF(OR(L411="",L411=0,P411=0),"",IF(COUNTIFS($P$3:$P$500,"&lt;"&amp;P411,$P$3:$P$500,"&lt;&gt;0")+1&lt;=20,COUNTIFS($P$3:$P$500,"&lt;"&amp;P411,$P$3:$P$500,"&lt;&gt;0")+1,""))</f>
        <v/>
      </c>
    </row>
    <row r="412" spans="3:17" x14ac:dyDescent="0.25">
      <c r="C412">
        <f>SUMIFS(Issuance!$H:$H,Issuance!$D:$D,Formulas!$B412,Issuance!$C:$C,Formulas!C$2)</f>
        <v>0</v>
      </c>
      <c r="D412">
        <f>SUMIFS(Issuance!$H:$H,Issuance!$D:$D,Formulas!$B412,Issuance!$C:$C,Formulas!D$2)</f>
        <v>0</v>
      </c>
      <c r="E412">
        <f t="shared" si="34"/>
        <v>0</v>
      </c>
      <c r="F412" s="41" t="str">
        <f t="shared" si="36"/>
        <v/>
      </c>
      <c r="I412">
        <f>SUMIFS(Buybacks!H:H,Buybacks!D:D,Formulas!H412)</f>
        <v>0</v>
      </c>
      <c r="J412" s="41" t="str">
        <f t="shared" si="37"/>
        <v/>
      </c>
      <c r="M412">
        <f>SUMIFS('Corporate activity'!$H:$H,'Corporate activity'!$D:$D,Formulas!$L412,'Corporate activity'!$C:$C,Formulas!M$2)</f>
        <v>0</v>
      </c>
      <c r="N412">
        <f>SUMIFS('Corporate activity'!$H:$H,'Corporate activity'!$D:$D,Formulas!$L412,'Corporate activity'!$C:$C,Formulas!N$2)</f>
        <v>0</v>
      </c>
      <c r="O412">
        <f>SUMIFS('Corporate activity'!$H:$H,'Corporate activity'!$D:$D,Formulas!$L412,'Corporate activity'!$C:$C,Formulas!O$2)</f>
        <v>0</v>
      </c>
      <c r="P412">
        <f t="shared" si="35"/>
        <v>0</v>
      </c>
      <c r="Q412" t="str">
        <f t="shared" si="38"/>
        <v/>
      </c>
    </row>
    <row r="413" spans="3:17" x14ac:dyDescent="0.25">
      <c r="C413">
        <f>SUMIFS(Issuance!$H:$H,Issuance!$D:$D,Formulas!$B413,Issuance!$C:$C,Formulas!C$2)</f>
        <v>0</v>
      </c>
      <c r="D413">
        <f>SUMIFS(Issuance!$H:$H,Issuance!$D:$D,Formulas!$B413,Issuance!$C:$C,Formulas!D$2)</f>
        <v>0</v>
      </c>
      <c r="E413">
        <f t="shared" si="34"/>
        <v>0</v>
      </c>
      <c r="F413" s="41" t="str">
        <f t="shared" si="36"/>
        <v/>
      </c>
      <c r="I413">
        <f>SUMIFS(Buybacks!H:H,Buybacks!D:D,Formulas!H413)</f>
        <v>0</v>
      </c>
      <c r="J413" s="41" t="str">
        <f t="shared" si="37"/>
        <v/>
      </c>
      <c r="M413">
        <f>SUMIFS('Corporate activity'!$H:$H,'Corporate activity'!$D:$D,Formulas!$L413,'Corporate activity'!$C:$C,Formulas!M$2)</f>
        <v>0</v>
      </c>
      <c r="N413">
        <f>SUMIFS('Corporate activity'!$H:$H,'Corporate activity'!$D:$D,Formulas!$L413,'Corporate activity'!$C:$C,Formulas!N$2)</f>
        <v>0</v>
      </c>
      <c r="O413">
        <f>SUMIFS('Corporate activity'!$H:$H,'Corporate activity'!$D:$D,Formulas!$L413,'Corporate activity'!$C:$C,Formulas!O$2)</f>
        <v>0</v>
      </c>
      <c r="P413">
        <f t="shared" si="35"/>
        <v>0</v>
      </c>
      <c r="Q413" t="str">
        <f t="shared" si="38"/>
        <v/>
      </c>
    </row>
    <row r="414" spans="3:17" x14ac:dyDescent="0.25">
      <c r="C414">
        <f>SUMIFS(Issuance!$H:$H,Issuance!$D:$D,Formulas!$B414,Issuance!$C:$C,Formulas!C$2)</f>
        <v>0</v>
      </c>
      <c r="D414">
        <f>SUMIFS(Issuance!$H:$H,Issuance!$D:$D,Formulas!$B414,Issuance!$C:$C,Formulas!D$2)</f>
        <v>0</v>
      </c>
      <c r="E414">
        <f t="shared" si="34"/>
        <v>0</v>
      </c>
      <c r="F414" s="41" t="str">
        <f t="shared" si="36"/>
        <v/>
      </c>
      <c r="I414">
        <f>SUMIFS(Buybacks!H:H,Buybacks!D:D,Formulas!H414)</f>
        <v>0</v>
      </c>
      <c r="J414" s="41" t="str">
        <f t="shared" si="37"/>
        <v/>
      </c>
      <c r="M414">
        <f>SUMIFS('Corporate activity'!$H:$H,'Corporate activity'!$D:$D,Formulas!$L414,'Corporate activity'!$C:$C,Formulas!M$2)</f>
        <v>0</v>
      </c>
      <c r="N414">
        <f>SUMIFS('Corporate activity'!$H:$H,'Corporate activity'!$D:$D,Formulas!$L414,'Corporate activity'!$C:$C,Formulas!N$2)</f>
        <v>0</v>
      </c>
      <c r="O414">
        <f>SUMIFS('Corporate activity'!$H:$H,'Corporate activity'!$D:$D,Formulas!$L414,'Corporate activity'!$C:$C,Formulas!O$2)</f>
        <v>0</v>
      </c>
      <c r="P414">
        <f t="shared" si="35"/>
        <v>0</v>
      </c>
      <c r="Q414" t="str">
        <f t="shared" si="38"/>
        <v/>
      </c>
    </row>
    <row r="415" spans="3:17" x14ac:dyDescent="0.25">
      <c r="C415">
        <f>SUMIFS(Issuance!$H:$H,Issuance!$D:$D,Formulas!$B415,Issuance!$C:$C,Formulas!C$2)</f>
        <v>0</v>
      </c>
      <c r="D415">
        <f>SUMIFS(Issuance!$H:$H,Issuance!$D:$D,Formulas!$B415,Issuance!$C:$C,Formulas!D$2)</f>
        <v>0</v>
      </c>
      <c r="E415">
        <f t="shared" si="34"/>
        <v>0</v>
      </c>
      <c r="F415" s="41" t="str">
        <f t="shared" si="36"/>
        <v/>
      </c>
      <c r="I415">
        <f>SUMIFS(Buybacks!H:H,Buybacks!D:D,Formulas!H415)</f>
        <v>0</v>
      </c>
      <c r="J415" s="41" t="str">
        <f t="shared" si="37"/>
        <v/>
      </c>
      <c r="M415">
        <f>SUMIFS('Corporate activity'!$H:$H,'Corporate activity'!$D:$D,Formulas!$L415,'Corporate activity'!$C:$C,Formulas!M$2)</f>
        <v>0</v>
      </c>
      <c r="N415">
        <f>SUMIFS('Corporate activity'!$H:$H,'Corporate activity'!$D:$D,Formulas!$L415,'Corporate activity'!$C:$C,Formulas!N$2)</f>
        <v>0</v>
      </c>
      <c r="O415">
        <f>SUMIFS('Corporate activity'!$H:$H,'Corporate activity'!$D:$D,Formulas!$L415,'Corporate activity'!$C:$C,Formulas!O$2)</f>
        <v>0</v>
      </c>
      <c r="P415">
        <f t="shared" si="35"/>
        <v>0</v>
      </c>
      <c r="Q415" t="str">
        <f t="shared" si="38"/>
        <v/>
      </c>
    </row>
    <row r="416" spans="3:17" x14ac:dyDescent="0.25">
      <c r="C416">
        <f>SUMIFS(Issuance!$H:$H,Issuance!$D:$D,Formulas!$B416,Issuance!$C:$C,Formulas!C$2)</f>
        <v>0</v>
      </c>
      <c r="D416">
        <f>SUMIFS(Issuance!$H:$H,Issuance!$D:$D,Formulas!$B416,Issuance!$C:$C,Formulas!D$2)</f>
        <v>0</v>
      </c>
      <c r="E416">
        <f t="shared" si="34"/>
        <v>0</v>
      </c>
      <c r="F416" s="41" t="str">
        <f t="shared" si="36"/>
        <v/>
      </c>
      <c r="I416">
        <f>SUMIFS(Buybacks!H:H,Buybacks!D:D,Formulas!H416)</f>
        <v>0</v>
      </c>
      <c r="J416" s="41" t="str">
        <f t="shared" si="37"/>
        <v/>
      </c>
      <c r="M416">
        <f>SUMIFS('Corporate activity'!$H:$H,'Corporate activity'!$D:$D,Formulas!$L416,'Corporate activity'!$C:$C,Formulas!M$2)</f>
        <v>0</v>
      </c>
      <c r="N416">
        <f>SUMIFS('Corporate activity'!$H:$H,'Corporate activity'!$D:$D,Formulas!$L416,'Corporate activity'!$C:$C,Formulas!N$2)</f>
        <v>0</v>
      </c>
      <c r="O416">
        <f>SUMIFS('Corporate activity'!$H:$H,'Corporate activity'!$D:$D,Formulas!$L416,'Corporate activity'!$C:$C,Formulas!O$2)</f>
        <v>0</v>
      </c>
      <c r="P416">
        <f t="shared" si="35"/>
        <v>0</v>
      </c>
      <c r="Q416" t="str">
        <f t="shared" si="38"/>
        <v/>
      </c>
    </row>
    <row r="417" spans="3:17" x14ac:dyDescent="0.25">
      <c r="C417">
        <f>SUMIFS(Issuance!$H:$H,Issuance!$D:$D,Formulas!$B417,Issuance!$C:$C,Formulas!C$2)</f>
        <v>0</v>
      </c>
      <c r="D417">
        <f>SUMIFS(Issuance!$H:$H,Issuance!$D:$D,Formulas!$B417,Issuance!$C:$C,Formulas!D$2)</f>
        <v>0</v>
      </c>
      <c r="E417">
        <f t="shared" si="34"/>
        <v>0</v>
      </c>
      <c r="F417" s="41" t="str">
        <f t="shared" si="36"/>
        <v/>
      </c>
      <c r="I417">
        <f>SUMIFS(Buybacks!H:H,Buybacks!D:D,Formulas!H417)</f>
        <v>0</v>
      </c>
      <c r="J417" s="41" t="str">
        <f t="shared" si="37"/>
        <v/>
      </c>
      <c r="M417">
        <f>SUMIFS('Corporate activity'!$H:$H,'Corporate activity'!$D:$D,Formulas!$L417,'Corporate activity'!$C:$C,Formulas!M$2)</f>
        <v>0</v>
      </c>
      <c r="N417">
        <f>SUMIFS('Corporate activity'!$H:$H,'Corporate activity'!$D:$D,Formulas!$L417,'Corporate activity'!$C:$C,Formulas!N$2)</f>
        <v>0</v>
      </c>
      <c r="O417">
        <f>SUMIFS('Corporate activity'!$H:$H,'Corporate activity'!$D:$D,Formulas!$L417,'Corporate activity'!$C:$C,Formulas!O$2)</f>
        <v>0</v>
      </c>
      <c r="P417">
        <f t="shared" si="35"/>
        <v>0</v>
      </c>
      <c r="Q417" t="str">
        <f t="shared" si="38"/>
        <v/>
      </c>
    </row>
    <row r="418" spans="3:17" x14ac:dyDescent="0.25">
      <c r="C418">
        <f>SUMIFS(Issuance!$H:$H,Issuance!$D:$D,Formulas!$B418,Issuance!$C:$C,Formulas!C$2)</f>
        <v>0</v>
      </c>
      <c r="D418">
        <f>SUMIFS(Issuance!$H:$H,Issuance!$D:$D,Formulas!$B418,Issuance!$C:$C,Formulas!D$2)</f>
        <v>0</v>
      </c>
      <c r="E418">
        <f t="shared" si="34"/>
        <v>0</v>
      </c>
      <c r="F418" s="41" t="str">
        <f t="shared" si="36"/>
        <v/>
      </c>
      <c r="I418">
        <f>SUMIFS(Buybacks!H:H,Buybacks!D:D,Formulas!H418)</f>
        <v>0</v>
      </c>
      <c r="J418" s="41" t="str">
        <f t="shared" si="37"/>
        <v/>
      </c>
      <c r="M418">
        <f>SUMIFS('Corporate activity'!$H:$H,'Corporate activity'!$D:$D,Formulas!$L418,'Corporate activity'!$C:$C,Formulas!M$2)</f>
        <v>0</v>
      </c>
      <c r="N418">
        <f>SUMIFS('Corporate activity'!$H:$H,'Corporate activity'!$D:$D,Formulas!$L418,'Corporate activity'!$C:$C,Formulas!N$2)</f>
        <v>0</v>
      </c>
      <c r="O418">
        <f>SUMIFS('Corporate activity'!$H:$H,'Corporate activity'!$D:$D,Formulas!$L418,'Corporate activity'!$C:$C,Formulas!O$2)</f>
        <v>0</v>
      </c>
      <c r="P418">
        <f t="shared" si="35"/>
        <v>0</v>
      </c>
      <c r="Q418" t="str">
        <f t="shared" si="38"/>
        <v/>
      </c>
    </row>
    <row r="419" spans="3:17" x14ac:dyDescent="0.25">
      <c r="C419">
        <f>SUMIFS(Issuance!$H:$H,Issuance!$D:$D,Formulas!$B419,Issuance!$C:$C,Formulas!C$2)</f>
        <v>0</v>
      </c>
      <c r="D419">
        <f>SUMIFS(Issuance!$H:$H,Issuance!$D:$D,Formulas!$B419,Issuance!$C:$C,Formulas!D$2)</f>
        <v>0</v>
      </c>
      <c r="E419">
        <f t="shared" si="34"/>
        <v>0</v>
      </c>
      <c r="F419" s="41" t="str">
        <f t="shared" si="36"/>
        <v/>
      </c>
      <c r="I419">
        <f>SUMIFS(Buybacks!H:H,Buybacks!D:D,Formulas!H419)</f>
        <v>0</v>
      </c>
      <c r="J419" s="41" t="str">
        <f t="shared" si="37"/>
        <v/>
      </c>
      <c r="M419">
        <f>SUMIFS('Corporate activity'!$H:$H,'Corporate activity'!$D:$D,Formulas!$L419,'Corporate activity'!$C:$C,Formulas!M$2)</f>
        <v>0</v>
      </c>
      <c r="N419">
        <f>SUMIFS('Corporate activity'!$H:$H,'Corporate activity'!$D:$D,Formulas!$L419,'Corporate activity'!$C:$C,Formulas!N$2)</f>
        <v>0</v>
      </c>
      <c r="O419">
        <f>SUMIFS('Corporate activity'!$H:$H,'Corporate activity'!$D:$D,Formulas!$L419,'Corporate activity'!$C:$C,Formulas!O$2)</f>
        <v>0</v>
      </c>
      <c r="P419">
        <f t="shared" si="35"/>
        <v>0</v>
      </c>
      <c r="Q419" t="str">
        <f t="shared" si="38"/>
        <v/>
      </c>
    </row>
    <row r="420" spans="3:17" x14ac:dyDescent="0.25">
      <c r="C420">
        <f>SUMIFS(Issuance!$H:$H,Issuance!$D:$D,Formulas!$B420,Issuance!$C:$C,Formulas!C$2)</f>
        <v>0</v>
      </c>
      <c r="D420">
        <f>SUMIFS(Issuance!$H:$H,Issuance!$D:$D,Formulas!$B420,Issuance!$C:$C,Formulas!D$2)</f>
        <v>0</v>
      </c>
      <c r="E420">
        <f t="shared" si="34"/>
        <v>0</v>
      </c>
      <c r="F420" s="41" t="str">
        <f t="shared" si="36"/>
        <v/>
      </c>
      <c r="I420">
        <f>SUMIFS(Buybacks!H:H,Buybacks!D:D,Formulas!H420)</f>
        <v>0</v>
      </c>
      <c r="J420" s="41" t="str">
        <f t="shared" si="37"/>
        <v/>
      </c>
      <c r="M420">
        <f>SUMIFS('Corporate activity'!$H:$H,'Corporate activity'!$D:$D,Formulas!$L420,'Corporate activity'!$C:$C,Formulas!M$2)</f>
        <v>0</v>
      </c>
      <c r="N420">
        <f>SUMIFS('Corporate activity'!$H:$H,'Corporate activity'!$D:$D,Formulas!$L420,'Corporate activity'!$C:$C,Formulas!N$2)</f>
        <v>0</v>
      </c>
      <c r="O420">
        <f>SUMIFS('Corporate activity'!$H:$H,'Corporate activity'!$D:$D,Formulas!$L420,'Corporate activity'!$C:$C,Formulas!O$2)</f>
        <v>0</v>
      </c>
      <c r="P420">
        <f t="shared" si="35"/>
        <v>0</v>
      </c>
      <c r="Q420" t="str">
        <f t="shared" si="38"/>
        <v/>
      </c>
    </row>
    <row r="421" spans="3:17" x14ac:dyDescent="0.25">
      <c r="C421">
        <f>SUMIFS(Issuance!$H:$H,Issuance!$D:$D,Formulas!$B421,Issuance!$C:$C,Formulas!C$2)</f>
        <v>0</v>
      </c>
      <c r="D421">
        <f>SUMIFS(Issuance!$H:$H,Issuance!$D:$D,Formulas!$B421,Issuance!$C:$C,Formulas!D$2)</f>
        <v>0</v>
      </c>
      <c r="E421">
        <f t="shared" si="34"/>
        <v>0</v>
      </c>
      <c r="F421" s="41" t="str">
        <f t="shared" si="36"/>
        <v/>
      </c>
      <c r="I421">
        <f>SUMIFS(Buybacks!H:H,Buybacks!D:D,Formulas!H421)</f>
        <v>0</v>
      </c>
      <c r="J421" s="41" t="str">
        <f t="shared" si="37"/>
        <v/>
      </c>
      <c r="M421">
        <f>SUMIFS('Corporate activity'!$H:$H,'Corporate activity'!$D:$D,Formulas!$L421,'Corporate activity'!$C:$C,Formulas!M$2)</f>
        <v>0</v>
      </c>
      <c r="N421">
        <f>SUMIFS('Corporate activity'!$H:$H,'Corporate activity'!$D:$D,Formulas!$L421,'Corporate activity'!$C:$C,Formulas!N$2)</f>
        <v>0</v>
      </c>
      <c r="O421">
        <f>SUMIFS('Corporate activity'!$H:$H,'Corporate activity'!$D:$D,Formulas!$L421,'Corporate activity'!$C:$C,Formulas!O$2)</f>
        <v>0</v>
      </c>
      <c r="P421">
        <f t="shared" si="35"/>
        <v>0</v>
      </c>
      <c r="Q421" t="str">
        <f t="shared" si="38"/>
        <v/>
      </c>
    </row>
    <row r="422" spans="3:17" x14ac:dyDescent="0.25">
      <c r="C422">
        <f>SUMIFS(Issuance!$H:$H,Issuance!$D:$D,Formulas!$B422,Issuance!$C:$C,Formulas!C$2)</f>
        <v>0</v>
      </c>
      <c r="D422">
        <f>SUMIFS(Issuance!$H:$H,Issuance!$D:$D,Formulas!$B422,Issuance!$C:$C,Formulas!D$2)</f>
        <v>0</v>
      </c>
      <c r="E422">
        <f t="shared" si="34"/>
        <v>0</v>
      </c>
      <c r="F422" s="41" t="str">
        <f t="shared" si="36"/>
        <v/>
      </c>
      <c r="I422">
        <f>SUMIFS(Buybacks!H:H,Buybacks!D:D,Formulas!H422)</f>
        <v>0</v>
      </c>
      <c r="J422" s="41" t="str">
        <f t="shared" si="37"/>
        <v/>
      </c>
      <c r="M422">
        <f>SUMIFS('Corporate activity'!$H:$H,'Corporate activity'!$D:$D,Formulas!$L422,'Corporate activity'!$C:$C,Formulas!M$2)</f>
        <v>0</v>
      </c>
      <c r="N422">
        <f>SUMIFS('Corporate activity'!$H:$H,'Corporate activity'!$D:$D,Formulas!$L422,'Corporate activity'!$C:$C,Formulas!N$2)</f>
        <v>0</v>
      </c>
      <c r="O422">
        <f>SUMIFS('Corporate activity'!$H:$H,'Corporate activity'!$D:$D,Formulas!$L422,'Corporate activity'!$C:$C,Formulas!O$2)</f>
        <v>0</v>
      </c>
      <c r="P422">
        <f t="shared" si="35"/>
        <v>0</v>
      </c>
      <c r="Q422" t="str">
        <f t="shared" si="38"/>
        <v/>
      </c>
    </row>
    <row r="423" spans="3:17" x14ac:dyDescent="0.25">
      <c r="C423">
        <f>SUMIFS(Issuance!$H:$H,Issuance!$D:$D,Formulas!$B423,Issuance!$C:$C,Formulas!C$2)</f>
        <v>0</v>
      </c>
      <c r="D423">
        <f>SUMIFS(Issuance!$H:$H,Issuance!$D:$D,Formulas!$B423,Issuance!$C:$C,Formulas!D$2)</f>
        <v>0</v>
      </c>
      <c r="E423">
        <f t="shared" si="34"/>
        <v>0</v>
      </c>
      <c r="F423" s="41" t="str">
        <f t="shared" si="36"/>
        <v/>
      </c>
      <c r="I423">
        <f>SUMIFS(Buybacks!H:H,Buybacks!D:D,Formulas!H423)</f>
        <v>0</v>
      </c>
      <c r="J423" s="41" t="str">
        <f t="shared" si="37"/>
        <v/>
      </c>
      <c r="M423">
        <f>SUMIFS('Corporate activity'!$H:$H,'Corporate activity'!$D:$D,Formulas!$L423,'Corporate activity'!$C:$C,Formulas!M$2)</f>
        <v>0</v>
      </c>
      <c r="N423">
        <f>SUMIFS('Corporate activity'!$H:$H,'Corporate activity'!$D:$D,Formulas!$L423,'Corporate activity'!$C:$C,Formulas!N$2)</f>
        <v>0</v>
      </c>
      <c r="O423">
        <f>SUMIFS('Corporate activity'!$H:$H,'Corporate activity'!$D:$D,Formulas!$L423,'Corporate activity'!$C:$C,Formulas!O$2)</f>
        <v>0</v>
      </c>
      <c r="P423">
        <f t="shared" si="35"/>
        <v>0</v>
      </c>
      <c r="Q423" t="str">
        <f t="shared" si="38"/>
        <v/>
      </c>
    </row>
    <row r="424" spans="3:17" x14ac:dyDescent="0.25">
      <c r="C424">
        <f>SUMIFS(Issuance!$H:$H,Issuance!$D:$D,Formulas!$B424,Issuance!$C:$C,Formulas!C$2)</f>
        <v>0</v>
      </c>
      <c r="D424">
        <f>SUMIFS(Issuance!$H:$H,Issuance!$D:$D,Formulas!$B424,Issuance!$C:$C,Formulas!D$2)</f>
        <v>0</v>
      </c>
      <c r="E424">
        <f t="shared" si="34"/>
        <v>0</v>
      </c>
      <c r="F424" s="41" t="str">
        <f t="shared" si="36"/>
        <v/>
      </c>
      <c r="I424">
        <f>SUMIFS(Buybacks!H:H,Buybacks!D:D,Formulas!H424)</f>
        <v>0</v>
      </c>
      <c r="J424" s="41" t="str">
        <f t="shared" si="37"/>
        <v/>
      </c>
      <c r="M424">
        <f>SUMIFS('Corporate activity'!$H:$H,'Corporate activity'!$D:$D,Formulas!$L424,'Corporate activity'!$C:$C,Formulas!M$2)</f>
        <v>0</v>
      </c>
      <c r="N424">
        <f>SUMIFS('Corporate activity'!$H:$H,'Corporate activity'!$D:$D,Formulas!$L424,'Corporate activity'!$C:$C,Formulas!N$2)</f>
        <v>0</v>
      </c>
      <c r="O424">
        <f>SUMIFS('Corporate activity'!$H:$H,'Corporate activity'!$D:$D,Formulas!$L424,'Corporate activity'!$C:$C,Formulas!O$2)</f>
        <v>0</v>
      </c>
      <c r="P424">
        <f t="shared" si="35"/>
        <v>0</v>
      </c>
      <c r="Q424" t="str">
        <f t="shared" si="38"/>
        <v/>
      </c>
    </row>
    <row r="425" spans="3:17" x14ac:dyDescent="0.25">
      <c r="C425">
        <f>SUMIFS(Issuance!$H:$H,Issuance!$D:$D,Formulas!$B425,Issuance!$C:$C,Formulas!C$2)</f>
        <v>0</v>
      </c>
      <c r="D425">
        <f>SUMIFS(Issuance!$H:$H,Issuance!$D:$D,Formulas!$B425,Issuance!$C:$C,Formulas!D$2)</f>
        <v>0</v>
      </c>
      <c r="E425">
        <f t="shared" si="34"/>
        <v>0</v>
      </c>
      <c r="F425" s="41" t="str">
        <f t="shared" si="36"/>
        <v/>
      </c>
      <c r="I425">
        <f>SUMIFS(Buybacks!H:H,Buybacks!D:D,Formulas!H425)</f>
        <v>0</v>
      </c>
      <c r="J425" s="41" t="str">
        <f t="shared" si="37"/>
        <v/>
      </c>
      <c r="M425">
        <f>SUMIFS('Corporate activity'!$H:$H,'Corporate activity'!$D:$D,Formulas!$L425,'Corporate activity'!$C:$C,Formulas!M$2)</f>
        <v>0</v>
      </c>
      <c r="N425">
        <f>SUMIFS('Corporate activity'!$H:$H,'Corporate activity'!$D:$D,Formulas!$L425,'Corporate activity'!$C:$C,Formulas!N$2)</f>
        <v>0</v>
      </c>
      <c r="O425">
        <f>SUMIFS('Corporate activity'!$H:$H,'Corporate activity'!$D:$D,Formulas!$L425,'Corporate activity'!$C:$C,Formulas!O$2)</f>
        <v>0</v>
      </c>
      <c r="P425">
        <f t="shared" si="35"/>
        <v>0</v>
      </c>
      <c r="Q425" t="str">
        <f t="shared" si="38"/>
        <v/>
      </c>
    </row>
    <row r="426" spans="3:17" x14ac:dyDescent="0.25">
      <c r="C426">
        <f>SUMIFS(Issuance!$H:$H,Issuance!$D:$D,Formulas!$B426,Issuance!$C:$C,Formulas!C$2)</f>
        <v>0</v>
      </c>
      <c r="D426">
        <f>SUMIFS(Issuance!$H:$H,Issuance!$D:$D,Formulas!$B426,Issuance!$C:$C,Formulas!D$2)</f>
        <v>0</v>
      </c>
      <c r="E426">
        <f t="shared" si="34"/>
        <v>0</v>
      </c>
      <c r="F426" s="41" t="str">
        <f t="shared" si="36"/>
        <v/>
      </c>
      <c r="I426">
        <f>SUMIFS(Buybacks!H:H,Buybacks!D:D,Formulas!H426)</f>
        <v>0</v>
      </c>
      <c r="J426" s="41" t="str">
        <f t="shared" si="37"/>
        <v/>
      </c>
      <c r="M426">
        <f>SUMIFS('Corporate activity'!$H:$H,'Corporate activity'!$D:$D,Formulas!$L426,'Corporate activity'!$C:$C,Formulas!M$2)</f>
        <v>0</v>
      </c>
      <c r="N426">
        <f>SUMIFS('Corporate activity'!$H:$H,'Corporate activity'!$D:$D,Formulas!$L426,'Corporate activity'!$C:$C,Formulas!N$2)</f>
        <v>0</v>
      </c>
      <c r="O426">
        <f>SUMIFS('Corporate activity'!$H:$H,'Corporate activity'!$D:$D,Formulas!$L426,'Corporate activity'!$C:$C,Formulas!O$2)</f>
        <v>0</v>
      </c>
      <c r="P426">
        <f t="shared" si="35"/>
        <v>0</v>
      </c>
      <c r="Q426" t="str">
        <f t="shared" si="38"/>
        <v/>
      </c>
    </row>
    <row r="427" spans="3:17" x14ac:dyDescent="0.25">
      <c r="C427">
        <f>SUMIFS(Issuance!$H:$H,Issuance!$D:$D,Formulas!$B427,Issuance!$C:$C,Formulas!C$2)</f>
        <v>0</v>
      </c>
      <c r="D427">
        <f>SUMIFS(Issuance!$H:$H,Issuance!$D:$D,Formulas!$B427,Issuance!$C:$C,Formulas!D$2)</f>
        <v>0</v>
      </c>
      <c r="E427">
        <f t="shared" si="34"/>
        <v>0</v>
      </c>
      <c r="F427" s="41" t="str">
        <f t="shared" si="36"/>
        <v/>
      </c>
      <c r="I427">
        <f>SUMIFS(Buybacks!H:H,Buybacks!D:D,Formulas!H427)</f>
        <v>0</v>
      </c>
      <c r="J427" s="41" t="str">
        <f t="shared" si="37"/>
        <v/>
      </c>
      <c r="M427">
        <f>SUMIFS('Corporate activity'!$H:$H,'Corporate activity'!$D:$D,Formulas!$L427,'Corporate activity'!$C:$C,Formulas!M$2)</f>
        <v>0</v>
      </c>
      <c r="N427">
        <f>SUMIFS('Corporate activity'!$H:$H,'Corporate activity'!$D:$D,Formulas!$L427,'Corporate activity'!$C:$C,Formulas!N$2)</f>
        <v>0</v>
      </c>
      <c r="O427">
        <f>SUMIFS('Corporate activity'!$H:$H,'Corporate activity'!$D:$D,Formulas!$L427,'Corporate activity'!$C:$C,Formulas!O$2)</f>
        <v>0</v>
      </c>
      <c r="P427">
        <f t="shared" si="35"/>
        <v>0</v>
      </c>
      <c r="Q427" t="str">
        <f t="shared" si="38"/>
        <v/>
      </c>
    </row>
    <row r="428" spans="3:17" x14ac:dyDescent="0.25">
      <c r="C428">
        <f>SUMIFS(Issuance!$H:$H,Issuance!$D:$D,Formulas!$B428,Issuance!$C:$C,Formulas!C$2)</f>
        <v>0</v>
      </c>
      <c r="D428">
        <f>SUMIFS(Issuance!$H:$H,Issuance!$D:$D,Formulas!$B428,Issuance!$C:$C,Formulas!D$2)</f>
        <v>0</v>
      </c>
      <c r="E428">
        <f t="shared" si="34"/>
        <v>0</v>
      </c>
      <c r="F428" s="41" t="str">
        <f t="shared" si="36"/>
        <v/>
      </c>
      <c r="I428">
        <f>SUMIFS(Buybacks!H:H,Buybacks!D:D,Formulas!H428)</f>
        <v>0</v>
      </c>
      <c r="J428" s="41" t="str">
        <f t="shared" si="37"/>
        <v/>
      </c>
      <c r="M428">
        <f>SUMIFS('Corporate activity'!$H:$H,'Corporate activity'!$D:$D,Formulas!$L428,'Corporate activity'!$C:$C,Formulas!M$2)</f>
        <v>0</v>
      </c>
      <c r="N428">
        <f>SUMIFS('Corporate activity'!$H:$H,'Corporate activity'!$D:$D,Formulas!$L428,'Corporate activity'!$C:$C,Formulas!N$2)</f>
        <v>0</v>
      </c>
      <c r="O428">
        <f>SUMIFS('Corporate activity'!$H:$H,'Corporate activity'!$D:$D,Formulas!$L428,'Corporate activity'!$C:$C,Formulas!O$2)</f>
        <v>0</v>
      </c>
      <c r="P428">
        <f t="shared" si="35"/>
        <v>0</v>
      </c>
      <c r="Q428" t="str">
        <f t="shared" si="38"/>
        <v/>
      </c>
    </row>
    <row r="429" spans="3:17" x14ac:dyDescent="0.25">
      <c r="C429">
        <f>SUMIFS(Issuance!$H:$H,Issuance!$D:$D,Formulas!$B429,Issuance!$C:$C,Formulas!C$2)</f>
        <v>0</v>
      </c>
      <c r="D429">
        <f>SUMIFS(Issuance!$H:$H,Issuance!$D:$D,Formulas!$B429,Issuance!$C:$C,Formulas!D$2)</f>
        <v>0</v>
      </c>
      <c r="E429">
        <f t="shared" si="34"/>
        <v>0</v>
      </c>
      <c r="F429" s="41" t="str">
        <f t="shared" si="36"/>
        <v/>
      </c>
      <c r="I429">
        <f>SUMIFS(Buybacks!H:H,Buybacks!D:D,Formulas!H429)</f>
        <v>0</v>
      </c>
      <c r="J429" s="41" t="str">
        <f t="shared" si="37"/>
        <v/>
      </c>
      <c r="M429">
        <f>SUMIFS('Corporate activity'!$H:$H,'Corporate activity'!$D:$D,Formulas!$L429,'Corporate activity'!$C:$C,Formulas!M$2)</f>
        <v>0</v>
      </c>
      <c r="N429">
        <f>SUMIFS('Corporate activity'!$H:$H,'Corporate activity'!$D:$D,Formulas!$L429,'Corporate activity'!$C:$C,Formulas!N$2)</f>
        <v>0</v>
      </c>
      <c r="O429">
        <f>SUMIFS('Corporate activity'!$H:$H,'Corporate activity'!$D:$D,Formulas!$L429,'Corporate activity'!$C:$C,Formulas!O$2)</f>
        <v>0</v>
      </c>
      <c r="P429">
        <f t="shared" si="35"/>
        <v>0</v>
      </c>
      <c r="Q429" t="str">
        <f t="shared" si="38"/>
        <v/>
      </c>
    </row>
    <row r="430" spans="3:17" x14ac:dyDescent="0.25">
      <c r="C430">
        <f>SUMIFS(Issuance!$H:$H,Issuance!$D:$D,Formulas!$B430,Issuance!$C:$C,Formulas!C$2)</f>
        <v>0</v>
      </c>
      <c r="D430">
        <f>SUMIFS(Issuance!$H:$H,Issuance!$D:$D,Formulas!$B430,Issuance!$C:$C,Formulas!D$2)</f>
        <v>0</v>
      </c>
      <c r="E430">
        <f t="shared" si="34"/>
        <v>0</v>
      </c>
      <c r="F430" s="41" t="str">
        <f t="shared" si="36"/>
        <v/>
      </c>
      <c r="I430">
        <f>SUMIFS(Buybacks!H:H,Buybacks!D:D,Formulas!H430)</f>
        <v>0</v>
      </c>
      <c r="J430" s="41" t="str">
        <f t="shared" si="37"/>
        <v/>
      </c>
      <c r="M430">
        <f>SUMIFS('Corporate activity'!$H:$H,'Corporate activity'!$D:$D,Formulas!$L430,'Corporate activity'!$C:$C,Formulas!M$2)</f>
        <v>0</v>
      </c>
      <c r="N430">
        <f>SUMIFS('Corporate activity'!$H:$H,'Corporate activity'!$D:$D,Formulas!$L430,'Corporate activity'!$C:$C,Formulas!N$2)</f>
        <v>0</v>
      </c>
      <c r="O430">
        <f>SUMIFS('Corporate activity'!$H:$H,'Corporate activity'!$D:$D,Formulas!$L430,'Corporate activity'!$C:$C,Formulas!O$2)</f>
        <v>0</v>
      </c>
      <c r="P430">
        <f t="shared" si="35"/>
        <v>0</v>
      </c>
      <c r="Q430" t="str">
        <f t="shared" si="38"/>
        <v/>
      </c>
    </row>
    <row r="431" spans="3:17" x14ac:dyDescent="0.25">
      <c r="C431">
        <f>SUMIFS(Issuance!$H:$H,Issuance!$D:$D,Formulas!$B431,Issuance!$C:$C,Formulas!C$2)</f>
        <v>0</v>
      </c>
      <c r="D431">
        <f>SUMIFS(Issuance!$H:$H,Issuance!$D:$D,Formulas!$B431,Issuance!$C:$C,Formulas!D$2)</f>
        <v>0</v>
      </c>
      <c r="E431">
        <f t="shared" si="34"/>
        <v>0</v>
      </c>
      <c r="F431" s="41" t="str">
        <f t="shared" si="36"/>
        <v/>
      </c>
      <c r="I431">
        <f>SUMIFS(Buybacks!H:H,Buybacks!D:D,Formulas!H431)</f>
        <v>0</v>
      </c>
      <c r="J431" s="41" t="str">
        <f t="shared" si="37"/>
        <v/>
      </c>
      <c r="M431">
        <f>SUMIFS('Corporate activity'!$H:$H,'Corporate activity'!$D:$D,Formulas!$L431,'Corporate activity'!$C:$C,Formulas!M$2)</f>
        <v>0</v>
      </c>
      <c r="N431">
        <f>SUMIFS('Corporate activity'!$H:$H,'Corporate activity'!$D:$D,Formulas!$L431,'Corporate activity'!$C:$C,Formulas!N$2)</f>
        <v>0</v>
      </c>
      <c r="O431">
        <f>SUMIFS('Corporate activity'!$H:$H,'Corporate activity'!$D:$D,Formulas!$L431,'Corporate activity'!$C:$C,Formulas!O$2)</f>
        <v>0</v>
      </c>
      <c r="P431">
        <f t="shared" si="35"/>
        <v>0</v>
      </c>
      <c r="Q431" t="str">
        <f t="shared" si="38"/>
        <v/>
      </c>
    </row>
    <row r="432" spans="3:17" x14ac:dyDescent="0.25">
      <c r="C432">
        <f>SUMIFS(Issuance!$H:$H,Issuance!$D:$D,Formulas!$B432,Issuance!$C:$C,Formulas!C$2)</f>
        <v>0</v>
      </c>
      <c r="D432">
        <f>SUMIFS(Issuance!$H:$H,Issuance!$D:$D,Formulas!$B432,Issuance!$C:$C,Formulas!D$2)</f>
        <v>0</v>
      </c>
      <c r="E432">
        <f t="shared" si="34"/>
        <v>0</v>
      </c>
      <c r="F432" s="41" t="str">
        <f t="shared" si="36"/>
        <v/>
      </c>
      <c r="I432">
        <f>SUMIFS(Buybacks!H:H,Buybacks!D:D,Formulas!H432)</f>
        <v>0</v>
      </c>
      <c r="J432" s="41" t="str">
        <f t="shared" si="37"/>
        <v/>
      </c>
      <c r="M432">
        <f>SUMIFS('Corporate activity'!$H:$H,'Corporate activity'!$D:$D,Formulas!$L432,'Corporate activity'!$C:$C,Formulas!M$2)</f>
        <v>0</v>
      </c>
      <c r="N432">
        <f>SUMIFS('Corporate activity'!$H:$H,'Corporate activity'!$D:$D,Formulas!$L432,'Corporate activity'!$C:$C,Formulas!N$2)</f>
        <v>0</v>
      </c>
      <c r="O432">
        <f>SUMIFS('Corporate activity'!$H:$H,'Corporate activity'!$D:$D,Formulas!$L432,'Corporate activity'!$C:$C,Formulas!O$2)</f>
        <v>0</v>
      </c>
      <c r="P432">
        <f t="shared" si="35"/>
        <v>0</v>
      </c>
      <c r="Q432" t="str">
        <f t="shared" si="38"/>
        <v/>
      </c>
    </row>
    <row r="433" spans="3:17" x14ac:dyDescent="0.25">
      <c r="C433">
        <f>SUMIFS(Issuance!$H:$H,Issuance!$D:$D,Formulas!$B433,Issuance!$C:$C,Formulas!C$2)</f>
        <v>0</v>
      </c>
      <c r="D433">
        <f>SUMIFS(Issuance!$H:$H,Issuance!$D:$D,Formulas!$B433,Issuance!$C:$C,Formulas!D$2)</f>
        <v>0</v>
      </c>
      <c r="E433">
        <f t="shared" si="34"/>
        <v>0</v>
      </c>
      <c r="F433" s="41" t="str">
        <f t="shared" si="36"/>
        <v/>
      </c>
      <c r="I433">
        <f>SUMIFS(Buybacks!H:H,Buybacks!D:D,Formulas!H433)</f>
        <v>0</v>
      </c>
      <c r="J433" s="41" t="str">
        <f t="shared" si="37"/>
        <v/>
      </c>
      <c r="M433">
        <f>SUMIFS('Corporate activity'!$H:$H,'Corporate activity'!$D:$D,Formulas!$L433,'Corporate activity'!$C:$C,Formulas!M$2)</f>
        <v>0</v>
      </c>
      <c r="N433">
        <f>SUMIFS('Corporate activity'!$H:$H,'Corporate activity'!$D:$D,Formulas!$L433,'Corporate activity'!$C:$C,Formulas!N$2)</f>
        <v>0</v>
      </c>
      <c r="O433">
        <f>SUMIFS('Corporate activity'!$H:$H,'Corporate activity'!$D:$D,Formulas!$L433,'Corporate activity'!$C:$C,Formulas!O$2)</f>
        <v>0</v>
      </c>
      <c r="P433">
        <f t="shared" si="35"/>
        <v>0</v>
      </c>
      <c r="Q433" t="str">
        <f t="shared" si="38"/>
        <v/>
      </c>
    </row>
    <row r="434" spans="3:17" x14ac:dyDescent="0.25">
      <c r="C434">
        <f>SUMIFS(Issuance!$H:$H,Issuance!$D:$D,Formulas!$B434,Issuance!$C:$C,Formulas!C$2)</f>
        <v>0</v>
      </c>
      <c r="D434">
        <f>SUMIFS(Issuance!$H:$H,Issuance!$D:$D,Formulas!$B434,Issuance!$C:$C,Formulas!D$2)</f>
        <v>0</v>
      </c>
      <c r="E434">
        <f t="shared" si="34"/>
        <v>0</v>
      </c>
      <c r="F434" s="41" t="str">
        <f t="shared" si="36"/>
        <v/>
      </c>
      <c r="I434">
        <f>SUMIFS(Buybacks!H:H,Buybacks!D:D,Formulas!H434)</f>
        <v>0</v>
      </c>
      <c r="J434" s="41" t="str">
        <f t="shared" si="37"/>
        <v/>
      </c>
      <c r="M434">
        <f>SUMIFS('Corporate activity'!$H:$H,'Corporate activity'!$D:$D,Formulas!$L434,'Corporate activity'!$C:$C,Formulas!M$2)</f>
        <v>0</v>
      </c>
      <c r="N434">
        <f>SUMIFS('Corporate activity'!$H:$H,'Corporate activity'!$D:$D,Formulas!$L434,'Corporate activity'!$C:$C,Formulas!N$2)</f>
        <v>0</v>
      </c>
      <c r="O434">
        <f>SUMIFS('Corporate activity'!$H:$H,'Corporate activity'!$D:$D,Formulas!$L434,'Corporate activity'!$C:$C,Formulas!O$2)</f>
        <v>0</v>
      </c>
      <c r="P434">
        <f t="shared" si="35"/>
        <v>0</v>
      </c>
      <c r="Q434" t="str">
        <f t="shared" si="38"/>
        <v/>
      </c>
    </row>
    <row r="435" spans="3:17" x14ac:dyDescent="0.25">
      <c r="C435">
        <f>SUMIFS(Issuance!$H:$H,Issuance!$D:$D,Formulas!$B435,Issuance!$C:$C,Formulas!C$2)</f>
        <v>0</v>
      </c>
      <c r="D435">
        <f>SUMIFS(Issuance!$H:$H,Issuance!$D:$D,Formulas!$B435,Issuance!$C:$C,Formulas!D$2)</f>
        <v>0</v>
      </c>
      <c r="E435">
        <f t="shared" ref="E435:E498" si="39">SUM(C435:D435)</f>
        <v>0</v>
      </c>
      <c r="F435" s="41" t="str">
        <f t="shared" si="36"/>
        <v/>
      </c>
      <c r="I435">
        <f>SUMIFS(Buybacks!H:H,Buybacks!D:D,Formulas!H435)</f>
        <v>0</v>
      </c>
      <c r="J435" s="41" t="str">
        <f t="shared" si="37"/>
        <v/>
      </c>
      <c r="M435">
        <f>SUMIFS('Corporate activity'!$H:$H,'Corporate activity'!$D:$D,Formulas!$L435,'Corporate activity'!$C:$C,Formulas!M$2)</f>
        <v>0</v>
      </c>
      <c r="N435">
        <f>SUMIFS('Corporate activity'!$H:$H,'Corporate activity'!$D:$D,Formulas!$L435,'Corporate activity'!$C:$C,Formulas!N$2)</f>
        <v>0</v>
      </c>
      <c r="O435">
        <f>SUMIFS('Corporate activity'!$H:$H,'Corporate activity'!$D:$D,Formulas!$L435,'Corporate activity'!$C:$C,Formulas!O$2)</f>
        <v>0</v>
      </c>
      <c r="P435">
        <f t="shared" ref="P435:P498" si="40">SUM(M435:O435)</f>
        <v>0</v>
      </c>
      <c r="Q435" t="str">
        <f t="shared" si="38"/>
        <v/>
      </c>
    </row>
    <row r="436" spans="3:17" x14ac:dyDescent="0.25">
      <c r="C436">
        <f>SUMIFS(Issuance!$H:$H,Issuance!$D:$D,Formulas!$B436,Issuance!$C:$C,Formulas!C$2)</f>
        <v>0</v>
      </c>
      <c r="D436">
        <f>SUMIFS(Issuance!$H:$H,Issuance!$D:$D,Formulas!$B436,Issuance!$C:$C,Formulas!D$2)</f>
        <v>0</v>
      </c>
      <c r="E436">
        <f t="shared" si="39"/>
        <v>0</v>
      </c>
      <c r="F436" s="41" t="str">
        <f t="shared" si="36"/>
        <v/>
      </c>
      <c r="I436">
        <f>SUMIFS(Buybacks!H:H,Buybacks!D:D,Formulas!H436)</f>
        <v>0</v>
      </c>
      <c r="J436" s="41" t="str">
        <f t="shared" si="37"/>
        <v/>
      </c>
      <c r="M436">
        <f>SUMIFS('Corporate activity'!$H:$H,'Corporate activity'!$D:$D,Formulas!$L436,'Corporate activity'!$C:$C,Formulas!M$2)</f>
        <v>0</v>
      </c>
      <c r="N436">
        <f>SUMIFS('Corporate activity'!$H:$H,'Corporate activity'!$D:$D,Formulas!$L436,'Corporate activity'!$C:$C,Formulas!N$2)</f>
        <v>0</v>
      </c>
      <c r="O436">
        <f>SUMIFS('Corporate activity'!$H:$H,'Corporate activity'!$D:$D,Formulas!$L436,'Corporate activity'!$C:$C,Formulas!O$2)</f>
        <v>0</v>
      </c>
      <c r="P436">
        <f t="shared" si="40"/>
        <v>0</v>
      </c>
      <c r="Q436" t="str">
        <f t="shared" si="38"/>
        <v/>
      </c>
    </row>
    <row r="437" spans="3:17" x14ac:dyDescent="0.25">
      <c r="C437">
        <f>SUMIFS(Issuance!$H:$H,Issuance!$D:$D,Formulas!$B437,Issuance!$C:$C,Formulas!C$2)</f>
        <v>0</v>
      </c>
      <c r="D437">
        <f>SUMIFS(Issuance!$H:$H,Issuance!$D:$D,Formulas!$B437,Issuance!$C:$C,Formulas!D$2)</f>
        <v>0</v>
      </c>
      <c r="E437">
        <f t="shared" si="39"/>
        <v>0</v>
      </c>
      <c r="F437" s="41" t="str">
        <f t="shared" si="36"/>
        <v/>
      </c>
      <c r="I437">
        <f>SUMIFS(Buybacks!H:H,Buybacks!D:D,Formulas!H437)</f>
        <v>0</v>
      </c>
      <c r="J437" s="41" t="str">
        <f t="shared" si="37"/>
        <v/>
      </c>
      <c r="M437">
        <f>SUMIFS('Corporate activity'!$H:$H,'Corporate activity'!$D:$D,Formulas!$L437,'Corporate activity'!$C:$C,Formulas!M$2)</f>
        <v>0</v>
      </c>
      <c r="N437">
        <f>SUMIFS('Corporate activity'!$H:$H,'Corporate activity'!$D:$D,Formulas!$L437,'Corporate activity'!$C:$C,Formulas!N$2)</f>
        <v>0</v>
      </c>
      <c r="O437">
        <f>SUMIFS('Corporate activity'!$H:$H,'Corporate activity'!$D:$D,Formulas!$L437,'Corporate activity'!$C:$C,Formulas!O$2)</f>
        <v>0</v>
      </c>
      <c r="P437">
        <f t="shared" si="40"/>
        <v>0</v>
      </c>
      <c r="Q437" t="str">
        <f t="shared" si="38"/>
        <v/>
      </c>
    </row>
    <row r="438" spans="3:17" x14ac:dyDescent="0.25">
      <c r="C438">
        <f>SUMIFS(Issuance!$H:$H,Issuance!$D:$D,Formulas!$B438,Issuance!$C:$C,Formulas!C$2)</f>
        <v>0</v>
      </c>
      <c r="D438">
        <f>SUMIFS(Issuance!$H:$H,Issuance!$D:$D,Formulas!$B438,Issuance!$C:$C,Formulas!D$2)</f>
        <v>0</v>
      </c>
      <c r="E438">
        <f t="shared" si="39"/>
        <v>0</v>
      </c>
      <c r="F438" s="41" t="str">
        <f t="shared" si="36"/>
        <v/>
      </c>
      <c r="I438">
        <f>SUMIFS(Buybacks!H:H,Buybacks!D:D,Formulas!H438)</f>
        <v>0</v>
      </c>
      <c r="J438" s="41" t="str">
        <f t="shared" si="37"/>
        <v/>
      </c>
      <c r="M438">
        <f>SUMIFS('Corporate activity'!$H:$H,'Corporate activity'!$D:$D,Formulas!$L438,'Corporate activity'!$C:$C,Formulas!M$2)</f>
        <v>0</v>
      </c>
      <c r="N438">
        <f>SUMIFS('Corporate activity'!$H:$H,'Corporate activity'!$D:$D,Formulas!$L438,'Corporate activity'!$C:$C,Formulas!N$2)</f>
        <v>0</v>
      </c>
      <c r="O438">
        <f>SUMIFS('Corporate activity'!$H:$H,'Corporate activity'!$D:$D,Formulas!$L438,'Corporate activity'!$C:$C,Formulas!O$2)</f>
        <v>0</v>
      </c>
      <c r="P438">
        <f t="shared" si="40"/>
        <v>0</v>
      </c>
      <c r="Q438" t="str">
        <f t="shared" si="38"/>
        <v/>
      </c>
    </row>
    <row r="439" spans="3:17" x14ac:dyDescent="0.25">
      <c r="C439">
        <f>SUMIFS(Issuance!$H:$H,Issuance!$D:$D,Formulas!$B439,Issuance!$C:$C,Formulas!C$2)</f>
        <v>0</v>
      </c>
      <c r="D439">
        <f>SUMIFS(Issuance!$H:$H,Issuance!$D:$D,Formulas!$B439,Issuance!$C:$C,Formulas!D$2)</f>
        <v>0</v>
      </c>
      <c r="E439">
        <f t="shared" si="39"/>
        <v>0</v>
      </c>
      <c r="F439" s="41" t="str">
        <f t="shared" si="36"/>
        <v/>
      </c>
      <c r="I439">
        <f>SUMIFS(Buybacks!H:H,Buybacks!D:D,Formulas!H439)</f>
        <v>0</v>
      </c>
      <c r="J439" s="41" t="str">
        <f t="shared" si="37"/>
        <v/>
      </c>
      <c r="M439">
        <f>SUMIFS('Corporate activity'!$H:$H,'Corporate activity'!$D:$D,Formulas!$L439,'Corporate activity'!$C:$C,Formulas!M$2)</f>
        <v>0</v>
      </c>
      <c r="N439">
        <f>SUMIFS('Corporate activity'!$H:$H,'Corporate activity'!$D:$D,Formulas!$L439,'Corporate activity'!$C:$C,Formulas!N$2)</f>
        <v>0</v>
      </c>
      <c r="O439">
        <f>SUMIFS('Corporate activity'!$H:$H,'Corporate activity'!$D:$D,Formulas!$L439,'Corporate activity'!$C:$C,Formulas!O$2)</f>
        <v>0</v>
      </c>
      <c r="P439">
        <f t="shared" si="40"/>
        <v>0</v>
      </c>
      <c r="Q439" t="str">
        <f t="shared" si="38"/>
        <v/>
      </c>
    </row>
    <row r="440" spans="3:17" x14ac:dyDescent="0.25">
      <c r="C440">
        <f>SUMIFS(Issuance!$H:$H,Issuance!$D:$D,Formulas!$B440,Issuance!$C:$C,Formulas!C$2)</f>
        <v>0</v>
      </c>
      <c r="D440">
        <f>SUMIFS(Issuance!$H:$H,Issuance!$D:$D,Formulas!$B440,Issuance!$C:$C,Formulas!D$2)</f>
        <v>0</v>
      </c>
      <c r="E440">
        <f t="shared" si="39"/>
        <v>0</v>
      </c>
      <c r="F440" s="41" t="str">
        <f t="shared" si="36"/>
        <v/>
      </c>
      <c r="I440">
        <f>SUMIFS(Buybacks!H:H,Buybacks!D:D,Formulas!H440)</f>
        <v>0</v>
      </c>
      <c r="J440" s="41" t="str">
        <f t="shared" si="37"/>
        <v/>
      </c>
      <c r="M440">
        <f>SUMIFS('Corporate activity'!$H:$H,'Corporate activity'!$D:$D,Formulas!$L440,'Corporate activity'!$C:$C,Formulas!M$2)</f>
        <v>0</v>
      </c>
      <c r="N440">
        <f>SUMIFS('Corporate activity'!$H:$H,'Corporate activity'!$D:$D,Formulas!$L440,'Corporate activity'!$C:$C,Formulas!N$2)</f>
        <v>0</v>
      </c>
      <c r="O440">
        <f>SUMIFS('Corporate activity'!$H:$H,'Corporate activity'!$D:$D,Formulas!$L440,'Corporate activity'!$C:$C,Formulas!O$2)</f>
        <v>0</v>
      </c>
      <c r="P440">
        <f t="shared" si="40"/>
        <v>0</v>
      </c>
      <c r="Q440" t="str">
        <f t="shared" si="38"/>
        <v/>
      </c>
    </row>
    <row r="441" spans="3:17" x14ac:dyDescent="0.25">
      <c r="C441">
        <f>SUMIFS(Issuance!$H:$H,Issuance!$D:$D,Formulas!$B441,Issuance!$C:$C,Formulas!C$2)</f>
        <v>0</v>
      </c>
      <c r="D441">
        <f>SUMIFS(Issuance!$H:$H,Issuance!$D:$D,Formulas!$B441,Issuance!$C:$C,Formulas!D$2)</f>
        <v>0</v>
      </c>
      <c r="E441">
        <f t="shared" si="39"/>
        <v>0</v>
      </c>
      <c r="F441" s="41" t="str">
        <f t="shared" si="36"/>
        <v/>
      </c>
      <c r="I441">
        <f>SUMIFS(Buybacks!H:H,Buybacks!D:D,Formulas!H441)</f>
        <v>0</v>
      </c>
      <c r="J441" s="41" t="str">
        <f t="shared" si="37"/>
        <v/>
      </c>
      <c r="M441">
        <f>SUMIFS('Corporate activity'!$H:$H,'Corporate activity'!$D:$D,Formulas!$L441,'Corporate activity'!$C:$C,Formulas!M$2)</f>
        <v>0</v>
      </c>
      <c r="N441">
        <f>SUMIFS('Corporate activity'!$H:$H,'Corporate activity'!$D:$D,Formulas!$L441,'Corporate activity'!$C:$C,Formulas!N$2)</f>
        <v>0</v>
      </c>
      <c r="O441">
        <f>SUMIFS('Corporate activity'!$H:$H,'Corporate activity'!$D:$D,Formulas!$L441,'Corporate activity'!$C:$C,Formulas!O$2)</f>
        <v>0</v>
      </c>
      <c r="P441">
        <f t="shared" si="40"/>
        <v>0</v>
      </c>
      <c r="Q441" t="str">
        <f t="shared" si="38"/>
        <v/>
      </c>
    </row>
    <row r="442" spans="3:17" x14ac:dyDescent="0.25">
      <c r="C442">
        <f>SUMIFS(Issuance!$H:$H,Issuance!$D:$D,Formulas!$B442,Issuance!$C:$C,Formulas!C$2)</f>
        <v>0</v>
      </c>
      <c r="D442">
        <f>SUMIFS(Issuance!$H:$H,Issuance!$D:$D,Formulas!$B442,Issuance!$C:$C,Formulas!D$2)</f>
        <v>0</v>
      </c>
      <c r="E442">
        <f t="shared" si="39"/>
        <v>0</v>
      </c>
      <c r="F442" s="41" t="str">
        <f t="shared" si="36"/>
        <v/>
      </c>
      <c r="I442">
        <f>SUMIFS(Buybacks!H:H,Buybacks!D:D,Formulas!H442)</f>
        <v>0</v>
      </c>
      <c r="J442" s="41" t="str">
        <f t="shared" si="37"/>
        <v/>
      </c>
      <c r="M442">
        <f>SUMIFS('Corporate activity'!$H:$H,'Corporate activity'!$D:$D,Formulas!$L442,'Corporate activity'!$C:$C,Formulas!M$2)</f>
        <v>0</v>
      </c>
      <c r="N442">
        <f>SUMIFS('Corporate activity'!$H:$H,'Corporate activity'!$D:$D,Formulas!$L442,'Corporate activity'!$C:$C,Formulas!N$2)</f>
        <v>0</v>
      </c>
      <c r="O442">
        <f>SUMIFS('Corporate activity'!$H:$H,'Corporate activity'!$D:$D,Formulas!$L442,'Corporate activity'!$C:$C,Formulas!O$2)</f>
        <v>0</v>
      </c>
      <c r="P442">
        <f t="shared" si="40"/>
        <v>0</v>
      </c>
      <c r="Q442" t="str">
        <f t="shared" si="38"/>
        <v/>
      </c>
    </row>
    <row r="443" spans="3:17" x14ac:dyDescent="0.25">
      <c r="C443">
        <f>SUMIFS(Issuance!$H:$H,Issuance!$D:$D,Formulas!$B443,Issuance!$C:$C,Formulas!C$2)</f>
        <v>0</v>
      </c>
      <c r="D443">
        <f>SUMIFS(Issuance!$H:$H,Issuance!$D:$D,Formulas!$B443,Issuance!$C:$C,Formulas!D$2)</f>
        <v>0</v>
      </c>
      <c r="E443">
        <f t="shared" si="39"/>
        <v>0</v>
      </c>
      <c r="F443" s="41" t="str">
        <f t="shared" si="36"/>
        <v/>
      </c>
      <c r="I443">
        <f>SUMIFS(Buybacks!H:H,Buybacks!D:D,Formulas!H443)</f>
        <v>0</v>
      </c>
      <c r="J443" s="41" t="str">
        <f t="shared" si="37"/>
        <v/>
      </c>
      <c r="M443">
        <f>SUMIFS('Corporate activity'!$H:$H,'Corporate activity'!$D:$D,Formulas!$L443,'Corporate activity'!$C:$C,Formulas!M$2)</f>
        <v>0</v>
      </c>
      <c r="N443">
        <f>SUMIFS('Corporate activity'!$H:$H,'Corporate activity'!$D:$D,Formulas!$L443,'Corporate activity'!$C:$C,Formulas!N$2)</f>
        <v>0</v>
      </c>
      <c r="O443">
        <f>SUMIFS('Corporate activity'!$H:$H,'Corporate activity'!$D:$D,Formulas!$L443,'Corporate activity'!$C:$C,Formulas!O$2)</f>
        <v>0</v>
      </c>
      <c r="P443">
        <f t="shared" si="40"/>
        <v>0</v>
      </c>
      <c r="Q443" t="str">
        <f t="shared" si="38"/>
        <v/>
      </c>
    </row>
    <row r="444" spans="3:17" x14ac:dyDescent="0.25">
      <c r="C444">
        <f>SUMIFS(Issuance!$H:$H,Issuance!$D:$D,Formulas!$B444,Issuance!$C:$C,Formulas!C$2)</f>
        <v>0</v>
      </c>
      <c r="D444">
        <f>SUMIFS(Issuance!$H:$H,Issuance!$D:$D,Formulas!$B444,Issuance!$C:$C,Formulas!D$2)</f>
        <v>0</v>
      </c>
      <c r="E444">
        <f t="shared" si="39"/>
        <v>0</v>
      </c>
      <c r="F444" s="41" t="str">
        <f t="shared" si="36"/>
        <v/>
      </c>
      <c r="I444">
        <f>SUMIFS(Buybacks!H:H,Buybacks!D:D,Formulas!H444)</f>
        <v>0</v>
      </c>
      <c r="J444" s="41" t="str">
        <f t="shared" si="37"/>
        <v/>
      </c>
      <c r="M444">
        <f>SUMIFS('Corporate activity'!$H:$H,'Corporate activity'!$D:$D,Formulas!$L444,'Corporate activity'!$C:$C,Formulas!M$2)</f>
        <v>0</v>
      </c>
      <c r="N444">
        <f>SUMIFS('Corporate activity'!$H:$H,'Corporate activity'!$D:$D,Formulas!$L444,'Corporate activity'!$C:$C,Formulas!N$2)</f>
        <v>0</v>
      </c>
      <c r="O444">
        <f>SUMIFS('Corporate activity'!$H:$H,'Corporate activity'!$D:$D,Formulas!$L444,'Corporate activity'!$C:$C,Formulas!O$2)</f>
        <v>0</v>
      </c>
      <c r="P444">
        <f t="shared" si="40"/>
        <v>0</v>
      </c>
      <c r="Q444" t="str">
        <f t="shared" si="38"/>
        <v/>
      </c>
    </row>
    <row r="445" spans="3:17" x14ac:dyDescent="0.25">
      <c r="C445">
        <f>SUMIFS(Issuance!$H:$H,Issuance!$D:$D,Formulas!$B445,Issuance!$C:$C,Formulas!C$2)</f>
        <v>0</v>
      </c>
      <c r="D445">
        <f>SUMIFS(Issuance!$H:$H,Issuance!$D:$D,Formulas!$B445,Issuance!$C:$C,Formulas!D$2)</f>
        <v>0</v>
      </c>
      <c r="E445">
        <f t="shared" si="39"/>
        <v>0</v>
      </c>
      <c r="F445" s="41" t="str">
        <f t="shared" si="36"/>
        <v/>
      </c>
      <c r="I445">
        <f>SUMIFS(Buybacks!H:H,Buybacks!D:D,Formulas!H445)</f>
        <v>0</v>
      </c>
      <c r="J445" s="41" t="str">
        <f t="shared" si="37"/>
        <v/>
      </c>
      <c r="M445">
        <f>SUMIFS('Corporate activity'!$H:$H,'Corporate activity'!$D:$D,Formulas!$L445,'Corporate activity'!$C:$C,Formulas!M$2)</f>
        <v>0</v>
      </c>
      <c r="N445">
        <f>SUMIFS('Corporate activity'!$H:$H,'Corporate activity'!$D:$D,Formulas!$L445,'Corporate activity'!$C:$C,Formulas!N$2)</f>
        <v>0</v>
      </c>
      <c r="O445">
        <f>SUMIFS('Corporate activity'!$H:$H,'Corporate activity'!$D:$D,Formulas!$L445,'Corporate activity'!$C:$C,Formulas!O$2)</f>
        <v>0</v>
      </c>
      <c r="P445">
        <f t="shared" si="40"/>
        <v>0</v>
      </c>
      <c r="Q445" t="str">
        <f t="shared" si="38"/>
        <v/>
      </c>
    </row>
    <row r="446" spans="3:17" x14ac:dyDescent="0.25">
      <c r="C446">
        <f>SUMIFS(Issuance!$H:$H,Issuance!$D:$D,Formulas!$B446,Issuance!$C:$C,Formulas!C$2)</f>
        <v>0</v>
      </c>
      <c r="D446">
        <f>SUMIFS(Issuance!$H:$H,Issuance!$D:$D,Formulas!$B446,Issuance!$C:$C,Formulas!D$2)</f>
        <v>0</v>
      </c>
      <c r="E446">
        <f t="shared" si="39"/>
        <v>0</v>
      </c>
      <c r="F446" s="41" t="str">
        <f t="shared" si="36"/>
        <v/>
      </c>
      <c r="I446">
        <f>SUMIFS(Buybacks!H:H,Buybacks!D:D,Formulas!H446)</f>
        <v>0</v>
      </c>
      <c r="J446" s="41" t="str">
        <f t="shared" si="37"/>
        <v/>
      </c>
      <c r="M446">
        <f>SUMIFS('Corporate activity'!$H:$H,'Corporate activity'!$D:$D,Formulas!$L446,'Corporate activity'!$C:$C,Formulas!M$2)</f>
        <v>0</v>
      </c>
      <c r="N446">
        <f>SUMIFS('Corporate activity'!$H:$H,'Corporate activity'!$D:$D,Formulas!$L446,'Corporate activity'!$C:$C,Formulas!N$2)</f>
        <v>0</v>
      </c>
      <c r="O446">
        <f>SUMIFS('Corporate activity'!$H:$H,'Corporate activity'!$D:$D,Formulas!$L446,'Corporate activity'!$C:$C,Formulas!O$2)</f>
        <v>0</v>
      </c>
      <c r="P446">
        <f t="shared" si="40"/>
        <v>0</v>
      </c>
      <c r="Q446" t="str">
        <f t="shared" si="38"/>
        <v/>
      </c>
    </row>
    <row r="447" spans="3:17" x14ac:dyDescent="0.25">
      <c r="C447">
        <f>SUMIFS(Issuance!$H:$H,Issuance!$D:$D,Formulas!$B447,Issuance!$C:$C,Formulas!C$2)</f>
        <v>0</v>
      </c>
      <c r="D447">
        <f>SUMIFS(Issuance!$H:$H,Issuance!$D:$D,Formulas!$B447,Issuance!$C:$C,Formulas!D$2)</f>
        <v>0</v>
      </c>
      <c r="E447">
        <f t="shared" si="39"/>
        <v>0</v>
      </c>
      <c r="F447" s="41" t="str">
        <f t="shared" si="36"/>
        <v/>
      </c>
      <c r="I447">
        <f>SUMIFS(Buybacks!H:H,Buybacks!D:D,Formulas!H447)</f>
        <v>0</v>
      </c>
      <c r="J447" s="41" t="str">
        <f t="shared" si="37"/>
        <v/>
      </c>
      <c r="M447">
        <f>SUMIFS('Corporate activity'!$H:$H,'Corporate activity'!$D:$D,Formulas!$L447,'Corporate activity'!$C:$C,Formulas!M$2)</f>
        <v>0</v>
      </c>
      <c r="N447">
        <f>SUMIFS('Corporate activity'!$H:$H,'Corporate activity'!$D:$D,Formulas!$L447,'Corporate activity'!$C:$C,Formulas!N$2)</f>
        <v>0</v>
      </c>
      <c r="O447">
        <f>SUMIFS('Corporate activity'!$H:$H,'Corporate activity'!$D:$D,Formulas!$L447,'Corporate activity'!$C:$C,Formulas!O$2)</f>
        <v>0</v>
      </c>
      <c r="P447">
        <f t="shared" si="40"/>
        <v>0</v>
      </c>
      <c r="Q447" t="str">
        <f t="shared" si="38"/>
        <v/>
      </c>
    </row>
    <row r="448" spans="3:17" x14ac:dyDescent="0.25">
      <c r="C448">
        <f>SUMIFS(Issuance!$H:$H,Issuance!$D:$D,Formulas!$B448,Issuance!$C:$C,Formulas!C$2)</f>
        <v>0</v>
      </c>
      <c r="D448">
        <f>SUMIFS(Issuance!$H:$H,Issuance!$D:$D,Formulas!$B448,Issuance!$C:$C,Formulas!D$2)</f>
        <v>0</v>
      </c>
      <c r="E448">
        <f t="shared" si="39"/>
        <v>0</v>
      </c>
      <c r="F448" s="41" t="str">
        <f t="shared" si="36"/>
        <v/>
      </c>
      <c r="I448">
        <f>SUMIFS(Buybacks!H:H,Buybacks!D:D,Formulas!H448)</f>
        <v>0</v>
      </c>
      <c r="J448" s="41" t="str">
        <f t="shared" si="37"/>
        <v/>
      </c>
      <c r="M448">
        <f>SUMIFS('Corporate activity'!$H:$H,'Corporate activity'!$D:$D,Formulas!$L448,'Corporate activity'!$C:$C,Formulas!M$2)</f>
        <v>0</v>
      </c>
      <c r="N448">
        <f>SUMIFS('Corporate activity'!$H:$H,'Corporate activity'!$D:$D,Formulas!$L448,'Corporate activity'!$C:$C,Formulas!N$2)</f>
        <v>0</v>
      </c>
      <c r="O448">
        <f>SUMIFS('Corporate activity'!$H:$H,'Corporate activity'!$D:$D,Formulas!$L448,'Corporate activity'!$C:$C,Formulas!O$2)</f>
        <v>0</v>
      </c>
      <c r="P448">
        <f t="shared" si="40"/>
        <v>0</v>
      </c>
      <c r="Q448" t="str">
        <f t="shared" si="38"/>
        <v/>
      </c>
    </row>
    <row r="449" spans="3:17" x14ac:dyDescent="0.25">
      <c r="C449">
        <f>SUMIFS(Issuance!$H:$H,Issuance!$D:$D,Formulas!$B449,Issuance!$C:$C,Formulas!C$2)</f>
        <v>0</v>
      </c>
      <c r="D449">
        <f>SUMIFS(Issuance!$H:$H,Issuance!$D:$D,Formulas!$B449,Issuance!$C:$C,Formulas!D$2)</f>
        <v>0</v>
      </c>
      <c r="E449">
        <f t="shared" si="39"/>
        <v>0</v>
      </c>
      <c r="F449" s="41" t="str">
        <f t="shared" si="36"/>
        <v/>
      </c>
      <c r="I449">
        <f>SUMIFS(Buybacks!H:H,Buybacks!D:D,Formulas!H449)</f>
        <v>0</v>
      </c>
      <c r="J449" s="41" t="str">
        <f t="shared" si="37"/>
        <v/>
      </c>
      <c r="M449">
        <f>SUMIFS('Corporate activity'!$H:$H,'Corporate activity'!$D:$D,Formulas!$L449,'Corporate activity'!$C:$C,Formulas!M$2)</f>
        <v>0</v>
      </c>
      <c r="N449">
        <f>SUMIFS('Corporate activity'!$H:$H,'Corporate activity'!$D:$D,Formulas!$L449,'Corporate activity'!$C:$C,Formulas!N$2)</f>
        <v>0</v>
      </c>
      <c r="O449">
        <f>SUMIFS('Corporate activity'!$H:$H,'Corporate activity'!$D:$D,Formulas!$L449,'Corporate activity'!$C:$C,Formulas!O$2)</f>
        <v>0</v>
      </c>
      <c r="P449">
        <f t="shared" si="40"/>
        <v>0</v>
      </c>
      <c r="Q449" t="str">
        <f t="shared" si="38"/>
        <v/>
      </c>
    </row>
    <row r="450" spans="3:17" x14ac:dyDescent="0.25">
      <c r="C450">
        <f>SUMIFS(Issuance!$H:$H,Issuance!$D:$D,Formulas!$B450,Issuance!$C:$C,Formulas!C$2)</f>
        <v>0</v>
      </c>
      <c r="D450">
        <f>SUMIFS(Issuance!$H:$H,Issuance!$D:$D,Formulas!$B450,Issuance!$C:$C,Formulas!D$2)</f>
        <v>0</v>
      </c>
      <c r="E450">
        <f t="shared" si="39"/>
        <v>0</v>
      </c>
      <c r="F450" s="41" t="str">
        <f t="shared" si="36"/>
        <v/>
      </c>
      <c r="I450">
        <f>SUMIFS(Buybacks!H:H,Buybacks!D:D,Formulas!H450)</f>
        <v>0</v>
      </c>
      <c r="J450" s="41" t="str">
        <f t="shared" si="37"/>
        <v/>
      </c>
      <c r="M450">
        <f>SUMIFS('Corporate activity'!$H:$H,'Corporate activity'!$D:$D,Formulas!$L450,'Corporate activity'!$C:$C,Formulas!M$2)</f>
        <v>0</v>
      </c>
      <c r="N450">
        <f>SUMIFS('Corporate activity'!$H:$H,'Corporate activity'!$D:$D,Formulas!$L450,'Corporate activity'!$C:$C,Formulas!N$2)</f>
        <v>0</v>
      </c>
      <c r="O450">
        <f>SUMIFS('Corporate activity'!$H:$H,'Corporate activity'!$D:$D,Formulas!$L450,'Corporate activity'!$C:$C,Formulas!O$2)</f>
        <v>0</v>
      </c>
      <c r="P450">
        <f t="shared" si="40"/>
        <v>0</v>
      </c>
      <c r="Q450" t="str">
        <f t="shared" si="38"/>
        <v/>
      </c>
    </row>
    <row r="451" spans="3:17" x14ac:dyDescent="0.25">
      <c r="C451">
        <f>SUMIFS(Issuance!$H:$H,Issuance!$D:$D,Formulas!$B451,Issuance!$C:$C,Formulas!C$2)</f>
        <v>0</v>
      </c>
      <c r="D451">
        <f>SUMIFS(Issuance!$H:$H,Issuance!$D:$D,Formulas!$B451,Issuance!$C:$C,Formulas!D$2)</f>
        <v>0</v>
      </c>
      <c r="E451">
        <f t="shared" si="39"/>
        <v>0</v>
      </c>
      <c r="F451" s="41" t="str">
        <f t="shared" si="36"/>
        <v/>
      </c>
      <c r="I451">
        <f>SUMIFS(Buybacks!H:H,Buybacks!D:D,Formulas!H451)</f>
        <v>0</v>
      </c>
      <c r="J451" s="41" t="str">
        <f t="shared" si="37"/>
        <v/>
      </c>
      <c r="M451">
        <f>SUMIFS('Corporate activity'!$H:$H,'Corporate activity'!$D:$D,Formulas!$L451,'Corporate activity'!$C:$C,Formulas!M$2)</f>
        <v>0</v>
      </c>
      <c r="N451">
        <f>SUMIFS('Corporate activity'!$H:$H,'Corporate activity'!$D:$D,Formulas!$L451,'Corporate activity'!$C:$C,Formulas!N$2)</f>
        <v>0</v>
      </c>
      <c r="O451">
        <f>SUMIFS('Corporate activity'!$H:$H,'Corporate activity'!$D:$D,Formulas!$L451,'Corporate activity'!$C:$C,Formulas!O$2)</f>
        <v>0</v>
      </c>
      <c r="P451">
        <f t="shared" si="40"/>
        <v>0</v>
      </c>
      <c r="Q451" t="str">
        <f t="shared" si="38"/>
        <v/>
      </c>
    </row>
    <row r="452" spans="3:17" x14ac:dyDescent="0.25">
      <c r="C452">
        <f>SUMIFS(Issuance!$H:$H,Issuance!$D:$D,Formulas!$B452,Issuance!$C:$C,Formulas!C$2)</f>
        <v>0</v>
      </c>
      <c r="D452">
        <f>SUMIFS(Issuance!$H:$H,Issuance!$D:$D,Formulas!$B452,Issuance!$C:$C,Formulas!D$2)</f>
        <v>0</v>
      </c>
      <c r="E452">
        <f t="shared" si="39"/>
        <v>0</v>
      </c>
      <c r="F452" s="41" t="str">
        <f t="shared" ref="F452:F515" si="41">IF(OR(B452="",B452=0,E452=0),"",IF(COUNTIFS($E$3:$E$500,"&gt;"&amp;E452,$E$3:$E$500,"&lt;&gt;0")+1&lt;=20,COUNTIFS($E$3:$E$500,"&gt;"&amp;E452,$E$3:$E$500,"&lt;&gt;0")+1,""))</f>
        <v/>
      </c>
      <c r="I452">
        <f>SUMIFS(Buybacks!H:H,Buybacks!D:D,Formulas!H452)</f>
        <v>0</v>
      </c>
      <c r="J452" s="41" t="str">
        <f t="shared" ref="J452:J515" si="42">IF(OR(H452="",H452=0,I452=0),"",IF(COUNTIFS($I$3:$I$500,"&lt;"&amp;I452,$I$3:$I$500,"&lt;&gt;0")+1&lt;=20,COUNTIFS($I$3:$I$500,"&lt;"&amp;I452,$I$3:$I$500,"&lt;&gt;0")+1,""))</f>
        <v/>
      </c>
      <c r="M452">
        <f>SUMIFS('Corporate activity'!$H:$H,'Corporate activity'!$D:$D,Formulas!$L452,'Corporate activity'!$C:$C,Formulas!M$2)</f>
        <v>0</v>
      </c>
      <c r="N452">
        <f>SUMIFS('Corporate activity'!$H:$H,'Corporate activity'!$D:$D,Formulas!$L452,'Corporate activity'!$C:$C,Formulas!N$2)</f>
        <v>0</v>
      </c>
      <c r="O452">
        <f>SUMIFS('Corporate activity'!$H:$H,'Corporate activity'!$D:$D,Formulas!$L452,'Corporate activity'!$C:$C,Formulas!O$2)</f>
        <v>0</v>
      </c>
      <c r="P452">
        <f t="shared" si="40"/>
        <v>0</v>
      </c>
      <c r="Q452" t="str">
        <f t="shared" si="38"/>
        <v/>
      </c>
    </row>
    <row r="453" spans="3:17" x14ac:dyDescent="0.25">
      <c r="C453">
        <f>SUMIFS(Issuance!$H:$H,Issuance!$D:$D,Formulas!$B453,Issuance!$C:$C,Formulas!C$2)</f>
        <v>0</v>
      </c>
      <c r="D453">
        <f>SUMIFS(Issuance!$H:$H,Issuance!$D:$D,Formulas!$B453,Issuance!$C:$C,Formulas!D$2)</f>
        <v>0</v>
      </c>
      <c r="E453">
        <f t="shared" si="39"/>
        <v>0</v>
      </c>
      <c r="F453" s="41" t="str">
        <f t="shared" si="41"/>
        <v/>
      </c>
      <c r="I453">
        <f>SUMIFS(Buybacks!H:H,Buybacks!D:D,Formulas!H453)</f>
        <v>0</v>
      </c>
      <c r="J453" s="41" t="str">
        <f t="shared" si="42"/>
        <v/>
      </c>
      <c r="M453">
        <f>SUMIFS('Corporate activity'!$H:$H,'Corporate activity'!$D:$D,Formulas!$L453,'Corporate activity'!$C:$C,Formulas!M$2)</f>
        <v>0</v>
      </c>
      <c r="N453">
        <f>SUMIFS('Corporate activity'!$H:$H,'Corporate activity'!$D:$D,Formulas!$L453,'Corporate activity'!$C:$C,Formulas!N$2)</f>
        <v>0</v>
      </c>
      <c r="O453">
        <f>SUMIFS('Corporate activity'!$H:$H,'Corporate activity'!$D:$D,Formulas!$L453,'Corporate activity'!$C:$C,Formulas!O$2)</f>
        <v>0</v>
      </c>
      <c r="P453">
        <f t="shared" si="40"/>
        <v>0</v>
      </c>
      <c r="Q453" t="str">
        <f t="shared" si="38"/>
        <v/>
      </c>
    </row>
    <row r="454" spans="3:17" x14ac:dyDescent="0.25">
      <c r="C454">
        <f>SUMIFS(Issuance!$H:$H,Issuance!$D:$D,Formulas!$B454,Issuance!$C:$C,Formulas!C$2)</f>
        <v>0</v>
      </c>
      <c r="D454">
        <f>SUMIFS(Issuance!$H:$H,Issuance!$D:$D,Formulas!$B454,Issuance!$C:$C,Formulas!D$2)</f>
        <v>0</v>
      </c>
      <c r="E454">
        <f t="shared" si="39"/>
        <v>0</v>
      </c>
      <c r="F454" s="41" t="str">
        <f t="shared" si="41"/>
        <v/>
      </c>
      <c r="I454">
        <f>SUMIFS(Buybacks!H:H,Buybacks!D:D,Formulas!H454)</f>
        <v>0</v>
      </c>
      <c r="J454" s="41" t="str">
        <f t="shared" si="42"/>
        <v/>
      </c>
      <c r="M454">
        <f>SUMIFS('Corporate activity'!$H:$H,'Corporate activity'!$D:$D,Formulas!$L454,'Corporate activity'!$C:$C,Formulas!M$2)</f>
        <v>0</v>
      </c>
      <c r="N454">
        <f>SUMIFS('Corporate activity'!$H:$H,'Corporate activity'!$D:$D,Formulas!$L454,'Corporate activity'!$C:$C,Formulas!N$2)</f>
        <v>0</v>
      </c>
      <c r="O454">
        <f>SUMIFS('Corporate activity'!$H:$H,'Corporate activity'!$D:$D,Formulas!$L454,'Corporate activity'!$C:$C,Formulas!O$2)</f>
        <v>0</v>
      </c>
      <c r="P454">
        <f t="shared" si="40"/>
        <v>0</v>
      </c>
      <c r="Q454" t="str">
        <f t="shared" si="38"/>
        <v/>
      </c>
    </row>
    <row r="455" spans="3:17" x14ac:dyDescent="0.25">
      <c r="C455">
        <f>SUMIFS(Issuance!$H:$H,Issuance!$D:$D,Formulas!$B455,Issuance!$C:$C,Formulas!C$2)</f>
        <v>0</v>
      </c>
      <c r="D455">
        <f>SUMIFS(Issuance!$H:$H,Issuance!$D:$D,Formulas!$B455,Issuance!$C:$C,Formulas!D$2)</f>
        <v>0</v>
      </c>
      <c r="E455">
        <f t="shared" si="39"/>
        <v>0</v>
      </c>
      <c r="F455" s="41" t="str">
        <f t="shared" si="41"/>
        <v/>
      </c>
      <c r="I455">
        <f>SUMIFS(Buybacks!H:H,Buybacks!D:D,Formulas!H455)</f>
        <v>0</v>
      </c>
      <c r="J455" s="41" t="str">
        <f t="shared" si="42"/>
        <v/>
      </c>
      <c r="M455">
        <f>SUMIFS('Corporate activity'!$H:$H,'Corporate activity'!$D:$D,Formulas!$L455,'Corporate activity'!$C:$C,Formulas!M$2)</f>
        <v>0</v>
      </c>
      <c r="N455">
        <f>SUMIFS('Corporate activity'!$H:$H,'Corporate activity'!$D:$D,Formulas!$L455,'Corporate activity'!$C:$C,Formulas!N$2)</f>
        <v>0</v>
      </c>
      <c r="O455">
        <f>SUMIFS('Corporate activity'!$H:$H,'Corporate activity'!$D:$D,Formulas!$L455,'Corporate activity'!$C:$C,Formulas!O$2)</f>
        <v>0</v>
      </c>
      <c r="P455">
        <f t="shared" si="40"/>
        <v>0</v>
      </c>
      <c r="Q455" t="str">
        <f t="shared" si="38"/>
        <v/>
      </c>
    </row>
    <row r="456" spans="3:17" x14ac:dyDescent="0.25">
      <c r="C456">
        <f>SUMIFS(Issuance!$H:$H,Issuance!$D:$D,Formulas!$B456,Issuance!$C:$C,Formulas!C$2)</f>
        <v>0</v>
      </c>
      <c r="D456">
        <f>SUMIFS(Issuance!$H:$H,Issuance!$D:$D,Formulas!$B456,Issuance!$C:$C,Formulas!D$2)</f>
        <v>0</v>
      </c>
      <c r="E456">
        <f t="shared" si="39"/>
        <v>0</v>
      </c>
      <c r="F456" s="41" t="str">
        <f t="shared" si="41"/>
        <v/>
      </c>
      <c r="I456">
        <f>SUMIFS(Buybacks!H:H,Buybacks!D:D,Formulas!H456)</f>
        <v>0</v>
      </c>
      <c r="J456" s="41" t="str">
        <f t="shared" si="42"/>
        <v/>
      </c>
      <c r="M456">
        <f>SUMIFS('Corporate activity'!$H:$H,'Corporate activity'!$D:$D,Formulas!$L456,'Corporate activity'!$C:$C,Formulas!M$2)</f>
        <v>0</v>
      </c>
      <c r="N456">
        <f>SUMIFS('Corporate activity'!$H:$H,'Corporate activity'!$D:$D,Formulas!$L456,'Corporate activity'!$C:$C,Formulas!N$2)</f>
        <v>0</v>
      </c>
      <c r="O456">
        <f>SUMIFS('Corporate activity'!$H:$H,'Corporate activity'!$D:$D,Formulas!$L456,'Corporate activity'!$C:$C,Formulas!O$2)</f>
        <v>0</v>
      </c>
      <c r="P456">
        <f t="shared" si="40"/>
        <v>0</v>
      </c>
      <c r="Q456" t="str">
        <f t="shared" si="38"/>
        <v/>
      </c>
    </row>
    <row r="457" spans="3:17" x14ac:dyDescent="0.25">
      <c r="C457">
        <f>SUMIFS(Issuance!$H:$H,Issuance!$D:$D,Formulas!$B457,Issuance!$C:$C,Formulas!C$2)</f>
        <v>0</v>
      </c>
      <c r="D457">
        <f>SUMIFS(Issuance!$H:$H,Issuance!$D:$D,Formulas!$B457,Issuance!$C:$C,Formulas!D$2)</f>
        <v>0</v>
      </c>
      <c r="E457">
        <f t="shared" si="39"/>
        <v>0</v>
      </c>
      <c r="F457" s="41" t="str">
        <f t="shared" si="41"/>
        <v/>
      </c>
      <c r="I457">
        <f>SUMIFS(Buybacks!H:H,Buybacks!D:D,Formulas!H457)</f>
        <v>0</v>
      </c>
      <c r="J457" s="41" t="str">
        <f t="shared" si="42"/>
        <v/>
      </c>
      <c r="M457">
        <f>SUMIFS('Corporate activity'!$H:$H,'Corporate activity'!$D:$D,Formulas!$L457,'Corporate activity'!$C:$C,Formulas!M$2)</f>
        <v>0</v>
      </c>
      <c r="N457">
        <f>SUMIFS('Corporate activity'!$H:$H,'Corporate activity'!$D:$D,Formulas!$L457,'Corporate activity'!$C:$C,Formulas!N$2)</f>
        <v>0</v>
      </c>
      <c r="O457">
        <f>SUMIFS('Corporate activity'!$H:$H,'Corporate activity'!$D:$D,Formulas!$L457,'Corporate activity'!$C:$C,Formulas!O$2)</f>
        <v>0</v>
      </c>
      <c r="P457">
        <f t="shared" si="40"/>
        <v>0</v>
      </c>
      <c r="Q457" t="str">
        <f t="shared" si="38"/>
        <v/>
      </c>
    </row>
    <row r="458" spans="3:17" x14ac:dyDescent="0.25">
      <c r="C458">
        <f>SUMIFS(Issuance!$H:$H,Issuance!$D:$D,Formulas!$B458,Issuance!$C:$C,Formulas!C$2)</f>
        <v>0</v>
      </c>
      <c r="D458">
        <f>SUMIFS(Issuance!$H:$H,Issuance!$D:$D,Formulas!$B458,Issuance!$C:$C,Formulas!D$2)</f>
        <v>0</v>
      </c>
      <c r="E458">
        <f t="shared" si="39"/>
        <v>0</v>
      </c>
      <c r="F458" s="41" t="str">
        <f t="shared" si="41"/>
        <v/>
      </c>
      <c r="I458">
        <f>SUMIFS(Buybacks!H:H,Buybacks!D:D,Formulas!H458)</f>
        <v>0</v>
      </c>
      <c r="J458" s="41" t="str">
        <f t="shared" si="42"/>
        <v/>
      </c>
      <c r="M458">
        <f>SUMIFS('Corporate activity'!$H:$H,'Corporate activity'!$D:$D,Formulas!$L458,'Corporate activity'!$C:$C,Formulas!M$2)</f>
        <v>0</v>
      </c>
      <c r="N458">
        <f>SUMIFS('Corporate activity'!$H:$H,'Corporate activity'!$D:$D,Formulas!$L458,'Corporate activity'!$C:$C,Formulas!N$2)</f>
        <v>0</v>
      </c>
      <c r="O458">
        <f>SUMIFS('Corporate activity'!$H:$H,'Corporate activity'!$D:$D,Formulas!$L458,'Corporate activity'!$C:$C,Formulas!O$2)</f>
        <v>0</v>
      </c>
      <c r="P458">
        <f t="shared" si="40"/>
        <v>0</v>
      </c>
      <c r="Q458" t="str">
        <f t="shared" si="38"/>
        <v/>
      </c>
    </row>
    <row r="459" spans="3:17" x14ac:dyDescent="0.25">
      <c r="C459">
        <f>SUMIFS(Issuance!$H:$H,Issuance!$D:$D,Formulas!$B459,Issuance!$C:$C,Formulas!C$2)</f>
        <v>0</v>
      </c>
      <c r="D459">
        <f>SUMIFS(Issuance!$H:$H,Issuance!$D:$D,Formulas!$B459,Issuance!$C:$C,Formulas!D$2)</f>
        <v>0</v>
      </c>
      <c r="E459">
        <f t="shared" si="39"/>
        <v>0</v>
      </c>
      <c r="F459" s="41" t="str">
        <f t="shared" si="41"/>
        <v/>
      </c>
      <c r="I459">
        <f>SUMIFS(Buybacks!H:H,Buybacks!D:D,Formulas!H459)</f>
        <v>0</v>
      </c>
      <c r="J459" s="41" t="str">
        <f t="shared" si="42"/>
        <v/>
      </c>
      <c r="M459">
        <f>SUMIFS('Corporate activity'!$H:$H,'Corporate activity'!$D:$D,Formulas!$L459,'Corporate activity'!$C:$C,Formulas!M$2)</f>
        <v>0</v>
      </c>
      <c r="N459">
        <f>SUMIFS('Corporate activity'!$H:$H,'Corporate activity'!$D:$D,Formulas!$L459,'Corporate activity'!$C:$C,Formulas!N$2)</f>
        <v>0</v>
      </c>
      <c r="O459">
        <f>SUMIFS('Corporate activity'!$H:$H,'Corporate activity'!$D:$D,Formulas!$L459,'Corporate activity'!$C:$C,Formulas!O$2)</f>
        <v>0</v>
      </c>
      <c r="P459">
        <f t="shared" si="40"/>
        <v>0</v>
      </c>
      <c r="Q459" t="str">
        <f t="shared" si="38"/>
        <v/>
      </c>
    </row>
    <row r="460" spans="3:17" x14ac:dyDescent="0.25">
      <c r="C460">
        <f>SUMIFS(Issuance!$H:$H,Issuance!$D:$D,Formulas!$B460,Issuance!$C:$C,Formulas!C$2)</f>
        <v>0</v>
      </c>
      <c r="D460">
        <f>SUMIFS(Issuance!$H:$H,Issuance!$D:$D,Formulas!$B460,Issuance!$C:$C,Formulas!D$2)</f>
        <v>0</v>
      </c>
      <c r="E460">
        <f t="shared" si="39"/>
        <v>0</v>
      </c>
      <c r="F460" s="41" t="str">
        <f t="shared" si="41"/>
        <v/>
      </c>
      <c r="I460">
        <f>SUMIFS(Buybacks!H:H,Buybacks!D:D,Formulas!H460)</f>
        <v>0</v>
      </c>
      <c r="J460" s="41" t="str">
        <f t="shared" si="42"/>
        <v/>
      </c>
      <c r="M460">
        <f>SUMIFS('Corporate activity'!$H:$H,'Corporate activity'!$D:$D,Formulas!$L460,'Corporate activity'!$C:$C,Formulas!M$2)</f>
        <v>0</v>
      </c>
      <c r="N460">
        <f>SUMIFS('Corporate activity'!$H:$H,'Corporate activity'!$D:$D,Formulas!$L460,'Corporate activity'!$C:$C,Formulas!N$2)</f>
        <v>0</v>
      </c>
      <c r="O460">
        <f>SUMIFS('Corporate activity'!$H:$H,'Corporate activity'!$D:$D,Formulas!$L460,'Corporate activity'!$C:$C,Formulas!O$2)</f>
        <v>0</v>
      </c>
      <c r="P460">
        <f t="shared" si="40"/>
        <v>0</v>
      </c>
      <c r="Q460" t="str">
        <f t="shared" si="38"/>
        <v/>
      </c>
    </row>
    <row r="461" spans="3:17" x14ac:dyDescent="0.25">
      <c r="C461">
        <f>SUMIFS(Issuance!$H:$H,Issuance!$D:$D,Formulas!$B461,Issuance!$C:$C,Formulas!C$2)</f>
        <v>0</v>
      </c>
      <c r="D461">
        <f>SUMIFS(Issuance!$H:$H,Issuance!$D:$D,Formulas!$B461,Issuance!$C:$C,Formulas!D$2)</f>
        <v>0</v>
      </c>
      <c r="E461">
        <f t="shared" si="39"/>
        <v>0</v>
      </c>
      <c r="F461" s="41" t="str">
        <f t="shared" si="41"/>
        <v/>
      </c>
      <c r="I461">
        <f>SUMIFS(Buybacks!H:H,Buybacks!D:D,Formulas!H461)</f>
        <v>0</v>
      </c>
      <c r="J461" s="41" t="str">
        <f t="shared" si="42"/>
        <v/>
      </c>
      <c r="M461">
        <f>SUMIFS('Corporate activity'!$H:$H,'Corporate activity'!$D:$D,Formulas!$L461,'Corporate activity'!$C:$C,Formulas!M$2)</f>
        <v>0</v>
      </c>
      <c r="N461">
        <f>SUMIFS('Corporate activity'!$H:$H,'Corporate activity'!$D:$D,Formulas!$L461,'Corporate activity'!$C:$C,Formulas!N$2)</f>
        <v>0</v>
      </c>
      <c r="O461">
        <f>SUMIFS('Corporate activity'!$H:$H,'Corporate activity'!$D:$D,Formulas!$L461,'Corporate activity'!$C:$C,Formulas!O$2)</f>
        <v>0</v>
      </c>
      <c r="P461">
        <f t="shared" si="40"/>
        <v>0</v>
      </c>
      <c r="Q461" t="str">
        <f t="shared" si="38"/>
        <v/>
      </c>
    </row>
    <row r="462" spans="3:17" x14ac:dyDescent="0.25">
      <c r="C462">
        <f>SUMIFS(Issuance!$H:$H,Issuance!$D:$D,Formulas!$B462,Issuance!$C:$C,Formulas!C$2)</f>
        <v>0</v>
      </c>
      <c r="D462">
        <f>SUMIFS(Issuance!$H:$H,Issuance!$D:$D,Formulas!$B462,Issuance!$C:$C,Formulas!D$2)</f>
        <v>0</v>
      </c>
      <c r="E462">
        <f t="shared" si="39"/>
        <v>0</v>
      </c>
      <c r="F462" s="41" t="str">
        <f t="shared" si="41"/>
        <v/>
      </c>
      <c r="I462">
        <f>SUMIFS(Buybacks!H:H,Buybacks!D:D,Formulas!H462)</f>
        <v>0</v>
      </c>
      <c r="J462" s="41" t="str">
        <f t="shared" si="42"/>
        <v/>
      </c>
      <c r="M462">
        <f>SUMIFS('Corporate activity'!$H:$H,'Corporate activity'!$D:$D,Formulas!$L462,'Corporate activity'!$C:$C,Formulas!M$2)</f>
        <v>0</v>
      </c>
      <c r="N462">
        <f>SUMIFS('Corporate activity'!$H:$H,'Corporate activity'!$D:$D,Formulas!$L462,'Corporate activity'!$C:$C,Formulas!N$2)</f>
        <v>0</v>
      </c>
      <c r="O462">
        <f>SUMIFS('Corporate activity'!$H:$H,'Corporate activity'!$D:$D,Formulas!$L462,'Corporate activity'!$C:$C,Formulas!O$2)</f>
        <v>0</v>
      </c>
      <c r="P462">
        <f t="shared" si="40"/>
        <v>0</v>
      </c>
      <c r="Q462" t="str">
        <f t="shared" si="38"/>
        <v/>
      </c>
    </row>
    <row r="463" spans="3:17" x14ac:dyDescent="0.25">
      <c r="C463">
        <f>SUMIFS(Issuance!$H:$H,Issuance!$D:$D,Formulas!$B463,Issuance!$C:$C,Formulas!C$2)</f>
        <v>0</v>
      </c>
      <c r="D463">
        <f>SUMIFS(Issuance!$H:$H,Issuance!$D:$D,Formulas!$B463,Issuance!$C:$C,Formulas!D$2)</f>
        <v>0</v>
      </c>
      <c r="E463">
        <f t="shared" si="39"/>
        <v>0</v>
      </c>
      <c r="F463" s="41" t="str">
        <f t="shared" si="41"/>
        <v/>
      </c>
      <c r="I463">
        <f>SUMIFS(Buybacks!H:H,Buybacks!D:D,Formulas!H463)</f>
        <v>0</v>
      </c>
      <c r="J463" s="41" t="str">
        <f t="shared" si="42"/>
        <v/>
      </c>
      <c r="M463">
        <f>SUMIFS('Corporate activity'!$H:$H,'Corporate activity'!$D:$D,Formulas!$L463,'Corporate activity'!$C:$C,Formulas!M$2)</f>
        <v>0</v>
      </c>
      <c r="N463">
        <f>SUMIFS('Corporate activity'!$H:$H,'Corporate activity'!$D:$D,Formulas!$L463,'Corporate activity'!$C:$C,Formulas!N$2)</f>
        <v>0</v>
      </c>
      <c r="O463">
        <f>SUMIFS('Corporate activity'!$H:$H,'Corporate activity'!$D:$D,Formulas!$L463,'Corporate activity'!$C:$C,Formulas!O$2)</f>
        <v>0</v>
      </c>
      <c r="P463">
        <f t="shared" si="40"/>
        <v>0</v>
      </c>
      <c r="Q463" t="str">
        <f t="shared" si="38"/>
        <v/>
      </c>
    </row>
    <row r="464" spans="3:17" x14ac:dyDescent="0.25">
      <c r="C464">
        <f>SUMIFS(Issuance!$H:$H,Issuance!$D:$D,Formulas!$B464,Issuance!$C:$C,Formulas!C$2)</f>
        <v>0</v>
      </c>
      <c r="D464">
        <f>SUMIFS(Issuance!$H:$H,Issuance!$D:$D,Formulas!$B464,Issuance!$C:$C,Formulas!D$2)</f>
        <v>0</v>
      </c>
      <c r="E464">
        <f t="shared" si="39"/>
        <v>0</v>
      </c>
      <c r="F464" s="41" t="str">
        <f t="shared" si="41"/>
        <v/>
      </c>
      <c r="I464">
        <f>SUMIFS(Buybacks!H:H,Buybacks!D:D,Formulas!H464)</f>
        <v>0</v>
      </c>
      <c r="J464" s="41" t="str">
        <f t="shared" si="42"/>
        <v/>
      </c>
      <c r="M464">
        <f>SUMIFS('Corporate activity'!$H:$H,'Corporate activity'!$D:$D,Formulas!$L464,'Corporate activity'!$C:$C,Formulas!M$2)</f>
        <v>0</v>
      </c>
      <c r="N464">
        <f>SUMIFS('Corporate activity'!$H:$H,'Corporate activity'!$D:$D,Formulas!$L464,'Corporate activity'!$C:$C,Formulas!N$2)</f>
        <v>0</v>
      </c>
      <c r="O464">
        <f>SUMIFS('Corporate activity'!$H:$H,'Corporate activity'!$D:$D,Formulas!$L464,'Corporate activity'!$C:$C,Formulas!O$2)</f>
        <v>0</v>
      </c>
      <c r="P464">
        <f t="shared" si="40"/>
        <v>0</v>
      </c>
      <c r="Q464" t="str">
        <f t="shared" si="38"/>
        <v/>
      </c>
    </row>
    <row r="465" spans="3:17" x14ac:dyDescent="0.25">
      <c r="C465">
        <f>SUMIFS(Issuance!$H:$H,Issuance!$D:$D,Formulas!$B465,Issuance!$C:$C,Formulas!C$2)</f>
        <v>0</v>
      </c>
      <c r="D465">
        <f>SUMIFS(Issuance!$H:$H,Issuance!$D:$D,Formulas!$B465,Issuance!$C:$C,Formulas!D$2)</f>
        <v>0</v>
      </c>
      <c r="E465">
        <f t="shared" si="39"/>
        <v>0</v>
      </c>
      <c r="F465" s="41" t="str">
        <f t="shared" si="41"/>
        <v/>
      </c>
      <c r="I465">
        <f>SUMIFS(Buybacks!H:H,Buybacks!D:D,Formulas!H465)</f>
        <v>0</v>
      </c>
      <c r="J465" s="41" t="str">
        <f t="shared" si="42"/>
        <v/>
      </c>
      <c r="M465">
        <f>SUMIFS('Corporate activity'!$H:$H,'Corporate activity'!$D:$D,Formulas!$L465,'Corporate activity'!$C:$C,Formulas!M$2)</f>
        <v>0</v>
      </c>
      <c r="N465">
        <f>SUMIFS('Corporate activity'!$H:$H,'Corporate activity'!$D:$D,Formulas!$L465,'Corporate activity'!$C:$C,Formulas!N$2)</f>
        <v>0</v>
      </c>
      <c r="O465">
        <f>SUMIFS('Corporate activity'!$H:$H,'Corporate activity'!$D:$D,Formulas!$L465,'Corporate activity'!$C:$C,Formulas!O$2)</f>
        <v>0</v>
      </c>
      <c r="P465">
        <f t="shared" si="40"/>
        <v>0</v>
      </c>
      <c r="Q465" t="str">
        <f t="shared" si="38"/>
        <v/>
      </c>
    </row>
    <row r="466" spans="3:17" x14ac:dyDescent="0.25">
      <c r="C466">
        <f>SUMIFS(Issuance!$H:$H,Issuance!$D:$D,Formulas!$B466,Issuance!$C:$C,Formulas!C$2)</f>
        <v>0</v>
      </c>
      <c r="D466">
        <f>SUMIFS(Issuance!$H:$H,Issuance!$D:$D,Formulas!$B466,Issuance!$C:$C,Formulas!D$2)</f>
        <v>0</v>
      </c>
      <c r="E466">
        <f t="shared" si="39"/>
        <v>0</v>
      </c>
      <c r="F466" s="41" t="str">
        <f t="shared" si="41"/>
        <v/>
      </c>
      <c r="I466">
        <f>SUMIFS(Buybacks!H:H,Buybacks!D:D,Formulas!H466)</f>
        <v>0</v>
      </c>
      <c r="J466" s="41" t="str">
        <f t="shared" si="42"/>
        <v/>
      </c>
      <c r="M466">
        <f>SUMIFS('Corporate activity'!$H:$H,'Corporate activity'!$D:$D,Formulas!$L466,'Corporate activity'!$C:$C,Formulas!M$2)</f>
        <v>0</v>
      </c>
      <c r="N466">
        <f>SUMIFS('Corporate activity'!$H:$H,'Corporate activity'!$D:$D,Formulas!$L466,'Corporate activity'!$C:$C,Formulas!N$2)</f>
        <v>0</v>
      </c>
      <c r="O466">
        <f>SUMIFS('Corporate activity'!$H:$H,'Corporate activity'!$D:$D,Formulas!$L466,'Corporate activity'!$C:$C,Formulas!O$2)</f>
        <v>0</v>
      </c>
      <c r="P466">
        <f t="shared" si="40"/>
        <v>0</v>
      </c>
      <c r="Q466" t="str">
        <f t="shared" si="38"/>
        <v/>
      </c>
    </row>
    <row r="467" spans="3:17" x14ac:dyDescent="0.25">
      <c r="C467">
        <f>SUMIFS(Issuance!$H:$H,Issuance!$D:$D,Formulas!$B467,Issuance!$C:$C,Formulas!C$2)</f>
        <v>0</v>
      </c>
      <c r="D467">
        <f>SUMIFS(Issuance!$H:$H,Issuance!$D:$D,Formulas!$B467,Issuance!$C:$C,Formulas!D$2)</f>
        <v>0</v>
      </c>
      <c r="E467">
        <f t="shared" si="39"/>
        <v>0</v>
      </c>
      <c r="F467" s="41" t="str">
        <f t="shared" si="41"/>
        <v/>
      </c>
      <c r="I467">
        <f>SUMIFS(Buybacks!H:H,Buybacks!D:D,Formulas!H467)</f>
        <v>0</v>
      </c>
      <c r="J467" s="41" t="str">
        <f t="shared" si="42"/>
        <v/>
      </c>
      <c r="M467">
        <f>SUMIFS('Corporate activity'!$H:$H,'Corporate activity'!$D:$D,Formulas!$L467,'Corporate activity'!$C:$C,Formulas!M$2)</f>
        <v>0</v>
      </c>
      <c r="N467">
        <f>SUMIFS('Corporate activity'!$H:$H,'Corporate activity'!$D:$D,Formulas!$L467,'Corporate activity'!$C:$C,Formulas!N$2)</f>
        <v>0</v>
      </c>
      <c r="O467">
        <f>SUMIFS('Corporate activity'!$H:$H,'Corporate activity'!$D:$D,Formulas!$L467,'Corporate activity'!$C:$C,Formulas!O$2)</f>
        <v>0</v>
      </c>
      <c r="P467">
        <f t="shared" si="40"/>
        <v>0</v>
      </c>
      <c r="Q467" t="str">
        <f t="shared" si="38"/>
        <v/>
      </c>
    </row>
    <row r="468" spans="3:17" x14ac:dyDescent="0.25">
      <c r="C468">
        <f>SUMIFS(Issuance!$H:$H,Issuance!$D:$D,Formulas!$B468,Issuance!$C:$C,Formulas!C$2)</f>
        <v>0</v>
      </c>
      <c r="D468">
        <f>SUMIFS(Issuance!$H:$H,Issuance!$D:$D,Formulas!$B468,Issuance!$C:$C,Formulas!D$2)</f>
        <v>0</v>
      </c>
      <c r="E468">
        <f t="shared" si="39"/>
        <v>0</v>
      </c>
      <c r="F468" s="41" t="str">
        <f t="shared" si="41"/>
        <v/>
      </c>
      <c r="I468">
        <f>SUMIFS(Buybacks!H:H,Buybacks!D:D,Formulas!H468)</f>
        <v>0</v>
      </c>
      <c r="J468" s="41" t="str">
        <f t="shared" si="42"/>
        <v/>
      </c>
      <c r="M468">
        <f>SUMIFS('Corporate activity'!$H:$H,'Corporate activity'!$D:$D,Formulas!$L468,'Corporate activity'!$C:$C,Formulas!M$2)</f>
        <v>0</v>
      </c>
      <c r="N468">
        <f>SUMIFS('Corporate activity'!$H:$H,'Corporate activity'!$D:$D,Formulas!$L468,'Corporate activity'!$C:$C,Formulas!N$2)</f>
        <v>0</v>
      </c>
      <c r="O468">
        <f>SUMIFS('Corporate activity'!$H:$H,'Corporate activity'!$D:$D,Formulas!$L468,'Corporate activity'!$C:$C,Formulas!O$2)</f>
        <v>0</v>
      </c>
      <c r="P468">
        <f t="shared" si="40"/>
        <v>0</v>
      </c>
      <c r="Q468" t="str">
        <f t="shared" si="38"/>
        <v/>
      </c>
    </row>
    <row r="469" spans="3:17" x14ac:dyDescent="0.25">
      <c r="C469">
        <f>SUMIFS(Issuance!$H:$H,Issuance!$D:$D,Formulas!$B469,Issuance!$C:$C,Formulas!C$2)</f>
        <v>0</v>
      </c>
      <c r="D469">
        <f>SUMIFS(Issuance!$H:$H,Issuance!$D:$D,Formulas!$B469,Issuance!$C:$C,Formulas!D$2)</f>
        <v>0</v>
      </c>
      <c r="E469">
        <f t="shared" si="39"/>
        <v>0</v>
      </c>
      <c r="F469" s="41" t="str">
        <f t="shared" si="41"/>
        <v/>
      </c>
      <c r="I469">
        <f>SUMIFS(Buybacks!H:H,Buybacks!D:D,Formulas!H469)</f>
        <v>0</v>
      </c>
      <c r="J469" s="41" t="str">
        <f t="shared" si="42"/>
        <v/>
      </c>
      <c r="M469">
        <f>SUMIFS('Corporate activity'!$H:$H,'Corporate activity'!$D:$D,Formulas!$L469,'Corporate activity'!$C:$C,Formulas!M$2)</f>
        <v>0</v>
      </c>
      <c r="N469">
        <f>SUMIFS('Corporate activity'!$H:$H,'Corporate activity'!$D:$D,Formulas!$L469,'Corporate activity'!$C:$C,Formulas!N$2)</f>
        <v>0</v>
      </c>
      <c r="O469">
        <f>SUMIFS('Corporate activity'!$H:$H,'Corporate activity'!$D:$D,Formulas!$L469,'Corporate activity'!$C:$C,Formulas!O$2)</f>
        <v>0</v>
      </c>
      <c r="P469">
        <f t="shared" si="40"/>
        <v>0</v>
      </c>
      <c r="Q469" t="str">
        <f t="shared" si="38"/>
        <v/>
      </c>
    </row>
    <row r="470" spans="3:17" x14ac:dyDescent="0.25">
      <c r="C470">
        <f>SUMIFS(Issuance!$H:$H,Issuance!$D:$D,Formulas!$B470,Issuance!$C:$C,Formulas!C$2)</f>
        <v>0</v>
      </c>
      <c r="D470">
        <f>SUMIFS(Issuance!$H:$H,Issuance!$D:$D,Formulas!$B470,Issuance!$C:$C,Formulas!D$2)</f>
        <v>0</v>
      </c>
      <c r="E470">
        <f t="shared" si="39"/>
        <v>0</v>
      </c>
      <c r="F470" s="41" t="str">
        <f t="shared" si="41"/>
        <v/>
      </c>
      <c r="I470">
        <f>SUMIFS(Buybacks!H:H,Buybacks!D:D,Formulas!H470)</f>
        <v>0</v>
      </c>
      <c r="J470" s="41" t="str">
        <f t="shared" si="42"/>
        <v/>
      </c>
      <c r="M470">
        <f>SUMIFS('Corporate activity'!$H:$H,'Corporate activity'!$D:$D,Formulas!$L470,'Corporate activity'!$C:$C,Formulas!M$2)</f>
        <v>0</v>
      </c>
      <c r="N470">
        <f>SUMIFS('Corporate activity'!$H:$H,'Corporate activity'!$D:$D,Formulas!$L470,'Corporate activity'!$C:$C,Formulas!N$2)</f>
        <v>0</v>
      </c>
      <c r="O470">
        <f>SUMIFS('Corporate activity'!$H:$H,'Corporate activity'!$D:$D,Formulas!$L470,'Corporate activity'!$C:$C,Formulas!O$2)</f>
        <v>0</v>
      </c>
      <c r="P470">
        <f t="shared" si="40"/>
        <v>0</v>
      </c>
      <c r="Q470" t="str">
        <f t="shared" si="38"/>
        <v/>
      </c>
    </row>
    <row r="471" spans="3:17" x14ac:dyDescent="0.25">
      <c r="C471">
        <f>SUMIFS(Issuance!$H:$H,Issuance!$D:$D,Formulas!$B471,Issuance!$C:$C,Formulas!C$2)</f>
        <v>0</v>
      </c>
      <c r="D471">
        <f>SUMIFS(Issuance!$H:$H,Issuance!$D:$D,Formulas!$B471,Issuance!$C:$C,Formulas!D$2)</f>
        <v>0</v>
      </c>
      <c r="E471">
        <f t="shared" si="39"/>
        <v>0</v>
      </c>
      <c r="F471" s="41" t="str">
        <f t="shared" si="41"/>
        <v/>
      </c>
      <c r="I471">
        <f>SUMIFS(Buybacks!H:H,Buybacks!D:D,Formulas!H471)</f>
        <v>0</v>
      </c>
      <c r="J471" s="41" t="str">
        <f t="shared" si="42"/>
        <v/>
      </c>
      <c r="M471">
        <f>SUMIFS('Corporate activity'!$H:$H,'Corporate activity'!$D:$D,Formulas!$L471,'Corporate activity'!$C:$C,Formulas!M$2)</f>
        <v>0</v>
      </c>
      <c r="N471">
        <f>SUMIFS('Corporate activity'!$H:$H,'Corporate activity'!$D:$D,Formulas!$L471,'Corporate activity'!$C:$C,Formulas!N$2)</f>
        <v>0</v>
      </c>
      <c r="O471">
        <f>SUMIFS('Corporate activity'!$H:$H,'Corporate activity'!$D:$D,Formulas!$L471,'Corporate activity'!$C:$C,Formulas!O$2)</f>
        <v>0</v>
      </c>
      <c r="P471">
        <f t="shared" si="40"/>
        <v>0</v>
      </c>
      <c r="Q471" t="str">
        <f t="shared" si="38"/>
        <v/>
      </c>
    </row>
    <row r="472" spans="3:17" x14ac:dyDescent="0.25">
      <c r="C472">
        <f>SUMIFS(Issuance!$H:$H,Issuance!$D:$D,Formulas!$B472,Issuance!$C:$C,Formulas!C$2)</f>
        <v>0</v>
      </c>
      <c r="D472">
        <f>SUMIFS(Issuance!$H:$H,Issuance!$D:$D,Formulas!$B472,Issuance!$C:$C,Formulas!D$2)</f>
        <v>0</v>
      </c>
      <c r="E472">
        <f t="shared" si="39"/>
        <v>0</v>
      </c>
      <c r="F472" s="41" t="str">
        <f t="shared" si="41"/>
        <v/>
      </c>
      <c r="I472">
        <f>SUMIFS(Buybacks!H:H,Buybacks!D:D,Formulas!H472)</f>
        <v>0</v>
      </c>
      <c r="J472" s="41" t="str">
        <f t="shared" si="42"/>
        <v/>
      </c>
      <c r="M472">
        <f>SUMIFS('Corporate activity'!$H:$H,'Corporate activity'!$D:$D,Formulas!$L472,'Corporate activity'!$C:$C,Formulas!M$2)</f>
        <v>0</v>
      </c>
      <c r="N472">
        <f>SUMIFS('Corporate activity'!$H:$H,'Corporate activity'!$D:$D,Formulas!$L472,'Corporate activity'!$C:$C,Formulas!N$2)</f>
        <v>0</v>
      </c>
      <c r="O472">
        <f>SUMIFS('Corporate activity'!$H:$H,'Corporate activity'!$D:$D,Formulas!$L472,'Corporate activity'!$C:$C,Formulas!O$2)</f>
        <v>0</v>
      </c>
      <c r="P472">
        <f t="shared" si="40"/>
        <v>0</v>
      </c>
      <c r="Q472" t="str">
        <f t="shared" si="38"/>
        <v/>
      </c>
    </row>
    <row r="473" spans="3:17" x14ac:dyDescent="0.25">
      <c r="C473">
        <f>SUMIFS(Issuance!$H:$H,Issuance!$D:$D,Formulas!$B473,Issuance!$C:$C,Formulas!C$2)</f>
        <v>0</v>
      </c>
      <c r="D473">
        <f>SUMIFS(Issuance!$H:$H,Issuance!$D:$D,Formulas!$B473,Issuance!$C:$C,Formulas!D$2)</f>
        <v>0</v>
      </c>
      <c r="E473">
        <f t="shared" si="39"/>
        <v>0</v>
      </c>
      <c r="F473" s="41" t="str">
        <f t="shared" si="41"/>
        <v/>
      </c>
      <c r="I473">
        <f>SUMIFS(Buybacks!H:H,Buybacks!D:D,Formulas!H473)</f>
        <v>0</v>
      </c>
      <c r="J473" s="41" t="str">
        <f t="shared" si="42"/>
        <v/>
      </c>
      <c r="M473">
        <f>SUMIFS('Corporate activity'!$H:$H,'Corporate activity'!$D:$D,Formulas!$L473,'Corporate activity'!$C:$C,Formulas!M$2)</f>
        <v>0</v>
      </c>
      <c r="N473">
        <f>SUMIFS('Corporate activity'!$H:$H,'Corporate activity'!$D:$D,Formulas!$L473,'Corporate activity'!$C:$C,Formulas!N$2)</f>
        <v>0</v>
      </c>
      <c r="O473">
        <f>SUMIFS('Corporate activity'!$H:$H,'Corporate activity'!$D:$D,Formulas!$L473,'Corporate activity'!$C:$C,Formulas!O$2)</f>
        <v>0</v>
      </c>
      <c r="P473">
        <f t="shared" si="40"/>
        <v>0</v>
      </c>
      <c r="Q473" t="str">
        <f t="shared" si="38"/>
        <v/>
      </c>
    </row>
    <row r="474" spans="3:17" x14ac:dyDescent="0.25">
      <c r="C474">
        <f>SUMIFS(Issuance!$H:$H,Issuance!$D:$D,Formulas!$B474,Issuance!$C:$C,Formulas!C$2)</f>
        <v>0</v>
      </c>
      <c r="D474">
        <f>SUMIFS(Issuance!$H:$H,Issuance!$D:$D,Formulas!$B474,Issuance!$C:$C,Formulas!D$2)</f>
        <v>0</v>
      </c>
      <c r="E474">
        <f t="shared" si="39"/>
        <v>0</v>
      </c>
      <c r="F474" s="41" t="str">
        <f t="shared" si="41"/>
        <v/>
      </c>
      <c r="I474">
        <f>SUMIFS(Buybacks!H:H,Buybacks!D:D,Formulas!H474)</f>
        <v>0</v>
      </c>
      <c r="J474" s="41" t="str">
        <f t="shared" si="42"/>
        <v/>
      </c>
      <c r="M474">
        <f>SUMIFS('Corporate activity'!$H:$H,'Corporate activity'!$D:$D,Formulas!$L474,'Corporate activity'!$C:$C,Formulas!M$2)</f>
        <v>0</v>
      </c>
      <c r="N474">
        <f>SUMIFS('Corporate activity'!$H:$H,'Corporate activity'!$D:$D,Formulas!$L474,'Corporate activity'!$C:$C,Formulas!N$2)</f>
        <v>0</v>
      </c>
      <c r="O474">
        <f>SUMIFS('Corporate activity'!$H:$H,'Corporate activity'!$D:$D,Formulas!$L474,'Corporate activity'!$C:$C,Formulas!O$2)</f>
        <v>0</v>
      </c>
      <c r="P474">
        <f t="shared" si="40"/>
        <v>0</v>
      </c>
      <c r="Q474" t="str">
        <f t="shared" si="38"/>
        <v/>
      </c>
    </row>
    <row r="475" spans="3:17" x14ac:dyDescent="0.25">
      <c r="C475">
        <f>SUMIFS(Issuance!$H:$H,Issuance!$D:$D,Formulas!$B475,Issuance!$C:$C,Formulas!C$2)</f>
        <v>0</v>
      </c>
      <c r="D475">
        <f>SUMIFS(Issuance!$H:$H,Issuance!$D:$D,Formulas!$B475,Issuance!$C:$C,Formulas!D$2)</f>
        <v>0</v>
      </c>
      <c r="E475">
        <f t="shared" si="39"/>
        <v>0</v>
      </c>
      <c r="F475" s="41" t="str">
        <f t="shared" si="41"/>
        <v/>
      </c>
      <c r="I475">
        <f>SUMIFS(Buybacks!H:H,Buybacks!D:D,Formulas!H475)</f>
        <v>0</v>
      </c>
      <c r="J475" s="41" t="str">
        <f t="shared" si="42"/>
        <v/>
      </c>
      <c r="M475">
        <f>SUMIFS('Corporate activity'!$H:$H,'Corporate activity'!$D:$D,Formulas!$L475,'Corporate activity'!$C:$C,Formulas!M$2)</f>
        <v>0</v>
      </c>
      <c r="N475">
        <f>SUMIFS('Corporate activity'!$H:$H,'Corporate activity'!$D:$D,Formulas!$L475,'Corporate activity'!$C:$C,Formulas!N$2)</f>
        <v>0</v>
      </c>
      <c r="O475">
        <f>SUMIFS('Corporate activity'!$H:$H,'Corporate activity'!$D:$D,Formulas!$L475,'Corporate activity'!$C:$C,Formulas!O$2)</f>
        <v>0</v>
      </c>
      <c r="P475">
        <f t="shared" si="40"/>
        <v>0</v>
      </c>
      <c r="Q475" t="str">
        <f t="shared" ref="Q475:Q538" si="43">IF(OR(L475="",L475=0,P475=0),"",IF(COUNTIFS($P$3:$P$500,"&lt;"&amp;P475,$P$3:$P$500,"&lt;&gt;0")+1&lt;=20,COUNTIFS($P$3:$P$500,"&lt;"&amp;P475,$P$3:$P$500,"&lt;&gt;0")+1,""))</f>
        <v/>
      </c>
    </row>
    <row r="476" spans="3:17" x14ac:dyDescent="0.25">
      <c r="C476">
        <f>SUMIFS(Issuance!$H:$H,Issuance!$D:$D,Formulas!$B476,Issuance!$C:$C,Formulas!C$2)</f>
        <v>0</v>
      </c>
      <c r="D476">
        <f>SUMIFS(Issuance!$H:$H,Issuance!$D:$D,Formulas!$B476,Issuance!$C:$C,Formulas!D$2)</f>
        <v>0</v>
      </c>
      <c r="E476">
        <f t="shared" si="39"/>
        <v>0</v>
      </c>
      <c r="F476" s="41" t="str">
        <f t="shared" si="41"/>
        <v/>
      </c>
      <c r="I476">
        <f>SUMIFS(Buybacks!H:H,Buybacks!D:D,Formulas!H476)</f>
        <v>0</v>
      </c>
      <c r="J476" s="41" t="str">
        <f t="shared" si="42"/>
        <v/>
      </c>
      <c r="M476">
        <f>SUMIFS('Corporate activity'!$H:$H,'Corporate activity'!$D:$D,Formulas!$L476,'Corporate activity'!$C:$C,Formulas!M$2)</f>
        <v>0</v>
      </c>
      <c r="N476">
        <f>SUMIFS('Corporate activity'!$H:$H,'Corporate activity'!$D:$D,Formulas!$L476,'Corporate activity'!$C:$C,Formulas!N$2)</f>
        <v>0</v>
      </c>
      <c r="O476">
        <f>SUMIFS('Corporate activity'!$H:$H,'Corporate activity'!$D:$D,Formulas!$L476,'Corporate activity'!$C:$C,Formulas!O$2)</f>
        <v>0</v>
      </c>
      <c r="P476">
        <f t="shared" si="40"/>
        <v>0</v>
      </c>
      <c r="Q476" t="str">
        <f t="shared" si="43"/>
        <v/>
      </c>
    </row>
    <row r="477" spans="3:17" x14ac:dyDescent="0.25">
      <c r="C477">
        <f>SUMIFS(Issuance!$H:$H,Issuance!$D:$D,Formulas!$B477,Issuance!$C:$C,Formulas!C$2)</f>
        <v>0</v>
      </c>
      <c r="D477">
        <f>SUMIFS(Issuance!$H:$H,Issuance!$D:$D,Formulas!$B477,Issuance!$C:$C,Formulas!D$2)</f>
        <v>0</v>
      </c>
      <c r="E477">
        <f t="shared" si="39"/>
        <v>0</v>
      </c>
      <c r="F477" s="41" t="str">
        <f t="shared" si="41"/>
        <v/>
      </c>
      <c r="I477">
        <f>SUMIFS(Buybacks!H:H,Buybacks!D:D,Formulas!H477)</f>
        <v>0</v>
      </c>
      <c r="J477" s="41" t="str">
        <f t="shared" si="42"/>
        <v/>
      </c>
      <c r="M477">
        <f>SUMIFS('Corporate activity'!$H:$H,'Corporate activity'!$D:$D,Formulas!$L477,'Corporate activity'!$C:$C,Formulas!M$2)</f>
        <v>0</v>
      </c>
      <c r="N477">
        <f>SUMIFS('Corporate activity'!$H:$H,'Corporate activity'!$D:$D,Formulas!$L477,'Corporate activity'!$C:$C,Formulas!N$2)</f>
        <v>0</v>
      </c>
      <c r="O477">
        <f>SUMIFS('Corporate activity'!$H:$H,'Corporate activity'!$D:$D,Formulas!$L477,'Corporate activity'!$C:$C,Formulas!O$2)</f>
        <v>0</v>
      </c>
      <c r="P477">
        <f t="shared" si="40"/>
        <v>0</v>
      </c>
      <c r="Q477" t="str">
        <f t="shared" si="43"/>
        <v/>
      </c>
    </row>
    <row r="478" spans="3:17" x14ac:dyDescent="0.25">
      <c r="C478">
        <f>SUMIFS(Issuance!$H:$H,Issuance!$D:$D,Formulas!$B478,Issuance!$C:$C,Formulas!C$2)</f>
        <v>0</v>
      </c>
      <c r="D478">
        <f>SUMIFS(Issuance!$H:$H,Issuance!$D:$D,Formulas!$B478,Issuance!$C:$C,Formulas!D$2)</f>
        <v>0</v>
      </c>
      <c r="E478">
        <f t="shared" si="39"/>
        <v>0</v>
      </c>
      <c r="F478" s="41" t="str">
        <f t="shared" si="41"/>
        <v/>
      </c>
      <c r="I478">
        <f>SUMIFS(Buybacks!H:H,Buybacks!D:D,Formulas!H478)</f>
        <v>0</v>
      </c>
      <c r="J478" s="41" t="str">
        <f t="shared" si="42"/>
        <v/>
      </c>
      <c r="M478">
        <f>SUMIFS('Corporate activity'!$H:$H,'Corporate activity'!$D:$D,Formulas!$L478,'Corporate activity'!$C:$C,Formulas!M$2)</f>
        <v>0</v>
      </c>
      <c r="N478">
        <f>SUMIFS('Corporate activity'!$H:$H,'Corporate activity'!$D:$D,Formulas!$L478,'Corporate activity'!$C:$C,Formulas!N$2)</f>
        <v>0</v>
      </c>
      <c r="O478">
        <f>SUMIFS('Corporate activity'!$H:$H,'Corporate activity'!$D:$D,Formulas!$L478,'Corporate activity'!$C:$C,Formulas!O$2)</f>
        <v>0</v>
      </c>
      <c r="P478">
        <f t="shared" si="40"/>
        <v>0</v>
      </c>
      <c r="Q478" t="str">
        <f t="shared" si="43"/>
        <v/>
      </c>
    </row>
    <row r="479" spans="3:17" x14ac:dyDescent="0.25">
      <c r="C479">
        <f>SUMIFS(Issuance!$H:$H,Issuance!$D:$D,Formulas!$B479,Issuance!$C:$C,Formulas!C$2)</f>
        <v>0</v>
      </c>
      <c r="D479">
        <f>SUMIFS(Issuance!$H:$H,Issuance!$D:$D,Formulas!$B479,Issuance!$C:$C,Formulas!D$2)</f>
        <v>0</v>
      </c>
      <c r="E479">
        <f t="shared" si="39"/>
        <v>0</v>
      </c>
      <c r="F479" s="41" t="str">
        <f t="shared" si="41"/>
        <v/>
      </c>
      <c r="I479">
        <f>SUMIFS(Buybacks!H:H,Buybacks!D:D,Formulas!H479)</f>
        <v>0</v>
      </c>
      <c r="J479" s="41" t="str">
        <f t="shared" si="42"/>
        <v/>
      </c>
      <c r="M479">
        <f>SUMIFS('Corporate activity'!$H:$H,'Corporate activity'!$D:$D,Formulas!$L479,'Corporate activity'!$C:$C,Formulas!M$2)</f>
        <v>0</v>
      </c>
      <c r="N479">
        <f>SUMIFS('Corporate activity'!$H:$H,'Corporate activity'!$D:$D,Formulas!$L479,'Corporate activity'!$C:$C,Formulas!N$2)</f>
        <v>0</v>
      </c>
      <c r="O479">
        <f>SUMIFS('Corporate activity'!$H:$H,'Corporate activity'!$D:$D,Formulas!$L479,'Corporate activity'!$C:$C,Formulas!O$2)</f>
        <v>0</v>
      </c>
      <c r="P479">
        <f t="shared" si="40"/>
        <v>0</v>
      </c>
      <c r="Q479" t="str">
        <f t="shared" si="43"/>
        <v/>
      </c>
    </row>
    <row r="480" spans="3:17" x14ac:dyDescent="0.25">
      <c r="C480">
        <f>SUMIFS(Issuance!$H:$H,Issuance!$D:$D,Formulas!$B480,Issuance!$C:$C,Formulas!C$2)</f>
        <v>0</v>
      </c>
      <c r="D480">
        <f>SUMIFS(Issuance!$H:$H,Issuance!$D:$D,Formulas!$B480,Issuance!$C:$C,Formulas!D$2)</f>
        <v>0</v>
      </c>
      <c r="E480">
        <f t="shared" si="39"/>
        <v>0</v>
      </c>
      <c r="F480" s="41" t="str">
        <f t="shared" si="41"/>
        <v/>
      </c>
      <c r="I480">
        <f>SUMIFS(Buybacks!H:H,Buybacks!D:D,Formulas!H480)</f>
        <v>0</v>
      </c>
      <c r="J480" s="41" t="str">
        <f t="shared" si="42"/>
        <v/>
      </c>
      <c r="M480">
        <f>SUMIFS('Corporate activity'!$H:$H,'Corporate activity'!$D:$D,Formulas!$L480,'Corporate activity'!$C:$C,Formulas!M$2)</f>
        <v>0</v>
      </c>
      <c r="N480">
        <f>SUMIFS('Corporate activity'!$H:$H,'Corporate activity'!$D:$D,Formulas!$L480,'Corporate activity'!$C:$C,Formulas!N$2)</f>
        <v>0</v>
      </c>
      <c r="O480">
        <f>SUMIFS('Corporate activity'!$H:$H,'Corporate activity'!$D:$D,Formulas!$L480,'Corporate activity'!$C:$C,Formulas!O$2)</f>
        <v>0</v>
      </c>
      <c r="P480">
        <f t="shared" si="40"/>
        <v>0</v>
      </c>
      <c r="Q480" t="str">
        <f t="shared" si="43"/>
        <v/>
      </c>
    </row>
    <row r="481" spans="3:17" x14ac:dyDescent="0.25">
      <c r="C481">
        <f>SUMIFS(Issuance!$H:$H,Issuance!$D:$D,Formulas!$B481,Issuance!$C:$C,Formulas!C$2)</f>
        <v>0</v>
      </c>
      <c r="D481">
        <f>SUMIFS(Issuance!$H:$H,Issuance!$D:$D,Formulas!$B481,Issuance!$C:$C,Formulas!D$2)</f>
        <v>0</v>
      </c>
      <c r="E481">
        <f t="shared" si="39"/>
        <v>0</v>
      </c>
      <c r="F481" s="41" t="str">
        <f t="shared" si="41"/>
        <v/>
      </c>
      <c r="I481">
        <f>SUMIFS(Buybacks!H:H,Buybacks!D:D,Formulas!H481)</f>
        <v>0</v>
      </c>
      <c r="J481" s="41" t="str">
        <f t="shared" si="42"/>
        <v/>
      </c>
      <c r="M481">
        <f>SUMIFS('Corporate activity'!$H:$H,'Corporate activity'!$D:$D,Formulas!$L481,'Corporate activity'!$C:$C,Formulas!M$2)</f>
        <v>0</v>
      </c>
      <c r="N481">
        <f>SUMIFS('Corporate activity'!$H:$H,'Corporate activity'!$D:$D,Formulas!$L481,'Corporate activity'!$C:$C,Formulas!N$2)</f>
        <v>0</v>
      </c>
      <c r="O481">
        <f>SUMIFS('Corporate activity'!$H:$H,'Corporate activity'!$D:$D,Formulas!$L481,'Corporate activity'!$C:$C,Formulas!O$2)</f>
        <v>0</v>
      </c>
      <c r="P481">
        <f t="shared" si="40"/>
        <v>0</v>
      </c>
      <c r="Q481" t="str">
        <f t="shared" si="43"/>
        <v/>
      </c>
    </row>
    <row r="482" spans="3:17" x14ac:dyDescent="0.25">
      <c r="C482">
        <f>SUMIFS(Issuance!$H:$H,Issuance!$D:$D,Formulas!$B482,Issuance!$C:$C,Formulas!C$2)</f>
        <v>0</v>
      </c>
      <c r="D482">
        <f>SUMIFS(Issuance!$H:$H,Issuance!$D:$D,Formulas!$B482,Issuance!$C:$C,Formulas!D$2)</f>
        <v>0</v>
      </c>
      <c r="E482">
        <f t="shared" si="39"/>
        <v>0</v>
      </c>
      <c r="F482" s="41" t="str">
        <f t="shared" si="41"/>
        <v/>
      </c>
      <c r="I482">
        <f>SUMIFS(Buybacks!H:H,Buybacks!D:D,Formulas!H482)</f>
        <v>0</v>
      </c>
      <c r="J482" s="41" t="str">
        <f t="shared" si="42"/>
        <v/>
      </c>
      <c r="M482">
        <f>SUMIFS('Corporate activity'!$H:$H,'Corporate activity'!$D:$D,Formulas!$L482,'Corporate activity'!$C:$C,Formulas!M$2)</f>
        <v>0</v>
      </c>
      <c r="N482">
        <f>SUMIFS('Corporate activity'!$H:$H,'Corporate activity'!$D:$D,Formulas!$L482,'Corporate activity'!$C:$C,Formulas!N$2)</f>
        <v>0</v>
      </c>
      <c r="O482">
        <f>SUMIFS('Corporate activity'!$H:$H,'Corporate activity'!$D:$D,Formulas!$L482,'Corporate activity'!$C:$C,Formulas!O$2)</f>
        <v>0</v>
      </c>
      <c r="P482">
        <f t="shared" si="40"/>
        <v>0</v>
      </c>
      <c r="Q482" t="str">
        <f t="shared" si="43"/>
        <v/>
      </c>
    </row>
    <row r="483" spans="3:17" x14ac:dyDescent="0.25">
      <c r="C483">
        <f>SUMIFS(Issuance!$H:$H,Issuance!$D:$D,Formulas!$B483,Issuance!$C:$C,Formulas!C$2)</f>
        <v>0</v>
      </c>
      <c r="D483">
        <f>SUMIFS(Issuance!$H:$H,Issuance!$D:$D,Formulas!$B483,Issuance!$C:$C,Formulas!D$2)</f>
        <v>0</v>
      </c>
      <c r="E483">
        <f t="shared" si="39"/>
        <v>0</v>
      </c>
      <c r="F483" s="41" t="str">
        <f t="shared" si="41"/>
        <v/>
      </c>
      <c r="I483">
        <f>SUMIFS(Buybacks!H:H,Buybacks!D:D,Formulas!H483)</f>
        <v>0</v>
      </c>
      <c r="J483" s="41" t="str">
        <f t="shared" si="42"/>
        <v/>
      </c>
      <c r="M483">
        <f>SUMIFS('Corporate activity'!$H:$H,'Corporate activity'!$D:$D,Formulas!$L483,'Corporate activity'!$C:$C,Formulas!M$2)</f>
        <v>0</v>
      </c>
      <c r="N483">
        <f>SUMIFS('Corporate activity'!$H:$H,'Corporate activity'!$D:$D,Formulas!$L483,'Corporate activity'!$C:$C,Formulas!N$2)</f>
        <v>0</v>
      </c>
      <c r="O483">
        <f>SUMIFS('Corporate activity'!$H:$H,'Corporate activity'!$D:$D,Formulas!$L483,'Corporate activity'!$C:$C,Formulas!O$2)</f>
        <v>0</v>
      </c>
      <c r="P483">
        <f t="shared" si="40"/>
        <v>0</v>
      </c>
      <c r="Q483" t="str">
        <f t="shared" si="43"/>
        <v/>
      </c>
    </row>
    <row r="484" spans="3:17" x14ac:dyDescent="0.25">
      <c r="C484">
        <f>SUMIFS(Issuance!$H:$H,Issuance!$D:$D,Formulas!$B484,Issuance!$C:$C,Formulas!C$2)</f>
        <v>0</v>
      </c>
      <c r="D484">
        <f>SUMIFS(Issuance!$H:$H,Issuance!$D:$D,Formulas!$B484,Issuance!$C:$C,Formulas!D$2)</f>
        <v>0</v>
      </c>
      <c r="E484">
        <f t="shared" si="39"/>
        <v>0</v>
      </c>
      <c r="F484" s="41" t="str">
        <f t="shared" si="41"/>
        <v/>
      </c>
      <c r="I484">
        <f>SUMIFS(Buybacks!H:H,Buybacks!D:D,Formulas!H484)</f>
        <v>0</v>
      </c>
      <c r="J484" s="41" t="str">
        <f t="shared" si="42"/>
        <v/>
      </c>
      <c r="M484">
        <f>SUMIFS('Corporate activity'!$H:$H,'Corporate activity'!$D:$D,Formulas!$L484,'Corporate activity'!$C:$C,Formulas!M$2)</f>
        <v>0</v>
      </c>
      <c r="N484">
        <f>SUMIFS('Corporate activity'!$H:$H,'Corporate activity'!$D:$D,Formulas!$L484,'Corporate activity'!$C:$C,Formulas!N$2)</f>
        <v>0</v>
      </c>
      <c r="O484">
        <f>SUMIFS('Corporate activity'!$H:$H,'Corporate activity'!$D:$D,Formulas!$L484,'Corporate activity'!$C:$C,Formulas!O$2)</f>
        <v>0</v>
      </c>
      <c r="P484">
        <f t="shared" si="40"/>
        <v>0</v>
      </c>
      <c r="Q484" t="str">
        <f t="shared" si="43"/>
        <v/>
      </c>
    </row>
    <row r="485" spans="3:17" x14ac:dyDescent="0.25">
      <c r="C485">
        <f>SUMIFS(Issuance!$H:$H,Issuance!$D:$D,Formulas!$B485,Issuance!$C:$C,Formulas!C$2)</f>
        <v>0</v>
      </c>
      <c r="D485">
        <f>SUMIFS(Issuance!$H:$H,Issuance!$D:$D,Formulas!$B485,Issuance!$C:$C,Formulas!D$2)</f>
        <v>0</v>
      </c>
      <c r="E485">
        <f t="shared" si="39"/>
        <v>0</v>
      </c>
      <c r="F485" s="41" t="str">
        <f t="shared" si="41"/>
        <v/>
      </c>
      <c r="I485">
        <f>SUMIFS(Buybacks!H:H,Buybacks!D:D,Formulas!H485)</f>
        <v>0</v>
      </c>
      <c r="J485" s="41" t="str">
        <f t="shared" si="42"/>
        <v/>
      </c>
      <c r="M485">
        <f>SUMIFS('Corporate activity'!$H:$H,'Corporate activity'!$D:$D,Formulas!$L485,'Corporate activity'!$C:$C,Formulas!M$2)</f>
        <v>0</v>
      </c>
      <c r="N485">
        <f>SUMIFS('Corporate activity'!$H:$H,'Corporate activity'!$D:$D,Formulas!$L485,'Corporate activity'!$C:$C,Formulas!N$2)</f>
        <v>0</v>
      </c>
      <c r="O485">
        <f>SUMIFS('Corporate activity'!$H:$H,'Corporate activity'!$D:$D,Formulas!$L485,'Corporate activity'!$C:$C,Formulas!O$2)</f>
        <v>0</v>
      </c>
      <c r="P485">
        <f t="shared" si="40"/>
        <v>0</v>
      </c>
      <c r="Q485" t="str">
        <f t="shared" si="43"/>
        <v/>
      </c>
    </row>
    <row r="486" spans="3:17" x14ac:dyDescent="0.25">
      <c r="C486">
        <f>SUMIFS(Issuance!$H:$H,Issuance!$D:$D,Formulas!$B486,Issuance!$C:$C,Formulas!C$2)</f>
        <v>0</v>
      </c>
      <c r="D486">
        <f>SUMIFS(Issuance!$H:$H,Issuance!$D:$D,Formulas!$B486,Issuance!$C:$C,Formulas!D$2)</f>
        <v>0</v>
      </c>
      <c r="E486">
        <f t="shared" si="39"/>
        <v>0</v>
      </c>
      <c r="F486" s="41" t="str">
        <f t="shared" si="41"/>
        <v/>
      </c>
      <c r="I486">
        <f>SUMIFS(Buybacks!H:H,Buybacks!D:D,Formulas!H486)</f>
        <v>0</v>
      </c>
      <c r="J486" s="41" t="str">
        <f t="shared" si="42"/>
        <v/>
      </c>
      <c r="M486">
        <f>SUMIFS('Corporate activity'!$H:$H,'Corporate activity'!$D:$D,Formulas!$L486,'Corporate activity'!$C:$C,Formulas!M$2)</f>
        <v>0</v>
      </c>
      <c r="N486">
        <f>SUMIFS('Corporate activity'!$H:$H,'Corporate activity'!$D:$D,Formulas!$L486,'Corporate activity'!$C:$C,Formulas!N$2)</f>
        <v>0</v>
      </c>
      <c r="O486">
        <f>SUMIFS('Corporate activity'!$H:$H,'Corporate activity'!$D:$D,Formulas!$L486,'Corporate activity'!$C:$C,Formulas!O$2)</f>
        <v>0</v>
      </c>
      <c r="P486">
        <f t="shared" si="40"/>
        <v>0</v>
      </c>
      <c r="Q486" t="str">
        <f t="shared" si="43"/>
        <v/>
      </c>
    </row>
    <row r="487" spans="3:17" x14ac:dyDescent="0.25">
      <c r="C487">
        <f>SUMIFS(Issuance!$H:$H,Issuance!$D:$D,Formulas!$B487,Issuance!$C:$C,Formulas!C$2)</f>
        <v>0</v>
      </c>
      <c r="D487">
        <f>SUMIFS(Issuance!$H:$H,Issuance!$D:$D,Formulas!$B487,Issuance!$C:$C,Formulas!D$2)</f>
        <v>0</v>
      </c>
      <c r="E487">
        <f t="shared" si="39"/>
        <v>0</v>
      </c>
      <c r="F487" s="41" t="str">
        <f t="shared" si="41"/>
        <v/>
      </c>
      <c r="I487">
        <f>SUMIFS(Buybacks!H:H,Buybacks!D:D,Formulas!H487)</f>
        <v>0</v>
      </c>
      <c r="J487" s="41" t="str">
        <f t="shared" si="42"/>
        <v/>
      </c>
      <c r="M487">
        <f>SUMIFS('Corporate activity'!$H:$H,'Corporate activity'!$D:$D,Formulas!$L487,'Corporate activity'!$C:$C,Formulas!M$2)</f>
        <v>0</v>
      </c>
      <c r="N487">
        <f>SUMIFS('Corporate activity'!$H:$H,'Corporate activity'!$D:$D,Formulas!$L487,'Corporate activity'!$C:$C,Formulas!N$2)</f>
        <v>0</v>
      </c>
      <c r="O487">
        <f>SUMIFS('Corporate activity'!$H:$H,'Corporate activity'!$D:$D,Formulas!$L487,'Corporate activity'!$C:$C,Formulas!O$2)</f>
        <v>0</v>
      </c>
      <c r="P487">
        <f t="shared" si="40"/>
        <v>0</v>
      </c>
      <c r="Q487" t="str">
        <f t="shared" si="43"/>
        <v/>
      </c>
    </row>
    <row r="488" spans="3:17" x14ac:dyDescent="0.25">
      <c r="C488">
        <f>SUMIFS(Issuance!$H:$H,Issuance!$D:$D,Formulas!$B488,Issuance!$C:$C,Formulas!C$2)</f>
        <v>0</v>
      </c>
      <c r="D488">
        <f>SUMIFS(Issuance!$H:$H,Issuance!$D:$D,Formulas!$B488,Issuance!$C:$C,Formulas!D$2)</f>
        <v>0</v>
      </c>
      <c r="E488">
        <f t="shared" si="39"/>
        <v>0</v>
      </c>
      <c r="F488" s="41" t="str">
        <f t="shared" si="41"/>
        <v/>
      </c>
      <c r="I488">
        <f>SUMIFS(Buybacks!H:H,Buybacks!D:D,Formulas!H488)</f>
        <v>0</v>
      </c>
      <c r="J488" s="41" t="str">
        <f t="shared" si="42"/>
        <v/>
      </c>
      <c r="M488">
        <f>SUMIFS('Corporate activity'!$H:$H,'Corporate activity'!$D:$D,Formulas!$L488,'Corporate activity'!$C:$C,Formulas!M$2)</f>
        <v>0</v>
      </c>
      <c r="N488">
        <f>SUMIFS('Corporate activity'!$H:$H,'Corporate activity'!$D:$D,Formulas!$L488,'Corporate activity'!$C:$C,Formulas!N$2)</f>
        <v>0</v>
      </c>
      <c r="O488">
        <f>SUMIFS('Corporate activity'!$H:$H,'Corporate activity'!$D:$D,Formulas!$L488,'Corporate activity'!$C:$C,Formulas!O$2)</f>
        <v>0</v>
      </c>
      <c r="P488">
        <f t="shared" si="40"/>
        <v>0</v>
      </c>
      <c r="Q488" t="str">
        <f t="shared" si="43"/>
        <v/>
      </c>
    </row>
    <row r="489" spans="3:17" x14ac:dyDescent="0.25">
      <c r="C489">
        <f>SUMIFS(Issuance!$H:$H,Issuance!$D:$D,Formulas!$B489,Issuance!$C:$C,Formulas!C$2)</f>
        <v>0</v>
      </c>
      <c r="D489">
        <f>SUMIFS(Issuance!$H:$H,Issuance!$D:$D,Formulas!$B489,Issuance!$C:$C,Formulas!D$2)</f>
        <v>0</v>
      </c>
      <c r="E489">
        <f t="shared" si="39"/>
        <v>0</v>
      </c>
      <c r="F489" s="41" t="str">
        <f t="shared" si="41"/>
        <v/>
      </c>
      <c r="I489">
        <f>SUMIFS(Buybacks!H:H,Buybacks!D:D,Formulas!H489)</f>
        <v>0</v>
      </c>
      <c r="J489" s="41" t="str">
        <f t="shared" si="42"/>
        <v/>
      </c>
      <c r="M489">
        <f>SUMIFS('Corporate activity'!$H:$H,'Corporate activity'!$D:$D,Formulas!$L489,'Corporate activity'!$C:$C,Formulas!M$2)</f>
        <v>0</v>
      </c>
      <c r="N489">
        <f>SUMIFS('Corporate activity'!$H:$H,'Corporate activity'!$D:$D,Formulas!$L489,'Corporate activity'!$C:$C,Formulas!N$2)</f>
        <v>0</v>
      </c>
      <c r="O489">
        <f>SUMIFS('Corporate activity'!$H:$H,'Corporate activity'!$D:$D,Formulas!$L489,'Corporate activity'!$C:$C,Formulas!O$2)</f>
        <v>0</v>
      </c>
      <c r="P489">
        <f t="shared" si="40"/>
        <v>0</v>
      </c>
      <c r="Q489" t="str">
        <f t="shared" si="43"/>
        <v/>
      </c>
    </row>
    <row r="490" spans="3:17" x14ac:dyDescent="0.25">
      <c r="C490">
        <f>SUMIFS(Issuance!$H:$H,Issuance!$D:$D,Formulas!$B490,Issuance!$C:$C,Formulas!C$2)</f>
        <v>0</v>
      </c>
      <c r="D490">
        <f>SUMIFS(Issuance!$H:$H,Issuance!$D:$D,Formulas!$B490,Issuance!$C:$C,Formulas!D$2)</f>
        <v>0</v>
      </c>
      <c r="E490">
        <f t="shared" si="39"/>
        <v>0</v>
      </c>
      <c r="F490" s="41" t="str">
        <f t="shared" si="41"/>
        <v/>
      </c>
      <c r="I490">
        <f>SUMIFS(Buybacks!H:H,Buybacks!D:D,Formulas!H490)</f>
        <v>0</v>
      </c>
      <c r="J490" s="41" t="str">
        <f t="shared" si="42"/>
        <v/>
      </c>
      <c r="M490">
        <f>SUMIFS('Corporate activity'!$H:$H,'Corporate activity'!$D:$D,Formulas!$L490,'Corporate activity'!$C:$C,Formulas!M$2)</f>
        <v>0</v>
      </c>
      <c r="N490">
        <f>SUMIFS('Corporate activity'!$H:$H,'Corporate activity'!$D:$D,Formulas!$L490,'Corporate activity'!$C:$C,Formulas!N$2)</f>
        <v>0</v>
      </c>
      <c r="O490">
        <f>SUMIFS('Corporate activity'!$H:$H,'Corporate activity'!$D:$D,Formulas!$L490,'Corporate activity'!$C:$C,Formulas!O$2)</f>
        <v>0</v>
      </c>
      <c r="P490">
        <f t="shared" si="40"/>
        <v>0</v>
      </c>
      <c r="Q490" t="str">
        <f t="shared" si="43"/>
        <v/>
      </c>
    </row>
    <row r="491" spans="3:17" x14ac:dyDescent="0.25">
      <c r="C491">
        <f>SUMIFS(Issuance!$H:$H,Issuance!$D:$D,Formulas!$B491,Issuance!$C:$C,Formulas!C$2)</f>
        <v>0</v>
      </c>
      <c r="D491">
        <f>SUMIFS(Issuance!$H:$H,Issuance!$D:$D,Formulas!$B491,Issuance!$C:$C,Formulas!D$2)</f>
        <v>0</v>
      </c>
      <c r="E491">
        <f t="shared" si="39"/>
        <v>0</v>
      </c>
      <c r="F491" s="41" t="str">
        <f t="shared" si="41"/>
        <v/>
      </c>
      <c r="I491">
        <f>SUMIFS(Buybacks!H:H,Buybacks!D:D,Formulas!H491)</f>
        <v>0</v>
      </c>
      <c r="J491" s="41" t="str">
        <f t="shared" si="42"/>
        <v/>
      </c>
      <c r="M491">
        <f>SUMIFS('Corporate activity'!$H:$H,'Corporate activity'!$D:$D,Formulas!$L491,'Corporate activity'!$C:$C,Formulas!M$2)</f>
        <v>0</v>
      </c>
      <c r="N491">
        <f>SUMIFS('Corporate activity'!$H:$H,'Corporate activity'!$D:$D,Formulas!$L491,'Corporate activity'!$C:$C,Formulas!N$2)</f>
        <v>0</v>
      </c>
      <c r="O491">
        <f>SUMIFS('Corporate activity'!$H:$H,'Corporate activity'!$D:$D,Formulas!$L491,'Corporate activity'!$C:$C,Formulas!O$2)</f>
        <v>0</v>
      </c>
      <c r="P491">
        <f t="shared" si="40"/>
        <v>0</v>
      </c>
      <c r="Q491" t="str">
        <f t="shared" si="43"/>
        <v/>
      </c>
    </row>
    <row r="492" spans="3:17" x14ac:dyDescent="0.25">
      <c r="C492">
        <f>SUMIFS(Issuance!$H:$H,Issuance!$D:$D,Formulas!$B492,Issuance!$C:$C,Formulas!C$2)</f>
        <v>0</v>
      </c>
      <c r="D492">
        <f>SUMIFS(Issuance!$H:$H,Issuance!$D:$D,Formulas!$B492,Issuance!$C:$C,Formulas!D$2)</f>
        <v>0</v>
      </c>
      <c r="E492">
        <f t="shared" si="39"/>
        <v>0</v>
      </c>
      <c r="F492" s="41" t="str">
        <f t="shared" si="41"/>
        <v/>
      </c>
      <c r="I492">
        <f>SUMIFS(Buybacks!H:H,Buybacks!D:D,Formulas!H492)</f>
        <v>0</v>
      </c>
      <c r="J492" s="41" t="str">
        <f t="shared" si="42"/>
        <v/>
      </c>
      <c r="M492">
        <f>SUMIFS('Corporate activity'!$H:$H,'Corporate activity'!$D:$D,Formulas!$L492,'Corporate activity'!$C:$C,Formulas!M$2)</f>
        <v>0</v>
      </c>
      <c r="N492">
        <f>SUMIFS('Corporate activity'!$H:$H,'Corporate activity'!$D:$D,Formulas!$L492,'Corporate activity'!$C:$C,Formulas!N$2)</f>
        <v>0</v>
      </c>
      <c r="O492">
        <f>SUMIFS('Corporate activity'!$H:$H,'Corporate activity'!$D:$D,Formulas!$L492,'Corporate activity'!$C:$C,Formulas!O$2)</f>
        <v>0</v>
      </c>
      <c r="P492">
        <f t="shared" si="40"/>
        <v>0</v>
      </c>
      <c r="Q492" t="str">
        <f t="shared" si="43"/>
        <v/>
      </c>
    </row>
    <row r="493" spans="3:17" x14ac:dyDescent="0.25">
      <c r="C493">
        <f>SUMIFS(Issuance!$H:$H,Issuance!$D:$D,Formulas!$B493,Issuance!$C:$C,Formulas!C$2)</f>
        <v>0</v>
      </c>
      <c r="D493">
        <f>SUMIFS(Issuance!$H:$H,Issuance!$D:$D,Formulas!$B493,Issuance!$C:$C,Formulas!D$2)</f>
        <v>0</v>
      </c>
      <c r="E493">
        <f t="shared" si="39"/>
        <v>0</v>
      </c>
      <c r="F493" s="41" t="str">
        <f t="shared" si="41"/>
        <v/>
      </c>
      <c r="I493">
        <f>SUMIFS(Buybacks!H:H,Buybacks!D:D,Formulas!H493)</f>
        <v>0</v>
      </c>
      <c r="J493" s="41" t="str">
        <f t="shared" si="42"/>
        <v/>
      </c>
      <c r="M493">
        <f>SUMIFS('Corporate activity'!$H:$H,'Corporate activity'!$D:$D,Formulas!$L493,'Corporate activity'!$C:$C,Formulas!M$2)</f>
        <v>0</v>
      </c>
      <c r="N493">
        <f>SUMIFS('Corporate activity'!$H:$H,'Corporate activity'!$D:$D,Formulas!$L493,'Corporate activity'!$C:$C,Formulas!N$2)</f>
        <v>0</v>
      </c>
      <c r="O493">
        <f>SUMIFS('Corporate activity'!$H:$H,'Corporate activity'!$D:$D,Formulas!$L493,'Corporate activity'!$C:$C,Formulas!O$2)</f>
        <v>0</v>
      </c>
      <c r="P493">
        <f t="shared" si="40"/>
        <v>0</v>
      </c>
      <c r="Q493" t="str">
        <f t="shared" si="43"/>
        <v/>
      </c>
    </row>
    <row r="494" spans="3:17" x14ac:dyDescent="0.25">
      <c r="C494">
        <f>SUMIFS(Issuance!$H:$H,Issuance!$D:$D,Formulas!$B494,Issuance!$C:$C,Formulas!C$2)</f>
        <v>0</v>
      </c>
      <c r="D494">
        <f>SUMIFS(Issuance!$H:$H,Issuance!$D:$D,Formulas!$B494,Issuance!$C:$C,Formulas!D$2)</f>
        <v>0</v>
      </c>
      <c r="E494">
        <f t="shared" si="39"/>
        <v>0</v>
      </c>
      <c r="F494" s="41" t="str">
        <f t="shared" si="41"/>
        <v/>
      </c>
      <c r="I494">
        <f>SUMIFS(Buybacks!H:H,Buybacks!D:D,Formulas!H494)</f>
        <v>0</v>
      </c>
      <c r="J494" s="41" t="str">
        <f t="shared" si="42"/>
        <v/>
      </c>
      <c r="M494">
        <f>SUMIFS('Corporate activity'!$H:$H,'Corporate activity'!$D:$D,Formulas!$L494,'Corporate activity'!$C:$C,Formulas!M$2)</f>
        <v>0</v>
      </c>
      <c r="N494">
        <f>SUMIFS('Corporate activity'!$H:$H,'Corporate activity'!$D:$D,Formulas!$L494,'Corporate activity'!$C:$C,Formulas!N$2)</f>
        <v>0</v>
      </c>
      <c r="O494">
        <f>SUMIFS('Corporate activity'!$H:$H,'Corporate activity'!$D:$D,Formulas!$L494,'Corporate activity'!$C:$C,Formulas!O$2)</f>
        <v>0</v>
      </c>
      <c r="P494">
        <f t="shared" si="40"/>
        <v>0</v>
      </c>
      <c r="Q494" t="str">
        <f t="shared" si="43"/>
        <v/>
      </c>
    </row>
    <row r="495" spans="3:17" x14ac:dyDescent="0.25">
      <c r="C495">
        <f>SUMIFS(Issuance!$H:$H,Issuance!$D:$D,Formulas!$B495,Issuance!$C:$C,Formulas!C$2)</f>
        <v>0</v>
      </c>
      <c r="D495">
        <f>SUMIFS(Issuance!$H:$H,Issuance!$D:$D,Formulas!$B495,Issuance!$C:$C,Formulas!D$2)</f>
        <v>0</v>
      </c>
      <c r="E495">
        <f t="shared" si="39"/>
        <v>0</v>
      </c>
      <c r="F495" s="41" t="str">
        <f t="shared" si="41"/>
        <v/>
      </c>
      <c r="I495">
        <f>SUMIFS(Buybacks!H:H,Buybacks!D:D,Formulas!H495)</f>
        <v>0</v>
      </c>
      <c r="J495" s="41" t="str">
        <f t="shared" si="42"/>
        <v/>
      </c>
      <c r="M495">
        <f>SUMIFS('Corporate activity'!$H:$H,'Corporate activity'!$D:$D,Formulas!$L495,'Corporate activity'!$C:$C,Formulas!M$2)</f>
        <v>0</v>
      </c>
      <c r="N495">
        <f>SUMIFS('Corporate activity'!$H:$H,'Corporate activity'!$D:$D,Formulas!$L495,'Corporate activity'!$C:$C,Formulas!N$2)</f>
        <v>0</v>
      </c>
      <c r="O495">
        <f>SUMIFS('Corporate activity'!$H:$H,'Corporate activity'!$D:$D,Formulas!$L495,'Corporate activity'!$C:$C,Formulas!O$2)</f>
        <v>0</v>
      </c>
      <c r="P495">
        <f t="shared" si="40"/>
        <v>0</v>
      </c>
      <c r="Q495" t="str">
        <f t="shared" si="43"/>
        <v/>
      </c>
    </row>
    <row r="496" spans="3:17" x14ac:dyDescent="0.25">
      <c r="C496">
        <f>SUMIFS(Issuance!$H:$H,Issuance!$D:$D,Formulas!$B496,Issuance!$C:$C,Formulas!C$2)</f>
        <v>0</v>
      </c>
      <c r="D496">
        <f>SUMIFS(Issuance!$H:$H,Issuance!$D:$D,Formulas!$B496,Issuance!$C:$C,Formulas!D$2)</f>
        <v>0</v>
      </c>
      <c r="E496">
        <f t="shared" si="39"/>
        <v>0</v>
      </c>
      <c r="F496" s="41" t="str">
        <f t="shared" si="41"/>
        <v/>
      </c>
      <c r="I496">
        <f>SUMIFS(Buybacks!H:H,Buybacks!D:D,Formulas!H496)</f>
        <v>0</v>
      </c>
      <c r="J496" s="41" t="str">
        <f t="shared" si="42"/>
        <v/>
      </c>
      <c r="M496">
        <f>SUMIFS('Corporate activity'!$H:$H,'Corporate activity'!$D:$D,Formulas!$L496,'Corporate activity'!$C:$C,Formulas!M$2)</f>
        <v>0</v>
      </c>
      <c r="N496">
        <f>SUMIFS('Corporate activity'!$H:$H,'Corporate activity'!$D:$D,Formulas!$L496,'Corporate activity'!$C:$C,Formulas!N$2)</f>
        <v>0</v>
      </c>
      <c r="O496">
        <f>SUMIFS('Corporate activity'!$H:$H,'Corporate activity'!$D:$D,Formulas!$L496,'Corporate activity'!$C:$C,Formulas!O$2)</f>
        <v>0</v>
      </c>
      <c r="P496">
        <f t="shared" si="40"/>
        <v>0</v>
      </c>
      <c r="Q496" t="str">
        <f t="shared" si="43"/>
        <v/>
      </c>
    </row>
    <row r="497" spans="3:17" x14ac:dyDescent="0.25">
      <c r="C497">
        <f>SUMIFS(Issuance!$H:$H,Issuance!$D:$D,Formulas!$B497,Issuance!$C:$C,Formulas!C$2)</f>
        <v>0</v>
      </c>
      <c r="D497">
        <f>SUMIFS(Issuance!$H:$H,Issuance!$D:$D,Formulas!$B497,Issuance!$C:$C,Formulas!D$2)</f>
        <v>0</v>
      </c>
      <c r="E497">
        <f t="shared" si="39"/>
        <v>0</v>
      </c>
      <c r="F497" s="41" t="str">
        <f t="shared" si="41"/>
        <v/>
      </c>
      <c r="I497">
        <f>SUMIFS(Buybacks!H:H,Buybacks!D:D,Formulas!H497)</f>
        <v>0</v>
      </c>
      <c r="J497" s="41" t="str">
        <f t="shared" si="42"/>
        <v/>
      </c>
      <c r="M497">
        <f>SUMIFS('Corporate activity'!$H:$H,'Corporate activity'!$D:$D,Formulas!$L497,'Corporate activity'!$C:$C,Formulas!M$2)</f>
        <v>0</v>
      </c>
      <c r="N497">
        <f>SUMIFS('Corporate activity'!$H:$H,'Corporate activity'!$D:$D,Formulas!$L497,'Corporate activity'!$C:$C,Formulas!N$2)</f>
        <v>0</v>
      </c>
      <c r="O497">
        <f>SUMIFS('Corporate activity'!$H:$H,'Corporate activity'!$D:$D,Formulas!$L497,'Corporate activity'!$C:$C,Formulas!O$2)</f>
        <v>0</v>
      </c>
      <c r="P497">
        <f t="shared" si="40"/>
        <v>0</v>
      </c>
      <c r="Q497" t="str">
        <f t="shared" si="43"/>
        <v/>
      </c>
    </row>
    <row r="498" spans="3:17" x14ac:dyDescent="0.25">
      <c r="C498">
        <f>SUMIFS(Issuance!$H:$H,Issuance!$D:$D,Formulas!$B498,Issuance!$C:$C,Formulas!C$2)</f>
        <v>0</v>
      </c>
      <c r="D498">
        <f>SUMIFS(Issuance!$H:$H,Issuance!$D:$D,Formulas!$B498,Issuance!$C:$C,Formulas!D$2)</f>
        <v>0</v>
      </c>
      <c r="E498">
        <f t="shared" si="39"/>
        <v>0</v>
      </c>
      <c r="F498" s="41" t="str">
        <f t="shared" si="41"/>
        <v/>
      </c>
      <c r="I498">
        <f>SUMIFS(Buybacks!H:H,Buybacks!D:D,Formulas!H498)</f>
        <v>0</v>
      </c>
      <c r="J498" s="41" t="str">
        <f t="shared" si="42"/>
        <v/>
      </c>
      <c r="M498">
        <f>SUMIFS('Corporate activity'!$H:$H,'Corporate activity'!$D:$D,Formulas!$L498,'Corporate activity'!$C:$C,Formulas!M$2)</f>
        <v>0</v>
      </c>
      <c r="N498">
        <f>SUMIFS('Corporate activity'!$H:$H,'Corporate activity'!$D:$D,Formulas!$L498,'Corporate activity'!$C:$C,Formulas!N$2)</f>
        <v>0</v>
      </c>
      <c r="O498">
        <f>SUMIFS('Corporate activity'!$H:$H,'Corporate activity'!$D:$D,Formulas!$L498,'Corporate activity'!$C:$C,Formulas!O$2)</f>
        <v>0</v>
      </c>
      <c r="P498">
        <f t="shared" si="40"/>
        <v>0</v>
      </c>
      <c r="Q498" t="str">
        <f t="shared" si="43"/>
        <v/>
      </c>
    </row>
    <row r="499" spans="3:17" x14ac:dyDescent="0.25">
      <c r="C499">
        <f>SUMIFS(Issuance!$H:$H,Issuance!$D:$D,Formulas!$B499,Issuance!$C:$C,Formulas!C$2)</f>
        <v>0</v>
      </c>
      <c r="D499">
        <f>SUMIFS(Issuance!$H:$H,Issuance!$D:$D,Formulas!$B499,Issuance!$C:$C,Formulas!D$2)</f>
        <v>0</v>
      </c>
      <c r="E499">
        <f t="shared" ref="E499:E562" si="44">SUM(C499:D499)</f>
        <v>0</v>
      </c>
      <c r="F499" s="41" t="str">
        <f t="shared" si="41"/>
        <v/>
      </c>
      <c r="I499">
        <f>SUMIFS(Buybacks!H:H,Buybacks!D:D,Formulas!H499)</f>
        <v>0</v>
      </c>
      <c r="J499" s="41" t="str">
        <f t="shared" si="42"/>
        <v/>
      </c>
      <c r="M499">
        <f>SUMIFS('Corporate activity'!$H:$H,'Corporate activity'!$D:$D,Formulas!$L499,'Corporate activity'!$C:$C,Formulas!M$2)</f>
        <v>0</v>
      </c>
      <c r="N499">
        <f>SUMIFS('Corporate activity'!$H:$H,'Corporate activity'!$D:$D,Formulas!$L499,'Corporate activity'!$C:$C,Formulas!N$2)</f>
        <v>0</v>
      </c>
      <c r="O499">
        <f>SUMIFS('Corporate activity'!$H:$H,'Corporate activity'!$D:$D,Formulas!$L499,'Corporate activity'!$C:$C,Formulas!O$2)</f>
        <v>0</v>
      </c>
      <c r="P499">
        <f t="shared" ref="P499:P562" si="45">SUM(M499:O499)</f>
        <v>0</v>
      </c>
      <c r="Q499" t="str">
        <f t="shared" si="43"/>
        <v/>
      </c>
    </row>
    <row r="500" spans="3:17" x14ac:dyDescent="0.25">
      <c r="C500">
        <f>SUMIFS(Issuance!$H:$H,Issuance!$D:$D,Formulas!$B500,Issuance!$C:$C,Formulas!C$2)</f>
        <v>0</v>
      </c>
      <c r="D500">
        <f>SUMIFS(Issuance!$H:$H,Issuance!$D:$D,Formulas!$B500,Issuance!$C:$C,Formulas!D$2)</f>
        <v>0</v>
      </c>
      <c r="E500">
        <f t="shared" si="44"/>
        <v>0</v>
      </c>
      <c r="F500" s="41" t="str">
        <f t="shared" si="41"/>
        <v/>
      </c>
      <c r="I500">
        <f>SUMIFS(Buybacks!H:H,Buybacks!D:D,Formulas!H500)</f>
        <v>0</v>
      </c>
      <c r="J500" s="41" t="str">
        <f t="shared" si="42"/>
        <v/>
      </c>
      <c r="M500">
        <f>SUMIFS('Corporate activity'!$H:$H,'Corporate activity'!$D:$D,Formulas!$L500,'Corporate activity'!$C:$C,Formulas!M$2)</f>
        <v>0</v>
      </c>
      <c r="N500">
        <f>SUMIFS('Corporate activity'!$H:$H,'Corporate activity'!$D:$D,Formulas!$L500,'Corporate activity'!$C:$C,Formulas!N$2)</f>
        <v>0</v>
      </c>
      <c r="O500">
        <f>SUMIFS('Corporate activity'!$H:$H,'Corporate activity'!$D:$D,Formulas!$L500,'Corporate activity'!$C:$C,Formulas!O$2)</f>
        <v>0</v>
      </c>
      <c r="P500">
        <f t="shared" si="45"/>
        <v>0</v>
      </c>
      <c r="Q500" t="str">
        <f t="shared" si="43"/>
        <v/>
      </c>
    </row>
    <row r="501" spans="3:17" x14ac:dyDescent="0.25">
      <c r="C501">
        <f>SUMIFS(Issuance!$H:$H,Issuance!$D:$D,Formulas!$B501,Issuance!$C:$C,Formulas!C$2)</f>
        <v>0</v>
      </c>
      <c r="D501">
        <f>SUMIFS(Issuance!$H:$H,Issuance!$D:$D,Formulas!$B501,Issuance!$C:$C,Formulas!D$2)</f>
        <v>0</v>
      </c>
      <c r="E501">
        <f t="shared" si="44"/>
        <v>0</v>
      </c>
      <c r="F501" s="41" t="str">
        <f t="shared" si="41"/>
        <v/>
      </c>
      <c r="I501">
        <f>SUMIFS(Buybacks!H:H,Buybacks!D:D,Formulas!H501)</f>
        <v>0</v>
      </c>
      <c r="J501" s="41" t="str">
        <f t="shared" si="42"/>
        <v/>
      </c>
      <c r="M501">
        <f>SUMIFS('Corporate activity'!$H:$H,'Corporate activity'!$D:$D,Formulas!$L501,'Corporate activity'!$C:$C,Formulas!M$2)</f>
        <v>0</v>
      </c>
      <c r="N501">
        <f>SUMIFS('Corporate activity'!$H:$H,'Corporate activity'!$D:$D,Formulas!$L501,'Corporate activity'!$C:$C,Formulas!N$2)</f>
        <v>0</v>
      </c>
      <c r="O501">
        <f>SUMIFS('Corporate activity'!$H:$H,'Corporate activity'!$D:$D,Formulas!$L501,'Corporate activity'!$C:$C,Formulas!O$2)</f>
        <v>0</v>
      </c>
      <c r="P501">
        <f t="shared" si="45"/>
        <v>0</v>
      </c>
      <c r="Q501" t="str">
        <f t="shared" si="43"/>
        <v/>
      </c>
    </row>
    <row r="502" spans="3:17" x14ac:dyDescent="0.25">
      <c r="C502">
        <f>SUMIFS(Issuance!$H:$H,Issuance!$D:$D,Formulas!$B502,Issuance!$C:$C,Formulas!C$2)</f>
        <v>0</v>
      </c>
      <c r="D502">
        <f>SUMIFS(Issuance!$H:$H,Issuance!$D:$D,Formulas!$B502,Issuance!$C:$C,Formulas!D$2)</f>
        <v>0</v>
      </c>
      <c r="E502">
        <f t="shared" si="44"/>
        <v>0</v>
      </c>
      <c r="F502" s="41" t="str">
        <f t="shared" si="41"/>
        <v/>
      </c>
      <c r="I502">
        <f>SUMIFS(Buybacks!H:H,Buybacks!D:D,Formulas!H502)</f>
        <v>0</v>
      </c>
      <c r="J502" s="41" t="str">
        <f t="shared" si="42"/>
        <v/>
      </c>
      <c r="M502">
        <f>SUMIFS('Corporate activity'!$H:$H,'Corporate activity'!$D:$D,Formulas!$L502,'Corporate activity'!$C:$C,Formulas!M$2)</f>
        <v>0</v>
      </c>
      <c r="N502">
        <f>SUMIFS('Corporate activity'!$H:$H,'Corporate activity'!$D:$D,Formulas!$L502,'Corporate activity'!$C:$C,Formulas!N$2)</f>
        <v>0</v>
      </c>
      <c r="O502">
        <f>SUMIFS('Corporate activity'!$H:$H,'Corporate activity'!$D:$D,Formulas!$L502,'Corporate activity'!$C:$C,Formulas!O$2)</f>
        <v>0</v>
      </c>
      <c r="P502">
        <f t="shared" si="45"/>
        <v>0</v>
      </c>
      <c r="Q502" t="str">
        <f t="shared" si="43"/>
        <v/>
      </c>
    </row>
    <row r="503" spans="3:17" x14ac:dyDescent="0.25">
      <c r="C503">
        <f>SUMIFS(Issuance!$H:$H,Issuance!$D:$D,Formulas!$B503,Issuance!$C:$C,Formulas!C$2)</f>
        <v>0</v>
      </c>
      <c r="D503">
        <f>SUMIFS(Issuance!$H:$H,Issuance!$D:$D,Formulas!$B503,Issuance!$C:$C,Formulas!D$2)</f>
        <v>0</v>
      </c>
      <c r="E503">
        <f t="shared" si="44"/>
        <v>0</v>
      </c>
      <c r="F503" s="41" t="str">
        <f t="shared" si="41"/>
        <v/>
      </c>
      <c r="I503">
        <f>SUMIFS(Buybacks!H:H,Buybacks!D:D,Formulas!H503)</f>
        <v>0</v>
      </c>
      <c r="J503" s="41" t="str">
        <f t="shared" si="42"/>
        <v/>
      </c>
      <c r="M503">
        <f>SUMIFS('Corporate activity'!$H:$H,'Corporate activity'!$D:$D,Formulas!$L503,'Corporate activity'!$C:$C,Formulas!M$2)</f>
        <v>0</v>
      </c>
      <c r="N503">
        <f>SUMIFS('Corporate activity'!$H:$H,'Corporate activity'!$D:$D,Formulas!$L503,'Corporate activity'!$C:$C,Formulas!N$2)</f>
        <v>0</v>
      </c>
      <c r="O503">
        <f>SUMIFS('Corporate activity'!$H:$H,'Corporate activity'!$D:$D,Formulas!$L503,'Corporate activity'!$C:$C,Formulas!O$2)</f>
        <v>0</v>
      </c>
      <c r="P503">
        <f t="shared" si="45"/>
        <v>0</v>
      </c>
      <c r="Q503" t="str">
        <f t="shared" si="43"/>
        <v/>
      </c>
    </row>
    <row r="504" spans="3:17" x14ac:dyDescent="0.25">
      <c r="C504">
        <f>SUMIFS(Issuance!$H:$H,Issuance!$D:$D,Formulas!$B504,Issuance!$C:$C,Formulas!C$2)</f>
        <v>0</v>
      </c>
      <c r="D504">
        <f>SUMIFS(Issuance!$H:$H,Issuance!$D:$D,Formulas!$B504,Issuance!$C:$C,Formulas!D$2)</f>
        <v>0</v>
      </c>
      <c r="E504">
        <f t="shared" si="44"/>
        <v>0</v>
      </c>
      <c r="F504" s="41" t="str">
        <f t="shared" si="41"/>
        <v/>
      </c>
      <c r="I504">
        <f>SUMIFS(Buybacks!H:H,Buybacks!D:D,Formulas!H504)</f>
        <v>0</v>
      </c>
      <c r="J504" s="41" t="str">
        <f t="shared" si="42"/>
        <v/>
      </c>
      <c r="M504">
        <f>SUMIFS('Corporate activity'!$H:$H,'Corporate activity'!$D:$D,Formulas!$L504,'Corporate activity'!$C:$C,Formulas!M$2)</f>
        <v>0</v>
      </c>
      <c r="N504">
        <f>SUMIFS('Corporate activity'!$H:$H,'Corporate activity'!$D:$D,Formulas!$L504,'Corporate activity'!$C:$C,Formulas!N$2)</f>
        <v>0</v>
      </c>
      <c r="O504">
        <f>SUMIFS('Corporate activity'!$H:$H,'Corporate activity'!$D:$D,Formulas!$L504,'Corporate activity'!$C:$C,Formulas!O$2)</f>
        <v>0</v>
      </c>
      <c r="P504">
        <f t="shared" si="45"/>
        <v>0</v>
      </c>
      <c r="Q504" t="str">
        <f t="shared" si="43"/>
        <v/>
      </c>
    </row>
    <row r="505" spans="3:17" x14ac:dyDescent="0.25">
      <c r="C505">
        <f>SUMIFS(Issuance!$H:$H,Issuance!$D:$D,Formulas!$B505,Issuance!$C:$C,Formulas!C$2)</f>
        <v>0</v>
      </c>
      <c r="D505">
        <f>SUMIFS(Issuance!$H:$H,Issuance!$D:$D,Formulas!$B505,Issuance!$C:$C,Formulas!D$2)</f>
        <v>0</v>
      </c>
      <c r="E505">
        <f t="shared" si="44"/>
        <v>0</v>
      </c>
      <c r="F505" s="41" t="str">
        <f t="shared" si="41"/>
        <v/>
      </c>
      <c r="I505">
        <f>SUMIFS(Buybacks!H:H,Buybacks!D:D,Formulas!H505)</f>
        <v>0</v>
      </c>
      <c r="J505" s="41" t="str">
        <f t="shared" si="42"/>
        <v/>
      </c>
      <c r="M505">
        <f>SUMIFS('Corporate activity'!$H:$H,'Corporate activity'!$D:$D,Formulas!$L505,'Corporate activity'!$C:$C,Formulas!M$2)</f>
        <v>0</v>
      </c>
      <c r="N505">
        <f>SUMIFS('Corporate activity'!$H:$H,'Corporate activity'!$D:$D,Formulas!$L505,'Corporate activity'!$C:$C,Formulas!N$2)</f>
        <v>0</v>
      </c>
      <c r="O505">
        <f>SUMIFS('Corporate activity'!$H:$H,'Corporate activity'!$D:$D,Formulas!$L505,'Corporate activity'!$C:$C,Formulas!O$2)</f>
        <v>0</v>
      </c>
      <c r="P505">
        <f t="shared" si="45"/>
        <v>0</v>
      </c>
      <c r="Q505" t="str">
        <f t="shared" si="43"/>
        <v/>
      </c>
    </row>
    <row r="506" spans="3:17" x14ac:dyDescent="0.25">
      <c r="C506">
        <f>SUMIFS(Issuance!$H:$H,Issuance!$D:$D,Formulas!$B506,Issuance!$C:$C,Formulas!C$2)</f>
        <v>0</v>
      </c>
      <c r="D506">
        <f>SUMIFS(Issuance!$H:$H,Issuance!$D:$D,Formulas!$B506,Issuance!$C:$C,Formulas!D$2)</f>
        <v>0</v>
      </c>
      <c r="E506">
        <f t="shared" si="44"/>
        <v>0</v>
      </c>
      <c r="F506" s="41" t="str">
        <f t="shared" si="41"/>
        <v/>
      </c>
      <c r="I506">
        <f>SUMIFS(Buybacks!H:H,Buybacks!D:D,Formulas!H506)</f>
        <v>0</v>
      </c>
      <c r="J506" s="41" t="str">
        <f t="shared" si="42"/>
        <v/>
      </c>
      <c r="M506">
        <f>SUMIFS('Corporate activity'!$H:$H,'Corporate activity'!$D:$D,Formulas!$L506,'Corporate activity'!$C:$C,Formulas!M$2)</f>
        <v>0</v>
      </c>
      <c r="N506">
        <f>SUMIFS('Corporate activity'!$H:$H,'Corporate activity'!$D:$D,Formulas!$L506,'Corporate activity'!$C:$C,Formulas!N$2)</f>
        <v>0</v>
      </c>
      <c r="O506">
        <f>SUMIFS('Corporate activity'!$H:$H,'Corporate activity'!$D:$D,Formulas!$L506,'Corporate activity'!$C:$C,Formulas!O$2)</f>
        <v>0</v>
      </c>
      <c r="P506">
        <f t="shared" si="45"/>
        <v>0</v>
      </c>
      <c r="Q506" t="str">
        <f t="shared" si="43"/>
        <v/>
      </c>
    </row>
    <row r="507" spans="3:17" x14ac:dyDescent="0.25">
      <c r="C507">
        <f>SUMIFS(Issuance!$H:$H,Issuance!$D:$D,Formulas!$B507,Issuance!$C:$C,Formulas!C$2)</f>
        <v>0</v>
      </c>
      <c r="D507">
        <f>SUMIFS(Issuance!$H:$H,Issuance!$D:$D,Formulas!$B507,Issuance!$C:$C,Formulas!D$2)</f>
        <v>0</v>
      </c>
      <c r="E507">
        <f t="shared" si="44"/>
        <v>0</v>
      </c>
      <c r="F507" s="41" t="str">
        <f t="shared" si="41"/>
        <v/>
      </c>
      <c r="I507">
        <f>SUMIFS(Buybacks!H:H,Buybacks!D:D,Formulas!H507)</f>
        <v>0</v>
      </c>
      <c r="J507" s="41" t="str">
        <f t="shared" si="42"/>
        <v/>
      </c>
      <c r="M507">
        <f>SUMIFS('Corporate activity'!$H:$H,'Corporate activity'!$D:$D,Formulas!$L507,'Corporate activity'!$C:$C,Formulas!M$2)</f>
        <v>0</v>
      </c>
      <c r="N507">
        <f>SUMIFS('Corporate activity'!$H:$H,'Corporate activity'!$D:$D,Formulas!$L507,'Corporate activity'!$C:$C,Formulas!N$2)</f>
        <v>0</v>
      </c>
      <c r="O507">
        <f>SUMIFS('Corporate activity'!$H:$H,'Corporate activity'!$D:$D,Formulas!$L507,'Corporate activity'!$C:$C,Formulas!O$2)</f>
        <v>0</v>
      </c>
      <c r="P507">
        <f t="shared" si="45"/>
        <v>0</v>
      </c>
      <c r="Q507" t="str">
        <f t="shared" si="43"/>
        <v/>
      </c>
    </row>
    <row r="508" spans="3:17" x14ac:dyDescent="0.25">
      <c r="C508">
        <f>SUMIFS(Issuance!$H:$H,Issuance!$D:$D,Formulas!$B508,Issuance!$C:$C,Formulas!C$2)</f>
        <v>0</v>
      </c>
      <c r="D508">
        <f>SUMIFS(Issuance!$H:$H,Issuance!$D:$D,Formulas!$B508,Issuance!$C:$C,Formulas!D$2)</f>
        <v>0</v>
      </c>
      <c r="E508">
        <f t="shared" si="44"/>
        <v>0</v>
      </c>
      <c r="F508" s="41" t="str">
        <f t="shared" si="41"/>
        <v/>
      </c>
      <c r="I508">
        <f>SUMIFS(Buybacks!H:H,Buybacks!D:D,Formulas!H508)</f>
        <v>0</v>
      </c>
      <c r="J508" s="41" t="str">
        <f t="shared" si="42"/>
        <v/>
      </c>
      <c r="M508">
        <f>SUMIFS('Corporate activity'!$H:$H,'Corporate activity'!$D:$D,Formulas!$L508,'Corporate activity'!$C:$C,Formulas!M$2)</f>
        <v>0</v>
      </c>
      <c r="N508">
        <f>SUMIFS('Corporate activity'!$H:$H,'Corporate activity'!$D:$D,Formulas!$L508,'Corporate activity'!$C:$C,Formulas!N$2)</f>
        <v>0</v>
      </c>
      <c r="O508">
        <f>SUMIFS('Corporate activity'!$H:$H,'Corporate activity'!$D:$D,Formulas!$L508,'Corporate activity'!$C:$C,Formulas!O$2)</f>
        <v>0</v>
      </c>
      <c r="P508">
        <f t="shared" si="45"/>
        <v>0</v>
      </c>
      <c r="Q508" t="str">
        <f t="shared" si="43"/>
        <v/>
      </c>
    </row>
    <row r="509" spans="3:17" x14ac:dyDescent="0.25">
      <c r="C509">
        <f>SUMIFS(Issuance!$H:$H,Issuance!$D:$D,Formulas!$B509,Issuance!$C:$C,Formulas!C$2)</f>
        <v>0</v>
      </c>
      <c r="D509">
        <f>SUMIFS(Issuance!$H:$H,Issuance!$D:$D,Formulas!$B509,Issuance!$C:$C,Formulas!D$2)</f>
        <v>0</v>
      </c>
      <c r="E509">
        <f t="shared" si="44"/>
        <v>0</v>
      </c>
      <c r="F509" s="41" t="str">
        <f t="shared" si="41"/>
        <v/>
      </c>
      <c r="I509">
        <f>SUMIFS(Buybacks!H:H,Buybacks!D:D,Formulas!H509)</f>
        <v>0</v>
      </c>
      <c r="J509" s="41" t="str">
        <f t="shared" si="42"/>
        <v/>
      </c>
      <c r="M509">
        <f>SUMIFS('Corporate activity'!$H:$H,'Corporate activity'!$D:$D,Formulas!$L509,'Corporate activity'!$C:$C,Formulas!M$2)</f>
        <v>0</v>
      </c>
      <c r="N509">
        <f>SUMIFS('Corporate activity'!$H:$H,'Corporate activity'!$D:$D,Formulas!$L509,'Corporate activity'!$C:$C,Formulas!N$2)</f>
        <v>0</v>
      </c>
      <c r="O509">
        <f>SUMIFS('Corporate activity'!$H:$H,'Corporate activity'!$D:$D,Formulas!$L509,'Corporate activity'!$C:$C,Formulas!O$2)</f>
        <v>0</v>
      </c>
      <c r="P509">
        <f t="shared" si="45"/>
        <v>0</v>
      </c>
      <c r="Q509" t="str">
        <f t="shared" si="43"/>
        <v/>
      </c>
    </row>
    <row r="510" spans="3:17" x14ac:dyDescent="0.25">
      <c r="C510">
        <f>SUMIFS(Issuance!$H:$H,Issuance!$D:$D,Formulas!$B510,Issuance!$C:$C,Formulas!C$2)</f>
        <v>0</v>
      </c>
      <c r="D510">
        <f>SUMIFS(Issuance!$H:$H,Issuance!$D:$D,Formulas!$B510,Issuance!$C:$C,Formulas!D$2)</f>
        <v>0</v>
      </c>
      <c r="E510">
        <f t="shared" si="44"/>
        <v>0</v>
      </c>
      <c r="F510" s="41" t="str">
        <f t="shared" si="41"/>
        <v/>
      </c>
      <c r="I510">
        <f>SUMIFS(Buybacks!H:H,Buybacks!D:D,Formulas!H510)</f>
        <v>0</v>
      </c>
      <c r="J510" s="41" t="str">
        <f t="shared" si="42"/>
        <v/>
      </c>
      <c r="M510">
        <f>SUMIFS('Corporate activity'!$H:$H,'Corporate activity'!$D:$D,Formulas!$L510,'Corporate activity'!$C:$C,Formulas!M$2)</f>
        <v>0</v>
      </c>
      <c r="N510">
        <f>SUMIFS('Corporate activity'!$H:$H,'Corporate activity'!$D:$D,Formulas!$L510,'Corporate activity'!$C:$C,Formulas!N$2)</f>
        <v>0</v>
      </c>
      <c r="O510">
        <f>SUMIFS('Corporate activity'!$H:$H,'Corporate activity'!$D:$D,Formulas!$L510,'Corporate activity'!$C:$C,Formulas!O$2)</f>
        <v>0</v>
      </c>
      <c r="P510">
        <f t="shared" si="45"/>
        <v>0</v>
      </c>
      <c r="Q510" t="str">
        <f t="shared" si="43"/>
        <v/>
      </c>
    </row>
    <row r="511" spans="3:17" x14ac:dyDescent="0.25">
      <c r="C511">
        <f>SUMIFS(Issuance!$H:$H,Issuance!$D:$D,Formulas!$B511,Issuance!$C:$C,Formulas!C$2)</f>
        <v>0</v>
      </c>
      <c r="D511">
        <f>SUMIFS(Issuance!$H:$H,Issuance!$D:$D,Formulas!$B511,Issuance!$C:$C,Formulas!D$2)</f>
        <v>0</v>
      </c>
      <c r="E511">
        <f t="shared" si="44"/>
        <v>0</v>
      </c>
      <c r="F511" s="41" t="str">
        <f t="shared" si="41"/>
        <v/>
      </c>
      <c r="I511">
        <f>SUMIFS(Buybacks!H:H,Buybacks!D:D,Formulas!H511)</f>
        <v>0</v>
      </c>
      <c r="J511" s="41" t="str">
        <f t="shared" si="42"/>
        <v/>
      </c>
      <c r="M511">
        <f>SUMIFS('Corporate activity'!$H:$H,'Corporate activity'!$D:$D,Formulas!$L511,'Corporate activity'!$C:$C,Formulas!M$2)</f>
        <v>0</v>
      </c>
      <c r="N511">
        <f>SUMIFS('Corporate activity'!$H:$H,'Corporate activity'!$D:$D,Formulas!$L511,'Corporate activity'!$C:$C,Formulas!N$2)</f>
        <v>0</v>
      </c>
      <c r="O511">
        <f>SUMIFS('Corporate activity'!$H:$H,'Corporate activity'!$D:$D,Formulas!$L511,'Corporate activity'!$C:$C,Formulas!O$2)</f>
        <v>0</v>
      </c>
      <c r="P511">
        <f t="shared" si="45"/>
        <v>0</v>
      </c>
      <c r="Q511" t="str">
        <f t="shared" si="43"/>
        <v/>
      </c>
    </row>
    <row r="512" spans="3:17" x14ac:dyDescent="0.25">
      <c r="C512">
        <f>SUMIFS(Issuance!$H:$H,Issuance!$D:$D,Formulas!$B512,Issuance!$C:$C,Formulas!C$2)</f>
        <v>0</v>
      </c>
      <c r="D512">
        <f>SUMIFS(Issuance!$H:$H,Issuance!$D:$D,Formulas!$B512,Issuance!$C:$C,Formulas!D$2)</f>
        <v>0</v>
      </c>
      <c r="E512">
        <f t="shared" si="44"/>
        <v>0</v>
      </c>
      <c r="F512" s="41" t="str">
        <f t="shared" si="41"/>
        <v/>
      </c>
      <c r="I512">
        <f>SUMIFS(Buybacks!H:H,Buybacks!D:D,Formulas!H512)</f>
        <v>0</v>
      </c>
      <c r="J512" s="41" t="str">
        <f t="shared" si="42"/>
        <v/>
      </c>
      <c r="M512">
        <f>SUMIFS('Corporate activity'!$H:$H,'Corporate activity'!$D:$D,Formulas!$L512,'Corporate activity'!$C:$C,Formulas!M$2)</f>
        <v>0</v>
      </c>
      <c r="N512">
        <f>SUMIFS('Corporate activity'!$H:$H,'Corporate activity'!$D:$D,Formulas!$L512,'Corporate activity'!$C:$C,Formulas!N$2)</f>
        <v>0</v>
      </c>
      <c r="O512">
        <f>SUMIFS('Corporate activity'!$H:$H,'Corporate activity'!$D:$D,Formulas!$L512,'Corporate activity'!$C:$C,Formulas!O$2)</f>
        <v>0</v>
      </c>
      <c r="P512">
        <f t="shared" si="45"/>
        <v>0</v>
      </c>
      <c r="Q512" t="str">
        <f t="shared" si="43"/>
        <v/>
      </c>
    </row>
    <row r="513" spans="3:17" x14ac:dyDescent="0.25">
      <c r="C513">
        <f>SUMIFS(Issuance!$H:$H,Issuance!$D:$D,Formulas!$B513,Issuance!$C:$C,Formulas!C$2)</f>
        <v>0</v>
      </c>
      <c r="D513">
        <f>SUMIFS(Issuance!$H:$H,Issuance!$D:$D,Formulas!$B513,Issuance!$C:$C,Formulas!D$2)</f>
        <v>0</v>
      </c>
      <c r="E513">
        <f t="shared" si="44"/>
        <v>0</v>
      </c>
      <c r="F513" s="41" t="str">
        <f t="shared" si="41"/>
        <v/>
      </c>
      <c r="I513">
        <f>SUMIFS(Buybacks!H:H,Buybacks!D:D,Formulas!H513)</f>
        <v>0</v>
      </c>
      <c r="J513" s="41" t="str">
        <f t="shared" si="42"/>
        <v/>
      </c>
      <c r="M513">
        <f>SUMIFS('Corporate activity'!$H:$H,'Corporate activity'!$D:$D,Formulas!$L513,'Corporate activity'!$C:$C,Formulas!M$2)</f>
        <v>0</v>
      </c>
      <c r="N513">
        <f>SUMIFS('Corporate activity'!$H:$H,'Corporate activity'!$D:$D,Formulas!$L513,'Corporate activity'!$C:$C,Formulas!N$2)</f>
        <v>0</v>
      </c>
      <c r="O513">
        <f>SUMIFS('Corporate activity'!$H:$H,'Corporate activity'!$D:$D,Formulas!$L513,'Corporate activity'!$C:$C,Formulas!O$2)</f>
        <v>0</v>
      </c>
      <c r="P513">
        <f t="shared" si="45"/>
        <v>0</v>
      </c>
      <c r="Q513" t="str">
        <f t="shared" si="43"/>
        <v/>
      </c>
    </row>
    <row r="514" spans="3:17" x14ac:dyDescent="0.25">
      <c r="C514">
        <f>SUMIFS(Issuance!$H:$H,Issuance!$D:$D,Formulas!$B514,Issuance!$C:$C,Formulas!C$2)</f>
        <v>0</v>
      </c>
      <c r="D514">
        <f>SUMIFS(Issuance!$H:$H,Issuance!$D:$D,Formulas!$B514,Issuance!$C:$C,Formulas!D$2)</f>
        <v>0</v>
      </c>
      <c r="E514">
        <f t="shared" si="44"/>
        <v>0</v>
      </c>
      <c r="F514" s="41" t="str">
        <f t="shared" si="41"/>
        <v/>
      </c>
      <c r="I514">
        <f>SUMIFS(Buybacks!H:H,Buybacks!D:D,Formulas!H514)</f>
        <v>0</v>
      </c>
      <c r="J514" s="41" t="str">
        <f t="shared" si="42"/>
        <v/>
      </c>
      <c r="M514">
        <f>SUMIFS('Corporate activity'!$H:$H,'Corporate activity'!$D:$D,Formulas!$L514,'Corporate activity'!$C:$C,Formulas!M$2)</f>
        <v>0</v>
      </c>
      <c r="N514">
        <f>SUMIFS('Corporate activity'!$H:$H,'Corporate activity'!$D:$D,Formulas!$L514,'Corporate activity'!$C:$C,Formulas!N$2)</f>
        <v>0</v>
      </c>
      <c r="O514">
        <f>SUMIFS('Corporate activity'!$H:$H,'Corporate activity'!$D:$D,Formulas!$L514,'Corporate activity'!$C:$C,Formulas!O$2)</f>
        <v>0</v>
      </c>
      <c r="P514">
        <f t="shared" si="45"/>
        <v>0</v>
      </c>
      <c r="Q514" t="str">
        <f t="shared" si="43"/>
        <v/>
      </c>
    </row>
    <row r="515" spans="3:17" x14ac:dyDescent="0.25">
      <c r="C515">
        <f>SUMIFS(Issuance!$H:$H,Issuance!$D:$D,Formulas!$B515,Issuance!$C:$C,Formulas!C$2)</f>
        <v>0</v>
      </c>
      <c r="D515">
        <f>SUMIFS(Issuance!$H:$H,Issuance!$D:$D,Formulas!$B515,Issuance!$C:$C,Formulas!D$2)</f>
        <v>0</v>
      </c>
      <c r="E515">
        <f t="shared" si="44"/>
        <v>0</v>
      </c>
      <c r="F515" s="41" t="str">
        <f t="shared" si="41"/>
        <v/>
      </c>
      <c r="I515">
        <f>SUMIFS(Buybacks!H:H,Buybacks!D:D,Formulas!H515)</f>
        <v>0</v>
      </c>
      <c r="J515" s="41" t="str">
        <f t="shared" si="42"/>
        <v/>
      </c>
      <c r="M515">
        <f>SUMIFS('Corporate activity'!$H:$H,'Corporate activity'!$D:$D,Formulas!$L515,'Corporate activity'!$C:$C,Formulas!M$2)</f>
        <v>0</v>
      </c>
      <c r="N515">
        <f>SUMIFS('Corporate activity'!$H:$H,'Corporate activity'!$D:$D,Formulas!$L515,'Corporate activity'!$C:$C,Formulas!N$2)</f>
        <v>0</v>
      </c>
      <c r="O515">
        <f>SUMIFS('Corporate activity'!$H:$H,'Corporate activity'!$D:$D,Formulas!$L515,'Corporate activity'!$C:$C,Formulas!O$2)</f>
        <v>0</v>
      </c>
      <c r="P515">
        <f t="shared" si="45"/>
        <v>0</v>
      </c>
      <c r="Q515" t="str">
        <f t="shared" si="43"/>
        <v/>
      </c>
    </row>
    <row r="516" spans="3:17" x14ac:dyDescent="0.25">
      <c r="C516">
        <f>SUMIFS(Issuance!$H:$H,Issuance!$D:$D,Formulas!$B516,Issuance!$C:$C,Formulas!C$2)</f>
        <v>0</v>
      </c>
      <c r="D516">
        <f>SUMIFS(Issuance!$H:$H,Issuance!$D:$D,Formulas!$B516,Issuance!$C:$C,Formulas!D$2)</f>
        <v>0</v>
      </c>
      <c r="E516">
        <f t="shared" si="44"/>
        <v>0</v>
      </c>
      <c r="F516" s="41" t="str">
        <f t="shared" ref="F516:F579" si="46">IF(OR(B516="",B516=0,E516=0),"",IF(COUNTIFS($E$3:$E$500,"&gt;"&amp;E516,$E$3:$E$500,"&lt;&gt;0")+1&lt;=20,COUNTIFS($E$3:$E$500,"&gt;"&amp;E516,$E$3:$E$500,"&lt;&gt;0")+1,""))</f>
        <v/>
      </c>
      <c r="I516">
        <f>SUMIFS(Buybacks!H:H,Buybacks!D:D,Formulas!H516)</f>
        <v>0</v>
      </c>
      <c r="J516" s="41" t="str">
        <f t="shared" ref="J516:J579" si="47">IF(OR(H516="",H516=0,I516=0),"",IF(COUNTIFS($I$3:$I$500,"&lt;"&amp;I516,$I$3:$I$500,"&lt;&gt;0")+1&lt;=20,COUNTIFS($I$3:$I$500,"&lt;"&amp;I516,$I$3:$I$500,"&lt;&gt;0")+1,""))</f>
        <v/>
      </c>
      <c r="M516">
        <f>SUMIFS('Corporate activity'!$H:$H,'Corporate activity'!$D:$D,Formulas!$L516,'Corporate activity'!$C:$C,Formulas!M$2)</f>
        <v>0</v>
      </c>
      <c r="N516">
        <f>SUMIFS('Corporate activity'!$H:$H,'Corporate activity'!$D:$D,Formulas!$L516,'Corporate activity'!$C:$C,Formulas!N$2)</f>
        <v>0</v>
      </c>
      <c r="O516">
        <f>SUMIFS('Corporate activity'!$H:$H,'Corporate activity'!$D:$D,Formulas!$L516,'Corporate activity'!$C:$C,Formulas!O$2)</f>
        <v>0</v>
      </c>
      <c r="P516">
        <f t="shared" si="45"/>
        <v>0</v>
      </c>
      <c r="Q516" t="str">
        <f t="shared" si="43"/>
        <v/>
      </c>
    </row>
    <row r="517" spans="3:17" x14ac:dyDescent="0.25">
      <c r="C517">
        <f>SUMIFS(Issuance!$H:$H,Issuance!$D:$D,Formulas!$B517,Issuance!$C:$C,Formulas!C$2)</f>
        <v>0</v>
      </c>
      <c r="D517">
        <f>SUMIFS(Issuance!$H:$H,Issuance!$D:$D,Formulas!$B517,Issuance!$C:$C,Formulas!D$2)</f>
        <v>0</v>
      </c>
      <c r="E517">
        <f t="shared" si="44"/>
        <v>0</v>
      </c>
      <c r="F517" s="41" t="str">
        <f t="shared" si="46"/>
        <v/>
      </c>
      <c r="I517">
        <f>SUMIFS(Buybacks!H:H,Buybacks!D:D,Formulas!H517)</f>
        <v>0</v>
      </c>
      <c r="J517" s="41" t="str">
        <f t="shared" si="47"/>
        <v/>
      </c>
      <c r="M517">
        <f>SUMIFS('Corporate activity'!$H:$H,'Corporate activity'!$D:$D,Formulas!$L517,'Corporate activity'!$C:$C,Formulas!M$2)</f>
        <v>0</v>
      </c>
      <c r="N517">
        <f>SUMIFS('Corporate activity'!$H:$H,'Corporate activity'!$D:$D,Formulas!$L517,'Corporate activity'!$C:$C,Formulas!N$2)</f>
        <v>0</v>
      </c>
      <c r="O517">
        <f>SUMIFS('Corporate activity'!$H:$H,'Corporate activity'!$D:$D,Formulas!$L517,'Corporate activity'!$C:$C,Formulas!O$2)</f>
        <v>0</v>
      </c>
      <c r="P517">
        <f t="shared" si="45"/>
        <v>0</v>
      </c>
      <c r="Q517" t="str">
        <f t="shared" si="43"/>
        <v/>
      </c>
    </row>
    <row r="518" spans="3:17" x14ac:dyDescent="0.25">
      <c r="C518">
        <f>SUMIFS(Issuance!$H:$H,Issuance!$D:$D,Formulas!$B518,Issuance!$C:$C,Formulas!C$2)</f>
        <v>0</v>
      </c>
      <c r="D518">
        <f>SUMIFS(Issuance!$H:$H,Issuance!$D:$D,Formulas!$B518,Issuance!$C:$C,Formulas!D$2)</f>
        <v>0</v>
      </c>
      <c r="E518">
        <f t="shared" si="44"/>
        <v>0</v>
      </c>
      <c r="F518" s="41" t="str">
        <f t="shared" si="46"/>
        <v/>
      </c>
      <c r="I518">
        <f>SUMIFS(Buybacks!H:H,Buybacks!D:D,Formulas!H518)</f>
        <v>0</v>
      </c>
      <c r="J518" s="41" t="str">
        <f t="shared" si="47"/>
        <v/>
      </c>
      <c r="M518">
        <f>SUMIFS('Corporate activity'!$H:$H,'Corporate activity'!$D:$D,Formulas!$L518,'Corporate activity'!$C:$C,Formulas!M$2)</f>
        <v>0</v>
      </c>
      <c r="N518">
        <f>SUMIFS('Corporate activity'!$H:$H,'Corporate activity'!$D:$D,Formulas!$L518,'Corporate activity'!$C:$C,Formulas!N$2)</f>
        <v>0</v>
      </c>
      <c r="O518">
        <f>SUMIFS('Corporate activity'!$H:$H,'Corporate activity'!$D:$D,Formulas!$L518,'Corporate activity'!$C:$C,Formulas!O$2)</f>
        <v>0</v>
      </c>
      <c r="P518">
        <f t="shared" si="45"/>
        <v>0</v>
      </c>
      <c r="Q518" t="str">
        <f t="shared" si="43"/>
        <v/>
      </c>
    </row>
    <row r="519" spans="3:17" x14ac:dyDescent="0.25">
      <c r="C519">
        <f>SUMIFS(Issuance!$H:$H,Issuance!$D:$D,Formulas!$B519,Issuance!$C:$C,Formulas!C$2)</f>
        <v>0</v>
      </c>
      <c r="D519">
        <f>SUMIFS(Issuance!$H:$H,Issuance!$D:$D,Formulas!$B519,Issuance!$C:$C,Formulas!D$2)</f>
        <v>0</v>
      </c>
      <c r="E519">
        <f t="shared" si="44"/>
        <v>0</v>
      </c>
      <c r="F519" s="41" t="str">
        <f t="shared" si="46"/>
        <v/>
      </c>
      <c r="I519">
        <f>SUMIFS(Buybacks!H:H,Buybacks!D:D,Formulas!H519)</f>
        <v>0</v>
      </c>
      <c r="J519" s="41" t="str">
        <f t="shared" si="47"/>
        <v/>
      </c>
      <c r="M519">
        <f>SUMIFS('Corporate activity'!$H:$H,'Corporate activity'!$D:$D,Formulas!$L519,'Corporate activity'!$C:$C,Formulas!M$2)</f>
        <v>0</v>
      </c>
      <c r="N519">
        <f>SUMIFS('Corporate activity'!$H:$H,'Corporate activity'!$D:$D,Formulas!$L519,'Corporate activity'!$C:$C,Formulas!N$2)</f>
        <v>0</v>
      </c>
      <c r="O519">
        <f>SUMIFS('Corporate activity'!$H:$H,'Corporate activity'!$D:$D,Formulas!$L519,'Corporate activity'!$C:$C,Formulas!O$2)</f>
        <v>0</v>
      </c>
      <c r="P519">
        <f t="shared" si="45"/>
        <v>0</v>
      </c>
      <c r="Q519" t="str">
        <f t="shared" si="43"/>
        <v/>
      </c>
    </row>
    <row r="520" spans="3:17" x14ac:dyDescent="0.25">
      <c r="C520">
        <f>SUMIFS(Issuance!$H:$H,Issuance!$D:$D,Formulas!$B520,Issuance!$C:$C,Formulas!C$2)</f>
        <v>0</v>
      </c>
      <c r="D520">
        <f>SUMIFS(Issuance!$H:$H,Issuance!$D:$D,Formulas!$B520,Issuance!$C:$C,Formulas!D$2)</f>
        <v>0</v>
      </c>
      <c r="E520">
        <f t="shared" si="44"/>
        <v>0</v>
      </c>
      <c r="F520" s="41" t="str">
        <f t="shared" si="46"/>
        <v/>
      </c>
      <c r="I520">
        <f>SUMIFS(Buybacks!H:H,Buybacks!D:D,Formulas!H520)</f>
        <v>0</v>
      </c>
      <c r="J520" s="41" t="str">
        <f t="shared" si="47"/>
        <v/>
      </c>
      <c r="M520">
        <f>SUMIFS('Corporate activity'!$H:$H,'Corporate activity'!$D:$D,Formulas!$L520,'Corporate activity'!$C:$C,Formulas!M$2)</f>
        <v>0</v>
      </c>
      <c r="N520">
        <f>SUMIFS('Corporate activity'!$H:$H,'Corporate activity'!$D:$D,Formulas!$L520,'Corporate activity'!$C:$C,Formulas!N$2)</f>
        <v>0</v>
      </c>
      <c r="O520">
        <f>SUMIFS('Corporate activity'!$H:$H,'Corporate activity'!$D:$D,Formulas!$L520,'Corporate activity'!$C:$C,Formulas!O$2)</f>
        <v>0</v>
      </c>
      <c r="P520">
        <f t="shared" si="45"/>
        <v>0</v>
      </c>
      <c r="Q520" t="str">
        <f t="shared" si="43"/>
        <v/>
      </c>
    </row>
    <row r="521" spans="3:17" x14ac:dyDescent="0.25">
      <c r="C521">
        <f>SUMIFS(Issuance!$H:$H,Issuance!$D:$D,Formulas!$B521,Issuance!$C:$C,Formulas!C$2)</f>
        <v>0</v>
      </c>
      <c r="D521">
        <f>SUMIFS(Issuance!$H:$H,Issuance!$D:$D,Formulas!$B521,Issuance!$C:$C,Formulas!D$2)</f>
        <v>0</v>
      </c>
      <c r="E521">
        <f t="shared" si="44"/>
        <v>0</v>
      </c>
      <c r="F521" s="41" t="str">
        <f t="shared" si="46"/>
        <v/>
      </c>
      <c r="I521">
        <f>SUMIFS(Buybacks!H:H,Buybacks!D:D,Formulas!H521)</f>
        <v>0</v>
      </c>
      <c r="J521" s="41" t="str">
        <f t="shared" si="47"/>
        <v/>
      </c>
      <c r="M521">
        <f>SUMIFS('Corporate activity'!$H:$H,'Corporate activity'!$D:$D,Formulas!$L521,'Corporate activity'!$C:$C,Formulas!M$2)</f>
        <v>0</v>
      </c>
      <c r="N521">
        <f>SUMIFS('Corporate activity'!$H:$H,'Corporate activity'!$D:$D,Formulas!$L521,'Corporate activity'!$C:$C,Formulas!N$2)</f>
        <v>0</v>
      </c>
      <c r="O521">
        <f>SUMIFS('Corporate activity'!$H:$H,'Corporate activity'!$D:$D,Formulas!$L521,'Corporate activity'!$C:$C,Formulas!O$2)</f>
        <v>0</v>
      </c>
      <c r="P521">
        <f t="shared" si="45"/>
        <v>0</v>
      </c>
      <c r="Q521" t="str">
        <f t="shared" si="43"/>
        <v/>
      </c>
    </row>
    <row r="522" spans="3:17" x14ac:dyDescent="0.25">
      <c r="C522">
        <f>SUMIFS(Issuance!$H:$H,Issuance!$D:$D,Formulas!$B522,Issuance!$C:$C,Formulas!C$2)</f>
        <v>0</v>
      </c>
      <c r="D522">
        <f>SUMIFS(Issuance!$H:$H,Issuance!$D:$D,Formulas!$B522,Issuance!$C:$C,Formulas!D$2)</f>
        <v>0</v>
      </c>
      <c r="E522">
        <f t="shared" si="44"/>
        <v>0</v>
      </c>
      <c r="F522" s="41" t="str">
        <f t="shared" si="46"/>
        <v/>
      </c>
      <c r="I522">
        <f>SUMIFS(Buybacks!H:H,Buybacks!D:D,Formulas!H522)</f>
        <v>0</v>
      </c>
      <c r="J522" s="41" t="str">
        <f t="shared" si="47"/>
        <v/>
      </c>
      <c r="M522">
        <f>SUMIFS('Corporate activity'!$H:$H,'Corporate activity'!$D:$D,Formulas!$L522,'Corporate activity'!$C:$C,Formulas!M$2)</f>
        <v>0</v>
      </c>
      <c r="N522">
        <f>SUMIFS('Corporate activity'!$H:$H,'Corporate activity'!$D:$D,Formulas!$L522,'Corporate activity'!$C:$C,Formulas!N$2)</f>
        <v>0</v>
      </c>
      <c r="O522">
        <f>SUMIFS('Corporate activity'!$H:$H,'Corporate activity'!$D:$D,Formulas!$L522,'Corporate activity'!$C:$C,Formulas!O$2)</f>
        <v>0</v>
      </c>
      <c r="P522">
        <f t="shared" si="45"/>
        <v>0</v>
      </c>
      <c r="Q522" t="str">
        <f t="shared" si="43"/>
        <v/>
      </c>
    </row>
    <row r="523" spans="3:17" x14ac:dyDescent="0.25">
      <c r="C523">
        <f>SUMIFS(Issuance!$H:$H,Issuance!$D:$D,Formulas!$B523,Issuance!$C:$C,Formulas!C$2)</f>
        <v>0</v>
      </c>
      <c r="D523">
        <f>SUMIFS(Issuance!$H:$H,Issuance!$D:$D,Formulas!$B523,Issuance!$C:$C,Formulas!D$2)</f>
        <v>0</v>
      </c>
      <c r="E523">
        <f t="shared" si="44"/>
        <v>0</v>
      </c>
      <c r="F523" s="41" t="str">
        <f t="shared" si="46"/>
        <v/>
      </c>
      <c r="I523">
        <f>SUMIFS(Buybacks!H:H,Buybacks!D:D,Formulas!H523)</f>
        <v>0</v>
      </c>
      <c r="J523" s="41" t="str">
        <f t="shared" si="47"/>
        <v/>
      </c>
      <c r="M523">
        <f>SUMIFS('Corporate activity'!$H:$H,'Corporate activity'!$D:$D,Formulas!$L523,'Corporate activity'!$C:$C,Formulas!M$2)</f>
        <v>0</v>
      </c>
      <c r="N523">
        <f>SUMIFS('Corporate activity'!$H:$H,'Corporate activity'!$D:$D,Formulas!$L523,'Corporate activity'!$C:$C,Formulas!N$2)</f>
        <v>0</v>
      </c>
      <c r="O523">
        <f>SUMIFS('Corporate activity'!$H:$H,'Corporate activity'!$D:$D,Formulas!$L523,'Corporate activity'!$C:$C,Formulas!O$2)</f>
        <v>0</v>
      </c>
      <c r="P523">
        <f t="shared" si="45"/>
        <v>0</v>
      </c>
      <c r="Q523" t="str">
        <f t="shared" si="43"/>
        <v/>
      </c>
    </row>
    <row r="524" spans="3:17" x14ac:dyDescent="0.25">
      <c r="C524">
        <f>SUMIFS(Issuance!$H:$H,Issuance!$D:$D,Formulas!$B524,Issuance!$C:$C,Formulas!C$2)</f>
        <v>0</v>
      </c>
      <c r="D524">
        <f>SUMIFS(Issuance!$H:$H,Issuance!$D:$D,Formulas!$B524,Issuance!$C:$C,Formulas!D$2)</f>
        <v>0</v>
      </c>
      <c r="E524">
        <f t="shared" si="44"/>
        <v>0</v>
      </c>
      <c r="F524" s="41" t="str">
        <f t="shared" si="46"/>
        <v/>
      </c>
      <c r="I524">
        <f>SUMIFS(Buybacks!H:H,Buybacks!D:D,Formulas!H524)</f>
        <v>0</v>
      </c>
      <c r="J524" s="41" t="str">
        <f t="shared" si="47"/>
        <v/>
      </c>
      <c r="M524">
        <f>SUMIFS('Corporate activity'!$H:$H,'Corporate activity'!$D:$D,Formulas!$L524,'Corporate activity'!$C:$C,Formulas!M$2)</f>
        <v>0</v>
      </c>
      <c r="N524">
        <f>SUMIFS('Corporate activity'!$H:$H,'Corporate activity'!$D:$D,Formulas!$L524,'Corporate activity'!$C:$C,Formulas!N$2)</f>
        <v>0</v>
      </c>
      <c r="O524">
        <f>SUMIFS('Corporate activity'!$H:$H,'Corporate activity'!$D:$D,Formulas!$L524,'Corporate activity'!$C:$C,Formulas!O$2)</f>
        <v>0</v>
      </c>
      <c r="P524">
        <f t="shared" si="45"/>
        <v>0</v>
      </c>
      <c r="Q524" t="str">
        <f t="shared" si="43"/>
        <v/>
      </c>
    </row>
    <row r="525" spans="3:17" x14ac:dyDescent="0.25">
      <c r="C525">
        <f>SUMIFS(Issuance!$H:$H,Issuance!$D:$D,Formulas!$B525,Issuance!$C:$C,Formulas!C$2)</f>
        <v>0</v>
      </c>
      <c r="D525">
        <f>SUMIFS(Issuance!$H:$H,Issuance!$D:$D,Formulas!$B525,Issuance!$C:$C,Formulas!D$2)</f>
        <v>0</v>
      </c>
      <c r="E525">
        <f t="shared" si="44"/>
        <v>0</v>
      </c>
      <c r="F525" s="41" t="str">
        <f t="shared" si="46"/>
        <v/>
      </c>
      <c r="I525">
        <f>SUMIFS(Buybacks!H:H,Buybacks!D:D,Formulas!H525)</f>
        <v>0</v>
      </c>
      <c r="J525" s="41" t="str">
        <f t="shared" si="47"/>
        <v/>
      </c>
      <c r="M525">
        <f>SUMIFS('Corporate activity'!$H:$H,'Corporate activity'!$D:$D,Formulas!$L525,'Corporate activity'!$C:$C,Formulas!M$2)</f>
        <v>0</v>
      </c>
      <c r="N525">
        <f>SUMIFS('Corporate activity'!$H:$H,'Corporate activity'!$D:$D,Formulas!$L525,'Corporate activity'!$C:$C,Formulas!N$2)</f>
        <v>0</v>
      </c>
      <c r="O525">
        <f>SUMIFS('Corporate activity'!$H:$H,'Corporate activity'!$D:$D,Formulas!$L525,'Corporate activity'!$C:$C,Formulas!O$2)</f>
        <v>0</v>
      </c>
      <c r="P525">
        <f t="shared" si="45"/>
        <v>0</v>
      </c>
      <c r="Q525" t="str">
        <f t="shared" si="43"/>
        <v/>
      </c>
    </row>
    <row r="526" spans="3:17" x14ac:dyDescent="0.25">
      <c r="C526">
        <f>SUMIFS(Issuance!$H:$H,Issuance!$D:$D,Formulas!$B526,Issuance!$C:$C,Formulas!C$2)</f>
        <v>0</v>
      </c>
      <c r="D526">
        <f>SUMIFS(Issuance!$H:$H,Issuance!$D:$D,Formulas!$B526,Issuance!$C:$C,Formulas!D$2)</f>
        <v>0</v>
      </c>
      <c r="E526">
        <f t="shared" si="44"/>
        <v>0</v>
      </c>
      <c r="F526" s="41" t="str">
        <f t="shared" si="46"/>
        <v/>
      </c>
      <c r="I526">
        <f>SUMIFS(Buybacks!H:H,Buybacks!D:D,Formulas!H526)</f>
        <v>0</v>
      </c>
      <c r="J526" s="41" t="str">
        <f t="shared" si="47"/>
        <v/>
      </c>
      <c r="M526">
        <f>SUMIFS('Corporate activity'!$H:$H,'Corporate activity'!$D:$D,Formulas!$L526,'Corporate activity'!$C:$C,Formulas!M$2)</f>
        <v>0</v>
      </c>
      <c r="N526">
        <f>SUMIFS('Corporate activity'!$H:$H,'Corporate activity'!$D:$D,Formulas!$L526,'Corporate activity'!$C:$C,Formulas!N$2)</f>
        <v>0</v>
      </c>
      <c r="O526">
        <f>SUMIFS('Corporate activity'!$H:$H,'Corporate activity'!$D:$D,Formulas!$L526,'Corporate activity'!$C:$C,Formulas!O$2)</f>
        <v>0</v>
      </c>
      <c r="P526">
        <f t="shared" si="45"/>
        <v>0</v>
      </c>
      <c r="Q526" t="str">
        <f t="shared" si="43"/>
        <v/>
      </c>
    </row>
    <row r="527" spans="3:17" x14ac:dyDescent="0.25">
      <c r="C527">
        <f>SUMIFS(Issuance!$H:$H,Issuance!$D:$D,Formulas!$B527,Issuance!$C:$C,Formulas!C$2)</f>
        <v>0</v>
      </c>
      <c r="D527">
        <f>SUMIFS(Issuance!$H:$H,Issuance!$D:$D,Formulas!$B527,Issuance!$C:$C,Formulas!D$2)</f>
        <v>0</v>
      </c>
      <c r="E527">
        <f t="shared" si="44"/>
        <v>0</v>
      </c>
      <c r="F527" s="41" t="str">
        <f t="shared" si="46"/>
        <v/>
      </c>
      <c r="I527">
        <f>SUMIFS(Buybacks!H:H,Buybacks!D:D,Formulas!H527)</f>
        <v>0</v>
      </c>
      <c r="J527" s="41" t="str">
        <f t="shared" si="47"/>
        <v/>
      </c>
      <c r="M527">
        <f>SUMIFS('Corporate activity'!$H:$H,'Corporate activity'!$D:$D,Formulas!$L527,'Corporate activity'!$C:$C,Formulas!M$2)</f>
        <v>0</v>
      </c>
      <c r="N527">
        <f>SUMIFS('Corporate activity'!$H:$H,'Corporate activity'!$D:$D,Formulas!$L527,'Corporate activity'!$C:$C,Formulas!N$2)</f>
        <v>0</v>
      </c>
      <c r="O527">
        <f>SUMIFS('Corporate activity'!$H:$H,'Corporate activity'!$D:$D,Formulas!$L527,'Corporate activity'!$C:$C,Formulas!O$2)</f>
        <v>0</v>
      </c>
      <c r="P527">
        <f t="shared" si="45"/>
        <v>0</v>
      </c>
      <c r="Q527" t="str">
        <f t="shared" si="43"/>
        <v/>
      </c>
    </row>
    <row r="528" spans="3:17" x14ac:dyDescent="0.25">
      <c r="C528">
        <f>SUMIFS(Issuance!$H:$H,Issuance!$D:$D,Formulas!$B528,Issuance!$C:$C,Formulas!C$2)</f>
        <v>0</v>
      </c>
      <c r="D528">
        <f>SUMIFS(Issuance!$H:$H,Issuance!$D:$D,Formulas!$B528,Issuance!$C:$C,Formulas!D$2)</f>
        <v>0</v>
      </c>
      <c r="E528">
        <f t="shared" si="44"/>
        <v>0</v>
      </c>
      <c r="F528" s="41" t="str">
        <f t="shared" si="46"/>
        <v/>
      </c>
      <c r="I528">
        <f>SUMIFS(Buybacks!H:H,Buybacks!D:D,Formulas!H528)</f>
        <v>0</v>
      </c>
      <c r="J528" s="41" t="str">
        <f t="shared" si="47"/>
        <v/>
      </c>
      <c r="M528">
        <f>SUMIFS('Corporate activity'!$H:$H,'Corporate activity'!$D:$D,Formulas!$L528,'Corporate activity'!$C:$C,Formulas!M$2)</f>
        <v>0</v>
      </c>
      <c r="N528">
        <f>SUMIFS('Corporate activity'!$H:$H,'Corporate activity'!$D:$D,Formulas!$L528,'Corporate activity'!$C:$C,Formulas!N$2)</f>
        <v>0</v>
      </c>
      <c r="O528">
        <f>SUMIFS('Corporate activity'!$H:$H,'Corporate activity'!$D:$D,Formulas!$L528,'Corporate activity'!$C:$C,Formulas!O$2)</f>
        <v>0</v>
      </c>
      <c r="P528">
        <f t="shared" si="45"/>
        <v>0</v>
      </c>
      <c r="Q528" t="str">
        <f t="shared" si="43"/>
        <v/>
      </c>
    </row>
    <row r="529" spans="3:17" x14ac:dyDescent="0.25">
      <c r="C529">
        <f>SUMIFS(Issuance!$H:$H,Issuance!$D:$D,Formulas!$B529,Issuance!$C:$C,Formulas!C$2)</f>
        <v>0</v>
      </c>
      <c r="D529">
        <f>SUMIFS(Issuance!$H:$H,Issuance!$D:$D,Formulas!$B529,Issuance!$C:$C,Formulas!D$2)</f>
        <v>0</v>
      </c>
      <c r="E529">
        <f t="shared" si="44"/>
        <v>0</v>
      </c>
      <c r="F529" s="41" t="str">
        <f t="shared" si="46"/>
        <v/>
      </c>
      <c r="I529">
        <f>SUMIFS(Buybacks!H:H,Buybacks!D:D,Formulas!H529)</f>
        <v>0</v>
      </c>
      <c r="J529" s="41" t="str">
        <f t="shared" si="47"/>
        <v/>
      </c>
      <c r="M529">
        <f>SUMIFS('Corporate activity'!$H:$H,'Corporate activity'!$D:$D,Formulas!$L529,'Corporate activity'!$C:$C,Formulas!M$2)</f>
        <v>0</v>
      </c>
      <c r="N529">
        <f>SUMIFS('Corporate activity'!$H:$H,'Corporate activity'!$D:$D,Formulas!$L529,'Corporate activity'!$C:$C,Formulas!N$2)</f>
        <v>0</v>
      </c>
      <c r="O529">
        <f>SUMIFS('Corporate activity'!$H:$H,'Corporate activity'!$D:$D,Formulas!$L529,'Corporate activity'!$C:$C,Formulas!O$2)</f>
        <v>0</v>
      </c>
      <c r="P529">
        <f t="shared" si="45"/>
        <v>0</v>
      </c>
      <c r="Q529" t="str">
        <f t="shared" si="43"/>
        <v/>
      </c>
    </row>
    <row r="530" spans="3:17" x14ac:dyDescent="0.25">
      <c r="C530">
        <f>SUMIFS(Issuance!$H:$H,Issuance!$D:$D,Formulas!$B530,Issuance!$C:$C,Formulas!C$2)</f>
        <v>0</v>
      </c>
      <c r="D530">
        <f>SUMIFS(Issuance!$H:$H,Issuance!$D:$D,Formulas!$B530,Issuance!$C:$C,Formulas!D$2)</f>
        <v>0</v>
      </c>
      <c r="E530">
        <f t="shared" si="44"/>
        <v>0</v>
      </c>
      <c r="F530" s="41" t="str">
        <f t="shared" si="46"/>
        <v/>
      </c>
      <c r="I530">
        <f>SUMIFS(Buybacks!H:H,Buybacks!D:D,Formulas!H530)</f>
        <v>0</v>
      </c>
      <c r="J530" s="41" t="str">
        <f t="shared" si="47"/>
        <v/>
      </c>
      <c r="M530">
        <f>SUMIFS('Corporate activity'!$H:$H,'Corporate activity'!$D:$D,Formulas!$L530,'Corporate activity'!$C:$C,Formulas!M$2)</f>
        <v>0</v>
      </c>
      <c r="N530">
        <f>SUMIFS('Corporate activity'!$H:$H,'Corporate activity'!$D:$D,Formulas!$L530,'Corporate activity'!$C:$C,Formulas!N$2)</f>
        <v>0</v>
      </c>
      <c r="O530">
        <f>SUMIFS('Corporate activity'!$H:$H,'Corporate activity'!$D:$D,Formulas!$L530,'Corporate activity'!$C:$C,Formulas!O$2)</f>
        <v>0</v>
      </c>
      <c r="P530">
        <f t="shared" si="45"/>
        <v>0</v>
      </c>
      <c r="Q530" t="str">
        <f t="shared" si="43"/>
        <v/>
      </c>
    </row>
    <row r="531" spans="3:17" x14ac:dyDescent="0.25">
      <c r="C531">
        <f>SUMIFS(Issuance!$H:$H,Issuance!$D:$D,Formulas!$B531,Issuance!$C:$C,Formulas!C$2)</f>
        <v>0</v>
      </c>
      <c r="D531">
        <f>SUMIFS(Issuance!$H:$H,Issuance!$D:$D,Formulas!$B531,Issuance!$C:$C,Formulas!D$2)</f>
        <v>0</v>
      </c>
      <c r="E531">
        <f t="shared" si="44"/>
        <v>0</v>
      </c>
      <c r="F531" s="41" t="str">
        <f t="shared" si="46"/>
        <v/>
      </c>
      <c r="I531">
        <f>SUMIFS(Buybacks!H:H,Buybacks!D:D,Formulas!H531)</f>
        <v>0</v>
      </c>
      <c r="J531" s="41" t="str">
        <f t="shared" si="47"/>
        <v/>
      </c>
      <c r="M531">
        <f>SUMIFS('Corporate activity'!$H:$H,'Corporate activity'!$D:$D,Formulas!$L531,'Corporate activity'!$C:$C,Formulas!M$2)</f>
        <v>0</v>
      </c>
      <c r="N531">
        <f>SUMIFS('Corporate activity'!$H:$H,'Corporate activity'!$D:$D,Formulas!$L531,'Corporate activity'!$C:$C,Formulas!N$2)</f>
        <v>0</v>
      </c>
      <c r="O531">
        <f>SUMIFS('Corporate activity'!$H:$H,'Corporate activity'!$D:$D,Formulas!$L531,'Corporate activity'!$C:$C,Formulas!O$2)</f>
        <v>0</v>
      </c>
      <c r="P531">
        <f t="shared" si="45"/>
        <v>0</v>
      </c>
      <c r="Q531" t="str">
        <f t="shared" si="43"/>
        <v/>
      </c>
    </row>
    <row r="532" spans="3:17" x14ac:dyDescent="0.25">
      <c r="C532">
        <f>SUMIFS(Issuance!$H:$H,Issuance!$D:$D,Formulas!$B532,Issuance!$C:$C,Formulas!C$2)</f>
        <v>0</v>
      </c>
      <c r="D532">
        <f>SUMIFS(Issuance!$H:$H,Issuance!$D:$D,Formulas!$B532,Issuance!$C:$C,Formulas!D$2)</f>
        <v>0</v>
      </c>
      <c r="E532">
        <f t="shared" si="44"/>
        <v>0</v>
      </c>
      <c r="F532" s="41" t="str">
        <f t="shared" si="46"/>
        <v/>
      </c>
      <c r="I532">
        <f>SUMIFS(Buybacks!H:H,Buybacks!D:D,Formulas!H532)</f>
        <v>0</v>
      </c>
      <c r="J532" s="41" t="str">
        <f t="shared" si="47"/>
        <v/>
      </c>
      <c r="M532">
        <f>SUMIFS('Corporate activity'!$H:$H,'Corporate activity'!$D:$D,Formulas!$L532,'Corporate activity'!$C:$C,Formulas!M$2)</f>
        <v>0</v>
      </c>
      <c r="N532">
        <f>SUMIFS('Corporate activity'!$H:$H,'Corporate activity'!$D:$D,Formulas!$L532,'Corporate activity'!$C:$C,Formulas!N$2)</f>
        <v>0</v>
      </c>
      <c r="O532">
        <f>SUMIFS('Corporate activity'!$H:$H,'Corporate activity'!$D:$D,Formulas!$L532,'Corporate activity'!$C:$C,Formulas!O$2)</f>
        <v>0</v>
      </c>
      <c r="P532">
        <f t="shared" si="45"/>
        <v>0</v>
      </c>
      <c r="Q532" t="str">
        <f t="shared" si="43"/>
        <v/>
      </c>
    </row>
    <row r="533" spans="3:17" x14ac:dyDescent="0.25">
      <c r="C533">
        <f>SUMIFS(Issuance!$H:$H,Issuance!$D:$D,Formulas!$B533,Issuance!$C:$C,Formulas!C$2)</f>
        <v>0</v>
      </c>
      <c r="D533">
        <f>SUMIFS(Issuance!$H:$H,Issuance!$D:$D,Formulas!$B533,Issuance!$C:$C,Formulas!D$2)</f>
        <v>0</v>
      </c>
      <c r="E533">
        <f t="shared" si="44"/>
        <v>0</v>
      </c>
      <c r="F533" s="41" t="str">
        <f t="shared" si="46"/>
        <v/>
      </c>
      <c r="I533">
        <f>SUMIFS(Buybacks!H:H,Buybacks!D:D,Formulas!H533)</f>
        <v>0</v>
      </c>
      <c r="J533" s="41" t="str">
        <f t="shared" si="47"/>
        <v/>
      </c>
      <c r="M533">
        <f>SUMIFS('Corporate activity'!$H:$H,'Corporate activity'!$D:$D,Formulas!$L533,'Corporate activity'!$C:$C,Formulas!M$2)</f>
        <v>0</v>
      </c>
      <c r="N533">
        <f>SUMIFS('Corporate activity'!$H:$H,'Corporate activity'!$D:$D,Formulas!$L533,'Corporate activity'!$C:$C,Formulas!N$2)</f>
        <v>0</v>
      </c>
      <c r="O533">
        <f>SUMIFS('Corporate activity'!$H:$H,'Corporate activity'!$D:$D,Formulas!$L533,'Corporate activity'!$C:$C,Formulas!O$2)</f>
        <v>0</v>
      </c>
      <c r="P533">
        <f t="shared" si="45"/>
        <v>0</v>
      </c>
      <c r="Q533" t="str">
        <f t="shared" si="43"/>
        <v/>
      </c>
    </row>
    <row r="534" spans="3:17" x14ac:dyDescent="0.25">
      <c r="C534">
        <f>SUMIFS(Issuance!$H:$H,Issuance!$D:$D,Formulas!$B534,Issuance!$C:$C,Formulas!C$2)</f>
        <v>0</v>
      </c>
      <c r="D534">
        <f>SUMIFS(Issuance!$H:$H,Issuance!$D:$D,Formulas!$B534,Issuance!$C:$C,Formulas!D$2)</f>
        <v>0</v>
      </c>
      <c r="E534">
        <f t="shared" si="44"/>
        <v>0</v>
      </c>
      <c r="F534" s="41" t="str">
        <f t="shared" si="46"/>
        <v/>
      </c>
      <c r="I534">
        <f>SUMIFS(Buybacks!H:H,Buybacks!D:D,Formulas!H534)</f>
        <v>0</v>
      </c>
      <c r="J534" s="41" t="str">
        <f t="shared" si="47"/>
        <v/>
      </c>
      <c r="M534">
        <f>SUMIFS('Corporate activity'!$H:$H,'Corporate activity'!$D:$D,Formulas!$L534,'Corporate activity'!$C:$C,Formulas!M$2)</f>
        <v>0</v>
      </c>
      <c r="N534">
        <f>SUMIFS('Corporate activity'!$H:$H,'Corporate activity'!$D:$D,Formulas!$L534,'Corporate activity'!$C:$C,Formulas!N$2)</f>
        <v>0</v>
      </c>
      <c r="O534">
        <f>SUMIFS('Corporate activity'!$H:$H,'Corporate activity'!$D:$D,Formulas!$L534,'Corporate activity'!$C:$C,Formulas!O$2)</f>
        <v>0</v>
      </c>
      <c r="P534">
        <f t="shared" si="45"/>
        <v>0</v>
      </c>
      <c r="Q534" t="str">
        <f t="shared" si="43"/>
        <v/>
      </c>
    </row>
    <row r="535" spans="3:17" x14ac:dyDescent="0.25">
      <c r="C535">
        <f>SUMIFS(Issuance!$H:$H,Issuance!$D:$D,Formulas!$B535,Issuance!$C:$C,Formulas!C$2)</f>
        <v>0</v>
      </c>
      <c r="D535">
        <f>SUMIFS(Issuance!$H:$H,Issuance!$D:$D,Formulas!$B535,Issuance!$C:$C,Formulas!D$2)</f>
        <v>0</v>
      </c>
      <c r="E535">
        <f t="shared" si="44"/>
        <v>0</v>
      </c>
      <c r="F535" s="41" t="str">
        <f t="shared" si="46"/>
        <v/>
      </c>
      <c r="I535">
        <f>SUMIFS(Buybacks!H:H,Buybacks!D:D,Formulas!H535)</f>
        <v>0</v>
      </c>
      <c r="J535" s="41" t="str">
        <f t="shared" si="47"/>
        <v/>
      </c>
      <c r="M535">
        <f>SUMIFS('Corporate activity'!$H:$H,'Corporate activity'!$D:$D,Formulas!$L535,'Corporate activity'!$C:$C,Formulas!M$2)</f>
        <v>0</v>
      </c>
      <c r="N535">
        <f>SUMIFS('Corporate activity'!$H:$H,'Corporate activity'!$D:$D,Formulas!$L535,'Corporate activity'!$C:$C,Formulas!N$2)</f>
        <v>0</v>
      </c>
      <c r="O535">
        <f>SUMIFS('Corporate activity'!$H:$H,'Corporate activity'!$D:$D,Formulas!$L535,'Corporate activity'!$C:$C,Formulas!O$2)</f>
        <v>0</v>
      </c>
      <c r="P535">
        <f t="shared" si="45"/>
        <v>0</v>
      </c>
      <c r="Q535" t="str">
        <f t="shared" si="43"/>
        <v/>
      </c>
    </row>
    <row r="536" spans="3:17" x14ac:dyDescent="0.25">
      <c r="C536">
        <f>SUMIFS(Issuance!$H:$H,Issuance!$D:$D,Formulas!$B536,Issuance!$C:$C,Formulas!C$2)</f>
        <v>0</v>
      </c>
      <c r="D536">
        <f>SUMIFS(Issuance!$H:$H,Issuance!$D:$D,Formulas!$B536,Issuance!$C:$C,Formulas!D$2)</f>
        <v>0</v>
      </c>
      <c r="E536">
        <f t="shared" si="44"/>
        <v>0</v>
      </c>
      <c r="F536" s="41" t="str">
        <f t="shared" si="46"/>
        <v/>
      </c>
      <c r="I536">
        <f>SUMIFS(Buybacks!H:H,Buybacks!D:D,Formulas!H536)</f>
        <v>0</v>
      </c>
      <c r="J536" s="41" t="str">
        <f t="shared" si="47"/>
        <v/>
      </c>
      <c r="M536">
        <f>SUMIFS('Corporate activity'!$H:$H,'Corporate activity'!$D:$D,Formulas!$L536,'Corporate activity'!$C:$C,Formulas!M$2)</f>
        <v>0</v>
      </c>
      <c r="N536">
        <f>SUMIFS('Corporate activity'!$H:$H,'Corporate activity'!$D:$D,Formulas!$L536,'Corporate activity'!$C:$C,Formulas!N$2)</f>
        <v>0</v>
      </c>
      <c r="O536">
        <f>SUMIFS('Corporate activity'!$H:$H,'Corporate activity'!$D:$D,Formulas!$L536,'Corporate activity'!$C:$C,Formulas!O$2)</f>
        <v>0</v>
      </c>
      <c r="P536">
        <f t="shared" si="45"/>
        <v>0</v>
      </c>
      <c r="Q536" t="str">
        <f t="shared" si="43"/>
        <v/>
      </c>
    </row>
    <row r="537" spans="3:17" x14ac:dyDescent="0.25">
      <c r="C537">
        <f>SUMIFS(Issuance!$H:$H,Issuance!$D:$D,Formulas!$B537,Issuance!$C:$C,Formulas!C$2)</f>
        <v>0</v>
      </c>
      <c r="D537">
        <f>SUMIFS(Issuance!$H:$H,Issuance!$D:$D,Formulas!$B537,Issuance!$C:$C,Formulas!D$2)</f>
        <v>0</v>
      </c>
      <c r="E537">
        <f t="shared" si="44"/>
        <v>0</v>
      </c>
      <c r="F537" s="41" t="str">
        <f t="shared" si="46"/>
        <v/>
      </c>
      <c r="I537">
        <f>SUMIFS(Buybacks!H:H,Buybacks!D:D,Formulas!H537)</f>
        <v>0</v>
      </c>
      <c r="J537" s="41" t="str">
        <f t="shared" si="47"/>
        <v/>
      </c>
      <c r="M537">
        <f>SUMIFS('Corporate activity'!$H:$H,'Corporate activity'!$D:$D,Formulas!$L537,'Corporate activity'!$C:$C,Formulas!M$2)</f>
        <v>0</v>
      </c>
      <c r="N537">
        <f>SUMIFS('Corporate activity'!$H:$H,'Corporate activity'!$D:$D,Formulas!$L537,'Corporate activity'!$C:$C,Formulas!N$2)</f>
        <v>0</v>
      </c>
      <c r="O537">
        <f>SUMIFS('Corporate activity'!$H:$H,'Corporate activity'!$D:$D,Formulas!$L537,'Corporate activity'!$C:$C,Formulas!O$2)</f>
        <v>0</v>
      </c>
      <c r="P537">
        <f t="shared" si="45"/>
        <v>0</v>
      </c>
      <c r="Q537" t="str">
        <f t="shared" si="43"/>
        <v/>
      </c>
    </row>
    <row r="538" spans="3:17" x14ac:dyDescent="0.25">
      <c r="C538">
        <f>SUMIFS(Issuance!$H:$H,Issuance!$D:$D,Formulas!$B538,Issuance!$C:$C,Formulas!C$2)</f>
        <v>0</v>
      </c>
      <c r="D538">
        <f>SUMIFS(Issuance!$H:$H,Issuance!$D:$D,Formulas!$B538,Issuance!$C:$C,Formulas!D$2)</f>
        <v>0</v>
      </c>
      <c r="E538">
        <f t="shared" si="44"/>
        <v>0</v>
      </c>
      <c r="F538" s="41" t="str">
        <f t="shared" si="46"/>
        <v/>
      </c>
      <c r="I538">
        <f>SUMIFS(Buybacks!H:H,Buybacks!D:D,Formulas!H538)</f>
        <v>0</v>
      </c>
      <c r="J538" s="41" t="str">
        <f t="shared" si="47"/>
        <v/>
      </c>
      <c r="M538">
        <f>SUMIFS('Corporate activity'!$H:$H,'Corporate activity'!$D:$D,Formulas!$L538,'Corporate activity'!$C:$C,Formulas!M$2)</f>
        <v>0</v>
      </c>
      <c r="N538">
        <f>SUMIFS('Corporate activity'!$H:$H,'Corporate activity'!$D:$D,Formulas!$L538,'Corporate activity'!$C:$C,Formulas!N$2)</f>
        <v>0</v>
      </c>
      <c r="O538">
        <f>SUMIFS('Corporate activity'!$H:$H,'Corporate activity'!$D:$D,Formulas!$L538,'Corporate activity'!$C:$C,Formulas!O$2)</f>
        <v>0</v>
      </c>
      <c r="P538">
        <f t="shared" si="45"/>
        <v>0</v>
      </c>
      <c r="Q538" t="str">
        <f t="shared" si="43"/>
        <v/>
      </c>
    </row>
    <row r="539" spans="3:17" x14ac:dyDescent="0.25">
      <c r="C539">
        <f>SUMIFS(Issuance!$H:$H,Issuance!$D:$D,Formulas!$B539,Issuance!$C:$C,Formulas!C$2)</f>
        <v>0</v>
      </c>
      <c r="D539">
        <f>SUMIFS(Issuance!$H:$H,Issuance!$D:$D,Formulas!$B539,Issuance!$C:$C,Formulas!D$2)</f>
        <v>0</v>
      </c>
      <c r="E539">
        <f t="shared" si="44"/>
        <v>0</v>
      </c>
      <c r="F539" s="41" t="str">
        <f t="shared" si="46"/>
        <v/>
      </c>
      <c r="I539">
        <f>SUMIFS(Buybacks!H:H,Buybacks!D:D,Formulas!H539)</f>
        <v>0</v>
      </c>
      <c r="J539" s="41" t="str">
        <f t="shared" si="47"/>
        <v/>
      </c>
      <c r="M539">
        <f>SUMIFS('Corporate activity'!$H:$H,'Corporate activity'!$D:$D,Formulas!$L539,'Corporate activity'!$C:$C,Formulas!M$2)</f>
        <v>0</v>
      </c>
      <c r="N539">
        <f>SUMIFS('Corporate activity'!$H:$H,'Corporate activity'!$D:$D,Formulas!$L539,'Corporate activity'!$C:$C,Formulas!N$2)</f>
        <v>0</v>
      </c>
      <c r="O539">
        <f>SUMIFS('Corporate activity'!$H:$H,'Corporate activity'!$D:$D,Formulas!$L539,'Corporate activity'!$C:$C,Formulas!O$2)</f>
        <v>0</v>
      </c>
      <c r="P539">
        <f t="shared" si="45"/>
        <v>0</v>
      </c>
      <c r="Q539" t="str">
        <f t="shared" ref="Q539:Q602" si="48">IF(OR(L539="",L539=0,P539=0),"",IF(COUNTIFS($P$3:$P$500,"&lt;"&amp;P539,$P$3:$P$500,"&lt;&gt;0")+1&lt;=20,COUNTIFS($P$3:$P$500,"&lt;"&amp;P539,$P$3:$P$500,"&lt;&gt;0")+1,""))</f>
        <v/>
      </c>
    </row>
    <row r="540" spans="3:17" x14ac:dyDescent="0.25">
      <c r="C540">
        <f>SUMIFS(Issuance!$H:$H,Issuance!$D:$D,Formulas!$B540,Issuance!$C:$C,Formulas!C$2)</f>
        <v>0</v>
      </c>
      <c r="D540">
        <f>SUMIFS(Issuance!$H:$H,Issuance!$D:$D,Formulas!$B540,Issuance!$C:$C,Formulas!D$2)</f>
        <v>0</v>
      </c>
      <c r="E540">
        <f t="shared" si="44"/>
        <v>0</v>
      </c>
      <c r="F540" s="41" t="str">
        <f t="shared" si="46"/>
        <v/>
      </c>
      <c r="I540">
        <f>SUMIFS(Buybacks!H:H,Buybacks!D:D,Formulas!H540)</f>
        <v>0</v>
      </c>
      <c r="J540" s="41" t="str">
        <f t="shared" si="47"/>
        <v/>
      </c>
      <c r="M540">
        <f>SUMIFS('Corporate activity'!$H:$H,'Corporate activity'!$D:$D,Formulas!$L540,'Corporate activity'!$C:$C,Formulas!M$2)</f>
        <v>0</v>
      </c>
      <c r="N540">
        <f>SUMIFS('Corporate activity'!$H:$H,'Corporate activity'!$D:$D,Formulas!$L540,'Corporate activity'!$C:$C,Formulas!N$2)</f>
        <v>0</v>
      </c>
      <c r="O540">
        <f>SUMIFS('Corporate activity'!$H:$H,'Corporate activity'!$D:$D,Formulas!$L540,'Corporate activity'!$C:$C,Formulas!O$2)</f>
        <v>0</v>
      </c>
      <c r="P540">
        <f t="shared" si="45"/>
        <v>0</v>
      </c>
      <c r="Q540" t="str">
        <f t="shared" si="48"/>
        <v/>
      </c>
    </row>
    <row r="541" spans="3:17" x14ac:dyDescent="0.25">
      <c r="C541">
        <f>SUMIFS(Issuance!$H:$H,Issuance!$D:$D,Formulas!$B541,Issuance!$C:$C,Formulas!C$2)</f>
        <v>0</v>
      </c>
      <c r="D541">
        <f>SUMIFS(Issuance!$H:$H,Issuance!$D:$D,Formulas!$B541,Issuance!$C:$C,Formulas!D$2)</f>
        <v>0</v>
      </c>
      <c r="E541">
        <f t="shared" si="44"/>
        <v>0</v>
      </c>
      <c r="F541" s="41" t="str">
        <f t="shared" si="46"/>
        <v/>
      </c>
      <c r="I541">
        <f>SUMIFS(Buybacks!H:H,Buybacks!D:D,Formulas!H541)</f>
        <v>0</v>
      </c>
      <c r="J541" s="41" t="str">
        <f t="shared" si="47"/>
        <v/>
      </c>
      <c r="M541">
        <f>SUMIFS('Corporate activity'!$H:$H,'Corporate activity'!$D:$D,Formulas!$L541,'Corporate activity'!$C:$C,Formulas!M$2)</f>
        <v>0</v>
      </c>
      <c r="N541">
        <f>SUMIFS('Corporate activity'!$H:$H,'Corporate activity'!$D:$D,Formulas!$L541,'Corporate activity'!$C:$C,Formulas!N$2)</f>
        <v>0</v>
      </c>
      <c r="O541">
        <f>SUMIFS('Corporate activity'!$H:$H,'Corporate activity'!$D:$D,Formulas!$L541,'Corporate activity'!$C:$C,Formulas!O$2)</f>
        <v>0</v>
      </c>
      <c r="P541">
        <f t="shared" si="45"/>
        <v>0</v>
      </c>
      <c r="Q541" t="str">
        <f t="shared" si="48"/>
        <v/>
      </c>
    </row>
    <row r="542" spans="3:17" x14ac:dyDescent="0.25">
      <c r="C542">
        <f>SUMIFS(Issuance!$H:$H,Issuance!$D:$D,Formulas!$B542,Issuance!$C:$C,Formulas!C$2)</f>
        <v>0</v>
      </c>
      <c r="D542">
        <f>SUMIFS(Issuance!$H:$H,Issuance!$D:$D,Formulas!$B542,Issuance!$C:$C,Formulas!D$2)</f>
        <v>0</v>
      </c>
      <c r="E542">
        <f t="shared" si="44"/>
        <v>0</v>
      </c>
      <c r="F542" s="41" t="str">
        <f t="shared" si="46"/>
        <v/>
      </c>
      <c r="I542">
        <f>SUMIFS(Buybacks!H:H,Buybacks!D:D,Formulas!H542)</f>
        <v>0</v>
      </c>
      <c r="J542" s="41" t="str">
        <f t="shared" si="47"/>
        <v/>
      </c>
      <c r="M542">
        <f>SUMIFS('Corporate activity'!$H:$H,'Corporate activity'!$D:$D,Formulas!$L542,'Corporate activity'!$C:$C,Formulas!M$2)</f>
        <v>0</v>
      </c>
      <c r="N542">
        <f>SUMIFS('Corporate activity'!$H:$H,'Corporate activity'!$D:$D,Formulas!$L542,'Corporate activity'!$C:$C,Formulas!N$2)</f>
        <v>0</v>
      </c>
      <c r="O542">
        <f>SUMIFS('Corporate activity'!$H:$H,'Corporate activity'!$D:$D,Formulas!$L542,'Corporate activity'!$C:$C,Formulas!O$2)</f>
        <v>0</v>
      </c>
      <c r="P542">
        <f t="shared" si="45"/>
        <v>0</v>
      </c>
      <c r="Q542" t="str">
        <f t="shared" si="48"/>
        <v/>
      </c>
    </row>
    <row r="543" spans="3:17" x14ac:dyDescent="0.25">
      <c r="C543">
        <f>SUMIFS(Issuance!$H:$H,Issuance!$D:$D,Formulas!$B543,Issuance!$C:$C,Formulas!C$2)</f>
        <v>0</v>
      </c>
      <c r="D543">
        <f>SUMIFS(Issuance!$H:$H,Issuance!$D:$D,Formulas!$B543,Issuance!$C:$C,Formulas!D$2)</f>
        <v>0</v>
      </c>
      <c r="E543">
        <f t="shared" si="44"/>
        <v>0</v>
      </c>
      <c r="F543" s="41" t="str">
        <f t="shared" si="46"/>
        <v/>
      </c>
      <c r="I543">
        <f>SUMIFS(Buybacks!H:H,Buybacks!D:D,Formulas!H543)</f>
        <v>0</v>
      </c>
      <c r="J543" s="41" t="str">
        <f t="shared" si="47"/>
        <v/>
      </c>
      <c r="M543">
        <f>SUMIFS('Corporate activity'!$H:$H,'Corporate activity'!$D:$D,Formulas!$L543,'Corporate activity'!$C:$C,Formulas!M$2)</f>
        <v>0</v>
      </c>
      <c r="N543">
        <f>SUMIFS('Corporate activity'!$H:$H,'Corporate activity'!$D:$D,Formulas!$L543,'Corporate activity'!$C:$C,Formulas!N$2)</f>
        <v>0</v>
      </c>
      <c r="O543">
        <f>SUMIFS('Corporate activity'!$H:$H,'Corporate activity'!$D:$D,Formulas!$L543,'Corporate activity'!$C:$C,Formulas!O$2)</f>
        <v>0</v>
      </c>
      <c r="P543">
        <f t="shared" si="45"/>
        <v>0</v>
      </c>
      <c r="Q543" t="str">
        <f t="shared" si="48"/>
        <v/>
      </c>
    </row>
    <row r="544" spans="3:17" x14ac:dyDescent="0.25">
      <c r="C544">
        <f>SUMIFS(Issuance!$H:$H,Issuance!$D:$D,Formulas!$B544,Issuance!$C:$C,Formulas!C$2)</f>
        <v>0</v>
      </c>
      <c r="D544">
        <f>SUMIFS(Issuance!$H:$H,Issuance!$D:$D,Formulas!$B544,Issuance!$C:$C,Formulas!D$2)</f>
        <v>0</v>
      </c>
      <c r="E544">
        <f t="shared" si="44"/>
        <v>0</v>
      </c>
      <c r="F544" s="41" t="str">
        <f t="shared" si="46"/>
        <v/>
      </c>
      <c r="I544">
        <f>SUMIFS(Buybacks!H:H,Buybacks!D:D,Formulas!H544)</f>
        <v>0</v>
      </c>
      <c r="J544" s="41" t="str">
        <f t="shared" si="47"/>
        <v/>
      </c>
      <c r="M544">
        <f>SUMIFS('Corporate activity'!$H:$H,'Corporate activity'!$D:$D,Formulas!$L544,'Corporate activity'!$C:$C,Formulas!M$2)</f>
        <v>0</v>
      </c>
      <c r="N544">
        <f>SUMIFS('Corporate activity'!$H:$H,'Corporate activity'!$D:$D,Formulas!$L544,'Corporate activity'!$C:$C,Formulas!N$2)</f>
        <v>0</v>
      </c>
      <c r="O544">
        <f>SUMIFS('Corporate activity'!$H:$H,'Corporate activity'!$D:$D,Formulas!$L544,'Corporate activity'!$C:$C,Formulas!O$2)</f>
        <v>0</v>
      </c>
      <c r="P544">
        <f t="shared" si="45"/>
        <v>0</v>
      </c>
      <c r="Q544" t="str">
        <f t="shared" si="48"/>
        <v/>
      </c>
    </row>
    <row r="545" spans="3:17" x14ac:dyDescent="0.25">
      <c r="C545">
        <f>SUMIFS(Issuance!$H:$H,Issuance!$D:$D,Formulas!$B545,Issuance!$C:$C,Formulas!C$2)</f>
        <v>0</v>
      </c>
      <c r="D545">
        <f>SUMIFS(Issuance!$H:$H,Issuance!$D:$D,Formulas!$B545,Issuance!$C:$C,Formulas!D$2)</f>
        <v>0</v>
      </c>
      <c r="E545">
        <f t="shared" si="44"/>
        <v>0</v>
      </c>
      <c r="F545" s="41" t="str">
        <f t="shared" si="46"/>
        <v/>
      </c>
      <c r="I545">
        <f>SUMIFS(Buybacks!H:H,Buybacks!D:D,Formulas!H545)</f>
        <v>0</v>
      </c>
      <c r="J545" s="41" t="str">
        <f t="shared" si="47"/>
        <v/>
      </c>
      <c r="M545">
        <f>SUMIFS('Corporate activity'!$H:$H,'Corporate activity'!$D:$D,Formulas!$L545,'Corporate activity'!$C:$C,Formulas!M$2)</f>
        <v>0</v>
      </c>
      <c r="N545">
        <f>SUMIFS('Corporate activity'!$H:$H,'Corporate activity'!$D:$D,Formulas!$L545,'Corporate activity'!$C:$C,Formulas!N$2)</f>
        <v>0</v>
      </c>
      <c r="O545">
        <f>SUMIFS('Corporate activity'!$H:$H,'Corporate activity'!$D:$D,Formulas!$L545,'Corporate activity'!$C:$C,Formulas!O$2)</f>
        <v>0</v>
      </c>
      <c r="P545">
        <f t="shared" si="45"/>
        <v>0</v>
      </c>
      <c r="Q545" t="str">
        <f t="shared" si="48"/>
        <v/>
      </c>
    </row>
    <row r="546" spans="3:17" x14ac:dyDescent="0.25">
      <c r="C546">
        <f>SUMIFS(Issuance!$H:$H,Issuance!$D:$D,Formulas!$B546,Issuance!$C:$C,Formulas!C$2)</f>
        <v>0</v>
      </c>
      <c r="D546">
        <f>SUMIFS(Issuance!$H:$H,Issuance!$D:$D,Formulas!$B546,Issuance!$C:$C,Formulas!D$2)</f>
        <v>0</v>
      </c>
      <c r="E546">
        <f t="shared" si="44"/>
        <v>0</v>
      </c>
      <c r="F546" s="41" t="str">
        <f t="shared" si="46"/>
        <v/>
      </c>
      <c r="I546">
        <f>SUMIFS(Buybacks!H:H,Buybacks!D:D,Formulas!H546)</f>
        <v>0</v>
      </c>
      <c r="J546" s="41" t="str">
        <f t="shared" si="47"/>
        <v/>
      </c>
      <c r="M546">
        <f>SUMIFS('Corporate activity'!$H:$H,'Corporate activity'!$D:$D,Formulas!$L546,'Corporate activity'!$C:$C,Formulas!M$2)</f>
        <v>0</v>
      </c>
      <c r="N546">
        <f>SUMIFS('Corporate activity'!$H:$H,'Corporate activity'!$D:$D,Formulas!$L546,'Corporate activity'!$C:$C,Formulas!N$2)</f>
        <v>0</v>
      </c>
      <c r="O546">
        <f>SUMIFS('Corporate activity'!$H:$H,'Corporate activity'!$D:$D,Formulas!$L546,'Corporate activity'!$C:$C,Formulas!O$2)</f>
        <v>0</v>
      </c>
      <c r="P546">
        <f t="shared" si="45"/>
        <v>0</v>
      </c>
      <c r="Q546" t="str">
        <f t="shared" si="48"/>
        <v/>
      </c>
    </row>
    <row r="547" spans="3:17" x14ac:dyDescent="0.25">
      <c r="C547">
        <f>SUMIFS(Issuance!$H:$H,Issuance!$D:$D,Formulas!$B547,Issuance!$C:$C,Formulas!C$2)</f>
        <v>0</v>
      </c>
      <c r="D547">
        <f>SUMIFS(Issuance!$H:$H,Issuance!$D:$D,Formulas!$B547,Issuance!$C:$C,Formulas!D$2)</f>
        <v>0</v>
      </c>
      <c r="E547">
        <f t="shared" si="44"/>
        <v>0</v>
      </c>
      <c r="F547" s="41" t="str">
        <f t="shared" si="46"/>
        <v/>
      </c>
      <c r="I547">
        <f>SUMIFS(Buybacks!H:H,Buybacks!D:D,Formulas!H547)</f>
        <v>0</v>
      </c>
      <c r="J547" s="41" t="str">
        <f t="shared" si="47"/>
        <v/>
      </c>
      <c r="M547">
        <f>SUMIFS('Corporate activity'!$H:$H,'Corporate activity'!$D:$D,Formulas!$L547,'Corporate activity'!$C:$C,Formulas!M$2)</f>
        <v>0</v>
      </c>
      <c r="N547">
        <f>SUMIFS('Corporate activity'!$H:$H,'Corporate activity'!$D:$D,Formulas!$L547,'Corporate activity'!$C:$C,Formulas!N$2)</f>
        <v>0</v>
      </c>
      <c r="O547">
        <f>SUMIFS('Corporate activity'!$H:$H,'Corporate activity'!$D:$D,Formulas!$L547,'Corporate activity'!$C:$C,Formulas!O$2)</f>
        <v>0</v>
      </c>
      <c r="P547">
        <f t="shared" si="45"/>
        <v>0</v>
      </c>
      <c r="Q547" t="str">
        <f t="shared" si="48"/>
        <v/>
      </c>
    </row>
    <row r="548" spans="3:17" x14ac:dyDescent="0.25">
      <c r="C548">
        <f>SUMIFS(Issuance!$H:$H,Issuance!$D:$D,Formulas!$B548,Issuance!$C:$C,Formulas!C$2)</f>
        <v>0</v>
      </c>
      <c r="D548">
        <f>SUMIFS(Issuance!$H:$H,Issuance!$D:$D,Formulas!$B548,Issuance!$C:$C,Formulas!D$2)</f>
        <v>0</v>
      </c>
      <c r="E548">
        <f t="shared" si="44"/>
        <v>0</v>
      </c>
      <c r="F548" s="41" t="str">
        <f t="shared" si="46"/>
        <v/>
      </c>
      <c r="I548">
        <f>SUMIFS(Buybacks!H:H,Buybacks!D:D,Formulas!H548)</f>
        <v>0</v>
      </c>
      <c r="J548" s="41" t="str">
        <f t="shared" si="47"/>
        <v/>
      </c>
      <c r="M548">
        <f>SUMIFS('Corporate activity'!$H:$H,'Corporate activity'!$D:$D,Formulas!$L548,'Corporate activity'!$C:$C,Formulas!M$2)</f>
        <v>0</v>
      </c>
      <c r="N548">
        <f>SUMIFS('Corporate activity'!$H:$H,'Corporate activity'!$D:$D,Formulas!$L548,'Corporate activity'!$C:$C,Formulas!N$2)</f>
        <v>0</v>
      </c>
      <c r="O548">
        <f>SUMIFS('Corporate activity'!$H:$H,'Corporate activity'!$D:$D,Formulas!$L548,'Corporate activity'!$C:$C,Formulas!O$2)</f>
        <v>0</v>
      </c>
      <c r="P548">
        <f t="shared" si="45"/>
        <v>0</v>
      </c>
      <c r="Q548" t="str">
        <f t="shared" si="48"/>
        <v/>
      </c>
    </row>
    <row r="549" spans="3:17" x14ac:dyDescent="0.25">
      <c r="C549">
        <f>SUMIFS(Issuance!$H:$H,Issuance!$D:$D,Formulas!$B549,Issuance!$C:$C,Formulas!C$2)</f>
        <v>0</v>
      </c>
      <c r="D549">
        <f>SUMIFS(Issuance!$H:$H,Issuance!$D:$D,Formulas!$B549,Issuance!$C:$C,Formulas!D$2)</f>
        <v>0</v>
      </c>
      <c r="E549">
        <f t="shared" si="44"/>
        <v>0</v>
      </c>
      <c r="F549" s="41" t="str">
        <f t="shared" si="46"/>
        <v/>
      </c>
      <c r="I549">
        <f>SUMIFS(Buybacks!H:H,Buybacks!D:D,Formulas!H549)</f>
        <v>0</v>
      </c>
      <c r="J549" s="41" t="str">
        <f t="shared" si="47"/>
        <v/>
      </c>
      <c r="M549">
        <f>SUMIFS('Corporate activity'!$H:$H,'Corporate activity'!$D:$D,Formulas!$L549,'Corporate activity'!$C:$C,Formulas!M$2)</f>
        <v>0</v>
      </c>
      <c r="N549">
        <f>SUMIFS('Corporate activity'!$H:$H,'Corporate activity'!$D:$D,Formulas!$L549,'Corporate activity'!$C:$C,Formulas!N$2)</f>
        <v>0</v>
      </c>
      <c r="O549">
        <f>SUMIFS('Corporate activity'!$H:$H,'Corporate activity'!$D:$D,Formulas!$L549,'Corporate activity'!$C:$C,Formulas!O$2)</f>
        <v>0</v>
      </c>
      <c r="P549">
        <f t="shared" si="45"/>
        <v>0</v>
      </c>
      <c r="Q549" t="str">
        <f t="shared" si="48"/>
        <v/>
      </c>
    </row>
    <row r="550" spans="3:17" x14ac:dyDescent="0.25">
      <c r="C550">
        <f>SUMIFS(Issuance!$H:$H,Issuance!$D:$D,Formulas!$B550,Issuance!$C:$C,Formulas!C$2)</f>
        <v>0</v>
      </c>
      <c r="D550">
        <f>SUMIFS(Issuance!$H:$H,Issuance!$D:$D,Formulas!$B550,Issuance!$C:$C,Formulas!D$2)</f>
        <v>0</v>
      </c>
      <c r="E550">
        <f t="shared" si="44"/>
        <v>0</v>
      </c>
      <c r="F550" s="41" t="str">
        <f t="shared" si="46"/>
        <v/>
      </c>
      <c r="I550">
        <f>SUMIFS(Buybacks!H:H,Buybacks!D:D,Formulas!H550)</f>
        <v>0</v>
      </c>
      <c r="J550" s="41" t="str">
        <f t="shared" si="47"/>
        <v/>
      </c>
      <c r="M550">
        <f>SUMIFS('Corporate activity'!$H:$H,'Corporate activity'!$D:$D,Formulas!$L550,'Corporate activity'!$C:$C,Formulas!M$2)</f>
        <v>0</v>
      </c>
      <c r="N550">
        <f>SUMIFS('Corporate activity'!$H:$H,'Corporate activity'!$D:$D,Formulas!$L550,'Corporate activity'!$C:$C,Formulas!N$2)</f>
        <v>0</v>
      </c>
      <c r="O550">
        <f>SUMIFS('Corporate activity'!$H:$H,'Corporate activity'!$D:$D,Formulas!$L550,'Corporate activity'!$C:$C,Formulas!O$2)</f>
        <v>0</v>
      </c>
      <c r="P550">
        <f t="shared" si="45"/>
        <v>0</v>
      </c>
      <c r="Q550" t="str">
        <f t="shared" si="48"/>
        <v/>
      </c>
    </row>
    <row r="551" spans="3:17" x14ac:dyDescent="0.25">
      <c r="C551">
        <f>SUMIFS(Issuance!$H:$H,Issuance!$D:$D,Formulas!$B551,Issuance!$C:$C,Formulas!C$2)</f>
        <v>0</v>
      </c>
      <c r="D551">
        <f>SUMIFS(Issuance!$H:$H,Issuance!$D:$D,Formulas!$B551,Issuance!$C:$C,Formulas!D$2)</f>
        <v>0</v>
      </c>
      <c r="E551">
        <f t="shared" si="44"/>
        <v>0</v>
      </c>
      <c r="F551" s="41" t="str">
        <f t="shared" si="46"/>
        <v/>
      </c>
      <c r="I551">
        <f>SUMIFS(Buybacks!H:H,Buybacks!D:D,Formulas!H551)</f>
        <v>0</v>
      </c>
      <c r="J551" s="41" t="str">
        <f t="shared" si="47"/>
        <v/>
      </c>
      <c r="M551">
        <f>SUMIFS('Corporate activity'!$H:$H,'Corporate activity'!$D:$D,Formulas!$L551,'Corporate activity'!$C:$C,Formulas!M$2)</f>
        <v>0</v>
      </c>
      <c r="N551">
        <f>SUMIFS('Corporate activity'!$H:$H,'Corporate activity'!$D:$D,Formulas!$L551,'Corporate activity'!$C:$C,Formulas!N$2)</f>
        <v>0</v>
      </c>
      <c r="O551">
        <f>SUMIFS('Corporate activity'!$H:$H,'Corporate activity'!$D:$D,Formulas!$L551,'Corporate activity'!$C:$C,Formulas!O$2)</f>
        <v>0</v>
      </c>
      <c r="P551">
        <f t="shared" si="45"/>
        <v>0</v>
      </c>
      <c r="Q551" t="str">
        <f t="shared" si="48"/>
        <v/>
      </c>
    </row>
    <row r="552" spans="3:17" x14ac:dyDescent="0.25">
      <c r="C552">
        <f>SUMIFS(Issuance!$H:$H,Issuance!$D:$D,Formulas!$B552,Issuance!$C:$C,Formulas!C$2)</f>
        <v>0</v>
      </c>
      <c r="D552">
        <f>SUMIFS(Issuance!$H:$H,Issuance!$D:$D,Formulas!$B552,Issuance!$C:$C,Formulas!D$2)</f>
        <v>0</v>
      </c>
      <c r="E552">
        <f t="shared" si="44"/>
        <v>0</v>
      </c>
      <c r="F552" s="41" t="str">
        <f t="shared" si="46"/>
        <v/>
      </c>
      <c r="I552">
        <f>SUMIFS(Buybacks!H:H,Buybacks!D:D,Formulas!H552)</f>
        <v>0</v>
      </c>
      <c r="J552" s="41" t="str">
        <f t="shared" si="47"/>
        <v/>
      </c>
      <c r="M552">
        <f>SUMIFS('Corporate activity'!$H:$H,'Corporate activity'!$D:$D,Formulas!$L552,'Corporate activity'!$C:$C,Formulas!M$2)</f>
        <v>0</v>
      </c>
      <c r="N552">
        <f>SUMIFS('Corporate activity'!$H:$H,'Corporate activity'!$D:$D,Formulas!$L552,'Corporate activity'!$C:$C,Formulas!N$2)</f>
        <v>0</v>
      </c>
      <c r="O552">
        <f>SUMIFS('Corporate activity'!$H:$H,'Corporate activity'!$D:$D,Formulas!$L552,'Corporate activity'!$C:$C,Formulas!O$2)</f>
        <v>0</v>
      </c>
      <c r="P552">
        <f t="shared" si="45"/>
        <v>0</v>
      </c>
      <c r="Q552" t="str">
        <f t="shared" si="48"/>
        <v/>
      </c>
    </row>
    <row r="553" spans="3:17" x14ac:dyDescent="0.25">
      <c r="C553">
        <f>SUMIFS(Issuance!$H:$H,Issuance!$D:$D,Formulas!$B553,Issuance!$C:$C,Formulas!C$2)</f>
        <v>0</v>
      </c>
      <c r="D553">
        <f>SUMIFS(Issuance!$H:$H,Issuance!$D:$D,Formulas!$B553,Issuance!$C:$C,Formulas!D$2)</f>
        <v>0</v>
      </c>
      <c r="E553">
        <f t="shared" si="44"/>
        <v>0</v>
      </c>
      <c r="F553" s="41" t="str">
        <f t="shared" si="46"/>
        <v/>
      </c>
      <c r="I553">
        <f>SUMIFS(Buybacks!H:H,Buybacks!D:D,Formulas!H553)</f>
        <v>0</v>
      </c>
      <c r="J553" s="41" t="str">
        <f t="shared" si="47"/>
        <v/>
      </c>
      <c r="M553">
        <f>SUMIFS('Corporate activity'!$H:$H,'Corporate activity'!$D:$D,Formulas!$L553,'Corporate activity'!$C:$C,Formulas!M$2)</f>
        <v>0</v>
      </c>
      <c r="N553">
        <f>SUMIFS('Corporate activity'!$H:$H,'Corporate activity'!$D:$D,Formulas!$L553,'Corporate activity'!$C:$C,Formulas!N$2)</f>
        <v>0</v>
      </c>
      <c r="O553">
        <f>SUMIFS('Corporate activity'!$H:$H,'Corporate activity'!$D:$D,Formulas!$L553,'Corporate activity'!$C:$C,Formulas!O$2)</f>
        <v>0</v>
      </c>
      <c r="P553">
        <f t="shared" si="45"/>
        <v>0</v>
      </c>
      <c r="Q553" t="str">
        <f t="shared" si="48"/>
        <v/>
      </c>
    </row>
    <row r="554" spans="3:17" x14ac:dyDescent="0.25">
      <c r="C554">
        <f>SUMIFS(Issuance!$H:$H,Issuance!$D:$D,Formulas!$B554,Issuance!$C:$C,Formulas!C$2)</f>
        <v>0</v>
      </c>
      <c r="D554">
        <f>SUMIFS(Issuance!$H:$H,Issuance!$D:$D,Formulas!$B554,Issuance!$C:$C,Formulas!D$2)</f>
        <v>0</v>
      </c>
      <c r="E554">
        <f t="shared" si="44"/>
        <v>0</v>
      </c>
      <c r="F554" s="41" t="str">
        <f t="shared" si="46"/>
        <v/>
      </c>
      <c r="I554">
        <f>SUMIFS(Buybacks!H:H,Buybacks!D:D,Formulas!H554)</f>
        <v>0</v>
      </c>
      <c r="J554" s="41" t="str">
        <f t="shared" si="47"/>
        <v/>
      </c>
      <c r="M554">
        <f>SUMIFS('Corporate activity'!$H:$H,'Corporate activity'!$D:$D,Formulas!$L554,'Corporate activity'!$C:$C,Formulas!M$2)</f>
        <v>0</v>
      </c>
      <c r="N554">
        <f>SUMIFS('Corporate activity'!$H:$H,'Corporate activity'!$D:$D,Formulas!$L554,'Corporate activity'!$C:$C,Formulas!N$2)</f>
        <v>0</v>
      </c>
      <c r="O554">
        <f>SUMIFS('Corporate activity'!$H:$H,'Corporate activity'!$D:$D,Formulas!$L554,'Corporate activity'!$C:$C,Formulas!O$2)</f>
        <v>0</v>
      </c>
      <c r="P554">
        <f t="shared" si="45"/>
        <v>0</v>
      </c>
      <c r="Q554" t="str">
        <f t="shared" si="48"/>
        <v/>
      </c>
    </row>
    <row r="555" spans="3:17" x14ac:dyDescent="0.25">
      <c r="C555">
        <f>SUMIFS(Issuance!$H:$H,Issuance!$D:$D,Formulas!$B555,Issuance!$C:$C,Formulas!C$2)</f>
        <v>0</v>
      </c>
      <c r="D555">
        <f>SUMIFS(Issuance!$H:$H,Issuance!$D:$D,Formulas!$B555,Issuance!$C:$C,Formulas!D$2)</f>
        <v>0</v>
      </c>
      <c r="E555">
        <f t="shared" si="44"/>
        <v>0</v>
      </c>
      <c r="F555" s="41" t="str">
        <f t="shared" si="46"/>
        <v/>
      </c>
      <c r="I555">
        <f>SUMIFS(Buybacks!H:H,Buybacks!D:D,Formulas!H555)</f>
        <v>0</v>
      </c>
      <c r="J555" s="41" t="str">
        <f t="shared" si="47"/>
        <v/>
      </c>
      <c r="M555">
        <f>SUMIFS('Corporate activity'!$H:$H,'Corporate activity'!$D:$D,Formulas!$L555,'Corporate activity'!$C:$C,Formulas!M$2)</f>
        <v>0</v>
      </c>
      <c r="N555">
        <f>SUMIFS('Corporate activity'!$H:$H,'Corporate activity'!$D:$D,Formulas!$L555,'Corporate activity'!$C:$C,Formulas!N$2)</f>
        <v>0</v>
      </c>
      <c r="O555">
        <f>SUMIFS('Corporate activity'!$H:$H,'Corporate activity'!$D:$D,Formulas!$L555,'Corporate activity'!$C:$C,Formulas!O$2)</f>
        <v>0</v>
      </c>
      <c r="P555">
        <f t="shared" si="45"/>
        <v>0</v>
      </c>
      <c r="Q555" t="str">
        <f t="shared" si="48"/>
        <v/>
      </c>
    </row>
    <row r="556" spans="3:17" x14ac:dyDescent="0.25">
      <c r="C556">
        <f>SUMIFS(Issuance!$H:$H,Issuance!$D:$D,Formulas!$B556,Issuance!$C:$C,Formulas!C$2)</f>
        <v>0</v>
      </c>
      <c r="D556">
        <f>SUMIFS(Issuance!$H:$H,Issuance!$D:$D,Formulas!$B556,Issuance!$C:$C,Formulas!D$2)</f>
        <v>0</v>
      </c>
      <c r="E556">
        <f t="shared" si="44"/>
        <v>0</v>
      </c>
      <c r="F556" s="41" t="str">
        <f t="shared" si="46"/>
        <v/>
      </c>
      <c r="I556">
        <f>SUMIFS(Buybacks!H:H,Buybacks!D:D,Formulas!H556)</f>
        <v>0</v>
      </c>
      <c r="J556" s="41" t="str">
        <f t="shared" si="47"/>
        <v/>
      </c>
      <c r="M556">
        <f>SUMIFS('Corporate activity'!$H:$H,'Corporate activity'!$D:$D,Formulas!$L556,'Corporate activity'!$C:$C,Formulas!M$2)</f>
        <v>0</v>
      </c>
      <c r="N556">
        <f>SUMIFS('Corporate activity'!$H:$H,'Corporate activity'!$D:$D,Formulas!$L556,'Corporate activity'!$C:$C,Formulas!N$2)</f>
        <v>0</v>
      </c>
      <c r="O556">
        <f>SUMIFS('Corporate activity'!$H:$H,'Corporate activity'!$D:$D,Formulas!$L556,'Corporate activity'!$C:$C,Formulas!O$2)</f>
        <v>0</v>
      </c>
      <c r="P556">
        <f t="shared" si="45"/>
        <v>0</v>
      </c>
      <c r="Q556" t="str">
        <f t="shared" si="48"/>
        <v/>
      </c>
    </row>
    <row r="557" spans="3:17" x14ac:dyDescent="0.25">
      <c r="C557">
        <f>SUMIFS(Issuance!$H:$H,Issuance!$D:$D,Formulas!$B557,Issuance!$C:$C,Formulas!C$2)</f>
        <v>0</v>
      </c>
      <c r="D557">
        <f>SUMIFS(Issuance!$H:$H,Issuance!$D:$D,Formulas!$B557,Issuance!$C:$C,Formulas!D$2)</f>
        <v>0</v>
      </c>
      <c r="E557">
        <f t="shared" si="44"/>
        <v>0</v>
      </c>
      <c r="F557" s="41" t="str">
        <f t="shared" si="46"/>
        <v/>
      </c>
      <c r="I557">
        <f>SUMIFS(Buybacks!H:H,Buybacks!D:D,Formulas!H557)</f>
        <v>0</v>
      </c>
      <c r="J557" s="41" t="str">
        <f t="shared" si="47"/>
        <v/>
      </c>
      <c r="M557">
        <f>SUMIFS('Corporate activity'!$H:$H,'Corporate activity'!$D:$D,Formulas!$L557,'Corporate activity'!$C:$C,Formulas!M$2)</f>
        <v>0</v>
      </c>
      <c r="N557">
        <f>SUMIFS('Corporate activity'!$H:$H,'Corporate activity'!$D:$D,Formulas!$L557,'Corporate activity'!$C:$C,Formulas!N$2)</f>
        <v>0</v>
      </c>
      <c r="O557">
        <f>SUMIFS('Corporate activity'!$H:$H,'Corporate activity'!$D:$D,Formulas!$L557,'Corporate activity'!$C:$C,Formulas!O$2)</f>
        <v>0</v>
      </c>
      <c r="P557">
        <f t="shared" si="45"/>
        <v>0</v>
      </c>
      <c r="Q557" t="str">
        <f t="shared" si="48"/>
        <v/>
      </c>
    </row>
    <row r="558" spans="3:17" x14ac:dyDescent="0.25">
      <c r="C558">
        <f>SUMIFS(Issuance!$H:$H,Issuance!$D:$D,Formulas!$B558,Issuance!$C:$C,Formulas!C$2)</f>
        <v>0</v>
      </c>
      <c r="D558">
        <f>SUMIFS(Issuance!$H:$H,Issuance!$D:$D,Formulas!$B558,Issuance!$C:$C,Formulas!D$2)</f>
        <v>0</v>
      </c>
      <c r="E558">
        <f t="shared" si="44"/>
        <v>0</v>
      </c>
      <c r="F558" s="41" t="str">
        <f t="shared" si="46"/>
        <v/>
      </c>
      <c r="I558">
        <f>SUMIFS(Buybacks!H:H,Buybacks!D:D,Formulas!H558)</f>
        <v>0</v>
      </c>
      <c r="J558" s="41" t="str">
        <f t="shared" si="47"/>
        <v/>
      </c>
      <c r="M558">
        <f>SUMIFS('Corporate activity'!$H:$H,'Corporate activity'!$D:$D,Formulas!$L558,'Corporate activity'!$C:$C,Formulas!M$2)</f>
        <v>0</v>
      </c>
      <c r="N558">
        <f>SUMIFS('Corporate activity'!$H:$H,'Corporate activity'!$D:$D,Formulas!$L558,'Corporate activity'!$C:$C,Formulas!N$2)</f>
        <v>0</v>
      </c>
      <c r="O558">
        <f>SUMIFS('Corporate activity'!$H:$H,'Corporate activity'!$D:$D,Formulas!$L558,'Corporate activity'!$C:$C,Formulas!O$2)</f>
        <v>0</v>
      </c>
      <c r="P558">
        <f t="shared" si="45"/>
        <v>0</v>
      </c>
      <c r="Q558" t="str">
        <f t="shared" si="48"/>
        <v/>
      </c>
    </row>
    <row r="559" spans="3:17" x14ac:dyDescent="0.25">
      <c r="C559">
        <f>SUMIFS(Issuance!$H:$H,Issuance!$D:$D,Formulas!$B559,Issuance!$C:$C,Formulas!C$2)</f>
        <v>0</v>
      </c>
      <c r="D559">
        <f>SUMIFS(Issuance!$H:$H,Issuance!$D:$D,Formulas!$B559,Issuance!$C:$C,Formulas!D$2)</f>
        <v>0</v>
      </c>
      <c r="E559">
        <f t="shared" si="44"/>
        <v>0</v>
      </c>
      <c r="F559" s="41" t="str">
        <f t="shared" si="46"/>
        <v/>
      </c>
      <c r="I559">
        <f>SUMIFS(Buybacks!H:H,Buybacks!D:D,Formulas!H559)</f>
        <v>0</v>
      </c>
      <c r="J559" s="41" t="str">
        <f t="shared" si="47"/>
        <v/>
      </c>
      <c r="M559">
        <f>SUMIFS('Corporate activity'!$H:$H,'Corporate activity'!$D:$D,Formulas!$L559,'Corporate activity'!$C:$C,Formulas!M$2)</f>
        <v>0</v>
      </c>
      <c r="N559">
        <f>SUMIFS('Corporate activity'!$H:$H,'Corporate activity'!$D:$D,Formulas!$L559,'Corporate activity'!$C:$C,Formulas!N$2)</f>
        <v>0</v>
      </c>
      <c r="O559">
        <f>SUMIFS('Corporate activity'!$H:$H,'Corporate activity'!$D:$D,Formulas!$L559,'Corporate activity'!$C:$C,Formulas!O$2)</f>
        <v>0</v>
      </c>
      <c r="P559">
        <f t="shared" si="45"/>
        <v>0</v>
      </c>
      <c r="Q559" t="str">
        <f t="shared" si="48"/>
        <v/>
      </c>
    </row>
    <row r="560" spans="3:17" x14ac:dyDescent="0.25">
      <c r="C560">
        <f>SUMIFS(Issuance!$H:$H,Issuance!$D:$D,Formulas!$B560,Issuance!$C:$C,Formulas!C$2)</f>
        <v>0</v>
      </c>
      <c r="D560">
        <f>SUMIFS(Issuance!$H:$H,Issuance!$D:$D,Formulas!$B560,Issuance!$C:$C,Formulas!D$2)</f>
        <v>0</v>
      </c>
      <c r="E560">
        <f t="shared" si="44"/>
        <v>0</v>
      </c>
      <c r="F560" s="41" t="str">
        <f t="shared" si="46"/>
        <v/>
      </c>
      <c r="I560">
        <f>SUMIFS(Buybacks!H:H,Buybacks!D:D,Formulas!H560)</f>
        <v>0</v>
      </c>
      <c r="J560" s="41" t="str">
        <f t="shared" si="47"/>
        <v/>
      </c>
      <c r="M560">
        <f>SUMIFS('Corporate activity'!$H:$H,'Corporate activity'!$D:$D,Formulas!$L560,'Corporate activity'!$C:$C,Formulas!M$2)</f>
        <v>0</v>
      </c>
      <c r="N560">
        <f>SUMIFS('Corporate activity'!$H:$H,'Corporate activity'!$D:$D,Formulas!$L560,'Corporate activity'!$C:$C,Formulas!N$2)</f>
        <v>0</v>
      </c>
      <c r="O560">
        <f>SUMIFS('Corporate activity'!$H:$H,'Corporate activity'!$D:$D,Formulas!$L560,'Corporate activity'!$C:$C,Formulas!O$2)</f>
        <v>0</v>
      </c>
      <c r="P560">
        <f t="shared" si="45"/>
        <v>0</v>
      </c>
      <c r="Q560" t="str">
        <f t="shared" si="48"/>
        <v/>
      </c>
    </row>
    <row r="561" spans="3:17" x14ac:dyDescent="0.25">
      <c r="C561">
        <f>SUMIFS(Issuance!$H:$H,Issuance!$D:$D,Formulas!$B561,Issuance!$C:$C,Formulas!C$2)</f>
        <v>0</v>
      </c>
      <c r="D561">
        <f>SUMIFS(Issuance!$H:$H,Issuance!$D:$D,Formulas!$B561,Issuance!$C:$C,Formulas!D$2)</f>
        <v>0</v>
      </c>
      <c r="E561">
        <f t="shared" si="44"/>
        <v>0</v>
      </c>
      <c r="F561" s="41" t="str">
        <f t="shared" si="46"/>
        <v/>
      </c>
      <c r="I561">
        <f>SUMIFS(Buybacks!H:H,Buybacks!D:D,Formulas!H561)</f>
        <v>0</v>
      </c>
      <c r="J561" s="41" t="str">
        <f t="shared" si="47"/>
        <v/>
      </c>
      <c r="M561">
        <f>SUMIFS('Corporate activity'!$H:$H,'Corporate activity'!$D:$D,Formulas!$L561,'Corporate activity'!$C:$C,Formulas!M$2)</f>
        <v>0</v>
      </c>
      <c r="N561">
        <f>SUMIFS('Corporate activity'!$H:$H,'Corporate activity'!$D:$D,Formulas!$L561,'Corporate activity'!$C:$C,Formulas!N$2)</f>
        <v>0</v>
      </c>
      <c r="O561">
        <f>SUMIFS('Corporate activity'!$H:$H,'Corporate activity'!$D:$D,Formulas!$L561,'Corporate activity'!$C:$C,Formulas!O$2)</f>
        <v>0</v>
      </c>
      <c r="P561">
        <f t="shared" si="45"/>
        <v>0</v>
      </c>
      <c r="Q561" t="str">
        <f t="shared" si="48"/>
        <v/>
      </c>
    </row>
    <row r="562" spans="3:17" x14ac:dyDescent="0.25">
      <c r="C562">
        <f>SUMIFS(Issuance!$H:$H,Issuance!$D:$D,Formulas!$B562,Issuance!$C:$C,Formulas!C$2)</f>
        <v>0</v>
      </c>
      <c r="D562">
        <f>SUMIFS(Issuance!$H:$H,Issuance!$D:$D,Formulas!$B562,Issuance!$C:$C,Formulas!D$2)</f>
        <v>0</v>
      </c>
      <c r="E562">
        <f t="shared" si="44"/>
        <v>0</v>
      </c>
      <c r="F562" s="41" t="str">
        <f t="shared" si="46"/>
        <v/>
      </c>
      <c r="I562">
        <f>SUMIFS(Buybacks!H:H,Buybacks!D:D,Formulas!H562)</f>
        <v>0</v>
      </c>
      <c r="J562" s="41" t="str">
        <f t="shared" si="47"/>
        <v/>
      </c>
      <c r="M562">
        <f>SUMIFS('Corporate activity'!$H:$H,'Corporate activity'!$D:$D,Formulas!$L562,'Corporate activity'!$C:$C,Formulas!M$2)</f>
        <v>0</v>
      </c>
      <c r="N562">
        <f>SUMIFS('Corporate activity'!$H:$H,'Corporate activity'!$D:$D,Formulas!$L562,'Corporate activity'!$C:$C,Formulas!N$2)</f>
        <v>0</v>
      </c>
      <c r="O562">
        <f>SUMIFS('Corporate activity'!$H:$H,'Corporate activity'!$D:$D,Formulas!$L562,'Corporate activity'!$C:$C,Formulas!O$2)</f>
        <v>0</v>
      </c>
      <c r="P562">
        <f t="shared" si="45"/>
        <v>0</v>
      </c>
      <c r="Q562" t="str">
        <f t="shared" si="48"/>
        <v/>
      </c>
    </row>
    <row r="563" spans="3:17" x14ac:dyDescent="0.25">
      <c r="C563">
        <f>SUMIFS(Issuance!$H:$H,Issuance!$D:$D,Formulas!$B563,Issuance!$C:$C,Formulas!C$2)</f>
        <v>0</v>
      </c>
      <c r="D563">
        <f>SUMIFS(Issuance!$H:$H,Issuance!$D:$D,Formulas!$B563,Issuance!$C:$C,Formulas!D$2)</f>
        <v>0</v>
      </c>
      <c r="E563">
        <f t="shared" ref="E563:E626" si="49">SUM(C563:D563)</f>
        <v>0</v>
      </c>
      <c r="F563" s="41" t="str">
        <f t="shared" si="46"/>
        <v/>
      </c>
      <c r="I563">
        <f>SUMIFS(Buybacks!H:H,Buybacks!D:D,Formulas!H563)</f>
        <v>0</v>
      </c>
      <c r="J563" s="41" t="str">
        <f t="shared" si="47"/>
        <v/>
      </c>
      <c r="M563">
        <f>SUMIFS('Corporate activity'!$H:$H,'Corporate activity'!$D:$D,Formulas!$L563,'Corporate activity'!$C:$C,Formulas!M$2)</f>
        <v>0</v>
      </c>
      <c r="N563">
        <f>SUMIFS('Corporate activity'!$H:$H,'Corporate activity'!$D:$D,Formulas!$L563,'Corporate activity'!$C:$C,Formulas!N$2)</f>
        <v>0</v>
      </c>
      <c r="O563">
        <f>SUMIFS('Corporate activity'!$H:$H,'Corporate activity'!$D:$D,Formulas!$L563,'Corporate activity'!$C:$C,Formulas!O$2)</f>
        <v>0</v>
      </c>
      <c r="P563">
        <f t="shared" ref="P563:P626" si="50">SUM(M563:O563)</f>
        <v>0</v>
      </c>
      <c r="Q563" t="str">
        <f t="shared" si="48"/>
        <v/>
      </c>
    </row>
    <row r="564" spans="3:17" x14ac:dyDescent="0.25">
      <c r="C564">
        <f>SUMIFS(Issuance!$H:$H,Issuance!$D:$D,Formulas!$B564,Issuance!$C:$C,Formulas!C$2)</f>
        <v>0</v>
      </c>
      <c r="D564">
        <f>SUMIFS(Issuance!$H:$H,Issuance!$D:$D,Formulas!$B564,Issuance!$C:$C,Formulas!D$2)</f>
        <v>0</v>
      </c>
      <c r="E564">
        <f t="shared" si="49"/>
        <v>0</v>
      </c>
      <c r="F564" s="41" t="str">
        <f t="shared" si="46"/>
        <v/>
      </c>
      <c r="I564">
        <f>SUMIFS(Buybacks!H:H,Buybacks!D:D,Formulas!H564)</f>
        <v>0</v>
      </c>
      <c r="J564" s="41" t="str">
        <f t="shared" si="47"/>
        <v/>
      </c>
      <c r="M564">
        <f>SUMIFS('Corporate activity'!$H:$H,'Corporate activity'!$D:$D,Formulas!$L564,'Corporate activity'!$C:$C,Formulas!M$2)</f>
        <v>0</v>
      </c>
      <c r="N564">
        <f>SUMIFS('Corporate activity'!$H:$H,'Corporate activity'!$D:$D,Formulas!$L564,'Corporate activity'!$C:$C,Formulas!N$2)</f>
        <v>0</v>
      </c>
      <c r="O564">
        <f>SUMIFS('Corporate activity'!$H:$H,'Corporate activity'!$D:$D,Formulas!$L564,'Corporate activity'!$C:$C,Formulas!O$2)</f>
        <v>0</v>
      </c>
      <c r="P564">
        <f t="shared" si="50"/>
        <v>0</v>
      </c>
      <c r="Q564" t="str">
        <f t="shared" si="48"/>
        <v/>
      </c>
    </row>
    <row r="565" spans="3:17" x14ac:dyDescent="0.25">
      <c r="C565">
        <f>SUMIFS(Issuance!$H:$H,Issuance!$D:$D,Formulas!$B565,Issuance!$C:$C,Formulas!C$2)</f>
        <v>0</v>
      </c>
      <c r="D565">
        <f>SUMIFS(Issuance!$H:$H,Issuance!$D:$D,Formulas!$B565,Issuance!$C:$C,Formulas!D$2)</f>
        <v>0</v>
      </c>
      <c r="E565">
        <f t="shared" si="49"/>
        <v>0</v>
      </c>
      <c r="F565" s="41" t="str">
        <f t="shared" si="46"/>
        <v/>
      </c>
      <c r="I565">
        <f>SUMIFS(Buybacks!H:H,Buybacks!D:D,Formulas!H565)</f>
        <v>0</v>
      </c>
      <c r="J565" s="41" t="str">
        <f t="shared" si="47"/>
        <v/>
      </c>
      <c r="M565">
        <f>SUMIFS('Corporate activity'!$H:$H,'Corporate activity'!$D:$D,Formulas!$L565,'Corporate activity'!$C:$C,Formulas!M$2)</f>
        <v>0</v>
      </c>
      <c r="N565">
        <f>SUMIFS('Corporate activity'!$H:$H,'Corporate activity'!$D:$D,Formulas!$L565,'Corporate activity'!$C:$C,Formulas!N$2)</f>
        <v>0</v>
      </c>
      <c r="O565">
        <f>SUMIFS('Corporate activity'!$H:$H,'Corporate activity'!$D:$D,Formulas!$L565,'Corporate activity'!$C:$C,Formulas!O$2)</f>
        <v>0</v>
      </c>
      <c r="P565">
        <f t="shared" si="50"/>
        <v>0</v>
      </c>
      <c r="Q565" t="str">
        <f t="shared" si="48"/>
        <v/>
      </c>
    </row>
    <row r="566" spans="3:17" x14ac:dyDescent="0.25">
      <c r="C566">
        <f>SUMIFS(Issuance!$H:$H,Issuance!$D:$D,Formulas!$B566,Issuance!$C:$C,Formulas!C$2)</f>
        <v>0</v>
      </c>
      <c r="D566">
        <f>SUMIFS(Issuance!$H:$H,Issuance!$D:$D,Formulas!$B566,Issuance!$C:$C,Formulas!D$2)</f>
        <v>0</v>
      </c>
      <c r="E566">
        <f t="shared" si="49"/>
        <v>0</v>
      </c>
      <c r="F566" s="41" t="str">
        <f t="shared" si="46"/>
        <v/>
      </c>
      <c r="I566">
        <f>SUMIFS(Buybacks!H:H,Buybacks!D:D,Formulas!H566)</f>
        <v>0</v>
      </c>
      <c r="J566" s="41" t="str">
        <f t="shared" si="47"/>
        <v/>
      </c>
      <c r="M566">
        <f>SUMIFS('Corporate activity'!$H:$H,'Corporate activity'!$D:$D,Formulas!$L566,'Corporate activity'!$C:$C,Formulas!M$2)</f>
        <v>0</v>
      </c>
      <c r="N566">
        <f>SUMIFS('Corporate activity'!$H:$H,'Corporate activity'!$D:$D,Formulas!$L566,'Corporate activity'!$C:$C,Formulas!N$2)</f>
        <v>0</v>
      </c>
      <c r="O566">
        <f>SUMIFS('Corporate activity'!$H:$H,'Corporate activity'!$D:$D,Formulas!$L566,'Corporate activity'!$C:$C,Formulas!O$2)</f>
        <v>0</v>
      </c>
      <c r="P566">
        <f t="shared" si="50"/>
        <v>0</v>
      </c>
      <c r="Q566" t="str">
        <f t="shared" si="48"/>
        <v/>
      </c>
    </row>
    <row r="567" spans="3:17" x14ac:dyDescent="0.25">
      <c r="C567">
        <f>SUMIFS(Issuance!$H:$H,Issuance!$D:$D,Formulas!$B567,Issuance!$C:$C,Formulas!C$2)</f>
        <v>0</v>
      </c>
      <c r="D567">
        <f>SUMIFS(Issuance!$H:$H,Issuance!$D:$D,Formulas!$B567,Issuance!$C:$C,Formulas!D$2)</f>
        <v>0</v>
      </c>
      <c r="E567">
        <f t="shared" si="49"/>
        <v>0</v>
      </c>
      <c r="F567" s="41" t="str">
        <f t="shared" si="46"/>
        <v/>
      </c>
      <c r="I567">
        <f>SUMIFS(Buybacks!H:H,Buybacks!D:D,Formulas!H567)</f>
        <v>0</v>
      </c>
      <c r="J567" s="41" t="str">
        <f t="shared" si="47"/>
        <v/>
      </c>
      <c r="M567">
        <f>SUMIFS('Corporate activity'!$H:$H,'Corporate activity'!$D:$D,Formulas!$L567,'Corporate activity'!$C:$C,Formulas!M$2)</f>
        <v>0</v>
      </c>
      <c r="N567">
        <f>SUMIFS('Corporate activity'!$H:$H,'Corporate activity'!$D:$D,Formulas!$L567,'Corporate activity'!$C:$C,Formulas!N$2)</f>
        <v>0</v>
      </c>
      <c r="O567">
        <f>SUMIFS('Corporate activity'!$H:$H,'Corporate activity'!$D:$D,Formulas!$L567,'Corporate activity'!$C:$C,Formulas!O$2)</f>
        <v>0</v>
      </c>
      <c r="P567">
        <f t="shared" si="50"/>
        <v>0</v>
      </c>
      <c r="Q567" t="str">
        <f t="shared" si="48"/>
        <v/>
      </c>
    </row>
    <row r="568" spans="3:17" x14ac:dyDescent="0.25">
      <c r="C568">
        <f>SUMIFS(Issuance!$H:$H,Issuance!$D:$D,Formulas!$B568,Issuance!$C:$C,Formulas!C$2)</f>
        <v>0</v>
      </c>
      <c r="D568">
        <f>SUMIFS(Issuance!$H:$H,Issuance!$D:$D,Formulas!$B568,Issuance!$C:$C,Formulas!D$2)</f>
        <v>0</v>
      </c>
      <c r="E568">
        <f t="shared" si="49"/>
        <v>0</v>
      </c>
      <c r="F568" s="41" t="str">
        <f t="shared" si="46"/>
        <v/>
      </c>
      <c r="I568">
        <f>SUMIFS(Buybacks!H:H,Buybacks!D:D,Formulas!H568)</f>
        <v>0</v>
      </c>
      <c r="J568" s="41" t="str">
        <f t="shared" si="47"/>
        <v/>
      </c>
      <c r="M568">
        <f>SUMIFS('Corporate activity'!$H:$H,'Corporate activity'!$D:$D,Formulas!$L568,'Corporate activity'!$C:$C,Formulas!M$2)</f>
        <v>0</v>
      </c>
      <c r="N568">
        <f>SUMIFS('Corporate activity'!$H:$H,'Corporate activity'!$D:$D,Formulas!$L568,'Corporate activity'!$C:$C,Formulas!N$2)</f>
        <v>0</v>
      </c>
      <c r="O568">
        <f>SUMIFS('Corporate activity'!$H:$H,'Corporate activity'!$D:$D,Formulas!$L568,'Corporate activity'!$C:$C,Formulas!O$2)</f>
        <v>0</v>
      </c>
      <c r="P568">
        <f t="shared" si="50"/>
        <v>0</v>
      </c>
      <c r="Q568" t="str">
        <f t="shared" si="48"/>
        <v/>
      </c>
    </row>
    <row r="569" spans="3:17" x14ac:dyDescent="0.25">
      <c r="C569">
        <f>SUMIFS(Issuance!$H:$H,Issuance!$D:$D,Formulas!$B569,Issuance!$C:$C,Formulas!C$2)</f>
        <v>0</v>
      </c>
      <c r="D569">
        <f>SUMIFS(Issuance!$H:$H,Issuance!$D:$D,Formulas!$B569,Issuance!$C:$C,Formulas!D$2)</f>
        <v>0</v>
      </c>
      <c r="E569">
        <f t="shared" si="49"/>
        <v>0</v>
      </c>
      <c r="F569" s="41" t="str">
        <f t="shared" si="46"/>
        <v/>
      </c>
      <c r="I569">
        <f>SUMIFS(Buybacks!H:H,Buybacks!D:D,Formulas!H569)</f>
        <v>0</v>
      </c>
      <c r="J569" s="41" t="str">
        <f t="shared" si="47"/>
        <v/>
      </c>
      <c r="M569">
        <f>SUMIFS('Corporate activity'!$H:$H,'Corporate activity'!$D:$D,Formulas!$L569,'Corporate activity'!$C:$C,Formulas!M$2)</f>
        <v>0</v>
      </c>
      <c r="N569">
        <f>SUMIFS('Corporate activity'!$H:$H,'Corporate activity'!$D:$D,Formulas!$L569,'Corporate activity'!$C:$C,Formulas!N$2)</f>
        <v>0</v>
      </c>
      <c r="O569">
        <f>SUMIFS('Corporate activity'!$H:$H,'Corporate activity'!$D:$D,Formulas!$L569,'Corporate activity'!$C:$C,Formulas!O$2)</f>
        <v>0</v>
      </c>
      <c r="P569">
        <f t="shared" si="50"/>
        <v>0</v>
      </c>
      <c r="Q569" t="str">
        <f t="shared" si="48"/>
        <v/>
      </c>
    </row>
    <row r="570" spans="3:17" x14ac:dyDescent="0.25">
      <c r="C570">
        <f>SUMIFS(Issuance!$H:$H,Issuance!$D:$D,Formulas!$B570,Issuance!$C:$C,Formulas!C$2)</f>
        <v>0</v>
      </c>
      <c r="D570">
        <f>SUMIFS(Issuance!$H:$H,Issuance!$D:$D,Formulas!$B570,Issuance!$C:$C,Formulas!D$2)</f>
        <v>0</v>
      </c>
      <c r="E570">
        <f t="shared" si="49"/>
        <v>0</v>
      </c>
      <c r="F570" s="41" t="str">
        <f t="shared" si="46"/>
        <v/>
      </c>
      <c r="I570">
        <f>SUMIFS(Buybacks!H:H,Buybacks!D:D,Formulas!H570)</f>
        <v>0</v>
      </c>
      <c r="J570" s="41" t="str">
        <f t="shared" si="47"/>
        <v/>
      </c>
      <c r="M570">
        <f>SUMIFS('Corporate activity'!$H:$H,'Corporate activity'!$D:$D,Formulas!$L570,'Corporate activity'!$C:$C,Formulas!M$2)</f>
        <v>0</v>
      </c>
      <c r="N570">
        <f>SUMIFS('Corporate activity'!$H:$H,'Corporate activity'!$D:$D,Formulas!$L570,'Corporate activity'!$C:$C,Formulas!N$2)</f>
        <v>0</v>
      </c>
      <c r="O570">
        <f>SUMIFS('Corporate activity'!$H:$H,'Corporate activity'!$D:$D,Formulas!$L570,'Corporate activity'!$C:$C,Formulas!O$2)</f>
        <v>0</v>
      </c>
      <c r="P570">
        <f t="shared" si="50"/>
        <v>0</v>
      </c>
      <c r="Q570" t="str">
        <f t="shared" si="48"/>
        <v/>
      </c>
    </row>
    <row r="571" spans="3:17" x14ac:dyDescent="0.25">
      <c r="C571">
        <f>SUMIFS(Issuance!$H:$H,Issuance!$D:$D,Formulas!$B571,Issuance!$C:$C,Formulas!C$2)</f>
        <v>0</v>
      </c>
      <c r="D571">
        <f>SUMIFS(Issuance!$H:$H,Issuance!$D:$D,Formulas!$B571,Issuance!$C:$C,Formulas!D$2)</f>
        <v>0</v>
      </c>
      <c r="E571">
        <f t="shared" si="49"/>
        <v>0</v>
      </c>
      <c r="F571" s="41" t="str">
        <f t="shared" si="46"/>
        <v/>
      </c>
      <c r="I571">
        <f>SUMIFS(Buybacks!H:H,Buybacks!D:D,Formulas!H571)</f>
        <v>0</v>
      </c>
      <c r="J571" s="41" t="str">
        <f t="shared" si="47"/>
        <v/>
      </c>
      <c r="M571">
        <f>SUMIFS('Corporate activity'!$H:$H,'Corporate activity'!$D:$D,Formulas!$L571,'Corporate activity'!$C:$C,Formulas!M$2)</f>
        <v>0</v>
      </c>
      <c r="N571">
        <f>SUMIFS('Corporate activity'!$H:$H,'Corporate activity'!$D:$D,Formulas!$L571,'Corporate activity'!$C:$C,Formulas!N$2)</f>
        <v>0</v>
      </c>
      <c r="O571">
        <f>SUMIFS('Corporate activity'!$H:$H,'Corporate activity'!$D:$D,Formulas!$L571,'Corporate activity'!$C:$C,Formulas!O$2)</f>
        <v>0</v>
      </c>
      <c r="P571">
        <f t="shared" si="50"/>
        <v>0</v>
      </c>
      <c r="Q571" t="str">
        <f t="shared" si="48"/>
        <v/>
      </c>
    </row>
    <row r="572" spans="3:17" x14ac:dyDescent="0.25">
      <c r="C572">
        <f>SUMIFS(Issuance!$H:$H,Issuance!$D:$D,Formulas!$B572,Issuance!$C:$C,Formulas!C$2)</f>
        <v>0</v>
      </c>
      <c r="D572">
        <f>SUMIFS(Issuance!$H:$H,Issuance!$D:$D,Formulas!$B572,Issuance!$C:$C,Formulas!D$2)</f>
        <v>0</v>
      </c>
      <c r="E572">
        <f t="shared" si="49"/>
        <v>0</v>
      </c>
      <c r="F572" s="41" t="str">
        <f t="shared" si="46"/>
        <v/>
      </c>
      <c r="I572">
        <f>SUMIFS(Buybacks!H:H,Buybacks!D:D,Formulas!H572)</f>
        <v>0</v>
      </c>
      <c r="J572" s="41" t="str">
        <f t="shared" si="47"/>
        <v/>
      </c>
      <c r="M572">
        <f>SUMIFS('Corporate activity'!$H:$H,'Corporate activity'!$D:$D,Formulas!$L572,'Corporate activity'!$C:$C,Formulas!M$2)</f>
        <v>0</v>
      </c>
      <c r="N572">
        <f>SUMIFS('Corporate activity'!$H:$H,'Corporate activity'!$D:$D,Formulas!$L572,'Corporate activity'!$C:$C,Formulas!N$2)</f>
        <v>0</v>
      </c>
      <c r="O572">
        <f>SUMIFS('Corporate activity'!$H:$H,'Corporate activity'!$D:$D,Formulas!$L572,'Corporate activity'!$C:$C,Formulas!O$2)</f>
        <v>0</v>
      </c>
      <c r="P572">
        <f t="shared" si="50"/>
        <v>0</v>
      </c>
      <c r="Q572" t="str">
        <f t="shared" si="48"/>
        <v/>
      </c>
    </row>
    <row r="573" spans="3:17" x14ac:dyDescent="0.25">
      <c r="C573">
        <f>SUMIFS(Issuance!$H:$H,Issuance!$D:$D,Formulas!$B573,Issuance!$C:$C,Formulas!C$2)</f>
        <v>0</v>
      </c>
      <c r="D573">
        <f>SUMIFS(Issuance!$H:$H,Issuance!$D:$D,Formulas!$B573,Issuance!$C:$C,Formulas!D$2)</f>
        <v>0</v>
      </c>
      <c r="E573">
        <f t="shared" si="49"/>
        <v>0</v>
      </c>
      <c r="F573" s="41" t="str">
        <f t="shared" si="46"/>
        <v/>
      </c>
      <c r="I573">
        <f>SUMIFS(Buybacks!H:H,Buybacks!D:D,Formulas!H573)</f>
        <v>0</v>
      </c>
      <c r="J573" s="41" t="str">
        <f t="shared" si="47"/>
        <v/>
      </c>
      <c r="M573">
        <f>SUMIFS('Corporate activity'!$H:$H,'Corporate activity'!$D:$D,Formulas!$L573,'Corporate activity'!$C:$C,Formulas!M$2)</f>
        <v>0</v>
      </c>
      <c r="N573">
        <f>SUMIFS('Corporate activity'!$H:$H,'Corporate activity'!$D:$D,Formulas!$L573,'Corporate activity'!$C:$C,Formulas!N$2)</f>
        <v>0</v>
      </c>
      <c r="O573">
        <f>SUMIFS('Corporate activity'!$H:$H,'Corporate activity'!$D:$D,Formulas!$L573,'Corporate activity'!$C:$C,Formulas!O$2)</f>
        <v>0</v>
      </c>
      <c r="P573">
        <f t="shared" si="50"/>
        <v>0</v>
      </c>
      <c r="Q573" t="str">
        <f t="shared" si="48"/>
        <v/>
      </c>
    </row>
    <row r="574" spans="3:17" x14ac:dyDescent="0.25">
      <c r="C574">
        <f>SUMIFS(Issuance!$H:$H,Issuance!$D:$D,Formulas!$B574,Issuance!$C:$C,Formulas!C$2)</f>
        <v>0</v>
      </c>
      <c r="D574">
        <f>SUMIFS(Issuance!$H:$H,Issuance!$D:$D,Formulas!$B574,Issuance!$C:$C,Formulas!D$2)</f>
        <v>0</v>
      </c>
      <c r="E574">
        <f t="shared" si="49"/>
        <v>0</v>
      </c>
      <c r="F574" s="41" t="str">
        <f t="shared" si="46"/>
        <v/>
      </c>
      <c r="I574">
        <f>SUMIFS(Buybacks!H:H,Buybacks!D:D,Formulas!H574)</f>
        <v>0</v>
      </c>
      <c r="J574" s="41" t="str">
        <f t="shared" si="47"/>
        <v/>
      </c>
      <c r="M574">
        <f>SUMIFS('Corporate activity'!$H:$H,'Corporate activity'!$D:$D,Formulas!$L574,'Corporate activity'!$C:$C,Formulas!M$2)</f>
        <v>0</v>
      </c>
      <c r="N574">
        <f>SUMIFS('Corporate activity'!$H:$H,'Corporate activity'!$D:$D,Formulas!$L574,'Corporate activity'!$C:$C,Formulas!N$2)</f>
        <v>0</v>
      </c>
      <c r="O574">
        <f>SUMIFS('Corporate activity'!$H:$H,'Corporate activity'!$D:$D,Formulas!$L574,'Corporate activity'!$C:$C,Formulas!O$2)</f>
        <v>0</v>
      </c>
      <c r="P574">
        <f t="shared" si="50"/>
        <v>0</v>
      </c>
      <c r="Q574" t="str">
        <f t="shared" si="48"/>
        <v/>
      </c>
    </row>
    <row r="575" spans="3:17" x14ac:dyDescent="0.25">
      <c r="C575">
        <f>SUMIFS(Issuance!$H:$H,Issuance!$D:$D,Formulas!$B575,Issuance!$C:$C,Formulas!C$2)</f>
        <v>0</v>
      </c>
      <c r="D575">
        <f>SUMIFS(Issuance!$H:$H,Issuance!$D:$D,Formulas!$B575,Issuance!$C:$C,Formulas!D$2)</f>
        <v>0</v>
      </c>
      <c r="E575">
        <f t="shared" si="49"/>
        <v>0</v>
      </c>
      <c r="F575" s="41" t="str">
        <f t="shared" si="46"/>
        <v/>
      </c>
      <c r="I575">
        <f>SUMIFS(Buybacks!H:H,Buybacks!D:D,Formulas!H575)</f>
        <v>0</v>
      </c>
      <c r="J575" s="41" t="str">
        <f t="shared" si="47"/>
        <v/>
      </c>
      <c r="M575">
        <f>SUMIFS('Corporate activity'!$H:$H,'Corporate activity'!$D:$D,Formulas!$L575,'Corporate activity'!$C:$C,Formulas!M$2)</f>
        <v>0</v>
      </c>
      <c r="N575">
        <f>SUMIFS('Corporate activity'!$H:$H,'Corporate activity'!$D:$D,Formulas!$L575,'Corporate activity'!$C:$C,Formulas!N$2)</f>
        <v>0</v>
      </c>
      <c r="O575">
        <f>SUMIFS('Corporate activity'!$H:$H,'Corporate activity'!$D:$D,Formulas!$L575,'Corporate activity'!$C:$C,Formulas!O$2)</f>
        <v>0</v>
      </c>
      <c r="P575">
        <f t="shared" si="50"/>
        <v>0</v>
      </c>
      <c r="Q575" t="str">
        <f t="shared" si="48"/>
        <v/>
      </c>
    </row>
    <row r="576" spans="3:17" x14ac:dyDescent="0.25">
      <c r="C576">
        <f>SUMIFS(Issuance!$H:$H,Issuance!$D:$D,Formulas!$B576,Issuance!$C:$C,Formulas!C$2)</f>
        <v>0</v>
      </c>
      <c r="D576">
        <f>SUMIFS(Issuance!$H:$H,Issuance!$D:$D,Formulas!$B576,Issuance!$C:$C,Formulas!D$2)</f>
        <v>0</v>
      </c>
      <c r="E576">
        <f t="shared" si="49"/>
        <v>0</v>
      </c>
      <c r="F576" s="41" t="str">
        <f t="shared" si="46"/>
        <v/>
      </c>
      <c r="I576">
        <f>SUMIFS(Buybacks!H:H,Buybacks!D:D,Formulas!H576)</f>
        <v>0</v>
      </c>
      <c r="J576" s="41" t="str">
        <f t="shared" si="47"/>
        <v/>
      </c>
      <c r="M576">
        <f>SUMIFS('Corporate activity'!$H:$H,'Corporate activity'!$D:$D,Formulas!$L576,'Corporate activity'!$C:$C,Formulas!M$2)</f>
        <v>0</v>
      </c>
      <c r="N576">
        <f>SUMIFS('Corporate activity'!$H:$H,'Corporate activity'!$D:$D,Formulas!$L576,'Corporate activity'!$C:$C,Formulas!N$2)</f>
        <v>0</v>
      </c>
      <c r="O576">
        <f>SUMIFS('Corporate activity'!$H:$H,'Corporate activity'!$D:$D,Formulas!$L576,'Corporate activity'!$C:$C,Formulas!O$2)</f>
        <v>0</v>
      </c>
      <c r="P576">
        <f t="shared" si="50"/>
        <v>0</v>
      </c>
      <c r="Q576" t="str">
        <f t="shared" si="48"/>
        <v/>
      </c>
    </row>
    <row r="577" spans="3:17" x14ac:dyDescent="0.25">
      <c r="C577">
        <f>SUMIFS(Issuance!$H:$H,Issuance!$D:$D,Formulas!$B577,Issuance!$C:$C,Formulas!C$2)</f>
        <v>0</v>
      </c>
      <c r="D577">
        <f>SUMIFS(Issuance!$H:$H,Issuance!$D:$D,Formulas!$B577,Issuance!$C:$C,Formulas!D$2)</f>
        <v>0</v>
      </c>
      <c r="E577">
        <f t="shared" si="49"/>
        <v>0</v>
      </c>
      <c r="F577" s="41" t="str">
        <f t="shared" si="46"/>
        <v/>
      </c>
      <c r="I577">
        <f>SUMIFS(Buybacks!H:H,Buybacks!D:D,Formulas!H577)</f>
        <v>0</v>
      </c>
      <c r="J577" s="41" t="str">
        <f t="shared" si="47"/>
        <v/>
      </c>
      <c r="M577">
        <f>SUMIFS('Corporate activity'!$H:$H,'Corporate activity'!$D:$D,Formulas!$L577,'Corporate activity'!$C:$C,Formulas!M$2)</f>
        <v>0</v>
      </c>
      <c r="N577">
        <f>SUMIFS('Corporate activity'!$H:$H,'Corporate activity'!$D:$D,Formulas!$L577,'Corporate activity'!$C:$C,Formulas!N$2)</f>
        <v>0</v>
      </c>
      <c r="O577">
        <f>SUMIFS('Corporate activity'!$H:$H,'Corporate activity'!$D:$D,Formulas!$L577,'Corporate activity'!$C:$C,Formulas!O$2)</f>
        <v>0</v>
      </c>
      <c r="P577">
        <f t="shared" si="50"/>
        <v>0</v>
      </c>
      <c r="Q577" t="str">
        <f t="shared" si="48"/>
        <v/>
      </c>
    </row>
    <row r="578" spans="3:17" x14ac:dyDescent="0.25">
      <c r="C578">
        <f>SUMIFS(Issuance!$H:$H,Issuance!$D:$D,Formulas!$B578,Issuance!$C:$C,Formulas!C$2)</f>
        <v>0</v>
      </c>
      <c r="D578">
        <f>SUMIFS(Issuance!$H:$H,Issuance!$D:$D,Formulas!$B578,Issuance!$C:$C,Formulas!D$2)</f>
        <v>0</v>
      </c>
      <c r="E578">
        <f t="shared" si="49"/>
        <v>0</v>
      </c>
      <c r="F578" s="41" t="str">
        <f t="shared" si="46"/>
        <v/>
      </c>
      <c r="I578">
        <f>SUMIFS(Buybacks!H:H,Buybacks!D:D,Formulas!H578)</f>
        <v>0</v>
      </c>
      <c r="J578" s="41" t="str">
        <f t="shared" si="47"/>
        <v/>
      </c>
      <c r="M578">
        <f>SUMIFS('Corporate activity'!$H:$H,'Corporate activity'!$D:$D,Formulas!$L578,'Corporate activity'!$C:$C,Formulas!M$2)</f>
        <v>0</v>
      </c>
      <c r="N578">
        <f>SUMIFS('Corporate activity'!$H:$H,'Corporate activity'!$D:$D,Formulas!$L578,'Corporate activity'!$C:$C,Formulas!N$2)</f>
        <v>0</v>
      </c>
      <c r="O578">
        <f>SUMIFS('Corporate activity'!$H:$H,'Corporate activity'!$D:$D,Formulas!$L578,'Corporate activity'!$C:$C,Formulas!O$2)</f>
        <v>0</v>
      </c>
      <c r="P578">
        <f t="shared" si="50"/>
        <v>0</v>
      </c>
      <c r="Q578" t="str">
        <f t="shared" si="48"/>
        <v/>
      </c>
    </row>
    <row r="579" spans="3:17" x14ac:dyDescent="0.25">
      <c r="C579">
        <f>SUMIFS(Issuance!$H:$H,Issuance!$D:$D,Formulas!$B579,Issuance!$C:$C,Formulas!C$2)</f>
        <v>0</v>
      </c>
      <c r="D579">
        <f>SUMIFS(Issuance!$H:$H,Issuance!$D:$D,Formulas!$B579,Issuance!$C:$C,Formulas!D$2)</f>
        <v>0</v>
      </c>
      <c r="E579">
        <f t="shared" si="49"/>
        <v>0</v>
      </c>
      <c r="F579" s="41" t="str">
        <f t="shared" si="46"/>
        <v/>
      </c>
      <c r="I579">
        <f>SUMIFS(Buybacks!H:H,Buybacks!D:D,Formulas!H579)</f>
        <v>0</v>
      </c>
      <c r="J579" s="41" t="str">
        <f t="shared" si="47"/>
        <v/>
      </c>
      <c r="M579">
        <f>SUMIFS('Corporate activity'!$H:$H,'Corporate activity'!$D:$D,Formulas!$L579,'Corporate activity'!$C:$C,Formulas!M$2)</f>
        <v>0</v>
      </c>
      <c r="N579">
        <f>SUMIFS('Corporate activity'!$H:$H,'Corporate activity'!$D:$D,Formulas!$L579,'Corporate activity'!$C:$C,Formulas!N$2)</f>
        <v>0</v>
      </c>
      <c r="O579">
        <f>SUMIFS('Corporate activity'!$H:$H,'Corporate activity'!$D:$D,Formulas!$L579,'Corporate activity'!$C:$C,Formulas!O$2)</f>
        <v>0</v>
      </c>
      <c r="P579">
        <f t="shared" si="50"/>
        <v>0</v>
      </c>
      <c r="Q579" t="str">
        <f t="shared" si="48"/>
        <v/>
      </c>
    </row>
    <row r="580" spans="3:17" x14ac:dyDescent="0.25">
      <c r="C580">
        <f>SUMIFS(Issuance!$H:$H,Issuance!$D:$D,Formulas!$B580,Issuance!$C:$C,Formulas!C$2)</f>
        <v>0</v>
      </c>
      <c r="D580">
        <f>SUMIFS(Issuance!$H:$H,Issuance!$D:$D,Formulas!$B580,Issuance!$C:$C,Formulas!D$2)</f>
        <v>0</v>
      </c>
      <c r="E580">
        <f t="shared" si="49"/>
        <v>0</v>
      </c>
      <c r="F580" s="41" t="str">
        <f t="shared" ref="F580:F643" si="51">IF(OR(B580="",B580=0,E580=0),"",IF(COUNTIFS($E$3:$E$500,"&gt;"&amp;E580,$E$3:$E$500,"&lt;&gt;0")+1&lt;=20,COUNTIFS($E$3:$E$500,"&gt;"&amp;E580,$E$3:$E$500,"&lt;&gt;0")+1,""))</f>
        <v/>
      </c>
      <c r="I580">
        <f>SUMIFS(Buybacks!H:H,Buybacks!D:D,Formulas!H580)</f>
        <v>0</v>
      </c>
      <c r="J580" s="41" t="str">
        <f t="shared" ref="J580:J643" si="52">IF(OR(H580="",H580=0,I580=0),"",IF(COUNTIFS($I$3:$I$500,"&lt;"&amp;I580,$I$3:$I$500,"&lt;&gt;0")+1&lt;=20,COUNTIFS($I$3:$I$500,"&lt;"&amp;I580,$I$3:$I$500,"&lt;&gt;0")+1,""))</f>
        <v/>
      </c>
      <c r="M580">
        <f>SUMIFS('Corporate activity'!$H:$H,'Corporate activity'!$D:$D,Formulas!$L580,'Corporate activity'!$C:$C,Formulas!M$2)</f>
        <v>0</v>
      </c>
      <c r="N580">
        <f>SUMIFS('Corporate activity'!$H:$H,'Corporate activity'!$D:$D,Formulas!$L580,'Corporate activity'!$C:$C,Formulas!N$2)</f>
        <v>0</v>
      </c>
      <c r="O580">
        <f>SUMIFS('Corporate activity'!$H:$H,'Corporate activity'!$D:$D,Formulas!$L580,'Corporate activity'!$C:$C,Formulas!O$2)</f>
        <v>0</v>
      </c>
      <c r="P580">
        <f t="shared" si="50"/>
        <v>0</v>
      </c>
      <c r="Q580" t="str">
        <f t="shared" si="48"/>
        <v/>
      </c>
    </row>
    <row r="581" spans="3:17" x14ac:dyDescent="0.25">
      <c r="C581">
        <f>SUMIFS(Issuance!$H:$H,Issuance!$D:$D,Formulas!$B581,Issuance!$C:$C,Formulas!C$2)</f>
        <v>0</v>
      </c>
      <c r="D581">
        <f>SUMIFS(Issuance!$H:$H,Issuance!$D:$D,Formulas!$B581,Issuance!$C:$C,Formulas!D$2)</f>
        <v>0</v>
      </c>
      <c r="E581">
        <f t="shared" si="49"/>
        <v>0</v>
      </c>
      <c r="F581" s="41" t="str">
        <f t="shared" si="51"/>
        <v/>
      </c>
      <c r="I581">
        <f>SUMIFS(Buybacks!H:H,Buybacks!D:D,Formulas!H581)</f>
        <v>0</v>
      </c>
      <c r="J581" s="41" t="str">
        <f t="shared" si="52"/>
        <v/>
      </c>
      <c r="M581">
        <f>SUMIFS('Corporate activity'!$H:$H,'Corporate activity'!$D:$D,Formulas!$L581,'Corporate activity'!$C:$C,Formulas!M$2)</f>
        <v>0</v>
      </c>
      <c r="N581">
        <f>SUMIFS('Corporate activity'!$H:$H,'Corporate activity'!$D:$D,Formulas!$L581,'Corporate activity'!$C:$C,Formulas!N$2)</f>
        <v>0</v>
      </c>
      <c r="O581">
        <f>SUMIFS('Corporate activity'!$H:$H,'Corporate activity'!$D:$D,Formulas!$L581,'Corporate activity'!$C:$C,Formulas!O$2)</f>
        <v>0</v>
      </c>
      <c r="P581">
        <f t="shared" si="50"/>
        <v>0</v>
      </c>
      <c r="Q581" t="str">
        <f t="shared" si="48"/>
        <v/>
      </c>
    </row>
    <row r="582" spans="3:17" x14ac:dyDescent="0.25">
      <c r="C582">
        <f>SUMIFS(Issuance!$H:$H,Issuance!$D:$D,Formulas!$B582,Issuance!$C:$C,Formulas!C$2)</f>
        <v>0</v>
      </c>
      <c r="D582">
        <f>SUMIFS(Issuance!$H:$H,Issuance!$D:$D,Formulas!$B582,Issuance!$C:$C,Formulas!D$2)</f>
        <v>0</v>
      </c>
      <c r="E582">
        <f t="shared" si="49"/>
        <v>0</v>
      </c>
      <c r="F582" s="41" t="str">
        <f t="shared" si="51"/>
        <v/>
      </c>
      <c r="I582">
        <f>SUMIFS(Buybacks!H:H,Buybacks!D:D,Formulas!H582)</f>
        <v>0</v>
      </c>
      <c r="J582" s="41" t="str">
        <f t="shared" si="52"/>
        <v/>
      </c>
      <c r="M582">
        <f>SUMIFS('Corporate activity'!$H:$H,'Corporate activity'!$D:$D,Formulas!$L582,'Corporate activity'!$C:$C,Formulas!M$2)</f>
        <v>0</v>
      </c>
      <c r="N582">
        <f>SUMIFS('Corporate activity'!$H:$H,'Corporate activity'!$D:$D,Formulas!$L582,'Corporate activity'!$C:$C,Formulas!N$2)</f>
        <v>0</v>
      </c>
      <c r="O582">
        <f>SUMIFS('Corporate activity'!$H:$H,'Corporate activity'!$D:$D,Formulas!$L582,'Corporate activity'!$C:$C,Formulas!O$2)</f>
        <v>0</v>
      </c>
      <c r="P582">
        <f t="shared" si="50"/>
        <v>0</v>
      </c>
      <c r="Q582" t="str">
        <f t="shared" si="48"/>
        <v/>
      </c>
    </row>
    <row r="583" spans="3:17" x14ac:dyDescent="0.25">
      <c r="C583">
        <f>SUMIFS(Issuance!$H:$H,Issuance!$D:$D,Formulas!$B583,Issuance!$C:$C,Formulas!C$2)</f>
        <v>0</v>
      </c>
      <c r="D583">
        <f>SUMIFS(Issuance!$H:$H,Issuance!$D:$D,Formulas!$B583,Issuance!$C:$C,Formulas!D$2)</f>
        <v>0</v>
      </c>
      <c r="E583">
        <f t="shared" si="49"/>
        <v>0</v>
      </c>
      <c r="F583" s="41" t="str">
        <f t="shared" si="51"/>
        <v/>
      </c>
      <c r="I583">
        <f>SUMIFS(Buybacks!H:H,Buybacks!D:D,Formulas!H583)</f>
        <v>0</v>
      </c>
      <c r="J583" s="41" t="str">
        <f t="shared" si="52"/>
        <v/>
      </c>
      <c r="M583">
        <f>SUMIFS('Corporate activity'!$H:$H,'Corporate activity'!$D:$D,Formulas!$L583,'Corporate activity'!$C:$C,Formulas!M$2)</f>
        <v>0</v>
      </c>
      <c r="N583">
        <f>SUMIFS('Corporate activity'!$H:$H,'Corporate activity'!$D:$D,Formulas!$L583,'Corporate activity'!$C:$C,Formulas!N$2)</f>
        <v>0</v>
      </c>
      <c r="O583">
        <f>SUMIFS('Corporate activity'!$H:$H,'Corporate activity'!$D:$D,Formulas!$L583,'Corporate activity'!$C:$C,Formulas!O$2)</f>
        <v>0</v>
      </c>
      <c r="P583">
        <f t="shared" si="50"/>
        <v>0</v>
      </c>
      <c r="Q583" t="str">
        <f t="shared" si="48"/>
        <v/>
      </c>
    </row>
    <row r="584" spans="3:17" x14ac:dyDescent="0.25">
      <c r="C584">
        <f>SUMIFS(Issuance!$H:$H,Issuance!$D:$D,Formulas!$B584,Issuance!$C:$C,Formulas!C$2)</f>
        <v>0</v>
      </c>
      <c r="D584">
        <f>SUMIFS(Issuance!$H:$H,Issuance!$D:$D,Formulas!$B584,Issuance!$C:$C,Formulas!D$2)</f>
        <v>0</v>
      </c>
      <c r="E584">
        <f t="shared" si="49"/>
        <v>0</v>
      </c>
      <c r="F584" s="41" t="str">
        <f t="shared" si="51"/>
        <v/>
      </c>
      <c r="I584">
        <f>SUMIFS(Buybacks!H:H,Buybacks!D:D,Formulas!H584)</f>
        <v>0</v>
      </c>
      <c r="J584" s="41" t="str">
        <f t="shared" si="52"/>
        <v/>
      </c>
      <c r="M584">
        <f>SUMIFS('Corporate activity'!$H:$H,'Corporate activity'!$D:$D,Formulas!$L584,'Corporate activity'!$C:$C,Formulas!M$2)</f>
        <v>0</v>
      </c>
      <c r="N584">
        <f>SUMIFS('Corporate activity'!$H:$H,'Corporate activity'!$D:$D,Formulas!$L584,'Corporate activity'!$C:$C,Formulas!N$2)</f>
        <v>0</v>
      </c>
      <c r="O584">
        <f>SUMIFS('Corporate activity'!$H:$H,'Corporate activity'!$D:$D,Formulas!$L584,'Corporate activity'!$C:$C,Formulas!O$2)</f>
        <v>0</v>
      </c>
      <c r="P584">
        <f t="shared" si="50"/>
        <v>0</v>
      </c>
      <c r="Q584" t="str">
        <f t="shared" si="48"/>
        <v/>
      </c>
    </row>
    <row r="585" spans="3:17" x14ac:dyDescent="0.25">
      <c r="C585">
        <f>SUMIFS(Issuance!$H:$H,Issuance!$D:$D,Formulas!$B585,Issuance!$C:$C,Formulas!C$2)</f>
        <v>0</v>
      </c>
      <c r="D585">
        <f>SUMIFS(Issuance!$H:$H,Issuance!$D:$D,Formulas!$B585,Issuance!$C:$C,Formulas!D$2)</f>
        <v>0</v>
      </c>
      <c r="E585">
        <f t="shared" si="49"/>
        <v>0</v>
      </c>
      <c r="F585" s="41" t="str">
        <f t="shared" si="51"/>
        <v/>
      </c>
      <c r="I585">
        <f>SUMIFS(Buybacks!H:H,Buybacks!D:D,Formulas!H585)</f>
        <v>0</v>
      </c>
      <c r="J585" s="41" t="str">
        <f t="shared" si="52"/>
        <v/>
      </c>
      <c r="M585">
        <f>SUMIFS('Corporate activity'!$H:$H,'Corporate activity'!$D:$D,Formulas!$L585,'Corporate activity'!$C:$C,Formulas!M$2)</f>
        <v>0</v>
      </c>
      <c r="N585">
        <f>SUMIFS('Corporate activity'!$H:$H,'Corporate activity'!$D:$D,Formulas!$L585,'Corporate activity'!$C:$C,Formulas!N$2)</f>
        <v>0</v>
      </c>
      <c r="O585">
        <f>SUMIFS('Corporate activity'!$H:$H,'Corporate activity'!$D:$D,Formulas!$L585,'Corporate activity'!$C:$C,Formulas!O$2)</f>
        <v>0</v>
      </c>
      <c r="P585">
        <f t="shared" si="50"/>
        <v>0</v>
      </c>
      <c r="Q585" t="str">
        <f t="shared" si="48"/>
        <v/>
      </c>
    </row>
    <row r="586" spans="3:17" x14ac:dyDescent="0.25">
      <c r="C586">
        <f>SUMIFS(Issuance!$H:$H,Issuance!$D:$D,Formulas!$B586,Issuance!$C:$C,Formulas!C$2)</f>
        <v>0</v>
      </c>
      <c r="D586">
        <f>SUMIFS(Issuance!$H:$H,Issuance!$D:$D,Formulas!$B586,Issuance!$C:$C,Formulas!D$2)</f>
        <v>0</v>
      </c>
      <c r="E586">
        <f t="shared" si="49"/>
        <v>0</v>
      </c>
      <c r="F586" s="41" t="str">
        <f t="shared" si="51"/>
        <v/>
      </c>
      <c r="I586">
        <f>SUMIFS(Buybacks!H:H,Buybacks!D:D,Formulas!H586)</f>
        <v>0</v>
      </c>
      <c r="J586" s="41" t="str">
        <f t="shared" si="52"/>
        <v/>
      </c>
      <c r="M586">
        <f>SUMIFS('Corporate activity'!$H:$H,'Corporate activity'!$D:$D,Formulas!$L586,'Corporate activity'!$C:$C,Formulas!M$2)</f>
        <v>0</v>
      </c>
      <c r="N586">
        <f>SUMIFS('Corporate activity'!$H:$H,'Corporate activity'!$D:$D,Formulas!$L586,'Corporate activity'!$C:$C,Formulas!N$2)</f>
        <v>0</v>
      </c>
      <c r="O586">
        <f>SUMIFS('Corporate activity'!$H:$H,'Corporate activity'!$D:$D,Formulas!$L586,'Corporate activity'!$C:$C,Formulas!O$2)</f>
        <v>0</v>
      </c>
      <c r="P586">
        <f t="shared" si="50"/>
        <v>0</v>
      </c>
      <c r="Q586" t="str">
        <f t="shared" si="48"/>
        <v/>
      </c>
    </row>
    <row r="587" spans="3:17" x14ac:dyDescent="0.25">
      <c r="C587">
        <f>SUMIFS(Issuance!$H:$H,Issuance!$D:$D,Formulas!$B587,Issuance!$C:$C,Formulas!C$2)</f>
        <v>0</v>
      </c>
      <c r="D587">
        <f>SUMIFS(Issuance!$H:$H,Issuance!$D:$D,Formulas!$B587,Issuance!$C:$C,Formulas!D$2)</f>
        <v>0</v>
      </c>
      <c r="E587">
        <f t="shared" si="49"/>
        <v>0</v>
      </c>
      <c r="F587" s="41" t="str">
        <f t="shared" si="51"/>
        <v/>
      </c>
      <c r="I587">
        <f>SUMIFS(Buybacks!H:H,Buybacks!D:D,Formulas!H587)</f>
        <v>0</v>
      </c>
      <c r="J587" s="41" t="str">
        <f t="shared" si="52"/>
        <v/>
      </c>
      <c r="M587">
        <f>SUMIFS('Corporate activity'!$H:$H,'Corporate activity'!$D:$D,Formulas!$L587,'Corporate activity'!$C:$C,Formulas!M$2)</f>
        <v>0</v>
      </c>
      <c r="N587">
        <f>SUMIFS('Corporate activity'!$H:$H,'Corporate activity'!$D:$D,Formulas!$L587,'Corporate activity'!$C:$C,Formulas!N$2)</f>
        <v>0</v>
      </c>
      <c r="O587">
        <f>SUMIFS('Corporate activity'!$H:$H,'Corporate activity'!$D:$D,Formulas!$L587,'Corporate activity'!$C:$C,Formulas!O$2)</f>
        <v>0</v>
      </c>
      <c r="P587">
        <f t="shared" si="50"/>
        <v>0</v>
      </c>
      <c r="Q587" t="str">
        <f t="shared" si="48"/>
        <v/>
      </c>
    </row>
    <row r="588" spans="3:17" x14ac:dyDescent="0.25">
      <c r="C588">
        <f>SUMIFS(Issuance!$H:$H,Issuance!$D:$D,Formulas!$B588,Issuance!$C:$C,Formulas!C$2)</f>
        <v>0</v>
      </c>
      <c r="D588">
        <f>SUMIFS(Issuance!$H:$H,Issuance!$D:$D,Formulas!$B588,Issuance!$C:$C,Formulas!D$2)</f>
        <v>0</v>
      </c>
      <c r="E588">
        <f t="shared" si="49"/>
        <v>0</v>
      </c>
      <c r="F588" s="41" t="str">
        <f t="shared" si="51"/>
        <v/>
      </c>
      <c r="I588">
        <f>SUMIFS(Buybacks!H:H,Buybacks!D:D,Formulas!H588)</f>
        <v>0</v>
      </c>
      <c r="J588" s="41" t="str">
        <f t="shared" si="52"/>
        <v/>
      </c>
      <c r="M588">
        <f>SUMIFS('Corporate activity'!$H:$H,'Corporate activity'!$D:$D,Formulas!$L588,'Corporate activity'!$C:$C,Formulas!M$2)</f>
        <v>0</v>
      </c>
      <c r="N588">
        <f>SUMIFS('Corporate activity'!$H:$H,'Corporate activity'!$D:$D,Formulas!$L588,'Corporate activity'!$C:$C,Formulas!N$2)</f>
        <v>0</v>
      </c>
      <c r="O588">
        <f>SUMIFS('Corporate activity'!$H:$H,'Corporate activity'!$D:$D,Formulas!$L588,'Corporate activity'!$C:$C,Formulas!O$2)</f>
        <v>0</v>
      </c>
      <c r="P588">
        <f t="shared" si="50"/>
        <v>0</v>
      </c>
      <c r="Q588" t="str">
        <f t="shared" si="48"/>
        <v/>
      </c>
    </row>
    <row r="589" spans="3:17" x14ac:dyDescent="0.25">
      <c r="C589">
        <f>SUMIFS(Issuance!$H:$H,Issuance!$D:$D,Formulas!$B589,Issuance!$C:$C,Formulas!C$2)</f>
        <v>0</v>
      </c>
      <c r="D589">
        <f>SUMIFS(Issuance!$H:$H,Issuance!$D:$D,Formulas!$B589,Issuance!$C:$C,Formulas!D$2)</f>
        <v>0</v>
      </c>
      <c r="E589">
        <f t="shared" si="49"/>
        <v>0</v>
      </c>
      <c r="F589" s="41" t="str">
        <f t="shared" si="51"/>
        <v/>
      </c>
      <c r="I589">
        <f>SUMIFS(Buybacks!H:H,Buybacks!D:D,Formulas!H589)</f>
        <v>0</v>
      </c>
      <c r="J589" s="41" t="str">
        <f t="shared" si="52"/>
        <v/>
      </c>
      <c r="M589">
        <f>SUMIFS('Corporate activity'!$H:$H,'Corporate activity'!$D:$D,Formulas!$L589,'Corporate activity'!$C:$C,Formulas!M$2)</f>
        <v>0</v>
      </c>
      <c r="N589">
        <f>SUMIFS('Corporate activity'!$H:$H,'Corporate activity'!$D:$D,Formulas!$L589,'Corporate activity'!$C:$C,Formulas!N$2)</f>
        <v>0</v>
      </c>
      <c r="O589">
        <f>SUMIFS('Corporate activity'!$H:$H,'Corporate activity'!$D:$D,Formulas!$L589,'Corporate activity'!$C:$C,Formulas!O$2)</f>
        <v>0</v>
      </c>
      <c r="P589">
        <f t="shared" si="50"/>
        <v>0</v>
      </c>
      <c r="Q589" t="str">
        <f t="shared" si="48"/>
        <v/>
      </c>
    </row>
    <row r="590" spans="3:17" x14ac:dyDescent="0.25">
      <c r="C590">
        <f>SUMIFS(Issuance!$H:$H,Issuance!$D:$D,Formulas!$B590,Issuance!$C:$C,Formulas!C$2)</f>
        <v>0</v>
      </c>
      <c r="D590">
        <f>SUMIFS(Issuance!$H:$H,Issuance!$D:$D,Formulas!$B590,Issuance!$C:$C,Formulas!D$2)</f>
        <v>0</v>
      </c>
      <c r="E590">
        <f t="shared" si="49"/>
        <v>0</v>
      </c>
      <c r="F590" s="41" t="str">
        <f t="shared" si="51"/>
        <v/>
      </c>
      <c r="I590">
        <f>SUMIFS(Buybacks!H:H,Buybacks!D:D,Formulas!H590)</f>
        <v>0</v>
      </c>
      <c r="J590" s="41" t="str">
        <f t="shared" si="52"/>
        <v/>
      </c>
      <c r="M590">
        <f>SUMIFS('Corporate activity'!$H:$H,'Corporate activity'!$D:$D,Formulas!$L590,'Corporate activity'!$C:$C,Formulas!M$2)</f>
        <v>0</v>
      </c>
      <c r="N590">
        <f>SUMIFS('Corporate activity'!$H:$H,'Corporate activity'!$D:$D,Formulas!$L590,'Corporate activity'!$C:$C,Formulas!N$2)</f>
        <v>0</v>
      </c>
      <c r="O590">
        <f>SUMIFS('Corporate activity'!$H:$H,'Corporate activity'!$D:$D,Formulas!$L590,'Corporate activity'!$C:$C,Formulas!O$2)</f>
        <v>0</v>
      </c>
      <c r="P590">
        <f t="shared" si="50"/>
        <v>0</v>
      </c>
      <c r="Q590" t="str">
        <f t="shared" si="48"/>
        <v/>
      </c>
    </row>
    <row r="591" spans="3:17" x14ac:dyDescent="0.25">
      <c r="C591">
        <f>SUMIFS(Issuance!$H:$H,Issuance!$D:$D,Formulas!$B591,Issuance!$C:$C,Formulas!C$2)</f>
        <v>0</v>
      </c>
      <c r="D591">
        <f>SUMIFS(Issuance!$H:$H,Issuance!$D:$D,Formulas!$B591,Issuance!$C:$C,Formulas!D$2)</f>
        <v>0</v>
      </c>
      <c r="E591">
        <f t="shared" si="49"/>
        <v>0</v>
      </c>
      <c r="F591" s="41" t="str">
        <f t="shared" si="51"/>
        <v/>
      </c>
      <c r="I591">
        <f>SUMIFS(Buybacks!H:H,Buybacks!D:D,Formulas!H591)</f>
        <v>0</v>
      </c>
      <c r="J591" s="41" t="str">
        <f t="shared" si="52"/>
        <v/>
      </c>
      <c r="M591">
        <f>SUMIFS('Corporate activity'!$H:$H,'Corporate activity'!$D:$D,Formulas!$L591,'Corporate activity'!$C:$C,Formulas!M$2)</f>
        <v>0</v>
      </c>
      <c r="N591">
        <f>SUMIFS('Corporate activity'!$H:$H,'Corporate activity'!$D:$D,Formulas!$L591,'Corporate activity'!$C:$C,Formulas!N$2)</f>
        <v>0</v>
      </c>
      <c r="O591">
        <f>SUMIFS('Corporate activity'!$H:$H,'Corporate activity'!$D:$D,Formulas!$L591,'Corporate activity'!$C:$C,Formulas!O$2)</f>
        <v>0</v>
      </c>
      <c r="P591">
        <f t="shared" si="50"/>
        <v>0</v>
      </c>
      <c r="Q591" t="str">
        <f t="shared" si="48"/>
        <v/>
      </c>
    </row>
    <row r="592" spans="3:17" x14ac:dyDescent="0.25">
      <c r="C592">
        <f>SUMIFS(Issuance!$H:$H,Issuance!$D:$D,Formulas!$B592,Issuance!$C:$C,Formulas!C$2)</f>
        <v>0</v>
      </c>
      <c r="D592">
        <f>SUMIFS(Issuance!$H:$H,Issuance!$D:$D,Formulas!$B592,Issuance!$C:$C,Formulas!D$2)</f>
        <v>0</v>
      </c>
      <c r="E592">
        <f t="shared" si="49"/>
        <v>0</v>
      </c>
      <c r="F592" s="41" t="str">
        <f t="shared" si="51"/>
        <v/>
      </c>
      <c r="I592">
        <f>SUMIFS(Buybacks!H:H,Buybacks!D:D,Formulas!H592)</f>
        <v>0</v>
      </c>
      <c r="J592" s="41" t="str">
        <f t="shared" si="52"/>
        <v/>
      </c>
      <c r="M592">
        <f>SUMIFS('Corporate activity'!$H:$H,'Corporate activity'!$D:$D,Formulas!$L592,'Corporate activity'!$C:$C,Formulas!M$2)</f>
        <v>0</v>
      </c>
      <c r="N592">
        <f>SUMIFS('Corporate activity'!$H:$H,'Corporate activity'!$D:$D,Formulas!$L592,'Corporate activity'!$C:$C,Formulas!N$2)</f>
        <v>0</v>
      </c>
      <c r="O592">
        <f>SUMIFS('Corporate activity'!$H:$H,'Corporate activity'!$D:$D,Formulas!$L592,'Corporate activity'!$C:$C,Formulas!O$2)</f>
        <v>0</v>
      </c>
      <c r="P592">
        <f t="shared" si="50"/>
        <v>0</v>
      </c>
      <c r="Q592" t="str">
        <f t="shared" si="48"/>
        <v/>
      </c>
    </row>
    <row r="593" spans="3:17" x14ac:dyDescent="0.25">
      <c r="C593">
        <f>SUMIFS(Issuance!$H:$H,Issuance!$D:$D,Formulas!$B593,Issuance!$C:$C,Formulas!C$2)</f>
        <v>0</v>
      </c>
      <c r="D593">
        <f>SUMIFS(Issuance!$H:$H,Issuance!$D:$D,Formulas!$B593,Issuance!$C:$C,Formulas!D$2)</f>
        <v>0</v>
      </c>
      <c r="E593">
        <f t="shared" si="49"/>
        <v>0</v>
      </c>
      <c r="F593" s="41" t="str">
        <f t="shared" si="51"/>
        <v/>
      </c>
      <c r="I593">
        <f>SUMIFS(Buybacks!H:H,Buybacks!D:D,Formulas!H593)</f>
        <v>0</v>
      </c>
      <c r="J593" s="41" t="str">
        <f t="shared" si="52"/>
        <v/>
      </c>
      <c r="M593">
        <f>SUMIFS('Corporate activity'!$H:$H,'Corporate activity'!$D:$D,Formulas!$L593,'Corporate activity'!$C:$C,Formulas!M$2)</f>
        <v>0</v>
      </c>
      <c r="N593">
        <f>SUMIFS('Corporate activity'!$H:$H,'Corporate activity'!$D:$D,Formulas!$L593,'Corporate activity'!$C:$C,Formulas!N$2)</f>
        <v>0</v>
      </c>
      <c r="O593">
        <f>SUMIFS('Corporate activity'!$H:$H,'Corporate activity'!$D:$D,Formulas!$L593,'Corporate activity'!$C:$C,Formulas!O$2)</f>
        <v>0</v>
      </c>
      <c r="P593">
        <f t="shared" si="50"/>
        <v>0</v>
      </c>
      <c r="Q593" t="str">
        <f t="shared" si="48"/>
        <v/>
      </c>
    </row>
    <row r="594" spans="3:17" x14ac:dyDescent="0.25">
      <c r="C594">
        <f>SUMIFS(Issuance!$H:$H,Issuance!$D:$D,Formulas!$B594,Issuance!$C:$C,Formulas!C$2)</f>
        <v>0</v>
      </c>
      <c r="D594">
        <f>SUMIFS(Issuance!$H:$H,Issuance!$D:$D,Formulas!$B594,Issuance!$C:$C,Formulas!D$2)</f>
        <v>0</v>
      </c>
      <c r="E594">
        <f t="shared" si="49"/>
        <v>0</v>
      </c>
      <c r="F594" s="41" t="str">
        <f t="shared" si="51"/>
        <v/>
      </c>
      <c r="I594">
        <f>SUMIFS(Buybacks!H:H,Buybacks!D:D,Formulas!H594)</f>
        <v>0</v>
      </c>
      <c r="J594" s="41" t="str">
        <f t="shared" si="52"/>
        <v/>
      </c>
      <c r="M594">
        <f>SUMIFS('Corporate activity'!$H:$H,'Corporate activity'!$D:$D,Formulas!$L594,'Corporate activity'!$C:$C,Formulas!M$2)</f>
        <v>0</v>
      </c>
      <c r="N594">
        <f>SUMIFS('Corporate activity'!$H:$H,'Corporate activity'!$D:$D,Formulas!$L594,'Corporate activity'!$C:$C,Formulas!N$2)</f>
        <v>0</v>
      </c>
      <c r="O594">
        <f>SUMIFS('Corporate activity'!$H:$H,'Corporate activity'!$D:$D,Formulas!$L594,'Corporate activity'!$C:$C,Formulas!O$2)</f>
        <v>0</v>
      </c>
      <c r="P594">
        <f t="shared" si="50"/>
        <v>0</v>
      </c>
      <c r="Q594" t="str">
        <f t="shared" si="48"/>
        <v/>
      </c>
    </row>
    <row r="595" spans="3:17" x14ac:dyDescent="0.25">
      <c r="C595">
        <f>SUMIFS(Issuance!$H:$H,Issuance!$D:$D,Formulas!$B595,Issuance!$C:$C,Formulas!C$2)</f>
        <v>0</v>
      </c>
      <c r="D595">
        <f>SUMIFS(Issuance!$H:$H,Issuance!$D:$D,Formulas!$B595,Issuance!$C:$C,Formulas!D$2)</f>
        <v>0</v>
      </c>
      <c r="E595">
        <f t="shared" si="49"/>
        <v>0</v>
      </c>
      <c r="F595" s="41" t="str">
        <f t="shared" si="51"/>
        <v/>
      </c>
      <c r="I595">
        <f>SUMIFS(Buybacks!H:H,Buybacks!D:D,Formulas!H595)</f>
        <v>0</v>
      </c>
      <c r="J595" s="41" t="str">
        <f t="shared" si="52"/>
        <v/>
      </c>
      <c r="M595">
        <f>SUMIFS('Corporate activity'!$H:$H,'Corporate activity'!$D:$D,Formulas!$L595,'Corporate activity'!$C:$C,Formulas!M$2)</f>
        <v>0</v>
      </c>
      <c r="N595">
        <f>SUMIFS('Corporate activity'!$H:$H,'Corporate activity'!$D:$D,Formulas!$L595,'Corporate activity'!$C:$C,Formulas!N$2)</f>
        <v>0</v>
      </c>
      <c r="O595">
        <f>SUMIFS('Corporate activity'!$H:$H,'Corporate activity'!$D:$D,Formulas!$L595,'Corporate activity'!$C:$C,Formulas!O$2)</f>
        <v>0</v>
      </c>
      <c r="P595">
        <f t="shared" si="50"/>
        <v>0</v>
      </c>
      <c r="Q595" t="str">
        <f t="shared" si="48"/>
        <v/>
      </c>
    </row>
    <row r="596" spans="3:17" x14ac:dyDescent="0.25">
      <c r="C596">
        <f>SUMIFS(Issuance!$H:$H,Issuance!$D:$D,Formulas!$B596,Issuance!$C:$C,Formulas!C$2)</f>
        <v>0</v>
      </c>
      <c r="D596">
        <f>SUMIFS(Issuance!$H:$H,Issuance!$D:$D,Formulas!$B596,Issuance!$C:$C,Formulas!D$2)</f>
        <v>0</v>
      </c>
      <c r="E596">
        <f t="shared" si="49"/>
        <v>0</v>
      </c>
      <c r="F596" s="41" t="str">
        <f t="shared" si="51"/>
        <v/>
      </c>
      <c r="I596">
        <f>SUMIFS(Buybacks!H:H,Buybacks!D:D,Formulas!H596)</f>
        <v>0</v>
      </c>
      <c r="J596" s="41" t="str">
        <f t="shared" si="52"/>
        <v/>
      </c>
      <c r="M596">
        <f>SUMIFS('Corporate activity'!$H:$H,'Corporate activity'!$D:$D,Formulas!$L596,'Corporate activity'!$C:$C,Formulas!M$2)</f>
        <v>0</v>
      </c>
      <c r="N596">
        <f>SUMIFS('Corporate activity'!$H:$H,'Corporate activity'!$D:$D,Formulas!$L596,'Corporate activity'!$C:$C,Formulas!N$2)</f>
        <v>0</v>
      </c>
      <c r="O596">
        <f>SUMIFS('Corporate activity'!$H:$H,'Corporate activity'!$D:$D,Formulas!$L596,'Corporate activity'!$C:$C,Formulas!O$2)</f>
        <v>0</v>
      </c>
      <c r="P596">
        <f t="shared" si="50"/>
        <v>0</v>
      </c>
      <c r="Q596" t="str">
        <f t="shared" si="48"/>
        <v/>
      </c>
    </row>
    <row r="597" spans="3:17" x14ac:dyDescent="0.25">
      <c r="C597">
        <f>SUMIFS(Issuance!$H:$H,Issuance!$D:$D,Formulas!$B597,Issuance!$C:$C,Formulas!C$2)</f>
        <v>0</v>
      </c>
      <c r="D597">
        <f>SUMIFS(Issuance!$H:$H,Issuance!$D:$D,Formulas!$B597,Issuance!$C:$C,Formulas!D$2)</f>
        <v>0</v>
      </c>
      <c r="E597">
        <f t="shared" si="49"/>
        <v>0</v>
      </c>
      <c r="F597" s="41" t="str">
        <f t="shared" si="51"/>
        <v/>
      </c>
      <c r="I597">
        <f>SUMIFS(Buybacks!H:H,Buybacks!D:D,Formulas!H597)</f>
        <v>0</v>
      </c>
      <c r="J597" s="41" t="str">
        <f t="shared" si="52"/>
        <v/>
      </c>
      <c r="M597">
        <f>SUMIFS('Corporate activity'!$H:$H,'Corporate activity'!$D:$D,Formulas!$L597,'Corporate activity'!$C:$C,Formulas!M$2)</f>
        <v>0</v>
      </c>
      <c r="N597">
        <f>SUMIFS('Corporate activity'!$H:$H,'Corporate activity'!$D:$D,Formulas!$L597,'Corporate activity'!$C:$C,Formulas!N$2)</f>
        <v>0</v>
      </c>
      <c r="O597">
        <f>SUMIFS('Corporate activity'!$H:$H,'Corporate activity'!$D:$D,Formulas!$L597,'Corporate activity'!$C:$C,Formulas!O$2)</f>
        <v>0</v>
      </c>
      <c r="P597">
        <f t="shared" si="50"/>
        <v>0</v>
      </c>
      <c r="Q597" t="str">
        <f t="shared" si="48"/>
        <v/>
      </c>
    </row>
    <row r="598" spans="3:17" x14ac:dyDescent="0.25">
      <c r="C598">
        <f>SUMIFS(Issuance!$H:$H,Issuance!$D:$D,Formulas!$B598,Issuance!$C:$C,Formulas!C$2)</f>
        <v>0</v>
      </c>
      <c r="D598">
        <f>SUMIFS(Issuance!$H:$H,Issuance!$D:$D,Formulas!$B598,Issuance!$C:$C,Formulas!D$2)</f>
        <v>0</v>
      </c>
      <c r="E598">
        <f t="shared" si="49"/>
        <v>0</v>
      </c>
      <c r="F598" s="41" t="str">
        <f t="shared" si="51"/>
        <v/>
      </c>
      <c r="I598">
        <f>SUMIFS(Buybacks!H:H,Buybacks!D:D,Formulas!H598)</f>
        <v>0</v>
      </c>
      <c r="J598" s="41" t="str">
        <f t="shared" si="52"/>
        <v/>
      </c>
      <c r="M598">
        <f>SUMIFS('Corporate activity'!$H:$H,'Corporate activity'!$D:$D,Formulas!$L598,'Corporate activity'!$C:$C,Formulas!M$2)</f>
        <v>0</v>
      </c>
      <c r="N598">
        <f>SUMIFS('Corporate activity'!$H:$H,'Corporate activity'!$D:$D,Formulas!$L598,'Corporate activity'!$C:$C,Formulas!N$2)</f>
        <v>0</v>
      </c>
      <c r="O598">
        <f>SUMIFS('Corporate activity'!$H:$H,'Corporate activity'!$D:$D,Formulas!$L598,'Corporate activity'!$C:$C,Formulas!O$2)</f>
        <v>0</v>
      </c>
      <c r="P598">
        <f t="shared" si="50"/>
        <v>0</v>
      </c>
      <c r="Q598" t="str">
        <f t="shared" si="48"/>
        <v/>
      </c>
    </row>
    <row r="599" spans="3:17" x14ac:dyDescent="0.25">
      <c r="C599">
        <f>SUMIFS(Issuance!$H:$H,Issuance!$D:$D,Formulas!$B599,Issuance!$C:$C,Formulas!C$2)</f>
        <v>0</v>
      </c>
      <c r="D599">
        <f>SUMIFS(Issuance!$H:$H,Issuance!$D:$D,Formulas!$B599,Issuance!$C:$C,Formulas!D$2)</f>
        <v>0</v>
      </c>
      <c r="E599">
        <f t="shared" si="49"/>
        <v>0</v>
      </c>
      <c r="F599" s="41" t="str">
        <f t="shared" si="51"/>
        <v/>
      </c>
      <c r="I599">
        <f>SUMIFS(Buybacks!H:H,Buybacks!D:D,Formulas!H599)</f>
        <v>0</v>
      </c>
      <c r="J599" s="41" t="str">
        <f t="shared" si="52"/>
        <v/>
      </c>
      <c r="M599">
        <f>SUMIFS('Corporate activity'!$H:$H,'Corporate activity'!$D:$D,Formulas!$L599,'Corporate activity'!$C:$C,Formulas!M$2)</f>
        <v>0</v>
      </c>
      <c r="N599">
        <f>SUMIFS('Corporate activity'!$H:$H,'Corporate activity'!$D:$D,Formulas!$L599,'Corporate activity'!$C:$C,Formulas!N$2)</f>
        <v>0</v>
      </c>
      <c r="O599">
        <f>SUMIFS('Corporate activity'!$H:$H,'Corporate activity'!$D:$D,Formulas!$L599,'Corporate activity'!$C:$C,Formulas!O$2)</f>
        <v>0</v>
      </c>
      <c r="P599">
        <f t="shared" si="50"/>
        <v>0</v>
      </c>
      <c r="Q599" t="str">
        <f t="shared" si="48"/>
        <v/>
      </c>
    </row>
    <row r="600" spans="3:17" x14ac:dyDescent="0.25">
      <c r="C600">
        <f>SUMIFS(Issuance!$H:$H,Issuance!$D:$D,Formulas!$B600,Issuance!$C:$C,Formulas!C$2)</f>
        <v>0</v>
      </c>
      <c r="D600">
        <f>SUMIFS(Issuance!$H:$H,Issuance!$D:$D,Formulas!$B600,Issuance!$C:$C,Formulas!D$2)</f>
        <v>0</v>
      </c>
      <c r="E600">
        <f t="shared" si="49"/>
        <v>0</v>
      </c>
      <c r="F600" s="41" t="str">
        <f t="shared" si="51"/>
        <v/>
      </c>
      <c r="I600">
        <f>SUMIFS(Buybacks!H:H,Buybacks!D:D,Formulas!H600)</f>
        <v>0</v>
      </c>
      <c r="J600" s="41" t="str">
        <f t="shared" si="52"/>
        <v/>
      </c>
      <c r="M600">
        <f>SUMIFS('Corporate activity'!$H:$H,'Corporate activity'!$D:$D,Formulas!$L600,'Corporate activity'!$C:$C,Formulas!M$2)</f>
        <v>0</v>
      </c>
      <c r="N600">
        <f>SUMIFS('Corporate activity'!$H:$H,'Corporate activity'!$D:$D,Formulas!$L600,'Corporate activity'!$C:$C,Formulas!N$2)</f>
        <v>0</v>
      </c>
      <c r="O600">
        <f>SUMIFS('Corporate activity'!$H:$H,'Corporate activity'!$D:$D,Formulas!$L600,'Corporate activity'!$C:$C,Formulas!O$2)</f>
        <v>0</v>
      </c>
      <c r="P600">
        <f t="shared" si="50"/>
        <v>0</v>
      </c>
      <c r="Q600" t="str">
        <f t="shared" si="48"/>
        <v/>
      </c>
    </row>
    <row r="601" spans="3:17" x14ac:dyDescent="0.25">
      <c r="C601">
        <f>SUMIFS(Issuance!$H:$H,Issuance!$D:$D,Formulas!$B601,Issuance!$C:$C,Formulas!C$2)</f>
        <v>0</v>
      </c>
      <c r="D601">
        <f>SUMIFS(Issuance!$H:$H,Issuance!$D:$D,Formulas!$B601,Issuance!$C:$C,Formulas!D$2)</f>
        <v>0</v>
      </c>
      <c r="E601">
        <f t="shared" si="49"/>
        <v>0</v>
      </c>
      <c r="F601" s="41" t="str">
        <f t="shared" si="51"/>
        <v/>
      </c>
      <c r="I601">
        <f>SUMIFS(Buybacks!H:H,Buybacks!D:D,Formulas!H601)</f>
        <v>0</v>
      </c>
      <c r="J601" s="41" t="str">
        <f t="shared" si="52"/>
        <v/>
      </c>
      <c r="M601">
        <f>SUMIFS('Corporate activity'!$H:$H,'Corporate activity'!$D:$D,Formulas!$L601,'Corporate activity'!$C:$C,Formulas!M$2)</f>
        <v>0</v>
      </c>
      <c r="N601">
        <f>SUMIFS('Corporate activity'!$H:$H,'Corporate activity'!$D:$D,Formulas!$L601,'Corporate activity'!$C:$C,Formulas!N$2)</f>
        <v>0</v>
      </c>
      <c r="O601">
        <f>SUMIFS('Corporate activity'!$H:$H,'Corporate activity'!$D:$D,Formulas!$L601,'Corporate activity'!$C:$C,Formulas!O$2)</f>
        <v>0</v>
      </c>
      <c r="P601">
        <f t="shared" si="50"/>
        <v>0</v>
      </c>
      <c r="Q601" t="str">
        <f t="shared" si="48"/>
        <v/>
      </c>
    </row>
    <row r="602" spans="3:17" x14ac:dyDescent="0.25">
      <c r="C602">
        <f>SUMIFS(Issuance!$H:$H,Issuance!$D:$D,Formulas!$B602,Issuance!$C:$C,Formulas!C$2)</f>
        <v>0</v>
      </c>
      <c r="D602">
        <f>SUMIFS(Issuance!$H:$H,Issuance!$D:$D,Formulas!$B602,Issuance!$C:$C,Formulas!D$2)</f>
        <v>0</v>
      </c>
      <c r="E602">
        <f t="shared" si="49"/>
        <v>0</v>
      </c>
      <c r="F602" s="41" t="str">
        <f t="shared" si="51"/>
        <v/>
      </c>
      <c r="I602">
        <f>SUMIFS(Buybacks!H:H,Buybacks!D:D,Formulas!H602)</f>
        <v>0</v>
      </c>
      <c r="J602" s="41" t="str">
        <f t="shared" si="52"/>
        <v/>
      </c>
      <c r="M602">
        <f>SUMIFS('Corporate activity'!$H:$H,'Corporate activity'!$D:$D,Formulas!$L602,'Corporate activity'!$C:$C,Formulas!M$2)</f>
        <v>0</v>
      </c>
      <c r="N602">
        <f>SUMIFS('Corporate activity'!$H:$H,'Corporate activity'!$D:$D,Formulas!$L602,'Corporate activity'!$C:$C,Formulas!N$2)</f>
        <v>0</v>
      </c>
      <c r="O602">
        <f>SUMIFS('Corporate activity'!$H:$H,'Corporate activity'!$D:$D,Formulas!$L602,'Corporate activity'!$C:$C,Formulas!O$2)</f>
        <v>0</v>
      </c>
      <c r="P602">
        <f t="shared" si="50"/>
        <v>0</v>
      </c>
      <c r="Q602" t="str">
        <f t="shared" si="48"/>
        <v/>
      </c>
    </row>
    <row r="603" spans="3:17" x14ac:dyDescent="0.25">
      <c r="C603">
        <f>SUMIFS(Issuance!$H:$H,Issuance!$D:$D,Formulas!$B603,Issuance!$C:$C,Formulas!C$2)</f>
        <v>0</v>
      </c>
      <c r="D603">
        <f>SUMIFS(Issuance!$H:$H,Issuance!$D:$D,Formulas!$B603,Issuance!$C:$C,Formulas!D$2)</f>
        <v>0</v>
      </c>
      <c r="E603">
        <f t="shared" si="49"/>
        <v>0</v>
      </c>
      <c r="F603" s="41" t="str">
        <f t="shared" si="51"/>
        <v/>
      </c>
      <c r="I603">
        <f>SUMIFS(Buybacks!H:H,Buybacks!D:D,Formulas!H603)</f>
        <v>0</v>
      </c>
      <c r="J603" s="41" t="str">
        <f t="shared" si="52"/>
        <v/>
      </c>
      <c r="M603">
        <f>SUMIFS('Corporate activity'!$H:$H,'Corporate activity'!$D:$D,Formulas!$L603,'Corporate activity'!$C:$C,Formulas!M$2)</f>
        <v>0</v>
      </c>
      <c r="N603">
        <f>SUMIFS('Corporate activity'!$H:$H,'Corporate activity'!$D:$D,Formulas!$L603,'Corporate activity'!$C:$C,Formulas!N$2)</f>
        <v>0</v>
      </c>
      <c r="O603">
        <f>SUMIFS('Corporate activity'!$H:$H,'Corporate activity'!$D:$D,Formulas!$L603,'Corporate activity'!$C:$C,Formulas!O$2)</f>
        <v>0</v>
      </c>
      <c r="P603">
        <f t="shared" si="50"/>
        <v>0</v>
      </c>
      <c r="Q603" t="str">
        <f t="shared" ref="Q603:Q666" si="53">IF(OR(L603="",L603=0,P603=0),"",IF(COUNTIFS($P$3:$P$500,"&lt;"&amp;P603,$P$3:$P$500,"&lt;&gt;0")+1&lt;=20,COUNTIFS($P$3:$P$500,"&lt;"&amp;P603,$P$3:$P$500,"&lt;&gt;0")+1,""))</f>
        <v/>
      </c>
    </row>
    <row r="604" spans="3:17" x14ac:dyDescent="0.25">
      <c r="C604">
        <f>SUMIFS(Issuance!$H:$H,Issuance!$D:$D,Formulas!$B604,Issuance!$C:$C,Formulas!C$2)</f>
        <v>0</v>
      </c>
      <c r="D604">
        <f>SUMIFS(Issuance!$H:$H,Issuance!$D:$D,Formulas!$B604,Issuance!$C:$C,Formulas!D$2)</f>
        <v>0</v>
      </c>
      <c r="E604">
        <f t="shared" si="49"/>
        <v>0</v>
      </c>
      <c r="F604" s="41" t="str">
        <f t="shared" si="51"/>
        <v/>
      </c>
      <c r="I604">
        <f>SUMIFS(Buybacks!H:H,Buybacks!D:D,Formulas!H604)</f>
        <v>0</v>
      </c>
      <c r="J604" s="41" t="str">
        <f t="shared" si="52"/>
        <v/>
      </c>
      <c r="M604">
        <f>SUMIFS('Corporate activity'!$H:$H,'Corporate activity'!$D:$D,Formulas!$L604,'Corporate activity'!$C:$C,Formulas!M$2)</f>
        <v>0</v>
      </c>
      <c r="N604">
        <f>SUMIFS('Corporate activity'!$H:$H,'Corporate activity'!$D:$D,Formulas!$L604,'Corporate activity'!$C:$C,Formulas!N$2)</f>
        <v>0</v>
      </c>
      <c r="O604">
        <f>SUMIFS('Corporate activity'!$H:$H,'Corporate activity'!$D:$D,Formulas!$L604,'Corporate activity'!$C:$C,Formulas!O$2)</f>
        <v>0</v>
      </c>
      <c r="P604">
        <f t="shared" si="50"/>
        <v>0</v>
      </c>
      <c r="Q604" t="str">
        <f t="shared" si="53"/>
        <v/>
      </c>
    </row>
    <row r="605" spans="3:17" x14ac:dyDescent="0.25">
      <c r="C605">
        <f>SUMIFS(Issuance!$H:$H,Issuance!$D:$D,Formulas!$B605,Issuance!$C:$C,Formulas!C$2)</f>
        <v>0</v>
      </c>
      <c r="D605">
        <f>SUMIFS(Issuance!$H:$H,Issuance!$D:$D,Formulas!$B605,Issuance!$C:$C,Formulas!D$2)</f>
        <v>0</v>
      </c>
      <c r="E605">
        <f t="shared" si="49"/>
        <v>0</v>
      </c>
      <c r="F605" s="41" t="str">
        <f t="shared" si="51"/>
        <v/>
      </c>
      <c r="I605">
        <f>SUMIFS(Buybacks!H:H,Buybacks!D:D,Formulas!H605)</f>
        <v>0</v>
      </c>
      <c r="J605" s="41" t="str">
        <f t="shared" si="52"/>
        <v/>
      </c>
      <c r="M605">
        <f>SUMIFS('Corporate activity'!$H:$H,'Corporate activity'!$D:$D,Formulas!$L605,'Corporate activity'!$C:$C,Formulas!M$2)</f>
        <v>0</v>
      </c>
      <c r="N605">
        <f>SUMIFS('Corporate activity'!$H:$H,'Corporate activity'!$D:$D,Formulas!$L605,'Corporate activity'!$C:$C,Formulas!N$2)</f>
        <v>0</v>
      </c>
      <c r="O605">
        <f>SUMIFS('Corporate activity'!$H:$H,'Corporate activity'!$D:$D,Formulas!$L605,'Corporate activity'!$C:$C,Formulas!O$2)</f>
        <v>0</v>
      </c>
      <c r="P605">
        <f t="shared" si="50"/>
        <v>0</v>
      </c>
      <c r="Q605" t="str">
        <f t="shared" si="53"/>
        <v/>
      </c>
    </row>
    <row r="606" spans="3:17" x14ac:dyDescent="0.25">
      <c r="C606">
        <f>SUMIFS(Issuance!$H:$H,Issuance!$D:$D,Formulas!$B606,Issuance!$C:$C,Formulas!C$2)</f>
        <v>0</v>
      </c>
      <c r="D606">
        <f>SUMIFS(Issuance!$H:$H,Issuance!$D:$D,Formulas!$B606,Issuance!$C:$C,Formulas!D$2)</f>
        <v>0</v>
      </c>
      <c r="E606">
        <f t="shared" si="49"/>
        <v>0</v>
      </c>
      <c r="F606" s="41" t="str">
        <f t="shared" si="51"/>
        <v/>
      </c>
      <c r="I606">
        <f>SUMIFS(Buybacks!H:H,Buybacks!D:D,Formulas!H606)</f>
        <v>0</v>
      </c>
      <c r="J606" s="41" t="str">
        <f t="shared" si="52"/>
        <v/>
      </c>
      <c r="M606">
        <f>SUMIFS('Corporate activity'!$H:$H,'Corporate activity'!$D:$D,Formulas!$L606,'Corporate activity'!$C:$C,Formulas!M$2)</f>
        <v>0</v>
      </c>
      <c r="N606">
        <f>SUMIFS('Corporate activity'!$H:$H,'Corporate activity'!$D:$D,Formulas!$L606,'Corporate activity'!$C:$C,Formulas!N$2)</f>
        <v>0</v>
      </c>
      <c r="O606">
        <f>SUMIFS('Corporate activity'!$H:$H,'Corporate activity'!$D:$D,Formulas!$L606,'Corporate activity'!$C:$C,Formulas!O$2)</f>
        <v>0</v>
      </c>
      <c r="P606">
        <f t="shared" si="50"/>
        <v>0</v>
      </c>
      <c r="Q606" t="str">
        <f t="shared" si="53"/>
        <v/>
      </c>
    </row>
    <row r="607" spans="3:17" x14ac:dyDescent="0.25">
      <c r="C607">
        <f>SUMIFS(Issuance!$H:$H,Issuance!$D:$D,Formulas!$B607,Issuance!$C:$C,Formulas!C$2)</f>
        <v>0</v>
      </c>
      <c r="D607">
        <f>SUMIFS(Issuance!$H:$H,Issuance!$D:$D,Formulas!$B607,Issuance!$C:$C,Formulas!D$2)</f>
        <v>0</v>
      </c>
      <c r="E607">
        <f t="shared" si="49"/>
        <v>0</v>
      </c>
      <c r="F607" s="41" t="str">
        <f t="shared" si="51"/>
        <v/>
      </c>
      <c r="I607">
        <f>SUMIFS(Buybacks!H:H,Buybacks!D:D,Formulas!H607)</f>
        <v>0</v>
      </c>
      <c r="J607" s="41" t="str">
        <f t="shared" si="52"/>
        <v/>
      </c>
      <c r="M607">
        <f>SUMIFS('Corporate activity'!$H:$H,'Corporate activity'!$D:$D,Formulas!$L607,'Corporate activity'!$C:$C,Formulas!M$2)</f>
        <v>0</v>
      </c>
      <c r="N607">
        <f>SUMIFS('Corporate activity'!$H:$H,'Corporate activity'!$D:$D,Formulas!$L607,'Corporate activity'!$C:$C,Formulas!N$2)</f>
        <v>0</v>
      </c>
      <c r="O607">
        <f>SUMIFS('Corporate activity'!$H:$H,'Corporate activity'!$D:$D,Formulas!$L607,'Corporate activity'!$C:$C,Formulas!O$2)</f>
        <v>0</v>
      </c>
      <c r="P607">
        <f t="shared" si="50"/>
        <v>0</v>
      </c>
      <c r="Q607" t="str">
        <f t="shared" si="53"/>
        <v/>
      </c>
    </row>
    <row r="608" spans="3:17" x14ac:dyDescent="0.25">
      <c r="C608">
        <f>SUMIFS(Issuance!$H:$H,Issuance!$D:$D,Formulas!$B608,Issuance!$C:$C,Formulas!C$2)</f>
        <v>0</v>
      </c>
      <c r="D608">
        <f>SUMIFS(Issuance!$H:$H,Issuance!$D:$D,Formulas!$B608,Issuance!$C:$C,Formulas!D$2)</f>
        <v>0</v>
      </c>
      <c r="E608">
        <f t="shared" si="49"/>
        <v>0</v>
      </c>
      <c r="F608" s="41" t="str">
        <f t="shared" si="51"/>
        <v/>
      </c>
      <c r="I608">
        <f>SUMIFS(Buybacks!H:H,Buybacks!D:D,Formulas!H608)</f>
        <v>0</v>
      </c>
      <c r="J608" s="41" t="str">
        <f t="shared" si="52"/>
        <v/>
      </c>
      <c r="M608">
        <f>SUMIFS('Corporate activity'!$H:$H,'Corporate activity'!$D:$D,Formulas!$L608,'Corporate activity'!$C:$C,Formulas!M$2)</f>
        <v>0</v>
      </c>
      <c r="N608">
        <f>SUMIFS('Corporate activity'!$H:$H,'Corporate activity'!$D:$D,Formulas!$L608,'Corporate activity'!$C:$C,Formulas!N$2)</f>
        <v>0</v>
      </c>
      <c r="O608">
        <f>SUMIFS('Corporate activity'!$H:$H,'Corporate activity'!$D:$D,Formulas!$L608,'Corporate activity'!$C:$C,Formulas!O$2)</f>
        <v>0</v>
      </c>
      <c r="P608">
        <f t="shared" si="50"/>
        <v>0</v>
      </c>
      <c r="Q608" t="str">
        <f t="shared" si="53"/>
        <v/>
      </c>
    </row>
    <row r="609" spans="3:17" x14ac:dyDescent="0.25">
      <c r="C609">
        <f>SUMIFS(Issuance!$H:$H,Issuance!$D:$D,Formulas!$B609,Issuance!$C:$C,Formulas!C$2)</f>
        <v>0</v>
      </c>
      <c r="D609">
        <f>SUMIFS(Issuance!$H:$H,Issuance!$D:$D,Formulas!$B609,Issuance!$C:$C,Formulas!D$2)</f>
        <v>0</v>
      </c>
      <c r="E609">
        <f t="shared" si="49"/>
        <v>0</v>
      </c>
      <c r="F609" s="41" t="str">
        <f t="shared" si="51"/>
        <v/>
      </c>
      <c r="I609">
        <f>SUMIFS(Buybacks!H:H,Buybacks!D:D,Formulas!H609)</f>
        <v>0</v>
      </c>
      <c r="J609" s="41" t="str">
        <f t="shared" si="52"/>
        <v/>
      </c>
      <c r="M609">
        <f>SUMIFS('Corporate activity'!$H:$H,'Corporate activity'!$D:$D,Formulas!$L609,'Corporate activity'!$C:$C,Formulas!M$2)</f>
        <v>0</v>
      </c>
      <c r="N609">
        <f>SUMIFS('Corporate activity'!$H:$H,'Corporate activity'!$D:$D,Formulas!$L609,'Corporate activity'!$C:$C,Formulas!N$2)</f>
        <v>0</v>
      </c>
      <c r="O609">
        <f>SUMIFS('Corporate activity'!$H:$H,'Corporate activity'!$D:$D,Formulas!$L609,'Corporate activity'!$C:$C,Formulas!O$2)</f>
        <v>0</v>
      </c>
      <c r="P609">
        <f t="shared" si="50"/>
        <v>0</v>
      </c>
      <c r="Q609" t="str">
        <f t="shared" si="53"/>
        <v/>
      </c>
    </row>
    <row r="610" spans="3:17" x14ac:dyDescent="0.25">
      <c r="C610">
        <f>SUMIFS(Issuance!$H:$H,Issuance!$D:$D,Formulas!$B610,Issuance!$C:$C,Formulas!C$2)</f>
        <v>0</v>
      </c>
      <c r="D610">
        <f>SUMIFS(Issuance!$H:$H,Issuance!$D:$D,Formulas!$B610,Issuance!$C:$C,Formulas!D$2)</f>
        <v>0</v>
      </c>
      <c r="E610">
        <f t="shared" si="49"/>
        <v>0</v>
      </c>
      <c r="F610" s="41" t="str">
        <f t="shared" si="51"/>
        <v/>
      </c>
      <c r="I610">
        <f>SUMIFS(Buybacks!H:H,Buybacks!D:D,Formulas!H610)</f>
        <v>0</v>
      </c>
      <c r="J610" s="41" t="str">
        <f t="shared" si="52"/>
        <v/>
      </c>
      <c r="M610">
        <f>SUMIFS('Corporate activity'!$H:$H,'Corporate activity'!$D:$D,Formulas!$L610,'Corporate activity'!$C:$C,Formulas!M$2)</f>
        <v>0</v>
      </c>
      <c r="N610">
        <f>SUMIFS('Corporate activity'!$H:$H,'Corporate activity'!$D:$D,Formulas!$L610,'Corporate activity'!$C:$C,Formulas!N$2)</f>
        <v>0</v>
      </c>
      <c r="O610">
        <f>SUMIFS('Corporate activity'!$H:$H,'Corporate activity'!$D:$D,Formulas!$L610,'Corporate activity'!$C:$C,Formulas!O$2)</f>
        <v>0</v>
      </c>
      <c r="P610">
        <f t="shared" si="50"/>
        <v>0</v>
      </c>
      <c r="Q610" t="str">
        <f t="shared" si="53"/>
        <v/>
      </c>
    </row>
    <row r="611" spans="3:17" x14ac:dyDescent="0.25">
      <c r="C611">
        <f>SUMIFS(Issuance!$H:$H,Issuance!$D:$D,Formulas!$B611,Issuance!$C:$C,Formulas!C$2)</f>
        <v>0</v>
      </c>
      <c r="D611">
        <f>SUMIFS(Issuance!$H:$H,Issuance!$D:$D,Formulas!$B611,Issuance!$C:$C,Formulas!D$2)</f>
        <v>0</v>
      </c>
      <c r="E611">
        <f t="shared" si="49"/>
        <v>0</v>
      </c>
      <c r="F611" s="41" t="str">
        <f t="shared" si="51"/>
        <v/>
      </c>
      <c r="I611">
        <f>SUMIFS(Buybacks!H:H,Buybacks!D:D,Formulas!H611)</f>
        <v>0</v>
      </c>
      <c r="J611" s="41" t="str">
        <f t="shared" si="52"/>
        <v/>
      </c>
      <c r="M611">
        <f>SUMIFS('Corporate activity'!$H:$H,'Corporate activity'!$D:$D,Formulas!$L611,'Corporate activity'!$C:$C,Formulas!M$2)</f>
        <v>0</v>
      </c>
      <c r="N611">
        <f>SUMIFS('Corporate activity'!$H:$H,'Corporate activity'!$D:$D,Formulas!$L611,'Corporate activity'!$C:$C,Formulas!N$2)</f>
        <v>0</v>
      </c>
      <c r="O611">
        <f>SUMIFS('Corporate activity'!$H:$H,'Corporate activity'!$D:$D,Formulas!$L611,'Corporate activity'!$C:$C,Formulas!O$2)</f>
        <v>0</v>
      </c>
      <c r="P611">
        <f t="shared" si="50"/>
        <v>0</v>
      </c>
      <c r="Q611" t="str">
        <f t="shared" si="53"/>
        <v/>
      </c>
    </row>
    <row r="612" spans="3:17" x14ac:dyDescent="0.25">
      <c r="C612">
        <f>SUMIFS(Issuance!$H:$H,Issuance!$D:$D,Formulas!$B612,Issuance!$C:$C,Formulas!C$2)</f>
        <v>0</v>
      </c>
      <c r="D612">
        <f>SUMIFS(Issuance!$H:$H,Issuance!$D:$D,Formulas!$B612,Issuance!$C:$C,Formulas!D$2)</f>
        <v>0</v>
      </c>
      <c r="E612">
        <f t="shared" si="49"/>
        <v>0</v>
      </c>
      <c r="F612" s="41" t="str">
        <f t="shared" si="51"/>
        <v/>
      </c>
      <c r="I612">
        <f>SUMIFS(Buybacks!H:H,Buybacks!D:D,Formulas!H612)</f>
        <v>0</v>
      </c>
      <c r="J612" s="41" t="str">
        <f t="shared" si="52"/>
        <v/>
      </c>
      <c r="M612">
        <f>SUMIFS('Corporate activity'!$H:$H,'Corporate activity'!$D:$D,Formulas!$L612,'Corporate activity'!$C:$C,Formulas!M$2)</f>
        <v>0</v>
      </c>
      <c r="N612">
        <f>SUMIFS('Corporate activity'!$H:$H,'Corporate activity'!$D:$D,Formulas!$L612,'Corporate activity'!$C:$C,Formulas!N$2)</f>
        <v>0</v>
      </c>
      <c r="O612">
        <f>SUMIFS('Corporate activity'!$H:$H,'Corporate activity'!$D:$D,Formulas!$L612,'Corporate activity'!$C:$C,Formulas!O$2)</f>
        <v>0</v>
      </c>
      <c r="P612">
        <f t="shared" si="50"/>
        <v>0</v>
      </c>
      <c r="Q612" t="str">
        <f t="shared" si="53"/>
        <v/>
      </c>
    </row>
    <row r="613" spans="3:17" x14ac:dyDescent="0.25">
      <c r="C613">
        <f>SUMIFS(Issuance!$H:$H,Issuance!$D:$D,Formulas!$B613,Issuance!$C:$C,Formulas!C$2)</f>
        <v>0</v>
      </c>
      <c r="D613">
        <f>SUMIFS(Issuance!$H:$H,Issuance!$D:$D,Formulas!$B613,Issuance!$C:$C,Formulas!D$2)</f>
        <v>0</v>
      </c>
      <c r="E613">
        <f t="shared" si="49"/>
        <v>0</v>
      </c>
      <c r="F613" s="41" t="str">
        <f t="shared" si="51"/>
        <v/>
      </c>
      <c r="I613">
        <f>SUMIFS(Buybacks!H:H,Buybacks!D:D,Formulas!H613)</f>
        <v>0</v>
      </c>
      <c r="J613" s="41" t="str">
        <f t="shared" si="52"/>
        <v/>
      </c>
      <c r="M613">
        <f>SUMIFS('Corporate activity'!$H:$H,'Corporate activity'!$D:$D,Formulas!$L613,'Corporate activity'!$C:$C,Formulas!M$2)</f>
        <v>0</v>
      </c>
      <c r="N613">
        <f>SUMIFS('Corporate activity'!$H:$H,'Corporate activity'!$D:$D,Formulas!$L613,'Corporate activity'!$C:$C,Formulas!N$2)</f>
        <v>0</v>
      </c>
      <c r="O613">
        <f>SUMIFS('Corporate activity'!$H:$H,'Corporate activity'!$D:$D,Formulas!$L613,'Corporate activity'!$C:$C,Formulas!O$2)</f>
        <v>0</v>
      </c>
      <c r="P613">
        <f t="shared" si="50"/>
        <v>0</v>
      </c>
      <c r="Q613" t="str">
        <f t="shared" si="53"/>
        <v/>
      </c>
    </row>
    <row r="614" spans="3:17" x14ac:dyDescent="0.25">
      <c r="C614">
        <f>SUMIFS(Issuance!$H:$H,Issuance!$D:$D,Formulas!$B614,Issuance!$C:$C,Formulas!C$2)</f>
        <v>0</v>
      </c>
      <c r="D614">
        <f>SUMIFS(Issuance!$H:$H,Issuance!$D:$D,Formulas!$B614,Issuance!$C:$C,Formulas!D$2)</f>
        <v>0</v>
      </c>
      <c r="E614">
        <f t="shared" si="49"/>
        <v>0</v>
      </c>
      <c r="F614" s="41" t="str">
        <f t="shared" si="51"/>
        <v/>
      </c>
      <c r="I614">
        <f>SUMIFS(Buybacks!H:H,Buybacks!D:D,Formulas!H614)</f>
        <v>0</v>
      </c>
      <c r="J614" s="41" t="str">
        <f t="shared" si="52"/>
        <v/>
      </c>
      <c r="M614">
        <f>SUMIFS('Corporate activity'!$H:$H,'Corporate activity'!$D:$D,Formulas!$L614,'Corporate activity'!$C:$C,Formulas!M$2)</f>
        <v>0</v>
      </c>
      <c r="N614">
        <f>SUMIFS('Corporate activity'!$H:$H,'Corporate activity'!$D:$D,Formulas!$L614,'Corporate activity'!$C:$C,Formulas!N$2)</f>
        <v>0</v>
      </c>
      <c r="O614">
        <f>SUMIFS('Corporate activity'!$H:$H,'Corporate activity'!$D:$D,Formulas!$L614,'Corporate activity'!$C:$C,Formulas!O$2)</f>
        <v>0</v>
      </c>
      <c r="P614">
        <f t="shared" si="50"/>
        <v>0</v>
      </c>
      <c r="Q614" t="str">
        <f t="shared" si="53"/>
        <v/>
      </c>
    </row>
    <row r="615" spans="3:17" x14ac:dyDescent="0.25">
      <c r="C615">
        <f>SUMIFS(Issuance!$H:$H,Issuance!$D:$D,Formulas!$B615,Issuance!$C:$C,Formulas!C$2)</f>
        <v>0</v>
      </c>
      <c r="D615">
        <f>SUMIFS(Issuance!$H:$H,Issuance!$D:$D,Formulas!$B615,Issuance!$C:$C,Formulas!D$2)</f>
        <v>0</v>
      </c>
      <c r="E615">
        <f t="shared" si="49"/>
        <v>0</v>
      </c>
      <c r="F615" s="41" t="str">
        <f t="shared" si="51"/>
        <v/>
      </c>
      <c r="I615">
        <f>SUMIFS(Buybacks!H:H,Buybacks!D:D,Formulas!H615)</f>
        <v>0</v>
      </c>
      <c r="J615" s="41" t="str">
        <f t="shared" si="52"/>
        <v/>
      </c>
      <c r="M615">
        <f>SUMIFS('Corporate activity'!$H:$H,'Corporate activity'!$D:$D,Formulas!$L615,'Corporate activity'!$C:$C,Formulas!M$2)</f>
        <v>0</v>
      </c>
      <c r="N615">
        <f>SUMIFS('Corporate activity'!$H:$H,'Corporate activity'!$D:$D,Formulas!$L615,'Corporate activity'!$C:$C,Formulas!N$2)</f>
        <v>0</v>
      </c>
      <c r="O615">
        <f>SUMIFS('Corporate activity'!$H:$H,'Corporate activity'!$D:$D,Formulas!$L615,'Corporate activity'!$C:$C,Formulas!O$2)</f>
        <v>0</v>
      </c>
      <c r="P615">
        <f t="shared" si="50"/>
        <v>0</v>
      </c>
      <c r="Q615" t="str">
        <f t="shared" si="53"/>
        <v/>
      </c>
    </row>
    <row r="616" spans="3:17" x14ac:dyDescent="0.25">
      <c r="C616">
        <f>SUMIFS(Issuance!$H:$H,Issuance!$D:$D,Formulas!$B616,Issuance!$C:$C,Formulas!C$2)</f>
        <v>0</v>
      </c>
      <c r="D616">
        <f>SUMIFS(Issuance!$H:$H,Issuance!$D:$D,Formulas!$B616,Issuance!$C:$C,Formulas!D$2)</f>
        <v>0</v>
      </c>
      <c r="E616">
        <f t="shared" si="49"/>
        <v>0</v>
      </c>
      <c r="F616" s="41" t="str">
        <f t="shared" si="51"/>
        <v/>
      </c>
      <c r="I616">
        <f>SUMIFS(Buybacks!H:H,Buybacks!D:D,Formulas!H616)</f>
        <v>0</v>
      </c>
      <c r="J616" s="41" t="str">
        <f t="shared" si="52"/>
        <v/>
      </c>
      <c r="M616">
        <f>SUMIFS('Corporate activity'!$H:$H,'Corporate activity'!$D:$D,Formulas!$L616,'Corporate activity'!$C:$C,Formulas!M$2)</f>
        <v>0</v>
      </c>
      <c r="N616">
        <f>SUMIFS('Corporate activity'!$H:$H,'Corporate activity'!$D:$D,Formulas!$L616,'Corporate activity'!$C:$C,Formulas!N$2)</f>
        <v>0</v>
      </c>
      <c r="O616">
        <f>SUMIFS('Corporate activity'!$H:$H,'Corporate activity'!$D:$D,Formulas!$L616,'Corporate activity'!$C:$C,Formulas!O$2)</f>
        <v>0</v>
      </c>
      <c r="P616">
        <f t="shared" si="50"/>
        <v>0</v>
      </c>
      <c r="Q616" t="str">
        <f t="shared" si="53"/>
        <v/>
      </c>
    </row>
    <row r="617" spans="3:17" x14ac:dyDescent="0.25">
      <c r="C617">
        <f>SUMIFS(Issuance!$H:$H,Issuance!$D:$D,Formulas!$B617,Issuance!$C:$C,Formulas!C$2)</f>
        <v>0</v>
      </c>
      <c r="D617">
        <f>SUMIFS(Issuance!$H:$H,Issuance!$D:$D,Formulas!$B617,Issuance!$C:$C,Formulas!D$2)</f>
        <v>0</v>
      </c>
      <c r="E617">
        <f t="shared" si="49"/>
        <v>0</v>
      </c>
      <c r="F617" s="41" t="str">
        <f t="shared" si="51"/>
        <v/>
      </c>
      <c r="I617">
        <f>SUMIFS(Buybacks!H:H,Buybacks!D:D,Formulas!H617)</f>
        <v>0</v>
      </c>
      <c r="J617" s="41" t="str">
        <f t="shared" si="52"/>
        <v/>
      </c>
      <c r="M617">
        <f>SUMIFS('Corporate activity'!$H:$H,'Corporate activity'!$D:$D,Formulas!$L617,'Corporate activity'!$C:$C,Formulas!M$2)</f>
        <v>0</v>
      </c>
      <c r="N617">
        <f>SUMIFS('Corporate activity'!$H:$H,'Corporate activity'!$D:$D,Formulas!$L617,'Corporate activity'!$C:$C,Formulas!N$2)</f>
        <v>0</v>
      </c>
      <c r="O617">
        <f>SUMIFS('Corporate activity'!$H:$H,'Corporate activity'!$D:$D,Formulas!$L617,'Corporate activity'!$C:$C,Formulas!O$2)</f>
        <v>0</v>
      </c>
      <c r="P617">
        <f t="shared" si="50"/>
        <v>0</v>
      </c>
      <c r="Q617" t="str">
        <f t="shared" si="53"/>
        <v/>
      </c>
    </row>
    <row r="618" spans="3:17" x14ac:dyDescent="0.25">
      <c r="C618">
        <f>SUMIFS(Issuance!$H:$H,Issuance!$D:$D,Formulas!$B618,Issuance!$C:$C,Formulas!C$2)</f>
        <v>0</v>
      </c>
      <c r="D618">
        <f>SUMIFS(Issuance!$H:$H,Issuance!$D:$D,Formulas!$B618,Issuance!$C:$C,Formulas!D$2)</f>
        <v>0</v>
      </c>
      <c r="E618">
        <f t="shared" si="49"/>
        <v>0</v>
      </c>
      <c r="F618" s="41" t="str">
        <f t="shared" si="51"/>
        <v/>
      </c>
      <c r="I618">
        <f>SUMIFS(Buybacks!H:H,Buybacks!D:D,Formulas!H618)</f>
        <v>0</v>
      </c>
      <c r="J618" s="41" t="str">
        <f t="shared" si="52"/>
        <v/>
      </c>
      <c r="M618">
        <f>SUMIFS('Corporate activity'!$H:$H,'Corporate activity'!$D:$D,Formulas!$L618,'Corporate activity'!$C:$C,Formulas!M$2)</f>
        <v>0</v>
      </c>
      <c r="N618">
        <f>SUMIFS('Corporate activity'!$H:$H,'Corporate activity'!$D:$D,Formulas!$L618,'Corporate activity'!$C:$C,Formulas!N$2)</f>
        <v>0</v>
      </c>
      <c r="O618">
        <f>SUMIFS('Corporate activity'!$H:$H,'Corporate activity'!$D:$D,Formulas!$L618,'Corporate activity'!$C:$C,Formulas!O$2)</f>
        <v>0</v>
      </c>
      <c r="P618">
        <f t="shared" si="50"/>
        <v>0</v>
      </c>
      <c r="Q618" t="str">
        <f t="shared" si="53"/>
        <v/>
      </c>
    </row>
    <row r="619" spans="3:17" x14ac:dyDescent="0.25">
      <c r="C619">
        <f>SUMIFS(Issuance!$H:$H,Issuance!$D:$D,Formulas!$B619,Issuance!$C:$C,Formulas!C$2)</f>
        <v>0</v>
      </c>
      <c r="D619">
        <f>SUMIFS(Issuance!$H:$H,Issuance!$D:$D,Formulas!$B619,Issuance!$C:$C,Formulas!D$2)</f>
        <v>0</v>
      </c>
      <c r="E619">
        <f t="shared" si="49"/>
        <v>0</v>
      </c>
      <c r="F619" s="41" t="str">
        <f t="shared" si="51"/>
        <v/>
      </c>
      <c r="I619">
        <f>SUMIFS(Buybacks!H:H,Buybacks!D:D,Formulas!H619)</f>
        <v>0</v>
      </c>
      <c r="J619" s="41" t="str">
        <f t="shared" si="52"/>
        <v/>
      </c>
      <c r="M619">
        <f>SUMIFS('Corporate activity'!$H:$H,'Corporate activity'!$D:$D,Formulas!$L619,'Corporate activity'!$C:$C,Formulas!M$2)</f>
        <v>0</v>
      </c>
      <c r="N619">
        <f>SUMIFS('Corporate activity'!$H:$H,'Corporate activity'!$D:$D,Formulas!$L619,'Corporate activity'!$C:$C,Formulas!N$2)</f>
        <v>0</v>
      </c>
      <c r="O619">
        <f>SUMIFS('Corporate activity'!$H:$H,'Corporate activity'!$D:$D,Formulas!$L619,'Corporate activity'!$C:$C,Formulas!O$2)</f>
        <v>0</v>
      </c>
      <c r="P619">
        <f t="shared" si="50"/>
        <v>0</v>
      </c>
      <c r="Q619" t="str">
        <f t="shared" si="53"/>
        <v/>
      </c>
    </row>
    <row r="620" spans="3:17" x14ac:dyDescent="0.25">
      <c r="C620">
        <f>SUMIFS(Issuance!$H:$H,Issuance!$D:$D,Formulas!$B620,Issuance!$C:$C,Formulas!C$2)</f>
        <v>0</v>
      </c>
      <c r="D620">
        <f>SUMIFS(Issuance!$H:$H,Issuance!$D:$D,Formulas!$B620,Issuance!$C:$C,Formulas!D$2)</f>
        <v>0</v>
      </c>
      <c r="E620">
        <f t="shared" si="49"/>
        <v>0</v>
      </c>
      <c r="F620" s="41" t="str">
        <f t="shared" si="51"/>
        <v/>
      </c>
      <c r="I620">
        <f>SUMIFS(Buybacks!H:H,Buybacks!D:D,Formulas!H620)</f>
        <v>0</v>
      </c>
      <c r="J620" s="41" t="str">
        <f t="shared" si="52"/>
        <v/>
      </c>
      <c r="M620">
        <f>SUMIFS('Corporate activity'!$H:$H,'Corporate activity'!$D:$D,Formulas!$L620,'Corporate activity'!$C:$C,Formulas!M$2)</f>
        <v>0</v>
      </c>
      <c r="N620">
        <f>SUMIFS('Corporate activity'!$H:$H,'Corporate activity'!$D:$D,Formulas!$L620,'Corporate activity'!$C:$C,Formulas!N$2)</f>
        <v>0</v>
      </c>
      <c r="O620">
        <f>SUMIFS('Corporate activity'!$H:$H,'Corporate activity'!$D:$D,Formulas!$L620,'Corporate activity'!$C:$C,Formulas!O$2)</f>
        <v>0</v>
      </c>
      <c r="P620">
        <f t="shared" si="50"/>
        <v>0</v>
      </c>
      <c r="Q620" t="str">
        <f t="shared" si="53"/>
        <v/>
      </c>
    </row>
    <row r="621" spans="3:17" x14ac:dyDescent="0.25">
      <c r="C621">
        <f>SUMIFS(Issuance!$H:$H,Issuance!$D:$D,Formulas!$B621,Issuance!$C:$C,Formulas!C$2)</f>
        <v>0</v>
      </c>
      <c r="D621">
        <f>SUMIFS(Issuance!$H:$H,Issuance!$D:$D,Formulas!$B621,Issuance!$C:$C,Formulas!D$2)</f>
        <v>0</v>
      </c>
      <c r="E621">
        <f t="shared" si="49"/>
        <v>0</v>
      </c>
      <c r="F621" s="41" t="str">
        <f t="shared" si="51"/>
        <v/>
      </c>
      <c r="I621">
        <f>SUMIFS(Buybacks!H:H,Buybacks!D:D,Formulas!H621)</f>
        <v>0</v>
      </c>
      <c r="J621" s="41" t="str">
        <f t="shared" si="52"/>
        <v/>
      </c>
      <c r="M621">
        <f>SUMIFS('Corporate activity'!$H:$H,'Corporate activity'!$D:$D,Formulas!$L621,'Corporate activity'!$C:$C,Formulas!M$2)</f>
        <v>0</v>
      </c>
      <c r="N621">
        <f>SUMIFS('Corporate activity'!$H:$H,'Corporate activity'!$D:$D,Formulas!$L621,'Corporate activity'!$C:$C,Formulas!N$2)</f>
        <v>0</v>
      </c>
      <c r="O621">
        <f>SUMIFS('Corporate activity'!$H:$H,'Corporate activity'!$D:$D,Formulas!$L621,'Corporate activity'!$C:$C,Formulas!O$2)</f>
        <v>0</v>
      </c>
      <c r="P621">
        <f t="shared" si="50"/>
        <v>0</v>
      </c>
      <c r="Q621" t="str">
        <f t="shared" si="53"/>
        <v/>
      </c>
    </row>
    <row r="622" spans="3:17" x14ac:dyDescent="0.25">
      <c r="C622">
        <f>SUMIFS(Issuance!$H:$H,Issuance!$D:$D,Formulas!$B622,Issuance!$C:$C,Formulas!C$2)</f>
        <v>0</v>
      </c>
      <c r="D622">
        <f>SUMIFS(Issuance!$H:$H,Issuance!$D:$D,Formulas!$B622,Issuance!$C:$C,Formulas!D$2)</f>
        <v>0</v>
      </c>
      <c r="E622">
        <f t="shared" si="49"/>
        <v>0</v>
      </c>
      <c r="F622" s="41" t="str">
        <f t="shared" si="51"/>
        <v/>
      </c>
      <c r="I622">
        <f>SUMIFS(Buybacks!H:H,Buybacks!D:D,Formulas!H622)</f>
        <v>0</v>
      </c>
      <c r="J622" s="41" t="str">
        <f t="shared" si="52"/>
        <v/>
      </c>
      <c r="M622">
        <f>SUMIFS('Corporate activity'!$H:$H,'Corporate activity'!$D:$D,Formulas!$L622,'Corporate activity'!$C:$C,Formulas!M$2)</f>
        <v>0</v>
      </c>
      <c r="N622">
        <f>SUMIFS('Corporate activity'!$H:$H,'Corporate activity'!$D:$D,Formulas!$L622,'Corporate activity'!$C:$C,Formulas!N$2)</f>
        <v>0</v>
      </c>
      <c r="O622">
        <f>SUMIFS('Corporate activity'!$H:$H,'Corporate activity'!$D:$D,Formulas!$L622,'Corporate activity'!$C:$C,Formulas!O$2)</f>
        <v>0</v>
      </c>
      <c r="P622">
        <f t="shared" si="50"/>
        <v>0</v>
      </c>
      <c r="Q622" t="str">
        <f t="shared" si="53"/>
        <v/>
      </c>
    </row>
    <row r="623" spans="3:17" x14ac:dyDescent="0.25">
      <c r="C623">
        <f>SUMIFS(Issuance!$H:$H,Issuance!$D:$D,Formulas!$B623,Issuance!$C:$C,Formulas!C$2)</f>
        <v>0</v>
      </c>
      <c r="D623">
        <f>SUMIFS(Issuance!$H:$H,Issuance!$D:$D,Formulas!$B623,Issuance!$C:$C,Formulas!D$2)</f>
        <v>0</v>
      </c>
      <c r="E623">
        <f t="shared" si="49"/>
        <v>0</v>
      </c>
      <c r="F623" s="41" t="str">
        <f t="shared" si="51"/>
        <v/>
      </c>
      <c r="I623">
        <f>SUMIFS(Buybacks!H:H,Buybacks!D:D,Formulas!H623)</f>
        <v>0</v>
      </c>
      <c r="J623" s="41" t="str">
        <f t="shared" si="52"/>
        <v/>
      </c>
      <c r="M623">
        <f>SUMIFS('Corporate activity'!$H:$H,'Corporate activity'!$D:$D,Formulas!$L623,'Corporate activity'!$C:$C,Formulas!M$2)</f>
        <v>0</v>
      </c>
      <c r="N623">
        <f>SUMIFS('Corporate activity'!$H:$H,'Corporate activity'!$D:$D,Formulas!$L623,'Corporate activity'!$C:$C,Formulas!N$2)</f>
        <v>0</v>
      </c>
      <c r="O623">
        <f>SUMIFS('Corporate activity'!$H:$H,'Corporate activity'!$D:$D,Formulas!$L623,'Corporate activity'!$C:$C,Formulas!O$2)</f>
        <v>0</v>
      </c>
      <c r="P623">
        <f t="shared" si="50"/>
        <v>0</v>
      </c>
      <c r="Q623" t="str">
        <f t="shared" si="53"/>
        <v/>
      </c>
    </row>
    <row r="624" spans="3:17" x14ac:dyDescent="0.25">
      <c r="C624">
        <f>SUMIFS(Issuance!$H:$H,Issuance!$D:$D,Formulas!$B624,Issuance!$C:$C,Formulas!C$2)</f>
        <v>0</v>
      </c>
      <c r="D624">
        <f>SUMIFS(Issuance!$H:$H,Issuance!$D:$D,Formulas!$B624,Issuance!$C:$C,Formulas!D$2)</f>
        <v>0</v>
      </c>
      <c r="E624">
        <f t="shared" si="49"/>
        <v>0</v>
      </c>
      <c r="F624" s="41" t="str">
        <f t="shared" si="51"/>
        <v/>
      </c>
      <c r="I624">
        <f>SUMIFS(Buybacks!H:H,Buybacks!D:D,Formulas!H624)</f>
        <v>0</v>
      </c>
      <c r="J624" s="41" t="str">
        <f t="shared" si="52"/>
        <v/>
      </c>
      <c r="M624">
        <f>SUMIFS('Corporate activity'!$H:$H,'Corporate activity'!$D:$D,Formulas!$L624,'Corporate activity'!$C:$C,Formulas!M$2)</f>
        <v>0</v>
      </c>
      <c r="N624">
        <f>SUMIFS('Corporate activity'!$H:$H,'Corporate activity'!$D:$D,Formulas!$L624,'Corporate activity'!$C:$C,Formulas!N$2)</f>
        <v>0</v>
      </c>
      <c r="O624">
        <f>SUMIFS('Corporate activity'!$H:$H,'Corporate activity'!$D:$D,Formulas!$L624,'Corporate activity'!$C:$C,Formulas!O$2)</f>
        <v>0</v>
      </c>
      <c r="P624">
        <f t="shared" si="50"/>
        <v>0</v>
      </c>
      <c r="Q624" t="str">
        <f t="shared" si="53"/>
        <v/>
      </c>
    </row>
    <row r="625" spans="3:17" x14ac:dyDescent="0.25">
      <c r="C625">
        <f>SUMIFS(Issuance!$H:$H,Issuance!$D:$D,Formulas!$B625,Issuance!$C:$C,Formulas!C$2)</f>
        <v>0</v>
      </c>
      <c r="D625">
        <f>SUMIFS(Issuance!$H:$H,Issuance!$D:$D,Formulas!$B625,Issuance!$C:$C,Formulas!D$2)</f>
        <v>0</v>
      </c>
      <c r="E625">
        <f t="shared" si="49"/>
        <v>0</v>
      </c>
      <c r="F625" s="41" t="str">
        <f t="shared" si="51"/>
        <v/>
      </c>
      <c r="I625">
        <f>SUMIFS(Buybacks!H:H,Buybacks!D:D,Formulas!H625)</f>
        <v>0</v>
      </c>
      <c r="J625" s="41" t="str">
        <f t="shared" si="52"/>
        <v/>
      </c>
      <c r="M625">
        <f>SUMIFS('Corporate activity'!$H:$H,'Corporate activity'!$D:$D,Formulas!$L625,'Corporate activity'!$C:$C,Formulas!M$2)</f>
        <v>0</v>
      </c>
      <c r="N625">
        <f>SUMIFS('Corporate activity'!$H:$H,'Corporate activity'!$D:$D,Formulas!$L625,'Corporate activity'!$C:$C,Formulas!N$2)</f>
        <v>0</v>
      </c>
      <c r="O625">
        <f>SUMIFS('Corporate activity'!$H:$H,'Corporate activity'!$D:$D,Formulas!$L625,'Corporate activity'!$C:$C,Formulas!O$2)</f>
        <v>0</v>
      </c>
      <c r="P625">
        <f t="shared" si="50"/>
        <v>0</v>
      </c>
      <c r="Q625" t="str">
        <f t="shared" si="53"/>
        <v/>
      </c>
    </row>
    <row r="626" spans="3:17" x14ac:dyDescent="0.25">
      <c r="C626">
        <f>SUMIFS(Issuance!$H:$H,Issuance!$D:$D,Formulas!$B626,Issuance!$C:$C,Formulas!C$2)</f>
        <v>0</v>
      </c>
      <c r="D626">
        <f>SUMIFS(Issuance!$H:$H,Issuance!$D:$D,Formulas!$B626,Issuance!$C:$C,Formulas!D$2)</f>
        <v>0</v>
      </c>
      <c r="E626">
        <f t="shared" si="49"/>
        <v>0</v>
      </c>
      <c r="F626" s="41" t="str">
        <f t="shared" si="51"/>
        <v/>
      </c>
      <c r="I626">
        <f>SUMIFS(Buybacks!H:H,Buybacks!D:D,Formulas!H626)</f>
        <v>0</v>
      </c>
      <c r="J626" s="41" t="str">
        <f t="shared" si="52"/>
        <v/>
      </c>
      <c r="M626">
        <f>SUMIFS('Corporate activity'!$H:$H,'Corporate activity'!$D:$D,Formulas!$L626,'Corporate activity'!$C:$C,Formulas!M$2)</f>
        <v>0</v>
      </c>
      <c r="N626">
        <f>SUMIFS('Corporate activity'!$H:$H,'Corporate activity'!$D:$D,Formulas!$L626,'Corporate activity'!$C:$C,Formulas!N$2)</f>
        <v>0</v>
      </c>
      <c r="O626">
        <f>SUMIFS('Corporate activity'!$H:$H,'Corporate activity'!$D:$D,Formulas!$L626,'Corporate activity'!$C:$C,Formulas!O$2)</f>
        <v>0</v>
      </c>
      <c r="P626">
        <f t="shared" si="50"/>
        <v>0</v>
      </c>
      <c r="Q626" t="str">
        <f t="shared" si="53"/>
        <v/>
      </c>
    </row>
    <row r="627" spans="3:17" x14ac:dyDescent="0.25">
      <c r="C627">
        <f>SUMIFS(Issuance!$H:$H,Issuance!$D:$D,Formulas!$B627,Issuance!$C:$C,Formulas!C$2)</f>
        <v>0</v>
      </c>
      <c r="D627">
        <f>SUMIFS(Issuance!$H:$H,Issuance!$D:$D,Formulas!$B627,Issuance!$C:$C,Formulas!D$2)</f>
        <v>0</v>
      </c>
      <c r="E627">
        <f t="shared" ref="E627:E690" si="54">SUM(C627:D627)</f>
        <v>0</v>
      </c>
      <c r="F627" s="41" t="str">
        <f t="shared" si="51"/>
        <v/>
      </c>
      <c r="I627">
        <f>SUMIFS(Buybacks!H:H,Buybacks!D:D,Formulas!H627)</f>
        <v>0</v>
      </c>
      <c r="J627" s="41" t="str">
        <f t="shared" si="52"/>
        <v/>
      </c>
      <c r="M627">
        <f>SUMIFS('Corporate activity'!$H:$H,'Corporate activity'!$D:$D,Formulas!$L627,'Corporate activity'!$C:$C,Formulas!M$2)</f>
        <v>0</v>
      </c>
      <c r="N627">
        <f>SUMIFS('Corporate activity'!$H:$H,'Corporate activity'!$D:$D,Formulas!$L627,'Corporate activity'!$C:$C,Formulas!N$2)</f>
        <v>0</v>
      </c>
      <c r="O627">
        <f>SUMIFS('Corporate activity'!$H:$H,'Corporate activity'!$D:$D,Formulas!$L627,'Corporate activity'!$C:$C,Formulas!O$2)</f>
        <v>0</v>
      </c>
      <c r="P627">
        <f t="shared" ref="P627:P690" si="55">SUM(M627:O627)</f>
        <v>0</v>
      </c>
      <c r="Q627" t="str">
        <f t="shared" si="53"/>
        <v/>
      </c>
    </row>
    <row r="628" spans="3:17" x14ac:dyDescent="0.25">
      <c r="C628">
        <f>SUMIFS(Issuance!$H:$H,Issuance!$D:$D,Formulas!$B628,Issuance!$C:$C,Formulas!C$2)</f>
        <v>0</v>
      </c>
      <c r="D628">
        <f>SUMIFS(Issuance!$H:$H,Issuance!$D:$D,Formulas!$B628,Issuance!$C:$C,Formulas!D$2)</f>
        <v>0</v>
      </c>
      <c r="E628">
        <f t="shared" si="54"/>
        <v>0</v>
      </c>
      <c r="F628" s="41" t="str">
        <f t="shared" si="51"/>
        <v/>
      </c>
      <c r="I628">
        <f>SUMIFS(Buybacks!H:H,Buybacks!D:D,Formulas!H628)</f>
        <v>0</v>
      </c>
      <c r="J628" s="41" t="str">
        <f t="shared" si="52"/>
        <v/>
      </c>
      <c r="M628">
        <f>SUMIFS('Corporate activity'!$H:$H,'Corporate activity'!$D:$D,Formulas!$L628,'Corporate activity'!$C:$C,Formulas!M$2)</f>
        <v>0</v>
      </c>
      <c r="N628">
        <f>SUMIFS('Corporate activity'!$H:$H,'Corporate activity'!$D:$D,Formulas!$L628,'Corporate activity'!$C:$C,Formulas!N$2)</f>
        <v>0</v>
      </c>
      <c r="O628">
        <f>SUMIFS('Corporate activity'!$H:$H,'Corporate activity'!$D:$D,Formulas!$L628,'Corporate activity'!$C:$C,Formulas!O$2)</f>
        <v>0</v>
      </c>
      <c r="P628">
        <f t="shared" si="55"/>
        <v>0</v>
      </c>
      <c r="Q628" t="str">
        <f t="shared" si="53"/>
        <v/>
      </c>
    </row>
    <row r="629" spans="3:17" x14ac:dyDescent="0.25">
      <c r="C629">
        <f>SUMIFS(Issuance!$H:$H,Issuance!$D:$D,Formulas!$B629,Issuance!$C:$C,Formulas!C$2)</f>
        <v>0</v>
      </c>
      <c r="D629">
        <f>SUMIFS(Issuance!$H:$H,Issuance!$D:$D,Formulas!$B629,Issuance!$C:$C,Formulas!D$2)</f>
        <v>0</v>
      </c>
      <c r="E629">
        <f t="shared" si="54"/>
        <v>0</v>
      </c>
      <c r="F629" s="41" t="str">
        <f t="shared" si="51"/>
        <v/>
      </c>
      <c r="I629">
        <f>SUMIFS(Buybacks!H:H,Buybacks!D:D,Formulas!H629)</f>
        <v>0</v>
      </c>
      <c r="J629" s="41" t="str">
        <f t="shared" si="52"/>
        <v/>
      </c>
      <c r="M629">
        <f>SUMIFS('Corporate activity'!$H:$H,'Corporate activity'!$D:$D,Formulas!$L629,'Corporate activity'!$C:$C,Formulas!M$2)</f>
        <v>0</v>
      </c>
      <c r="N629">
        <f>SUMIFS('Corporate activity'!$H:$H,'Corporate activity'!$D:$D,Formulas!$L629,'Corporate activity'!$C:$C,Formulas!N$2)</f>
        <v>0</v>
      </c>
      <c r="O629">
        <f>SUMIFS('Corporate activity'!$H:$H,'Corporate activity'!$D:$D,Formulas!$L629,'Corporate activity'!$C:$C,Formulas!O$2)</f>
        <v>0</v>
      </c>
      <c r="P629">
        <f t="shared" si="55"/>
        <v>0</v>
      </c>
      <c r="Q629" t="str">
        <f t="shared" si="53"/>
        <v/>
      </c>
    </row>
    <row r="630" spans="3:17" x14ac:dyDescent="0.25">
      <c r="C630">
        <f>SUMIFS(Issuance!$H:$H,Issuance!$D:$D,Formulas!$B630,Issuance!$C:$C,Formulas!C$2)</f>
        <v>0</v>
      </c>
      <c r="D630">
        <f>SUMIFS(Issuance!$H:$H,Issuance!$D:$D,Formulas!$B630,Issuance!$C:$C,Formulas!D$2)</f>
        <v>0</v>
      </c>
      <c r="E630">
        <f t="shared" si="54"/>
        <v>0</v>
      </c>
      <c r="F630" s="41" t="str">
        <f t="shared" si="51"/>
        <v/>
      </c>
      <c r="I630">
        <f>SUMIFS(Buybacks!H:H,Buybacks!D:D,Formulas!H630)</f>
        <v>0</v>
      </c>
      <c r="J630" s="41" t="str">
        <f t="shared" si="52"/>
        <v/>
      </c>
      <c r="M630">
        <f>SUMIFS('Corporate activity'!$H:$H,'Corporate activity'!$D:$D,Formulas!$L630,'Corporate activity'!$C:$C,Formulas!M$2)</f>
        <v>0</v>
      </c>
      <c r="N630">
        <f>SUMIFS('Corporate activity'!$H:$H,'Corporate activity'!$D:$D,Formulas!$L630,'Corporate activity'!$C:$C,Formulas!N$2)</f>
        <v>0</v>
      </c>
      <c r="O630">
        <f>SUMIFS('Corporate activity'!$H:$H,'Corporate activity'!$D:$D,Formulas!$L630,'Corporate activity'!$C:$C,Formulas!O$2)</f>
        <v>0</v>
      </c>
      <c r="P630">
        <f t="shared" si="55"/>
        <v>0</v>
      </c>
      <c r="Q630" t="str">
        <f t="shared" si="53"/>
        <v/>
      </c>
    </row>
    <row r="631" spans="3:17" x14ac:dyDescent="0.25">
      <c r="C631">
        <f>SUMIFS(Issuance!$H:$H,Issuance!$D:$D,Formulas!$B631,Issuance!$C:$C,Formulas!C$2)</f>
        <v>0</v>
      </c>
      <c r="D631">
        <f>SUMIFS(Issuance!$H:$H,Issuance!$D:$D,Formulas!$B631,Issuance!$C:$C,Formulas!D$2)</f>
        <v>0</v>
      </c>
      <c r="E631">
        <f t="shared" si="54"/>
        <v>0</v>
      </c>
      <c r="F631" s="41" t="str">
        <f t="shared" si="51"/>
        <v/>
      </c>
      <c r="I631">
        <f>SUMIFS(Buybacks!H:H,Buybacks!D:D,Formulas!H631)</f>
        <v>0</v>
      </c>
      <c r="J631" s="41" t="str">
        <f t="shared" si="52"/>
        <v/>
      </c>
      <c r="M631">
        <f>SUMIFS('Corporate activity'!$H:$H,'Corporate activity'!$D:$D,Formulas!$L631,'Corporate activity'!$C:$C,Formulas!M$2)</f>
        <v>0</v>
      </c>
      <c r="N631">
        <f>SUMIFS('Corporate activity'!$H:$H,'Corporate activity'!$D:$D,Formulas!$L631,'Corporate activity'!$C:$C,Formulas!N$2)</f>
        <v>0</v>
      </c>
      <c r="O631">
        <f>SUMIFS('Corporate activity'!$H:$H,'Corporate activity'!$D:$D,Formulas!$L631,'Corporate activity'!$C:$C,Formulas!O$2)</f>
        <v>0</v>
      </c>
      <c r="P631">
        <f t="shared" si="55"/>
        <v>0</v>
      </c>
      <c r="Q631" t="str">
        <f t="shared" si="53"/>
        <v/>
      </c>
    </row>
    <row r="632" spans="3:17" x14ac:dyDescent="0.25">
      <c r="C632">
        <f>SUMIFS(Issuance!$H:$H,Issuance!$D:$D,Formulas!$B632,Issuance!$C:$C,Formulas!C$2)</f>
        <v>0</v>
      </c>
      <c r="D632">
        <f>SUMIFS(Issuance!$H:$H,Issuance!$D:$D,Formulas!$B632,Issuance!$C:$C,Formulas!D$2)</f>
        <v>0</v>
      </c>
      <c r="E632">
        <f t="shared" si="54"/>
        <v>0</v>
      </c>
      <c r="F632" s="41" t="str">
        <f t="shared" si="51"/>
        <v/>
      </c>
      <c r="I632">
        <f>SUMIFS(Buybacks!H:H,Buybacks!D:D,Formulas!H632)</f>
        <v>0</v>
      </c>
      <c r="J632" s="41" t="str">
        <f t="shared" si="52"/>
        <v/>
      </c>
      <c r="M632">
        <f>SUMIFS('Corporate activity'!$H:$H,'Corporate activity'!$D:$D,Formulas!$L632,'Corporate activity'!$C:$C,Formulas!M$2)</f>
        <v>0</v>
      </c>
      <c r="N632">
        <f>SUMIFS('Corporate activity'!$H:$H,'Corporate activity'!$D:$D,Formulas!$L632,'Corporate activity'!$C:$C,Formulas!N$2)</f>
        <v>0</v>
      </c>
      <c r="O632">
        <f>SUMIFS('Corporate activity'!$H:$H,'Corporate activity'!$D:$D,Formulas!$L632,'Corporate activity'!$C:$C,Formulas!O$2)</f>
        <v>0</v>
      </c>
      <c r="P632">
        <f t="shared" si="55"/>
        <v>0</v>
      </c>
      <c r="Q632" t="str">
        <f t="shared" si="53"/>
        <v/>
      </c>
    </row>
    <row r="633" spans="3:17" x14ac:dyDescent="0.25">
      <c r="C633">
        <f>SUMIFS(Issuance!$H:$H,Issuance!$D:$D,Formulas!$B633,Issuance!$C:$C,Formulas!C$2)</f>
        <v>0</v>
      </c>
      <c r="D633">
        <f>SUMIFS(Issuance!$H:$H,Issuance!$D:$D,Formulas!$B633,Issuance!$C:$C,Formulas!D$2)</f>
        <v>0</v>
      </c>
      <c r="E633">
        <f t="shared" si="54"/>
        <v>0</v>
      </c>
      <c r="F633" s="41" t="str">
        <f t="shared" si="51"/>
        <v/>
      </c>
      <c r="I633">
        <f>SUMIFS(Buybacks!H:H,Buybacks!D:D,Formulas!H633)</f>
        <v>0</v>
      </c>
      <c r="J633" s="41" t="str">
        <f t="shared" si="52"/>
        <v/>
      </c>
      <c r="M633">
        <f>SUMIFS('Corporate activity'!$H:$H,'Corporate activity'!$D:$D,Formulas!$L633,'Corporate activity'!$C:$C,Formulas!M$2)</f>
        <v>0</v>
      </c>
      <c r="N633">
        <f>SUMIFS('Corporate activity'!$H:$H,'Corporate activity'!$D:$D,Formulas!$L633,'Corporate activity'!$C:$C,Formulas!N$2)</f>
        <v>0</v>
      </c>
      <c r="O633">
        <f>SUMIFS('Corporate activity'!$H:$H,'Corporate activity'!$D:$D,Formulas!$L633,'Corporate activity'!$C:$C,Formulas!O$2)</f>
        <v>0</v>
      </c>
      <c r="P633">
        <f t="shared" si="55"/>
        <v>0</v>
      </c>
      <c r="Q633" t="str">
        <f t="shared" si="53"/>
        <v/>
      </c>
    </row>
    <row r="634" spans="3:17" x14ac:dyDescent="0.25">
      <c r="C634">
        <f>SUMIFS(Issuance!$H:$H,Issuance!$D:$D,Formulas!$B634,Issuance!$C:$C,Formulas!C$2)</f>
        <v>0</v>
      </c>
      <c r="D634">
        <f>SUMIFS(Issuance!$H:$H,Issuance!$D:$D,Formulas!$B634,Issuance!$C:$C,Formulas!D$2)</f>
        <v>0</v>
      </c>
      <c r="E634">
        <f t="shared" si="54"/>
        <v>0</v>
      </c>
      <c r="F634" s="41" t="str">
        <f t="shared" si="51"/>
        <v/>
      </c>
      <c r="I634">
        <f>SUMIFS(Buybacks!H:H,Buybacks!D:D,Formulas!H634)</f>
        <v>0</v>
      </c>
      <c r="J634" s="41" t="str">
        <f t="shared" si="52"/>
        <v/>
      </c>
      <c r="M634">
        <f>SUMIFS('Corporate activity'!$H:$H,'Corporate activity'!$D:$D,Formulas!$L634,'Corporate activity'!$C:$C,Formulas!M$2)</f>
        <v>0</v>
      </c>
      <c r="N634">
        <f>SUMIFS('Corporate activity'!$H:$H,'Corporate activity'!$D:$D,Formulas!$L634,'Corporate activity'!$C:$C,Formulas!N$2)</f>
        <v>0</v>
      </c>
      <c r="O634">
        <f>SUMIFS('Corporate activity'!$H:$H,'Corporate activity'!$D:$D,Formulas!$L634,'Corporate activity'!$C:$C,Formulas!O$2)</f>
        <v>0</v>
      </c>
      <c r="P634">
        <f t="shared" si="55"/>
        <v>0</v>
      </c>
      <c r="Q634" t="str">
        <f t="shared" si="53"/>
        <v/>
      </c>
    </row>
    <row r="635" spans="3:17" x14ac:dyDescent="0.25">
      <c r="C635">
        <f>SUMIFS(Issuance!$H:$H,Issuance!$D:$D,Formulas!$B635,Issuance!$C:$C,Formulas!C$2)</f>
        <v>0</v>
      </c>
      <c r="D635">
        <f>SUMIFS(Issuance!$H:$H,Issuance!$D:$D,Formulas!$B635,Issuance!$C:$C,Formulas!D$2)</f>
        <v>0</v>
      </c>
      <c r="E635">
        <f t="shared" si="54"/>
        <v>0</v>
      </c>
      <c r="F635" s="41" t="str">
        <f t="shared" si="51"/>
        <v/>
      </c>
      <c r="I635">
        <f>SUMIFS(Buybacks!H:H,Buybacks!D:D,Formulas!H635)</f>
        <v>0</v>
      </c>
      <c r="J635" s="41" t="str">
        <f t="shared" si="52"/>
        <v/>
      </c>
      <c r="M635">
        <f>SUMIFS('Corporate activity'!$H:$H,'Corporate activity'!$D:$D,Formulas!$L635,'Corporate activity'!$C:$C,Formulas!M$2)</f>
        <v>0</v>
      </c>
      <c r="N635">
        <f>SUMIFS('Corporate activity'!$H:$H,'Corporate activity'!$D:$D,Formulas!$L635,'Corporate activity'!$C:$C,Formulas!N$2)</f>
        <v>0</v>
      </c>
      <c r="O635">
        <f>SUMIFS('Corporate activity'!$H:$H,'Corporate activity'!$D:$D,Formulas!$L635,'Corporate activity'!$C:$C,Formulas!O$2)</f>
        <v>0</v>
      </c>
      <c r="P635">
        <f t="shared" si="55"/>
        <v>0</v>
      </c>
      <c r="Q635" t="str">
        <f t="shared" si="53"/>
        <v/>
      </c>
    </row>
    <row r="636" spans="3:17" x14ac:dyDescent="0.25">
      <c r="C636">
        <f>SUMIFS(Issuance!$H:$H,Issuance!$D:$D,Formulas!$B636,Issuance!$C:$C,Formulas!C$2)</f>
        <v>0</v>
      </c>
      <c r="D636">
        <f>SUMIFS(Issuance!$H:$H,Issuance!$D:$D,Formulas!$B636,Issuance!$C:$C,Formulas!D$2)</f>
        <v>0</v>
      </c>
      <c r="E636">
        <f t="shared" si="54"/>
        <v>0</v>
      </c>
      <c r="F636" s="41" t="str">
        <f t="shared" si="51"/>
        <v/>
      </c>
      <c r="I636">
        <f>SUMIFS(Buybacks!H:H,Buybacks!D:D,Formulas!H636)</f>
        <v>0</v>
      </c>
      <c r="J636" s="41" t="str">
        <f t="shared" si="52"/>
        <v/>
      </c>
      <c r="M636">
        <f>SUMIFS('Corporate activity'!$H:$H,'Corporate activity'!$D:$D,Formulas!$L636,'Corporate activity'!$C:$C,Formulas!M$2)</f>
        <v>0</v>
      </c>
      <c r="N636">
        <f>SUMIFS('Corporate activity'!$H:$H,'Corporate activity'!$D:$D,Formulas!$L636,'Corporate activity'!$C:$C,Formulas!N$2)</f>
        <v>0</v>
      </c>
      <c r="O636">
        <f>SUMIFS('Corporate activity'!$H:$H,'Corporate activity'!$D:$D,Formulas!$L636,'Corporate activity'!$C:$C,Formulas!O$2)</f>
        <v>0</v>
      </c>
      <c r="P636">
        <f t="shared" si="55"/>
        <v>0</v>
      </c>
      <c r="Q636" t="str">
        <f t="shared" si="53"/>
        <v/>
      </c>
    </row>
    <row r="637" spans="3:17" x14ac:dyDescent="0.25">
      <c r="C637">
        <f>SUMIFS(Issuance!$H:$H,Issuance!$D:$D,Formulas!$B637,Issuance!$C:$C,Formulas!C$2)</f>
        <v>0</v>
      </c>
      <c r="D637">
        <f>SUMIFS(Issuance!$H:$H,Issuance!$D:$D,Formulas!$B637,Issuance!$C:$C,Formulas!D$2)</f>
        <v>0</v>
      </c>
      <c r="E637">
        <f t="shared" si="54"/>
        <v>0</v>
      </c>
      <c r="F637" s="41" t="str">
        <f t="shared" si="51"/>
        <v/>
      </c>
      <c r="I637">
        <f>SUMIFS(Buybacks!H:H,Buybacks!D:D,Formulas!H637)</f>
        <v>0</v>
      </c>
      <c r="J637" s="41" t="str">
        <f t="shared" si="52"/>
        <v/>
      </c>
      <c r="M637">
        <f>SUMIFS('Corporate activity'!$H:$H,'Corporate activity'!$D:$D,Formulas!$L637,'Corporate activity'!$C:$C,Formulas!M$2)</f>
        <v>0</v>
      </c>
      <c r="N637">
        <f>SUMIFS('Corporate activity'!$H:$H,'Corporate activity'!$D:$D,Formulas!$L637,'Corporate activity'!$C:$C,Formulas!N$2)</f>
        <v>0</v>
      </c>
      <c r="O637">
        <f>SUMIFS('Corporate activity'!$H:$H,'Corporate activity'!$D:$D,Formulas!$L637,'Corporate activity'!$C:$C,Formulas!O$2)</f>
        <v>0</v>
      </c>
      <c r="P637">
        <f t="shared" si="55"/>
        <v>0</v>
      </c>
      <c r="Q637" t="str">
        <f t="shared" si="53"/>
        <v/>
      </c>
    </row>
    <row r="638" spans="3:17" x14ac:dyDescent="0.25">
      <c r="C638">
        <f>SUMIFS(Issuance!$H:$H,Issuance!$D:$D,Formulas!$B638,Issuance!$C:$C,Formulas!C$2)</f>
        <v>0</v>
      </c>
      <c r="D638">
        <f>SUMIFS(Issuance!$H:$H,Issuance!$D:$D,Formulas!$B638,Issuance!$C:$C,Formulas!D$2)</f>
        <v>0</v>
      </c>
      <c r="E638">
        <f t="shared" si="54"/>
        <v>0</v>
      </c>
      <c r="F638" s="41" t="str">
        <f t="shared" si="51"/>
        <v/>
      </c>
      <c r="I638">
        <f>SUMIFS(Buybacks!H:H,Buybacks!D:D,Formulas!H638)</f>
        <v>0</v>
      </c>
      <c r="J638" s="41" t="str">
        <f t="shared" si="52"/>
        <v/>
      </c>
      <c r="M638">
        <f>SUMIFS('Corporate activity'!$H:$H,'Corporate activity'!$D:$D,Formulas!$L638,'Corporate activity'!$C:$C,Formulas!M$2)</f>
        <v>0</v>
      </c>
      <c r="N638">
        <f>SUMIFS('Corporate activity'!$H:$H,'Corporate activity'!$D:$D,Formulas!$L638,'Corporate activity'!$C:$C,Formulas!N$2)</f>
        <v>0</v>
      </c>
      <c r="O638">
        <f>SUMIFS('Corporate activity'!$H:$H,'Corporate activity'!$D:$D,Formulas!$L638,'Corporate activity'!$C:$C,Formulas!O$2)</f>
        <v>0</v>
      </c>
      <c r="P638">
        <f t="shared" si="55"/>
        <v>0</v>
      </c>
      <c r="Q638" t="str">
        <f t="shared" si="53"/>
        <v/>
      </c>
    </row>
    <row r="639" spans="3:17" x14ac:dyDescent="0.25">
      <c r="C639">
        <f>SUMIFS(Issuance!$H:$H,Issuance!$D:$D,Formulas!$B639,Issuance!$C:$C,Formulas!C$2)</f>
        <v>0</v>
      </c>
      <c r="D639">
        <f>SUMIFS(Issuance!$H:$H,Issuance!$D:$D,Formulas!$B639,Issuance!$C:$C,Formulas!D$2)</f>
        <v>0</v>
      </c>
      <c r="E639">
        <f t="shared" si="54"/>
        <v>0</v>
      </c>
      <c r="F639" s="41" t="str">
        <f t="shared" si="51"/>
        <v/>
      </c>
      <c r="I639">
        <f>SUMIFS(Buybacks!H:H,Buybacks!D:D,Formulas!H639)</f>
        <v>0</v>
      </c>
      <c r="J639" s="41" t="str">
        <f t="shared" si="52"/>
        <v/>
      </c>
      <c r="M639">
        <f>SUMIFS('Corporate activity'!$H:$H,'Corporate activity'!$D:$D,Formulas!$L639,'Corporate activity'!$C:$C,Formulas!M$2)</f>
        <v>0</v>
      </c>
      <c r="N639">
        <f>SUMIFS('Corporate activity'!$H:$H,'Corporate activity'!$D:$D,Formulas!$L639,'Corporate activity'!$C:$C,Formulas!N$2)</f>
        <v>0</v>
      </c>
      <c r="O639">
        <f>SUMIFS('Corporate activity'!$H:$H,'Corporate activity'!$D:$D,Formulas!$L639,'Corporate activity'!$C:$C,Formulas!O$2)</f>
        <v>0</v>
      </c>
      <c r="P639">
        <f t="shared" si="55"/>
        <v>0</v>
      </c>
      <c r="Q639" t="str">
        <f t="shared" si="53"/>
        <v/>
      </c>
    </row>
    <row r="640" spans="3:17" x14ac:dyDescent="0.25">
      <c r="C640">
        <f>SUMIFS(Issuance!$H:$H,Issuance!$D:$D,Formulas!$B640,Issuance!$C:$C,Formulas!C$2)</f>
        <v>0</v>
      </c>
      <c r="D640">
        <f>SUMIFS(Issuance!$H:$H,Issuance!$D:$D,Formulas!$B640,Issuance!$C:$C,Formulas!D$2)</f>
        <v>0</v>
      </c>
      <c r="E640">
        <f t="shared" si="54"/>
        <v>0</v>
      </c>
      <c r="F640" s="41" t="str">
        <f t="shared" si="51"/>
        <v/>
      </c>
      <c r="I640">
        <f>SUMIFS(Buybacks!H:H,Buybacks!D:D,Formulas!H640)</f>
        <v>0</v>
      </c>
      <c r="J640" s="41" t="str">
        <f t="shared" si="52"/>
        <v/>
      </c>
      <c r="M640">
        <f>SUMIFS('Corporate activity'!$H:$H,'Corporate activity'!$D:$D,Formulas!$L640,'Corporate activity'!$C:$C,Formulas!M$2)</f>
        <v>0</v>
      </c>
      <c r="N640">
        <f>SUMIFS('Corporate activity'!$H:$H,'Corporate activity'!$D:$D,Formulas!$L640,'Corporate activity'!$C:$C,Formulas!N$2)</f>
        <v>0</v>
      </c>
      <c r="O640">
        <f>SUMIFS('Corporate activity'!$H:$H,'Corporate activity'!$D:$D,Formulas!$L640,'Corporate activity'!$C:$C,Formulas!O$2)</f>
        <v>0</v>
      </c>
      <c r="P640">
        <f t="shared" si="55"/>
        <v>0</v>
      </c>
      <c r="Q640" t="str">
        <f t="shared" si="53"/>
        <v/>
      </c>
    </row>
    <row r="641" spans="3:17" x14ac:dyDescent="0.25">
      <c r="C641">
        <f>SUMIFS(Issuance!$H:$H,Issuance!$D:$D,Formulas!$B641,Issuance!$C:$C,Formulas!C$2)</f>
        <v>0</v>
      </c>
      <c r="D641">
        <f>SUMIFS(Issuance!$H:$H,Issuance!$D:$D,Formulas!$B641,Issuance!$C:$C,Formulas!D$2)</f>
        <v>0</v>
      </c>
      <c r="E641">
        <f t="shared" si="54"/>
        <v>0</v>
      </c>
      <c r="F641" s="41" t="str">
        <f t="shared" si="51"/>
        <v/>
      </c>
      <c r="I641">
        <f>SUMIFS(Buybacks!H:H,Buybacks!D:D,Formulas!H641)</f>
        <v>0</v>
      </c>
      <c r="J641" s="41" t="str">
        <f t="shared" si="52"/>
        <v/>
      </c>
      <c r="M641">
        <f>SUMIFS('Corporate activity'!$H:$H,'Corporate activity'!$D:$D,Formulas!$L641,'Corporate activity'!$C:$C,Formulas!M$2)</f>
        <v>0</v>
      </c>
      <c r="N641">
        <f>SUMIFS('Corporate activity'!$H:$H,'Corporate activity'!$D:$D,Formulas!$L641,'Corporate activity'!$C:$C,Formulas!N$2)</f>
        <v>0</v>
      </c>
      <c r="O641">
        <f>SUMIFS('Corporate activity'!$H:$H,'Corporate activity'!$D:$D,Formulas!$L641,'Corporate activity'!$C:$C,Formulas!O$2)</f>
        <v>0</v>
      </c>
      <c r="P641">
        <f t="shared" si="55"/>
        <v>0</v>
      </c>
      <c r="Q641" t="str">
        <f t="shared" si="53"/>
        <v/>
      </c>
    </row>
    <row r="642" spans="3:17" x14ac:dyDescent="0.25">
      <c r="C642">
        <f>SUMIFS(Issuance!$H:$H,Issuance!$D:$D,Formulas!$B642,Issuance!$C:$C,Formulas!C$2)</f>
        <v>0</v>
      </c>
      <c r="D642">
        <f>SUMIFS(Issuance!$H:$H,Issuance!$D:$D,Formulas!$B642,Issuance!$C:$C,Formulas!D$2)</f>
        <v>0</v>
      </c>
      <c r="E642">
        <f t="shared" si="54"/>
        <v>0</v>
      </c>
      <c r="F642" s="41" t="str">
        <f t="shared" si="51"/>
        <v/>
      </c>
      <c r="I642">
        <f>SUMIFS(Buybacks!H:H,Buybacks!D:D,Formulas!H642)</f>
        <v>0</v>
      </c>
      <c r="J642" s="41" t="str">
        <f t="shared" si="52"/>
        <v/>
      </c>
      <c r="M642">
        <f>SUMIFS('Corporate activity'!$H:$H,'Corporate activity'!$D:$D,Formulas!$L642,'Corporate activity'!$C:$C,Formulas!M$2)</f>
        <v>0</v>
      </c>
      <c r="N642">
        <f>SUMIFS('Corporate activity'!$H:$H,'Corporate activity'!$D:$D,Formulas!$L642,'Corporate activity'!$C:$C,Formulas!N$2)</f>
        <v>0</v>
      </c>
      <c r="O642">
        <f>SUMIFS('Corporate activity'!$H:$H,'Corporate activity'!$D:$D,Formulas!$L642,'Corporate activity'!$C:$C,Formulas!O$2)</f>
        <v>0</v>
      </c>
      <c r="P642">
        <f t="shared" si="55"/>
        <v>0</v>
      </c>
      <c r="Q642" t="str">
        <f t="shared" si="53"/>
        <v/>
      </c>
    </row>
    <row r="643" spans="3:17" x14ac:dyDescent="0.25">
      <c r="C643">
        <f>SUMIFS(Issuance!$H:$H,Issuance!$D:$D,Formulas!$B643,Issuance!$C:$C,Formulas!C$2)</f>
        <v>0</v>
      </c>
      <c r="D643">
        <f>SUMIFS(Issuance!$H:$H,Issuance!$D:$D,Formulas!$B643,Issuance!$C:$C,Formulas!D$2)</f>
        <v>0</v>
      </c>
      <c r="E643">
        <f t="shared" si="54"/>
        <v>0</v>
      </c>
      <c r="F643" s="41" t="str">
        <f t="shared" si="51"/>
        <v/>
      </c>
      <c r="I643">
        <f>SUMIFS(Buybacks!H:H,Buybacks!D:D,Formulas!H643)</f>
        <v>0</v>
      </c>
      <c r="J643" s="41" t="str">
        <f t="shared" si="52"/>
        <v/>
      </c>
      <c r="M643">
        <f>SUMIFS('Corporate activity'!$H:$H,'Corporate activity'!$D:$D,Formulas!$L643,'Corporate activity'!$C:$C,Formulas!M$2)</f>
        <v>0</v>
      </c>
      <c r="N643">
        <f>SUMIFS('Corporate activity'!$H:$H,'Corporate activity'!$D:$D,Formulas!$L643,'Corporate activity'!$C:$C,Formulas!N$2)</f>
        <v>0</v>
      </c>
      <c r="O643">
        <f>SUMIFS('Corporate activity'!$H:$H,'Corporate activity'!$D:$D,Formulas!$L643,'Corporate activity'!$C:$C,Formulas!O$2)</f>
        <v>0</v>
      </c>
      <c r="P643">
        <f t="shared" si="55"/>
        <v>0</v>
      </c>
      <c r="Q643" t="str">
        <f t="shared" si="53"/>
        <v/>
      </c>
    </row>
    <row r="644" spans="3:17" x14ac:dyDescent="0.25">
      <c r="C644">
        <f>SUMIFS(Issuance!$H:$H,Issuance!$D:$D,Formulas!$B644,Issuance!$C:$C,Formulas!C$2)</f>
        <v>0</v>
      </c>
      <c r="D644">
        <f>SUMIFS(Issuance!$H:$H,Issuance!$D:$D,Formulas!$B644,Issuance!$C:$C,Formulas!D$2)</f>
        <v>0</v>
      </c>
      <c r="E644">
        <f t="shared" si="54"/>
        <v>0</v>
      </c>
      <c r="F644" s="41" t="str">
        <f t="shared" ref="F644:F707" si="56">IF(OR(B644="",B644=0,E644=0),"",IF(COUNTIFS($E$3:$E$500,"&gt;"&amp;E644,$E$3:$E$500,"&lt;&gt;0")+1&lt;=20,COUNTIFS($E$3:$E$500,"&gt;"&amp;E644,$E$3:$E$500,"&lt;&gt;0")+1,""))</f>
        <v/>
      </c>
      <c r="I644">
        <f>SUMIFS(Buybacks!H:H,Buybacks!D:D,Formulas!H644)</f>
        <v>0</v>
      </c>
      <c r="J644" s="41" t="str">
        <f t="shared" ref="J644:J707" si="57">IF(OR(H644="",H644=0,I644=0),"",IF(COUNTIFS($I$3:$I$500,"&lt;"&amp;I644,$I$3:$I$500,"&lt;&gt;0")+1&lt;=20,COUNTIFS($I$3:$I$500,"&lt;"&amp;I644,$I$3:$I$500,"&lt;&gt;0")+1,""))</f>
        <v/>
      </c>
      <c r="M644">
        <f>SUMIFS('Corporate activity'!$H:$H,'Corporate activity'!$D:$D,Formulas!$L644,'Corporate activity'!$C:$C,Formulas!M$2)</f>
        <v>0</v>
      </c>
      <c r="N644">
        <f>SUMIFS('Corporate activity'!$H:$H,'Corporate activity'!$D:$D,Formulas!$L644,'Corporate activity'!$C:$C,Formulas!N$2)</f>
        <v>0</v>
      </c>
      <c r="O644">
        <f>SUMIFS('Corporate activity'!$H:$H,'Corporate activity'!$D:$D,Formulas!$L644,'Corporate activity'!$C:$C,Formulas!O$2)</f>
        <v>0</v>
      </c>
      <c r="P644">
        <f t="shared" si="55"/>
        <v>0</v>
      </c>
      <c r="Q644" t="str">
        <f t="shared" si="53"/>
        <v/>
      </c>
    </row>
    <row r="645" spans="3:17" x14ac:dyDescent="0.25">
      <c r="C645">
        <f>SUMIFS(Issuance!$H:$H,Issuance!$D:$D,Formulas!$B645,Issuance!$C:$C,Formulas!C$2)</f>
        <v>0</v>
      </c>
      <c r="D645">
        <f>SUMIFS(Issuance!$H:$H,Issuance!$D:$D,Formulas!$B645,Issuance!$C:$C,Formulas!D$2)</f>
        <v>0</v>
      </c>
      <c r="E645">
        <f t="shared" si="54"/>
        <v>0</v>
      </c>
      <c r="F645" s="41" t="str">
        <f t="shared" si="56"/>
        <v/>
      </c>
      <c r="I645">
        <f>SUMIFS(Buybacks!H:H,Buybacks!D:D,Formulas!H645)</f>
        <v>0</v>
      </c>
      <c r="J645" s="41" t="str">
        <f t="shared" si="57"/>
        <v/>
      </c>
      <c r="M645">
        <f>SUMIFS('Corporate activity'!$H:$H,'Corporate activity'!$D:$D,Formulas!$L645,'Corporate activity'!$C:$C,Formulas!M$2)</f>
        <v>0</v>
      </c>
      <c r="N645">
        <f>SUMIFS('Corporate activity'!$H:$H,'Corporate activity'!$D:$D,Formulas!$L645,'Corporate activity'!$C:$C,Formulas!N$2)</f>
        <v>0</v>
      </c>
      <c r="O645">
        <f>SUMIFS('Corporate activity'!$H:$H,'Corporate activity'!$D:$D,Formulas!$L645,'Corporate activity'!$C:$C,Formulas!O$2)</f>
        <v>0</v>
      </c>
      <c r="P645">
        <f t="shared" si="55"/>
        <v>0</v>
      </c>
      <c r="Q645" t="str">
        <f t="shared" si="53"/>
        <v/>
      </c>
    </row>
    <row r="646" spans="3:17" x14ac:dyDescent="0.25">
      <c r="C646">
        <f>SUMIFS(Issuance!$H:$H,Issuance!$D:$D,Formulas!$B646,Issuance!$C:$C,Formulas!C$2)</f>
        <v>0</v>
      </c>
      <c r="D646">
        <f>SUMIFS(Issuance!$H:$H,Issuance!$D:$D,Formulas!$B646,Issuance!$C:$C,Formulas!D$2)</f>
        <v>0</v>
      </c>
      <c r="E646">
        <f t="shared" si="54"/>
        <v>0</v>
      </c>
      <c r="F646" s="41" t="str">
        <f t="shared" si="56"/>
        <v/>
      </c>
      <c r="I646">
        <f>SUMIFS(Buybacks!H:H,Buybacks!D:D,Formulas!H646)</f>
        <v>0</v>
      </c>
      <c r="J646" s="41" t="str">
        <f t="shared" si="57"/>
        <v/>
      </c>
      <c r="M646">
        <f>SUMIFS('Corporate activity'!$H:$H,'Corporate activity'!$D:$D,Formulas!$L646,'Corporate activity'!$C:$C,Formulas!M$2)</f>
        <v>0</v>
      </c>
      <c r="N646">
        <f>SUMIFS('Corporate activity'!$H:$H,'Corporate activity'!$D:$D,Formulas!$L646,'Corporate activity'!$C:$C,Formulas!N$2)</f>
        <v>0</v>
      </c>
      <c r="O646">
        <f>SUMIFS('Corporate activity'!$H:$H,'Corporate activity'!$D:$D,Formulas!$L646,'Corporate activity'!$C:$C,Formulas!O$2)</f>
        <v>0</v>
      </c>
      <c r="P646">
        <f t="shared" si="55"/>
        <v>0</v>
      </c>
      <c r="Q646" t="str">
        <f t="shared" si="53"/>
        <v/>
      </c>
    </row>
    <row r="647" spans="3:17" x14ac:dyDescent="0.25">
      <c r="C647">
        <f>SUMIFS(Issuance!$H:$H,Issuance!$D:$D,Formulas!$B647,Issuance!$C:$C,Formulas!C$2)</f>
        <v>0</v>
      </c>
      <c r="D647">
        <f>SUMIFS(Issuance!$H:$H,Issuance!$D:$D,Formulas!$B647,Issuance!$C:$C,Formulas!D$2)</f>
        <v>0</v>
      </c>
      <c r="E647">
        <f t="shared" si="54"/>
        <v>0</v>
      </c>
      <c r="F647" s="41" t="str">
        <f t="shared" si="56"/>
        <v/>
      </c>
      <c r="I647">
        <f>SUMIFS(Buybacks!H:H,Buybacks!D:D,Formulas!H647)</f>
        <v>0</v>
      </c>
      <c r="J647" s="41" t="str">
        <f t="shared" si="57"/>
        <v/>
      </c>
      <c r="M647">
        <f>SUMIFS('Corporate activity'!$H:$H,'Corporate activity'!$D:$D,Formulas!$L647,'Corporate activity'!$C:$C,Formulas!M$2)</f>
        <v>0</v>
      </c>
      <c r="N647">
        <f>SUMIFS('Corporate activity'!$H:$H,'Corporate activity'!$D:$D,Formulas!$L647,'Corporate activity'!$C:$C,Formulas!N$2)</f>
        <v>0</v>
      </c>
      <c r="O647">
        <f>SUMIFS('Corporate activity'!$H:$H,'Corporate activity'!$D:$D,Formulas!$L647,'Corporate activity'!$C:$C,Formulas!O$2)</f>
        <v>0</v>
      </c>
      <c r="P647">
        <f t="shared" si="55"/>
        <v>0</v>
      </c>
      <c r="Q647" t="str">
        <f t="shared" si="53"/>
        <v/>
      </c>
    </row>
    <row r="648" spans="3:17" x14ac:dyDescent="0.25">
      <c r="C648">
        <f>SUMIFS(Issuance!$H:$H,Issuance!$D:$D,Formulas!$B648,Issuance!$C:$C,Formulas!C$2)</f>
        <v>0</v>
      </c>
      <c r="D648">
        <f>SUMIFS(Issuance!$H:$H,Issuance!$D:$D,Formulas!$B648,Issuance!$C:$C,Formulas!D$2)</f>
        <v>0</v>
      </c>
      <c r="E648">
        <f t="shared" si="54"/>
        <v>0</v>
      </c>
      <c r="F648" s="41" t="str">
        <f t="shared" si="56"/>
        <v/>
      </c>
      <c r="I648">
        <f>SUMIFS(Buybacks!H:H,Buybacks!D:D,Formulas!H648)</f>
        <v>0</v>
      </c>
      <c r="J648" s="41" t="str">
        <f t="shared" si="57"/>
        <v/>
      </c>
      <c r="M648">
        <f>SUMIFS('Corporate activity'!$H:$H,'Corporate activity'!$D:$D,Formulas!$L648,'Corporate activity'!$C:$C,Formulas!M$2)</f>
        <v>0</v>
      </c>
      <c r="N648">
        <f>SUMIFS('Corporate activity'!$H:$H,'Corporate activity'!$D:$D,Formulas!$L648,'Corporate activity'!$C:$C,Formulas!N$2)</f>
        <v>0</v>
      </c>
      <c r="O648">
        <f>SUMIFS('Corporate activity'!$H:$H,'Corporate activity'!$D:$D,Formulas!$L648,'Corporate activity'!$C:$C,Formulas!O$2)</f>
        <v>0</v>
      </c>
      <c r="P648">
        <f t="shared" si="55"/>
        <v>0</v>
      </c>
      <c r="Q648" t="str">
        <f t="shared" si="53"/>
        <v/>
      </c>
    </row>
    <row r="649" spans="3:17" x14ac:dyDescent="0.25">
      <c r="C649">
        <f>SUMIFS(Issuance!$H:$H,Issuance!$D:$D,Formulas!$B649,Issuance!$C:$C,Formulas!C$2)</f>
        <v>0</v>
      </c>
      <c r="D649">
        <f>SUMIFS(Issuance!$H:$H,Issuance!$D:$D,Formulas!$B649,Issuance!$C:$C,Formulas!D$2)</f>
        <v>0</v>
      </c>
      <c r="E649">
        <f t="shared" si="54"/>
        <v>0</v>
      </c>
      <c r="F649" s="41" t="str">
        <f t="shared" si="56"/>
        <v/>
      </c>
      <c r="I649">
        <f>SUMIFS(Buybacks!H:H,Buybacks!D:D,Formulas!H649)</f>
        <v>0</v>
      </c>
      <c r="J649" s="41" t="str">
        <f t="shared" si="57"/>
        <v/>
      </c>
      <c r="M649">
        <f>SUMIFS('Corporate activity'!$H:$H,'Corporate activity'!$D:$D,Formulas!$L649,'Corporate activity'!$C:$C,Formulas!M$2)</f>
        <v>0</v>
      </c>
      <c r="N649">
        <f>SUMIFS('Corporate activity'!$H:$H,'Corporate activity'!$D:$D,Formulas!$L649,'Corporate activity'!$C:$C,Formulas!N$2)</f>
        <v>0</v>
      </c>
      <c r="O649">
        <f>SUMIFS('Corporate activity'!$H:$H,'Corporate activity'!$D:$D,Formulas!$L649,'Corporate activity'!$C:$C,Formulas!O$2)</f>
        <v>0</v>
      </c>
      <c r="P649">
        <f t="shared" si="55"/>
        <v>0</v>
      </c>
      <c r="Q649" t="str">
        <f t="shared" si="53"/>
        <v/>
      </c>
    </row>
    <row r="650" spans="3:17" x14ac:dyDescent="0.25">
      <c r="C650">
        <f>SUMIFS(Issuance!$H:$H,Issuance!$D:$D,Formulas!$B650,Issuance!$C:$C,Formulas!C$2)</f>
        <v>0</v>
      </c>
      <c r="D650">
        <f>SUMIFS(Issuance!$H:$H,Issuance!$D:$D,Formulas!$B650,Issuance!$C:$C,Formulas!D$2)</f>
        <v>0</v>
      </c>
      <c r="E650">
        <f t="shared" si="54"/>
        <v>0</v>
      </c>
      <c r="F650" s="41" t="str">
        <f t="shared" si="56"/>
        <v/>
      </c>
      <c r="I650">
        <f>SUMIFS(Buybacks!H:H,Buybacks!D:D,Formulas!H650)</f>
        <v>0</v>
      </c>
      <c r="J650" s="41" t="str">
        <f t="shared" si="57"/>
        <v/>
      </c>
      <c r="M650">
        <f>SUMIFS('Corporate activity'!$H:$H,'Corporate activity'!$D:$D,Formulas!$L650,'Corporate activity'!$C:$C,Formulas!M$2)</f>
        <v>0</v>
      </c>
      <c r="N650">
        <f>SUMIFS('Corporate activity'!$H:$H,'Corporate activity'!$D:$D,Formulas!$L650,'Corporate activity'!$C:$C,Formulas!N$2)</f>
        <v>0</v>
      </c>
      <c r="O650">
        <f>SUMIFS('Corporate activity'!$H:$H,'Corporate activity'!$D:$D,Formulas!$L650,'Corporate activity'!$C:$C,Formulas!O$2)</f>
        <v>0</v>
      </c>
      <c r="P650">
        <f t="shared" si="55"/>
        <v>0</v>
      </c>
      <c r="Q650" t="str">
        <f t="shared" si="53"/>
        <v/>
      </c>
    </row>
    <row r="651" spans="3:17" x14ac:dyDescent="0.25">
      <c r="C651">
        <f>SUMIFS(Issuance!$H:$H,Issuance!$D:$D,Formulas!$B651,Issuance!$C:$C,Formulas!C$2)</f>
        <v>0</v>
      </c>
      <c r="D651">
        <f>SUMIFS(Issuance!$H:$H,Issuance!$D:$D,Formulas!$B651,Issuance!$C:$C,Formulas!D$2)</f>
        <v>0</v>
      </c>
      <c r="E651">
        <f t="shared" si="54"/>
        <v>0</v>
      </c>
      <c r="F651" s="41" t="str">
        <f t="shared" si="56"/>
        <v/>
      </c>
      <c r="I651">
        <f>SUMIFS(Buybacks!H:H,Buybacks!D:D,Formulas!H651)</f>
        <v>0</v>
      </c>
      <c r="J651" s="41" t="str">
        <f t="shared" si="57"/>
        <v/>
      </c>
      <c r="M651">
        <f>SUMIFS('Corporate activity'!$H:$H,'Corporate activity'!$D:$D,Formulas!$L651,'Corporate activity'!$C:$C,Formulas!M$2)</f>
        <v>0</v>
      </c>
      <c r="N651">
        <f>SUMIFS('Corporate activity'!$H:$H,'Corporate activity'!$D:$D,Formulas!$L651,'Corporate activity'!$C:$C,Formulas!N$2)</f>
        <v>0</v>
      </c>
      <c r="O651">
        <f>SUMIFS('Corporate activity'!$H:$H,'Corporate activity'!$D:$D,Formulas!$L651,'Corporate activity'!$C:$C,Formulas!O$2)</f>
        <v>0</v>
      </c>
      <c r="P651">
        <f t="shared" si="55"/>
        <v>0</v>
      </c>
      <c r="Q651" t="str">
        <f t="shared" si="53"/>
        <v/>
      </c>
    </row>
    <row r="652" spans="3:17" x14ac:dyDescent="0.25">
      <c r="C652">
        <f>SUMIFS(Issuance!$H:$H,Issuance!$D:$D,Formulas!$B652,Issuance!$C:$C,Formulas!C$2)</f>
        <v>0</v>
      </c>
      <c r="D652">
        <f>SUMIFS(Issuance!$H:$H,Issuance!$D:$D,Formulas!$B652,Issuance!$C:$C,Formulas!D$2)</f>
        <v>0</v>
      </c>
      <c r="E652">
        <f t="shared" si="54"/>
        <v>0</v>
      </c>
      <c r="F652" s="41" t="str">
        <f t="shared" si="56"/>
        <v/>
      </c>
      <c r="I652">
        <f>SUMIFS(Buybacks!H:H,Buybacks!D:D,Formulas!H652)</f>
        <v>0</v>
      </c>
      <c r="J652" s="41" t="str">
        <f t="shared" si="57"/>
        <v/>
      </c>
      <c r="M652">
        <f>SUMIFS('Corporate activity'!$H:$H,'Corporate activity'!$D:$D,Formulas!$L652,'Corporate activity'!$C:$C,Formulas!M$2)</f>
        <v>0</v>
      </c>
      <c r="N652">
        <f>SUMIFS('Corporate activity'!$H:$H,'Corporate activity'!$D:$D,Formulas!$L652,'Corporate activity'!$C:$C,Formulas!N$2)</f>
        <v>0</v>
      </c>
      <c r="O652">
        <f>SUMIFS('Corporate activity'!$H:$H,'Corporate activity'!$D:$D,Formulas!$L652,'Corporate activity'!$C:$C,Formulas!O$2)</f>
        <v>0</v>
      </c>
      <c r="P652">
        <f t="shared" si="55"/>
        <v>0</v>
      </c>
      <c r="Q652" t="str">
        <f t="shared" si="53"/>
        <v/>
      </c>
    </row>
    <row r="653" spans="3:17" x14ac:dyDescent="0.25">
      <c r="C653">
        <f>SUMIFS(Issuance!$H:$H,Issuance!$D:$D,Formulas!$B653,Issuance!$C:$C,Formulas!C$2)</f>
        <v>0</v>
      </c>
      <c r="D653">
        <f>SUMIFS(Issuance!$H:$H,Issuance!$D:$D,Formulas!$B653,Issuance!$C:$C,Formulas!D$2)</f>
        <v>0</v>
      </c>
      <c r="E653">
        <f t="shared" si="54"/>
        <v>0</v>
      </c>
      <c r="F653" s="41" t="str">
        <f t="shared" si="56"/>
        <v/>
      </c>
      <c r="I653">
        <f>SUMIFS(Buybacks!H:H,Buybacks!D:D,Formulas!H653)</f>
        <v>0</v>
      </c>
      <c r="J653" s="41" t="str">
        <f t="shared" si="57"/>
        <v/>
      </c>
      <c r="M653">
        <f>SUMIFS('Corporate activity'!$H:$H,'Corporate activity'!$D:$D,Formulas!$L653,'Corporate activity'!$C:$C,Formulas!M$2)</f>
        <v>0</v>
      </c>
      <c r="N653">
        <f>SUMIFS('Corporate activity'!$H:$H,'Corporate activity'!$D:$D,Formulas!$L653,'Corporate activity'!$C:$C,Formulas!N$2)</f>
        <v>0</v>
      </c>
      <c r="O653">
        <f>SUMIFS('Corporate activity'!$H:$H,'Corporate activity'!$D:$D,Formulas!$L653,'Corporate activity'!$C:$C,Formulas!O$2)</f>
        <v>0</v>
      </c>
      <c r="P653">
        <f t="shared" si="55"/>
        <v>0</v>
      </c>
      <c r="Q653" t="str">
        <f t="shared" si="53"/>
        <v/>
      </c>
    </row>
    <row r="654" spans="3:17" x14ac:dyDescent="0.25">
      <c r="C654">
        <f>SUMIFS(Issuance!$H:$H,Issuance!$D:$D,Formulas!$B654,Issuance!$C:$C,Formulas!C$2)</f>
        <v>0</v>
      </c>
      <c r="D654">
        <f>SUMIFS(Issuance!$H:$H,Issuance!$D:$D,Formulas!$B654,Issuance!$C:$C,Formulas!D$2)</f>
        <v>0</v>
      </c>
      <c r="E654">
        <f t="shared" si="54"/>
        <v>0</v>
      </c>
      <c r="F654" s="41" t="str">
        <f t="shared" si="56"/>
        <v/>
      </c>
      <c r="I654">
        <f>SUMIFS(Buybacks!H:H,Buybacks!D:D,Formulas!H654)</f>
        <v>0</v>
      </c>
      <c r="J654" s="41" t="str">
        <f t="shared" si="57"/>
        <v/>
      </c>
      <c r="M654">
        <f>SUMIFS('Corporate activity'!$H:$H,'Corporate activity'!$D:$D,Formulas!$L654,'Corporate activity'!$C:$C,Formulas!M$2)</f>
        <v>0</v>
      </c>
      <c r="N654">
        <f>SUMIFS('Corporate activity'!$H:$H,'Corporate activity'!$D:$D,Formulas!$L654,'Corporate activity'!$C:$C,Formulas!N$2)</f>
        <v>0</v>
      </c>
      <c r="O654">
        <f>SUMIFS('Corporate activity'!$H:$H,'Corporate activity'!$D:$D,Formulas!$L654,'Corporate activity'!$C:$C,Formulas!O$2)</f>
        <v>0</v>
      </c>
      <c r="P654">
        <f t="shared" si="55"/>
        <v>0</v>
      </c>
      <c r="Q654" t="str">
        <f t="shared" si="53"/>
        <v/>
      </c>
    </row>
    <row r="655" spans="3:17" x14ac:dyDescent="0.25">
      <c r="C655">
        <f>SUMIFS(Issuance!$H:$H,Issuance!$D:$D,Formulas!$B655,Issuance!$C:$C,Formulas!C$2)</f>
        <v>0</v>
      </c>
      <c r="D655">
        <f>SUMIFS(Issuance!$H:$H,Issuance!$D:$D,Formulas!$B655,Issuance!$C:$C,Formulas!D$2)</f>
        <v>0</v>
      </c>
      <c r="E655">
        <f t="shared" si="54"/>
        <v>0</v>
      </c>
      <c r="F655" s="41" t="str">
        <f t="shared" si="56"/>
        <v/>
      </c>
      <c r="I655">
        <f>SUMIFS(Buybacks!H:H,Buybacks!D:D,Formulas!H655)</f>
        <v>0</v>
      </c>
      <c r="J655" s="41" t="str">
        <f t="shared" si="57"/>
        <v/>
      </c>
      <c r="M655">
        <f>SUMIFS('Corporate activity'!$H:$H,'Corporate activity'!$D:$D,Formulas!$L655,'Corporate activity'!$C:$C,Formulas!M$2)</f>
        <v>0</v>
      </c>
      <c r="N655">
        <f>SUMIFS('Corporate activity'!$H:$H,'Corporate activity'!$D:$D,Formulas!$L655,'Corporate activity'!$C:$C,Formulas!N$2)</f>
        <v>0</v>
      </c>
      <c r="O655">
        <f>SUMIFS('Corporate activity'!$H:$H,'Corporate activity'!$D:$D,Formulas!$L655,'Corporate activity'!$C:$C,Formulas!O$2)</f>
        <v>0</v>
      </c>
      <c r="P655">
        <f t="shared" si="55"/>
        <v>0</v>
      </c>
      <c r="Q655" t="str">
        <f t="shared" si="53"/>
        <v/>
      </c>
    </row>
    <row r="656" spans="3:17" x14ac:dyDescent="0.25">
      <c r="C656">
        <f>SUMIFS(Issuance!$H:$H,Issuance!$D:$D,Formulas!$B656,Issuance!$C:$C,Formulas!C$2)</f>
        <v>0</v>
      </c>
      <c r="D656">
        <f>SUMIFS(Issuance!$H:$H,Issuance!$D:$D,Formulas!$B656,Issuance!$C:$C,Formulas!D$2)</f>
        <v>0</v>
      </c>
      <c r="E656">
        <f t="shared" si="54"/>
        <v>0</v>
      </c>
      <c r="F656" s="41" t="str">
        <f t="shared" si="56"/>
        <v/>
      </c>
      <c r="I656">
        <f>SUMIFS(Buybacks!H:H,Buybacks!D:D,Formulas!H656)</f>
        <v>0</v>
      </c>
      <c r="J656" s="41" t="str">
        <f t="shared" si="57"/>
        <v/>
      </c>
      <c r="M656">
        <f>SUMIFS('Corporate activity'!$H:$H,'Corporate activity'!$D:$D,Formulas!$L656,'Corporate activity'!$C:$C,Formulas!M$2)</f>
        <v>0</v>
      </c>
      <c r="N656">
        <f>SUMIFS('Corporate activity'!$H:$H,'Corporate activity'!$D:$D,Formulas!$L656,'Corporate activity'!$C:$C,Formulas!N$2)</f>
        <v>0</v>
      </c>
      <c r="O656">
        <f>SUMIFS('Corporate activity'!$H:$H,'Corporate activity'!$D:$D,Formulas!$L656,'Corporate activity'!$C:$C,Formulas!O$2)</f>
        <v>0</v>
      </c>
      <c r="P656">
        <f t="shared" si="55"/>
        <v>0</v>
      </c>
      <c r="Q656" t="str">
        <f t="shared" si="53"/>
        <v/>
      </c>
    </row>
    <row r="657" spans="3:17" x14ac:dyDescent="0.25">
      <c r="C657">
        <f>SUMIFS(Issuance!$H:$H,Issuance!$D:$D,Formulas!$B657,Issuance!$C:$C,Formulas!C$2)</f>
        <v>0</v>
      </c>
      <c r="D657">
        <f>SUMIFS(Issuance!$H:$H,Issuance!$D:$D,Formulas!$B657,Issuance!$C:$C,Formulas!D$2)</f>
        <v>0</v>
      </c>
      <c r="E657">
        <f t="shared" si="54"/>
        <v>0</v>
      </c>
      <c r="F657" s="41" t="str">
        <f t="shared" si="56"/>
        <v/>
      </c>
      <c r="I657">
        <f>SUMIFS(Buybacks!H:H,Buybacks!D:D,Formulas!H657)</f>
        <v>0</v>
      </c>
      <c r="J657" s="41" t="str">
        <f t="shared" si="57"/>
        <v/>
      </c>
      <c r="M657">
        <f>SUMIFS('Corporate activity'!$H:$H,'Corporate activity'!$D:$D,Formulas!$L657,'Corporate activity'!$C:$C,Formulas!M$2)</f>
        <v>0</v>
      </c>
      <c r="N657">
        <f>SUMIFS('Corporate activity'!$H:$H,'Corporate activity'!$D:$D,Formulas!$L657,'Corporate activity'!$C:$C,Formulas!N$2)</f>
        <v>0</v>
      </c>
      <c r="O657">
        <f>SUMIFS('Corporate activity'!$H:$H,'Corporate activity'!$D:$D,Formulas!$L657,'Corporate activity'!$C:$C,Formulas!O$2)</f>
        <v>0</v>
      </c>
      <c r="P657">
        <f t="shared" si="55"/>
        <v>0</v>
      </c>
      <c r="Q657" t="str">
        <f t="shared" si="53"/>
        <v/>
      </c>
    </row>
    <row r="658" spans="3:17" x14ac:dyDescent="0.25">
      <c r="C658">
        <f>SUMIFS(Issuance!$H:$H,Issuance!$D:$D,Formulas!$B658,Issuance!$C:$C,Formulas!C$2)</f>
        <v>0</v>
      </c>
      <c r="D658">
        <f>SUMIFS(Issuance!$H:$H,Issuance!$D:$D,Formulas!$B658,Issuance!$C:$C,Formulas!D$2)</f>
        <v>0</v>
      </c>
      <c r="E658">
        <f t="shared" si="54"/>
        <v>0</v>
      </c>
      <c r="F658" s="41" t="str">
        <f t="shared" si="56"/>
        <v/>
      </c>
      <c r="I658">
        <f>SUMIFS(Buybacks!H:H,Buybacks!D:D,Formulas!H658)</f>
        <v>0</v>
      </c>
      <c r="J658" s="41" t="str">
        <f t="shared" si="57"/>
        <v/>
      </c>
      <c r="M658">
        <f>SUMIFS('Corporate activity'!$H:$H,'Corporate activity'!$D:$D,Formulas!$L658,'Corporate activity'!$C:$C,Formulas!M$2)</f>
        <v>0</v>
      </c>
      <c r="N658">
        <f>SUMIFS('Corporate activity'!$H:$H,'Corporate activity'!$D:$D,Formulas!$L658,'Corporate activity'!$C:$C,Formulas!N$2)</f>
        <v>0</v>
      </c>
      <c r="O658">
        <f>SUMIFS('Corporate activity'!$H:$H,'Corporate activity'!$D:$D,Formulas!$L658,'Corporate activity'!$C:$C,Formulas!O$2)</f>
        <v>0</v>
      </c>
      <c r="P658">
        <f t="shared" si="55"/>
        <v>0</v>
      </c>
      <c r="Q658" t="str">
        <f t="shared" si="53"/>
        <v/>
      </c>
    </row>
    <row r="659" spans="3:17" x14ac:dyDescent="0.25">
      <c r="C659">
        <f>SUMIFS(Issuance!$H:$H,Issuance!$D:$D,Formulas!$B659,Issuance!$C:$C,Formulas!C$2)</f>
        <v>0</v>
      </c>
      <c r="D659">
        <f>SUMIFS(Issuance!$H:$H,Issuance!$D:$D,Formulas!$B659,Issuance!$C:$C,Formulas!D$2)</f>
        <v>0</v>
      </c>
      <c r="E659">
        <f t="shared" si="54"/>
        <v>0</v>
      </c>
      <c r="F659" s="41" t="str">
        <f t="shared" si="56"/>
        <v/>
      </c>
      <c r="I659">
        <f>SUMIFS(Buybacks!H:H,Buybacks!D:D,Formulas!H659)</f>
        <v>0</v>
      </c>
      <c r="J659" s="41" t="str">
        <f t="shared" si="57"/>
        <v/>
      </c>
      <c r="M659">
        <f>SUMIFS('Corporate activity'!$H:$H,'Corporate activity'!$D:$D,Formulas!$L659,'Corporate activity'!$C:$C,Formulas!M$2)</f>
        <v>0</v>
      </c>
      <c r="N659">
        <f>SUMIFS('Corporate activity'!$H:$H,'Corporate activity'!$D:$D,Formulas!$L659,'Corporate activity'!$C:$C,Formulas!N$2)</f>
        <v>0</v>
      </c>
      <c r="O659">
        <f>SUMIFS('Corporate activity'!$H:$H,'Corporate activity'!$D:$D,Formulas!$L659,'Corporate activity'!$C:$C,Formulas!O$2)</f>
        <v>0</v>
      </c>
      <c r="P659">
        <f t="shared" si="55"/>
        <v>0</v>
      </c>
      <c r="Q659" t="str">
        <f t="shared" si="53"/>
        <v/>
      </c>
    </row>
    <row r="660" spans="3:17" x14ac:dyDescent="0.25">
      <c r="C660">
        <f>SUMIFS(Issuance!$H:$H,Issuance!$D:$D,Formulas!$B660,Issuance!$C:$C,Formulas!C$2)</f>
        <v>0</v>
      </c>
      <c r="D660">
        <f>SUMIFS(Issuance!$H:$H,Issuance!$D:$D,Formulas!$B660,Issuance!$C:$C,Formulas!D$2)</f>
        <v>0</v>
      </c>
      <c r="E660">
        <f t="shared" si="54"/>
        <v>0</v>
      </c>
      <c r="F660" s="41" t="str">
        <f t="shared" si="56"/>
        <v/>
      </c>
      <c r="I660">
        <f>SUMIFS(Buybacks!H:H,Buybacks!D:D,Formulas!H660)</f>
        <v>0</v>
      </c>
      <c r="J660" s="41" t="str">
        <f t="shared" si="57"/>
        <v/>
      </c>
      <c r="M660">
        <f>SUMIFS('Corporate activity'!$H:$H,'Corporate activity'!$D:$D,Formulas!$L660,'Corporate activity'!$C:$C,Formulas!M$2)</f>
        <v>0</v>
      </c>
      <c r="N660">
        <f>SUMIFS('Corporate activity'!$H:$H,'Corporate activity'!$D:$D,Formulas!$L660,'Corporate activity'!$C:$C,Formulas!N$2)</f>
        <v>0</v>
      </c>
      <c r="O660">
        <f>SUMIFS('Corporate activity'!$H:$H,'Corporate activity'!$D:$D,Formulas!$L660,'Corporate activity'!$C:$C,Formulas!O$2)</f>
        <v>0</v>
      </c>
      <c r="P660">
        <f t="shared" si="55"/>
        <v>0</v>
      </c>
      <c r="Q660" t="str">
        <f t="shared" si="53"/>
        <v/>
      </c>
    </row>
    <row r="661" spans="3:17" x14ac:dyDescent="0.25">
      <c r="C661">
        <f>SUMIFS(Issuance!$H:$H,Issuance!$D:$D,Formulas!$B661,Issuance!$C:$C,Formulas!C$2)</f>
        <v>0</v>
      </c>
      <c r="D661">
        <f>SUMIFS(Issuance!$H:$H,Issuance!$D:$D,Formulas!$B661,Issuance!$C:$C,Formulas!D$2)</f>
        <v>0</v>
      </c>
      <c r="E661">
        <f t="shared" si="54"/>
        <v>0</v>
      </c>
      <c r="F661" s="41" t="str">
        <f t="shared" si="56"/>
        <v/>
      </c>
      <c r="I661">
        <f>SUMIFS(Buybacks!H:H,Buybacks!D:D,Formulas!H661)</f>
        <v>0</v>
      </c>
      <c r="J661" s="41" t="str">
        <f t="shared" si="57"/>
        <v/>
      </c>
      <c r="M661">
        <f>SUMIFS('Corporate activity'!$H:$H,'Corporate activity'!$D:$D,Formulas!$L661,'Corporate activity'!$C:$C,Formulas!M$2)</f>
        <v>0</v>
      </c>
      <c r="N661">
        <f>SUMIFS('Corporate activity'!$H:$H,'Corporate activity'!$D:$D,Formulas!$L661,'Corporate activity'!$C:$C,Formulas!N$2)</f>
        <v>0</v>
      </c>
      <c r="O661">
        <f>SUMIFS('Corporate activity'!$H:$H,'Corporate activity'!$D:$D,Formulas!$L661,'Corporate activity'!$C:$C,Formulas!O$2)</f>
        <v>0</v>
      </c>
      <c r="P661">
        <f t="shared" si="55"/>
        <v>0</v>
      </c>
      <c r="Q661" t="str">
        <f t="shared" si="53"/>
        <v/>
      </c>
    </row>
    <row r="662" spans="3:17" x14ac:dyDescent="0.25">
      <c r="C662">
        <f>SUMIFS(Issuance!$H:$H,Issuance!$D:$D,Formulas!$B662,Issuance!$C:$C,Formulas!C$2)</f>
        <v>0</v>
      </c>
      <c r="D662">
        <f>SUMIFS(Issuance!$H:$H,Issuance!$D:$D,Formulas!$B662,Issuance!$C:$C,Formulas!D$2)</f>
        <v>0</v>
      </c>
      <c r="E662">
        <f t="shared" si="54"/>
        <v>0</v>
      </c>
      <c r="F662" s="41" t="str">
        <f t="shared" si="56"/>
        <v/>
      </c>
      <c r="I662">
        <f>SUMIFS(Buybacks!H:H,Buybacks!D:D,Formulas!H662)</f>
        <v>0</v>
      </c>
      <c r="J662" s="41" t="str">
        <f t="shared" si="57"/>
        <v/>
      </c>
      <c r="M662">
        <f>SUMIFS('Corporate activity'!$H:$H,'Corporate activity'!$D:$D,Formulas!$L662,'Corporate activity'!$C:$C,Formulas!M$2)</f>
        <v>0</v>
      </c>
      <c r="N662">
        <f>SUMIFS('Corporate activity'!$H:$H,'Corporate activity'!$D:$D,Formulas!$L662,'Corporate activity'!$C:$C,Formulas!N$2)</f>
        <v>0</v>
      </c>
      <c r="O662">
        <f>SUMIFS('Corporate activity'!$H:$H,'Corporate activity'!$D:$D,Formulas!$L662,'Corporate activity'!$C:$C,Formulas!O$2)</f>
        <v>0</v>
      </c>
      <c r="P662">
        <f t="shared" si="55"/>
        <v>0</v>
      </c>
      <c r="Q662" t="str">
        <f t="shared" si="53"/>
        <v/>
      </c>
    </row>
    <row r="663" spans="3:17" x14ac:dyDescent="0.25">
      <c r="C663">
        <f>SUMIFS(Issuance!$H:$H,Issuance!$D:$D,Formulas!$B663,Issuance!$C:$C,Formulas!C$2)</f>
        <v>0</v>
      </c>
      <c r="D663">
        <f>SUMIFS(Issuance!$H:$H,Issuance!$D:$D,Formulas!$B663,Issuance!$C:$C,Formulas!D$2)</f>
        <v>0</v>
      </c>
      <c r="E663">
        <f t="shared" si="54"/>
        <v>0</v>
      </c>
      <c r="F663" s="41" t="str">
        <f t="shared" si="56"/>
        <v/>
      </c>
      <c r="I663">
        <f>SUMIFS(Buybacks!H:H,Buybacks!D:D,Formulas!H663)</f>
        <v>0</v>
      </c>
      <c r="J663" s="41" t="str">
        <f t="shared" si="57"/>
        <v/>
      </c>
      <c r="M663">
        <f>SUMIFS('Corporate activity'!$H:$H,'Corporate activity'!$D:$D,Formulas!$L663,'Corporate activity'!$C:$C,Formulas!M$2)</f>
        <v>0</v>
      </c>
      <c r="N663">
        <f>SUMIFS('Corporate activity'!$H:$H,'Corporate activity'!$D:$D,Formulas!$L663,'Corporate activity'!$C:$C,Formulas!N$2)</f>
        <v>0</v>
      </c>
      <c r="O663">
        <f>SUMIFS('Corporate activity'!$H:$H,'Corporate activity'!$D:$D,Formulas!$L663,'Corporate activity'!$C:$C,Formulas!O$2)</f>
        <v>0</v>
      </c>
      <c r="P663">
        <f t="shared" si="55"/>
        <v>0</v>
      </c>
      <c r="Q663" t="str">
        <f t="shared" si="53"/>
        <v/>
      </c>
    </row>
    <row r="664" spans="3:17" x14ac:dyDescent="0.25">
      <c r="C664">
        <f>SUMIFS(Issuance!$H:$H,Issuance!$D:$D,Formulas!$B664,Issuance!$C:$C,Formulas!C$2)</f>
        <v>0</v>
      </c>
      <c r="D664">
        <f>SUMIFS(Issuance!$H:$H,Issuance!$D:$D,Formulas!$B664,Issuance!$C:$C,Formulas!D$2)</f>
        <v>0</v>
      </c>
      <c r="E664">
        <f t="shared" si="54"/>
        <v>0</v>
      </c>
      <c r="F664" s="41" t="str">
        <f t="shared" si="56"/>
        <v/>
      </c>
      <c r="I664">
        <f>SUMIFS(Buybacks!H:H,Buybacks!D:D,Formulas!H664)</f>
        <v>0</v>
      </c>
      <c r="J664" s="41" t="str">
        <f t="shared" si="57"/>
        <v/>
      </c>
      <c r="M664">
        <f>SUMIFS('Corporate activity'!$H:$H,'Corporate activity'!$D:$D,Formulas!$L664,'Corporate activity'!$C:$C,Formulas!M$2)</f>
        <v>0</v>
      </c>
      <c r="N664">
        <f>SUMIFS('Corporate activity'!$H:$H,'Corporate activity'!$D:$D,Formulas!$L664,'Corporate activity'!$C:$C,Formulas!N$2)</f>
        <v>0</v>
      </c>
      <c r="O664">
        <f>SUMIFS('Corporate activity'!$H:$H,'Corporate activity'!$D:$D,Formulas!$L664,'Corporate activity'!$C:$C,Formulas!O$2)</f>
        <v>0</v>
      </c>
      <c r="P664">
        <f t="shared" si="55"/>
        <v>0</v>
      </c>
      <c r="Q664" t="str">
        <f t="shared" si="53"/>
        <v/>
      </c>
    </row>
    <row r="665" spans="3:17" x14ac:dyDescent="0.25">
      <c r="C665">
        <f>SUMIFS(Issuance!$H:$H,Issuance!$D:$D,Formulas!$B665,Issuance!$C:$C,Formulas!C$2)</f>
        <v>0</v>
      </c>
      <c r="D665">
        <f>SUMIFS(Issuance!$H:$H,Issuance!$D:$D,Formulas!$B665,Issuance!$C:$C,Formulas!D$2)</f>
        <v>0</v>
      </c>
      <c r="E665">
        <f t="shared" si="54"/>
        <v>0</v>
      </c>
      <c r="F665" s="41" t="str">
        <f t="shared" si="56"/>
        <v/>
      </c>
      <c r="I665">
        <f>SUMIFS(Buybacks!H:H,Buybacks!D:D,Formulas!H665)</f>
        <v>0</v>
      </c>
      <c r="J665" s="41" t="str">
        <f t="shared" si="57"/>
        <v/>
      </c>
      <c r="M665">
        <f>SUMIFS('Corporate activity'!$H:$H,'Corporate activity'!$D:$D,Formulas!$L665,'Corporate activity'!$C:$C,Formulas!M$2)</f>
        <v>0</v>
      </c>
      <c r="N665">
        <f>SUMIFS('Corporate activity'!$H:$H,'Corporate activity'!$D:$D,Formulas!$L665,'Corporate activity'!$C:$C,Formulas!N$2)</f>
        <v>0</v>
      </c>
      <c r="O665">
        <f>SUMIFS('Corporate activity'!$H:$H,'Corporate activity'!$D:$D,Formulas!$L665,'Corporate activity'!$C:$C,Formulas!O$2)</f>
        <v>0</v>
      </c>
      <c r="P665">
        <f t="shared" si="55"/>
        <v>0</v>
      </c>
      <c r="Q665" t="str">
        <f t="shared" si="53"/>
        <v/>
      </c>
    </row>
    <row r="666" spans="3:17" x14ac:dyDescent="0.25">
      <c r="C666">
        <f>SUMIFS(Issuance!$H:$H,Issuance!$D:$D,Formulas!$B666,Issuance!$C:$C,Formulas!C$2)</f>
        <v>0</v>
      </c>
      <c r="D666">
        <f>SUMIFS(Issuance!$H:$H,Issuance!$D:$D,Formulas!$B666,Issuance!$C:$C,Formulas!D$2)</f>
        <v>0</v>
      </c>
      <c r="E666">
        <f t="shared" si="54"/>
        <v>0</v>
      </c>
      <c r="F666" s="41" t="str">
        <f t="shared" si="56"/>
        <v/>
      </c>
      <c r="I666">
        <f>SUMIFS(Buybacks!H:H,Buybacks!D:D,Formulas!H666)</f>
        <v>0</v>
      </c>
      <c r="J666" s="41" t="str">
        <f t="shared" si="57"/>
        <v/>
      </c>
      <c r="M666">
        <f>SUMIFS('Corporate activity'!$H:$H,'Corporate activity'!$D:$D,Formulas!$L666,'Corporate activity'!$C:$C,Formulas!M$2)</f>
        <v>0</v>
      </c>
      <c r="N666">
        <f>SUMIFS('Corporate activity'!$H:$H,'Corporate activity'!$D:$D,Formulas!$L666,'Corporate activity'!$C:$C,Formulas!N$2)</f>
        <v>0</v>
      </c>
      <c r="O666">
        <f>SUMIFS('Corporate activity'!$H:$H,'Corporate activity'!$D:$D,Formulas!$L666,'Corporate activity'!$C:$C,Formulas!O$2)</f>
        <v>0</v>
      </c>
      <c r="P666">
        <f t="shared" si="55"/>
        <v>0</v>
      </c>
      <c r="Q666" t="str">
        <f t="shared" si="53"/>
        <v/>
      </c>
    </row>
    <row r="667" spans="3:17" x14ac:dyDescent="0.25">
      <c r="C667">
        <f>SUMIFS(Issuance!$H:$H,Issuance!$D:$D,Formulas!$B667,Issuance!$C:$C,Formulas!C$2)</f>
        <v>0</v>
      </c>
      <c r="D667">
        <f>SUMIFS(Issuance!$H:$H,Issuance!$D:$D,Formulas!$B667,Issuance!$C:$C,Formulas!D$2)</f>
        <v>0</v>
      </c>
      <c r="E667">
        <f t="shared" si="54"/>
        <v>0</v>
      </c>
      <c r="F667" s="41" t="str">
        <f t="shared" si="56"/>
        <v/>
      </c>
      <c r="I667">
        <f>SUMIFS(Buybacks!H:H,Buybacks!D:D,Formulas!H667)</f>
        <v>0</v>
      </c>
      <c r="J667" s="41" t="str">
        <f t="shared" si="57"/>
        <v/>
      </c>
      <c r="M667">
        <f>SUMIFS('Corporate activity'!$H:$H,'Corporate activity'!$D:$D,Formulas!$L667,'Corporate activity'!$C:$C,Formulas!M$2)</f>
        <v>0</v>
      </c>
      <c r="N667">
        <f>SUMIFS('Corporate activity'!$H:$H,'Corporate activity'!$D:$D,Formulas!$L667,'Corporate activity'!$C:$C,Formulas!N$2)</f>
        <v>0</v>
      </c>
      <c r="O667">
        <f>SUMIFS('Corporate activity'!$H:$H,'Corporate activity'!$D:$D,Formulas!$L667,'Corporate activity'!$C:$C,Formulas!O$2)</f>
        <v>0</v>
      </c>
      <c r="P667">
        <f t="shared" si="55"/>
        <v>0</v>
      </c>
      <c r="Q667" t="str">
        <f t="shared" ref="Q667:Q730" si="58">IF(OR(L667="",L667=0,P667=0),"",IF(COUNTIFS($P$3:$P$500,"&lt;"&amp;P667,$P$3:$P$500,"&lt;&gt;0")+1&lt;=20,COUNTIFS($P$3:$P$500,"&lt;"&amp;P667,$P$3:$P$500,"&lt;&gt;0")+1,""))</f>
        <v/>
      </c>
    </row>
    <row r="668" spans="3:17" x14ac:dyDescent="0.25">
      <c r="C668">
        <f>SUMIFS(Issuance!$H:$H,Issuance!$D:$D,Formulas!$B668,Issuance!$C:$C,Formulas!C$2)</f>
        <v>0</v>
      </c>
      <c r="D668">
        <f>SUMIFS(Issuance!$H:$H,Issuance!$D:$D,Formulas!$B668,Issuance!$C:$C,Formulas!D$2)</f>
        <v>0</v>
      </c>
      <c r="E668">
        <f t="shared" si="54"/>
        <v>0</v>
      </c>
      <c r="F668" s="41" t="str">
        <f t="shared" si="56"/>
        <v/>
      </c>
      <c r="I668">
        <f>SUMIFS(Buybacks!H:H,Buybacks!D:D,Formulas!H668)</f>
        <v>0</v>
      </c>
      <c r="J668" s="41" t="str">
        <f t="shared" si="57"/>
        <v/>
      </c>
      <c r="M668">
        <f>SUMIFS('Corporate activity'!$H:$H,'Corporate activity'!$D:$D,Formulas!$L668,'Corporate activity'!$C:$C,Formulas!M$2)</f>
        <v>0</v>
      </c>
      <c r="N668">
        <f>SUMIFS('Corporate activity'!$H:$H,'Corporate activity'!$D:$D,Formulas!$L668,'Corporate activity'!$C:$C,Formulas!N$2)</f>
        <v>0</v>
      </c>
      <c r="O668">
        <f>SUMIFS('Corporate activity'!$H:$H,'Corporate activity'!$D:$D,Formulas!$L668,'Corporate activity'!$C:$C,Formulas!O$2)</f>
        <v>0</v>
      </c>
      <c r="P668">
        <f t="shared" si="55"/>
        <v>0</v>
      </c>
      <c r="Q668" t="str">
        <f t="shared" si="58"/>
        <v/>
      </c>
    </row>
    <row r="669" spans="3:17" x14ac:dyDescent="0.25">
      <c r="C669">
        <f>SUMIFS(Issuance!$H:$H,Issuance!$D:$D,Formulas!$B669,Issuance!$C:$C,Formulas!C$2)</f>
        <v>0</v>
      </c>
      <c r="D669">
        <f>SUMIFS(Issuance!$H:$H,Issuance!$D:$D,Formulas!$B669,Issuance!$C:$C,Formulas!D$2)</f>
        <v>0</v>
      </c>
      <c r="E669">
        <f t="shared" si="54"/>
        <v>0</v>
      </c>
      <c r="F669" s="41" t="str">
        <f t="shared" si="56"/>
        <v/>
      </c>
      <c r="I669">
        <f>SUMIFS(Buybacks!H:H,Buybacks!D:D,Formulas!H669)</f>
        <v>0</v>
      </c>
      <c r="J669" s="41" t="str">
        <f t="shared" si="57"/>
        <v/>
      </c>
      <c r="M669">
        <f>SUMIFS('Corporate activity'!$H:$H,'Corporate activity'!$D:$D,Formulas!$L669,'Corporate activity'!$C:$C,Formulas!M$2)</f>
        <v>0</v>
      </c>
      <c r="N669">
        <f>SUMIFS('Corporate activity'!$H:$H,'Corporate activity'!$D:$D,Formulas!$L669,'Corporate activity'!$C:$C,Formulas!N$2)</f>
        <v>0</v>
      </c>
      <c r="O669">
        <f>SUMIFS('Corporate activity'!$H:$H,'Corporate activity'!$D:$D,Formulas!$L669,'Corporate activity'!$C:$C,Formulas!O$2)</f>
        <v>0</v>
      </c>
      <c r="P669">
        <f t="shared" si="55"/>
        <v>0</v>
      </c>
      <c r="Q669" t="str">
        <f t="shared" si="58"/>
        <v/>
      </c>
    </row>
    <row r="670" spans="3:17" x14ac:dyDescent="0.25">
      <c r="C670">
        <f>SUMIFS(Issuance!$H:$H,Issuance!$D:$D,Formulas!$B670,Issuance!$C:$C,Formulas!C$2)</f>
        <v>0</v>
      </c>
      <c r="D670">
        <f>SUMIFS(Issuance!$H:$H,Issuance!$D:$D,Formulas!$B670,Issuance!$C:$C,Formulas!D$2)</f>
        <v>0</v>
      </c>
      <c r="E670">
        <f t="shared" si="54"/>
        <v>0</v>
      </c>
      <c r="F670" s="41" t="str">
        <f t="shared" si="56"/>
        <v/>
      </c>
      <c r="I670">
        <f>SUMIFS(Buybacks!H:H,Buybacks!D:D,Formulas!H670)</f>
        <v>0</v>
      </c>
      <c r="J670" s="41" t="str">
        <f t="shared" si="57"/>
        <v/>
      </c>
      <c r="M670">
        <f>SUMIFS('Corporate activity'!$H:$H,'Corporate activity'!$D:$D,Formulas!$L670,'Corporate activity'!$C:$C,Formulas!M$2)</f>
        <v>0</v>
      </c>
      <c r="N670">
        <f>SUMIFS('Corporate activity'!$H:$H,'Corporate activity'!$D:$D,Formulas!$L670,'Corporate activity'!$C:$C,Formulas!N$2)</f>
        <v>0</v>
      </c>
      <c r="O670">
        <f>SUMIFS('Corporate activity'!$H:$H,'Corporate activity'!$D:$D,Formulas!$L670,'Corporate activity'!$C:$C,Formulas!O$2)</f>
        <v>0</v>
      </c>
      <c r="P670">
        <f t="shared" si="55"/>
        <v>0</v>
      </c>
      <c r="Q670" t="str">
        <f t="shared" si="58"/>
        <v/>
      </c>
    </row>
    <row r="671" spans="3:17" x14ac:dyDescent="0.25">
      <c r="C671">
        <f>SUMIFS(Issuance!$H:$H,Issuance!$D:$D,Formulas!$B671,Issuance!$C:$C,Formulas!C$2)</f>
        <v>0</v>
      </c>
      <c r="D671">
        <f>SUMIFS(Issuance!$H:$H,Issuance!$D:$D,Formulas!$B671,Issuance!$C:$C,Formulas!D$2)</f>
        <v>0</v>
      </c>
      <c r="E671">
        <f t="shared" si="54"/>
        <v>0</v>
      </c>
      <c r="F671" s="41" t="str">
        <f t="shared" si="56"/>
        <v/>
      </c>
      <c r="I671">
        <f>SUMIFS(Buybacks!H:H,Buybacks!D:D,Formulas!H671)</f>
        <v>0</v>
      </c>
      <c r="J671" s="41" t="str">
        <f t="shared" si="57"/>
        <v/>
      </c>
      <c r="M671">
        <f>SUMIFS('Corporate activity'!$H:$H,'Corporate activity'!$D:$D,Formulas!$L671,'Corporate activity'!$C:$C,Formulas!M$2)</f>
        <v>0</v>
      </c>
      <c r="N671">
        <f>SUMIFS('Corporate activity'!$H:$H,'Corporate activity'!$D:$D,Formulas!$L671,'Corporate activity'!$C:$C,Formulas!N$2)</f>
        <v>0</v>
      </c>
      <c r="O671">
        <f>SUMIFS('Corporate activity'!$H:$H,'Corporate activity'!$D:$D,Formulas!$L671,'Corporate activity'!$C:$C,Formulas!O$2)</f>
        <v>0</v>
      </c>
      <c r="P671">
        <f t="shared" si="55"/>
        <v>0</v>
      </c>
      <c r="Q671" t="str">
        <f t="shared" si="58"/>
        <v/>
      </c>
    </row>
    <row r="672" spans="3:17" x14ac:dyDescent="0.25">
      <c r="C672">
        <f>SUMIFS(Issuance!$H:$H,Issuance!$D:$D,Formulas!$B672,Issuance!$C:$C,Formulas!C$2)</f>
        <v>0</v>
      </c>
      <c r="D672">
        <f>SUMIFS(Issuance!$H:$H,Issuance!$D:$D,Formulas!$B672,Issuance!$C:$C,Formulas!D$2)</f>
        <v>0</v>
      </c>
      <c r="E672">
        <f t="shared" si="54"/>
        <v>0</v>
      </c>
      <c r="F672" s="41" t="str">
        <f t="shared" si="56"/>
        <v/>
      </c>
      <c r="I672">
        <f>SUMIFS(Buybacks!H:H,Buybacks!D:D,Formulas!H672)</f>
        <v>0</v>
      </c>
      <c r="J672" s="41" t="str">
        <f t="shared" si="57"/>
        <v/>
      </c>
      <c r="M672">
        <f>SUMIFS('Corporate activity'!$H:$H,'Corporate activity'!$D:$D,Formulas!$L672,'Corporate activity'!$C:$C,Formulas!M$2)</f>
        <v>0</v>
      </c>
      <c r="N672">
        <f>SUMIFS('Corporate activity'!$H:$H,'Corporate activity'!$D:$D,Formulas!$L672,'Corporate activity'!$C:$C,Formulas!N$2)</f>
        <v>0</v>
      </c>
      <c r="O672">
        <f>SUMIFS('Corporate activity'!$H:$H,'Corporate activity'!$D:$D,Formulas!$L672,'Corporate activity'!$C:$C,Formulas!O$2)</f>
        <v>0</v>
      </c>
      <c r="P672">
        <f t="shared" si="55"/>
        <v>0</v>
      </c>
      <c r="Q672" t="str">
        <f t="shared" si="58"/>
        <v/>
      </c>
    </row>
    <row r="673" spans="3:17" x14ac:dyDescent="0.25">
      <c r="C673">
        <f>SUMIFS(Issuance!$H:$H,Issuance!$D:$D,Formulas!$B673,Issuance!$C:$C,Formulas!C$2)</f>
        <v>0</v>
      </c>
      <c r="D673">
        <f>SUMIFS(Issuance!$H:$H,Issuance!$D:$D,Formulas!$B673,Issuance!$C:$C,Formulas!D$2)</f>
        <v>0</v>
      </c>
      <c r="E673">
        <f t="shared" si="54"/>
        <v>0</v>
      </c>
      <c r="F673" s="41" t="str">
        <f t="shared" si="56"/>
        <v/>
      </c>
      <c r="I673">
        <f>SUMIFS(Buybacks!H:H,Buybacks!D:D,Formulas!H673)</f>
        <v>0</v>
      </c>
      <c r="J673" s="41" t="str">
        <f t="shared" si="57"/>
        <v/>
      </c>
      <c r="M673">
        <f>SUMIFS('Corporate activity'!$H:$H,'Corporate activity'!$D:$D,Formulas!$L673,'Corporate activity'!$C:$C,Formulas!M$2)</f>
        <v>0</v>
      </c>
      <c r="N673">
        <f>SUMIFS('Corporate activity'!$H:$H,'Corporate activity'!$D:$D,Formulas!$L673,'Corporate activity'!$C:$C,Formulas!N$2)</f>
        <v>0</v>
      </c>
      <c r="O673">
        <f>SUMIFS('Corporate activity'!$H:$H,'Corporate activity'!$D:$D,Formulas!$L673,'Corporate activity'!$C:$C,Formulas!O$2)</f>
        <v>0</v>
      </c>
      <c r="P673">
        <f t="shared" si="55"/>
        <v>0</v>
      </c>
      <c r="Q673" t="str">
        <f t="shared" si="58"/>
        <v/>
      </c>
    </row>
    <row r="674" spans="3:17" x14ac:dyDescent="0.25">
      <c r="C674">
        <f>SUMIFS(Issuance!$H:$H,Issuance!$D:$D,Formulas!$B674,Issuance!$C:$C,Formulas!C$2)</f>
        <v>0</v>
      </c>
      <c r="D674">
        <f>SUMIFS(Issuance!$H:$H,Issuance!$D:$D,Formulas!$B674,Issuance!$C:$C,Formulas!D$2)</f>
        <v>0</v>
      </c>
      <c r="E674">
        <f t="shared" si="54"/>
        <v>0</v>
      </c>
      <c r="F674" s="41" t="str">
        <f t="shared" si="56"/>
        <v/>
      </c>
      <c r="I674">
        <f>SUMIFS(Buybacks!H:H,Buybacks!D:D,Formulas!H674)</f>
        <v>0</v>
      </c>
      <c r="J674" s="41" t="str">
        <f t="shared" si="57"/>
        <v/>
      </c>
      <c r="M674">
        <f>SUMIFS('Corporate activity'!$H:$H,'Corporate activity'!$D:$D,Formulas!$L674,'Corporate activity'!$C:$C,Formulas!M$2)</f>
        <v>0</v>
      </c>
      <c r="N674">
        <f>SUMIFS('Corporate activity'!$H:$H,'Corporate activity'!$D:$D,Formulas!$L674,'Corporate activity'!$C:$C,Formulas!N$2)</f>
        <v>0</v>
      </c>
      <c r="O674">
        <f>SUMIFS('Corporate activity'!$H:$H,'Corporate activity'!$D:$D,Formulas!$L674,'Corporate activity'!$C:$C,Formulas!O$2)</f>
        <v>0</v>
      </c>
      <c r="P674">
        <f t="shared" si="55"/>
        <v>0</v>
      </c>
      <c r="Q674" t="str">
        <f t="shared" si="58"/>
        <v/>
      </c>
    </row>
    <row r="675" spans="3:17" x14ac:dyDescent="0.25">
      <c r="C675">
        <f>SUMIFS(Issuance!$H:$H,Issuance!$D:$D,Formulas!$B675,Issuance!$C:$C,Formulas!C$2)</f>
        <v>0</v>
      </c>
      <c r="D675">
        <f>SUMIFS(Issuance!$H:$H,Issuance!$D:$D,Formulas!$B675,Issuance!$C:$C,Formulas!D$2)</f>
        <v>0</v>
      </c>
      <c r="E675">
        <f t="shared" si="54"/>
        <v>0</v>
      </c>
      <c r="F675" s="41" t="str">
        <f t="shared" si="56"/>
        <v/>
      </c>
      <c r="I675">
        <f>SUMIFS(Buybacks!H:H,Buybacks!D:D,Formulas!H675)</f>
        <v>0</v>
      </c>
      <c r="J675" s="41" t="str">
        <f t="shared" si="57"/>
        <v/>
      </c>
      <c r="M675">
        <f>SUMIFS('Corporate activity'!$H:$H,'Corporate activity'!$D:$D,Formulas!$L675,'Corporate activity'!$C:$C,Formulas!M$2)</f>
        <v>0</v>
      </c>
      <c r="N675">
        <f>SUMIFS('Corporate activity'!$H:$H,'Corporate activity'!$D:$D,Formulas!$L675,'Corporate activity'!$C:$C,Formulas!N$2)</f>
        <v>0</v>
      </c>
      <c r="O675">
        <f>SUMIFS('Corporate activity'!$H:$H,'Corporate activity'!$D:$D,Formulas!$L675,'Corporate activity'!$C:$C,Formulas!O$2)</f>
        <v>0</v>
      </c>
      <c r="P675">
        <f t="shared" si="55"/>
        <v>0</v>
      </c>
      <c r="Q675" t="str">
        <f t="shared" si="58"/>
        <v/>
      </c>
    </row>
    <row r="676" spans="3:17" x14ac:dyDescent="0.25">
      <c r="C676">
        <f>SUMIFS(Issuance!$H:$H,Issuance!$D:$D,Formulas!$B676,Issuance!$C:$C,Formulas!C$2)</f>
        <v>0</v>
      </c>
      <c r="D676">
        <f>SUMIFS(Issuance!$H:$H,Issuance!$D:$D,Formulas!$B676,Issuance!$C:$C,Formulas!D$2)</f>
        <v>0</v>
      </c>
      <c r="E676">
        <f t="shared" si="54"/>
        <v>0</v>
      </c>
      <c r="F676" s="41" t="str">
        <f t="shared" si="56"/>
        <v/>
      </c>
      <c r="I676">
        <f>SUMIFS(Buybacks!H:H,Buybacks!D:D,Formulas!H676)</f>
        <v>0</v>
      </c>
      <c r="J676" s="41" t="str">
        <f t="shared" si="57"/>
        <v/>
      </c>
      <c r="M676">
        <f>SUMIFS('Corporate activity'!$H:$H,'Corporate activity'!$D:$D,Formulas!$L676,'Corporate activity'!$C:$C,Formulas!M$2)</f>
        <v>0</v>
      </c>
      <c r="N676">
        <f>SUMIFS('Corporate activity'!$H:$H,'Corporate activity'!$D:$D,Formulas!$L676,'Corporate activity'!$C:$C,Formulas!N$2)</f>
        <v>0</v>
      </c>
      <c r="O676">
        <f>SUMIFS('Corporate activity'!$H:$H,'Corporate activity'!$D:$D,Formulas!$L676,'Corporate activity'!$C:$C,Formulas!O$2)</f>
        <v>0</v>
      </c>
      <c r="P676">
        <f t="shared" si="55"/>
        <v>0</v>
      </c>
      <c r="Q676" t="str">
        <f t="shared" si="58"/>
        <v/>
      </c>
    </row>
    <row r="677" spans="3:17" x14ac:dyDescent="0.25">
      <c r="C677">
        <f>SUMIFS(Issuance!$H:$H,Issuance!$D:$D,Formulas!$B677,Issuance!$C:$C,Formulas!C$2)</f>
        <v>0</v>
      </c>
      <c r="D677">
        <f>SUMIFS(Issuance!$H:$H,Issuance!$D:$D,Formulas!$B677,Issuance!$C:$C,Formulas!D$2)</f>
        <v>0</v>
      </c>
      <c r="E677">
        <f t="shared" si="54"/>
        <v>0</v>
      </c>
      <c r="F677" s="41" t="str">
        <f t="shared" si="56"/>
        <v/>
      </c>
      <c r="I677">
        <f>SUMIFS(Buybacks!H:H,Buybacks!D:D,Formulas!H677)</f>
        <v>0</v>
      </c>
      <c r="J677" s="41" t="str">
        <f t="shared" si="57"/>
        <v/>
      </c>
      <c r="M677">
        <f>SUMIFS('Corporate activity'!$H:$H,'Corporate activity'!$D:$D,Formulas!$L677,'Corporate activity'!$C:$C,Formulas!M$2)</f>
        <v>0</v>
      </c>
      <c r="N677">
        <f>SUMIFS('Corporate activity'!$H:$H,'Corporate activity'!$D:$D,Formulas!$L677,'Corporate activity'!$C:$C,Formulas!N$2)</f>
        <v>0</v>
      </c>
      <c r="O677">
        <f>SUMIFS('Corporate activity'!$H:$H,'Corporate activity'!$D:$D,Formulas!$L677,'Corporate activity'!$C:$C,Formulas!O$2)</f>
        <v>0</v>
      </c>
      <c r="P677">
        <f t="shared" si="55"/>
        <v>0</v>
      </c>
      <c r="Q677" t="str">
        <f t="shared" si="58"/>
        <v/>
      </c>
    </row>
    <row r="678" spans="3:17" x14ac:dyDescent="0.25">
      <c r="C678">
        <f>SUMIFS(Issuance!$H:$H,Issuance!$D:$D,Formulas!$B678,Issuance!$C:$C,Formulas!C$2)</f>
        <v>0</v>
      </c>
      <c r="D678">
        <f>SUMIFS(Issuance!$H:$H,Issuance!$D:$D,Formulas!$B678,Issuance!$C:$C,Formulas!D$2)</f>
        <v>0</v>
      </c>
      <c r="E678">
        <f t="shared" si="54"/>
        <v>0</v>
      </c>
      <c r="F678" s="41" t="str">
        <f t="shared" si="56"/>
        <v/>
      </c>
      <c r="I678">
        <f>SUMIFS(Buybacks!H:H,Buybacks!D:D,Formulas!H678)</f>
        <v>0</v>
      </c>
      <c r="J678" s="41" t="str">
        <f t="shared" si="57"/>
        <v/>
      </c>
      <c r="M678">
        <f>SUMIFS('Corporate activity'!$H:$H,'Corporate activity'!$D:$D,Formulas!$L678,'Corporate activity'!$C:$C,Formulas!M$2)</f>
        <v>0</v>
      </c>
      <c r="N678">
        <f>SUMIFS('Corporate activity'!$H:$H,'Corporate activity'!$D:$D,Formulas!$L678,'Corporate activity'!$C:$C,Formulas!N$2)</f>
        <v>0</v>
      </c>
      <c r="O678">
        <f>SUMIFS('Corporate activity'!$H:$H,'Corporate activity'!$D:$D,Formulas!$L678,'Corporate activity'!$C:$C,Formulas!O$2)</f>
        <v>0</v>
      </c>
      <c r="P678">
        <f t="shared" si="55"/>
        <v>0</v>
      </c>
      <c r="Q678" t="str">
        <f t="shared" si="58"/>
        <v/>
      </c>
    </row>
    <row r="679" spans="3:17" x14ac:dyDescent="0.25">
      <c r="C679">
        <f>SUMIFS(Issuance!$H:$H,Issuance!$D:$D,Formulas!$B679,Issuance!$C:$C,Formulas!C$2)</f>
        <v>0</v>
      </c>
      <c r="D679">
        <f>SUMIFS(Issuance!$H:$H,Issuance!$D:$D,Formulas!$B679,Issuance!$C:$C,Formulas!D$2)</f>
        <v>0</v>
      </c>
      <c r="E679">
        <f t="shared" si="54"/>
        <v>0</v>
      </c>
      <c r="F679" s="41" t="str">
        <f t="shared" si="56"/>
        <v/>
      </c>
      <c r="I679">
        <f>SUMIFS(Buybacks!H:H,Buybacks!D:D,Formulas!H679)</f>
        <v>0</v>
      </c>
      <c r="J679" s="41" t="str">
        <f t="shared" si="57"/>
        <v/>
      </c>
      <c r="M679">
        <f>SUMIFS('Corporate activity'!$H:$H,'Corporate activity'!$D:$D,Formulas!$L679,'Corporate activity'!$C:$C,Formulas!M$2)</f>
        <v>0</v>
      </c>
      <c r="N679">
        <f>SUMIFS('Corporate activity'!$H:$H,'Corporate activity'!$D:$D,Formulas!$L679,'Corporate activity'!$C:$C,Formulas!N$2)</f>
        <v>0</v>
      </c>
      <c r="O679">
        <f>SUMIFS('Corporate activity'!$H:$H,'Corporate activity'!$D:$D,Formulas!$L679,'Corporate activity'!$C:$C,Formulas!O$2)</f>
        <v>0</v>
      </c>
      <c r="P679">
        <f t="shared" si="55"/>
        <v>0</v>
      </c>
      <c r="Q679" t="str">
        <f t="shared" si="58"/>
        <v/>
      </c>
    </row>
    <row r="680" spans="3:17" x14ac:dyDescent="0.25">
      <c r="C680">
        <f>SUMIFS(Issuance!$H:$H,Issuance!$D:$D,Formulas!$B680,Issuance!$C:$C,Formulas!C$2)</f>
        <v>0</v>
      </c>
      <c r="D680">
        <f>SUMIFS(Issuance!$H:$H,Issuance!$D:$D,Formulas!$B680,Issuance!$C:$C,Formulas!D$2)</f>
        <v>0</v>
      </c>
      <c r="E680">
        <f t="shared" si="54"/>
        <v>0</v>
      </c>
      <c r="F680" s="41" t="str">
        <f t="shared" si="56"/>
        <v/>
      </c>
      <c r="I680">
        <f>SUMIFS(Buybacks!H:H,Buybacks!D:D,Formulas!H680)</f>
        <v>0</v>
      </c>
      <c r="J680" s="41" t="str">
        <f t="shared" si="57"/>
        <v/>
      </c>
      <c r="M680">
        <f>SUMIFS('Corporate activity'!$H:$H,'Corporate activity'!$D:$D,Formulas!$L680,'Corporate activity'!$C:$C,Formulas!M$2)</f>
        <v>0</v>
      </c>
      <c r="N680">
        <f>SUMIFS('Corporate activity'!$H:$H,'Corporate activity'!$D:$D,Formulas!$L680,'Corporate activity'!$C:$C,Formulas!N$2)</f>
        <v>0</v>
      </c>
      <c r="O680">
        <f>SUMIFS('Corporate activity'!$H:$H,'Corporate activity'!$D:$D,Formulas!$L680,'Corporate activity'!$C:$C,Formulas!O$2)</f>
        <v>0</v>
      </c>
      <c r="P680">
        <f t="shared" si="55"/>
        <v>0</v>
      </c>
      <c r="Q680" t="str">
        <f t="shared" si="58"/>
        <v/>
      </c>
    </row>
    <row r="681" spans="3:17" x14ac:dyDescent="0.25">
      <c r="C681">
        <f>SUMIFS(Issuance!$H:$H,Issuance!$D:$D,Formulas!$B681,Issuance!$C:$C,Formulas!C$2)</f>
        <v>0</v>
      </c>
      <c r="D681">
        <f>SUMIFS(Issuance!$H:$H,Issuance!$D:$D,Formulas!$B681,Issuance!$C:$C,Formulas!D$2)</f>
        <v>0</v>
      </c>
      <c r="E681">
        <f t="shared" si="54"/>
        <v>0</v>
      </c>
      <c r="F681" s="41" t="str">
        <f t="shared" si="56"/>
        <v/>
      </c>
      <c r="I681">
        <f>SUMIFS(Buybacks!H:H,Buybacks!D:D,Formulas!H681)</f>
        <v>0</v>
      </c>
      <c r="J681" s="41" t="str">
        <f t="shared" si="57"/>
        <v/>
      </c>
      <c r="M681">
        <f>SUMIFS('Corporate activity'!$H:$H,'Corporate activity'!$D:$D,Formulas!$L681,'Corporate activity'!$C:$C,Formulas!M$2)</f>
        <v>0</v>
      </c>
      <c r="N681">
        <f>SUMIFS('Corporate activity'!$H:$H,'Corporate activity'!$D:$D,Formulas!$L681,'Corporate activity'!$C:$C,Formulas!N$2)</f>
        <v>0</v>
      </c>
      <c r="O681">
        <f>SUMIFS('Corporate activity'!$H:$H,'Corporate activity'!$D:$D,Formulas!$L681,'Corporate activity'!$C:$C,Formulas!O$2)</f>
        <v>0</v>
      </c>
      <c r="P681">
        <f t="shared" si="55"/>
        <v>0</v>
      </c>
      <c r="Q681" t="str">
        <f t="shared" si="58"/>
        <v/>
      </c>
    </row>
    <row r="682" spans="3:17" x14ac:dyDescent="0.25">
      <c r="C682">
        <f>SUMIFS(Issuance!$H:$H,Issuance!$D:$D,Formulas!$B682,Issuance!$C:$C,Formulas!C$2)</f>
        <v>0</v>
      </c>
      <c r="D682">
        <f>SUMIFS(Issuance!$H:$H,Issuance!$D:$D,Formulas!$B682,Issuance!$C:$C,Formulas!D$2)</f>
        <v>0</v>
      </c>
      <c r="E682">
        <f t="shared" si="54"/>
        <v>0</v>
      </c>
      <c r="F682" s="41" t="str">
        <f t="shared" si="56"/>
        <v/>
      </c>
      <c r="I682">
        <f>SUMIFS(Buybacks!H:H,Buybacks!D:D,Formulas!H682)</f>
        <v>0</v>
      </c>
      <c r="J682" s="41" t="str">
        <f t="shared" si="57"/>
        <v/>
      </c>
      <c r="M682">
        <f>SUMIFS('Corporate activity'!$H:$H,'Corporate activity'!$D:$D,Formulas!$L682,'Corporate activity'!$C:$C,Formulas!M$2)</f>
        <v>0</v>
      </c>
      <c r="N682">
        <f>SUMIFS('Corporate activity'!$H:$H,'Corporate activity'!$D:$D,Formulas!$L682,'Corporate activity'!$C:$C,Formulas!N$2)</f>
        <v>0</v>
      </c>
      <c r="O682">
        <f>SUMIFS('Corporate activity'!$H:$H,'Corporate activity'!$D:$D,Formulas!$L682,'Corporate activity'!$C:$C,Formulas!O$2)</f>
        <v>0</v>
      </c>
      <c r="P682">
        <f t="shared" si="55"/>
        <v>0</v>
      </c>
      <c r="Q682" t="str">
        <f t="shared" si="58"/>
        <v/>
      </c>
    </row>
    <row r="683" spans="3:17" x14ac:dyDescent="0.25">
      <c r="C683">
        <f>SUMIFS(Issuance!$H:$H,Issuance!$D:$D,Formulas!$B683,Issuance!$C:$C,Formulas!C$2)</f>
        <v>0</v>
      </c>
      <c r="D683">
        <f>SUMIFS(Issuance!$H:$H,Issuance!$D:$D,Formulas!$B683,Issuance!$C:$C,Formulas!D$2)</f>
        <v>0</v>
      </c>
      <c r="E683">
        <f t="shared" si="54"/>
        <v>0</v>
      </c>
      <c r="F683" s="41" t="str">
        <f t="shared" si="56"/>
        <v/>
      </c>
      <c r="I683">
        <f>SUMIFS(Buybacks!H:H,Buybacks!D:D,Formulas!H683)</f>
        <v>0</v>
      </c>
      <c r="J683" s="41" t="str">
        <f t="shared" si="57"/>
        <v/>
      </c>
      <c r="M683">
        <f>SUMIFS('Corporate activity'!$H:$H,'Corporate activity'!$D:$D,Formulas!$L683,'Corporate activity'!$C:$C,Formulas!M$2)</f>
        <v>0</v>
      </c>
      <c r="N683">
        <f>SUMIFS('Corporate activity'!$H:$H,'Corporate activity'!$D:$D,Formulas!$L683,'Corporate activity'!$C:$C,Formulas!N$2)</f>
        <v>0</v>
      </c>
      <c r="O683">
        <f>SUMIFS('Corporate activity'!$H:$H,'Corporate activity'!$D:$D,Formulas!$L683,'Corporate activity'!$C:$C,Formulas!O$2)</f>
        <v>0</v>
      </c>
      <c r="P683">
        <f t="shared" si="55"/>
        <v>0</v>
      </c>
      <c r="Q683" t="str">
        <f t="shared" si="58"/>
        <v/>
      </c>
    </row>
    <row r="684" spans="3:17" x14ac:dyDescent="0.25">
      <c r="C684">
        <f>SUMIFS(Issuance!$H:$H,Issuance!$D:$D,Formulas!$B684,Issuance!$C:$C,Formulas!C$2)</f>
        <v>0</v>
      </c>
      <c r="D684">
        <f>SUMIFS(Issuance!$H:$H,Issuance!$D:$D,Formulas!$B684,Issuance!$C:$C,Formulas!D$2)</f>
        <v>0</v>
      </c>
      <c r="E684">
        <f t="shared" si="54"/>
        <v>0</v>
      </c>
      <c r="F684" s="41" t="str">
        <f t="shared" si="56"/>
        <v/>
      </c>
      <c r="I684">
        <f>SUMIFS(Buybacks!H:H,Buybacks!D:D,Formulas!H684)</f>
        <v>0</v>
      </c>
      <c r="J684" s="41" t="str">
        <f t="shared" si="57"/>
        <v/>
      </c>
      <c r="M684">
        <f>SUMIFS('Corporate activity'!$H:$H,'Corporate activity'!$D:$D,Formulas!$L684,'Corporate activity'!$C:$C,Formulas!M$2)</f>
        <v>0</v>
      </c>
      <c r="N684">
        <f>SUMIFS('Corporate activity'!$H:$H,'Corporate activity'!$D:$D,Formulas!$L684,'Corporate activity'!$C:$C,Formulas!N$2)</f>
        <v>0</v>
      </c>
      <c r="O684">
        <f>SUMIFS('Corporate activity'!$H:$H,'Corporate activity'!$D:$D,Formulas!$L684,'Corporate activity'!$C:$C,Formulas!O$2)</f>
        <v>0</v>
      </c>
      <c r="P684">
        <f t="shared" si="55"/>
        <v>0</v>
      </c>
      <c r="Q684" t="str">
        <f t="shared" si="58"/>
        <v/>
      </c>
    </row>
    <row r="685" spans="3:17" x14ac:dyDescent="0.25">
      <c r="C685">
        <f>SUMIFS(Issuance!$H:$H,Issuance!$D:$D,Formulas!$B685,Issuance!$C:$C,Formulas!C$2)</f>
        <v>0</v>
      </c>
      <c r="D685">
        <f>SUMIFS(Issuance!$H:$H,Issuance!$D:$D,Formulas!$B685,Issuance!$C:$C,Formulas!D$2)</f>
        <v>0</v>
      </c>
      <c r="E685">
        <f t="shared" si="54"/>
        <v>0</v>
      </c>
      <c r="F685" s="41" t="str">
        <f t="shared" si="56"/>
        <v/>
      </c>
      <c r="I685">
        <f>SUMIFS(Buybacks!H:H,Buybacks!D:D,Formulas!H685)</f>
        <v>0</v>
      </c>
      <c r="J685" s="41" t="str">
        <f t="shared" si="57"/>
        <v/>
      </c>
      <c r="M685">
        <f>SUMIFS('Corporate activity'!$H:$H,'Corporate activity'!$D:$D,Formulas!$L685,'Corporate activity'!$C:$C,Formulas!M$2)</f>
        <v>0</v>
      </c>
      <c r="N685">
        <f>SUMIFS('Corporate activity'!$H:$H,'Corporate activity'!$D:$D,Formulas!$L685,'Corporate activity'!$C:$C,Formulas!N$2)</f>
        <v>0</v>
      </c>
      <c r="O685">
        <f>SUMIFS('Corporate activity'!$H:$H,'Corporate activity'!$D:$D,Formulas!$L685,'Corporate activity'!$C:$C,Formulas!O$2)</f>
        <v>0</v>
      </c>
      <c r="P685">
        <f t="shared" si="55"/>
        <v>0</v>
      </c>
      <c r="Q685" t="str">
        <f t="shared" si="58"/>
        <v/>
      </c>
    </row>
    <row r="686" spans="3:17" x14ac:dyDescent="0.25">
      <c r="C686">
        <f>SUMIFS(Issuance!$H:$H,Issuance!$D:$D,Formulas!$B686,Issuance!$C:$C,Formulas!C$2)</f>
        <v>0</v>
      </c>
      <c r="D686">
        <f>SUMIFS(Issuance!$H:$H,Issuance!$D:$D,Formulas!$B686,Issuance!$C:$C,Formulas!D$2)</f>
        <v>0</v>
      </c>
      <c r="E686">
        <f t="shared" si="54"/>
        <v>0</v>
      </c>
      <c r="F686" s="41" t="str">
        <f t="shared" si="56"/>
        <v/>
      </c>
      <c r="I686">
        <f>SUMIFS(Buybacks!H:H,Buybacks!D:D,Formulas!H686)</f>
        <v>0</v>
      </c>
      <c r="J686" s="41" t="str">
        <f t="shared" si="57"/>
        <v/>
      </c>
      <c r="M686">
        <f>SUMIFS('Corporate activity'!$H:$H,'Corporate activity'!$D:$D,Formulas!$L686,'Corporate activity'!$C:$C,Formulas!M$2)</f>
        <v>0</v>
      </c>
      <c r="N686">
        <f>SUMIFS('Corporate activity'!$H:$H,'Corporate activity'!$D:$D,Formulas!$L686,'Corporate activity'!$C:$C,Formulas!N$2)</f>
        <v>0</v>
      </c>
      <c r="O686">
        <f>SUMIFS('Corporate activity'!$H:$H,'Corporate activity'!$D:$D,Formulas!$L686,'Corporate activity'!$C:$C,Formulas!O$2)</f>
        <v>0</v>
      </c>
      <c r="P686">
        <f t="shared" si="55"/>
        <v>0</v>
      </c>
      <c r="Q686" t="str">
        <f t="shared" si="58"/>
        <v/>
      </c>
    </row>
    <row r="687" spans="3:17" x14ac:dyDescent="0.25">
      <c r="C687">
        <f>SUMIFS(Issuance!$H:$H,Issuance!$D:$D,Formulas!$B687,Issuance!$C:$C,Formulas!C$2)</f>
        <v>0</v>
      </c>
      <c r="D687">
        <f>SUMIFS(Issuance!$H:$H,Issuance!$D:$D,Formulas!$B687,Issuance!$C:$C,Formulas!D$2)</f>
        <v>0</v>
      </c>
      <c r="E687">
        <f t="shared" si="54"/>
        <v>0</v>
      </c>
      <c r="F687" s="41" t="str">
        <f t="shared" si="56"/>
        <v/>
      </c>
      <c r="I687">
        <f>SUMIFS(Buybacks!H:H,Buybacks!D:D,Formulas!H687)</f>
        <v>0</v>
      </c>
      <c r="J687" s="41" t="str">
        <f t="shared" si="57"/>
        <v/>
      </c>
      <c r="M687">
        <f>SUMIFS('Corporate activity'!$H:$H,'Corporate activity'!$D:$D,Formulas!$L687,'Corporate activity'!$C:$C,Formulas!M$2)</f>
        <v>0</v>
      </c>
      <c r="N687">
        <f>SUMIFS('Corporate activity'!$H:$H,'Corporate activity'!$D:$D,Formulas!$L687,'Corporate activity'!$C:$C,Formulas!N$2)</f>
        <v>0</v>
      </c>
      <c r="O687">
        <f>SUMIFS('Corporate activity'!$H:$H,'Corporate activity'!$D:$D,Formulas!$L687,'Corporate activity'!$C:$C,Formulas!O$2)</f>
        <v>0</v>
      </c>
      <c r="P687">
        <f t="shared" si="55"/>
        <v>0</v>
      </c>
      <c r="Q687" t="str">
        <f t="shared" si="58"/>
        <v/>
      </c>
    </row>
    <row r="688" spans="3:17" x14ac:dyDescent="0.25">
      <c r="C688">
        <f>SUMIFS(Issuance!$H:$H,Issuance!$D:$D,Formulas!$B688,Issuance!$C:$C,Formulas!C$2)</f>
        <v>0</v>
      </c>
      <c r="D688">
        <f>SUMIFS(Issuance!$H:$H,Issuance!$D:$D,Formulas!$B688,Issuance!$C:$C,Formulas!D$2)</f>
        <v>0</v>
      </c>
      <c r="E688">
        <f t="shared" si="54"/>
        <v>0</v>
      </c>
      <c r="F688" s="41" t="str">
        <f t="shared" si="56"/>
        <v/>
      </c>
      <c r="I688">
        <f>SUMIFS(Buybacks!H:H,Buybacks!D:D,Formulas!H688)</f>
        <v>0</v>
      </c>
      <c r="J688" s="41" t="str">
        <f t="shared" si="57"/>
        <v/>
      </c>
      <c r="M688">
        <f>SUMIFS('Corporate activity'!$H:$H,'Corporate activity'!$D:$D,Formulas!$L688,'Corporate activity'!$C:$C,Formulas!M$2)</f>
        <v>0</v>
      </c>
      <c r="N688">
        <f>SUMIFS('Corporate activity'!$H:$H,'Corporate activity'!$D:$D,Formulas!$L688,'Corporate activity'!$C:$C,Formulas!N$2)</f>
        <v>0</v>
      </c>
      <c r="O688">
        <f>SUMIFS('Corporate activity'!$H:$H,'Corporate activity'!$D:$D,Formulas!$L688,'Corporate activity'!$C:$C,Formulas!O$2)</f>
        <v>0</v>
      </c>
      <c r="P688">
        <f t="shared" si="55"/>
        <v>0</v>
      </c>
      <c r="Q688" t="str">
        <f t="shared" si="58"/>
        <v/>
      </c>
    </row>
    <row r="689" spans="3:17" x14ac:dyDescent="0.25">
      <c r="C689">
        <f>SUMIFS(Issuance!$H:$H,Issuance!$D:$D,Formulas!$B689,Issuance!$C:$C,Formulas!C$2)</f>
        <v>0</v>
      </c>
      <c r="D689">
        <f>SUMIFS(Issuance!$H:$H,Issuance!$D:$D,Formulas!$B689,Issuance!$C:$C,Formulas!D$2)</f>
        <v>0</v>
      </c>
      <c r="E689">
        <f t="shared" si="54"/>
        <v>0</v>
      </c>
      <c r="F689" s="41" t="str">
        <f t="shared" si="56"/>
        <v/>
      </c>
      <c r="I689">
        <f>SUMIFS(Buybacks!H:H,Buybacks!D:D,Formulas!H689)</f>
        <v>0</v>
      </c>
      <c r="J689" s="41" t="str">
        <f t="shared" si="57"/>
        <v/>
      </c>
      <c r="M689">
        <f>SUMIFS('Corporate activity'!$H:$H,'Corporate activity'!$D:$D,Formulas!$L689,'Corporate activity'!$C:$C,Formulas!M$2)</f>
        <v>0</v>
      </c>
      <c r="N689">
        <f>SUMIFS('Corporate activity'!$H:$H,'Corporate activity'!$D:$D,Formulas!$L689,'Corporate activity'!$C:$C,Formulas!N$2)</f>
        <v>0</v>
      </c>
      <c r="O689">
        <f>SUMIFS('Corporate activity'!$H:$H,'Corporate activity'!$D:$D,Formulas!$L689,'Corporate activity'!$C:$C,Formulas!O$2)</f>
        <v>0</v>
      </c>
      <c r="P689">
        <f t="shared" si="55"/>
        <v>0</v>
      </c>
      <c r="Q689" t="str">
        <f t="shared" si="58"/>
        <v/>
      </c>
    </row>
    <row r="690" spans="3:17" x14ac:dyDescent="0.25">
      <c r="C690">
        <f>SUMIFS(Issuance!$H:$H,Issuance!$D:$D,Formulas!$B690,Issuance!$C:$C,Formulas!C$2)</f>
        <v>0</v>
      </c>
      <c r="D690">
        <f>SUMIFS(Issuance!$H:$H,Issuance!$D:$D,Formulas!$B690,Issuance!$C:$C,Formulas!D$2)</f>
        <v>0</v>
      </c>
      <c r="E690">
        <f t="shared" si="54"/>
        <v>0</v>
      </c>
      <c r="F690" s="41" t="str">
        <f t="shared" si="56"/>
        <v/>
      </c>
      <c r="I690">
        <f>SUMIFS(Buybacks!H:H,Buybacks!D:D,Formulas!H690)</f>
        <v>0</v>
      </c>
      <c r="J690" s="41" t="str">
        <f t="shared" si="57"/>
        <v/>
      </c>
      <c r="M690">
        <f>SUMIFS('Corporate activity'!$H:$H,'Corporate activity'!$D:$D,Formulas!$L690,'Corporate activity'!$C:$C,Formulas!M$2)</f>
        <v>0</v>
      </c>
      <c r="N690">
        <f>SUMIFS('Corporate activity'!$H:$H,'Corporate activity'!$D:$D,Formulas!$L690,'Corporate activity'!$C:$C,Formulas!N$2)</f>
        <v>0</v>
      </c>
      <c r="O690">
        <f>SUMIFS('Corporate activity'!$H:$H,'Corporate activity'!$D:$D,Formulas!$L690,'Corporate activity'!$C:$C,Formulas!O$2)</f>
        <v>0</v>
      </c>
      <c r="P690">
        <f t="shared" si="55"/>
        <v>0</v>
      </c>
      <c r="Q690" t="str">
        <f t="shared" si="58"/>
        <v/>
      </c>
    </row>
    <row r="691" spans="3:17" x14ac:dyDescent="0.25">
      <c r="C691">
        <f>SUMIFS(Issuance!$H:$H,Issuance!$D:$D,Formulas!$B691,Issuance!$C:$C,Formulas!C$2)</f>
        <v>0</v>
      </c>
      <c r="D691">
        <f>SUMIFS(Issuance!$H:$H,Issuance!$D:$D,Formulas!$B691,Issuance!$C:$C,Formulas!D$2)</f>
        <v>0</v>
      </c>
      <c r="E691">
        <f t="shared" ref="E691:E754" si="59">SUM(C691:D691)</f>
        <v>0</v>
      </c>
      <c r="F691" s="41" t="str">
        <f t="shared" si="56"/>
        <v/>
      </c>
      <c r="I691">
        <f>SUMIFS(Buybacks!H:H,Buybacks!D:D,Formulas!H691)</f>
        <v>0</v>
      </c>
      <c r="J691" s="41" t="str">
        <f t="shared" si="57"/>
        <v/>
      </c>
      <c r="M691">
        <f>SUMIFS('Corporate activity'!$H:$H,'Corporate activity'!$D:$D,Formulas!$L691,'Corporate activity'!$C:$C,Formulas!M$2)</f>
        <v>0</v>
      </c>
      <c r="N691">
        <f>SUMIFS('Corporate activity'!$H:$H,'Corporate activity'!$D:$D,Formulas!$L691,'Corporate activity'!$C:$C,Formulas!N$2)</f>
        <v>0</v>
      </c>
      <c r="O691">
        <f>SUMIFS('Corporate activity'!$H:$H,'Corporate activity'!$D:$D,Formulas!$L691,'Corporate activity'!$C:$C,Formulas!O$2)</f>
        <v>0</v>
      </c>
      <c r="P691">
        <f t="shared" ref="P691:P754" si="60">SUM(M691:O691)</f>
        <v>0</v>
      </c>
      <c r="Q691" t="str">
        <f t="shared" si="58"/>
        <v/>
      </c>
    </row>
    <row r="692" spans="3:17" x14ac:dyDescent="0.25">
      <c r="C692">
        <f>SUMIFS(Issuance!$H:$H,Issuance!$D:$D,Formulas!$B692,Issuance!$C:$C,Formulas!C$2)</f>
        <v>0</v>
      </c>
      <c r="D692">
        <f>SUMIFS(Issuance!$H:$H,Issuance!$D:$D,Formulas!$B692,Issuance!$C:$C,Formulas!D$2)</f>
        <v>0</v>
      </c>
      <c r="E692">
        <f t="shared" si="59"/>
        <v>0</v>
      </c>
      <c r="F692" s="41" t="str">
        <f t="shared" si="56"/>
        <v/>
      </c>
      <c r="I692">
        <f>SUMIFS(Buybacks!H:H,Buybacks!D:D,Formulas!H692)</f>
        <v>0</v>
      </c>
      <c r="J692" s="41" t="str">
        <f t="shared" si="57"/>
        <v/>
      </c>
      <c r="M692">
        <f>SUMIFS('Corporate activity'!$H:$H,'Corporate activity'!$D:$D,Formulas!$L692,'Corporate activity'!$C:$C,Formulas!M$2)</f>
        <v>0</v>
      </c>
      <c r="N692">
        <f>SUMIFS('Corporate activity'!$H:$H,'Corporate activity'!$D:$D,Formulas!$L692,'Corporate activity'!$C:$C,Formulas!N$2)</f>
        <v>0</v>
      </c>
      <c r="O692">
        <f>SUMIFS('Corporate activity'!$H:$H,'Corporate activity'!$D:$D,Formulas!$L692,'Corporate activity'!$C:$C,Formulas!O$2)</f>
        <v>0</v>
      </c>
      <c r="P692">
        <f t="shared" si="60"/>
        <v>0</v>
      </c>
      <c r="Q692" t="str">
        <f t="shared" si="58"/>
        <v/>
      </c>
    </row>
    <row r="693" spans="3:17" x14ac:dyDescent="0.25">
      <c r="C693">
        <f>SUMIFS(Issuance!$H:$H,Issuance!$D:$D,Formulas!$B693,Issuance!$C:$C,Formulas!C$2)</f>
        <v>0</v>
      </c>
      <c r="D693">
        <f>SUMIFS(Issuance!$H:$H,Issuance!$D:$D,Formulas!$B693,Issuance!$C:$C,Formulas!D$2)</f>
        <v>0</v>
      </c>
      <c r="E693">
        <f t="shared" si="59"/>
        <v>0</v>
      </c>
      <c r="F693" s="41" t="str">
        <f t="shared" si="56"/>
        <v/>
      </c>
      <c r="I693">
        <f>SUMIFS(Buybacks!H:H,Buybacks!D:D,Formulas!H693)</f>
        <v>0</v>
      </c>
      <c r="J693" s="41" t="str">
        <f t="shared" si="57"/>
        <v/>
      </c>
      <c r="M693">
        <f>SUMIFS('Corporate activity'!$H:$H,'Corporate activity'!$D:$D,Formulas!$L693,'Corporate activity'!$C:$C,Formulas!M$2)</f>
        <v>0</v>
      </c>
      <c r="N693">
        <f>SUMIFS('Corporate activity'!$H:$H,'Corporate activity'!$D:$D,Formulas!$L693,'Corporate activity'!$C:$C,Formulas!N$2)</f>
        <v>0</v>
      </c>
      <c r="O693">
        <f>SUMIFS('Corporate activity'!$H:$H,'Corporate activity'!$D:$D,Formulas!$L693,'Corporate activity'!$C:$C,Formulas!O$2)</f>
        <v>0</v>
      </c>
      <c r="P693">
        <f t="shared" si="60"/>
        <v>0</v>
      </c>
      <c r="Q693" t="str">
        <f t="shared" si="58"/>
        <v/>
      </c>
    </row>
    <row r="694" spans="3:17" x14ac:dyDescent="0.25">
      <c r="C694">
        <f>SUMIFS(Issuance!$H:$H,Issuance!$D:$D,Formulas!$B694,Issuance!$C:$C,Formulas!C$2)</f>
        <v>0</v>
      </c>
      <c r="D694">
        <f>SUMIFS(Issuance!$H:$H,Issuance!$D:$D,Formulas!$B694,Issuance!$C:$C,Formulas!D$2)</f>
        <v>0</v>
      </c>
      <c r="E694">
        <f t="shared" si="59"/>
        <v>0</v>
      </c>
      <c r="F694" s="41" t="str">
        <f t="shared" si="56"/>
        <v/>
      </c>
      <c r="I694">
        <f>SUMIFS(Buybacks!H:H,Buybacks!D:D,Formulas!H694)</f>
        <v>0</v>
      </c>
      <c r="J694" s="41" t="str">
        <f t="shared" si="57"/>
        <v/>
      </c>
      <c r="M694">
        <f>SUMIFS('Corporate activity'!$H:$H,'Corporate activity'!$D:$D,Formulas!$L694,'Corporate activity'!$C:$C,Formulas!M$2)</f>
        <v>0</v>
      </c>
      <c r="N694">
        <f>SUMIFS('Corporate activity'!$H:$H,'Corporate activity'!$D:$D,Formulas!$L694,'Corporate activity'!$C:$C,Formulas!N$2)</f>
        <v>0</v>
      </c>
      <c r="O694">
        <f>SUMIFS('Corporate activity'!$H:$H,'Corporate activity'!$D:$D,Formulas!$L694,'Corporate activity'!$C:$C,Formulas!O$2)</f>
        <v>0</v>
      </c>
      <c r="P694">
        <f t="shared" si="60"/>
        <v>0</v>
      </c>
      <c r="Q694" t="str">
        <f t="shared" si="58"/>
        <v/>
      </c>
    </row>
    <row r="695" spans="3:17" x14ac:dyDescent="0.25">
      <c r="C695">
        <f>SUMIFS(Issuance!$H:$H,Issuance!$D:$D,Formulas!$B695,Issuance!$C:$C,Formulas!C$2)</f>
        <v>0</v>
      </c>
      <c r="D695">
        <f>SUMIFS(Issuance!$H:$H,Issuance!$D:$D,Formulas!$B695,Issuance!$C:$C,Formulas!D$2)</f>
        <v>0</v>
      </c>
      <c r="E695">
        <f t="shared" si="59"/>
        <v>0</v>
      </c>
      <c r="F695" s="41" t="str">
        <f t="shared" si="56"/>
        <v/>
      </c>
      <c r="I695">
        <f>SUMIFS(Buybacks!H:H,Buybacks!D:D,Formulas!H695)</f>
        <v>0</v>
      </c>
      <c r="J695" s="41" t="str">
        <f t="shared" si="57"/>
        <v/>
      </c>
      <c r="M695">
        <f>SUMIFS('Corporate activity'!$H:$H,'Corporate activity'!$D:$D,Formulas!$L695,'Corporate activity'!$C:$C,Formulas!M$2)</f>
        <v>0</v>
      </c>
      <c r="N695">
        <f>SUMIFS('Corporate activity'!$H:$H,'Corporate activity'!$D:$D,Formulas!$L695,'Corporate activity'!$C:$C,Formulas!N$2)</f>
        <v>0</v>
      </c>
      <c r="O695">
        <f>SUMIFS('Corporate activity'!$H:$H,'Corporate activity'!$D:$D,Formulas!$L695,'Corporate activity'!$C:$C,Formulas!O$2)</f>
        <v>0</v>
      </c>
      <c r="P695">
        <f t="shared" si="60"/>
        <v>0</v>
      </c>
      <c r="Q695" t="str">
        <f t="shared" si="58"/>
        <v/>
      </c>
    </row>
    <row r="696" spans="3:17" x14ac:dyDescent="0.25">
      <c r="C696">
        <f>SUMIFS(Issuance!$H:$H,Issuance!$D:$D,Formulas!$B696,Issuance!$C:$C,Formulas!C$2)</f>
        <v>0</v>
      </c>
      <c r="D696">
        <f>SUMIFS(Issuance!$H:$H,Issuance!$D:$D,Formulas!$B696,Issuance!$C:$C,Formulas!D$2)</f>
        <v>0</v>
      </c>
      <c r="E696">
        <f t="shared" si="59"/>
        <v>0</v>
      </c>
      <c r="F696" s="41" t="str">
        <f t="shared" si="56"/>
        <v/>
      </c>
      <c r="I696">
        <f>SUMIFS(Buybacks!H:H,Buybacks!D:D,Formulas!H696)</f>
        <v>0</v>
      </c>
      <c r="J696" s="41" t="str">
        <f t="shared" si="57"/>
        <v/>
      </c>
      <c r="M696">
        <f>SUMIFS('Corporate activity'!$H:$H,'Corporate activity'!$D:$D,Formulas!$L696,'Corporate activity'!$C:$C,Formulas!M$2)</f>
        <v>0</v>
      </c>
      <c r="N696">
        <f>SUMIFS('Corporate activity'!$H:$H,'Corporate activity'!$D:$D,Formulas!$L696,'Corporate activity'!$C:$C,Formulas!N$2)</f>
        <v>0</v>
      </c>
      <c r="O696">
        <f>SUMIFS('Corporate activity'!$H:$H,'Corporate activity'!$D:$D,Formulas!$L696,'Corporate activity'!$C:$C,Formulas!O$2)</f>
        <v>0</v>
      </c>
      <c r="P696">
        <f t="shared" si="60"/>
        <v>0</v>
      </c>
      <c r="Q696" t="str">
        <f t="shared" si="58"/>
        <v/>
      </c>
    </row>
    <row r="697" spans="3:17" x14ac:dyDescent="0.25">
      <c r="C697">
        <f>SUMIFS(Issuance!$H:$H,Issuance!$D:$D,Formulas!$B697,Issuance!$C:$C,Formulas!C$2)</f>
        <v>0</v>
      </c>
      <c r="D697">
        <f>SUMIFS(Issuance!$H:$H,Issuance!$D:$D,Formulas!$B697,Issuance!$C:$C,Formulas!D$2)</f>
        <v>0</v>
      </c>
      <c r="E697">
        <f t="shared" si="59"/>
        <v>0</v>
      </c>
      <c r="F697" s="41" t="str">
        <f t="shared" si="56"/>
        <v/>
      </c>
      <c r="I697">
        <f>SUMIFS(Buybacks!H:H,Buybacks!D:D,Formulas!H697)</f>
        <v>0</v>
      </c>
      <c r="J697" s="41" t="str">
        <f t="shared" si="57"/>
        <v/>
      </c>
      <c r="M697">
        <f>SUMIFS('Corporate activity'!$H:$H,'Corporate activity'!$D:$D,Formulas!$L697,'Corporate activity'!$C:$C,Formulas!M$2)</f>
        <v>0</v>
      </c>
      <c r="N697">
        <f>SUMIFS('Corporate activity'!$H:$H,'Corporate activity'!$D:$D,Formulas!$L697,'Corporate activity'!$C:$C,Formulas!N$2)</f>
        <v>0</v>
      </c>
      <c r="O697">
        <f>SUMIFS('Corporate activity'!$H:$H,'Corporate activity'!$D:$D,Formulas!$L697,'Corporate activity'!$C:$C,Formulas!O$2)</f>
        <v>0</v>
      </c>
      <c r="P697">
        <f t="shared" si="60"/>
        <v>0</v>
      </c>
      <c r="Q697" t="str">
        <f t="shared" si="58"/>
        <v/>
      </c>
    </row>
    <row r="698" spans="3:17" x14ac:dyDescent="0.25">
      <c r="C698">
        <f>SUMIFS(Issuance!$H:$H,Issuance!$D:$D,Formulas!$B698,Issuance!$C:$C,Formulas!C$2)</f>
        <v>0</v>
      </c>
      <c r="D698">
        <f>SUMIFS(Issuance!$H:$H,Issuance!$D:$D,Formulas!$B698,Issuance!$C:$C,Formulas!D$2)</f>
        <v>0</v>
      </c>
      <c r="E698">
        <f t="shared" si="59"/>
        <v>0</v>
      </c>
      <c r="F698" s="41" t="str">
        <f t="shared" si="56"/>
        <v/>
      </c>
      <c r="I698">
        <f>SUMIFS(Buybacks!H:H,Buybacks!D:D,Formulas!H698)</f>
        <v>0</v>
      </c>
      <c r="J698" s="41" t="str">
        <f t="shared" si="57"/>
        <v/>
      </c>
      <c r="M698">
        <f>SUMIFS('Corporate activity'!$H:$H,'Corporate activity'!$D:$D,Formulas!$L698,'Corporate activity'!$C:$C,Formulas!M$2)</f>
        <v>0</v>
      </c>
      <c r="N698">
        <f>SUMIFS('Corporate activity'!$H:$H,'Corporate activity'!$D:$D,Formulas!$L698,'Corporate activity'!$C:$C,Formulas!N$2)</f>
        <v>0</v>
      </c>
      <c r="O698">
        <f>SUMIFS('Corporate activity'!$H:$H,'Corporate activity'!$D:$D,Formulas!$L698,'Corporate activity'!$C:$C,Formulas!O$2)</f>
        <v>0</v>
      </c>
      <c r="P698">
        <f t="shared" si="60"/>
        <v>0</v>
      </c>
      <c r="Q698" t="str">
        <f t="shared" si="58"/>
        <v/>
      </c>
    </row>
    <row r="699" spans="3:17" x14ac:dyDescent="0.25">
      <c r="C699">
        <f>SUMIFS(Issuance!$H:$H,Issuance!$D:$D,Formulas!$B699,Issuance!$C:$C,Formulas!C$2)</f>
        <v>0</v>
      </c>
      <c r="D699">
        <f>SUMIFS(Issuance!$H:$H,Issuance!$D:$D,Formulas!$B699,Issuance!$C:$C,Formulas!D$2)</f>
        <v>0</v>
      </c>
      <c r="E699">
        <f t="shared" si="59"/>
        <v>0</v>
      </c>
      <c r="F699" s="41" t="str">
        <f t="shared" si="56"/>
        <v/>
      </c>
      <c r="I699">
        <f>SUMIFS(Buybacks!H:H,Buybacks!D:D,Formulas!H699)</f>
        <v>0</v>
      </c>
      <c r="J699" s="41" t="str">
        <f t="shared" si="57"/>
        <v/>
      </c>
      <c r="M699">
        <f>SUMIFS('Corporate activity'!$H:$H,'Corporate activity'!$D:$D,Formulas!$L699,'Corporate activity'!$C:$C,Formulas!M$2)</f>
        <v>0</v>
      </c>
      <c r="N699">
        <f>SUMIFS('Corporate activity'!$H:$H,'Corporate activity'!$D:$D,Formulas!$L699,'Corporate activity'!$C:$C,Formulas!N$2)</f>
        <v>0</v>
      </c>
      <c r="O699">
        <f>SUMIFS('Corporate activity'!$H:$H,'Corporate activity'!$D:$D,Formulas!$L699,'Corporate activity'!$C:$C,Formulas!O$2)</f>
        <v>0</v>
      </c>
      <c r="P699">
        <f t="shared" si="60"/>
        <v>0</v>
      </c>
      <c r="Q699" t="str">
        <f t="shared" si="58"/>
        <v/>
      </c>
    </row>
    <row r="700" spans="3:17" x14ac:dyDescent="0.25">
      <c r="C700">
        <f>SUMIFS(Issuance!$H:$H,Issuance!$D:$D,Formulas!$B700,Issuance!$C:$C,Formulas!C$2)</f>
        <v>0</v>
      </c>
      <c r="D700">
        <f>SUMIFS(Issuance!$H:$H,Issuance!$D:$D,Formulas!$B700,Issuance!$C:$C,Formulas!D$2)</f>
        <v>0</v>
      </c>
      <c r="E700">
        <f t="shared" si="59"/>
        <v>0</v>
      </c>
      <c r="F700" s="41" t="str">
        <f t="shared" si="56"/>
        <v/>
      </c>
      <c r="I700">
        <f>SUMIFS(Buybacks!H:H,Buybacks!D:D,Formulas!H700)</f>
        <v>0</v>
      </c>
      <c r="J700" s="41" t="str">
        <f t="shared" si="57"/>
        <v/>
      </c>
      <c r="M700">
        <f>SUMIFS('Corporate activity'!$H:$H,'Corporate activity'!$D:$D,Formulas!$L700,'Corporate activity'!$C:$C,Formulas!M$2)</f>
        <v>0</v>
      </c>
      <c r="N700">
        <f>SUMIFS('Corporate activity'!$H:$H,'Corporate activity'!$D:$D,Formulas!$L700,'Corporate activity'!$C:$C,Formulas!N$2)</f>
        <v>0</v>
      </c>
      <c r="O700">
        <f>SUMIFS('Corporate activity'!$H:$H,'Corporate activity'!$D:$D,Formulas!$L700,'Corporate activity'!$C:$C,Formulas!O$2)</f>
        <v>0</v>
      </c>
      <c r="P700">
        <f t="shared" si="60"/>
        <v>0</v>
      </c>
      <c r="Q700" t="str">
        <f t="shared" si="58"/>
        <v/>
      </c>
    </row>
    <row r="701" spans="3:17" x14ac:dyDescent="0.25">
      <c r="C701">
        <f>SUMIFS(Issuance!$H:$H,Issuance!$D:$D,Formulas!$B701,Issuance!$C:$C,Formulas!C$2)</f>
        <v>0</v>
      </c>
      <c r="D701">
        <f>SUMIFS(Issuance!$H:$H,Issuance!$D:$D,Formulas!$B701,Issuance!$C:$C,Formulas!D$2)</f>
        <v>0</v>
      </c>
      <c r="E701">
        <f t="shared" si="59"/>
        <v>0</v>
      </c>
      <c r="F701" s="41" t="str">
        <f t="shared" si="56"/>
        <v/>
      </c>
      <c r="I701">
        <f>SUMIFS(Buybacks!H:H,Buybacks!D:D,Formulas!H701)</f>
        <v>0</v>
      </c>
      <c r="J701" s="41" t="str">
        <f t="shared" si="57"/>
        <v/>
      </c>
      <c r="M701">
        <f>SUMIFS('Corporate activity'!$H:$H,'Corporate activity'!$D:$D,Formulas!$L701,'Corporate activity'!$C:$C,Formulas!M$2)</f>
        <v>0</v>
      </c>
      <c r="N701">
        <f>SUMIFS('Corporate activity'!$H:$H,'Corporate activity'!$D:$D,Formulas!$L701,'Corporate activity'!$C:$C,Formulas!N$2)</f>
        <v>0</v>
      </c>
      <c r="O701">
        <f>SUMIFS('Corporate activity'!$H:$H,'Corporate activity'!$D:$D,Formulas!$L701,'Corporate activity'!$C:$C,Formulas!O$2)</f>
        <v>0</v>
      </c>
      <c r="P701">
        <f t="shared" si="60"/>
        <v>0</v>
      </c>
      <c r="Q701" t="str">
        <f t="shared" si="58"/>
        <v/>
      </c>
    </row>
    <row r="702" spans="3:17" x14ac:dyDescent="0.25">
      <c r="C702">
        <f>SUMIFS(Issuance!$H:$H,Issuance!$D:$D,Formulas!$B702,Issuance!$C:$C,Formulas!C$2)</f>
        <v>0</v>
      </c>
      <c r="D702">
        <f>SUMIFS(Issuance!$H:$H,Issuance!$D:$D,Formulas!$B702,Issuance!$C:$C,Formulas!D$2)</f>
        <v>0</v>
      </c>
      <c r="E702">
        <f t="shared" si="59"/>
        <v>0</v>
      </c>
      <c r="F702" s="41" t="str">
        <f t="shared" si="56"/>
        <v/>
      </c>
      <c r="I702">
        <f>SUMIFS(Buybacks!H:H,Buybacks!D:D,Formulas!H702)</f>
        <v>0</v>
      </c>
      <c r="J702" s="41" t="str">
        <f t="shared" si="57"/>
        <v/>
      </c>
      <c r="M702">
        <f>SUMIFS('Corporate activity'!$H:$H,'Corporate activity'!$D:$D,Formulas!$L702,'Corporate activity'!$C:$C,Formulas!M$2)</f>
        <v>0</v>
      </c>
      <c r="N702">
        <f>SUMIFS('Corporate activity'!$H:$H,'Corporate activity'!$D:$D,Formulas!$L702,'Corporate activity'!$C:$C,Formulas!N$2)</f>
        <v>0</v>
      </c>
      <c r="O702">
        <f>SUMIFS('Corporate activity'!$H:$H,'Corporate activity'!$D:$D,Formulas!$L702,'Corporate activity'!$C:$C,Formulas!O$2)</f>
        <v>0</v>
      </c>
      <c r="P702">
        <f t="shared" si="60"/>
        <v>0</v>
      </c>
      <c r="Q702" t="str">
        <f t="shared" si="58"/>
        <v/>
      </c>
    </row>
    <row r="703" spans="3:17" x14ac:dyDescent="0.25">
      <c r="C703">
        <f>SUMIFS(Issuance!$H:$H,Issuance!$D:$D,Formulas!$B703,Issuance!$C:$C,Formulas!C$2)</f>
        <v>0</v>
      </c>
      <c r="D703">
        <f>SUMIFS(Issuance!$H:$H,Issuance!$D:$D,Formulas!$B703,Issuance!$C:$C,Formulas!D$2)</f>
        <v>0</v>
      </c>
      <c r="E703">
        <f t="shared" si="59"/>
        <v>0</v>
      </c>
      <c r="F703" s="41" t="str">
        <f t="shared" si="56"/>
        <v/>
      </c>
      <c r="I703">
        <f>SUMIFS(Buybacks!H:H,Buybacks!D:D,Formulas!H703)</f>
        <v>0</v>
      </c>
      <c r="J703" s="41" t="str">
        <f t="shared" si="57"/>
        <v/>
      </c>
      <c r="M703">
        <f>SUMIFS('Corporate activity'!$H:$H,'Corporate activity'!$D:$D,Formulas!$L703,'Corporate activity'!$C:$C,Formulas!M$2)</f>
        <v>0</v>
      </c>
      <c r="N703">
        <f>SUMIFS('Corporate activity'!$H:$H,'Corporate activity'!$D:$D,Formulas!$L703,'Corporate activity'!$C:$C,Formulas!N$2)</f>
        <v>0</v>
      </c>
      <c r="O703">
        <f>SUMIFS('Corporate activity'!$H:$H,'Corporate activity'!$D:$D,Formulas!$L703,'Corporate activity'!$C:$C,Formulas!O$2)</f>
        <v>0</v>
      </c>
      <c r="P703">
        <f t="shared" si="60"/>
        <v>0</v>
      </c>
      <c r="Q703" t="str">
        <f t="shared" si="58"/>
        <v/>
      </c>
    </row>
    <row r="704" spans="3:17" x14ac:dyDescent="0.25">
      <c r="C704">
        <f>SUMIFS(Issuance!$H:$H,Issuance!$D:$D,Formulas!$B704,Issuance!$C:$C,Formulas!C$2)</f>
        <v>0</v>
      </c>
      <c r="D704">
        <f>SUMIFS(Issuance!$H:$H,Issuance!$D:$D,Formulas!$B704,Issuance!$C:$C,Formulas!D$2)</f>
        <v>0</v>
      </c>
      <c r="E704">
        <f t="shared" si="59"/>
        <v>0</v>
      </c>
      <c r="F704" s="41" t="str">
        <f t="shared" si="56"/>
        <v/>
      </c>
      <c r="I704">
        <f>SUMIFS(Buybacks!H:H,Buybacks!D:D,Formulas!H704)</f>
        <v>0</v>
      </c>
      <c r="J704" s="41" t="str">
        <f t="shared" si="57"/>
        <v/>
      </c>
      <c r="M704">
        <f>SUMIFS('Corporate activity'!$H:$H,'Corporate activity'!$D:$D,Formulas!$L704,'Corporate activity'!$C:$C,Formulas!M$2)</f>
        <v>0</v>
      </c>
      <c r="N704">
        <f>SUMIFS('Corporate activity'!$H:$H,'Corporate activity'!$D:$D,Formulas!$L704,'Corporate activity'!$C:$C,Formulas!N$2)</f>
        <v>0</v>
      </c>
      <c r="O704">
        <f>SUMIFS('Corporate activity'!$H:$H,'Corporate activity'!$D:$D,Formulas!$L704,'Corporate activity'!$C:$C,Formulas!O$2)</f>
        <v>0</v>
      </c>
      <c r="P704">
        <f t="shared" si="60"/>
        <v>0</v>
      </c>
      <c r="Q704" t="str">
        <f t="shared" si="58"/>
        <v/>
      </c>
    </row>
    <row r="705" spans="3:17" x14ac:dyDescent="0.25">
      <c r="C705">
        <f>SUMIFS(Issuance!$H:$H,Issuance!$D:$D,Formulas!$B705,Issuance!$C:$C,Formulas!C$2)</f>
        <v>0</v>
      </c>
      <c r="D705">
        <f>SUMIFS(Issuance!$H:$H,Issuance!$D:$D,Formulas!$B705,Issuance!$C:$C,Formulas!D$2)</f>
        <v>0</v>
      </c>
      <c r="E705">
        <f t="shared" si="59"/>
        <v>0</v>
      </c>
      <c r="F705" s="41" t="str">
        <f t="shared" si="56"/>
        <v/>
      </c>
      <c r="I705">
        <f>SUMIFS(Buybacks!H:H,Buybacks!D:D,Formulas!H705)</f>
        <v>0</v>
      </c>
      <c r="J705" s="41" t="str">
        <f t="shared" si="57"/>
        <v/>
      </c>
      <c r="M705">
        <f>SUMIFS('Corporate activity'!$H:$H,'Corporate activity'!$D:$D,Formulas!$L705,'Corporate activity'!$C:$C,Formulas!M$2)</f>
        <v>0</v>
      </c>
      <c r="N705">
        <f>SUMIFS('Corporate activity'!$H:$H,'Corporate activity'!$D:$D,Formulas!$L705,'Corporate activity'!$C:$C,Formulas!N$2)</f>
        <v>0</v>
      </c>
      <c r="O705">
        <f>SUMIFS('Corporate activity'!$H:$H,'Corporate activity'!$D:$D,Formulas!$L705,'Corporate activity'!$C:$C,Formulas!O$2)</f>
        <v>0</v>
      </c>
      <c r="P705">
        <f t="shared" si="60"/>
        <v>0</v>
      </c>
      <c r="Q705" t="str">
        <f t="shared" si="58"/>
        <v/>
      </c>
    </row>
    <row r="706" spans="3:17" x14ac:dyDescent="0.25">
      <c r="C706">
        <f>SUMIFS(Issuance!$H:$H,Issuance!$D:$D,Formulas!$B706,Issuance!$C:$C,Formulas!C$2)</f>
        <v>0</v>
      </c>
      <c r="D706">
        <f>SUMIFS(Issuance!$H:$H,Issuance!$D:$D,Formulas!$B706,Issuance!$C:$C,Formulas!D$2)</f>
        <v>0</v>
      </c>
      <c r="E706">
        <f t="shared" si="59"/>
        <v>0</v>
      </c>
      <c r="F706" s="41" t="str">
        <f t="shared" si="56"/>
        <v/>
      </c>
      <c r="I706">
        <f>SUMIFS(Buybacks!H:H,Buybacks!D:D,Formulas!H706)</f>
        <v>0</v>
      </c>
      <c r="J706" s="41" t="str">
        <f t="shared" si="57"/>
        <v/>
      </c>
      <c r="M706">
        <f>SUMIFS('Corporate activity'!$H:$H,'Corporate activity'!$D:$D,Formulas!$L706,'Corporate activity'!$C:$C,Formulas!M$2)</f>
        <v>0</v>
      </c>
      <c r="N706">
        <f>SUMIFS('Corporate activity'!$H:$H,'Corporate activity'!$D:$D,Formulas!$L706,'Corporate activity'!$C:$C,Formulas!N$2)</f>
        <v>0</v>
      </c>
      <c r="O706">
        <f>SUMIFS('Corporate activity'!$H:$H,'Corporate activity'!$D:$D,Formulas!$L706,'Corporate activity'!$C:$C,Formulas!O$2)</f>
        <v>0</v>
      </c>
      <c r="P706">
        <f t="shared" si="60"/>
        <v>0</v>
      </c>
      <c r="Q706" t="str">
        <f t="shared" si="58"/>
        <v/>
      </c>
    </row>
    <row r="707" spans="3:17" x14ac:dyDescent="0.25">
      <c r="C707">
        <f>SUMIFS(Issuance!$H:$H,Issuance!$D:$D,Formulas!$B707,Issuance!$C:$C,Formulas!C$2)</f>
        <v>0</v>
      </c>
      <c r="D707">
        <f>SUMIFS(Issuance!$H:$H,Issuance!$D:$D,Formulas!$B707,Issuance!$C:$C,Formulas!D$2)</f>
        <v>0</v>
      </c>
      <c r="E707">
        <f t="shared" si="59"/>
        <v>0</v>
      </c>
      <c r="F707" s="41" t="str">
        <f t="shared" si="56"/>
        <v/>
      </c>
      <c r="I707">
        <f>SUMIFS(Buybacks!H:H,Buybacks!D:D,Formulas!H707)</f>
        <v>0</v>
      </c>
      <c r="J707" s="41" t="str">
        <f t="shared" si="57"/>
        <v/>
      </c>
      <c r="M707">
        <f>SUMIFS('Corporate activity'!$H:$H,'Corporate activity'!$D:$D,Formulas!$L707,'Corporate activity'!$C:$C,Formulas!M$2)</f>
        <v>0</v>
      </c>
      <c r="N707">
        <f>SUMIFS('Corporate activity'!$H:$H,'Corporate activity'!$D:$D,Formulas!$L707,'Corporate activity'!$C:$C,Formulas!N$2)</f>
        <v>0</v>
      </c>
      <c r="O707">
        <f>SUMIFS('Corporate activity'!$H:$H,'Corporate activity'!$D:$D,Formulas!$L707,'Corporate activity'!$C:$C,Formulas!O$2)</f>
        <v>0</v>
      </c>
      <c r="P707">
        <f t="shared" si="60"/>
        <v>0</v>
      </c>
      <c r="Q707" t="str">
        <f t="shared" si="58"/>
        <v/>
      </c>
    </row>
    <row r="708" spans="3:17" x14ac:dyDescent="0.25">
      <c r="C708">
        <f>SUMIFS(Issuance!$H:$H,Issuance!$D:$D,Formulas!$B708,Issuance!$C:$C,Formulas!C$2)</f>
        <v>0</v>
      </c>
      <c r="D708">
        <f>SUMIFS(Issuance!$H:$H,Issuance!$D:$D,Formulas!$B708,Issuance!$C:$C,Formulas!D$2)</f>
        <v>0</v>
      </c>
      <c r="E708">
        <f t="shared" si="59"/>
        <v>0</v>
      </c>
      <c r="F708" s="41" t="str">
        <f t="shared" ref="F708:F771" si="61">IF(OR(B708="",B708=0,E708=0),"",IF(COUNTIFS($E$3:$E$500,"&gt;"&amp;E708,$E$3:$E$500,"&lt;&gt;0")+1&lt;=20,COUNTIFS($E$3:$E$500,"&gt;"&amp;E708,$E$3:$E$500,"&lt;&gt;0")+1,""))</f>
        <v/>
      </c>
      <c r="I708">
        <f>SUMIFS(Buybacks!H:H,Buybacks!D:D,Formulas!H708)</f>
        <v>0</v>
      </c>
      <c r="J708" s="41" t="str">
        <f t="shared" ref="J708:J771" si="62">IF(OR(H708="",H708=0,I708=0),"",IF(COUNTIFS($I$3:$I$500,"&lt;"&amp;I708,$I$3:$I$500,"&lt;&gt;0")+1&lt;=20,COUNTIFS($I$3:$I$500,"&lt;"&amp;I708,$I$3:$I$500,"&lt;&gt;0")+1,""))</f>
        <v/>
      </c>
      <c r="M708">
        <f>SUMIFS('Corporate activity'!$H:$H,'Corporate activity'!$D:$D,Formulas!$L708,'Corporate activity'!$C:$C,Formulas!M$2)</f>
        <v>0</v>
      </c>
      <c r="N708">
        <f>SUMIFS('Corporate activity'!$H:$H,'Corporate activity'!$D:$D,Formulas!$L708,'Corporate activity'!$C:$C,Formulas!N$2)</f>
        <v>0</v>
      </c>
      <c r="O708">
        <f>SUMIFS('Corporate activity'!$H:$H,'Corporate activity'!$D:$D,Formulas!$L708,'Corporate activity'!$C:$C,Formulas!O$2)</f>
        <v>0</v>
      </c>
      <c r="P708">
        <f t="shared" si="60"/>
        <v>0</v>
      </c>
      <c r="Q708" t="str">
        <f t="shared" si="58"/>
        <v/>
      </c>
    </row>
    <row r="709" spans="3:17" x14ac:dyDescent="0.25">
      <c r="C709">
        <f>SUMIFS(Issuance!$H:$H,Issuance!$D:$D,Formulas!$B709,Issuance!$C:$C,Formulas!C$2)</f>
        <v>0</v>
      </c>
      <c r="D709">
        <f>SUMIFS(Issuance!$H:$H,Issuance!$D:$D,Formulas!$B709,Issuance!$C:$C,Formulas!D$2)</f>
        <v>0</v>
      </c>
      <c r="E709">
        <f t="shared" si="59"/>
        <v>0</v>
      </c>
      <c r="F709" s="41" t="str">
        <f t="shared" si="61"/>
        <v/>
      </c>
      <c r="I709">
        <f>SUMIFS(Buybacks!H:H,Buybacks!D:D,Formulas!H709)</f>
        <v>0</v>
      </c>
      <c r="J709" s="41" t="str">
        <f t="shared" si="62"/>
        <v/>
      </c>
      <c r="M709">
        <f>SUMIFS('Corporate activity'!$H:$H,'Corporate activity'!$D:$D,Formulas!$L709,'Corporate activity'!$C:$C,Formulas!M$2)</f>
        <v>0</v>
      </c>
      <c r="N709">
        <f>SUMIFS('Corporate activity'!$H:$H,'Corporate activity'!$D:$D,Formulas!$L709,'Corporate activity'!$C:$C,Formulas!N$2)</f>
        <v>0</v>
      </c>
      <c r="O709">
        <f>SUMIFS('Corporate activity'!$H:$H,'Corporate activity'!$D:$D,Formulas!$L709,'Corporate activity'!$C:$C,Formulas!O$2)</f>
        <v>0</v>
      </c>
      <c r="P709">
        <f t="shared" si="60"/>
        <v>0</v>
      </c>
      <c r="Q709" t="str">
        <f t="shared" si="58"/>
        <v/>
      </c>
    </row>
    <row r="710" spans="3:17" x14ac:dyDescent="0.25">
      <c r="C710">
        <f>SUMIFS(Issuance!$H:$H,Issuance!$D:$D,Formulas!$B710,Issuance!$C:$C,Formulas!C$2)</f>
        <v>0</v>
      </c>
      <c r="D710">
        <f>SUMIFS(Issuance!$H:$H,Issuance!$D:$D,Formulas!$B710,Issuance!$C:$C,Formulas!D$2)</f>
        <v>0</v>
      </c>
      <c r="E710">
        <f t="shared" si="59"/>
        <v>0</v>
      </c>
      <c r="F710" s="41" t="str">
        <f t="shared" si="61"/>
        <v/>
      </c>
      <c r="I710">
        <f>SUMIFS(Buybacks!H:H,Buybacks!D:D,Formulas!H710)</f>
        <v>0</v>
      </c>
      <c r="J710" s="41" t="str">
        <f t="shared" si="62"/>
        <v/>
      </c>
      <c r="M710">
        <f>SUMIFS('Corporate activity'!$H:$H,'Corporate activity'!$D:$D,Formulas!$L710,'Corporate activity'!$C:$C,Formulas!M$2)</f>
        <v>0</v>
      </c>
      <c r="N710">
        <f>SUMIFS('Corporate activity'!$H:$H,'Corporate activity'!$D:$D,Formulas!$L710,'Corporate activity'!$C:$C,Formulas!N$2)</f>
        <v>0</v>
      </c>
      <c r="O710">
        <f>SUMIFS('Corporate activity'!$H:$H,'Corporate activity'!$D:$D,Formulas!$L710,'Corporate activity'!$C:$C,Formulas!O$2)</f>
        <v>0</v>
      </c>
      <c r="P710">
        <f t="shared" si="60"/>
        <v>0</v>
      </c>
      <c r="Q710" t="str">
        <f t="shared" si="58"/>
        <v/>
      </c>
    </row>
    <row r="711" spans="3:17" x14ac:dyDescent="0.25">
      <c r="C711">
        <f>SUMIFS(Issuance!$H:$H,Issuance!$D:$D,Formulas!$B711,Issuance!$C:$C,Formulas!C$2)</f>
        <v>0</v>
      </c>
      <c r="D711">
        <f>SUMIFS(Issuance!$H:$H,Issuance!$D:$D,Formulas!$B711,Issuance!$C:$C,Formulas!D$2)</f>
        <v>0</v>
      </c>
      <c r="E711">
        <f t="shared" si="59"/>
        <v>0</v>
      </c>
      <c r="F711" s="41" t="str">
        <f t="shared" si="61"/>
        <v/>
      </c>
      <c r="I711">
        <f>SUMIFS(Buybacks!H:H,Buybacks!D:D,Formulas!H711)</f>
        <v>0</v>
      </c>
      <c r="J711" s="41" t="str">
        <f t="shared" si="62"/>
        <v/>
      </c>
      <c r="M711">
        <f>SUMIFS('Corporate activity'!$H:$H,'Corporate activity'!$D:$D,Formulas!$L711,'Corporate activity'!$C:$C,Formulas!M$2)</f>
        <v>0</v>
      </c>
      <c r="N711">
        <f>SUMIFS('Corporate activity'!$H:$H,'Corporate activity'!$D:$D,Formulas!$L711,'Corporate activity'!$C:$C,Formulas!N$2)</f>
        <v>0</v>
      </c>
      <c r="O711">
        <f>SUMIFS('Corporate activity'!$H:$H,'Corporate activity'!$D:$D,Formulas!$L711,'Corporate activity'!$C:$C,Formulas!O$2)</f>
        <v>0</v>
      </c>
      <c r="P711">
        <f t="shared" si="60"/>
        <v>0</v>
      </c>
      <c r="Q711" t="str">
        <f t="shared" si="58"/>
        <v/>
      </c>
    </row>
    <row r="712" spans="3:17" x14ac:dyDescent="0.25">
      <c r="C712">
        <f>SUMIFS(Issuance!$H:$H,Issuance!$D:$D,Formulas!$B712,Issuance!$C:$C,Formulas!C$2)</f>
        <v>0</v>
      </c>
      <c r="D712">
        <f>SUMIFS(Issuance!$H:$H,Issuance!$D:$D,Formulas!$B712,Issuance!$C:$C,Formulas!D$2)</f>
        <v>0</v>
      </c>
      <c r="E712">
        <f t="shared" si="59"/>
        <v>0</v>
      </c>
      <c r="F712" s="41" t="str">
        <f t="shared" si="61"/>
        <v/>
      </c>
      <c r="I712">
        <f>SUMIFS(Buybacks!H:H,Buybacks!D:D,Formulas!H712)</f>
        <v>0</v>
      </c>
      <c r="J712" s="41" t="str">
        <f t="shared" si="62"/>
        <v/>
      </c>
      <c r="M712">
        <f>SUMIFS('Corporate activity'!$H:$H,'Corporate activity'!$D:$D,Formulas!$L712,'Corporate activity'!$C:$C,Formulas!M$2)</f>
        <v>0</v>
      </c>
      <c r="N712">
        <f>SUMIFS('Corporate activity'!$H:$H,'Corporate activity'!$D:$D,Formulas!$L712,'Corporate activity'!$C:$C,Formulas!N$2)</f>
        <v>0</v>
      </c>
      <c r="O712">
        <f>SUMIFS('Corporate activity'!$H:$H,'Corporate activity'!$D:$D,Formulas!$L712,'Corporate activity'!$C:$C,Formulas!O$2)</f>
        <v>0</v>
      </c>
      <c r="P712">
        <f t="shared" si="60"/>
        <v>0</v>
      </c>
      <c r="Q712" t="str">
        <f t="shared" si="58"/>
        <v/>
      </c>
    </row>
    <row r="713" spans="3:17" x14ac:dyDescent="0.25">
      <c r="C713">
        <f>SUMIFS(Issuance!$H:$H,Issuance!$D:$D,Formulas!$B713,Issuance!$C:$C,Formulas!C$2)</f>
        <v>0</v>
      </c>
      <c r="D713">
        <f>SUMIFS(Issuance!$H:$H,Issuance!$D:$D,Formulas!$B713,Issuance!$C:$C,Formulas!D$2)</f>
        <v>0</v>
      </c>
      <c r="E713">
        <f t="shared" si="59"/>
        <v>0</v>
      </c>
      <c r="F713" s="41" t="str">
        <f t="shared" si="61"/>
        <v/>
      </c>
      <c r="I713">
        <f>SUMIFS(Buybacks!H:H,Buybacks!D:D,Formulas!H713)</f>
        <v>0</v>
      </c>
      <c r="J713" s="41" t="str">
        <f t="shared" si="62"/>
        <v/>
      </c>
      <c r="M713">
        <f>SUMIFS('Corporate activity'!$H:$H,'Corporate activity'!$D:$D,Formulas!$L713,'Corporate activity'!$C:$C,Formulas!M$2)</f>
        <v>0</v>
      </c>
      <c r="N713">
        <f>SUMIFS('Corporate activity'!$H:$H,'Corporate activity'!$D:$D,Formulas!$L713,'Corporate activity'!$C:$C,Formulas!N$2)</f>
        <v>0</v>
      </c>
      <c r="O713">
        <f>SUMIFS('Corporate activity'!$H:$H,'Corporate activity'!$D:$D,Formulas!$L713,'Corporate activity'!$C:$C,Formulas!O$2)</f>
        <v>0</v>
      </c>
      <c r="P713">
        <f t="shared" si="60"/>
        <v>0</v>
      </c>
      <c r="Q713" t="str">
        <f t="shared" si="58"/>
        <v/>
      </c>
    </row>
    <row r="714" spans="3:17" x14ac:dyDescent="0.25">
      <c r="C714">
        <f>SUMIFS(Issuance!$H:$H,Issuance!$D:$D,Formulas!$B714,Issuance!$C:$C,Formulas!C$2)</f>
        <v>0</v>
      </c>
      <c r="D714">
        <f>SUMIFS(Issuance!$H:$H,Issuance!$D:$D,Formulas!$B714,Issuance!$C:$C,Formulas!D$2)</f>
        <v>0</v>
      </c>
      <c r="E714">
        <f t="shared" si="59"/>
        <v>0</v>
      </c>
      <c r="F714" s="41" t="str">
        <f t="shared" si="61"/>
        <v/>
      </c>
      <c r="I714">
        <f>SUMIFS(Buybacks!H:H,Buybacks!D:D,Formulas!H714)</f>
        <v>0</v>
      </c>
      <c r="J714" s="41" t="str">
        <f t="shared" si="62"/>
        <v/>
      </c>
      <c r="M714">
        <f>SUMIFS('Corporate activity'!$H:$H,'Corporate activity'!$D:$D,Formulas!$L714,'Corporate activity'!$C:$C,Formulas!M$2)</f>
        <v>0</v>
      </c>
      <c r="N714">
        <f>SUMIFS('Corporate activity'!$H:$H,'Corporate activity'!$D:$D,Formulas!$L714,'Corporate activity'!$C:$C,Formulas!N$2)</f>
        <v>0</v>
      </c>
      <c r="O714">
        <f>SUMIFS('Corporate activity'!$H:$H,'Corporate activity'!$D:$D,Formulas!$L714,'Corporate activity'!$C:$C,Formulas!O$2)</f>
        <v>0</v>
      </c>
      <c r="P714">
        <f t="shared" si="60"/>
        <v>0</v>
      </c>
      <c r="Q714" t="str">
        <f t="shared" si="58"/>
        <v/>
      </c>
    </row>
    <row r="715" spans="3:17" x14ac:dyDescent="0.25">
      <c r="C715">
        <f>SUMIFS(Issuance!$H:$H,Issuance!$D:$D,Formulas!$B715,Issuance!$C:$C,Formulas!C$2)</f>
        <v>0</v>
      </c>
      <c r="D715">
        <f>SUMIFS(Issuance!$H:$H,Issuance!$D:$D,Formulas!$B715,Issuance!$C:$C,Formulas!D$2)</f>
        <v>0</v>
      </c>
      <c r="E715">
        <f t="shared" si="59"/>
        <v>0</v>
      </c>
      <c r="F715" s="41" t="str">
        <f t="shared" si="61"/>
        <v/>
      </c>
      <c r="I715">
        <f>SUMIFS(Buybacks!H:H,Buybacks!D:D,Formulas!H715)</f>
        <v>0</v>
      </c>
      <c r="J715" s="41" t="str">
        <f t="shared" si="62"/>
        <v/>
      </c>
      <c r="M715">
        <f>SUMIFS('Corporate activity'!$H:$H,'Corporate activity'!$D:$D,Formulas!$L715,'Corporate activity'!$C:$C,Formulas!M$2)</f>
        <v>0</v>
      </c>
      <c r="N715">
        <f>SUMIFS('Corporate activity'!$H:$H,'Corporate activity'!$D:$D,Formulas!$L715,'Corporate activity'!$C:$C,Formulas!N$2)</f>
        <v>0</v>
      </c>
      <c r="O715">
        <f>SUMIFS('Corporate activity'!$H:$H,'Corporate activity'!$D:$D,Formulas!$L715,'Corporate activity'!$C:$C,Formulas!O$2)</f>
        <v>0</v>
      </c>
      <c r="P715">
        <f t="shared" si="60"/>
        <v>0</v>
      </c>
      <c r="Q715" t="str">
        <f t="shared" si="58"/>
        <v/>
      </c>
    </row>
    <row r="716" spans="3:17" x14ac:dyDescent="0.25">
      <c r="C716">
        <f>SUMIFS(Issuance!$H:$H,Issuance!$D:$D,Formulas!$B716,Issuance!$C:$C,Formulas!C$2)</f>
        <v>0</v>
      </c>
      <c r="D716">
        <f>SUMIFS(Issuance!$H:$H,Issuance!$D:$D,Formulas!$B716,Issuance!$C:$C,Formulas!D$2)</f>
        <v>0</v>
      </c>
      <c r="E716">
        <f t="shared" si="59"/>
        <v>0</v>
      </c>
      <c r="F716" s="41" t="str">
        <f t="shared" si="61"/>
        <v/>
      </c>
      <c r="I716">
        <f>SUMIFS(Buybacks!H:H,Buybacks!D:D,Formulas!H716)</f>
        <v>0</v>
      </c>
      <c r="J716" s="41" t="str">
        <f t="shared" si="62"/>
        <v/>
      </c>
      <c r="M716">
        <f>SUMIFS('Corporate activity'!$H:$H,'Corporate activity'!$D:$D,Formulas!$L716,'Corporate activity'!$C:$C,Formulas!M$2)</f>
        <v>0</v>
      </c>
      <c r="N716">
        <f>SUMIFS('Corporate activity'!$H:$H,'Corporate activity'!$D:$D,Formulas!$L716,'Corporate activity'!$C:$C,Formulas!N$2)</f>
        <v>0</v>
      </c>
      <c r="O716">
        <f>SUMIFS('Corporate activity'!$H:$H,'Corporate activity'!$D:$D,Formulas!$L716,'Corporate activity'!$C:$C,Formulas!O$2)</f>
        <v>0</v>
      </c>
      <c r="P716">
        <f t="shared" si="60"/>
        <v>0</v>
      </c>
      <c r="Q716" t="str">
        <f t="shared" si="58"/>
        <v/>
      </c>
    </row>
    <row r="717" spans="3:17" x14ac:dyDescent="0.25">
      <c r="C717">
        <f>SUMIFS(Issuance!$H:$H,Issuance!$D:$D,Formulas!$B717,Issuance!$C:$C,Formulas!C$2)</f>
        <v>0</v>
      </c>
      <c r="D717">
        <f>SUMIFS(Issuance!$H:$H,Issuance!$D:$D,Formulas!$B717,Issuance!$C:$C,Formulas!D$2)</f>
        <v>0</v>
      </c>
      <c r="E717">
        <f t="shared" si="59"/>
        <v>0</v>
      </c>
      <c r="F717" s="41" t="str">
        <f t="shared" si="61"/>
        <v/>
      </c>
      <c r="I717">
        <f>SUMIFS(Buybacks!H:H,Buybacks!D:D,Formulas!H717)</f>
        <v>0</v>
      </c>
      <c r="J717" s="41" t="str">
        <f t="shared" si="62"/>
        <v/>
      </c>
      <c r="M717">
        <f>SUMIFS('Corporate activity'!$H:$H,'Corporate activity'!$D:$D,Formulas!$L717,'Corporate activity'!$C:$C,Formulas!M$2)</f>
        <v>0</v>
      </c>
      <c r="N717">
        <f>SUMIFS('Corporate activity'!$H:$H,'Corporate activity'!$D:$D,Formulas!$L717,'Corporate activity'!$C:$C,Formulas!N$2)</f>
        <v>0</v>
      </c>
      <c r="O717">
        <f>SUMIFS('Corporate activity'!$H:$H,'Corporate activity'!$D:$D,Formulas!$L717,'Corporate activity'!$C:$C,Formulas!O$2)</f>
        <v>0</v>
      </c>
      <c r="P717">
        <f t="shared" si="60"/>
        <v>0</v>
      </c>
      <c r="Q717" t="str">
        <f t="shared" si="58"/>
        <v/>
      </c>
    </row>
    <row r="718" spans="3:17" x14ac:dyDescent="0.25">
      <c r="C718">
        <f>SUMIFS(Issuance!$H:$H,Issuance!$D:$D,Formulas!$B718,Issuance!$C:$C,Formulas!C$2)</f>
        <v>0</v>
      </c>
      <c r="D718">
        <f>SUMIFS(Issuance!$H:$H,Issuance!$D:$D,Formulas!$B718,Issuance!$C:$C,Formulas!D$2)</f>
        <v>0</v>
      </c>
      <c r="E718">
        <f t="shared" si="59"/>
        <v>0</v>
      </c>
      <c r="F718" s="41" t="str">
        <f t="shared" si="61"/>
        <v/>
      </c>
      <c r="I718">
        <f>SUMIFS(Buybacks!H:H,Buybacks!D:D,Formulas!H718)</f>
        <v>0</v>
      </c>
      <c r="J718" s="41" t="str">
        <f t="shared" si="62"/>
        <v/>
      </c>
      <c r="M718">
        <f>SUMIFS('Corporate activity'!$H:$H,'Corporate activity'!$D:$D,Formulas!$L718,'Corporate activity'!$C:$C,Formulas!M$2)</f>
        <v>0</v>
      </c>
      <c r="N718">
        <f>SUMIFS('Corporate activity'!$H:$H,'Corporate activity'!$D:$D,Formulas!$L718,'Corporate activity'!$C:$C,Formulas!N$2)</f>
        <v>0</v>
      </c>
      <c r="O718">
        <f>SUMIFS('Corporate activity'!$H:$H,'Corporate activity'!$D:$D,Formulas!$L718,'Corporate activity'!$C:$C,Formulas!O$2)</f>
        <v>0</v>
      </c>
      <c r="P718">
        <f t="shared" si="60"/>
        <v>0</v>
      </c>
      <c r="Q718" t="str">
        <f t="shared" si="58"/>
        <v/>
      </c>
    </row>
    <row r="719" spans="3:17" x14ac:dyDescent="0.25">
      <c r="C719">
        <f>SUMIFS(Issuance!$H:$H,Issuance!$D:$D,Formulas!$B719,Issuance!$C:$C,Formulas!C$2)</f>
        <v>0</v>
      </c>
      <c r="D719">
        <f>SUMIFS(Issuance!$H:$H,Issuance!$D:$D,Formulas!$B719,Issuance!$C:$C,Formulas!D$2)</f>
        <v>0</v>
      </c>
      <c r="E719">
        <f t="shared" si="59"/>
        <v>0</v>
      </c>
      <c r="F719" s="41" t="str">
        <f t="shared" si="61"/>
        <v/>
      </c>
      <c r="I719">
        <f>SUMIFS(Buybacks!H:H,Buybacks!D:D,Formulas!H719)</f>
        <v>0</v>
      </c>
      <c r="J719" s="41" t="str">
        <f t="shared" si="62"/>
        <v/>
      </c>
      <c r="M719">
        <f>SUMIFS('Corporate activity'!$H:$H,'Corporate activity'!$D:$D,Formulas!$L719,'Corporate activity'!$C:$C,Formulas!M$2)</f>
        <v>0</v>
      </c>
      <c r="N719">
        <f>SUMIFS('Corporate activity'!$H:$H,'Corporate activity'!$D:$D,Formulas!$L719,'Corporate activity'!$C:$C,Formulas!N$2)</f>
        <v>0</v>
      </c>
      <c r="O719">
        <f>SUMIFS('Corporate activity'!$H:$H,'Corporate activity'!$D:$D,Formulas!$L719,'Corporate activity'!$C:$C,Formulas!O$2)</f>
        <v>0</v>
      </c>
      <c r="P719">
        <f t="shared" si="60"/>
        <v>0</v>
      </c>
      <c r="Q719" t="str">
        <f t="shared" si="58"/>
        <v/>
      </c>
    </row>
    <row r="720" spans="3:17" x14ac:dyDescent="0.25">
      <c r="C720">
        <f>SUMIFS(Issuance!$H:$H,Issuance!$D:$D,Formulas!$B720,Issuance!$C:$C,Formulas!C$2)</f>
        <v>0</v>
      </c>
      <c r="D720">
        <f>SUMIFS(Issuance!$H:$H,Issuance!$D:$D,Formulas!$B720,Issuance!$C:$C,Formulas!D$2)</f>
        <v>0</v>
      </c>
      <c r="E720">
        <f t="shared" si="59"/>
        <v>0</v>
      </c>
      <c r="F720" s="41" t="str">
        <f t="shared" si="61"/>
        <v/>
      </c>
      <c r="I720">
        <f>SUMIFS(Buybacks!H:H,Buybacks!D:D,Formulas!H720)</f>
        <v>0</v>
      </c>
      <c r="J720" s="41" t="str">
        <f t="shared" si="62"/>
        <v/>
      </c>
      <c r="M720">
        <f>SUMIFS('Corporate activity'!$H:$H,'Corporate activity'!$D:$D,Formulas!$L720,'Corporate activity'!$C:$C,Formulas!M$2)</f>
        <v>0</v>
      </c>
      <c r="N720">
        <f>SUMIFS('Corporate activity'!$H:$H,'Corporate activity'!$D:$D,Formulas!$L720,'Corporate activity'!$C:$C,Formulas!N$2)</f>
        <v>0</v>
      </c>
      <c r="O720">
        <f>SUMIFS('Corporate activity'!$H:$H,'Corporate activity'!$D:$D,Formulas!$L720,'Corporate activity'!$C:$C,Formulas!O$2)</f>
        <v>0</v>
      </c>
      <c r="P720">
        <f t="shared" si="60"/>
        <v>0</v>
      </c>
      <c r="Q720" t="str">
        <f t="shared" si="58"/>
        <v/>
      </c>
    </row>
    <row r="721" spans="3:17" x14ac:dyDescent="0.25">
      <c r="C721">
        <f>SUMIFS(Issuance!$H:$H,Issuance!$D:$D,Formulas!$B721,Issuance!$C:$C,Formulas!C$2)</f>
        <v>0</v>
      </c>
      <c r="D721">
        <f>SUMIFS(Issuance!$H:$H,Issuance!$D:$D,Formulas!$B721,Issuance!$C:$C,Formulas!D$2)</f>
        <v>0</v>
      </c>
      <c r="E721">
        <f t="shared" si="59"/>
        <v>0</v>
      </c>
      <c r="F721" s="41" t="str">
        <f t="shared" si="61"/>
        <v/>
      </c>
      <c r="I721">
        <f>SUMIFS(Buybacks!H:H,Buybacks!D:D,Formulas!H721)</f>
        <v>0</v>
      </c>
      <c r="J721" s="41" t="str">
        <f t="shared" si="62"/>
        <v/>
      </c>
      <c r="M721">
        <f>SUMIFS('Corporate activity'!$H:$H,'Corporate activity'!$D:$D,Formulas!$L721,'Corporate activity'!$C:$C,Formulas!M$2)</f>
        <v>0</v>
      </c>
      <c r="N721">
        <f>SUMIFS('Corporate activity'!$H:$H,'Corporate activity'!$D:$D,Formulas!$L721,'Corporate activity'!$C:$C,Formulas!N$2)</f>
        <v>0</v>
      </c>
      <c r="O721">
        <f>SUMIFS('Corporate activity'!$H:$H,'Corporate activity'!$D:$D,Formulas!$L721,'Corporate activity'!$C:$C,Formulas!O$2)</f>
        <v>0</v>
      </c>
      <c r="P721">
        <f t="shared" si="60"/>
        <v>0</v>
      </c>
      <c r="Q721" t="str">
        <f t="shared" si="58"/>
        <v/>
      </c>
    </row>
    <row r="722" spans="3:17" x14ac:dyDescent="0.25">
      <c r="C722">
        <f>SUMIFS(Issuance!$H:$H,Issuance!$D:$D,Formulas!$B722,Issuance!$C:$C,Formulas!C$2)</f>
        <v>0</v>
      </c>
      <c r="D722">
        <f>SUMIFS(Issuance!$H:$H,Issuance!$D:$D,Formulas!$B722,Issuance!$C:$C,Formulas!D$2)</f>
        <v>0</v>
      </c>
      <c r="E722">
        <f t="shared" si="59"/>
        <v>0</v>
      </c>
      <c r="F722" s="41" t="str">
        <f t="shared" si="61"/>
        <v/>
      </c>
      <c r="I722">
        <f>SUMIFS(Buybacks!H:H,Buybacks!D:D,Formulas!H722)</f>
        <v>0</v>
      </c>
      <c r="J722" s="41" t="str">
        <f t="shared" si="62"/>
        <v/>
      </c>
      <c r="M722">
        <f>SUMIFS('Corporate activity'!$H:$H,'Corporate activity'!$D:$D,Formulas!$L722,'Corporate activity'!$C:$C,Formulas!M$2)</f>
        <v>0</v>
      </c>
      <c r="N722">
        <f>SUMIFS('Corporate activity'!$H:$H,'Corporate activity'!$D:$D,Formulas!$L722,'Corporate activity'!$C:$C,Formulas!N$2)</f>
        <v>0</v>
      </c>
      <c r="O722">
        <f>SUMIFS('Corporate activity'!$H:$H,'Corporate activity'!$D:$D,Formulas!$L722,'Corporate activity'!$C:$C,Formulas!O$2)</f>
        <v>0</v>
      </c>
      <c r="P722">
        <f t="shared" si="60"/>
        <v>0</v>
      </c>
      <c r="Q722" t="str">
        <f t="shared" si="58"/>
        <v/>
      </c>
    </row>
    <row r="723" spans="3:17" x14ac:dyDescent="0.25">
      <c r="C723">
        <f>SUMIFS(Issuance!$H:$H,Issuance!$D:$D,Formulas!$B723,Issuance!$C:$C,Formulas!C$2)</f>
        <v>0</v>
      </c>
      <c r="D723">
        <f>SUMIFS(Issuance!$H:$H,Issuance!$D:$D,Formulas!$B723,Issuance!$C:$C,Formulas!D$2)</f>
        <v>0</v>
      </c>
      <c r="E723">
        <f t="shared" si="59"/>
        <v>0</v>
      </c>
      <c r="F723" s="41" t="str">
        <f t="shared" si="61"/>
        <v/>
      </c>
      <c r="I723">
        <f>SUMIFS(Buybacks!H:H,Buybacks!D:D,Formulas!H723)</f>
        <v>0</v>
      </c>
      <c r="J723" s="41" t="str">
        <f t="shared" si="62"/>
        <v/>
      </c>
      <c r="M723">
        <f>SUMIFS('Corporate activity'!$H:$H,'Corporate activity'!$D:$D,Formulas!$L723,'Corporate activity'!$C:$C,Formulas!M$2)</f>
        <v>0</v>
      </c>
      <c r="N723">
        <f>SUMIFS('Corporate activity'!$H:$H,'Corporate activity'!$D:$D,Formulas!$L723,'Corporate activity'!$C:$C,Formulas!N$2)</f>
        <v>0</v>
      </c>
      <c r="O723">
        <f>SUMIFS('Corporate activity'!$H:$H,'Corporate activity'!$D:$D,Formulas!$L723,'Corporate activity'!$C:$C,Formulas!O$2)</f>
        <v>0</v>
      </c>
      <c r="P723">
        <f t="shared" si="60"/>
        <v>0</v>
      </c>
      <c r="Q723" t="str">
        <f t="shared" si="58"/>
        <v/>
      </c>
    </row>
    <row r="724" spans="3:17" x14ac:dyDescent="0.25">
      <c r="C724">
        <f>SUMIFS(Issuance!$H:$H,Issuance!$D:$D,Formulas!$B724,Issuance!$C:$C,Formulas!C$2)</f>
        <v>0</v>
      </c>
      <c r="D724">
        <f>SUMIFS(Issuance!$H:$H,Issuance!$D:$D,Formulas!$B724,Issuance!$C:$C,Formulas!D$2)</f>
        <v>0</v>
      </c>
      <c r="E724">
        <f t="shared" si="59"/>
        <v>0</v>
      </c>
      <c r="F724" s="41" t="str">
        <f t="shared" si="61"/>
        <v/>
      </c>
      <c r="I724">
        <f>SUMIFS(Buybacks!H:H,Buybacks!D:D,Formulas!H724)</f>
        <v>0</v>
      </c>
      <c r="J724" s="41" t="str">
        <f t="shared" si="62"/>
        <v/>
      </c>
      <c r="M724">
        <f>SUMIFS('Corporate activity'!$H:$H,'Corporate activity'!$D:$D,Formulas!$L724,'Corporate activity'!$C:$C,Formulas!M$2)</f>
        <v>0</v>
      </c>
      <c r="N724">
        <f>SUMIFS('Corporate activity'!$H:$H,'Corporate activity'!$D:$D,Formulas!$L724,'Corporate activity'!$C:$C,Formulas!N$2)</f>
        <v>0</v>
      </c>
      <c r="O724">
        <f>SUMIFS('Corporate activity'!$H:$H,'Corporate activity'!$D:$D,Formulas!$L724,'Corporate activity'!$C:$C,Formulas!O$2)</f>
        <v>0</v>
      </c>
      <c r="P724">
        <f t="shared" si="60"/>
        <v>0</v>
      </c>
      <c r="Q724" t="str">
        <f t="shared" si="58"/>
        <v/>
      </c>
    </row>
    <row r="725" spans="3:17" x14ac:dyDescent="0.25">
      <c r="C725">
        <f>SUMIFS(Issuance!$H:$H,Issuance!$D:$D,Formulas!$B725,Issuance!$C:$C,Formulas!C$2)</f>
        <v>0</v>
      </c>
      <c r="D725">
        <f>SUMIFS(Issuance!$H:$H,Issuance!$D:$D,Formulas!$B725,Issuance!$C:$C,Formulas!D$2)</f>
        <v>0</v>
      </c>
      <c r="E725">
        <f t="shared" si="59"/>
        <v>0</v>
      </c>
      <c r="F725" s="41" t="str">
        <f t="shared" si="61"/>
        <v/>
      </c>
      <c r="I725">
        <f>SUMIFS(Buybacks!H:H,Buybacks!D:D,Formulas!H725)</f>
        <v>0</v>
      </c>
      <c r="J725" s="41" t="str">
        <f t="shared" si="62"/>
        <v/>
      </c>
      <c r="M725">
        <f>SUMIFS('Corporate activity'!$H:$H,'Corporate activity'!$D:$D,Formulas!$L725,'Corporate activity'!$C:$C,Formulas!M$2)</f>
        <v>0</v>
      </c>
      <c r="N725">
        <f>SUMIFS('Corporate activity'!$H:$H,'Corporate activity'!$D:$D,Formulas!$L725,'Corporate activity'!$C:$C,Formulas!N$2)</f>
        <v>0</v>
      </c>
      <c r="O725">
        <f>SUMIFS('Corporate activity'!$H:$H,'Corporate activity'!$D:$D,Formulas!$L725,'Corporate activity'!$C:$C,Formulas!O$2)</f>
        <v>0</v>
      </c>
      <c r="P725">
        <f t="shared" si="60"/>
        <v>0</v>
      </c>
      <c r="Q725" t="str">
        <f t="shared" si="58"/>
        <v/>
      </c>
    </row>
    <row r="726" spans="3:17" x14ac:dyDescent="0.25">
      <c r="C726">
        <f>SUMIFS(Issuance!$H:$H,Issuance!$D:$D,Formulas!$B726,Issuance!$C:$C,Formulas!C$2)</f>
        <v>0</v>
      </c>
      <c r="D726">
        <f>SUMIFS(Issuance!$H:$H,Issuance!$D:$D,Formulas!$B726,Issuance!$C:$C,Formulas!D$2)</f>
        <v>0</v>
      </c>
      <c r="E726">
        <f t="shared" si="59"/>
        <v>0</v>
      </c>
      <c r="F726" s="41" t="str">
        <f t="shared" si="61"/>
        <v/>
      </c>
      <c r="I726">
        <f>SUMIFS(Buybacks!H:H,Buybacks!D:D,Formulas!H726)</f>
        <v>0</v>
      </c>
      <c r="J726" s="41" t="str">
        <f t="shared" si="62"/>
        <v/>
      </c>
      <c r="M726">
        <f>SUMIFS('Corporate activity'!$H:$H,'Corporate activity'!$D:$D,Formulas!$L726,'Corporate activity'!$C:$C,Formulas!M$2)</f>
        <v>0</v>
      </c>
      <c r="N726">
        <f>SUMIFS('Corporate activity'!$H:$H,'Corporate activity'!$D:$D,Formulas!$L726,'Corporate activity'!$C:$C,Formulas!N$2)</f>
        <v>0</v>
      </c>
      <c r="O726">
        <f>SUMIFS('Corporate activity'!$H:$H,'Corporate activity'!$D:$D,Formulas!$L726,'Corporate activity'!$C:$C,Formulas!O$2)</f>
        <v>0</v>
      </c>
      <c r="P726">
        <f t="shared" si="60"/>
        <v>0</v>
      </c>
      <c r="Q726" t="str">
        <f t="shared" si="58"/>
        <v/>
      </c>
    </row>
    <row r="727" spans="3:17" x14ac:dyDescent="0.25">
      <c r="C727">
        <f>SUMIFS(Issuance!$H:$H,Issuance!$D:$D,Formulas!$B727,Issuance!$C:$C,Formulas!C$2)</f>
        <v>0</v>
      </c>
      <c r="D727">
        <f>SUMIFS(Issuance!$H:$H,Issuance!$D:$D,Formulas!$B727,Issuance!$C:$C,Formulas!D$2)</f>
        <v>0</v>
      </c>
      <c r="E727">
        <f t="shared" si="59"/>
        <v>0</v>
      </c>
      <c r="F727" s="41" t="str">
        <f t="shared" si="61"/>
        <v/>
      </c>
      <c r="I727">
        <f>SUMIFS(Buybacks!H:H,Buybacks!D:D,Formulas!H727)</f>
        <v>0</v>
      </c>
      <c r="J727" s="41" t="str">
        <f t="shared" si="62"/>
        <v/>
      </c>
      <c r="M727">
        <f>SUMIFS('Corporate activity'!$H:$H,'Corporate activity'!$D:$D,Formulas!$L727,'Corporate activity'!$C:$C,Formulas!M$2)</f>
        <v>0</v>
      </c>
      <c r="N727">
        <f>SUMIFS('Corporate activity'!$H:$H,'Corporate activity'!$D:$D,Formulas!$L727,'Corporate activity'!$C:$C,Formulas!N$2)</f>
        <v>0</v>
      </c>
      <c r="O727">
        <f>SUMIFS('Corporate activity'!$H:$H,'Corporate activity'!$D:$D,Formulas!$L727,'Corporate activity'!$C:$C,Formulas!O$2)</f>
        <v>0</v>
      </c>
      <c r="P727">
        <f t="shared" si="60"/>
        <v>0</v>
      </c>
      <c r="Q727" t="str">
        <f t="shared" si="58"/>
        <v/>
      </c>
    </row>
    <row r="728" spans="3:17" x14ac:dyDescent="0.25">
      <c r="C728">
        <f>SUMIFS(Issuance!$H:$H,Issuance!$D:$D,Formulas!$B728,Issuance!$C:$C,Formulas!C$2)</f>
        <v>0</v>
      </c>
      <c r="D728">
        <f>SUMIFS(Issuance!$H:$H,Issuance!$D:$D,Formulas!$B728,Issuance!$C:$C,Formulas!D$2)</f>
        <v>0</v>
      </c>
      <c r="E728">
        <f t="shared" si="59"/>
        <v>0</v>
      </c>
      <c r="F728" s="41" t="str">
        <f t="shared" si="61"/>
        <v/>
      </c>
      <c r="I728">
        <f>SUMIFS(Buybacks!H:H,Buybacks!D:D,Formulas!H728)</f>
        <v>0</v>
      </c>
      <c r="J728" s="41" t="str">
        <f t="shared" si="62"/>
        <v/>
      </c>
      <c r="M728">
        <f>SUMIFS('Corporate activity'!$H:$H,'Corporate activity'!$D:$D,Formulas!$L728,'Corporate activity'!$C:$C,Formulas!M$2)</f>
        <v>0</v>
      </c>
      <c r="N728">
        <f>SUMIFS('Corporate activity'!$H:$H,'Corporate activity'!$D:$D,Formulas!$L728,'Corporate activity'!$C:$C,Formulas!N$2)</f>
        <v>0</v>
      </c>
      <c r="O728">
        <f>SUMIFS('Corporate activity'!$H:$H,'Corporate activity'!$D:$D,Formulas!$L728,'Corporate activity'!$C:$C,Formulas!O$2)</f>
        <v>0</v>
      </c>
      <c r="P728">
        <f t="shared" si="60"/>
        <v>0</v>
      </c>
      <c r="Q728" t="str">
        <f t="shared" si="58"/>
        <v/>
      </c>
    </row>
    <row r="729" spans="3:17" x14ac:dyDescent="0.25">
      <c r="C729">
        <f>SUMIFS(Issuance!$H:$H,Issuance!$D:$D,Formulas!$B729,Issuance!$C:$C,Formulas!C$2)</f>
        <v>0</v>
      </c>
      <c r="D729">
        <f>SUMIFS(Issuance!$H:$H,Issuance!$D:$D,Formulas!$B729,Issuance!$C:$C,Formulas!D$2)</f>
        <v>0</v>
      </c>
      <c r="E729">
        <f t="shared" si="59"/>
        <v>0</v>
      </c>
      <c r="F729" s="41" t="str">
        <f t="shared" si="61"/>
        <v/>
      </c>
      <c r="I729">
        <f>SUMIFS(Buybacks!H:H,Buybacks!D:D,Formulas!H729)</f>
        <v>0</v>
      </c>
      <c r="J729" s="41" t="str">
        <f t="shared" si="62"/>
        <v/>
      </c>
      <c r="M729">
        <f>SUMIFS('Corporate activity'!$H:$H,'Corporate activity'!$D:$D,Formulas!$L729,'Corporate activity'!$C:$C,Formulas!M$2)</f>
        <v>0</v>
      </c>
      <c r="N729">
        <f>SUMIFS('Corporate activity'!$H:$H,'Corporate activity'!$D:$D,Formulas!$L729,'Corporate activity'!$C:$C,Formulas!N$2)</f>
        <v>0</v>
      </c>
      <c r="O729">
        <f>SUMIFS('Corporate activity'!$H:$H,'Corporate activity'!$D:$D,Formulas!$L729,'Corporate activity'!$C:$C,Formulas!O$2)</f>
        <v>0</v>
      </c>
      <c r="P729">
        <f t="shared" si="60"/>
        <v>0</v>
      </c>
      <c r="Q729" t="str">
        <f t="shared" si="58"/>
        <v/>
      </c>
    </row>
    <row r="730" spans="3:17" x14ac:dyDescent="0.25">
      <c r="C730">
        <f>SUMIFS(Issuance!$H:$H,Issuance!$D:$D,Formulas!$B730,Issuance!$C:$C,Formulas!C$2)</f>
        <v>0</v>
      </c>
      <c r="D730">
        <f>SUMIFS(Issuance!$H:$H,Issuance!$D:$D,Formulas!$B730,Issuance!$C:$C,Formulas!D$2)</f>
        <v>0</v>
      </c>
      <c r="E730">
        <f t="shared" si="59"/>
        <v>0</v>
      </c>
      <c r="F730" s="41" t="str">
        <f t="shared" si="61"/>
        <v/>
      </c>
      <c r="I730">
        <f>SUMIFS(Buybacks!H:H,Buybacks!D:D,Formulas!H730)</f>
        <v>0</v>
      </c>
      <c r="J730" s="41" t="str">
        <f t="shared" si="62"/>
        <v/>
      </c>
      <c r="M730">
        <f>SUMIFS('Corporate activity'!$H:$H,'Corporate activity'!$D:$D,Formulas!$L730,'Corporate activity'!$C:$C,Formulas!M$2)</f>
        <v>0</v>
      </c>
      <c r="N730">
        <f>SUMIFS('Corporate activity'!$H:$H,'Corporate activity'!$D:$D,Formulas!$L730,'Corporate activity'!$C:$C,Formulas!N$2)</f>
        <v>0</v>
      </c>
      <c r="O730">
        <f>SUMIFS('Corporate activity'!$H:$H,'Corporate activity'!$D:$D,Formulas!$L730,'Corporate activity'!$C:$C,Formulas!O$2)</f>
        <v>0</v>
      </c>
      <c r="P730">
        <f t="shared" si="60"/>
        <v>0</v>
      </c>
      <c r="Q730" t="str">
        <f t="shared" si="58"/>
        <v/>
      </c>
    </row>
    <row r="731" spans="3:17" x14ac:dyDescent="0.25">
      <c r="C731">
        <f>SUMIFS(Issuance!$H:$H,Issuance!$D:$D,Formulas!$B731,Issuance!$C:$C,Formulas!C$2)</f>
        <v>0</v>
      </c>
      <c r="D731">
        <f>SUMIFS(Issuance!$H:$H,Issuance!$D:$D,Formulas!$B731,Issuance!$C:$C,Formulas!D$2)</f>
        <v>0</v>
      </c>
      <c r="E731">
        <f t="shared" si="59"/>
        <v>0</v>
      </c>
      <c r="F731" s="41" t="str">
        <f t="shared" si="61"/>
        <v/>
      </c>
      <c r="I731">
        <f>SUMIFS(Buybacks!H:H,Buybacks!D:D,Formulas!H731)</f>
        <v>0</v>
      </c>
      <c r="J731" s="41" t="str">
        <f t="shared" si="62"/>
        <v/>
      </c>
      <c r="M731">
        <f>SUMIFS('Corporate activity'!$H:$H,'Corporate activity'!$D:$D,Formulas!$L731,'Corporate activity'!$C:$C,Formulas!M$2)</f>
        <v>0</v>
      </c>
      <c r="N731">
        <f>SUMIFS('Corporate activity'!$H:$H,'Corporate activity'!$D:$D,Formulas!$L731,'Corporate activity'!$C:$C,Formulas!N$2)</f>
        <v>0</v>
      </c>
      <c r="O731">
        <f>SUMIFS('Corporate activity'!$H:$H,'Corporate activity'!$D:$D,Formulas!$L731,'Corporate activity'!$C:$C,Formulas!O$2)</f>
        <v>0</v>
      </c>
      <c r="P731">
        <f t="shared" si="60"/>
        <v>0</v>
      </c>
      <c r="Q731" t="str">
        <f t="shared" ref="Q731:Q794" si="63">IF(OR(L731="",L731=0,P731=0),"",IF(COUNTIFS($P$3:$P$500,"&lt;"&amp;P731,$P$3:$P$500,"&lt;&gt;0")+1&lt;=20,COUNTIFS($P$3:$P$500,"&lt;"&amp;P731,$P$3:$P$500,"&lt;&gt;0")+1,""))</f>
        <v/>
      </c>
    </row>
    <row r="732" spans="3:17" x14ac:dyDescent="0.25">
      <c r="C732">
        <f>SUMIFS(Issuance!$H:$H,Issuance!$D:$D,Formulas!$B732,Issuance!$C:$C,Formulas!C$2)</f>
        <v>0</v>
      </c>
      <c r="D732">
        <f>SUMIFS(Issuance!$H:$H,Issuance!$D:$D,Formulas!$B732,Issuance!$C:$C,Formulas!D$2)</f>
        <v>0</v>
      </c>
      <c r="E732">
        <f t="shared" si="59"/>
        <v>0</v>
      </c>
      <c r="F732" s="41" t="str">
        <f t="shared" si="61"/>
        <v/>
      </c>
      <c r="I732">
        <f>SUMIFS(Buybacks!H:H,Buybacks!D:D,Formulas!H732)</f>
        <v>0</v>
      </c>
      <c r="J732" s="41" t="str">
        <f t="shared" si="62"/>
        <v/>
      </c>
      <c r="M732">
        <f>SUMIFS('Corporate activity'!$H:$H,'Corporate activity'!$D:$D,Formulas!$L732,'Corporate activity'!$C:$C,Formulas!M$2)</f>
        <v>0</v>
      </c>
      <c r="N732">
        <f>SUMIFS('Corporate activity'!$H:$H,'Corporate activity'!$D:$D,Formulas!$L732,'Corporate activity'!$C:$C,Formulas!N$2)</f>
        <v>0</v>
      </c>
      <c r="O732">
        <f>SUMIFS('Corporate activity'!$H:$H,'Corporate activity'!$D:$D,Formulas!$L732,'Corporate activity'!$C:$C,Formulas!O$2)</f>
        <v>0</v>
      </c>
      <c r="P732">
        <f t="shared" si="60"/>
        <v>0</v>
      </c>
      <c r="Q732" t="str">
        <f t="shared" si="63"/>
        <v/>
      </c>
    </row>
    <row r="733" spans="3:17" x14ac:dyDescent="0.25">
      <c r="C733">
        <f>SUMIFS(Issuance!$H:$H,Issuance!$D:$D,Formulas!$B733,Issuance!$C:$C,Formulas!C$2)</f>
        <v>0</v>
      </c>
      <c r="D733">
        <f>SUMIFS(Issuance!$H:$H,Issuance!$D:$D,Formulas!$B733,Issuance!$C:$C,Formulas!D$2)</f>
        <v>0</v>
      </c>
      <c r="E733">
        <f t="shared" si="59"/>
        <v>0</v>
      </c>
      <c r="F733" s="41" t="str">
        <f t="shared" si="61"/>
        <v/>
      </c>
      <c r="I733">
        <f>SUMIFS(Buybacks!H:H,Buybacks!D:D,Formulas!H733)</f>
        <v>0</v>
      </c>
      <c r="J733" s="41" t="str">
        <f t="shared" si="62"/>
        <v/>
      </c>
      <c r="M733">
        <f>SUMIFS('Corporate activity'!$H:$H,'Corporate activity'!$D:$D,Formulas!$L733,'Corporate activity'!$C:$C,Formulas!M$2)</f>
        <v>0</v>
      </c>
      <c r="N733">
        <f>SUMIFS('Corporate activity'!$H:$H,'Corporate activity'!$D:$D,Formulas!$L733,'Corporate activity'!$C:$C,Formulas!N$2)</f>
        <v>0</v>
      </c>
      <c r="O733">
        <f>SUMIFS('Corporate activity'!$H:$H,'Corporate activity'!$D:$D,Formulas!$L733,'Corporate activity'!$C:$C,Formulas!O$2)</f>
        <v>0</v>
      </c>
      <c r="P733">
        <f t="shared" si="60"/>
        <v>0</v>
      </c>
      <c r="Q733" t="str">
        <f t="shared" si="63"/>
        <v/>
      </c>
    </row>
    <row r="734" spans="3:17" x14ac:dyDescent="0.25">
      <c r="C734">
        <f>SUMIFS(Issuance!$H:$H,Issuance!$D:$D,Formulas!$B734,Issuance!$C:$C,Formulas!C$2)</f>
        <v>0</v>
      </c>
      <c r="D734">
        <f>SUMIFS(Issuance!$H:$H,Issuance!$D:$D,Formulas!$B734,Issuance!$C:$C,Formulas!D$2)</f>
        <v>0</v>
      </c>
      <c r="E734">
        <f t="shared" si="59"/>
        <v>0</v>
      </c>
      <c r="F734" s="41" t="str">
        <f t="shared" si="61"/>
        <v/>
      </c>
      <c r="I734">
        <f>SUMIFS(Buybacks!H:H,Buybacks!D:D,Formulas!H734)</f>
        <v>0</v>
      </c>
      <c r="J734" s="41" t="str">
        <f t="shared" si="62"/>
        <v/>
      </c>
      <c r="M734">
        <f>SUMIFS('Corporate activity'!$H:$H,'Corporate activity'!$D:$D,Formulas!$L734,'Corporate activity'!$C:$C,Formulas!M$2)</f>
        <v>0</v>
      </c>
      <c r="N734">
        <f>SUMIFS('Corporate activity'!$H:$H,'Corporate activity'!$D:$D,Formulas!$L734,'Corporate activity'!$C:$C,Formulas!N$2)</f>
        <v>0</v>
      </c>
      <c r="O734">
        <f>SUMIFS('Corporate activity'!$H:$H,'Corporate activity'!$D:$D,Formulas!$L734,'Corporate activity'!$C:$C,Formulas!O$2)</f>
        <v>0</v>
      </c>
      <c r="P734">
        <f t="shared" si="60"/>
        <v>0</v>
      </c>
      <c r="Q734" t="str">
        <f t="shared" si="63"/>
        <v/>
      </c>
    </row>
    <row r="735" spans="3:17" x14ac:dyDescent="0.25">
      <c r="C735">
        <f>SUMIFS(Issuance!$H:$H,Issuance!$D:$D,Formulas!$B735,Issuance!$C:$C,Formulas!C$2)</f>
        <v>0</v>
      </c>
      <c r="D735">
        <f>SUMIFS(Issuance!$H:$H,Issuance!$D:$D,Formulas!$B735,Issuance!$C:$C,Formulas!D$2)</f>
        <v>0</v>
      </c>
      <c r="E735">
        <f t="shared" si="59"/>
        <v>0</v>
      </c>
      <c r="F735" s="41" t="str">
        <f t="shared" si="61"/>
        <v/>
      </c>
      <c r="I735">
        <f>SUMIFS(Buybacks!H:H,Buybacks!D:D,Formulas!H735)</f>
        <v>0</v>
      </c>
      <c r="J735" s="41" t="str">
        <f t="shared" si="62"/>
        <v/>
      </c>
      <c r="M735">
        <f>SUMIFS('Corporate activity'!$H:$H,'Corporate activity'!$D:$D,Formulas!$L735,'Corporate activity'!$C:$C,Formulas!M$2)</f>
        <v>0</v>
      </c>
      <c r="N735">
        <f>SUMIFS('Corporate activity'!$H:$H,'Corporate activity'!$D:$D,Formulas!$L735,'Corporate activity'!$C:$C,Formulas!N$2)</f>
        <v>0</v>
      </c>
      <c r="O735">
        <f>SUMIFS('Corporate activity'!$H:$H,'Corporate activity'!$D:$D,Formulas!$L735,'Corporate activity'!$C:$C,Formulas!O$2)</f>
        <v>0</v>
      </c>
      <c r="P735">
        <f t="shared" si="60"/>
        <v>0</v>
      </c>
      <c r="Q735" t="str">
        <f t="shared" si="63"/>
        <v/>
      </c>
    </row>
    <row r="736" spans="3:17" x14ac:dyDescent="0.25">
      <c r="C736">
        <f>SUMIFS(Issuance!$H:$H,Issuance!$D:$D,Formulas!$B736,Issuance!$C:$C,Formulas!C$2)</f>
        <v>0</v>
      </c>
      <c r="D736">
        <f>SUMIFS(Issuance!$H:$H,Issuance!$D:$D,Formulas!$B736,Issuance!$C:$C,Formulas!D$2)</f>
        <v>0</v>
      </c>
      <c r="E736">
        <f t="shared" si="59"/>
        <v>0</v>
      </c>
      <c r="F736" s="41" t="str">
        <f t="shared" si="61"/>
        <v/>
      </c>
      <c r="I736">
        <f>SUMIFS(Buybacks!H:H,Buybacks!D:D,Formulas!H736)</f>
        <v>0</v>
      </c>
      <c r="J736" s="41" t="str">
        <f t="shared" si="62"/>
        <v/>
      </c>
      <c r="M736">
        <f>SUMIFS('Corporate activity'!$H:$H,'Corporate activity'!$D:$D,Formulas!$L736,'Corporate activity'!$C:$C,Formulas!M$2)</f>
        <v>0</v>
      </c>
      <c r="N736">
        <f>SUMIFS('Corporate activity'!$H:$H,'Corporate activity'!$D:$D,Formulas!$L736,'Corporate activity'!$C:$C,Formulas!N$2)</f>
        <v>0</v>
      </c>
      <c r="O736">
        <f>SUMIFS('Corporate activity'!$H:$H,'Corporate activity'!$D:$D,Formulas!$L736,'Corporate activity'!$C:$C,Formulas!O$2)</f>
        <v>0</v>
      </c>
      <c r="P736">
        <f t="shared" si="60"/>
        <v>0</v>
      </c>
      <c r="Q736" t="str">
        <f t="shared" si="63"/>
        <v/>
      </c>
    </row>
    <row r="737" spans="3:17" x14ac:dyDescent="0.25">
      <c r="C737">
        <f>SUMIFS(Issuance!$H:$H,Issuance!$D:$D,Formulas!$B737,Issuance!$C:$C,Formulas!C$2)</f>
        <v>0</v>
      </c>
      <c r="D737">
        <f>SUMIFS(Issuance!$H:$H,Issuance!$D:$D,Formulas!$B737,Issuance!$C:$C,Formulas!D$2)</f>
        <v>0</v>
      </c>
      <c r="E737">
        <f t="shared" si="59"/>
        <v>0</v>
      </c>
      <c r="F737" s="41" t="str">
        <f t="shared" si="61"/>
        <v/>
      </c>
      <c r="I737">
        <f>SUMIFS(Buybacks!H:H,Buybacks!D:D,Formulas!H737)</f>
        <v>0</v>
      </c>
      <c r="J737" s="41" t="str">
        <f t="shared" si="62"/>
        <v/>
      </c>
      <c r="M737">
        <f>SUMIFS('Corporate activity'!$H:$H,'Corporate activity'!$D:$D,Formulas!$L737,'Corporate activity'!$C:$C,Formulas!M$2)</f>
        <v>0</v>
      </c>
      <c r="N737">
        <f>SUMIFS('Corporate activity'!$H:$H,'Corporate activity'!$D:$D,Formulas!$L737,'Corporate activity'!$C:$C,Formulas!N$2)</f>
        <v>0</v>
      </c>
      <c r="O737">
        <f>SUMIFS('Corporate activity'!$H:$H,'Corporate activity'!$D:$D,Formulas!$L737,'Corporate activity'!$C:$C,Formulas!O$2)</f>
        <v>0</v>
      </c>
      <c r="P737">
        <f t="shared" si="60"/>
        <v>0</v>
      </c>
      <c r="Q737" t="str">
        <f t="shared" si="63"/>
        <v/>
      </c>
    </row>
    <row r="738" spans="3:17" x14ac:dyDescent="0.25">
      <c r="C738">
        <f>SUMIFS(Issuance!$H:$H,Issuance!$D:$D,Formulas!$B738,Issuance!$C:$C,Formulas!C$2)</f>
        <v>0</v>
      </c>
      <c r="D738">
        <f>SUMIFS(Issuance!$H:$H,Issuance!$D:$D,Formulas!$B738,Issuance!$C:$C,Formulas!D$2)</f>
        <v>0</v>
      </c>
      <c r="E738">
        <f t="shared" si="59"/>
        <v>0</v>
      </c>
      <c r="F738" s="41" t="str">
        <f t="shared" si="61"/>
        <v/>
      </c>
      <c r="I738">
        <f>SUMIFS(Buybacks!H:H,Buybacks!D:D,Formulas!H738)</f>
        <v>0</v>
      </c>
      <c r="J738" s="41" t="str">
        <f t="shared" si="62"/>
        <v/>
      </c>
      <c r="M738">
        <f>SUMIFS('Corporate activity'!$H:$H,'Corporate activity'!$D:$D,Formulas!$L738,'Corporate activity'!$C:$C,Formulas!M$2)</f>
        <v>0</v>
      </c>
      <c r="N738">
        <f>SUMIFS('Corporate activity'!$H:$H,'Corporate activity'!$D:$D,Formulas!$L738,'Corporate activity'!$C:$C,Formulas!N$2)</f>
        <v>0</v>
      </c>
      <c r="O738">
        <f>SUMIFS('Corporate activity'!$H:$H,'Corporate activity'!$D:$D,Formulas!$L738,'Corporate activity'!$C:$C,Formulas!O$2)</f>
        <v>0</v>
      </c>
      <c r="P738">
        <f t="shared" si="60"/>
        <v>0</v>
      </c>
      <c r="Q738" t="str">
        <f t="shared" si="63"/>
        <v/>
      </c>
    </row>
    <row r="739" spans="3:17" x14ac:dyDescent="0.25">
      <c r="C739">
        <f>SUMIFS(Issuance!$H:$H,Issuance!$D:$D,Formulas!$B739,Issuance!$C:$C,Formulas!C$2)</f>
        <v>0</v>
      </c>
      <c r="D739">
        <f>SUMIFS(Issuance!$H:$H,Issuance!$D:$D,Formulas!$B739,Issuance!$C:$C,Formulas!D$2)</f>
        <v>0</v>
      </c>
      <c r="E739">
        <f t="shared" si="59"/>
        <v>0</v>
      </c>
      <c r="F739" s="41" t="str">
        <f t="shared" si="61"/>
        <v/>
      </c>
      <c r="I739">
        <f>SUMIFS(Buybacks!H:H,Buybacks!D:D,Formulas!H739)</f>
        <v>0</v>
      </c>
      <c r="J739" s="41" t="str">
        <f t="shared" si="62"/>
        <v/>
      </c>
      <c r="M739">
        <f>SUMIFS('Corporate activity'!$H:$H,'Corporate activity'!$D:$D,Formulas!$L739,'Corporate activity'!$C:$C,Formulas!M$2)</f>
        <v>0</v>
      </c>
      <c r="N739">
        <f>SUMIFS('Corporate activity'!$H:$H,'Corporate activity'!$D:$D,Formulas!$L739,'Corporate activity'!$C:$C,Formulas!N$2)</f>
        <v>0</v>
      </c>
      <c r="O739">
        <f>SUMIFS('Corporate activity'!$H:$H,'Corporate activity'!$D:$D,Formulas!$L739,'Corporate activity'!$C:$C,Formulas!O$2)</f>
        <v>0</v>
      </c>
      <c r="P739">
        <f t="shared" si="60"/>
        <v>0</v>
      </c>
      <c r="Q739" t="str">
        <f t="shared" si="63"/>
        <v/>
      </c>
    </row>
    <row r="740" spans="3:17" x14ac:dyDescent="0.25">
      <c r="C740">
        <f>SUMIFS(Issuance!$H:$H,Issuance!$D:$D,Formulas!$B740,Issuance!$C:$C,Formulas!C$2)</f>
        <v>0</v>
      </c>
      <c r="D740">
        <f>SUMIFS(Issuance!$H:$H,Issuance!$D:$D,Formulas!$B740,Issuance!$C:$C,Formulas!D$2)</f>
        <v>0</v>
      </c>
      <c r="E740">
        <f t="shared" si="59"/>
        <v>0</v>
      </c>
      <c r="F740" s="41" t="str">
        <f t="shared" si="61"/>
        <v/>
      </c>
      <c r="I740">
        <f>SUMIFS(Buybacks!H:H,Buybacks!D:D,Formulas!H740)</f>
        <v>0</v>
      </c>
      <c r="J740" s="41" t="str">
        <f t="shared" si="62"/>
        <v/>
      </c>
      <c r="M740">
        <f>SUMIFS('Corporate activity'!$H:$H,'Corporate activity'!$D:$D,Formulas!$L740,'Corporate activity'!$C:$C,Formulas!M$2)</f>
        <v>0</v>
      </c>
      <c r="N740">
        <f>SUMIFS('Corporate activity'!$H:$H,'Corporate activity'!$D:$D,Formulas!$L740,'Corporate activity'!$C:$C,Formulas!N$2)</f>
        <v>0</v>
      </c>
      <c r="O740">
        <f>SUMIFS('Corporate activity'!$H:$H,'Corporate activity'!$D:$D,Formulas!$L740,'Corporate activity'!$C:$C,Formulas!O$2)</f>
        <v>0</v>
      </c>
      <c r="P740">
        <f t="shared" si="60"/>
        <v>0</v>
      </c>
      <c r="Q740" t="str">
        <f t="shared" si="63"/>
        <v/>
      </c>
    </row>
    <row r="741" spans="3:17" x14ac:dyDescent="0.25">
      <c r="C741">
        <f>SUMIFS(Issuance!$H:$H,Issuance!$D:$D,Formulas!$B741,Issuance!$C:$C,Formulas!C$2)</f>
        <v>0</v>
      </c>
      <c r="D741">
        <f>SUMIFS(Issuance!$H:$H,Issuance!$D:$D,Formulas!$B741,Issuance!$C:$C,Formulas!D$2)</f>
        <v>0</v>
      </c>
      <c r="E741">
        <f t="shared" si="59"/>
        <v>0</v>
      </c>
      <c r="F741" s="41" t="str">
        <f t="shared" si="61"/>
        <v/>
      </c>
      <c r="I741">
        <f>SUMIFS(Buybacks!H:H,Buybacks!D:D,Formulas!H741)</f>
        <v>0</v>
      </c>
      <c r="J741" s="41" t="str">
        <f t="shared" si="62"/>
        <v/>
      </c>
      <c r="M741">
        <f>SUMIFS('Corporate activity'!$H:$H,'Corporate activity'!$D:$D,Formulas!$L741,'Corporate activity'!$C:$C,Formulas!M$2)</f>
        <v>0</v>
      </c>
      <c r="N741">
        <f>SUMIFS('Corporate activity'!$H:$H,'Corporate activity'!$D:$D,Formulas!$L741,'Corporate activity'!$C:$C,Formulas!N$2)</f>
        <v>0</v>
      </c>
      <c r="O741">
        <f>SUMIFS('Corporate activity'!$H:$H,'Corporate activity'!$D:$D,Formulas!$L741,'Corporate activity'!$C:$C,Formulas!O$2)</f>
        <v>0</v>
      </c>
      <c r="P741">
        <f t="shared" si="60"/>
        <v>0</v>
      </c>
      <c r="Q741" t="str">
        <f t="shared" si="63"/>
        <v/>
      </c>
    </row>
    <row r="742" spans="3:17" x14ac:dyDescent="0.25">
      <c r="C742">
        <f>SUMIFS(Issuance!$H:$H,Issuance!$D:$D,Formulas!$B742,Issuance!$C:$C,Formulas!C$2)</f>
        <v>0</v>
      </c>
      <c r="D742">
        <f>SUMIFS(Issuance!$H:$H,Issuance!$D:$D,Formulas!$B742,Issuance!$C:$C,Formulas!D$2)</f>
        <v>0</v>
      </c>
      <c r="E742">
        <f t="shared" si="59"/>
        <v>0</v>
      </c>
      <c r="F742" s="41" t="str">
        <f t="shared" si="61"/>
        <v/>
      </c>
      <c r="I742">
        <f>SUMIFS(Buybacks!H:H,Buybacks!D:D,Formulas!H742)</f>
        <v>0</v>
      </c>
      <c r="J742" s="41" t="str">
        <f t="shared" si="62"/>
        <v/>
      </c>
      <c r="M742">
        <f>SUMIFS('Corporate activity'!$H:$H,'Corporate activity'!$D:$D,Formulas!$L742,'Corporate activity'!$C:$C,Formulas!M$2)</f>
        <v>0</v>
      </c>
      <c r="N742">
        <f>SUMIFS('Corporate activity'!$H:$H,'Corporate activity'!$D:$D,Formulas!$L742,'Corporate activity'!$C:$C,Formulas!N$2)</f>
        <v>0</v>
      </c>
      <c r="O742">
        <f>SUMIFS('Corporate activity'!$H:$H,'Corporate activity'!$D:$D,Formulas!$L742,'Corporate activity'!$C:$C,Formulas!O$2)</f>
        <v>0</v>
      </c>
      <c r="P742">
        <f t="shared" si="60"/>
        <v>0</v>
      </c>
      <c r="Q742" t="str">
        <f t="shared" si="63"/>
        <v/>
      </c>
    </row>
    <row r="743" spans="3:17" x14ac:dyDescent="0.25">
      <c r="C743">
        <f>SUMIFS(Issuance!$H:$H,Issuance!$D:$D,Formulas!$B743,Issuance!$C:$C,Formulas!C$2)</f>
        <v>0</v>
      </c>
      <c r="D743">
        <f>SUMIFS(Issuance!$H:$H,Issuance!$D:$D,Formulas!$B743,Issuance!$C:$C,Formulas!D$2)</f>
        <v>0</v>
      </c>
      <c r="E743">
        <f t="shared" si="59"/>
        <v>0</v>
      </c>
      <c r="F743" s="41" t="str">
        <f t="shared" si="61"/>
        <v/>
      </c>
      <c r="I743">
        <f>SUMIFS(Buybacks!H:H,Buybacks!D:D,Formulas!H743)</f>
        <v>0</v>
      </c>
      <c r="J743" s="41" t="str">
        <f t="shared" si="62"/>
        <v/>
      </c>
      <c r="M743">
        <f>SUMIFS('Corporate activity'!$H:$H,'Corporate activity'!$D:$D,Formulas!$L743,'Corporate activity'!$C:$C,Formulas!M$2)</f>
        <v>0</v>
      </c>
      <c r="N743">
        <f>SUMIFS('Corporate activity'!$H:$H,'Corporate activity'!$D:$D,Formulas!$L743,'Corporate activity'!$C:$C,Formulas!N$2)</f>
        <v>0</v>
      </c>
      <c r="O743">
        <f>SUMIFS('Corporate activity'!$H:$H,'Corporate activity'!$D:$D,Formulas!$L743,'Corporate activity'!$C:$C,Formulas!O$2)</f>
        <v>0</v>
      </c>
      <c r="P743">
        <f t="shared" si="60"/>
        <v>0</v>
      </c>
      <c r="Q743" t="str">
        <f t="shared" si="63"/>
        <v/>
      </c>
    </row>
    <row r="744" spans="3:17" x14ac:dyDescent="0.25">
      <c r="C744">
        <f>SUMIFS(Issuance!$H:$H,Issuance!$D:$D,Formulas!$B744,Issuance!$C:$C,Formulas!C$2)</f>
        <v>0</v>
      </c>
      <c r="D744">
        <f>SUMIFS(Issuance!$H:$H,Issuance!$D:$D,Formulas!$B744,Issuance!$C:$C,Formulas!D$2)</f>
        <v>0</v>
      </c>
      <c r="E744">
        <f t="shared" si="59"/>
        <v>0</v>
      </c>
      <c r="F744" s="41" t="str">
        <f t="shared" si="61"/>
        <v/>
      </c>
      <c r="I744">
        <f>SUMIFS(Buybacks!H:H,Buybacks!D:D,Formulas!H744)</f>
        <v>0</v>
      </c>
      <c r="J744" s="41" t="str">
        <f t="shared" si="62"/>
        <v/>
      </c>
      <c r="M744">
        <f>SUMIFS('Corporate activity'!$H:$H,'Corporate activity'!$D:$D,Formulas!$L744,'Corporate activity'!$C:$C,Formulas!M$2)</f>
        <v>0</v>
      </c>
      <c r="N744">
        <f>SUMIFS('Corporate activity'!$H:$H,'Corporate activity'!$D:$D,Formulas!$L744,'Corporate activity'!$C:$C,Formulas!N$2)</f>
        <v>0</v>
      </c>
      <c r="O744">
        <f>SUMIFS('Corporate activity'!$H:$H,'Corporate activity'!$D:$D,Formulas!$L744,'Corporate activity'!$C:$C,Formulas!O$2)</f>
        <v>0</v>
      </c>
      <c r="P744">
        <f t="shared" si="60"/>
        <v>0</v>
      </c>
      <c r="Q744" t="str">
        <f t="shared" si="63"/>
        <v/>
      </c>
    </row>
    <row r="745" spans="3:17" x14ac:dyDescent="0.25">
      <c r="C745">
        <f>SUMIFS(Issuance!$H:$H,Issuance!$D:$D,Formulas!$B745,Issuance!$C:$C,Formulas!C$2)</f>
        <v>0</v>
      </c>
      <c r="D745">
        <f>SUMIFS(Issuance!$H:$H,Issuance!$D:$D,Formulas!$B745,Issuance!$C:$C,Formulas!D$2)</f>
        <v>0</v>
      </c>
      <c r="E745">
        <f t="shared" si="59"/>
        <v>0</v>
      </c>
      <c r="F745" s="41" t="str">
        <f t="shared" si="61"/>
        <v/>
      </c>
      <c r="I745">
        <f>SUMIFS(Buybacks!H:H,Buybacks!D:D,Formulas!H745)</f>
        <v>0</v>
      </c>
      <c r="J745" s="41" t="str">
        <f t="shared" si="62"/>
        <v/>
      </c>
      <c r="M745">
        <f>SUMIFS('Corporate activity'!$H:$H,'Corporate activity'!$D:$D,Formulas!$L745,'Corporate activity'!$C:$C,Formulas!M$2)</f>
        <v>0</v>
      </c>
      <c r="N745">
        <f>SUMIFS('Corporate activity'!$H:$H,'Corporate activity'!$D:$D,Formulas!$L745,'Corporate activity'!$C:$C,Formulas!N$2)</f>
        <v>0</v>
      </c>
      <c r="O745">
        <f>SUMIFS('Corporate activity'!$H:$H,'Corporate activity'!$D:$D,Formulas!$L745,'Corporate activity'!$C:$C,Formulas!O$2)</f>
        <v>0</v>
      </c>
      <c r="P745">
        <f t="shared" si="60"/>
        <v>0</v>
      </c>
      <c r="Q745" t="str">
        <f t="shared" si="63"/>
        <v/>
      </c>
    </row>
    <row r="746" spans="3:17" x14ac:dyDescent="0.25">
      <c r="C746">
        <f>SUMIFS(Issuance!$H:$H,Issuance!$D:$D,Formulas!$B746,Issuance!$C:$C,Formulas!C$2)</f>
        <v>0</v>
      </c>
      <c r="D746">
        <f>SUMIFS(Issuance!$H:$H,Issuance!$D:$D,Formulas!$B746,Issuance!$C:$C,Formulas!D$2)</f>
        <v>0</v>
      </c>
      <c r="E746">
        <f t="shared" si="59"/>
        <v>0</v>
      </c>
      <c r="F746" s="41" t="str">
        <f t="shared" si="61"/>
        <v/>
      </c>
      <c r="I746">
        <f>SUMIFS(Buybacks!H:H,Buybacks!D:D,Formulas!H746)</f>
        <v>0</v>
      </c>
      <c r="J746" s="41" t="str">
        <f t="shared" si="62"/>
        <v/>
      </c>
      <c r="M746">
        <f>SUMIFS('Corporate activity'!$H:$H,'Corporate activity'!$D:$D,Formulas!$L746,'Corporate activity'!$C:$C,Formulas!M$2)</f>
        <v>0</v>
      </c>
      <c r="N746">
        <f>SUMIFS('Corporate activity'!$H:$H,'Corporate activity'!$D:$D,Formulas!$L746,'Corporate activity'!$C:$C,Formulas!N$2)</f>
        <v>0</v>
      </c>
      <c r="O746">
        <f>SUMIFS('Corporate activity'!$H:$H,'Corporate activity'!$D:$D,Formulas!$L746,'Corporate activity'!$C:$C,Formulas!O$2)</f>
        <v>0</v>
      </c>
      <c r="P746">
        <f t="shared" si="60"/>
        <v>0</v>
      </c>
      <c r="Q746" t="str">
        <f t="shared" si="63"/>
        <v/>
      </c>
    </row>
    <row r="747" spans="3:17" x14ac:dyDescent="0.25">
      <c r="C747">
        <f>SUMIFS(Issuance!$H:$H,Issuance!$D:$D,Formulas!$B747,Issuance!$C:$C,Formulas!C$2)</f>
        <v>0</v>
      </c>
      <c r="D747">
        <f>SUMIFS(Issuance!$H:$H,Issuance!$D:$D,Formulas!$B747,Issuance!$C:$C,Formulas!D$2)</f>
        <v>0</v>
      </c>
      <c r="E747">
        <f t="shared" si="59"/>
        <v>0</v>
      </c>
      <c r="F747" s="41" t="str">
        <f t="shared" si="61"/>
        <v/>
      </c>
      <c r="I747">
        <f>SUMIFS(Buybacks!H:H,Buybacks!D:D,Formulas!H747)</f>
        <v>0</v>
      </c>
      <c r="J747" s="41" t="str">
        <f t="shared" si="62"/>
        <v/>
      </c>
      <c r="M747">
        <f>SUMIFS('Corporate activity'!$H:$H,'Corporate activity'!$D:$D,Formulas!$L747,'Corporate activity'!$C:$C,Formulas!M$2)</f>
        <v>0</v>
      </c>
      <c r="N747">
        <f>SUMIFS('Corporate activity'!$H:$H,'Corporate activity'!$D:$D,Formulas!$L747,'Corporate activity'!$C:$C,Formulas!N$2)</f>
        <v>0</v>
      </c>
      <c r="O747">
        <f>SUMIFS('Corporate activity'!$H:$H,'Corporate activity'!$D:$D,Formulas!$L747,'Corporate activity'!$C:$C,Formulas!O$2)</f>
        <v>0</v>
      </c>
      <c r="P747">
        <f t="shared" si="60"/>
        <v>0</v>
      </c>
      <c r="Q747" t="str">
        <f t="shared" si="63"/>
        <v/>
      </c>
    </row>
    <row r="748" spans="3:17" x14ac:dyDescent="0.25">
      <c r="C748">
        <f>SUMIFS(Issuance!$H:$H,Issuance!$D:$D,Formulas!$B748,Issuance!$C:$C,Formulas!C$2)</f>
        <v>0</v>
      </c>
      <c r="D748">
        <f>SUMIFS(Issuance!$H:$H,Issuance!$D:$D,Formulas!$B748,Issuance!$C:$C,Formulas!D$2)</f>
        <v>0</v>
      </c>
      <c r="E748">
        <f t="shared" si="59"/>
        <v>0</v>
      </c>
      <c r="F748" s="41" t="str">
        <f t="shared" si="61"/>
        <v/>
      </c>
      <c r="I748">
        <f>SUMIFS(Buybacks!H:H,Buybacks!D:D,Formulas!H748)</f>
        <v>0</v>
      </c>
      <c r="J748" s="41" t="str">
        <f t="shared" si="62"/>
        <v/>
      </c>
      <c r="M748">
        <f>SUMIFS('Corporate activity'!$H:$H,'Corporate activity'!$D:$D,Formulas!$L748,'Corporate activity'!$C:$C,Formulas!M$2)</f>
        <v>0</v>
      </c>
      <c r="N748">
        <f>SUMIFS('Corporate activity'!$H:$H,'Corporate activity'!$D:$D,Formulas!$L748,'Corporate activity'!$C:$C,Formulas!N$2)</f>
        <v>0</v>
      </c>
      <c r="O748">
        <f>SUMIFS('Corporate activity'!$H:$H,'Corporate activity'!$D:$D,Formulas!$L748,'Corporate activity'!$C:$C,Formulas!O$2)</f>
        <v>0</v>
      </c>
      <c r="P748">
        <f t="shared" si="60"/>
        <v>0</v>
      </c>
      <c r="Q748" t="str">
        <f t="shared" si="63"/>
        <v/>
      </c>
    </row>
    <row r="749" spans="3:17" x14ac:dyDescent="0.25">
      <c r="C749">
        <f>SUMIFS(Issuance!$H:$H,Issuance!$D:$D,Formulas!$B749,Issuance!$C:$C,Formulas!C$2)</f>
        <v>0</v>
      </c>
      <c r="D749">
        <f>SUMIFS(Issuance!$H:$H,Issuance!$D:$D,Formulas!$B749,Issuance!$C:$C,Formulas!D$2)</f>
        <v>0</v>
      </c>
      <c r="E749">
        <f t="shared" si="59"/>
        <v>0</v>
      </c>
      <c r="F749" s="41" t="str">
        <f t="shared" si="61"/>
        <v/>
      </c>
      <c r="I749">
        <f>SUMIFS(Buybacks!H:H,Buybacks!D:D,Formulas!H749)</f>
        <v>0</v>
      </c>
      <c r="J749" s="41" t="str">
        <f t="shared" si="62"/>
        <v/>
      </c>
      <c r="M749">
        <f>SUMIFS('Corporate activity'!$H:$H,'Corporate activity'!$D:$D,Formulas!$L749,'Corporate activity'!$C:$C,Formulas!M$2)</f>
        <v>0</v>
      </c>
      <c r="N749">
        <f>SUMIFS('Corporate activity'!$H:$H,'Corporate activity'!$D:$D,Formulas!$L749,'Corporate activity'!$C:$C,Formulas!N$2)</f>
        <v>0</v>
      </c>
      <c r="O749">
        <f>SUMIFS('Corporate activity'!$H:$H,'Corporate activity'!$D:$D,Formulas!$L749,'Corporate activity'!$C:$C,Formulas!O$2)</f>
        <v>0</v>
      </c>
      <c r="P749">
        <f t="shared" si="60"/>
        <v>0</v>
      </c>
      <c r="Q749" t="str">
        <f t="shared" si="63"/>
        <v/>
      </c>
    </row>
    <row r="750" spans="3:17" x14ac:dyDescent="0.25">
      <c r="C750">
        <f>SUMIFS(Issuance!$H:$H,Issuance!$D:$D,Formulas!$B750,Issuance!$C:$C,Formulas!C$2)</f>
        <v>0</v>
      </c>
      <c r="D750">
        <f>SUMIFS(Issuance!$H:$H,Issuance!$D:$D,Formulas!$B750,Issuance!$C:$C,Formulas!D$2)</f>
        <v>0</v>
      </c>
      <c r="E750">
        <f t="shared" si="59"/>
        <v>0</v>
      </c>
      <c r="F750" s="41" t="str">
        <f t="shared" si="61"/>
        <v/>
      </c>
      <c r="I750">
        <f>SUMIFS(Buybacks!H:H,Buybacks!D:D,Formulas!H750)</f>
        <v>0</v>
      </c>
      <c r="J750" s="41" t="str">
        <f t="shared" si="62"/>
        <v/>
      </c>
      <c r="M750">
        <f>SUMIFS('Corporate activity'!$H:$H,'Corporate activity'!$D:$D,Formulas!$L750,'Corporate activity'!$C:$C,Formulas!M$2)</f>
        <v>0</v>
      </c>
      <c r="N750">
        <f>SUMIFS('Corporate activity'!$H:$H,'Corporate activity'!$D:$D,Formulas!$L750,'Corporate activity'!$C:$C,Formulas!N$2)</f>
        <v>0</v>
      </c>
      <c r="O750">
        <f>SUMIFS('Corporate activity'!$H:$H,'Corporate activity'!$D:$D,Formulas!$L750,'Corporate activity'!$C:$C,Formulas!O$2)</f>
        <v>0</v>
      </c>
      <c r="P750">
        <f t="shared" si="60"/>
        <v>0</v>
      </c>
      <c r="Q750" t="str">
        <f t="shared" si="63"/>
        <v/>
      </c>
    </row>
    <row r="751" spans="3:17" x14ac:dyDescent="0.25">
      <c r="C751">
        <f>SUMIFS(Issuance!$H:$H,Issuance!$D:$D,Formulas!$B751,Issuance!$C:$C,Formulas!C$2)</f>
        <v>0</v>
      </c>
      <c r="D751">
        <f>SUMIFS(Issuance!$H:$H,Issuance!$D:$D,Formulas!$B751,Issuance!$C:$C,Formulas!D$2)</f>
        <v>0</v>
      </c>
      <c r="E751">
        <f t="shared" si="59"/>
        <v>0</v>
      </c>
      <c r="F751" s="41" t="str">
        <f t="shared" si="61"/>
        <v/>
      </c>
      <c r="I751">
        <f>SUMIFS(Buybacks!H:H,Buybacks!D:D,Formulas!H751)</f>
        <v>0</v>
      </c>
      <c r="J751" s="41" t="str">
        <f t="shared" si="62"/>
        <v/>
      </c>
      <c r="M751">
        <f>SUMIFS('Corporate activity'!$H:$H,'Corporate activity'!$D:$D,Formulas!$L751,'Corporate activity'!$C:$C,Formulas!M$2)</f>
        <v>0</v>
      </c>
      <c r="N751">
        <f>SUMIFS('Corporate activity'!$H:$H,'Corporate activity'!$D:$D,Formulas!$L751,'Corporate activity'!$C:$C,Formulas!N$2)</f>
        <v>0</v>
      </c>
      <c r="O751">
        <f>SUMIFS('Corporate activity'!$H:$H,'Corporate activity'!$D:$D,Formulas!$L751,'Corporate activity'!$C:$C,Formulas!O$2)</f>
        <v>0</v>
      </c>
      <c r="P751">
        <f t="shared" si="60"/>
        <v>0</v>
      </c>
      <c r="Q751" t="str">
        <f t="shared" si="63"/>
        <v/>
      </c>
    </row>
    <row r="752" spans="3:17" x14ac:dyDescent="0.25">
      <c r="C752">
        <f>SUMIFS(Issuance!$H:$H,Issuance!$D:$D,Formulas!$B752,Issuance!$C:$C,Formulas!C$2)</f>
        <v>0</v>
      </c>
      <c r="D752">
        <f>SUMIFS(Issuance!$H:$H,Issuance!$D:$D,Formulas!$B752,Issuance!$C:$C,Formulas!D$2)</f>
        <v>0</v>
      </c>
      <c r="E752">
        <f t="shared" si="59"/>
        <v>0</v>
      </c>
      <c r="F752" s="41" t="str">
        <f t="shared" si="61"/>
        <v/>
      </c>
      <c r="I752">
        <f>SUMIFS(Buybacks!H:H,Buybacks!D:D,Formulas!H752)</f>
        <v>0</v>
      </c>
      <c r="J752" s="41" t="str">
        <f t="shared" si="62"/>
        <v/>
      </c>
      <c r="M752">
        <f>SUMIFS('Corporate activity'!$H:$H,'Corporate activity'!$D:$D,Formulas!$L752,'Corporate activity'!$C:$C,Formulas!M$2)</f>
        <v>0</v>
      </c>
      <c r="N752">
        <f>SUMIFS('Corporate activity'!$H:$H,'Corporate activity'!$D:$D,Formulas!$L752,'Corporate activity'!$C:$C,Formulas!N$2)</f>
        <v>0</v>
      </c>
      <c r="O752">
        <f>SUMIFS('Corporate activity'!$H:$H,'Corporate activity'!$D:$D,Formulas!$L752,'Corporate activity'!$C:$C,Formulas!O$2)</f>
        <v>0</v>
      </c>
      <c r="P752">
        <f t="shared" si="60"/>
        <v>0</v>
      </c>
      <c r="Q752" t="str">
        <f t="shared" si="63"/>
        <v/>
      </c>
    </row>
    <row r="753" spans="3:17" x14ac:dyDescent="0.25">
      <c r="C753">
        <f>SUMIFS(Issuance!$H:$H,Issuance!$D:$D,Formulas!$B753,Issuance!$C:$C,Formulas!C$2)</f>
        <v>0</v>
      </c>
      <c r="D753">
        <f>SUMIFS(Issuance!$H:$H,Issuance!$D:$D,Formulas!$B753,Issuance!$C:$C,Formulas!D$2)</f>
        <v>0</v>
      </c>
      <c r="E753">
        <f t="shared" si="59"/>
        <v>0</v>
      </c>
      <c r="F753" s="41" t="str">
        <f t="shared" si="61"/>
        <v/>
      </c>
      <c r="I753">
        <f>SUMIFS(Buybacks!H:H,Buybacks!D:D,Formulas!H753)</f>
        <v>0</v>
      </c>
      <c r="J753" s="41" t="str">
        <f t="shared" si="62"/>
        <v/>
      </c>
      <c r="M753">
        <f>SUMIFS('Corporate activity'!$H:$H,'Corporate activity'!$D:$D,Formulas!$L753,'Corporate activity'!$C:$C,Formulas!M$2)</f>
        <v>0</v>
      </c>
      <c r="N753">
        <f>SUMIFS('Corporate activity'!$H:$H,'Corporate activity'!$D:$D,Formulas!$L753,'Corporate activity'!$C:$C,Formulas!N$2)</f>
        <v>0</v>
      </c>
      <c r="O753">
        <f>SUMIFS('Corporate activity'!$H:$H,'Corporate activity'!$D:$D,Formulas!$L753,'Corporate activity'!$C:$C,Formulas!O$2)</f>
        <v>0</v>
      </c>
      <c r="P753">
        <f t="shared" si="60"/>
        <v>0</v>
      </c>
      <c r="Q753" t="str">
        <f t="shared" si="63"/>
        <v/>
      </c>
    </row>
    <row r="754" spans="3:17" x14ac:dyDescent="0.25">
      <c r="C754">
        <f>SUMIFS(Issuance!$H:$H,Issuance!$D:$D,Formulas!$B754,Issuance!$C:$C,Formulas!C$2)</f>
        <v>0</v>
      </c>
      <c r="D754">
        <f>SUMIFS(Issuance!$H:$H,Issuance!$D:$D,Formulas!$B754,Issuance!$C:$C,Formulas!D$2)</f>
        <v>0</v>
      </c>
      <c r="E754">
        <f t="shared" si="59"/>
        <v>0</v>
      </c>
      <c r="F754" s="41" t="str">
        <f t="shared" si="61"/>
        <v/>
      </c>
      <c r="I754">
        <f>SUMIFS(Buybacks!H:H,Buybacks!D:D,Formulas!H754)</f>
        <v>0</v>
      </c>
      <c r="J754" s="41" t="str">
        <f t="shared" si="62"/>
        <v/>
      </c>
      <c r="M754">
        <f>SUMIFS('Corporate activity'!$H:$H,'Corporate activity'!$D:$D,Formulas!$L754,'Corporate activity'!$C:$C,Formulas!M$2)</f>
        <v>0</v>
      </c>
      <c r="N754">
        <f>SUMIFS('Corporate activity'!$H:$H,'Corporate activity'!$D:$D,Formulas!$L754,'Corporate activity'!$C:$C,Formulas!N$2)</f>
        <v>0</v>
      </c>
      <c r="O754">
        <f>SUMIFS('Corporate activity'!$H:$H,'Corporate activity'!$D:$D,Formulas!$L754,'Corporate activity'!$C:$C,Formulas!O$2)</f>
        <v>0</v>
      </c>
      <c r="P754">
        <f t="shared" si="60"/>
        <v>0</v>
      </c>
      <c r="Q754" t="str">
        <f t="shared" si="63"/>
        <v/>
      </c>
    </row>
    <row r="755" spans="3:17" x14ac:dyDescent="0.25">
      <c r="C755">
        <f>SUMIFS(Issuance!$H:$H,Issuance!$D:$D,Formulas!$B755,Issuance!$C:$C,Formulas!C$2)</f>
        <v>0</v>
      </c>
      <c r="D755">
        <f>SUMIFS(Issuance!$H:$H,Issuance!$D:$D,Formulas!$B755,Issuance!$C:$C,Formulas!D$2)</f>
        <v>0</v>
      </c>
      <c r="E755">
        <f t="shared" ref="E755:E818" si="64">SUM(C755:D755)</f>
        <v>0</v>
      </c>
      <c r="F755" s="41" t="str">
        <f t="shared" si="61"/>
        <v/>
      </c>
      <c r="I755">
        <f>SUMIFS(Buybacks!H:H,Buybacks!D:D,Formulas!H755)</f>
        <v>0</v>
      </c>
      <c r="J755" s="41" t="str">
        <f t="shared" si="62"/>
        <v/>
      </c>
      <c r="M755">
        <f>SUMIFS('Corporate activity'!$H:$H,'Corporate activity'!$D:$D,Formulas!$L755,'Corporate activity'!$C:$C,Formulas!M$2)</f>
        <v>0</v>
      </c>
      <c r="N755">
        <f>SUMIFS('Corporate activity'!$H:$H,'Corporate activity'!$D:$D,Formulas!$L755,'Corporate activity'!$C:$C,Formulas!N$2)</f>
        <v>0</v>
      </c>
      <c r="O755">
        <f>SUMIFS('Corporate activity'!$H:$H,'Corporate activity'!$D:$D,Formulas!$L755,'Corporate activity'!$C:$C,Formulas!O$2)</f>
        <v>0</v>
      </c>
      <c r="P755">
        <f t="shared" ref="P755:P818" si="65">SUM(M755:O755)</f>
        <v>0</v>
      </c>
      <c r="Q755" t="str">
        <f t="shared" si="63"/>
        <v/>
      </c>
    </row>
    <row r="756" spans="3:17" x14ac:dyDescent="0.25">
      <c r="C756">
        <f>SUMIFS(Issuance!$H:$H,Issuance!$D:$D,Formulas!$B756,Issuance!$C:$C,Formulas!C$2)</f>
        <v>0</v>
      </c>
      <c r="D756">
        <f>SUMIFS(Issuance!$H:$H,Issuance!$D:$D,Formulas!$B756,Issuance!$C:$C,Formulas!D$2)</f>
        <v>0</v>
      </c>
      <c r="E756">
        <f t="shared" si="64"/>
        <v>0</v>
      </c>
      <c r="F756" s="41" t="str">
        <f t="shared" si="61"/>
        <v/>
      </c>
      <c r="I756">
        <f>SUMIFS(Buybacks!H:H,Buybacks!D:D,Formulas!H756)</f>
        <v>0</v>
      </c>
      <c r="J756" s="41" t="str">
        <f t="shared" si="62"/>
        <v/>
      </c>
      <c r="M756">
        <f>SUMIFS('Corporate activity'!$H:$H,'Corporate activity'!$D:$D,Formulas!$L756,'Corporate activity'!$C:$C,Formulas!M$2)</f>
        <v>0</v>
      </c>
      <c r="N756">
        <f>SUMIFS('Corporate activity'!$H:$H,'Corporate activity'!$D:$D,Formulas!$L756,'Corporate activity'!$C:$C,Formulas!N$2)</f>
        <v>0</v>
      </c>
      <c r="O756">
        <f>SUMIFS('Corporate activity'!$H:$H,'Corporate activity'!$D:$D,Formulas!$L756,'Corporate activity'!$C:$C,Formulas!O$2)</f>
        <v>0</v>
      </c>
      <c r="P756">
        <f t="shared" si="65"/>
        <v>0</v>
      </c>
      <c r="Q756" t="str">
        <f t="shared" si="63"/>
        <v/>
      </c>
    </row>
    <row r="757" spans="3:17" x14ac:dyDescent="0.25">
      <c r="C757">
        <f>SUMIFS(Issuance!$H:$H,Issuance!$D:$D,Formulas!$B757,Issuance!$C:$C,Formulas!C$2)</f>
        <v>0</v>
      </c>
      <c r="D757">
        <f>SUMIFS(Issuance!$H:$H,Issuance!$D:$D,Formulas!$B757,Issuance!$C:$C,Formulas!D$2)</f>
        <v>0</v>
      </c>
      <c r="E757">
        <f t="shared" si="64"/>
        <v>0</v>
      </c>
      <c r="F757" s="41" t="str">
        <f t="shared" si="61"/>
        <v/>
      </c>
      <c r="I757">
        <f>SUMIFS(Buybacks!H:H,Buybacks!D:D,Formulas!H757)</f>
        <v>0</v>
      </c>
      <c r="J757" s="41" t="str">
        <f t="shared" si="62"/>
        <v/>
      </c>
      <c r="M757">
        <f>SUMIFS('Corporate activity'!$H:$H,'Corporate activity'!$D:$D,Formulas!$L757,'Corporate activity'!$C:$C,Formulas!M$2)</f>
        <v>0</v>
      </c>
      <c r="N757">
        <f>SUMIFS('Corporate activity'!$H:$H,'Corporate activity'!$D:$D,Formulas!$L757,'Corporate activity'!$C:$C,Formulas!N$2)</f>
        <v>0</v>
      </c>
      <c r="O757">
        <f>SUMIFS('Corporate activity'!$H:$H,'Corporate activity'!$D:$D,Formulas!$L757,'Corporate activity'!$C:$C,Formulas!O$2)</f>
        <v>0</v>
      </c>
      <c r="P757">
        <f t="shared" si="65"/>
        <v>0</v>
      </c>
      <c r="Q757" t="str">
        <f t="shared" si="63"/>
        <v/>
      </c>
    </row>
    <row r="758" spans="3:17" x14ac:dyDescent="0.25">
      <c r="C758">
        <f>SUMIFS(Issuance!$H:$H,Issuance!$D:$D,Formulas!$B758,Issuance!$C:$C,Formulas!C$2)</f>
        <v>0</v>
      </c>
      <c r="D758">
        <f>SUMIFS(Issuance!$H:$H,Issuance!$D:$D,Formulas!$B758,Issuance!$C:$C,Formulas!D$2)</f>
        <v>0</v>
      </c>
      <c r="E758">
        <f t="shared" si="64"/>
        <v>0</v>
      </c>
      <c r="F758" s="41" t="str">
        <f t="shared" si="61"/>
        <v/>
      </c>
      <c r="I758">
        <f>SUMIFS(Buybacks!H:H,Buybacks!D:D,Formulas!H758)</f>
        <v>0</v>
      </c>
      <c r="J758" s="41" t="str">
        <f t="shared" si="62"/>
        <v/>
      </c>
      <c r="M758">
        <f>SUMIFS('Corporate activity'!$H:$H,'Corporate activity'!$D:$D,Formulas!$L758,'Corporate activity'!$C:$C,Formulas!M$2)</f>
        <v>0</v>
      </c>
      <c r="N758">
        <f>SUMIFS('Corporate activity'!$H:$H,'Corporate activity'!$D:$D,Formulas!$L758,'Corporate activity'!$C:$C,Formulas!N$2)</f>
        <v>0</v>
      </c>
      <c r="O758">
        <f>SUMIFS('Corporate activity'!$H:$H,'Corporate activity'!$D:$D,Formulas!$L758,'Corporate activity'!$C:$C,Formulas!O$2)</f>
        <v>0</v>
      </c>
      <c r="P758">
        <f t="shared" si="65"/>
        <v>0</v>
      </c>
      <c r="Q758" t="str">
        <f t="shared" si="63"/>
        <v/>
      </c>
    </row>
    <row r="759" spans="3:17" x14ac:dyDescent="0.25">
      <c r="C759">
        <f>SUMIFS(Issuance!$H:$H,Issuance!$D:$D,Formulas!$B759,Issuance!$C:$C,Formulas!C$2)</f>
        <v>0</v>
      </c>
      <c r="D759">
        <f>SUMIFS(Issuance!$H:$H,Issuance!$D:$D,Formulas!$B759,Issuance!$C:$C,Formulas!D$2)</f>
        <v>0</v>
      </c>
      <c r="E759">
        <f t="shared" si="64"/>
        <v>0</v>
      </c>
      <c r="F759" s="41" t="str">
        <f t="shared" si="61"/>
        <v/>
      </c>
      <c r="I759">
        <f>SUMIFS(Buybacks!H:H,Buybacks!D:D,Formulas!H759)</f>
        <v>0</v>
      </c>
      <c r="J759" s="41" t="str">
        <f t="shared" si="62"/>
        <v/>
      </c>
      <c r="M759">
        <f>SUMIFS('Corporate activity'!$H:$H,'Corporate activity'!$D:$D,Formulas!$L759,'Corporate activity'!$C:$C,Formulas!M$2)</f>
        <v>0</v>
      </c>
      <c r="N759">
        <f>SUMIFS('Corporate activity'!$H:$H,'Corporate activity'!$D:$D,Formulas!$L759,'Corporate activity'!$C:$C,Formulas!N$2)</f>
        <v>0</v>
      </c>
      <c r="O759">
        <f>SUMIFS('Corporate activity'!$H:$H,'Corporate activity'!$D:$D,Formulas!$L759,'Corporate activity'!$C:$C,Formulas!O$2)</f>
        <v>0</v>
      </c>
      <c r="P759">
        <f t="shared" si="65"/>
        <v>0</v>
      </c>
      <c r="Q759" t="str">
        <f t="shared" si="63"/>
        <v/>
      </c>
    </row>
    <row r="760" spans="3:17" x14ac:dyDescent="0.25">
      <c r="C760">
        <f>SUMIFS(Issuance!$H:$H,Issuance!$D:$D,Formulas!$B760,Issuance!$C:$C,Formulas!C$2)</f>
        <v>0</v>
      </c>
      <c r="D760">
        <f>SUMIFS(Issuance!$H:$H,Issuance!$D:$D,Formulas!$B760,Issuance!$C:$C,Formulas!D$2)</f>
        <v>0</v>
      </c>
      <c r="E760">
        <f t="shared" si="64"/>
        <v>0</v>
      </c>
      <c r="F760" s="41" t="str">
        <f t="shared" si="61"/>
        <v/>
      </c>
      <c r="I760">
        <f>SUMIFS(Buybacks!H:H,Buybacks!D:D,Formulas!H760)</f>
        <v>0</v>
      </c>
      <c r="J760" s="41" t="str">
        <f t="shared" si="62"/>
        <v/>
      </c>
      <c r="M760">
        <f>SUMIFS('Corporate activity'!$H:$H,'Corporate activity'!$D:$D,Formulas!$L760,'Corporate activity'!$C:$C,Formulas!M$2)</f>
        <v>0</v>
      </c>
      <c r="N760">
        <f>SUMIFS('Corporate activity'!$H:$H,'Corporate activity'!$D:$D,Formulas!$L760,'Corporate activity'!$C:$C,Formulas!N$2)</f>
        <v>0</v>
      </c>
      <c r="O760">
        <f>SUMIFS('Corporate activity'!$H:$H,'Corporate activity'!$D:$D,Formulas!$L760,'Corporate activity'!$C:$C,Formulas!O$2)</f>
        <v>0</v>
      </c>
      <c r="P760">
        <f t="shared" si="65"/>
        <v>0</v>
      </c>
      <c r="Q760" t="str">
        <f t="shared" si="63"/>
        <v/>
      </c>
    </row>
    <row r="761" spans="3:17" x14ac:dyDescent="0.25">
      <c r="C761">
        <f>SUMIFS(Issuance!$H:$H,Issuance!$D:$D,Formulas!$B761,Issuance!$C:$C,Formulas!C$2)</f>
        <v>0</v>
      </c>
      <c r="D761">
        <f>SUMIFS(Issuance!$H:$H,Issuance!$D:$D,Formulas!$B761,Issuance!$C:$C,Formulas!D$2)</f>
        <v>0</v>
      </c>
      <c r="E761">
        <f t="shared" si="64"/>
        <v>0</v>
      </c>
      <c r="F761" s="41" t="str">
        <f t="shared" si="61"/>
        <v/>
      </c>
      <c r="I761">
        <f>SUMIFS(Buybacks!H:H,Buybacks!D:D,Formulas!H761)</f>
        <v>0</v>
      </c>
      <c r="J761" s="41" t="str">
        <f t="shared" si="62"/>
        <v/>
      </c>
      <c r="M761">
        <f>SUMIFS('Corporate activity'!$H:$H,'Corporate activity'!$D:$D,Formulas!$L761,'Corporate activity'!$C:$C,Formulas!M$2)</f>
        <v>0</v>
      </c>
      <c r="N761">
        <f>SUMIFS('Corporate activity'!$H:$H,'Corporate activity'!$D:$D,Formulas!$L761,'Corporate activity'!$C:$C,Formulas!N$2)</f>
        <v>0</v>
      </c>
      <c r="O761">
        <f>SUMIFS('Corporate activity'!$H:$H,'Corporate activity'!$D:$D,Formulas!$L761,'Corporate activity'!$C:$C,Formulas!O$2)</f>
        <v>0</v>
      </c>
      <c r="P761">
        <f t="shared" si="65"/>
        <v>0</v>
      </c>
      <c r="Q761" t="str">
        <f t="shared" si="63"/>
        <v/>
      </c>
    </row>
    <row r="762" spans="3:17" x14ac:dyDescent="0.25">
      <c r="C762">
        <f>SUMIFS(Issuance!$H:$H,Issuance!$D:$D,Formulas!$B762,Issuance!$C:$C,Formulas!C$2)</f>
        <v>0</v>
      </c>
      <c r="D762">
        <f>SUMIFS(Issuance!$H:$H,Issuance!$D:$D,Formulas!$B762,Issuance!$C:$C,Formulas!D$2)</f>
        <v>0</v>
      </c>
      <c r="E762">
        <f t="shared" si="64"/>
        <v>0</v>
      </c>
      <c r="F762" s="41" t="str">
        <f t="shared" si="61"/>
        <v/>
      </c>
      <c r="I762">
        <f>SUMIFS(Buybacks!H:H,Buybacks!D:D,Formulas!H762)</f>
        <v>0</v>
      </c>
      <c r="J762" s="41" t="str">
        <f t="shared" si="62"/>
        <v/>
      </c>
      <c r="M762">
        <f>SUMIFS('Corporate activity'!$H:$H,'Corporate activity'!$D:$D,Formulas!$L762,'Corporate activity'!$C:$C,Formulas!M$2)</f>
        <v>0</v>
      </c>
      <c r="N762">
        <f>SUMIFS('Corporate activity'!$H:$H,'Corporate activity'!$D:$D,Formulas!$L762,'Corporate activity'!$C:$C,Formulas!N$2)</f>
        <v>0</v>
      </c>
      <c r="O762">
        <f>SUMIFS('Corporate activity'!$H:$H,'Corporate activity'!$D:$D,Formulas!$L762,'Corporate activity'!$C:$C,Formulas!O$2)</f>
        <v>0</v>
      </c>
      <c r="P762">
        <f t="shared" si="65"/>
        <v>0</v>
      </c>
      <c r="Q762" t="str">
        <f t="shared" si="63"/>
        <v/>
      </c>
    </row>
    <row r="763" spans="3:17" x14ac:dyDescent="0.25">
      <c r="C763">
        <f>SUMIFS(Issuance!$H:$H,Issuance!$D:$D,Formulas!$B763,Issuance!$C:$C,Formulas!C$2)</f>
        <v>0</v>
      </c>
      <c r="D763">
        <f>SUMIFS(Issuance!$H:$H,Issuance!$D:$D,Formulas!$B763,Issuance!$C:$C,Formulas!D$2)</f>
        <v>0</v>
      </c>
      <c r="E763">
        <f t="shared" si="64"/>
        <v>0</v>
      </c>
      <c r="F763" s="41" t="str">
        <f t="shared" si="61"/>
        <v/>
      </c>
      <c r="I763">
        <f>SUMIFS(Buybacks!H:H,Buybacks!D:D,Formulas!H763)</f>
        <v>0</v>
      </c>
      <c r="J763" s="41" t="str">
        <f t="shared" si="62"/>
        <v/>
      </c>
      <c r="M763">
        <f>SUMIFS('Corporate activity'!$H:$H,'Corporate activity'!$D:$D,Formulas!$L763,'Corporate activity'!$C:$C,Formulas!M$2)</f>
        <v>0</v>
      </c>
      <c r="N763">
        <f>SUMIFS('Corporate activity'!$H:$H,'Corporate activity'!$D:$D,Formulas!$L763,'Corporate activity'!$C:$C,Formulas!N$2)</f>
        <v>0</v>
      </c>
      <c r="O763">
        <f>SUMIFS('Corporate activity'!$H:$H,'Corporate activity'!$D:$D,Formulas!$L763,'Corporate activity'!$C:$C,Formulas!O$2)</f>
        <v>0</v>
      </c>
      <c r="P763">
        <f t="shared" si="65"/>
        <v>0</v>
      </c>
      <c r="Q763" t="str">
        <f t="shared" si="63"/>
        <v/>
      </c>
    </row>
    <row r="764" spans="3:17" x14ac:dyDescent="0.25">
      <c r="C764">
        <f>SUMIFS(Issuance!$H:$H,Issuance!$D:$D,Formulas!$B764,Issuance!$C:$C,Formulas!C$2)</f>
        <v>0</v>
      </c>
      <c r="D764">
        <f>SUMIFS(Issuance!$H:$H,Issuance!$D:$D,Formulas!$B764,Issuance!$C:$C,Formulas!D$2)</f>
        <v>0</v>
      </c>
      <c r="E764">
        <f t="shared" si="64"/>
        <v>0</v>
      </c>
      <c r="F764" s="41" t="str">
        <f t="shared" si="61"/>
        <v/>
      </c>
      <c r="I764">
        <f>SUMIFS(Buybacks!H:H,Buybacks!D:D,Formulas!H764)</f>
        <v>0</v>
      </c>
      <c r="J764" s="41" t="str">
        <f t="shared" si="62"/>
        <v/>
      </c>
      <c r="M764">
        <f>SUMIFS('Corporate activity'!$H:$H,'Corporate activity'!$D:$D,Formulas!$L764,'Corporate activity'!$C:$C,Formulas!M$2)</f>
        <v>0</v>
      </c>
      <c r="N764">
        <f>SUMIFS('Corporate activity'!$H:$H,'Corporate activity'!$D:$D,Formulas!$L764,'Corporate activity'!$C:$C,Formulas!N$2)</f>
        <v>0</v>
      </c>
      <c r="O764">
        <f>SUMIFS('Corporate activity'!$H:$H,'Corporate activity'!$D:$D,Formulas!$L764,'Corporate activity'!$C:$C,Formulas!O$2)</f>
        <v>0</v>
      </c>
      <c r="P764">
        <f t="shared" si="65"/>
        <v>0</v>
      </c>
      <c r="Q764" t="str">
        <f t="shared" si="63"/>
        <v/>
      </c>
    </row>
    <row r="765" spans="3:17" x14ac:dyDescent="0.25">
      <c r="C765">
        <f>SUMIFS(Issuance!$H:$H,Issuance!$D:$D,Formulas!$B765,Issuance!$C:$C,Formulas!C$2)</f>
        <v>0</v>
      </c>
      <c r="D765">
        <f>SUMIFS(Issuance!$H:$H,Issuance!$D:$D,Formulas!$B765,Issuance!$C:$C,Formulas!D$2)</f>
        <v>0</v>
      </c>
      <c r="E765">
        <f t="shared" si="64"/>
        <v>0</v>
      </c>
      <c r="F765" s="41" t="str">
        <f t="shared" si="61"/>
        <v/>
      </c>
      <c r="I765">
        <f>SUMIFS(Buybacks!H:H,Buybacks!D:D,Formulas!H765)</f>
        <v>0</v>
      </c>
      <c r="J765" s="41" t="str">
        <f t="shared" si="62"/>
        <v/>
      </c>
      <c r="M765">
        <f>SUMIFS('Corporate activity'!$H:$H,'Corporate activity'!$D:$D,Formulas!$L765,'Corporate activity'!$C:$C,Formulas!M$2)</f>
        <v>0</v>
      </c>
      <c r="N765">
        <f>SUMIFS('Corporate activity'!$H:$H,'Corporate activity'!$D:$D,Formulas!$L765,'Corporate activity'!$C:$C,Formulas!N$2)</f>
        <v>0</v>
      </c>
      <c r="O765">
        <f>SUMIFS('Corporate activity'!$H:$H,'Corporate activity'!$D:$D,Formulas!$L765,'Corporate activity'!$C:$C,Formulas!O$2)</f>
        <v>0</v>
      </c>
      <c r="P765">
        <f t="shared" si="65"/>
        <v>0</v>
      </c>
      <c r="Q765" t="str">
        <f t="shared" si="63"/>
        <v/>
      </c>
    </row>
    <row r="766" spans="3:17" x14ac:dyDescent="0.25">
      <c r="C766">
        <f>SUMIFS(Issuance!$H:$H,Issuance!$D:$D,Formulas!$B766,Issuance!$C:$C,Formulas!C$2)</f>
        <v>0</v>
      </c>
      <c r="D766">
        <f>SUMIFS(Issuance!$H:$H,Issuance!$D:$D,Formulas!$B766,Issuance!$C:$C,Formulas!D$2)</f>
        <v>0</v>
      </c>
      <c r="E766">
        <f t="shared" si="64"/>
        <v>0</v>
      </c>
      <c r="F766" s="41" t="str">
        <f t="shared" si="61"/>
        <v/>
      </c>
      <c r="I766">
        <f>SUMIFS(Buybacks!H:H,Buybacks!D:D,Formulas!H766)</f>
        <v>0</v>
      </c>
      <c r="J766" s="41" t="str">
        <f t="shared" si="62"/>
        <v/>
      </c>
      <c r="M766">
        <f>SUMIFS('Corporate activity'!$H:$H,'Corporate activity'!$D:$D,Formulas!$L766,'Corporate activity'!$C:$C,Formulas!M$2)</f>
        <v>0</v>
      </c>
      <c r="N766">
        <f>SUMIFS('Corporate activity'!$H:$H,'Corporate activity'!$D:$D,Formulas!$L766,'Corporate activity'!$C:$C,Formulas!N$2)</f>
        <v>0</v>
      </c>
      <c r="O766">
        <f>SUMIFS('Corporate activity'!$H:$H,'Corporate activity'!$D:$D,Formulas!$L766,'Corporate activity'!$C:$C,Formulas!O$2)</f>
        <v>0</v>
      </c>
      <c r="P766">
        <f t="shared" si="65"/>
        <v>0</v>
      </c>
      <c r="Q766" t="str">
        <f t="shared" si="63"/>
        <v/>
      </c>
    </row>
    <row r="767" spans="3:17" x14ac:dyDescent="0.25">
      <c r="C767">
        <f>SUMIFS(Issuance!$H:$H,Issuance!$D:$D,Formulas!$B767,Issuance!$C:$C,Formulas!C$2)</f>
        <v>0</v>
      </c>
      <c r="D767">
        <f>SUMIFS(Issuance!$H:$H,Issuance!$D:$D,Formulas!$B767,Issuance!$C:$C,Formulas!D$2)</f>
        <v>0</v>
      </c>
      <c r="E767">
        <f t="shared" si="64"/>
        <v>0</v>
      </c>
      <c r="F767" s="41" t="str">
        <f t="shared" si="61"/>
        <v/>
      </c>
      <c r="I767">
        <f>SUMIFS(Buybacks!H:H,Buybacks!D:D,Formulas!H767)</f>
        <v>0</v>
      </c>
      <c r="J767" s="41" t="str">
        <f t="shared" si="62"/>
        <v/>
      </c>
      <c r="M767">
        <f>SUMIFS('Corporate activity'!$H:$H,'Corporate activity'!$D:$D,Formulas!$L767,'Corporate activity'!$C:$C,Formulas!M$2)</f>
        <v>0</v>
      </c>
      <c r="N767">
        <f>SUMIFS('Corporate activity'!$H:$H,'Corporate activity'!$D:$D,Formulas!$L767,'Corporate activity'!$C:$C,Formulas!N$2)</f>
        <v>0</v>
      </c>
      <c r="O767">
        <f>SUMIFS('Corporate activity'!$H:$H,'Corporate activity'!$D:$D,Formulas!$L767,'Corporate activity'!$C:$C,Formulas!O$2)</f>
        <v>0</v>
      </c>
      <c r="P767">
        <f t="shared" si="65"/>
        <v>0</v>
      </c>
      <c r="Q767" t="str">
        <f t="shared" si="63"/>
        <v/>
      </c>
    </row>
    <row r="768" spans="3:17" x14ac:dyDescent="0.25">
      <c r="C768">
        <f>SUMIFS(Issuance!$H:$H,Issuance!$D:$D,Formulas!$B768,Issuance!$C:$C,Formulas!C$2)</f>
        <v>0</v>
      </c>
      <c r="D768">
        <f>SUMIFS(Issuance!$H:$H,Issuance!$D:$D,Formulas!$B768,Issuance!$C:$C,Formulas!D$2)</f>
        <v>0</v>
      </c>
      <c r="E768">
        <f t="shared" si="64"/>
        <v>0</v>
      </c>
      <c r="F768" s="41" t="str">
        <f t="shared" si="61"/>
        <v/>
      </c>
      <c r="I768">
        <f>SUMIFS(Buybacks!H:H,Buybacks!D:D,Formulas!H768)</f>
        <v>0</v>
      </c>
      <c r="J768" s="41" t="str">
        <f t="shared" si="62"/>
        <v/>
      </c>
      <c r="M768">
        <f>SUMIFS('Corporate activity'!$H:$H,'Corporate activity'!$D:$D,Formulas!$L768,'Corporate activity'!$C:$C,Formulas!M$2)</f>
        <v>0</v>
      </c>
      <c r="N768">
        <f>SUMIFS('Corporate activity'!$H:$H,'Corporate activity'!$D:$D,Formulas!$L768,'Corporate activity'!$C:$C,Formulas!N$2)</f>
        <v>0</v>
      </c>
      <c r="O768">
        <f>SUMIFS('Corporate activity'!$H:$H,'Corporate activity'!$D:$D,Formulas!$L768,'Corporate activity'!$C:$C,Formulas!O$2)</f>
        <v>0</v>
      </c>
      <c r="P768">
        <f t="shared" si="65"/>
        <v>0</v>
      </c>
      <c r="Q768" t="str">
        <f t="shared" si="63"/>
        <v/>
      </c>
    </row>
    <row r="769" spans="3:17" x14ac:dyDescent="0.25">
      <c r="C769">
        <f>SUMIFS(Issuance!$H:$H,Issuance!$D:$D,Formulas!$B769,Issuance!$C:$C,Formulas!C$2)</f>
        <v>0</v>
      </c>
      <c r="D769">
        <f>SUMIFS(Issuance!$H:$H,Issuance!$D:$D,Formulas!$B769,Issuance!$C:$C,Formulas!D$2)</f>
        <v>0</v>
      </c>
      <c r="E769">
        <f t="shared" si="64"/>
        <v>0</v>
      </c>
      <c r="F769" s="41" t="str">
        <f t="shared" si="61"/>
        <v/>
      </c>
      <c r="I769">
        <f>SUMIFS(Buybacks!H:H,Buybacks!D:D,Formulas!H769)</f>
        <v>0</v>
      </c>
      <c r="J769" s="41" t="str">
        <f t="shared" si="62"/>
        <v/>
      </c>
      <c r="M769">
        <f>SUMIFS('Corporate activity'!$H:$H,'Corporate activity'!$D:$D,Formulas!$L769,'Corporate activity'!$C:$C,Formulas!M$2)</f>
        <v>0</v>
      </c>
      <c r="N769">
        <f>SUMIFS('Corporate activity'!$H:$H,'Corporate activity'!$D:$D,Formulas!$L769,'Corporate activity'!$C:$C,Formulas!N$2)</f>
        <v>0</v>
      </c>
      <c r="O769">
        <f>SUMIFS('Corporate activity'!$H:$H,'Corporate activity'!$D:$D,Formulas!$L769,'Corporate activity'!$C:$C,Formulas!O$2)</f>
        <v>0</v>
      </c>
      <c r="P769">
        <f t="shared" si="65"/>
        <v>0</v>
      </c>
      <c r="Q769" t="str">
        <f t="shared" si="63"/>
        <v/>
      </c>
    </row>
    <row r="770" spans="3:17" x14ac:dyDescent="0.25">
      <c r="C770">
        <f>SUMIFS(Issuance!$H:$H,Issuance!$D:$D,Formulas!$B770,Issuance!$C:$C,Formulas!C$2)</f>
        <v>0</v>
      </c>
      <c r="D770">
        <f>SUMIFS(Issuance!$H:$H,Issuance!$D:$D,Formulas!$B770,Issuance!$C:$C,Formulas!D$2)</f>
        <v>0</v>
      </c>
      <c r="E770">
        <f t="shared" si="64"/>
        <v>0</v>
      </c>
      <c r="F770" s="41" t="str">
        <f t="shared" si="61"/>
        <v/>
      </c>
      <c r="I770">
        <f>SUMIFS(Buybacks!H:H,Buybacks!D:D,Formulas!H770)</f>
        <v>0</v>
      </c>
      <c r="J770" s="41" t="str">
        <f t="shared" si="62"/>
        <v/>
      </c>
      <c r="M770">
        <f>SUMIFS('Corporate activity'!$H:$H,'Corporate activity'!$D:$D,Formulas!$L770,'Corporate activity'!$C:$C,Formulas!M$2)</f>
        <v>0</v>
      </c>
      <c r="N770">
        <f>SUMIFS('Corporate activity'!$H:$H,'Corporate activity'!$D:$D,Formulas!$L770,'Corporate activity'!$C:$C,Formulas!N$2)</f>
        <v>0</v>
      </c>
      <c r="O770">
        <f>SUMIFS('Corporate activity'!$H:$H,'Corporate activity'!$D:$D,Formulas!$L770,'Corporate activity'!$C:$C,Formulas!O$2)</f>
        <v>0</v>
      </c>
      <c r="P770">
        <f t="shared" si="65"/>
        <v>0</v>
      </c>
      <c r="Q770" t="str">
        <f t="shared" si="63"/>
        <v/>
      </c>
    </row>
    <row r="771" spans="3:17" x14ac:dyDescent="0.25">
      <c r="C771">
        <f>SUMIFS(Issuance!$H:$H,Issuance!$D:$D,Formulas!$B771,Issuance!$C:$C,Formulas!C$2)</f>
        <v>0</v>
      </c>
      <c r="D771">
        <f>SUMIFS(Issuance!$H:$H,Issuance!$D:$D,Formulas!$B771,Issuance!$C:$C,Formulas!D$2)</f>
        <v>0</v>
      </c>
      <c r="E771">
        <f t="shared" si="64"/>
        <v>0</v>
      </c>
      <c r="F771" s="41" t="str">
        <f t="shared" si="61"/>
        <v/>
      </c>
      <c r="I771">
        <f>SUMIFS(Buybacks!H:H,Buybacks!D:D,Formulas!H771)</f>
        <v>0</v>
      </c>
      <c r="J771" s="41" t="str">
        <f t="shared" si="62"/>
        <v/>
      </c>
      <c r="M771">
        <f>SUMIFS('Corporate activity'!$H:$H,'Corporate activity'!$D:$D,Formulas!$L771,'Corporate activity'!$C:$C,Formulas!M$2)</f>
        <v>0</v>
      </c>
      <c r="N771">
        <f>SUMIFS('Corporate activity'!$H:$H,'Corporate activity'!$D:$D,Formulas!$L771,'Corporate activity'!$C:$C,Formulas!N$2)</f>
        <v>0</v>
      </c>
      <c r="O771">
        <f>SUMIFS('Corporate activity'!$H:$H,'Corporate activity'!$D:$D,Formulas!$L771,'Corporate activity'!$C:$C,Formulas!O$2)</f>
        <v>0</v>
      </c>
      <c r="P771">
        <f t="shared" si="65"/>
        <v>0</v>
      </c>
      <c r="Q771" t="str">
        <f t="shared" si="63"/>
        <v/>
      </c>
    </row>
    <row r="772" spans="3:17" x14ac:dyDescent="0.25">
      <c r="C772">
        <f>SUMIFS(Issuance!$H:$H,Issuance!$D:$D,Formulas!$B772,Issuance!$C:$C,Formulas!C$2)</f>
        <v>0</v>
      </c>
      <c r="D772">
        <f>SUMIFS(Issuance!$H:$H,Issuance!$D:$D,Formulas!$B772,Issuance!$C:$C,Formulas!D$2)</f>
        <v>0</v>
      </c>
      <c r="E772">
        <f t="shared" si="64"/>
        <v>0</v>
      </c>
      <c r="F772" s="41" t="str">
        <f t="shared" ref="F772:F835" si="66">IF(OR(B772="",B772=0,E772=0),"",IF(COUNTIFS($E$3:$E$500,"&gt;"&amp;E772,$E$3:$E$500,"&lt;&gt;0")+1&lt;=20,COUNTIFS($E$3:$E$500,"&gt;"&amp;E772,$E$3:$E$500,"&lt;&gt;0")+1,""))</f>
        <v/>
      </c>
      <c r="I772">
        <f>SUMIFS(Buybacks!H:H,Buybacks!D:D,Formulas!H772)</f>
        <v>0</v>
      </c>
      <c r="J772" s="41" t="str">
        <f t="shared" ref="J772:J835" si="67">IF(OR(H772="",H772=0,I772=0),"",IF(COUNTIFS($I$3:$I$500,"&lt;"&amp;I772,$I$3:$I$500,"&lt;&gt;0")+1&lt;=20,COUNTIFS($I$3:$I$500,"&lt;"&amp;I772,$I$3:$I$500,"&lt;&gt;0")+1,""))</f>
        <v/>
      </c>
      <c r="M772">
        <f>SUMIFS('Corporate activity'!$H:$H,'Corporate activity'!$D:$D,Formulas!$L772,'Corporate activity'!$C:$C,Formulas!M$2)</f>
        <v>0</v>
      </c>
      <c r="N772">
        <f>SUMIFS('Corporate activity'!$H:$H,'Corporate activity'!$D:$D,Formulas!$L772,'Corporate activity'!$C:$C,Formulas!N$2)</f>
        <v>0</v>
      </c>
      <c r="O772">
        <f>SUMIFS('Corporate activity'!$H:$H,'Corporate activity'!$D:$D,Formulas!$L772,'Corporate activity'!$C:$C,Formulas!O$2)</f>
        <v>0</v>
      </c>
      <c r="P772">
        <f t="shared" si="65"/>
        <v>0</v>
      </c>
      <c r="Q772" t="str">
        <f t="shared" si="63"/>
        <v/>
      </c>
    </row>
    <row r="773" spans="3:17" x14ac:dyDescent="0.25">
      <c r="C773">
        <f>SUMIFS(Issuance!$H:$H,Issuance!$D:$D,Formulas!$B773,Issuance!$C:$C,Formulas!C$2)</f>
        <v>0</v>
      </c>
      <c r="D773">
        <f>SUMIFS(Issuance!$H:$H,Issuance!$D:$D,Formulas!$B773,Issuance!$C:$C,Formulas!D$2)</f>
        <v>0</v>
      </c>
      <c r="E773">
        <f t="shared" si="64"/>
        <v>0</v>
      </c>
      <c r="F773" s="41" t="str">
        <f t="shared" si="66"/>
        <v/>
      </c>
      <c r="I773">
        <f>SUMIFS(Buybacks!H:H,Buybacks!D:D,Formulas!H773)</f>
        <v>0</v>
      </c>
      <c r="J773" s="41" t="str">
        <f t="shared" si="67"/>
        <v/>
      </c>
      <c r="M773">
        <f>SUMIFS('Corporate activity'!$H:$H,'Corporate activity'!$D:$D,Formulas!$L773,'Corporate activity'!$C:$C,Formulas!M$2)</f>
        <v>0</v>
      </c>
      <c r="N773">
        <f>SUMIFS('Corporate activity'!$H:$H,'Corporate activity'!$D:$D,Formulas!$L773,'Corporate activity'!$C:$C,Formulas!N$2)</f>
        <v>0</v>
      </c>
      <c r="O773">
        <f>SUMIFS('Corporate activity'!$H:$H,'Corporate activity'!$D:$D,Formulas!$L773,'Corporate activity'!$C:$C,Formulas!O$2)</f>
        <v>0</v>
      </c>
      <c r="P773">
        <f t="shared" si="65"/>
        <v>0</v>
      </c>
      <c r="Q773" t="str">
        <f t="shared" si="63"/>
        <v/>
      </c>
    </row>
    <row r="774" spans="3:17" x14ac:dyDescent="0.25">
      <c r="C774">
        <f>SUMIFS(Issuance!$H:$H,Issuance!$D:$D,Formulas!$B774,Issuance!$C:$C,Formulas!C$2)</f>
        <v>0</v>
      </c>
      <c r="D774">
        <f>SUMIFS(Issuance!$H:$H,Issuance!$D:$D,Formulas!$B774,Issuance!$C:$C,Formulas!D$2)</f>
        <v>0</v>
      </c>
      <c r="E774">
        <f t="shared" si="64"/>
        <v>0</v>
      </c>
      <c r="F774" s="41" t="str">
        <f t="shared" si="66"/>
        <v/>
      </c>
      <c r="I774">
        <f>SUMIFS(Buybacks!H:H,Buybacks!D:D,Formulas!H774)</f>
        <v>0</v>
      </c>
      <c r="J774" s="41" t="str">
        <f t="shared" si="67"/>
        <v/>
      </c>
      <c r="M774">
        <f>SUMIFS('Corporate activity'!$H:$H,'Corporate activity'!$D:$D,Formulas!$L774,'Corporate activity'!$C:$C,Formulas!M$2)</f>
        <v>0</v>
      </c>
      <c r="N774">
        <f>SUMIFS('Corporate activity'!$H:$H,'Corporate activity'!$D:$D,Formulas!$L774,'Corporate activity'!$C:$C,Formulas!N$2)</f>
        <v>0</v>
      </c>
      <c r="O774">
        <f>SUMIFS('Corporate activity'!$H:$H,'Corporate activity'!$D:$D,Formulas!$L774,'Corporate activity'!$C:$C,Formulas!O$2)</f>
        <v>0</v>
      </c>
      <c r="P774">
        <f t="shared" si="65"/>
        <v>0</v>
      </c>
      <c r="Q774" t="str">
        <f t="shared" si="63"/>
        <v/>
      </c>
    </row>
    <row r="775" spans="3:17" x14ac:dyDescent="0.25">
      <c r="C775">
        <f>SUMIFS(Issuance!$H:$H,Issuance!$D:$D,Formulas!$B775,Issuance!$C:$C,Formulas!C$2)</f>
        <v>0</v>
      </c>
      <c r="D775">
        <f>SUMIFS(Issuance!$H:$H,Issuance!$D:$D,Formulas!$B775,Issuance!$C:$C,Formulas!D$2)</f>
        <v>0</v>
      </c>
      <c r="E775">
        <f t="shared" si="64"/>
        <v>0</v>
      </c>
      <c r="F775" s="41" t="str">
        <f t="shared" si="66"/>
        <v/>
      </c>
      <c r="I775">
        <f>SUMIFS(Buybacks!H:H,Buybacks!D:D,Formulas!H775)</f>
        <v>0</v>
      </c>
      <c r="J775" s="41" t="str">
        <f t="shared" si="67"/>
        <v/>
      </c>
      <c r="M775">
        <f>SUMIFS('Corporate activity'!$H:$H,'Corporate activity'!$D:$D,Formulas!$L775,'Corporate activity'!$C:$C,Formulas!M$2)</f>
        <v>0</v>
      </c>
      <c r="N775">
        <f>SUMIFS('Corporate activity'!$H:$H,'Corporate activity'!$D:$D,Formulas!$L775,'Corporate activity'!$C:$C,Formulas!N$2)</f>
        <v>0</v>
      </c>
      <c r="O775">
        <f>SUMIFS('Corporate activity'!$H:$H,'Corporate activity'!$D:$D,Formulas!$L775,'Corporate activity'!$C:$C,Formulas!O$2)</f>
        <v>0</v>
      </c>
      <c r="P775">
        <f t="shared" si="65"/>
        <v>0</v>
      </c>
      <c r="Q775" t="str">
        <f t="shared" si="63"/>
        <v/>
      </c>
    </row>
    <row r="776" spans="3:17" x14ac:dyDescent="0.25">
      <c r="C776">
        <f>SUMIFS(Issuance!$H:$H,Issuance!$D:$D,Formulas!$B776,Issuance!$C:$C,Formulas!C$2)</f>
        <v>0</v>
      </c>
      <c r="D776">
        <f>SUMIFS(Issuance!$H:$H,Issuance!$D:$D,Formulas!$B776,Issuance!$C:$C,Formulas!D$2)</f>
        <v>0</v>
      </c>
      <c r="E776">
        <f t="shared" si="64"/>
        <v>0</v>
      </c>
      <c r="F776" s="41" t="str">
        <f t="shared" si="66"/>
        <v/>
      </c>
      <c r="I776">
        <f>SUMIFS(Buybacks!H:H,Buybacks!D:D,Formulas!H776)</f>
        <v>0</v>
      </c>
      <c r="J776" s="41" t="str">
        <f t="shared" si="67"/>
        <v/>
      </c>
      <c r="M776">
        <f>SUMIFS('Corporate activity'!$H:$H,'Corporate activity'!$D:$D,Formulas!$L776,'Corporate activity'!$C:$C,Formulas!M$2)</f>
        <v>0</v>
      </c>
      <c r="N776">
        <f>SUMIFS('Corporate activity'!$H:$H,'Corporate activity'!$D:$D,Formulas!$L776,'Corporate activity'!$C:$C,Formulas!N$2)</f>
        <v>0</v>
      </c>
      <c r="O776">
        <f>SUMIFS('Corporate activity'!$H:$H,'Corporate activity'!$D:$D,Formulas!$L776,'Corporate activity'!$C:$C,Formulas!O$2)</f>
        <v>0</v>
      </c>
      <c r="P776">
        <f t="shared" si="65"/>
        <v>0</v>
      </c>
      <c r="Q776" t="str">
        <f t="shared" si="63"/>
        <v/>
      </c>
    </row>
    <row r="777" spans="3:17" x14ac:dyDescent="0.25">
      <c r="C777">
        <f>SUMIFS(Issuance!$H:$H,Issuance!$D:$D,Formulas!$B777,Issuance!$C:$C,Formulas!C$2)</f>
        <v>0</v>
      </c>
      <c r="D777">
        <f>SUMIFS(Issuance!$H:$H,Issuance!$D:$D,Formulas!$B777,Issuance!$C:$C,Formulas!D$2)</f>
        <v>0</v>
      </c>
      <c r="E777">
        <f t="shared" si="64"/>
        <v>0</v>
      </c>
      <c r="F777" s="41" t="str">
        <f t="shared" si="66"/>
        <v/>
      </c>
      <c r="I777">
        <f>SUMIFS(Buybacks!H:H,Buybacks!D:D,Formulas!H777)</f>
        <v>0</v>
      </c>
      <c r="J777" s="41" t="str">
        <f t="shared" si="67"/>
        <v/>
      </c>
      <c r="M777">
        <f>SUMIFS('Corporate activity'!$H:$H,'Corporate activity'!$D:$D,Formulas!$L777,'Corporate activity'!$C:$C,Formulas!M$2)</f>
        <v>0</v>
      </c>
      <c r="N777">
        <f>SUMIFS('Corporate activity'!$H:$H,'Corporate activity'!$D:$D,Formulas!$L777,'Corporate activity'!$C:$C,Formulas!N$2)</f>
        <v>0</v>
      </c>
      <c r="O777">
        <f>SUMIFS('Corporate activity'!$H:$H,'Corporate activity'!$D:$D,Formulas!$L777,'Corporate activity'!$C:$C,Formulas!O$2)</f>
        <v>0</v>
      </c>
      <c r="P777">
        <f t="shared" si="65"/>
        <v>0</v>
      </c>
      <c r="Q777" t="str">
        <f t="shared" si="63"/>
        <v/>
      </c>
    </row>
    <row r="778" spans="3:17" x14ac:dyDescent="0.25">
      <c r="C778">
        <f>SUMIFS(Issuance!$H:$H,Issuance!$D:$D,Formulas!$B778,Issuance!$C:$C,Formulas!C$2)</f>
        <v>0</v>
      </c>
      <c r="D778">
        <f>SUMIFS(Issuance!$H:$H,Issuance!$D:$D,Formulas!$B778,Issuance!$C:$C,Formulas!D$2)</f>
        <v>0</v>
      </c>
      <c r="E778">
        <f t="shared" si="64"/>
        <v>0</v>
      </c>
      <c r="F778" s="41" t="str">
        <f t="shared" si="66"/>
        <v/>
      </c>
      <c r="I778">
        <f>SUMIFS(Buybacks!H:H,Buybacks!D:D,Formulas!H778)</f>
        <v>0</v>
      </c>
      <c r="J778" s="41" t="str">
        <f t="shared" si="67"/>
        <v/>
      </c>
      <c r="M778">
        <f>SUMIFS('Corporate activity'!$H:$H,'Corporate activity'!$D:$D,Formulas!$L778,'Corporate activity'!$C:$C,Formulas!M$2)</f>
        <v>0</v>
      </c>
      <c r="N778">
        <f>SUMIFS('Corporate activity'!$H:$H,'Corporate activity'!$D:$D,Formulas!$L778,'Corporate activity'!$C:$C,Formulas!N$2)</f>
        <v>0</v>
      </c>
      <c r="O778">
        <f>SUMIFS('Corporate activity'!$H:$H,'Corporate activity'!$D:$D,Formulas!$L778,'Corporate activity'!$C:$C,Formulas!O$2)</f>
        <v>0</v>
      </c>
      <c r="P778">
        <f t="shared" si="65"/>
        <v>0</v>
      </c>
      <c r="Q778" t="str">
        <f t="shared" si="63"/>
        <v/>
      </c>
    </row>
    <row r="779" spans="3:17" x14ac:dyDescent="0.25">
      <c r="C779">
        <f>SUMIFS(Issuance!$H:$H,Issuance!$D:$D,Formulas!$B779,Issuance!$C:$C,Formulas!C$2)</f>
        <v>0</v>
      </c>
      <c r="D779">
        <f>SUMIFS(Issuance!$H:$H,Issuance!$D:$D,Formulas!$B779,Issuance!$C:$C,Formulas!D$2)</f>
        <v>0</v>
      </c>
      <c r="E779">
        <f t="shared" si="64"/>
        <v>0</v>
      </c>
      <c r="F779" s="41" t="str">
        <f t="shared" si="66"/>
        <v/>
      </c>
      <c r="I779">
        <f>SUMIFS(Buybacks!H:H,Buybacks!D:D,Formulas!H779)</f>
        <v>0</v>
      </c>
      <c r="J779" s="41" t="str">
        <f t="shared" si="67"/>
        <v/>
      </c>
      <c r="M779">
        <f>SUMIFS('Corporate activity'!$H:$H,'Corporate activity'!$D:$D,Formulas!$L779,'Corporate activity'!$C:$C,Formulas!M$2)</f>
        <v>0</v>
      </c>
      <c r="N779">
        <f>SUMIFS('Corporate activity'!$H:$H,'Corporate activity'!$D:$D,Formulas!$L779,'Corporate activity'!$C:$C,Formulas!N$2)</f>
        <v>0</v>
      </c>
      <c r="O779">
        <f>SUMIFS('Corporate activity'!$H:$H,'Corporate activity'!$D:$D,Formulas!$L779,'Corporate activity'!$C:$C,Formulas!O$2)</f>
        <v>0</v>
      </c>
      <c r="P779">
        <f t="shared" si="65"/>
        <v>0</v>
      </c>
      <c r="Q779" t="str">
        <f t="shared" si="63"/>
        <v/>
      </c>
    </row>
    <row r="780" spans="3:17" x14ac:dyDescent="0.25">
      <c r="C780">
        <f>SUMIFS(Issuance!$H:$H,Issuance!$D:$D,Formulas!$B780,Issuance!$C:$C,Formulas!C$2)</f>
        <v>0</v>
      </c>
      <c r="D780">
        <f>SUMIFS(Issuance!$H:$H,Issuance!$D:$D,Formulas!$B780,Issuance!$C:$C,Formulas!D$2)</f>
        <v>0</v>
      </c>
      <c r="E780">
        <f t="shared" si="64"/>
        <v>0</v>
      </c>
      <c r="F780" s="41" t="str">
        <f t="shared" si="66"/>
        <v/>
      </c>
      <c r="I780">
        <f>SUMIFS(Buybacks!H:H,Buybacks!D:D,Formulas!H780)</f>
        <v>0</v>
      </c>
      <c r="J780" s="41" t="str">
        <f t="shared" si="67"/>
        <v/>
      </c>
      <c r="M780">
        <f>SUMIFS('Corporate activity'!$H:$H,'Corporate activity'!$D:$D,Formulas!$L780,'Corporate activity'!$C:$C,Formulas!M$2)</f>
        <v>0</v>
      </c>
      <c r="N780">
        <f>SUMIFS('Corporate activity'!$H:$H,'Corporate activity'!$D:$D,Formulas!$L780,'Corporate activity'!$C:$C,Formulas!N$2)</f>
        <v>0</v>
      </c>
      <c r="O780">
        <f>SUMIFS('Corporate activity'!$H:$H,'Corporate activity'!$D:$D,Formulas!$L780,'Corporate activity'!$C:$C,Formulas!O$2)</f>
        <v>0</v>
      </c>
      <c r="P780">
        <f t="shared" si="65"/>
        <v>0</v>
      </c>
      <c r="Q780" t="str">
        <f t="shared" si="63"/>
        <v/>
      </c>
    </row>
    <row r="781" spans="3:17" x14ac:dyDescent="0.25">
      <c r="C781">
        <f>SUMIFS(Issuance!$H:$H,Issuance!$D:$D,Formulas!$B781,Issuance!$C:$C,Formulas!C$2)</f>
        <v>0</v>
      </c>
      <c r="D781">
        <f>SUMIFS(Issuance!$H:$H,Issuance!$D:$D,Formulas!$B781,Issuance!$C:$C,Formulas!D$2)</f>
        <v>0</v>
      </c>
      <c r="E781">
        <f t="shared" si="64"/>
        <v>0</v>
      </c>
      <c r="F781" s="41" t="str">
        <f t="shared" si="66"/>
        <v/>
      </c>
      <c r="I781">
        <f>SUMIFS(Buybacks!H:H,Buybacks!D:D,Formulas!H781)</f>
        <v>0</v>
      </c>
      <c r="J781" s="41" t="str">
        <f t="shared" si="67"/>
        <v/>
      </c>
      <c r="M781">
        <f>SUMIFS('Corporate activity'!$H:$H,'Corporate activity'!$D:$D,Formulas!$L781,'Corporate activity'!$C:$C,Formulas!M$2)</f>
        <v>0</v>
      </c>
      <c r="N781">
        <f>SUMIFS('Corporate activity'!$H:$H,'Corporate activity'!$D:$D,Formulas!$L781,'Corporate activity'!$C:$C,Formulas!N$2)</f>
        <v>0</v>
      </c>
      <c r="O781">
        <f>SUMIFS('Corporate activity'!$H:$H,'Corporate activity'!$D:$D,Formulas!$L781,'Corporate activity'!$C:$C,Formulas!O$2)</f>
        <v>0</v>
      </c>
      <c r="P781">
        <f t="shared" si="65"/>
        <v>0</v>
      </c>
      <c r="Q781" t="str">
        <f t="shared" si="63"/>
        <v/>
      </c>
    </row>
    <row r="782" spans="3:17" x14ac:dyDescent="0.25">
      <c r="C782">
        <f>SUMIFS(Issuance!$H:$H,Issuance!$D:$D,Formulas!$B782,Issuance!$C:$C,Formulas!C$2)</f>
        <v>0</v>
      </c>
      <c r="D782">
        <f>SUMIFS(Issuance!$H:$H,Issuance!$D:$D,Formulas!$B782,Issuance!$C:$C,Formulas!D$2)</f>
        <v>0</v>
      </c>
      <c r="E782">
        <f t="shared" si="64"/>
        <v>0</v>
      </c>
      <c r="F782" s="41" t="str">
        <f t="shared" si="66"/>
        <v/>
      </c>
      <c r="I782">
        <f>SUMIFS(Buybacks!H:H,Buybacks!D:D,Formulas!H782)</f>
        <v>0</v>
      </c>
      <c r="J782" s="41" t="str">
        <f t="shared" si="67"/>
        <v/>
      </c>
      <c r="M782">
        <f>SUMIFS('Corporate activity'!$H:$H,'Corporate activity'!$D:$D,Formulas!$L782,'Corporate activity'!$C:$C,Formulas!M$2)</f>
        <v>0</v>
      </c>
      <c r="N782">
        <f>SUMIFS('Corporate activity'!$H:$H,'Corporate activity'!$D:$D,Formulas!$L782,'Corporate activity'!$C:$C,Formulas!N$2)</f>
        <v>0</v>
      </c>
      <c r="O782">
        <f>SUMIFS('Corporate activity'!$H:$H,'Corporate activity'!$D:$D,Formulas!$L782,'Corporate activity'!$C:$C,Formulas!O$2)</f>
        <v>0</v>
      </c>
      <c r="P782">
        <f t="shared" si="65"/>
        <v>0</v>
      </c>
      <c r="Q782" t="str">
        <f t="shared" si="63"/>
        <v/>
      </c>
    </row>
    <row r="783" spans="3:17" x14ac:dyDescent="0.25">
      <c r="C783">
        <f>SUMIFS(Issuance!$H:$H,Issuance!$D:$D,Formulas!$B783,Issuance!$C:$C,Formulas!C$2)</f>
        <v>0</v>
      </c>
      <c r="D783">
        <f>SUMIFS(Issuance!$H:$H,Issuance!$D:$D,Formulas!$B783,Issuance!$C:$C,Formulas!D$2)</f>
        <v>0</v>
      </c>
      <c r="E783">
        <f t="shared" si="64"/>
        <v>0</v>
      </c>
      <c r="F783" s="41" t="str">
        <f t="shared" si="66"/>
        <v/>
      </c>
      <c r="I783">
        <f>SUMIFS(Buybacks!H:H,Buybacks!D:D,Formulas!H783)</f>
        <v>0</v>
      </c>
      <c r="J783" s="41" t="str">
        <f t="shared" si="67"/>
        <v/>
      </c>
      <c r="M783">
        <f>SUMIFS('Corporate activity'!$H:$H,'Corporate activity'!$D:$D,Formulas!$L783,'Corporate activity'!$C:$C,Formulas!M$2)</f>
        <v>0</v>
      </c>
      <c r="N783">
        <f>SUMIFS('Corporate activity'!$H:$H,'Corporate activity'!$D:$D,Formulas!$L783,'Corporate activity'!$C:$C,Formulas!N$2)</f>
        <v>0</v>
      </c>
      <c r="O783">
        <f>SUMIFS('Corporate activity'!$H:$H,'Corporate activity'!$D:$D,Formulas!$L783,'Corporate activity'!$C:$C,Formulas!O$2)</f>
        <v>0</v>
      </c>
      <c r="P783">
        <f t="shared" si="65"/>
        <v>0</v>
      </c>
      <c r="Q783" t="str">
        <f t="shared" si="63"/>
        <v/>
      </c>
    </row>
    <row r="784" spans="3:17" x14ac:dyDescent="0.25">
      <c r="C784">
        <f>SUMIFS(Issuance!$H:$H,Issuance!$D:$D,Formulas!$B784,Issuance!$C:$C,Formulas!C$2)</f>
        <v>0</v>
      </c>
      <c r="D784">
        <f>SUMIFS(Issuance!$H:$H,Issuance!$D:$D,Formulas!$B784,Issuance!$C:$C,Formulas!D$2)</f>
        <v>0</v>
      </c>
      <c r="E784">
        <f t="shared" si="64"/>
        <v>0</v>
      </c>
      <c r="F784" s="41" t="str">
        <f t="shared" si="66"/>
        <v/>
      </c>
      <c r="I784">
        <f>SUMIFS(Buybacks!H:H,Buybacks!D:D,Formulas!H784)</f>
        <v>0</v>
      </c>
      <c r="J784" s="41" t="str">
        <f t="shared" si="67"/>
        <v/>
      </c>
      <c r="M784">
        <f>SUMIFS('Corporate activity'!$H:$H,'Corporate activity'!$D:$D,Formulas!$L784,'Corporate activity'!$C:$C,Formulas!M$2)</f>
        <v>0</v>
      </c>
      <c r="N784">
        <f>SUMIFS('Corporate activity'!$H:$H,'Corporate activity'!$D:$D,Formulas!$L784,'Corporate activity'!$C:$C,Formulas!N$2)</f>
        <v>0</v>
      </c>
      <c r="O784">
        <f>SUMIFS('Corporate activity'!$H:$H,'Corporate activity'!$D:$D,Formulas!$L784,'Corporate activity'!$C:$C,Formulas!O$2)</f>
        <v>0</v>
      </c>
      <c r="P784">
        <f t="shared" si="65"/>
        <v>0</v>
      </c>
      <c r="Q784" t="str">
        <f t="shared" si="63"/>
        <v/>
      </c>
    </row>
    <row r="785" spans="3:17" x14ac:dyDescent="0.25">
      <c r="C785">
        <f>SUMIFS(Issuance!$H:$H,Issuance!$D:$D,Formulas!$B785,Issuance!$C:$C,Formulas!C$2)</f>
        <v>0</v>
      </c>
      <c r="D785">
        <f>SUMIFS(Issuance!$H:$H,Issuance!$D:$D,Formulas!$B785,Issuance!$C:$C,Formulas!D$2)</f>
        <v>0</v>
      </c>
      <c r="E785">
        <f t="shared" si="64"/>
        <v>0</v>
      </c>
      <c r="F785" s="41" t="str">
        <f t="shared" si="66"/>
        <v/>
      </c>
      <c r="I785">
        <f>SUMIFS(Buybacks!H:H,Buybacks!D:D,Formulas!H785)</f>
        <v>0</v>
      </c>
      <c r="J785" s="41" t="str">
        <f t="shared" si="67"/>
        <v/>
      </c>
      <c r="M785">
        <f>SUMIFS('Corporate activity'!$H:$H,'Corporate activity'!$D:$D,Formulas!$L785,'Corporate activity'!$C:$C,Formulas!M$2)</f>
        <v>0</v>
      </c>
      <c r="N785">
        <f>SUMIFS('Corporate activity'!$H:$H,'Corporate activity'!$D:$D,Formulas!$L785,'Corporate activity'!$C:$C,Formulas!N$2)</f>
        <v>0</v>
      </c>
      <c r="O785">
        <f>SUMIFS('Corporate activity'!$H:$H,'Corporate activity'!$D:$D,Formulas!$L785,'Corporate activity'!$C:$C,Formulas!O$2)</f>
        <v>0</v>
      </c>
      <c r="P785">
        <f t="shared" si="65"/>
        <v>0</v>
      </c>
      <c r="Q785" t="str">
        <f t="shared" si="63"/>
        <v/>
      </c>
    </row>
    <row r="786" spans="3:17" x14ac:dyDescent="0.25">
      <c r="C786">
        <f>SUMIFS(Issuance!$H:$H,Issuance!$D:$D,Formulas!$B786,Issuance!$C:$C,Formulas!C$2)</f>
        <v>0</v>
      </c>
      <c r="D786">
        <f>SUMIFS(Issuance!$H:$H,Issuance!$D:$D,Formulas!$B786,Issuance!$C:$C,Formulas!D$2)</f>
        <v>0</v>
      </c>
      <c r="E786">
        <f t="shared" si="64"/>
        <v>0</v>
      </c>
      <c r="F786" s="41" t="str">
        <f t="shared" si="66"/>
        <v/>
      </c>
      <c r="I786">
        <f>SUMIFS(Buybacks!H:H,Buybacks!D:D,Formulas!H786)</f>
        <v>0</v>
      </c>
      <c r="J786" s="41" t="str">
        <f t="shared" si="67"/>
        <v/>
      </c>
      <c r="M786">
        <f>SUMIFS('Corporate activity'!$H:$H,'Corporate activity'!$D:$D,Formulas!$L786,'Corporate activity'!$C:$C,Formulas!M$2)</f>
        <v>0</v>
      </c>
      <c r="N786">
        <f>SUMIFS('Corporate activity'!$H:$H,'Corporate activity'!$D:$D,Formulas!$L786,'Corporate activity'!$C:$C,Formulas!N$2)</f>
        <v>0</v>
      </c>
      <c r="O786">
        <f>SUMIFS('Corporate activity'!$H:$H,'Corporate activity'!$D:$D,Formulas!$L786,'Corporate activity'!$C:$C,Formulas!O$2)</f>
        <v>0</v>
      </c>
      <c r="P786">
        <f t="shared" si="65"/>
        <v>0</v>
      </c>
      <c r="Q786" t="str">
        <f t="shared" si="63"/>
        <v/>
      </c>
    </row>
    <row r="787" spans="3:17" x14ac:dyDescent="0.25">
      <c r="C787">
        <f>SUMIFS(Issuance!$H:$H,Issuance!$D:$D,Formulas!$B787,Issuance!$C:$C,Formulas!C$2)</f>
        <v>0</v>
      </c>
      <c r="D787">
        <f>SUMIFS(Issuance!$H:$H,Issuance!$D:$D,Formulas!$B787,Issuance!$C:$C,Formulas!D$2)</f>
        <v>0</v>
      </c>
      <c r="E787">
        <f t="shared" si="64"/>
        <v>0</v>
      </c>
      <c r="F787" s="41" t="str">
        <f t="shared" si="66"/>
        <v/>
      </c>
      <c r="I787">
        <f>SUMIFS(Buybacks!H:H,Buybacks!D:D,Formulas!H787)</f>
        <v>0</v>
      </c>
      <c r="J787" s="41" t="str">
        <f t="shared" si="67"/>
        <v/>
      </c>
      <c r="M787">
        <f>SUMIFS('Corporate activity'!$H:$H,'Corporate activity'!$D:$D,Formulas!$L787,'Corporate activity'!$C:$C,Formulas!M$2)</f>
        <v>0</v>
      </c>
      <c r="N787">
        <f>SUMIFS('Corporate activity'!$H:$H,'Corporate activity'!$D:$D,Formulas!$L787,'Corporate activity'!$C:$C,Formulas!N$2)</f>
        <v>0</v>
      </c>
      <c r="O787">
        <f>SUMIFS('Corporate activity'!$H:$H,'Corporate activity'!$D:$D,Formulas!$L787,'Corporate activity'!$C:$C,Formulas!O$2)</f>
        <v>0</v>
      </c>
      <c r="P787">
        <f t="shared" si="65"/>
        <v>0</v>
      </c>
      <c r="Q787" t="str">
        <f t="shared" si="63"/>
        <v/>
      </c>
    </row>
    <row r="788" spans="3:17" x14ac:dyDescent="0.25">
      <c r="C788">
        <f>SUMIFS(Issuance!$H:$H,Issuance!$D:$D,Formulas!$B788,Issuance!$C:$C,Formulas!C$2)</f>
        <v>0</v>
      </c>
      <c r="D788">
        <f>SUMIFS(Issuance!$H:$H,Issuance!$D:$D,Formulas!$B788,Issuance!$C:$C,Formulas!D$2)</f>
        <v>0</v>
      </c>
      <c r="E788">
        <f t="shared" si="64"/>
        <v>0</v>
      </c>
      <c r="F788" s="41" t="str">
        <f t="shared" si="66"/>
        <v/>
      </c>
      <c r="I788">
        <f>SUMIFS(Buybacks!H:H,Buybacks!D:D,Formulas!H788)</f>
        <v>0</v>
      </c>
      <c r="J788" s="41" t="str">
        <f t="shared" si="67"/>
        <v/>
      </c>
      <c r="M788">
        <f>SUMIFS('Corporate activity'!$H:$H,'Corporate activity'!$D:$D,Formulas!$L788,'Corporate activity'!$C:$C,Formulas!M$2)</f>
        <v>0</v>
      </c>
      <c r="N788">
        <f>SUMIFS('Corporate activity'!$H:$H,'Corporate activity'!$D:$D,Formulas!$L788,'Corporate activity'!$C:$C,Formulas!N$2)</f>
        <v>0</v>
      </c>
      <c r="O788">
        <f>SUMIFS('Corporate activity'!$H:$H,'Corporate activity'!$D:$D,Formulas!$L788,'Corporate activity'!$C:$C,Formulas!O$2)</f>
        <v>0</v>
      </c>
      <c r="P788">
        <f t="shared" si="65"/>
        <v>0</v>
      </c>
      <c r="Q788" t="str">
        <f t="shared" si="63"/>
        <v/>
      </c>
    </row>
    <row r="789" spans="3:17" x14ac:dyDescent="0.25">
      <c r="C789">
        <f>SUMIFS(Issuance!$H:$H,Issuance!$D:$D,Formulas!$B789,Issuance!$C:$C,Formulas!C$2)</f>
        <v>0</v>
      </c>
      <c r="D789">
        <f>SUMIFS(Issuance!$H:$H,Issuance!$D:$D,Formulas!$B789,Issuance!$C:$C,Formulas!D$2)</f>
        <v>0</v>
      </c>
      <c r="E789">
        <f t="shared" si="64"/>
        <v>0</v>
      </c>
      <c r="F789" s="41" t="str">
        <f t="shared" si="66"/>
        <v/>
      </c>
      <c r="I789">
        <f>SUMIFS(Buybacks!H:H,Buybacks!D:D,Formulas!H789)</f>
        <v>0</v>
      </c>
      <c r="J789" s="41" t="str">
        <f t="shared" si="67"/>
        <v/>
      </c>
      <c r="M789">
        <f>SUMIFS('Corporate activity'!$H:$H,'Corporate activity'!$D:$D,Formulas!$L789,'Corporate activity'!$C:$C,Formulas!M$2)</f>
        <v>0</v>
      </c>
      <c r="N789">
        <f>SUMIFS('Corporate activity'!$H:$H,'Corporate activity'!$D:$D,Formulas!$L789,'Corporate activity'!$C:$C,Formulas!N$2)</f>
        <v>0</v>
      </c>
      <c r="O789">
        <f>SUMIFS('Corporate activity'!$H:$H,'Corporate activity'!$D:$D,Formulas!$L789,'Corporate activity'!$C:$C,Formulas!O$2)</f>
        <v>0</v>
      </c>
      <c r="P789">
        <f t="shared" si="65"/>
        <v>0</v>
      </c>
      <c r="Q789" t="str">
        <f t="shared" si="63"/>
        <v/>
      </c>
    </row>
    <row r="790" spans="3:17" x14ac:dyDescent="0.25">
      <c r="C790">
        <f>SUMIFS(Issuance!$H:$H,Issuance!$D:$D,Formulas!$B790,Issuance!$C:$C,Formulas!C$2)</f>
        <v>0</v>
      </c>
      <c r="D790">
        <f>SUMIFS(Issuance!$H:$H,Issuance!$D:$D,Formulas!$B790,Issuance!$C:$C,Formulas!D$2)</f>
        <v>0</v>
      </c>
      <c r="E790">
        <f t="shared" si="64"/>
        <v>0</v>
      </c>
      <c r="F790" s="41" t="str">
        <f t="shared" si="66"/>
        <v/>
      </c>
      <c r="I790">
        <f>SUMIFS(Buybacks!H:H,Buybacks!D:D,Formulas!H790)</f>
        <v>0</v>
      </c>
      <c r="J790" s="41" t="str">
        <f t="shared" si="67"/>
        <v/>
      </c>
      <c r="M790">
        <f>SUMIFS('Corporate activity'!$H:$H,'Corporate activity'!$D:$D,Formulas!$L790,'Corporate activity'!$C:$C,Formulas!M$2)</f>
        <v>0</v>
      </c>
      <c r="N790">
        <f>SUMIFS('Corporate activity'!$H:$H,'Corporate activity'!$D:$D,Formulas!$L790,'Corporate activity'!$C:$C,Formulas!N$2)</f>
        <v>0</v>
      </c>
      <c r="O790">
        <f>SUMIFS('Corporate activity'!$H:$H,'Corporate activity'!$D:$D,Formulas!$L790,'Corporate activity'!$C:$C,Formulas!O$2)</f>
        <v>0</v>
      </c>
      <c r="P790">
        <f t="shared" si="65"/>
        <v>0</v>
      </c>
      <c r="Q790" t="str">
        <f t="shared" si="63"/>
        <v/>
      </c>
    </row>
    <row r="791" spans="3:17" x14ac:dyDescent="0.25">
      <c r="C791">
        <f>SUMIFS(Issuance!$H:$H,Issuance!$D:$D,Formulas!$B791,Issuance!$C:$C,Formulas!C$2)</f>
        <v>0</v>
      </c>
      <c r="D791">
        <f>SUMIFS(Issuance!$H:$H,Issuance!$D:$D,Formulas!$B791,Issuance!$C:$C,Formulas!D$2)</f>
        <v>0</v>
      </c>
      <c r="E791">
        <f t="shared" si="64"/>
        <v>0</v>
      </c>
      <c r="F791" s="41" t="str">
        <f t="shared" si="66"/>
        <v/>
      </c>
      <c r="I791">
        <f>SUMIFS(Buybacks!H:H,Buybacks!D:D,Formulas!H791)</f>
        <v>0</v>
      </c>
      <c r="J791" s="41" t="str">
        <f t="shared" si="67"/>
        <v/>
      </c>
      <c r="M791">
        <f>SUMIFS('Corporate activity'!$H:$H,'Corporate activity'!$D:$D,Formulas!$L791,'Corporate activity'!$C:$C,Formulas!M$2)</f>
        <v>0</v>
      </c>
      <c r="N791">
        <f>SUMIFS('Corporate activity'!$H:$H,'Corporate activity'!$D:$D,Formulas!$L791,'Corporate activity'!$C:$C,Formulas!N$2)</f>
        <v>0</v>
      </c>
      <c r="O791">
        <f>SUMIFS('Corporate activity'!$H:$H,'Corporate activity'!$D:$D,Formulas!$L791,'Corporate activity'!$C:$C,Formulas!O$2)</f>
        <v>0</v>
      </c>
      <c r="P791">
        <f t="shared" si="65"/>
        <v>0</v>
      </c>
      <c r="Q791" t="str">
        <f t="shared" si="63"/>
        <v/>
      </c>
    </row>
    <row r="792" spans="3:17" x14ac:dyDescent="0.25">
      <c r="C792">
        <f>SUMIFS(Issuance!$H:$H,Issuance!$D:$D,Formulas!$B792,Issuance!$C:$C,Formulas!C$2)</f>
        <v>0</v>
      </c>
      <c r="D792">
        <f>SUMIFS(Issuance!$H:$H,Issuance!$D:$D,Formulas!$B792,Issuance!$C:$C,Formulas!D$2)</f>
        <v>0</v>
      </c>
      <c r="E792">
        <f t="shared" si="64"/>
        <v>0</v>
      </c>
      <c r="F792" s="41" t="str">
        <f t="shared" si="66"/>
        <v/>
      </c>
      <c r="I792">
        <f>SUMIFS(Buybacks!H:H,Buybacks!D:D,Formulas!H792)</f>
        <v>0</v>
      </c>
      <c r="J792" s="41" t="str">
        <f t="shared" si="67"/>
        <v/>
      </c>
      <c r="M792">
        <f>SUMIFS('Corporate activity'!$H:$H,'Corporate activity'!$D:$D,Formulas!$L792,'Corporate activity'!$C:$C,Formulas!M$2)</f>
        <v>0</v>
      </c>
      <c r="N792">
        <f>SUMIFS('Corporate activity'!$H:$H,'Corporate activity'!$D:$D,Formulas!$L792,'Corporate activity'!$C:$C,Formulas!N$2)</f>
        <v>0</v>
      </c>
      <c r="O792">
        <f>SUMIFS('Corporate activity'!$H:$H,'Corporate activity'!$D:$D,Formulas!$L792,'Corporate activity'!$C:$C,Formulas!O$2)</f>
        <v>0</v>
      </c>
      <c r="P792">
        <f t="shared" si="65"/>
        <v>0</v>
      </c>
      <c r="Q792" t="str">
        <f t="shared" si="63"/>
        <v/>
      </c>
    </row>
    <row r="793" spans="3:17" x14ac:dyDescent="0.25">
      <c r="C793">
        <f>SUMIFS(Issuance!$H:$H,Issuance!$D:$D,Formulas!$B793,Issuance!$C:$C,Formulas!C$2)</f>
        <v>0</v>
      </c>
      <c r="D793">
        <f>SUMIFS(Issuance!$H:$H,Issuance!$D:$D,Formulas!$B793,Issuance!$C:$C,Formulas!D$2)</f>
        <v>0</v>
      </c>
      <c r="E793">
        <f t="shared" si="64"/>
        <v>0</v>
      </c>
      <c r="F793" s="41" t="str">
        <f t="shared" si="66"/>
        <v/>
      </c>
      <c r="I793">
        <f>SUMIFS(Buybacks!H:H,Buybacks!D:D,Formulas!H793)</f>
        <v>0</v>
      </c>
      <c r="J793" s="41" t="str">
        <f t="shared" si="67"/>
        <v/>
      </c>
      <c r="M793">
        <f>SUMIFS('Corporate activity'!$H:$H,'Corporate activity'!$D:$D,Formulas!$L793,'Corporate activity'!$C:$C,Formulas!M$2)</f>
        <v>0</v>
      </c>
      <c r="N793">
        <f>SUMIFS('Corporate activity'!$H:$H,'Corporate activity'!$D:$D,Formulas!$L793,'Corporate activity'!$C:$C,Formulas!N$2)</f>
        <v>0</v>
      </c>
      <c r="O793">
        <f>SUMIFS('Corporate activity'!$H:$H,'Corporate activity'!$D:$D,Formulas!$L793,'Corporate activity'!$C:$C,Formulas!O$2)</f>
        <v>0</v>
      </c>
      <c r="P793">
        <f t="shared" si="65"/>
        <v>0</v>
      </c>
      <c r="Q793" t="str">
        <f t="shared" si="63"/>
        <v/>
      </c>
    </row>
    <row r="794" spans="3:17" x14ac:dyDescent="0.25">
      <c r="C794">
        <f>SUMIFS(Issuance!$H:$H,Issuance!$D:$D,Formulas!$B794,Issuance!$C:$C,Formulas!C$2)</f>
        <v>0</v>
      </c>
      <c r="D794">
        <f>SUMIFS(Issuance!$H:$H,Issuance!$D:$D,Formulas!$B794,Issuance!$C:$C,Formulas!D$2)</f>
        <v>0</v>
      </c>
      <c r="E794">
        <f t="shared" si="64"/>
        <v>0</v>
      </c>
      <c r="F794" s="41" t="str">
        <f t="shared" si="66"/>
        <v/>
      </c>
      <c r="I794">
        <f>SUMIFS(Buybacks!H:H,Buybacks!D:D,Formulas!H794)</f>
        <v>0</v>
      </c>
      <c r="J794" s="41" t="str">
        <f t="shared" si="67"/>
        <v/>
      </c>
      <c r="M794">
        <f>SUMIFS('Corporate activity'!$H:$H,'Corporate activity'!$D:$D,Formulas!$L794,'Corporate activity'!$C:$C,Formulas!M$2)</f>
        <v>0</v>
      </c>
      <c r="N794">
        <f>SUMIFS('Corporate activity'!$H:$H,'Corporate activity'!$D:$D,Formulas!$L794,'Corporate activity'!$C:$C,Formulas!N$2)</f>
        <v>0</v>
      </c>
      <c r="O794">
        <f>SUMIFS('Corporate activity'!$H:$H,'Corporate activity'!$D:$D,Formulas!$L794,'Corporate activity'!$C:$C,Formulas!O$2)</f>
        <v>0</v>
      </c>
      <c r="P794">
        <f t="shared" si="65"/>
        <v>0</v>
      </c>
      <c r="Q794" t="str">
        <f t="shared" si="63"/>
        <v/>
      </c>
    </row>
    <row r="795" spans="3:17" x14ac:dyDescent="0.25">
      <c r="C795">
        <f>SUMIFS(Issuance!$H:$H,Issuance!$D:$D,Formulas!$B795,Issuance!$C:$C,Formulas!C$2)</f>
        <v>0</v>
      </c>
      <c r="D795">
        <f>SUMIFS(Issuance!$H:$H,Issuance!$D:$D,Formulas!$B795,Issuance!$C:$C,Formulas!D$2)</f>
        <v>0</v>
      </c>
      <c r="E795">
        <f t="shared" si="64"/>
        <v>0</v>
      </c>
      <c r="F795" s="41" t="str">
        <f t="shared" si="66"/>
        <v/>
      </c>
      <c r="I795">
        <f>SUMIFS(Buybacks!H:H,Buybacks!D:D,Formulas!H795)</f>
        <v>0</v>
      </c>
      <c r="J795" s="41" t="str">
        <f t="shared" si="67"/>
        <v/>
      </c>
      <c r="M795">
        <f>SUMIFS('Corporate activity'!$H:$H,'Corporate activity'!$D:$D,Formulas!$L795,'Corporate activity'!$C:$C,Formulas!M$2)</f>
        <v>0</v>
      </c>
      <c r="N795">
        <f>SUMIFS('Corporate activity'!$H:$H,'Corporate activity'!$D:$D,Formulas!$L795,'Corporate activity'!$C:$C,Formulas!N$2)</f>
        <v>0</v>
      </c>
      <c r="O795">
        <f>SUMIFS('Corporate activity'!$H:$H,'Corporate activity'!$D:$D,Formulas!$L795,'Corporate activity'!$C:$C,Formulas!O$2)</f>
        <v>0</v>
      </c>
      <c r="P795">
        <f t="shared" si="65"/>
        <v>0</v>
      </c>
      <c r="Q795" t="str">
        <f t="shared" ref="Q795:Q858" si="68">IF(OR(L795="",L795=0,P795=0),"",IF(COUNTIFS($P$3:$P$500,"&lt;"&amp;P795,$P$3:$P$500,"&lt;&gt;0")+1&lt;=20,COUNTIFS($P$3:$P$500,"&lt;"&amp;P795,$P$3:$P$500,"&lt;&gt;0")+1,""))</f>
        <v/>
      </c>
    </row>
    <row r="796" spans="3:17" x14ac:dyDescent="0.25">
      <c r="C796">
        <f>SUMIFS(Issuance!$H:$H,Issuance!$D:$D,Formulas!$B796,Issuance!$C:$C,Formulas!C$2)</f>
        <v>0</v>
      </c>
      <c r="D796">
        <f>SUMIFS(Issuance!$H:$H,Issuance!$D:$D,Formulas!$B796,Issuance!$C:$C,Formulas!D$2)</f>
        <v>0</v>
      </c>
      <c r="E796">
        <f t="shared" si="64"/>
        <v>0</v>
      </c>
      <c r="F796" s="41" t="str">
        <f t="shared" si="66"/>
        <v/>
      </c>
      <c r="I796">
        <f>SUMIFS(Buybacks!H:H,Buybacks!D:D,Formulas!H796)</f>
        <v>0</v>
      </c>
      <c r="J796" s="41" t="str">
        <f t="shared" si="67"/>
        <v/>
      </c>
      <c r="M796">
        <f>SUMIFS('Corporate activity'!$H:$H,'Corporate activity'!$D:$D,Formulas!$L796,'Corporate activity'!$C:$C,Formulas!M$2)</f>
        <v>0</v>
      </c>
      <c r="N796">
        <f>SUMIFS('Corporate activity'!$H:$H,'Corporate activity'!$D:$D,Formulas!$L796,'Corporate activity'!$C:$C,Formulas!N$2)</f>
        <v>0</v>
      </c>
      <c r="O796">
        <f>SUMIFS('Corporate activity'!$H:$H,'Corporate activity'!$D:$D,Formulas!$L796,'Corporate activity'!$C:$C,Formulas!O$2)</f>
        <v>0</v>
      </c>
      <c r="P796">
        <f t="shared" si="65"/>
        <v>0</v>
      </c>
      <c r="Q796" t="str">
        <f t="shared" si="68"/>
        <v/>
      </c>
    </row>
    <row r="797" spans="3:17" x14ac:dyDescent="0.25">
      <c r="C797">
        <f>SUMIFS(Issuance!$H:$H,Issuance!$D:$D,Formulas!$B797,Issuance!$C:$C,Formulas!C$2)</f>
        <v>0</v>
      </c>
      <c r="D797">
        <f>SUMIFS(Issuance!$H:$H,Issuance!$D:$D,Formulas!$B797,Issuance!$C:$C,Formulas!D$2)</f>
        <v>0</v>
      </c>
      <c r="E797">
        <f t="shared" si="64"/>
        <v>0</v>
      </c>
      <c r="F797" s="41" t="str">
        <f t="shared" si="66"/>
        <v/>
      </c>
      <c r="I797">
        <f>SUMIFS(Buybacks!H:H,Buybacks!D:D,Formulas!H797)</f>
        <v>0</v>
      </c>
      <c r="J797" s="41" t="str">
        <f t="shared" si="67"/>
        <v/>
      </c>
      <c r="M797">
        <f>SUMIFS('Corporate activity'!$H:$H,'Corporate activity'!$D:$D,Formulas!$L797,'Corporate activity'!$C:$C,Formulas!M$2)</f>
        <v>0</v>
      </c>
      <c r="N797">
        <f>SUMIFS('Corporate activity'!$H:$H,'Corporate activity'!$D:$D,Formulas!$L797,'Corporate activity'!$C:$C,Formulas!N$2)</f>
        <v>0</v>
      </c>
      <c r="O797">
        <f>SUMIFS('Corporate activity'!$H:$H,'Corporate activity'!$D:$D,Formulas!$L797,'Corporate activity'!$C:$C,Formulas!O$2)</f>
        <v>0</v>
      </c>
      <c r="P797">
        <f t="shared" si="65"/>
        <v>0</v>
      </c>
      <c r="Q797" t="str">
        <f t="shared" si="68"/>
        <v/>
      </c>
    </row>
    <row r="798" spans="3:17" x14ac:dyDescent="0.25">
      <c r="C798">
        <f>SUMIFS(Issuance!$H:$H,Issuance!$D:$D,Formulas!$B798,Issuance!$C:$C,Formulas!C$2)</f>
        <v>0</v>
      </c>
      <c r="D798">
        <f>SUMIFS(Issuance!$H:$H,Issuance!$D:$D,Formulas!$B798,Issuance!$C:$C,Formulas!D$2)</f>
        <v>0</v>
      </c>
      <c r="E798">
        <f t="shared" si="64"/>
        <v>0</v>
      </c>
      <c r="F798" s="41" t="str">
        <f t="shared" si="66"/>
        <v/>
      </c>
      <c r="I798">
        <f>SUMIFS(Buybacks!H:H,Buybacks!D:D,Formulas!H798)</f>
        <v>0</v>
      </c>
      <c r="J798" s="41" t="str">
        <f t="shared" si="67"/>
        <v/>
      </c>
      <c r="M798">
        <f>SUMIFS('Corporate activity'!$H:$H,'Corporate activity'!$D:$D,Formulas!$L798,'Corporate activity'!$C:$C,Formulas!M$2)</f>
        <v>0</v>
      </c>
      <c r="N798">
        <f>SUMIFS('Corporate activity'!$H:$H,'Corporate activity'!$D:$D,Formulas!$L798,'Corporate activity'!$C:$C,Formulas!N$2)</f>
        <v>0</v>
      </c>
      <c r="O798">
        <f>SUMIFS('Corporate activity'!$H:$H,'Corporate activity'!$D:$D,Formulas!$L798,'Corporate activity'!$C:$C,Formulas!O$2)</f>
        <v>0</v>
      </c>
      <c r="P798">
        <f t="shared" si="65"/>
        <v>0</v>
      </c>
      <c r="Q798" t="str">
        <f t="shared" si="68"/>
        <v/>
      </c>
    </row>
    <row r="799" spans="3:17" x14ac:dyDescent="0.25">
      <c r="C799">
        <f>SUMIFS(Issuance!$H:$H,Issuance!$D:$D,Formulas!$B799,Issuance!$C:$C,Formulas!C$2)</f>
        <v>0</v>
      </c>
      <c r="D799">
        <f>SUMIFS(Issuance!$H:$H,Issuance!$D:$D,Formulas!$B799,Issuance!$C:$C,Formulas!D$2)</f>
        <v>0</v>
      </c>
      <c r="E799">
        <f t="shared" si="64"/>
        <v>0</v>
      </c>
      <c r="F799" s="41" t="str">
        <f t="shared" si="66"/>
        <v/>
      </c>
      <c r="I799">
        <f>SUMIFS(Buybacks!H:H,Buybacks!D:D,Formulas!H799)</f>
        <v>0</v>
      </c>
      <c r="J799" s="41" t="str">
        <f t="shared" si="67"/>
        <v/>
      </c>
      <c r="M799">
        <f>SUMIFS('Corporate activity'!$H:$H,'Corporate activity'!$D:$D,Formulas!$L799,'Corporate activity'!$C:$C,Formulas!M$2)</f>
        <v>0</v>
      </c>
      <c r="N799">
        <f>SUMIFS('Corporate activity'!$H:$H,'Corporate activity'!$D:$D,Formulas!$L799,'Corporate activity'!$C:$C,Formulas!N$2)</f>
        <v>0</v>
      </c>
      <c r="O799">
        <f>SUMIFS('Corporate activity'!$H:$H,'Corporate activity'!$D:$D,Formulas!$L799,'Corporate activity'!$C:$C,Formulas!O$2)</f>
        <v>0</v>
      </c>
      <c r="P799">
        <f t="shared" si="65"/>
        <v>0</v>
      </c>
      <c r="Q799" t="str">
        <f t="shared" si="68"/>
        <v/>
      </c>
    </row>
    <row r="800" spans="3:17" x14ac:dyDescent="0.25">
      <c r="C800">
        <f>SUMIFS(Issuance!$H:$H,Issuance!$D:$D,Formulas!$B800,Issuance!$C:$C,Formulas!C$2)</f>
        <v>0</v>
      </c>
      <c r="D800">
        <f>SUMIFS(Issuance!$H:$H,Issuance!$D:$D,Formulas!$B800,Issuance!$C:$C,Formulas!D$2)</f>
        <v>0</v>
      </c>
      <c r="E800">
        <f t="shared" si="64"/>
        <v>0</v>
      </c>
      <c r="F800" s="41" t="str">
        <f t="shared" si="66"/>
        <v/>
      </c>
      <c r="I800">
        <f>SUMIFS(Buybacks!H:H,Buybacks!D:D,Formulas!H800)</f>
        <v>0</v>
      </c>
      <c r="J800" s="41" t="str">
        <f t="shared" si="67"/>
        <v/>
      </c>
      <c r="M800">
        <f>SUMIFS('Corporate activity'!$H:$H,'Corporate activity'!$D:$D,Formulas!$L800,'Corporate activity'!$C:$C,Formulas!M$2)</f>
        <v>0</v>
      </c>
      <c r="N800">
        <f>SUMIFS('Corporate activity'!$H:$H,'Corporate activity'!$D:$D,Formulas!$L800,'Corporate activity'!$C:$C,Formulas!N$2)</f>
        <v>0</v>
      </c>
      <c r="O800">
        <f>SUMIFS('Corporate activity'!$H:$H,'Corporate activity'!$D:$D,Formulas!$L800,'Corporate activity'!$C:$C,Formulas!O$2)</f>
        <v>0</v>
      </c>
      <c r="P800">
        <f t="shared" si="65"/>
        <v>0</v>
      </c>
      <c r="Q800" t="str">
        <f t="shared" si="68"/>
        <v/>
      </c>
    </row>
    <row r="801" spans="3:17" x14ac:dyDescent="0.25">
      <c r="C801">
        <f>SUMIFS(Issuance!$H:$H,Issuance!$D:$D,Formulas!$B801,Issuance!$C:$C,Formulas!C$2)</f>
        <v>0</v>
      </c>
      <c r="D801">
        <f>SUMIFS(Issuance!$H:$H,Issuance!$D:$D,Formulas!$B801,Issuance!$C:$C,Formulas!D$2)</f>
        <v>0</v>
      </c>
      <c r="E801">
        <f t="shared" si="64"/>
        <v>0</v>
      </c>
      <c r="F801" s="41" t="str">
        <f t="shared" si="66"/>
        <v/>
      </c>
      <c r="I801">
        <f>SUMIFS(Buybacks!H:H,Buybacks!D:D,Formulas!H801)</f>
        <v>0</v>
      </c>
      <c r="J801" s="41" t="str">
        <f t="shared" si="67"/>
        <v/>
      </c>
      <c r="M801">
        <f>SUMIFS('Corporate activity'!$H:$H,'Corporate activity'!$D:$D,Formulas!$L801,'Corporate activity'!$C:$C,Formulas!M$2)</f>
        <v>0</v>
      </c>
      <c r="N801">
        <f>SUMIFS('Corporate activity'!$H:$H,'Corporate activity'!$D:$D,Formulas!$L801,'Corporate activity'!$C:$C,Formulas!N$2)</f>
        <v>0</v>
      </c>
      <c r="O801">
        <f>SUMIFS('Corporate activity'!$H:$H,'Corporate activity'!$D:$D,Formulas!$L801,'Corporate activity'!$C:$C,Formulas!O$2)</f>
        <v>0</v>
      </c>
      <c r="P801">
        <f t="shared" si="65"/>
        <v>0</v>
      </c>
      <c r="Q801" t="str">
        <f t="shared" si="68"/>
        <v/>
      </c>
    </row>
    <row r="802" spans="3:17" x14ac:dyDescent="0.25">
      <c r="C802">
        <f>SUMIFS(Issuance!$H:$H,Issuance!$D:$D,Formulas!$B802,Issuance!$C:$C,Formulas!C$2)</f>
        <v>0</v>
      </c>
      <c r="D802">
        <f>SUMIFS(Issuance!$H:$H,Issuance!$D:$D,Formulas!$B802,Issuance!$C:$C,Formulas!D$2)</f>
        <v>0</v>
      </c>
      <c r="E802">
        <f t="shared" si="64"/>
        <v>0</v>
      </c>
      <c r="F802" s="41" t="str">
        <f t="shared" si="66"/>
        <v/>
      </c>
      <c r="I802">
        <f>SUMIFS(Buybacks!H:H,Buybacks!D:D,Formulas!H802)</f>
        <v>0</v>
      </c>
      <c r="J802" s="41" t="str">
        <f t="shared" si="67"/>
        <v/>
      </c>
      <c r="M802">
        <f>SUMIFS('Corporate activity'!$H:$H,'Corporate activity'!$D:$D,Formulas!$L802,'Corporate activity'!$C:$C,Formulas!M$2)</f>
        <v>0</v>
      </c>
      <c r="N802">
        <f>SUMIFS('Corporate activity'!$H:$H,'Corporate activity'!$D:$D,Formulas!$L802,'Corporate activity'!$C:$C,Formulas!N$2)</f>
        <v>0</v>
      </c>
      <c r="O802">
        <f>SUMIFS('Corporate activity'!$H:$H,'Corporate activity'!$D:$D,Formulas!$L802,'Corporate activity'!$C:$C,Formulas!O$2)</f>
        <v>0</v>
      </c>
      <c r="P802">
        <f t="shared" si="65"/>
        <v>0</v>
      </c>
      <c r="Q802" t="str">
        <f t="shared" si="68"/>
        <v/>
      </c>
    </row>
    <row r="803" spans="3:17" x14ac:dyDescent="0.25">
      <c r="C803">
        <f>SUMIFS(Issuance!$H:$H,Issuance!$D:$D,Formulas!$B803,Issuance!$C:$C,Formulas!C$2)</f>
        <v>0</v>
      </c>
      <c r="D803">
        <f>SUMIFS(Issuance!$H:$H,Issuance!$D:$D,Formulas!$B803,Issuance!$C:$C,Formulas!D$2)</f>
        <v>0</v>
      </c>
      <c r="E803">
        <f t="shared" si="64"/>
        <v>0</v>
      </c>
      <c r="F803" s="41" t="str">
        <f t="shared" si="66"/>
        <v/>
      </c>
      <c r="I803">
        <f>SUMIFS(Buybacks!H:H,Buybacks!D:D,Formulas!H803)</f>
        <v>0</v>
      </c>
      <c r="J803" s="41" t="str">
        <f t="shared" si="67"/>
        <v/>
      </c>
      <c r="M803">
        <f>SUMIFS('Corporate activity'!$H:$H,'Corporate activity'!$D:$D,Formulas!$L803,'Corporate activity'!$C:$C,Formulas!M$2)</f>
        <v>0</v>
      </c>
      <c r="N803">
        <f>SUMIFS('Corporate activity'!$H:$H,'Corporate activity'!$D:$D,Formulas!$L803,'Corporate activity'!$C:$C,Formulas!N$2)</f>
        <v>0</v>
      </c>
      <c r="O803">
        <f>SUMIFS('Corporate activity'!$H:$H,'Corporate activity'!$D:$D,Formulas!$L803,'Corporate activity'!$C:$C,Formulas!O$2)</f>
        <v>0</v>
      </c>
      <c r="P803">
        <f t="shared" si="65"/>
        <v>0</v>
      </c>
      <c r="Q803" t="str">
        <f t="shared" si="68"/>
        <v/>
      </c>
    </row>
    <row r="804" spans="3:17" x14ac:dyDescent="0.25">
      <c r="C804">
        <f>SUMIFS(Issuance!$H:$H,Issuance!$D:$D,Formulas!$B804,Issuance!$C:$C,Formulas!C$2)</f>
        <v>0</v>
      </c>
      <c r="D804">
        <f>SUMIFS(Issuance!$H:$H,Issuance!$D:$D,Formulas!$B804,Issuance!$C:$C,Formulas!D$2)</f>
        <v>0</v>
      </c>
      <c r="E804">
        <f t="shared" si="64"/>
        <v>0</v>
      </c>
      <c r="F804" s="41" t="str">
        <f t="shared" si="66"/>
        <v/>
      </c>
      <c r="I804">
        <f>SUMIFS(Buybacks!H:H,Buybacks!D:D,Formulas!H804)</f>
        <v>0</v>
      </c>
      <c r="J804" s="41" t="str">
        <f t="shared" si="67"/>
        <v/>
      </c>
      <c r="M804">
        <f>SUMIFS('Corporate activity'!$H:$H,'Corporate activity'!$D:$D,Formulas!$L804,'Corporate activity'!$C:$C,Formulas!M$2)</f>
        <v>0</v>
      </c>
      <c r="N804">
        <f>SUMIFS('Corporate activity'!$H:$H,'Corporate activity'!$D:$D,Formulas!$L804,'Corporate activity'!$C:$C,Formulas!N$2)</f>
        <v>0</v>
      </c>
      <c r="O804">
        <f>SUMIFS('Corporate activity'!$H:$H,'Corporate activity'!$D:$D,Formulas!$L804,'Corporate activity'!$C:$C,Formulas!O$2)</f>
        <v>0</v>
      </c>
      <c r="P804">
        <f t="shared" si="65"/>
        <v>0</v>
      </c>
      <c r="Q804" t="str">
        <f t="shared" si="68"/>
        <v/>
      </c>
    </row>
    <row r="805" spans="3:17" x14ac:dyDescent="0.25">
      <c r="C805">
        <f>SUMIFS(Issuance!$H:$H,Issuance!$D:$D,Formulas!$B805,Issuance!$C:$C,Formulas!C$2)</f>
        <v>0</v>
      </c>
      <c r="D805">
        <f>SUMIFS(Issuance!$H:$H,Issuance!$D:$D,Formulas!$B805,Issuance!$C:$C,Formulas!D$2)</f>
        <v>0</v>
      </c>
      <c r="E805">
        <f t="shared" si="64"/>
        <v>0</v>
      </c>
      <c r="F805" s="41" t="str">
        <f t="shared" si="66"/>
        <v/>
      </c>
      <c r="I805">
        <f>SUMIFS(Buybacks!H:H,Buybacks!D:D,Formulas!H805)</f>
        <v>0</v>
      </c>
      <c r="J805" s="41" t="str">
        <f t="shared" si="67"/>
        <v/>
      </c>
      <c r="M805">
        <f>SUMIFS('Corporate activity'!$H:$H,'Corporate activity'!$D:$D,Formulas!$L805,'Corporate activity'!$C:$C,Formulas!M$2)</f>
        <v>0</v>
      </c>
      <c r="N805">
        <f>SUMIFS('Corporate activity'!$H:$H,'Corporate activity'!$D:$D,Formulas!$L805,'Corporate activity'!$C:$C,Formulas!N$2)</f>
        <v>0</v>
      </c>
      <c r="O805">
        <f>SUMIFS('Corporate activity'!$H:$H,'Corporate activity'!$D:$D,Formulas!$L805,'Corporate activity'!$C:$C,Formulas!O$2)</f>
        <v>0</v>
      </c>
      <c r="P805">
        <f t="shared" si="65"/>
        <v>0</v>
      </c>
      <c r="Q805" t="str">
        <f t="shared" si="68"/>
        <v/>
      </c>
    </row>
    <row r="806" spans="3:17" x14ac:dyDescent="0.25">
      <c r="C806">
        <f>SUMIFS(Issuance!$H:$H,Issuance!$D:$D,Formulas!$B806,Issuance!$C:$C,Formulas!C$2)</f>
        <v>0</v>
      </c>
      <c r="D806">
        <f>SUMIFS(Issuance!$H:$H,Issuance!$D:$D,Formulas!$B806,Issuance!$C:$C,Formulas!D$2)</f>
        <v>0</v>
      </c>
      <c r="E806">
        <f t="shared" si="64"/>
        <v>0</v>
      </c>
      <c r="F806" s="41" t="str">
        <f t="shared" si="66"/>
        <v/>
      </c>
      <c r="I806">
        <f>SUMIFS(Buybacks!H:H,Buybacks!D:D,Formulas!H806)</f>
        <v>0</v>
      </c>
      <c r="J806" s="41" t="str">
        <f t="shared" si="67"/>
        <v/>
      </c>
      <c r="M806">
        <f>SUMIFS('Corporate activity'!$H:$H,'Corporate activity'!$D:$D,Formulas!$L806,'Corporate activity'!$C:$C,Formulas!M$2)</f>
        <v>0</v>
      </c>
      <c r="N806">
        <f>SUMIFS('Corporate activity'!$H:$H,'Corporate activity'!$D:$D,Formulas!$L806,'Corporate activity'!$C:$C,Formulas!N$2)</f>
        <v>0</v>
      </c>
      <c r="O806">
        <f>SUMIFS('Corporate activity'!$H:$H,'Corporate activity'!$D:$D,Formulas!$L806,'Corporate activity'!$C:$C,Formulas!O$2)</f>
        <v>0</v>
      </c>
      <c r="P806">
        <f t="shared" si="65"/>
        <v>0</v>
      </c>
      <c r="Q806" t="str">
        <f t="shared" si="68"/>
        <v/>
      </c>
    </row>
    <row r="807" spans="3:17" x14ac:dyDescent="0.25">
      <c r="C807">
        <f>SUMIFS(Issuance!$H:$H,Issuance!$D:$D,Formulas!$B807,Issuance!$C:$C,Formulas!C$2)</f>
        <v>0</v>
      </c>
      <c r="D807">
        <f>SUMIFS(Issuance!$H:$H,Issuance!$D:$D,Formulas!$B807,Issuance!$C:$C,Formulas!D$2)</f>
        <v>0</v>
      </c>
      <c r="E807">
        <f t="shared" si="64"/>
        <v>0</v>
      </c>
      <c r="F807" s="41" t="str">
        <f t="shared" si="66"/>
        <v/>
      </c>
      <c r="I807">
        <f>SUMIFS(Buybacks!H:H,Buybacks!D:D,Formulas!H807)</f>
        <v>0</v>
      </c>
      <c r="J807" s="41" t="str">
        <f t="shared" si="67"/>
        <v/>
      </c>
      <c r="M807">
        <f>SUMIFS('Corporate activity'!$H:$H,'Corporate activity'!$D:$D,Formulas!$L807,'Corporate activity'!$C:$C,Formulas!M$2)</f>
        <v>0</v>
      </c>
      <c r="N807">
        <f>SUMIFS('Corporate activity'!$H:$H,'Corporate activity'!$D:$D,Formulas!$L807,'Corporate activity'!$C:$C,Formulas!N$2)</f>
        <v>0</v>
      </c>
      <c r="O807">
        <f>SUMIFS('Corporate activity'!$H:$H,'Corporate activity'!$D:$D,Formulas!$L807,'Corporate activity'!$C:$C,Formulas!O$2)</f>
        <v>0</v>
      </c>
      <c r="P807">
        <f t="shared" si="65"/>
        <v>0</v>
      </c>
      <c r="Q807" t="str">
        <f t="shared" si="68"/>
        <v/>
      </c>
    </row>
    <row r="808" spans="3:17" x14ac:dyDescent="0.25">
      <c r="C808">
        <f>SUMIFS(Issuance!$H:$H,Issuance!$D:$D,Formulas!$B808,Issuance!$C:$C,Formulas!C$2)</f>
        <v>0</v>
      </c>
      <c r="D808">
        <f>SUMIFS(Issuance!$H:$H,Issuance!$D:$D,Formulas!$B808,Issuance!$C:$C,Formulas!D$2)</f>
        <v>0</v>
      </c>
      <c r="E808">
        <f t="shared" si="64"/>
        <v>0</v>
      </c>
      <c r="F808" s="41" t="str">
        <f t="shared" si="66"/>
        <v/>
      </c>
      <c r="I808">
        <f>SUMIFS(Buybacks!H:H,Buybacks!D:D,Formulas!H808)</f>
        <v>0</v>
      </c>
      <c r="J808" s="41" t="str">
        <f t="shared" si="67"/>
        <v/>
      </c>
      <c r="M808">
        <f>SUMIFS('Corporate activity'!$H:$H,'Corporate activity'!$D:$D,Formulas!$L808,'Corporate activity'!$C:$C,Formulas!M$2)</f>
        <v>0</v>
      </c>
      <c r="N808">
        <f>SUMIFS('Corporate activity'!$H:$H,'Corporate activity'!$D:$D,Formulas!$L808,'Corporate activity'!$C:$C,Formulas!N$2)</f>
        <v>0</v>
      </c>
      <c r="O808">
        <f>SUMIFS('Corporate activity'!$H:$H,'Corporate activity'!$D:$D,Formulas!$L808,'Corporate activity'!$C:$C,Formulas!O$2)</f>
        <v>0</v>
      </c>
      <c r="P808">
        <f t="shared" si="65"/>
        <v>0</v>
      </c>
      <c r="Q808" t="str">
        <f t="shared" si="68"/>
        <v/>
      </c>
    </row>
    <row r="809" spans="3:17" x14ac:dyDescent="0.25">
      <c r="C809">
        <f>SUMIFS(Issuance!$H:$H,Issuance!$D:$D,Formulas!$B809,Issuance!$C:$C,Formulas!C$2)</f>
        <v>0</v>
      </c>
      <c r="D809">
        <f>SUMIFS(Issuance!$H:$H,Issuance!$D:$D,Formulas!$B809,Issuance!$C:$C,Formulas!D$2)</f>
        <v>0</v>
      </c>
      <c r="E809">
        <f t="shared" si="64"/>
        <v>0</v>
      </c>
      <c r="F809" s="41" t="str">
        <f t="shared" si="66"/>
        <v/>
      </c>
      <c r="I809">
        <f>SUMIFS(Buybacks!H:H,Buybacks!D:D,Formulas!H809)</f>
        <v>0</v>
      </c>
      <c r="J809" s="41" t="str">
        <f t="shared" si="67"/>
        <v/>
      </c>
      <c r="M809">
        <f>SUMIFS('Corporate activity'!$H:$H,'Corporate activity'!$D:$D,Formulas!$L809,'Corporate activity'!$C:$C,Formulas!M$2)</f>
        <v>0</v>
      </c>
      <c r="N809">
        <f>SUMIFS('Corporate activity'!$H:$H,'Corporate activity'!$D:$D,Formulas!$L809,'Corporate activity'!$C:$C,Formulas!N$2)</f>
        <v>0</v>
      </c>
      <c r="O809">
        <f>SUMIFS('Corporate activity'!$H:$H,'Corporate activity'!$D:$D,Formulas!$L809,'Corporate activity'!$C:$C,Formulas!O$2)</f>
        <v>0</v>
      </c>
      <c r="P809">
        <f t="shared" si="65"/>
        <v>0</v>
      </c>
      <c r="Q809" t="str">
        <f t="shared" si="68"/>
        <v/>
      </c>
    </row>
    <row r="810" spans="3:17" x14ac:dyDescent="0.25">
      <c r="C810">
        <f>SUMIFS(Issuance!$H:$H,Issuance!$D:$D,Formulas!$B810,Issuance!$C:$C,Formulas!C$2)</f>
        <v>0</v>
      </c>
      <c r="D810">
        <f>SUMIFS(Issuance!$H:$H,Issuance!$D:$D,Formulas!$B810,Issuance!$C:$C,Formulas!D$2)</f>
        <v>0</v>
      </c>
      <c r="E810">
        <f t="shared" si="64"/>
        <v>0</v>
      </c>
      <c r="F810" s="41" t="str">
        <f t="shared" si="66"/>
        <v/>
      </c>
      <c r="I810">
        <f>SUMIFS(Buybacks!H:H,Buybacks!D:D,Formulas!H810)</f>
        <v>0</v>
      </c>
      <c r="J810" s="41" t="str">
        <f t="shared" si="67"/>
        <v/>
      </c>
      <c r="M810">
        <f>SUMIFS('Corporate activity'!$H:$H,'Corporate activity'!$D:$D,Formulas!$L810,'Corporate activity'!$C:$C,Formulas!M$2)</f>
        <v>0</v>
      </c>
      <c r="N810">
        <f>SUMIFS('Corporate activity'!$H:$H,'Corporate activity'!$D:$D,Formulas!$L810,'Corporate activity'!$C:$C,Formulas!N$2)</f>
        <v>0</v>
      </c>
      <c r="O810">
        <f>SUMIFS('Corporate activity'!$H:$H,'Corporate activity'!$D:$D,Formulas!$L810,'Corporate activity'!$C:$C,Formulas!O$2)</f>
        <v>0</v>
      </c>
      <c r="P810">
        <f t="shared" si="65"/>
        <v>0</v>
      </c>
      <c r="Q810" t="str">
        <f t="shared" si="68"/>
        <v/>
      </c>
    </row>
    <row r="811" spans="3:17" x14ac:dyDescent="0.25">
      <c r="C811">
        <f>SUMIFS(Issuance!$H:$H,Issuance!$D:$D,Formulas!$B811,Issuance!$C:$C,Formulas!C$2)</f>
        <v>0</v>
      </c>
      <c r="D811">
        <f>SUMIFS(Issuance!$H:$H,Issuance!$D:$D,Formulas!$B811,Issuance!$C:$C,Formulas!D$2)</f>
        <v>0</v>
      </c>
      <c r="E811">
        <f t="shared" si="64"/>
        <v>0</v>
      </c>
      <c r="F811" s="41" t="str">
        <f t="shared" si="66"/>
        <v/>
      </c>
      <c r="I811">
        <f>SUMIFS(Buybacks!H:H,Buybacks!D:D,Formulas!H811)</f>
        <v>0</v>
      </c>
      <c r="J811" s="41" t="str">
        <f t="shared" si="67"/>
        <v/>
      </c>
      <c r="M811">
        <f>SUMIFS('Corporate activity'!$H:$H,'Corporate activity'!$D:$D,Formulas!$L811,'Corporate activity'!$C:$C,Formulas!M$2)</f>
        <v>0</v>
      </c>
      <c r="N811">
        <f>SUMIFS('Corporate activity'!$H:$H,'Corporate activity'!$D:$D,Formulas!$L811,'Corporate activity'!$C:$C,Formulas!N$2)</f>
        <v>0</v>
      </c>
      <c r="O811">
        <f>SUMIFS('Corporate activity'!$H:$H,'Corporate activity'!$D:$D,Formulas!$L811,'Corporate activity'!$C:$C,Formulas!O$2)</f>
        <v>0</v>
      </c>
      <c r="P811">
        <f t="shared" si="65"/>
        <v>0</v>
      </c>
      <c r="Q811" t="str">
        <f t="shared" si="68"/>
        <v/>
      </c>
    </row>
    <row r="812" spans="3:17" x14ac:dyDescent="0.25">
      <c r="C812">
        <f>SUMIFS(Issuance!$H:$H,Issuance!$D:$D,Formulas!$B812,Issuance!$C:$C,Formulas!C$2)</f>
        <v>0</v>
      </c>
      <c r="D812">
        <f>SUMIFS(Issuance!$H:$H,Issuance!$D:$D,Formulas!$B812,Issuance!$C:$C,Formulas!D$2)</f>
        <v>0</v>
      </c>
      <c r="E812">
        <f t="shared" si="64"/>
        <v>0</v>
      </c>
      <c r="F812" s="41" t="str">
        <f t="shared" si="66"/>
        <v/>
      </c>
      <c r="I812">
        <f>SUMIFS(Buybacks!H:H,Buybacks!D:D,Formulas!H812)</f>
        <v>0</v>
      </c>
      <c r="J812" s="41" t="str">
        <f t="shared" si="67"/>
        <v/>
      </c>
      <c r="M812">
        <f>SUMIFS('Corporate activity'!$H:$H,'Corporate activity'!$D:$D,Formulas!$L812,'Corporate activity'!$C:$C,Formulas!M$2)</f>
        <v>0</v>
      </c>
      <c r="N812">
        <f>SUMIFS('Corporate activity'!$H:$H,'Corporate activity'!$D:$D,Formulas!$L812,'Corporate activity'!$C:$C,Formulas!N$2)</f>
        <v>0</v>
      </c>
      <c r="O812">
        <f>SUMIFS('Corporate activity'!$H:$H,'Corporate activity'!$D:$D,Formulas!$L812,'Corporate activity'!$C:$C,Formulas!O$2)</f>
        <v>0</v>
      </c>
      <c r="P812">
        <f t="shared" si="65"/>
        <v>0</v>
      </c>
      <c r="Q812" t="str">
        <f t="shared" si="68"/>
        <v/>
      </c>
    </row>
    <row r="813" spans="3:17" x14ac:dyDescent="0.25">
      <c r="C813">
        <f>SUMIFS(Issuance!$H:$H,Issuance!$D:$D,Formulas!$B813,Issuance!$C:$C,Formulas!C$2)</f>
        <v>0</v>
      </c>
      <c r="D813">
        <f>SUMIFS(Issuance!$H:$H,Issuance!$D:$D,Formulas!$B813,Issuance!$C:$C,Formulas!D$2)</f>
        <v>0</v>
      </c>
      <c r="E813">
        <f t="shared" si="64"/>
        <v>0</v>
      </c>
      <c r="F813" s="41" t="str">
        <f t="shared" si="66"/>
        <v/>
      </c>
      <c r="I813">
        <f>SUMIFS(Buybacks!H:H,Buybacks!D:D,Formulas!H813)</f>
        <v>0</v>
      </c>
      <c r="J813" s="41" t="str">
        <f t="shared" si="67"/>
        <v/>
      </c>
      <c r="M813">
        <f>SUMIFS('Corporate activity'!$H:$H,'Corporate activity'!$D:$D,Formulas!$L813,'Corporate activity'!$C:$C,Formulas!M$2)</f>
        <v>0</v>
      </c>
      <c r="N813">
        <f>SUMIFS('Corporate activity'!$H:$H,'Corporate activity'!$D:$D,Formulas!$L813,'Corporate activity'!$C:$C,Formulas!N$2)</f>
        <v>0</v>
      </c>
      <c r="O813">
        <f>SUMIFS('Corporate activity'!$H:$H,'Corporate activity'!$D:$D,Formulas!$L813,'Corporate activity'!$C:$C,Formulas!O$2)</f>
        <v>0</v>
      </c>
      <c r="P813">
        <f t="shared" si="65"/>
        <v>0</v>
      </c>
      <c r="Q813" t="str">
        <f t="shared" si="68"/>
        <v/>
      </c>
    </row>
    <row r="814" spans="3:17" x14ac:dyDescent="0.25">
      <c r="C814">
        <f>SUMIFS(Issuance!$H:$H,Issuance!$D:$D,Formulas!$B814,Issuance!$C:$C,Formulas!C$2)</f>
        <v>0</v>
      </c>
      <c r="D814">
        <f>SUMIFS(Issuance!$H:$H,Issuance!$D:$D,Formulas!$B814,Issuance!$C:$C,Formulas!D$2)</f>
        <v>0</v>
      </c>
      <c r="E814">
        <f t="shared" si="64"/>
        <v>0</v>
      </c>
      <c r="F814" s="41" t="str">
        <f t="shared" si="66"/>
        <v/>
      </c>
      <c r="I814">
        <f>SUMIFS(Buybacks!H:H,Buybacks!D:D,Formulas!H814)</f>
        <v>0</v>
      </c>
      <c r="J814" s="41" t="str">
        <f t="shared" si="67"/>
        <v/>
      </c>
      <c r="M814">
        <f>SUMIFS('Corporate activity'!$H:$H,'Corporate activity'!$D:$D,Formulas!$L814,'Corporate activity'!$C:$C,Formulas!M$2)</f>
        <v>0</v>
      </c>
      <c r="N814">
        <f>SUMIFS('Corporate activity'!$H:$H,'Corporate activity'!$D:$D,Formulas!$L814,'Corporate activity'!$C:$C,Formulas!N$2)</f>
        <v>0</v>
      </c>
      <c r="O814">
        <f>SUMIFS('Corporate activity'!$H:$H,'Corporate activity'!$D:$D,Formulas!$L814,'Corporate activity'!$C:$C,Formulas!O$2)</f>
        <v>0</v>
      </c>
      <c r="P814">
        <f t="shared" si="65"/>
        <v>0</v>
      </c>
      <c r="Q814" t="str">
        <f t="shared" si="68"/>
        <v/>
      </c>
    </row>
    <row r="815" spans="3:17" x14ac:dyDescent="0.25">
      <c r="C815">
        <f>SUMIFS(Issuance!$H:$H,Issuance!$D:$D,Formulas!$B815,Issuance!$C:$C,Formulas!C$2)</f>
        <v>0</v>
      </c>
      <c r="D815">
        <f>SUMIFS(Issuance!$H:$H,Issuance!$D:$D,Formulas!$B815,Issuance!$C:$C,Formulas!D$2)</f>
        <v>0</v>
      </c>
      <c r="E815">
        <f t="shared" si="64"/>
        <v>0</v>
      </c>
      <c r="F815" s="41" t="str">
        <f t="shared" si="66"/>
        <v/>
      </c>
      <c r="I815">
        <f>SUMIFS(Buybacks!H:H,Buybacks!D:D,Formulas!H815)</f>
        <v>0</v>
      </c>
      <c r="J815" s="41" t="str">
        <f t="shared" si="67"/>
        <v/>
      </c>
      <c r="M815">
        <f>SUMIFS('Corporate activity'!$H:$H,'Corporate activity'!$D:$D,Formulas!$L815,'Corporate activity'!$C:$C,Formulas!M$2)</f>
        <v>0</v>
      </c>
      <c r="N815">
        <f>SUMIFS('Corporate activity'!$H:$H,'Corporate activity'!$D:$D,Formulas!$L815,'Corporate activity'!$C:$C,Formulas!N$2)</f>
        <v>0</v>
      </c>
      <c r="O815">
        <f>SUMIFS('Corporate activity'!$H:$H,'Corporate activity'!$D:$D,Formulas!$L815,'Corporate activity'!$C:$C,Formulas!O$2)</f>
        <v>0</v>
      </c>
      <c r="P815">
        <f t="shared" si="65"/>
        <v>0</v>
      </c>
      <c r="Q815" t="str">
        <f t="shared" si="68"/>
        <v/>
      </c>
    </row>
    <row r="816" spans="3:17" x14ac:dyDescent="0.25">
      <c r="C816">
        <f>SUMIFS(Issuance!$H:$H,Issuance!$D:$D,Formulas!$B816,Issuance!$C:$C,Formulas!C$2)</f>
        <v>0</v>
      </c>
      <c r="D816">
        <f>SUMIFS(Issuance!$H:$H,Issuance!$D:$D,Formulas!$B816,Issuance!$C:$C,Formulas!D$2)</f>
        <v>0</v>
      </c>
      <c r="E816">
        <f t="shared" si="64"/>
        <v>0</v>
      </c>
      <c r="F816" s="41" t="str">
        <f t="shared" si="66"/>
        <v/>
      </c>
      <c r="I816">
        <f>SUMIFS(Buybacks!H:H,Buybacks!D:D,Formulas!H816)</f>
        <v>0</v>
      </c>
      <c r="J816" s="41" t="str">
        <f t="shared" si="67"/>
        <v/>
      </c>
      <c r="M816">
        <f>SUMIFS('Corporate activity'!$H:$H,'Corporate activity'!$D:$D,Formulas!$L816,'Corporate activity'!$C:$C,Formulas!M$2)</f>
        <v>0</v>
      </c>
      <c r="N816">
        <f>SUMIFS('Corporate activity'!$H:$H,'Corporate activity'!$D:$D,Formulas!$L816,'Corporate activity'!$C:$C,Formulas!N$2)</f>
        <v>0</v>
      </c>
      <c r="O816">
        <f>SUMIFS('Corporate activity'!$H:$H,'Corporate activity'!$D:$D,Formulas!$L816,'Corporate activity'!$C:$C,Formulas!O$2)</f>
        <v>0</v>
      </c>
      <c r="P816">
        <f t="shared" si="65"/>
        <v>0</v>
      </c>
      <c r="Q816" t="str">
        <f t="shared" si="68"/>
        <v/>
      </c>
    </row>
    <row r="817" spans="3:17" x14ac:dyDescent="0.25">
      <c r="C817">
        <f>SUMIFS(Issuance!$H:$H,Issuance!$D:$D,Formulas!$B817,Issuance!$C:$C,Formulas!C$2)</f>
        <v>0</v>
      </c>
      <c r="D817">
        <f>SUMIFS(Issuance!$H:$H,Issuance!$D:$D,Formulas!$B817,Issuance!$C:$C,Formulas!D$2)</f>
        <v>0</v>
      </c>
      <c r="E817">
        <f t="shared" si="64"/>
        <v>0</v>
      </c>
      <c r="F817" s="41" t="str">
        <f t="shared" si="66"/>
        <v/>
      </c>
      <c r="I817">
        <f>SUMIFS(Buybacks!H:H,Buybacks!D:D,Formulas!H817)</f>
        <v>0</v>
      </c>
      <c r="J817" s="41" t="str">
        <f t="shared" si="67"/>
        <v/>
      </c>
      <c r="M817">
        <f>SUMIFS('Corporate activity'!$H:$H,'Corporate activity'!$D:$D,Formulas!$L817,'Corporate activity'!$C:$C,Formulas!M$2)</f>
        <v>0</v>
      </c>
      <c r="N817">
        <f>SUMIFS('Corporate activity'!$H:$H,'Corporate activity'!$D:$D,Formulas!$L817,'Corporate activity'!$C:$C,Formulas!N$2)</f>
        <v>0</v>
      </c>
      <c r="O817">
        <f>SUMIFS('Corporate activity'!$H:$H,'Corporate activity'!$D:$D,Formulas!$L817,'Corporate activity'!$C:$C,Formulas!O$2)</f>
        <v>0</v>
      </c>
      <c r="P817">
        <f t="shared" si="65"/>
        <v>0</v>
      </c>
      <c r="Q817" t="str">
        <f t="shared" si="68"/>
        <v/>
      </c>
    </row>
    <row r="818" spans="3:17" x14ac:dyDescent="0.25">
      <c r="C818">
        <f>SUMIFS(Issuance!$H:$H,Issuance!$D:$D,Formulas!$B818,Issuance!$C:$C,Formulas!C$2)</f>
        <v>0</v>
      </c>
      <c r="D818">
        <f>SUMIFS(Issuance!$H:$H,Issuance!$D:$D,Formulas!$B818,Issuance!$C:$C,Formulas!D$2)</f>
        <v>0</v>
      </c>
      <c r="E818">
        <f t="shared" si="64"/>
        <v>0</v>
      </c>
      <c r="F818" s="41" t="str">
        <f t="shared" si="66"/>
        <v/>
      </c>
      <c r="I818">
        <f>SUMIFS(Buybacks!H:H,Buybacks!D:D,Formulas!H818)</f>
        <v>0</v>
      </c>
      <c r="J818" s="41" t="str">
        <f t="shared" si="67"/>
        <v/>
      </c>
      <c r="M818">
        <f>SUMIFS('Corporate activity'!$H:$H,'Corporate activity'!$D:$D,Formulas!$L818,'Corporate activity'!$C:$C,Formulas!M$2)</f>
        <v>0</v>
      </c>
      <c r="N818">
        <f>SUMIFS('Corporate activity'!$H:$H,'Corporate activity'!$D:$D,Formulas!$L818,'Corporate activity'!$C:$C,Formulas!N$2)</f>
        <v>0</v>
      </c>
      <c r="O818">
        <f>SUMIFS('Corporate activity'!$H:$H,'Corporate activity'!$D:$D,Formulas!$L818,'Corporate activity'!$C:$C,Formulas!O$2)</f>
        <v>0</v>
      </c>
      <c r="P818">
        <f t="shared" si="65"/>
        <v>0</v>
      </c>
      <c r="Q818" t="str">
        <f t="shared" si="68"/>
        <v/>
      </c>
    </row>
    <row r="819" spans="3:17" x14ac:dyDescent="0.25">
      <c r="C819">
        <f>SUMIFS(Issuance!$H:$H,Issuance!$D:$D,Formulas!$B819,Issuance!$C:$C,Formulas!C$2)</f>
        <v>0</v>
      </c>
      <c r="D819">
        <f>SUMIFS(Issuance!$H:$H,Issuance!$D:$D,Formulas!$B819,Issuance!$C:$C,Formulas!D$2)</f>
        <v>0</v>
      </c>
      <c r="E819">
        <f t="shared" ref="E819:E882" si="69">SUM(C819:D819)</f>
        <v>0</v>
      </c>
      <c r="F819" s="41" t="str">
        <f t="shared" si="66"/>
        <v/>
      </c>
      <c r="I819">
        <f>SUMIFS(Buybacks!H:H,Buybacks!D:D,Formulas!H819)</f>
        <v>0</v>
      </c>
      <c r="J819" s="41" t="str">
        <f t="shared" si="67"/>
        <v/>
      </c>
      <c r="M819">
        <f>SUMIFS('Corporate activity'!$H:$H,'Corporate activity'!$D:$D,Formulas!$L819,'Corporate activity'!$C:$C,Formulas!M$2)</f>
        <v>0</v>
      </c>
      <c r="N819">
        <f>SUMIFS('Corporate activity'!$H:$H,'Corporate activity'!$D:$D,Formulas!$L819,'Corporate activity'!$C:$C,Formulas!N$2)</f>
        <v>0</v>
      </c>
      <c r="O819">
        <f>SUMIFS('Corporate activity'!$H:$H,'Corporate activity'!$D:$D,Formulas!$L819,'Corporate activity'!$C:$C,Formulas!O$2)</f>
        <v>0</v>
      </c>
      <c r="P819">
        <f t="shared" ref="P819:P882" si="70">SUM(M819:O819)</f>
        <v>0</v>
      </c>
      <c r="Q819" t="str">
        <f t="shared" si="68"/>
        <v/>
      </c>
    </row>
    <row r="820" spans="3:17" x14ac:dyDescent="0.25">
      <c r="C820">
        <f>SUMIFS(Issuance!$H:$H,Issuance!$D:$D,Formulas!$B820,Issuance!$C:$C,Formulas!C$2)</f>
        <v>0</v>
      </c>
      <c r="D820">
        <f>SUMIFS(Issuance!$H:$H,Issuance!$D:$D,Formulas!$B820,Issuance!$C:$C,Formulas!D$2)</f>
        <v>0</v>
      </c>
      <c r="E820">
        <f t="shared" si="69"/>
        <v>0</v>
      </c>
      <c r="F820" s="41" t="str">
        <f t="shared" si="66"/>
        <v/>
      </c>
      <c r="I820">
        <f>SUMIFS(Buybacks!H:H,Buybacks!D:D,Formulas!H820)</f>
        <v>0</v>
      </c>
      <c r="J820" s="41" t="str">
        <f t="shared" si="67"/>
        <v/>
      </c>
      <c r="M820">
        <f>SUMIFS('Corporate activity'!$H:$H,'Corporate activity'!$D:$D,Formulas!$L820,'Corporate activity'!$C:$C,Formulas!M$2)</f>
        <v>0</v>
      </c>
      <c r="N820">
        <f>SUMIFS('Corporate activity'!$H:$H,'Corporate activity'!$D:$D,Formulas!$L820,'Corporate activity'!$C:$C,Formulas!N$2)</f>
        <v>0</v>
      </c>
      <c r="O820">
        <f>SUMIFS('Corporate activity'!$H:$H,'Corporate activity'!$D:$D,Formulas!$L820,'Corporate activity'!$C:$C,Formulas!O$2)</f>
        <v>0</v>
      </c>
      <c r="P820">
        <f t="shared" si="70"/>
        <v>0</v>
      </c>
      <c r="Q820" t="str">
        <f t="shared" si="68"/>
        <v/>
      </c>
    </row>
    <row r="821" spans="3:17" x14ac:dyDescent="0.25">
      <c r="C821">
        <f>SUMIFS(Issuance!$H:$H,Issuance!$D:$D,Formulas!$B821,Issuance!$C:$C,Formulas!C$2)</f>
        <v>0</v>
      </c>
      <c r="D821">
        <f>SUMIFS(Issuance!$H:$H,Issuance!$D:$D,Formulas!$B821,Issuance!$C:$C,Formulas!D$2)</f>
        <v>0</v>
      </c>
      <c r="E821">
        <f t="shared" si="69"/>
        <v>0</v>
      </c>
      <c r="F821" s="41" t="str">
        <f t="shared" si="66"/>
        <v/>
      </c>
      <c r="I821">
        <f>SUMIFS(Buybacks!H:H,Buybacks!D:D,Formulas!H821)</f>
        <v>0</v>
      </c>
      <c r="J821" s="41" t="str">
        <f t="shared" si="67"/>
        <v/>
      </c>
      <c r="M821">
        <f>SUMIFS('Corporate activity'!$H:$H,'Corporate activity'!$D:$D,Formulas!$L821,'Corporate activity'!$C:$C,Formulas!M$2)</f>
        <v>0</v>
      </c>
      <c r="N821">
        <f>SUMIFS('Corporate activity'!$H:$H,'Corporate activity'!$D:$D,Formulas!$L821,'Corporate activity'!$C:$C,Formulas!N$2)</f>
        <v>0</v>
      </c>
      <c r="O821">
        <f>SUMIFS('Corporate activity'!$H:$H,'Corporate activity'!$D:$D,Formulas!$L821,'Corporate activity'!$C:$C,Formulas!O$2)</f>
        <v>0</v>
      </c>
      <c r="P821">
        <f t="shared" si="70"/>
        <v>0</v>
      </c>
      <c r="Q821" t="str">
        <f t="shared" si="68"/>
        <v/>
      </c>
    </row>
    <row r="822" spans="3:17" x14ac:dyDescent="0.25">
      <c r="C822">
        <f>SUMIFS(Issuance!$H:$H,Issuance!$D:$D,Formulas!$B822,Issuance!$C:$C,Formulas!C$2)</f>
        <v>0</v>
      </c>
      <c r="D822">
        <f>SUMIFS(Issuance!$H:$H,Issuance!$D:$D,Formulas!$B822,Issuance!$C:$C,Formulas!D$2)</f>
        <v>0</v>
      </c>
      <c r="E822">
        <f t="shared" si="69"/>
        <v>0</v>
      </c>
      <c r="F822" s="41" t="str">
        <f t="shared" si="66"/>
        <v/>
      </c>
      <c r="I822">
        <f>SUMIFS(Buybacks!H:H,Buybacks!D:D,Formulas!H822)</f>
        <v>0</v>
      </c>
      <c r="J822" s="41" t="str">
        <f t="shared" si="67"/>
        <v/>
      </c>
      <c r="M822">
        <f>SUMIFS('Corporate activity'!$H:$H,'Corporate activity'!$D:$D,Formulas!$L822,'Corporate activity'!$C:$C,Formulas!M$2)</f>
        <v>0</v>
      </c>
      <c r="N822">
        <f>SUMIFS('Corporate activity'!$H:$H,'Corporate activity'!$D:$D,Formulas!$L822,'Corporate activity'!$C:$C,Formulas!N$2)</f>
        <v>0</v>
      </c>
      <c r="O822">
        <f>SUMIFS('Corporate activity'!$H:$H,'Corporate activity'!$D:$D,Formulas!$L822,'Corporate activity'!$C:$C,Formulas!O$2)</f>
        <v>0</v>
      </c>
      <c r="P822">
        <f t="shared" si="70"/>
        <v>0</v>
      </c>
      <c r="Q822" t="str">
        <f t="shared" si="68"/>
        <v/>
      </c>
    </row>
    <row r="823" spans="3:17" x14ac:dyDescent="0.25">
      <c r="C823">
        <f>SUMIFS(Issuance!$H:$H,Issuance!$D:$D,Formulas!$B823,Issuance!$C:$C,Formulas!C$2)</f>
        <v>0</v>
      </c>
      <c r="D823">
        <f>SUMIFS(Issuance!$H:$H,Issuance!$D:$D,Formulas!$B823,Issuance!$C:$C,Formulas!D$2)</f>
        <v>0</v>
      </c>
      <c r="E823">
        <f t="shared" si="69"/>
        <v>0</v>
      </c>
      <c r="F823" s="41" t="str">
        <f t="shared" si="66"/>
        <v/>
      </c>
      <c r="I823">
        <f>SUMIFS(Buybacks!H:H,Buybacks!D:D,Formulas!H823)</f>
        <v>0</v>
      </c>
      <c r="J823" s="41" t="str">
        <f t="shared" si="67"/>
        <v/>
      </c>
      <c r="M823">
        <f>SUMIFS('Corporate activity'!$H:$H,'Corporate activity'!$D:$D,Formulas!$L823,'Corporate activity'!$C:$C,Formulas!M$2)</f>
        <v>0</v>
      </c>
      <c r="N823">
        <f>SUMIFS('Corporate activity'!$H:$H,'Corporate activity'!$D:$D,Formulas!$L823,'Corporate activity'!$C:$C,Formulas!N$2)</f>
        <v>0</v>
      </c>
      <c r="O823">
        <f>SUMIFS('Corporate activity'!$H:$H,'Corporate activity'!$D:$D,Formulas!$L823,'Corporate activity'!$C:$C,Formulas!O$2)</f>
        <v>0</v>
      </c>
      <c r="P823">
        <f t="shared" si="70"/>
        <v>0</v>
      </c>
      <c r="Q823" t="str">
        <f t="shared" si="68"/>
        <v/>
      </c>
    </row>
    <row r="824" spans="3:17" x14ac:dyDescent="0.25">
      <c r="C824">
        <f>SUMIFS(Issuance!$H:$H,Issuance!$D:$D,Formulas!$B824,Issuance!$C:$C,Formulas!C$2)</f>
        <v>0</v>
      </c>
      <c r="D824">
        <f>SUMIFS(Issuance!$H:$H,Issuance!$D:$D,Formulas!$B824,Issuance!$C:$C,Formulas!D$2)</f>
        <v>0</v>
      </c>
      <c r="E824">
        <f t="shared" si="69"/>
        <v>0</v>
      </c>
      <c r="F824" s="41" t="str">
        <f t="shared" si="66"/>
        <v/>
      </c>
      <c r="I824">
        <f>SUMIFS(Buybacks!H:H,Buybacks!D:D,Formulas!H824)</f>
        <v>0</v>
      </c>
      <c r="J824" s="41" t="str">
        <f t="shared" si="67"/>
        <v/>
      </c>
      <c r="M824">
        <f>SUMIFS('Corporate activity'!$H:$H,'Corporate activity'!$D:$D,Formulas!$L824,'Corporate activity'!$C:$C,Formulas!M$2)</f>
        <v>0</v>
      </c>
      <c r="N824">
        <f>SUMIFS('Corporate activity'!$H:$H,'Corporate activity'!$D:$D,Formulas!$L824,'Corporate activity'!$C:$C,Formulas!N$2)</f>
        <v>0</v>
      </c>
      <c r="O824">
        <f>SUMIFS('Corporate activity'!$H:$H,'Corporate activity'!$D:$D,Formulas!$L824,'Corporate activity'!$C:$C,Formulas!O$2)</f>
        <v>0</v>
      </c>
      <c r="P824">
        <f t="shared" si="70"/>
        <v>0</v>
      </c>
      <c r="Q824" t="str">
        <f t="shared" si="68"/>
        <v/>
      </c>
    </row>
    <row r="825" spans="3:17" x14ac:dyDescent="0.25">
      <c r="C825">
        <f>SUMIFS(Issuance!$H:$H,Issuance!$D:$D,Formulas!$B825,Issuance!$C:$C,Formulas!C$2)</f>
        <v>0</v>
      </c>
      <c r="D825">
        <f>SUMIFS(Issuance!$H:$H,Issuance!$D:$D,Formulas!$B825,Issuance!$C:$C,Formulas!D$2)</f>
        <v>0</v>
      </c>
      <c r="E825">
        <f t="shared" si="69"/>
        <v>0</v>
      </c>
      <c r="F825" s="41" t="str">
        <f t="shared" si="66"/>
        <v/>
      </c>
      <c r="I825">
        <f>SUMIFS(Buybacks!H:H,Buybacks!D:D,Formulas!H825)</f>
        <v>0</v>
      </c>
      <c r="J825" s="41" t="str">
        <f t="shared" si="67"/>
        <v/>
      </c>
      <c r="M825">
        <f>SUMIFS('Corporate activity'!$H:$H,'Corporate activity'!$D:$D,Formulas!$L825,'Corporate activity'!$C:$C,Formulas!M$2)</f>
        <v>0</v>
      </c>
      <c r="N825">
        <f>SUMIFS('Corporate activity'!$H:$H,'Corporate activity'!$D:$D,Formulas!$L825,'Corporate activity'!$C:$C,Formulas!N$2)</f>
        <v>0</v>
      </c>
      <c r="O825">
        <f>SUMIFS('Corporate activity'!$H:$H,'Corporate activity'!$D:$D,Formulas!$L825,'Corporate activity'!$C:$C,Formulas!O$2)</f>
        <v>0</v>
      </c>
      <c r="P825">
        <f t="shared" si="70"/>
        <v>0</v>
      </c>
      <c r="Q825" t="str">
        <f t="shared" si="68"/>
        <v/>
      </c>
    </row>
    <row r="826" spans="3:17" x14ac:dyDescent="0.25">
      <c r="C826">
        <f>SUMIFS(Issuance!$H:$H,Issuance!$D:$D,Formulas!$B826,Issuance!$C:$C,Formulas!C$2)</f>
        <v>0</v>
      </c>
      <c r="D826">
        <f>SUMIFS(Issuance!$H:$H,Issuance!$D:$D,Formulas!$B826,Issuance!$C:$C,Formulas!D$2)</f>
        <v>0</v>
      </c>
      <c r="E826">
        <f t="shared" si="69"/>
        <v>0</v>
      </c>
      <c r="F826" s="41" t="str">
        <f t="shared" si="66"/>
        <v/>
      </c>
      <c r="I826">
        <f>SUMIFS(Buybacks!H:H,Buybacks!D:D,Formulas!H826)</f>
        <v>0</v>
      </c>
      <c r="J826" s="41" t="str">
        <f t="shared" si="67"/>
        <v/>
      </c>
      <c r="M826">
        <f>SUMIFS('Corporate activity'!$H:$H,'Corporate activity'!$D:$D,Formulas!$L826,'Corporate activity'!$C:$C,Formulas!M$2)</f>
        <v>0</v>
      </c>
      <c r="N826">
        <f>SUMIFS('Corporate activity'!$H:$H,'Corporate activity'!$D:$D,Formulas!$L826,'Corporate activity'!$C:$C,Formulas!N$2)</f>
        <v>0</v>
      </c>
      <c r="O826">
        <f>SUMIFS('Corporate activity'!$H:$H,'Corporate activity'!$D:$D,Formulas!$L826,'Corporate activity'!$C:$C,Formulas!O$2)</f>
        <v>0</v>
      </c>
      <c r="P826">
        <f t="shared" si="70"/>
        <v>0</v>
      </c>
      <c r="Q826" t="str">
        <f t="shared" si="68"/>
        <v/>
      </c>
    </row>
    <row r="827" spans="3:17" x14ac:dyDescent="0.25">
      <c r="C827">
        <f>SUMIFS(Issuance!$H:$H,Issuance!$D:$D,Formulas!$B827,Issuance!$C:$C,Formulas!C$2)</f>
        <v>0</v>
      </c>
      <c r="D827">
        <f>SUMIFS(Issuance!$H:$H,Issuance!$D:$D,Formulas!$B827,Issuance!$C:$C,Formulas!D$2)</f>
        <v>0</v>
      </c>
      <c r="E827">
        <f t="shared" si="69"/>
        <v>0</v>
      </c>
      <c r="F827" s="41" t="str">
        <f t="shared" si="66"/>
        <v/>
      </c>
      <c r="I827">
        <f>SUMIFS(Buybacks!H:H,Buybacks!D:D,Formulas!H827)</f>
        <v>0</v>
      </c>
      <c r="J827" s="41" t="str">
        <f t="shared" si="67"/>
        <v/>
      </c>
      <c r="M827">
        <f>SUMIFS('Corporate activity'!$H:$H,'Corporate activity'!$D:$D,Formulas!$L827,'Corporate activity'!$C:$C,Formulas!M$2)</f>
        <v>0</v>
      </c>
      <c r="N827">
        <f>SUMIFS('Corporate activity'!$H:$H,'Corporate activity'!$D:$D,Formulas!$L827,'Corporate activity'!$C:$C,Formulas!N$2)</f>
        <v>0</v>
      </c>
      <c r="O827">
        <f>SUMIFS('Corporate activity'!$H:$H,'Corporate activity'!$D:$D,Formulas!$L827,'Corporate activity'!$C:$C,Formulas!O$2)</f>
        <v>0</v>
      </c>
      <c r="P827">
        <f t="shared" si="70"/>
        <v>0</v>
      </c>
      <c r="Q827" t="str">
        <f t="shared" si="68"/>
        <v/>
      </c>
    </row>
    <row r="828" spans="3:17" x14ac:dyDescent="0.25">
      <c r="C828">
        <f>SUMIFS(Issuance!$H:$H,Issuance!$D:$D,Formulas!$B828,Issuance!$C:$C,Formulas!C$2)</f>
        <v>0</v>
      </c>
      <c r="D828">
        <f>SUMIFS(Issuance!$H:$H,Issuance!$D:$D,Formulas!$B828,Issuance!$C:$C,Formulas!D$2)</f>
        <v>0</v>
      </c>
      <c r="E828">
        <f t="shared" si="69"/>
        <v>0</v>
      </c>
      <c r="F828" s="41" t="str">
        <f t="shared" si="66"/>
        <v/>
      </c>
      <c r="I828">
        <f>SUMIFS(Buybacks!H:H,Buybacks!D:D,Formulas!H828)</f>
        <v>0</v>
      </c>
      <c r="J828" s="41" t="str">
        <f t="shared" si="67"/>
        <v/>
      </c>
      <c r="M828">
        <f>SUMIFS('Corporate activity'!$H:$H,'Corporate activity'!$D:$D,Formulas!$L828,'Corporate activity'!$C:$C,Formulas!M$2)</f>
        <v>0</v>
      </c>
      <c r="N828">
        <f>SUMIFS('Corporate activity'!$H:$H,'Corporate activity'!$D:$D,Formulas!$L828,'Corporate activity'!$C:$C,Formulas!N$2)</f>
        <v>0</v>
      </c>
      <c r="O828">
        <f>SUMIFS('Corporate activity'!$H:$H,'Corporate activity'!$D:$D,Formulas!$L828,'Corporate activity'!$C:$C,Formulas!O$2)</f>
        <v>0</v>
      </c>
      <c r="P828">
        <f t="shared" si="70"/>
        <v>0</v>
      </c>
      <c r="Q828" t="str">
        <f t="shared" si="68"/>
        <v/>
      </c>
    </row>
    <row r="829" spans="3:17" x14ac:dyDescent="0.25">
      <c r="C829">
        <f>SUMIFS(Issuance!$H:$H,Issuance!$D:$D,Formulas!$B829,Issuance!$C:$C,Formulas!C$2)</f>
        <v>0</v>
      </c>
      <c r="D829">
        <f>SUMIFS(Issuance!$H:$H,Issuance!$D:$D,Formulas!$B829,Issuance!$C:$C,Formulas!D$2)</f>
        <v>0</v>
      </c>
      <c r="E829">
        <f t="shared" si="69"/>
        <v>0</v>
      </c>
      <c r="F829" s="41" t="str">
        <f t="shared" si="66"/>
        <v/>
      </c>
      <c r="I829">
        <f>SUMIFS(Buybacks!H:H,Buybacks!D:D,Formulas!H829)</f>
        <v>0</v>
      </c>
      <c r="J829" s="41" t="str">
        <f t="shared" si="67"/>
        <v/>
      </c>
      <c r="M829">
        <f>SUMIFS('Corporate activity'!$H:$H,'Corporate activity'!$D:$D,Formulas!$L829,'Corporate activity'!$C:$C,Formulas!M$2)</f>
        <v>0</v>
      </c>
      <c r="N829">
        <f>SUMIFS('Corporate activity'!$H:$H,'Corporate activity'!$D:$D,Formulas!$L829,'Corporate activity'!$C:$C,Formulas!N$2)</f>
        <v>0</v>
      </c>
      <c r="O829">
        <f>SUMIFS('Corporate activity'!$H:$H,'Corporate activity'!$D:$D,Formulas!$L829,'Corporate activity'!$C:$C,Formulas!O$2)</f>
        <v>0</v>
      </c>
      <c r="P829">
        <f t="shared" si="70"/>
        <v>0</v>
      </c>
      <c r="Q829" t="str">
        <f t="shared" si="68"/>
        <v/>
      </c>
    </row>
    <row r="830" spans="3:17" x14ac:dyDescent="0.25">
      <c r="C830">
        <f>SUMIFS(Issuance!$H:$H,Issuance!$D:$D,Formulas!$B830,Issuance!$C:$C,Formulas!C$2)</f>
        <v>0</v>
      </c>
      <c r="D830">
        <f>SUMIFS(Issuance!$H:$H,Issuance!$D:$D,Formulas!$B830,Issuance!$C:$C,Formulas!D$2)</f>
        <v>0</v>
      </c>
      <c r="E830">
        <f t="shared" si="69"/>
        <v>0</v>
      </c>
      <c r="F830" s="41" t="str">
        <f t="shared" si="66"/>
        <v/>
      </c>
      <c r="I830">
        <f>SUMIFS(Buybacks!H:H,Buybacks!D:D,Formulas!H830)</f>
        <v>0</v>
      </c>
      <c r="J830" s="41" t="str">
        <f t="shared" si="67"/>
        <v/>
      </c>
      <c r="M830">
        <f>SUMIFS('Corporate activity'!$H:$H,'Corporate activity'!$D:$D,Formulas!$L830,'Corporate activity'!$C:$C,Formulas!M$2)</f>
        <v>0</v>
      </c>
      <c r="N830">
        <f>SUMIFS('Corporate activity'!$H:$H,'Corporate activity'!$D:$D,Formulas!$L830,'Corporate activity'!$C:$C,Formulas!N$2)</f>
        <v>0</v>
      </c>
      <c r="O830">
        <f>SUMIFS('Corporate activity'!$H:$H,'Corporate activity'!$D:$D,Formulas!$L830,'Corporate activity'!$C:$C,Formulas!O$2)</f>
        <v>0</v>
      </c>
      <c r="P830">
        <f t="shared" si="70"/>
        <v>0</v>
      </c>
      <c r="Q830" t="str">
        <f t="shared" si="68"/>
        <v/>
      </c>
    </row>
    <row r="831" spans="3:17" x14ac:dyDescent="0.25">
      <c r="C831">
        <f>SUMIFS(Issuance!$H:$H,Issuance!$D:$D,Formulas!$B831,Issuance!$C:$C,Formulas!C$2)</f>
        <v>0</v>
      </c>
      <c r="D831">
        <f>SUMIFS(Issuance!$H:$H,Issuance!$D:$D,Formulas!$B831,Issuance!$C:$C,Formulas!D$2)</f>
        <v>0</v>
      </c>
      <c r="E831">
        <f t="shared" si="69"/>
        <v>0</v>
      </c>
      <c r="F831" s="41" t="str">
        <f t="shared" si="66"/>
        <v/>
      </c>
      <c r="I831">
        <f>SUMIFS(Buybacks!H:H,Buybacks!D:D,Formulas!H831)</f>
        <v>0</v>
      </c>
      <c r="J831" s="41" t="str">
        <f t="shared" si="67"/>
        <v/>
      </c>
      <c r="M831">
        <f>SUMIFS('Corporate activity'!$H:$H,'Corporate activity'!$D:$D,Formulas!$L831,'Corporate activity'!$C:$C,Formulas!M$2)</f>
        <v>0</v>
      </c>
      <c r="N831">
        <f>SUMIFS('Corporate activity'!$H:$H,'Corporate activity'!$D:$D,Formulas!$L831,'Corporate activity'!$C:$C,Formulas!N$2)</f>
        <v>0</v>
      </c>
      <c r="O831">
        <f>SUMIFS('Corporate activity'!$H:$H,'Corporate activity'!$D:$D,Formulas!$L831,'Corporate activity'!$C:$C,Formulas!O$2)</f>
        <v>0</v>
      </c>
      <c r="P831">
        <f t="shared" si="70"/>
        <v>0</v>
      </c>
      <c r="Q831" t="str">
        <f t="shared" si="68"/>
        <v/>
      </c>
    </row>
    <row r="832" spans="3:17" x14ac:dyDescent="0.25">
      <c r="C832">
        <f>SUMIFS(Issuance!$H:$H,Issuance!$D:$D,Formulas!$B832,Issuance!$C:$C,Formulas!C$2)</f>
        <v>0</v>
      </c>
      <c r="D832">
        <f>SUMIFS(Issuance!$H:$H,Issuance!$D:$D,Formulas!$B832,Issuance!$C:$C,Formulas!D$2)</f>
        <v>0</v>
      </c>
      <c r="E832">
        <f t="shared" si="69"/>
        <v>0</v>
      </c>
      <c r="F832" s="41" t="str">
        <f t="shared" si="66"/>
        <v/>
      </c>
      <c r="I832">
        <f>SUMIFS(Buybacks!H:H,Buybacks!D:D,Formulas!H832)</f>
        <v>0</v>
      </c>
      <c r="J832" s="41" t="str">
        <f t="shared" si="67"/>
        <v/>
      </c>
      <c r="M832">
        <f>SUMIFS('Corporate activity'!$H:$H,'Corporate activity'!$D:$D,Formulas!$L832,'Corporate activity'!$C:$C,Formulas!M$2)</f>
        <v>0</v>
      </c>
      <c r="N832">
        <f>SUMIFS('Corporate activity'!$H:$H,'Corporate activity'!$D:$D,Formulas!$L832,'Corporate activity'!$C:$C,Formulas!N$2)</f>
        <v>0</v>
      </c>
      <c r="O832">
        <f>SUMIFS('Corporate activity'!$H:$H,'Corporate activity'!$D:$D,Formulas!$L832,'Corporate activity'!$C:$C,Formulas!O$2)</f>
        <v>0</v>
      </c>
      <c r="P832">
        <f t="shared" si="70"/>
        <v>0</v>
      </c>
      <c r="Q832" t="str">
        <f t="shared" si="68"/>
        <v/>
      </c>
    </row>
    <row r="833" spans="3:17" x14ac:dyDescent="0.25">
      <c r="C833">
        <f>SUMIFS(Issuance!$H:$H,Issuance!$D:$D,Formulas!$B833,Issuance!$C:$C,Formulas!C$2)</f>
        <v>0</v>
      </c>
      <c r="D833">
        <f>SUMIFS(Issuance!$H:$H,Issuance!$D:$D,Formulas!$B833,Issuance!$C:$C,Formulas!D$2)</f>
        <v>0</v>
      </c>
      <c r="E833">
        <f t="shared" si="69"/>
        <v>0</v>
      </c>
      <c r="F833" s="41" t="str">
        <f t="shared" si="66"/>
        <v/>
      </c>
      <c r="I833">
        <f>SUMIFS(Buybacks!H:H,Buybacks!D:D,Formulas!H833)</f>
        <v>0</v>
      </c>
      <c r="J833" s="41" t="str">
        <f t="shared" si="67"/>
        <v/>
      </c>
      <c r="M833">
        <f>SUMIFS('Corporate activity'!$H:$H,'Corporate activity'!$D:$D,Formulas!$L833,'Corporate activity'!$C:$C,Formulas!M$2)</f>
        <v>0</v>
      </c>
      <c r="N833">
        <f>SUMIFS('Corporate activity'!$H:$H,'Corporate activity'!$D:$D,Formulas!$L833,'Corporate activity'!$C:$C,Formulas!N$2)</f>
        <v>0</v>
      </c>
      <c r="O833">
        <f>SUMIFS('Corporate activity'!$H:$H,'Corporate activity'!$D:$D,Formulas!$L833,'Corporate activity'!$C:$C,Formulas!O$2)</f>
        <v>0</v>
      </c>
      <c r="P833">
        <f t="shared" si="70"/>
        <v>0</v>
      </c>
      <c r="Q833" t="str">
        <f t="shared" si="68"/>
        <v/>
      </c>
    </row>
    <row r="834" spans="3:17" x14ac:dyDescent="0.25">
      <c r="C834">
        <f>SUMIFS(Issuance!$H:$H,Issuance!$D:$D,Formulas!$B834,Issuance!$C:$C,Formulas!C$2)</f>
        <v>0</v>
      </c>
      <c r="D834">
        <f>SUMIFS(Issuance!$H:$H,Issuance!$D:$D,Formulas!$B834,Issuance!$C:$C,Formulas!D$2)</f>
        <v>0</v>
      </c>
      <c r="E834">
        <f t="shared" si="69"/>
        <v>0</v>
      </c>
      <c r="F834" s="41" t="str">
        <f t="shared" si="66"/>
        <v/>
      </c>
      <c r="I834">
        <f>SUMIFS(Buybacks!H:H,Buybacks!D:D,Formulas!H834)</f>
        <v>0</v>
      </c>
      <c r="J834" s="41" t="str">
        <f t="shared" si="67"/>
        <v/>
      </c>
      <c r="M834">
        <f>SUMIFS('Corporate activity'!$H:$H,'Corporate activity'!$D:$D,Formulas!$L834,'Corporate activity'!$C:$C,Formulas!M$2)</f>
        <v>0</v>
      </c>
      <c r="N834">
        <f>SUMIFS('Corporate activity'!$H:$H,'Corporate activity'!$D:$D,Formulas!$L834,'Corporate activity'!$C:$C,Formulas!N$2)</f>
        <v>0</v>
      </c>
      <c r="O834">
        <f>SUMIFS('Corporate activity'!$H:$H,'Corporate activity'!$D:$D,Formulas!$L834,'Corporate activity'!$C:$C,Formulas!O$2)</f>
        <v>0</v>
      </c>
      <c r="P834">
        <f t="shared" si="70"/>
        <v>0</v>
      </c>
      <c r="Q834" t="str">
        <f t="shared" si="68"/>
        <v/>
      </c>
    </row>
    <row r="835" spans="3:17" x14ac:dyDescent="0.25">
      <c r="C835">
        <f>SUMIFS(Issuance!$H:$H,Issuance!$D:$D,Formulas!$B835,Issuance!$C:$C,Formulas!C$2)</f>
        <v>0</v>
      </c>
      <c r="D835">
        <f>SUMIFS(Issuance!$H:$H,Issuance!$D:$D,Formulas!$B835,Issuance!$C:$C,Formulas!D$2)</f>
        <v>0</v>
      </c>
      <c r="E835">
        <f t="shared" si="69"/>
        <v>0</v>
      </c>
      <c r="F835" s="41" t="str">
        <f t="shared" si="66"/>
        <v/>
      </c>
      <c r="I835">
        <f>SUMIFS(Buybacks!H:H,Buybacks!D:D,Formulas!H835)</f>
        <v>0</v>
      </c>
      <c r="J835" s="41" t="str">
        <f t="shared" si="67"/>
        <v/>
      </c>
      <c r="M835">
        <f>SUMIFS('Corporate activity'!$H:$H,'Corporate activity'!$D:$D,Formulas!$L835,'Corporate activity'!$C:$C,Formulas!M$2)</f>
        <v>0</v>
      </c>
      <c r="N835">
        <f>SUMIFS('Corporate activity'!$H:$H,'Corporate activity'!$D:$D,Formulas!$L835,'Corporate activity'!$C:$C,Formulas!N$2)</f>
        <v>0</v>
      </c>
      <c r="O835">
        <f>SUMIFS('Corporate activity'!$H:$H,'Corporate activity'!$D:$D,Formulas!$L835,'Corporate activity'!$C:$C,Formulas!O$2)</f>
        <v>0</v>
      </c>
      <c r="P835">
        <f t="shared" si="70"/>
        <v>0</v>
      </c>
      <c r="Q835" t="str">
        <f t="shared" si="68"/>
        <v/>
      </c>
    </row>
    <row r="836" spans="3:17" x14ac:dyDescent="0.25">
      <c r="C836">
        <f>SUMIFS(Issuance!$H:$H,Issuance!$D:$D,Formulas!$B836,Issuance!$C:$C,Formulas!C$2)</f>
        <v>0</v>
      </c>
      <c r="D836">
        <f>SUMIFS(Issuance!$H:$H,Issuance!$D:$D,Formulas!$B836,Issuance!$C:$C,Formulas!D$2)</f>
        <v>0</v>
      </c>
      <c r="E836">
        <f t="shared" si="69"/>
        <v>0</v>
      </c>
      <c r="F836" s="41" t="str">
        <f t="shared" ref="F836:F899" si="71">IF(OR(B836="",B836=0,E836=0),"",IF(COUNTIFS($E$3:$E$500,"&gt;"&amp;E836,$E$3:$E$500,"&lt;&gt;0")+1&lt;=20,COUNTIFS($E$3:$E$500,"&gt;"&amp;E836,$E$3:$E$500,"&lt;&gt;0")+1,""))</f>
        <v/>
      </c>
      <c r="I836">
        <f>SUMIFS(Buybacks!H:H,Buybacks!D:D,Formulas!H836)</f>
        <v>0</v>
      </c>
      <c r="J836" s="41" t="str">
        <f t="shared" ref="J836:J899" si="72">IF(OR(H836="",H836=0,I836=0),"",IF(COUNTIFS($I$3:$I$500,"&lt;"&amp;I836,$I$3:$I$500,"&lt;&gt;0")+1&lt;=20,COUNTIFS($I$3:$I$500,"&lt;"&amp;I836,$I$3:$I$500,"&lt;&gt;0")+1,""))</f>
        <v/>
      </c>
      <c r="M836">
        <f>SUMIFS('Corporate activity'!$H:$H,'Corporate activity'!$D:$D,Formulas!$L836,'Corporate activity'!$C:$C,Formulas!M$2)</f>
        <v>0</v>
      </c>
      <c r="N836">
        <f>SUMIFS('Corporate activity'!$H:$H,'Corporate activity'!$D:$D,Formulas!$L836,'Corporate activity'!$C:$C,Formulas!N$2)</f>
        <v>0</v>
      </c>
      <c r="O836">
        <f>SUMIFS('Corporate activity'!$H:$H,'Corporate activity'!$D:$D,Formulas!$L836,'Corporate activity'!$C:$C,Formulas!O$2)</f>
        <v>0</v>
      </c>
      <c r="P836">
        <f t="shared" si="70"/>
        <v>0</v>
      </c>
      <c r="Q836" t="str">
        <f t="shared" si="68"/>
        <v/>
      </c>
    </row>
    <row r="837" spans="3:17" x14ac:dyDescent="0.25">
      <c r="C837">
        <f>SUMIFS(Issuance!$H:$H,Issuance!$D:$D,Formulas!$B837,Issuance!$C:$C,Formulas!C$2)</f>
        <v>0</v>
      </c>
      <c r="D837">
        <f>SUMIFS(Issuance!$H:$H,Issuance!$D:$D,Formulas!$B837,Issuance!$C:$C,Formulas!D$2)</f>
        <v>0</v>
      </c>
      <c r="E837">
        <f t="shared" si="69"/>
        <v>0</v>
      </c>
      <c r="F837" s="41" t="str">
        <f t="shared" si="71"/>
        <v/>
      </c>
      <c r="I837">
        <f>SUMIFS(Buybacks!H:H,Buybacks!D:D,Formulas!H837)</f>
        <v>0</v>
      </c>
      <c r="J837" s="41" t="str">
        <f t="shared" si="72"/>
        <v/>
      </c>
      <c r="M837">
        <f>SUMIFS('Corporate activity'!$H:$H,'Corporate activity'!$D:$D,Formulas!$L837,'Corporate activity'!$C:$C,Formulas!M$2)</f>
        <v>0</v>
      </c>
      <c r="N837">
        <f>SUMIFS('Corporate activity'!$H:$H,'Corporate activity'!$D:$D,Formulas!$L837,'Corporate activity'!$C:$C,Formulas!N$2)</f>
        <v>0</v>
      </c>
      <c r="O837">
        <f>SUMIFS('Corporate activity'!$H:$H,'Corporate activity'!$D:$D,Formulas!$L837,'Corporate activity'!$C:$C,Formulas!O$2)</f>
        <v>0</v>
      </c>
      <c r="P837">
        <f t="shared" si="70"/>
        <v>0</v>
      </c>
      <c r="Q837" t="str">
        <f t="shared" si="68"/>
        <v/>
      </c>
    </row>
    <row r="838" spans="3:17" x14ac:dyDescent="0.25">
      <c r="C838">
        <f>SUMIFS(Issuance!$H:$H,Issuance!$D:$D,Formulas!$B838,Issuance!$C:$C,Formulas!C$2)</f>
        <v>0</v>
      </c>
      <c r="D838">
        <f>SUMIFS(Issuance!$H:$H,Issuance!$D:$D,Formulas!$B838,Issuance!$C:$C,Formulas!D$2)</f>
        <v>0</v>
      </c>
      <c r="E838">
        <f t="shared" si="69"/>
        <v>0</v>
      </c>
      <c r="F838" s="41" t="str">
        <f t="shared" si="71"/>
        <v/>
      </c>
      <c r="I838">
        <f>SUMIFS(Buybacks!H:H,Buybacks!D:D,Formulas!H838)</f>
        <v>0</v>
      </c>
      <c r="J838" s="41" t="str">
        <f t="shared" si="72"/>
        <v/>
      </c>
      <c r="M838">
        <f>SUMIFS('Corporate activity'!$H:$H,'Corporate activity'!$D:$D,Formulas!$L838,'Corporate activity'!$C:$C,Formulas!M$2)</f>
        <v>0</v>
      </c>
      <c r="N838">
        <f>SUMIFS('Corporate activity'!$H:$H,'Corporate activity'!$D:$D,Formulas!$L838,'Corporate activity'!$C:$C,Formulas!N$2)</f>
        <v>0</v>
      </c>
      <c r="O838">
        <f>SUMIFS('Corporate activity'!$H:$H,'Corporate activity'!$D:$D,Formulas!$L838,'Corporate activity'!$C:$C,Formulas!O$2)</f>
        <v>0</v>
      </c>
      <c r="P838">
        <f t="shared" si="70"/>
        <v>0</v>
      </c>
      <c r="Q838" t="str">
        <f t="shared" si="68"/>
        <v/>
      </c>
    </row>
    <row r="839" spans="3:17" x14ac:dyDescent="0.25">
      <c r="C839">
        <f>SUMIFS(Issuance!$H:$H,Issuance!$D:$D,Formulas!$B839,Issuance!$C:$C,Formulas!C$2)</f>
        <v>0</v>
      </c>
      <c r="D839">
        <f>SUMIFS(Issuance!$H:$H,Issuance!$D:$D,Formulas!$B839,Issuance!$C:$C,Formulas!D$2)</f>
        <v>0</v>
      </c>
      <c r="E839">
        <f t="shared" si="69"/>
        <v>0</v>
      </c>
      <c r="F839" s="41" t="str">
        <f t="shared" si="71"/>
        <v/>
      </c>
      <c r="I839">
        <f>SUMIFS(Buybacks!H:H,Buybacks!D:D,Formulas!H839)</f>
        <v>0</v>
      </c>
      <c r="J839" s="41" t="str">
        <f t="shared" si="72"/>
        <v/>
      </c>
      <c r="M839">
        <f>SUMIFS('Corporate activity'!$H:$H,'Corporate activity'!$D:$D,Formulas!$L839,'Corporate activity'!$C:$C,Formulas!M$2)</f>
        <v>0</v>
      </c>
      <c r="N839">
        <f>SUMIFS('Corporate activity'!$H:$H,'Corporate activity'!$D:$D,Formulas!$L839,'Corporate activity'!$C:$C,Formulas!N$2)</f>
        <v>0</v>
      </c>
      <c r="O839">
        <f>SUMIFS('Corporate activity'!$H:$H,'Corporate activity'!$D:$D,Formulas!$L839,'Corporate activity'!$C:$C,Formulas!O$2)</f>
        <v>0</v>
      </c>
      <c r="P839">
        <f t="shared" si="70"/>
        <v>0</v>
      </c>
      <c r="Q839" t="str">
        <f t="shared" si="68"/>
        <v/>
      </c>
    </row>
    <row r="840" spans="3:17" x14ac:dyDescent="0.25">
      <c r="C840">
        <f>SUMIFS(Issuance!$H:$H,Issuance!$D:$D,Formulas!$B840,Issuance!$C:$C,Formulas!C$2)</f>
        <v>0</v>
      </c>
      <c r="D840">
        <f>SUMIFS(Issuance!$H:$H,Issuance!$D:$D,Formulas!$B840,Issuance!$C:$C,Formulas!D$2)</f>
        <v>0</v>
      </c>
      <c r="E840">
        <f t="shared" si="69"/>
        <v>0</v>
      </c>
      <c r="F840" s="41" t="str">
        <f t="shared" si="71"/>
        <v/>
      </c>
      <c r="I840">
        <f>SUMIFS(Buybacks!H:H,Buybacks!D:D,Formulas!H840)</f>
        <v>0</v>
      </c>
      <c r="J840" s="41" t="str">
        <f t="shared" si="72"/>
        <v/>
      </c>
      <c r="M840">
        <f>SUMIFS('Corporate activity'!$H:$H,'Corporate activity'!$D:$D,Formulas!$L840,'Corporate activity'!$C:$C,Formulas!M$2)</f>
        <v>0</v>
      </c>
      <c r="N840">
        <f>SUMIFS('Corporate activity'!$H:$H,'Corporate activity'!$D:$D,Formulas!$L840,'Corporate activity'!$C:$C,Formulas!N$2)</f>
        <v>0</v>
      </c>
      <c r="O840">
        <f>SUMIFS('Corporate activity'!$H:$H,'Corporate activity'!$D:$D,Formulas!$L840,'Corporate activity'!$C:$C,Formulas!O$2)</f>
        <v>0</v>
      </c>
      <c r="P840">
        <f t="shared" si="70"/>
        <v>0</v>
      </c>
      <c r="Q840" t="str">
        <f t="shared" si="68"/>
        <v/>
      </c>
    </row>
    <row r="841" spans="3:17" x14ac:dyDescent="0.25">
      <c r="C841">
        <f>SUMIFS(Issuance!$H:$H,Issuance!$D:$D,Formulas!$B841,Issuance!$C:$C,Formulas!C$2)</f>
        <v>0</v>
      </c>
      <c r="D841">
        <f>SUMIFS(Issuance!$H:$H,Issuance!$D:$D,Formulas!$B841,Issuance!$C:$C,Formulas!D$2)</f>
        <v>0</v>
      </c>
      <c r="E841">
        <f t="shared" si="69"/>
        <v>0</v>
      </c>
      <c r="F841" s="41" t="str">
        <f t="shared" si="71"/>
        <v/>
      </c>
      <c r="I841">
        <f>SUMIFS(Buybacks!H:H,Buybacks!D:D,Formulas!H841)</f>
        <v>0</v>
      </c>
      <c r="J841" s="41" t="str">
        <f t="shared" si="72"/>
        <v/>
      </c>
      <c r="M841">
        <f>SUMIFS('Corporate activity'!$H:$H,'Corporate activity'!$D:$D,Formulas!$L841,'Corporate activity'!$C:$C,Formulas!M$2)</f>
        <v>0</v>
      </c>
      <c r="N841">
        <f>SUMIFS('Corporate activity'!$H:$H,'Corporate activity'!$D:$D,Formulas!$L841,'Corporate activity'!$C:$C,Formulas!N$2)</f>
        <v>0</v>
      </c>
      <c r="O841">
        <f>SUMIFS('Corporate activity'!$H:$H,'Corporate activity'!$D:$D,Formulas!$L841,'Corporate activity'!$C:$C,Formulas!O$2)</f>
        <v>0</v>
      </c>
      <c r="P841">
        <f t="shared" si="70"/>
        <v>0</v>
      </c>
      <c r="Q841" t="str">
        <f t="shared" si="68"/>
        <v/>
      </c>
    </row>
    <row r="842" spans="3:17" x14ac:dyDescent="0.25">
      <c r="C842">
        <f>SUMIFS(Issuance!$H:$H,Issuance!$D:$D,Formulas!$B842,Issuance!$C:$C,Formulas!C$2)</f>
        <v>0</v>
      </c>
      <c r="D842">
        <f>SUMIFS(Issuance!$H:$H,Issuance!$D:$D,Formulas!$B842,Issuance!$C:$C,Formulas!D$2)</f>
        <v>0</v>
      </c>
      <c r="E842">
        <f t="shared" si="69"/>
        <v>0</v>
      </c>
      <c r="F842" s="41" t="str">
        <f t="shared" si="71"/>
        <v/>
      </c>
      <c r="I842">
        <f>SUMIFS(Buybacks!H:H,Buybacks!D:D,Formulas!H842)</f>
        <v>0</v>
      </c>
      <c r="J842" s="41" t="str">
        <f t="shared" si="72"/>
        <v/>
      </c>
      <c r="M842">
        <f>SUMIFS('Corporate activity'!$H:$H,'Corporate activity'!$D:$D,Formulas!$L842,'Corporate activity'!$C:$C,Formulas!M$2)</f>
        <v>0</v>
      </c>
      <c r="N842">
        <f>SUMIFS('Corporate activity'!$H:$H,'Corporate activity'!$D:$D,Formulas!$L842,'Corporate activity'!$C:$C,Formulas!N$2)</f>
        <v>0</v>
      </c>
      <c r="O842">
        <f>SUMIFS('Corporate activity'!$H:$H,'Corporate activity'!$D:$D,Formulas!$L842,'Corporate activity'!$C:$C,Formulas!O$2)</f>
        <v>0</v>
      </c>
      <c r="P842">
        <f t="shared" si="70"/>
        <v>0</v>
      </c>
      <c r="Q842" t="str">
        <f t="shared" si="68"/>
        <v/>
      </c>
    </row>
    <row r="843" spans="3:17" x14ac:dyDescent="0.25">
      <c r="C843">
        <f>SUMIFS(Issuance!$H:$H,Issuance!$D:$D,Formulas!$B843,Issuance!$C:$C,Formulas!C$2)</f>
        <v>0</v>
      </c>
      <c r="D843">
        <f>SUMIFS(Issuance!$H:$H,Issuance!$D:$D,Formulas!$B843,Issuance!$C:$C,Formulas!D$2)</f>
        <v>0</v>
      </c>
      <c r="E843">
        <f t="shared" si="69"/>
        <v>0</v>
      </c>
      <c r="F843" s="41" t="str">
        <f t="shared" si="71"/>
        <v/>
      </c>
      <c r="I843">
        <f>SUMIFS(Buybacks!H:H,Buybacks!D:D,Formulas!H843)</f>
        <v>0</v>
      </c>
      <c r="J843" s="41" t="str">
        <f t="shared" si="72"/>
        <v/>
      </c>
      <c r="M843">
        <f>SUMIFS('Corporate activity'!$H:$H,'Corporate activity'!$D:$D,Formulas!$L843,'Corporate activity'!$C:$C,Formulas!M$2)</f>
        <v>0</v>
      </c>
      <c r="N843">
        <f>SUMIFS('Corporate activity'!$H:$H,'Corporate activity'!$D:$D,Formulas!$L843,'Corporate activity'!$C:$C,Formulas!N$2)</f>
        <v>0</v>
      </c>
      <c r="O843">
        <f>SUMIFS('Corporate activity'!$H:$H,'Corporate activity'!$D:$D,Formulas!$L843,'Corporate activity'!$C:$C,Formulas!O$2)</f>
        <v>0</v>
      </c>
      <c r="P843">
        <f t="shared" si="70"/>
        <v>0</v>
      </c>
      <c r="Q843" t="str">
        <f t="shared" si="68"/>
        <v/>
      </c>
    </row>
    <row r="844" spans="3:17" x14ac:dyDescent="0.25">
      <c r="C844">
        <f>SUMIFS(Issuance!$H:$H,Issuance!$D:$D,Formulas!$B844,Issuance!$C:$C,Formulas!C$2)</f>
        <v>0</v>
      </c>
      <c r="D844">
        <f>SUMIFS(Issuance!$H:$H,Issuance!$D:$D,Formulas!$B844,Issuance!$C:$C,Formulas!D$2)</f>
        <v>0</v>
      </c>
      <c r="E844">
        <f t="shared" si="69"/>
        <v>0</v>
      </c>
      <c r="F844" s="41" t="str">
        <f t="shared" si="71"/>
        <v/>
      </c>
      <c r="I844">
        <f>SUMIFS(Buybacks!H:H,Buybacks!D:D,Formulas!H844)</f>
        <v>0</v>
      </c>
      <c r="J844" s="41" t="str">
        <f t="shared" si="72"/>
        <v/>
      </c>
      <c r="M844">
        <f>SUMIFS('Corporate activity'!$H:$H,'Corporate activity'!$D:$D,Formulas!$L844,'Corporate activity'!$C:$C,Formulas!M$2)</f>
        <v>0</v>
      </c>
      <c r="N844">
        <f>SUMIFS('Corporate activity'!$H:$H,'Corporate activity'!$D:$D,Formulas!$L844,'Corporate activity'!$C:$C,Formulas!N$2)</f>
        <v>0</v>
      </c>
      <c r="O844">
        <f>SUMIFS('Corporate activity'!$H:$H,'Corporate activity'!$D:$D,Formulas!$L844,'Corporate activity'!$C:$C,Formulas!O$2)</f>
        <v>0</v>
      </c>
      <c r="P844">
        <f t="shared" si="70"/>
        <v>0</v>
      </c>
      <c r="Q844" t="str">
        <f t="shared" si="68"/>
        <v/>
      </c>
    </row>
    <row r="845" spans="3:17" x14ac:dyDescent="0.25">
      <c r="C845">
        <f>SUMIFS(Issuance!$H:$H,Issuance!$D:$D,Formulas!$B845,Issuance!$C:$C,Formulas!C$2)</f>
        <v>0</v>
      </c>
      <c r="D845">
        <f>SUMIFS(Issuance!$H:$H,Issuance!$D:$D,Formulas!$B845,Issuance!$C:$C,Formulas!D$2)</f>
        <v>0</v>
      </c>
      <c r="E845">
        <f t="shared" si="69"/>
        <v>0</v>
      </c>
      <c r="F845" s="41" t="str">
        <f t="shared" si="71"/>
        <v/>
      </c>
      <c r="I845">
        <f>SUMIFS(Buybacks!H:H,Buybacks!D:D,Formulas!H845)</f>
        <v>0</v>
      </c>
      <c r="J845" s="41" t="str">
        <f t="shared" si="72"/>
        <v/>
      </c>
      <c r="M845">
        <f>SUMIFS('Corporate activity'!$H:$H,'Corporate activity'!$D:$D,Formulas!$L845,'Corporate activity'!$C:$C,Formulas!M$2)</f>
        <v>0</v>
      </c>
      <c r="N845">
        <f>SUMIFS('Corporate activity'!$H:$H,'Corporate activity'!$D:$D,Formulas!$L845,'Corporate activity'!$C:$C,Formulas!N$2)</f>
        <v>0</v>
      </c>
      <c r="O845">
        <f>SUMIFS('Corporate activity'!$H:$H,'Corporate activity'!$D:$D,Formulas!$L845,'Corporate activity'!$C:$C,Formulas!O$2)</f>
        <v>0</v>
      </c>
      <c r="P845">
        <f t="shared" si="70"/>
        <v>0</v>
      </c>
      <c r="Q845" t="str">
        <f t="shared" si="68"/>
        <v/>
      </c>
    </row>
    <row r="846" spans="3:17" x14ac:dyDescent="0.25">
      <c r="C846">
        <f>SUMIFS(Issuance!$H:$H,Issuance!$D:$D,Formulas!$B846,Issuance!$C:$C,Formulas!C$2)</f>
        <v>0</v>
      </c>
      <c r="D846">
        <f>SUMIFS(Issuance!$H:$H,Issuance!$D:$D,Formulas!$B846,Issuance!$C:$C,Formulas!D$2)</f>
        <v>0</v>
      </c>
      <c r="E846">
        <f t="shared" si="69"/>
        <v>0</v>
      </c>
      <c r="F846" s="41" t="str">
        <f t="shared" si="71"/>
        <v/>
      </c>
      <c r="I846">
        <f>SUMIFS(Buybacks!H:H,Buybacks!D:D,Formulas!H846)</f>
        <v>0</v>
      </c>
      <c r="J846" s="41" t="str">
        <f t="shared" si="72"/>
        <v/>
      </c>
      <c r="M846">
        <f>SUMIFS('Corporate activity'!$H:$H,'Corporate activity'!$D:$D,Formulas!$L846,'Corporate activity'!$C:$C,Formulas!M$2)</f>
        <v>0</v>
      </c>
      <c r="N846">
        <f>SUMIFS('Corporate activity'!$H:$H,'Corporate activity'!$D:$D,Formulas!$L846,'Corporate activity'!$C:$C,Formulas!N$2)</f>
        <v>0</v>
      </c>
      <c r="O846">
        <f>SUMIFS('Corporate activity'!$H:$H,'Corporate activity'!$D:$D,Formulas!$L846,'Corporate activity'!$C:$C,Formulas!O$2)</f>
        <v>0</v>
      </c>
      <c r="P846">
        <f t="shared" si="70"/>
        <v>0</v>
      </c>
      <c r="Q846" t="str">
        <f t="shared" si="68"/>
        <v/>
      </c>
    </row>
    <row r="847" spans="3:17" x14ac:dyDescent="0.25">
      <c r="C847">
        <f>SUMIFS(Issuance!$H:$H,Issuance!$D:$D,Formulas!$B847,Issuance!$C:$C,Formulas!C$2)</f>
        <v>0</v>
      </c>
      <c r="D847">
        <f>SUMIFS(Issuance!$H:$H,Issuance!$D:$D,Formulas!$B847,Issuance!$C:$C,Formulas!D$2)</f>
        <v>0</v>
      </c>
      <c r="E847">
        <f t="shared" si="69"/>
        <v>0</v>
      </c>
      <c r="F847" s="41" t="str">
        <f t="shared" si="71"/>
        <v/>
      </c>
      <c r="I847">
        <f>SUMIFS(Buybacks!H:H,Buybacks!D:D,Formulas!H847)</f>
        <v>0</v>
      </c>
      <c r="J847" s="41" t="str">
        <f t="shared" si="72"/>
        <v/>
      </c>
      <c r="M847">
        <f>SUMIFS('Corporate activity'!$H:$H,'Corporate activity'!$D:$D,Formulas!$L847,'Corporate activity'!$C:$C,Formulas!M$2)</f>
        <v>0</v>
      </c>
      <c r="N847">
        <f>SUMIFS('Corporate activity'!$H:$H,'Corporate activity'!$D:$D,Formulas!$L847,'Corporate activity'!$C:$C,Formulas!N$2)</f>
        <v>0</v>
      </c>
      <c r="O847">
        <f>SUMIFS('Corporate activity'!$H:$H,'Corporate activity'!$D:$D,Formulas!$L847,'Corporate activity'!$C:$C,Formulas!O$2)</f>
        <v>0</v>
      </c>
      <c r="P847">
        <f t="shared" si="70"/>
        <v>0</v>
      </c>
      <c r="Q847" t="str">
        <f t="shared" si="68"/>
        <v/>
      </c>
    </row>
    <row r="848" spans="3:17" x14ac:dyDescent="0.25">
      <c r="C848">
        <f>SUMIFS(Issuance!$H:$H,Issuance!$D:$D,Formulas!$B848,Issuance!$C:$C,Formulas!C$2)</f>
        <v>0</v>
      </c>
      <c r="D848">
        <f>SUMIFS(Issuance!$H:$H,Issuance!$D:$D,Formulas!$B848,Issuance!$C:$C,Formulas!D$2)</f>
        <v>0</v>
      </c>
      <c r="E848">
        <f t="shared" si="69"/>
        <v>0</v>
      </c>
      <c r="F848" s="41" t="str">
        <f t="shared" si="71"/>
        <v/>
      </c>
      <c r="I848">
        <f>SUMIFS(Buybacks!H:H,Buybacks!D:D,Formulas!H848)</f>
        <v>0</v>
      </c>
      <c r="J848" s="41" t="str">
        <f t="shared" si="72"/>
        <v/>
      </c>
      <c r="M848">
        <f>SUMIFS('Corporate activity'!$H:$H,'Corporate activity'!$D:$D,Formulas!$L848,'Corporate activity'!$C:$C,Formulas!M$2)</f>
        <v>0</v>
      </c>
      <c r="N848">
        <f>SUMIFS('Corporate activity'!$H:$H,'Corporate activity'!$D:$D,Formulas!$L848,'Corporate activity'!$C:$C,Formulas!N$2)</f>
        <v>0</v>
      </c>
      <c r="O848">
        <f>SUMIFS('Corporate activity'!$H:$H,'Corporate activity'!$D:$D,Formulas!$L848,'Corporate activity'!$C:$C,Formulas!O$2)</f>
        <v>0</v>
      </c>
      <c r="P848">
        <f t="shared" si="70"/>
        <v>0</v>
      </c>
      <c r="Q848" t="str">
        <f t="shared" si="68"/>
        <v/>
      </c>
    </row>
    <row r="849" spans="3:17" x14ac:dyDescent="0.25">
      <c r="C849">
        <f>SUMIFS(Issuance!$H:$H,Issuance!$D:$D,Formulas!$B849,Issuance!$C:$C,Formulas!C$2)</f>
        <v>0</v>
      </c>
      <c r="D849">
        <f>SUMIFS(Issuance!$H:$H,Issuance!$D:$D,Formulas!$B849,Issuance!$C:$C,Formulas!D$2)</f>
        <v>0</v>
      </c>
      <c r="E849">
        <f t="shared" si="69"/>
        <v>0</v>
      </c>
      <c r="F849" s="41" t="str">
        <f t="shared" si="71"/>
        <v/>
      </c>
      <c r="I849">
        <f>SUMIFS(Buybacks!H:H,Buybacks!D:D,Formulas!H849)</f>
        <v>0</v>
      </c>
      <c r="J849" s="41" t="str">
        <f t="shared" si="72"/>
        <v/>
      </c>
      <c r="M849">
        <f>SUMIFS('Corporate activity'!$H:$H,'Corporate activity'!$D:$D,Formulas!$L849,'Corporate activity'!$C:$C,Formulas!M$2)</f>
        <v>0</v>
      </c>
      <c r="N849">
        <f>SUMIFS('Corporate activity'!$H:$H,'Corporate activity'!$D:$D,Formulas!$L849,'Corporate activity'!$C:$C,Formulas!N$2)</f>
        <v>0</v>
      </c>
      <c r="O849">
        <f>SUMIFS('Corporate activity'!$H:$H,'Corporate activity'!$D:$D,Formulas!$L849,'Corporate activity'!$C:$C,Formulas!O$2)</f>
        <v>0</v>
      </c>
      <c r="P849">
        <f t="shared" si="70"/>
        <v>0</v>
      </c>
      <c r="Q849" t="str">
        <f t="shared" si="68"/>
        <v/>
      </c>
    </row>
    <row r="850" spans="3:17" x14ac:dyDescent="0.25">
      <c r="C850">
        <f>SUMIFS(Issuance!$H:$H,Issuance!$D:$D,Formulas!$B850,Issuance!$C:$C,Formulas!C$2)</f>
        <v>0</v>
      </c>
      <c r="D850">
        <f>SUMIFS(Issuance!$H:$H,Issuance!$D:$D,Formulas!$B850,Issuance!$C:$C,Formulas!D$2)</f>
        <v>0</v>
      </c>
      <c r="E850">
        <f t="shared" si="69"/>
        <v>0</v>
      </c>
      <c r="F850" s="41" t="str">
        <f t="shared" si="71"/>
        <v/>
      </c>
      <c r="I850">
        <f>SUMIFS(Buybacks!H:H,Buybacks!D:D,Formulas!H850)</f>
        <v>0</v>
      </c>
      <c r="J850" s="41" t="str">
        <f t="shared" si="72"/>
        <v/>
      </c>
      <c r="M850">
        <f>SUMIFS('Corporate activity'!$H:$H,'Corporate activity'!$D:$D,Formulas!$L850,'Corporate activity'!$C:$C,Formulas!M$2)</f>
        <v>0</v>
      </c>
      <c r="N850">
        <f>SUMIFS('Corporate activity'!$H:$H,'Corporate activity'!$D:$D,Formulas!$L850,'Corporate activity'!$C:$C,Formulas!N$2)</f>
        <v>0</v>
      </c>
      <c r="O850">
        <f>SUMIFS('Corporate activity'!$H:$H,'Corporate activity'!$D:$D,Formulas!$L850,'Corporate activity'!$C:$C,Formulas!O$2)</f>
        <v>0</v>
      </c>
      <c r="P850">
        <f t="shared" si="70"/>
        <v>0</v>
      </c>
      <c r="Q850" t="str">
        <f t="shared" si="68"/>
        <v/>
      </c>
    </row>
    <row r="851" spans="3:17" x14ac:dyDescent="0.25">
      <c r="C851">
        <f>SUMIFS(Issuance!$H:$H,Issuance!$D:$D,Formulas!$B851,Issuance!$C:$C,Formulas!C$2)</f>
        <v>0</v>
      </c>
      <c r="D851">
        <f>SUMIFS(Issuance!$H:$H,Issuance!$D:$D,Formulas!$B851,Issuance!$C:$C,Formulas!D$2)</f>
        <v>0</v>
      </c>
      <c r="E851">
        <f t="shared" si="69"/>
        <v>0</v>
      </c>
      <c r="F851" s="41" t="str">
        <f t="shared" si="71"/>
        <v/>
      </c>
      <c r="I851">
        <f>SUMIFS(Buybacks!H:H,Buybacks!D:D,Formulas!H851)</f>
        <v>0</v>
      </c>
      <c r="J851" s="41" t="str">
        <f t="shared" si="72"/>
        <v/>
      </c>
      <c r="M851">
        <f>SUMIFS('Corporate activity'!$H:$H,'Corporate activity'!$D:$D,Formulas!$L851,'Corporate activity'!$C:$C,Formulas!M$2)</f>
        <v>0</v>
      </c>
      <c r="N851">
        <f>SUMIFS('Corporate activity'!$H:$H,'Corporate activity'!$D:$D,Formulas!$L851,'Corporate activity'!$C:$C,Formulas!N$2)</f>
        <v>0</v>
      </c>
      <c r="O851">
        <f>SUMIFS('Corporate activity'!$H:$H,'Corporate activity'!$D:$D,Formulas!$L851,'Corporate activity'!$C:$C,Formulas!O$2)</f>
        <v>0</v>
      </c>
      <c r="P851">
        <f t="shared" si="70"/>
        <v>0</v>
      </c>
      <c r="Q851" t="str">
        <f t="shared" si="68"/>
        <v/>
      </c>
    </row>
    <row r="852" spans="3:17" x14ac:dyDescent="0.25">
      <c r="C852">
        <f>SUMIFS(Issuance!$H:$H,Issuance!$D:$D,Formulas!$B852,Issuance!$C:$C,Formulas!C$2)</f>
        <v>0</v>
      </c>
      <c r="D852">
        <f>SUMIFS(Issuance!$H:$H,Issuance!$D:$D,Formulas!$B852,Issuance!$C:$C,Formulas!D$2)</f>
        <v>0</v>
      </c>
      <c r="E852">
        <f t="shared" si="69"/>
        <v>0</v>
      </c>
      <c r="F852" s="41" t="str">
        <f t="shared" si="71"/>
        <v/>
      </c>
      <c r="I852">
        <f>SUMIFS(Buybacks!H:H,Buybacks!D:D,Formulas!H852)</f>
        <v>0</v>
      </c>
      <c r="J852" s="41" t="str">
        <f t="shared" si="72"/>
        <v/>
      </c>
      <c r="M852">
        <f>SUMIFS('Corporate activity'!$H:$H,'Corporate activity'!$D:$D,Formulas!$L852,'Corporate activity'!$C:$C,Formulas!M$2)</f>
        <v>0</v>
      </c>
      <c r="N852">
        <f>SUMIFS('Corporate activity'!$H:$H,'Corporate activity'!$D:$D,Formulas!$L852,'Corporate activity'!$C:$C,Formulas!N$2)</f>
        <v>0</v>
      </c>
      <c r="O852">
        <f>SUMIFS('Corporate activity'!$H:$H,'Corporate activity'!$D:$D,Formulas!$L852,'Corporate activity'!$C:$C,Formulas!O$2)</f>
        <v>0</v>
      </c>
      <c r="P852">
        <f t="shared" si="70"/>
        <v>0</v>
      </c>
      <c r="Q852" t="str">
        <f t="shared" si="68"/>
        <v/>
      </c>
    </row>
    <row r="853" spans="3:17" x14ac:dyDescent="0.25">
      <c r="C853">
        <f>SUMIFS(Issuance!$H:$H,Issuance!$D:$D,Formulas!$B853,Issuance!$C:$C,Formulas!C$2)</f>
        <v>0</v>
      </c>
      <c r="D853">
        <f>SUMIFS(Issuance!$H:$H,Issuance!$D:$D,Formulas!$B853,Issuance!$C:$C,Formulas!D$2)</f>
        <v>0</v>
      </c>
      <c r="E853">
        <f t="shared" si="69"/>
        <v>0</v>
      </c>
      <c r="F853" s="41" t="str">
        <f t="shared" si="71"/>
        <v/>
      </c>
      <c r="I853">
        <f>SUMIFS(Buybacks!H:H,Buybacks!D:D,Formulas!H853)</f>
        <v>0</v>
      </c>
      <c r="J853" s="41" t="str">
        <f t="shared" si="72"/>
        <v/>
      </c>
      <c r="M853">
        <f>SUMIFS('Corporate activity'!$H:$H,'Corporate activity'!$D:$D,Formulas!$L853,'Corporate activity'!$C:$C,Formulas!M$2)</f>
        <v>0</v>
      </c>
      <c r="N853">
        <f>SUMIFS('Corporate activity'!$H:$H,'Corporate activity'!$D:$D,Formulas!$L853,'Corporate activity'!$C:$C,Formulas!N$2)</f>
        <v>0</v>
      </c>
      <c r="O853">
        <f>SUMIFS('Corporate activity'!$H:$H,'Corporate activity'!$D:$D,Formulas!$L853,'Corporate activity'!$C:$C,Formulas!O$2)</f>
        <v>0</v>
      </c>
      <c r="P853">
        <f t="shared" si="70"/>
        <v>0</v>
      </c>
      <c r="Q853" t="str">
        <f t="shared" si="68"/>
        <v/>
      </c>
    </row>
    <row r="854" spans="3:17" x14ac:dyDescent="0.25">
      <c r="C854">
        <f>SUMIFS(Issuance!$H:$H,Issuance!$D:$D,Formulas!$B854,Issuance!$C:$C,Formulas!C$2)</f>
        <v>0</v>
      </c>
      <c r="D854">
        <f>SUMIFS(Issuance!$H:$H,Issuance!$D:$D,Formulas!$B854,Issuance!$C:$C,Formulas!D$2)</f>
        <v>0</v>
      </c>
      <c r="E854">
        <f t="shared" si="69"/>
        <v>0</v>
      </c>
      <c r="F854" s="41" t="str">
        <f t="shared" si="71"/>
        <v/>
      </c>
      <c r="I854">
        <f>SUMIFS(Buybacks!H:H,Buybacks!D:D,Formulas!H854)</f>
        <v>0</v>
      </c>
      <c r="J854" s="41" t="str">
        <f t="shared" si="72"/>
        <v/>
      </c>
      <c r="M854">
        <f>SUMIFS('Corporate activity'!$H:$H,'Corporate activity'!$D:$D,Formulas!$L854,'Corporate activity'!$C:$C,Formulas!M$2)</f>
        <v>0</v>
      </c>
      <c r="N854">
        <f>SUMIFS('Corporate activity'!$H:$H,'Corporate activity'!$D:$D,Formulas!$L854,'Corporate activity'!$C:$C,Formulas!N$2)</f>
        <v>0</v>
      </c>
      <c r="O854">
        <f>SUMIFS('Corporate activity'!$H:$H,'Corporate activity'!$D:$D,Formulas!$L854,'Corporate activity'!$C:$C,Formulas!O$2)</f>
        <v>0</v>
      </c>
      <c r="P854">
        <f t="shared" si="70"/>
        <v>0</v>
      </c>
      <c r="Q854" t="str">
        <f t="shared" si="68"/>
        <v/>
      </c>
    </row>
    <row r="855" spans="3:17" x14ac:dyDescent="0.25">
      <c r="C855">
        <f>SUMIFS(Issuance!$H:$H,Issuance!$D:$D,Formulas!$B855,Issuance!$C:$C,Formulas!C$2)</f>
        <v>0</v>
      </c>
      <c r="D855">
        <f>SUMIFS(Issuance!$H:$H,Issuance!$D:$D,Formulas!$B855,Issuance!$C:$C,Formulas!D$2)</f>
        <v>0</v>
      </c>
      <c r="E855">
        <f t="shared" si="69"/>
        <v>0</v>
      </c>
      <c r="F855" s="41" t="str">
        <f t="shared" si="71"/>
        <v/>
      </c>
      <c r="I855">
        <f>SUMIFS(Buybacks!H:H,Buybacks!D:D,Formulas!H855)</f>
        <v>0</v>
      </c>
      <c r="J855" s="41" t="str">
        <f t="shared" si="72"/>
        <v/>
      </c>
      <c r="M855">
        <f>SUMIFS('Corporate activity'!$H:$H,'Corporate activity'!$D:$D,Formulas!$L855,'Corporate activity'!$C:$C,Formulas!M$2)</f>
        <v>0</v>
      </c>
      <c r="N855">
        <f>SUMIFS('Corporate activity'!$H:$H,'Corporate activity'!$D:$D,Formulas!$L855,'Corporate activity'!$C:$C,Formulas!N$2)</f>
        <v>0</v>
      </c>
      <c r="O855">
        <f>SUMIFS('Corporate activity'!$H:$H,'Corporate activity'!$D:$D,Formulas!$L855,'Corporate activity'!$C:$C,Formulas!O$2)</f>
        <v>0</v>
      </c>
      <c r="P855">
        <f t="shared" si="70"/>
        <v>0</v>
      </c>
      <c r="Q855" t="str">
        <f t="shared" si="68"/>
        <v/>
      </c>
    </row>
    <row r="856" spans="3:17" x14ac:dyDescent="0.25">
      <c r="C856">
        <f>SUMIFS(Issuance!$H:$H,Issuance!$D:$D,Formulas!$B856,Issuance!$C:$C,Formulas!C$2)</f>
        <v>0</v>
      </c>
      <c r="D856">
        <f>SUMIFS(Issuance!$H:$H,Issuance!$D:$D,Formulas!$B856,Issuance!$C:$C,Formulas!D$2)</f>
        <v>0</v>
      </c>
      <c r="E856">
        <f t="shared" si="69"/>
        <v>0</v>
      </c>
      <c r="F856" s="41" t="str">
        <f t="shared" si="71"/>
        <v/>
      </c>
      <c r="I856">
        <f>SUMIFS(Buybacks!H:H,Buybacks!D:D,Formulas!H856)</f>
        <v>0</v>
      </c>
      <c r="J856" s="41" t="str">
        <f t="shared" si="72"/>
        <v/>
      </c>
      <c r="M856">
        <f>SUMIFS('Corporate activity'!$H:$H,'Corporate activity'!$D:$D,Formulas!$L856,'Corporate activity'!$C:$C,Formulas!M$2)</f>
        <v>0</v>
      </c>
      <c r="N856">
        <f>SUMIFS('Corporate activity'!$H:$H,'Corporate activity'!$D:$D,Formulas!$L856,'Corporate activity'!$C:$C,Formulas!N$2)</f>
        <v>0</v>
      </c>
      <c r="O856">
        <f>SUMIFS('Corporate activity'!$H:$H,'Corporate activity'!$D:$D,Formulas!$L856,'Corporate activity'!$C:$C,Formulas!O$2)</f>
        <v>0</v>
      </c>
      <c r="P856">
        <f t="shared" si="70"/>
        <v>0</v>
      </c>
      <c r="Q856" t="str">
        <f t="shared" si="68"/>
        <v/>
      </c>
    </row>
    <row r="857" spans="3:17" x14ac:dyDescent="0.25">
      <c r="C857">
        <f>SUMIFS(Issuance!$H:$H,Issuance!$D:$D,Formulas!$B857,Issuance!$C:$C,Formulas!C$2)</f>
        <v>0</v>
      </c>
      <c r="D857">
        <f>SUMIFS(Issuance!$H:$H,Issuance!$D:$D,Formulas!$B857,Issuance!$C:$C,Formulas!D$2)</f>
        <v>0</v>
      </c>
      <c r="E857">
        <f t="shared" si="69"/>
        <v>0</v>
      </c>
      <c r="F857" s="41" t="str">
        <f t="shared" si="71"/>
        <v/>
      </c>
      <c r="I857">
        <f>SUMIFS(Buybacks!H:H,Buybacks!D:D,Formulas!H857)</f>
        <v>0</v>
      </c>
      <c r="J857" s="41" t="str">
        <f t="shared" si="72"/>
        <v/>
      </c>
      <c r="M857">
        <f>SUMIFS('Corporate activity'!$H:$H,'Corporate activity'!$D:$D,Formulas!$L857,'Corporate activity'!$C:$C,Formulas!M$2)</f>
        <v>0</v>
      </c>
      <c r="N857">
        <f>SUMIFS('Corporate activity'!$H:$H,'Corporate activity'!$D:$D,Formulas!$L857,'Corporate activity'!$C:$C,Formulas!N$2)</f>
        <v>0</v>
      </c>
      <c r="O857">
        <f>SUMIFS('Corporate activity'!$H:$H,'Corporate activity'!$D:$D,Formulas!$L857,'Corporate activity'!$C:$C,Formulas!O$2)</f>
        <v>0</v>
      </c>
      <c r="P857">
        <f t="shared" si="70"/>
        <v>0</v>
      </c>
      <c r="Q857" t="str">
        <f t="shared" si="68"/>
        <v/>
      </c>
    </row>
    <row r="858" spans="3:17" x14ac:dyDescent="0.25">
      <c r="C858">
        <f>SUMIFS(Issuance!$H:$H,Issuance!$D:$D,Formulas!$B858,Issuance!$C:$C,Formulas!C$2)</f>
        <v>0</v>
      </c>
      <c r="D858">
        <f>SUMIFS(Issuance!$H:$H,Issuance!$D:$D,Formulas!$B858,Issuance!$C:$C,Formulas!D$2)</f>
        <v>0</v>
      </c>
      <c r="E858">
        <f t="shared" si="69"/>
        <v>0</v>
      </c>
      <c r="F858" s="41" t="str">
        <f t="shared" si="71"/>
        <v/>
      </c>
      <c r="I858">
        <f>SUMIFS(Buybacks!H:H,Buybacks!D:D,Formulas!H858)</f>
        <v>0</v>
      </c>
      <c r="J858" s="41" t="str">
        <f t="shared" si="72"/>
        <v/>
      </c>
      <c r="M858">
        <f>SUMIFS('Corporate activity'!$H:$H,'Corporate activity'!$D:$D,Formulas!$L858,'Corporate activity'!$C:$C,Formulas!M$2)</f>
        <v>0</v>
      </c>
      <c r="N858">
        <f>SUMIFS('Corporate activity'!$H:$H,'Corporate activity'!$D:$D,Formulas!$L858,'Corporate activity'!$C:$C,Formulas!N$2)</f>
        <v>0</v>
      </c>
      <c r="O858">
        <f>SUMIFS('Corporate activity'!$H:$H,'Corporate activity'!$D:$D,Formulas!$L858,'Corporate activity'!$C:$C,Formulas!O$2)</f>
        <v>0</v>
      </c>
      <c r="P858">
        <f t="shared" si="70"/>
        <v>0</v>
      </c>
      <c r="Q858" t="str">
        <f t="shared" si="68"/>
        <v/>
      </c>
    </row>
    <row r="859" spans="3:17" x14ac:dyDescent="0.25">
      <c r="C859">
        <f>SUMIFS(Issuance!$H:$H,Issuance!$D:$D,Formulas!$B859,Issuance!$C:$C,Formulas!C$2)</f>
        <v>0</v>
      </c>
      <c r="D859">
        <f>SUMIFS(Issuance!$H:$H,Issuance!$D:$D,Formulas!$B859,Issuance!$C:$C,Formulas!D$2)</f>
        <v>0</v>
      </c>
      <c r="E859">
        <f t="shared" si="69"/>
        <v>0</v>
      </c>
      <c r="F859" s="41" t="str">
        <f t="shared" si="71"/>
        <v/>
      </c>
      <c r="I859">
        <f>SUMIFS(Buybacks!H:H,Buybacks!D:D,Formulas!H859)</f>
        <v>0</v>
      </c>
      <c r="J859" s="41" t="str">
        <f t="shared" si="72"/>
        <v/>
      </c>
      <c r="M859">
        <f>SUMIFS('Corporate activity'!$H:$H,'Corporate activity'!$D:$D,Formulas!$L859,'Corporate activity'!$C:$C,Formulas!M$2)</f>
        <v>0</v>
      </c>
      <c r="N859">
        <f>SUMIFS('Corporate activity'!$H:$H,'Corporate activity'!$D:$D,Formulas!$L859,'Corporate activity'!$C:$C,Formulas!N$2)</f>
        <v>0</v>
      </c>
      <c r="O859">
        <f>SUMIFS('Corporate activity'!$H:$H,'Corporate activity'!$D:$D,Formulas!$L859,'Corporate activity'!$C:$C,Formulas!O$2)</f>
        <v>0</v>
      </c>
      <c r="P859">
        <f t="shared" si="70"/>
        <v>0</v>
      </c>
      <c r="Q859" t="str">
        <f t="shared" ref="Q859:Q922" si="73">IF(OR(L859="",L859=0,P859=0),"",IF(COUNTIFS($P$3:$P$500,"&lt;"&amp;P859,$P$3:$P$500,"&lt;&gt;0")+1&lt;=20,COUNTIFS($P$3:$P$500,"&lt;"&amp;P859,$P$3:$P$500,"&lt;&gt;0")+1,""))</f>
        <v/>
      </c>
    </row>
    <row r="860" spans="3:17" x14ac:dyDescent="0.25">
      <c r="C860">
        <f>SUMIFS(Issuance!$H:$H,Issuance!$D:$D,Formulas!$B860,Issuance!$C:$C,Formulas!C$2)</f>
        <v>0</v>
      </c>
      <c r="D860">
        <f>SUMIFS(Issuance!$H:$H,Issuance!$D:$D,Formulas!$B860,Issuance!$C:$C,Formulas!D$2)</f>
        <v>0</v>
      </c>
      <c r="E860">
        <f t="shared" si="69"/>
        <v>0</v>
      </c>
      <c r="F860" s="41" t="str">
        <f t="shared" si="71"/>
        <v/>
      </c>
      <c r="I860">
        <f>SUMIFS(Buybacks!H:H,Buybacks!D:D,Formulas!H860)</f>
        <v>0</v>
      </c>
      <c r="J860" s="41" t="str">
        <f t="shared" si="72"/>
        <v/>
      </c>
      <c r="M860">
        <f>SUMIFS('Corporate activity'!$H:$H,'Corporate activity'!$D:$D,Formulas!$L860,'Corporate activity'!$C:$C,Formulas!M$2)</f>
        <v>0</v>
      </c>
      <c r="N860">
        <f>SUMIFS('Corporate activity'!$H:$H,'Corporate activity'!$D:$D,Formulas!$L860,'Corporate activity'!$C:$C,Formulas!N$2)</f>
        <v>0</v>
      </c>
      <c r="O860">
        <f>SUMIFS('Corporate activity'!$H:$H,'Corporate activity'!$D:$D,Formulas!$L860,'Corporate activity'!$C:$C,Formulas!O$2)</f>
        <v>0</v>
      </c>
      <c r="P860">
        <f t="shared" si="70"/>
        <v>0</v>
      </c>
      <c r="Q860" t="str">
        <f t="shared" si="73"/>
        <v/>
      </c>
    </row>
    <row r="861" spans="3:17" x14ac:dyDescent="0.25">
      <c r="C861">
        <f>SUMIFS(Issuance!$H:$H,Issuance!$D:$D,Formulas!$B861,Issuance!$C:$C,Formulas!C$2)</f>
        <v>0</v>
      </c>
      <c r="D861">
        <f>SUMIFS(Issuance!$H:$H,Issuance!$D:$D,Formulas!$B861,Issuance!$C:$C,Formulas!D$2)</f>
        <v>0</v>
      </c>
      <c r="E861">
        <f t="shared" si="69"/>
        <v>0</v>
      </c>
      <c r="F861" s="41" t="str">
        <f t="shared" si="71"/>
        <v/>
      </c>
      <c r="I861">
        <f>SUMIFS(Buybacks!H:H,Buybacks!D:D,Formulas!H861)</f>
        <v>0</v>
      </c>
      <c r="J861" s="41" t="str">
        <f t="shared" si="72"/>
        <v/>
      </c>
      <c r="M861">
        <f>SUMIFS('Corporate activity'!$H:$H,'Corporate activity'!$D:$D,Formulas!$L861,'Corporate activity'!$C:$C,Formulas!M$2)</f>
        <v>0</v>
      </c>
      <c r="N861">
        <f>SUMIFS('Corporate activity'!$H:$H,'Corporate activity'!$D:$D,Formulas!$L861,'Corporate activity'!$C:$C,Formulas!N$2)</f>
        <v>0</v>
      </c>
      <c r="O861">
        <f>SUMIFS('Corporate activity'!$H:$H,'Corporate activity'!$D:$D,Formulas!$L861,'Corporate activity'!$C:$C,Formulas!O$2)</f>
        <v>0</v>
      </c>
      <c r="P861">
        <f t="shared" si="70"/>
        <v>0</v>
      </c>
      <c r="Q861" t="str">
        <f t="shared" si="73"/>
        <v/>
      </c>
    </row>
    <row r="862" spans="3:17" x14ac:dyDescent="0.25">
      <c r="C862">
        <f>SUMIFS(Issuance!$H:$H,Issuance!$D:$D,Formulas!$B862,Issuance!$C:$C,Formulas!C$2)</f>
        <v>0</v>
      </c>
      <c r="D862">
        <f>SUMIFS(Issuance!$H:$H,Issuance!$D:$D,Formulas!$B862,Issuance!$C:$C,Formulas!D$2)</f>
        <v>0</v>
      </c>
      <c r="E862">
        <f t="shared" si="69"/>
        <v>0</v>
      </c>
      <c r="F862" s="41" t="str">
        <f t="shared" si="71"/>
        <v/>
      </c>
      <c r="I862">
        <f>SUMIFS(Buybacks!H:H,Buybacks!D:D,Formulas!H862)</f>
        <v>0</v>
      </c>
      <c r="J862" s="41" t="str">
        <f t="shared" si="72"/>
        <v/>
      </c>
      <c r="M862">
        <f>SUMIFS('Corporate activity'!$H:$H,'Corporate activity'!$D:$D,Formulas!$L862,'Corporate activity'!$C:$C,Formulas!M$2)</f>
        <v>0</v>
      </c>
      <c r="N862">
        <f>SUMIFS('Corporate activity'!$H:$H,'Corporate activity'!$D:$D,Formulas!$L862,'Corporate activity'!$C:$C,Formulas!N$2)</f>
        <v>0</v>
      </c>
      <c r="O862">
        <f>SUMIFS('Corporate activity'!$H:$H,'Corporate activity'!$D:$D,Formulas!$L862,'Corporate activity'!$C:$C,Formulas!O$2)</f>
        <v>0</v>
      </c>
      <c r="P862">
        <f t="shared" si="70"/>
        <v>0</v>
      </c>
      <c r="Q862" t="str">
        <f t="shared" si="73"/>
        <v/>
      </c>
    </row>
    <row r="863" spans="3:17" x14ac:dyDescent="0.25">
      <c r="C863">
        <f>SUMIFS(Issuance!$H:$H,Issuance!$D:$D,Formulas!$B863,Issuance!$C:$C,Formulas!C$2)</f>
        <v>0</v>
      </c>
      <c r="D863">
        <f>SUMIFS(Issuance!$H:$H,Issuance!$D:$D,Formulas!$B863,Issuance!$C:$C,Formulas!D$2)</f>
        <v>0</v>
      </c>
      <c r="E863">
        <f t="shared" si="69"/>
        <v>0</v>
      </c>
      <c r="F863" s="41" t="str">
        <f t="shared" si="71"/>
        <v/>
      </c>
      <c r="I863">
        <f>SUMIFS(Buybacks!H:H,Buybacks!D:D,Formulas!H863)</f>
        <v>0</v>
      </c>
      <c r="J863" s="41" t="str">
        <f t="shared" si="72"/>
        <v/>
      </c>
      <c r="M863">
        <f>SUMIFS('Corporate activity'!$H:$H,'Corporate activity'!$D:$D,Formulas!$L863,'Corporate activity'!$C:$C,Formulas!M$2)</f>
        <v>0</v>
      </c>
      <c r="N863">
        <f>SUMIFS('Corporate activity'!$H:$H,'Corporate activity'!$D:$D,Formulas!$L863,'Corporate activity'!$C:$C,Formulas!N$2)</f>
        <v>0</v>
      </c>
      <c r="O863">
        <f>SUMIFS('Corporate activity'!$H:$H,'Corporate activity'!$D:$D,Formulas!$L863,'Corporate activity'!$C:$C,Formulas!O$2)</f>
        <v>0</v>
      </c>
      <c r="P863">
        <f t="shared" si="70"/>
        <v>0</v>
      </c>
      <c r="Q863" t="str">
        <f t="shared" si="73"/>
        <v/>
      </c>
    </row>
    <row r="864" spans="3:17" x14ac:dyDescent="0.25">
      <c r="C864">
        <f>SUMIFS(Issuance!$H:$H,Issuance!$D:$D,Formulas!$B864,Issuance!$C:$C,Formulas!C$2)</f>
        <v>0</v>
      </c>
      <c r="D864">
        <f>SUMIFS(Issuance!$H:$H,Issuance!$D:$D,Formulas!$B864,Issuance!$C:$C,Formulas!D$2)</f>
        <v>0</v>
      </c>
      <c r="E864">
        <f t="shared" si="69"/>
        <v>0</v>
      </c>
      <c r="F864" s="41" t="str">
        <f t="shared" si="71"/>
        <v/>
      </c>
      <c r="I864">
        <f>SUMIFS(Buybacks!H:H,Buybacks!D:D,Formulas!H864)</f>
        <v>0</v>
      </c>
      <c r="J864" s="41" t="str">
        <f t="shared" si="72"/>
        <v/>
      </c>
      <c r="M864">
        <f>SUMIFS('Corporate activity'!$H:$H,'Corporate activity'!$D:$D,Formulas!$L864,'Corporate activity'!$C:$C,Formulas!M$2)</f>
        <v>0</v>
      </c>
      <c r="N864">
        <f>SUMIFS('Corporate activity'!$H:$H,'Corporate activity'!$D:$D,Formulas!$L864,'Corporate activity'!$C:$C,Formulas!N$2)</f>
        <v>0</v>
      </c>
      <c r="O864">
        <f>SUMIFS('Corporate activity'!$H:$H,'Corporate activity'!$D:$D,Formulas!$L864,'Corporate activity'!$C:$C,Formulas!O$2)</f>
        <v>0</v>
      </c>
      <c r="P864">
        <f t="shared" si="70"/>
        <v>0</v>
      </c>
      <c r="Q864" t="str">
        <f t="shared" si="73"/>
        <v/>
      </c>
    </row>
    <row r="865" spans="3:17" x14ac:dyDescent="0.25">
      <c r="C865">
        <f>SUMIFS(Issuance!$H:$H,Issuance!$D:$D,Formulas!$B865,Issuance!$C:$C,Formulas!C$2)</f>
        <v>0</v>
      </c>
      <c r="D865">
        <f>SUMIFS(Issuance!$H:$H,Issuance!$D:$D,Formulas!$B865,Issuance!$C:$C,Formulas!D$2)</f>
        <v>0</v>
      </c>
      <c r="E865">
        <f t="shared" si="69"/>
        <v>0</v>
      </c>
      <c r="F865" s="41" t="str">
        <f t="shared" si="71"/>
        <v/>
      </c>
      <c r="I865">
        <f>SUMIFS(Buybacks!H:H,Buybacks!D:D,Formulas!H865)</f>
        <v>0</v>
      </c>
      <c r="J865" s="41" t="str">
        <f t="shared" si="72"/>
        <v/>
      </c>
      <c r="M865">
        <f>SUMIFS('Corporate activity'!$H:$H,'Corporate activity'!$D:$D,Formulas!$L865,'Corporate activity'!$C:$C,Formulas!M$2)</f>
        <v>0</v>
      </c>
      <c r="N865">
        <f>SUMIFS('Corporate activity'!$H:$H,'Corporate activity'!$D:$D,Formulas!$L865,'Corporate activity'!$C:$C,Formulas!N$2)</f>
        <v>0</v>
      </c>
      <c r="O865">
        <f>SUMIFS('Corporate activity'!$H:$H,'Corporate activity'!$D:$D,Formulas!$L865,'Corporate activity'!$C:$C,Formulas!O$2)</f>
        <v>0</v>
      </c>
      <c r="P865">
        <f t="shared" si="70"/>
        <v>0</v>
      </c>
      <c r="Q865" t="str">
        <f t="shared" si="73"/>
        <v/>
      </c>
    </row>
    <row r="866" spans="3:17" x14ac:dyDescent="0.25">
      <c r="C866">
        <f>SUMIFS(Issuance!$H:$H,Issuance!$D:$D,Formulas!$B866,Issuance!$C:$C,Formulas!C$2)</f>
        <v>0</v>
      </c>
      <c r="D866">
        <f>SUMIFS(Issuance!$H:$H,Issuance!$D:$D,Formulas!$B866,Issuance!$C:$C,Formulas!D$2)</f>
        <v>0</v>
      </c>
      <c r="E866">
        <f t="shared" si="69"/>
        <v>0</v>
      </c>
      <c r="F866" s="41" t="str">
        <f t="shared" si="71"/>
        <v/>
      </c>
      <c r="I866">
        <f>SUMIFS(Buybacks!H:H,Buybacks!D:D,Formulas!H866)</f>
        <v>0</v>
      </c>
      <c r="J866" s="41" t="str">
        <f t="shared" si="72"/>
        <v/>
      </c>
      <c r="M866">
        <f>SUMIFS('Corporate activity'!$H:$H,'Corporate activity'!$D:$D,Formulas!$L866,'Corporate activity'!$C:$C,Formulas!M$2)</f>
        <v>0</v>
      </c>
      <c r="N866">
        <f>SUMIFS('Corporate activity'!$H:$H,'Corporate activity'!$D:$D,Formulas!$L866,'Corporate activity'!$C:$C,Formulas!N$2)</f>
        <v>0</v>
      </c>
      <c r="O866">
        <f>SUMIFS('Corporate activity'!$H:$H,'Corporate activity'!$D:$D,Formulas!$L866,'Corporate activity'!$C:$C,Formulas!O$2)</f>
        <v>0</v>
      </c>
      <c r="P866">
        <f t="shared" si="70"/>
        <v>0</v>
      </c>
      <c r="Q866" t="str">
        <f t="shared" si="73"/>
        <v/>
      </c>
    </row>
    <row r="867" spans="3:17" x14ac:dyDescent="0.25">
      <c r="C867">
        <f>SUMIFS(Issuance!$H:$H,Issuance!$D:$D,Formulas!$B867,Issuance!$C:$C,Formulas!C$2)</f>
        <v>0</v>
      </c>
      <c r="D867">
        <f>SUMIFS(Issuance!$H:$H,Issuance!$D:$D,Formulas!$B867,Issuance!$C:$C,Formulas!D$2)</f>
        <v>0</v>
      </c>
      <c r="E867">
        <f t="shared" si="69"/>
        <v>0</v>
      </c>
      <c r="F867" s="41" t="str">
        <f t="shared" si="71"/>
        <v/>
      </c>
      <c r="I867">
        <f>SUMIFS(Buybacks!H:H,Buybacks!D:D,Formulas!H867)</f>
        <v>0</v>
      </c>
      <c r="J867" s="41" t="str">
        <f t="shared" si="72"/>
        <v/>
      </c>
      <c r="M867">
        <f>SUMIFS('Corporate activity'!$H:$H,'Corporate activity'!$D:$D,Formulas!$L867,'Corporate activity'!$C:$C,Formulas!M$2)</f>
        <v>0</v>
      </c>
      <c r="N867">
        <f>SUMIFS('Corporate activity'!$H:$H,'Corporate activity'!$D:$D,Formulas!$L867,'Corporate activity'!$C:$C,Formulas!N$2)</f>
        <v>0</v>
      </c>
      <c r="O867">
        <f>SUMIFS('Corporate activity'!$H:$H,'Corporate activity'!$D:$D,Formulas!$L867,'Corporate activity'!$C:$C,Formulas!O$2)</f>
        <v>0</v>
      </c>
      <c r="P867">
        <f t="shared" si="70"/>
        <v>0</v>
      </c>
      <c r="Q867" t="str">
        <f t="shared" si="73"/>
        <v/>
      </c>
    </row>
    <row r="868" spans="3:17" x14ac:dyDescent="0.25">
      <c r="C868">
        <f>SUMIFS(Issuance!$H:$H,Issuance!$D:$D,Formulas!$B868,Issuance!$C:$C,Formulas!C$2)</f>
        <v>0</v>
      </c>
      <c r="D868">
        <f>SUMIFS(Issuance!$H:$H,Issuance!$D:$D,Formulas!$B868,Issuance!$C:$C,Formulas!D$2)</f>
        <v>0</v>
      </c>
      <c r="E868">
        <f t="shared" si="69"/>
        <v>0</v>
      </c>
      <c r="F868" s="41" t="str">
        <f t="shared" si="71"/>
        <v/>
      </c>
      <c r="I868">
        <f>SUMIFS(Buybacks!H:H,Buybacks!D:D,Formulas!H868)</f>
        <v>0</v>
      </c>
      <c r="J868" s="41" t="str">
        <f t="shared" si="72"/>
        <v/>
      </c>
      <c r="M868">
        <f>SUMIFS('Corporate activity'!$H:$H,'Corporate activity'!$D:$D,Formulas!$L868,'Corporate activity'!$C:$C,Formulas!M$2)</f>
        <v>0</v>
      </c>
      <c r="N868">
        <f>SUMIFS('Corporate activity'!$H:$H,'Corporate activity'!$D:$D,Formulas!$L868,'Corporate activity'!$C:$C,Formulas!N$2)</f>
        <v>0</v>
      </c>
      <c r="O868">
        <f>SUMIFS('Corporate activity'!$H:$H,'Corporate activity'!$D:$D,Formulas!$L868,'Corporate activity'!$C:$C,Formulas!O$2)</f>
        <v>0</v>
      </c>
      <c r="P868">
        <f t="shared" si="70"/>
        <v>0</v>
      </c>
      <c r="Q868" t="str">
        <f t="shared" si="73"/>
        <v/>
      </c>
    </row>
    <row r="869" spans="3:17" x14ac:dyDescent="0.25">
      <c r="C869">
        <f>SUMIFS(Issuance!$H:$H,Issuance!$D:$D,Formulas!$B869,Issuance!$C:$C,Formulas!C$2)</f>
        <v>0</v>
      </c>
      <c r="D869">
        <f>SUMIFS(Issuance!$H:$H,Issuance!$D:$D,Formulas!$B869,Issuance!$C:$C,Formulas!D$2)</f>
        <v>0</v>
      </c>
      <c r="E869">
        <f t="shared" si="69"/>
        <v>0</v>
      </c>
      <c r="F869" s="41" t="str">
        <f t="shared" si="71"/>
        <v/>
      </c>
      <c r="I869">
        <f>SUMIFS(Buybacks!H:H,Buybacks!D:D,Formulas!H869)</f>
        <v>0</v>
      </c>
      <c r="J869" s="41" t="str">
        <f t="shared" si="72"/>
        <v/>
      </c>
      <c r="M869">
        <f>SUMIFS('Corporate activity'!$H:$H,'Corporate activity'!$D:$D,Formulas!$L869,'Corporate activity'!$C:$C,Formulas!M$2)</f>
        <v>0</v>
      </c>
      <c r="N869">
        <f>SUMIFS('Corporate activity'!$H:$H,'Corporate activity'!$D:$D,Formulas!$L869,'Corporate activity'!$C:$C,Formulas!N$2)</f>
        <v>0</v>
      </c>
      <c r="O869">
        <f>SUMIFS('Corporate activity'!$H:$H,'Corporate activity'!$D:$D,Formulas!$L869,'Corporate activity'!$C:$C,Formulas!O$2)</f>
        <v>0</v>
      </c>
      <c r="P869">
        <f t="shared" si="70"/>
        <v>0</v>
      </c>
      <c r="Q869" t="str">
        <f t="shared" si="73"/>
        <v/>
      </c>
    </row>
    <row r="870" spans="3:17" x14ac:dyDescent="0.25">
      <c r="C870">
        <f>SUMIFS(Issuance!$H:$H,Issuance!$D:$D,Formulas!$B870,Issuance!$C:$C,Formulas!C$2)</f>
        <v>0</v>
      </c>
      <c r="D870">
        <f>SUMIFS(Issuance!$H:$H,Issuance!$D:$D,Formulas!$B870,Issuance!$C:$C,Formulas!D$2)</f>
        <v>0</v>
      </c>
      <c r="E870">
        <f t="shared" si="69"/>
        <v>0</v>
      </c>
      <c r="F870" s="41" t="str">
        <f t="shared" si="71"/>
        <v/>
      </c>
      <c r="I870">
        <f>SUMIFS(Buybacks!H:H,Buybacks!D:D,Formulas!H870)</f>
        <v>0</v>
      </c>
      <c r="J870" s="41" t="str">
        <f t="shared" si="72"/>
        <v/>
      </c>
      <c r="M870">
        <f>SUMIFS('Corporate activity'!$H:$H,'Corporate activity'!$D:$D,Formulas!$L870,'Corporate activity'!$C:$C,Formulas!M$2)</f>
        <v>0</v>
      </c>
      <c r="N870">
        <f>SUMIFS('Corporate activity'!$H:$H,'Corporate activity'!$D:$D,Formulas!$L870,'Corporate activity'!$C:$C,Formulas!N$2)</f>
        <v>0</v>
      </c>
      <c r="O870">
        <f>SUMIFS('Corporate activity'!$H:$H,'Corporate activity'!$D:$D,Formulas!$L870,'Corporate activity'!$C:$C,Formulas!O$2)</f>
        <v>0</v>
      </c>
      <c r="P870">
        <f t="shared" si="70"/>
        <v>0</v>
      </c>
      <c r="Q870" t="str">
        <f t="shared" si="73"/>
        <v/>
      </c>
    </row>
    <row r="871" spans="3:17" x14ac:dyDescent="0.25">
      <c r="C871">
        <f>SUMIFS(Issuance!$H:$H,Issuance!$D:$D,Formulas!$B871,Issuance!$C:$C,Formulas!C$2)</f>
        <v>0</v>
      </c>
      <c r="D871">
        <f>SUMIFS(Issuance!$H:$H,Issuance!$D:$D,Formulas!$B871,Issuance!$C:$C,Formulas!D$2)</f>
        <v>0</v>
      </c>
      <c r="E871">
        <f t="shared" si="69"/>
        <v>0</v>
      </c>
      <c r="F871" s="41" t="str">
        <f t="shared" si="71"/>
        <v/>
      </c>
      <c r="I871">
        <f>SUMIFS(Buybacks!H:H,Buybacks!D:D,Formulas!H871)</f>
        <v>0</v>
      </c>
      <c r="J871" s="41" t="str">
        <f t="shared" si="72"/>
        <v/>
      </c>
      <c r="M871">
        <f>SUMIFS('Corporate activity'!$H:$H,'Corporate activity'!$D:$D,Formulas!$L871,'Corporate activity'!$C:$C,Formulas!M$2)</f>
        <v>0</v>
      </c>
      <c r="N871">
        <f>SUMIFS('Corporate activity'!$H:$H,'Corporate activity'!$D:$D,Formulas!$L871,'Corporate activity'!$C:$C,Formulas!N$2)</f>
        <v>0</v>
      </c>
      <c r="O871">
        <f>SUMIFS('Corporate activity'!$H:$H,'Corporate activity'!$D:$D,Formulas!$L871,'Corporate activity'!$C:$C,Formulas!O$2)</f>
        <v>0</v>
      </c>
      <c r="P871">
        <f t="shared" si="70"/>
        <v>0</v>
      </c>
      <c r="Q871" t="str">
        <f t="shared" si="73"/>
        <v/>
      </c>
    </row>
    <row r="872" spans="3:17" x14ac:dyDescent="0.25">
      <c r="C872">
        <f>SUMIFS(Issuance!$H:$H,Issuance!$D:$D,Formulas!$B872,Issuance!$C:$C,Formulas!C$2)</f>
        <v>0</v>
      </c>
      <c r="D872">
        <f>SUMIFS(Issuance!$H:$H,Issuance!$D:$D,Formulas!$B872,Issuance!$C:$C,Formulas!D$2)</f>
        <v>0</v>
      </c>
      <c r="E872">
        <f t="shared" si="69"/>
        <v>0</v>
      </c>
      <c r="F872" s="41" t="str">
        <f t="shared" si="71"/>
        <v/>
      </c>
      <c r="I872">
        <f>SUMIFS(Buybacks!H:H,Buybacks!D:D,Formulas!H872)</f>
        <v>0</v>
      </c>
      <c r="J872" s="41" t="str">
        <f t="shared" si="72"/>
        <v/>
      </c>
      <c r="M872">
        <f>SUMIFS('Corporate activity'!$H:$H,'Corporate activity'!$D:$D,Formulas!$L872,'Corporate activity'!$C:$C,Formulas!M$2)</f>
        <v>0</v>
      </c>
      <c r="N872">
        <f>SUMIFS('Corporate activity'!$H:$H,'Corporate activity'!$D:$D,Formulas!$L872,'Corporate activity'!$C:$C,Formulas!N$2)</f>
        <v>0</v>
      </c>
      <c r="O872">
        <f>SUMIFS('Corporate activity'!$H:$H,'Corporate activity'!$D:$D,Formulas!$L872,'Corporate activity'!$C:$C,Formulas!O$2)</f>
        <v>0</v>
      </c>
      <c r="P872">
        <f t="shared" si="70"/>
        <v>0</v>
      </c>
      <c r="Q872" t="str">
        <f t="shared" si="73"/>
        <v/>
      </c>
    </row>
    <row r="873" spans="3:17" x14ac:dyDescent="0.25">
      <c r="C873">
        <f>SUMIFS(Issuance!$H:$H,Issuance!$D:$D,Formulas!$B873,Issuance!$C:$C,Formulas!C$2)</f>
        <v>0</v>
      </c>
      <c r="D873">
        <f>SUMIFS(Issuance!$H:$H,Issuance!$D:$D,Formulas!$B873,Issuance!$C:$C,Formulas!D$2)</f>
        <v>0</v>
      </c>
      <c r="E873">
        <f t="shared" si="69"/>
        <v>0</v>
      </c>
      <c r="F873" s="41" t="str">
        <f t="shared" si="71"/>
        <v/>
      </c>
      <c r="I873">
        <f>SUMIFS(Buybacks!H:H,Buybacks!D:D,Formulas!H873)</f>
        <v>0</v>
      </c>
      <c r="J873" s="41" t="str">
        <f t="shared" si="72"/>
        <v/>
      </c>
      <c r="M873">
        <f>SUMIFS('Corporate activity'!$H:$H,'Corporate activity'!$D:$D,Formulas!$L873,'Corporate activity'!$C:$C,Formulas!M$2)</f>
        <v>0</v>
      </c>
      <c r="N873">
        <f>SUMIFS('Corporate activity'!$H:$H,'Corporate activity'!$D:$D,Formulas!$L873,'Corporate activity'!$C:$C,Formulas!N$2)</f>
        <v>0</v>
      </c>
      <c r="O873">
        <f>SUMIFS('Corporate activity'!$H:$H,'Corporate activity'!$D:$D,Formulas!$L873,'Corporate activity'!$C:$C,Formulas!O$2)</f>
        <v>0</v>
      </c>
      <c r="P873">
        <f t="shared" si="70"/>
        <v>0</v>
      </c>
      <c r="Q873" t="str">
        <f t="shared" si="73"/>
        <v/>
      </c>
    </row>
    <row r="874" spans="3:17" x14ac:dyDescent="0.25">
      <c r="C874">
        <f>SUMIFS(Issuance!$H:$H,Issuance!$D:$D,Formulas!$B874,Issuance!$C:$C,Formulas!C$2)</f>
        <v>0</v>
      </c>
      <c r="D874">
        <f>SUMIFS(Issuance!$H:$H,Issuance!$D:$D,Formulas!$B874,Issuance!$C:$C,Formulas!D$2)</f>
        <v>0</v>
      </c>
      <c r="E874">
        <f t="shared" si="69"/>
        <v>0</v>
      </c>
      <c r="F874" s="41" t="str">
        <f t="shared" si="71"/>
        <v/>
      </c>
      <c r="I874">
        <f>SUMIFS(Buybacks!H:H,Buybacks!D:D,Formulas!H874)</f>
        <v>0</v>
      </c>
      <c r="J874" s="41" t="str">
        <f t="shared" si="72"/>
        <v/>
      </c>
      <c r="M874">
        <f>SUMIFS('Corporate activity'!$H:$H,'Corporate activity'!$D:$D,Formulas!$L874,'Corporate activity'!$C:$C,Formulas!M$2)</f>
        <v>0</v>
      </c>
      <c r="N874">
        <f>SUMIFS('Corporate activity'!$H:$H,'Corporate activity'!$D:$D,Formulas!$L874,'Corporate activity'!$C:$C,Formulas!N$2)</f>
        <v>0</v>
      </c>
      <c r="O874">
        <f>SUMIFS('Corporate activity'!$H:$H,'Corporate activity'!$D:$D,Formulas!$L874,'Corporate activity'!$C:$C,Formulas!O$2)</f>
        <v>0</v>
      </c>
      <c r="P874">
        <f t="shared" si="70"/>
        <v>0</v>
      </c>
      <c r="Q874" t="str">
        <f t="shared" si="73"/>
        <v/>
      </c>
    </row>
    <row r="875" spans="3:17" x14ac:dyDescent="0.25">
      <c r="C875">
        <f>SUMIFS(Issuance!$H:$H,Issuance!$D:$D,Formulas!$B875,Issuance!$C:$C,Formulas!C$2)</f>
        <v>0</v>
      </c>
      <c r="D875">
        <f>SUMIFS(Issuance!$H:$H,Issuance!$D:$D,Formulas!$B875,Issuance!$C:$C,Formulas!D$2)</f>
        <v>0</v>
      </c>
      <c r="E875">
        <f t="shared" si="69"/>
        <v>0</v>
      </c>
      <c r="F875" s="41" t="str">
        <f t="shared" si="71"/>
        <v/>
      </c>
      <c r="I875">
        <f>SUMIFS(Buybacks!H:H,Buybacks!D:D,Formulas!H875)</f>
        <v>0</v>
      </c>
      <c r="J875" s="41" t="str">
        <f t="shared" si="72"/>
        <v/>
      </c>
      <c r="M875">
        <f>SUMIFS('Corporate activity'!$H:$H,'Corporate activity'!$D:$D,Formulas!$L875,'Corporate activity'!$C:$C,Formulas!M$2)</f>
        <v>0</v>
      </c>
      <c r="N875">
        <f>SUMIFS('Corporate activity'!$H:$H,'Corporate activity'!$D:$D,Formulas!$L875,'Corporate activity'!$C:$C,Formulas!N$2)</f>
        <v>0</v>
      </c>
      <c r="O875">
        <f>SUMIFS('Corporate activity'!$H:$H,'Corporate activity'!$D:$D,Formulas!$L875,'Corporate activity'!$C:$C,Formulas!O$2)</f>
        <v>0</v>
      </c>
      <c r="P875">
        <f t="shared" si="70"/>
        <v>0</v>
      </c>
      <c r="Q875" t="str">
        <f t="shared" si="73"/>
        <v/>
      </c>
    </row>
    <row r="876" spans="3:17" x14ac:dyDescent="0.25">
      <c r="C876">
        <f>SUMIFS(Issuance!$H:$H,Issuance!$D:$D,Formulas!$B876,Issuance!$C:$C,Formulas!C$2)</f>
        <v>0</v>
      </c>
      <c r="D876">
        <f>SUMIFS(Issuance!$H:$H,Issuance!$D:$D,Formulas!$B876,Issuance!$C:$C,Formulas!D$2)</f>
        <v>0</v>
      </c>
      <c r="E876">
        <f t="shared" si="69"/>
        <v>0</v>
      </c>
      <c r="F876" s="41" t="str">
        <f t="shared" si="71"/>
        <v/>
      </c>
      <c r="I876">
        <f>SUMIFS(Buybacks!H:H,Buybacks!D:D,Formulas!H876)</f>
        <v>0</v>
      </c>
      <c r="J876" s="41" t="str">
        <f t="shared" si="72"/>
        <v/>
      </c>
      <c r="M876">
        <f>SUMIFS('Corporate activity'!$H:$H,'Corporate activity'!$D:$D,Formulas!$L876,'Corporate activity'!$C:$C,Formulas!M$2)</f>
        <v>0</v>
      </c>
      <c r="N876">
        <f>SUMIFS('Corporate activity'!$H:$H,'Corporate activity'!$D:$D,Formulas!$L876,'Corporate activity'!$C:$C,Formulas!N$2)</f>
        <v>0</v>
      </c>
      <c r="O876">
        <f>SUMIFS('Corporate activity'!$H:$H,'Corporate activity'!$D:$D,Formulas!$L876,'Corporate activity'!$C:$C,Formulas!O$2)</f>
        <v>0</v>
      </c>
      <c r="P876">
        <f t="shared" si="70"/>
        <v>0</v>
      </c>
      <c r="Q876" t="str">
        <f t="shared" si="73"/>
        <v/>
      </c>
    </row>
    <row r="877" spans="3:17" x14ac:dyDescent="0.25">
      <c r="C877">
        <f>SUMIFS(Issuance!$H:$H,Issuance!$D:$D,Formulas!$B877,Issuance!$C:$C,Formulas!C$2)</f>
        <v>0</v>
      </c>
      <c r="D877">
        <f>SUMIFS(Issuance!$H:$H,Issuance!$D:$D,Formulas!$B877,Issuance!$C:$C,Formulas!D$2)</f>
        <v>0</v>
      </c>
      <c r="E877">
        <f t="shared" si="69"/>
        <v>0</v>
      </c>
      <c r="F877" s="41" t="str">
        <f t="shared" si="71"/>
        <v/>
      </c>
      <c r="I877">
        <f>SUMIFS(Buybacks!H:H,Buybacks!D:D,Formulas!H877)</f>
        <v>0</v>
      </c>
      <c r="J877" s="41" t="str">
        <f t="shared" si="72"/>
        <v/>
      </c>
      <c r="M877">
        <f>SUMIFS('Corporate activity'!$H:$H,'Corporate activity'!$D:$D,Formulas!$L877,'Corporate activity'!$C:$C,Formulas!M$2)</f>
        <v>0</v>
      </c>
      <c r="N877">
        <f>SUMIFS('Corporate activity'!$H:$H,'Corporate activity'!$D:$D,Formulas!$L877,'Corporate activity'!$C:$C,Formulas!N$2)</f>
        <v>0</v>
      </c>
      <c r="O877">
        <f>SUMIFS('Corporate activity'!$H:$H,'Corporate activity'!$D:$D,Formulas!$L877,'Corporate activity'!$C:$C,Formulas!O$2)</f>
        <v>0</v>
      </c>
      <c r="P877">
        <f t="shared" si="70"/>
        <v>0</v>
      </c>
      <c r="Q877" t="str">
        <f t="shared" si="73"/>
        <v/>
      </c>
    </row>
    <row r="878" spans="3:17" x14ac:dyDescent="0.25">
      <c r="C878">
        <f>SUMIFS(Issuance!$H:$H,Issuance!$D:$D,Formulas!$B878,Issuance!$C:$C,Formulas!C$2)</f>
        <v>0</v>
      </c>
      <c r="D878">
        <f>SUMIFS(Issuance!$H:$H,Issuance!$D:$D,Formulas!$B878,Issuance!$C:$C,Formulas!D$2)</f>
        <v>0</v>
      </c>
      <c r="E878">
        <f t="shared" si="69"/>
        <v>0</v>
      </c>
      <c r="F878" s="41" t="str">
        <f t="shared" si="71"/>
        <v/>
      </c>
      <c r="I878">
        <f>SUMIFS(Buybacks!H:H,Buybacks!D:D,Formulas!H878)</f>
        <v>0</v>
      </c>
      <c r="J878" s="41" t="str">
        <f t="shared" si="72"/>
        <v/>
      </c>
      <c r="M878">
        <f>SUMIFS('Corporate activity'!$H:$H,'Corporate activity'!$D:$D,Formulas!$L878,'Corporate activity'!$C:$C,Formulas!M$2)</f>
        <v>0</v>
      </c>
      <c r="N878">
        <f>SUMIFS('Corporate activity'!$H:$H,'Corporate activity'!$D:$D,Formulas!$L878,'Corporate activity'!$C:$C,Formulas!N$2)</f>
        <v>0</v>
      </c>
      <c r="O878">
        <f>SUMIFS('Corporate activity'!$H:$H,'Corporate activity'!$D:$D,Formulas!$L878,'Corporate activity'!$C:$C,Formulas!O$2)</f>
        <v>0</v>
      </c>
      <c r="P878">
        <f t="shared" si="70"/>
        <v>0</v>
      </c>
      <c r="Q878" t="str">
        <f t="shared" si="73"/>
        <v/>
      </c>
    </row>
    <row r="879" spans="3:17" x14ac:dyDescent="0.25">
      <c r="C879">
        <f>SUMIFS(Issuance!$H:$H,Issuance!$D:$D,Formulas!$B879,Issuance!$C:$C,Formulas!C$2)</f>
        <v>0</v>
      </c>
      <c r="D879">
        <f>SUMIFS(Issuance!$H:$H,Issuance!$D:$D,Formulas!$B879,Issuance!$C:$C,Formulas!D$2)</f>
        <v>0</v>
      </c>
      <c r="E879">
        <f t="shared" si="69"/>
        <v>0</v>
      </c>
      <c r="F879" s="41" t="str">
        <f t="shared" si="71"/>
        <v/>
      </c>
      <c r="I879">
        <f>SUMIFS(Buybacks!H:H,Buybacks!D:D,Formulas!H879)</f>
        <v>0</v>
      </c>
      <c r="J879" s="41" t="str">
        <f t="shared" si="72"/>
        <v/>
      </c>
      <c r="M879">
        <f>SUMIFS('Corporate activity'!$H:$H,'Corporate activity'!$D:$D,Formulas!$L879,'Corporate activity'!$C:$C,Formulas!M$2)</f>
        <v>0</v>
      </c>
      <c r="N879">
        <f>SUMIFS('Corporate activity'!$H:$H,'Corporate activity'!$D:$D,Formulas!$L879,'Corporate activity'!$C:$C,Formulas!N$2)</f>
        <v>0</v>
      </c>
      <c r="O879">
        <f>SUMIFS('Corporate activity'!$H:$H,'Corporate activity'!$D:$D,Formulas!$L879,'Corporate activity'!$C:$C,Formulas!O$2)</f>
        <v>0</v>
      </c>
      <c r="P879">
        <f t="shared" si="70"/>
        <v>0</v>
      </c>
      <c r="Q879" t="str">
        <f t="shared" si="73"/>
        <v/>
      </c>
    </row>
    <row r="880" spans="3:17" x14ac:dyDescent="0.25">
      <c r="C880">
        <f>SUMIFS(Issuance!$H:$H,Issuance!$D:$D,Formulas!$B880,Issuance!$C:$C,Formulas!C$2)</f>
        <v>0</v>
      </c>
      <c r="D880">
        <f>SUMIFS(Issuance!$H:$H,Issuance!$D:$D,Formulas!$B880,Issuance!$C:$C,Formulas!D$2)</f>
        <v>0</v>
      </c>
      <c r="E880">
        <f t="shared" si="69"/>
        <v>0</v>
      </c>
      <c r="F880" s="41" t="str">
        <f t="shared" si="71"/>
        <v/>
      </c>
      <c r="I880">
        <f>SUMIFS(Buybacks!H:H,Buybacks!D:D,Formulas!H880)</f>
        <v>0</v>
      </c>
      <c r="J880" s="41" t="str">
        <f t="shared" si="72"/>
        <v/>
      </c>
      <c r="M880">
        <f>SUMIFS('Corporate activity'!$H:$H,'Corporate activity'!$D:$D,Formulas!$L880,'Corporate activity'!$C:$C,Formulas!M$2)</f>
        <v>0</v>
      </c>
      <c r="N880">
        <f>SUMIFS('Corporate activity'!$H:$H,'Corporate activity'!$D:$D,Formulas!$L880,'Corporate activity'!$C:$C,Formulas!N$2)</f>
        <v>0</v>
      </c>
      <c r="O880">
        <f>SUMIFS('Corporate activity'!$H:$H,'Corporate activity'!$D:$D,Formulas!$L880,'Corporate activity'!$C:$C,Formulas!O$2)</f>
        <v>0</v>
      </c>
      <c r="P880">
        <f t="shared" si="70"/>
        <v>0</v>
      </c>
      <c r="Q880" t="str">
        <f t="shared" si="73"/>
        <v/>
      </c>
    </row>
    <row r="881" spans="3:17" x14ac:dyDescent="0.25">
      <c r="C881">
        <f>SUMIFS(Issuance!$H:$H,Issuance!$D:$D,Formulas!$B881,Issuance!$C:$C,Formulas!C$2)</f>
        <v>0</v>
      </c>
      <c r="D881">
        <f>SUMIFS(Issuance!$H:$H,Issuance!$D:$D,Formulas!$B881,Issuance!$C:$C,Formulas!D$2)</f>
        <v>0</v>
      </c>
      <c r="E881">
        <f t="shared" si="69"/>
        <v>0</v>
      </c>
      <c r="F881" s="41" t="str">
        <f t="shared" si="71"/>
        <v/>
      </c>
      <c r="I881">
        <f>SUMIFS(Buybacks!H:H,Buybacks!D:D,Formulas!H881)</f>
        <v>0</v>
      </c>
      <c r="J881" s="41" t="str">
        <f t="shared" si="72"/>
        <v/>
      </c>
      <c r="M881">
        <f>SUMIFS('Corporate activity'!$H:$H,'Corporate activity'!$D:$D,Formulas!$L881,'Corporate activity'!$C:$C,Formulas!M$2)</f>
        <v>0</v>
      </c>
      <c r="N881">
        <f>SUMIFS('Corporate activity'!$H:$H,'Corporate activity'!$D:$D,Formulas!$L881,'Corporate activity'!$C:$C,Formulas!N$2)</f>
        <v>0</v>
      </c>
      <c r="O881">
        <f>SUMIFS('Corporate activity'!$H:$H,'Corporate activity'!$D:$D,Formulas!$L881,'Corporate activity'!$C:$C,Formulas!O$2)</f>
        <v>0</v>
      </c>
      <c r="P881">
        <f t="shared" si="70"/>
        <v>0</v>
      </c>
      <c r="Q881" t="str">
        <f t="shared" si="73"/>
        <v/>
      </c>
    </row>
    <row r="882" spans="3:17" x14ac:dyDescent="0.25">
      <c r="C882">
        <f>SUMIFS(Issuance!$H:$H,Issuance!$D:$D,Formulas!$B882,Issuance!$C:$C,Formulas!C$2)</f>
        <v>0</v>
      </c>
      <c r="D882">
        <f>SUMIFS(Issuance!$H:$H,Issuance!$D:$D,Formulas!$B882,Issuance!$C:$C,Formulas!D$2)</f>
        <v>0</v>
      </c>
      <c r="E882">
        <f t="shared" si="69"/>
        <v>0</v>
      </c>
      <c r="F882" s="41" t="str">
        <f t="shared" si="71"/>
        <v/>
      </c>
      <c r="I882">
        <f>SUMIFS(Buybacks!H:H,Buybacks!D:D,Formulas!H882)</f>
        <v>0</v>
      </c>
      <c r="J882" s="41" t="str">
        <f t="shared" si="72"/>
        <v/>
      </c>
      <c r="M882">
        <f>SUMIFS('Corporate activity'!$H:$H,'Corporate activity'!$D:$D,Formulas!$L882,'Corporate activity'!$C:$C,Formulas!M$2)</f>
        <v>0</v>
      </c>
      <c r="N882">
        <f>SUMIFS('Corporate activity'!$H:$H,'Corporate activity'!$D:$D,Formulas!$L882,'Corporate activity'!$C:$C,Formulas!N$2)</f>
        <v>0</v>
      </c>
      <c r="O882">
        <f>SUMIFS('Corporate activity'!$H:$H,'Corporate activity'!$D:$D,Formulas!$L882,'Corporate activity'!$C:$C,Formulas!O$2)</f>
        <v>0</v>
      </c>
      <c r="P882">
        <f t="shared" si="70"/>
        <v>0</v>
      </c>
      <c r="Q882" t="str">
        <f t="shared" si="73"/>
        <v/>
      </c>
    </row>
    <row r="883" spans="3:17" x14ac:dyDescent="0.25">
      <c r="C883">
        <f>SUMIFS(Issuance!$H:$H,Issuance!$D:$D,Formulas!$B883,Issuance!$C:$C,Formulas!C$2)</f>
        <v>0</v>
      </c>
      <c r="D883">
        <f>SUMIFS(Issuance!$H:$H,Issuance!$D:$D,Formulas!$B883,Issuance!$C:$C,Formulas!D$2)</f>
        <v>0</v>
      </c>
      <c r="E883">
        <f t="shared" ref="E883:E946" si="74">SUM(C883:D883)</f>
        <v>0</v>
      </c>
      <c r="F883" s="41" t="str">
        <f t="shared" si="71"/>
        <v/>
      </c>
      <c r="I883">
        <f>SUMIFS(Buybacks!H:H,Buybacks!D:D,Formulas!H883)</f>
        <v>0</v>
      </c>
      <c r="J883" s="41" t="str">
        <f t="shared" si="72"/>
        <v/>
      </c>
      <c r="M883">
        <f>SUMIFS('Corporate activity'!$H:$H,'Corporate activity'!$D:$D,Formulas!$L883,'Corporate activity'!$C:$C,Formulas!M$2)</f>
        <v>0</v>
      </c>
      <c r="N883">
        <f>SUMIFS('Corporate activity'!$H:$H,'Corporate activity'!$D:$D,Formulas!$L883,'Corporate activity'!$C:$C,Formulas!N$2)</f>
        <v>0</v>
      </c>
      <c r="O883">
        <f>SUMIFS('Corporate activity'!$H:$H,'Corporate activity'!$D:$D,Formulas!$L883,'Corporate activity'!$C:$C,Formulas!O$2)</f>
        <v>0</v>
      </c>
      <c r="P883">
        <f t="shared" ref="P883:P946" si="75">SUM(M883:O883)</f>
        <v>0</v>
      </c>
      <c r="Q883" t="str">
        <f t="shared" si="73"/>
        <v/>
      </c>
    </row>
    <row r="884" spans="3:17" x14ac:dyDescent="0.25">
      <c r="C884">
        <f>SUMIFS(Issuance!$H:$H,Issuance!$D:$D,Formulas!$B884,Issuance!$C:$C,Formulas!C$2)</f>
        <v>0</v>
      </c>
      <c r="D884">
        <f>SUMIFS(Issuance!$H:$H,Issuance!$D:$D,Formulas!$B884,Issuance!$C:$C,Formulas!D$2)</f>
        <v>0</v>
      </c>
      <c r="E884">
        <f t="shared" si="74"/>
        <v>0</v>
      </c>
      <c r="F884" s="41" t="str">
        <f t="shared" si="71"/>
        <v/>
      </c>
      <c r="I884">
        <f>SUMIFS(Buybacks!H:H,Buybacks!D:D,Formulas!H884)</f>
        <v>0</v>
      </c>
      <c r="J884" s="41" t="str">
        <f t="shared" si="72"/>
        <v/>
      </c>
      <c r="M884">
        <f>SUMIFS('Corporate activity'!$H:$H,'Corporate activity'!$D:$D,Formulas!$L884,'Corporate activity'!$C:$C,Formulas!M$2)</f>
        <v>0</v>
      </c>
      <c r="N884">
        <f>SUMIFS('Corporate activity'!$H:$H,'Corporate activity'!$D:$D,Formulas!$L884,'Corporate activity'!$C:$C,Formulas!N$2)</f>
        <v>0</v>
      </c>
      <c r="O884">
        <f>SUMIFS('Corporate activity'!$H:$H,'Corporate activity'!$D:$D,Formulas!$L884,'Corporate activity'!$C:$C,Formulas!O$2)</f>
        <v>0</v>
      </c>
      <c r="P884">
        <f t="shared" si="75"/>
        <v>0</v>
      </c>
      <c r="Q884" t="str">
        <f t="shared" si="73"/>
        <v/>
      </c>
    </row>
    <row r="885" spans="3:17" x14ac:dyDescent="0.25">
      <c r="C885">
        <f>SUMIFS(Issuance!$H:$H,Issuance!$D:$D,Formulas!$B885,Issuance!$C:$C,Formulas!C$2)</f>
        <v>0</v>
      </c>
      <c r="D885">
        <f>SUMIFS(Issuance!$H:$H,Issuance!$D:$D,Formulas!$B885,Issuance!$C:$C,Formulas!D$2)</f>
        <v>0</v>
      </c>
      <c r="E885">
        <f t="shared" si="74"/>
        <v>0</v>
      </c>
      <c r="F885" s="41" t="str">
        <f t="shared" si="71"/>
        <v/>
      </c>
      <c r="I885">
        <f>SUMIFS(Buybacks!H:H,Buybacks!D:D,Formulas!H885)</f>
        <v>0</v>
      </c>
      <c r="J885" s="41" t="str">
        <f t="shared" si="72"/>
        <v/>
      </c>
      <c r="M885">
        <f>SUMIFS('Corporate activity'!$H:$H,'Corporate activity'!$D:$D,Formulas!$L885,'Corporate activity'!$C:$C,Formulas!M$2)</f>
        <v>0</v>
      </c>
      <c r="N885">
        <f>SUMIFS('Corporate activity'!$H:$H,'Corporate activity'!$D:$D,Formulas!$L885,'Corporate activity'!$C:$C,Formulas!N$2)</f>
        <v>0</v>
      </c>
      <c r="O885">
        <f>SUMIFS('Corporate activity'!$H:$H,'Corporate activity'!$D:$D,Formulas!$L885,'Corporate activity'!$C:$C,Formulas!O$2)</f>
        <v>0</v>
      </c>
      <c r="P885">
        <f t="shared" si="75"/>
        <v>0</v>
      </c>
      <c r="Q885" t="str">
        <f t="shared" si="73"/>
        <v/>
      </c>
    </row>
    <row r="886" spans="3:17" x14ac:dyDescent="0.25">
      <c r="C886">
        <f>SUMIFS(Issuance!$H:$H,Issuance!$D:$D,Formulas!$B886,Issuance!$C:$C,Formulas!C$2)</f>
        <v>0</v>
      </c>
      <c r="D886">
        <f>SUMIFS(Issuance!$H:$H,Issuance!$D:$D,Formulas!$B886,Issuance!$C:$C,Formulas!D$2)</f>
        <v>0</v>
      </c>
      <c r="E886">
        <f t="shared" si="74"/>
        <v>0</v>
      </c>
      <c r="F886" s="41" t="str">
        <f t="shared" si="71"/>
        <v/>
      </c>
      <c r="I886">
        <f>SUMIFS(Buybacks!H:H,Buybacks!D:D,Formulas!H886)</f>
        <v>0</v>
      </c>
      <c r="J886" s="41" t="str">
        <f t="shared" si="72"/>
        <v/>
      </c>
      <c r="M886">
        <f>SUMIFS('Corporate activity'!$H:$H,'Corporate activity'!$D:$D,Formulas!$L886,'Corporate activity'!$C:$C,Formulas!M$2)</f>
        <v>0</v>
      </c>
      <c r="N886">
        <f>SUMIFS('Corporate activity'!$H:$H,'Corporate activity'!$D:$D,Formulas!$L886,'Corporate activity'!$C:$C,Formulas!N$2)</f>
        <v>0</v>
      </c>
      <c r="O886">
        <f>SUMIFS('Corporate activity'!$H:$H,'Corporate activity'!$D:$D,Formulas!$L886,'Corporate activity'!$C:$C,Formulas!O$2)</f>
        <v>0</v>
      </c>
      <c r="P886">
        <f t="shared" si="75"/>
        <v>0</v>
      </c>
      <c r="Q886" t="str">
        <f t="shared" si="73"/>
        <v/>
      </c>
    </row>
    <row r="887" spans="3:17" x14ac:dyDescent="0.25">
      <c r="C887">
        <f>SUMIFS(Issuance!$H:$H,Issuance!$D:$D,Formulas!$B887,Issuance!$C:$C,Formulas!C$2)</f>
        <v>0</v>
      </c>
      <c r="D887">
        <f>SUMIFS(Issuance!$H:$H,Issuance!$D:$D,Formulas!$B887,Issuance!$C:$C,Formulas!D$2)</f>
        <v>0</v>
      </c>
      <c r="E887">
        <f t="shared" si="74"/>
        <v>0</v>
      </c>
      <c r="F887" s="41" t="str">
        <f t="shared" si="71"/>
        <v/>
      </c>
      <c r="I887">
        <f>SUMIFS(Buybacks!H:H,Buybacks!D:D,Formulas!H887)</f>
        <v>0</v>
      </c>
      <c r="J887" s="41" t="str">
        <f t="shared" si="72"/>
        <v/>
      </c>
      <c r="M887">
        <f>SUMIFS('Corporate activity'!$H:$H,'Corporate activity'!$D:$D,Formulas!$L887,'Corporate activity'!$C:$C,Formulas!M$2)</f>
        <v>0</v>
      </c>
      <c r="N887">
        <f>SUMIFS('Corporate activity'!$H:$H,'Corporate activity'!$D:$D,Formulas!$L887,'Corporate activity'!$C:$C,Formulas!N$2)</f>
        <v>0</v>
      </c>
      <c r="O887">
        <f>SUMIFS('Corporate activity'!$H:$H,'Corporate activity'!$D:$D,Formulas!$L887,'Corporate activity'!$C:$C,Formulas!O$2)</f>
        <v>0</v>
      </c>
      <c r="P887">
        <f t="shared" si="75"/>
        <v>0</v>
      </c>
      <c r="Q887" t="str">
        <f t="shared" si="73"/>
        <v/>
      </c>
    </row>
    <row r="888" spans="3:17" x14ac:dyDescent="0.25">
      <c r="C888">
        <f>SUMIFS(Issuance!$H:$H,Issuance!$D:$D,Formulas!$B888,Issuance!$C:$C,Formulas!C$2)</f>
        <v>0</v>
      </c>
      <c r="D888">
        <f>SUMIFS(Issuance!$H:$H,Issuance!$D:$D,Formulas!$B888,Issuance!$C:$C,Formulas!D$2)</f>
        <v>0</v>
      </c>
      <c r="E888">
        <f t="shared" si="74"/>
        <v>0</v>
      </c>
      <c r="F888" s="41" t="str">
        <f t="shared" si="71"/>
        <v/>
      </c>
      <c r="I888">
        <f>SUMIFS(Buybacks!H:H,Buybacks!D:D,Formulas!H888)</f>
        <v>0</v>
      </c>
      <c r="J888" s="41" t="str">
        <f t="shared" si="72"/>
        <v/>
      </c>
      <c r="M888">
        <f>SUMIFS('Corporate activity'!$H:$H,'Corporate activity'!$D:$D,Formulas!$L888,'Corporate activity'!$C:$C,Formulas!M$2)</f>
        <v>0</v>
      </c>
      <c r="N888">
        <f>SUMIFS('Corporate activity'!$H:$H,'Corporate activity'!$D:$D,Formulas!$L888,'Corporate activity'!$C:$C,Formulas!N$2)</f>
        <v>0</v>
      </c>
      <c r="O888">
        <f>SUMIFS('Corporate activity'!$H:$H,'Corporate activity'!$D:$D,Formulas!$L888,'Corporate activity'!$C:$C,Formulas!O$2)</f>
        <v>0</v>
      </c>
      <c r="P888">
        <f t="shared" si="75"/>
        <v>0</v>
      </c>
      <c r="Q888" t="str">
        <f t="shared" si="73"/>
        <v/>
      </c>
    </row>
    <row r="889" spans="3:17" x14ac:dyDescent="0.25">
      <c r="C889">
        <f>SUMIFS(Issuance!$H:$H,Issuance!$D:$D,Formulas!$B889,Issuance!$C:$C,Formulas!C$2)</f>
        <v>0</v>
      </c>
      <c r="D889">
        <f>SUMIFS(Issuance!$H:$H,Issuance!$D:$D,Formulas!$B889,Issuance!$C:$C,Formulas!D$2)</f>
        <v>0</v>
      </c>
      <c r="E889">
        <f t="shared" si="74"/>
        <v>0</v>
      </c>
      <c r="F889" s="41" t="str">
        <f t="shared" si="71"/>
        <v/>
      </c>
      <c r="I889">
        <f>SUMIFS(Buybacks!H:H,Buybacks!D:D,Formulas!H889)</f>
        <v>0</v>
      </c>
      <c r="J889" s="41" t="str">
        <f t="shared" si="72"/>
        <v/>
      </c>
      <c r="M889">
        <f>SUMIFS('Corporate activity'!$H:$H,'Corporate activity'!$D:$D,Formulas!$L889,'Corporate activity'!$C:$C,Formulas!M$2)</f>
        <v>0</v>
      </c>
      <c r="N889">
        <f>SUMIFS('Corporate activity'!$H:$H,'Corporate activity'!$D:$D,Formulas!$L889,'Corporate activity'!$C:$C,Formulas!N$2)</f>
        <v>0</v>
      </c>
      <c r="O889">
        <f>SUMIFS('Corporate activity'!$H:$H,'Corporate activity'!$D:$D,Formulas!$L889,'Corporate activity'!$C:$C,Formulas!O$2)</f>
        <v>0</v>
      </c>
      <c r="P889">
        <f t="shared" si="75"/>
        <v>0</v>
      </c>
      <c r="Q889" t="str">
        <f t="shared" si="73"/>
        <v/>
      </c>
    </row>
    <row r="890" spans="3:17" x14ac:dyDescent="0.25">
      <c r="C890">
        <f>SUMIFS(Issuance!$H:$H,Issuance!$D:$D,Formulas!$B890,Issuance!$C:$C,Formulas!C$2)</f>
        <v>0</v>
      </c>
      <c r="D890">
        <f>SUMIFS(Issuance!$H:$H,Issuance!$D:$D,Formulas!$B890,Issuance!$C:$C,Formulas!D$2)</f>
        <v>0</v>
      </c>
      <c r="E890">
        <f t="shared" si="74"/>
        <v>0</v>
      </c>
      <c r="F890" s="41" t="str">
        <f t="shared" si="71"/>
        <v/>
      </c>
      <c r="I890">
        <f>SUMIFS(Buybacks!H:H,Buybacks!D:D,Formulas!H890)</f>
        <v>0</v>
      </c>
      <c r="J890" s="41" t="str">
        <f t="shared" si="72"/>
        <v/>
      </c>
      <c r="M890">
        <f>SUMIFS('Corporate activity'!$H:$H,'Corporate activity'!$D:$D,Formulas!$L890,'Corporate activity'!$C:$C,Formulas!M$2)</f>
        <v>0</v>
      </c>
      <c r="N890">
        <f>SUMIFS('Corporate activity'!$H:$H,'Corporate activity'!$D:$D,Formulas!$L890,'Corporate activity'!$C:$C,Formulas!N$2)</f>
        <v>0</v>
      </c>
      <c r="O890">
        <f>SUMIFS('Corporate activity'!$H:$H,'Corporate activity'!$D:$D,Formulas!$L890,'Corporate activity'!$C:$C,Formulas!O$2)</f>
        <v>0</v>
      </c>
      <c r="P890">
        <f t="shared" si="75"/>
        <v>0</v>
      </c>
      <c r="Q890" t="str">
        <f t="shared" si="73"/>
        <v/>
      </c>
    </row>
    <row r="891" spans="3:17" x14ac:dyDescent="0.25">
      <c r="C891">
        <f>SUMIFS(Issuance!$H:$H,Issuance!$D:$D,Formulas!$B891,Issuance!$C:$C,Formulas!C$2)</f>
        <v>0</v>
      </c>
      <c r="D891">
        <f>SUMIFS(Issuance!$H:$H,Issuance!$D:$D,Formulas!$B891,Issuance!$C:$C,Formulas!D$2)</f>
        <v>0</v>
      </c>
      <c r="E891">
        <f t="shared" si="74"/>
        <v>0</v>
      </c>
      <c r="F891" s="41" t="str">
        <f t="shared" si="71"/>
        <v/>
      </c>
      <c r="I891">
        <f>SUMIFS(Buybacks!H:H,Buybacks!D:D,Formulas!H891)</f>
        <v>0</v>
      </c>
      <c r="J891" s="41" t="str">
        <f t="shared" si="72"/>
        <v/>
      </c>
      <c r="M891">
        <f>SUMIFS('Corporate activity'!$H:$H,'Corporate activity'!$D:$D,Formulas!$L891,'Corporate activity'!$C:$C,Formulas!M$2)</f>
        <v>0</v>
      </c>
      <c r="N891">
        <f>SUMIFS('Corporate activity'!$H:$H,'Corporate activity'!$D:$D,Formulas!$L891,'Corporate activity'!$C:$C,Formulas!N$2)</f>
        <v>0</v>
      </c>
      <c r="O891">
        <f>SUMIFS('Corporate activity'!$H:$H,'Corporate activity'!$D:$D,Formulas!$L891,'Corporate activity'!$C:$C,Formulas!O$2)</f>
        <v>0</v>
      </c>
      <c r="P891">
        <f t="shared" si="75"/>
        <v>0</v>
      </c>
      <c r="Q891" t="str">
        <f t="shared" si="73"/>
        <v/>
      </c>
    </row>
    <row r="892" spans="3:17" x14ac:dyDescent="0.25">
      <c r="C892">
        <f>SUMIFS(Issuance!$H:$H,Issuance!$D:$D,Formulas!$B892,Issuance!$C:$C,Formulas!C$2)</f>
        <v>0</v>
      </c>
      <c r="D892">
        <f>SUMIFS(Issuance!$H:$H,Issuance!$D:$D,Formulas!$B892,Issuance!$C:$C,Formulas!D$2)</f>
        <v>0</v>
      </c>
      <c r="E892">
        <f t="shared" si="74"/>
        <v>0</v>
      </c>
      <c r="F892" s="41" t="str">
        <f t="shared" si="71"/>
        <v/>
      </c>
      <c r="I892">
        <f>SUMIFS(Buybacks!H:H,Buybacks!D:D,Formulas!H892)</f>
        <v>0</v>
      </c>
      <c r="J892" s="41" t="str">
        <f t="shared" si="72"/>
        <v/>
      </c>
      <c r="M892">
        <f>SUMIFS('Corporate activity'!$H:$H,'Corporate activity'!$D:$D,Formulas!$L892,'Corporate activity'!$C:$C,Formulas!M$2)</f>
        <v>0</v>
      </c>
      <c r="N892">
        <f>SUMIFS('Corporate activity'!$H:$H,'Corporate activity'!$D:$D,Formulas!$L892,'Corporate activity'!$C:$C,Formulas!N$2)</f>
        <v>0</v>
      </c>
      <c r="O892">
        <f>SUMIFS('Corporate activity'!$H:$H,'Corporate activity'!$D:$D,Formulas!$L892,'Corporate activity'!$C:$C,Formulas!O$2)</f>
        <v>0</v>
      </c>
      <c r="P892">
        <f t="shared" si="75"/>
        <v>0</v>
      </c>
      <c r="Q892" t="str">
        <f t="shared" si="73"/>
        <v/>
      </c>
    </row>
    <row r="893" spans="3:17" x14ac:dyDescent="0.25">
      <c r="C893">
        <f>SUMIFS(Issuance!$H:$H,Issuance!$D:$D,Formulas!$B893,Issuance!$C:$C,Formulas!C$2)</f>
        <v>0</v>
      </c>
      <c r="D893">
        <f>SUMIFS(Issuance!$H:$H,Issuance!$D:$D,Formulas!$B893,Issuance!$C:$C,Formulas!D$2)</f>
        <v>0</v>
      </c>
      <c r="E893">
        <f t="shared" si="74"/>
        <v>0</v>
      </c>
      <c r="F893" s="41" t="str">
        <f t="shared" si="71"/>
        <v/>
      </c>
      <c r="I893">
        <f>SUMIFS(Buybacks!H:H,Buybacks!D:D,Formulas!H893)</f>
        <v>0</v>
      </c>
      <c r="J893" s="41" t="str">
        <f t="shared" si="72"/>
        <v/>
      </c>
      <c r="M893">
        <f>SUMIFS('Corporate activity'!$H:$H,'Corporate activity'!$D:$D,Formulas!$L893,'Corporate activity'!$C:$C,Formulas!M$2)</f>
        <v>0</v>
      </c>
      <c r="N893">
        <f>SUMIFS('Corporate activity'!$H:$H,'Corporate activity'!$D:$D,Formulas!$L893,'Corporate activity'!$C:$C,Formulas!N$2)</f>
        <v>0</v>
      </c>
      <c r="O893">
        <f>SUMIFS('Corporate activity'!$H:$H,'Corporate activity'!$D:$D,Formulas!$L893,'Corporate activity'!$C:$C,Formulas!O$2)</f>
        <v>0</v>
      </c>
      <c r="P893">
        <f t="shared" si="75"/>
        <v>0</v>
      </c>
      <c r="Q893" t="str">
        <f t="shared" si="73"/>
        <v/>
      </c>
    </row>
    <row r="894" spans="3:17" x14ac:dyDescent="0.25">
      <c r="C894">
        <f>SUMIFS(Issuance!$H:$H,Issuance!$D:$D,Formulas!$B894,Issuance!$C:$C,Formulas!C$2)</f>
        <v>0</v>
      </c>
      <c r="D894">
        <f>SUMIFS(Issuance!$H:$H,Issuance!$D:$D,Formulas!$B894,Issuance!$C:$C,Formulas!D$2)</f>
        <v>0</v>
      </c>
      <c r="E894">
        <f t="shared" si="74"/>
        <v>0</v>
      </c>
      <c r="F894" s="41" t="str">
        <f t="shared" si="71"/>
        <v/>
      </c>
      <c r="I894">
        <f>SUMIFS(Buybacks!H:H,Buybacks!D:D,Formulas!H894)</f>
        <v>0</v>
      </c>
      <c r="J894" s="41" t="str">
        <f t="shared" si="72"/>
        <v/>
      </c>
      <c r="M894">
        <f>SUMIFS('Corporate activity'!$H:$H,'Corporate activity'!$D:$D,Formulas!$L894,'Corporate activity'!$C:$C,Formulas!M$2)</f>
        <v>0</v>
      </c>
      <c r="N894">
        <f>SUMIFS('Corporate activity'!$H:$H,'Corporate activity'!$D:$D,Formulas!$L894,'Corporate activity'!$C:$C,Formulas!N$2)</f>
        <v>0</v>
      </c>
      <c r="O894">
        <f>SUMIFS('Corporate activity'!$H:$H,'Corporate activity'!$D:$D,Formulas!$L894,'Corporate activity'!$C:$C,Formulas!O$2)</f>
        <v>0</v>
      </c>
      <c r="P894">
        <f t="shared" si="75"/>
        <v>0</v>
      </c>
      <c r="Q894" t="str">
        <f t="shared" si="73"/>
        <v/>
      </c>
    </row>
    <row r="895" spans="3:17" x14ac:dyDescent="0.25">
      <c r="C895">
        <f>SUMIFS(Issuance!$H:$H,Issuance!$D:$D,Formulas!$B895,Issuance!$C:$C,Formulas!C$2)</f>
        <v>0</v>
      </c>
      <c r="D895">
        <f>SUMIFS(Issuance!$H:$H,Issuance!$D:$D,Formulas!$B895,Issuance!$C:$C,Formulas!D$2)</f>
        <v>0</v>
      </c>
      <c r="E895">
        <f t="shared" si="74"/>
        <v>0</v>
      </c>
      <c r="F895" s="41" t="str">
        <f t="shared" si="71"/>
        <v/>
      </c>
      <c r="I895">
        <f>SUMIFS(Buybacks!H:H,Buybacks!D:D,Formulas!H895)</f>
        <v>0</v>
      </c>
      <c r="J895" s="41" t="str">
        <f t="shared" si="72"/>
        <v/>
      </c>
      <c r="M895">
        <f>SUMIFS('Corporate activity'!$H:$H,'Corporate activity'!$D:$D,Formulas!$L895,'Corporate activity'!$C:$C,Formulas!M$2)</f>
        <v>0</v>
      </c>
      <c r="N895">
        <f>SUMIFS('Corporate activity'!$H:$H,'Corporate activity'!$D:$D,Formulas!$L895,'Corporate activity'!$C:$C,Formulas!N$2)</f>
        <v>0</v>
      </c>
      <c r="O895">
        <f>SUMIFS('Corporate activity'!$H:$H,'Corporate activity'!$D:$D,Formulas!$L895,'Corporate activity'!$C:$C,Formulas!O$2)</f>
        <v>0</v>
      </c>
      <c r="P895">
        <f t="shared" si="75"/>
        <v>0</v>
      </c>
      <c r="Q895" t="str">
        <f t="shared" si="73"/>
        <v/>
      </c>
    </row>
    <row r="896" spans="3:17" x14ac:dyDescent="0.25">
      <c r="C896">
        <f>SUMIFS(Issuance!$H:$H,Issuance!$D:$D,Formulas!$B896,Issuance!$C:$C,Formulas!C$2)</f>
        <v>0</v>
      </c>
      <c r="D896">
        <f>SUMIFS(Issuance!$H:$H,Issuance!$D:$D,Formulas!$B896,Issuance!$C:$C,Formulas!D$2)</f>
        <v>0</v>
      </c>
      <c r="E896">
        <f t="shared" si="74"/>
        <v>0</v>
      </c>
      <c r="F896" s="41" t="str">
        <f t="shared" si="71"/>
        <v/>
      </c>
      <c r="I896">
        <f>SUMIFS(Buybacks!H:H,Buybacks!D:D,Formulas!H896)</f>
        <v>0</v>
      </c>
      <c r="J896" s="41" t="str">
        <f t="shared" si="72"/>
        <v/>
      </c>
      <c r="M896">
        <f>SUMIFS('Corporate activity'!$H:$H,'Corporate activity'!$D:$D,Formulas!$L896,'Corporate activity'!$C:$C,Formulas!M$2)</f>
        <v>0</v>
      </c>
      <c r="N896">
        <f>SUMIFS('Corporate activity'!$H:$H,'Corporate activity'!$D:$D,Formulas!$L896,'Corporate activity'!$C:$C,Formulas!N$2)</f>
        <v>0</v>
      </c>
      <c r="O896">
        <f>SUMIFS('Corporate activity'!$H:$H,'Corporate activity'!$D:$D,Formulas!$L896,'Corporate activity'!$C:$C,Formulas!O$2)</f>
        <v>0</v>
      </c>
      <c r="P896">
        <f t="shared" si="75"/>
        <v>0</v>
      </c>
      <c r="Q896" t="str">
        <f t="shared" si="73"/>
        <v/>
      </c>
    </row>
    <row r="897" spans="3:17" x14ac:dyDescent="0.25">
      <c r="C897">
        <f>SUMIFS(Issuance!$H:$H,Issuance!$D:$D,Formulas!$B897,Issuance!$C:$C,Formulas!C$2)</f>
        <v>0</v>
      </c>
      <c r="D897">
        <f>SUMIFS(Issuance!$H:$H,Issuance!$D:$D,Formulas!$B897,Issuance!$C:$C,Formulas!D$2)</f>
        <v>0</v>
      </c>
      <c r="E897">
        <f t="shared" si="74"/>
        <v>0</v>
      </c>
      <c r="F897" s="41" t="str">
        <f t="shared" si="71"/>
        <v/>
      </c>
      <c r="I897">
        <f>SUMIFS(Buybacks!H:H,Buybacks!D:D,Formulas!H897)</f>
        <v>0</v>
      </c>
      <c r="J897" s="41" t="str">
        <f t="shared" si="72"/>
        <v/>
      </c>
      <c r="M897">
        <f>SUMIFS('Corporate activity'!$H:$H,'Corporate activity'!$D:$D,Formulas!$L897,'Corporate activity'!$C:$C,Formulas!M$2)</f>
        <v>0</v>
      </c>
      <c r="N897">
        <f>SUMIFS('Corporate activity'!$H:$H,'Corporate activity'!$D:$D,Formulas!$L897,'Corporate activity'!$C:$C,Formulas!N$2)</f>
        <v>0</v>
      </c>
      <c r="O897">
        <f>SUMIFS('Corporate activity'!$H:$H,'Corporate activity'!$D:$D,Formulas!$L897,'Corporate activity'!$C:$C,Formulas!O$2)</f>
        <v>0</v>
      </c>
      <c r="P897">
        <f t="shared" si="75"/>
        <v>0</v>
      </c>
      <c r="Q897" t="str">
        <f t="shared" si="73"/>
        <v/>
      </c>
    </row>
    <row r="898" spans="3:17" x14ac:dyDescent="0.25">
      <c r="C898">
        <f>SUMIFS(Issuance!$H:$H,Issuance!$D:$D,Formulas!$B898,Issuance!$C:$C,Formulas!C$2)</f>
        <v>0</v>
      </c>
      <c r="D898">
        <f>SUMIFS(Issuance!$H:$H,Issuance!$D:$D,Formulas!$B898,Issuance!$C:$C,Formulas!D$2)</f>
        <v>0</v>
      </c>
      <c r="E898">
        <f t="shared" si="74"/>
        <v>0</v>
      </c>
      <c r="F898" s="41" t="str">
        <f t="shared" si="71"/>
        <v/>
      </c>
      <c r="I898">
        <f>SUMIFS(Buybacks!H:H,Buybacks!D:D,Formulas!H898)</f>
        <v>0</v>
      </c>
      <c r="J898" s="41" t="str">
        <f t="shared" si="72"/>
        <v/>
      </c>
      <c r="M898">
        <f>SUMIFS('Corporate activity'!$H:$H,'Corporate activity'!$D:$D,Formulas!$L898,'Corporate activity'!$C:$C,Formulas!M$2)</f>
        <v>0</v>
      </c>
      <c r="N898">
        <f>SUMIFS('Corporate activity'!$H:$H,'Corporate activity'!$D:$D,Formulas!$L898,'Corporate activity'!$C:$C,Formulas!N$2)</f>
        <v>0</v>
      </c>
      <c r="O898">
        <f>SUMIFS('Corporate activity'!$H:$H,'Corporate activity'!$D:$D,Formulas!$L898,'Corporate activity'!$C:$C,Formulas!O$2)</f>
        <v>0</v>
      </c>
      <c r="P898">
        <f t="shared" si="75"/>
        <v>0</v>
      </c>
      <c r="Q898" t="str">
        <f t="shared" si="73"/>
        <v/>
      </c>
    </row>
    <row r="899" spans="3:17" x14ac:dyDescent="0.25">
      <c r="C899">
        <f>SUMIFS(Issuance!$H:$H,Issuance!$D:$D,Formulas!$B899,Issuance!$C:$C,Formulas!C$2)</f>
        <v>0</v>
      </c>
      <c r="D899">
        <f>SUMIFS(Issuance!$H:$H,Issuance!$D:$D,Formulas!$B899,Issuance!$C:$C,Formulas!D$2)</f>
        <v>0</v>
      </c>
      <c r="E899">
        <f t="shared" si="74"/>
        <v>0</v>
      </c>
      <c r="F899" s="41" t="str">
        <f t="shared" si="71"/>
        <v/>
      </c>
      <c r="I899">
        <f>SUMIFS(Buybacks!H:H,Buybacks!D:D,Formulas!H899)</f>
        <v>0</v>
      </c>
      <c r="J899" s="41" t="str">
        <f t="shared" si="72"/>
        <v/>
      </c>
      <c r="M899">
        <f>SUMIFS('Corporate activity'!$H:$H,'Corporate activity'!$D:$D,Formulas!$L899,'Corporate activity'!$C:$C,Formulas!M$2)</f>
        <v>0</v>
      </c>
      <c r="N899">
        <f>SUMIFS('Corporate activity'!$H:$H,'Corporate activity'!$D:$D,Formulas!$L899,'Corporate activity'!$C:$C,Formulas!N$2)</f>
        <v>0</v>
      </c>
      <c r="O899">
        <f>SUMIFS('Corporate activity'!$H:$H,'Corporate activity'!$D:$D,Formulas!$L899,'Corporate activity'!$C:$C,Formulas!O$2)</f>
        <v>0</v>
      </c>
      <c r="P899">
        <f t="shared" si="75"/>
        <v>0</v>
      </c>
      <c r="Q899" t="str">
        <f t="shared" si="73"/>
        <v/>
      </c>
    </row>
    <row r="900" spans="3:17" x14ac:dyDescent="0.25">
      <c r="C900">
        <f>SUMIFS(Issuance!$H:$H,Issuance!$D:$D,Formulas!$B900,Issuance!$C:$C,Formulas!C$2)</f>
        <v>0</v>
      </c>
      <c r="D900">
        <f>SUMIFS(Issuance!$H:$H,Issuance!$D:$D,Formulas!$B900,Issuance!$C:$C,Formulas!D$2)</f>
        <v>0</v>
      </c>
      <c r="E900">
        <f t="shared" si="74"/>
        <v>0</v>
      </c>
      <c r="F900" s="41" t="str">
        <f t="shared" ref="F900:F963" si="76">IF(OR(B900="",B900=0,E900=0),"",IF(COUNTIFS($E$3:$E$500,"&gt;"&amp;E900,$E$3:$E$500,"&lt;&gt;0")+1&lt;=20,COUNTIFS($E$3:$E$500,"&gt;"&amp;E900,$E$3:$E$500,"&lt;&gt;0")+1,""))</f>
        <v/>
      </c>
      <c r="I900">
        <f>SUMIFS(Buybacks!H:H,Buybacks!D:D,Formulas!H900)</f>
        <v>0</v>
      </c>
      <c r="J900" s="41" t="str">
        <f t="shared" ref="J900:J963" si="77">IF(OR(H900="",H900=0,I900=0),"",IF(COUNTIFS($I$3:$I$500,"&lt;"&amp;I900,$I$3:$I$500,"&lt;&gt;0")+1&lt;=20,COUNTIFS($I$3:$I$500,"&lt;"&amp;I900,$I$3:$I$500,"&lt;&gt;0")+1,""))</f>
        <v/>
      </c>
      <c r="M900">
        <f>SUMIFS('Corporate activity'!$H:$H,'Corporate activity'!$D:$D,Formulas!$L900,'Corporate activity'!$C:$C,Formulas!M$2)</f>
        <v>0</v>
      </c>
      <c r="N900">
        <f>SUMIFS('Corporate activity'!$H:$H,'Corporate activity'!$D:$D,Formulas!$L900,'Corporate activity'!$C:$C,Formulas!N$2)</f>
        <v>0</v>
      </c>
      <c r="O900">
        <f>SUMIFS('Corporate activity'!$H:$H,'Corporate activity'!$D:$D,Formulas!$L900,'Corporate activity'!$C:$C,Formulas!O$2)</f>
        <v>0</v>
      </c>
      <c r="P900">
        <f t="shared" si="75"/>
        <v>0</v>
      </c>
      <c r="Q900" t="str">
        <f t="shared" si="73"/>
        <v/>
      </c>
    </row>
    <row r="901" spans="3:17" x14ac:dyDescent="0.25">
      <c r="C901">
        <f>SUMIFS(Issuance!$H:$H,Issuance!$D:$D,Formulas!$B901,Issuance!$C:$C,Formulas!C$2)</f>
        <v>0</v>
      </c>
      <c r="D901">
        <f>SUMIFS(Issuance!$H:$H,Issuance!$D:$D,Formulas!$B901,Issuance!$C:$C,Formulas!D$2)</f>
        <v>0</v>
      </c>
      <c r="E901">
        <f t="shared" si="74"/>
        <v>0</v>
      </c>
      <c r="F901" s="41" t="str">
        <f t="shared" si="76"/>
        <v/>
      </c>
      <c r="I901">
        <f>SUMIFS(Buybacks!H:H,Buybacks!D:D,Formulas!H901)</f>
        <v>0</v>
      </c>
      <c r="J901" s="41" t="str">
        <f t="shared" si="77"/>
        <v/>
      </c>
      <c r="M901">
        <f>SUMIFS('Corporate activity'!$H:$H,'Corporate activity'!$D:$D,Formulas!$L901,'Corporate activity'!$C:$C,Formulas!M$2)</f>
        <v>0</v>
      </c>
      <c r="N901">
        <f>SUMIFS('Corporate activity'!$H:$H,'Corporate activity'!$D:$D,Formulas!$L901,'Corporate activity'!$C:$C,Formulas!N$2)</f>
        <v>0</v>
      </c>
      <c r="O901">
        <f>SUMIFS('Corporate activity'!$H:$H,'Corporate activity'!$D:$D,Formulas!$L901,'Corporate activity'!$C:$C,Formulas!O$2)</f>
        <v>0</v>
      </c>
      <c r="P901">
        <f t="shared" si="75"/>
        <v>0</v>
      </c>
      <c r="Q901" t="str">
        <f t="shared" si="73"/>
        <v/>
      </c>
    </row>
    <row r="902" spans="3:17" x14ac:dyDescent="0.25">
      <c r="C902">
        <f>SUMIFS(Issuance!$H:$H,Issuance!$D:$D,Formulas!$B902,Issuance!$C:$C,Formulas!C$2)</f>
        <v>0</v>
      </c>
      <c r="D902">
        <f>SUMIFS(Issuance!$H:$H,Issuance!$D:$D,Formulas!$B902,Issuance!$C:$C,Formulas!D$2)</f>
        <v>0</v>
      </c>
      <c r="E902">
        <f t="shared" si="74"/>
        <v>0</v>
      </c>
      <c r="F902" s="41" t="str">
        <f t="shared" si="76"/>
        <v/>
      </c>
      <c r="I902">
        <f>SUMIFS(Buybacks!H:H,Buybacks!D:D,Formulas!H902)</f>
        <v>0</v>
      </c>
      <c r="J902" s="41" t="str">
        <f t="shared" si="77"/>
        <v/>
      </c>
      <c r="M902">
        <f>SUMIFS('Corporate activity'!$H:$H,'Corporate activity'!$D:$D,Formulas!$L902,'Corporate activity'!$C:$C,Formulas!M$2)</f>
        <v>0</v>
      </c>
      <c r="N902">
        <f>SUMIFS('Corporate activity'!$H:$H,'Corporate activity'!$D:$D,Formulas!$L902,'Corporate activity'!$C:$C,Formulas!N$2)</f>
        <v>0</v>
      </c>
      <c r="O902">
        <f>SUMIFS('Corporate activity'!$H:$H,'Corporate activity'!$D:$D,Formulas!$L902,'Corporate activity'!$C:$C,Formulas!O$2)</f>
        <v>0</v>
      </c>
      <c r="P902">
        <f t="shared" si="75"/>
        <v>0</v>
      </c>
      <c r="Q902" t="str">
        <f t="shared" si="73"/>
        <v/>
      </c>
    </row>
    <row r="903" spans="3:17" x14ac:dyDescent="0.25">
      <c r="C903">
        <f>SUMIFS(Issuance!$H:$H,Issuance!$D:$D,Formulas!$B903,Issuance!$C:$C,Formulas!C$2)</f>
        <v>0</v>
      </c>
      <c r="D903">
        <f>SUMIFS(Issuance!$H:$H,Issuance!$D:$D,Formulas!$B903,Issuance!$C:$C,Formulas!D$2)</f>
        <v>0</v>
      </c>
      <c r="E903">
        <f t="shared" si="74"/>
        <v>0</v>
      </c>
      <c r="F903" s="41" t="str">
        <f t="shared" si="76"/>
        <v/>
      </c>
      <c r="I903">
        <f>SUMIFS(Buybacks!H:H,Buybacks!D:D,Formulas!H903)</f>
        <v>0</v>
      </c>
      <c r="J903" s="41" t="str">
        <f t="shared" si="77"/>
        <v/>
      </c>
      <c r="M903">
        <f>SUMIFS('Corporate activity'!$H:$H,'Corporate activity'!$D:$D,Formulas!$L903,'Corporate activity'!$C:$C,Formulas!M$2)</f>
        <v>0</v>
      </c>
      <c r="N903">
        <f>SUMIFS('Corporate activity'!$H:$H,'Corporate activity'!$D:$D,Formulas!$L903,'Corporate activity'!$C:$C,Formulas!N$2)</f>
        <v>0</v>
      </c>
      <c r="O903">
        <f>SUMIFS('Corporate activity'!$H:$H,'Corporate activity'!$D:$D,Formulas!$L903,'Corporate activity'!$C:$C,Formulas!O$2)</f>
        <v>0</v>
      </c>
      <c r="P903">
        <f t="shared" si="75"/>
        <v>0</v>
      </c>
      <c r="Q903" t="str">
        <f t="shared" si="73"/>
        <v/>
      </c>
    </row>
    <row r="904" spans="3:17" x14ac:dyDescent="0.25">
      <c r="C904">
        <f>SUMIFS(Issuance!$H:$H,Issuance!$D:$D,Formulas!$B904,Issuance!$C:$C,Formulas!C$2)</f>
        <v>0</v>
      </c>
      <c r="D904">
        <f>SUMIFS(Issuance!$H:$H,Issuance!$D:$D,Formulas!$B904,Issuance!$C:$C,Formulas!D$2)</f>
        <v>0</v>
      </c>
      <c r="E904">
        <f t="shared" si="74"/>
        <v>0</v>
      </c>
      <c r="F904" s="41" t="str">
        <f t="shared" si="76"/>
        <v/>
      </c>
      <c r="I904">
        <f>SUMIFS(Buybacks!H:H,Buybacks!D:D,Formulas!H904)</f>
        <v>0</v>
      </c>
      <c r="J904" s="41" t="str">
        <f t="shared" si="77"/>
        <v/>
      </c>
      <c r="M904">
        <f>SUMIFS('Corporate activity'!$H:$H,'Corporate activity'!$D:$D,Formulas!$L904,'Corporate activity'!$C:$C,Formulas!M$2)</f>
        <v>0</v>
      </c>
      <c r="N904">
        <f>SUMIFS('Corporate activity'!$H:$H,'Corporate activity'!$D:$D,Formulas!$L904,'Corporate activity'!$C:$C,Formulas!N$2)</f>
        <v>0</v>
      </c>
      <c r="O904">
        <f>SUMIFS('Corporate activity'!$H:$H,'Corporate activity'!$D:$D,Formulas!$L904,'Corporate activity'!$C:$C,Formulas!O$2)</f>
        <v>0</v>
      </c>
      <c r="P904">
        <f t="shared" si="75"/>
        <v>0</v>
      </c>
      <c r="Q904" t="str">
        <f t="shared" si="73"/>
        <v/>
      </c>
    </row>
    <row r="905" spans="3:17" x14ac:dyDescent="0.25">
      <c r="C905">
        <f>SUMIFS(Issuance!$H:$H,Issuance!$D:$D,Formulas!$B905,Issuance!$C:$C,Formulas!C$2)</f>
        <v>0</v>
      </c>
      <c r="D905">
        <f>SUMIFS(Issuance!$H:$H,Issuance!$D:$D,Formulas!$B905,Issuance!$C:$C,Formulas!D$2)</f>
        <v>0</v>
      </c>
      <c r="E905">
        <f t="shared" si="74"/>
        <v>0</v>
      </c>
      <c r="F905" s="41" t="str">
        <f t="shared" si="76"/>
        <v/>
      </c>
      <c r="I905">
        <f>SUMIFS(Buybacks!H:H,Buybacks!D:D,Formulas!H905)</f>
        <v>0</v>
      </c>
      <c r="J905" s="41" t="str">
        <f t="shared" si="77"/>
        <v/>
      </c>
      <c r="M905">
        <f>SUMIFS('Corporate activity'!$H:$H,'Corporate activity'!$D:$D,Formulas!$L905,'Corporate activity'!$C:$C,Formulas!M$2)</f>
        <v>0</v>
      </c>
      <c r="N905">
        <f>SUMIFS('Corporate activity'!$H:$H,'Corporate activity'!$D:$D,Formulas!$L905,'Corporate activity'!$C:$C,Formulas!N$2)</f>
        <v>0</v>
      </c>
      <c r="O905">
        <f>SUMIFS('Corporate activity'!$H:$H,'Corporate activity'!$D:$D,Formulas!$L905,'Corporate activity'!$C:$C,Formulas!O$2)</f>
        <v>0</v>
      </c>
      <c r="P905">
        <f t="shared" si="75"/>
        <v>0</v>
      </c>
      <c r="Q905" t="str">
        <f t="shared" si="73"/>
        <v/>
      </c>
    </row>
    <row r="906" spans="3:17" x14ac:dyDescent="0.25">
      <c r="C906">
        <f>SUMIFS(Issuance!$H:$H,Issuance!$D:$D,Formulas!$B906,Issuance!$C:$C,Formulas!C$2)</f>
        <v>0</v>
      </c>
      <c r="D906">
        <f>SUMIFS(Issuance!$H:$H,Issuance!$D:$D,Formulas!$B906,Issuance!$C:$C,Formulas!D$2)</f>
        <v>0</v>
      </c>
      <c r="E906">
        <f t="shared" si="74"/>
        <v>0</v>
      </c>
      <c r="F906" s="41" t="str">
        <f t="shared" si="76"/>
        <v/>
      </c>
      <c r="I906">
        <f>SUMIFS(Buybacks!H:H,Buybacks!D:D,Formulas!H906)</f>
        <v>0</v>
      </c>
      <c r="J906" s="41" t="str">
        <f t="shared" si="77"/>
        <v/>
      </c>
      <c r="M906">
        <f>SUMIFS('Corporate activity'!$H:$H,'Corporate activity'!$D:$D,Formulas!$L906,'Corporate activity'!$C:$C,Formulas!M$2)</f>
        <v>0</v>
      </c>
      <c r="N906">
        <f>SUMIFS('Corporate activity'!$H:$H,'Corporate activity'!$D:$D,Formulas!$L906,'Corporate activity'!$C:$C,Formulas!N$2)</f>
        <v>0</v>
      </c>
      <c r="O906">
        <f>SUMIFS('Corporate activity'!$H:$H,'Corporate activity'!$D:$D,Formulas!$L906,'Corporate activity'!$C:$C,Formulas!O$2)</f>
        <v>0</v>
      </c>
      <c r="P906">
        <f t="shared" si="75"/>
        <v>0</v>
      </c>
      <c r="Q906" t="str">
        <f t="shared" si="73"/>
        <v/>
      </c>
    </row>
    <row r="907" spans="3:17" x14ac:dyDescent="0.25">
      <c r="C907">
        <f>SUMIFS(Issuance!$H:$H,Issuance!$D:$D,Formulas!$B907,Issuance!$C:$C,Formulas!C$2)</f>
        <v>0</v>
      </c>
      <c r="D907">
        <f>SUMIFS(Issuance!$H:$H,Issuance!$D:$D,Formulas!$B907,Issuance!$C:$C,Formulas!D$2)</f>
        <v>0</v>
      </c>
      <c r="E907">
        <f t="shared" si="74"/>
        <v>0</v>
      </c>
      <c r="F907" s="41" t="str">
        <f t="shared" si="76"/>
        <v/>
      </c>
      <c r="I907">
        <f>SUMIFS(Buybacks!H:H,Buybacks!D:D,Formulas!H907)</f>
        <v>0</v>
      </c>
      <c r="J907" s="41" t="str">
        <f t="shared" si="77"/>
        <v/>
      </c>
      <c r="M907">
        <f>SUMIFS('Corporate activity'!$H:$H,'Corporate activity'!$D:$D,Formulas!$L907,'Corporate activity'!$C:$C,Formulas!M$2)</f>
        <v>0</v>
      </c>
      <c r="N907">
        <f>SUMIFS('Corporate activity'!$H:$H,'Corporate activity'!$D:$D,Formulas!$L907,'Corporate activity'!$C:$C,Formulas!N$2)</f>
        <v>0</v>
      </c>
      <c r="O907">
        <f>SUMIFS('Corporate activity'!$H:$H,'Corporate activity'!$D:$D,Formulas!$L907,'Corporate activity'!$C:$C,Formulas!O$2)</f>
        <v>0</v>
      </c>
      <c r="P907">
        <f t="shared" si="75"/>
        <v>0</v>
      </c>
      <c r="Q907" t="str">
        <f t="shared" si="73"/>
        <v/>
      </c>
    </row>
    <row r="908" spans="3:17" x14ac:dyDescent="0.25">
      <c r="C908">
        <f>SUMIFS(Issuance!$H:$H,Issuance!$D:$D,Formulas!$B908,Issuance!$C:$C,Formulas!C$2)</f>
        <v>0</v>
      </c>
      <c r="D908">
        <f>SUMIFS(Issuance!$H:$H,Issuance!$D:$D,Formulas!$B908,Issuance!$C:$C,Formulas!D$2)</f>
        <v>0</v>
      </c>
      <c r="E908">
        <f t="shared" si="74"/>
        <v>0</v>
      </c>
      <c r="F908" s="41" t="str">
        <f t="shared" si="76"/>
        <v/>
      </c>
      <c r="I908">
        <f>SUMIFS(Buybacks!H:H,Buybacks!D:D,Formulas!H908)</f>
        <v>0</v>
      </c>
      <c r="J908" s="41" t="str">
        <f t="shared" si="77"/>
        <v/>
      </c>
      <c r="M908">
        <f>SUMIFS('Corporate activity'!$H:$H,'Corporate activity'!$D:$D,Formulas!$L908,'Corporate activity'!$C:$C,Formulas!M$2)</f>
        <v>0</v>
      </c>
      <c r="N908">
        <f>SUMIFS('Corporate activity'!$H:$H,'Corporate activity'!$D:$D,Formulas!$L908,'Corporate activity'!$C:$C,Formulas!N$2)</f>
        <v>0</v>
      </c>
      <c r="O908">
        <f>SUMIFS('Corporate activity'!$H:$H,'Corporate activity'!$D:$D,Formulas!$L908,'Corporate activity'!$C:$C,Formulas!O$2)</f>
        <v>0</v>
      </c>
      <c r="P908">
        <f t="shared" si="75"/>
        <v>0</v>
      </c>
      <c r="Q908" t="str">
        <f t="shared" si="73"/>
        <v/>
      </c>
    </row>
    <row r="909" spans="3:17" x14ac:dyDescent="0.25">
      <c r="C909">
        <f>SUMIFS(Issuance!$H:$H,Issuance!$D:$D,Formulas!$B909,Issuance!$C:$C,Formulas!C$2)</f>
        <v>0</v>
      </c>
      <c r="D909">
        <f>SUMIFS(Issuance!$H:$H,Issuance!$D:$D,Formulas!$B909,Issuance!$C:$C,Formulas!D$2)</f>
        <v>0</v>
      </c>
      <c r="E909">
        <f t="shared" si="74"/>
        <v>0</v>
      </c>
      <c r="F909" s="41" t="str">
        <f t="shared" si="76"/>
        <v/>
      </c>
      <c r="I909">
        <f>SUMIFS(Buybacks!H:H,Buybacks!D:D,Formulas!H909)</f>
        <v>0</v>
      </c>
      <c r="J909" s="41" t="str">
        <f t="shared" si="77"/>
        <v/>
      </c>
      <c r="M909">
        <f>SUMIFS('Corporate activity'!$H:$H,'Corporate activity'!$D:$D,Formulas!$L909,'Corporate activity'!$C:$C,Formulas!M$2)</f>
        <v>0</v>
      </c>
      <c r="N909">
        <f>SUMIFS('Corporate activity'!$H:$H,'Corporate activity'!$D:$D,Formulas!$L909,'Corporate activity'!$C:$C,Formulas!N$2)</f>
        <v>0</v>
      </c>
      <c r="O909">
        <f>SUMIFS('Corporate activity'!$H:$H,'Corporate activity'!$D:$D,Formulas!$L909,'Corporate activity'!$C:$C,Formulas!O$2)</f>
        <v>0</v>
      </c>
      <c r="P909">
        <f t="shared" si="75"/>
        <v>0</v>
      </c>
      <c r="Q909" t="str">
        <f t="shared" si="73"/>
        <v/>
      </c>
    </row>
    <row r="910" spans="3:17" x14ac:dyDescent="0.25">
      <c r="C910">
        <f>SUMIFS(Issuance!$H:$H,Issuance!$D:$D,Formulas!$B910,Issuance!$C:$C,Formulas!C$2)</f>
        <v>0</v>
      </c>
      <c r="D910">
        <f>SUMIFS(Issuance!$H:$H,Issuance!$D:$D,Formulas!$B910,Issuance!$C:$C,Formulas!D$2)</f>
        <v>0</v>
      </c>
      <c r="E910">
        <f t="shared" si="74"/>
        <v>0</v>
      </c>
      <c r="F910" s="41" t="str">
        <f t="shared" si="76"/>
        <v/>
      </c>
      <c r="I910">
        <f>SUMIFS(Buybacks!H:H,Buybacks!D:D,Formulas!H910)</f>
        <v>0</v>
      </c>
      <c r="J910" s="41" t="str">
        <f t="shared" si="77"/>
        <v/>
      </c>
      <c r="M910">
        <f>SUMIFS('Corporate activity'!$H:$H,'Corporate activity'!$D:$D,Formulas!$L910,'Corporate activity'!$C:$C,Formulas!M$2)</f>
        <v>0</v>
      </c>
      <c r="N910">
        <f>SUMIFS('Corporate activity'!$H:$H,'Corporate activity'!$D:$D,Formulas!$L910,'Corporate activity'!$C:$C,Formulas!N$2)</f>
        <v>0</v>
      </c>
      <c r="O910">
        <f>SUMIFS('Corporate activity'!$H:$H,'Corporate activity'!$D:$D,Formulas!$L910,'Corporate activity'!$C:$C,Formulas!O$2)</f>
        <v>0</v>
      </c>
      <c r="P910">
        <f t="shared" si="75"/>
        <v>0</v>
      </c>
      <c r="Q910" t="str">
        <f t="shared" si="73"/>
        <v/>
      </c>
    </row>
    <row r="911" spans="3:17" x14ac:dyDescent="0.25">
      <c r="C911">
        <f>SUMIFS(Issuance!$H:$H,Issuance!$D:$D,Formulas!$B911,Issuance!$C:$C,Formulas!C$2)</f>
        <v>0</v>
      </c>
      <c r="D911">
        <f>SUMIFS(Issuance!$H:$H,Issuance!$D:$D,Formulas!$B911,Issuance!$C:$C,Formulas!D$2)</f>
        <v>0</v>
      </c>
      <c r="E911">
        <f t="shared" si="74"/>
        <v>0</v>
      </c>
      <c r="F911" s="41" t="str">
        <f t="shared" si="76"/>
        <v/>
      </c>
      <c r="I911">
        <f>SUMIFS(Buybacks!H:H,Buybacks!D:D,Formulas!H911)</f>
        <v>0</v>
      </c>
      <c r="J911" s="41" t="str">
        <f t="shared" si="77"/>
        <v/>
      </c>
      <c r="M911">
        <f>SUMIFS('Corporate activity'!$H:$H,'Corporate activity'!$D:$D,Formulas!$L911,'Corporate activity'!$C:$C,Formulas!M$2)</f>
        <v>0</v>
      </c>
      <c r="N911">
        <f>SUMIFS('Corporate activity'!$H:$H,'Corporate activity'!$D:$D,Formulas!$L911,'Corporate activity'!$C:$C,Formulas!N$2)</f>
        <v>0</v>
      </c>
      <c r="O911">
        <f>SUMIFS('Corporate activity'!$H:$H,'Corporate activity'!$D:$D,Formulas!$L911,'Corporate activity'!$C:$C,Formulas!O$2)</f>
        <v>0</v>
      </c>
      <c r="P911">
        <f t="shared" si="75"/>
        <v>0</v>
      </c>
      <c r="Q911" t="str">
        <f t="shared" si="73"/>
        <v/>
      </c>
    </row>
    <row r="912" spans="3:17" x14ac:dyDescent="0.25">
      <c r="C912">
        <f>SUMIFS(Issuance!$H:$H,Issuance!$D:$D,Formulas!$B912,Issuance!$C:$C,Formulas!C$2)</f>
        <v>0</v>
      </c>
      <c r="D912">
        <f>SUMIFS(Issuance!$H:$H,Issuance!$D:$D,Formulas!$B912,Issuance!$C:$C,Formulas!D$2)</f>
        <v>0</v>
      </c>
      <c r="E912">
        <f t="shared" si="74"/>
        <v>0</v>
      </c>
      <c r="F912" s="41" t="str">
        <f t="shared" si="76"/>
        <v/>
      </c>
      <c r="I912">
        <f>SUMIFS(Buybacks!H:H,Buybacks!D:D,Formulas!H912)</f>
        <v>0</v>
      </c>
      <c r="J912" s="41" t="str">
        <f t="shared" si="77"/>
        <v/>
      </c>
      <c r="M912">
        <f>SUMIFS('Corporate activity'!$H:$H,'Corporate activity'!$D:$D,Formulas!$L912,'Corporate activity'!$C:$C,Formulas!M$2)</f>
        <v>0</v>
      </c>
      <c r="N912">
        <f>SUMIFS('Corporate activity'!$H:$H,'Corporate activity'!$D:$D,Formulas!$L912,'Corporate activity'!$C:$C,Formulas!N$2)</f>
        <v>0</v>
      </c>
      <c r="O912">
        <f>SUMIFS('Corporate activity'!$H:$H,'Corporate activity'!$D:$D,Formulas!$L912,'Corporate activity'!$C:$C,Formulas!O$2)</f>
        <v>0</v>
      </c>
      <c r="P912">
        <f t="shared" si="75"/>
        <v>0</v>
      </c>
      <c r="Q912" t="str">
        <f t="shared" si="73"/>
        <v/>
      </c>
    </row>
    <row r="913" spans="3:17" x14ac:dyDescent="0.25">
      <c r="C913">
        <f>SUMIFS(Issuance!$H:$H,Issuance!$D:$D,Formulas!$B913,Issuance!$C:$C,Formulas!C$2)</f>
        <v>0</v>
      </c>
      <c r="D913">
        <f>SUMIFS(Issuance!$H:$H,Issuance!$D:$D,Formulas!$B913,Issuance!$C:$C,Formulas!D$2)</f>
        <v>0</v>
      </c>
      <c r="E913">
        <f t="shared" si="74"/>
        <v>0</v>
      </c>
      <c r="F913" s="41" t="str">
        <f t="shared" si="76"/>
        <v/>
      </c>
      <c r="I913">
        <f>SUMIFS(Buybacks!H:H,Buybacks!D:D,Formulas!H913)</f>
        <v>0</v>
      </c>
      <c r="J913" s="41" t="str">
        <f t="shared" si="77"/>
        <v/>
      </c>
      <c r="M913">
        <f>SUMIFS('Corporate activity'!$H:$H,'Corporate activity'!$D:$D,Formulas!$L913,'Corporate activity'!$C:$C,Formulas!M$2)</f>
        <v>0</v>
      </c>
      <c r="N913">
        <f>SUMIFS('Corporate activity'!$H:$H,'Corporate activity'!$D:$D,Formulas!$L913,'Corporate activity'!$C:$C,Formulas!N$2)</f>
        <v>0</v>
      </c>
      <c r="O913">
        <f>SUMIFS('Corporate activity'!$H:$H,'Corporate activity'!$D:$D,Formulas!$L913,'Corporate activity'!$C:$C,Formulas!O$2)</f>
        <v>0</v>
      </c>
      <c r="P913">
        <f t="shared" si="75"/>
        <v>0</v>
      </c>
      <c r="Q913" t="str">
        <f t="shared" si="73"/>
        <v/>
      </c>
    </row>
    <row r="914" spans="3:17" x14ac:dyDescent="0.25">
      <c r="C914">
        <f>SUMIFS(Issuance!$H:$H,Issuance!$D:$D,Formulas!$B914,Issuance!$C:$C,Formulas!C$2)</f>
        <v>0</v>
      </c>
      <c r="D914">
        <f>SUMIFS(Issuance!$H:$H,Issuance!$D:$D,Formulas!$B914,Issuance!$C:$C,Formulas!D$2)</f>
        <v>0</v>
      </c>
      <c r="E914">
        <f t="shared" si="74"/>
        <v>0</v>
      </c>
      <c r="F914" s="41" t="str">
        <f t="shared" si="76"/>
        <v/>
      </c>
      <c r="I914">
        <f>SUMIFS(Buybacks!H:H,Buybacks!D:D,Formulas!H914)</f>
        <v>0</v>
      </c>
      <c r="J914" s="41" t="str">
        <f t="shared" si="77"/>
        <v/>
      </c>
      <c r="M914">
        <f>SUMIFS('Corporate activity'!$H:$H,'Corporate activity'!$D:$D,Formulas!$L914,'Corporate activity'!$C:$C,Formulas!M$2)</f>
        <v>0</v>
      </c>
      <c r="N914">
        <f>SUMIFS('Corporate activity'!$H:$H,'Corporate activity'!$D:$D,Formulas!$L914,'Corporate activity'!$C:$C,Formulas!N$2)</f>
        <v>0</v>
      </c>
      <c r="O914">
        <f>SUMIFS('Corporate activity'!$H:$H,'Corporate activity'!$D:$D,Formulas!$L914,'Corporate activity'!$C:$C,Formulas!O$2)</f>
        <v>0</v>
      </c>
      <c r="P914">
        <f t="shared" si="75"/>
        <v>0</v>
      </c>
      <c r="Q914" t="str">
        <f t="shared" si="73"/>
        <v/>
      </c>
    </row>
    <row r="915" spans="3:17" x14ac:dyDescent="0.25">
      <c r="C915">
        <f>SUMIFS(Issuance!$H:$H,Issuance!$D:$D,Formulas!$B915,Issuance!$C:$C,Formulas!C$2)</f>
        <v>0</v>
      </c>
      <c r="D915">
        <f>SUMIFS(Issuance!$H:$H,Issuance!$D:$D,Formulas!$B915,Issuance!$C:$C,Formulas!D$2)</f>
        <v>0</v>
      </c>
      <c r="E915">
        <f t="shared" si="74"/>
        <v>0</v>
      </c>
      <c r="F915" s="41" t="str">
        <f t="shared" si="76"/>
        <v/>
      </c>
      <c r="I915">
        <f>SUMIFS(Buybacks!H:H,Buybacks!D:D,Formulas!H915)</f>
        <v>0</v>
      </c>
      <c r="J915" s="41" t="str">
        <f t="shared" si="77"/>
        <v/>
      </c>
      <c r="M915">
        <f>SUMIFS('Corporate activity'!$H:$H,'Corporate activity'!$D:$D,Formulas!$L915,'Corporate activity'!$C:$C,Formulas!M$2)</f>
        <v>0</v>
      </c>
      <c r="N915">
        <f>SUMIFS('Corporate activity'!$H:$H,'Corporate activity'!$D:$D,Formulas!$L915,'Corporate activity'!$C:$C,Formulas!N$2)</f>
        <v>0</v>
      </c>
      <c r="O915">
        <f>SUMIFS('Corporate activity'!$H:$H,'Corporate activity'!$D:$D,Formulas!$L915,'Corporate activity'!$C:$C,Formulas!O$2)</f>
        <v>0</v>
      </c>
      <c r="P915">
        <f t="shared" si="75"/>
        <v>0</v>
      </c>
      <c r="Q915" t="str">
        <f t="shared" si="73"/>
        <v/>
      </c>
    </row>
    <row r="916" spans="3:17" x14ac:dyDescent="0.25">
      <c r="C916">
        <f>SUMIFS(Issuance!$H:$H,Issuance!$D:$D,Formulas!$B916,Issuance!$C:$C,Formulas!C$2)</f>
        <v>0</v>
      </c>
      <c r="D916">
        <f>SUMIFS(Issuance!$H:$H,Issuance!$D:$D,Formulas!$B916,Issuance!$C:$C,Formulas!D$2)</f>
        <v>0</v>
      </c>
      <c r="E916">
        <f t="shared" si="74"/>
        <v>0</v>
      </c>
      <c r="F916" s="41" t="str">
        <f t="shared" si="76"/>
        <v/>
      </c>
      <c r="I916">
        <f>SUMIFS(Buybacks!H:H,Buybacks!D:D,Formulas!H916)</f>
        <v>0</v>
      </c>
      <c r="J916" s="41" t="str">
        <f t="shared" si="77"/>
        <v/>
      </c>
      <c r="M916">
        <f>SUMIFS('Corporate activity'!$H:$H,'Corporate activity'!$D:$D,Formulas!$L916,'Corporate activity'!$C:$C,Formulas!M$2)</f>
        <v>0</v>
      </c>
      <c r="N916">
        <f>SUMIFS('Corporate activity'!$H:$H,'Corporate activity'!$D:$D,Formulas!$L916,'Corporate activity'!$C:$C,Formulas!N$2)</f>
        <v>0</v>
      </c>
      <c r="O916">
        <f>SUMIFS('Corporate activity'!$H:$H,'Corporate activity'!$D:$D,Formulas!$L916,'Corporate activity'!$C:$C,Formulas!O$2)</f>
        <v>0</v>
      </c>
      <c r="P916">
        <f t="shared" si="75"/>
        <v>0</v>
      </c>
      <c r="Q916" t="str">
        <f t="shared" si="73"/>
        <v/>
      </c>
    </row>
    <row r="917" spans="3:17" x14ac:dyDescent="0.25">
      <c r="C917">
        <f>SUMIFS(Issuance!$H:$H,Issuance!$D:$D,Formulas!$B917,Issuance!$C:$C,Formulas!C$2)</f>
        <v>0</v>
      </c>
      <c r="D917">
        <f>SUMIFS(Issuance!$H:$H,Issuance!$D:$D,Formulas!$B917,Issuance!$C:$C,Formulas!D$2)</f>
        <v>0</v>
      </c>
      <c r="E917">
        <f t="shared" si="74"/>
        <v>0</v>
      </c>
      <c r="F917" s="41" t="str">
        <f t="shared" si="76"/>
        <v/>
      </c>
      <c r="I917">
        <f>SUMIFS(Buybacks!H:H,Buybacks!D:D,Formulas!H917)</f>
        <v>0</v>
      </c>
      <c r="J917" s="41" t="str">
        <f t="shared" si="77"/>
        <v/>
      </c>
      <c r="M917">
        <f>SUMIFS('Corporate activity'!$H:$H,'Corporate activity'!$D:$D,Formulas!$L917,'Corporate activity'!$C:$C,Formulas!M$2)</f>
        <v>0</v>
      </c>
      <c r="N917">
        <f>SUMIFS('Corporate activity'!$H:$H,'Corporate activity'!$D:$D,Formulas!$L917,'Corporate activity'!$C:$C,Formulas!N$2)</f>
        <v>0</v>
      </c>
      <c r="O917">
        <f>SUMIFS('Corporate activity'!$H:$H,'Corporate activity'!$D:$D,Formulas!$L917,'Corporate activity'!$C:$C,Formulas!O$2)</f>
        <v>0</v>
      </c>
      <c r="P917">
        <f t="shared" si="75"/>
        <v>0</v>
      </c>
      <c r="Q917" t="str">
        <f t="shared" si="73"/>
        <v/>
      </c>
    </row>
    <row r="918" spans="3:17" x14ac:dyDescent="0.25">
      <c r="C918">
        <f>SUMIFS(Issuance!$H:$H,Issuance!$D:$D,Formulas!$B918,Issuance!$C:$C,Formulas!C$2)</f>
        <v>0</v>
      </c>
      <c r="D918">
        <f>SUMIFS(Issuance!$H:$H,Issuance!$D:$D,Formulas!$B918,Issuance!$C:$C,Formulas!D$2)</f>
        <v>0</v>
      </c>
      <c r="E918">
        <f t="shared" si="74"/>
        <v>0</v>
      </c>
      <c r="F918" s="41" t="str">
        <f t="shared" si="76"/>
        <v/>
      </c>
      <c r="I918">
        <f>SUMIFS(Buybacks!H:H,Buybacks!D:D,Formulas!H918)</f>
        <v>0</v>
      </c>
      <c r="J918" s="41" t="str">
        <f t="shared" si="77"/>
        <v/>
      </c>
      <c r="M918">
        <f>SUMIFS('Corporate activity'!$H:$H,'Corporate activity'!$D:$D,Formulas!$L918,'Corporate activity'!$C:$C,Formulas!M$2)</f>
        <v>0</v>
      </c>
      <c r="N918">
        <f>SUMIFS('Corporate activity'!$H:$H,'Corporate activity'!$D:$D,Formulas!$L918,'Corporate activity'!$C:$C,Formulas!N$2)</f>
        <v>0</v>
      </c>
      <c r="O918">
        <f>SUMIFS('Corporate activity'!$H:$H,'Corporate activity'!$D:$D,Formulas!$L918,'Corporate activity'!$C:$C,Formulas!O$2)</f>
        <v>0</v>
      </c>
      <c r="P918">
        <f t="shared" si="75"/>
        <v>0</v>
      </c>
      <c r="Q918" t="str">
        <f t="shared" si="73"/>
        <v/>
      </c>
    </row>
    <row r="919" spans="3:17" x14ac:dyDescent="0.25">
      <c r="C919">
        <f>SUMIFS(Issuance!$H:$H,Issuance!$D:$D,Formulas!$B919,Issuance!$C:$C,Formulas!C$2)</f>
        <v>0</v>
      </c>
      <c r="D919">
        <f>SUMIFS(Issuance!$H:$H,Issuance!$D:$D,Formulas!$B919,Issuance!$C:$C,Formulas!D$2)</f>
        <v>0</v>
      </c>
      <c r="E919">
        <f t="shared" si="74"/>
        <v>0</v>
      </c>
      <c r="F919" s="41" t="str">
        <f t="shared" si="76"/>
        <v/>
      </c>
      <c r="I919">
        <f>SUMIFS(Buybacks!H:H,Buybacks!D:D,Formulas!H919)</f>
        <v>0</v>
      </c>
      <c r="J919" s="41" t="str">
        <f t="shared" si="77"/>
        <v/>
      </c>
      <c r="M919">
        <f>SUMIFS('Corporate activity'!$H:$H,'Corporate activity'!$D:$D,Formulas!$L919,'Corporate activity'!$C:$C,Formulas!M$2)</f>
        <v>0</v>
      </c>
      <c r="N919">
        <f>SUMIFS('Corporate activity'!$H:$H,'Corporate activity'!$D:$D,Formulas!$L919,'Corporate activity'!$C:$C,Formulas!N$2)</f>
        <v>0</v>
      </c>
      <c r="O919">
        <f>SUMIFS('Corporate activity'!$H:$H,'Corporate activity'!$D:$D,Formulas!$L919,'Corporate activity'!$C:$C,Formulas!O$2)</f>
        <v>0</v>
      </c>
      <c r="P919">
        <f t="shared" si="75"/>
        <v>0</v>
      </c>
      <c r="Q919" t="str">
        <f t="shared" si="73"/>
        <v/>
      </c>
    </row>
    <row r="920" spans="3:17" x14ac:dyDescent="0.25">
      <c r="C920">
        <f>SUMIFS(Issuance!$H:$H,Issuance!$D:$D,Formulas!$B920,Issuance!$C:$C,Formulas!C$2)</f>
        <v>0</v>
      </c>
      <c r="D920">
        <f>SUMIFS(Issuance!$H:$H,Issuance!$D:$D,Formulas!$B920,Issuance!$C:$C,Formulas!D$2)</f>
        <v>0</v>
      </c>
      <c r="E920">
        <f t="shared" si="74"/>
        <v>0</v>
      </c>
      <c r="F920" s="41" t="str">
        <f t="shared" si="76"/>
        <v/>
      </c>
      <c r="I920">
        <f>SUMIFS(Buybacks!H:H,Buybacks!D:D,Formulas!H920)</f>
        <v>0</v>
      </c>
      <c r="J920" s="41" t="str">
        <f t="shared" si="77"/>
        <v/>
      </c>
      <c r="M920">
        <f>SUMIFS('Corporate activity'!$H:$H,'Corporate activity'!$D:$D,Formulas!$L920,'Corporate activity'!$C:$C,Formulas!M$2)</f>
        <v>0</v>
      </c>
      <c r="N920">
        <f>SUMIFS('Corporate activity'!$H:$H,'Corporate activity'!$D:$D,Formulas!$L920,'Corporate activity'!$C:$C,Formulas!N$2)</f>
        <v>0</v>
      </c>
      <c r="O920">
        <f>SUMIFS('Corporate activity'!$H:$H,'Corporate activity'!$D:$D,Formulas!$L920,'Corporate activity'!$C:$C,Formulas!O$2)</f>
        <v>0</v>
      </c>
      <c r="P920">
        <f t="shared" si="75"/>
        <v>0</v>
      </c>
      <c r="Q920" t="str">
        <f t="shared" si="73"/>
        <v/>
      </c>
    </row>
    <row r="921" spans="3:17" x14ac:dyDescent="0.25">
      <c r="C921">
        <f>SUMIFS(Issuance!$H:$H,Issuance!$D:$D,Formulas!$B921,Issuance!$C:$C,Formulas!C$2)</f>
        <v>0</v>
      </c>
      <c r="D921">
        <f>SUMIFS(Issuance!$H:$H,Issuance!$D:$D,Formulas!$B921,Issuance!$C:$C,Formulas!D$2)</f>
        <v>0</v>
      </c>
      <c r="E921">
        <f t="shared" si="74"/>
        <v>0</v>
      </c>
      <c r="F921" s="41" t="str">
        <f t="shared" si="76"/>
        <v/>
      </c>
      <c r="I921">
        <f>SUMIFS(Buybacks!H:H,Buybacks!D:D,Formulas!H921)</f>
        <v>0</v>
      </c>
      <c r="J921" s="41" t="str">
        <f t="shared" si="77"/>
        <v/>
      </c>
      <c r="M921">
        <f>SUMIFS('Corporate activity'!$H:$H,'Corporate activity'!$D:$D,Formulas!$L921,'Corporate activity'!$C:$C,Formulas!M$2)</f>
        <v>0</v>
      </c>
      <c r="N921">
        <f>SUMIFS('Corporate activity'!$H:$H,'Corporate activity'!$D:$D,Formulas!$L921,'Corporate activity'!$C:$C,Formulas!N$2)</f>
        <v>0</v>
      </c>
      <c r="O921">
        <f>SUMIFS('Corporate activity'!$H:$H,'Corporate activity'!$D:$D,Formulas!$L921,'Corporate activity'!$C:$C,Formulas!O$2)</f>
        <v>0</v>
      </c>
      <c r="P921">
        <f t="shared" si="75"/>
        <v>0</v>
      </c>
      <c r="Q921" t="str">
        <f t="shared" si="73"/>
        <v/>
      </c>
    </row>
    <row r="922" spans="3:17" x14ac:dyDescent="0.25">
      <c r="C922">
        <f>SUMIFS(Issuance!$H:$H,Issuance!$D:$D,Formulas!$B922,Issuance!$C:$C,Formulas!C$2)</f>
        <v>0</v>
      </c>
      <c r="D922">
        <f>SUMIFS(Issuance!$H:$H,Issuance!$D:$D,Formulas!$B922,Issuance!$C:$C,Formulas!D$2)</f>
        <v>0</v>
      </c>
      <c r="E922">
        <f t="shared" si="74"/>
        <v>0</v>
      </c>
      <c r="F922" s="41" t="str">
        <f t="shared" si="76"/>
        <v/>
      </c>
      <c r="I922">
        <f>SUMIFS(Buybacks!H:H,Buybacks!D:D,Formulas!H922)</f>
        <v>0</v>
      </c>
      <c r="J922" s="41" t="str">
        <f t="shared" si="77"/>
        <v/>
      </c>
      <c r="M922">
        <f>SUMIFS('Corporate activity'!$H:$H,'Corporate activity'!$D:$D,Formulas!$L922,'Corporate activity'!$C:$C,Formulas!M$2)</f>
        <v>0</v>
      </c>
      <c r="N922">
        <f>SUMIFS('Corporate activity'!$H:$H,'Corporate activity'!$D:$D,Formulas!$L922,'Corporate activity'!$C:$C,Formulas!N$2)</f>
        <v>0</v>
      </c>
      <c r="O922">
        <f>SUMIFS('Corporate activity'!$H:$H,'Corporate activity'!$D:$D,Formulas!$L922,'Corporate activity'!$C:$C,Formulas!O$2)</f>
        <v>0</v>
      </c>
      <c r="P922">
        <f t="shared" si="75"/>
        <v>0</v>
      </c>
      <c r="Q922" t="str">
        <f t="shared" si="73"/>
        <v/>
      </c>
    </row>
    <row r="923" spans="3:17" x14ac:dyDescent="0.25">
      <c r="C923">
        <f>SUMIFS(Issuance!$H:$H,Issuance!$D:$D,Formulas!$B923,Issuance!$C:$C,Formulas!C$2)</f>
        <v>0</v>
      </c>
      <c r="D923">
        <f>SUMIFS(Issuance!$H:$H,Issuance!$D:$D,Formulas!$B923,Issuance!$C:$C,Formulas!D$2)</f>
        <v>0</v>
      </c>
      <c r="E923">
        <f t="shared" si="74"/>
        <v>0</v>
      </c>
      <c r="F923" s="41" t="str">
        <f t="shared" si="76"/>
        <v/>
      </c>
      <c r="I923">
        <f>SUMIFS(Buybacks!H:H,Buybacks!D:D,Formulas!H923)</f>
        <v>0</v>
      </c>
      <c r="J923" s="41" t="str">
        <f t="shared" si="77"/>
        <v/>
      </c>
      <c r="M923">
        <f>SUMIFS('Corporate activity'!$H:$H,'Corporate activity'!$D:$D,Formulas!$L923,'Corporate activity'!$C:$C,Formulas!M$2)</f>
        <v>0</v>
      </c>
      <c r="N923">
        <f>SUMIFS('Corporate activity'!$H:$H,'Corporate activity'!$D:$D,Formulas!$L923,'Corporate activity'!$C:$C,Formulas!N$2)</f>
        <v>0</v>
      </c>
      <c r="O923">
        <f>SUMIFS('Corporate activity'!$H:$H,'Corporate activity'!$D:$D,Formulas!$L923,'Corporate activity'!$C:$C,Formulas!O$2)</f>
        <v>0</v>
      </c>
      <c r="P923">
        <f t="shared" si="75"/>
        <v>0</v>
      </c>
      <c r="Q923" t="str">
        <f t="shared" ref="Q923:Q986" si="78">IF(OR(L923="",L923=0,P923=0),"",IF(COUNTIFS($P$3:$P$500,"&lt;"&amp;P923,$P$3:$P$500,"&lt;&gt;0")+1&lt;=20,COUNTIFS($P$3:$P$500,"&lt;"&amp;P923,$P$3:$P$500,"&lt;&gt;0")+1,""))</f>
        <v/>
      </c>
    </row>
    <row r="924" spans="3:17" x14ac:dyDescent="0.25">
      <c r="C924">
        <f>SUMIFS(Issuance!$H:$H,Issuance!$D:$D,Formulas!$B924,Issuance!$C:$C,Formulas!C$2)</f>
        <v>0</v>
      </c>
      <c r="D924">
        <f>SUMIFS(Issuance!$H:$H,Issuance!$D:$D,Formulas!$B924,Issuance!$C:$C,Formulas!D$2)</f>
        <v>0</v>
      </c>
      <c r="E924">
        <f t="shared" si="74"/>
        <v>0</v>
      </c>
      <c r="F924" s="41" t="str">
        <f t="shared" si="76"/>
        <v/>
      </c>
      <c r="I924">
        <f>SUMIFS(Buybacks!H:H,Buybacks!D:D,Formulas!H924)</f>
        <v>0</v>
      </c>
      <c r="J924" s="41" t="str">
        <f t="shared" si="77"/>
        <v/>
      </c>
      <c r="M924">
        <f>SUMIFS('Corporate activity'!$H:$H,'Corporate activity'!$D:$D,Formulas!$L924,'Corporate activity'!$C:$C,Formulas!M$2)</f>
        <v>0</v>
      </c>
      <c r="N924">
        <f>SUMIFS('Corporate activity'!$H:$H,'Corporate activity'!$D:$D,Formulas!$L924,'Corporate activity'!$C:$C,Formulas!N$2)</f>
        <v>0</v>
      </c>
      <c r="O924">
        <f>SUMIFS('Corporate activity'!$H:$H,'Corporate activity'!$D:$D,Formulas!$L924,'Corporate activity'!$C:$C,Formulas!O$2)</f>
        <v>0</v>
      </c>
      <c r="P924">
        <f t="shared" si="75"/>
        <v>0</v>
      </c>
      <c r="Q924" t="str">
        <f t="shared" si="78"/>
        <v/>
      </c>
    </row>
    <row r="925" spans="3:17" x14ac:dyDescent="0.25">
      <c r="C925">
        <f>SUMIFS(Issuance!$H:$H,Issuance!$D:$D,Formulas!$B925,Issuance!$C:$C,Formulas!C$2)</f>
        <v>0</v>
      </c>
      <c r="D925">
        <f>SUMIFS(Issuance!$H:$H,Issuance!$D:$D,Formulas!$B925,Issuance!$C:$C,Formulas!D$2)</f>
        <v>0</v>
      </c>
      <c r="E925">
        <f t="shared" si="74"/>
        <v>0</v>
      </c>
      <c r="F925" s="41" t="str">
        <f t="shared" si="76"/>
        <v/>
      </c>
      <c r="I925">
        <f>SUMIFS(Buybacks!H:H,Buybacks!D:D,Formulas!H925)</f>
        <v>0</v>
      </c>
      <c r="J925" s="41" t="str">
        <f t="shared" si="77"/>
        <v/>
      </c>
      <c r="M925">
        <f>SUMIFS('Corporate activity'!$H:$H,'Corporate activity'!$D:$D,Formulas!$L925,'Corporate activity'!$C:$C,Formulas!M$2)</f>
        <v>0</v>
      </c>
      <c r="N925">
        <f>SUMIFS('Corporate activity'!$H:$H,'Corporate activity'!$D:$D,Formulas!$L925,'Corporate activity'!$C:$C,Formulas!N$2)</f>
        <v>0</v>
      </c>
      <c r="O925">
        <f>SUMIFS('Corporate activity'!$H:$H,'Corporate activity'!$D:$D,Formulas!$L925,'Corporate activity'!$C:$C,Formulas!O$2)</f>
        <v>0</v>
      </c>
      <c r="P925">
        <f t="shared" si="75"/>
        <v>0</v>
      </c>
      <c r="Q925" t="str">
        <f t="shared" si="78"/>
        <v/>
      </c>
    </row>
    <row r="926" spans="3:17" x14ac:dyDescent="0.25">
      <c r="C926">
        <f>SUMIFS(Issuance!$H:$H,Issuance!$D:$D,Formulas!$B926,Issuance!$C:$C,Formulas!C$2)</f>
        <v>0</v>
      </c>
      <c r="D926">
        <f>SUMIFS(Issuance!$H:$H,Issuance!$D:$D,Formulas!$B926,Issuance!$C:$C,Formulas!D$2)</f>
        <v>0</v>
      </c>
      <c r="E926">
        <f t="shared" si="74"/>
        <v>0</v>
      </c>
      <c r="F926" s="41" t="str">
        <f t="shared" si="76"/>
        <v/>
      </c>
      <c r="I926">
        <f>SUMIFS(Buybacks!H:H,Buybacks!D:D,Formulas!H926)</f>
        <v>0</v>
      </c>
      <c r="J926" s="41" t="str">
        <f t="shared" si="77"/>
        <v/>
      </c>
      <c r="M926">
        <f>SUMIFS('Corporate activity'!$H:$H,'Corporate activity'!$D:$D,Formulas!$L926,'Corporate activity'!$C:$C,Formulas!M$2)</f>
        <v>0</v>
      </c>
      <c r="N926">
        <f>SUMIFS('Corporate activity'!$H:$H,'Corporate activity'!$D:$D,Formulas!$L926,'Corporate activity'!$C:$C,Formulas!N$2)</f>
        <v>0</v>
      </c>
      <c r="O926">
        <f>SUMIFS('Corporate activity'!$H:$H,'Corporate activity'!$D:$D,Formulas!$L926,'Corporate activity'!$C:$C,Formulas!O$2)</f>
        <v>0</v>
      </c>
      <c r="P926">
        <f t="shared" si="75"/>
        <v>0</v>
      </c>
      <c r="Q926" t="str">
        <f t="shared" si="78"/>
        <v/>
      </c>
    </row>
    <row r="927" spans="3:17" x14ac:dyDescent="0.25">
      <c r="C927">
        <f>SUMIFS(Issuance!$H:$H,Issuance!$D:$D,Formulas!$B927,Issuance!$C:$C,Formulas!C$2)</f>
        <v>0</v>
      </c>
      <c r="D927">
        <f>SUMIFS(Issuance!$H:$H,Issuance!$D:$D,Formulas!$B927,Issuance!$C:$C,Formulas!D$2)</f>
        <v>0</v>
      </c>
      <c r="E927">
        <f t="shared" si="74"/>
        <v>0</v>
      </c>
      <c r="F927" s="41" t="str">
        <f t="shared" si="76"/>
        <v/>
      </c>
      <c r="I927">
        <f>SUMIFS(Buybacks!H:H,Buybacks!D:D,Formulas!H927)</f>
        <v>0</v>
      </c>
      <c r="J927" s="41" t="str">
        <f t="shared" si="77"/>
        <v/>
      </c>
      <c r="M927">
        <f>SUMIFS('Corporate activity'!$H:$H,'Corporate activity'!$D:$D,Formulas!$L927,'Corporate activity'!$C:$C,Formulas!M$2)</f>
        <v>0</v>
      </c>
      <c r="N927">
        <f>SUMIFS('Corporate activity'!$H:$H,'Corporate activity'!$D:$D,Formulas!$L927,'Corporate activity'!$C:$C,Formulas!N$2)</f>
        <v>0</v>
      </c>
      <c r="O927">
        <f>SUMIFS('Corporate activity'!$H:$H,'Corporate activity'!$D:$D,Formulas!$L927,'Corporate activity'!$C:$C,Formulas!O$2)</f>
        <v>0</v>
      </c>
      <c r="P927">
        <f t="shared" si="75"/>
        <v>0</v>
      </c>
      <c r="Q927" t="str">
        <f t="shared" si="78"/>
        <v/>
      </c>
    </row>
    <row r="928" spans="3:17" x14ac:dyDescent="0.25">
      <c r="C928">
        <f>SUMIFS(Issuance!$H:$H,Issuance!$D:$D,Formulas!$B928,Issuance!$C:$C,Formulas!C$2)</f>
        <v>0</v>
      </c>
      <c r="D928">
        <f>SUMIFS(Issuance!$H:$H,Issuance!$D:$D,Formulas!$B928,Issuance!$C:$C,Formulas!D$2)</f>
        <v>0</v>
      </c>
      <c r="E928">
        <f t="shared" si="74"/>
        <v>0</v>
      </c>
      <c r="F928" s="41" t="str">
        <f t="shared" si="76"/>
        <v/>
      </c>
      <c r="I928">
        <f>SUMIFS(Buybacks!H:H,Buybacks!D:D,Formulas!H928)</f>
        <v>0</v>
      </c>
      <c r="J928" s="41" t="str">
        <f t="shared" si="77"/>
        <v/>
      </c>
      <c r="M928">
        <f>SUMIFS('Corporate activity'!$H:$H,'Corporate activity'!$D:$D,Formulas!$L928,'Corporate activity'!$C:$C,Formulas!M$2)</f>
        <v>0</v>
      </c>
      <c r="N928">
        <f>SUMIFS('Corporate activity'!$H:$H,'Corporate activity'!$D:$D,Formulas!$L928,'Corporate activity'!$C:$C,Formulas!N$2)</f>
        <v>0</v>
      </c>
      <c r="O928">
        <f>SUMIFS('Corporate activity'!$H:$H,'Corporate activity'!$D:$D,Formulas!$L928,'Corporate activity'!$C:$C,Formulas!O$2)</f>
        <v>0</v>
      </c>
      <c r="P928">
        <f t="shared" si="75"/>
        <v>0</v>
      </c>
      <c r="Q928" t="str">
        <f t="shared" si="78"/>
        <v/>
      </c>
    </row>
    <row r="929" spans="3:17" x14ac:dyDescent="0.25">
      <c r="C929">
        <f>SUMIFS(Issuance!$H:$H,Issuance!$D:$D,Formulas!$B929,Issuance!$C:$C,Formulas!C$2)</f>
        <v>0</v>
      </c>
      <c r="D929">
        <f>SUMIFS(Issuance!$H:$H,Issuance!$D:$D,Formulas!$B929,Issuance!$C:$C,Formulas!D$2)</f>
        <v>0</v>
      </c>
      <c r="E929">
        <f t="shared" si="74"/>
        <v>0</v>
      </c>
      <c r="F929" s="41" t="str">
        <f t="shared" si="76"/>
        <v/>
      </c>
      <c r="I929">
        <f>SUMIFS(Buybacks!H:H,Buybacks!D:D,Formulas!H929)</f>
        <v>0</v>
      </c>
      <c r="J929" s="41" t="str">
        <f t="shared" si="77"/>
        <v/>
      </c>
      <c r="M929">
        <f>SUMIFS('Corporate activity'!$H:$H,'Corporate activity'!$D:$D,Formulas!$L929,'Corporate activity'!$C:$C,Formulas!M$2)</f>
        <v>0</v>
      </c>
      <c r="N929">
        <f>SUMIFS('Corporate activity'!$H:$H,'Corporate activity'!$D:$D,Formulas!$L929,'Corporate activity'!$C:$C,Formulas!N$2)</f>
        <v>0</v>
      </c>
      <c r="O929">
        <f>SUMIFS('Corporate activity'!$H:$H,'Corporate activity'!$D:$D,Formulas!$L929,'Corporate activity'!$C:$C,Formulas!O$2)</f>
        <v>0</v>
      </c>
      <c r="P929">
        <f t="shared" si="75"/>
        <v>0</v>
      </c>
      <c r="Q929" t="str">
        <f t="shared" si="78"/>
        <v/>
      </c>
    </row>
    <row r="930" spans="3:17" x14ac:dyDescent="0.25">
      <c r="C930">
        <f>SUMIFS(Issuance!$H:$H,Issuance!$D:$D,Formulas!$B930,Issuance!$C:$C,Formulas!C$2)</f>
        <v>0</v>
      </c>
      <c r="D930">
        <f>SUMIFS(Issuance!$H:$H,Issuance!$D:$D,Formulas!$B930,Issuance!$C:$C,Formulas!D$2)</f>
        <v>0</v>
      </c>
      <c r="E930">
        <f t="shared" si="74"/>
        <v>0</v>
      </c>
      <c r="F930" s="41" t="str">
        <f t="shared" si="76"/>
        <v/>
      </c>
      <c r="I930">
        <f>SUMIFS(Buybacks!H:H,Buybacks!D:D,Formulas!H930)</f>
        <v>0</v>
      </c>
      <c r="J930" s="41" t="str">
        <f t="shared" si="77"/>
        <v/>
      </c>
      <c r="M930">
        <f>SUMIFS('Corporate activity'!$H:$H,'Corporate activity'!$D:$D,Formulas!$L930,'Corporate activity'!$C:$C,Formulas!M$2)</f>
        <v>0</v>
      </c>
      <c r="N930">
        <f>SUMIFS('Corporate activity'!$H:$H,'Corporate activity'!$D:$D,Formulas!$L930,'Corporate activity'!$C:$C,Formulas!N$2)</f>
        <v>0</v>
      </c>
      <c r="O930">
        <f>SUMIFS('Corporate activity'!$H:$H,'Corporate activity'!$D:$D,Formulas!$L930,'Corporate activity'!$C:$C,Formulas!O$2)</f>
        <v>0</v>
      </c>
      <c r="P930">
        <f t="shared" si="75"/>
        <v>0</v>
      </c>
      <c r="Q930" t="str">
        <f t="shared" si="78"/>
        <v/>
      </c>
    </row>
    <row r="931" spans="3:17" x14ac:dyDescent="0.25">
      <c r="C931">
        <f>SUMIFS(Issuance!$H:$H,Issuance!$D:$D,Formulas!$B931,Issuance!$C:$C,Formulas!C$2)</f>
        <v>0</v>
      </c>
      <c r="D931">
        <f>SUMIFS(Issuance!$H:$H,Issuance!$D:$D,Formulas!$B931,Issuance!$C:$C,Formulas!D$2)</f>
        <v>0</v>
      </c>
      <c r="E931">
        <f t="shared" si="74"/>
        <v>0</v>
      </c>
      <c r="F931" s="41" t="str">
        <f t="shared" si="76"/>
        <v/>
      </c>
      <c r="I931">
        <f>SUMIFS(Buybacks!H:H,Buybacks!D:D,Formulas!H931)</f>
        <v>0</v>
      </c>
      <c r="J931" s="41" t="str">
        <f t="shared" si="77"/>
        <v/>
      </c>
      <c r="M931">
        <f>SUMIFS('Corporate activity'!$H:$H,'Corporate activity'!$D:$D,Formulas!$L931,'Corporate activity'!$C:$C,Formulas!M$2)</f>
        <v>0</v>
      </c>
      <c r="N931">
        <f>SUMIFS('Corporate activity'!$H:$H,'Corporate activity'!$D:$D,Formulas!$L931,'Corporate activity'!$C:$C,Formulas!N$2)</f>
        <v>0</v>
      </c>
      <c r="O931">
        <f>SUMIFS('Corporate activity'!$H:$H,'Corporate activity'!$D:$D,Formulas!$L931,'Corporate activity'!$C:$C,Formulas!O$2)</f>
        <v>0</v>
      </c>
      <c r="P931">
        <f t="shared" si="75"/>
        <v>0</v>
      </c>
      <c r="Q931" t="str">
        <f t="shared" si="78"/>
        <v/>
      </c>
    </row>
    <row r="932" spans="3:17" x14ac:dyDescent="0.25">
      <c r="C932">
        <f>SUMIFS(Issuance!$H:$H,Issuance!$D:$D,Formulas!$B932,Issuance!$C:$C,Formulas!C$2)</f>
        <v>0</v>
      </c>
      <c r="D932">
        <f>SUMIFS(Issuance!$H:$H,Issuance!$D:$D,Formulas!$B932,Issuance!$C:$C,Formulas!D$2)</f>
        <v>0</v>
      </c>
      <c r="E932">
        <f t="shared" si="74"/>
        <v>0</v>
      </c>
      <c r="F932" s="41" t="str">
        <f t="shared" si="76"/>
        <v/>
      </c>
      <c r="I932">
        <f>SUMIFS(Buybacks!H:H,Buybacks!D:D,Formulas!H932)</f>
        <v>0</v>
      </c>
      <c r="J932" s="41" t="str">
        <f t="shared" si="77"/>
        <v/>
      </c>
      <c r="M932">
        <f>SUMIFS('Corporate activity'!$H:$H,'Corporate activity'!$D:$D,Formulas!$L932,'Corporate activity'!$C:$C,Formulas!M$2)</f>
        <v>0</v>
      </c>
      <c r="N932">
        <f>SUMIFS('Corporate activity'!$H:$H,'Corporate activity'!$D:$D,Formulas!$L932,'Corporate activity'!$C:$C,Formulas!N$2)</f>
        <v>0</v>
      </c>
      <c r="O932">
        <f>SUMIFS('Corporate activity'!$H:$H,'Corporate activity'!$D:$D,Formulas!$L932,'Corporate activity'!$C:$C,Formulas!O$2)</f>
        <v>0</v>
      </c>
      <c r="P932">
        <f t="shared" si="75"/>
        <v>0</v>
      </c>
      <c r="Q932" t="str">
        <f t="shared" si="78"/>
        <v/>
      </c>
    </row>
    <row r="933" spans="3:17" x14ac:dyDescent="0.25">
      <c r="C933">
        <f>SUMIFS(Issuance!$H:$H,Issuance!$D:$D,Formulas!$B933,Issuance!$C:$C,Formulas!C$2)</f>
        <v>0</v>
      </c>
      <c r="D933">
        <f>SUMIFS(Issuance!$H:$H,Issuance!$D:$D,Formulas!$B933,Issuance!$C:$C,Formulas!D$2)</f>
        <v>0</v>
      </c>
      <c r="E933">
        <f t="shared" si="74"/>
        <v>0</v>
      </c>
      <c r="F933" s="41" t="str">
        <f t="shared" si="76"/>
        <v/>
      </c>
      <c r="I933">
        <f>SUMIFS(Buybacks!H:H,Buybacks!D:D,Formulas!H933)</f>
        <v>0</v>
      </c>
      <c r="J933" s="41" t="str">
        <f t="shared" si="77"/>
        <v/>
      </c>
      <c r="M933">
        <f>SUMIFS('Corporate activity'!$H:$H,'Corporate activity'!$D:$D,Formulas!$L933,'Corporate activity'!$C:$C,Formulas!M$2)</f>
        <v>0</v>
      </c>
      <c r="N933">
        <f>SUMIFS('Corporate activity'!$H:$H,'Corporate activity'!$D:$D,Formulas!$L933,'Corporate activity'!$C:$C,Formulas!N$2)</f>
        <v>0</v>
      </c>
      <c r="O933">
        <f>SUMIFS('Corporate activity'!$H:$H,'Corporate activity'!$D:$D,Formulas!$L933,'Corporate activity'!$C:$C,Formulas!O$2)</f>
        <v>0</v>
      </c>
      <c r="P933">
        <f t="shared" si="75"/>
        <v>0</v>
      </c>
      <c r="Q933" t="str">
        <f t="shared" si="78"/>
        <v/>
      </c>
    </row>
    <row r="934" spans="3:17" x14ac:dyDescent="0.25">
      <c r="C934">
        <f>SUMIFS(Issuance!$H:$H,Issuance!$D:$D,Formulas!$B934,Issuance!$C:$C,Formulas!C$2)</f>
        <v>0</v>
      </c>
      <c r="D934">
        <f>SUMIFS(Issuance!$H:$H,Issuance!$D:$D,Formulas!$B934,Issuance!$C:$C,Formulas!D$2)</f>
        <v>0</v>
      </c>
      <c r="E934">
        <f t="shared" si="74"/>
        <v>0</v>
      </c>
      <c r="F934" s="41" t="str">
        <f t="shared" si="76"/>
        <v/>
      </c>
      <c r="I934">
        <f>SUMIFS(Buybacks!H:H,Buybacks!D:D,Formulas!H934)</f>
        <v>0</v>
      </c>
      <c r="J934" s="41" t="str">
        <f t="shared" si="77"/>
        <v/>
      </c>
      <c r="M934">
        <f>SUMIFS('Corporate activity'!$H:$H,'Corporate activity'!$D:$D,Formulas!$L934,'Corporate activity'!$C:$C,Formulas!M$2)</f>
        <v>0</v>
      </c>
      <c r="N934">
        <f>SUMIFS('Corporate activity'!$H:$H,'Corporate activity'!$D:$D,Formulas!$L934,'Corporate activity'!$C:$C,Formulas!N$2)</f>
        <v>0</v>
      </c>
      <c r="O934">
        <f>SUMIFS('Corporate activity'!$H:$H,'Corporate activity'!$D:$D,Formulas!$L934,'Corporate activity'!$C:$C,Formulas!O$2)</f>
        <v>0</v>
      </c>
      <c r="P934">
        <f t="shared" si="75"/>
        <v>0</v>
      </c>
      <c r="Q934" t="str">
        <f t="shared" si="78"/>
        <v/>
      </c>
    </row>
    <row r="935" spans="3:17" x14ac:dyDescent="0.25">
      <c r="C935">
        <f>SUMIFS(Issuance!$H:$H,Issuance!$D:$D,Formulas!$B935,Issuance!$C:$C,Formulas!C$2)</f>
        <v>0</v>
      </c>
      <c r="D935">
        <f>SUMIFS(Issuance!$H:$H,Issuance!$D:$D,Formulas!$B935,Issuance!$C:$C,Formulas!D$2)</f>
        <v>0</v>
      </c>
      <c r="E935">
        <f t="shared" si="74"/>
        <v>0</v>
      </c>
      <c r="F935" s="41" t="str">
        <f t="shared" si="76"/>
        <v/>
      </c>
      <c r="I935">
        <f>SUMIFS(Buybacks!H:H,Buybacks!D:D,Formulas!H935)</f>
        <v>0</v>
      </c>
      <c r="J935" s="41" t="str">
        <f t="shared" si="77"/>
        <v/>
      </c>
      <c r="M935">
        <f>SUMIFS('Corporate activity'!$H:$H,'Corporate activity'!$D:$D,Formulas!$L935,'Corporate activity'!$C:$C,Formulas!M$2)</f>
        <v>0</v>
      </c>
      <c r="N935">
        <f>SUMIFS('Corporate activity'!$H:$H,'Corporate activity'!$D:$D,Formulas!$L935,'Corporate activity'!$C:$C,Formulas!N$2)</f>
        <v>0</v>
      </c>
      <c r="O935">
        <f>SUMIFS('Corporate activity'!$H:$H,'Corporate activity'!$D:$D,Formulas!$L935,'Corporate activity'!$C:$C,Formulas!O$2)</f>
        <v>0</v>
      </c>
      <c r="P935">
        <f t="shared" si="75"/>
        <v>0</v>
      </c>
      <c r="Q935" t="str">
        <f t="shared" si="78"/>
        <v/>
      </c>
    </row>
    <row r="936" spans="3:17" x14ac:dyDescent="0.25">
      <c r="C936">
        <f>SUMIFS(Issuance!$H:$H,Issuance!$D:$D,Formulas!$B936,Issuance!$C:$C,Formulas!C$2)</f>
        <v>0</v>
      </c>
      <c r="D936">
        <f>SUMIFS(Issuance!$H:$H,Issuance!$D:$D,Formulas!$B936,Issuance!$C:$C,Formulas!D$2)</f>
        <v>0</v>
      </c>
      <c r="E936">
        <f t="shared" si="74"/>
        <v>0</v>
      </c>
      <c r="F936" s="41" t="str">
        <f t="shared" si="76"/>
        <v/>
      </c>
      <c r="I936">
        <f>SUMIFS(Buybacks!H:H,Buybacks!D:D,Formulas!H936)</f>
        <v>0</v>
      </c>
      <c r="J936" s="41" t="str">
        <f t="shared" si="77"/>
        <v/>
      </c>
      <c r="M936">
        <f>SUMIFS('Corporate activity'!$H:$H,'Corporate activity'!$D:$D,Formulas!$L936,'Corporate activity'!$C:$C,Formulas!M$2)</f>
        <v>0</v>
      </c>
      <c r="N936">
        <f>SUMIFS('Corporate activity'!$H:$H,'Corporate activity'!$D:$D,Formulas!$L936,'Corporate activity'!$C:$C,Formulas!N$2)</f>
        <v>0</v>
      </c>
      <c r="O936">
        <f>SUMIFS('Corporate activity'!$H:$H,'Corporate activity'!$D:$D,Formulas!$L936,'Corporate activity'!$C:$C,Formulas!O$2)</f>
        <v>0</v>
      </c>
      <c r="P936">
        <f t="shared" si="75"/>
        <v>0</v>
      </c>
      <c r="Q936" t="str">
        <f t="shared" si="78"/>
        <v/>
      </c>
    </row>
    <row r="937" spans="3:17" x14ac:dyDescent="0.25">
      <c r="C937">
        <f>SUMIFS(Issuance!$H:$H,Issuance!$D:$D,Formulas!$B937,Issuance!$C:$C,Formulas!C$2)</f>
        <v>0</v>
      </c>
      <c r="D937">
        <f>SUMIFS(Issuance!$H:$H,Issuance!$D:$D,Formulas!$B937,Issuance!$C:$C,Formulas!D$2)</f>
        <v>0</v>
      </c>
      <c r="E937">
        <f t="shared" si="74"/>
        <v>0</v>
      </c>
      <c r="F937" s="41" t="str">
        <f t="shared" si="76"/>
        <v/>
      </c>
      <c r="I937">
        <f>SUMIFS(Buybacks!H:H,Buybacks!D:D,Formulas!H937)</f>
        <v>0</v>
      </c>
      <c r="J937" s="41" t="str">
        <f t="shared" si="77"/>
        <v/>
      </c>
      <c r="M937">
        <f>SUMIFS('Corporate activity'!$H:$H,'Corporate activity'!$D:$D,Formulas!$L937,'Corporate activity'!$C:$C,Formulas!M$2)</f>
        <v>0</v>
      </c>
      <c r="N937">
        <f>SUMIFS('Corporate activity'!$H:$H,'Corporate activity'!$D:$D,Formulas!$L937,'Corporate activity'!$C:$C,Formulas!N$2)</f>
        <v>0</v>
      </c>
      <c r="O937">
        <f>SUMIFS('Corporate activity'!$H:$H,'Corporate activity'!$D:$D,Formulas!$L937,'Corporate activity'!$C:$C,Formulas!O$2)</f>
        <v>0</v>
      </c>
      <c r="P937">
        <f t="shared" si="75"/>
        <v>0</v>
      </c>
      <c r="Q937" t="str">
        <f t="shared" si="78"/>
        <v/>
      </c>
    </row>
    <row r="938" spans="3:17" x14ac:dyDescent="0.25">
      <c r="C938">
        <f>SUMIFS(Issuance!$H:$H,Issuance!$D:$D,Formulas!$B938,Issuance!$C:$C,Formulas!C$2)</f>
        <v>0</v>
      </c>
      <c r="D938">
        <f>SUMIFS(Issuance!$H:$H,Issuance!$D:$D,Formulas!$B938,Issuance!$C:$C,Formulas!D$2)</f>
        <v>0</v>
      </c>
      <c r="E938">
        <f t="shared" si="74"/>
        <v>0</v>
      </c>
      <c r="F938" s="41" t="str">
        <f t="shared" si="76"/>
        <v/>
      </c>
      <c r="I938">
        <f>SUMIFS(Buybacks!H:H,Buybacks!D:D,Formulas!H938)</f>
        <v>0</v>
      </c>
      <c r="J938" s="41" t="str">
        <f t="shared" si="77"/>
        <v/>
      </c>
      <c r="M938">
        <f>SUMIFS('Corporate activity'!$H:$H,'Corporate activity'!$D:$D,Formulas!$L938,'Corporate activity'!$C:$C,Formulas!M$2)</f>
        <v>0</v>
      </c>
      <c r="N938">
        <f>SUMIFS('Corporate activity'!$H:$H,'Corporate activity'!$D:$D,Formulas!$L938,'Corporate activity'!$C:$C,Formulas!N$2)</f>
        <v>0</v>
      </c>
      <c r="O938">
        <f>SUMIFS('Corporate activity'!$H:$H,'Corporate activity'!$D:$D,Formulas!$L938,'Corporate activity'!$C:$C,Formulas!O$2)</f>
        <v>0</v>
      </c>
      <c r="P938">
        <f t="shared" si="75"/>
        <v>0</v>
      </c>
      <c r="Q938" t="str">
        <f t="shared" si="78"/>
        <v/>
      </c>
    </row>
    <row r="939" spans="3:17" x14ac:dyDescent="0.25">
      <c r="C939">
        <f>SUMIFS(Issuance!$H:$H,Issuance!$D:$D,Formulas!$B939,Issuance!$C:$C,Formulas!C$2)</f>
        <v>0</v>
      </c>
      <c r="D939">
        <f>SUMIFS(Issuance!$H:$H,Issuance!$D:$D,Formulas!$B939,Issuance!$C:$C,Formulas!D$2)</f>
        <v>0</v>
      </c>
      <c r="E939">
        <f t="shared" si="74"/>
        <v>0</v>
      </c>
      <c r="F939" s="41" t="str">
        <f t="shared" si="76"/>
        <v/>
      </c>
      <c r="I939">
        <f>SUMIFS(Buybacks!H:H,Buybacks!D:D,Formulas!H939)</f>
        <v>0</v>
      </c>
      <c r="J939" s="41" t="str">
        <f t="shared" si="77"/>
        <v/>
      </c>
      <c r="M939">
        <f>SUMIFS('Corporate activity'!$H:$H,'Corporate activity'!$D:$D,Formulas!$L939,'Corporate activity'!$C:$C,Formulas!M$2)</f>
        <v>0</v>
      </c>
      <c r="N939">
        <f>SUMIFS('Corporate activity'!$H:$H,'Corporate activity'!$D:$D,Formulas!$L939,'Corporate activity'!$C:$C,Formulas!N$2)</f>
        <v>0</v>
      </c>
      <c r="O939">
        <f>SUMIFS('Corporate activity'!$H:$H,'Corporate activity'!$D:$D,Formulas!$L939,'Corporate activity'!$C:$C,Formulas!O$2)</f>
        <v>0</v>
      </c>
      <c r="P939">
        <f t="shared" si="75"/>
        <v>0</v>
      </c>
      <c r="Q939" t="str">
        <f t="shared" si="78"/>
        <v/>
      </c>
    </row>
    <row r="940" spans="3:17" x14ac:dyDescent="0.25">
      <c r="C940">
        <f>SUMIFS(Issuance!$H:$H,Issuance!$D:$D,Formulas!$B940,Issuance!$C:$C,Formulas!C$2)</f>
        <v>0</v>
      </c>
      <c r="D940">
        <f>SUMIFS(Issuance!$H:$H,Issuance!$D:$D,Formulas!$B940,Issuance!$C:$C,Formulas!D$2)</f>
        <v>0</v>
      </c>
      <c r="E940">
        <f t="shared" si="74"/>
        <v>0</v>
      </c>
      <c r="F940" s="41" t="str">
        <f t="shared" si="76"/>
        <v/>
      </c>
      <c r="I940">
        <f>SUMIFS(Buybacks!H:H,Buybacks!D:D,Formulas!H940)</f>
        <v>0</v>
      </c>
      <c r="J940" s="41" t="str">
        <f t="shared" si="77"/>
        <v/>
      </c>
      <c r="M940">
        <f>SUMIFS('Corporate activity'!$H:$H,'Corporate activity'!$D:$D,Formulas!$L940,'Corporate activity'!$C:$C,Formulas!M$2)</f>
        <v>0</v>
      </c>
      <c r="N940">
        <f>SUMIFS('Corporate activity'!$H:$H,'Corporate activity'!$D:$D,Formulas!$L940,'Corporate activity'!$C:$C,Formulas!N$2)</f>
        <v>0</v>
      </c>
      <c r="O940">
        <f>SUMIFS('Corporate activity'!$H:$H,'Corporate activity'!$D:$D,Formulas!$L940,'Corporate activity'!$C:$C,Formulas!O$2)</f>
        <v>0</v>
      </c>
      <c r="P940">
        <f t="shared" si="75"/>
        <v>0</v>
      </c>
      <c r="Q940" t="str">
        <f t="shared" si="78"/>
        <v/>
      </c>
    </row>
    <row r="941" spans="3:17" x14ac:dyDescent="0.25">
      <c r="C941">
        <f>SUMIFS(Issuance!$H:$H,Issuance!$D:$D,Formulas!$B941,Issuance!$C:$C,Formulas!C$2)</f>
        <v>0</v>
      </c>
      <c r="D941">
        <f>SUMIFS(Issuance!$H:$H,Issuance!$D:$D,Formulas!$B941,Issuance!$C:$C,Formulas!D$2)</f>
        <v>0</v>
      </c>
      <c r="E941">
        <f t="shared" si="74"/>
        <v>0</v>
      </c>
      <c r="F941" s="41" t="str">
        <f t="shared" si="76"/>
        <v/>
      </c>
      <c r="I941">
        <f>SUMIFS(Buybacks!H:H,Buybacks!D:D,Formulas!H941)</f>
        <v>0</v>
      </c>
      <c r="J941" s="41" t="str">
        <f t="shared" si="77"/>
        <v/>
      </c>
      <c r="M941">
        <f>SUMIFS('Corporate activity'!$H:$H,'Corporate activity'!$D:$D,Formulas!$L941,'Corporate activity'!$C:$C,Formulas!M$2)</f>
        <v>0</v>
      </c>
      <c r="N941">
        <f>SUMIFS('Corporate activity'!$H:$H,'Corporate activity'!$D:$D,Formulas!$L941,'Corporate activity'!$C:$C,Formulas!N$2)</f>
        <v>0</v>
      </c>
      <c r="O941">
        <f>SUMIFS('Corporate activity'!$H:$H,'Corporate activity'!$D:$D,Formulas!$L941,'Corporate activity'!$C:$C,Formulas!O$2)</f>
        <v>0</v>
      </c>
      <c r="P941">
        <f t="shared" si="75"/>
        <v>0</v>
      </c>
      <c r="Q941" t="str">
        <f t="shared" si="78"/>
        <v/>
      </c>
    </row>
    <row r="942" spans="3:17" x14ac:dyDescent="0.25">
      <c r="C942">
        <f>SUMIFS(Issuance!$H:$H,Issuance!$D:$D,Formulas!$B942,Issuance!$C:$C,Formulas!C$2)</f>
        <v>0</v>
      </c>
      <c r="D942">
        <f>SUMIFS(Issuance!$H:$H,Issuance!$D:$D,Formulas!$B942,Issuance!$C:$C,Formulas!D$2)</f>
        <v>0</v>
      </c>
      <c r="E942">
        <f t="shared" si="74"/>
        <v>0</v>
      </c>
      <c r="F942" s="41" t="str">
        <f t="shared" si="76"/>
        <v/>
      </c>
      <c r="I942">
        <f>SUMIFS(Buybacks!H:H,Buybacks!D:D,Formulas!H942)</f>
        <v>0</v>
      </c>
      <c r="J942" s="41" t="str">
        <f t="shared" si="77"/>
        <v/>
      </c>
      <c r="M942">
        <f>SUMIFS('Corporate activity'!$H:$H,'Corporate activity'!$D:$D,Formulas!$L942,'Corporate activity'!$C:$C,Formulas!M$2)</f>
        <v>0</v>
      </c>
      <c r="N942">
        <f>SUMIFS('Corporate activity'!$H:$H,'Corporate activity'!$D:$D,Formulas!$L942,'Corporate activity'!$C:$C,Formulas!N$2)</f>
        <v>0</v>
      </c>
      <c r="O942">
        <f>SUMIFS('Corporate activity'!$H:$H,'Corporate activity'!$D:$D,Formulas!$L942,'Corporate activity'!$C:$C,Formulas!O$2)</f>
        <v>0</v>
      </c>
      <c r="P942">
        <f t="shared" si="75"/>
        <v>0</v>
      </c>
      <c r="Q942" t="str">
        <f t="shared" si="78"/>
        <v/>
      </c>
    </row>
    <row r="943" spans="3:17" x14ac:dyDescent="0.25">
      <c r="C943">
        <f>SUMIFS(Issuance!$H:$H,Issuance!$D:$D,Formulas!$B943,Issuance!$C:$C,Formulas!C$2)</f>
        <v>0</v>
      </c>
      <c r="D943">
        <f>SUMIFS(Issuance!$H:$H,Issuance!$D:$D,Formulas!$B943,Issuance!$C:$C,Formulas!D$2)</f>
        <v>0</v>
      </c>
      <c r="E943">
        <f t="shared" si="74"/>
        <v>0</v>
      </c>
      <c r="F943" s="41" t="str">
        <f t="shared" si="76"/>
        <v/>
      </c>
      <c r="I943">
        <f>SUMIFS(Buybacks!H:H,Buybacks!D:D,Formulas!H943)</f>
        <v>0</v>
      </c>
      <c r="J943" s="41" t="str">
        <f t="shared" si="77"/>
        <v/>
      </c>
      <c r="M943">
        <f>SUMIFS('Corporate activity'!$H:$H,'Corporate activity'!$D:$D,Formulas!$L943,'Corporate activity'!$C:$C,Formulas!M$2)</f>
        <v>0</v>
      </c>
      <c r="N943">
        <f>SUMIFS('Corporate activity'!$H:$H,'Corporate activity'!$D:$D,Formulas!$L943,'Corporate activity'!$C:$C,Formulas!N$2)</f>
        <v>0</v>
      </c>
      <c r="O943">
        <f>SUMIFS('Corporate activity'!$H:$H,'Corporate activity'!$D:$D,Formulas!$L943,'Corporate activity'!$C:$C,Formulas!O$2)</f>
        <v>0</v>
      </c>
      <c r="P943">
        <f t="shared" si="75"/>
        <v>0</v>
      </c>
      <c r="Q943" t="str">
        <f t="shared" si="78"/>
        <v/>
      </c>
    </row>
    <row r="944" spans="3:17" x14ac:dyDescent="0.25">
      <c r="C944">
        <f>SUMIFS(Issuance!$H:$H,Issuance!$D:$D,Formulas!$B944,Issuance!$C:$C,Formulas!C$2)</f>
        <v>0</v>
      </c>
      <c r="D944">
        <f>SUMIFS(Issuance!$H:$H,Issuance!$D:$D,Formulas!$B944,Issuance!$C:$C,Formulas!D$2)</f>
        <v>0</v>
      </c>
      <c r="E944">
        <f t="shared" si="74"/>
        <v>0</v>
      </c>
      <c r="F944" s="41" t="str">
        <f t="shared" si="76"/>
        <v/>
      </c>
      <c r="I944">
        <f>SUMIFS(Buybacks!H:H,Buybacks!D:D,Formulas!H944)</f>
        <v>0</v>
      </c>
      <c r="J944" s="41" t="str">
        <f t="shared" si="77"/>
        <v/>
      </c>
      <c r="M944">
        <f>SUMIFS('Corporate activity'!$H:$H,'Corporate activity'!$D:$D,Formulas!$L944,'Corporate activity'!$C:$C,Formulas!M$2)</f>
        <v>0</v>
      </c>
      <c r="N944">
        <f>SUMIFS('Corporate activity'!$H:$H,'Corporate activity'!$D:$D,Formulas!$L944,'Corporate activity'!$C:$C,Formulas!N$2)</f>
        <v>0</v>
      </c>
      <c r="O944">
        <f>SUMIFS('Corporate activity'!$H:$H,'Corporate activity'!$D:$D,Formulas!$L944,'Corporate activity'!$C:$C,Formulas!O$2)</f>
        <v>0</v>
      </c>
      <c r="P944">
        <f t="shared" si="75"/>
        <v>0</v>
      </c>
      <c r="Q944" t="str">
        <f t="shared" si="78"/>
        <v/>
      </c>
    </row>
    <row r="945" spans="3:17" x14ac:dyDescent="0.25">
      <c r="C945">
        <f>SUMIFS(Issuance!$H:$H,Issuance!$D:$D,Formulas!$B945,Issuance!$C:$C,Formulas!C$2)</f>
        <v>0</v>
      </c>
      <c r="D945">
        <f>SUMIFS(Issuance!$H:$H,Issuance!$D:$D,Formulas!$B945,Issuance!$C:$C,Formulas!D$2)</f>
        <v>0</v>
      </c>
      <c r="E945">
        <f t="shared" si="74"/>
        <v>0</v>
      </c>
      <c r="F945" s="41" t="str">
        <f t="shared" si="76"/>
        <v/>
      </c>
      <c r="I945">
        <f>SUMIFS(Buybacks!H:H,Buybacks!D:D,Formulas!H945)</f>
        <v>0</v>
      </c>
      <c r="J945" s="41" t="str">
        <f t="shared" si="77"/>
        <v/>
      </c>
      <c r="M945">
        <f>SUMIFS('Corporate activity'!$H:$H,'Corporate activity'!$D:$D,Formulas!$L945,'Corporate activity'!$C:$C,Formulas!M$2)</f>
        <v>0</v>
      </c>
      <c r="N945">
        <f>SUMIFS('Corporate activity'!$H:$H,'Corporate activity'!$D:$D,Formulas!$L945,'Corporate activity'!$C:$C,Formulas!N$2)</f>
        <v>0</v>
      </c>
      <c r="O945">
        <f>SUMIFS('Corporate activity'!$H:$H,'Corporate activity'!$D:$D,Formulas!$L945,'Corporate activity'!$C:$C,Formulas!O$2)</f>
        <v>0</v>
      </c>
      <c r="P945">
        <f t="shared" si="75"/>
        <v>0</v>
      </c>
      <c r="Q945" t="str">
        <f t="shared" si="78"/>
        <v/>
      </c>
    </row>
    <row r="946" spans="3:17" x14ac:dyDescent="0.25">
      <c r="C946">
        <f>SUMIFS(Issuance!$H:$H,Issuance!$D:$D,Formulas!$B946,Issuance!$C:$C,Formulas!C$2)</f>
        <v>0</v>
      </c>
      <c r="D946">
        <f>SUMIFS(Issuance!$H:$H,Issuance!$D:$D,Formulas!$B946,Issuance!$C:$C,Formulas!D$2)</f>
        <v>0</v>
      </c>
      <c r="E946">
        <f t="shared" si="74"/>
        <v>0</v>
      </c>
      <c r="F946" s="41" t="str">
        <f t="shared" si="76"/>
        <v/>
      </c>
      <c r="I946">
        <f>SUMIFS(Buybacks!H:H,Buybacks!D:D,Formulas!H946)</f>
        <v>0</v>
      </c>
      <c r="J946" s="41" t="str">
        <f t="shared" si="77"/>
        <v/>
      </c>
      <c r="M946">
        <f>SUMIFS('Corporate activity'!$H:$H,'Corporate activity'!$D:$D,Formulas!$L946,'Corporate activity'!$C:$C,Formulas!M$2)</f>
        <v>0</v>
      </c>
      <c r="N946">
        <f>SUMIFS('Corporate activity'!$H:$H,'Corporate activity'!$D:$D,Formulas!$L946,'Corporate activity'!$C:$C,Formulas!N$2)</f>
        <v>0</v>
      </c>
      <c r="O946">
        <f>SUMIFS('Corporate activity'!$H:$H,'Corporate activity'!$D:$D,Formulas!$L946,'Corporate activity'!$C:$C,Formulas!O$2)</f>
        <v>0</v>
      </c>
      <c r="P946">
        <f t="shared" si="75"/>
        <v>0</v>
      </c>
      <c r="Q946" t="str">
        <f t="shared" si="78"/>
        <v/>
      </c>
    </row>
    <row r="947" spans="3:17" x14ac:dyDescent="0.25">
      <c r="C947">
        <f>SUMIFS(Issuance!$H:$H,Issuance!$D:$D,Formulas!$B947,Issuance!$C:$C,Formulas!C$2)</f>
        <v>0</v>
      </c>
      <c r="D947">
        <f>SUMIFS(Issuance!$H:$H,Issuance!$D:$D,Formulas!$B947,Issuance!$C:$C,Formulas!D$2)</f>
        <v>0</v>
      </c>
      <c r="E947">
        <f t="shared" ref="E947:E1000" si="79">SUM(C947:D947)</f>
        <v>0</v>
      </c>
      <c r="F947" s="41" t="str">
        <f t="shared" si="76"/>
        <v/>
      </c>
      <c r="I947">
        <f>SUMIFS(Buybacks!H:H,Buybacks!D:D,Formulas!H947)</f>
        <v>0</v>
      </c>
      <c r="J947" s="41" t="str">
        <f t="shared" si="77"/>
        <v/>
      </c>
      <c r="M947">
        <f>SUMIFS('Corporate activity'!$H:$H,'Corporate activity'!$D:$D,Formulas!$L947,'Corporate activity'!$C:$C,Formulas!M$2)</f>
        <v>0</v>
      </c>
      <c r="N947">
        <f>SUMIFS('Corporate activity'!$H:$H,'Corporate activity'!$D:$D,Formulas!$L947,'Corporate activity'!$C:$C,Formulas!N$2)</f>
        <v>0</v>
      </c>
      <c r="O947">
        <f>SUMIFS('Corporate activity'!$H:$H,'Corporate activity'!$D:$D,Formulas!$L947,'Corporate activity'!$C:$C,Formulas!O$2)</f>
        <v>0</v>
      </c>
      <c r="P947">
        <f t="shared" ref="P947:P1000" si="80">SUM(M947:O947)</f>
        <v>0</v>
      </c>
      <c r="Q947" t="str">
        <f t="shared" si="78"/>
        <v/>
      </c>
    </row>
    <row r="948" spans="3:17" x14ac:dyDescent="0.25">
      <c r="C948">
        <f>SUMIFS(Issuance!$H:$H,Issuance!$D:$D,Formulas!$B948,Issuance!$C:$C,Formulas!C$2)</f>
        <v>0</v>
      </c>
      <c r="D948">
        <f>SUMIFS(Issuance!$H:$H,Issuance!$D:$D,Formulas!$B948,Issuance!$C:$C,Formulas!D$2)</f>
        <v>0</v>
      </c>
      <c r="E948">
        <f t="shared" si="79"/>
        <v>0</v>
      </c>
      <c r="F948" s="41" t="str">
        <f t="shared" si="76"/>
        <v/>
      </c>
      <c r="I948">
        <f>SUMIFS(Buybacks!H:H,Buybacks!D:D,Formulas!H948)</f>
        <v>0</v>
      </c>
      <c r="J948" s="41" t="str">
        <f t="shared" si="77"/>
        <v/>
      </c>
      <c r="M948">
        <f>SUMIFS('Corporate activity'!$H:$H,'Corporate activity'!$D:$D,Formulas!$L948,'Corporate activity'!$C:$C,Formulas!M$2)</f>
        <v>0</v>
      </c>
      <c r="N948">
        <f>SUMIFS('Corporate activity'!$H:$H,'Corporate activity'!$D:$D,Formulas!$L948,'Corporate activity'!$C:$C,Formulas!N$2)</f>
        <v>0</v>
      </c>
      <c r="O948">
        <f>SUMIFS('Corporate activity'!$H:$H,'Corporate activity'!$D:$D,Formulas!$L948,'Corporate activity'!$C:$C,Formulas!O$2)</f>
        <v>0</v>
      </c>
      <c r="P948">
        <f t="shared" si="80"/>
        <v>0</v>
      </c>
      <c r="Q948" t="str">
        <f t="shared" si="78"/>
        <v/>
      </c>
    </row>
    <row r="949" spans="3:17" x14ac:dyDescent="0.25">
      <c r="C949">
        <f>SUMIFS(Issuance!$H:$H,Issuance!$D:$D,Formulas!$B949,Issuance!$C:$C,Formulas!C$2)</f>
        <v>0</v>
      </c>
      <c r="D949">
        <f>SUMIFS(Issuance!$H:$H,Issuance!$D:$D,Formulas!$B949,Issuance!$C:$C,Formulas!D$2)</f>
        <v>0</v>
      </c>
      <c r="E949">
        <f t="shared" si="79"/>
        <v>0</v>
      </c>
      <c r="F949" s="41" t="str">
        <f t="shared" si="76"/>
        <v/>
      </c>
      <c r="I949">
        <f>SUMIFS(Buybacks!H:H,Buybacks!D:D,Formulas!H949)</f>
        <v>0</v>
      </c>
      <c r="J949" s="41" t="str">
        <f t="shared" si="77"/>
        <v/>
      </c>
      <c r="M949">
        <f>SUMIFS('Corporate activity'!$H:$H,'Corporate activity'!$D:$D,Formulas!$L949,'Corporate activity'!$C:$C,Formulas!M$2)</f>
        <v>0</v>
      </c>
      <c r="N949">
        <f>SUMIFS('Corporate activity'!$H:$H,'Corporate activity'!$D:$D,Formulas!$L949,'Corporate activity'!$C:$C,Formulas!N$2)</f>
        <v>0</v>
      </c>
      <c r="O949">
        <f>SUMIFS('Corporate activity'!$H:$H,'Corporate activity'!$D:$D,Formulas!$L949,'Corporate activity'!$C:$C,Formulas!O$2)</f>
        <v>0</v>
      </c>
      <c r="P949">
        <f t="shared" si="80"/>
        <v>0</v>
      </c>
      <c r="Q949" t="str">
        <f t="shared" si="78"/>
        <v/>
      </c>
    </row>
    <row r="950" spans="3:17" x14ac:dyDescent="0.25">
      <c r="C950">
        <f>SUMIFS(Issuance!$H:$H,Issuance!$D:$D,Formulas!$B950,Issuance!$C:$C,Formulas!C$2)</f>
        <v>0</v>
      </c>
      <c r="D950">
        <f>SUMIFS(Issuance!$H:$H,Issuance!$D:$D,Formulas!$B950,Issuance!$C:$C,Formulas!D$2)</f>
        <v>0</v>
      </c>
      <c r="E950">
        <f t="shared" si="79"/>
        <v>0</v>
      </c>
      <c r="F950" s="41" t="str">
        <f t="shared" si="76"/>
        <v/>
      </c>
      <c r="I950">
        <f>SUMIFS(Buybacks!H:H,Buybacks!D:D,Formulas!H950)</f>
        <v>0</v>
      </c>
      <c r="J950" s="41" t="str">
        <f t="shared" si="77"/>
        <v/>
      </c>
      <c r="M950">
        <f>SUMIFS('Corporate activity'!$H:$H,'Corporate activity'!$D:$D,Formulas!$L950,'Corporate activity'!$C:$C,Formulas!M$2)</f>
        <v>0</v>
      </c>
      <c r="N950">
        <f>SUMIFS('Corporate activity'!$H:$H,'Corporate activity'!$D:$D,Formulas!$L950,'Corporate activity'!$C:$C,Formulas!N$2)</f>
        <v>0</v>
      </c>
      <c r="O950">
        <f>SUMIFS('Corporate activity'!$H:$H,'Corporate activity'!$D:$D,Formulas!$L950,'Corporate activity'!$C:$C,Formulas!O$2)</f>
        <v>0</v>
      </c>
      <c r="P950">
        <f t="shared" si="80"/>
        <v>0</v>
      </c>
      <c r="Q950" t="str">
        <f t="shared" si="78"/>
        <v/>
      </c>
    </row>
    <row r="951" spans="3:17" x14ac:dyDescent="0.25">
      <c r="C951">
        <f>SUMIFS(Issuance!$H:$H,Issuance!$D:$D,Formulas!$B951,Issuance!$C:$C,Formulas!C$2)</f>
        <v>0</v>
      </c>
      <c r="D951">
        <f>SUMIFS(Issuance!$H:$H,Issuance!$D:$D,Formulas!$B951,Issuance!$C:$C,Formulas!D$2)</f>
        <v>0</v>
      </c>
      <c r="E951">
        <f t="shared" si="79"/>
        <v>0</v>
      </c>
      <c r="F951" s="41" t="str">
        <f t="shared" si="76"/>
        <v/>
      </c>
      <c r="I951">
        <f>SUMIFS(Buybacks!H:H,Buybacks!D:D,Formulas!H951)</f>
        <v>0</v>
      </c>
      <c r="J951" s="41" t="str">
        <f t="shared" si="77"/>
        <v/>
      </c>
      <c r="M951">
        <f>SUMIFS('Corporate activity'!$H:$H,'Corporate activity'!$D:$D,Formulas!$L951,'Corporate activity'!$C:$C,Formulas!M$2)</f>
        <v>0</v>
      </c>
      <c r="N951">
        <f>SUMIFS('Corporate activity'!$H:$H,'Corporate activity'!$D:$D,Formulas!$L951,'Corporate activity'!$C:$C,Formulas!N$2)</f>
        <v>0</v>
      </c>
      <c r="O951">
        <f>SUMIFS('Corporate activity'!$H:$H,'Corporate activity'!$D:$D,Formulas!$L951,'Corporate activity'!$C:$C,Formulas!O$2)</f>
        <v>0</v>
      </c>
      <c r="P951">
        <f t="shared" si="80"/>
        <v>0</v>
      </c>
      <c r="Q951" t="str">
        <f t="shared" si="78"/>
        <v/>
      </c>
    </row>
    <row r="952" spans="3:17" x14ac:dyDescent="0.25">
      <c r="C952">
        <f>SUMIFS(Issuance!$H:$H,Issuance!$D:$D,Formulas!$B952,Issuance!$C:$C,Formulas!C$2)</f>
        <v>0</v>
      </c>
      <c r="D952">
        <f>SUMIFS(Issuance!$H:$H,Issuance!$D:$D,Formulas!$B952,Issuance!$C:$C,Formulas!D$2)</f>
        <v>0</v>
      </c>
      <c r="E952">
        <f t="shared" si="79"/>
        <v>0</v>
      </c>
      <c r="F952" s="41" t="str">
        <f t="shared" si="76"/>
        <v/>
      </c>
      <c r="I952">
        <f>SUMIFS(Buybacks!H:H,Buybacks!D:D,Formulas!H952)</f>
        <v>0</v>
      </c>
      <c r="J952" s="41" t="str">
        <f t="shared" si="77"/>
        <v/>
      </c>
      <c r="M952">
        <f>SUMIFS('Corporate activity'!$H:$H,'Corporate activity'!$D:$D,Formulas!$L952,'Corporate activity'!$C:$C,Formulas!M$2)</f>
        <v>0</v>
      </c>
      <c r="N952">
        <f>SUMIFS('Corporate activity'!$H:$H,'Corporate activity'!$D:$D,Formulas!$L952,'Corporate activity'!$C:$C,Formulas!N$2)</f>
        <v>0</v>
      </c>
      <c r="O952">
        <f>SUMIFS('Corporate activity'!$H:$H,'Corporate activity'!$D:$D,Formulas!$L952,'Corporate activity'!$C:$C,Formulas!O$2)</f>
        <v>0</v>
      </c>
      <c r="P952">
        <f t="shared" si="80"/>
        <v>0</v>
      </c>
      <c r="Q952" t="str">
        <f t="shared" si="78"/>
        <v/>
      </c>
    </row>
    <row r="953" spans="3:17" x14ac:dyDescent="0.25">
      <c r="C953">
        <f>SUMIFS(Issuance!$H:$H,Issuance!$D:$D,Formulas!$B953,Issuance!$C:$C,Formulas!C$2)</f>
        <v>0</v>
      </c>
      <c r="D953">
        <f>SUMIFS(Issuance!$H:$H,Issuance!$D:$D,Formulas!$B953,Issuance!$C:$C,Formulas!D$2)</f>
        <v>0</v>
      </c>
      <c r="E953">
        <f t="shared" si="79"/>
        <v>0</v>
      </c>
      <c r="F953" s="41" t="str">
        <f t="shared" si="76"/>
        <v/>
      </c>
      <c r="I953">
        <f>SUMIFS(Buybacks!H:H,Buybacks!D:D,Formulas!H953)</f>
        <v>0</v>
      </c>
      <c r="J953" s="41" t="str">
        <f t="shared" si="77"/>
        <v/>
      </c>
      <c r="M953">
        <f>SUMIFS('Corporate activity'!$H:$H,'Corporate activity'!$D:$D,Formulas!$L953,'Corporate activity'!$C:$C,Formulas!M$2)</f>
        <v>0</v>
      </c>
      <c r="N953">
        <f>SUMIFS('Corporate activity'!$H:$H,'Corporate activity'!$D:$D,Formulas!$L953,'Corporate activity'!$C:$C,Formulas!N$2)</f>
        <v>0</v>
      </c>
      <c r="O953">
        <f>SUMIFS('Corporate activity'!$H:$H,'Corporate activity'!$D:$D,Formulas!$L953,'Corporate activity'!$C:$C,Formulas!O$2)</f>
        <v>0</v>
      </c>
      <c r="P953">
        <f t="shared" si="80"/>
        <v>0</v>
      </c>
      <c r="Q953" t="str">
        <f t="shared" si="78"/>
        <v/>
      </c>
    </row>
    <row r="954" spans="3:17" x14ac:dyDescent="0.25">
      <c r="C954">
        <f>SUMIFS(Issuance!$H:$H,Issuance!$D:$D,Formulas!$B954,Issuance!$C:$C,Formulas!C$2)</f>
        <v>0</v>
      </c>
      <c r="D954">
        <f>SUMIFS(Issuance!$H:$H,Issuance!$D:$D,Formulas!$B954,Issuance!$C:$C,Formulas!D$2)</f>
        <v>0</v>
      </c>
      <c r="E954">
        <f t="shared" si="79"/>
        <v>0</v>
      </c>
      <c r="F954" s="41" t="str">
        <f t="shared" si="76"/>
        <v/>
      </c>
      <c r="I954">
        <f>SUMIFS(Buybacks!H:H,Buybacks!D:D,Formulas!H954)</f>
        <v>0</v>
      </c>
      <c r="J954" s="41" t="str">
        <f t="shared" si="77"/>
        <v/>
      </c>
      <c r="M954">
        <f>SUMIFS('Corporate activity'!$H:$H,'Corporate activity'!$D:$D,Formulas!$L954,'Corporate activity'!$C:$C,Formulas!M$2)</f>
        <v>0</v>
      </c>
      <c r="N954">
        <f>SUMIFS('Corporate activity'!$H:$H,'Corporate activity'!$D:$D,Formulas!$L954,'Corporate activity'!$C:$C,Formulas!N$2)</f>
        <v>0</v>
      </c>
      <c r="O954">
        <f>SUMIFS('Corporate activity'!$H:$H,'Corporate activity'!$D:$D,Formulas!$L954,'Corporate activity'!$C:$C,Formulas!O$2)</f>
        <v>0</v>
      </c>
      <c r="P954">
        <f t="shared" si="80"/>
        <v>0</v>
      </c>
      <c r="Q954" t="str">
        <f t="shared" si="78"/>
        <v/>
      </c>
    </row>
    <row r="955" spans="3:17" x14ac:dyDescent="0.25">
      <c r="C955">
        <f>SUMIFS(Issuance!$H:$H,Issuance!$D:$D,Formulas!$B955,Issuance!$C:$C,Formulas!C$2)</f>
        <v>0</v>
      </c>
      <c r="D955">
        <f>SUMIFS(Issuance!$H:$H,Issuance!$D:$D,Formulas!$B955,Issuance!$C:$C,Formulas!D$2)</f>
        <v>0</v>
      </c>
      <c r="E955">
        <f t="shared" si="79"/>
        <v>0</v>
      </c>
      <c r="F955" s="41" t="str">
        <f t="shared" si="76"/>
        <v/>
      </c>
      <c r="I955">
        <f>SUMIFS(Buybacks!H:H,Buybacks!D:D,Formulas!H955)</f>
        <v>0</v>
      </c>
      <c r="J955" s="41" t="str">
        <f t="shared" si="77"/>
        <v/>
      </c>
      <c r="M955">
        <f>SUMIFS('Corporate activity'!$H:$H,'Corporate activity'!$D:$D,Formulas!$L955,'Corporate activity'!$C:$C,Formulas!M$2)</f>
        <v>0</v>
      </c>
      <c r="N955">
        <f>SUMIFS('Corporate activity'!$H:$H,'Corporate activity'!$D:$D,Formulas!$L955,'Corporate activity'!$C:$C,Formulas!N$2)</f>
        <v>0</v>
      </c>
      <c r="O955">
        <f>SUMIFS('Corporate activity'!$H:$H,'Corporate activity'!$D:$D,Formulas!$L955,'Corporate activity'!$C:$C,Formulas!O$2)</f>
        <v>0</v>
      </c>
      <c r="P955">
        <f t="shared" si="80"/>
        <v>0</v>
      </c>
      <c r="Q955" t="str">
        <f t="shared" si="78"/>
        <v/>
      </c>
    </row>
    <row r="956" spans="3:17" x14ac:dyDescent="0.25">
      <c r="C956">
        <f>SUMIFS(Issuance!$H:$H,Issuance!$D:$D,Formulas!$B956,Issuance!$C:$C,Formulas!C$2)</f>
        <v>0</v>
      </c>
      <c r="D956">
        <f>SUMIFS(Issuance!$H:$H,Issuance!$D:$D,Formulas!$B956,Issuance!$C:$C,Formulas!D$2)</f>
        <v>0</v>
      </c>
      <c r="E956">
        <f t="shared" si="79"/>
        <v>0</v>
      </c>
      <c r="F956" s="41" t="str">
        <f t="shared" si="76"/>
        <v/>
      </c>
      <c r="I956">
        <f>SUMIFS(Buybacks!H:H,Buybacks!D:D,Formulas!H956)</f>
        <v>0</v>
      </c>
      <c r="J956" s="41" t="str">
        <f t="shared" si="77"/>
        <v/>
      </c>
      <c r="M956">
        <f>SUMIFS('Corporate activity'!$H:$H,'Corporate activity'!$D:$D,Formulas!$L956,'Corporate activity'!$C:$C,Formulas!M$2)</f>
        <v>0</v>
      </c>
      <c r="N956">
        <f>SUMIFS('Corporate activity'!$H:$H,'Corporate activity'!$D:$D,Formulas!$L956,'Corporate activity'!$C:$C,Formulas!N$2)</f>
        <v>0</v>
      </c>
      <c r="O956">
        <f>SUMIFS('Corporate activity'!$H:$H,'Corporate activity'!$D:$D,Formulas!$L956,'Corporate activity'!$C:$C,Formulas!O$2)</f>
        <v>0</v>
      </c>
      <c r="P956">
        <f t="shared" si="80"/>
        <v>0</v>
      </c>
      <c r="Q956" t="str">
        <f t="shared" si="78"/>
        <v/>
      </c>
    </row>
    <row r="957" spans="3:17" x14ac:dyDescent="0.25">
      <c r="C957">
        <f>SUMIFS(Issuance!$H:$H,Issuance!$D:$D,Formulas!$B957,Issuance!$C:$C,Formulas!C$2)</f>
        <v>0</v>
      </c>
      <c r="D957">
        <f>SUMIFS(Issuance!$H:$H,Issuance!$D:$D,Formulas!$B957,Issuance!$C:$C,Formulas!D$2)</f>
        <v>0</v>
      </c>
      <c r="E957">
        <f t="shared" si="79"/>
        <v>0</v>
      </c>
      <c r="F957" s="41" t="str">
        <f t="shared" si="76"/>
        <v/>
      </c>
      <c r="I957">
        <f>SUMIFS(Buybacks!H:H,Buybacks!D:D,Formulas!H957)</f>
        <v>0</v>
      </c>
      <c r="J957" s="41" t="str">
        <f t="shared" si="77"/>
        <v/>
      </c>
      <c r="M957">
        <f>SUMIFS('Corporate activity'!$H:$H,'Corporate activity'!$D:$D,Formulas!$L957,'Corporate activity'!$C:$C,Formulas!M$2)</f>
        <v>0</v>
      </c>
      <c r="N957">
        <f>SUMIFS('Corporate activity'!$H:$H,'Corporate activity'!$D:$D,Formulas!$L957,'Corporate activity'!$C:$C,Formulas!N$2)</f>
        <v>0</v>
      </c>
      <c r="O957">
        <f>SUMIFS('Corporate activity'!$H:$H,'Corporate activity'!$D:$D,Formulas!$L957,'Corporate activity'!$C:$C,Formulas!O$2)</f>
        <v>0</v>
      </c>
      <c r="P957">
        <f t="shared" si="80"/>
        <v>0</v>
      </c>
      <c r="Q957" t="str">
        <f t="shared" si="78"/>
        <v/>
      </c>
    </row>
    <row r="958" spans="3:17" x14ac:dyDescent="0.25">
      <c r="C958">
        <f>SUMIFS(Issuance!$H:$H,Issuance!$D:$D,Formulas!$B958,Issuance!$C:$C,Formulas!C$2)</f>
        <v>0</v>
      </c>
      <c r="D958">
        <f>SUMIFS(Issuance!$H:$H,Issuance!$D:$D,Formulas!$B958,Issuance!$C:$C,Formulas!D$2)</f>
        <v>0</v>
      </c>
      <c r="E958">
        <f t="shared" si="79"/>
        <v>0</v>
      </c>
      <c r="F958" s="41" t="str">
        <f t="shared" si="76"/>
        <v/>
      </c>
      <c r="I958">
        <f>SUMIFS(Buybacks!H:H,Buybacks!D:D,Formulas!H958)</f>
        <v>0</v>
      </c>
      <c r="J958" s="41" t="str">
        <f t="shared" si="77"/>
        <v/>
      </c>
      <c r="M958">
        <f>SUMIFS('Corporate activity'!$H:$H,'Corporate activity'!$D:$D,Formulas!$L958,'Corporate activity'!$C:$C,Formulas!M$2)</f>
        <v>0</v>
      </c>
      <c r="N958">
        <f>SUMIFS('Corporate activity'!$H:$H,'Corporate activity'!$D:$D,Formulas!$L958,'Corporate activity'!$C:$C,Formulas!N$2)</f>
        <v>0</v>
      </c>
      <c r="O958">
        <f>SUMIFS('Corporate activity'!$H:$H,'Corporate activity'!$D:$D,Formulas!$L958,'Corporate activity'!$C:$C,Formulas!O$2)</f>
        <v>0</v>
      </c>
      <c r="P958">
        <f t="shared" si="80"/>
        <v>0</v>
      </c>
      <c r="Q958" t="str">
        <f t="shared" si="78"/>
        <v/>
      </c>
    </row>
    <row r="959" spans="3:17" x14ac:dyDescent="0.25">
      <c r="C959">
        <f>SUMIFS(Issuance!$H:$H,Issuance!$D:$D,Formulas!$B959,Issuance!$C:$C,Formulas!C$2)</f>
        <v>0</v>
      </c>
      <c r="D959">
        <f>SUMIFS(Issuance!$H:$H,Issuance!$D:$D,Formulas!$B959,Issuance!$C:$C,Formulas!D$2)</f>
        <v>0</v>
      </c>
      <c r="E959">
        <f t="shared" si="79"/>
        <v>0</v>
      </c>
      <c r="F959" s="41" t="str">
        <f t="shared" si="76"/>
        <v/>
      </c>
      <c r="I959">
        <f>SUMIFS(Buybacks!H:H,Buybacks!D:D,Formulas!H959)</f>
        <v>0</v>
      </c>
      <c r="J959" s="41" t="str">
        <f t="shared" si="77"/>
        <v/>
      </c>
      <c r="M959">
        <f>SUMIFS('Corporate activity'!$H:$H,'Corporate activity'!$D:$D,Formulas!$L959,'Corporate activity'!$C:$C,Formulas!M$2)</f>
        <v>0</v>
      </c>
      <c r="N959">
        <f>SUMIFS('Corporate activity'!$H:$H,'Corporate activity'!$D:$D,Formulas!$L959,'Corporate activity'!$C:$C,Formulas!N$2)</f>
        <v>0</v>
      </c>
      <c r="O959">
        <f>SUMIFS('Corporate activity'!$H:$H,'Corporate activity'!$D:$D,Formulas!$L959,'Corporate activity'!$C:$C,Formulas!O$2)</f>
        <v>0</v>
      </c>
      <c r="P959">
        <f t="shared" si="80"/>
        <v>0</v>
      </c>
      <c r="Q959" t="str">
        <f t="shared" si="78"/>
        <v/>
      </c>
    </row>
    <row r="960" spans="3:17" x14ac:dyDescent="0.25">
      <c r="C960">
        <f>SUMIFS(Issuance!$H:$H,Issuance!$D:$D,Formulas!$B960,Issuance!$C:$C,Formulas!C$2)</f>
        <v>0</v>
      </c>
      <c r="D960">
        <f>SUMIFS(Issuance!$H:$H,Issuance!$D:$D,Formulas!$B960,Issuance!$C:$C,Formulas!D$2)</f>
        <v>0</v>
      </c>
      <c r="E960">
        <f t="shared" si="79"/>
        <v>0</v>
      </c>
      <c r="F960" s="41" t="str">
        <f t="shared" si="76"/>
        <v/>
      </c>
      <c r="I960">
        <f>SUMIFS(Buybacks!H:H,Buybacks!D:D,Formulas!H960)</f>
        <v>0</v>
      </c>
      <c r="J960" s="41" t="str">
        <f t="shared" si="77"/>
        <v/>
      </c>
      <c r="M960">
        <f>SUMIFS('Corporate activity'!$H:$H,'Corporate activity'!$D:$D,Formulas!$L960,'Corporate activity'!$C:$C,Formulas!M$2)</f>
        <v>0</v>
      </c>
      <c r="N960">
        <f>SUMIFS('Corporate activity'!$H:$H,'Corporate activity'!$D:$D,Formulas!$L960,'Corporate activity'!$C:$C,Formulas!N$2)</f>
        <v>0</v>
      </c>
      <c r="O960">
        <f>SUMIFS('Corporate activity'!$H:$H,'Corporate activity'!$D:$D,Formulas!$L960,'Corporate activity'!$C:$C,Formulas!O$2)</f>
        <v>0</v>
      </c>
      <c r="P960">
        <f t="shared" si="80"/>
        <v>0</v>
      </c>
      <c r="Q960" t="str">
        <f t="shared" si="78"/>
        <v/>
      </c>
    </row>
    <row r="961" spans="3:17" x14ac:dyDescent="0.25">
      <c r="C961">
        <f>SUMIFS(Issuance!$H:$H,Issuance!$D:$D,Formulas!$B961,Issuance!$C:$C,Formulas!C$2)</f>
        <v>0</v>
      </c>
      <c r="D961">
        <f>SUMIFS(Issuance!$H:$H,Issuance!$D:$D,Formulas!$B961,Issuance!$C:$C,Formulas!D$2)</f>
        <v>0</v>
      </c>
      <c r="E961">
        <f t="shared" si="79"/>
        <v>0</v>
      </c>
      <c r="F961" s="41" t="str">
        <f t="shared" si="76"/>
        <v/>
      </c>
      <c r="I961">
        <f>SUMIFS(Buybacks!H:H,Buybacks!D:D,Formulas!H961)</f>
        <v>0</v>
      </c>
      <c r="J961" s="41" t="str">
        <f t="shared" si="77"/>
        <v/>
      </c>
      <c r="M961">
        <f>SUMIFS('Corporate activity'!$H:$H,'Corporate activity'!$D:$D,Formulas!$L961,'Corporate activity'!$C:$C,Formulas!M$2)</f>
        <v>0</v>
      </c>
      <c r="N961">
        <f>SUMIFS('Corporate activity'!$H:$H,'Corporate activity'!$D:$D,Formulas!$L961,'Corporate activity'!$C:$C,Formulas!N$2)</f>
        <v>0</v>
      </c>
      <c r="O961">
        <f>SUMIFS('Corporate activity'!$H:$H,'Corporate activity'!$D:$D,Formulas!$L961,'Corporate activity'!$C:$C,Formulas!O$2)</f>
        <v>0</v>
      </c>
      <c r="P961">
        <f t="shared" si="80"/>
        <v>0</v>
      </c>
      <c r="Q961" t="str">
        <f t="shared" si="78"/>
        <v/>
      </c>
    </row>
    <row r="962" spans="3:17" x14ac:dyDescent="0.25">
      <c r="C962">
        <f>SUMIFS(Issuance!$H:$H,Issuance!$D:$D,Formulas!$B962,Issuance!$C:$C,Formulas!C$2)</f>
        <v>0</v>
      </c>
      <c r="D962">
        <f>SUMIFS(Issuance!$H:$H,Issuance!$D:$D,Formulas!$B962,Issuance!$C:$C,Formulas!D$2)</f>
        <v>0</v>
      </c>
      <c r="E962">
        <f t="shared" si="79"/>
        <v>0</v>
      </c>
      <c r="F962" s="41" t="str">
        <f t="shared" si="76"/>
        <v/>
      </c>
      <c r="I962">
        <f>SUMIFS(Buybacks!H:H,Buybacks!D:D,Formulas!H962)</f>
        <v>0</v>
      </c>
      <c r="J962" s="41" t="str">
        <f t="shared" si="77"/>
        <v/>
      </c>
      <c r="M962">
        <f>SUMIFS('Corporate activity'!$H:$H,'Corporate activity'!$D:$D,Formulas!$L962,'Corporate activity'!$C:$C,Formulas!M$2)</f>
        <v>0</v>
      </c>
      <c r="N962">
        <f>SUMIFS('Corporate activity'!$H:$H,'Corporate activity'!$D:$D,Formulas!$L962,'Corporate activity'!$C:$C,Formulas!N$2)</f>
        <v>0</v>
      </c>
      <c r="O962">
        <f>SUMIFS('Corporate activity'!$H:$H,'Corporate activity'!$D:$D,Formulas!$L962,'Corporate activity'!$C:$C,Formulas!O$2)</f>
        <v>0</v>
      </c>
      <c r="P962">
        <f t="shared" si="80"/>
        <v>0</v>
      </c>
      <c r="Q962" t="str">
        <f t="shared" si="78"/>
        <v/>
      </c>
    </row>
    <row r="963" spans="3:17" x14ac:dyDescent="0.25">
      <c r="C963">
        <f>SUMIFS(Issuance!$H:$H,Issuance!$D:$D,Formulas!$B963,Issuance!$C:$C,Formulas!C$2)</f>
        <v>0</v>
      </c>
      <c r="D963">
        <f>SUMIFS(Issuance!$H:$H,Issuance!$D:$D,Formulas!$B963,Issuance!$C:$C,Formulas!D$2)</f>
        <v>0</v>
      </c>
      <c r="E963">
        <f t="shared" si="79"/>
        <v>0</v>
      </c>
      <c r="F963" s="41" t="str">
        <f t="shared" si="76"/>
        <v/>
      </c>
      <c r="I963">
        <f>SUMIFS(Buybacks!H:H,Buybacks!D:D,Formulas!H963)</f>
        <v>0</v>
      </c>
      <c r="J963" s="41" t="str">
        <f t="shared" si="77"/>
        <v/>
      </c>
      <c r="M963">
        <f>SUMIFS('Corporate activity'!$H:$H,'Corporate activity'!$D:$D,Formulas!$L963,'Corporate activity'!$C:$C,Formulas!M$2)</f>
        <v>0</v>
      </c>
      <c r="N963">
        <f>SUMIFS('Corporate activity'!$H:$H,'Corporate activity'!$D:$D,Formulas!$L963,'Corporate activity'!$C:$C,Formulas!N$2)</f>
        <v>0</v>
      </c>
      <c r="O963">
        <f>SUMIFS('Corporate activity'!$H:$H,'Corporate activity'!$D:$D,Formulas!$L963,'Corporate activity'!$C:$C,Formulas!O$2)</f>
        <v>0</v>
      </c>
      <c r="P963">
        <f t="shared" si="80"/>
        <v>0</v>
      </c>
      <c r="Q963" t="str">
        <f t="shared" si="78"/>
        <v/>
      </c>
    </row>
    <row r="964" spans="3:17" x14ac:dyDescent="0.25">
      <c r="C964">
        <f>SUMIFS(Issuance!$H:$H,Issuance!$D:$D,Formulas!$B964,Issuance!$C:$C,Formulas!C$2)</f>
        <v>0</v>
      </c>
      <c r="D964">
        <f>SUMIFS(Issuance!$H:$H,Issuance!$D:$D,Formulas!$B964,Issuance!$C:$C,Formulas!D$2)</f>
        <v>0</v>
      </c>
      <c r="E964">
        <f t="shared" si="79"/>
        <v>0</v>
      </c>
      <c r="F964" s="41" t="str">
        <f t="shared" ref="F964:F1000" si="81">IF(OR(B964="",B964=0,E964=0),"",IF(COUNTIFS($E$3:$E$500,"&gt;"&amp;E964,$E$3:$E$500,"&lt;&gt;0")+1&lt;=20,COUNTIFS($E$3:$E$500,"&gt;"&amp;E964,$E$3:$E$500,"&lt;&gt;0")+1,""))</f>
        <v/>
      </c>
      <c r="I964">
        <f>SUMIFS(Buybacks!H:H,Buybacks!D:D,Formulas!H964)</f>
        <v>0</v>
      </c>
      <c r="J964" s="41" t="str">
        <f t="shared" ref="J964:J1000" si="82">IF(OR(H964="",H964=0,I964=0),"",IF(COUNTIFS($I$3:$I$500,"&lt;"&amp;I964,$I$3:$I$500,"&lt;&gt;0")+1&lt;=20,COUNTIFS($I$3:$I$500,"&lt;"&amp;I964,$I$3:$I$500,"&lt;&gt;0")+1,""))</f>
        <v/>
      </c>
      <c r="M964">
        <f>SUMIFS('Corporate activity'!$H:$H,'Corporate activity'!$D:$D,Formulas!$L964,'Corporate activity'!$C:$C,Formulas!M$2)</f>
        <v>0</v>
      </c>
      <c r="N964">
        <f>SUMIFS('Corporate activity'!$H:$H,'Corporate activity'!$D:$D,Formulas!$L964,'Corporate activity'!$C:$C,Formulas!N$2)</f>
        <v>0</v>
      </c>
      <c r="O964">
        <f>SUMIFS('Corporate activity'!$H:$H,'Corporate activity'!$D:$D,Formulas!$L964,'Corporate activity'!$C:$C,Formulas!O$2)</f>
        <v>0</v>
      </c>
      <c r="P964">
        <f t="shared" si="80"/>
        <v>0</v>
      </c>
      <c r="Q964" t="str">
        <f t="shared" si="78"/>
        <v/>
      </c>
    </row>
    <row r="965" spans="3:17" x14ac:dyDescent="0.25">
      <c r="C965">
        <f>SUMIFS(Issuance!$H:$H,Issuance!$D:$D,Formulas!$B965,Issuance!$C:$C,Formulas!C$2)</f>
        <v>0</v>
      </c>
      <c r="D965">
        <f>SUMIFS(Issuance!$H:$H,Issuance!$D:$D,Formulas!$B965,Issuance!$C:$C,Formulas!D$2)</f>
        <v>0</v>
      </c>
      <c r="E965">
        <f t="shared" si="79"/>
        <v>0</v>
      </c>
      <c r="F965" s="41" t="str">
        <f t="shared" si="81"/>
        <v/>
      </c>
      <c r="I965">
        <f>SUMIFS(Buybacks!H:H,Buybacks!D:D,Formulas!H965)</f>
        <v>0</v>
      </c>
      <c r="J965" s="41" t="str">
        <f t="shared" si="82"/>
        <v/>
      </c>
      <c r="M965">
        <f>SUMIFS('Corporate activity'!$H:$H,'Corporate activity'!$D:$D,Formulas!$L965,'Corporate activity'!$C:$C,Formulas!M$2)</f>
        <v>0</v>
      </c>
      <c r="N965">
        <f>SUMIFS('Corporate activity'!$H:$H,'Corporate activity'!$D:$D,Formulas!$L965,'Corporate activity'!$C:$C,Formulas!N$2)</f>
        <v>0</v>
      </c>
      <c r="O965">
        <f>SUMIFS('Corporate activity'!$H:$H,'Corporate activity'!$D:$D,Formulas!$L965,'Corporate activity'!$C:$C,Formulas!O$2)</f>
        <v>0</v>
      </c>
      <c r="P965">
        <f t="shared" si="80"/>
        <v>0</v>
      </c>
      <c r="Q965" t="str">
        <f t="shared" si="78"/>
        <v/>
      </c>
    </row>
    <row r="966" spans="3:17" x14ac:dyDescent="0.25">
      <c r="C966">
        <f>SUMIFS(Issuance!$H:$H,Issuance!$D:$D,Formulas!$B966,Issuance!$C:$C,Formulas!C$2)</f>
        <v>0</v>
      </c>
      <c r="D966">
        <f>SUMIFS(Issuance!$H:$H,Issuance!$D:$D,Formulas!$B966,Issuance!$C:$C,Formulas!D$2)</f>
        <v>0</v>
      </c>
      <c r="E966">
        <f t="shared" si="79"/>
        <v>0</v>
      </c>
      <c r="F966" s="41" t="str">
        <f t="shared" si="81"/>
        <v/>
      </c>
      <c r="I966">
        <f>SUMIFS(Buybacks!H:H,Buybacks!D:D,Formulas!H966)</f>
        <v>0</v>
      </c>
      <c r="J966" s="41" t="str">
        <f t="shared" si="82"/>
        <v/>
      </c>
      <c r="M966">
        <f>SUMIFS('Corporate activity'!$H:$H,'Corporate activity'!$D:$D,Formulas!$L966,'Corporate activity'!$C:$C,Formulas!M$2)</f>
        <v>0</v>
      </c>
      <c r="N966">
        <f>SUMIFS('Corporate activity'!$H:$H,'Corporate activity'!$D:$D,Formulas!$L966,'Corporate activity'!$C:$C,Formulas!N$2)</f>
        <v>0</v>
      </c>
      <c r="O966">
        <f>SUMIFS('Corporate activity'!$H:$H,'Corporate activity'!$D:$D,Formulas!$L966,'Corporate activity'!$C:$C,Formulas!O$2)</f>
        <v>0</v>
      </c>
      <c r="P966">
        <f t="shared" si="80"/>
        <v>0</v>
      </c>
      <c r="Q966" t="str">
        <f t="shared" si="78"/>
        <v/>
      </c>
    </row>
    <row r="967" spans="3:17" x14ac:dyDescent="0.25">
      <c r="C967">
        <f>SUMIFS(Issuance!$H:$H,Issuance!$D:$D,Formulas!$B967,Issuance!$C:$C,Formulas!C$2)</f>
        <v>0</v>
      </c>
      <c r="D967">
        <f>SUMIFS(Issuance!$H:$H,Issuance!$D:$D,Formulas!$B967,Issuance!$C:$C,Formulas!D$2)</f>
        <v>0</v>
      </c>
      <c r="E967">
        <f t="shared" si="79"/>
        <v>0</v>
      </c>
      <c r="F967" s="41" t="str">
        <f t="shared" si="81"/>
        <v/>
      </c>
      <c r="I967">
        <f>SUMIFS(Buybacks!H:H,Buybacks!D:D,Formulas!H967)</f>
        <v>0</v>
      </c>
      <c r="J967" s="41" t="str">
        <f t="shared" si="82"/>
        <v/>
      </c>
      <c r="M967">
        <f>SUMIFS('Corporate activity'!$H:$H,'Corporate activity'!$D:$D,Formulas!$L967,'Corporate activity'!$C:$C,Formulas!M$2)</f>
        <v>0</v>
      </c>
      <c r="N967">
        <f>SUMIFS('Corporate activity'!$H:$H,'Corporate activity'!$D:$D,Formulas!$L967,'Corporate activity'!$C:$C,Formulas!N$2)</f>
        <v>0</v>
      </c>
      <c r="O967">
        <f>SUMIFS('Corporate activity'!$H:$H,'Corporate activity'!$D:$D,Formulas!$L967,'Corporate activity'!$C:$C,Formulas!O$2)</f>
        <v>0</v>
      </c>
      <c r="P967">
        <f t="shared" si="80"/>
        <v>0</v>
      </c>
      <c r="Q967" t="str">
        <f t="shared" si="78"/>
        <v/>
      </c>
    </row>
    <row r="968" spans="3:17" x14ac:dyDescent="0.25">
      <c r="C968">
        <f>SUMIFS(Issuance!$H:$H,Issuance!$D:$D,Formulas!$B968,Issuance!$C:$C,Formulas!C$2)</f>
        <v>0</v>
      </c>
      <c r="D968">
        <f>SUMIFS(Issuance!$H:$H,Issuance!$D:$D,Formulas!$B968,Issuance!$C:$C,Formulas!D$2)</f>
        <v>0</v>
      </c>
      <c r="E968">
        <f t="shared" si="79"/>
        <v>0</v>
      </c>
      <c r="F968" s="41" t="str">
        <f t="shared" si="81"/>
        <v/>
      </c>
      <c r="I968">
        <f>SUMIFS(Buybacks!H:H,Buybacks!D:D,Formulas!H968)</f>
        <v>0</v>
      </c>
      <c r="J968" s="41" t="str">
        <f t="shared" si="82"/>
        <v/>
      </c>
      <c r="M968">
        <f>SUMIFS('Corporate activity'!$H:$H,'Corporate activity'!$D:$D,Formulas!$L968,'Corporate activity'!$C:$C,Formulas!M$2)</f>
        <v>0</v>
      </c>
      <c r="N968">
        <f>SUMIFS('Corporate activity'!$H:$H,'Corporate activity'!$D:$D,Formulas!$L968,'Corporate activity'!$C:$C,Formulas!N$2)</f>
        <v>0</v>
      </c>
      <c r="O968">
        <f>SUMIFS('Corporate activity'!$H:$H,'Corporate activity'!$D:$D,Formulas!$L968,'Corporate activity'!$C:$C,Formulas!O$2)</f>
        <v>0</v>
      </c>
      <c r="P968">
        <f t="shared" si="80"/>
        <v>0</v>
      </c>
      <c r="Q968" t="str">
        <f t="shared" si="78"/>
        <v/>
      </c>
    </row>
    <row r="969" spans="3:17" x14ac:dyDescent="0.25">
      <c r="C969">
        <f>SUMIFS(Issuance!$H:$H,Issuance!$D:$D,Formulas!$B969,Issuance!$C:$C,Formulas!C$2)</f>
        <v>0</v>
      </c>
      <c r="D969">
        <f>SUMIFS(Issuance!$H:$H,Issuance!$D:$D,Formulas!$B969,Issuance!$C:$C,Formulas!D$2)</f>
        <v>0</v>
      </c>
      <c r="E969">
        <f t="shared" si="79"/>
        <v>0</v>
      </c>
      <c r="F969" s="41" t="str">
        <f t="shared" si="81"/>
        <v/>
      </c>
      <c r="I969">
        <f>SUMIFS(Buybacks!H:H,Buybacks!D:D,Formulas!H969)</f>
        <v>0</v>
      </c>
      <c r="J969" s="41" t="str">
        <f t="shared" si="82"/>
        <v/>
      </c>
      <c r="M969">
        <f>SUMIFS('Corporate activity'!$H:$H,'Corporate activity'!$D:$D,Formulas!$L969,'Corporate activity'!$C:$C,Formulas!M$2)</f>
        <v>0</v>
      </c>
      <c r="N969">
        <f>SUMIFS('Corporate activity'!$H:$H,'Corporate activity'!$D:$D,Formulas!$L969,'Corporate activity'!$C:$C,Formulas!N$2)</f>
        <v>0</v>
      </c>
      <c r="O969">
        <f>SUMIFS('Corporate activity'!$H:$H,'Corporate activity'!$D:$D,Formulas!$L969,'Corporate activity'!$C:$C,Formulas!O$2)</f>
        <v>0</v>
      </c>
      <c r="P969">
        <f t="shared" si="80"/>
        <v>0</v>
      </c>
      <c r="Q969" t="str">
        <f t="shared" si="78"/>
        <v/>
      </c>
    </row>
    <row r="970" spans="3:17" x14ac:dyDescent="0.25">
      <c r="C970">
        <f>SUMIFS(Issuance!$H:$H,Issuance!$D:$D,Formulas!$B970,Issuance!$C:$C,Formulas!C$2)</f>
        <v>0</v>
      </c>
      <c r="D970">
        <f>SUMIFS(Issuance!$H:$H,Issuance!$D:$D,Formulas!$B970,Issuance!$C:$C,Formulas!D$2)</f>
        <v>0</v>
      </c>
      <c r="E970">
        <f t="shared" si="79"/>
        <v>0</v>
      </c>
      <c r="F970" s="41" t="str">
        <f t="shared" si="81"/>
        <v/>
      </c>
      <c r="I970">
        <f>SUMIFS(Buybacks!H:H,Buybacks!D:D,Formulas!H970)</f>
        <v>0</v>
      </c>
      <c r="J970" s="41" t="str">
        <f t="shared" si="82"/>
        <v/>
      </c>
      <c r="M970">
        <f>SUMIFS('Corporate activity'!$H:$H,'Corporate activity'!$D:$D,Formulas!$L970,'Corporate activity'!$C:$C,Formulas!M$2)</f>
        <v>0</v>
      </c>
      <c r="N970">
        <f>SUMIFS('Corporate activity'!$H:$H,'Corporate activity'!$D:$D,Formulas!$L970,'Corporate activity'!$C:$C,Formulas!N$2)</f>
        <v>0</v>
      </c>
      <c r="O970">
        <f>SUMIFS('Corporate activity'!$H:$H,'Corporate activity'!$D:$D,Formulas!$L970,'Corporate activity'!$C:$C,Formulas!O$2)</f>
        <v>0</v>
      </c>
      <c r="P970">
        <f t="shared" si="80"/>
        <v>0</v>
      </c>
      <c r="Q970" t="str">
        <f t="shared" si="78"/>
        <v/>
      </c>
    </row>
    <row r="971" spans="3:17" x14ac:dyDescent="0.25">
      <c r="C971">
        <f>SUMIFS(Issuance!$H:$H,Issuance!$D:$D,Formulas!$B971,Issuance!$C:$C,Formulas!C$2)</f>
        <v>0</v>
      </c>
      <c r="D971">
        <f>SUMIFS(Issuance!$H:$H,Issuance!$D:$D,Formulas!$B971,Issuance!$C:$C,Formulas!D$2)</f>
        <v>0</v>
      </c>
      <c r="E971">
        <f t="shared" si="79"/>
        <v>0</v>
      </c>
      <c r="F971" s="41" t="str">
        <f t="shared" si="81"/>
        <v/>
      </c>
      <c r="I971">
        <f>SUMIFS(Buybacks!H:H,Buybacks!D:D,Formulas!H971)</f>
        <v>0</v>
      </c>
      <c r="J971" s="41" t="str">
        <f t="shared" si="82"/>
        <v/>
      </c>
      <c r="M971">
        <f>SUMIFS('Corporate activity'!$H:$H,'Corporate activity'!$D:$D,Formulas!$L971,'Corporate activity'!$C:$C,Formulas!M$2)</f>
        <v>0</v>
      </c>
      <c r="N971">
        <f>SUMIFS('Corporate activity'!$H:$H,'Corporate activity'!$D:$D,Formulas!$L971,'Corporate activity'!$C:$C,Formulas!N$2)</f>
        <v>0</v>
      </c>
      <c r="O971">
        <f>SUMIFS('Corporate activity'!$H:$H,'Corporate activity'!$D:$D,Formulas!$L971,'Corporate activity'!$C:$C,Formulas!O$2)</f>
        <v>0</v>
      </c>
      <c r="P971">
        <f t="shared" si="80"/>
        <v>0</v>
      </c>
      <c r="Q971" t="str">
        <f t="shared" si="78"/>
        <v/>
      </c>
    </row>
    <row r="972" spans="3:17" x14ac:dyDescent="0.25">
      <c r="C972">
        <f>SUMIFS(Issuance!$H:$H,Issuance!$D:$D,Formulas!$B972,Issuance!$C:$C,Formulas!C$2)</f>
        <v>0</v>
      </c>
      <c r="D972">
        <f>SUMIFS(Issuance!$H:$H,Issuance!$D:$D,Formulas!$B972,Issuance!$C:$C,Formulas!D$2)</f>
        <v>0</v>
      </c>
      <c r="E972">
        <f t="shared" si="79"/>
        <v>0</v>
      </c>
      <c r="F972" s="41" t="str">
        <f t="shared" si="81"/>
        <v/>
      </c>
      <c r="I972">
        <f>SUMIFS(Buybacks!H:H,Buybacks!D:D,Formulas!H972)</f>
        <v>0</v>
      </c>
      <c r="J972" s="41" t="str">
        <f t="shared" si="82"/>
        <v/>
      </c>
      <c r="M972">
        <f>SUMIFS('Corporate activity'!$H:$H,'Corporate activity'!$D:$D,Formulas!$L972,'Corporate activity'!$C:$C,Formulas!M$2)</f>
        <v>0</v>
      </c>
      <c r="N972">
        <f>SUMIFS('Corporate activity'!$H:$H,'Corporate activity'!$D:$D,Formulas!$L972,'Corporate activity'!$C:$C,Formulas!N$2)</f>
        <v>0</v>
      </c>
      <c r="O972">
        <f>SUMIFS('Corporate activity'!$H:$H,'Corporate activity'!$D:$D,Formulas!$L972,'Corporate activity'!$C:$C,Formulas!O$2)</f>
        <v>0</v>
      </c>
      <c r="P972">
        <f t="shared" si="80"/>
        <v>0</v>
      </c>
      <c r="Q972" t="str">
        <f t="shared" si="78"/>
        <v/>
      </c>
    </row>
    <row r="973" spans="3:17" x14ac:dyDescent="0.25">
      <c r="C973">
        <f>SUMIFS(Issuance!$H:$H,Issuance!$D:$D,Formulas!$B973,Issuance!$C:$C,Formulas!C$2)</f>
        <v>0</v>
      </c>
      <c r="D973">
        <f>SUMIFS(Issuance!$H:$H,Issuance!$D:$D,Formulas!$B973,Issuance!$C:$C,Formulas!D$2)</f>
        <v>0</v>
      </c>
      <c r="E973">
        <f t="shared" si="79"/>
        <v>0</v>
      </c>
      <c r="F973" s="41" t="str">
        <f t="shared" si="81"/>
        <v/>
      </c>
      <c r="I973">
        <f>SUMIFS(Buybacks!H:H,Buybacks!D:D,Formulas!H973)</f>
        <v>0</v>
      </c>
      <c r="J973" s="41" t="str">
        <f t="shared" si="82"/>
        <v/>
      </c>
      <c r="M973">
        <f>SUMIFS('Corporate activity'!$H:$H,'Corporate activity'!$D:$D,Formulas!$L973,'Corporate activity'!$C:$C,Formulas!M$2)</f>
        <v>0</v>
      </c>
      <c r="N973">
        <f>SUMIFS('Corporate activity'!$H:$H,'Corporate activity'!$D:$D,Formulas!$L973,'Corporate activity'!$C:$C,Formulas!N$2)</f>
        <v>0</v>
      </c>
      <c r="O973">
        <f>SUMIFS('Corporate activity'!$H:$H,'Corporate activity'!$D:$D,Formulas!$L973,'Corporate activity'!$C:$C,Formulas!O$2)</f>
        <v>0</v>
      </c>
      <c r="P973">
        <f t="shared" si="80"/>
        <v>0</v>
      </c>
      <c r="Q973" t="str">
        <f t="shared" si="78"/>
        <v/>
      </c>
    </row>
    <row r="974" spans="3:17" x14ac:dyDescent="0.25">
      <c r="C974">
        <f>SUMIFS(Issuance!$H:$H,Issuance!$D:$D,Formulas!$B974,Issuance!$C:$C,Formulas!C$2)</f>
        <v>0</v>
      </c>
      <c r="D974">
        <f>SUMIFS(Issuance!$H:$H,Issuance!$D:$D,Formulas!$B974,Issuance!$C:$C,Formulas!D$2)</f>
        <v>0</v>
      </c>
      <c r="E974">
        <f t="shared" si="79"/>
        <v>0</v>
      </c>
      <c r="F974" s="41" t="str">
        <f t="shared" si="81"/>
        <v/>
      </c>
      <c r="I974">
        <f>SUMIFS(Buybacks!H:H,Buybacks!D:D,Formulas!H974)</f>
        <v>0</v>
      </c>
      <c r="J974" s="41" t="str">
        <f t="shared" si="82"/>
        <v/>
      </c>
      <c r="M974">
        <f>SUMIFS('Corporate activity'!$H:$H,'Corporate activity'!$D:$D,Formulas!$L974,'Corporate activity'!$C:$C,Formulas!M$2)</f>
        <v>0</v>
      </c>
      <c r="N974">
        <f>SUMIFS('Corporate activity'!$H:$H,'Corporate activity'!$D:$D,Formulas!$L974,'Corporate activity'!$C:$C,Formulas!N$2)</f>
        <v>0</v>
      </c>
      <c r="O974">
        <f>SUMIFS('Corporate activity'!$H:$H,'Corporate activity'!$D:$D,Formulas!$L974,'Corporate activity'!$C:$C,Formulas!O$2)</f>
        <v>0</v>
      </c>
      <c r="P974">
        <f t="shared" si="80"/>
        <v>0</v>
      </c>
      <c r="Q974" t="str">
        <f t="shared" si="78"/>
        <v/>
      </c>
    </row>
    <row r="975" spans="3:17" x14ac:dyDescent="0.25">
      <c r="C975">
        <f>SUMIFS(Issuance!$H:$H,Issuance!$D:$D,Formulas!$B975,Issuance!$C:$C,Formulas!C$2)</f>
        <v>0</v>
      </c>
      <c r="D975">
        <f>SUMIFS(Issuance!$H:$H,Issuance!$D:$D,Formulas!$B975,Issuance!$C:$C,Formulas!D$2)</f>
        <v>0</v>
      </c>
      <c r="E975">
        <f t="shared" si="79"/>
        <v>0</v>
      </c>
      <c r="F975" s="41" t="str">
        <f t="shared" si="81"/>
        <v/>
      </c>
      <c r="I975">
        <f>SUMIFS(Buybacks!H:H,Buybacks!D:D,Formulas!H975)</f>
        <v>0</v>
      </c>
      <c r="J975" s="41" t="str">
        <f t="shared" si="82"/>
        <v/>
      </c>
      <c r="M975">
        <f>SUMIFS('Corporate activity'!$H:$H,'Corporate activity'!$D:$D,Formulas!$L975,'Corporate activity'!$C:$C,Formulas!M$2)</f>
        <v>0</v>
      </c>
      <c r="N975">
        <f>SUMIFS('Corporate activity'!$H:$H,'Corporate activity'!$D:$D,Formulas!$L975,'Corporate activity'!$C:$C,Formulas!N$2)</f>
        <v>0</v>
      </c>
      <c r="O975">
        <f>SUMIFS('Corporate activity'!$H:$H,'Corporate activity'!$D:$D,Formulas!$L975,'Corporate activity'!$C:$C,Formulas!O$2)</f>
        <v>0</v>
      </c>
      <c r="P975">
        <f t="shared" si="80"/>
        <v>0</v>
      </c>
      <c r="Q975" t="str">
        <f t="shared" si="78"/>
        <v/>
      </c>
    </row>
    <row r="976" spans="3:17" x14ac:dyDescent="0.25">
      <c r="C976">
        <f>SUMIFS(Issuance!$H:$H,Issuance!$D:$D,Formulas!$B976,Issuance!$C:$C,Formulas!C$2)</f>
        <v>0</v>
      </c>
      <c r="D976">
        <f>SUMIFS(Issuance!$H:$H,Issuance!$D:$D,Formulas!$B976,Issuance!$C:$C,Formulas!D$2)</f>
        <v>0</v>
      </c>
      <c r="E976">
        <f t="shared" si="79"/>
        <v>0</v>
      </c>
      <c r="F976" s="41" t="str">
        <f t="shared" si="81"/>
        <v/>
      </c>
      <c r="I976">
        <f>SUMIFS(Buybacks!H:H,Buybacks!D:D,Formulas!H976)</f>
        <v>0</v>
      </c>
      <c r="J976" s="41" t="str">
        <f t="shared" si="82"/>
        <v/>
      </c>
      <c r="M976">
        <f>SUMIFS('Corporate activity'!$H:$H,'Corporate activity'!$D:$D,Formulas!$L976,'Corporate activity'!$C:$C,Formulas!M$2)</f>
        <v>0</v>
      </c>
      <c r="N976">
        <f>SUMIFS('Corporate activity'!$H:$H,'Corporate activity'!$D:$D,Formulas!$L976,'Corporate activity'!$C:$C,Formulas!N$2)</f>
        <v>0</v>
      </c>
      <c r="O976">
        <f>SUMIFS('Corporate activity'!$H:$H,'Corporate activity'!$D:$D,Formulas!$L976,'Corporate activity'!$C:$C,Formulas!O$2)</f>
        <v>0</v>
      </c>
      <c r="P976">
        <f t="shared" si="80"/>
        <v>0</v>
      </c>
      <c r="Q976" t="str">
        <f t="shared" si="78"/>
        <v/>
      </c>
    </row>
    <row r="977" spans="3:17" x14ac:dyDescent="0.25">
      <c r="C977">
        <f>SUMIFS(Issuance!$H:$H,Issuance!$D:$D,Formulas!$B977,Issuance!$C:$C,Formulas!C$2)</f>
        <v>0</v>
      </c>
      <c r="D977">
        <f>SUMIFS(Issuance!$H:$H,Issuance!$D:$D,Formulas!$B977,Issuance!$C:$C,Formulas!D$2)</f>
        <v>0</v>
      </c>
      <c r="E977">
        <f t="shared" si="79"/>
        <v>0</v>
      </c>
      <c r="F977" s="41" t="str">
        <f t="shared" si="81"/>
        <v/>
      </c>
      <c r="I977">
        <f>SUMIFS(Buybacks!H:H,Buybacks!D:D,Formulas!H977)</f>
        <v>0</v>
      </c>
      <c r="J977" s="41" t="str">
        <f t="shared" si="82"/>
        <v/>
      </c>
      <c r="M977">
        <f>SUMIFS('Corporate activity'!$H:$H,'Corporate activity'!$D:$D,Formulas!$L977,'Corporate activity'!$C:$C,Formulas!M$2)</f>
        <v>0</v>
      </c>
      <c r="N977">
        <f>SUMIFS('Corporate activity'!$H:$H,'Corporate activity'!$D:$D,Formulas!$L977,'Corporate activity'!$C:$C,Formulas!N$2)</f>
        <v>0</v>
      </c>
      <c r="O977">
        <f>SUMIFS('Corporate activity'!$H:$H,'Corporate activity'!$D:$D,Formulas!$L977,'Corporate activity'!$C:$C,Formulas!O$2)</f>
        <v>0</v>
      </c>
      <c r="P977">
        <f t="shared" si="80"/>
        <v>0</v>
      </c>
      <c r="Q977" t="str">
        <f t="shared" si="78"/>
        <v/>
      </c>
    </row>
    <row r="978" spans="3:17" x14ac:dyDescent="0.25">
      <c r="C978">
        <f>SUMIFS(Issuance!$H:$H,Issuance!$D:$D,Formulas!$B978,Issuance!$C:$C,Formulas!C$2)</f>
        <v>0</v>
      </c>
      <c r="D978">
        <f>SUMIFS(Issuance!$H:$H,Issuance!$D:$D,Formulas!$B978,Issuance!$C:$C,Formulas!D$2)</f>
        <v>0</v>
      </c>
      <c r="E978">
        <f t="shared" si="79"/>
        <v>0</v>
      </c>
      <c r="F978" s="41" t="str">
        <f t="shared" si="81"/>
        <v/>
      </c>
      <c r="I978">
        <f>SUMIFS(Buybacks!H:H,Buybacks!D:D,Formulas!H978)</f>
        <v>0</v>
      </c>
      <c r="J978" s="41" t="str">
        <f t="shared" si="82"/>
        <v/>
      </c>
      <c r="M978">
        <f>SUMIFS('Corporate activity'!$H:$H,'Corporate activity'!$D:$D,Formulas!$L978,'Corporate activity'!$C:$C,Formulas!M$2)</f>
        <v>0</v>
      </c>
      <c r="N978">
        <f>SUMIFS('Corporate activity'!$H:$H,'Corporate activity'!$D:$D,Formulas!$L978,'Corporate activity'!$C:$C,Formulas!N$2)</f>
        <v>0</v>
      </c>
      <c r="O978">
        <f>SUMIFS('Corporate activity'!$H:$H,'Corporate activity'!$D:$D,Formulas!$L978,'Corporate activity'!$C:$C,Formulas!O$2)</f>
        <v>0</v>
      </c>
      <c r="P978">
        <f t="shared" si="80"/>
        <v>0</v>
      </c>
      <c r="Q978" t="str">
        <f t="shared" si="78"/>
        <v/>
      </c>
    </row>
    <row r="979" spans="3:17" x14ac:dyDescent="0.25">
      <c r="C979">
        <f>SUMIFS(Issuance!$H:$H,Issuance!$D:$D,Formulas!$B979,Issuance!$C:$C,Formulas!C$2)</f>
        <v>0</v>
      </c>
      <c r="D979">
        <f>SUMIFS(Issuance!$H:$H,Issuance!$D:$D,Formulas!$B979,Issuance!$C:$C,Formulas!D$2)</f>
        <v>0</v>
      </c>
      <c r="E979">
        <f t="shared" si="79"/>
        <v>0</v>
      </c>
      <c r="F979" s="41" t="str">
        <f t="shared" si="81"/>
        <v/>
      </c>
      <c r="I979">
        <f>SUMIFS(Buybacks!H:H,Buybacks!D:D,Formulas!H979)</f>
        <v>0</v>
      </c>
      <c r="J979" s="41" t="str">
        <f t="shared" si="82"/>
        <v/>
      </c>
      <c r="M979">
        <f>SUMIFS('Corporate activity'!$H:$H,'Corporate activity'!$D:$D,Formulas!$L979,'Corporate activity'!$C:$C,Formulas!M$2)</f>
        <v>0</v>
      </c>
      <c r="N979">
        <f>SUMIFS('Corporate activity'!$H:$H,'Corporate activity'!$D:$D,Formulas!$L979,'Corporate activity'!$C:$C,Formulas!N$2)</f>
        <v>0</v>
      </c>
      <c r="O979">
        <f>SUMIFS('Corporate activity'!$H:$H,'Corporate activity'!$D:$D,Formulas!$L979,'Corporate activity'!$C:$C,Formulas!O$2)</f>
        <v>0</v>
      </c>
      <c r="P979">
        <f t="shared" si="80"/>
        <v>0</v>
      </c>
      <c r="Q979" t="str">
        <f t="shared" si="78"/>
        <v/>
      </c>
    </row>
    <row r="980" spans="3:17" x14ac:dyDescent="0.25">
      <c r="C980">
        <f>SUMIFS(Issuance!$H:$H,Issuance!$D:$D,Formulas!$B980,Issuance!$C:$C,Formulas!C$2)</f>
        <v>0</v>
      </c>
      <c r="D980">
        <f>SUMIFS(Issuance!$H:$H,Issuance!$D:$D,Formulas!$B980,Issuance!$C:$C,Formulas!D$2)</f>
        <v>0</v>
      </c>
      <c r="E980">
        <f t="shared" si="79"/>
        <v>0</v>
      </c>
      <c r="F980" s="41" t="str">
        <f t="shared" si="81"/>
        <v/>
      </c>
      <c r="I980">
        <f>SUMIFS(Buybacks!H:H,Buybacks!D:D,Formulas!H980)</f>
        <v>0</v>
      </c>
      <c r="J980" s="41" t="str">
        <f t="shared" si="82"/>
        <v/>
      </c>
      <c r="M980">
        <f>SUMIFS('Corporate activity'!$H:$H,'Corporate activity'!$D:$D,Formulas!$L980,'Corporate activity'!$C:$C,Formulas!M$2)</f>
        <v>0</v>
      </c>
      <c r="N980">
        <f>SUMIFS('Corporate activity'!$H:$H,'Corporate activity'!$D:$D,Formulas!$L980,'Corporate activity'!$C:$C,Formulas!N$2)</f>
        <v>0</v>
      </c>
      <c r="O980">
        <f>SUMIFS('Corporate activity'!$H:$H,'Corporate activity'!$D:$D,Formulas!$L980,'Corporate activity'!$C:$C,Formulas!O$2)</f>
        <v>0</v>
      </c>
      <c r="P980">
        <f t="shared" si="80"/>
        <v>0</v>
      </c>
      <c r="Q980" t="str">
        <f t="shared" si="78"/>
        <v/>
      </c>
    </row>
    <row r="981" spans="3:17" x14ac:dyDescent="0.25">
      <c r="C981">
        <f>SUMIFS(Issuance!$H:$H,Issuance!$D:$D,Formulas!$B981,Issuance!$C:$C,Formulas!C$2)</f>
        <v>0</v>
      </c>
      <c r="D981">
        <f>SUMIFS(Issuance!$H:$H,Issuance!$D:$D,Formulas!$B981,Issuance!$C:$C,Formulas!D$2)</f>
        <v>0</v>
      </c>
      <c r="E981">
        <f t="shared" si="79"/>
        <v>0</v>
      </c>
      <c r="F981" s="41" t="str">
        <f t="shared" si="81"/>
        <v/>
      </c>
      <c r="I981">
        <f>SUMIFS(Buybacks!H:H,Buybacks!D:D,Formulas!H981)</f>
        <v>0</v>
      </c>
      <c r="J981" s="41" t="str">
        <f t="shared" si="82"/>
        <v/>
      </c>
      <c r="M981">
        <f>SUMIFS('Corporate activity'!$H:$H,'Corporate activity'!$D:$D,Formulas!$L981,'Corporate activity'!$C:$C,Formulas!M$2)</f>
        <v>0</v>
      </c>
      <c r="N981">
        <f>SUMIFS('Corporate activity'!$H:$H,'Corporate activity'!$D:$D,Formulas!$L981,'Corporate activity'!$C:$C,Formulas!N$2)</f>
        <v>0</v>
      </c>
      <c r="O981">
        <f>SUMIFS('Corporate activity'!$H:$H,'Corporate activity'!$D:$D,Formulas!$L981,'Corporate activity'!$C:$C,Formulas!O$2)</f>
        <v>0</v>
      </c>
      <c r="P981">
        <f t="shared" si="80"/>
        <v>0</v>
      </c>
      <c r="Q981" t="str">
        <f t="shared" si="78"/>
        <v/>
      </c>
    </row>
    <row r="982" spans="3:17" x14ac:dyDescent="0.25">
      <c r="C982">
        <f>SUMIFS(Issuance!$H:$H,Issuance!$D:$D,Formulas!$B982,Issuance!$C:$C,Formulas!C$2)</f>
        <v>0</v>
      </c>
      <c r="D982">
        <f>SUMIFS(Issuance!$H:$H,Issuance!$D:$D,Formulas!$B982,Issuance!$C:$C,Formulas!D$2)</f>
        <v>0</v>
      </c>
      <c r="E982">
        <f t="shared" si="79"/>
        <v>0</v>
      </c>
      <c r="F982" s="41" t="str">
        <f t="shared" si="81"/>
        <v/>
      </c>
      <c r="I982">
        <f>SUMIFS(Buybacks!H:H,Buybacks!D:D,Formulas!H982)</f>
        <v>0</v>
      </c>
      <c r="J982" s="41" t="str">
        <f t="shared" si="82"/>
        <v/>
      </c>
      <c r="M982">
        <f>SUMIFS('Corporate activity'!$H:$H,'Corporate activity'!$D:$D,Formulas!$L982,'Corporate activity'!$C:$C,Formulas!M$2)</f>
        <v>0</v>
      </c>
      <c r="N982">
        <f>SUMIFS('Corporate activity'!$H:$H,'Corporate activity'!$D:$D,Formulas!$L982,'Corporate activity'!$C:$C,Formulas!N$2)</f>
        <v>0</v>
      </c>
      <c r="O982">
        <f>SUMIFS('Corporate activity'!$H:$H,'Corporate activity'!$D:$D,Formulas!$L982,'Corporate activity'!$C:$C,Formulas!O$2)</f>
        <v>0</v>
      </c>
      <c r="P982">
        <f t="shared" si="80"/>
        <v>0</v>
      </c>
      <c r="Q982" t="str">
        <f t="shared" si="78"/>
        <v/>
      </c>
    </row>
    <row r="983" spans="3:17" x14ac:dyDescent="0.25">
      <c r="C983">
        <f>SUMIFS(Issuance!$H:$H,Issuance!$D:$D,Formulas!$B983,Issuance!$C:$C,Formulas!C$2)</f>
        <v>0</v>
      </c>
      <c r="D983">
        <f>SUMIFS(Issuance!$H:$H,Issuance!$D:$D,Formulas!$B983,Issuance!$C:$C,Formulas!D$2)</f>
        <v>0</v>
      </c>
      <c r="E983">
        <f t="shared" si="79"/>
        <v>0</v>
      </c>
      <c r="F983" s="41" t="str">
        <f t="shared" si="81"/>
        <v/>
      </c>
      <c r="I983">
        <f>SUMIFS(Buybacks!H:H,Buybacks!D:D,Formulas!H983)</f>
        <v>0</v>
      </c>
      <c r="J983" s="41" t="str">
        <f t="shared" si="82"/>
        <v/>
      </c>
      <c r="M983">
        <f>SUMIFS('Corporate activity'!$H:$H,'Corporate activity'!$D:$D,Formulas!$L983,'Corporate activity'!$C:$C,Formulas!M$2)</f>
        <v>0</v>
      </c>
      <c r="N983">
        <f>SUMIFS('Corporate activity'!$H:$H,'Corporate activity'!$D:$D,Formulas!$L983,'Corporate activity'!$C:$C,Formulas!N$2)</f>
        <v>0</v>
      </c>
      <c r="O983">
        <f>SUMIFS('Corporate activity'!$H:$H,'Corporate activity'!$D:$D,Formulas!$L983,'Corporate activity'!$C:$C,Formulas!O$2)</f>
        <v>0</v>
      </c>
      <c r="P983">
        <f t="shared" si="80"/>
        <v>0</v>
      </c>
      <c r="Q983" t="str">
        <f t="shared" si="78"/>
        <v/>
      </c>
    </row>
    <row r="984" spans="3:17" x14ac:dyDescent="0.25">
      <c r="C984">
        <f>SUMIFS(Issuance!$H:$H,Issuance!$D:$D,Formulas!$B984,Issuance!$C:$C,Formulas!C$2)</f>
        <v>0</v>
      </c>
      <c r="D984">
        <f>SUMIFS(Issuance!$H:$H,Issuance!$D:$D,Formulas!$B984,Issuance!$C:$C,Formulas!D$2)</f>
        <v>0</v>
      </c>
      <c r="E984">
        <f t="shared" si="79"/>
        <v>0</v>
      </c>
      <c r="F984" s="41" t="str">
        <f t="shared" si="81"/>
        <v/>
      </c>
      <c r="I984">
        <f>SUMIFS(Buybacks!H:H,Buybacks!D:D,Formulas!H984)</f>
        <v>0</v>
      </c>
      <c r="J984" s="41" t="str">
        <f t="shared" si="82"/>
        <v/>
      </c>
      <c r="M984">
        <f>SUMIFS('Corporate activity'!$H:$H,'Corporate activity'!$D:$D,Formulas!$L984,'Corporate activity'!$C:$C,Formulas!M$2)</f>
        <v>0</v>
      </c>
      <c r="N984">
        <f>SUMIFS('Corporate activity'!$H:$H,'Corporate activity'!$D:$D,Formulas!$L984,'Corporate activity'!$C:$C,Formulas!N$2)</f>
        <v>0</v>
      </c>
      <c r="O984">
        <f>SUMIFS('Corporate activity'!$H:$H,'Corporate activity'!$D:$D,Formulas!$L984,'Corporate activity'!$C:$C,Formulas!O$2)</f>
        <v>0</v>
      </c>
      <c r="P984">
        <f t="shared" si="80"/>
        <v>0</v>
      </c>
      <c r="Q984" t="str">
        <f t="shared" si="78"/>
        <v/>
      </c>
    </row>
    <row r="985" spans="3:17" x14ac:dyDescent="0.25">
      <c r="C985">
        <f>SUMIFS(Issuance!$H:$H,Issuance!$D:$D,Formulas!$B985,Issuance!$C:$C,Formulas!C$2)</f>
        <v>0</v>
      </c>
      <c r="D985">
        <f>SUMIFS(Issuance!$H:$H,Issuance!$D:$D,Formulas!$B985,Issuance!$C:$C,Formulas!D$2)</f>
        <v>0</v>
      </c>
      <c r="E985">
        <f t="shared" si="79"/>
        <v>0</v>
      </c>
      <c r="F985" s="41" t="str">
        <f t="shared" si="81"/>
        <v/>
      </c>
      <c r="I985">
        <f>SUMIFS(Buybacks!H:H,Buybacks!D:D,Formulas!H985)</f>
        <v>0</v>
      </c>
      <c r="J985" s="41" t="str">
        <f t="shared" si="82"/>
        <v/>
      </c>
      <c r="M985">
        <f>SUMIFS('Corporate activity'!$H:$H,'Corporate activity'!$D:$D,Formulas!$L985,'Corporate activity'!$C:$C,Formulas!M$2)</f>
        <v>0</v>
      </c>
      <c r="N985">
        <f>SUMIFS('Corporate activity'!$H:$H,'Corporate activity'!$D:$D,Formulas!$L985,'Corporate activity'!$C:$C,Formulas!N$2)</f>
        <v>0</v>
      </c>
      <c r="O985">
        <f>SUMIFS('Corporate activity'!$H:$H,'Corporate activity'!$D:$D,Formulas!$L985,'Corporate activity'!$C:$C,Formulas!O$2)</f>
        <v>0</v>
      </c>
      <c r="P985">
        <f t="shared" si="80"/>
        <v>0</v>
      </c>
      <c r="Q985" t="str">
        <f t="shared" si="78"/>
        <v/>
      </c>
    </row>
    <row r="986" spans="3:17" x14ac:dyDescent="0.25">
      <c r="C986">
        <f>SUMIFS(Issuance!$H:$H,Issuance!$D:$D,Formulas!$B986,Issuance!$C:$C,Formulas!C$2)</f>
        <v>0</v>
      </c>
      <c r="D986">
        <f>SUMIFS(Issuance!$H:$H,Issuance!$D:$D,Formulas!$B986,Issuance!$C:$C,Formulas!D$2)</f>
        <v>0</v>
      </c>
      <c r="E986">
        <f t="shared" si="79"/>
        <v>0</v>
      </c>
      <c r="F986" s="41" t="str">
        <f t="shared" si="81"/>
        <v/>
      </c>
      <c r="I986">
        <f>SUMIFS(Buybacks!H:H,Buybacks!D:D,Formulas!H986)</f>
        <v>0</v>
      </c>
      <c r="J986" s="41" t="str">
        <f t="shared" si="82"/>
        <v/>
      </c>
      <c r="M986">
        <f>SUMIFS('Corporate activity'!$H:$H,'Corporate activity'!$D:$D,Formulas!$L986,'Corporate activity'!$C:$C,Formulas!M$2)</f>
        <v>0</v>
      </c>
      <c r="N986">
        <f>SUMIFS('Corporate activity'!$H:$H,'Corporate activity'!$D:$D,Formulas!$L986,'Corporate activity'!$C:$C,Formulas!N$2)</f>
        <v>0</v>
      </c>
      <c r="O986">
        <f>SUMIFS('Corporate activity'!$H:$H,'Corporate activity'!$D:$D,Formulas!$L986,'Corporate activity'!$C:$C,Formulas!O$2)</f>
        <v>0</v>
      </c>
      <c r="P986">
        <f t="shared" si="80"/>
        <v>0</v>
      </c>
      <c r="Q986" t="str">
        <f t="shared" si="78"/>
        <v/>
      </c>
    </row>
    <row r="987" spans="3:17" x14ac:dyDescent="0.25">
      <c r="C987">
        <f>SUMIFS(Issuance!$H:$H,Issuance!$D:$D,Formulas!$B987,Issuance!$C:$C,Formulas!C$2)</f>
        <v>0</v>
      </c>
      <c r="D987">
        <f>SUMIFS(Issuance!$H:$H,Issuance!$D:$D,Formulas!$B987,Issuance!$C:$C,Formulas!D$2)</f>
        <v>0</v>
      </c>
      <c r="E987">
        <f t="shared" si="79"/>
        <v>0</v>
      </c>
      <c r="F987" s="41" t="str">
        <f t="shared" si="81"/>
        <v/>
      </c>
      <c r="I987">
        <f>SUMIFS(Buybacks!H:H,Buybacks!D:D,Formulas!H987)</f>
        <v>0</v>
      </c>
      <c r="J987" s="41" t="str">
        <f t="shared" si="82"/>
        <v/>
      </c>
      <c r="M987">
        <f>SUMIFS('Corporate activity'!$H:$H,'Corporate activity'!$D:$D,Formulas!$L987,'Corporate activity'!$C:$C,Formulas!M$2)</f>
        <v>0</v>
      </c>
      <c r="N987">
        <f>SUMIFS('Corporate activity'!$H:$H,'Corporate activity'!$D:$D,Formulas!$L987,'Corporate activity'!$C:$C,Formulas!N$2)</f>
        <v>0</v>
      </c>
      <c r="O987">
        <f>SUMIFS('Corporate activity'!$H:$H,'Corporate activity'!$D:$D,Formulas!$L987,'Corporate activity'!$C:$C,Formulas!O$2)</f>
        <v>0</v>
      </c>
      <c r="P987">
        <f t="shared" si="80"/>
        <v>0</v>
      </c>
      <c r="Q987" t="str">
        <f t="shared" ref="Q987:Q1000" si="83">IF(OR(L987="",L987=0,P987=0),"",IF(COUNTIFS($P$3:$P$500,"&lt;"&amp;P987,$P$3:$P$500,"&lt;&gt;0")+1&lt;=20,COUNTIFS($P$3:$P$500,"&lt;"&amp;P987,$P$3:$P$500,"&lt;&gt;0")+1,""))</f>
        <v/>
      </c>
    </row>
    <row r="988" spans="3:17" x14ac:dyDescent="0.25">
      <c r="C988">
        <f>SUMIFS(Issuance!$H:$H,Issuance!$D:$D,Formulas!$B988,Issuance!$C:$C,Formulas!C$2)</f>
        <v>0</v>
      </c>
      <c r="D988">
        <f>SUMIFS(Issuance!$H:$H,Issuance!$D:$D,Formulas!$B988,Issuance!$C:$C,Formulas!D$2)</f>
        <v>0</v>
      </c>
      <c r="E988">
        <f t="shared" si="79"/>
        <v>0</v>
      </c>
      <c r="F988" s="41" t="str">
        <f t="shared" si="81"/>
        <v/>
      </c>
      <c r="I988">
        <f>SUMIFS(Buybacks!H:H,Buybacks!D:D,Formulas!H988)</f>
        <v>0</v>
      </c>
      <c r="J988" s="41" t="str">
        <f t="shared" si="82"/>
        <v/>
      </c>
      <c r="M988">
        <f>SUMIFS('Corporate activity'!$H:$H,'Corporate activity'!$D:$D,Formulas!$L988,'Corporate activity'!$C:$C,Formulas!M$2)</f>
        <v>0</v>
      </c>
      <c r="N988">
        <f>SUMIFS('Corporate activity'!$H:$H,'Corporate activity'!$D:$D,Formulas!$L988,'Corporate activity'!$C:$C,Formulas!N$2)</f>
        <v>0</v>
      </c>
      <c r="O988">
        <f>SUMIFS('Corporate activity'!$H:$H,'Corporate activity'!$D:$D,Formulas!$L988,'Corporate activity'!$C:$C,Formulas!O$2)</f>
        <v>0</v>
      </c>
      <c r="P988">
        <f t="shared" si="80"/>
        <v>0</v>
      </c>
      <c r="Q988" t="str">
        <f t="shared" si="83"/>
        <v/>
      </c>
    </row>
    <row r="989" spans="3:17" x14ac:dyDescent="0.25">
      <c r="C989">
        <f>SUMIFS(Issuance!$H:$H,Issuance!$D:$D,Formulas!$B989,Issuance!$C:$C,Formulas!C$2)</f>
        <v>0</v>
      </c>
      <c r="D989">
        <f>SUMIFS(Issuance!$H:$H,Issuance!$D:$D,Formulas!$B989,Issuance!$C:$C,Formulas!D$2)</f>
        <v>0</v>
      </c>
      <c r="E989">
        <f t="shared" si="79"/>
        <v>0</v>
      </c>
      <c r="F989" s="41" t="str">
        <f t="shared" si="81"/>
        <v/>
      </c>
      <c r="I989">
        <f>SUMIFS(Buybacks!H:H,Buybacks!D:D,Formulas!H989)</f>
        <v>0</v>
      </c>
      <c r="J989" s="41" t="str">
        <f t="shared" si="82"/>
        <v/>
      </c>
      <c r="M989">
        <f>SUMIFS('Corporate activity'!$H:$H,'Corporate activity'!$D:$D,Formulas!$L989,'Corporate activity'!$C:$C,Formulas!M$2)</f>
        <v>0</v>
      </c>
      <c r="N989">
        <f>SUMIFS('Corporate activity'!$H:$H,'Corporate activity'!$D:$D,Formulas!$L989,'Corporate activity'!$C:$C,Formulas!N$2)</f>
        <v>0</v>
      </c>
      <c r="O989">
        <f>SUMIFS('Corporate activity'!$H:$H,'Corporate activity'!$D:$D,Formulas!$L989,'Corporate activity'!$C:$C,Formulas!O$2)</f>
        <v>0</v>
      </c>
      <c r="P989">
        <f t="shared" si="80"/>
        <v>0</v>
      </c>
      <c r="Q989" t="str">
        <f t="shared" si="83"/>
        <v/>
      </c>
    </row>
    <row r="990" spans="3:17" x14ac:dyDescent="0.25">
      <c r="C990">
        <f>SUMIFS(Issuance!$H:$H,Issuance!$D:$D,Formulas!$B990,Issuance!$C:$C,Formulas!C$2)</f>
        <v>0</v>
      </c>
      <c r="D990">
        <f>SUMIFS(Issuance!$H:$H,Issuance!$D:$D,Formulas!$B990,Issuance!$C:$C,Formulas!D$2)</f>
        <v>0</v>
      </c>
      <c r="E990">
        <f t="shared" si="79"/>
        <v>0</v>
      </c>
      <c r="F990" s="41" t="str">
        <f t="shared" si="81"/>
        <v/>
      </c>
      <c r="I990">
        <f>SUMIFS(Buybacks!H:H,Buybacks!D:D,Formulas!H990)</f>
        <v>0</v>
      </c>
      <c r="J990" s="41" t="str">
        <f t="shared" si="82"/>
        <v/>
      </c>
      <c r="M990">
        <f>SUMIFS('Corporate activity'!$H:$H,'Corporate activity'!$D:$D,Formulas!$L990,'Corporate activity'!$C:$C,Formulas!M$2)</f>
        <v>0</v>
      </c>
      <c r="N990">
        <f>SUMIFS('Corporate activity'!$H:$H,'Corporate activity'!$D:$D,Formulas!$L990,'Corporate activity'!$C:$C,Formulas!N$2)</f>
        <v>0</v>
      </c>
      <c r="O990">
        <f>SUMIFS('Corporate activity'!$H:$H,'Corporate activity'!$D:$D,Formulas!$L990,'Corporate activity'!$C:$C,Formulas!O$2)</f>
        <v>0</v>
      </c>
      <c r="P990">
        <f t="shared" si="80"/>
        <v>0</v>
      </c>
      <c r="Q990" t="str">
        <f t="shared" si="83"/>
        <v/>
      </c>
    </row>
    <row r="991" spans="3:17" x14ac:dyDescent="0.25">
      <c r="C991">
        <f>SUMIFS(Issuance!$H:$H,Issuance!$D:$D,Formulas!$B991,Issuance!$C:$C,Formulas!C$2)</f>
        <v>0</v>
      </c>
      <c r="D991">
        <f>SUMIFS(Issuance!$H:$H,Issuance!$D:$D,Formulas!$B991,Issuance!$C:$C,Formulas!D$2)</f>
        <v>0</v>
      </c>
      <c r="E991">
        <f t="shared" si="79"/>
        <v>0</v>
      </c>
      <c r="F991" s="41" t="str">
        <f t="shared" si="81"/>
        <v/>
      </c>
      <c r="I991">
        <f>SUMIFS(Buybacks!H:H,Buybacks!D:D,Formulas!H991)</f>
        <v>0</v>
      </c>
      <c r="J991" s="41" t="str">
        <f t="shared" si="82"/>
        <v/>
      </c>
      <c r="M991">
        <f>SUMIFS('Corporate activity'!$H:$H,'Corporate activity'!$D:$D,Formulas!$L991,'Corporate activity'!$C:$C,Formulas!M$2)</f>
        <v>0</v>
      </c>
      <c r="N991">
        <f>SUMIFS('Corporate activity'!$H:$H,'Corporate activity'!$D:$D,Formulas!$L991,'Corporate activity'!$C:$C,Formulas!N$2)</f>
        <v>0</v>
      </c>
      <c r="O991">
        <f>SUMIFS('Corporate activity'!$H:$H,'Corporate activity'!$D:$D,Formulas!$L991,'Corporate activity'!$C:$C,Formulas!O$2)</f>
        <v>0</v>
      </c>
      <c r="P991">
        <f t="shared" si="80"/>
        <v>0</v>
      </c>
      <c r="Q991" t="str">
        <f t="shared" si="83"/>
        <v/>
      </c>
    </row>
    <row r="992" spans="3:17" x14ac:dyDescent="0.25">
      <c r="C992">
        <f>SUMIFS(Issuance!$H:$H,Issuance!$D:$D,Formulas!$B992,Issuance!$C:$C,Formulas!C$2)</f>
        <v>0</v>
      </c>
      <c r="D992">
        <f>SUMIFS(Issuance!$H:$H,Issuance!$D:$D,Formulas!$B992,Issuance!$C:$C,Formulas!D$2)</f>
        <v>0</v>
      </c>
      <c r="E992">
        <f t="shared" si="79"/>
        <v>0</v>
      </c>
      <c r="F992" s="41" t="str">
        <f t="shared" si="81"/>
        <v/>
      </c>
      <c r="I992">
        <f>SUMIFS(Buybacks!H:H,Buybacks!D:D,Formulas!H992)</f>
        <v>0</v>
      </c>
      <c r="J992" s="41" t="str">
        <f t="shared" si="82"/>
        <v/>
      </c>
      <c r="M992">
        <f>SUMIFS('Corporate activity'!$H:$H,'Corporate activity'!$D:$D,Formulas!$L992,'Corporate activity'!$C:$C,Formulas!M$2)</f>
        <v>0</v>
      </c>
      <c r="N992">
        <f>SUMIFS('Corporate activity'!$H:$H,'Corporate activity'!$D:$D,Formulas!$L992,'Corporate activity'!$C:$C,Formulas!N$2)</f>
        <v>0</v>
      </c>
      <c r="O992">
        <f>SUMIFS('Corporate activity'!$H:$H,'Corporate activity'!$D:$D,Formulas!$L992,'Corporate activity'!$C:$C,Formulas!O$2)</f>
        <v>0</v>
      </c>
      <c r="P992">
        <f t="shared" si="80"/>
        <v>0</v>
      </c>
      <c r="Q992" t="str">
        <f t="shared" si="83"/>
        <v/>
      </c>
    </row>
    <row r="993" spans="3:17" x14ac:dyDescent="0.25">
      <c r="C993">
        <f>SUMIFS(Issuance!$H:$H,Issuance!$D:$D,Formulas!$B993,Issuance!$C:$C,Formulas!C$2)</f>
        <v>0</v>
      </c>
      <c r="D993">
        <f>SUMIFS(Issuance!$H:$H,Issuance!$D:$D,Formulas!$B993,Issuance!$C:$C,Formulas!D$2)</f>
        <v>0</v>
      </c>
      <c r="E993">
        <f t="shared" si="79"/>
        <v>0</v>
      </c>
      <c r="F993" s="41" t="str">
        <f t="shared" si="81"/>
        <v/>
      </c>
      <c r="I993">
        <f>SUMIFS(Buybacks!H:H,Buybacks!D:D,Formulas!H993)</f>
        <v>0</v>
      </c>
      <c r="J993" s="41" t="str">
        <f t="shared" si="82"/>
        <v/>
      </c>
      <c r="M993">
        <f>SUMIFS('Corporate activity'!$H:$H,'Corporate activity'!$D:$D,Formulas!$L993,'Corporate activity'!$C:$C,Formulas!M$2)</f>
        <v>0</v>
      </c>
      <c r="N993">
        <f>SUMIFS('Corporate activity'!$H:$H,'Corporate activity'!$D:$D,Formulas!$L993,'Corporate activity'!$C:$C,Formulas!N$2)</f>
        <v>0</v>
      </c>
      <c r="O993">
        <f>SUMIFS('Corporate activity'!$H:$H,'Corporate activity'!$D:$D,Formulas!$L993,'Corporate activity'!$C:$C,Formulas!O$2)</f>
        <v>0</v>
      </c>
      <c r="P993">
        <f t="shared" si="80"/>
        <v>0</v>
      </c>
      <c r="Q993" t="str">
        <f t="shared" si="83"/>
        <v/>
      </c>
    </row>
    <row r="994" spans="3:17" x14ac:dyDescent="0.25">
      <c r="C994">
        <f>SUMIFS(Issuance!$H:$H,Issuance!$D:$D,Formulas!$B994,Issuance!$C:$C,Formulas!C$2)</f>
        <v>0</v>
      </c>
      <c r="D994">
        <f>SUMIFS(Issuance!$H:$H,Issuance!$D:$D,Formulas!$B994,Issuance!$C:$C,Formulas!D$2)</f>
        <v>0</v>
      </c>
      <c r="E994">
        <f t="shared" si="79"/>
        <v>0</v>
      </c>
      <c r="F994" s="41" t="str">
        <f t="shared" si="81"/>
        <v/>
      </c>
      <c r="I994">
        <f>SUMIFS(Buybacks!H:H,Buybacks!D:D,Formulas!H994)</f>
        <v>0</v>
      </c>
      <c r="J994" s="41" t="str">
        <f t="shared" si="82"/>
        <v/>
      </c>
      <c r="M994">
        <f>SUMIFS('Corporate activity'!$H:$H,'Corporate activity'!$D:$D,Formulas!$L994,'Corporate activity'!$C:$C,Formulas!M$2)</f>
        <v>0</v>
      </c>
      <c r="N994">
        <f>SUMIFS('Corporate activity'!$H:$H,'Corporate activity'!$D:$D,Formulas!$L994,'Corporate activity'!$C:$C,Formulas!N$2)</f>
        <v>0</v>
      </c>
      <c r="O994">
        <f>SUMIFS('Corporate activity'!$H:$H,'Corporate activity'!$D:$D,Formulas!$L994,'Corporate activity'!$C:$C,Formulas!O$2)</f>
        <v>0</v>
      </c>
      <c r="P994">
        <f t="shared" si="80"/>
        <v>0</v>
      </c>
      <c r="Q994" t="str">
        <f t="shared" si="83"/>
        <v/>
      </c>
    </row>
    <row r="995" spans="3:17" x14ac:dyDescent="0.25">
      <c r="C995">
        <f>SUMIFS(Issuance!$H:$H,Issuance!$D:$D,Formulas!$B995,Issuance!$C:$C,Formulas!C$2)</f>
        <v>0</v>
      </c>
      <c r="D995">
        <f>SUMIFS(Issuance!$H:$H,Issuance!$D:$D,Formulas!$B995,Issuance!$C:$C,Formulas!D$2)</f>
        <v>0</v>
      </c>
      <c r="E995">
        <f t="shared" si="79"/>
        <v>0</v>
      </c>
      <c r="F995" s="41" t="str">
        <f t="shared" si="81"/>
        <v/>
      </c>
      <c r="I995">
        <f>SUMIFS(Buybacks!H:H,Buybacks!D:D,Formulas!H995)</f>
        <v>0</v>
      </c>
      <c r="J995" s="41" t="str">
        <f t="shared" si="82"/>
        <v/>
      </c>
      <c r="M995">
        <f>SUMIFS('Corporate activity'!$H:$H,'Corporate activity'!$D:$D,Formulas!$L995,'Corporate activity'!$C:$C,Formulas!M$2)</f>
        <v>0</v>
      </c>
      <c r="N995">
        <f>SUMIFS('Corporate activity'!$H:$H,'Corporate activity'!$D:$D,Formulas!$L995,'Corporate activity'!$C:$C,Formulas!N$2)</f>
        <v>0</v>
      </c>
      <c r="O995">
        <f>SUMIFS('Corporate activity'!$H:$H,'Corporate activity'!$D:$D,Formulas!$L995,'Corporate activity'!$C:$C,Formulas!O$2)</f>
        <v>0</v>
      </c>
      <c r="P995">
        <f t="shared" si="80"/>
        <v>0</v>
      </c>
      <c r="Q995" t="str">
        <f t="shared" si="83"/>
        <v/>
      </c>
    </row>
    <row r="996" spans="3:17" x14ac:dyDescent="0.25">
      <c r="C996">
        <f>SUMIFS(Issuance!$H:$H,Issuance!$D:$D,Formulas!$B996,Issuance!$C:$C,Formulas!C$2)</f>
        <v>0</v>
      </c>
      <c r="D996">
        <f>SUMIFS(Issuance!$H:$H,Issuance!$D:$D,Formulas!$B996,Issuance!$C:$C,Formulas!D$2)</f>
        <v>0</v>
      </c>
      <c r="E996">
        <f t="shared" si="79"/>
        <v>0</v>
      </c>
      <c r="F996" s="41" t="str">
        <f t="shared" si="81"/>
        <v/>
      </c>
      <c r="I996">
        <f>SUMIFS(Buybacks!H:H,Buybacks!D:D,Formulas!H996)</f>
        <v>0</v>
      </c>
      <c r="J996" s="41" t="str">
        <f t="shared" si="82"/>
        <v/>
      </c>
      <c r="M996">
        <f>SUMIFS('Corporate activity'!$H:$H,'Corporate activity'!$D:$D,Formulas!$L996,'Corporate activity'!$C:$C,Formulas!M$2)</f>
        <v>0</v>
      </c>
      <c r="N996">
        <f>SUMIFS('Corporate activity'!$H:$H,'Corporate activity'!$D:$D,Formulas!$L996,'Corporate activity'!$C:$C,Formulas!N$2)</f>
        <v>0</v>
      </c>
      <c r="O996">
        <f>SUMIFS('Corporate activity'!$H:$H,'Corporate activity'!$D:$D,Formulas!$L996,'Corporate activity'!$C:$C,Formulas!O$2)</f>
        <v>0</v>
      </c>
      <c r="P996">
        <f t="shared" si="80"/>
        <v>0</v>
      </c>
      <c r="Q996" t="str">
        <f t="shared" si="83"/>
        <v/>
      </c>
    </row>
    <row r="997" spans="3:17" x14ac:dyDescent="0.25">
      <c r="C997">
        <f>SUMIFS(Issuance!$H:$H,Issuance!$D:$D,Formulas!$B997,Issuance!$C:$C,Formulas!C$2)</f>
        <v>0</v>
      </c>
      <c r="D997">
        <f>SUMIFS(Issuance!$H:$H,Issuance!$D:$D,Formulas!$B997,Issuance!$C:$C,Formulas!D$2)</f>
        <v>0</v>
      </c>
      <c r="E997">
        <f t="shared" si="79"/>
        <v>0</v>
      </c>
      <c r="F997" s="41" t="str">
        <f t="shared" si="81"/>
        <v/>
      </c>
      <c r="I997">
        <f>SUMIFS(Buybacks!H:H,Buybacks!D:D,Formulas!H997)</f>
        <v>0</v>
      </c>
      <c r="J997" s="41" t="str">
        <f t="shared" si="82"/>
        <v/>
      </c>
      <c r="M997">
        <f>SUMIFS('Corporate activity'!$H:$H,'Corporate activity'!$D:$D,Formulas!$L997,'Corporate activity'!$C:$C,Formulas!M$2)</f>
        <v>0</v>
      </c>
      <c r="N997">
        <f>SUMIFS('Corporate activity'!$H:$H,'Corporate activity'!$D:$D,Formulas!$L997,'Corporate activity'!$C:$C,Formulas!N$2)</f>
        <v>0</v>
      </c>
      <c r="O997">
        <f>SUMIFS('Corporate activity'!$H:$H,'Corporate activity'!$D:$D,Formulas!$L997,'Corporate activity'!$C:$C,Formulas!O$2)</f>
        <v>0</v>
      </c>
      <c r="P997">
        <f t="shared" si="80"/>
        <v>0</v>
      </c>
      <c r="Q997" t="str">
        <f t="shared" si="83"/>
        <v/>
      </c>
    </row>
    <row r="998" spans="3:17" x14ac:dyDescent="0.25">
      <c r="C998">
        <f>SUMIFS(Issuance!$H:$H,Issuance!$D:$D,Formulas!$B998,Issuance!$C:$C,Formulas!C$2)</f>
        <v>0</v>
      </c>
      <c r="D998">
        <f>SUMIFS(Issuance!$H:$H,Issuance!$D:$D,Formulas!$B998,Issuance!$C:$C,Formulas!D$2)</f>
        <v>0</v>
      </c>
      <c r="E998">
        <f t="shared" si="79"/>
        <v>0</v>
      </c>
      <c r="F998" s="41" t="str">
        <f t="shared" si="81"/>
        <v/>
      </c>
      <c r="I998">
        <f>SUMIFS(Buybacks!H:H,Buybacks!D:D,Formulas!H998)</f>
        <v>0</v>
      </c>
      <c r="J998" s="41" t="str">
        <f t="shared" si="82"/>
        <v/>
      </c>
      <c r="M998">
        <f>SUMIFS('Corporate activity'!$H:$H,'Corporate activity'!$D:$D,Formulas!$L998,'Corporate activity'!$C:$C,Formulas!M$2)</f>
        <v>0</v>
      </c>
      <c r="N998">
        <f>SUMIFS('Corporate activity'!$H:$H,'Corporate activity'!$D:$D,Formulas!$L998,'Corporate activity'!$C:$C,Formulas!N$2)</f>
        <v>0</v>
      </c>
      <c r="O998">
        <f>SUMIFS('Corporate activity'!$H:$H,'Corporate activity'!$D:$D,Formulas!$L998,'Corporate activity'!$C:$C,Formulas!O$2)</f>
        <v>0</v>
      </c>
      <c r="P998">
        <f t="shared" si="80"/>
        <v>0</v>
      </c>
      <c r="Q998" t="str">
        <f t="shared" si="83"/>
        <v/>
      </c>
    </row>
    <row r="999" spans="3:17" x14ac:dyDescent="0.25">
      <c r="C999">
        <f>SUMIFS(Issuance!$H:$H,Issuance!$D:$D,Formulas!$B999,Issuance!$C:$C,Formulas!C$2)</f>
        <v>0</v>
      </c>
      <c r="D999">
        <f>SUMIFS(Issuance!$H:$H,Issuance!$D:$D,Formulas!$B999,Issuance!$C:$C,Formulas!D$2)</f>
        <v>0</v>
      </c>
      <c r="E999">
        <f t="shared" si="79"/>
        <v>0</v>
      </c>
      <c r="F999" s="41" t="str">
        <f t="shared" si="81"/>
        <v/>
      </c>
      <c r="I999">
        <f>SUMIFS(Buybacks!H:H,Buybacks!D:D,Formulas!H999)</f>
        <v>0</v>
      </c>
      <c r="J999" s="41" t="str">
        <f t="shared" si="82"/>
        <v/>
      </c>
      <c r="M999">
        <f>SUMIFS('Corporate activity'!$H:$H,'Corporate activity'!$D:$D,Formulas!$L999,'Corporate activity'!$C:$C,Formulas!M$2)</f>
        <v>0</v>
      </c>
      <c r="N999">
        <f>SUMIFS('Corporate activity'!$H:$H,'Corporate activity'!$D:$D,Formulas!$L999,'Corporate activity'!$C:$C,Formulas!N$2)</f>
        <v>0</v>
      </c>
      <c r="O999">
        <f>SUMIFS('Corporate activity'!$H:$H,'Corporate activity'!$D:$D,Formulas!$L999,'Corporate activity'!$C:$C,Formulas!O$2)</f>
        <v>0</v>
      </c>
      <c r="P999">
        <f t="shared" si="80"/>
        <v>0</v>
      </c>
      <c r="Q999" t="str">
        <f t="shared" si="83"/>
        <v/>
      </c>
    </row>
    <row r="1000" spans="3:17" x14ac:dyDescent="0.25">
      <c r="C1000">
        <f>SUMIFS(Issuance!$H:$H,Issuance!$D:$D,Formulas!$B1000,Issuance!$C:$C,Formulas!C$2)</f>
        <v>0</v>
      </c>
      <c r="D1000">
        <f>SUMIFS(Issuance!$H:$H,Issuance!$D:$D,Formulas!$B1000,Issuance!$C:$C,Formulas!D$2)</f>
        <v>0</v>
      </c>
      <c r="E1000">
        <f t="shared" si="79"/>
        <v>0</v>
      </c>
      <c r="F1000" s="41" t="str">
        <f t="shared" si="81"/>
        <v/>
      </c>
      <c r="I1000">
        <f>SUMIFS(Buybacks!H:H,Buybacks!D:D,Formulas!H1000)</f>
        <v>0</v>
      </c>
      <c r="J1000" s="41" t="str">
        <f t="shared" si="82"/>
        <v/>
      </c>
      <c r="M1000">
        <f>SUMIFS('Corporate activity'!$H:$H,'Corporate activity'!$D:$D,Formulas!$L1000,'Corporate activity'!$C:$C,Formulas!M$2)</f>
        <v>0</v>
      </c>
      <c r="N1000">
        <f>SUMIFS('Corporate activity'!$H:$H,'Corporate activity'!$D:$D,Formulas!$L1000,'Corporate activity'!$C:$C,Formulas!N$2)</f>
        <v>0</v>
      </c>
      <c r="O1000">
        <f>SUMIFS('Corporate activity'!$H:$H,'Corporate activity'!$D:$D,Formulas!$L1000,'Corporate activity'!$C:$C,Formulas!O$2)</f>
        <v>0</v>
      </c>
      <c r="P1000">
        <f t="shared" si="80"/>
        <v>0</v>
      </c>
      <c r="Q1000" t="str">
        <f t="shared" si="83"/>
        <v/>
      </c>
    </row>
  </sheetData>
  <autoFilter ref="H2:J2" xr:uid="{50636EF5-2BB3-47F4-989F-D21375265CB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970D-9D59-4B5B-B4DC-F0E3BD12A32B}">
  <sheetPr>
    <pageSetUpPr fitToPage="1"/>
  </sheetPr>
  <dimension ref="A1:P59"/>
  <sheetViews>
    <sheetView showGridLines="0" tabSelected="1" zoomScale="85" zoomScaleNormal="85" workbookViewId="0"/>
  </sheetViews>
  <sheetFormatPr defaultColWidth="0" defaultRowHeight="15" zeroHeight="1" x14ac:dyDescent="0.25"/>
  <cols>
    <col min="1" max="1" width="2" customWidth="1"/>
    <col min="2" max="2" width="30.85546875" style="45" customWidth="1"/>
    <col min="3" max="3" width="14.5703125" style="45" customWidth="1"/>
    <col min="4" max="4" width="1.5703125" style="45" customWidth="1"/>
    <col min="5" max="5" width="40.85546875" style="45" bestFit="1" customWidth="1"/>
    <col min="6" max="6" width="15.7109375" style="45" bestFit="1" customWidth="1"/>
    <col min="7" max="7" width="1.42578125" style="45" customWidth="1"/>
    <col min="8" max="8" width="34" style="45" bestFit="1" customWidth="1"/>
    <col min="9" max="9" width="15.85546875" style="45" customWidth="1"/>
    <col min="10" max="10" width="1.28515625" style="45" customWidth="1"/>
    <col min="11" max="11" width="34.7109375" style="45" customWidth="1"/>
    <col min="12" max="12" width="10" style="45" bestFit="1" customWidth="1"/>
    <col min="13" max="13" width="12.140625" style="45" customWidth="1"/>
    <col min="14" max="14" width="11.28515625" style="45" customWidth="1"/>
    <col min="15" max="15" width="1.5703125" customWidth="1"/>
    <col min="16" max="16384" width="9.140625" hidden="1"/>
  </cols>
  <sheetData>
    <row r="1" spans="1:16" s="66" customFormat="1" ht="19.5" customHeight="1" x14ac:dyDescent="0.25">
      <c r="A1" s="42"/>
      <c r="B1" s="73" t="s">
        <v>166</v>
      </c>
      <c r="C1" s="65"/>
      <c r="D1" s="65"/>
      <c r="E1" s="65"/>
      <c r="F1" s="65"/>
      <c r="G1" s="65"/>
      <c r="H1" s="65"/>
      <c r="I1" s="65"/>
      <c r="J1" s="65"/>
      <c r="K1" s="65"/>
      <c r="L1" s="65"/>
      <c r="M1" s="65"/>
      <c r="N1" s="65"/>
    </row>
    <row r="2" spans="1:16" ht="27.75" customHeight="1" x14ac:dyDescent="0.25">
      <c r="A2" s="42"/>
      <c r="B2" s="96" t="s">
        <v>140</v>
      </c>
      <c r="C2" s="97"/>
      <c r="D2" s="97"/>
      <c r="E2" s="97"/>
      <c r="F2" s="97"/>
      <c r="G2" s="97"/>
      <c r="H2" s="97"/>
      <c r="I2" s="97"/>
      <c r="J2" s="97"/>
      <c r="K2" s="97"/>
      <c r="L2" s="97"/>
      <c r="M2" s="97"/>
      <c r="N2" s="97"/>
    </row>
    <row r="3" spans="1:16" ht="6" customHeight="1" x14ac:dyDescent="0.25">
      <c r="A3" s="42"/>
      <c r="B3" s="69"/>
      <c r="C3" s="46"/>
      <c r="D3" s="46"/>
      <c r="E3" s="46"/>
      <c r="F3" s="46"/>
      <c r="G3" s="46"/>
      <c r="H3" s="46"/>
      <c r="I3" s="46"/>
      <c r="K3"/>
      <c r="L3"/>
      <c r="M3"/>
      <c r="N3"/>
    </row>
    <row r="4" spans="1:16" ht="32.25" customHeight="1" x14ac:dyDescent="0.25">
      <c r="A4" s="42"/>
      <c r="B4" s="69"/>
      <c r="C4" s="46"/>
      <c r="D4" s="46"/>
      <c r="E4" s="46"/>
      <c r="F4" s="46"/>
      <c r="G4" s="46"/>
      <c r="H4" s="46"/>
      <c r="I4" s="46"/>
      <c r="K4"/>
      <c r="L4"/>
      <c r="M4"/>
      <c r="N4"/>
    </row>
    <row r="5" spans="1:16" ht="32.25" customHeight="1" x14ac:dyDescent="0.25">
      <c r="A5" s="42"/>
      <c r="B5" s="83" t="s">
        <v>146</v>
      </c>
      <c r="C5" s="84">
        <f>SUMIF($B$16:$B$26,"New Issue",$C$16:$C$26)</f>
        <v>0</v>
      </c>
      <c r="D5" s="46"/>
      <c r="E5" s="46"/>
      <c r="F5" s="46"/>
      <c r="G5" s="46"/>
      <c r="H5" s="46"/>
      <c r="I5" s="46"/>
      <c r="K5"/>
      <c r="L5"/>
      <c r="M5"/>
      <c r="N5"/>
    </row>
    <row r="6" spans="1:16" ht="32.25" customHeight="1" x14ac:dyDescent="0.25">
      <c r="A6" s="42"/>
      <c r="B6" s="83" t="s">
        <v>144</v>
      </c>
      <c r="C6" s="84">
        <f>SUM($C$17:$C$26)-C5</f>
        <v>1473.6760513083364</v>
      </c>
      <c r="D6" s="46"/>
      <c r="E6" s="46"/>
      <c r="F6" s="46"/>
      <c r="G6" s="46"/>
      <c r="H6" s="46"/>
      <c r="I6" s="46"/>
      <c r="K6"/>
      <c r="L6"/>
      <c r="M6"/>
      <c r="N6"/>
    </row>
    <row r="7" spans="1:16" ht="32.25" customHeight="1" x14ac:dyDescent="0.25">
      <c r="A7" s="42"/>
      <c r="B7" s="83" t="s">
        <v>129</v>
      </c>
      <c r="C7" s="84">
        <f>ABS(SUMIF($E$17:$E$26,"Buyback",$F$17:$F$26))*-1</f>
        <v>-5022.282542259306</v>
      </c>
      <c r="D7" s="46"/>
      <c r="E7" s="46"/>
      <c r="F7" s="46"/>
      <c r="G7" s="46"/>
      <c r="H7" s="46"/>
      <c r="I7" s="46"/>
      <c r="K7"/>
      <c r="L7"/>
      <c r="M7"/>
      <c r="N7"/>
    </row>
    <row r="8" spans="1:16" ht="32.25" customHeight="1" x14ac:dyDescent="0.25">
      <c r="A8" s="42"/>
      <c r="B8" s="83" t="s">
        <v>134</v>
      </c>
      <c r="C8" s="84">
        <f>SUMIF(E17:E26,"*" &amp; "depart" &amp; "*",$F$17:$F$26)+SUMIF($E$17:$E$26,"*" &amp; "merge" &amp; "*",$F$17:$F$26)</f>
        <v>-5213.7460757383542</v>
      </c>
      <c r="D8" s="46"/>
      <c r="E8" s="46"/>
      <c r="F8" s="46"/>
      <c r="G8" s="46"/>
      <c r="H8" s="46"/>
      <c r="I8" s="46"/>
      <c r="K8"/>
      <c r="L8"/>
      <c r="M8"/>
      <c r="N8"/>
    </row>
    <row r="9" spans="1:16" ht="32.25" customHeight="1" x14ac:dyDescent="0.25">
      <c r="A9" s="42"/>
      <c r="B9" s="83" t="s">
        <v>145</v>
      </c>
      <c r="C9" s="84">
        <f>(SUM($F$17:$F$26))-SUM($C$7:$C$8)</f>
        <v>-3034.3348845578021</v>
      </c>
      <c r="D9" s="46"/>
      <c r="E9" s="46"/>
      <c r="F9" s="46"/>
      <c r="G9" s="46"/>
      <c r="H9" s="46"/>
      <c r="I9" s="46"/>
      <c r="K9"/>
      <c r="L9"/>
      <c r="M9"/>
      <c r="N9"/>
    </row>
    <row r="10" spans="1:16" ht="32.25" customHeight="1" x14ac:dyDescent="0.25">
      <c r="A10" s="42"/>
      <c r="B10" s="85"/>
      <c r="C10" s="84"/>
      <c r="D10" s="46"/>
      <c r="E10" s="46"/>
      <c r="F10" s="46"/>
      <c r="G10" s="46"/>
      <c r="H10" s="46"/>
      <c r="I10" s="46"/>
      <c r="K10"/>
      <c r="L10"/>
      <c r="M10"/>
      <c r="N10"/>
    </row>
    <row r="11" spans="1:16" ht="32.25" customHeight="1" x14ac:dyDescent="0.25">
      <c r="A11" s="42"/>
      <c r="B11" s="86" t="s">
        <v>165</v>
      </c>
      <c r="C11" s="84"/>
      <c r="D11" s="46"/>
      <c r="E11" s="46"/>
      <c r="F11" s="46"/>
      <c r="G11" s="46"/>
      <c r="H11" s="46"/>
      <c r="I11" s="46"/>
      <c r="K11"/>
      <c r="L11"/>
      <c r="M11"/>
      <c r="N11"/>
    </row>
    <row r="12" spans="1:16" ht="32.25" customHeight="1" x14ac:dyDescent="0.25">
      <c r="A12" s="42"/>
      <c r="B12" s="69"/>
      <c r="C12" s="46"/>
      <c r="D12" s="46"/>
      <c r="E12" s="46"/>
      <c r="F12" s="46"/>
      <c r="G12" s="46"/>
      <c r="H12" s="46"/>
      <c r="I12" s="46"/>
      <c r="K12"/>
      <c r="L12"/>
      <c r="M12"/>
      <c r="N12"/>
    </row>
    <row r="13" spans="1:16" ht="32.25" customHeight="1" x14ac:dyDescent="0.25">
      <c r="A13" s="42"/>
      <c r="B13" s="70"/>
      <c r="C13" s="71"/>
      <c r="D13" s="71"/>
      <c r="E13" s="71"/>
      <c r="F13" s="71"/>
      <c r="G13" s="71"/>
      <c r="H13" s="71"/>
      <c r="I13" s="71"/>
      <c r="J13" s="72"/>
      <c r="K13"/>
      <c r="L13"/>
      <c r="M13"/>
      <c r="N13"/>
    </row>
    <row r="14" spans="1:16" ht="32.25" hidden="1" customHeight="1" x14ac:dyDescent="0.25">
      <c r="A14" s="42"/>
      <c r="B14" s="46"/>
      <c r="C14" s="46"/>
      <c r="D14" s="46"/>
      <c r="E14" s="46"/>
      <c r="F14" s="46"/>
      <c r="G14" s="46"/>
      <c r="H14" s="46"/>
      <c r="I14" s="46"/>
      <c r="K14" s="76"/>
      <c r="L14"/>
      <c r="M14"/>
      <c r="N14"/>
    </row>
    <row r="15" spans="1:16" ht="6.75" customHeight="1" x14ac:dyDescent="0.25">
      <c r="A15" s="42"/>
      <c r="B15" s="46"/>
      <c r="C15" s="46"/>
      <c r="D15" s="46"/>
      <c r="E15" s="46"/>
      <c r="F15" s="46"/>
      <c r="G15" s="46"/>
      <c r="H15" s="46"/>
      <c r="I15" s="46"/>
      <c r="K15"/>
      <c r="L15"/>
      <c r="M15"/>
      <c r="N15"/>
      <c r="P15" s="67"/>
    </row>
    <row r="16" spans="1:16" ht="32.25" customHeight="1" x14ac:dyDescent="0.25">
      <c r="A16" s="42"/>
      <c r="B16" s="55" t="s">
        <v>120</v>
      </c>
      <c r="C16" s="56" t="s">
        <v>148</v>
      </c>
      <c r="D16" s="49"/>
      <c r="E16" s="55" t="s">
        <v>120</v>
      </c>
      <c r="F16" s="56" t="s">
        <v>149</v>
      </c>
      <c r="G16" s="50"/>
      <c r="H16" s="55" t="s">
        <v>120</v>
      </c>
      <c r="I16" s="56" t="s">
        <v>9553</v>
      </c>
      <c r="K16" s="88" t="s">
        <v>160</v>
      </c>
      <c r="L16" s="95" t="s">
        <v>139</v>
      </c>
      <c r="M16" s="95"/>
      <c r="N16"/>
    </row>
    <row r="17" spans="1:14" ht="14.25" customHeight="1" x14ac:dyDescent="0.25">
      <c r="A17" s="42"/>
      <c r="B17" s="47" t="s">
        <v>90</v>
      </c>
      <c r="C17" s="44">
        <f>SUMIF(Issuance!C:C,B17,Issuance!H:H)</f>
        <v>786.20971892383625</v>
      </c>
      <c r="D17" s="51"/>
      <c r="E17" s="47" t="s">
        <v>97</v>
      </c>
      <c r="F17" s="44">
        <f>SUM(Buybacks!H:H)</f>
        <v>-5022.282542259306</v>
      </c>
      <c r="G17" s="52"/>
      <c r="H17" s="47" t="s">
        <v>110</v>
      </c>
      <c r="I17" s="44">
        <f>COUNTIF('Corporate activity'!C:C,Summary!H17)</f>
        <v>23</v>
      </c>
      <c r="K17" s="82" t="s">
        <v>97</v>
      </c>
      <c r="L17" s="94">
        <f>SUMIF(VCT!C:C,K17,VCT!Q:Q)</f>
        <v>-104.73904742966002</v>
      </c>
      <c r="M17" s="94"/>
      <c r="N17" s="74"/>
    </row>
    <row r="18" spans="1:14" ht="14.25" customHeight="1" x14ac:dyDescent="0.25">
      <c r="A18" s="42"/>
      <c r="B18" s="47" t="s">
        <v>19</v>
      </c>
      <c r="C18" s="44">
        <f>SUMIF(Issuance!C:C,B18,Issuance!H:H)</f>
        <v>550.95766938450004</v>
      </c>
      <c r="D18" s="51"/>
      <c r="E18" s="47" t="s">
        <v>127</v>
      </c>
      <c r="F18" s="44">
        <f>IF( SUMIF('Corporate activity'!C:C,E18,'Corporate activity'!H:H)=0, "-",SUMIF('Corporate activity'!C:C,E18,'Corporate activity'!H:H) -SUMIF('Corporate activity'!C:C,E18,'Corporate activity'!I:I)
    -SUMIF('Corporate activity'!C:C,E18,'Corporate activity'!J:J))</f>
        <v>-2314.230783</v>
      </c>
      <c r="G18" s="52"/>
      <c r="H18" s="47" t="s">
        <v>123</v>
      </c>
      <c r="I18" s="44">
        <f>COUNTIF('Corporate activity'!C:C,Summary!H18)</f>
        <v>10</v>
      </c>
      <c r="K18" s="77" t="s">
        <v>92</v>
      </c>
      <c r="L18" s="93">
        <f>SUMIF(VCT!C:C,K18,VCT!Q:Q)</f>
        <v>-9.2057059999999993</v>
      </c>
      <c r="M18" s="93"/>
      <c r="N18" s="74"/>
    </row>
    <row r="19" spans="1:14" ht="14.25" customHeight="1" x14ac:dyDescent="0.25">
      <c r="A19" s="42"/>
      <c r="B19" s="47" t="s">
        <v>37</v>
      </c>
      <c r="C19" s="44">
        <f>SUMIF(Issuance!C:C,B19,Issuance!H:H)</f>
        <v>136.50866300000001</v>
      </c>
      <c r="D19" s="51"/>
      <c r="E19" s="47" t="s">
        <v>126</v>
      </c>
      <c r="F19" s="44">
        <f>IF( SUMIF('Corporate activity'!C:C,E19,'Corporate activity'!H:H)=0, "-",SUMIF('Corporate activity'!C:C,E19,'Corporate activity'!H:H) -SUMIF('Corporate activity'!C:C,E19,'Corporate activity'!I:I)
    -SUMIF('Corporate activity'!C:C,E19,'Corporate activity'!J:J))</f>
        <v>-2689.9734617383547</v>
      </c>
      <c r="G19" s="52"/>
      <c r="H19" s="47" t="s">
        <v>150</v>
      </c>
      <c r="I19" s="44">
        <f>COUNTIF('Corporate activity'!C:C,"Policy change")</f>
        <v>7</v>
      </c>
      <c r="L19" s="41"/>
      <c r="M19" s="41"/>
      <c r="N19" s="41"/>
    </row>
    <row r="20" spans="1:14" ht="14.25" customHeight="1" x14ac:dyDescent="0.25">
      <c r="A20" s="42"/>
      <c r="B20" s="47" t="s">
        <v>151</v>
      </c>
      <c r="C20" s="44">
        <f>SUMIF(Issuance!C:C,"New issue",'Corporate activity'!H:H)</f>
        <v>0</v>
      </c>
      <c r="D20" s="51"/>
      <c r="E20" s="47" t="s">
        <v>92</v>
      </c>
      <c r="F20" s="44">
        <f>IF(SUMIF('Corporate activity'!C:C,E20,'Corporate activity'!H:H)=0,"-",SUMIF('Corporate activity'!C:C,E20,'Corporate activity'!H:H))</f>
        <v>-2730.7674095378006</v>
      </c>
      <c r="G20" s="52"/>
      <c r="H20" s="47" t="s">
        <v>95</v>
      </c>
      <c r="I20" s="44">
        <f>COUNTIF('Corporate activity'!C:C,Summary!H20)</f>
        <v>5</v>
      </c>
      <c r="K20" s="89" t="s">
        <v>161</v>
      </c>
      <c r="L20" s="90" t="s">
        <v>162</v>
      </c>
      <c r="M20" s="90" t="s">
        <v>147</v>
      </c>
      <c r="N20" s="90" t="s">
        <v>128</v>
      </c>
    </row>
    <row r="21" spans="1:14" ht="14.25" customHeight="1" x14ac:dyDescent="0.25">
      <c r="A21" s="42"/>
      <c r="B21" s="47"/>
      <c r="C21" s="47"/>
      <c r="D21" s="51"/>
      <c r="E21" s="47" t="s">
        <v>152</v>
      </c>
      <c r="F21" s="44">
        <f>IF( SUMIF('Corporate activity'!C:C,"Merge/depart",'Corporate activity'!H:H)=0, "-", SUMIF('Corporate activity'!C:C,"Merge/depart",'Corporate activity'!H:H) - SUMIF('Corporate activity'!C:C,"Merge/depart",'Corporate activity'!I:I) -  SUMIF('Corporate activity'!C:C,"Merge/depart",'Corporate activity'!J:J))</f>
        <v>-209.541831</v>
      </c>
      <c r="G21" s="52"/>
      <c r="H21" s="47" t="s">
        <v>121</v>
      </c>
      <c r="I21" s="44">
        <f>COUNTIF('Corporate activity'!C:C,Summary!H21)</f>
        <v>4</v>
      </c>
      <c r="K21" s="79" t="s">
        <v>109</v>
      </c>
      <c r="L21" s="80">
        <v>61</v>
      </c>
      <c r="M21" s="80">
        <v>857</v>
      </c>
      <c r="N21" s="80">
        <f>SUM(L21:M21)</f>
        <v>918</v>
      </c>
    </row>
    <row r="22" spans="1:14" ht="14.25" customHeight="1" x14ac:dyDescent="0.25">
      <c r="A22" s="42"/>
      <c r="B22" s="47"/>
      <c r="C22" s="47"/>
      <c r="D22" s="51"/>
      <c r="E22" s="47" t="s">
        <v>125</v>
      </c>
      <c r="F22" s="44">
        <f>IF(SUMIF('Corporate activity'!C:C,E22,'Corporate activity'!H:H)=0,"-",SUMIF('Corporate activity'!C:C,E22,'Corporate activity'!H:H))</f>
        <v>-187.55052877999998</v>
      </c>
      <c r="G22" s="52"/>
      <c r="H22" s="47" t="s">
        <v>93</v>
      </c>
      <c r="I22" s="44">
        <f>COUNTIF('Corporate activity'!C:C,Summary!H22)</f>
        <v>4</v>
      </c>
      <c r="K22" s="81" t="s">
        <v>163</v>
      </c>
      <c r="L22" s="87">
        <f>SUMIFS(VCT!Q:Q,VCT!N:N,"2026/27",VCT!C:C,"Issue (DRIS)")</f>
        <v>16.929890009700003</v>
      </c>
      <c r="M22" s="87">
        <f>SUMIFS(VCT!Q:Q,VCT!N:N,"2026/27",VCT!C:C,"Issue")</f>
        <v>17.514842306949998</v>
      </c>
      <c r="N22" s="87">
        <f>SUM(L22:M22)</f>
        <v>34.444732316650004</v>
      </c>
    </row>
    <row r="23" spans="1:14" ht="14.25" customHeight="1" x14ac:dyDescent="0.25">
      <c r="A23" s="42"/>
      <c r="B23" s="47"/>
      <c r="C23" s="47"/>
      <c r="D23" s="51"/>
      <c r="E23" s="47" t="s">
        <v>124</v>
      </c>
      <c r="F23" s="44">
        <f>IF(SUMIF('Corporate activity'!C:C,E23,'Corporate activity'!H:H)=0,"-",SUMIF('Corporate activity'!C:C,E23,'Corporate activity'!H:H))</f>
        <v>-116.01694624000001</v>
      </c>
      <c r="G23" s="52"/>
      <c r="H23" s="47" t="s">
        <v>94</v>
      </c>
      <c r="I23" s="44">
        <f>COUNTIF('Corporate activity'!C:C,Summary!H23)</f>
        <v>3</v>
      </c>
      <c r="K23"/>
      <c r="L23" s="75"/>
      <c r="M23" s="75"/>
      <c r="N23" s="75"/>
    </row>
    <row r="24" spans="1:14" ht="14.25" customHeight="1" x14ac:dyDescent="0.25">
      <c r="A24" s="42"/>
      <c r="B24" s="47"/>
      <c r="C24" s="47"/>
      <c r="D24" s="51"/>
      <c r="E24" s="47"/>
      <c r="F24" s="44"/>
      <c r="G24" s="52"/>
      <c r="H24" s="47" t="s">
        <v>86</v>
      </c>
      <c r="I24" s="44">
        <f>COUNTIF('Corporate activity'!C:C,Summary!H24)</f>
        <v>3</v>
      </c>
      <c r="K24" s="89" t="s">
        <v>157</v>
      </c>
      <c r="L24" s="91" t="s">
        <v>164</v>
      </c>
      <c r="M24"/>
      <c r="N24"/>
    </row>
    <row r="25" spans="1:14" ht="14.25" customHeight="1" x14ac:dyDescent="0.25">
      <c r="A25" s="42"/>
      <c r="B25" s="47"/>
      <c r="C25" s="47"/>
      <c r="D25" s="51"/>
      <c r="E25" s="47"/>
      <c r="F25" s="47"/>
      <c r="G25" s="52"/>
      <c r="H25" s="47" t="s">
        <v>155</v>
      </c>
      <c r="I25" s="44">
        <f>COUNTIF('Corporate activity'!C:C,Summary!H25)</f>
        <v>2</v>
      </c>
      <c r="K25" s="77" t="s">
        <v>138</v>
      </c>
      <c r="L25" s="78">
        <f>COUNTIF(VCT!C:C,"open offer for subscription")</f>
        <v>11</v>
      </c>
      <c r="M25"/>
      <c r="N25"/>
    </row>
    <row r="26" spans="1:14" ht="14.25" customHeight="1" x14ac:dyDescent="0.25">
      <c r="A26" s="42"/>
      <c r="B26" s="48"/>
      <c r="C26" s="48"/>
      <c r="D26" s="51"/>
      <c r="E26" s="48"/>
      <c r="F26" s="48"/>
      <c r="G26" s="52"/>
      <c r="H26" s="48" t="s">
        <v>122</v>
      </c>
      <c r="I26" s="53">
        <f>COUNTIF('Corporate activity'!C:C,Summary!H26)</f>
        <v>1</v>
      </c>
    </row>
    <row r="27" spans="1:14" ht="5.25" customHeight="1" x14ac:dyDescent="0.25">
      <c r="A27" s="43">
        <f>MAX(Formulas!F:F)</f>
        <v>20</v>
      </c>
      <c r="D27" s="54">
        <f>MAX(Formulas!J:J)</f>
        <v>20</v>
      </c>
      <c r="G27" s="54">
        <f>MAX(Formulas!Q:Q)</f>
        <v>20</v>
      </c>
    </row>
    <row r="28" spans="1:14" ht="39.75" customHeight="1" x14ac:dyDescent="0.25">
      <c r="A28" s="43">
        <v>0</v>
      </c>
      <c r="B28" s="55" t="s">
        <v>135</v>
      </c>
      <c r="C28" s="56" t="s">
        <v>141</v>
      </c>
      <c r="D28" s="54">
        <v>0</v>
      </c>
      <c r="E28" s="55" t="s">
        <v>136</v>
      </c>
      <c r="F28" s="56" t="s">
        <v>142</v>
      </c>
      <c r="G28" s="54">
        <v>0</v>
      </c>
      <c r="H28" s="55" t="s">
        <v>137</v>
      </c>
      <c r="I28" s="56" t="s">
        <v>132</v>
      </c>
      <c r="K28" s="55" t="s">
        <v>134</v>
      </c>
      <c r="L28" s="56" t="s">
        <v>133</v>
      </c>
      <c r="M28" s="56" t="s">
        <v>143</v>
      </c>
      <c r="N28"/>
    </row>
    <row r="29" spans="1:14" x14ac:dyDescent="0.25">
      <c r="A29" s="43">
        <f t="shared" ref="A29:A48" si="0">IF(OR($A28="",$A28&gt;$A$27-1),"",$A28+1)</f>
        <v>1</v>
      </c>
      <c r="B29" s="47" t="str">
        <f>IF($A29="","",_xlfn.XLOOKUP($A29,Formulas!$F:$F,Formulas!$B:$B))</f>
        <v>Scottish Mortgage</v>
      </c>
      <c r="C29" s="44">
        <f>IF($A29="","",_xlfn.XLOOKUP($A29,Formulas!$F:$F,Formulas!$E:$E))</f>
        <v>519.08239000000003</v>
      </c>
      <c r="D29" s="54">
        <f t="shared" ref="D29:D48" si="1">IF(OR($D28="",$D28&gt;$D$27-1),"",$D28+1)</f>
        <v>1</v>
      </c>
      <c r="E29" s="47" t="str">
        <f>IF($D29="","",_xlfn.XLOOKUP($D29,Formulas!J:J,Formulas!H:H))</f>
        <v>Scottish Mortgage</v>
      </c>
      <c r="F29" s="44">
        <f>IF($D29="","",_xlfn.XLOOKUP($D29,Formulas!J:J,Formulas!I:I))</f>
        <v>-796.68847593759961</v>
      </c>
      <c r="G29" s="54">
        <f>IF(OR($G28="",$G28&gt;$G$27-1),"",$G28+1)</f>
        <v>1</v>
      </c>
      <c r="H29" s="47" t="str">
        <f>_xlfn.XLOOKUP(G29,Formulas!Q:Q,Formulas!L:L)</f>
        <v>Herald Investment Trust</v>
      </c>
      <c r="I29" s="44">
        <f>_xlfn.XLOOKUP(G29,Formulas!Q:Q,Formulas!P:P)</f>
        <v>-957.358473</v>
      </c>
      <c r="K29" s="47" t="str" cm="1">
        <f t="array" ref="K29:M43">_xlfn.LET(_xlpm.events,'Corporate activity'!$C$4:$C$3000,_xlpm.companies,'Corporate activity'!$D$4:$D$3000,_xlpm.months,'Corporate activity'!$B$4:$B$3000,_xlpm.assets,'Corporate activity'!$H$4:$H$3000-'Corporate activity'!$I$4:$I$3000-'Corporate activity'!$J$4:$J$3000,_xlpm.status,'Corporate activity'!$A$4:$A$3000,_xlpm.include,ISNUMBER(SEARCH("depart",_xlpm.events))*(_xlpm.months&lt;&gt;"TBA")*ISERROR(SEARCH("await",_xlpm.status)),_xlpm.depart,_xlfn._xlws.FILTER(CHOOSE({1,2,3},_xlpm.companies,_xlpm.months,_xlpm.assets),_xlpm.include),_xlfn.UNIQUE(_xlpm.depart))</f>
        <v>Doric Nimrod Air Three</v>
      </c>
      <c r="L29" s="44" t="str">
        <v>Jan</v>
      </c>
      <c r="M29" s="44">
        <v>-142.34700000000001</v>
      </c>
      <c r="N29" s="68"/>
    </row>
    <row r="30" spans="1:14" x14ac:dyDescent="0.25">
      <c r="A30" s="43">
        <f t="shared" si="0"/>
        <v>2</v>
      </c>
      <c r="B30" s="47" t="str">
        <f>IF($A30="","",_xlfn.XLOOKUP($A30,Formulas!$F:$F,Formulas!$B:$B))</f>
        <v>TwentyFour Income Fund</v>
      </c>
      <c r="C30" s="44">
        <f>IF($A30="","",_xlfn.XLOOKUP($A30,Formulas!$F:$F,Formulas!$E:$E))</f>
        <v>110.620465</v>
      </c>
      <c r="D30" s="54">
        <f t="shared" si="1"/>
        <v>2</v>
      </c>
      <c r="E30" s="47" t="str">
        <f>IF($D30="","",_xlfn.XLOOKUP($D30,Formulas!J:J,Formulas!H:H))</f>
        <v>3i Group</v>
      </c>
      <c r="F30" s="44">
        <f>IF($D30="","",_xlfn.XLOOKUP($D30,Formulas!J:J,Formulas!I:I))</f>
        <v>-359.54513396730005</v>
      </c>
      <c r="G30" s="54">
        <f t="shared" ref="G30:G48" si="2">IF(OR($G29="",$G29&gt;$G$27-1),"",$G29+1)</f>
        <v>2</v>
      </c>
      <c r="H30" s="47" t="str">
        <f>_xlfn.XLOOKUP(G30,Formulas!Q:Q,Formulas!L:L)</f>
        <v>Impax Environmental Markets</v>
      </c>
      <c r="I30" s="44">
        <f>_xlfn.XLOOKUP(G30,Formulas!Q:Q,Formulas!P:P)</f>
        <v>-733.24779730417504</v>
      </c>
      <c r="K30" s="47" t="str">
        <v>PRS REIT</v>
      </c>
      <c r="L30" s="44" t="str">
        <v>Jan</v>
      </c>
      <c r="M30" s="44">
        <v>-815.37142800000004</v>
      </c>
      <c r="N30" s="68"/>
    </row>
    <row r="31" spans="1:14" x14ac:dyDescent="0.25">
      <c r="A31" s="43">
        <f t="shared" si="0"/>
        <v>3</v>
      </c>
      <c r="B31" s="47" t="str">
        <f>IF($A31="","",_xlfn.XLOOKUP($A31,Formulas!$F:$F,Formulas!$B:$B))</f>
        <v>Invesco Bond Income Plus</v>
      </c>
      <c r="C31" s="44">
        <f>IF($A31="","",_xlfn.XLOOKUP($A31,Formulas!$F:$F,Formulas!$E:$E))</f>
        <v>98.90915560000002</v>
      </c>
      <c r="D31" s="54">
        <f t="shared" si="1"/>
        <v>3</v>
      </c>
      <c r="E31" s="47" t="str">
        <f>IF($D31="","",_xlfn.XLOOKUP($D31,Formulas!J:J,Formulas!H:H))</f>
        <v>Allianz Technology Trust</v>
      </c>
      <c r="F31" s="44">
        <f>IF($D31="","",_xlfn.XLOOKUP($D31,Formulas!J:J,Formulas!I:I))</f>
        <v>-160.62451804239998</v>
      </c>
      <c r="G31" s="54">
        <f t="shared" si="2"/>
        <v>3</v>
      </c>
      <c r="H31" s="47" t="str">
        <f>_xlfn.XLOOKUP(G31,Formulas!Q:Q,Formulas!L:L)</f>
        <v>RIT Capital Partners</v>
      </c>
      <c r="I31" s="44">
        <f>_xlfn.XLOOKUP(G31,Formulas!Q:Q,Formulas!P:P)</f>
        <v>-299.99999484000006</v>
      </c>
      <c r="K31" s="47" t="str">
        <v>Starwood European Real Estate Finance</v>
      </c>
      <c r="L31" s="44" t="str">
        <v>Feb</v>
      </c>
      <c r="M31" s="44">
        <v>-22.36</v>
      </c>
      <c r="N31" s="68"/>
    </row>
    <row r="32" spans="1:14" x14ac:dyDescent="0.25">
      <c r="A32" s="43">
        <f t="shared" si="0"/>
        <v>4</v>
      </c>
      <c r="B32" s="47" t="str">
        <f>IF($A32="","",_xlfn.XLOOKUP($A32,Formulas!$F:$F,Formulas!$B:$B))</f>
        <v>Henderson Far East Income</v>
      </c>
      <c r="C32" s="44">
        <f>IF($A32="","",_xlfn.XLOOKUP($A32,Formulas!$F:$F,Formulas!$E:$E))</f>
        <v>90.027287500000014</v>
      </c>
      <c r="D32" s="54">
        <f t="shared" si="1"/>
        <v>4</v>
      </c>
      <c r="E32" s="47" t="str">
        <f>IF($D32="","",_xlfn.XLOOKUP($D32,Formulas!J:J,Formulas!H:H))</f>
        <v>Pantheon International</v>
      </c>
      <c r="F32" s="44">
        <f>IF($D32="","",_xlfn.XLOOKUP($D32,Formulas!J:J,Formulas!I:I))</f>
        <v>-158.22094557417986</v>
      </c>
      <c r="G32" s="54">
        <f t="shared" si="2"/>
        <v>4</v>
      </c>
      <c r="H32" s="47" t="str">
        <f>_xlfn.XLOOKUP(G32,Formulas!Q:Q,Formulas!L:L)</f>
        <v>Vietnam Enterprise Investments</v>
      </c>
      <c r="I32" s="44">
        <f>_xlfn.XLOOKUP(G32,Formulas!Q:Q,Formulas!P:P)</f>
        <v>-263.55334628309402</v>
      </c>
      <c r="K32" s="47" t="str">
        <v xml:space="preserve">Franklin Global Trust </v>
      </c>
      <c r="L32" s="44" t="str">
        <v>Feb</v>
      </c>
      <c r="M32" s="44">
        <v>-6.2311699999999917</v>
      </c>
      <c r="N32" s="68"/>
    </row>
    <row r="33" spans="1:14" x14ac:dyDescent="0.25">
      <c r="A33" s="43">
        <f t="shared" si="0"/>
        <v>5</v>
      </c>
      <c r="B33" s="47" t="str">
        <f>IF($A33="","",_xlfn.XLOOKUP($A33,Formulas!$F:$F,Formulas!$B:$B))</f>
        <v>City of London Investment Trust</v>
      </c>
      <c r="C33" s="44">
        <f>IF($A33="","",_xlfn.XLOOKUP($A33,Formulas!$F:$F,Formulas!$E:$E))</f>
        <v>63.327500000000001</v>
      </c>
      <c r="D33" s="54">
        <f t="shared" si="1"/>
        <v>5</v>
      </c>
      <c r="E33" s="47" t="str">
        <f>IF($D33="","",_xlfn.XLOOKUP($D33,Formulas!J:J,Formulas!H:H))</f>
        <v>Monks</v>
      </c>
      <c r="F33" s="44">
        <f>IF($D33="","",_xlfn.XLOOKUP($D33,Formulas!J:J,Formulas!I:I))</f>
        <v>-156.71251750000005</v>
      </c>
      <c r="G33" s="54">
        <f t="shared" si="2"/>
        <v>5</v>
      </c>
      <c r="H33" s="47" t="str">
        <f>_xlfn.XLOOKUP(G33,Formulas!Q:Q,Formulas!L:L)</f>
        <v>BlackRock Smaller Companies</v>
      </c>
      <c r="I33" s="44">
        <f>_xlfn.XLOOKUP(G33,Formulas!Q:Q,Formulas!P:P)</f>
        <v>-162.91716600000001</v>
      </c>
      <c r="K33" s="47" t="str">
        <v>Smithson</v>
      </c>
      <c r="L33" s="44" t="str">
        <v>Feb</v>
      </c>
      <c r="M33" s="44">
        <v>-1679</v>
      </c>
      <c r="N33" s="68"/>
    </row>
    <row r="34" spans="1:14" x14ac:dyDescent="0.25">
      <c r="A34" s="43">
        <f t="shared" si="0"/>
        <v>6</v>
      </c>
      <c r="B34" s="47" t="str">
        <f>IF($A34="","",_xlfn.XLOOKUP($A34,Formulas!$F:$F,Formulas!$B:$B))</f>
        <v>Temple Bar Investment Trust</v>
      </c>
      <c r="C34" s="44">
        <f>IF($A34="","",_xlfn.XLOOKUP($A34,Formulas!$F:$F,Formulas!$E:$E))</f>
        <v>59.647077500000009</v>
      </c>
      <c r="D34" s="54">
        <f t="shared" si="1"/>
        <v>6</v>
      </c>
      <c r="E34" s="47" t="str">
        <f>IF($D34="","",_xlfn.XLOOKUP($D34,Formulas!J:J,Formulas!H:H))</f>
        <v>Mercantile Investment Trust</v>
      </c>
      <c r="F34" s="44">
        <f>IF($D34="","",_xlfn.XLOOKUP($D34,Formulas!J:J,Formulas!I:I))</f>
        <v>-145.38549672126001</v>
      </c>
      <c r="G34" s="54">
        <f t="shared" si="2"/>
        <v>6</v>
      </c>
      <c r="H34" s="47" t="str">
        <f>_xlfn.XLOOKUP(G34,Formulas!Q:Q,Formulas!L:L)</f>
        <v>Baillie Gifford Shin Nippon</v>
      </c>
      <c r="I34" s="44">
        <f>_xlfn.XLOOKUP(G34,Formulas!Q:Q,Formulas!P:P)</f>
        <v>-57.755504999999999</v>
      </c>
      <c r="K34" s="47" t="str">
        <v>abrdn Diversified Income &amp; Growth</v>
      </c>
      <c r="L34" s="44" t="str">
        <v>Mar</v>
      </c>
      <c r="M34" s="44">
        <v>-46.5</v>
      </c>
      <c r="N34" s="68"/>
    </row>
    <row r="35" spans="1:14" x14ac:dyDescent="0.25">
      <c r="A35" s="43">
        <f t="shared" si="0"/>
        <v>7</v>
      </c>
      <c r="B35" s="47" t="str">
        <f>IF($A35="","",_xlfn.XLOOKUP($A35,Formulas!$F:$F,Formulas!$B:$B))</f>
        <v>CVC Income &amp; Growth</v>
      </c>
      <c r="C35" s="44">
        <f>IF($A35="","",_xlfn.XLOOKUP($A35,Formulas!$F:$F,Formulas!$E:$E))</f>
        <v>40.055654400000009</v>
      </c>
      <c r="D35" s="54">
        <f t="shared" si="1"/>
        <v>7</v>
      </c>
      <c r="E35" s="47" t="str">
        <f>IF($D35="","",_xlfn.XLOOKUP($D35,Formulas!J:J,Formulas!H:H))</f>
        <v>Alliance Witan</v>
      </c>
      <c r="F35" s="44">
        <f>IF($D35="","",_xlfn.XLOOKUP($D35,Formulas!J:J,Formulas!I:I))</f>
        <v>-141.56233131589997</v>
      </c>
      <c r="G35" s="54">
        <f t="shared" si="2"/>
        <v>7</v>
      </c>
      <c r="H35" s="47" t="str">
        <f>_xlfn.XLOOKUP(G35,Formulas!Q:Q,Formulas!L:L)</f>
        <v>BlackRock Frontiers</v>
      </c>
      <c r="I35" s="44">
        <f>_xlfn.XLOOKUP(G35,Formulas!Q:Q,Formulas!P:P)</f>
        <v>-48.139318000000003</v>
      </c>
      <c r="K35" s="47" t="str">
        <v>Shires Income</v>
      </c>
      <c r="L35" s="44" t="str">
        <v>Mar</v>
      </c>
      <c r="M35" s="44">
        <v>-14.279662999999999</v>
      </c>
      <c r="N35" s="68"/>
    </row>
    <row r="36" spans="1:14" x14ac:dyDescent="0.25">
      <c r="A36" s="43">
        <f t="shared" si="0"/>
        <v>8</v>
      </c>
      <c r="B36" s="47" t="str">
        <f>IF($A36="","",_xlfn.XLOOKUP($A36,Formulas!$F:$F,Formulas!$B:$B))</f>
        <v>Polar Capital Global Healthcare</v>
      </c>
      <c r="C36" s="44">
        <f>IF($A36="","",_xlfn.XLOOKUP($A36,Formulas!$F:$F,Formulas!$E:$E))</f>
        <v>39.042794000000001</v>
      </c>
      <c r="D36" s="54">
        <f t="shared" si="1"/>
        <v>8</v>
      </c>
      <c r="E36" s="47" t="str">
        <f>IF($D36="","",_xlfn.XLOOKUP($D36,Formulas!J:J,Formulas!H:H))</f>
        <v>Finsbury Growth &amp; Income Trust</v>
      </c>
      <c r="F36" s="44">
        <f>IF($D36="","",_xlfn.XLOOKUP($D36,Formulas!J:J,Formulas!I:I))</f>
        <v>-139.90656346790004</v>
      </c>
      <c r="G36" s="54">
        <f t="shared" si="2"/>
        <v>8</v>
      </c>
      <c r="H36" s="47" t="str">
        <f>_xlfn.XLOOKUP(G36,Formulas!Q:Q,Formulas!L:L)</f>
        <v>Aquila European Renewables</v>
      </c>
      <c r="I36" s="44">
        <f>_xlfn.XLOOKUP(G36,Formulas!Q:Q,Formulas!P:P)</f>
        <v>-46.8</v>
      </c>
      <c r="K36" s="47" t="str">
        <v>BlackRock Throgmorton Trust</v>
      </c>
      <c r="L36" s="44" t="str">
        <v>Apr</v>
      </c>
      <c r="M36" s="44">
        <v>-189.03099800000001</v>
      </c>
      <c r="N36" s="68"/>
    </row>
    <row r="37" spans="1:14" x14ac:dyDescent="0.25">
      <c r="A37" s="43">
        <f t="shared" si="0"/>
        <v>9</v>
      </c>
      <c r="B37" s="47" t="str">
        <f>IF($A37="","",_xlfn.XLOOKUP($A37,Formulas!$F:$F,Formulas!$B:$B))</f>
        <v>Invesco Global Equity Income Trust</v>
      </c>
      <c r="C37" s="44">
        <f>IF($A37="","",_xlfn.XLOOKUP($A37,Formulas!$F:$F,Formulas!$E:$E))</f>
        <v>29.076679704</v>
      </c>
      <c r="D37" s="54">
        <f t="shared" si="1"/>
        <v>9</v>
      </c>
      <c r="E37" s="47" t="str">
        <f>IF($D37="","",_xlfn.XLOOKUP($D37,Formulas!J:J,Formulas!H:H))</f>
        <v>Templeton Emerging Markets</v>
      </c>
      <c r="F37" s="44">
        <f>IF($D37="","",_xlfn.XLOOKUP($D37,Formulas!J:J,Formulas!I:I))</f>
        <v>-111.29840623509997</v>
      </c>
      <c r="G37" s="54">
        <f t="shared" si="2"/>
        <v>9</v>
      </c>
      <c r="H37" s="47" t="str">
        <f>_xlfn.XLOOKUP(G37,Formulas!Q:Q,Formulas!L:L)</f>
        <v>AVI Japan Opportunity Trust</v>
      </c>
      <c r="I37" s="44">
        <f>_xlfn.XLOOKUP(G37,Formulas!Q:Q,Formulas!P:P)</f>
        <v>-46.740591000000002</v>
      </c>
      <c r="K37" s="47" t="str">
        <v>Hydrogen Capital Growth</v>
      </c>
      <c r="L37" s="44" t="str">
        <v>Apr</v>
      </c>
      <c r="M37" s="44">
        <v>-39.340000000000003</v>
      </c>
      <c r="N37" s="68"/>
    </row>
    <row r="38" spans="1:14" x14ac:dyDescent="0.25">
      <c r="A38" s="43">
        <f t="shared" si="0"/>
        <v>10</v>
      </c>
      <c r="B38" s="47" t="str">
        <f>IF($A38="","",_xlfn.XLOOKUP($A38,Formulas!$F:$F,Formulas!$B:$B))</f>
        <v>Rockwood Strategic</v>
      </c>
      <c r="C38" s="44">
        <f>IF($A38="","",_xlfn.XLOOKUP($A38,Formulas!$F:$F,Formulas!$E:$E))</f>
        <v>23.674805768000002</v>
      </c>
      <c r="D38" s="54">
        <f t="shared" si="1"/>
        <v>10</v>
      </c>
      <c r="E38" s="47" t="str">
        <f>IF($D38="","",_xlfn.XLOOKUP($D38,Formulas!J:J,Formulas!H:H))</f>
        <v>Worldwide Healthcare Trust</v>
      </c>
      <c r="F38" s="44">
        <f>IF($D38="","",_xlfn.XLOOKUP($D38,Formulas!J:J,Formulas!I:I))</f>
        <v>-103.18444629829997</v>
      </c>
      <c r="G38" s="54">
        <f t="shared" si="2"/>
        <v>10</v>
      </c>
      <c r="H38" s="47" t="str">
        <f>_xlfn.XLOOKUP(G38,Formulas!Q:Q,Formulas!L:L)</f>
        <v>GCP Asset Backed Income</v>
      </c>
      <c r="I38" s="44">
        <f>_xlfn.XLOOKUP(G38,Formulas!Q:Q,Formulas!P:P)</f>
        <v>-44.999564499999998</v>
      </c>
      <c r="K38" s="47" t="str">
        <v>Life Science REIT</v>
      </c>
      <c r="L38" s="44" t="str">
        <v>Apr</v>
      </c>
      <c r="M38" s="44">
        <v>-233.1</v>
      </c>
      <c r="N38" s="68"/>
    </row>
    <row r="39" spans="1:14" x14ac:dyDescent="0.25">
      <c r="A39" s="43">
        <f t="shared" si="0"/>
        <v>11</v>
      </c>
      <c r="B39" s="47" t="str">
        <f>IF($A39="","",_xlfn.XLOOKUP($A39,Formulas!$F:$F,Formulas!$B:$B))</f>
        <v>BlackRock American Income</v>
      </c>
      <c r="C39" s="44">
        <f>IF($A39="","",_xlfn.XLOOKUP($A39,Formulas!$F:$F,Formulas!$E:$E))</f>
        <v>21.838319500000004</v>
      </c>
      <c r="D39" s="54">
        <f t="shared" si="1"/>
        <v>11</v>
      </c>
      <c r="E39" s="47" t="str">
        <f>IF($D39="","",_xlfn.XLOOKUP($D39,Formulas!J:J,Formulas!H:H))</f>
        <v>Baillie Gifford Japan Trust</v>
      </c>
      <c r="F39" s="44">
        <f>IF($D39="","",_xlfn.XLOOKUP($D39,Formulas!J:J,Formulas!I:I))</f>
        <v>-97.394717</v>
      </c>
      <c r="G39" s="54">
        <f t="shared" si="2"/>
        <v>11</v>
      </c>
      <c r="H39" s="47" t="str">
        <f>_xlfn.XLOOKUP(G39,Formulas!Q:Q,Formulas!L:L)</f>
        <v>JPMorgan Global Core Real Assets</v>
      </c>
      <c r="I39" s="44">
        <f>_xlfn.XLOOKUP(G39,Formulas!Q:Q,Formulas!P:P)</f>
        <v>-44.547622000000004</v>
      </c>
      <c r="K39" s="47" t="str">
        <v>Augmentum Fintech</v>
      </c>
      <c r="L39" s="44" t="str">
        <v>May</v>
      </c>
      <c r="M39" s="44">
        <v>-266.81</v>
      </c>
      <c r="N39" s="68"/>
    </row>
    <row r="40" spans="1:14" x14ac:dyDescent="0.25">
      <c r="A40" s="43">
        <f t="shared" si="0"/>
        <v>12</v>
      </c>
      <c r="B40" s="47" t="str">
        <f>IF($A40="","",_xlfn.XLOOKUP($A40,Formulas!$F:$F,Formulas!$B:$B))</f>
        <v>TwentyFour Select Monthly Income</v>
      </c>
      <c r="C40" s="44">
        <f>IF($A40="","",_xlfn.XLOOKUP($A40,Formulas!$F:$F,Formulas!$E:$E))</f>
        <v>21.376325289</v>
      </c>
      <c r="D40" s="54">
        <f t="shared" si="1"/>
        <v>12</v>
      </c>
      <c r="E40" s="47" t="str">
        <f>IF($D40="","",_xlfn.XLOOKUP($D40,Formulas!J:J,Formulas!H:H))</f>
        <v>Scottish American</v>
      </c>
      <c r="F40" s="44">
        <f>IF($D40="","",_xlfn.XLOOKUP($D40,Formulas!J:J,Formulas!I:I))</f>
        <v>-96.787293683499996</v>
      </c>
      <c r="G40" s="54">
        <f t="shared" si="2"/>
        <v>12</v>
      </c>
      <c r="H40" s="47" t="str">
        <f>_xlfn.XLOOKUP(G40,Formulas!Q:Q,Formulas!L:L)</f>
        <v>abrdn Diversified Income &amp; Growth</v>
      </c>
      <c r="I40" s="44">
        <f>_xlfn.XLOOKUP(G40,Formulas!Q:Q,Formulas!P:P)</f>
        <v>-43.7</v>
      </c>
      <c r="K40" s="47" t="str">
        <v>Bailiwick Investments</v>
      </c>
      <c r="L40" s="44" t="str">
        <v>May</v>
      </c>
      <c r="M40" s="44">
        <v>-81.560783000000001</v>
      </c>
      <c r="N40" s="68"/>
    </row>
    <row r="41" spans="1:14" x14ac:dyDescent="0.25">
      <c r="A41" s="43">
        <f t="shared" si="0"/>
        <v>13</v>
      </c>
      <c r="B41" s="47" t="str">
        <f>IF($A41="","",_xlfn.XLOOKUP($A41,Formulas!$F:$F,Formulas!$B:$B))</f>
        <v>Schiehallion Fund</v>
      </c>
      <c r="C41" s="44">
        <f>IF($A41="","",_xlfn.XLOOKUP($A41,Formulas!$F:$F,Formulas!$E:$E))</f>
        <v>20.745694039926239</v>
      </c>
      <c r="D41" s="54">
        <f t="shared" si="1"/>
        <v>13</v>
      </c>
      <c r="E41" s="47" t="str">
        <f>IF($D41="","",_xlfn.XLOOKUP($D41,Formulas!J:J,Formulas!H:H))</f>
        <v>Pershing Square Holdings</v>
      </c>
      <c r="F41" s="44">
        <f>IF($D41="","",_xlfn.XLOOKUP($D41,Formulas!J:J,Formulas!I:I))</f>
        <v>-95.952900638300008</v>
      </c>
      <c r="G41" s="54">
        <f t="shared" si="2"/>
        <v>13</v>
      </c>
      <c r="H41" s="47" t="str">
        <f>_xlfn.XLOOKUP(G41,Formulas!Q:Q,Formulas!L:L)</f>
        <v>Bellevue Healthcare Trust</v>
      </c>
      <c r="I41" s="44">
        <f>_xlfn.XLOOKUP(G41,Formulas!Q:Q,Formulas!P:P)</f>
        <v>-41.807384710531998</v>
      </c>
      <c r="K41" s="47" t="str">
        <v>Amedeo Air Four Plus</v>
      </c>
      <c r="L41" s="44" t="str">
        <v>Jun</v>
      </c>
      <c r="M41" s="44">
        <v>-789.30927099999997</v>
      </c>
      <c r="N41" s="68"/>
    </row>
    <row r="42" spans="1:14" x14ac:dyDescent="0.25">
      <c r="A42" s="43">
        <f t="shared" si="0"/>
        <v>14</v>
      </c>
      <c r="B42" s="47" t="str">
        <f>IF($A42="","",_xlfn.XLOOKUP($A42,Formulas!$F:$F,Formulas!$B:$B))</f>
        <v>Bellevue Healthcare Trust</v>
      </c>
      <c r="C42" s="44">
        <f>IF($A42="","",_xlfn.XLOOKUP($A42,Formulas!$F:$F,Formulas!$E:$E))</f>
        <v>18.68</v>
      </c>
      <c r="D42" s="54">
        <f t="shared" si="1"/>
        <v>14</v>
      </c>
      <c r="E42" s="47" t="str">
        <f>IF($D42="","",_xlfn.XLOOKUP($D42,Formulas!J:J,Formulas!H:H))</f>
        <v>JPMorgan Global Growth &amp; Income</v>
      </c>
      <c r="F42" s="44">
        <f>IF($D42="","",_xlfn.XLOOKUP($D42,Formulas!J:J,Formulas!I:I))</f>
        <v>-88.062386020899993</v>
      </c>
      <c r="G42" s="54">
        <f t="shared" si="2"/>
        <v>14</v>
      </c>
      <c r="H42" s="47" t="str">
        <f>_xlfn.XLOOKUP(G42,Formulas!Q:Q,Formulas!L:L)</f>
        <v>Tetragon Financial Group</v>
      </c>
      <c r="I42" s="44">
        <f>_xlfn.XLOOKUP(G42,Formulas!Q:Q,Formulas!P:P)</f>
        <v>-36.887999999999998</v>
      </c>
      <c r="K42" s="47" t="str">
        <v>Diverse Income Trust</v>
      </c>
      <c r="L42" s="44" t="str">
        <v>Jun</v>
      </c>
      <c r="M42" s="44">
        <v>-281.23</v>
      </c>
      <c r="N42" s="68"/>
    </row>
    <row r="43" spans="1:14" x14ac:dyDescent="0.25">
      <c r="A43" s="43">
        <f t="shared" si="0"/>
        <v>15</v>
      </c>
      <c r="B43" s="47" t="str">
        <f>IF($A43="","",_xlfn.XLOOKUP($A43,Formulas!$F:$F,Formulas!$B:$B))</f>
        <v>Murray International</v>
      </c>
      <c r="C43" s="44">
        <f>IF($A43="","",_xlfn.XLOOKUP($A43,Formulas!$F:$F,Formulas!$E:$E))</f>
        <v>18.523796010799998</v>
      </c>
      <c r="D43" s="54">
        <f t="shared" si="1"/>
        <v>15</v>
      </c>
      <c r="E43" s="47" t="str">
        <f>IF($D43="","",_xlfn.XLOOKUP($D43,Formulas!J:J,Formulas!H:H))</f>
        <v>Edinburgh Investment Trust</v>
      </c>
      <c r="F43" s="44">
        <f>IF($D43="","",_xlfn.XLOOKUP($D43,Formulas!J:J,Formulas!I:I))</f>
        <v>-85.722487349999994</v>
      </c>
      <c r="G43" s="54">
        <f t="shared" si="2"/>
        <v>15</v>
      </c>
      <c r="H43" s="47" t="str">
        <f>_xlfn.XLOOKUP(G43,Formulas!Q:Q,Formulas!L:L)</f>
        <v>BlackRock Latin American</v>
      </c>
      <c r="I43" s="44">
        <f>_xlfn.XLOOKUP(G43,Formulas!Q:Q,Formulas!P:P)</f>
        <v>-32.590349000000003</v>
      </c>
      <c r="K43" s="47" t="str">
        <v>Bluefield Solar Income Fund</v>
      </c>
      <c r="L43" s="44" t="str">
        <v>Jul</v>
      </c>
      <c r="M43" s="44">
        <v>-607.27576273835507</v>
      </c>
      <c r="N43" s="68"/>
    </row>
    <row r="44" spans="1:14" x14ac:dyDescent="0.25">
      <c r="A44" s="43">
        <f t="shared" si="0"/>
        <v>16</v>
      </c>
      <c r="B44" s="47" t="str">
        <f>IF($A44="","",_xlfn.XLOOKUP($A44,Formulas!$F:$F,Formulas!$B:$B))</f>
        <v>CQS New City High Yield Fund</v>
      </c>
      <c r="C44" s="44">
        <f>IF($A44="","",_xlfn.XLOOKUP($A44,Formulas!$F:$F,Formulas!$E:$E))</f>
        <v>17.700424999999999</v>
      </c>
      <c r="D44" s="54">
        <f t="shared" si="1"/>
        <v>16</v>
      </c>
      <c r="E44" s="47" t="str">
        <f>IF($D44="","",_xlfn.XLOOKUP($D44,Formulas!J:J,Formulas!H:H))</f>
        <v>HarbourVest Global Private Equity</v>
      </c>
      <c r="F44" s="44">
        <f>IF($D44="","",_xlfn.XLOOKUP($D44,Formulas!J:J,Formulas!I:I))</f>
        <v>-80.046921041040022</v>
      </c>
      <c r="G44" s="54">
        <f t="shared" si="2"/>
        <v>16</v>
      </c>
      <c r="H44" s="47" t="str">
        <f>_xlfn.XLOOKUP(G44,Formulas!Q:Q,Formulas!L:L)</f>
        <v>Riverstone Energy</v>
      </c>
      <c r="I44" s="44">
        <f>_xlfn.XLOOKUP(G44,Formulas!Q:Q,Formulas!P:P)</f>
        <v>-29.999034999999999</v>
      </c>
      <c r="K44" s="47"/>
      <c r="L44" s="44"/>
      <c r="M44" s="44"/>
      <c r="N44" s="68"/>
    </row>
    <row r="45" spans="1:14" x14ac:dyDescent="0.25">
      <c r="A45" s="43">
        <f t="shared" si="0"/>
        <v>17</v>
      </c>
      <c r="B45" s="47" t="str">
        <f>IF($A45="","",_xlfn.XLOOKUP($A45,Formulas!$F:$F,Formulas!$B:$B))</f>
        <v>Personal Assets Trust</v>
      </c>
      <c r="C45" s="44">
        <f>IF($A45="","",_xlfn.XLOOKUP($A45,Formulas!$F:$F,Formulas!$E:$E))</f>
        <v>14.801727499999998</v>
      </c>
      <c r="D45" s="54">
        <f t="shared" si="1"/>
        <v>17</v>
      </c>
      <c r="E45" s="47" t="str">
        <f>IF($D45="","",_xlfn.XLOOKUP($D45,Formulas!J:J,Formulas!H:H))</f>
        <v>Fidelity European</v>
      </c>
      <c r="F45" s="44">
        <f>IF($D45="","",_xlfn.XLOOKUP($D45,Formulas!J:J,Formulas!I:I))</f>
        <v>-77.137178120400023</v>
      </c>
      <c r="G45" s="54">
        <f t="shared" si="2"/>
        <v>17</v>
      </c>
      <c r="H45" s="47" t="str">
        <f>_xlfn.XLOOKUP(G45,Formulas!Q:Q,Formulas!L:L)</f>
        <v>Digital 9 Infrastructure</v>
      </c>
      <c r="I45" s="44">
        <f>_xlfn.XLOOKUP(G45,Formulas!Q:Q,Formulas!P:P)</f>
        <v>-29.996542999999999</v>
      </c>
      <c r="K45" s="47"/>
      <c r="L45" s="44"/>
      <c r="M45" s="44"/>
      <c r="N45" s="68"/>
    </row>
    <row r="46" spans="1:14" x14ac:dyDescent="0.25">
      <c r="A46" s="43">
        <f t="shared" si="0"/>
        <v>18</v>
      </c>
      <c r="B46" s="47" t="str">
        <f>IF($A46="","",_xlfn.XLOOKUP($A46,Formulas!$F:$F,Formulas!$B:$B))</f>
        <v>Odyssean Investment Trust</v>
      </c>
      <c r="C46" s="44">
        <f>IF($A46="","",_xlfn.XLOOKUP($A46,Formulas!$F:$F,Formulas!$E:$E))</f>
        <v>12.324713000000001</v>
      </c>
      <c r="D46" s="54">
        <f t="shared" si="1"/>
        <v>18</v>
      </c>
      <c r="E46" s="47" t="str">
        <f>IF($D46="","",_xlfn.XLOOKUP($D46,Formulas!J:J,Formulas!H:H))</f>
        <v>Bankers</v>
      </c>
      <c r="F46" s="44">
        <f>IF($D46="","",_xlfn.XLOOKUP($D46,Formulas!J:J,Formulas!I:I))</f>
        <v>-77.113361079929987</v>
      </c>
      <c r="G46" s="54">
        <f t="shared" si="2"/>
        <v>18</v>
      </c>
      <c r="H46" s="47" t="str">
        <f>_xlfn.XLOOKUP(G46,Formulas!Q:Q,Formulas!L:L)</f>
        <v>Phoenix Spree Deutschland</v>
      </c>
      <c r="I46" s="44">
        <f>_xlfn.XLOOKUP(G46,Formulas!Q:Q,Formulas!P:P)</f>
        <v>-17.500001280000003</v>
      </c>
      <c r="K46" s="47"/>
      <c r="L46" s="44"/>
      <c r="M46" s="44"/>
      <c r="N46" s="68"/>
    </row>
    <row r="47" spans="1:14" x14ac:dyDescent="0.25">
      <c r="A47" s="43">
        <f t="shared" si="0"/>
        <v>19</v>
      </c>
      <c r="B47" s="47" t="str">
        <f>IF($A47="","",_xlfn.XLOOKUP($A47,Formulas!$F:$F,Formulas!$B:$B))</f>
        <v>Nippon Active Value Fund</v>
      </c>
      <c r="C47" s="44">
        <f>IF($A47="","",_xlfn.XLOOKUP($A47,Formulas!$F:$F,Formulas!$E:$E))</f>
        <v>11.6601</v>
      </c>
      <c r="D47" s="54">
        <f t="shared" si="1"/>
        <v>19</v>
      </c>
      <c r="E47" s="47" t="str">
        <f>IF($D47="","",_xlfn.XLOOKUP($D47,Formulas!J:J,Formulas!H:H))</f>
        <v>Polar Capital Technology</v>
      </c>
      <c r="F47" s="44">
        <f>IF($D47="","",_xlfn.XLOOKUP($D47,Formulas!J:J,Formulas!I:I))</f>
        <v>-75.047679539500024</v>
      </c>
      <c r="G47" s="54">
        <f t="shared" si="2"/>
        <v>19</v>
      </c>
      <c r="H47" s="47" t="str">
        <f>_xlfn.XLOOKUP(G47,Formulas!Q:Q,Formulas!L:L)</f>
        <v>abrdn European Logistics Income</v>
      </c>
      <c r="I47" s="44">
        <f>_xlfn.XLOOKUP(G47,Formulas!Q:Q,Formulas!P:P)</f>
        <v>-16.5</v>
      </c>
      <c r="K47" s="47"/>
      <c r="L47" s="44"/>
      <c r="M47" s="44"/>
      <c r="N47" s="68"/>
    </row>
    <row r="48" spans="1:14" x14ac:dyDescent="0.25">
      <c r="A48" s="43">
        <f t="shared" si="0"/>
        <v>20</v>
      </c>
      <c r="B48" s="48" t="str">
        <f>IF($A48="","",_xlfn.XLOOKUP($A48,Formulas!$F:$F,Formulas!$B:$B))</f>
        <v>Ceiba Investments</v>
      </c>
      <c r="C48" s="53">
        <f>IF($A48="","",_xlfn.XLOOKUP($A48,Formulas!$F:$F,Formulas!$E:$E))</f>
        <v>10.463039999999999</v>
      </c>
      <c r="D48" s="54">
        <f t="shared" si="1"/>
        <v>20</v>
      </c>
      <c r="E48" s="48" t="str">
        <f>IF($D48="","",_xlfn.XLOOKUP($D48,Formulas!J:J,Formulas!H:H))</f>
        <v>Fidelity Emerging Markets</v>
      </c>
      <c r="F48" s="53">
        <f>IF($D48="","",_xlfn.XLOOKUP($D48,Formulas!J:J,Formulas!I:I))</f>
        <v>-70.850707973500008</v>
      </c>
      <c r="G48" s="54">
        <f t="shared" si="2"/>
        <v>20</v>
      </c>
      <c r="H48" s="48" t="str">
        <f>_xlfn.XLOOKUP(G48,Formulas!Q:Q,Formulas!L:L)</f>
        <v>RM Infrastructure Income</v>
      </c>
      <c r="I48" s="53">
        <f>_xlfn.XLOOKUP(G48,Formulas!Q:Q,Formulas!P:P)</f>
        <v>-12.379</v>
      </c>
      <c r="K48" s="48"/>
      <c r="L48" s="53"/>
      <c r="M48" s="48"/>
      <c r="N48" s="51"/>
    </row>
    <row r="49" spans="1:14" x14ac:dyDescent="0.25">
      <c r="A49" s="51"/>
      <c r="B49" s="51"/>
      <c r="C49" s="51"/>
      <c r="D49" s="51"/>
      <c r="E49" s="51"/>
      <c r="F49" s="51"/>
      <c r="G49" s="51"/>
      <c r="H49" s="51"/>
      <c r="I49" s="68"/>
      <c r="K49" s="51"/>
      <c r="L49" s="68"/>
      <c r="M49" s="68"/>
      <c r="N49" s="68"/>
    </row>
    <row r="50" spans="1:14" ht="32.25" customHeight="1" x14ac:dyDescent="0.25"/>
    <row r="51" spans="1:14" ht="7.5" customHeight="1" x14ac:dyDescent="0.25"/>
    <row r="52" spans="1:14" ht="32.25" hidden="1" customHeight="1" x14ac:dyDescent="0.25"/>
    <row r="53" spans="1:14" hidden="1" x14ac:dyDescent="0.25">
      <c r="B53"/>
      <c r="C53"/>
      <c r="D53"/>
      <c r="E53"/>
    </row>
    <row r="54" spans="1:14" hidden="1" x14ac:dyDescent="0.25">
      <c r="B54"/>
      <c r="C54"/>
      <c r="D54"/>
      <c r="E54"/>
    </row>
    <row r="55" spans="1:14" hidden="1" x14ac:dyDescent="0.25">
      <c r="B55"/>
      <c r="C55"/>
      <c r="D55"/>
      <c r="E55"/>
    </row>
    <row r="56" spans="1:14" hidden="1" x14ac:dyDescent="0.25">
      <c r="B56"/>
      <c r="C56"/>
      <c r="D56"/>
      <c r="E56"/>
    </row>
    <row r="57" spans="1:14" hidden="1" x14ac:dyDescent="0.25">
      <c r="B57"/>
      <c r="C57"/>
      <c r="D57"/>
      <c r="E57"/>
    </row>
    <row r="58" spans="1:14" hidden="1" x14ac:dyDescent="0.25">
      <c r="B58"/>
      <c r="C58"/>
      <c r="D58"/>
      <c r="E58"/>
    </row>
    <row r="59" spans="1:14" hidden="1" x14ac:dyDescent="0.25">
      <c r="B59"/>
      <c r="C59"/>
      <c r="D59"/>
      <c r="E59"/>
    </row>
  </sheetData>
  <sortState xmlns:xlrd2="http://schemas.microsoft.com/office/spreadsheetml/2017/richdata2" ref="H17:I26">
    <sortCondition descending="1" ref="I17:I26"/>
  </sortState>
  <mergeCells count="4">
    <mergeCell ref="L18:M18"/>
    <mergeCell ref="L17:M17"/>
    <mergeCell ref="L16:M16"/>
    <mergeCell ref="B2:N2"/>
  </mergeCells>
  <printOptions horizontalCentered="1"/>
  <pageMargins left="0.70866141732283472" right="0.70866141732283472" top="0.74803149606299213" bottom="0.74803149606299213" header="0.31496062992125984" footer="0.31496062992125984"/>
  <pageSetup paperSize="9" scale="49" orientation="landscape" r:id="rId1"/>
  <ignoredErrors>
    <ignoredError sqref="F21"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E129-0A45-4923-96AB-5389F855E71F}">
  <sheetPr codeName="Sheet1"/>
  <dimension ref="A1:M164"/>
  <sheetViews>
    <sheetView showGridLines="0" zoomScaleNormal="100" workbookViewId="0">
      <pane ySplit="3" topLeftCell="A4" activePane="bottomLeft" state="frozen"/>
      <selection activeCell="A83" sqref="A83"/>
      <selection pane="bottomLeft"/>
    </sheetView>
  </sheetViews>
  <sheetFormatPr defaultColWidth="9.140625" defaultRowHeight="15" x14ac:dyDescent="0.25"/>
  <cols>
    <col min="1" max="1" width="10.5703125" style="11" customWidth="1"/>
    <col min="2" max="2" width="8.140625" style="11" customWidth="1"/>
    <col min="3" max="3" width="21.42578125" style="10" customWidth="1"/>
    <col min="4" max="4" width="32" style="10" customWidth="1"/>
    <col min="5" max="5" width="37.7109375" style="10" customWidth="1"/>
    <col min="6" max="6" width="27" style="10" customWidth="1"/>
    <col min="7" max="7" width="82.28515625" style="10" customWidth="1"/>
    <col min="8" max="8" width="15.28515625" style="9" bestFit="1" customWidth="1"/>
    <col min="9" max="10" width="10.5703125" style="9" bestFit="1" customWidth="1"/>
    <col min="11" max="11" width="15.42578125" style="10" customWidth="1"/>
    <col min="12" max="12" width="10.5703125" style="11" bestFit="1" customWidth="1"/>
    <col min="13" max="13" width="14.42578125" style="11" customWidth="1"/>
  </cols>
  <sheetData>
    <row r="1" spans="1:13" x14ac:dyDescent="0.25">
      <c r="A1" s="14" t="s">
        <v>166</v>
      </c>
      <c r="B1" s="15"/>
      <c r="C1" s="16"/>
      <c r="D1" s="15"/>
      <c r="E1" s="15"/>
      <c r="F1" s="16"/>
      <c r="G1" s="16"/>
      <c r="H1" s="17"/>
      <c r="I1" s="17"/>
      <c r="J1" s="17"/>
      <c r="K1" s="15"/>
      <c r="L1" s="15"/>
      <c r="M1" s="15"/>
    </row>
    <row r="2" spans="1:13" x14ac:dyDescent="0.25">
      <c r="A2" s="18" t="s">
        <v>0</v>
      </c>
      <c r="B2" s="19"/>
      <c r="C2" s="20"/>
      <c r="D2" s="19"/>
      <c r="E2" s="19"/>
      <c r="F2" s="20"/>
      <c r="G2" s="20"/>
      <c r="H2" s="21"/>
      <c r="I2" s="21"/>
      <c r="J2" s="21"/>
      <c r="K2" s="19"/>
      <c r="L2" s="19"/>
      <c r="M2" s="19"/>
    </row>
    <row r="3" spans="1:13" ht="38.25" x14ac:dyDescent="0.25">
      <c r="A3" s="62" t="s">
        <v>1</v>
      </c>
      <c r="B3" s="62" t="s">
        <v>2</v>
      </c>
      <c r="C3" s="62" t="s">
        <v>3</v>
      </c>
      <c r="D3" s="62" t="s">
        <v>96</v>
      </c>
      <c r="E3" s="62" t="s">
        <v>4</v>
      </c>
      <c r="F3" s="62" t="s">
        <v>5</v>
      </c>
      <c r="G3" s="62" t="s">
        <v>6</v>
      </c>
      <c r="H3" s="64" t="s">
        <v>7</v>
      </c>
      <c r="I3" s="64" t="s">
        <v>8</v>
      </c>
      <c r="J3" s="64" t="s">
        <v>9</v>
      </c>
      <c r="K3" s="62" t="s">
        <v>10</v>
      </c>
      <c r="L3" s="62" t="s">
        <v>11</v>
      </c>
      <c r="M3" s="62" t="s">
        <v>12</v>
      </c>
    </row>
    <row r="4" spans="1:13" ht="25.5" x14ac:dyDescent="0.25">
      <c r="A4" s="22">
        <v>2026</v>
      </c>
      <c r="B4" s="23" t="s">
        <v>167</v>
      </c>
      <c r="C4" s="23" t="s">
        <v>17</v>
      </c>
      <c r="D4" s="23" t="s">
        <v>168</v>
      </c>
      <c r="E4" s="24" t="s">
        <v>281</v>
      </c>
      <c r="F4" s="24" t="s">
        <v>282</v>
      </c>
      <c r="G4" s="25" t="s">
        <v>283</v>
      </c>
      <c r="H4" s="26">
        <v>-29.4</v>
      </c>
      <c r="I4" s="26"/>
      <c r="J4" s="26"/>
      <c r="K4" s="25"/>
      <c r="L4" s="24" t="s">
        <v>512</v>
      </c>
      <c r="M4" s="27" t="s">
        <v>513</v>
      </c>
    </row>
    <row r="5" spans="1:13" ht="25.5" x14ac:dyDescent="0.25">
      <c r="A5" s="22">
        <v>2026</v>
      </c>
      <c r="B5" s="23" t="s">
        <v>167</v>
      </c>
      <c r="C5" s="23" t="s">
        <v>17</v>
      </c>
      <c r="D5" s="23" t="s">
        <v>169</v>
      </c>
      <c r="E5" s="24" t="s">
        <v>169</v>
      </c>
      <c r="F5" s="24" t="s">
        <v>284</v>
      </c>
      <c r="G5" s="25" t="s">
        <v>285</v>
      </c>
      <c r="H5" s="26">
        <v>-1.614549</v>
      </c>
      <c r="I5" s="26"/>
      <c r="J5" s="26"/>
      <c r="K5" s="25"/>
      <c r="L5" s="24" t="s">
        <v>512</v>
      </c>
      <c r="M5" s="27" t="s">
        <v>513</v>
      </c>
    </row>
    <row r="6" spans="1:13" ht="25.5" x14ac:dyDescent="0.25">
      <c r="A6" s="22">
        <v>2026</v>
      </c>
      <c r="B6" s="23" t="s">
        <v>167</v>
      </c>
      <c r="C6" s="23" t="s">
        <v>31</v>
      </c>
      <c r="D6" s="23" t="s">
        <v>170</v>
      </c>
      <c r="E6" s="24" t="s">
        <v>286</v>
      </c>
      <c r="F6" s="24" t="s">
        <v>287</v>
      </c>
      <c r="G6" s="25" t="s">
        <v>288</v>
      </c>
      <c r="H6" s="26">
        <v>-0.13720199999999999</v>
      </c>
      <c r="I6" s="26"/>
      <c r="J6" s="26"/>
      <c r="K6" s="25"/>
      <c r="L6" s="24" t="s">
        <v>512</v>
      </c>
      <c r="M6" s="27" t="s">
        <v>513</v>
      </c>
    </row>
    <row r="7" spans="1:13" ht="25.5" x14ac:dyDescent="0.25">
      <c r="A7" s="22">
        <v>2026</v>
      </c>
      <c r="B7" s="23" t="s">
        <v>167</v>
      </c>
      <c r="C7" s="23" t="s">
        <v>31</v>
      </c>
      <c r="D7" s="23" t="s">
        <v>171</v>
      </c>
      <c r="E7" s="24" t="s">
        <v>289</v>
      </c>
      <c r="F7" s="24" t="s">
        <v>284</v>
      </c>
      <c r="G7" s="25" t="s">
        <v>290</v>
      </c>
      <c r="H7" s="26">
        <v>-4.4618159999999998</v>
      </c>
      <c r="I7" s="26"/>
      <c r="J7" s="26"/>
      <c r="K7" s="25"/>
      <c r="L7" s="24" t="s">
        <v>514</v>
      </c>
      <c r="M7" s="27" t="s">
        <v>513</v>
      </c>
    </row>
    <row r="8" spans="1:13" x14ac:dyDescent="0.25">
      <c r="A8" s="22">
        <v>2026</v>
      </c>
      <c r="B8" s="23" t="s">
        <v>167</v>
      </c>
      <c r="C8" s="23" t="s">
        <v>28</v>
      </c>
      <c r="D8" s="23" t="s">
        <v>172</v>
      </c>
      <c r="E8" s="24" t="s">
        <v>291</v>
      </c>
      <c r="F8" s="24" t="s">
        <v>292</v>
      </c>
      <c r="G8" s="25" t="s">
        <v>293</v>
      </c>
      <c r="H8" s="26">
        <v>-142.34700000000001</v>
      </c>
      <c r="I8" s="26">
        <v>0</v>
      </c>
      <c r="J8" s="26">
        <v>0</v>
      </c>
      <c r="K8" s="25"/>
      <c r="L8" s="24" t="s">
        <v>514</v>
      </c>
      <c r="M8" s="27" t="s">
        <v>515</v>
      </c>
    </row>
    <row r="9" spans="1:13" x14ac:dyDescent="0.25">
      <c r="A9" s="22">
        <v>2026</v>
      </c>
      <c r="B9" s="23" t="s">
        <v>167</v>
      </c>
      <c r="C9" s="23" t="s">
        <v>28</v>
      </c>
      <c r="D9" s="23" t="s">
        <v>173</v>
      </c>
      <c r="E9" s="24" t="s">
        <v>294</v>
      </c>
      <c r="F9" s="24" t="s">
        <v>295</v>
      </c>
      <c r="G9" s="25" t="s">
        <v>296</v>
      </c>
      <c r="H9" s="26">
        <v>-1141.52</v>
      </c>
      <c r="I9" s="26">
        <v>0</v>
      </c>
      <c r="J9" s="26">
        <v>-326.14857199999994</v>
      </c>
      <c r="K9" s="25" t="s">
        <v>516</v>
      </c>
      <c r="L9" s="24" t="s">
        <v>512</v>
      </c>
      <c r="M9" s="27" t="s">
        <v>515</v>
      </c>
    </row>
    <row r="10" spans="1:13" ht="38.25" x14ac:dyDescent="0.25">
      <c r="A10" s="22">
        <v>2026</v>
      </c>
      <c r="B10" s="23" t="s">
        <v>167</v>
      </c>
      <c r="C10" s="23" t="s">
        <v>110</v>
      </c>
      <c r="D10" s="23" t="s">
        <v>196</v>
      </c>
      <c r="E10" s="24" t="s">
        <v>352</v>
      </c>
      <c r="F10" s="24" t="s">
        <v>353</v>
      </c>
      <c r="G10" s="25" t="s">
        <v>587</v>
      </c>
      <c r="H10" s="26"/>
      <c r="I10" s="26"/>
      <c r="J10" s="26"/>
      <c r="K10" s="25" t="s">
        <v>588</v>
      </c>
      <c r="L10" s="24" t="s">
        <v>512</v>
      </c>
      <c r="M10" s="27" t="s">
        <v>513</v>
      </c>
    </row>
    <row r="11" spans="1:13" ht="25.5" x14ac:dyDescent="0.25">
      <c r="A11" s="22">
        <v>2026</v>
      </c>
      <c r="B11" s="23" t="s">
        <v>167</v>
      </c>
      <c r="C11" s="23" t="s">
        <v>110</v>
      </c>
      <c r="D11" s="23" t="s">
        <v>547</v>
      </c>
      <c r="E11" s="24" t="s">
        <v>589</v>
      </c>
      <c r="F11" s="24" t="s">
        <v>343</v>
      </c>
      <c r="G11" s="25" t="s">
        <v>590</v>
      </c>
      <c r="H11" s="26"/>
      <c r="I11" s="26"/>
      <c r="J11" s="26"/>
      <c r="K11" s="25" t="s">
        <v>550</v>
      </c>
      <c r="L11" s="24" t="s">
        <v>512</v>
      </c>
      <c r="M11" s="27" t="s">
        <v>513</v>
      </c>
    </row>
    <row r="12" spans="1:13" ht="25.5" x14ac:dyDescent="0.25">
      <c r="A12" s="22">
        <v>2026</v>
      </c>
      <c r="B12" s="23" t="s">
        <v>167</v>
      </c>
      <c r="C12" s="23" t="s">
        <v>110</v>
      </c>
      <c r="D12" s="23" t="s">
        <v>546</v>
      </c>
      <c r="E12" s="24" t="s">
        <v>585</v>
      </c>
      <c r="F12" s="24" t="s">
        <v>329</v>
      </c>
      <c r="G12" s="25" t="s">
        <v>586</v>
      </c>
      <c r="H12" s="26"/>
      <c r="I12" s="26"/>
      <c r="J12" s="26"/>
      <c r="K12" s="25" t="s">
        <v>550</v>
      </c>
      <c r="L12" s="24" t="s">
        <v>512</v>
      </c>
      <c r="M12" s="27" t="s">
        <v>513</v>
      </c>
    </row>
    <row r="13" spans="1:13" ht="38.25" x14ac:dyDescent="0.25">
      <c r="A13" s="22">
        <v>2026</v>
      </c>
      <c r="B13" s="23" t="s">
        <v>167</v>
      </c>
      <c r="C13" s="23" t="s">
        <v>42</v>
      </c>
      <c r="D13" s="23" t="s">
        <v>168</v>
      </c>
      <c r="E13" s="24" t="s">
        <v>281</v>
      </c>
      <c r="F13" s="24" t="s">
        <v>282</v>
      </c>
      <c r="G13" s="25" t="s">
        <v>297</v>
      </c>
      <c r="H13" s="26"/>
      <c r="I13" s="26"/>
      <c r="J13" s="26"/>
      <c r="K13" s="25"/>
      <c r="L13" s="24" t="s">
        <v>512</v>
      </c>
      <c r="M13" s="27" t="s">
        <v>513</v>
      </c>
    </row>
    <row r="14" spans="1:13" x14ac:dyDescent="0.25">
      <c r="A14" s="22">
        <v>2026</v>
      </c>
      <c r="B14" s="23" t="s">
        <v>167</v>
      </c>
      <c r="C14" s="23" t="s">
        <v>174</v>
      </c>
      <c r="D14" s="23" t="s">
        <v>175</v>
      </c>
      <c r="E14" s="24" t="s">
        <v>175</v>
      </c>
      <c r="F14" s="24" t="s">
        <v>298</v>
      </c>
      <c r="G14" s="25" t="s">
        <v>299</v>
      </c>
      <c r="H14" s="26"/>
      <c r="I14" s="26"/>
      <c r="J14" s="26"/>
      <c r="K14" s="25" t="s">
        <v>517</v>
      </c>
      <c r="L14" s="24" t="s">
        <v>512</v>
      </c>
      <c r="M14" s="27" t="s">
        <v>513</v>
      </c>
    </row>
    <row r="15" spans="1:13" ht="25.5" x14ac:dyDescent="0.25">
      <c r="A15" s="22">
        <v>2026</v>
      </c>
      <c r="B15" s="23" t="s">
        <v>167</v>
      </c>
      <c r="C15" s="23" t="s">
        <v>174</v>
      </c>
      <c r="D15" s="23" t="s">
        <v>176</v>
      </c>
      <c r="E15" s="24" t="s">
        <v>300</v>
      </c>
      <c r="F15" s="24" t="s">
        <v>301</v>
      </c>
      <c r="G15" s="25" t="s">
        <v>302</v>
      </c>
      <c r="H15" s="26"/>
      <c r="I15" s="26"/>
      <c r="J15" s="26"/>
      <c r="K15" s="25" t="s">
        <v>517</v>
      </c>
      <c r="L15" s="24" t="s">
        <v>514</v>
      </c>
      <c r="M15" s="27" t="s">
        <v>518</v>
      </c>
    </row>
    <row r="16" spans="1:13" x14ac:dyDescent="0.25">
      <c r="A16" s="22">
        <v>2026</v>
      </c>
      <c r="B16" s="23" t="s">
        <v>167</v>
      </c>
      <c r="C16" s="23" t="s">
        <v>29</v>
      </c>
      <c r="D16" s="23" t="s">
        <v>177</v>
      </c>
      <c r="E16" s="24" t="s">
        <v>303</v>
      </c>
      <c r="F16" s="24"/>
      <c r="G16" s="25" t="s">
        <v>304</v>
      </c>
      <c r="H16" s="26"/>
      <c r="I16" s="26"/>
      <c r="J16" s="26"/>
      <c r="K16" s="25"/>
      <c r="L16" s="24" t="s">
        <v>177</v>
      </c>
      <c r="M16" s="27" t="s">
        <v>177</v>
      </c>
    </row>
    <row r="17" spans="1:13" x14ac:dyDescent="0.25">
      <c r="A17" s="22">
        <v>2026</v>
      </c>
      <c r="B17" s="23" t="s">
        <v>167</v>
      </c>
      <c r="C17" s="23" t="s">
        <v>44</v>
      </c>
      <c r="D17" s="23" t="s">
        <v>177</v>
      </c>
      <c r="E17" s="24" t="s">
        <v>305</v>
      </c>
      <c r="F17" s="24"/>
      <c r="G17" s="25" t="s">
        <v>306</v>
      </c>
      <c r="H17" s="26"/>
      <c r="I17" s="26"/>
      <c r="J17" s="26"/>
      <c r="K17" s="25"/>
      <c r="L17" s="24" t="s">
        <v>177</v>
      </c>
      <c r="M17" s="27" t="s">
        <v>177</v>
      </c>
    </row>
    <row r="18" spans="1:13" x14ac:dyDescent="0.25">
      <c r="A18" s="22">
        <v>2026</v>
      </c>
      <c r="B18" s="23" t="s">
        <v>167</v>
      </c>
      <c r="C18" s="23" t="s">
        <v>45</v>
      </c>
      <c r="D18" s="23" t="s">
        <v>177</v>
      </c>
      <c r="E18" s="24" t="s">
        <v>307</v>
      </c>
      <c r="F18" s="24"/>
      <c r="G18" s="25" t="s">
        <v>308</v>
      </c>
      <c r="H18" s="26"/>
      <c r="I18" s="26"/>
      <c r="J18" s="26"/>
      <c r="K18" s="25"/>
      <c r="L18" s="24" t="s">
        <v>177</v>
      </c>
      <c r="M18" s="27" t="s">
        <v>177</v>
      </c>
    </row>
    <row r="19" spans="1:13" ht="25.5" x14ac:dyDescent="0.25">
      <c r="A19" s="22">
        <v>2026</v>
      </c>
      <c r="B19" s="23" t="s">
        <v>167</v>
      </c>
      <c r="C19" s="23" t="s">
        <v>46</v>
      </c>
      <c r="D19" s="23" t="s">
        <v>178</v>
      </c>
      <c r="E19" s="24" t="s">
        <v>309</v>
      </c>
      <c r="F19" s="24" t="s">
        <v>287</v>
      </c>
      <c r="G19" s="25" t="s">
        <v>310</v>
      </c>
      <c r="H19" s="26"/>
      <c r="I19" s="26"/>
      <c r="J19" s="26"/>
      <c r="K19" s="25"/>
      <c r="L19" s="24" t="s">
        <v>512</v>
      </c>
      <c r="M19" s="27" t="s">
        <v>513</v>
      </c>
    </row>
    <row r="20" spans="1:13" x14ac:dyDescent="0.25">
      <c r="A20" s="22">
        <v>2026</v>
      </c>
      <c r="B20" s="23" t="s">
        <v>167</v>
      </c>
      <c r="C20" s="23" t="s">
        <v>21</v>
      </c>
      <c r="D20" s="23" t="s">
        <v>175</v>
      </c>
      <c r="E20" s="24" t="s">
        <v>311</v>
      </c>
      <c r="F20" s="24" t="s">
        <v>298</v>
      </c>
      <c r="G20" s="25" t="s">
        <v>312</v>
      </c>
      <c r="H20" s="26"/>
      <c r="I20" s="26"/>
      <c r="J20" s="26"/>
      <c r="K20" s="25" t="s">
        <v>517</v>
      </c>
      <c r="L20" s="24" t="s">
        <v>512</v>
      </c>
      <c r="M20" s="27" t="s">
        <v>513</v>
      </c>
    </row>
    <row r="21" spans="1:13" ht="25.5" x14ac:dyDescent="0.25">
      <c r="A21" s="22">
        <v>2026</v>
      </c>
      <c r="B21" s="23" t="s">
        <v>167</v>
      </c>
      <c r="C21" s="23" t="s">
        <v>21</v>
      </c>
      <c r="D21" s="23" t="s">
        <v>176</v>
      </c>
      <c r="E21" s="24" t="s">
        <v>303</v>
      </c>
      <c r="F21" s="24" t="s">
        <v>301</v>
      </c>
      <c r="G21" s="25" t="s">
        <v>313</v>
      </c>
      <c r="H21" s="26"/>
      <c r="I21" s="26"/>
      <c r="J21" s="26"/>
      <c r="K21" s="25" t="s">
        <v>517</v>
      </c>
      <c r="L21" s="24" t="s">
        <v>514</v>
      </c>
      <c r="M21" s="27" t="s">
        <v>518</v>
      </c>
    </row>
    <row r="22" spans="1:13" ht="25.5" x14ac:dyDescent="0.25">
      <c r="A22" s="22">
        <v>2026</v>
      </c>
      <c r="B22" s="23" t="s">
        <v>167</v>
      </c>
      <c r="C22" s="23" t="s">
        <v>22</v>
      </c>
      <c r="D22" s="23" t="s">
        <v>179</v>
      </c>
      <c r="E22" s="24" t="s">
        <v>309</v>
      </c>
      <c r="F22" s="24" t="s">
        <v>287</v>
      </c>
      <c r="G22" s="25" t="s">
        <v>314</v>
      </c>
      <c r="H22" s="26"/>
      <c r="I22" s="26"/>
      <c r="J22" s="26"/>
      <c r="K22" s="25"/>
      <c r="L22" s="24" t="s">
        <v>512</v>
      </c>
      <c r="M22" s="27" t="s">
        <v>513</v>
      </c>
    </row>
    <row r="23" spans="1:13" x14ac:dyDescent="0.25">
      <c r="A23" s="22">
        <v>2026</v>
      </c>
      <c r="B23" s="23" t="s">
        <v>167</v>
      </c>
      <c r="C23" s="23" t="s">
        <v>27</v>
      </c>
      <c r="D23" s="23" t="s">
        <v>180</v>
      </c>
      <c r="E23" s="24" t="s">
        <v>315</v>
      </c>
      <c r="F23" s="24" t="s">
        <v>316</v>
      </c>
      <c r="G23" s="25" t="s">
        <v>317</v>
      </c>
      <c r="H23" s="26">
        <v>-46.740591000000002</v>
      </c>
      <c r="I23" s="26"/>
      <c r="J23" s="26"/>
      <c r="K23" s="25"/>
      <c r="L23" s="24" t="s">
        <v>512</v>
      </c>
      <c r="M23" s="27" t="s">
        <v>513</v>
      </c>
    </row>
    <row r="24" spans="1:13" x14ac:dyDescent="0.25">
      <c r="A24" s="22">
        <v>2026</v>
      </c>
      <c r="B24" s="23" t="s">
        <v>167</v>
      </c>
      <c r="C24" s="23" t="s">
        <v>27</v>
      </c>
      <c r="D24" s="23" t="s">
        <v>181</v>
      </c>
      <c r="E24" s="24" t="s">
        <v>318</v>
      </c>
      <c r="F24" s="24" t="s">
        <v>319</v>
      </c>
      <c r="G24" s="25" t="s">
        <v>320</v>
      </c>
      <c r="H24" s="26">
        <v>-0.26406400000000002</v>
      </c>
      <c r="I24" s="26"/>
      <c r="J24" s="26"/>
      <c r="K24" s="25"/>
      <c r="L24" s="24" t="s">
        <v>514</v>
      </c>
      <c r="M24" s="27" t="s">
        <v>513</v>
      </c>
    </row>
    <row r="25" spans="1:13" x14ac:dyDescent="0.25">
      <c r="A25" s="22">
        <v>2026</v>
      </c>
      <c r="B25" s="23" t="s">
        <v>167</v>
      </c>
      <c r="C25" s="23" t="s">
        <v>27</v>
      </c>
      <c r="D25" s="23" t="s">
        <v>182</v>
      </c>
      <c r="E25" s="24" t="s">
        <v>321</v>
      </c>
      <c r="F25" s="24" t="s">
        <v>322</v>
      </c>
      <c r="G25" s="25" t="s">
        <v>323</v>
      </c>
      <c r="H25" s="26">
        <v>-147.36051399999999</v>
      </c>
      <c r="I25" s="26"/>
      <c r="J25" s="26"/>
      <c r="K25" s="25"/>
      <c r="L25" s="24" t="s">
        <v>519</v>
      </c>
      <c r="M25" s="27" t="s">
        <v>513</v>
      </c>
    </row>
    <row r="26" spans="1:13" ht="25.5" x14ac:dyDescent="0.25">
      <c r="A26" s="22">
        <v>2026</v>
      </c>
      <c r="B26" s="23" t="s">
        <v>183</v>
      </c>
      <c r="C26" s="23" t="s">
        <v>17</v>
      </c>
      <c r="D26" s="23" t="s">
        <v>184</v>
      </c>
      <c r="E26" s="24" t="s">
        <v>324</v>
      </c>
      <c r="F26" s="24" t="s">
        <v>325</v>
      </c>
      <c r="G26" s="25" t="s">
        <v>326</v>
      </c>
      <c r="H26" s="26">
        <v>-43.7</v>
      </c>
      <c r="I26" s="26"/>
      <c r="J26" s="26"/>
      <c r="K26" s="25"/>
      <c r="L26" s="24" t="s">
        <v>512</v>
      </c>
      <c r="M26" s="27" t="s">
        <v>513</v>
      </c>
    </row>
    <row r="27" spans="1:13" ht="25.5" x14ac:dyDescent="0.25">
      <c r="A27" s="22">
        <v>2026</v>
      </c>
      <c r="B27" s="23" t="s">
        <v>183</v>
      </c>
      <c r="C27" s="23" t="s">
        <v>31</v>
      </c>
      <c r="D27" s="23" t="s">
        <v>185</v>
      </c>
      <c r="E27" s="24" t="s">
        <v>309</v>
      </c>
      <c r="F27" s="24" t="s">
        <v>325</v>
      </c>
      <c r="G27" s="25" t="s">
        <v>327</v>
      </c>
      <c r="H27" s="26">
        <v>-20.530355</v>
      </c>
      <c r="I27" s="26"/>
      <c r="J27" s="26"/>
      <c r="K27" s="25"/>
      <c r="L27" s="24" t="s">
        <v>514</v>
      </c>
      <c r="M27" s="27" t="s">
        <v>513</v>
      </c>
    </row>
    <row r="28" spans="1:13" ht="25.5" x14ac:dyDescent="0.25">
      <c r="A28" s="22">
        <v>2026</v>
      </c>
      <c r="B28" s="23" t="s">
        <v>183</v>
      </c>
      <c r="C28" s="23" t="s">
        <v>28</v>
      </c>
      <c r="D28" s="23" t="s">
        <v>186</v>
      </c>
      <c r="E28" s="24" t="s">
        <v>328</v>
      </c>
      <c r="F28" s="24" t="s">
        <v>329</v>
      </c>
      <c r="G28" s="25" t="s">
        <v>330</v>
      </c>
      <c r="H28" s="26">
        <v>-22.36</v>
      </c>
      <c r="I28" s="26">
        <v>0</v>
      </c>
      <c r="J28" s="26">
        <v>0</v>
      </c>
      <c r="K28" s="25"/>
      <c r="L28" s="24" t="s">
        <v>514</v>
      </c>
      <c r="M28" s="27" t="s">
        <v>513</v>
      </c>
    </row>
    <row r="29" spans="1:13" x14ac:dyDescent="0.25">
      <c r="A29" s="22">
        <v>2026</v>
      </c>
      <c r="B29" s="23" t="s">
        <v>183</v>
      </c>
      <c r="C29" s="23" t="s">
        <v>36</v>
      </c>
      <c r="D29" s="23" t="s">
        <v>187</v>
      </c>
      <c r="E29" s="24" t="s">
        <v>331</v>
      </c>
      <c r="F29" s="24" t="s">
        <v>332</v>
      </c>
      <c r="G29" s="25" t="s">
        <v>333</v>
      </c>
      <c r="H29" s="26"/>
      <c r="I29" s="26"/>
      <c r="J29" s="26"/>
      <c r="K29" s="25"/>
      <c r="L29" s="24" t="s">
        <v>512</v>
      </c>
      <c r="M29" s="27" t="s">
        <v>513</v>
      </c>
    </row>
    <row r="30" spans="1:13" ht="38.25" x14ac:dyDescent="0.25">
      <c r="A30" s="22">
        <v>2026</v>
      </c>
      <c r="B30" s="23" t="s">
        <v>183</v>
      </c>
      <c r="C30" s="23" t="s">
        <v>110</v>
      </c>
      <c r="D30" s="23" t="s">
        <v>212</v>
      </c>
      <c r="E30" s="24" t="s">
        <v>369</v>
      </c>
      <c r="F30" s="24" t="s">
        <v>343</v>
      </c>
      <c r="G30" s="25" t="s">
        <v>582</v>
      </c>
      <c r="H30" s="26"/>
      <c r="I30" s="26"/>
      <c r="J30" s="26"/>
      <c r="K30" s="25" t="s">
        <v>550</v>
      </c>
      <c r="L30" s="24" t="s">
        <v>512</v>
      </c>
      <c r="M30" s="27" t="s">
        <v>513</v>
      </c>
    </row>
    <row r="31" spans="1:13" ht="25.5" x14ac:dyDescent="0.25">
      <c r="A31" s="22">
        <v>2026</v>
      </c>
      <c r="B31" s="23" t="s">
        <v>183</v>
      </c>
      <c r="C31" s="23" t="s">
        <v>110</v>
      </c>
      <c r="D31" s="23" t="s">
        <v>545</v>
      </c>
      <c r="E31" s="24" t="s">
        <v>583</v>
      </c>
      <c r="F31" s="24" t="s">
        <v>284</v>
      </c>
      <c r="G31" s="25" t="s">
        <v>584</v>
      </c>
      <c r="H31" s="26"/>
      <c r="I31" s="26"/>
      <c r="J31" s="26"/>
      <c r="K31" s="25" t="s">
        <v>550</v>
      </c>
      <c r="L31" s="24" t="s">
        <v>512</v>
      </c>
      <c r="M31" s="27" t="s">
        <v>513</v>
      </c>
    </row>
    <row r="32" spans="1:13" ht="51" x14ac:dyDescent="0.25">
      <c r="A32" s="22">
        <v>2026</v>
      </c>
      <c r="B32" s="23" t="s">
        <v>183</v>
      </c>
      <c r="C32" s="23" t="s">
        <v>25</v>
      </c>
      <c r="D32" s="23" t="s">
        <v>188</v>
      </c>
      <c r="E32" s="24" t="s">
        <v>334</v>
      </c>
      <c r="F32" s="24" t="s">
        <v>335</v>
      </c>
      <c r="G32" s="25" t="s">
        <v>336</v>
      </c>
      <c r="H32" s="26">
        <v>162.17883</v>
      </c>
      <c r="I32" s="26">
        <v>162.17883</v>
      </c>
      <c r="J32" s="26">
        <v>0</v>
      </c>
      <c r="K32" s="25"/>
      <c r="L32" s="24" t="s">
        <v>512</v>
      </c>
      <c r="M32" s="27" t="s">
        <v>513</v>
      </c>
    </row>
    <row r="33" spans="1:13" ht="51" x14ac:dyDescent="0.25">
      <c r="A33" s="22">
        <v>2026</v>
      </c>
      <c r="B33" s="23" t="s">
        <v>183</v>
      </c>
      <c r="C33" s="23" t="s">
        <v>26</v>
      </c>
      <c r="D33" s="23" t="s">
        <v>189</v>
      </c>
      <c r="E33" s="24" t="s">
        <v>337</v>
      </c>
      <c r="F33" s="24" t="s">
        <v>298</v>
      </c>
      <c r="G33" s="25" t="s">
        <v>338</v>
      </c>
      <c r="H33" s="26">
        <v>-168.41</v>
      </c>
      <c r="I33" s="26">
        <v>-162.17883</v>
      </c>
      <c r="J33" s="26">
        <v>0</v>
      </c>
      <c r="K33" s="25"/>
      <c r="L33" s="24" t="s">
        <v>512</v>
      </c>
      <c r="M33" s="27" t="s">
        <v>513</v>
      </c>
    </row>
    <row r="34" spans="1:13" ht="51" x14ac:dyDescent="0.25">
      <c r="A34" s="22">
        <v>2026</v>
      </c>
      <c r="B34" s="23" t="s">
        <v>183</v>
      </c>
      <c r="C34" s="23" t="s">
        <v>24</v>
      </c>
      <c r="D34" s="23" t="s">
        <v>190</v>
      </c>
      <c r="E34" s="24" t="s">
        <v>339</v>
      </c>
      <c r="F34" s="24" t="s">
        <v>340</v>
      </c>
      <c r="G34" s="25" t="s">
        <v>341</v>
      </c>
      <c r="H34" s="26">
        <v>-1679</v>
      </c>
      <c r="I34" s="26">
        <v>0</v>
      </c>
      <c r="J34" s="26">
        <v>0</v>
      </c>
      <c r="K34" s="25"/>
      <c r="L34" s="24" t="s">
        <v>512</v>
      </c>
      <c r="M34" s="27" t="s">
        <v>513</v>
      </c>
    </row>
    <row r="35" spans="1:13" x14ac:dyDescent="0.25">
      <c r="A35" s="22">
        <v>2026</v>
      </c>
      <c r="B35" s="23" t="s">
        <v>183</v>
      </c>
      <c r="C35" s="23" t="s">
        <v>27</v>
      </c>
      <c r="D35" s="23" t="s">
        <v>191</v>
      </c>
      <c r="E35" s="24" t="s">
        <v>342</v>
      </c>
      <c r="F35" s="24" t="s">
        <v>343</v>
      </c>
      <c r="G35" s="25" t="s">
        <v>344</v>
      </c>
      <c r="H35" s="26">
        <v>-10.021072399999998</v>
      </c>
      <c r="I35" s="26"/>
      <c r="J35" s="26"/>
      <c r="K35" s="25"/>
      <c r="L35" s="24" t="s">
        <v>512</v>
      </c>
      <c r="M35" s="27" t="s">
        <v>513</v>
      </c>
    </row>
    <row r="36" spans="1:13" ht="25.5" x14ac:dyDescent="0.25">
      <c r="A36" s="22">
        <v>2026</v>
      </c>
      <c r="B36" s="23" t="s">
        <v>192</v>
      </c>
      <c r="C36" s="23" t="s">
        <v>17</v>
      </c>
      <c r="D36" s="23" t="s">
        <v>168</v>
      </c>
      <c r="E36" s="24" t="s">
        <v>281</v>
      </c>
      <c r="F36" s="24" t="s">
        <v>282</v>
      </c>
      <c r="G36" s="25" t="s">
        <v>345</v>
      </c>
      <c r="H36" s="26">
        <v>-17.399999999999999</v>
      </c>
      <c r="I36" s="26"/>
      <c r="J36" s="26"/>
      <c r="K36" s="25"/>
      <c r="L36" s="24" t="s">
        <v>512</v>
      </c>
      <c r="M36" s="27" t="s">
        <v>513</v>
      </c>
    </row>
    <row r="37" spans="1:13" ht="25.5" x14ac:dyDescent="0.25">
      <c r="A37" s="22">
        <v>2026</v>
      </c>
      <c r="B37" s="23" t="s">
        <v>192</v>
      </c>
      <c r="C37" s="23" t="s">
        <v>31</v>
      </c>
      <c r="D37" s="23" t="s">
        <v>193</v>
      </c>
      <c r="E37" s="24" t="s">
        <v>346</v>
      </c>
      <c r="F37" s="24" t="s">
        <v>319</v>
      </c>
      <c r="G37" s="25" t="s">
        <v>347</v>
      </c>
      <c r="H37" s="26">
        <v>-8.1134550000000001</v>
      </c>
      <c r="I37" s="26"/>
      <c r="J37" s="26"/>
      <c r="K37" s="25"/>
      <c r="L37" s="24" t="s">
        <v>512</v>
      </c>
      <c r="M37" s="27" t="s">
        <v>515</v>
      </c>
    </row>
    <row r="38" spans="1:13" x14ac:dyDescent="0.25">
      <c r="A38" s="22">
        <v>2026</v>
      </c>
      <c r="B38" s="23" t="s">
        <v>192</v>
      </c>
      <c r="C38" s="23" t="s">
        <v>28</v>
      </c>
      <c r="D38" s="23" t="s">
        <v>184</v>
      </c>
      <c r="E38" s="24" t="s">
        <v>324</v>
      </c>
      <c r="F38" s="24" t="s">
        <v>325</v>
      </c>
      <c r="G38" s="25" t="s">
        <v>348</v>
      </c>
      <c r="H38" s="26">
        <v>-46.5</v>
      </c>
      <c r="I38" s="26">
        <v>0</v>
      </c>
      <c r="J38" s="26">
        <v>0</v>
      </c>
      <c r="K38" s="25"/>
      <c r="L38" s="24" t="s">
        <v>512</v>
      </c>
      <c r="M38" s="27" t="s">
        <v>513</v>
      </c>
    </row>
    <row r="39" spans="1:13" ht="25.5" x14ac:dyDescent="0.25">
      <c r="A39" s="22">
        <v>2026</v>
      </c>
      <c r="B39" s="23" t="s">
        <v>192</v>
      </c>
      <c r="C39" s="23" t="s">
        <v>110</v>
      </c>
      <c r="D39" s="23" t="s">
        <v>541</v>
      </c>
      <c r="E39" s="24" t="s">
        <v>572</v>
      </c>
      <c r="F39" s="24" t="s">
        <v>298</v>
      </c>
      <c r="G39" s="25" t="s">
        <v>573</v>
      </c>
      <c r="H39" s="26"/>
      <c r="I39" s="26"/>
      <c r="J39" s="26"/>
      <c r="K39" s="25" t="s">
        <v>550</v>
      </c>
      <c r="L39" s="24" t="s">
        <v>512</v>
      </c>
      <c r="M39" s="27" t="s">
        <v>513</v>
      </c>
    </row>
    <row r="40" spans="1:13" ht="25.5" x14ac:dyDescent="0.25">
      <c r="A40" s="22">
        <v>2026</v>
      </c>
      <c r="B40" s="23" t="s">
        <v>192</v>
      </c>
      <c r="C40" s="23" t="s">
        <v>110</v>
      </c>
      <c r="D40" s="23" t="s">
        <v>541</v>
      </c>
      <c r="E40" s="24" t="s">
        <v>572</v>
      </c>
      <c r="F40" s="24" t="s">
        <v>298</v>
      </c>
      <c r="G40" s="25" t="s">
        <v>574</v>
      </c>
      <c r="H40" s="26"/>
      <c r="I40" s="26"/>
      <c r="J40" s="26"/>
      <c r="K40" s="25" t="s">
        <v>550</v>
      </c>
      <c r="L40" s="24" t="s">
        <v>512</v>
      </c>
      <c r="M40" s="27" t="s">
        <v>513</v>
      </c>
    </row>
    <row r="41" spans="1:13" ht="25.5" x14ac:dyDescent="0.25">
      <c r="A41" s="22">
        <v>2026</v>
      </c>
      <c r="B41" s="23" t="s">
        <v>192</v>
      </c>
      <c r="C41" s="23" t="s">
        <v>110</v>
      </c>
      <c r="D41" s="23" t="s">
        <v>540</v>
      </c>
      <c r="E41" s="24" t="s">
        <v>569</v>
      </c>
      <c r="F41" s="24" t="s">
        <v>570</v>
      </c>
      <c r="G41" s="25" t="s">
        <v>571</v>
      </c>
      <c r="H41" s="26"/>
      <c r="I41" s="26"/>
      <c r="J41" s="26"/>
      <c r="K41" s="25" t="s">
        <v>550</v>
      </c>
      <c r="L41" s="24" t="s">
        <v>512</v>
      </c>
      <c r="M41" s="27" t="s">
        <v>513</v>
      </c>
    </row>
    <row r="42" spans="1:13" ht="38.25" x14ac:dyDescent="0.25">
      <c r="A42" s="22">
        <v>2026</v>
      </c>
      <c r="B42" s="23" t="s">
        <v>192</v>
      </c>
      <c r="C42" s="23" t="s">
        <v>110</v>
      </c>
      <c r="D42" s="23" t="s">
        <v>542</v>
      </c>
      <c r="E42" s="24" t="s">
        <v>575</v>
      </c>
      <c r="F42" s="24" t="s">
        <v>576</v>
      </c>
      <c r="G42" s="25" t="s">
        <v>577</v>
      </c>
      <c r="H42" s="26"/>
      <c r="I42" s="26"/>
      <c r="J42" s="26"/>
      <c r="K42" s="25" t="s">
        <v>550</v>
      </c>
      <c r="L42" s="24" t="s">
        <v>512</v>
      </c>
      <c r="M42" s="27" t="s">
        <v>513</v>
      </c>
    </row>
    <row r="43" spans="1:13" ht="25.5" x14ac:dyDescent="0.25">
      <c r="A43" s="22">
        <v>2026</v>
      </c>
      <c r="B43" s="23" t="s">
        <v>192</v>
      </c>
      <c r="C43" s="23" t="s">
        <v>110</v>
      </c>
      <c r="D43" s="23" t="s">
        <v>543</v>
      </c>
      <c r="E43" s="24" t="s">
        <v>578</v>
      </c>
      <c r="F43" s="24" t="s">
        <v>335</v>
      </c>
      <c r="G43" s="25" t="s">
        <v>574</v>
      </c>
      <c r="H43" s="26"/>
      <c r="I43" s="26"/>
      <c r="J43" s="26"/>
      <c r="K43" s="25" t="s">
        <v>550</v>
      </c>
      <c r="L43" s="24" t="s">
        <v>512</v>
      </c>
      <c r="M43" s="27" t="s">
        <v>513</v>
      </c>
    </row>
    <row r="44" spans="1:13" ht="25.5" x14ac:dyDescent="0.25">
      <c r="A44" s="22">
        <v>2026</v>
      </c>
      <c r="B44" s="23" t="s">
        <v>192</v>
      </c>
      <c r="C44" s="23" t="s">
        <v>110</v>
      </c>
      <c r="D44" s="23" t="s">
        <v>544</v>
      </c>
      <c r="E44" s="24" t="s">
        <v>373</v>
      </c>
      <c r="F44" s="24" t="s">
        <v>579</v>
      </c>
      <c r="G44" s="25" t="s">
        <v>580</v>
      </c>
      <c r="H44" s="26"/>
      <c r="I44" s="26"/>
      <c r="J44" s="26"/>
      <c r="K44" s="92" t="s">
        <v>581</v>
      </c>
      <c r="L44" s="24" t="s">
        <v>512</v>
      </c>
      <c r="M44" s="27" t="s">
        <v>513</v>
      </c>
    </row>
    <row r="45" spans="1:13" x14ac:dyDescent="0.25">
      <c r="A45" s="22">
        <v>2026</v>
      </c>
      <c r="B45" s="23" t="s">
        <v>192</v>
      </c>
      <c r="C45" s="23" t="s">
        <v>174</v>
      </c>
      <c r="D45" s="23" t="s">
        <v>194</v>
      </c>
      <c r="E45" s="24" t="s">
        <v>349</v>
      </c>
      <c r="F45" s="24" t="s">
        <v>350</v>
      </c>
      <c r="G45" s="25" t="s">
        <v>351</v>
      </c>
      <c r="H45" s="26"/>
      <c r="I45" s="26"/>
      <c r="J45" s="26"/>
      <c r="K45" s="25" t="s">
        <v>517</v>
      </c>
      <c r="L45" s="24" t="s">
        <v>512</v>
      </c>
      <c r="M45" s="27" t="s">
        <v>513</v>
      </c>
    </row>
    <row r="46" spans="1:13" x14ac:dyDescent="0.25">
      <c r="A46" s="22">
        <v>2026</v>
      </c>
      <c r="B46" s="23" t="s">
        <v>192</v>
      </c>
      <c r="C46" s="23" t="s">
        <v>174</v>
      </c>
      <c r="D46" s="23" t="s">
        <v>195</v>
      </c>
      <c r="E46" s="24" t="s">
        <v>352</v>
      </c>
      <c r="F46" s="24" t="s">
        <v>353</v>
      </c>
      <c r="G46" s="25" t="s">
        <v>354</v>
      </c>
      <c r="H46" s="26"/>
      <c r="I46" s="26"/>
      <c r="J46" s="26"/>
      <c r="K46" s="25" t="s">
        <v>517</v>
      </c>
      <c r="L46" s="24" t="s">
        <v>512</v>
      </c>
      <c r="M46" s="27" t="s">
        <v>513</v>
      </c>
    </row>
    <row r="47" spans="1:13" ht="63.75" x14ac:dyDescent="0.25">
      <c r="A47" s="22">
        <v>2026</v>
      </c>
      <c r="B47" s="23" t="s">
        <v>192</v>
      </c>
      <c r="C47" s="23" t="s">
        <v>25</v>
      </c>
      <c r="D47" s="23" t="s">
        <v>196</v>
      </c>
      <c r="E47" s="24" t="s">
        <v>352</v>
      </c>
      <c r="F47" s="24" t="s">
        <v>353</v>
      </c>
      <c r="G47" s="25" t="s">
        <v>355</v>
      </c>
      <c r="H47" s="26">
        <v>115</v>
      </c>
      <c r="I47" s="26">
        <v>115</v>
      </c>
      <c r="J47" s="26">
        <v>0</v>
      </c>
      <c r="K47" s="25"/>
      <c r="L47" s="24" t="s">
        <v>512</v>
      </c>
      <c r="M47" s="27" t="s">
        <v>513</v>
      </c>
    </row>
    <row r="48" spans="1:13" ht="63.75" x14ac:dyDescent="0.25">
      <c r="A48" s="22">
        <v>2026</v>
      </c>
      <c r="B48" s="23" t="s">
        <v>192</v>
      </c>
      <c r="C48" s="23" t="s">
        <v>26</v>
      </c>
      <c r="D48" s="23" t="s">
        <v>197</v>
      </c>
      <c r="E48" s="24" t="s">
        <v>352</v>
      </c>
      <c r="F48" s="24" t="s">
        <v>353</v>
      </c>
      <c r="G48" s="25" t="s">
        <v>356</v>
      </c>
      <c r="H48" s="26">
        <v>-129.279663</v>
      </c>
      <c r="I48" s="26">
        <v>-115</v>
      </c>
      <c r="J48" s="26">
        <v>0</v>
      </c>
      <c r="K48" s="25"/>
      <c r="L48" s="24" t="s">
        <v>512</v>
      </c>
      <c r="M48" s="27" t="s">
        <v>513</v>
      </c>
    </row>
    <row r="49" spans="1:13" x14ac:dyDescent="0.25">
      <c r="A49" s="22">
        <v>2026</v>
      </c>
      <c r="B49" s="23" t="s">
        <v>192</v>
      </c>
      <c r="C49" s="23" t="s">
        <v>46</v>
      </c>
      <c r="D49" s="23" t="s">
        <v>194</v>
      </c>
      <c r="E49" s="24" t="s">
        <v>357</v>
      </c>
      <c r="F49" s="24" t="s">
        <v>350</v>
      </c>
      <c r="G49" s="25" t="s">
        <v>358</v>
      </c>
      <c r="H49" s="26"/>
      <c r="I49" s="26"/>
      <c r="J49" s="26"/>
      <c r="K49" s="25"/>
      <c r="L49" s="24" t="s">
        <v>512</v>
      </c>
      <c r="M49" s="27" t="s">
        <v>513</v>
      </c>
    </row>
    <row r="50" spans="1:13" x14ac:dyDescent="0.25">
      <c r="A50" s="22">
        <v>2026</v>
      </c>
      <c r="B50" s="23" t="s">
        <v>192</v>
      </c>
      <c r="C50" s="23" t="s">
        <v>21</v>
      </c>
      <c r="D50" s="23" t="s">
        <v>194</v>
      </c>
      <c r="E50" s="24" t="s">
        <v>357</v>
      </c>
      <c r="F50" s="24" t="s">
        <v>350</v>
      </c>
      <c r="G50" s="25" t="s">
        <v>359</v>
      </c>
      <c r="H50" s="26"/>
      <c r="I50" s="26"/>
      <c r="J50" s="26"/>
      <c r="K50" s="25" t="s">
        <v>517</v>
      </c>
      <c r="L50" s="24" t="s">
        <v>512</v>
      </c>
      <c r="M50" s="27" t="s">
        <v>513</v>
      </c>
    </row>
    <row r="51" spans="1:13" x14ac:dyDescent="0.25">
      <c r="A51" s="22">
        <v>2026</v>
      </c>
      <c r="B51" s="23" t="s">
        <v>192</v>
      </c>
      <c r="C51" s="23" t="s">
        <v>21</v>
      </c>
      <c r="D51" s="23" t="s">
        <v>195</v>
      </c>
      <c r="E51" s="24" t="s">
        <v>360</v>
      </c>
      <c r="F51" s="24" t="s">
        <v>353</v>
      </c>
      <c r="G51" s="25" t="s">
        <v>361</v>
      </c>
      <c r="H51" s="26"/>
      <c r="I51" s="26"/>
      <c r="J51" s="26"/>
      <c r="K51" s="25" t="s">
        <v>517</v>
      </c>
      <c r="L51" s="24" t="s">
        <v>512</v>
      </c>
      <c r="M51" s="27" t="s">
        <v>513</v>
      </c>
    </row>
    <row r="52" spans="1:13" x14ac:dyDescent="0.25">
      <c r="A52" s="22">
        <v>2026</v>
      </c>
      <c r="B52" s="23" t="s">
        <v>192</v>
      </c>
      <c r="C52" s="23" t="s">
        <v>22</v>
      </c>
      <c r="D52" s="23" t="s">
        <v>198</v>
      </c>
      <c r="E52" s="24" t="s">
        <v>357</v>
      </c>
      <c r="F52" s="24" t="s">
        <v>350</v>
      </c>
      <c r="G52" s="25" t="s">
        <v>362</v>
      </c>
      <c r="H52" s="26"/>
      <c r="I52" s="26"/>
      <c r="J52" s="26"/>
      <c r="K52" s="25"/>
      <c r="L52" s="24" t="s">
        <v>512</v>
      </c>
      <c r="M52" s="27" t="s">
        <v>513</v>
      </c>
    </row>
    <row r="53" spans="1:13" ht="140.25" x14ac:dyDescent="0.25">
      <c r="A53" s="22">
        <v>2026</v>
      </c>
      <c r="B53" s="23" t="s">
        <v>192</v>
      </c>
      <c r="C53" s="23" t="s">
        <v>23</v>
      </c>
      <c r="D53" s="23" t="s">
        <v>198</v>
      </c>
      <c r="E53" s="24" t="s">
        <v>357</v>
      </c>
      <c r="F53" s="24" t="s">
        <v>350</v>
      </c>
      <c r="G53" s="25" t="s">
        <v>363</v>
      </c>
      <c r="H53" s="26"/>
      <c r="I53" s="26"/>
      <c r="J53" s="26"/>
      <c r="K53" s="25" t="s">
        <v>517</v>
      </c>
      <c r="L53" s="24" t="s">
        <v>512</v>
      </c>
      <c r="M53" s="27" t="s">
        <v>513</v>
      </c>
    </row>
    <row r="54" spans="1:13" ht="76.5" x14ac:dyDescent="0.25">
      <c r="A54" s="22">
        <v>2026</v>
      </c>
      <c r="B54" s="23" t="s">
        <v>192</v>
      </c>
      <c r="C54" s="23" t="s">
        <v>23</v>
      </c>
      <c r="D54" s="23" t="s">
        <v>199</v>
      </c>
      <c r="E54" s="24" t="s">
        <v>199</v>
      </c>
      <c r="F54" s="24" t="s">
        <v>350</v>
      </c>
      <c r="G54" s="25" t="s">
        <v>364</v>
      </c>
      <c r="H54" s="26"/>
      <c r="I54" s="26"/>
      <c r="J54" s="26"/>
      <c r="K54" s="25" t="s">
        <v>517</v>
      </c>
      <c r="L54" s="24" t="s">
        <v>514</v>
      </c>
      <c r="M54" s="27" t="s">
        <v>513</v>
      </c>
    </row>
    <row r="55" spans="1:13" ht="51" x14ac:dyDescent="0.25">
      <c r="A55" s="22">
        <v>2026</v>
      </c>
      <c r="B55" s="23" t="s">
        <v>192</v>
      </c>
      <c r="C55" s="23" t="s">
        <v>93</v>
      </c>
      <c r="D55" s="23" t="s">
        <v>200</v>
      </c>
      <c r="E55" s="24" t="s">
        <v>365</v>
      </c>
      <c r="F55" s="24" t="s">
        <v>332</v>
      </c>
      <c r="G55" s="25" t="s">
        <v>366</v>
      </c>
      <c r="H55" s="26"/>
      <c r="I55" s="26"/>
      <c r="J55" s="26"/>
      <c r="K55" s="25"/>
      <c r="L55" s="24" t="s">
        <v>514</v>
      </c>
      <c r="M55" s="27" t="s">
        <v>513</v>
      </c>
    </row>
    <row r="56" spans="1:13" ht="25.5" x14ac:dyDescent="0.25">
      <c r="A56" s="22">
        <v>2026</v>
      </c>
      <c r="B56" s="23" t="s">
        <v>192</v>
      </c>
      <c r="C56" s="23" t="s">
        <v>27</v>
      </c>
      <c r="D56" s="23" t="s">
        <v>201</v>
      </c>
      <c r="E56" s="24" t="s">
        <v>331</v>
      </c>
      <c r="F56" s="24" t="s">
        <v>316</v>
      </c>
      <c r="G56" s="25" t="s">
        <v>367</v>
      </c>
      <c r="H56" s="26">
        <v>-57.755504999999999</v>
      </c>
      <c r="I56" s="26"/>
      <c r="J56" s="26"/>
      <c r="K56" s="25"/>
      <c r="L56" s="24" t="s">
        <v>512</v>
      </c>
      <c r="M56" s="27" t="s">
        <v>513</v>
      </c>
    </row>
    <row r="57" spans="1:13" ht="25.5" x14ac:dyDescent="0.25">
      <c r="A57" s="22">
        <v>2026</v>
      </c>
      <c r="B57" s="23" t="s">
        <v>192</v>
      </c>
      <c r="C57" s="23" t="s">
        <v>27</v>
      </c>
      <c r="D57" s="23" t="s">
        <v>194</v>
      </c>
      <c r="E57" s="24" t="s">
        <v>357</v>
      </c>
      <c r="F57" s="24" t="s">
        <v>350</v>
      </c>
      <c r="G57" s="25" t="s">
        <v>368</v>
      </c>
      <c r="H57" s="26">
        <v>-41.807384710531998</v>
      </c>
      <c r="I57" s="26"/>
      <c r="J57" s="26"/>
      <c r="K57" s="25"/>
      <c r="L57" s="24" t="s">
        <v>512</v>
      </c>
      <c r="M57" s="27" t="s">
        <v>513</v>
      </c>
    </row>
    <row r="58" spans="1:13" ht="25.5" x14ac:dyDescent="0.25">
      <c r="A58" s="22">
        <v>2026</v>
      </c>
      <c r="B58" s="23" t="s">
        <v>192</v>
      </c>
      <c r="C58" s="23" t="s">
        <v>27</v>
      </c>
      <c r="D58" s="23" t="s">
        <v>202</v>
      </c>
      <c r="E58" s="24" t="s">
        <v>369</v>
      </c>
      <c r="F58" s="24" t="s">
        <v>287</v>
      </c>
      <c r="G58" s="25" t="s">
        <v>370</v>
      </c>
      <c r="H58" s="26">
        <v>-48.139318000000003</v>
      </c>
      <c r="I58" s="26"/>
      <c r="J58" s="26"/>
      <c r="K58" s="25"/>
      <c r="L58" s="24" t="s">
        <v>512</v>
      </c>
      <c r="M58" s="27" t="s">
        <v>513</v>
      </c>
    </row>
    <row r="59" spans="1:13" ht="25.5" x14ac:dyDescent="0.25">
      <c r="A59" s="22">
        <v>2026</v>
      </c>
      <c r="B59" s="23" t="s">
        <v>203</v>
      </c>
      <c r="C59" s="23" t="s">
        <v>16</v>
      </c>
      <c r="D59" s="23" t="s">
        <v>204</v>
      </c>
      <c r="E59" s="24" t="s">
        <v>371</v>
      </c>
      <c r="F59" s="24" t="s">
        <v>301</v>
      </c>
      <c r="G59" s="25" t="s">
        <v>372</v>
      </c>
      <c r="H59" s="26"/>
      <c r="I59" s="26"/>
      <c r="J59" s="26"/>
      <c r="K59" s="25" t="s">
        <v>520</v>
      </c>
      <c r="L59" s="24" t="s">
        <v>514</v>
      </c>
      <c r="M59" s="27" t="s">
        <v>515</v>
      </c>
    </row>
    <row r="60" spans="1:13" ht="25.5" x14ac:dyDescent="0.25">
      <c r="A60" s="22">
        <v>2026</v>
      </c>
      <c r="B60" s="23" t="s">
        <v>203</v>
      </c>
      <c r="C60" s="23" t="s">
        <v>31</v>
      </c>
      <c r="D60" s="23" t="s">
        <v>205</v>
      </c>
      <c r="E60" s="24" t="s">
        <v>373</v>
      </c>
      <c r="F60" s="24" t="s">
        <v>374</v>
      </c>
      <c r="G60" s="25" t="s">
        <v>375</v>
      </c>
      <c r="H60" s="26">
        <v>-29.996542999999999</v>
      </c>
      <c r="I60" s="26"/>
      <c r="J60" s="26"/>
      <c r="K60" s="25"/>
      <c r="L60" s="24" t="s">
        <v>521</v>
      </c>
      <c r="M60" s="27" t="s">
        <v>513</v>
      </c>
    </row>
    <row r="61" spans="1:13" ht="25.5" x14ac:dyDescent="0.25">
      <c r="A61" s="22">
        <v>2026</v>
      </c>
      <c r="B61" s="23" t="s">
        <v>203</v>
      </c>
      <c r="C61" s="23" t="s">
        <v>31</v>
      </c>
      <c r="D61" s="23" t="s">
        <v>185</v>
      </c>
      <c r="E61" s="24" t="s">
        <v>309</v>
      </c>
      <c r="F61" s="24" t="s">
        <v>325</v>
      </c>
      <c r="G61" s="25" t="s">
        <v>376</v>
      </c>
      <c r="H61" s="26">
        <v>-24.017267</v>
      </c>
      <c r="I61" s="26"/>
      <c r="J61" s="26"/>
      <c r="K61" s="25"/>
      <c r="L61" s="24" t="s">
        <v>514</v>
      </c>
      <c r="M61" s="27" t="s">
        <v>513</v>
      </c>
    </row>
    <row r="62" spans="1:13" ht="25.5" x14ac:dyDescent="0.25">
      <c r="A62" s="22">
        <v>2026</v>
      </c>
      <c r="B62" s="23" t="s">
        <v>203</v>
      </c>
      <c r="C62" s="23" t="s">
        <v>31</v>
      </c>
      <c r="D62" s="23" t="s">
        <v>206</v>
      </c>
      <c r="E62" s="24" t="s">
        <v>377</v>
      </c>
      <c r="F62" s="24" t="s">
        <v>378</v>
      </c>
      <c r="G62" s="25" t="s">
        <v>379</v>
      </c>
      <c r="H62" s="26">
        <v>-29.999034999999999</v>
      </c>
      <c r="I62" s="26"/>
      <c r="J62" s="26"/>
      <c r="K62" s="25"/>
      <c r="L62" s="24" t="s">
        <v>514</v>
      </c>
      <c r="M62" s="27" t="s">
        <v>513</v>
      </c>
    </row>
    <row r="63" spans="1:13" ht="25.5" x14ac:dyDescent="0.25">
      <c r="A63" s="22">
        <v>2026</v>
      </c>
      <c r="B63" s="23" t="s">
        <v>203</v>
      </c>
      <c r="C63" s="23" t="s">
        <v>110</v>
      </c>
      <c r="D63" s="23" t="s">
        <v>538</v>
      </c>
      <c r="E63" s="24" t="s">
        <v>309</v>
      </c>
      <c r="F63" s="24" t="s">
        <v>564</v>
      </c>
      <c r="G63" s="25" t="s">
        <v>565</v>
      </c>
      <c r="H63" s="26"/>
      <c r="I63" s="26"/>
      <c r="J63" s="26"/>
      <c r="K63" s="25" t="s">
        <v>550</v>
      </c>
      <c r="L63" s="24" t="s">
        <v>512</v>
      </c>
      <c r="M63" s="27" t="s">
        <v>513</v>
      </c>
    </row>
    <row r="64" spans="1:13" ht="25.5" x14ac:dyDescent="0.25">
      <c r="A64" s="22">
        <v>2026</v>
      </c>
      <c r="B64" s="23" t="s">
        <v>203</v>
      </c>
      <c r="C64" s="23" t="s">
        <v>110</v>
      </c>
      <c r="D64" s="23" t="s">
        <v>214</v>
      </c>
      <c r="E64" s="24" t="s">
        <v>214</v>
      </c>
      <c r="F64" s="24" t="s">
        <v>282</v>
      </c>
      <c r="G64" s="25" t="s">
        <v>568</v>
      </c>
      <c r="H64" s="26"/>
      <c r="I64" s="26"/>
      <c r="J64" s="26"/>
      <c r="K64" s="25" t="s">
        <v>550</v>
      </c>
      <c r="L64" s="24" t="s">
        <v>512</v>
      </c>
      <c r="M64" s="27" t="s">
        <v>513</v>
      </c>
    </row>
    <row r="65" spans="1:13" ht="38.25" x14ac:dyDescent="0.25">
      <c r="A65" s="22">
        <v>2026</v>
      </c>
      <c r="B65" s="23" t="s">
        <v>203</v>
      </c>
      <c r="C65" s="23" t="s">
        <v>110</v>
      </c>
      <c r="D65" s="23" t="s">
        <v>539</v>
      </c>
      <c r="E65" s="24" t="s">
        <v>485</v>
      </c>
      <c r="F65" s="24" t="s">
        <v>566</v>
      </c>
      <c r="G65" s="25" t="s">
        <v>567</v>
      </c>
      <c r="H65" s="26"/>
      <c r="I65" s="26"/>
      <c r="J65" s="26"/>
      <c r="K65" s="25" t="s">
        <v>550</v>
      </c>
      <c r="L65" s="24" t="s">
        <v>512</v>
      </c>
      <c r="M65" s="27" t="s">
        <v>513</v>
      </c>
    </row>
    <row r="66" spans="1:13" ht="25.5" x14ac:dyDescent="0.25">
      <c r="A66" s="22">
        <v>2026</v>
      </c>
      <c r="B66" s="23" t="s">
        <v>203</v>
      </c>
      <c r="C66" s="23" t="s">
        <v>94</v>
      </c>
      <c r="D66" s="23" t="s">
        <v>207</v>
      </c>
      <c r="E66" s="24" t="s">
        <v>380</v>
      </c>
      <c r="F66" s="24" t="s">
        <v>374</v>
      </c>
      <c r="G66" s="25" t="s">
        <v>381</v>
      </c>
      <c r="H66" s="26"/>
      <c r="I66" s="26"/>
      <c r="J66" s="26"/>
      <c r="K66" s="25"/>
      <c r="L66" s="24" t="s">
        <v>514</v>
      </c>
      <c r="M66" s="27" t="s">
        <v>513</v>
      </c>
    </row>
    <row r="67" spans="1:13" ht="25.5" x14ac:dyDescent="0.25">
      <c r="A67" s="22">
        <v>2026</v>
      </c>
      <c r="B67" s="23" t="s">
        <v>203</v>
      </c>
      <c r="C67" s="23" t="s">
        <v>94</v>
      </c>
      <c r="D67" s="23" t="s">
        <v>208</v>
      </c>
      <c r="E67" s="24" t="s">
        <v>382</v>
      </c>
      <c r="F67" s="24" t="s">
        <v>343</v>
      </c>
      <c r="G67" s="25" t="s">
        <v>383</v>
      </c>
      <c r="H67" s="26"/>
      <c r="I67" s="26"/>
      <c r="J67" s="26"/>
      <c r="K67" s="25"/>
      <c r="L67" s="24" t="s">
        <v>514</v>
      </c>
      <c r="M67" s="27" t="s">
        <v>513</v>
      </c>
    </row>
    <row r="68" spans="1:13" ht="25.5" x14ac:dyDescent="0.25">
      <c r="A68" s="22">
        <v>2026</v>
      </c>
      <c r="B68" s="23" t="s">
        <v>203</v>
      </c>
      <c r="C68" s="23" t="s">
        <v>174</v>
      </c>
      <c r="D68" s="23" t="s">
        <v>209</v>
      </c>
      <c r="E68" s="24" t="s">
        <v>281</v>
      </c>
      <c r="F68" s="24" t="s">
        <v>282</v>
      </c>
      <c r="G68" s="25" t="s">
        <v>384</v>
      </c>
      <c r="H68" s="26"/>
      <c r="I68" s="26"/>
      <c r="J68" s="26"/>
      <c r="K68" s="25" t="s">
        <v>517</v>
      </c>
      <c r="L68" s="24" t="s">
        <v>512</v>
      </c>
      <c r="M68" s="27" t="s">
        <v>513</v>
      </c>
    </row>
    <row r="69" spans="1:13" x14ac:dyDescent="0.25">
      <c r="A69" s="22">
        <v>2026</v>
      </c>
      <c r="B69" s="23" t="s">
        <v>203</v>
      </c>
      <c r="C69" s="23" t="s">
        <v>174</v>
      </c>
      <c r="D69" s="23" t="s">
        <v>210</v>
      </c>
      <c r="E69" s="24" t="s">
        <v>385</v>
      </c>
      <c r="F69" s="24" t="s">
        <v>386</v>
      </c>
      <c r="G69" s="25" t="s">
        <v>387</v>
      </c>
      <c r="H69" s="26"/>
      <c r="I69" s="26"/>
      <c r="J69" s="26"/>
      <c r="K69" s="25" t="s">
        <v>517</v>
      </c>
      <c r="L69" s="24" t="s">
        <v>514</v>
      </c>
      <c r="M69" s="27" t="s">
        <v>522</v>
      </c>
    </row>
    <row r="70" spans="1:13" ht="63.75" x14ac:dyDescent="0.25">
      <c r="A70" s="22">
        <v>2026</v>
      </c>
      <c r="B70" s="23" t="s">
        <v>203</v>
      </c>
      <c r="C70" s="23" t="s">
        <v>25</v>
      </c>
      <c r="D70" s="23" t="s">
        <v>211</v>
      </c>
      <c r="E70" s="24" t="s">
        <v>369</v>
      </c>
      <c r="F70" s="24" t="s">
        <v>343</v>
      </c>
      <c r="G70" s="25" t="s">
        <v>388</v>
      </c>
      <c r="H70" s="26">
        <v>308.41900199999998</v>
      </c>
      <c r="I70" s="26">
        <v>308.41900199999998</v>
      </c>
      <c r="J70" s="26">
        <v>0</v>
      </c>
      <c r="K70" s="25"/>
      <c r="L70" s="24" t="s">
        <v>512</v>
      </c>
      <c r="M70" s="27" t="s">
        <v>513</v>
      </c>
    </row>
    <row r="71" spans="1:13" ht="63.75" x14ac:dyDescent="0.25">
      <c r="A71" s="22">
        <v>2026</v>
      </c>
      <c r="B71" s="23" t="s">
        <v>203</v>
      </c>
      <c r="C71" s="23" t="s">
        <v>26</v>
      </c>
      <c r="D71" s="23" t="s">
        <v>212</v>
      </c>
      <c r="E71" s="24" t="s">
        <v>369</v>
      </c>
      <c r="F71" s="24" t="s">
        <v>343</v>
      </c>
      <c r="G71" s="25" t="s">
        <v>389</v>
      </c>
      <c r="H71" s="26">
        <v>-497.45</v>
      </c>
      <c r="I71" s="26">
        <v>-308.41900199999998</v>
      </c>
      <c r="J71" s="26">
        <v>0</v>
      </c>
      <c r="K71" s="25"/>
      <c r="L71" s="24" t="s">
        <v>512</v>
      </c>
      <c r="M71" s="27" t="s">
        <v>513</v>
      </c>
    </row>
    <row r="72" spans="1:13" ht="25.5" x14ac:dyDescent="0.25">
      <c r="A72" s="22">
        <v>2026</v>
      </c>
      <c r="B72" s="23" t="s">
        <v>203</v>
      </c>
      <c r="C72" s="23" t="s">
        <v>213</v>
      </c>
      <c r="D72" s="23" t="s">
        <v>209</v>
      </c>
      <c r="E72" s="24" t="s">
        <v>214</v>
      </c>
      <c r="F72" s="24" t="s">
        <v>282</v>
      </c>
      <c r="G72" s="25" t="s">
        <v>390</v>
      </c>
      <c r="H72" s="26"/>
      <c r="I72" s="26"/>
      <c r="J72" s="26"/>
      <c r="K72" s="25"/>
      <c r="L72" s="24" t="s">
        <v>512</v>
      </c>
      <c r="M72" s="27" t="s">
        <v>513</v>
      </c>
    </row>
    <row r="73" spans="1:13" ht="25.5" x14ac:dyDescent="0.25">
      <c r="A73" s="22">
        <v>2026</v>
      </c>
      <c r="B73" s="23" t="s">
        <v>203</v>
      </c>
      <c r="C73" s="23" t="s">
        <v>21</v>
      </c>
      <c r="D73" s="23" t="s">
        <v>209</v>
      </c>
      <c r="E73" s="24" t="s">
        <v>214</v>
      </c>
      <c r="F73" s="24" t="s">
        <v>282</v>
      </c>
      <c r="G73" s="25" t="s">
        <v>391</v>
      </c>
      <c r="H73" s="26"/>
      <c r="I73" s="26"/>
      <c r="J73" s="26"/>
      <c r="K73" s="25" t="s">
        <v>517</v>
      </c>
      <c r="L73" s="24" t="s">
        <v>512</v>
      </c>
      <c r="M73" s="27" t="s">
        <v>513</v>
      </c>
    </row>
    <row r="74" spans="1:13" x14ac:dyDescent="0.25">
      <c r="A74" s="22">
        <v>2026</v>
      </c>
      <c r="B74" s="23" t="s">
        <v>203</v>
      </c>
      <c r="C74" s="23" t="s">
        <v>21</v>
      </c>
      <c r="D74" s="23" t="s">
        <v>210</v>
      </c>
      <c r="E74" s="24" t="s">
        <v>392</v>
      </c>
      <c r="F74" s="24" t="s">
        <v>386</v>
      </c>
      <c r="G74" s="25" t="s">
        <v>393</v>
      </c>
      <c r="H74" s="26"/>
      <c r="I74" s="26"/>
      <c r="J74" s="26"/>
      <c r="K74" s="25" t="s">
        <v>517</v>
      </c>
      <c r="L74" s="24" t="s">
        <v>514</v>
      </c>
      <c r="M74" s="27" t="s">
        <v>522</v>
      </c>
    </row>
    <row r="75" spans="1:13" ht="25.5" x14ac:dyDescent="0.25">
      <c r="A75" s="22">
        <v>2026</v>
      </c>
      <c r="B75" s="23" t="s">
        <v>203</v>
      </c>
      <c r="C75" s="23" t="s">
        <v>95</v>
      </c>
      <c r="D75" s="23" t="s">
        <v>214</v>
      </c>
      <c r="E75" s="24" t="s">
        <v>214</v>
      </c>
      <c r="F75" s="24" t="s">
        <v>282</v>
      </c>
      <c r="G75" s="25" t="s">
        <v>394</v>
      </c>
      <c r="H75" s="26"/>
      <c r="I75" s="26"/>
      <c r="J75" s="26"/>
      <c r="K75" s="25"/>
      <c r="L75" s="24" t="s">
        <v>512</v>
      </c>
      <c r="M75" s="27" t="s">
        <v>513</v>
      </c>
    </row>
    <row r="76" spans="1:13" ht="89.25" x14ac:dyDescent="0.25">
      <c r="A76" s="22">
        <v>2026</v>
      </c>
      <c r="B76" s="23" t="s">
        <v>203</v>
      </c>
      <c r="C76" s="23" t="s">
        <v>215</v>
      </c>
      <c r="D76" s="23" t="s">
        <v>211</v>
      </c>
      <c r="E76" s="24" t="s">
        <v>369</v>
      </c>
      <c r="F76" s="24" t="s">
        <v>343</v>
      </c>
      <c r="G76" s="25" t="s">
        <v>395</v>
      </c>
      <c r="H76" s="26"/>
      <c r="I76" s="26"/>
      <c r="J76" s="26"/>
      <c r="K76" s="25"/>
      <c r="L76" s="24" t="s">
        <v>512</v>
      </c>
      <c r="M76" s="27" t="s">
        <v>513</v>
      </c>
    </row>
    <row r="77" spans="1:13" ht="51" x14ac:dyDescent="0.25">
      <c r="A77" s="22">
        <v>2026</v>
      </c>
      <c r="B77" s="23" t="s">
        <v>203</v>
      </c>
      <c r="C77" s="23" t="s">
        <v>23</v>
      </c>
      <c r="D77" s="23" t="s">
        <v>210</v>
      </c>
      <c r="E77" s="24" t="s">
        <v>385</v>
      </c>
      <c r="F77" s="24" t="s">
        <v>386</v>
      </c>
      <c r="G77" s="25" t="s">
        <v>396</v>
      </c>
      <c r="H77" s="26"/>
      <c r="I77" s="26"/>
      <c r="J77" s="26"/>
      <c r="K77" s="25"/>
      <c r="L77" s="24" t="s">
        <v>514</v>
      </c>
      <c r="M77" s="27" t="s">
        <v>522</v>
      </c>
    </row>
    <row r="78" spans="1:13" ht="51" x14ac:dyDescent="0.25">
      <c r="A78" s="22">
        <v>2026</v>
      </c>
      <c r="B78" s="23" t="s">
        <v>203</v>
      </c>
      <c r="C78" s="23" t="s">
        <v>23</v>
      </c>
      <c r="D78" s="23" t="s">
        <v>216</v>
      </c>
      <c r="E78" s="24" t="s">
        <v>331</v>
      </c>
      <c r="F78" s="24" t="s">
        <v>298</v>
      </c>
      <c r="G78" s="25" t="s">
        <v>397</v>
      </c>
      <c r="H78" s="26"/>
      <c r="I78" s="26"/>
      <c r="J78" s="26"/>
      <c r="K78" s="25"/>
      <c r="L78" s="24" t="s">
        <v>512</v>
      </c>
      <c r="M78" s="27" t="s">
        <v>513</v>
      </c>
    </row>
    <row r="79" spans="1:13" ht="51" x14ac:dyDescent="0.25">
      <c r="A79" s="22">
        <v>2026</v>
      </c>
      <c r="B79" s="23" t="s">
        <v>203</v>
      </c>
      <c r="C79" s="23" t="s">
        <v>24</v>
      </c>
      <c r="D79" s="23" t="s">
        <v>217</v>
      </c>
      <c r="E79" s="24" t="s">
        <v>398</v>
      </c>
      <c r="F79" s="24" t="s">
        <v>282</v>
      </c>
      <c r="G79" s="25" t="s">
        <v>399</v>
      </c>
      <c r="H79" s="26">
        <v>-39.340000000000003</v>
      </c>
      <c r="I79" s="26">
        <v>0</v>
      </c>
      <c r="J79" s="26">
        <v>0</v>
      </c>
      <c r="K79" s="25"/>
      <c r="L79" s="24" t="s">
        <v>512</v>
      </c>
      <c r="M79" s="27" t="s">
        <v>513</v>
      </c>
    </row>
    <row r="80" spans="1:13" ht="76.5" x14ac:dyDescent="0.25">
      <c r="A80" s="22">
        <v>2026</v>
      </c>
      <c r="B80" s="23" t="s">
        <v>203</v>
      </c>
      <c r="C80" s="23" t="s">
        <v>24</v>
      </c>
      <c r="D80" s="23" t="s">
        <v>218</v>
      </c>
      <c r="E80" s="24" t="s">
        <v>400</v>
      </c>
      <c r="F80" s="24" t="s">
        <v>401</v>
      </c>
      <c r="G80" s="25" t="s">
        <v>402</v>
      </c>
      <c r="H80" s="26">
        <v>-233.1</v>
      </c>
      <c r="I80" s="26">
        <v>0</v>
      </c>
      <c r="J80" s="26">
        <v>0</v>
      </c>
      <c r="K80" s="25" t="s">
        <v>516</v>
      </c>
      <c r="L80" s="24" t="s">
        <v>512</v>
      </c>
      <c r="M80" s="27" t="s">
        <v>513</v>
      </c>
    </row>
    <row r="81" spans="1:13" ht="25.5" x14ac:dyDescent="0.25">
      <c r="A81" s="22">
        <v>2026</v>
      </c>
      <c r="B81" s="23" t="s">
        <v>203</v>
      </c>
      <c r="C81" s="23" t="s">
        <v>27</v>
      </c>
      <c r="D81" s="23" t="s">
        <v>219</v>
      </c>
      <c r="E81" s="24" t="s">
        <v>403</v>
      </c>
      <c r="F81" s="24" t="s">
        <v>319</v>
      </c>
      <c r="G81" s="25" t="s">
        <v>404</v>
      </c>
      <c r="H81" s="26">
        <v>-3.3264000000000002E-2</v>
      </c>
      <c r="I81" s="26"/>
      <c r="J81" s="26"/>
      <c r="K81" s="25"/>
      <c r="L81" s="24" t="s">
        <v>521</v>
      </c>
      <c r="M81" s="27" t="s">
        <v>513</v>
      </c>
    </row>
    <row r="82" spans="1:13" ht="25.5" x14ac:dyDescent="0.25">
      <c r="A82" s="22">
        <v>2026</v>
      </c>
      <c r="B82" s="23" t="s">
        <v>203</v>
      </c>
      <c r="C82" s="23" t="s">
        <v>27</v>
      </c>
      <c r="D82" s="23" t="s">
        <v>220</v>
      </c>
      <c r="E82" s="24" t="s">
        <v>405</v>
      </c>
      <c r="F82" s="24" t="s">
        <v>325</v>
      </c>
      <c r="G82" s="25" t="s">
        <v>406</v>
      </c>
      <c r="H82" s="26">
        <v>-36.887999999999998</v>
      </c>
      <c r="I82" s="26"/>
      <c r="J82" s="26"/>
      <c r="K82" s="25" t="s">
        <v>523</v>
      </c>
      <c r="L82" s="24" t="s">
        <v>514</v>
      </c>
      <c r="M82" s="27" t="s">
        <v>524</v>
      </c>
    </row>
    <row r="83" spans="1:13" x14ac:dyDescent="0.25">
      <c r="A83" s="22">
        <v>2026</v>
      </c>
      <c r="B83" s="23" t="s">
        <v>203</v>
      </c>
      <c r="C83" s="23" t="s">
        <v>27</v>
      </c>
      <c r="D83" s="23" t="s">
        <v>181</v>
      </c>
      <c r="E83" s="24" t="s">
        <v>318</v>
      </c>
      <c r="F83" s="24" t="s">
        <v>319</v>
      </c>
      <c r="G83" s="25" t="s">
        <v>407</v>
      </c>
      <c r="H83" s="26">
        <v>-0.58638000000000001</v>
      </c>
      <c r="I83" s="26"/>
      <c r="J83" s="26"/>
      <c r="K83" s="25"/>
      <c r="L83" s="24" t="s">
        <v>514</v>
      </c>
      <c r="M83" s="27" t="s">
        <v>513</v>
      </c>
    </row>
    <row r="84" spans="1:13" ht="25.5" x14ac:dyDescent="0.25">
      <c r="A84" s="22">
        <v>2026</v>
      </c>
      <c r="B84" s="23" t="s">
        <v>203</v>
      </c>
      <c r="C84" s="23" t="s">
        <v>86</v>
      </c>
      <c r="D84" s="23" t="s">
        <v>221</v>
      </c>
      <c r="E84" s="24" t="s">
        <v>408</v>
      </c>
      <c r="F84" s="24" t="s">
        <v>295</v>
      </c>
      <c r="G84" s="25" t="s">
        <v>409</v>
      </c>
      <c r="H84" s="26"/>
      <c r="I84" s="26"/>
      <c r="J84" s="26"/>
      <c r="K84" s="25" t="s">
        <v>516</v>
      </c>
      <c r="L84" s="24" t="s">
        <v>512</v>
      </c>
      <c r="M84" s="27" t="s">
        <v>513</v>
      </c>
    </row>
    <row r="85" spans="1:13" x14ac:dyDescent="0.25">
      <c r="A85" s="22">
        <v>2026</v>
      </c>
      <c r="B85" s="23" t="s">
        <v>222</v>
      </c>
      <c r="C85" s="23" t="s">
        <v>154</v>
      </c>
      <c r="D85" s="23" t="s">
        <v>210</v>
      </c>
      <c r="E85" s="24" t="s">
        <v>392</v>
      </c>
      <c r="F85" s="24" t="s">
        <v>343</v>
      </c>
      <c r="G85" s="25" t="s">
        <v>410</v>
      </c>
      <c r="H85" s="26"/>
      <c r="I85" s="26"/>
      <c r="J85" s="26"/>
      <c r="K85" s="25" t="s">
        <v>517</v>
      </c>
      <c r="L85" s="24" t="s">
        <v>514</v>
      </c>
      <c r="M85" s="27" t="s">
        <v>522</v>
      </c>
    </row>
    <row r="86" spans="1:13" ht="25.5" x14ac:dyDescent="0.25">
      <c r="A86" s="22">
        <v>2026</v>
      </c>
      <c r="B86" s="23" t="s">
        <v>222</v>
      </c>
      <c r="C86" s="23" t="s">
        <v>223</v>
      </c>
      <c r="D86" s="23" t="s">
        <v>224</v>
      </c>
      <c r="E86" s="24" t="s">
        <v>411</v>
      </c>
      <c r="F86" s="24" t="s">
        <v>412</v>
      </c>
      <c r="G86" s="25" t="s">
        <v>413</v>
      </c>
      <c r="H86" s="26"/>
      <c r="I86" s="26"/>
      <c r="J86" s="26"/>
      <c r="K86" s="25"/>
      <c r="L86" s="24" t="s">
        <v>512</v>
      </c>
      <c r="M86" s="27" t="s">
        <v>513</v>
      </c>
    </row>
    <row r="87" spans="1:13" ht="25.5" x14ac:dyDescent="0.25">
      <c r="A87" s="22">
        <v>2026</v>
      </c>
      <c r="B87" s="23" t="s">
        <v>222</v>
      </c>
      <c r="C87" s="23" t="s">
        <v>223</v>
      </c>
      <c r="D87" s="23" t="s">
        <v>198</v>
      </c>
      <c r="E87" s="24" t="s">
        <v>357</v>
      </c>
      <c r="F87" s="24" t="s">
        <v>412</v>
      </c>
      <c r="G87" s="25" t="s">
        <v>413</v>
      </c>
      <c r="H87" s="26"/>
      <c r="I87" s="26"/>
      <c r="J87" s="26"/>
      <c r="K87" s="25"/>
      <c r="L87" s="24" t="s">
        <v>512</v>
      </c>
      <c r="M87" s="27" t="s">
        <v>513</v>
      </c>
    </row>
    <row r="88" spans="1:13" ht="25.5" x14ac:dyDescent="0.25">
      <c r="A88" s="22">
        <v>2026</v>
      </c>
      <c r="B88" s="23" t="s">
        <v>222</v>
      </c>
      <c r="C88" s="23" t="s">
        <v>223</v>
      </c>
      <c r="D88" s="23" t="s">
        <v>225</v>
      </c>
      <c r="E88" s="24" t="s">
        <v>414</v>
      </c>
      <c r="F88" s="24" t="s">
        <v>412</v>
      </c>
      <c r="G88" s="25" t="s">
        <v>413</v>
      </c>
      <c r="H88" s="26"/>
      <c r="I88" s="26"/>
      <c r="J88" s="26"/>
      <c r="K88" s="25"/>
      <c r="L88" s="24" t="s">
        <v>512</v>
      </c>
      <c r="M88" s="27" t="s">
        <v>513</v>
      </c>
    </row>
    <row r="89" spans="1:13" ht="25.5" x14ac:dyDescent="0.25">
      <c r="A89" s="22">
        <v>2026</v>
      </c>
      <c r="B89" s="23" t="s">
        <v>222</v>
      </c>
      <c r="C89" s="23" t="s">
        <v>223</v>
      </c>
      <c r="D89" s="23" t="s">
        <v>226</v>
      </c>
      <c r="E89" s="24" t="s">
        <v>415</v>
      </c>
      <c r="F89" s="24" t="s">
        <v>412</v>
      </c>
      <c r="G89" s="25" t="s">
        <v>413</v>
      </c>
      <c r="H89" s="26"/>
      <c r="I89" s="26"/>
      <c r="J89" s="26"/>
      <c r="K89" s="25"/>
      <c r="L89" s="24" t="s">
        <v>512</v>
      </c>
      <c r="M89" s="27" t="s">
        <v>513</v>
      </c>
    </row>
    <row r="90" spans="1:13" ht="25.5" x14ac:dyDescent="0.25">
      <c r="A90" s="22">
        <v>2026</v>
      </c>
      <c r="B90" s="23" t="s">
        <v>222</v>
      </c>
      <c r="C90" s="23" t="s">
        <v>223</v>
      </c>
      <c r="D90" s="23" t="s">
        <v>227</v>
      </c>
      <c r="E90" s="24" t="s">
        <v>416</v>
      </c>
      <c r="F90" s="24" t="s">
        <v>412</v>
      </c>
      <c r="G90" s="25" t="s">
        <v>413</v>
      </c>
      <c r="H90" s="26"/>
      <c r="I90" s="26"/>
      <c r="J90" s="26"/>
      <c r="K90" s="25"/>
      <c r="L90" s="24" t="s">
        <v>514</v>
      </c>
      <c r="M90" s="27" t="s">
        <v>513</v>
      </c>
    </row>
    <row r="91" spans="1:13" ht="25.5" x14ac:dyDescent="0.25">
      <c r="A91" s="22">
        <v>2026</v>
      </c>
      <c r="B91" s="23" t="s">
        <v>222</v>
      </c>
      <c r="C91" s="23" t="s">
        <v>223</v>
      </c>
      <c r="D91" s="23" t="s">
        <v>199</v>
      </c>
      <c r="E91" s="24" t="s">
        <v>199</v>
      </c>
      <c r="F91" s="24" t="s">
        <v>412</v>
      </c>
      <c r="G91" s="25" t="s">
        <v>413</v>
      </c>
      <c r="H91" s="26"/>
      <c r="I91" s="26"/>
      <c r="J91" s="26"/>
      <c r="K91" s="25"/>
      <c r="L91" s="24" t="s">
        <v>514</v>
      </c>
      <c r="M91" s="27" t="s">
        <v>513</v>
      </c>
    </row>
    <row r="92" spans="1:13" ht="25.5" x14ac:dyDescent="0.25">
      <c r="A92" s="22">
        <v>2026</v>
      </c>
      <c r="B92" s="23" t="s">
        <v>222</v>
      </c>
      <c r="C92" s="23" t="s">
        <v>223</v>
      </c>
      <c r="D92" s="23" t="s">
        <v>228</v>
      </c>
      <c r="E92" s="24" t="s">
        <v>411</v>
      </c>
      <c r="F92" s="24" t="s">
        <v>412</v>
      </c>
      <c r="G92" s="25" t="s">
        <v>413</v>
      </c>
      <c r="H92" s="26"/>
      <c r="I92" s="26"/>
      <c r="J92" s="26"/>
      <c r="K92" s="25"/>
      <c r="L92" s="24" t="s">
        <v>512</v>
      </c>
      <c r="M92" s="27" t="s">
        <v>513</v>
      </c>
    </row>
    <row r="93" spans="1:13" x14ac:dyDescent="0.25">
      <c r="A93" s="22">
        <v>2026</v>
      </c>
      <c r="B93" s="23" t="s">
        <v>222</v>
      </c>
      <c r="C93" s="23" t="s">
        <v>16</v>
      </c>
      <c r="D93" s="23" t="s">
        <v>229</v>
      </c>
      <c r="E93" s="24" t="s">
        <v>357</v>
      </c>
      <c r="F93" s="24" t="s">
        <v>298</v>
      </c>
      <c r="G93" s="25" t="s">
        <v>417</v>
      </c>
      <c r="H93" s="26"/>
      <c r="I93" s="26"/>
      <c r="J93" s="26"/>
      <c r="K93" s="25" t="s">
        <v>525</v>
      </c>
      <c r="L93" s="24" t="s">
        <v>512</v>
      </c>
      <c r="M93" s="27" t="s">
        <v>526</v>
      </c>
    </row>
    <row r="94" spans="1:13" ht="25.5" x14ac:dyDescent="0.25">
      <c r="A94" s="22">
        <v>2026</v>
      </c>
      <c r="B94" s="23" t="s">
        <v>222</v>
      </c>
      <c r="C94" s="23" t="s">
        <v>17</v>
      </c>
      <c r="D94" s="23" t="s">
        <v>230</v>
      </c>
      <c r="E94" s="24" t="s">
        <v>352</v>
      </c>
      <c r="F94" s="24" t="s">
        <v>418</v>
      </c>
      <c r="G94" s="25" t="s">
        <v>419</v>
      </c>
      <c r="H94" s="26">
        <v>-16.5</v>
      </c>
      <c r="I94" s="26"/>
      <c r="J94" s="26"/>
      <c r="K94" s="25"/>
      <c r="L94" s="24" t="s">
        <v>512</v>
      </c>
      <c r="M94" s="27" t="s">
        <v>513</v>
      </c>
    </row>
    <row r="95" spans="1:13" ht="25.5" x14ac:dyDescent="0.25">
      <c r="A95" s="22">
        <v>2026</v>
      </c>
      <c r="B95" s="23" t="s">
        <v>222</v>
      </c>
      <c r="C95" s="23" t="s">
        <v>17</v>
      </c>
      <c r="D95" s="23" t="s">
        <v>231</v>
      </c>
      <c r="E95" s="24" t="s">
        <v>231</v>
      </c>
      <c r="F95" s="24" t="s">
        <v>282</v>
      </c>
      <c r="G95" s="25" t="s">
        <v>420</v>
      </c>
      <c r="H95" s="26">
        <v>-7.40239724</v>
      </c>
      <c r="I95" s="26"/>
      <c r="J95" s="26"/>
      <c r="K95" s="25"/>
      <c r="L95" s="24" t="s">
        <v>512</v>
      </c>
      <c r="M95" s="27" t="s">
        <v>513</v>
      </c>
    </row>
    <row r="96" spans="1:13" ht="51" x14ac:dyDescent="0.25">
      <c r="A96" s="22">
        <v>2026</v>
      </c>
      <c r="B96" s="23" t="s">
        <v>222</v>
      </c>
      <c r="C96" s="23" t="s">
        <v>28</v>
      </c>
      <c r="D96" s="23" t="s">
        <v>232</v>
      </c>
      <c r="E96" s="24" t="s">
        <v>421</v>
      </c>
      <c r="F96" s="24" t="s">
        <v>422</v>
      </c>
      <c r="G96" s="25" t="s">
        <v>423</v>
      </c>
      <c r="H96" s="26">
        <v>-266.81</v>
      </c>
      <c r="I96" s="26">
        <v>0</v>
      </c>
      <c r="J96" s="26">
        <v>0</v>
      </c>
      <c r="K96" s="25"/>
      <c r="L96" s="24" t="s">
        <v>512</v>
      </c>
      <c r="M96" s="27" t="s">
        <v>513</v>
      </c>
    </row>
    <row r="97" spans="1:13" ht="38.25" x14ac:dyDescent="0.25">
      <c r="A97" s="22">
        <v>2026</v>
      </c>
      <c r="B97" s="23" t="s">
        <v>222</v>
      </c>
      <c r="C97" s="23" t="s">
        <v>110</v>
      </c>
      <c r="D97" s="23" t="s">
        <v>535</v>
      </c>
      <c r="E97" s="24" t="s">
        <v>558</v>
      </c>
      <c r="F97" s="24" t="s">
        <v>374</v>
      </c>
      <c r="G97" s="25" t="s">
        <v>559</v>
      </c>
      <c r="H97" s="26"/>
      <c r="I97" s="26"/>
      <c r="J97" s="26"/>
      <c r="K97" s="25" t="s">
        <v>550</v>
      </c>
      <c r="L97" s="24" t="s">
        <v>512</v>
      </c>
      <c r="M97" s="27" t="s">
        <v>513</v>
      </c>
    </row>
    <row r="98" spans="1:13" ht="38.25" x14ac:dyDescent="0.25">
      <c r="A98" s="22">
        <v>2026</v>
      </c>
      <c r="B98" s="23" t="s">
        <v>222</v>
      </c>
      <c r="C98" s="23" t="s">
        <v>110</v>
      </c>
      <c r="D98" s="23" t="s">
        <v>537</v>
      </c>
      <c r="E98" s="24" t="s">
        <v>561</v>
      </c>
      <c r="F98" s="24" t="s">
        <v>298</v>
      </c>
      <c r="G98" s="25" t="s">
        <v>562</v>
      </c>
      <c r="H98" s="26"/>
      <c r="I98" s="26"/>
      <c r="J98" s="26"/>
      <c r="K98" s="25" t="s">
        <v>563</v>
      </c>
      <c r="L98" s="24" t="s">
        <v>512</v>
      </c>
      <c r="M98" s="27" t="s">
        <v>513</v>
      </c>
    </row>
    <row r="99" spans="1:13" ht="38.25" x14ac:dyDescent="0.25">
      <c r="A99" s="22">
        <v>2026</v>
      </c>
      <c r="B99" s="23" t="s">
        <v>222</v>
      </c>
      <c r="C99" s="23" t="s">
        <v>110</v>
      </c>
      <c r="D99" s="23" t="s">
        <v>536</v>
      </c>
      <c r="E99" s="24" t="s">
        <v>558</v>
      </c>
      <c r="F99" s="24" t="s">
        <v>282</v>
      </c>
      <c r="G99" s="25" t="s">
        <v>560</v>
      </c>
      <c r="H99" s="26"/>
      <c r="I99" s="26"/>
      <c r="J99" s="26"/>
      <c r="K99" s="25" t="s">
        <v>550</v>
      </c>
      <c r="L99" s="24" t="s">
        <v>514</v>
      </c>
      <c r="M99" s="27" t="s">
        <v>513</v>
      </c>
    </row>
    <row r="100" spans="1:13" x14ac:dyDescent="0.25">
      <c r="A100" s="22">
        <v>2026</v>
      </c>
      <c r="B100" s="23" t="s">
        <v>222</v>
      </c>
      <c r="C100" s="23" t="s">
        <v>153</v>
      </c>
      <c r="D100" s="23" t="s">
        <v>210</v>
      </c>
      <c r="E100" s="24" t="s">
        <v>392</v>
      </c>
      <c r="F100" s="24" t="s">
        <v>325</v>
      </c>
      <c r="G100" s="25" t="s">
        <v>424</v>
      </c>
      <c r="H100" s="26"/>
      <c r="I100" s="26"/>
      <c r="J100" s="26"/>
      <c r="K100" s="25"/>
      <c r="L100" s="24" t="s">
        <v>514</v>
      </c>
      <c r="M100" s="27" t="s">
        <v>522</v>
      </c>
    </row>
    <row r="101" spans="1:13" x14ac:dyDescent="0.25">
      <c r="A101" s="22">
        <v>2026</v>
      </c>
      <c r="B101" s="23" t="s">
        <v>222</v>
      </c>
      <c r="C101" s="23" t="s">
        <v>24</v>
      </c>
      <c r="D101" s="23" t="s">
        <v>233</v>
      </c>
      <c r="E101" s="24" t="s">
        <v>425</v>
      </c>
      <c r="F101" s="24" t="s">
        <v>325</v>
      </c>
      <c r="G101" s="25" t="s">
        <v>426</v>
      </c>
      <c r="H101" s="26">
        <v>-81.560783000000001</v>
      </c>
      <c r="I101" s="26">
        <v>0</v>
      </c>
      <c r="J101" s="26">
        <v>0</v>
      </c>
      <c r="K101" s="25"/>
      <c r="L101" s="24" t="s">
        <v>514</v>
      </c>
      <c r="M101" s="27" t="s">
        <v>527</v>
      </c>
    </row>
    <row r="102" spans="1:13" ht="25.5" x14ac:dyDescent="0.25">
      <c r="A102" s="22">
        <v>2026</v>
      </c>
      <c r="B102" s="23" t="s">
        <v>222</v>
      </c>
      <c r="C102" s="23" t="s">
        <v>92</v>
      </c>
      <c r="D102" s="23" t="s">
        <v>234</v>
      </c>
      <c r="E102" s="24" t="s">
        <v>427</v>
      </c>
      <c r="F102" s="24" t="s">
        <v>428</v>
      </c>
      <c r="G102" s="25" t="s">
        <v>429</v>
      </c>
      <c r="H102" s="26">
        <v>-733.24779730417504</v>
      </c>
      <c r="I102" s="26"/>
      <c r="J102" s="26"/>
      <c r="K102" s="25"/>
      <c r="L102" s="24" t="s">
        <v>512</v>
      </c>
      <c r="M102" s="27" t="s">
        <v>513</v>
      </c>
    </row>
    <row r="103" spans="1:13" ht="25.5" x14ac:dyDescent="0.25">
      <c r="A103" s="22">
        <v>2026</v>
      </c>
      <c r="B103" s="23" t="s">
        <v>222</v>
      </c>
      <c r="C103" s="23" t="s">
        <v>27</v>
      </c>
      <c r="D103" s="23" t="s">
        <v>235</v>
      </c>
      <c r="E103" s="24" t="s">
        <v>430</v>
      </c>
      <c r="F103" s="24" t="s">
        <v>431</v>
      </c>
      <c r="G103" s="25" t="s">
        <v>432</v>
      </c>
      <c r="H103" s="26">
        <v>-12.379</v>
      </c>
      <c r="I103" s="26"/>
      <c r="J103" s="26"/>
      <c r="K103" s="25"/>
      <c r="L103" s="24" t="s">
        <v>512</v>
      </c>
      <c r="M103" s="27" t="s">
        <v>513</v>
      </c>
    </row>
    <row r="104" spans="1:13" ht="38.25" x14ac:dyDescent="0.25">
      <c r="A104" s="22">
        <v>2026</v>
      </c>
      <c r="B104" s="23" t="s">
        <v>222</v>
      </c>
      <c r="C104" s="23" t="s">
        <v>86</v>
      </c>
      <c r="D104" s="23" t="s">
        <v>236</v>
      </c>
      <c r="E104" s="24" t="s">
        <v>433</v>
      </c>
      <c r="F104" s="24" t="s">
        <v>353</v>
      </c>
      <c r="G104" s="25" t="s">
        <v>434</v>
      </c>
      <c r="H104" s="26"/>
      <c r="I104" s="26"/>
      <c r="J104" s="26"/>
      <c r="K104" s="25"/>
      <c r="L104" s="24" t="s">
        <v>512</v>
      </c>
      <c r="M104" s="27" t="s">
        <v>513</v>
      </c>
    </row>
    <row r="105" spans="1:13" x14ac:dyDescent="0.25">
      <c r="A105" s="22">
        <v>2026</v>
      </c>
      <c r="B105" s="23" t="s">
        <v>237</v>
      </c>
      <c r="C105" s="23" t="s">
        <v>154</v>
      </c>
      <c r="D105" s="23" t="s">
        <v>238</v>
      </c>
      <c r="E105" s="24" t="s">
        <v>435</v>
      </c>
      <c r="F105" s="24" t="s">
        <v>343</v>
      </c>
      <c r="G105" s="25" t="s">
        <v>410</v>
      </c>
      <c r="H105" s="26"/>
      <c r="I105" s="26"/>
      <c r="J105" s="26"/>
      <c r="K105" s="25" t="s">
        <v>517</v>
      </c>
      <c r="L105" s="24" t="s">
        <v>512</v>
      </c>
      <c r="M105" s="27" t="s">
        <v>513</v>
      </c>
    </row>
    <row r="106" spans="1:13" ht="25.5" x14ac:dyDescent="0.25">
      <c r="A106" s="22">
        <v>2026</v>
      </c>
      <c r="B106" s="23" t="s">
        <v>237</v>
      </c>
      <c r="C106" s="23" t="s">
        <v>31</v>
      </c>
      <c r="D106" s="23" t="s">
        <v>204</v>
      </c>
      <c r="E106" s="24" t="s">
        <v>371</v>
      </c>
      <c r="F106" s="24" t="s">
        <v>301</v>
      </c>
      <c r="G106" s="25" t="s">
        <v>436</v>
      </c>
      <c r="H106" s="26">
        <v>-7.7952899999999996</v>
      </c>
      <c r="I106" s="26"/>
      <c r="J106" s="26"/>
      <c r="K106" s="25"/>
      <c r="L106" s="24" t="s">
        <v>514</v>
      </c>
      <c r="M106" s="27" t="s">
        <v>515</v>
      </c>
    </row>
    <row r="107" spans="1:13" ht="25.5" x14ac:dyDescent="0.25">
      <c r="A107" s="22">
        <v>2026</v>
      </c>
      <c r="B107" s="23" t="s">
        <v>237</v>
      </c>
      <c r="C107" s="23" t="s">
        <v>31</v>
      </c>
      <c r="D107" s="23" t="s">
        <v>239</v>
      </c>
      <c r="E107" s="24" t="s">
        <v>437</v>
      </c>
      <c r="F107" s="24" t="s">
        <v>431</v>
      </c>
      <c r="G107" s="25" t="s">
        <v>438</v>
      </c>
      <c r="H107" s="26">
        <v>-44.999564499999998</v>
      </c>
      <c r="I107" s="26"/>
      <c r="J107" s="26"/>
      <c r="K107" s="25"/>
      <c r="L107" s="24" t="s">
        <v>521</v>
      </c>
      <c r="M107" s="27" t="s">
        <v>513</v>
      </c>
    </row>
    <row r="108" spans="1:13" ht="25.5" x14ac:dyDescent="0.25">
      <c r="A108" s="22">
        <v>2026</v>
      </c>
      <c r="B108" s="23" t="s">
        <v>237</v>
      </c>
      <c r="C108" s="23" t="s">
        <v>31</v>
      </c>
      <c r="D108" s="23" t="s">
        <v>240</v>
      </c>
      <c r="E108" s="24" t="s">
        <v>439</v>
      </c>
      <c r="F108" s="24" t="s">
        <v>418</v>
      </c>
      <c r="G108" s="25" t="s">
        <v>440</v>
      </c>
      <c r="H108" s="26">
        <v>-17.500001280000003</v>
      </c>
      <c r="I108" s="26"/>
      <c r="J108" s="26"/>
      <c r="K108" s="25"/>
      <c r="L108" s="24" t="s">
        <v>521</v>
      </c>
      <c r="M108" s="27" t="s">
        <v>513</v>
      </c>
    </row>
    <row r="109" spans="1:13" ht="38.25" x14ac:dyDescent="0.25">
      <c r="A109" s="22">
        <v>2026</v>
      </c>
      <c r="B109" s="23" t="s">
        <v>237</v>
      </c>
      <c r="C109" s="23" t="s">
        <v>28</v>
      </c>
      <c r="D109" s="23" t="s">
        <v>241</v>
      </c>
      <c r="E109" s="24" t="s">
        <v>241</v>
      </c>
      <c r="F109" s="24" t="s">
        <v>292</v>
      </c>
      <c r="G109" s="25" t="s">
        <v>441</v>
      </c>
      <c r="H109" s="26">
        <v>-1191.77</v>
      </c>
      <c r="I109" s="26">
        <v>0</v>
      </c>
      <c r="J109" s="26">
        <v>-402.46072900000001</v>
      </c>
      <c r="K109" s="25"/>
      <c r="L109" s="24" t="s">
        <v>514</v>
      </c>
      <c r="M109" s="27" t="s">
        <v>515</v>
      </c>
    </row>
    <row r="110" spans="1:13" ht="26.25" customHeight="1" x14ac:dyDescent="0.25">
      <c r="A110" s="22">
        <v>2026</v>
      </c>
      <c r="B110" s="23" t="s">
        <v>237</v>
      </c>
      <c r="C110" s="23" t="s">
        <v>110</v>
      </c>
      <c r="D110" s="23" t="s">
        <v>532</v>
      </c>
      <c r="E110" s="24" t="s">
        <v>331</v>
      </c>
      <c r="F110" s="24" t="s">
        <v>386</v>
      </c>
      <c r="G110" s="25" t="s">
        <v>553</v>
      </c>
      <c r="H110" s="26"/>
      <c r="I110" s="26"/>
      <c r="J110" s="26"/>
      <c r="K110" s="25" t="s">
        <v>550</v>
      </c>
      <c r="L110" s="24" t="s">
        <v>512</v>
      </c>
      <c r="M110" s="27" t="s">
        <v>513</v>
      </c>
    </row>
    <row r="111" spans="1:13" ht="25.5" x14ac:dyDescent="0.25">
      <c r="A111" s="22">
        <v>2026</v>
      </c>
      <c r="B111" s="23" t="s">
        <v>237</v>
      </c>
      <c r="C111" s="23" t="s">
        <v>110</v>
      </c>
      <c r="D111" s="23" t="s">
        <v>533</v>
      </c>
      <c r="E111" s="24" t="s">
        <v>554</v>
      </c>
      <c r="F111" s="24" t="s">
        <v>284</v>
      </c>
      <c r="G111" s="25" t="s">
        <v>555</v>
      </c>
      <c r="H111" s="26"/>
      <c r="I111" s="26"/>
      <c r="J111" s="26"/>
      <c r="K111" s="25" t="s">
        <v>550</v>
      </c>
      <c r="L111" s="24" t="s">
        <v>512</v>
      </c>
      <c r="M111" s="27" t="s">
        <v>513</v>
      </c>
    </row>
    <row r="112" spans="1:13" ht="25.5" x14ac:dyDescent="0.25">
      <c r="A112" s="22">
        <v>2026</v>
      </c>
      <c r="B112" s="23" t="s">
        <v>237</v>
      </c>
      <c r="C112" s="23" t="s">
        <v>110</v>
      </c>
      <c r="D112" s="23" t="s">
        <v>533</v>
      </c>
      <c r="E112" s="24" t="s">
        <v>554</v>
      </c>
      <c r="F112" s="24" t="s">
        <v>284</v>
      </c>
      <c r="G112" s="25" t="s">
        <v>556</v>
      </c>
      <c r="H112" s="26"/>
      <c r="I112" s="26"/>
      <c r="J112" s="26"/>
      <c r="K112" s="25" t="s">
        <v>550</v>
      </c>
      <c r="L112" s="24" t="s">
        <v>512</v>
      </c>
      <c r="M112" s="27" t="s">
        <v>513</v>
      </c>
    </row>
    <row r="113" spans="1:13" ht="25.5" x14ac:dyDescent="0.25">
      <c r="A113" s="22">
        <v>2026</v>
      </c>
      <c r="B113" s="23" t="s">
        <v>237</v>
      </c>
      <c r="C113" s="23" t="s">
        <v>110</v>
      </c>
      <c r="D113" s="23" t="s">
        <v>534</v>
      </c>
      <c r="E113" s="24" t="s">
        <v>337</v>
      </c>
      <c r="F113" s="24" t="s">
        <v>287</v>
      </c>
      <c r="G113" s="25" t="s">
        <v>557</v>
      </c>
      <c r="H113" s="26"/>
      <c r="I113" s="26"/>
      <c r="J113" s="26"/>
      <c r="K113" s="25" t="s">
        <v>550</v>
      </c>
      <c r="L113" s="24" t="s">
        <v>512</v>
      </c>
      <c r="M113" s="27" t="s">
        <v>526</v>
      </c>
    </row>
    <row r="114" spans="1:13" ht="25.5" x14ac:dyDescent="0.25">
      <c r="A114" s="22">
        <v>2026</v>
      </c>
      <c r="B114" s="23" t="s">
        <v>237</v>
      </c>
      <c r="C114" s="23" t="s">
        <v>110</v>
      </c>
      <c r="D114" s="23" t="s">
        <v>531</v>
      </c>
      <c r="E114" s="24" t="s">
        <v>551</v>
      </c>
      <c r="F114" s="24" t="s">
        <v>322</v>
      </c>
      <c r="G114" s="25" t="s">
        <v>552</v>
      </c>
      <c r="H114" s="26"/>
      <c r="I114" s="26"/>
      <c r="J114" s="26"/>
      <c r="K114" s="25" t="s">
        <v>550</v>
      </c>
      <c r="L114" s="24" t="s">
        <v>514</v>
      </c>
      <c r="M114" s="27" t="s">
        <v>513</v>
      </c>
    </row>
    <row r="115" spans="1:13" x14ac:dyDescent="0.25">
      <c r="A115" s="22">
        <v>2026</v>
      </c>
      <c r="B115" s="23" t="s">
        <v>237</v>
      </c>
      <c r="C115" s="23" t="s">
        <v>174</v>
      </c>
      <c r="D115" s="23" t="s">
        <v>242</v>
      </c>
      <c r="E115" s="24" t="s">
        <v>442</v>
      </c>
      <c r="F115" s="24" t="s">
        <v>443</v>
      </c>
      <c r="G115" s="25" t="s">
        <v>444</v>
      </c>
      <c r="H115" s="26"/>
      <c r="I115" s="26"/>
      <c r="J115" s="26"/>
      <c r="K115" s="25" t="s">
        <v>517</v>
      </c>
      <c r="L115" s="24" t="s">
        <v>514</v>
      </c>
      <c r="M115" s="27" t="s">
        <v>513</v>
      </c>
    </row>
    <row r="116" spans="1:13" x14ac:dyDescent="0.25">
      <c r="A116" s="22">
        <v>2026</v>
      </c>
      <c r="B116" s="23" t="s">
        <v>237</v>
      </c>
      <c r="C116" s="23" t="s">
        <v>174</v>
      </c>
      <c r="D116" s="23" t="s">
        <v>238</v>
      </c>
      <c r="E116" s="24" t="s">
        <v>435</v>
      </c>
      <c r="F116" s="24" t="s">
        <v>343</v>
      </c>
      <c r="G116" s="25" t="s">
        <v>445</v>
      </c>
      <c r="H116" s="26"/>
      <c r="I116" s="26"/>
      <c r="J116" s="26"/>
      <c r="K116" s="25" t="s">
        <v>517</v>
      </c>
      <c r="L116" s="24" t="s">
        <v>512</v>
      </c>
      <c r="M116" s="27" t="s">
        <v>513</v>
      </c>
    </row>
    <row r="117" spans="1:13" x14ac:dyDescent="0.25">
      <c r="A117" s="22">
        <v>2026</v>
      </c>
      <c r="B117" s="23" t="s">
        <v>237</v>
      </c>
      <c r="C117" s="23" t="s">
        <v>174</v>
      </c>
      <c r="D117" s="23" t="s">
        <v>243</v>
      </c>
      <c r="E117" s="24" t="s">
        <v>442</v>
      </c>
      <c r="F117" s="24" t="s">
        <v>343</v>
      </c>
      <c r="G117" s="25" t="s">
        <v>444</v>
      </c>
      <c r="H117" s="26"/>
      <c r="I117" s="26"/>
      <c r="J117" s="26"/>
      <c r="K117" s="25" t="s">
        <v>517</v>
      </c>
      <c r="L117" s="24" t="s">
        <v>514</v>
      </c>
      <c r="M117" s="27" t="s">
        <v>513</v>
      </c>
    </row>
    <row r="118" spans="1:13" x14ac:dyDescent="0.25">
      <c r="A118" s="22">
        <v>2026</v>
      </c>
      <c r="B118" s="23" t="s">
        <v>237</v>
      </c>
      <c r="C118" s="23" t="s">
        <v>29</v>
      </c>
      <c r="D118" s="23" t="s">
        <v>177</v>
      </c>
      <c r="E118" s="24" t="s">
        <v>446</v>
      </c>
      <c r="F118" s="24"/>
      <c r="G118" s="25" t="s">
        <v>447</v>
      </c>
      <c r="H118" s="26"/>
      <c r="I118" s="26"/>
      <c r="J118" s="26"/>
      <c r="K118" s="25"/>
      <c r="L118" s="24" t="s">
        <v>177</v>
      </c>
      <c r="M118" s="27" t="s">
        <v>177</v>
      </c>
    </row>
    <row r="119" spans="1:13" ht="25.5" x14ac:dyDescent="0.25">
      <c r="A119" s="22">
        <v>2026</v>
      </c>
      <c r="B119" s="23" t="s">
        <v>237</v>
      </c>
      <c r="C119" s="23" t="s">
        <v>213</v>
      </c>
      <c r="D119" s="23" t="s">
        <v>244</v>
      </c>
      <c r="E119" s="24" t="s">
        <v>448</v>
      </c>
      <c r="F119" s="24" t="s">
        <v>284</v>
      </c>
      <c r="G119" s="25" t="s">
        <v>449</v>
      </c>
      <c r="H119" s="26"/>
      <c r="I119" s="26"/>
      <c r="J119" s="26"/>
      <c r="K119" s="25"/>
      <c r="L119" s="24" t="s">
        <v>514</v>
      </c>
      <c r="M119" s="27" t="s">
        <v>528</v>
      </c>
    </row>
    <row r="120" spans="1:13" x14ac:dyDescent="0.25">
      <c r="A120" s="22">
        <v>2026</v>
      </c>
      <c r="B120" s="23" t="s">
        <v>237</v>
      </c>
      <c r="C120" s="23" t="s">
        <v>213</v>
      </c>
      <c r="D120" s="23" t="s">
        <v>245</v>
      </c>
      <c r="E120" s="24" t="s">
        <v>450</v>
      </c>
      <c r="F120" s="24" t="s">
        <v>295</v>
      </c>
      <c r="G120" s="25" t="s">
        <v>451</v>
      </c>
      <c r="H120" s="26"/>
      <c r="I120" s="26"/>
      <c r="J120" s="26"/>
      <c r="K120" s="25" t="s">
        <v>516</v>
      </c>
      <c r="L120" s="24" t="s">
        <v>512</v>
      </c>
      <c r="M120" s="27" t="s">
        <v>513</v>
      </c>
    </row>
    <row r="121" spans="1:13" x14ac:dyDescent="0.25">
      <c r="A121" s="22">
        <v>2026</v>
      </c>
      <c r="B121" s="23" t="s">
        <v>237</v>
      </c>
      <c r="C121" s="23" t="s">
        <v>153</v>
      </c>
      <c r="D121" s="23" t="s">
        <v>238</v>
      </c>
      <c r="E121" s="24" t="s">
        <v>435</v>
      </c>
      <c r="F121" s="24" t="s">
        <v>325</v>
      </c>
      <c r="G121" s="25" t="s">
        <v>424</v>
      </c>
      <c r="H121" s="26"/>
      <c r="I121" s="26"/>
      <c r="J121" s="26"/>
      <c r="K121" s="25" t="s">
        <v>517</v>
      </c>
      <c r="L121" s="24" t="s">
        <v>512</v>
      </c>
      <c r="M121" s="27" t="s">
        <v>513</v>
      </c>
    </row>
    <row r="122" spans="1:13" x14ac:dyDescent="0.25">
      <c r="A122" s="22">
        <v>2026</v>
      </c>
      <c r="B122" s="23" t="s">
        <v>237</v>
      </c>
      <c r="C122" s="23" t="s">
        <v>21</v>
      </c>
      <c r="D122" s="23" t="s">
        <v>242</v>
      </c>
      <c r="E122" s="24" t="s">
        <v>446</v>
      </c>
      <c r="F122" s="24" t="s">
        <v>443</v>
      </c>
      <c r="G122" s="25" t="s">
        <v>452</v>
      </c>
      <c r="H122" s="26"/>
      <c r="I122" s="26"/>
      <c r="J122" s="26"/>
      <c r="K122" s="25" t="s">
        <v>517</v>
      </c>
      <c r="L122" s="24" t="s">
        <v>514</v>
      </c>
      <c r="M122" s="27" t="s">
        <v>513</v>
      </c>
    </row>
    <row r="123" spans="1:13" x14ac:dyDescent="0.25">
      <c r="A123" s="22">
        <v>2026</v>
      </c>
      <c r="B123" s="23" t="s">
        <v>237</v>
      </c>
      <c r="C123" s="23" t="s">
        <v>21</v>
      </c>
      <c r="D123" s="23" t="s">
        <v>238</v>
      </c>
      <c r="E123" s="24" t="s">
        <v>9556</v>
      </c>
      <c r="F123" s="24" t="s">
        <v>343</v>
      </c>
      <c r="G123" s="25" t="s">
        <v>453</v>
      </c>
      <c r="H123" s="26"/>
      <c r="I123" s="26"/>
      <c r="J123" s="26"/>
      <c r="K123" s="25" t="s">
        <v>517</v>
      </c>
      <c r="L123" s="24" t="s">
        <v>512</v>
      </c>
      <c r="M123" s="27" t="s">
        <v>513</v>
      </c>
    </row>
    <row r="124" spans="1:13" x14ac:dyDescent="0.25">
      <c r="A124" s="22">
        <v>2026</v>
      </c>
      <c r="B124" s="23" t="s">
        <v>237</v>
      </c>
      <c r="C124" s="23" t="s">
        <v>21</v>
      </c>
      <c r="D124" s="23" t="s">
        <v>243</v>
      </c>
      <c r="E124" s="24" t="s">
        <v>446</v>
      </c>
      <c r="F124" s="24" t="s">
        <v>343</v>
      </c>
      <c r="G124" s="25" t="s">
        <v>452</v>
      </c>
      <c r="H124" s="26"/>
      <c r="I124" s="26"/>
      <c r="J124" s="26"/>
      <c r="K124" s="25" t="s">
        <v>517</v>
      </c>
      <c r="L124" s="24" t="s">
        <v>514</v>
      </c>
      <c r="M124" s="27" t="s">
        <v>513</v>
      </c>
    </row>
    <row r="125" spans="1:13" x14ac:dyDescent="0.25">
      <c r="A125" s="22">
        <v>2026</v>
      </c>
      <c r="B125" s="23" t="s">
        <v>237</v>
      </c>
      <c r="C125" s="23" t="s">
        <v>95</v>
      </c>
      <c r="D125" s="23" t="s">
        <v>246</v>
      </c>
      <c r="E125" s="24" t="s">
        <v>450</v>
      </c>
      <c r="F125" s="24" t="s">
        <v>295</v>
      </c>
      <c r="G125" s="25" t="s">
        <v>454</v>
      </c>
      <c r="H125" s="26"/>
      <c r="I125" s="26"/>
      <c r="J125" s="26"/>
      <c r="K125" s="25" t="s">
        <v>516</v>
      </c>
      <c r="L125" s="24" t="s">
        <v>512</v>
      </c>
      <c r="M125" s="27" t="s">
        <v>513</v>
      </c>
    </row>
    <row r="126" spans="1:13" ht="25.5" x14ac:dyDescent="0.25">
      <c r="A126" s="22">
        <v>2026</v>
      </c>
      <c r="B126" s="23" t="s">
        <v>237</v>
      </c>
      <c r="C126" s="23" t="s">
        <v>95</v>
      </c>
      <c r="D126" s="23" t="s">
        <v>247</v>
      </c>
      <c r="E126" s="24" t="s">
        <v>448</v>
      </c>
      <c r="F126" s="24" t="s">
        <v>284</v>
      </c>
      <c r="G126" s="25" t="s">
        <v>455</v>
      </c>
      <c r="H126" s="26"/>
      <c r="I126" s="26"/>
      <c r="J126" s="26"/>
      <c r="K126" s="25"/>
      <c r="L126" s="24" t="s">
        <v>514</v>
      </c>
      <c r="M126" s="27" t="s">
        <v>528</v>
      </c>
    </row>
    <row r="127" spans="1:13" ht="63.75" x14ac:dyDescent="0.25">
      <c r="A127" s="22">
        <v>2026</v>
      </c>
      <c r="B127" s="23" t="s">
        <v>237</v>
      </c>
      <c r="C127" s="23" t="s">
        <v>23</v>
      </c>
      <c r="D127" s="23" t="s">
        <v>238</v>
      </c>
      <c r="E127" s="24" t="s">
        <v>435</v>
      </c>
      <c r="F127" s="24" t="s">
        <v>343</v>
      </c>
      <c r="G127" s="25" t="s">
        <v>456</v>
      </c>
      <c r="H127" s="26"/>
      <c r="I127" s="26"/>
      <c r="J127" s="26"/>
      <c r="K127" s="25"/>
      <c r="L127" s="24" t="s">
        <v>512</v>
      </c>
      <c r="M127" s="27" t="s">
        <v>513</v>
      </c>
    </row>
    <row r="128" spans="1:13" ht="38.25" x14ac:dyDescent="0.25">
      <c r="A128" s="22">
        <v>2026</v>
      </c>
      <c r="B128" s="23" t="s">
        <v>237</v>
      </c>
      <c r="C128" s="23" t="s">
        <v>24</v>
      </c>
      <c r="D128" s="23" t="s">
        <v>236</v>
      </c>
      <c r="E128" s="24" t="s">
        <v>433</v>
      </c>
      <c r="F128" s="24" t="s">
        <v>353</v>
      </c>
      <c r="G128" s="25" t="s">
        <v>457</v>
      </c>
      <c r="H128" s="26">
        <v>-281.23</v>
      </c>
      <c r="I128" s="26">
        <v>0</v>
      </c>
      <c r="J128" s="26">
        <v>0</v>
      </c>
      <c r="K128" s="25"/>
      <c r="L128" s="24" t="s">
        <v>512</v>
      </c>
      <c r="M128" s="27" t="s">
        <v>513</v>
      </c>
    </row>
    <row r="129" spans="1:13" x14ac:dyDescent="0.25">
      <c r="A129" s="22">
        <v>2026</v>
      </c>
      <c r="B129" s="23" t="s">
        <v>237</v>
      </c>
      <c r="C129" s="23" t="s">
        <v>27</v>
      </c>
      <c r="D129" s="23" t="s">
        <v>248</v>
      </c>
      <c r="E129" s="24" t="s">
        <v>369</v>
      </c>
      <c r="F129" s="24" t="s">
        <v>458</v>
      </c>
      <c r="G129" s="25" t="s">
        <v>459</v>
      </c>
      <c r="H129" s="26">
        <v>-32.590349000000003</v>
      </c>
      <c r="I129" s="26"/>
      <c r="J129" s="26"/>
      <c r="K129" s="25"/>
      <c r="L129" s="24" t="s">
        <v>512</v>
      </c>
      <c r="M129" s="27" t="s">
        <v>513</v>
      </c>
    </row>
    <row r="130" spans="1:13" ht="25.5" x14ac:dyDescent="0.25">
      <c r="A130" s="22">
        <v>2026</v>
      </c>
      <c r="B130" s="23" t="s">
        <v>237</v>
      </c>
      <c r="C130" s="23" t="s">
        <v>27</v>
      </c>
      <c r="D130" s="23" t="s">
        <v>211</v>
      </c>
      <c r="E130" s="24" t="s">
        <v>369</v>
      </c>
      <c r="F130" s="24" t="s">
        <v>343</v>
      </c>
      <c r="G130" s="25" t="s">
        <v>460</v>
      </c>
      <c r="H130" s="26">
        <v>-162.91716600000001</v>
      </c>
      <c r="I130" s="26"/>
      <c r="J130" s="26"/>
      <c r="K130" s="25"/>
      <c r="L130" s="24" t="s">
        <v>512</v>
      </c>
      <c r="M130" s="27" t="s">
        <v>513</v>
      </c>
    </row>
    <row r="131" spans="1:13" ht="25.5" x14ac:dyDescent="0.25">
      <c r="A131" s="22">
        <v>2026</v>
      </c>
      <c r="B131" s="23" t="s">
        <v>237</v>
      </c>
      <c r="C131" s="23" t="s">
        <v>27</v>
      </c>
      <c r="D131" s="23" t="s">
        <v>198</v>
      </c>
      <c r="E131" s="24" t="s">
        <v>357</v>
      </c>
      <c r="F131" s="24" t="s">
        <v>412</v>
      </c>
      <c r="G131" s="25" t="s">
        <v>461</v>
      </c>
      <c r="H131" s="26">
        <v>-11.420372</v>
      </c>
      <c r="I131" s="26"/>
      <c r="J131" s="26"/>
      <c r="K131" s="25"/>
      <c r="L131" s="24" t="s">
        <v>512</v>
      </c>
      <c r="M131" s="27" t="s">
        <v>513</v>
      </c>
    </row>
    <row r="132" spans="1:13" x14ac:dyDescent="0.25">
      <c r="A132" s="22">
        <v>2026</v>
      </c>
      <c r="B132" s="23" t="s">
        <v>249</v>
      </c>
      <c r="C132" s="23" t="s">
        <v>16</v>
      </c>
      <c r="D132" s="23" t="s">
        <v>211</v>
      </c>
      <c r="E132" s="24" t="s">
        <v>369</v>
      </c>
      <c r="F132" s="24" t="s">
        <v>343</v>
      </c>
      <c r="G132" s="25" t="s">
        <v>462</v>
      </c>
      <c r="H132" s="26"/>
      <c r="I132" s="26"/>
      <c r="J132" s="26"/>
      <c r="K132" s="25" t="s">
        <v>525</v>
      </c>
      <c r="L132" s="24" t="s">
        <v>512</v>
      </c>
      <c r="M132" s="27" t="s">
        <v>513</v>
      </c>
    </row>
    <row r="133" spans="1:13" x14ac:dyDescent="0.25">
      <c r="A133" s="22">
        <v>2026</v>
      </c>
      <c r="B133" s="23" t="s">
        <v>249</v>
      </c>
      <c r="C133" s="23" t="s">
        <v>16</v>
      </c>
      <c r="D133" s="23" t="s">
        <v>250</v>
      </c>
      <c r="E133" s="24" t="s">
        <v>463</v>
      </c>
      <c r="F133" s="24" t="s">
        <v>325</v>
      </c>
      <c r="G133" s="25" t="s">
        <v>464</v>
      </c>
      <c r="H133" s="26"/>
      <c r="I133" s="26"/>
      <c r="J133" s="26"/>
      <c r="K133" s="25"/>
      <c r="L133" s="24" t="s">
        <v>512</v>
      </c>
      <c r="M133" s="27" t="s">
        <v>513</v>
      </c>
    </row>
    <row r="134" spans="1:13" ht="63.75" x14ac:dyDescent="0.25">
      <c r="A134" s="22">
        <v>2026</v>
      </c>
      <c r="B134" s="23" t="s">
        <v>249</v>
      </c>
      <c r="C134" s="23" t="s">
        <v>28</v>
      </c>
      <c r="D134" s="23" t="s">
        <v>251</v>
      </c>
      <c r="E134" s="24" t="s">
        <v>465</v>
      </c>
      <c r="F134" s="24" t="s">
        <v>282</v>
      </c>
      <c r="G134" s="25" t="s">
        <v>466</v>
      </c>
      <c r="H134" s="26">
        <v>-1182.52</v>
      </c>
      <c r="I134" s="26">
        <v>0</v>
      </c>
      <c r="J134" s="26">
        <v>-575.24423726164491</v>
      </c>
      <c r="K134" s="25"/>
      <c r="L134" s="24" t="s">
        <v>514</v>
      </c>
      <c r="M134" s="27" t="s">
        <v>513</v>
      </c>
    </row>
    <row r="135" spans="1:13" ht="25.5" x14ac:dyDescent="0.25">
      <c r="A135" s="22">
        <v>2026</v>
      </c>
      <c r="B135" s="23" t="s">
        <v>249</v>
      </c>
      <c r="C135" s="23" t="s">
        <v>110</v>
      </c>
      <c r="D135" s="23" t="s">
        <v>530</v>
      </c>
      <c r="E135" s="24" t="s">
        <v>548</v>
      </c>
      <c r="F135" s="24" t="s">
        <v>343</v>
      </c>
      <c r="G135" s="25" t="s">
        <v>549</v>
      </c>
      <c r="H135" s="26"/>
      <c r="I135" s="26"/>
      <c r="J135" s="26"/>
      <c r="K135" s="25" t="s">
        <v>550</v>
      </c>
      <c r="L135" s="24" t="s">
        <v>512</v>
      </c>
      <c r="M135" s="27" t="s">
        <v>513</v>
      </c>
    </row>
    <row r="136" spans="1:13" ht="63.75" x14ac:dyDescent="0.25">
      <c r="A136" s="22">
        <v>2026</v>
      </c>
      <c r="B136" s="23" t="s">
        <v>249</v>
      </c>
      <c r="C136" s="23" t="s">
        <v>23</v>
      </c>
      <c r="D136" s="23" t="s">
        <v>246</v>
      </c>
      <c r="E136" s="24" t="s">
        <v>450</v>
      </c>
      <c r="F136" s="24" t="s">
        <v>295</v>
      </c>
      <c r="G136" s="25" t="s">
        <v>467</v>
      </c>
      <c r="H136" s="26"/>
      <c r="I136" s="26"/>
      <c r="J136" s="26"/>
      <c r="K136" s="25" t="s">
        <v>516</v>
      </c>
      <c r="L136" s="24" t="s">
        <v>512</v>
      </c>
      <c r="M136" s="27" t="s">
        <v>513</v>
      </c>
    </row>
    <row r="137" spans="1:13" ht="51" x14ac:dyDescent="0.25">
      <c r="A137" s="22">
        <v>2026</v>
      </c>
      <c r="B137" s="23" t="s">
        <v>249</v>
      </c>
      <c r="C137" s="23" t="s">
        <v>54</v>
      </c>
      <c r="D137" s="23" t="s">
        <v>252</v>
      </c>
      <c r="E137" s="24" t="s">
        <v>468</v>
      </c>
      <c r="F137" s="24" t="s">
        <v>282</v>
      </c>
      <c r="G137" s="25" t="s">
        <v>469</v>
      </c>
      <c r="H137" s="26"/>
      <c r="I137" s="26"/>
      <c r="J137" s="26"/>
      <c r="K137" s="25"/>
      <c r="L137" s="24" t="s">
        <v>512</v>
      </c>
      <c r="M137" s="27" t="s">
        <v>513</v>
      </c>
    </row>
    <row r="138" spans="1:13" ht="38.25" x14ac:dyDescent="0.25">
      <c r="A138" s="22">
        <v>2026</v>
      </c>
      <c r="B138" s="23" t="s">
        <v>249</v>
      </c>
      <c r="C138" s="23" t="s">
        <v>27</v>
      </c>
      <c r="D138" s="23" t="s">
        <v>253</v>
      </c>
      <c r="E138" s="24" t="s">
        <v>470</v>
      </c>
      <c r="F138" s="24" t="s">
        <v>340</v>
      </c>
      <c r="G138" s="25" t="s">
        <v>471</v>
      </c>
      <c r="H138" s="26">
        <v>-957.358473</v>
      </c>
      <c r="I138" s="26"/>
      <c r="J138" s="26"/>
      <c r="K138" s="25"/>
      <c r="L138" s="24" t="s">
        <v>512</v>
      </c>
      <c r="M138" s="27" t="s">
        <v>513</v>
      </c>
    </row>
    <row r="139" spans="1:13" ht="76.5" x14ac:dyDescent="0.25">
      <c r="A139" s="22">
        <v>2026</v>
      </c>
      <c r="B139" s="23" t="s">
        <v>249</v>
      </c>
      <c r="C139" s="23" t="s">
        <v>27</v>
      </c>
      <c r="D139" s="23" t="s">
        <v>238</v>
      </c>
      <c r="E139" s="24" t="s">
        <v>435</v>
      </c>
      <c r="F139" s="24" t="s">
        <v>343</v>
      </c>
      <c r="G139" s="25" t="s">
        <v>472</v>
      </c>
      <c r="H139" s="26">
        <v>-4.029401</v>
      </c>
      <c r="I139" s="26"/>
      <c r="J139" s="26"/>
      <c r="K139" s="25"/>
      <c r="L139" s="24" t="s">
        <v>512</v>
      </c>
      <c r="M139" s="27" t="s">
        <v>513</v>
      </c>
    </row>
    <row r="140" spans="1:13" ht="25.5" x14ac:dyDescent="0.25">
      <c r="A140" s="22">
        <v>2026</v>
      </c>
      <c r="B140" s="23" t="s">
        <v>249</v>
      </c>
      <c r="C140" s="23" t="s">
        <v>27</v>
      </c>
      <c r="D140" s="23" t="s">
        <v>254</v>
      </c>
      <c r="E140" s="24" t="s">
        <v>473</v>
      </c>
      <c r="F140" s="24" t="s">
        <v>474</v>
      </c>
      <c r="G140" s="25" t="s">
        <v>475</v>
      </c>
      <c r="H140" s="26">
        <v>-11.035931</v>
      </c>
      <c r="I140" s="26"/>
      <c r="J140" s="26"/>
      <c r="K140" s="25"/>
      <c r="L140" s="24" t="s">
        <v>512</v>
      </c>
      <c r="M140" s="27" t="s">
        <v>513</v>
      </c>
    </row>
    <row r="141" spans="1:13" ht="25.5" x14ac:dyDescent="0.25">
      <c r="A141" s="22">
        <v>2026</v>
      </c>
      <c r="B141" s="23" t="s">
        <v>249</v>
      </c>
      <c r="C141" s="23" t="s">
        <v>27</v>
      </c>
      <c r="D141" s="23" t="s">
        <v>255</v>
      </c>
      <c r="E141" s="24" t="s">
        <v>255</v>
      </c>
      <c r="F141" s="24" t="s">
        <v>325</v>
      </c>
      <c r="G141" s="25" t="s">
        <v>476</v>
      </c>
      <c r="H141" s="26">
        <v>-299.99999484000006</v>
      </c>
      <c r="I141" s="26"/>
      <c r="J141" s="26"/>
      <c r="K141" s="25"/>
      <c r="L141" s="24" t="s">
        <v>512</v>
      </c>
      <c r="M141" s="27" t="s">
        <v>513</v>
      </c>
    </row>
    <row r="142" spans="1:13" ht="25.5" x14ac:dyDescent="0.25">
      <c r="A142" s="22">
        <v>2026</v>
      </c>
      <c r="B142" s="23" t="s">
        <v>249</v>
      </c>
      <c r="C142" s="23" t="s">
        <v>27</v>
      </c>
      <c r="D142" s="23" t="s">
        <v>182</v>
      </c>
      <c r="E142" s="24" t="s">
        <v>321</v>
      </c>
      <c r="F142" s="24" t="s">
        <v>322</v>
      </c>
      <c r="G142" s="25" t="s">
        <v>477</v>
      </c>
      <c r="H142" s="26">
        <v>-116.19283228309401</v>
      </c>
      <c r="I142" s="26"/>
      <c r="J142" s="26"/>
      <c r="K142" s="25"/>
      <c r="L142" s="24" t="s">
        <v>519</v>
      </c>
      <c r="M142" s="27" t="s">
        <v>513</v>
      </c>
    </row>
    <row r="143" spans="1:13" ht="25.5" x14ac:dyDescent="0.25">
      <c r="A143" s="22">
        <v>2026</v>
      </c>
      <c r="B143" s="23" t="s">
        <v>249</v>
      </c>
      <c r="C143" s="23" t="s">
        <v>86</v>
      </c>
      <c r="D143" s="23" t="s">
        <v>256</v>
      </c>
      <c r="E143" s="24" t="s">
        <v>256</v>
      </c>
      <c r="F143" s="24" t="s">
        <v>478</v>
      </c>
      <c r="G143" s="25" t="s">
        <v>479</v>
      </c>
      <c r="H143" s="26"/>
      <c r="I143" s="26"/>
      <c r="J143" s="26"/>
      <c r="K143" s="25" t="s">
        <v>517</v>
      </c>
      <c r="L143" s="24" t="s">
        <v>514</v>
      </c>
      <c r="M143" s="27" t="s">
        <v>515</v>
      </c>
    </row>
    <row r="144" spans="1:13" ht="51" x14ac:dyDescent="0.25">
      <c r="A144" s="22" t="s">
        <v>257</v>
      </c>
      <c r="B144" s="23" t="s">
        <v>258</v>
      </c>
      <c r="C144" s="23" t="s">
        <v>28</v>
      </c>
      <c r="D144" s="23" t="s">
        <v>185</v>
      </c>
      <c r="E144" s="24" t="s">
        <v>309</v>
      </c>
      <c r="F144" s="24" t="s">
        <v>325</v>
      </c>
      <c r="G144" s="25" t="s">
        <v>480</v>
      </c>
      <c r="H144" s="26"/>
      <c r="I144" s="26"/>
      <c r="J144" s="26"/>
      <c r="K144" s="25"/>
      <c r="L144" s="24" t="s">
        <v>514</v>
      </c>
      <c r="M144" s="27" t="s">
        <v>513</v>
      </c>
    </row>
    <row r="145" spans="1:13" x14ac:dyDescent="0.25">
      <c r="A145" s="22" t="s">
        <v>257</v>
      </c>
      <c r="B145" s="23" t="s">
        <v>258</v>
      </c>
      <c r="C145" s="23" t="s">
        <v>174</v>
      </c>
      <c r="D145" s="23" t="s">
        <v>200</v>
      </c>
      <c r="E145" s="24" t="s">
        <v>200</v>
      </c>
      <c r="F145" s="24" t="s">
        <v>332</v>
      </c>
      <c r="G145" s="25" t="s">
        <v>481</v>
      </c>
      <c r="H145" s="26"/>
      <c r="I145" s="26"/>
      <c r="J145" s="26"/>
      <c r="K145" s="25"/>
      <c r="L145" s="24" t="s">
        <v>514</v>
      </c>
      <c r="M145" s="27" t="s">
        <v>513</v>
      </c>
    </row>
    <row r="146" spans="1:13" x14ac:dyDescent="0.25">
      <c r="A146" s="22" t="s">
        <v>257</v>
      </c>
      <c r="B146" s="23" t="s">
        <v>258</v>
      </c>
      <c r="C146" s="23" t="s">
        <v>174</v>
      </c>
      <c r="D146" s="23" t="s">
        <v>253</v>
      </c>
      <c r="E146" s="24" t="s">
        <v>470</v>
      </c>
      <c r="F146" s="24" t="s">
        <v>340</v>
      </c>
      <c r="G146" s="25" t="s">
        <v>9555</v>
      </c>
      <c r="H146" s="26"/>
      <c r="I146" s="26"/>
      <c r="J146" s="26"/>
      <c r="K146" s="25"/>
      <c r="L146" s="24" t="s">
        <v>512</v>
      </c>
      <c r="M146" s="27" t="s">
        <v>513</v>
      </c>
    </row>
    <row r="147" spans="1:13" ht="108" customHeight="1" x14ac:dyDescent="0.25">
      <c r="A147" s="22" t="s">
        <v>257</v>
      </c>
      <c r="B147" s="23" t="s">
        <v>258</v>
      </c>
      <c r="C147" s="23" t="s">
        <v>24</v>
      </c>
      <c r="D147" s="23" t="s">
        <v>259</v>
      </c>
      <c r="E147" s="24" t="s">
        <v>482</v>
      </c>
      <c r="F147" s="24" t="s">
        <v>483</v>
      </c>
      <c r="G147" s="25" t="s">
        <v>484</v>
      </c>
      <c r="H147" s="26"/>
      <c r="I147" s="26"/>
      <c r="J147" s="26"/>
      <c r="K147" s="25"/>
      <c r="L147" s="24" t="s">
        <v>512</v>
      </c>
      <c r="M147" s="27" t="s">
        <v>513</v>
      </c>
    </row>
    <row r="148" spans="1:13" ht="63.75" x14ac:dyDescent="0.25">
      <c r="A148" s="22" t="s">
        <v>257</v>
      </c>
      <c r="B148" s="23" t="s">
        <v>258</v>
      </c>
      <c r="C148" s="23" t="s">
        <v>27</v>
      </c>
      <c r="D148" s="23" t="s">
        <v>260</v>
      </c>
      <c r="E148" s="24" t="s">
        <v>485</v>
      </c>
      <c r="F148" s="24" t="s">
        <v>386</v>
      </c>
      <c r="G148" s="25" t="s">
        <v>486</v>
      </c>
      <c r="H148" s="26"/>
      <c r="I148" s="26"/>
      <c r="J148" s="26"/>
      <c r="K148" s="25"/>
      <c r="L148" s="24" t="s">
        <v>512</v>
      </c>
      <c r="M148" s="27" t="s">
        <v>513</v>
      </c>
    </row>
    <row r="149" spans="1:13" ht="38.25" x14ac:dyDescent="0.25">
      <c r="A149" s="22" t="s">
        <v>257</v>
      </c>
      <c r="B149" s="23" t="s">
        <v>261</v>
      </c>
      <c r="C149" s="23" t="s">
        <v>27</v>
      </c>
      <c r="D149" s="23" t="s">
        <v>262</v>
      </c>
      <c r="E149" s="24" t="s">
        <v>485</v>
      </c>
      <c r="F149" s="24" t="s">
        <v>332</v>
      </c>
      <c r="G149" s="25" t="s">
        <v>487</v>
      </c>
      <c r="H149" s="26"/>
      <c r="I149" s="26"/>
      <c r="J149" s="26"/>
      <c r="K149" s="25"/>
      <c r="L149" s="24" t="s">
        <v>512</v>
      </c>
      <c r="M149" s="27" t="s">
        <v>513</v>
      </c>
    </row>
    <row r="150" spans="1:13" ht="89.25" x14ac:dyDescent="0.25">
      <c r="A150" s="22" t="s">
        <v>257</v>
      </c>
      <c r="B150" s="23" t="s">
        <v>263</v>
      </c>
      <c r="C150" s="23" t="s">
        <v>264</v>
      </c>
      <c r="D150" s="23" t="s">
        <v>265</v>
      </c>
      <c r="E150" s="24" t="s">
        <v>485</v>
      </c>
      <c r="F150" s="24" t="s">
        <v>325</v>
      </c>
      <c r="G150" s="25" t="s">
        <v>488</v>
      </c>
      <c r="H150" s="26"/>
      <c r="I150" s="26"/>
      <c r="J150" s="26"/>
      <c r="K150" s="25"/>
      <c r="L150" s="24" t="s">
        <v>512</v>
      </c>
      <c r="M150" s="27" t="s">
        <v>513</v>
      </c>
    </row>
    <row r="151" spans="1:13" ht="51" x14ac:dyDescent="0.25">
      <c r="A151" s="22" t="s">
        <v>257</v>
      </c>
      <c r="B151" s="23" t="s">
        <v>266</v>
      </c>
      <c r="C151" s="23" t="s">
        <v>267</v>
      </c>
      <c r="D151" s="23" t="s">
        <v>268</v>
      </c>
      <c r="E151" s="24" t="s">
        <v>408</v>
      </c>
      <c r="F151" s="24" t="s">
        <v>489</v>
      </c>
      <c r="G151" s="25" t="s">
        <v>490</v>
      </c>
      <c r="H151" s="26"/>
      <c r="I151" s="26"/>
      <c r="J151" s="26"/>
      <c r="K151" s="25"/>
      <c r="L151" s="24" t="s">
        <v>516</v>
      </c>
      <c r="M151" s="27" t="s">
        <v>512</v>
      </c>
    </row>
    <row r="152" spans="1:13" ht="25.5" x14ac:dyDescent="0.25">
      <c r="A152" s="22" t="s">
        <v>257</v>
      </c>
      <c r="B152" s="23" t="s">
        <v>266</v>
      </c>
      <c r="C152" s="23" t="s">
        <v>174</v>
      </c>
      <c r="D152" s="23" t="s">
        <v>269</v>
      </c>
      <c r="E152" s="24" t="s">
        <v>491</v>
      </c>
      <c r="F152" s="24" t="s">
        <v>378</v>
      </c>
      <c r="G152" s="25" t="s">
        <v>492</v>
      </c>
      <c r="H152" s="26"/>
      <c r="I152" s="26"/>
      <c r="J152" s="26"/>
      <c r="K152" s="25"/>
      <c r="L152" s="24" t="s">
        <v>514</v>
      </c>
      <c r="M152" s="27" t="s">
        <v>515</v>
      </c>
    </row>
    <row r="153" spans="1:13" ht="51" x14ac:dyDescent="0.25">
      <c r="A153" s="22" t="s">
        <v>257</v>
      </c>
      <c r="B153" s="23" t="s">
        <v>266</v>
      </c>
      <c r="C153" s="23" t="s">
        <v>174</v>
      </c>
      <c r="D153" s="23" t="s">
        <v>234</v>
      </c>
      <c r="E153" s="24" t="s">
        <v>427</v>
      </c>
      <c r="F153" s="24" t="s">
        <v>428</v>
      </c>
      <c r="G153" s="25" t="s">
        <v>493</v>
      </c>
      <c r="H153" s="26"/>
      <c r="I153" s="26"/>
      <c r="J153" s="26"/>
      <c r="K153" s="25"/>
      <c r="L153" s="24" t="s">
        <v>512</v>
      </c>
      <c r="M153" s="27" t="s">
        <v>513</v>
      </c>
    </row>
    <row r="154" spans="1:13" ht="89.25" x14ac:dyDescent="0.25">
      <c r="A154" s="22" t="s">
        <v>257</v>
      </c>
      <c r="B154" s="23" t="s">
        <v>266</v>
      </c>
      <c r="C154" s="23" t="s">
        <v>25</v>
      </c>
      <c r="D154" s="23" t="s">
        <v>270</v>
      </c>
      <c r="E154" s="24" t="s">
        <v>485</v>
      </c>
      <c r="F154" s="24" t="s">
        <v>494</v>
      </c>
      <c r="G154" s="25" t="s">
        <v>495</v>
      </c>
      <c r="H154" s="26"/>
      <c r="I154" s="26"/>
      <c r="J154" s="26"/>
      <c r="K154" s="25"/>
      <c r="L154" s="24" t="s">
        <v>512</v>
      </c>
      <c r="M154" s="27" t="s">
        <v>513</v>
      </c>
    </row>
    <row r="155" spans="1:13" ht="89.25" x14ac:dyDescent="0.25">
      <c r="A155" s="22" t="s">
        <v>257</v>
      </c>
      <c r="B155" s="23" t="s">
        <v>266</v>
      </c>
      <c r="C155" s="23" t="s">
        <v>26</v>
      </c>
      <c r="D155" s="23" t="s">
        <v>271</v>
      </c>
      <c r="E155" s="24" t="s">
        <v>496</v>
      </c>
      <c r="F155" s="24" t="s">
        <v>494</v>
      </c>
      <c r="G155" s="25" t="s">
        <v>497</v>
      </c>
      <c r="H155" s="26"/>
      <c r="I155" s="26"/>
      <c r="J155" s="26"/>
      <c r="K155" s="25"/>
      <c r="L155" s="24" t="s">
        <v>512</v>
      </c>
      <c r="M155" s="27" t="s">
        <v>513</v>
      </c>
    </row>
    <row r="156" spans="1:13" ht="25.5" x14ac:dyDescent="0.25">
      <c r="A156" s="22" t="s">
        <v>257</v>
      </c>
      <c r="B156" s="23" t="s">
        <v>266</v>
      </c>
      <c r="C156" s="23" t="s">
        <v>21</v>
      </c>
      <c r="D156" s="23" t="s">
        <v>269</v>
      </c>
      <c r="E156" s="24" t="s">
        <v>498</v>
      </c>
      <c r="F156" s="24" t="s">
        <v>378</v>
      </c>
      <c r="G156" s="25" t="s">
        <v>499</v>
      </c>
      <c r="H156" s="26"/>
      <c r="I156" s="26"/>
      <c r="J156" s="26"/>
      <c r="K156" s="25"/>
      <c r="L156" s="24" t="s">
        <v>514</v>
      </c>
      <c r="M156" s="27" t="s">
        <v>515</v>
      </c>
    </row>
    <row r="157" spans="1:13" ht="38.25" x14ac:dyDescent="0.25">
      <c r="A157" s="22" t="s">
        <v>257</v>
      </c>
      <c r="B157" s="23" t="s">
        <v>266</v>
      </c>
      <c r="C157" s="23" t="s">
        <v>27</v>
      </c>
      <c r="D157" s="23" t="s">
        <v>272</v>
      </c>
      <c r="E157" s="24" t="s">
        <v>500</v>
      </c>
      <c r="F157" s="24" t="s">
        <v>284</v>
      </c>
      <c r="G157" s="25" t="s">
        <v>501</v>
      </c>
      <c r="H157" s="26"/>
      <c r="I157" s="26"/>
      <c r="J157" s="26"/>
      <c r="K157" s="25"/>
      <c r="L157" s="24" t="s">
        <v>514</v>
      </c>
      <c r="M157" s="27" t="s">
        <v>513</v>
      </c>
    </row>
    <row r="158" spans="1:13" ht="51" x14ac:dyDescent="0.25">
      <c r="A158" s="22" t="s">
        <v>273</v>
      </c>
      <c r="B158" s="23" t="s">
        <v>192</v>
      </c>
      <c r="C158" s="23" t="s">
        <v>93</v>
      </c>
      <c r="D158" s="23" t="s">
        <v>274</v>
      </c>
      <c r="E158" s="24" t="s">
        <v>485</v>
      </c>
      <c r="F158" s="24" t="s">
        <v>332</v>
      </c>
      <c r="G158" s="25" t="s">
        <v>502</v>
      </c>
      <c r="H158" s="26"/>
      <c r="I158" s="26"/>
      <c r="J158" s="26"/>
      <c r="K158" s="25" t="s">
        <v>517</v>
      </c>
      <c r="L158" s="24" t="s">
        <v>512</v>
      </c>
      <c r="M158" s="27" t="s">
        <v>513</v>
      </c>
    </row>
    <row r="159" spans="1:13" ht="51" x14ac:dyDescent="0.25">
      <c r="A159" s="22" t="s">
        <v>275</v>
      </c>
      <c r="B159" s="23" t="s">
        <v>266</v>
      </c>
      <c r="C159" s="23" t="s">
        <v>28</v>
      </c>
      <c r="D159" s="23" t="s">
        <v>276</v>
      </c>
      <c r="E159" s="24" t="s">
        <v>408</v>
      </c>
      <c r="F159" s="24" t="s">
        <v>503</v>
      </c>
      <c r="G159" s="25" t="s">
        <v>504</v>
      </c>
      <c r="H159" s="26"/>
      <c r="I159" s="26"/>
      <c r="J159" s="26"/>
      <c r="K159" s="25" t="s">
        <v>516</v>
      </c>
      <c r="L159" s="24" t="s">
        <v>512</v>
      </c>
      <c r="M159" s="27" t="s">
        <v>515</v>
      </c>
    </row>
    <row r="160" spans="1:13" ht="89.25" x14ac:dyDescent="0.25">
      <c r="A160" s="22" t="s">
        <v>275</v>
      </c>
      <c r="B160" s="23" t="s">
        <v>266</v>
      </c>
      <c r="C160" s="23" t="s">
        <v>277</v>
      </c>
      <c r="D160" s="23" t="s">
        <v>278</v>
      </c>
      <c r="E160" s="24" t="s">
        <v>505</v>
      </c>
      <c r="F160" s="24" t="s">
        <v>503</v>
      </c>
      <c r="G160" s="25" t="s">
        <v>506</v>
      </c>
      <c r="H160" s="26"/>
      <c r="I160" s="26"/>
      <c r="J160" s="26"/>
      <c r="K160" s="25"/>
      <c r="L160" s="24" t="s">
        <v>514</v>
      </c>
      <c r="M160" s="27" t="s">
        <v>513</v>
      </c>
    </row>
    <row r="161" spans="1:13" ht="51" x14ac:dyDescent="0.25">
      <c r="A161" s="22" t="s">
        <v>275</v>
      </c>
      <c r="B161" s="23" t="s">
        <v>266</v>
      </c>
      <c r="C161" s="23" t="s">
        <v>93</v>
      </c>
      <c r="D161" s="23" t="s">
        <v>279</v>
      </c>
      <c r="E161" s="24" t="s">
        <v>505</v>
      </c>
      <c r="F161" s="24" t="s">
        <v>418</v>
      </c>
      <c r="G161" s="25" t="s">
        <v>507</v>
      </c>
      <c r="H161" s="26"/>
      <c r="I161" s="26"/>
      <c r="J161" s="26"/>
      <c r="K161" s="25"/>
      <c r="L161" s="24" t="s">
        <v>512</v>
      </c>
      <c r="M161" s="27" t="s">
        <v>529</v>
      </c>
    </row>
    <row r="162" spans="1:13" ht="25.5" x14ac:dyDescent="0.25">
      <c r="A162" s="22" t="s">
        <v>275</v>
      </c>
      <c r="B162" s="23" t="s">
        <v>266</v>
      </c>
      <c r="C162" s="23" t="s">
        <v>24</v>
      </c>
      <c r="D162" s="23" t="s">
        <v>280</v>
      </c>
      <c r="E162" s="24" t="s">
        <v>508</v>
      </c>
      <c r="F162" s="24" t="s">
        <v>282</v>
      </c>
      <c r="G162" s="25" t="s">
        <v>509</v>
      </c>
      <c r="H162" s="26"/>
      <c r="I162" s="26"/>
      <c r="J162" s="26"/>
      <c r="K162" s="25" t="s">
        <v>517</v>
      </c>
      <c r="L162" s="24" t="s">
        <v>514</v>
      </c>
      <c r="M162" s="27" t="s">
        <v>515</v>
      </c>
    </row>
    <row r="163" spans="1:13" ht="63.75" x14ac:dyDescent="0.25">
      <c r="A163" s="22" t="s">
        <v>275</v>
      </c>
      <c r="B163" s="23" t="s">
        <v>266</v>
      </c>
      <c r="C163" s="23" t="s">
        <v>264</v>
      </c>
      <c r="D163" s="23" t="s">
        <v>171</v>
      </c>
      <c r="E163" s="24" t="s">
        <v>289</v>
      </c>
      <c r="F163" s="24" t="s">
        <v>284</v>
      </c>
      <c r="G163" s="25" t="s">
        <v>510</v>
      </c>
      <c r="H163" s="26"/>
      <c r="I163" s="26"/>
      <c r="J163" s="26"/>
      <c r="K163" s="25"/>
      <c r="L163" s="24" t="s">
        <v>514</v>
      </c>
      <c r="M163" s="27" t="s">
        <v>513</v>
      </c>
    </row>
    <row r="164" spans="1:13" ht="38.25" x14ac:dyDescent="0.25">
      <c r="A164" s="22" t="s">
        <v>275</v>
      </c>
      <c r="B164" s="23" t="s">
        <v>266</v>
      </c>
      <c r="C164" s="23" t="s">
        <v>27</v>
      </c>
      <c r="D164" s="23" t="s">
        <v>220</v>
      </c>
      <c r="E164" s="24" t="s">
        <v>405</v>
      </c>
      <c r="F164" s="24" t="s">
        <v>325</v>
      </c>
      <c r="G164" s="25" t="s">
        <v>511</v>
      </c>
      <c r="H164" s="26"/>
      <c r="I164" s="26"/>
      <c r="J164" s="26"/>
      <c r="K164" s="25"/>
      <c r="L164" s="24" t="s">
        <v>514</v>
      </c>
      <c r="M164" s="27" t="s">
        <v>524</v>
      </c>
    </row>
  </sheetData>
  <autoFilter ref="A3:M3" xr:uid="{DF06E129-0A45-4923-96AB-5389F855E71F}"/>
  <sortState xmlns:xlrd2="http://schemas.microsoft.com/office/spreadsheetml/2017/richdata2" ref="A4:M164">
    <sortCondition ref="A4:A164"/>
    <sortCondition ref="B4:B164" customList="Jan,Feb,Mar,Apr,May,Jun,Jul,Aug,Sep,Oct,Nov,Dec"/>
    <sortCondition ref="C4:C164"/>
    <sortCondition ref="D4:D164"/>
  </sortState>
  <phoneticPr fontId="7"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B00E-576E-4D12-A2FA-C77F2E5E1045}">
  <dimension ref="A1:M776"/>
  <sheetViews>
    <sheetView showGridLines="0" zoomScale="90" zoomScaleNormal="90" workbookViewId="0">
      <pane ySplit="3" topLeftCell="A4" activePane="bottomLeft" state="frozen"/>
      <selection pane="bottomLeft"/>
    </sheetView>
  </sheetViews>
  <sheetFormatPr defaultColWidth="9.140625" defaultRowHeight="15" x14ac:dyDescent="0.25"/>
  <cols>
    <col min="1" max="1" width="10.5703125" style="11" customWidth="1"/>
    <col min="2" max="2" width="8.140625" style="11" customWidth="1"/>
    <col min="3" max="3" width="21.42578125" style="10" customWidth="1"/>
    <col min="4" max="5" width="32" style="10" customWidth="1"/>
    <col min="6" max="6" width="27" style="10" customWidth="1"/>
    <col min="7" max="7" width="82.28515625" style="10" customWidth="1"/>
    <col min="8" max="8" width="15.28515625" style="9" bestFit="1" customWidth="1"/>
    <col min="9" max="10" width="10.5703125" style="9" bestFit="1" customWidth="1"/>
    <col min="11" max="11" width="15.42578125" style="10" customWidth="1"/>
    <col min="12" max="12" width="10.5703125" style="11" bestFit="1" customWidth="1"/>
    <col min="13" max="13" width="9.28515625" style="11" bestFit="1" customWidth="1"/>
  </cols>
  <sheetData>
    <row r="1" spans="1:13" x14ac:dyDescent="0.25">
      <c r="A1" s="14" t="s">
        <v>166</v>
      </c>
      <c r="B1" s="15"/>
      <c r="C1" s="16"/>
      <c r="D1" s="15"/>
      <c r="E1" s="15"/>
      <c r="F1" s="16"/>
      <c r="G1" s="16"/>
      <c r="H1" s="17"/>
      <c r="I1" s="17"/>
      <c r="J1" s="17"/>
      <c r="K1" s="15"/>
      <c r="L1" s="15"/>
      <c r="M1" s="15"/>
    </row>
    <row r="2" spans="1:13" x14ac:dyDescent="0.25">
      <c r="A2" s="18" t="s">
        <v>0</v>
      </c>
      <c r="B2" s="19"/>
      <c r="C2" s="20"/>
      <c r="D2" s="19"/>
      <c r="E2" s="19"/>
      <c r="F2" s="20"/>
      <c r="G2" s="20"/>
      <c r="H2" s="21"/>
      <c r="I2" s="21"/>
      <c r="J2" s="21"/>
      <c r="K2" s="19"/>
      <c r="L2" s="19"/>
      <c r="M2" s="19"/>
    </row>
    <row r="3" spans="1:13" ht="38.25" x14ac:dyDescent="0.25">
      <c r="A3" s="62" t="s">
        <v>1</v>
      </c>
      <c r="B3" s="62" t="s">
        <v>2</v>
      </c>
      <c r="C3" s="62" t="s">
        <v>3</v>
      </c>
      <c r="D3" s="62" t="s">
        <v>96</v>
      </c>
      <c r="E3" s="62" t="s">
        <v>4</v>
      </c>
      <c r="F3" s="62" t="s">
        <v>5</v>
      </c>
      <c r="G3" s="62" t="s">
        <v>6</v>
      </c>
      <c r="H3" s="64" t="s">
        <v>7</v>
      </c>
      <c r="I3" s="64" t="s">
        <v>8</v>
      </c>
      <c r="J3" s="64" t="s">
        <v>9</v>
      </c>
      <c r="K3" s="62" t="s">
        <v>10</v>
      </c>
      <c r="L3" s="62" t="s">
        <v>11</v>
      </c>
      <c r="M3" s="62" t="s">
        <v>12</v>
      </c>
    </row>
    <row r="4" spans="1:13" ht="25.5" x14ac:dyDescent="0.25">
      <c r="A4" s="22">
        <v>2026</v>
      </c>
      <c r="B4" s="23" t="s">
        <v>167</v>
      </c>
      <c r="C4" s="23" t="s">
        <v>19</v>
      </c>
      <c r="D4" s="23" t="s">
        <v>196</v>
      </c>
      <c r="E4" s="24" t="s">
        <v>352</v>
      </c>
      <c r="F4" s="24" t="s">
        <v>353</v>
      </c>
      <c r="G4" s="25" t="s">
        <v>895</v>
      </c>
      <c r="H4" s="26">
        <v>0.20649999999999999</v>
      </c>
      <c r="I4" s="26"/>
      <c r="J4" s="26"/>
      <c r="K4" s="25"/>
      <c r="L4" s="24" t="s">
        <v>512</v>
      </c>
      <c r="M4" s="27" t="s">
        <v>513</v>
      </c>
    </row>
    <row r="5" spans="1:13" ht="25.5" x14ac:dyDescent="0.25">
      <c r="A5" s="22">
        <v>2026</v>
      </c>
      <c r="B5" s="23" t="s">
        <v>167</v>
      </c>
      <c r="C5" s="23" t="s">
        <v>19</v>
      </c>
      <c r="D5" s="23" t="s">
        <v>196</v>
      </c>
      <c r="E5" s="24" t="s">
        <v>352</v>
      </c>
      <c r="F5" s="24" t="s">
        <v>353</v>
      </c>
      <c r="G5" s="25" t="s">
        <v>896</v>
      </c>
      <c r="H5" s="26">
        <v>0.20699999999999996</v>
      </c>
      <c r="I5" s="26"/>
      <c r="J5" s="26"/>
      <c r="K5" s="25"/>
      <c r="L5" s="24" t="s">
        <v>512</v>
      </c>
      <c r="M5" s="27" t="s">
        <v>513</v>
      </c>
    </row>
    <row r="6" spans="1:13" ht="25.5" x14ac:dyDescent="0.25">
      <c r="A6" s="22">
        <v>2026</v>
      </c>
      <c r="B6" s="23" t="s">
        <v>167</v>
      </c>
      <c r="C6" s="23" t="s">
        <v>19</v>
      </c>
      <c r="D6" s="23" t="s">
        <v>196</v>
      </c>
      <c r="E6" s="24" t="s">
        <v>352</v>
      </c>
      <c r="F6" s="24" t="s">
        <v>353</v>
      </c>
      <c r="G6" s="25" t="s">
        <v>897</v>
      </c>
      <c r="H6" s="26">
        <v>0.42099999999999999</v>
      </c>
      <c r="I6" s="26"/>
      <c r="J6" s="26"/>
      <c r="K6" s="25"/>
      <c r="L6" s="24" t="s">
        <v>512</v>
      </c>
      <c r="M6" s="27" t="s">
        <v>513</v>
      </c>
    </row>
    <row r="7" spans="1:13" ht="25.5" x14ac:dyDescent="0.25">
      <c r="A7" s="22">
        <v>2026</v>
      </c>
      <c r="B7" s="23" t="s">
        <v>167</v>
      </c>
      <c r="C7" s="23" t="s">
        <v>19</v>
      </c>
      <c r="D7" s="23" t="s">
        <v>196</v>
      </c>
      <c r="E7" s="24" t="s">
        <v>352</v>
      </c>
      <c r="F7" s="24" t="s">
        <v>353</v>
      </c>
      <c r="G7" s="25" t="s">
        <v>898</v>
      </c>
      <c r="H7" s="26">
        <v>0.55080042500000004</v>
      </c>
      <c r="I7" s="26"/>
      <c r="J7" s="26"/>
      <c r="K7" s="25"/>
      <c r="L7" s="24" t="s">
        <v>512</v>
      </c>
      <c r="M7" s="27" t="s">
        <v>513</v>
      </c>
    </row>
    <row r="8" spans="1:13" ht="25.5" x14ac:dyDescent="0.25">
      <c r="A8" s="22">
        <v>2026</v>
      </c>
      <c r="B8" s="23" t="s">
        <v>167</v>
      </c>
      <c r="C8" s="23" t="s">
        <v>19</v>
      </c>
      <c r="D8" s="23" t="s">
        <v>196</v>
      </c>
      <c r="E8" s="24" t="s">
        <v>352</v>
      </c>
      <c r="F8" s="24" t="s">
        <v>353</v>
      </c>
      <c r="G8" s="25" t="s">
        <v>899</v>
      </c>
      <c r="H8" s="26">
        <v>0.739375</v>
      </c>
      <c r="I8" s="26"/>
      <c r="J8" s="26"/>
      <c r="K8" s="25"/>
      <c r="L8" s="24" t="s">
        <v>512</v>
      </c>
      <c r="M8" s="27" t="s">
        <v>513</v>
      </c>
    </row>
    <row r="9" spans="1:13" ht="25.5" x14ac:dyDescent="0.25">
      <c r="A9" s="22">
        <v>2026</v>
      </c>
      <c r="B9" s="23" t="s">
        <v>167</v>
      </c>
      <c r="C9" s="23" t="s">
        <v>19</v>
      </c>
      <c r="D9" s="23" t="s">
        <v>196</v>
      </c>
      <c r="E9" s="24" t="s">
        <v>352</v>
      </c>
      <c r="F9" s="24" t="s">
        <v>353</v>
      </c>
      <c r="G9" s="25" t="s">
        <v>900</v>
      </c>
      <c r="H9" s="26">
        <v>0.75960000000000005</v>
      </c>
      <c r="I9" s="26"/>
      <c r="J9" s="26"/>
      <c r="K9" s="25"/>
      <c r="L9" s="24" t="s">
        <v>512</v>
      </c>
      <c r="M9" s="27" t="s">
        <v>513</v>
      </c>
    </row>
    <row r="10" spans="1:13" ht="25.5" x14ac:dyDescent="0.25">
      <c r="A10" s="22">
        <v>2026</v>
      </c>
      <c r="B10" s="23" t="s">
        <v>167</v>
      </c>
      <c r="C10" s="23" t="s">
        <v>19</v>
      </c>
      <c r="D10" s="23" t="s">
        <v>196</v>
      </c>
      <c r="E10" s="24" t="s">
        <v>352</v>
      </c>
      <c r="F10" s="24" t="s">
        <v>353</v>
      </c>
      <c r="G10" s="25" t="s">
        <v>901</v>
      </c>
      <c r="H10" s="26">
        <v>1.0475000000000001</v>
      </c>
      <c r="I10" s="26"/>
      <c r="J10" s="26"/>
      <c r="K10" s="25"/>
      <c r="L10" s="24" t="s">
        <v>512</v>
      </c>
      <c r="M10" s="27" t="s">
        <v>513</v>
      </c>
    </row>
    <row r="11" spans="1:13" ht="25.5" x14ac:dyDescent="0.25">
      <c r="A11" s="22">
        <v>2026</v>
      </c>
      <c r="B11" s="23" t="s">
        <v>167</v>
      </c>
      <c r="C11" s="23" t="s">
        <v>19</v>
      </c>
      <c r="D11" s="23" t="s">
        <v>902</v>
      </c>
      <c r="E11" s="24" t="s">
        <v>286</v>
      </c>
      <c r="F11" s="24" t="s">
        <v>903</v>
      </c>
      <c r="G11" s="25" t="s">
        <v>904</v>
      </c>
      <c r="H11" s="26">
        <v>0.20572499999999999</v>
      </c>
      <c r="I11" s="26"/>
      <c r="J11" s="26"/>
      <c r="K11" s="25"/>
      <c r="L11" s="24" t="s">
        <v>512</v>
      </c>
      <c r="M11" s="27" t="s">
        <v>513</v>
      </c>
    </row>
    <row r="12" spans="1:13" ht="25.5" x14ac:dyDescent="0.25">
      <c r="A12" s="22">
        <v>2026</v>
      </c>
      <c r="B12" s="23" t="s">
        <v>167</v>
      </c>
      <c r="C12" s="23" t="s">
        <v>19</v>
      </c>
      <c r="D12" s="23" t="s">
        <v>902</v>
      </c>
      <c r="E12" s="24" t="s">
        <v>286</v>
      </c>
      <c r="F12" s="24" t="s">
        <v>903</v>
      </c>
      <c r="G12" s="25" t="s">
        <v>905</v>
      </c>
      <c r="H12" s="26">
        <v>0.40694999999999998</v>
      </c>
      <c r="I12" s="26"/>
      <c r="J12" s="26"/>
      <c r="K12" s="25"/>
      <c r="L12" s="24" t="s">
        <v>512</v>
      </c>
      <c r="M12" s="27" t="s">
        <v>513</v>
      </c>
    </row>
    <row r="13" spans="1:13" ht="25.5" x14ac:dyDescent="0.25">
      <c r="A13" s="22">
        <v>2026</v>
      </c>
      <c r="B13" s="23" t="s">
        <v>167</v>
      </c>
      <c r="C13" s="23" t="s">
        <v>19</v>
      </c>
      <c r="D13" s="23" t="s">
        <v>902</v>
      </c>
      <c r="E13" s="24" t="s">
        <v>286</v>
      </c>
      <c r="F13" s="24" t="s">
        <v>903</v>
      </c>
      <c r="G13" s="25" t="s">
        <v>906</v>
      </c>
      <c r="H13" s="26">
        <v>0.41084999999999999</v>
      </c>
      <c r="I13" s="26"/>
      <c r="J13" s="26"/>
      <c r="K13" s="25"/>
      <c r="L13" s="24" t="s">
        <v>512</v>
      </c>
      <c r="M13" s="27" t="s">
        <v>513</v>
      </c>
    </row>
    <row r="14" spans="1:13" ht="25.5" x14ac:dyDescent="0.25">
      <c r="A14" s="22">
        <v>2026</v>
      </c>
      <c r="B14" s="23" t="s">
        <v>167</v>
      </c>
      <c r="C14" s="23" t="s">
        <v>19</v>
      </c>
      <c r="D14" s="23" t="s">
        <v>170</v>
      </c>
      <c r="E14" s="24" t="s">
        <v>286</v>
      </c>
      <c r="F14" s="24" t="s">
        <v>287</v>
      </c>
      <c r="G14" s="25" t="s">
        <v>907</v>
      </c>
      <c r="H14" s="26">
        <v>7.9650000000000012E-2</v>
      </c>
      <c r="I14" s="26"/>
      <c r="J14" s="26"/>
      <c r="K14" s="25"/>
      <c r="L14" s="24" t="s">
        <v>512</v>
      </c>
      <c r="M14" s="27" t="s">
        <v>513</v>
      </c>
    </row>
    <row r="15" spans="1:13" ht="25.5" x14ac:dyDescent="0.25">
      <c r="A15" s="22">
        <v>2026</v>
      </c>
      <c r="B15" s="23" t="s">
        <v>167</v>
      </c>
      <c r="C15" s="23" t="s">
        <v>19</v>
      </c>
      <c r="D15" s="23" t="s">
        <v>170</v>
      </c>
      <c r="E15" s="24" t="s">
        <v>286</v>
      </c>
      <c r="F15" s="24" t="s">
        <v>287</v>
      </c>
      <c r="G15" s="25" t="s">
        <v>908</v>
      </c>
      <c r="H15" s="26">
        <v>0.35707499999999998</v>
      </c>
      <c r="I15" s="26"/>
      <c r="J15" s="26"/>
      <c r="K15" s="25"/>
      <c r="L15" s="24" t="s">
        <v>512</v>
      </c>
      <c r="M15" s="27" t="s">
        <v>513</v>
      </c>
    </row>
    <row r="16" spans="1:13" ht="25.5" x14ac:dyDescent="0.25">
      <c r="A16" s="22">
        <v>2026</v>
      </c>
      <c r="B16" s="23" t="s">
        <v>167</v>
      </c>
      <c r="C16" s="23" t="s">
        <v>19</v>
      </c>
      <c r="D16" s="23" t="s">
        <v>909</v>
      </c>
      <c r="E16" s="24" t="s">
        <v>569</v>
      </c>
      <c r="F16" s="24" t="s">
        <v>353</v>
      </c>
      <c r="G16" s="25" t="s">
        <v>910</v>
      </c>
      <c r="H16" s="26">
        <v>0.81600000000000017</v>
      </c>
      <c r="I16" s="26"/>
      <c r="J16" s="26"/>
      <c r="K16" s="25"/>
      <c r="L16" s="24" t="s">
        <v>512</v>
      </c>
      <c r="M16" s="27" t="s">
        <v>513</v>
      </c>
    </row>
    <row r="17" spans="1:13" ht="25.5" x14ac:dyDescent="0.25">
      <c r="A17" s="22">
        <v>2026</v>
      </c>
      <c r="B17" s="23" t="s">
        <v>167</v>
      </c>
      <c r="C17" s="23" t="s">
        <v>19</v>
      </c>
      <c r="D17" s="23" t="s">
        <v>909</v>
      </c>
      <c r="E17" s="24" t="s">
        <v>569</v>
      </c>
      <c r="F17" s="24" t="s">
        <v>353</v>
      </c>
      <c r="G17" s="25" t="s">
        <v>911</v>
      </c>
      <c r="H17" s="26">
        <v>1.0026999999999999</v>
      </c>
      <c r="I17" s="26"/>
      <c r="J17" s="26"/>
      <c r="K17" s="25"/>
      <c r="L17" s="24" t="s">
        <v>512</v>
      </c>
      <c r="M17" s="27" t="s">
        <v>513</v>
      </c>
    </row>
    <row r="18" spans="1:13" ht="25.5" x14ac:dyDescent="0.25">
      <c r="A18" s="22">
        <v>2026</v>
      </c>
      <c r="B18" s="23" t="s">
        <v>167</v>
      </c>
      <c r="C18" s="23" t="s">
        <v>19</v>
      </c>
      <c r="D18" s="23" t="s">
        <v>909</v>
      </c>
      <c r="E18" s="24" t="s">
        <v>569</v>
      </c>
      <c r="F18" s="24" t="s">
        <v>353</v>
      </c>
      <c r="G18" s="25" t="s">
        <v>912</v>
      </c>
      <c r="H18" s="26">
        <v>1.6895</v>
      </c>
      <c r="I18" s="26"/>
      <c r="J18" s="26"/>
      <c r="K18" s="25"/>
      <c r="L18" s="24" t="s">
        <v>512</v>
      </c>
      <c r="M18" s="27" t="s">
        <v>513</v>
      </c>
    </row>
    <row r="19" spans="1:13" ht="25.5" x14ac:dyDescent="0.25">
      <c r="A19" s="22">
        <v>2026</v>
      </c>
      <c r="B19" s="23" t="s">
        <v>167</v>
      </c>
      <c r="C19" s="23" t="s">
        <v>19</v>
      </c>
      <c r="D19" s="23" t="s">
        <v>909</v>
      </c>
      <c r="E19" s="24" t="s">
        <v>569</v>
      </c>
      <c r="F19" s="24" t="s">
        <v>353</v>
      </c>
      <c r="G19" s="25" t="s">
        <v>913</v>
      </c>
      <c r="H19" s="26">
        <v>1.7809999999999999</v>
      </c>
      <c r="I19" s="26"/>
      <c r="J19" s="26"/>
      <c r="K19" s="25"/>
      <c r="L19" s="24" t="s">
        <v>512</v>
      </c>
      <c r="M19" s="27" t="s">
        <v>513</v>
      </c>
    </row>
    <row r="20" spans="1:13" ht="25.5" x14ac:dyDescent="0.25">
      <c r="A20" s="22">
        <v>2026</v>
      </c>
      <c r="B20" s="23" t="s">
        <v>167</v>
      </c>
      <c r="C20" s="23" t="s">
        <v>19</v>
      </c>
      <c r="D20" s="23" t="s">
        <v>909</v>
      </c>
      <c r="E20" s="24" t="s">
        <v>569</v>
      </c>
      <c r="F20" s="24" t="s">
        <v>353</v>
      </c>
      <c r="G20" s="25" t="s">
        <v>914</v>
      </c>
      <c r="H20" s="26">
        <v>8.8852499999999992</v>
      </c>
      <c r="I20" s="26"/>
      <c r="J20" s="26"/>
      <c r="K20" s="25"/>
      <c r="L20" s="24" t="s">
        <v>512</v>
      </c>
      <c r="M20" s="27" t="s">
        <v>513</v>
      </c>
    </row>
    <row r="21" spans="1:13" ht="25.5" x14ac:dyDescent="0.25">
      <c r="A21" s="22">
        <v>2026</v>
      </c>
      <c r="B21" s="23" t="s">
        <v>167</v>
      </c>
      <c r="C21" s="23" t="s">
        <v>19</v>
      </c>
      <c r="D21" s="23" t="s">
        <v>915</v>
      </c>
      <c r="E21" s="24" t="s">
        <v>491</v>
      </c>
      <c r="F21" s="24" t="s">
        <v>319</v>
      </c>
      <c r="G21" s="25" t="s">
        <v>916</v>
      </c>
      <c r="H21" s="26">
        <v>0.25600000000000001</v>
      </c>
      <c r="I21" s="26"/>
      <c r="J21" s="26"/>
      <c r="K21" s="25"/>
      <c r="L21" s="24" t="s">
        <v>521</v>
      </c>
      <c r="M21" s="27" t="s">
        <v>513</v>
      </c>
    </row>
    <row r="22" spans="1:13" ht="25.5" x14ac:dyDescent="0.25">
      <c r="A22" s="22">
        <v>2026</v>
      </c>
      <c r="B22" s="23" t="s">
        <v>167</v>
      </c>
      <c r="C22" s="23" t="s">
        <v>19</v>
      </c>
      <c r="D22" s="23" t="s">
        <v>915</v>
      </c>
      <c r="E22" s="24" t="s">
        <v>491</v>
      </c>
      <c r="F22" s="24" t="s">
        <v>319</v>
      </c>
      <c r="G22" s="25" t="s">
        <v>917</v>
      </c>
      <c r="H22" s="26">
        <v>0.25700000000000001</v>
      </c>
      <c r="I22" s="26"/>
      <c r="J22" s="26"/>
      <c r="K22" s="25"/>
      <c r="L22" s="24" t="s">
        <v>521</v>
      </c>
      <c r="M22" s="27" t="s">
        <v>513</v>
      </c>
    </row>
    <row r="23" spans="1:13" ht="25.5" x14ac:dyDescent="0.25">
      <c r="A23" s="22">
        <v>2026</v>
      </c>
      <c r="B23" s="23" t="s">
        <v>167</v>
      </c>
      <c r="C23" s="23" t="s">
        <v>19</v>
      </c>
      <c r="D23" s="23" t="s">
        <v>915</v>
      </c>
      <c r="E23" s="24" t="s">
        <v>491</v>
      </c>
      <c r="F23" s="24" t="s">
        <v>319</v>
      </c>
      <c r="G23" s="25" t="s">
        <v>918</v>
      </c>
      <c r="H23" s="26">
        <v>0.51300000000000001</v>
      </c>
      <c r="I23" s="26"/>
      <c r="J23" s="26"/>
      <c r="K23" s="25"/>
      <c r="L23" s="24" t="s">
        <v>521</v>
      </c>
      <c r="M23" s="27" t="s">
        <v>513</v>
      </c>
    </row>
    <row r="24" spans="1:13" ht="25.5" x14ac:dyDescent="0.25">
      <c r="A24" s="22">
        <v>2026</v>
      </c>
      <c r="B24" s="23" t="s">
        <v>167</v>
      </c>
      <c r="C24" s="23" t="s">
        <v>19</v>
      </c>
      <c r="D24" s="23" t="s">
        <v>915</v>
      </c>
      <c r="E24" s="24" t="s">
        <v>491</v>
      </c>
      <c r="F24" s="24" t="s">
        <v>319</v>
      </c>
      <c r="G24" s="25" t="s">
        <v>919</v>
      </c>
      <c r="H24" s="26">
        <v>0.64249999999999996</v>
      </c>
      <c r="I24" s="26"/>
      <c r="J24" s="26"/>
      <c r="K24" s="25"/>
      <c r="L24" s="24" t="s">
        <v>521</v>
      </c>
      <c r="M24" s="27" t="s">
        <v>513</v>
      </c>
    </row>
    <row r="25" spans="1:13" ht="25.5" x14ac:dyDescent="0.25">
      <c r="A25" s="22">
        <v>2026</v>
      </c>
      <c r="B25" s="23" t="s">
        <v>167</v>
      </c>
      <c r="C25" s="23" t="s">
        <v>19</v>
      </c>
      <c r="D25" s="23" t="s">
        <v>915</v>
      </c>
      <c r="E25" s="24" t="s">
        <v>491</v>
      </c>
      <c r="F25" s="24" t="s">
        <v>319</v>
      </c>
      <c r="G25" s="25" t="s">
        <v>920</v>
      </c>
      <c r="H25" s="26">
        <v>0.89249999999999996</v>
      </c>
      <c r="I25" s="26"/>
      <c r="J25" s="26"/>
      <c r="K25" s="25"/>
      <c r="L25" s="24" t="s">
        <v>521</v>
      </c>
      <c r="M25" s="27" t="s">
        <v>513</v>
      </c>
    </row>
    <row r="26" spans="1:13" ht="25.5" x14ac:dyDescent="0.25">
      <c r="A26" s="22">
        <v>2026</v>
      </c>
      <c r="B26" s="23" t="s">
        <v>167</v>
      </c>
      <c r="C26" s="23" t="s">
        <v>19</v>
      </c>
      <c r="D26" s="23" t="s">
        <v>915</v>
      </c>
      <c r="E26" s="24" t="s">
        <v>491</v>
      </c>
      <c r="F26" s="24" t="s">
        <v>319</v>
      </c>
      <c r="G26" s="25" t="s">
        <v>921</v>
      </c>
      <c r="H26" s="26">
        <v>1.024</v>
      </c>
      <c r="I26" s="26"/>
      <c r="J26" s="26"/>
      <c r="K26" s="25"/>
      <c r="L26" s="24" t="s">
        <v>521</v>
      </c>
      <c r="M26" s="27" t="s">
        <v>513</v>
      </c>
    </row>
    <row r="27" spans="1:13" ht="25.5" x14ac:dyDescent="0.25">
      <c r="A27" s="22">
        <v>2026</v>
      </c>
      <c r="B27" s="23" t="s">
        <v>167</v>
      </c>
      <c r="C27" s="23" t="s">
        <v>19</v>
      </c>
      <c r="D27" s="23" t="s">
        <v>922</v>
      </c>
      <c r="E27" s="24" t="s">
        <v>923</v>
      </c>
      <c r="F27" s="24" t="s">
        <v>325</v>
      </c>
      <c r="G27" s="25" t="s">
        <v>924</v>
      </c>
      <c r="H27" s="26">
        <v>0.15662499999999999</v>
      </c>
      <c r="I27" s="26"/>
      <c r="J27" s="26"/>
      <c r="K27" s="25"/>
      <c r="L27" s="24" t="s">
        <v>512</v>
      </c>
      <c r="M27" s="27" t="s">
        <v>513</v>
      </c>
    </row>
    <row r="28" spans="1:13" ht="25.5" x14ac:dyDescent="0.25">
      <c r="A28" s="22">
        <v>2026</v>
      </c>
      <c r="B28" s="23" t="s">
        <v>167</v>
      </c>
      <c r="C28" s="23" t="s">
        <v>19</v>
      </c>
      <c r="D28" s="23" t="s">
        <v>922</v>
      </c>
      <c r="E28" s="24" t="s">
        <v>923</v>
      </c>
      <c r="F28" s="24" t="s">
        <v>325</v>
      </c>
      <c r="G28" s="25" t="s">
        <v>925</v>
      </c>
      <c r="H28" s="26">
        <v>0.15675</v>
      </c>
      <c r="I28" s="26"/>
      <c r="J28" s="26"/>
      <c r="K28" s="25"/>
      <c r="L28" s="24" t="s">
        <v>512</v>
      </c>
      <c r="M28" s="27" t="s">
        <v>513</v>
      </c>
    </row>
    <row r="29" spans="1:13" ht="25.5" x14ac:dyDescent="0.25">
      <c r="A29" s="22">
        <v>2026</v>
      </c>
      <c r="B29" s="23" t="s">
        <v>167</v>
      </c>
      <c r="C29" s="23" t="s">
        <v>19</v>
      </c>
      <c r="D29" s="23" t="s">
        <v>922</v>
      </c>
      <c r="E29" s="24" t="s">
        <v>923</v>
      </c>
      <c r="F29" s="24" t="s">
        <v>325</v>
      </c>
      <c r="G29" s="25" t="s">
        <v>926</v>
      </c>
      <c r="H29" s="26">
        <v>0.23624999999999999</v>
      </c>
      <c r="I29" s="26"/>
      <c r="J29" s="26"/>
      <c r="K29" s="25"/>
      <c r="L29" s="24" t="s">
        <v>512</v>
      </c>
      <c r="M29" s="27" t="s">
        <v>513</v>
      </c>
    </row>
    <row r="30" spans="1:13" ht="25.5" x14ac:dyDescent="0.25">
      <c r="A30" s="22">
        <v>2026</v>
      </c>
      <c r="B30" s="23" t="s">
        <v>167</v>
      </c>
      <c r="C30" s="23" t="s">
        <v>19</v>
      </c>
      <c r="D30" s="23" t="s">
        <v>927</v>
      </c>
      <c r="E30" s="24" t="s">
        <v>923</v>
      </c>
      <c r="F30" s="24" t="s">
        <v>325</v>
      </c>
      <c r="G30" s="25" t="s">
        <v>928</v>
      </c>
      <c r="H30" s="26">
        <v>0.12775</v>
      </c>
      <c r="I30" s="26"/>
      <c r="J30" s="26"/>
      <c r="K30" s="25"/>
      <c r="L30" s="24" t="s">
        <v>512</v>
      </c>
      <c r="M30" s="27" t="s">
        <v>513</v>
      </c>
    </row>
    <row r="31" spans="1:13" ht="25.5" x14ac:dyDescent="0.25">
      <c r="A31" s="22">
        <v>2026</v>
      </c>
      <c r="B31" s="23" t="s">
        <v>167</v>
      </c>
      <c r="C31" s="23" t="s">
        <v>19</v>
      </c>
      <c r="D31" s="23" t="s">
        <v>927</v>
      </c>
      <c r="E31" s="24" t="s">
        <v>923</v>
      </c>
      <c r="F31" s="24" t="s">
        <v>325</v>
      </c>
      <c r="G31" s="25" t="s">
        <v>929</v>
      </c>
      <c r="H31" s="26">
        <v>0.1575</v>
      </c>
      <c r="I31" s="26"/>
      <c r="J31" s="26"/>
      <c r="K31" s="25"/>
      <c r="L31" s="24" t="s">
        <v>512</v>
      </c>
      <c r="M31" s="27" t="s">
        <v>513</v>
      </c>
    </row>
    <row r="32" spans="1:13" ht="25.5" x14ac:dyDescent="0.25">
      <c r="A32" s="22">
        <v>2026</v>
      </c>
      <c r="B32" s="23" t="s">
        <v>167</v>
      </c>
      <c r="C32" s="23" t="s">
        <v>19</v>
      </c>
      <c r="D32" s="23" t="s">
        <v>927</v>
      </c>
      <c r="E32" s="24" t="s">
        <v>923</v>
      </c>
      <c r="F32" s="24" t="s">
        <v>325</v>
      </c>
      <c r="G32" s="25" t="s">
        <v>930</v>
      </c>
      <c r="H32" s="26">
        <v>0.312</v>
      </c>
      <c r="I32" s="26"/>
      <c r="J32" s="26"/>
      <c r="K32" s="25"/>
      <c r="L32" s="24" t="s">
        <v>512</v>
      </c>
      <c r="M32" s="27" t="s">
        <v>513</v>
      </c>
    </row>
    <row r="33" spans="1:13" ht="25.5" x14ac:dyDescent="0.25">
      <c r="A33" s="22">
        <v>2026</v>
      </c>
      <c r="B33" s="23" t="s">
        <v>167</v>
      </c>
      <c r="C33" s="23" t="s">
        <v>19</v>
      </c>
      <c r="D33" s="23" t="s">
        <v>927</v>
      </c>
      <c r="E33" s="24" t="s">
        <v>923</v>
      </c>
      <c r="F33" s="24" t="s">
        <v>325</v>
      </c>
      <c r="G33" s="25" t="s">
        <v>931</v>
      </c>
      <c r="H33" s="26">
        <v>0.32124999999999998</v>
      </c>
      <c r="I33" s="26"/>
      <c r="J33" s="26"/>
      <c r="K33" s="25"/>
      <c r="L33" s="24" t="s">
        <v>512</v>
      </c>
      <c r="M33" s="27" t="s">
        <v>513</v>
      </c>
    </row>
    <row r="34" spans="1:13" ht="25.5" x14ac:dyDescent="0.25">
      <c r="A34" s="22">
        <v>2026</v>
      </c>
      <c r="B34" s="23" t="s">
        <v>167</v>
      </c>
      <c r="C34" s="23" t="s">
        <v>19</v>
      </c>
      <c r="D34" s="23" t="s">
        <v>927</v>
      </c>
      <c r="E34" s="24" t="s">
        <v>923</v>
      </c>
      <c r="F34" s="24" t="s">
        <v>325</v>
      </c>
      <c r="G34" s="25" t="s">
        <v>932</v>
      </c>
      <c r="H34" s="26">
        <v>0.63875000000000004</v>
      </c>
      <c r="I34" s="26"/>
      <c r="J34" s="26"/>
      <c r="K34" s="25"/>
      <c r="L34" s="24" t="s">
        <v>512</v>
      </c>
      <c r="M34" s="27" t="s">
        <v>513</v>
      </c>
    </row>
    <row r="35" spans="1:13" ht="25.5" x14ac:dyDescent="0.25">
      <c r="A35" s="22">
        <v>2026</v>
      </c>
      <c r="B35" s="23" t="s">
        <v>167</v>
      </c>
      <c r="C35" s="23" t="s">
        <v>19</v>
      </c>
      <c r="D35" s="23" t="s">
        <v>933</v>
      </c>
      <c r="E35" s="24" t="s">
        <v>934</v>
      </c>
      <c r="F35" s="24" t="s">
        <v>301</v>
      </c>
      <c r="G35" s="25" t="s">
        <v>935</v>
      </c>
      <c r="H35" s="26">
        <v>0.42399999999999999</v>
      </c>
      <c r="I35" s="26"/>
      <c r="J35" s="26"/>
      <c r="K35" s="25"/>
      <c r="L35" s="24" t="s">
        <v>521</v>
      </c>
      <c r="M35" s="27" t="s">
        <v>515</v>
      </c>
    </row>
    <row r="36" spans="1:13" ht="25.5" x14ac:dyDescent="0.25">
      <c r="A36" s="22">
        <v>2026</v>
      </c>
      <c r="B36" s="23" t="s">
        <v>167</v>
      </c>
      <c r="C36" s="23" t="s">
        <v>19</v>
      </c>
      <c r="D36" s="23" t="s">
        <v>936</v>
      </c>
      <c r="E36" s="24" t="s">
        <v>569</v>
      </c>
      <c r="F36" s="24" t="s">
        <v>937</v>
      </c>
      <c r="G36" s="25" t="s">
        <v>938</v>
      </c>
      <c r="H36" s="26">
        <v>0.2465</v>
      </c>
      <c r="I36" s="26"/>
      <c r="J36" s="26"/>
      <c r="K36" s="25"/>
      <c r="L36" s="24" t="s">
        <v>521</v>
      </c>
      <c r="M36" s="27" t="s">
        <v>526</v>
      </c>
    </row>
    <row r="37" spans="1:13" ht="25.5" x14ac:dyDescent="0.25">
      <c r="A37" s="22">
        <v>2026</v>
      </c>
      <c r="B37" s="23" t="s">
        <v>167</v>
      </c>
      <c r="C37" s="23" t="s">
        <v>19</v>
      </c>
      <c r="D37" s="23" t="s">
        <v>936</v>
      </c>
      <c r="E37" s="24" t="s">
        <v>569</v>
      </c>
      <c r="F37" s="24" t="s">
        <v>937</v>
      </c>
      <c r="G37" s="25" t="s">
        <v>939</v>
      </c>
      <c r="H37" s="26">
        <v>0.253</v>
      </c>
      <c r="I37" s="26"/>
      <c r="J37" s="26"/>
      <c r="K37" s="25"/>
      <c r="L37" s="24" t="s">
        <v>521</v>
      </c>
      <c r="M37" s="27" t="s">
        <v>526</v>
      </c>
    </row>
    <row r="38" spans="1:13" ht="25.5" x14ac:dyDescent="0.25">
      <c r="A38" s="22">
        <v>2026</v>
      </c>
      <c r="B38" s="23" t="s">
        <v>167</v>
      </c>
      <c r="C38" s="23" t="s">
        <v>19</v>
      </c>
      <c r="D38" s="23" t="s">
        <v>936</v>
      </c>
      <c r="E38" s="24" t="s">
        <v>569</v>
      </c>
      <c r="F38" s="24" t="s">
        <v>937</v>
      </c>
      <c r="G38" s="25" t="s">
        <v>940</v>
      </c>
      <c r="H38" s="26">
        <v>0.33142500000000003</v>
      </c>
      <c r="I38" s="26"/>
      <c r="J38" s="26"/>
      <c r="K38" s="25"/>
      <c r="L38" s="24" t="s">
        <v>521</v>
      </c>
      <c r="M38" s="27" t="s">
        <v>526</v>
      </c>
    </row>
    <row r="39" spans="1:13" ht="25.5" x14ac:dyDescent="0.25">
      <c r="A39" s="22">
        <v>2026</v>
      </c>
      <c r="B39" s="23" t="s">
        <v>167</v>
      </c>
      <c r="C39" s="23" t="s">
        <v>19</v>
      </c>
      <c r="D39" s="23" t="s">
        <v>936</v>
      </c>
      <c r="E39" s="24" t="s">
        <v>569</v>
      </c>
      <c r="F39" s="24" t="s">
        <v>937</v>
      </c>
      <c r="G39" s="25" t="s">
        <v>941</v>
      </c>
      <c r="H39" s="26">
        <v>0.49</v>
      </c>
      <c r="I39" s="26"/>
      <c r="J39" s="26"/>
      <c r="K39" s="25"/>
      <c r="L39" s="24" t="s">
        <v>521</v>
      </c>
      <c r="M39" s="27" t="s">
        <v>526</v>
      </c>
    </row>
    <row r="40" spans="1:13" ht="25.5" x14ac:dyDescent="0.25">
      <c r="A40" s="22">
        <v>2026</v>
      </c>
      <c r="B40" s="23" t="s">
        <v>167</v>
      </c>
      <c r="C40" s="23" t="s">
        <v>19</v>
      </c>
      <c r="D40" s="23" t="s">
        <v>936</v>
      </c>
      <c r="E40" s="24" t="s">
        <v>569</v>
      </c>
      <c r="F40" s="24" t="s">
        <v>937</v>
      </c>
      <c r="G40" s="25" t="s">
        <v>942</v>
      </c>
      <c r="H40" s="26">
        <v>0.53129999999999999</v>
      </c>
      <c r="I40" s="26"/>
      <c r="J40" s="26"/>
      <c r="K40" s="25"/>
      <c r="L40" s="24" t="s">
        <v>521</v>
      </c>
      <c r="M40" s="27" t="s">
        <v>526</v>
      </c>
    </row>
    <row r="41" spans="1:13" ht="25.5" x14ac:dyDescent="0.25">
      <c r="A41" s="22">
        <v>2026</v>
      </c>
      <c r="B41" s="23" t="s">
        <v>167</v>
      </c>
      <c r="C41" s="23" t="s">
        <v>19</v>
      </c>
      <c r="D41" s="23" t="s">
        <v>936</v>
      </c>
      <c r="E41" s="24" t="s">
        <v>569</v>
      </c>
      <c r="F41" s="24" t="s">
        <v>937</v>
      </c>
      <c r="G41" s="25" t="s">
        <v>943</v>
      </c>
      <c r="H41" s="26">
        <v>0.58074999999999999</v>
      </c>
      <c r="I41" s="26"/>
      <c r="J41" s="26"/>
      <c r="K41" s="25"/>
      <c r="L41" s="24" t="s">
        <v>521</v>
      </c>
      <c r="M41" s="27" t="s">
        <v>526</v>
      </c>
    </row>
    <row r="42" spans="1:13" ht="25.5" x14ac:dyDescent="0.25">
      <c r="A42" s="22">
        <v>2026</v>
      </c>
      <c r="B42" s="23" t="s">
        <v>167</v>
      </c>
      <c r="C42" s="23" t="s">
        <v>19</v>
      </c>
      <c r="D42" s="23" t="s">
        <v>936</v>
      </c>
      <c r="E42" s="24" t="s">
        <v>569</v>
      </c>
      <c r="F42" s="24" t="s">
        <v>937</v>
      </c>
      <c r="G42" s="25" t="s">
        <v>944</v>
      </c>
      <c r="H42" s="26">
        <v>0.61250000000000004</v>
      </c>
      <c r="I42" s="26"/>
      <c r="J42" s="26"/>
      <c r="K42" s="25"/>
      <c r="L42" s="24" t="s">
        <v>521</v>
      </c>
      <c r="M42" s="27" t="s">
        <v>526</v>
      </c>
    </row>
    <row r="43" spans="1:13" ht="25.5" x14ac:dyDescent="0.25">
      <c r="A43" s="22">
        <v>2026</v>
      </c>
      <c r="B43" s="23" t="s">
        <v>167</v>
      </c>
      <c r="C43" s="23" t="s">
        <v>19</v>
      </c>
      <c r="D43" s="23" t="s">
        <v>936</v>
      </c>
      <c r="E43" s="24" t="s">
        <v>569</v>
      </c>
      <c r="F43" s="24" t="s">
        <v>937</v>
      </c>
      <c r="G43" s="25" t="s">
        <v>945</v>
      </c>
      <c r="H43" s="26">
        <v>0.80320000000000003</v>
      </c>
      <c r="I43" s="26"/>
      <c r="J43" s="26"/>
      <c r="K43" s="25"/>
      <c r="L43" s="24" t="s">
        <v>521</v>
      </c>
      <c r="M43" s="27" t="s">
        <v>526</v>
      </c>
    </row>
    <row r="44" spans="1:13" ht="25.5" x14ac:dyDescent="0.25">
      <c r="A44" s="22">
        <v>2026</v>
      </c>
      <c r="B44" s="23" t="s">
        <v>167</v>
      </c>
      <c r="C44" s="23" t="s">
        <v>19</v>
      </c>
      <c r="D44" s="23" t="s">
        <v>936</v>
      </c>
      <c r="E44" s="24" t="s">
        <v>569</v>
      </c>
      <c r="F44" s="24" t="s">
        <v>937</v>
      </c>
      <c r="G44" s="25" t="s">
        <v>946</v>
      </c>
      <c r="H44" s="26">
        <v>1.0004</v>
      </c>
      <c r="I44" s="26"/>
      <c r="J44" s="26"/>
      <c r="K44" s="25"/>
      <c r="L44" s="24" t="s">
        <v>521</v>
      </c>
      <c r="M44" s="27" t="s">
        <v>526</v>
      </c>
    </row>
    <row r="45" spans="1:13" ht="25.5" x14ac:dyDescent="0.25">
      <c r="A45" s="22">
        <v>2026</v>
      </c>
      <c r="B45" s="23" t="s">
        <v>167</v>
      </c>
      <c r="C45" s="23" t="s">
        <v>19</v>
      </c>
      <c r="D45" s="23" t="s">
        <v>936</v>
      </c>
      <c r="E45" s="24" t="s">
        <v>569</v>
      </c>
      <c r="F45" s="24" t="s">
        <v>937</v>
      </c>
      <c r="G45" s="25" t="s">
        <v>947</v>
      </c>
      <c r="H45" s="26">
        <v>1.0395000000000001</v>
      </c>
      <c r="I45" s="26"/>
      <c r="J45" s="26"/>
      <c r="K45" s="25"/>
      <c r="L45" s="24" t="s">
        <v>521</v>
      </c>
      <c r="M45" s="27" t="s">
        <v>526</v>
      </c>
    </row>
    <row r="46" spans="1:13" ht="25.5" x14ac:dyDescent="0.25">
      <c r="A46" s="22">
        <v>2026</v>
      </c>
      <c r="B46" s="23" t="s">
        <v>167</v>
      </c>
      <c r="C46" s="23" t="s">
        <v>19</v>
      </c>
      <c r="D46" s="23" t="s">
        <v>936</v>
      </c>
      <c r="E46" s="24" t="s">
        <v>569</v>
      </c>
      <c r="F46" s="24" t="s">
        <v>937</v>
      </c>
      <c r="G46" s="25" t="s">
        <v>948</v>
      </c>
      <c r="H46" s="26">
        <v>1.1114250000000001</v>
      </c>
      <c r="I46" s="26"/>
      <c r="J46" s="26"/>
      <c r="K46" s="25"/>
      <c r="L46" s="24" t="s">
        <v>521</v>
      </c>
      <c r="M46" s="27" t="s">
        <v>526</v>
      </c>
    </row>
    <row r="47" spans="1:13" ht="25.5" x14ac:dyDescent="0.25">
      <c r="A47" s="22">
        <v>2026</v>
      </c>
      <c r="B47" s="23" t="s">
        <v>167</v>
      </c>
      <c r="C47" s="23" t="s">
        <v>19</v>
      </c>
      <c r="D47" s="23" t="s">
        <v>936</v>
      </c>
      <c r="E47" s="24" t="s">
        <v>569</v>
      </c>
      <c r="F47" s="24" t="s">
        <v>937</v>
      </c>
      <c r="G47" s="25" t="s">
        <v>949</v>
      </c>
      <c r="H47" s="26">
        <v>1.2758624999999999</v>
      </c>
      <c r="I47" s="26"/>
      <c r="J47" s="26"/>
      <c r="K47" s="25"/>
      <c r="L47" s="24" t="s">
        <v>521</v>
      </c>
      <c r="M47" s="27" t="s">
        <v>526</v>
      </c>
    </row>
    <row r="48" spans="1:13" ht="25.5" x14ac:dyDescent="0.25">
      <c r="A48" s="22">
        <v>2026</v>
      </c>
      <c r="B48" s="23" t="s">
        <v>167</v>
      </c>
      <c r="C48" s="23" t="s">
        <v>19</v>
      </c>
      <c r="D48" s="23" t="s">
        <v>936</v>
      </c>
      <c r="E48" s="24" t="s">
        <v>569</v>
      </c>
      <c r="F48" s="24" t="s">
        <v>937</v>
      </c>
      <c r="G48" s="25" t="s">
        <v>950</v>
      </c>
      <c r="H48" s="26">
        <v>1.2902750000000001</v>
      </c>
      <c r="I48" s="26"/>
      <c r="J48" s="26"/>
      <c r="K48" s="25"/>
      <c r="L48" s="24" t="s">
        <v>521</v>
      </c>
      <c r="M48" s="27" t="s">
        <v>526</v>
      </c>
    </row>
    <row r="49" spans="1:13" ht="25.5" x14ac:dyDescent="0.25">
      <c r="A49" s="22">
        <v>2026</v>
      </c>
      <c r="B49" s="23" t="s">
        <v>167</v>
      </c>
      <c r="C49" s="23" t="s">
        <v>19</v>
      </c>
      <c r="D49" s="23" t="s">
        <v>936</v>
      </c>
      <c r="E49" s="24" t="s">
        <v>569</v>
      </c>
      <c r="F49" s="24" t="s">
        <v>937</v>
      </c>
      <c r="G49" s="25" t="s">
        <v>951</v>
      </c>
      <c r="H49" s="26">
        <v>2.6669999999999998</v>
      </c>
      <c r="I49" s="26"/>
      <c r="J49" s="26"/>
      <c r="K49" s="25"/>
      <c r="L49" s="24" t="s">
        <v>521</v>
      </c>
      <c r="M49" s="27" t="s">
        <v>526</v>
      </c>
    </row>
    <row r="50" spans="1:13" ht="25.5" x14ac:dyDescent="0.25">
      <c r="A50" s="22">
        <v>2026</v>
      </c>
      <c r="B50" s="23" t="s">
        <v>167</v>
      </c>
      <c r="C50" s="23" t="s">
        <v>19</v>
      </c>
      <c r="D50" s="23" t="s">
        <v>952</v>
      </c>
      <c r="E50" s="24" t="s">
        <v>334</v>
      </c>
      <c r="F50" s="24" t="s">
        <v>319</v>
      </c>
      <c r="G50" s="25" t="s">
        <v>953</v>
      </c>
      <c r="H50" s="26">
        <v>0.17349999999999999</v>
      </c>
      <c r="I50" s="26"/>
      <c r="J50" s="26"/>
      <c r="K50" s="25"/>
      <c r="L50" s="24" t="s">
        <v>521</v>
      </c>
      <c r="M50" s="27" t="s">
        <v>513</v>
      </c>
    </row>
    <row r="51" spans="1:13" ht="25.5" x14ac:dyDescent="0.25">
      <c r="A51" s="22">
        <v>2026</v>
      </c>
      <c r="B51" s="23" t="s">
        <v>167</v>
      </c>
      <c r="C51" s="23" t="s">
        <v>19</v>
      </c>
      <c r="D51" s="23" t="s">
        <v>952</v>
      </c>
      <c r="E51" s="24" t="s">
        <v>334</v>
      </c>
      <c r="F51" s="24" t="s">
        <v>319</v>
      </c>
      <c r="G51" s="25" t="s">
        <v>954</v>
      </c>
      <c r="H51" s="26">
        <v>0.17396</v>
      </c>
      <c r="I51" s="26"/>
      <c r="J51" s="26"/>
      <c r="K51" s="25"/>
      <c r="L51" s="24" t="s">
        <v>521</v>
      </c>
      <c r="M51" s="27" t="s">
        <v>513</v>
      </c>
    </row>
    <row r="52" spans="1:13" ht="25.5" x14ac:dyDescent="0.25">
      <c r="A52" s="22">
        <v>2026</v>
      </c>
      <c r="B52" s="23" t="s">
        <v>167</v>
      </c>
      <c r="C52" s="23" t="s">
        <v>19</v>
      </c>
      <c r="D52" s="23" t="s">
        <v>952</v>
      </c>
      <c r="E52" s="24" t="s">
        <v>334</v>
      </c>
      <c r="F52" s="24" t="s">
        <v>319</v>
      </c>
      <c r="G52" s="25" t="s">
        <v>955</v>
      </c>
      <c r="H52" s="26">
        <v>0.19712499999999999</v>
      </c>
      <c r="I52" s="26"/>
      <c r="J52" s="26"/>
      <c r="K52" s="25"/>
      <c r="L52" s="24" t="s">
        <v>521</v>
      </c>
      <c r="M52" s="27" t="s">
        <v>513</v>
      </c>
    </row>
    <row r="53" spans="1:13" ht="25.5" x14ac:dyDescent="0.25">
      <c r="A53" s="22">
        <v>2026</v>
      </c>
      <c r="B53" s="23" t="s">
        <v>167</v>
      </c>
      <c r="C53" s="23" t="s">
        <v>19</v>
      </c>
      <c r="D53" s="23" t="s">
        <v>952</v>
      </c>
      <c r="E53" s="24" t="s">
        <v>334</v>
      </c>
      <c r="F53" s="24" t="s">
        <v>319</v>
      </c>
      <c r="G53" s="25" t="s">
        <v>956</v>
      </c>
      <c r="H53" s="26">
        <v>0.21729999999999999</v>
      </c>
      <c r="I53" s="26"/>
      <c r="J53" s="26"/>
      <c r="K53" s="25"/>
      <c r="L53" s="24" t="s">
        <v>521</v>
      </c>
      <c r="M53" s="27" t="s">
        <v>513</v>
      </c>
    </row>
    <row r="54" spans="1:13" ht="25.5" x14ac:dyDescent="0.25">
      <c r="A54" s="22">
        <v>2026</v>
      </c>
      <c r="B54" s="23" t="s">
        <v>167</v>
      </c>
      <c r="C54" s="23" t="s">
        <v>19</v>
      </c>
      <c r="D54" s="23" t="s">
        <v>952</v>
      </c>
      <c r="E54" s="24" t="s">
        <v>334</v>
      </c>
      <c r="F54" s="24" t="s">
        <v>319</v>
      </c>
      <c r="G54" s="25" t="s">
        <v>957</v>
      </c>
      <c r="H54" s="26">
        <v>0.26024999999999998</v>
      </c>
      <c r="I54" s="26"/>
      <c r="J54" s="26"/>
      <c r="K54" s="25"/>
      <c r="L54" s="24" t="s">
        <v>521</v>
      </c>
      <c r="M54" s="27" t="s">
        <v>513</v>
      </c>
    </row>
    <row r="55" spans="1:13" ht="25.5" x14ac:dyDescent="0.25">
      <c r="A55" s="22">
        <v>2026</v>
      </c>
      <c r="B55" s="23" t="s">
        <v>167</v>
      </c>
      <c r="C55" s="23" t="s">
        <v>19</v>
      </c>
      <c r="D55" s="23" t="s">
        <v>952</v>
      </c>
      <c r="E55" s="24" t="s">
        <v>334</v>
      </c>
      <c r="F55" s="24" t="s">
        <v>319</v>
      </c>
      <c r="G55" s="25" t="s">
        <v>958</v>
      </c>
      <c r="H55" s="26">
        <v>0.34733999999999998</v>
      </c>
      <c r="I55" s="26"/>
      <c r="J55" s="26"/>
      <c r="K55" s="25"/>
      <c r="L55" s="24" t="s">
        <v>521</v>
      </c>
      <c r="M55" s="27" t="s">
        <v>513</v>
      </c>
    </row>
    <row r="56" spans="1:13" ht="25.5" x14ac:dyDescent="0.25">
      <c r="A56" s="22">
        <v>2026</v>
      </c>
      <c r="B56" s="23" t="s">
        <v>167</v>
      </c>
      <c r="C56" s="23" t="s">
        <v>19</v>
      </c>
      <c r="D56" s="23" t="s">
        <v>952</v>
      </c>
      <c r="E56" s="24" t="s">
        <v>334</v>
      </c>
      <c r="F56" s="24" t="s">
        <v>319</v>
      </c>
      <c r="G56" s="25" t="s">
        <v>959</v>
      </c>
      <c r="H56" s="26">
        <v>0.44</v>
      </c>
      <c r="I56" s="26"/>
      <c r="J56" s="26"/>
      <c r="K56" s="25"/>
      <c r="L56" s="24" t="s">
        <v>521</v>
      </c>
      <c r="M56" s="27" t="s">
        <v>513</v>
      </c>
    </row>
    <row r="57" spans="1:13" ht="25.5" x14ac:dyDescent="0.25">
      <c r="A57" s="22">
        <v>2026</v>
      </c>
      <c r="B57" s="23" t="s">
        <v>167</v>
      </c>
      <c r="C57" s="23" t="s">
        <v>19</v>
      </c>
      <c r="D57" s="23" t="s">
        <v>952</v>
      </c>
      <c r="E57" s="24" t="s">
        <v>334</v>
      </c>
      <c r="F57" s="24" t="s">
        <v>319</v>
      </c>
      <c r="G57" s="25" t="s">
        <v>960</v>
      </c>
      <c r="H57" s="26">
        <v>0.44040000000000001</v>
      </c>
      <c r="I57" s="26"/>
      <c r="J57" s="26"/>
      <c r="K57" s="25"/>
      <c r="L57" s="24" t="s">
        <v>521</v>
      </c>
      <c r="M57" s="27" t="s">
        <v>513</v>
      </c>
    </row>
    <row r="58" spans="1:13" ht="25.5" x14ac:dyDescent="0.25">
      <c r="A58" s="22">
        <v>2026</v>
      </c>
      <c r="B58" s="23" t="s">
        <v>167</v>
      </c>
      <c r="C58" s="23" t="s">
        <v>19</v>
      </c>
      <c r="D58" s="23" t="s">
        <v>952</v>
      </c>
      <c r="E58" s="24" t="s">
        <v>334</v>
      </c>
      <c r="F58" s="24" t="s">
        <v>319</v>
      </c>
      <c r="G58" s="25" t="s">
        <v>961</v>
      </c>
      <c r="H58" s="26">
        <v>0.48454999999999998</v>
      </c>
      <c r="I58" s="26"/>
      <c r="J58" s="26"/>
      <c r="K58" s="25"/>
      <c r="L58" s="24" t="s">
        <v>521</v>
      </c>
      <c r="M58" s="27" t="s">
        <v>513</v>
      </c>
    </row>
    <row r="59" spans="1:13" ht="25.5" x14ac:dyDescent="0.25">
      <c r="A59" s="22">
        <v>2026</v>
      </c>
      <c r="B59" s="23" t="s">
        <v>167</v>
      </c>
      <c r="C59" s="23" t="s">
        <v>19</v>
      </c>
      <c r="D59" s="23" t="s">
        <v>952</v>
      </c>
      <c r="E59" s="24" t="s">
        <v>334</v>
      </c>
      <c r="F59" s="24" t="s">
        <v>319</v>
      </c>
      <c r="G59" s="25" t="s">
        <v>962</v>
      </c>
      <c r="H59" s="26">
        <v>0.52908000000000011</v>
      </c>
      <c r="I59" s="26"/>
      <c r="J59" s="26"/>
      <c r="K59" s="25"/>
      <c r="L59" s="24" t="s">
        <v>521</v>
      </c>
      <c r="M59" s="27" t="s">
        <v>513</v>
      </c>
    </row>
    <row r="60" spans="1:13" ht="25.5" x14ac:dyDescent="0.25">
      <c r="A60" s="22">
        <v>2026</v>
      </c>
      <c r="B60" s="23" t="s">
        <v>167</v>
      </c>
      <c r="C60" s="23" t="s">
        <v>19</v>
      </c>
      <c r="D60" s="23" t="s">
        <v>952</v>
      </c>
      <c r="E60" s="24" t="s">
        <v>334</v>
      </c>
      <c r="F60" s="24" t="s">
        <v>319</v>
      </c>
      <c r="G60" s="25" t="s">
        <v>963</v>
      </c>
      <c r="H60" s="26">
        <v>0.60724999999999996</v>
      </c>
      <c r="I60" s="26"/>
      <c r="J60" s="26"/>
      <c r="K60" s="25"/>
      <c r="L60" s="24" t="s">
        <v>521</v>
      </c>
      <c r="M60" s="27" t="s">
        <v>513</v>
      </c>
    </row>
    <row r="61" spans="1:13" ht="25.5" x14ac:dyDescent="0.25">
      <c r="A61" s="22">
        <v>2026</v>
      </c>
      <c r="B61" s="23" t="s">
        <v>167</v>
      </c>
      <c r="C61" s="23" t="s">
        <v>19</v>
      </c>
      <c r="D61" s="23" t="s">
        <v>952</v>
      </c>
      <c r="E61" s="24" t="s">
        <v>334</v>
      </c>
      <c r="F61" s="24" t="s">
        <v>319</v>
      </c>
      <c r="G61" s="25" t="s">
        <v>964</v>
      </c>
      <c r="H61" s="26">
        <v>0.66</v>
      </c>
      <c r="I61" s="26"/>
      <c r="J61" s="26"/>
      <c r="K61" s="25"/>
      <c r="L61" s="24" t="s">
        <v>521</v>
      </c>
      <c r="M61" s="27" t="s">
        <v>513</v>
      </c>
    </row>
    <row r="62" spans="1:13" ht="25.5" x14ac:dyDescent="0.25">
      <c r="A62" s="22">
        <v>2026</v>
      </c>
      <c r="B62" s="23" t="s">
        <v>167</v>
      </c>
      <c r="C62" s="23" t="s">
        <v>19</v>
      </c>
      <c r="D62" s="23" t="s">
        <v>952</v>
      </c>
      <c r="E62" s="24" t="s">
        <v>334</v>
      </c>
      <c r="F62" s="24" t="s">
        <v>319</v>
      </c>
      <c r="G62" s="25" t="s">
        <v>965</v>
      </c>
      <c r="H62" s="26">
        <v>0.70572000000000001</v>
      </c>
      <c r="I62" s="26"/>
      <c r="J62" s="26"/>
      <c r="K62" s="25"/>
      <c r="L62" s="24" t="s">
        <v>521</v>
      </c>
      <c r="M62" s="27" t="s">
        <v>513</v>
      </c>
    </row>
    <row r="63" spans="1:13" ht="25.5" x14ac:dyDescent="0.25">
      <c r="A63" s="22">
        <v>2026</v>
      </c>
      <c r="B63" s="23" t="s">
        <v>167</v>
      </c>
      <c r="C63" s="23" t="s">
        <v>19</v>
      </c>
      <c r="D63" s="23" t="s">
        <v>952</v>
      </c>
      <c r="E63" s="24" t="s">
        <v>334</v>
      </c>
      <c r="F63" s="24" t="s">
        <v>319</v>
      </c>
      <c r="G63" s="25" t="s">
        <v>966</v>
      </c>
      <c r="H63" s="26">
        <v>1.0585199999999997</v>
      </c>
      <c r="I63" s="26"/>
      <c r="J63" s="26"/>
      <c r="K63" s="25"/>
      <c r="L63" s="24" t="s">
        <v>521</v>
      </c>
      <c r="M63" s="27" t="s">
        <v>513</v>
      </c>
    </row>
    <row r="64" spans="1:13" ht="25.5" x14ac:dyDescent="0.25">
      <c r="A64" s="22">
        <v>2026</v>
      </c>
      <c r="B64" s="23" t="s">
        <v>167</v>
      </c>
      <c r="C64" s="23" t="s">
        <v>19</v>
      </c>
      <c r="D64" s="23" t="s">
        <v>952</v>
      </c>
      <c r="E64" s="24" t="s">
        <v>334</v>
      </c>
      <c r="F64" s="24" t="s">
        <v>319</v>
      </c>
      <c r="G64" s="25" t="s">
        <v>967</v>
      </c>
      <c r="H64" s="26">
        <v>1.29945</v>
      </c>
      <c r="I64" s="26"/>
      <c r="J64" s="26"/>
      <c r="K64" s="25"/>
      <c r="L64" s="24" t="s">
        <v>521</v>
      </c>
      <c r="M64" s="27" t="s">
        <v>513</v>
      </c>
    </row>
    <row r="65" spans="1:13" ht="25.5" x14ac:dyDescent="0.25">
      <c r="A65" s="22">
        <v>2026</v>
      </c>
      <c r="B65" s="23" t="s">
        <v>167</v>
      </c>
      <c r="C65" s="23" t="s">
        <v>19</v>
      </c>
      <c r="D65" s="23" t="s">
        <v>952</v>
      </c>
      <c r="E65" s="24" t="s">
        <v>334</v>
      </c>
      <c r="F65" s="24" t="s">
        <v>319</v>
      </c>
      <c r="G65" s="25" t="s">
        <v>968</v>
      </c>
      <c r="H65" s="26">
        <v>1.4031199999999999</v>
      </c>
      <c r="I65" s="26"/>
      <c r="J65" s="26"/>
      <c r="K65" s="25"/>
      <c r="L65" s="24" t="s">
        <v>521</v>
      </c>
      <c r="M65" s="27" t="s">
        <v>513</v>
      </c>
    </row>
    <row r="66" spans="1:13" ht="25.5" x14ac:dyDescent="0.25">
      <c r="A66" s="22">
        <v>2026</v>
      </c>
      <c r="B66" s="23" t="s">
        <v>167</v>
      </c>
      <c r="C66" s="23" t="s">
        <v>19</v>
      </c>
      <c r="D66" s="23" t="s">
        <v>969</v>
      </c>
      <c r="E66" s="24" t="s">
        <v>970</v>
      </c>
      <c r="F66" s="24" t="s">
        <v>319</v>
      </c>
      <c r="G66" s="25" t="s">
        <v>971</v>
      </c>
      <c r="H66" s="26">
        <v>0.23699999999999996</v>
      </c>
      <c r="I66" s="26"/>
      <c r="J66" s="26"/>
      <c r="K66" s="25" t="s">
        <v>550</v>
      </c>
      <c r="L66" s="24" t="s">
        <v>512</v>
      </c>
      <c r="M66" s="27" t="s">
        <v>513</v>
      </c>
    </row>
    <row r="67" spans="1:13" ht="25.5" x14ac:dyDescent="0.25">
      <c r="A67" s="22">
        <v>2026</v>
      </c>
      <c r="B67" s="23" t="s">
        <v>167</v>
      </c>
      <c r="C67" s="23" t="s">
        <v>19</v>
      </c>
      <c r="D67" s="23" t="s">
        <v>969</v>
      </c>
      <c r="E67" s="24" t="s">
        <v>970</v>
      </c>
      <c r="F67" s="24" t="s">
        <v>319</v>
      </c>
      <c r="G67" s="25" t="s">
        <v>972</v>
      </c>
      <c r="H67" s="26">
        <v>0.47399999999999992</v>
      </c>
      <c r="I67" s="26"/>
      <c r="J67" s="26"/>
      <c r="K67" s="25" t="s">
        <v>550</v>
      </c>
      <c r="L67" s="24" t="s">
        <v>512</v>
      </c>
      <c r="M67" s="27" t="s">
        <v>513</v>
      </c>
    </row>
    <row r="68" spans="1:13" ht="25.5" x14ac:dyDescent="0.25">
      <c r="A68" s="22">
        <v>2026</v>
      </c>
      <c r="B68" s="23" t="s">
        <v>167</v>
      </c>
      <c r="C68" s="23" t="s">
        <v>19</v>
      </c>
      <c r="D68" s="23" t="s">
        <v>969</v>
      </c>
      <c r="E68" s="24" t="s">
        <v>970</v>
      </c>
      <c r="F68" s="24" t="s">
        <v>319</v>
      </c>
      <c r="G68" s="25" t="s">
        <v>973</v>
      </c>
      <c r="H68" s="26">
        <v>2.3699999999999997</v>
      </c>
      <c r="I68" s="26"/>
      <c r="J68" s="26"/>
      <c r="K68" s="25" t="s">
        <v>550</v>
      </c>
      <c r="L68" s="24" t="s">
        <v>512</v>
      </c>
      <c r="M68" s="27" t="s">
        <v>513</v>
      </c>
    </row>
    <row r="69" spans="1:13" ht="25.5" x14ac:dyDescent="0.25">
      <c r="A69" s="22">
        <v>2026</v>
      </c>
      <c r="B69" s="23" t="s">
        <v>167</v>
      </c>
      <c r="C69" s="23" t="s">
        <v>19</v>
      </c>
      <c r="D69" s="23" t="s">
        <v>969</v>
      </c>
      <c r="E69" s="24" t="s">
        <v>970</v>
      </c>
      <c r="F69" s="24" t="s">
        <v>319</v>
      </c>
      <c r="G69" s="25" t="s">
        <v>974</v>
      </c>
      <c r="H69" s="26">
        <v>0.47449999999999998</v>
      </c>
      <c r="I69" s="26"/>
      <c r="J69" s="26"/>
      <c r="K69" s="25" t="s">
        <v>550</v>
      </c>
      <c r="L69" s="24" t="s">
        <v>512</v>
      </c>
      <c r="M69" s="27" t="s">
        <v>513</v>
      </c>
    </row>
    <row r="70" spans="1:13" ht="25.5" x14ac:dyDescent="0.25">
      <c r="A70" s="22">
        <v>2026</v>
      </c>
      <c r="B70" s="23" t="s">
        <v>167</v>
      </c>
      <c r="C70" s="23" t="s">
        <v>19</v>
      </c>
      <c r="D70" s="23" t="s">
        <v>969</v>
      </c>
      <c r="E70" s="24" t="s">
        <v>970</v>
      </c>
      <c r="F70" s="24" t="s">
        <v>319</v>
      </c>
      <c r="G70" s="25" t="s">
        <v>975</v>
      </c>
      <c r="H70" s="26">
        <v>0.47499999999999998</v>
      </c>
      <c r="I70" s="26"/>
      <c r="J70" s="26"/>
      <c r="K70" s="25" t="s">
        <v>550</v>
      </c>
      <c r="L70" s="24" t="s">
        <v>512</v>
      </c>
      <c r="M70" s="27" t="s">
        <v>513</v>
      </c>
    </row>
    <row r="71" spans="1:13" ht="25.5" x14ac:dyDescent="0.25">
      <c r="A71" s="22">
        <v>2026</v>
      </c>
      <c r="B71" s="23" t="s">
        <v>167</v>
      </c>
      <c r="C71" s="23" t="s">
        <v>19</v>
      </c>
      <c r="D71" s="23" t="s">
        <v>969</v>
      </c>
      <c r="E71" s="24" t="s">
        <v>970</v>
      </c>
      <c r="F71" s="24" t="s">
        <v>319</v>
      </c>
      <c r="G71" s="25" t="s">
        <v>976</v>
      </c>
      <c r="H71" s="26">
        <v>0.47549999999999998</v>
      </c>
      <c r="I71" s="26"/>
      <c r="J71" s="26"/>
      <c r="K71" s="25" t="s">
        <v>550</v>
      </c>
      <c r="L71" s="24" t="s">
        <v>512</v>
      </c>
      <c r="M71" s="27" t="s">
        <v>513</v>
      </c>
    </row>
    <row r="72" spans="1:13" ht="25.5" x14ac:dyDescent="0.25">
      <c r="A72" s="22">
        <v>2026</v>
      </c>
      <c r="B72" s="23" t="s">
        <v>167</v>
      </c>
      <c r="C72" s="23" t="s">
        <v>19</v>
      </c>
      <c r="D72" s="23" t="s">
        <v>969</v>
      </c>
      <c r="E72" s="24" t="s">
        <v>970</v>
      </c>
      <c r="F72" s="24" t="s">
        <v>319</v>
      </c>
      <c r="G72" s="25" t="s">
        <v>977</v>
      </c>
      <c r="H72" s="26">
        <v>0.23400000000000001</v>
      </c>
      <c r="I72" s="26"/>
      <c r="J72" s="26"/>
      <c r="K72" s="25" t="s">
        <v>550</v>
      </c>
      <c r="L72" s="24" t="s">
        <v>512</v>
      </c>
      <c r="M72" s="27" t="s">
        <v>513</v>
      </c>
    </row>
    <row r="73" spans="1:13" ht="25.5" x14ac:dyDescent="0.25">
      <c r="A73" s="22">
        <v>2026</v>
      </c>
      <c r="B73" s="23" t="s">
        <v>167</v>
      </c>
      <c r="C73" s="23" t="s">
        <v>19</v>
      </c>
      <c r="D73" s="23" t="s">
        <v>978</v>
      </c>
      <c r="E73" s="24" t="s">
        <v>979</v>
      </c>
      <c r="F73" s="24" t="s">
        <v>343</v>
      </c>
      <c r="G73" s="25" t="s">
        <v>980</v>
      </c>
      <c r="H73" s="26">
        <v>0.1706</v>
      </c>
      <c r="I73" s="26"/>
      <c r="J73" s="26"/>
      <c r="K73" s="25"/>
      <c r="L73" s="24" t="s">
        <v>512</v>
      </c>
      <c r="M73" s="27" t="s">
        <v>513</v>
      </c>
    </row>
    <row r="74" spans="1:13" ht="25.5" x14ac:dyDescent="0.25">
      <c r="A74" s="22">
        <v>2026</v>
      </c>
      <c r="B74" s="23" t="s">
        <v>167</v>
      </c>
      <c r="C74" s="23" t="s">
        <v>19</v>
      </c>
      <c r="D74" s="23" t="s">
        <v>978</v>
      </c>
      <c r="E74" s="24" t="s">
        <v>979</v>
      </c>
      <c r="F74" s="24" t="s">
        <v>343</v>
      </c>
      <c r="G74" s="25" t="s">
        <v>981</v>
      </c>
      <c r="H74" s="26">
        <v>0.25554000000000004</v>
      </c>
      <c r="I74" s="26"/>
      <c r="J74" s="26"/>
      <c r="K74" s="25"/>
      <c r="L74" s="24" t="s">
        <v>512</v>
      </c>
      <c r="M74" s="27" t="s">
        <v>513</v>
      </c>
    </row>
    <row r="75" spans="1:13" ht="25.5" x14ac:dyDescent="0.25">
      <c r="A75" s="22">
        <v>2026</v>
      </c>
      <c r="B75" s="23" t="s">
        <v>167</v>
      </c>
      <c r="C75" s="23" t="s">
        <v>19</v>
      </c>
      <c r="D75" s="23" t="s">
        <v>208</v>
      </c>
      <c r="E75" s="24" t="s">
        <v>382</v>
      </c>
      <c r="F75" s="24" t="s">
        <v>343</v>
      </c>
      <c r="G75" s="25" t="s">
        <v>982</v>
      </c>
      <c r="H75" s="26">
        <v>3.7231390000000002</v>
      </c>
      <c r="I75" s="26"/>
      <c r="J75" s="26"/>
      <c r="K75" s="25"/>
      <c r="L75" s="24" t="s">
        <v>514</v>
      </c>
      <c r="M75" s="27" t="s">
        <v>522</v>
      </c>
    </row>
    <row r="76" spans="1:13" ht="25.5" x14ac:dyDescent="0.25">
      <c r="A76" s="22">
        <v>2026</v>
      </c>
      <c r="B76" s="23" t="s">
        <v>167</v>
      </c>
      <c r="C76" s="23" t="s">
        <v>19</v>
      </c>
      <c r="D76" s="23" t="s">
        <v>208</v>
      </c>
      <c r="E76" s="24" t="s">
        <v>382</v>
      </c>
      <c r="F76" s="24" t="s">
        <v>343</v>
      </c>
      <c r="G76" s="25" t="s">
        <v>983</v>
      </c>
      <c r="H76" s="26">
        <v>0.79067900000000002</v>
      </c>
      <c r="I76" s="26"/>
      <c r="J76" s="26"/>
      <c r="K76" s="25"/>
      <c r="L76" s="24" t="s">
        <v>514</v>
      </c>
      <c r="M76" s="27" t="s">
        <v>522</v>
      </c>
    </row>
    <row r="77" spans="1:13" ht="25.5" x14ac:dyDescent="0.25">
      <c r="A77" s="22">
        <v>2026</v>
      </c>
      <c r="B77" s="23" t="s">
        <v>167</v>
      </c>
      <c r="C77" s="23" t="s">
        <v>19</v>
      </c>
      <c r="D77" s="23" t="s">
        <v>984</v>
      </c>
      <c r="E77" s="24" t="s">
        <v>985</v>
      </c>
      <c r="F77" s="24" t="s">
        <v>343</v>
      </c>
      <c r="G77" s="25" t="s">
        <v>986</v>
      </c>
      <c r="H77" s="26">
        <v>0.43700999999999995</v>
      </c>
      <c r="I77" s="26"/>
      <c r="J77" s="26"/>
      <c r="K77" s="25"/>
      <c r="L77" s="24" t="s">
        <v>512</v>
      </c>
      <c r="M77" s="27" t="s">
        <v>513</v>
      </c>
    </row>
    <row r="78" spans="1:13" ht="25.5" x14ac:dyDescent="0.25">
      <c r="A78" s="22">
        <v>2026</v>
      </c>
      <c r="B78" s="23" t="s">
        <v>167</v>
      </c>
      <c r="C78" s="23" t="s">
        <v>19</v>
      </c>
      <c r="D78" s="23" t="s">
        <v>984</v>
      </c>
      <c r="E78" s="24" t="s">
        <v>985</v>
      </c>
      <c r="F78" s="24" t="s">
        <v>343</v>
      </c>
      <c r="G78" s="25" t="s">
        <v>987</v>
      </c>
      <c r="H78" s="26">
        <v>0.59013526800000005</v>
      </c>
      <c r="I78" s="26"/>
      <c r="J78" s="26"/>
      <c r="K78" s="25"/>
      <c r="L78" s="24" t="s">
        <v>512</v>
      </c>
      <c r="M78" s="27" t="s">
        <v>513</v>
      </c>
    </row>
    <row r="79" spans="1:13" ht="25.5" x14ac:dyDescent="0.25">
      <c r="A79" s="22">
        <v>2026</v>
      </c>
      <c r="B79" s="23" t="s">
        <v>167</v>
      </c>
      <c r="C79" s="23" t="s">
        <v>19</v>
      </c>
      <c r="D79" s="23" t="s">
        <v>988</v>
      </c>
      <c r="E79" s="24" t="s">
        <v>318</v>
      </c>
      <c r="F79" s="24" t="s">
        <v>301</v>
      </c>
      <c r="G79" s="25" t="s">
        <v>989</v>
      </c>
      <c r="H79" s="26">
        <v>1.1431</v>
      </c>
      <c r="I79" s="26"/>
      <c r="J79" s="26"/>
      <c r="K79" s="25"/>
      <c r="L79" s="24" t="s">
        <v>514</v>
      </c>
      <c r="M79" s="27" t="s">
        <v>513</v>
      </c>
    </row>
    <row r="80" spans="1:13" ht="25.5" x14ac:dyDescent="0.25">
      <c r="A80" s="22">
        <v>2026</v>
      </c>
      <c r="B80" s="23" t="s">
        <v>167</v>
      </c>
      <c r="C80" s="23" t="s">
        <v>19</v>
      </c>
      <c r="D80" s="23" t="s">
        <v>988</v>
      </c>
      <c r="E80" s="24" t="s">
        <v>318</v>
      </c>
      <c r="F80" s="24" t="s">
        <v>301</v>
      </c>
      <c r="G80" s="25" t="s">
        <v>990</v>
      </c>
      <c r="H80" s="26">
        <v>1.48421</v>
      </c>
      <c r="I80" s="26"/>
      <c r="J80" s="26"/>
      <c r="K80" s="25"/>
      <c r="L80" s="24" t="s">
        <v>514</v>
      </c>
      <c r="M80" s="27" t="s">
        <v>513</v>
      </c>
    </row>
    <row r="81" spans="1:13" ht="25.5" x14ac:dyDescent="0.25">
      <c r="A81" s="22">
        <v>2026</v>
      </c>
      <c r="B81" s="23" t="s">
        <v>167</v>
      </c>
      <c r="C81" s="23" t="s">
        <v>19</v>
      </c>
      <c r="D81" s="23" t="s">
        <v>988</v>
      </c>
      <c r="E81" s="24" t="s">
        <v>318</v>
      </c>
      <c r="F81" s="24" t="s">
        <v>301</v>
      </c>
      <c r="G81" s="25" t="s">
        <v>991</v>
      </c>
      <c r="H81" s="26">
        <v>2.2515999999999998</v>
      </c>
      <c r="I81" s="26"/>
      <c r="J81" s="26"/>
      <c r="K81" s="25"/>
      <c r="L81" s="24" t="s">
        <v>514</v>
      </c>
      <c r="M81" s="27" t="s">
        <v>513</v>
      </c>
    </row>
    <row r="82" spans="1:13" ht="25.5" x14ac:dyDescent="0.25">
      <c r="A82" s="22">
        <v>2026</v>
      </c>
      <c r="B82" s="23" t="s">
        <v>167</v>
      </c>
      <c r="C82" s="23" t="s">
        <v>19</v>
      </c>
      <c r="D82" s="23" t="s">
        <v>988</v>
      </c>
      <c r="E82" s="24" t="s">
        <v>318</v>
      </c>
      <c r="F82" s="24" t="s">
        <v>301</v>
      </c>
      <c r="G82" s="25" t="s">
        <v>992</v>
      </c>
      <c r="H82" s="26">
        <v>3.4241999999999999</v>
      </c>
      <c r="I82" s="26"/>
      <c r="J82" s="26"/>
      <c r="K82" s="25"/>
      <c r="L82" s="24" t="s">
        <v>514</v>
      </c>
      <c r="M82" s="27" t="s">
        <v>513</v>
      </c>
    </row>
    <row r="83" spans="1:13" ht="25.5" x14ac:dyDescent="0.25">
      <c r="A83" s="22">
        <v>2026</v>
      </c>
      <c r="B83" s="23" t="s">
        <v>167</v>
      </c>
      <c r="C83" s="23" t="s">
        <v>19</v>
      </c>
      <c r="D83" s="23" t="s">
        <v>988</v>
      </c>
      <c r="E83" s="24" t="s">
        <v>318</v>
      </c>
      <c r="F83" s="24" t="s">
        <v>301</v>
      </c>
      <c r="G83" s="25" t="s">
        <v>993</v>
      </c>
      <c r="H83" s="26">
        <v>3.4293</v>
      </c>
      <c r="I83" s="26"/>
      <c r="J83" s="26"/>
      <c r="K83" s="25"/>
      <c r="L83" s="24" t="s">
        <v>514</v>
      </c>
      <c r="M83" s="27" t="s">
        <v>513</v>
      </c>
    </row>
    <row r="84" spans="1:13" ht="25.5" x14ac:dyDescent="0.25">
      <c r="A84" s="22">
        <v>2026</v>
      </c>
      <c r="B84" s="23" t="s">
        <v>167</v>
      </c>
      <c r="C84" s="23" t="s">
        <v>19</v>
      </c>
      <c r="D84" s="23" t="s">
        <v>988</v>
      </c>
      <c r="E84" s="24" t="s">
        <v>318</v>
      </c>
      <c r="F84" s="24" t="s">
        <v>301</v>
      </c>
      <c r="G84" s="25" t="s">
        <v>994</v>
      </c>
      <c r="H84" s="26">
        <v>3.7105250000000001</v>
      </c>
      <c r="I84" s="26"/>
      <c r="J84" s="26"/>
      <c r="K84" s="25"/>
      <c r="L84" s="24" t="s">
        <v>514</v>
      </c>
      <c r="M84" s="27" t="s">
        <v>513</v>
      </c>
    </row>
    <row r="85" spans="1:13" ht="25.5" x14ac:dyDescent="0.25">
      <c r="A85" s="22">
        <v>2026</v>
      </c>
      <c r="B85" s="23" t="s">
        <v>167</v>
      </c>
      <c r="C85" s="23" t="s">
        <v>19</v>
      </c>
      <c r="D85" s="23" t="s">
        <v>988</v>
      </c>
      <c r="E85" s="24" t="s">
        <v>318</v>
      </c>
      <c r="F85" s="24" t="s">
        <v>301</v>
      </c>
      <c r="G85" s="25" t="s">
        <v>995</v>
      </c>
      <c r="H85" s="26">
        <v>5.0616000000000003</v>
      </c>
      <c r="I85" s="26"/>
      <c r="J85" s="26"/>
      <c r="K85" s="25"/>
      <c r="L85" s="24" t="s">
        <v>514</v>
      </c>
      <c r="M85" s="27" t="s">
        <v>513</v>
      </c>
    </row>
    <row r="86" spans="1:13" ht="25.5" x14ac:dyDescent="0.25">
      <c r="A86" s="22">
        <v>2026</v>
      </c>
      <c r="B86" s="23" t="s">
        <v>167</v>
      </c>
      <c r="C86" s="23" t="s">
        <v>19</v>
      </c>
      <c r="D86" s="23" t="s">
        <v>181</v>
      </c>
      <c r="E86" s="24" t="s">
        <v>318</v>
      </c>
      <c r="F86" s="24" t="s">
        <v>319</v>
      </c>
      <c r="G86" s="25" t="s">
        <v>996</v>
      </c>
      <c r="H86" s="26">
        <v>0.87350000000000005</v>
      </c>
      <c r="I86" s="26"/>
      <c r="J86" s="26"/>
      <c r="K86" s="25"/>
      <c r="L86" s="24" t="s">
        <v>514</v>
      </c>
      <c r="M86" s="27" t="s">
        <v>513</v>
      </c>
    </row>
    <row r="87" spans="1:13" ht="25.5" x14ac:dyDescent="0.25">
      <c r="A87" s="22">
        <v>2026</v>
      </c>
      <c r="B87" s="23" t="s">
        <v>167</v>
      </c>
      <c r="C87" s="23" t="s">
        <v>19</v>
      </c>
      <c r="D87" s="23" t="s">
        <v>181</v>
      </c>
      <c r="E87" s="24" t="s">
        <v>318</v>
      </c>
      <c r="F87" s="24" t="s">
        <v>319</v>
      </c>
      <c r="G87" s="25" t="s">
        <v>997</v>
      </c>
      <c r="H87" s="26">
        <v>4.0922899999999993</v>
      </c>
      <c r="I87" s="26"/>
      <c r="J87" s="26"/>
      <c r="K87" s="25"/>
      <c r="L87" s="24" t="s">
        <v>514</v>
      </c>
      <c r="M87" s="27" t="s">
        <v>513</v>
      </c>
    </row>
    <row r="88" spans="1:13" ht="25.5" x14ac:dyDescent="0.25">
      <c r="A88" s="22">
        <v>2026</v>
      </c>
      <c r="B88" s="23" t="s">
        <v>167</v>
      </c>
      <c r="C88" s="23" t="s">
        <v>19</v>
      </c>
      <c r="D88" s="23" t="s">
        <v>181</v>
      </c>
      <c r="E88" s="24" t="s">
        <v>318</v>
      </c>
      <c r="F88" s="24" t="s">
        <v>319</v>
      </c>
      <c r="G88" s="25" t="s">
        <v>998</v>
      </c>
      <c r="H88" s="26">
        <v>5.2332000000000001</v>
      </c>
      <c r="I88" s="26"/>
      <c r="J88" s="26"/>
      <c r="K88" s="25"/>
      <c r="L88" s="24" t="s">
        <v>514</v>
      </c>
      <c r="M88" s="27" t="s">
        <v>513</v>
      </c>
    </row>
    <row r="89" spans="1:13" ht="25.5" x14ac:dyDescent="0.25">
      <c r="A89" s="22">
        <v>2026</v>
      </c>
      <c r="B89" s="23" t="s">
        <v>167</v>
      </c>
      <c r="C89" s="23" t="s">
        <v>90</v>
      </c>
      <c r="D89" s="23" t="s">
        <v>196</v>
      </c>
      <c r="E89" s="24" t="s">
        <v>352</v>
      </c>
      <c r="F89" s="24" t="s">
        <v>353</v>
      </c>
      <c r="G89" s="25" t="s">
        <v>999</v>
      </c>
      <c r="H89" s="26">
        <v>0.30599999999999999</v>
      </c>
      <c r="I89" s="26"/>
      <c r="J89" s="26"/>
      <c r="K89" s="25"/>
      <c r="L89" s="24" t="s">
        <v>512</v>
      </c>
      <c r="M89" s="27" t="s">
        <v>513</v>
      </c>
    </row>
    <row r="90" spans="1:13" ht="25.5" x14ac:dyDescent="0.25">
      <c r="A90" s="22">
        <v>2026</v>
      </c>
      <c r="B90" s="23" t="s">
        <v>167</v>
      </c>
      <c r="C90" s="23" t="s">
        <v>90</v>
      </c>
      <c r="D90" s="23" t="s">
        <v>196</v>
      </c>
      <c r="E90" s="24" t="s">
        <v>352</v>
      </c>
      <c r="F90" s="24" t="s">
        <v>353</v>
      </c>
      <c r="G90" s="25" t="s">
        <v>1000</v>
      </c>
      <c r="H90" s="26">
        <v>0.31574999999999998</v>
      </c>
      <c r="I90" s="26"/>
      <c r="J90" s="26"/>
      <c r="K90" s="25"/>
      <c r="L90" s="24" t="s">
        <v>512</v>
      </c>
      <c r="M90" s="27" t="s">
        <v>513</v>
      </c>
    </row>
    <row r="91" spans="1:13" ht="25.5" x14ac:dyDescent="0.25">
      <c r="A91" s="22">
        <v>2026</v>
      </c>
      <c r="B91" s="23" t="s">
        <v>167</v>
      </c>
      <c r="C91" s="23" t="s">
        <v>90</v>
      </c>
      <c r="D91" s="23" t="s">
        <v>1001</v>
      </c>
      <c r="E91" s="24" t="s">
        <v>491</v>
      </c>
      <c r="F91" s="24" t="s">
        <v>378</v>
      </c>
      <c r="G91" s="25" t="s">
        <v>1002</v>
      </c>
      <c r="H91" s="26">
        <v>1.6286424999999998</v>
      </c>
      <c r="I91" s="26"/>
      <c r="J91" s="26"/>
      <c r="K91" s="25" t="s">
        <v>550</v>
      </c>
      <c r="L91" s="24" t="s">
        <v>512</v>
      </c>
      <c r="M91" s="27" t="s">
        <v>513</v>
      </c>
    </row>
    <row r="92" spans="1:13" ht="25.5" x14ac:dyDescent="0.25">
      <c r="A92" s="22">
        <v>2026</v>
      </c>
      <c r="B92" s="23" t="s">
        <v>167</v>
      </c>
      <c r="C92" s="23" t="s">
        <v>90</v>
      </c>
      <c r="D92" s="23" t="s">
        <v>1001</v>
      </c>
      <c r="E92" s="24" t="s">
        <v>491</v>
      </c>
      <c r="F92" s="24" t="s">
        <v>378</v>
      </c>
      <c r="G92" s="25" t="s">
        <v>1003</v>
      </c>
      <c r="H92" s="26">
        <v>0.52259999999999995</v>
      </c>
      <c r="I92" s="26"/>
      <c r="J92" s="26"/>
      <c r="K92" s="25" t="s">
        <v>550</v>
      </c>
      <c r="L92" s="24" t="s">
        <v>512</v>
      </c>
      <c r="M92" s="27" t="s">
        <v>513</v>
      </c>
    </row>
    <row r="93" spans="1:13" ht="25.5" x14ac:dyDescent="0.25">
      <c r="A93" s="22">
        <v>2026</v>
      </c>
      <c r="B93" s="23" t="s">
        <v>167</v>
      </c>
      <c r="C93" s="23" t="s">
        <v>90</v>
      </c>
      <c r="D93" s="23" t="s">
        <v>1001</v>
      </c>
      <c r="E93" s="24" t="s">
        <v>491</v>
      </c>
      <c r="F93" s="24" t="s">
        <v>378</v>
      </c>
      <c r="G93" s="25" t="s">
        <v>1004</v>
      </c>
      <c r="H93" s="26">
        <v>0.20674499999999998</v>
      </c>
      <c r="I93" s="26"/>
      <c r="J93" s="26"/>
      <c r="K93" s="25" t="s">
        <v>550</v>
      </c>
      <c r="L93" s="24" t="s">
        <v>512</v>
      </c>
      <c r="M93" s="27" t="s">
        <v>513</v>
      </c>
    </row>
    <row r="94" spans="1:13" ht="25.5" x14ac:dyDescent="0.25">
      <c r="A94" s="22">
        <v>2026</v>
      </c>
      <c r="B94" s="23" t="s">
        <v>167</v>
      </c>
      <c r="C94" s="23" t="s">
        <v>90</v>
      </c>
      <c r="D94" s="23" t="s">
        <v>1001</v>
      </c>
      <c r="E94" s="24" t="s">
        <v>491</v>
      </c>
      <c r="F94" s="24" t="s">
        <v>378</v>
      </c>
      <c r="G94" s="25" t="s">
        <v>1005</v>
      </c>
      <c r="H94" s="26">
        <v>1.6057260000000002</v>
      </c>
      <c r="I94" s="26"/>
      <c r="J94" s="26"/>
      <c r="K94" s="25" t="s">
        <v>550</v>
      </c>
      <c r="L94" s="24" t="s">
        <v>512</v>
      </c>
      <c r="M94" s="27" t="s">
        <v>513</v>
      </c>
    </row>
    <row r="95" spans="1:13" ht="25.5" x14ac:dyDescent="0.25">
      <c r="A95" s="22">
        <v>2026</v>
      </c>
      <c r="B95" s="23" t="s">
        <v>167</v>
      </c>
      <c r="C95" s="23" t="s">
        <v>90</v>
      </c>
      <c r="D95" s="23" t="s">
        <v>1001</v>
      </c>
      <c r="E95" s="24" t="s">
        <v>491</v>
      </c>
      <c r="F95" s="24" t="s">
        <v>378</v>
      </c>
      <c r="G95" s="25" t="s">
        <v>1006</v>
      </c>
      <c r="H95" s="26">
        <v>0.37413250000000003</v>
      </c>
      <c r="I95" s="26"/>
      <c r="J95" s="26"/>
      <c r="K95" s="25" t="s">
        <v>550</v>
      </c>
      <c r="L95" s="24" t="s">
        <v>512</v>
      </c>
      <c r="M95" s="27" t="s">
        <v>513</v>
      </c>
    </row>
    <row r="96" spans="1:13" ht="25.5" x14ac:dyDescent="0.25">
      <c r="A96" s="22">
        <v>2026</v>
      </c>
      <c r="B96" s="23" t="s">
        <v>167</v>
      </c>
      <c r="C96" s="23" t="s">
        <v>90</v>
      </c>
      <c r="D96" s="23" t="s">
        <v>922</v>
      </c>
      <c r="E96" s="24" t="s">
        <v>923</v>
      </c>
      <c r="F96" s="24" t="s">
        <v>325</v>
      </c>
      <c r="G96" s="25" t="s">
        <v>1007</v>
      </c>
      <c r="H96" s="26">
        <v>6.3375000000000001E-2</v>
      </c>
      <c r="I96" s="26"/>
      <c r="J96" s="26"/>
      <c r="K96" s="25"/>
      <c r="L96" s="24" t="s">
        <v>512</v>
      </c>
      <c r="M96" s="27" t="s">
        <v>513</v>
      </c>
    </row>
    <row r="97" spans="1:13" ht="25.5" x14ac:dyDescent="0.25">
      <c r="A97" s="22">
        <v>2026</v>
      </c>
      <c r="B97" s="23" t="s">
        <v>167</v>
      </c>
      <c r="C97" s="23" t="s">
        <v>90</v>
      </c>
      <c r="D97" s="23" t="s">
        <v>922</v>
      </c>
      <c r="E97" s="24" t="s">
        <v>923</v>
      </c>
      <c r="F97" s="24" t="s">
        <v>325</v>
      </c>
      <c r="G97" s="25" t="s">
        <v>1008</v>
      </c>
      <c r="H97" s="26">
        <v>0.155</v>
      </c>
      <c r="I97" s="26"/>
      <c r="J97" s="26"/>
      <c r="K97" s="25"/>
      <c r="L97" s="24" t="s">
        <v>512</v>
      </c>
      <c r="M97" s="27" t="s">
        <v>513</v>
      </c>
    </row>
    <row r="98" spans="1:13" ht="25.5" x14ac:dyDescent="0.25">
      <c r="A98" s="22">
        <v>2026</v>
      </c>
      <c r="B98" s="23" t="s">
        <v>167</v>
      </c>
      <c r="C98" s="23" t="s">
        <v>90</v>
      </c>
      <c r="D98" s="23" t="s">
        <v>922</v>
      </c>
      <c r="E98" s="24" t="s">
        <v>923</v>
      </c>
      <c r="F98" s="24" t="s">
        <v>325</v>
      </c>
      <c r="G98" s="25" t="s">
        <v>1009</v>
      </c>
      <c r="H98" s="26">
        <v>0.23</v>
      </c>
      <c r="I98" s="26"/>
      <c r="J98" s="26"/>
      <c r="K98" s="25"/>
      <c r="L98" s="24" t="s">
        <v>512</v>
      </c>
      <c r="M98" s="27" t="s">
        <v>513</v>
      </c>
    </row>
    <row r="99" spans="1:13" ht="25.5" x14ac:dyDescent="0.25">
      <c r="A99" s="22">
        <v>2026</v>
      </c>
      <c r="B99" s="23" t="s">
        <v>167</v>
      </c>
      <c r="C99" s="23" t="s">
        <v>90</v>
      </c>
      <c r="D99" s="23" t="s">
        <v>1010</v>
      </c>
      <c r="E99" s="24" t="s">
        <v>923</v>
      </c>
      <c r="F99" s="24" t="s">
        <v>353</v>
      </c>
      <c r="G99" s="25" t="s">
        <v>1011</v>
      </c>
      <c r="H99" s="26">
        <v>0.11600000000000001</v>
      </c>
      <c r="I99" s="26"/>
      <c r="J99" s="26"/>
      <c r="K99" s="25"/>
      <c r="L99" s="24" t="s">
        <v>512</v>
      </c>
      <c r="M99" s="27" t="s">
        <v>513</v>
      </c>
    </row>
    <row r="100" spans="1:13" ht="25.5" x14ac:dyDescent="0.25">
      <c r="A100" s="22">
        <v>2026</v>
      </c>
      <c r="B100" s="23" t="s">
        <v>167</v>
      </c>
      <c r="C100" s="23" t="s">
        <v>90</v>
      </c>
      <c r="D100" s="23" t="s">
        <v>1010</v>
      </c>
      <c r="E100" s="24" t="s">
        <v>923</v>
      </c>
      <c r="F100" s="24" t="s">
        <v>353</v>
      </c>
      <c r="G100" s="25" t="s">
        <v>1012</v>
      </c>
      <c r="H100" s="26">
        <v>0.17430000000000001</v>
      </c>
      <c r="I100" s="26"/>
      <c r="J100" s="26"/>
      <c r="K100" s="25"/>
      <c r="L100" s="24" t="s">
        <v>512</v>
      </c>
      <c r="M100" s="27" t="s">
        <v>513</v>
      </c>
    </row>
    <row r="101" spans="1:13" ht="25.5" x14ac:dyDescent="0.25">
      <c r="A101" s="22">
        <v>2026</v>
      </c>
      <c r="B101" s="23" t="s">
        <v>167</v>
      </c>
      <c r="C101" s="23" t="s">
        <v>90</v>
      </c>
      <c r="D101" s="23" t="s">
        <v>1010</v>
      </c>
      <c r="E101" s="24" t="s">
        <v>923</v>
      </c>
      <c r="F101" s="24" t="s">
        <v>353</v>
      </c>
      <c r="G101" s="25" t="s">
        <v>1013</v>
      </c>
      <c r="H101" s="26">
        <v>0.17560500000000001</v>
      </c>
      <c r="I101" s="26"/>
      <c r="J101" s="26"/>
      <c r="K101" s="25"/>
      <c r="L101" s="24" t="s">
        <v>512</v>
      </c>
      <c r="M101" s="27" t="s">
        <v>513</v>
      </c>
    </row>
    <row r="102" spans="1:13" ht="25.5" x14ac:dyDescent="0.25">
      <c r="A102" s="22">
        <v>2026</v>
      </c>
      <c r="B102" s="23" t="s">
        <v>167</v>
      </c>
      <c r="C102" s="23" t="s">
        <v>90</v>
      </c>
      <c r="D102" s="23" t="s">
        <v>1010</v>
      </c>
      <c r="E102" s="24" t="s">
        <v>923</v>
      </c>
      <c r="F102" s="24" t="s">
        <v>353</v>
      </c>
      <c r="G102" s="25" t="s">
        <v>1014</v>
      </c>
      <c r="H102" s="26">
        <v>0.23050000000000001</v>
      </c>
      <c r="I102" s="26"/>
      <c r="J102" s="26"/>
      <c r="K102" s="25"/>
      <c r="L102" s="24" t="s">
        <v>512</v>
      </c>
      <c r="M102" s="27" t="s">
        <v>513</v>
      </c>
    </row>
    <row r="103" spans="1:13" ht="25.5" x14ac:dyDescent="0.25">
      <c r="A103" s="22">
        <v>2026</v>
      </c>
      <c r="B103" s="23" t="s">
        <v>167</v>
      </c>
      <c r="C103" s="23" t="s">
        <v>90</v>
      </c>
      <c r="D103" s="23" t="s">
        <v>1010</v>
      </c>
      <c r="E103" s="24" t="s">
        <v>923</v>
      </c>
      <c r="F103" s="24" t="s">
        <v>353</v>
      </c>
      <c r="G103" s="25" t="s">
        <v>1015</v>
      </c>
      <c r="H103" s="26">
        <v>0.29144999999999999</v>
      </c>
      <c r="I103" s="26"/>
      <c r="J103" s="26"/>
      <c r="K103" s="25"/>
      <c r="L103" s="24" t="s">
        <v>512</v>
      </c>
      <c r="M103" s="27" t="s">
        <v>513</v>
      </c>
    </row>
    <row r="104" spans="1:13" ht="25.5" x14ac:dyDescent="0.25">
      <c r="A104" s="22">
        <v>2026</v>
      </c>
      <c r="B104" s="23" t="s">
        <v>167</v>
      </c>
      <c r="C104" s="23" t="s">
        <v>90</v>
      </c>
      <c r="D104" s="23" t="s">
        <v>1010</v>
      </c>
      <c r="E104" s="24" t="s">
        <v>923</v>
      </c>
      <c r="F104" s="24" t="s">
        <v>353</v>
      </c>
      <c r="G104" s="25" t="s">
        <v>1016</v>
      </c>
      <c r="H104" s="26">
        <v>0.40600000000000003</v>
      </c>
      <c r="I104" s="26"/>
      <c r="J104" s="26"/>
      <c r="K104" s="25"/>
      <c r="L104" s="24" t="s">
        <v>512</v>
      </c>
      <c r="M104" s="27" t="s">
        <v>513</v>
      </c>
    </row>
    <row r="105" spans="1:13" ht="25.5" x14ac:dyDescent="0.25">
      <c r="A105" s="22">
        <v>2026</v>
      </c>
      <c r="B105" s="23" t="s">
        <v>167</v>
      </c>
      <c r="C105" s="23" t="s">
        <v>90</v>
      </c>
      <c r="D105" s="23" t="s">
        <v>1010</v>
      </c>
      <c r="E105" s="24" t="s">
        <v>923</v>
      </c>
      <c r="F105" s="24" t="s">
        <v>353</v>
      </c>
      <c r="G105" s="25" t="s">
        <v>1017</v>
      </c>
      <c r="H105" s="26">
        <v>0.4158</v>
      </c>
      <c r="I105" s="26"/>
      <c r="J105" s="26"/>
      <c r="K105" s="25"/>
      <c r="L105" s="24" t="s">
        <v>512</v>
      </c>
      <c r="M105" s="27" t="s">
        <v>513</v>
      </c>
    </row>
    <row r="106" spans="1:13" ht="25.5" x14ac:dyDescent="0.25">
      <c r="A106" s="22">
        <v>2026</v>
      </c>
      <c r="B106" s="23" t="s">
        <v>167</v>
      </c>
      <c r="C106" s="23" t="s">
        <v>90</v>
      </c>
      <c r="D106" s="23" t="s">
        <v>1018</v>
      </c>
      <c r="E106" s="24" t="s">
        <v>923</v>
      </c>
      <c r="F106" s="24" t="s">
        <v>353</v>
      </c>
      <c r="G106" s="25" t="s">
        <v>1019</v>
      </c>
      <c r="H106" s="26">
        <v>0.11525000000000001</v>
      </c>
      <c r="I106" s="26"/>
      <c r="J106" s="26"/>
      <c r="K106" s="25"/>
      <c r="L106" s="24" t="s">
        <v>512</v>
      </c>
      <c r="M106" s="27" t="s">
        <v>513</v>
      </c>
    </row>
    <row r="107" spans="1:13" ht="25.5" x14ac:dyDescent="0.25">
      <c r="A107" s="22">
        <v>2026</v>
      </c>
      <c r="B107" s="23" t="s">
        <v>167</v>
      </c>
      <c r="C107" s="23" t="s">
        <v>90</v>
      </c>
      <c r="D107" s="23" t="s">
        <v>1018</v>
      </c>
      <c r="E107" s="24" t="s">
        <v>923</v>
      </c>
      <c r="F107" s="24" t="s">
        <v>353</v>
      </c>
      <c r="G107" s="25" t="s">
        <v>1020</v>
      </c>
      <c r="H107" s="26">
        <v>0.17399999999999999</v>
      </c>
      <c r="I107" s="26"/>
      <c r="J107" s="26"/>
      <c r="K107" s="25"/>
      <c r="L107" s="24" t="s">
        <v>512</v>
      </c>
      <c r="M107" s="27" t="s">
        <v>513</v>
      </c>
    </row>
    <row r="108" spans="1:13" ht="25.5" x14ac:dyDescent="0.25">
      <c r="A108" s="22">
        <v>2026</v>
      </c>
      <c r="B108" s="23" t="s">
        <v>167</v>
      </c>
      <c r="C108" s="23" t="s">
        <v>90</v>
      </c>
      <c r="D108" s="23" t="s">
        <v>219</v>
      </c>
      <c r="E108" s="24" t="s">
        <v>403</v>
      </c>
      <c r="F108" s="24" t="s">
        <v>319</v>
      </c>
      <c r="G108" s="25" t="s">
        <v>1021</v>
      </c>
      <c r="H108" s="26">
        <v>9.4329999999999997E-2</v>
      </c>
      <c r="I108" s="26"/>
      <c r="J108" s="26"/>
      <c r="K108" s="25"/>
      <c r="L108" s="24" t="s">
        <v>521</v>
      </c>
      <c r="M108" s="27" t="s">
        <v>513</v>
      </c>
    </row>
    <row r="109" spans="1:13" ht="25.5" x14ac:dyDescent="0.25">
      <c r="A109" s="22">
        <v>2026</v>
      </c>
      <c r="B109" s="23" t="s">
        <v>167</v>
      </c>
      <c r="C109" s="23" t="s">
        <v>90</v>
      </c>
      <c r="D109" s="23" t="s">
        <v>219</v>
      </c>
      <c r="E109" s="24" t="s">
        <v>403</v>
      </c>
      <c r="F109" s="24" t="s">
        <v>319</v>
      </c>
      <c r="G109" s="25" t="s">
        <v>1022</v>
      </c>
      <c r="H109" s="26">
        <v>9.4570000000000001E-2</v>
      </c>
      <c r="I109" s="26"/>
      <c r="J109" s="26"/>
      <c r="K109" s="25"/>
      <c r="L109" s="24" t="s">
        <v>521</v>
      </c>
      <c r="M109" s="27" t="s">
        <v>513</v>
      </c>
    </row>
    <row r="110" spans="1:13" ht="25.5" x14ac:dyDescent="0.25">
      <c r="A110" s="22">
        <v>2026</v>
      </c>
      <c r="B110" s="23" t="s">
        <v>167</v>
      </c>
      <c r="C110" s="23" t="s">
        <v>90</v>
      </c>
      <c r="D110" s="23" t="s">
        <v>219</v>
      </c>
      <c r="E110" s="24" t="s">
        <v>403</v>
      </c>
      <c r="F110" s="24" t="s">
        <v>319</v>
      </c>
      <c r="G110" s="25" t="s">
        <v>1023</v>
      </c>
      <c r="H110" s="26">
        <v>0.15397999999999998</v>
      </c>
      <c r="I110" s="26"/>
      <c r="J110" s="26"/>
      <c r="K110" s="25"/>
      <c r="L110" s="24" t="s">
        <v>521</v>
      </c>
      <c r="M110" s="27" t="s">
        <v>513</v>
      </c>
    </row>
    <row r="111" spans="1:13" ht="25.5" x14ac:dyDescent="0.25">
      <c r="A111" s="22">
        <v>2026</v>
      </c>
      <c r="B111" s="23" t="s">
        <v>167</v>
      </c>
      <c r="C111" s="23" t="s">
        <v>90</v>
      </c>
      <c r="D111" s="23" t="s">
        <v>219</v>
      </c>
      <c r="E111" s="24" t="s">
        <v>403</v>
      </c>
      <c r="F111" s="24" t="s">
        <v>319</v>
      </c>
      <c r="G111" s="25" t="s">
        <v>1024</v>
      </c>
      <c r="H111" s="26">
        <v>1.1807000000000001</v>
      </c>
      <c r="I111" s="26"/>
      <c r="J111" s="26"/>
      <c r="K111" s="25"/>
      <c r="L111" s="24" t="s">
        <v>521</v>
      </c>
      <c r="M111" s="27" t="s">
        <v>513</v>
      </c>
    </row>
    <row r="112" spans="1:13" ht="25.5" x14ac:dyDescent="0.25">
      <c r="A112" s="22">
        <v>2026</v>
      </c>
      <c r="B112" s="23" t="s">
        <v>167</v>
      </c>
      <c r="C112" s="23" t="s">
        <v>90</v>
      </c>
      <c r="D112" s="23" t="s">
        <v>219</v>
      </c>
      <c r="E112" s="24" t="s">
        <v>403</v>
      </c>
      <c r="F112" s="24" t="s">
        <v>319</v>
      </c>
      <c r="G112" s="25" t="s">
        <v>1025</v>
      </c>
      <c r="H112" s="26">
        <v>1.7827500000000001</v>
      </c>
      <c r="I112" s="26"/>
      <c r="J112" s="26"/>
      <c r="K112" s="25"/>
      <c r="L112" s="24" t="s">
        <v>521</v>
      </c>
      <c r="M112" s="27" t="s">
        <v>513</v>
      </c>
    </row>
    <row r="113" spans="1:13" ht="25.5" x14ac:dyDescent="0.25">
      <c r="A113" s="22">
        <v>2026</v>
      </c>
      <c r="B113" s="23" t="s">
        <v>167</v>
      </c>
      <c r="C113" s="23" t="s">
        <v>90</v>
      </c>
      <c r="D113" s="23" t="s">
        <v>188</v>
      </c>
      <c r="E113" s="24" t="s">
        <v>334</v>
      </c>
      <c r="F113" s="24" t="s">
        <v>335</v>
      </c>
      <c r="G113" s="25" t="s">
        <v>1026</v>
      </c>
      <c r="H113" s="26">
        <v>0.18530000000000002</v>
      </c>
      <c r="I113" s="26"/>
      <c r="J113" s="26"/>
      <c r="K113" s="25" t="s">
        <v>550</v>
      </c>
      <c r="L113" s="24" t="s">
        <v>512</v>
      </c>
      <c r="M113" s="27" t="s">
        <v>513</v>
      </c>
    </row>
    <row r="114" spans="1:13" ht="25.5" x14ac:dyDescent="0.25">
      <c r="A114" s="22">
        <v>2026</v>
      </c>
      <c r="B114" s="23" t="s">
        <v>167</v>
      </c>
      <c r="C114" s="23" t="s">
        <v>90</v>
      </c>
      <c r="D114" s="23" t="s">
        <v>188</v>
      </c>
      <c r="E114" s="24" t="s">
        <v>334</v>
      </c>
      <c r="F114" s="24" t="s">
        <v>335</v>
      </c>
      <c r="G114" s="25" t="s">
        <v>1027</v>
      </c>
      <c r="H114" s="26">
        <v>1.7037</v>
      </c>
      <c r="I114" s="26"/>
      <c r="J114" s="26"/>
      <c r="K114" s="25" t="s">
        <v>550</v>
      </c>
      <c r="L114" s="24" t="s">
        <v>512</v>
      </c>
      <c r="M114" s="27" t="s">
        <v>513</v>
      </c>
    </row>
    <row r="115" spans="1:13" ht="25.5" x14ac:dyDescent="0.25">
      <c r="A115" s="22">
        <v>2026</v>
      </c>
      <c r="B115" s="23" t="s">
        <v>167</v>
      </c>
      <c r="C115" s="23" t="s">
        <v>90</v>
      </c>
      <c r="D115" s="23" t="s">
        <v>188</v>
      </c>
      <c r="E115" s="24" t="s">
        <v>334</v>
      </c>
      <c r="F115" s="24" t="s">
        <v>335</v>
      </c>
      <c r="G115" s="25" t="s">
        <v>1028</v>
      </c>
      <c r="H115" s="26">
        <v>2.4745499999999998</v>
      </c>
      <c r="I115" s="26"/>
      <c r="J115" s="26"/>
      <c r="K115" s="25" t="s">
        <v>550</v>
      </c>
      <c r="L115" s="24" t="s">
        <v>512</v>
      </c>
      <c r="M115" s="27" t="s">
        <v>513</v>
      </c>
    </row>
    <row r="116" spans="1:13" ht="25.5" x14ac:dyDescent="0.25">
      <c r="A116" s="22">
        <v>2026</v>
      </c>
      <c r="B116" s="23" t="s">
        <v>167</v>
      </c>
      <c r="C116" s="23" t="s">
        <v>90</v>
      </c>
      <c r="D116" s="23" t="s">
        <v>188</v>
      </c>
      <c r="E116" s="24" t="s">
        <v>334</v>
      </c>
      <c r="F116" s="24" t="s">
        <v>335</v>
      </c>
      <c r="G116" s="25" t="s">
        <v>1029</v>
      </c>
      <c r="H116" s="26">
        <v>0.45611999999999997</v>
      </c>
      <c r="I116" s="26"/>
      <c r="J116" s="26"/>
      <c r="K116" s="25" t="s">
        <v>550</v>
      </c>
      <c r="L116" s="24" t="s">
        <v>512</v>
      </c>
      <c r="M116" s="27" t="s">
        <v>513</v>
      </c>
    </row>
    <row r="117" spans="1:13" ht="25.5" x14ac:dyDescent="0.25">
      <c r="A117" s="22">
        <v>2026</v>
      </c>
      <c r="B117" s="23" t="s">
        <v>167</v>
      </c>
      <c r="C117" s="23" t="s">
        <v>90</v>
      </c>
      <c r="D117" s="23" t="s">
        <v>1030</v>
      </c>
      <c r="E117" s="24" t="s">
        <v>309</v>
      </c>
      <c r="F117" s="24" t="s">
        <v>483</v>
      </c>
      <c r="G117" s="25" t="s">
        <v>1031</v>
      </c>
      <c r="H117" s="26">
        <v>0.14449999999999999</v>
      </c>
      <c r="I117" s="26"/>
      <c r="J117" s="26"/>
      <c r="K117" s="25"/>
      <c r="L117" s="24" t="s">
        <v>512</v>
      </c>
      <c r="M117" s="27" t="s">
        <v>513</v>
      </c>
    </row>
    <row r="118" spans="1:13" ht="25.5" x14ac:dyDescent="0.25">
      <c r="A118" s="22">
        <v>2026</v>
      </c>
      <c r="B118" s="23" t="s">
        <v>167</v>
      </c>
      <c r="C118" s="23" t="s">
        <v>90</v>
      </c>
      <c r="D118" s="23" t="s">
        <v>1030</v>
      </c>
      <c r="E118" s="24" t="s">
        <v>309</v>
      </c>
      <c r="F118" s="24" t="s">
        <v>483</v>
      </c>
      <c r="G118" s="25" t="s">
        <v>1032</v>
      </c>
      <c r="H118" s="26">
        <v>0.72375</v>
      </c>
      <c r="I118" s="26"/>
      <c r="J118" s="26"/>
      <c r="K118" s="25"/>
      <c r="L118" s="24" t="s">
        <v>512</v>
      </c>
      <c r="M118" s="27" t="s">
        <v>513</v>
      </c>
    </row>
    <row r="119" spans="1:13" ht="25.5" x14ac:dyDescent="0.25">
      <c r="A119" s="22">
        <v>2026</v>
      </c>
      <c r="B119" s="23" t="s">
        <v>167</v>
      </c>
      <c r="C119" s="23" t="s">
        <v>90</v>
      </c>
      <c r="D119" s="23" t="s">
        <v>1033</v>
      </c>
      <c r="E119" s="24" t="s">
        <v>578</v>
      </c>
      <c r="F119" s="24" t="s">
        <v>325</v>
      </c>
      <c r="G119" s="25" t="s">
        <v>1034</v>
      </c>
      <c r="H119" s="26">
        <v>0.54</v>
      </c>
      <c r="I119" s="26"/>
      <c r="J119" s="26"/>
      <c r="K119" s="25"/>
      <c r="L119" s="24" t="s">
        <v>512</v>
      </c>
      <c r="M119" s="27" t="s">
        <v>513</v>
      </c>
    </row>
    <row r="120" spans="1:13" ht="25.5" x14ac:dyDescent="0.25">
      <c r="A120" s="22">
        <v>2026</v>
      </c>
      <c r="B120" s="23" t="s">
        <v>167</v>
      </c>
      <c r="C120" s="23" t="s">
        <v>90</v>
      </c>
      <c r="D120" s="23" t="s">
        <v>1033</v>
      </c>
      <c r="E120" s="24" t="s">
        <v>578</v>
      </c>
      <c r="F120" s="24" t="s">
        <v>325</v>
      </c>
      <c r="G120" s="25" t="s">
        <v>1035</v>
      </c>
      <c r="H120" s="26">
        <v>0.59840000000000004</v>
      </c>
      <c r="I120" s="26"/>
      <c r="J120" s="26"/>
      <c r="K120" s="25"/>
      <c r="L120" s="24" t="s">
        <v>512</v>
      </c>
      <c r="M120" s="27" t="s">
        <v>513</v>
      </c>
    </row>
    <row r="121" spans="1:13" ht="25.5" x14ac:dyDescent="0.25">
      <c r="A121" s="22">
        <v>2026</v>
      </c>
      <c r="B121" s="23" t="s">
        <v>167</v>
      </c>
      <c r="C121" s="23" t="s">
        <v>90</v>
      </c>
      <c r="D121" s="23" t="s">
        <v>1033</v>
      </c>
      <c r="E121" s="24" t="s">
        <v>578</v>
      </c>
      <c r="F121" s="24" t="s">
        <v>325</v>
      </c>
      <c r="G121" s="25" t="s">
        <v>1036</v>
      </c>
      <c r="H121" s="26">
        <v>2.3188</v>
      </c>
      <c r="I121" s="26"/>
      <c r="J121" s="26"/>
      <c r="K121" s="25"/>
      <c r="L121" s="24" t="s">
        <v>512</v>
      </c>
      <c r="M121" s="27" t="s">
        <v>513</v>
      </c>
    </row>
    <row r="122" spans="1:13" ht="25.5" x14ac:dyDescent="0.25">
      <c r="A122" s="22">
        <v>2026</v>
      </c>
      <c r="B122" s="23" t="s">
        <v>167</v>
      </c>
      <c r="C122" s="23" t="s">
        <v>90</v>
      </c>
      <c r="D122" s="23" t="s">
        <v>1033</v>
      </c>
      <c r="E122" s="24" t="s">
        <v>578</v>
      </c>
      <c r="F122" s="24" t="s">
        <v>325</v>
      </c>
      <c r="G122" s="25" t="s">
        <v>1037</v>
      </c>
      <c r="H122" s="26">
        <v>5.4790000000000001</v>
      </c>
      <c r="I122" s="26"/>
      <c r="J122" s="26"/>
      <c r="K122" s="25"/>
      <c r="L122" s="24" t="s">
        <v>512</v>
      </c>
      <c r="M122" s="27" t="s">
        <v>513</v>
      </c>
    </row>
    <row r="123" spans="1:13" ht="25.5" x14ac:dyDescent="0.25">
      <c r="A123" s="22">
        <v>2026</v>
      </c>
      <c r="B123" s="23" t="s">
        <v>167</v>
      </c>
      <c r="C123" s="23" t="s">
        <v>90</v>
      </c>
      <c r="D123" s="23" t="s">
        <v>226</v>
      </c>
      <c r="E123" s="24" t="s">
        <v>415</v>
      </c>
      <c r="F123" s="24" t="s">
        <v>350</v>
      </c>
      <c r="G123" s="25" t="s">
        <v>1038</v>
      </c>
      <c r="H123" s="26">
        <v>0.20874999999999999</v>
      </c>
      <c r="I123" s="26"/>
      <c r="J123" s="26"/>
      <c r="K123" s="25"/>
      <c r="L123" s="24" t="s">
        <v>512</v>
      </c>
      <c r="M123" s="27" t="s">
        <v>513</v>
      </c>
    </row>
    <row r="124" spans="1:13" ht="25.5" x14ac:dyDescent="0.25">
      <c r="A124" s="22">
        <v>2026</v>
      </c>
      <c r="B124" s="23" t="s">
        <v>167</v>
      </c>
      <c r="C124" s="23" t="s">
        <v>90</v>
      </c>
      <c r="D124" s="23" t="s">
        <v>226</v>
      </c>
      <c r="E124" s="24" t="s">
        <v>415</v>
      </c>
      <c r="F124" s="24" t="s">
        <v>350</v>
      </c>
      <c r="G124" s="25" t="s">
        <v>1039</v>
      </c>
      <c r="H124" s="26">
        <v>0.20899999999999999</v>
      </c>
      <c r="I124" s="26"/>
      <c r="J124" s="26"/>
      <c r="K124" s="25"/>
      <c r="L124" s="24" t="s">
        <v>512</v>
      </c>
      <c r="M124" s="27" t="s">
        <v>513</v>
      </c>
    </row>
    <row r="125" spans="1:13" ht="25.5" x14ac:dyDescent="0.25">
      <c r="A125" s="22">
        <v>2026</v>
      </c>
      <c r="B125" s="23" t="s">
        <v>167</v>
      </c>
      <c r="C125" s="23" t="s">
        <v>90</v>
      </c>
      <c r="D125" s="23" t="s">
        <v>226</v>
      </c>
      <c r="E125" s="24" t="s">
        <v>415</v>
      </c>
      <c r="F125" s="24" t="s">
        <v>350</v>
      </c>
      <c r="G125" s="25" t="s">
        <v>1040</v>
      </c>
      <c r="H125" s="26">
        <v>0.21435000000000001</v>
      </c>
      <c r="I125" s="26"/>
      <c r="J125" s="26"/>
      <c r="K125" s="25"/>
      <c r="L125" s="24" t="s">
        <v>512</v>
      </c>
      <c r="M125" s="27" t="s">
        <v>513</v>
      </c>
    </row>
    <row r="126" spans="1:13" ht="25.5" x14ac:dyDescent="0.25">
      <c r="A126" s="22">
        <v>2026</v>
      </c>
      <c r="B126" s="23" t="s">
        <v>167</v>
      </c>
      <c r="C126" s="23" t="s">
        <v>90</v>
      </c>
      <c r="D126" s="23" t="s">
        <v>226</v>
      </c>
      <c r="E126" s="24" t="s">
        <v>415</v>
      </c>
      <c r="F126" s="24" t="s">
        <v>350</v>
      </c>
      <c r="G126" s="25" t="s">
        <v>1041</v>
      </c>
      <c r="H126" s="26">
        <v>0.42</v>
      </c>
      <c r="I126" s="26"/>
      <c r="J126" s="26"/>
      <c r="K126" s="25"/>
      <c r="L126" s="24" t="s">
        <v>512</v>
      </c>
      <c r="M126" s="27" t="s">
        <v>513</v>
      </c>
    </row>
    <row r="127" spans="1:13" ht="25.5" x14ac:dyDescent="0.25">
      <c r="A127" s="22">
        <v>2026</v>
      </c>
      <c r="B127" s="23" t="s">
        <v>167</v>
      </c>
      <c r="C127" s="23" t="s">
        <v>90</v>
      </c>
      <c r="D127" s="23" t="s">
        <v>226</v>
      </c>
      <c r="E127" s="24" t="s">
        <v>415</v>
      </c>
      <c r="F127" s="24" t="s">
        <v>350</v>
      </c>
      <c r="G127" s="25" t="s">
        <v>1042</v>
      </c>
      <c r="H127" s="26">
        <v>1.296</v>
      </c>
      <c r="I127" s="26"/>
      <c r="J127" s="26"/>
      <c r="K127" s="25"/>
      <c r="L127" s="24" t="s">
        <v>512</v>
      </c>
      <c r="M127" s="27" t="s">
        <v>513</v>
      </c>
    </row>
    <row r="128" spans="1:13" ht="25.5" x14ac:dyDescent="0.25">
      <c r="A128" s="22">
        <v>2026</v>
      </c>
      <c r="B128" s="23" t="s">
        <v>167</v>
      </c>
      <c r="C128" s="23" t="s">
        <v>90</v>
      </c>
      <c r="D128" s="23" t="s">
        <v>226</v>
      </c>
      <c r="E128" s="24" t="s">
        <v>415</v>
      </c>
      <c r="F128" s="24" t="s">
        <v>350</v>
      </c>
      <c r="G128" s="25" t="s">
        <v>1043</v>
      </c>
      <c r="H128" s="26">
        <v>1.4804999999999999</v>
      </c>
      <c r="I128" s="26"/>
      <c r="J128" s="26"/>
      <c r="K128" s="25"/>
      <c r="L128" s="24" t="s">
        <v>512</v>
      </c>
      <c r="M128" s="27" t="s">
        <v>513</v>
      </c>
    </row>
    <row r="129" spans="1:13" ht="25.5" x14ac:dyDescent="0.25">
      <c r="A129" s="22">
        <v>2026</v>
      </c>
      <c r="B129" s="23" t="s">
        <v>167</v>
      </c>
      <c r="C129" s="23" t="s">
        <v>90</v>
      </c>
      <c r="D129" s="23" t="s">
        <v>226</v>
      </c>
      <c r="E129" s="24" t="s">
        <v>415</v>
      </c>
      <c r="F129" s="24" t="s">
        <v>350</v>
      </c>
      <c r="G129" s="25" t="s">
        <v>1044</v>
      </c>
      <c r="H129" s="26">
        <v>1.722</v>
      </c>
      <c r="I129" s="26"/>
      <c r="J129" s="26"/>
      <c r="K129" s="25"/>
      <c r="L129" s="24" t="s">
        <v>512</v>
      </c>
      <c r="M129" s="27" t="s">
        <v>513</v>
      </c>
    </row>
    <row r="130" spans="1:13" ht="25.5" x14ac:dyDescent="0.25">
      <c r="A130" s="22">
        <v>2026</v>
      </c>
      <c r="B130" s="23" t="s">
        <v>167</v>
      </c>
      <c r="C130" s="23" t="s">
        <v>90</v>
      </c>
      <c r="D130" s="23" t="s">
        <v>226</v>
      </c>
      <c r="E130" s="24" t="s">
        <v>415</v>
      </c>
      <c r="F130" s="24" t="s">
        <v>350</v>
      </c>
      <c r="G130" s="25" t="s">
        <v>1045</v>
      </c>
      <c r="H130" s="26">
        <v>2.0177049999999999</v>
      </c>
      <c r="I130" s="26"/>
      <c r="J130" s="26"/>
      <c r="K130" s="25"/>
      <c r="L130" s="24" t="s">
        <v>512</v>
      </c>
      <c r="M130" s="27" t="s">
        <v>513</v>
      </c>
    </row>
    <row r="131" spans="1:13" ht="25.5" x14ac:dyDescent="0.25">
      <c r="A131" s="22">
        <v>2026</v>
      </c>
      <c r="B131" s="23" t="s">
        <v>167</v>
      </c>
      <c r="C131" s="23" t="s">
        <v>90</v>
      </c>
      <c r="D131" s="23" t="s">
        <v>226</v>
      </c>
      <c r="E131" s="24" t="s">
        <v>415</v>
      </c>
      <c r="F131" s="24" t="s">
        <v>350</v>
      </c>
      <c r="G131" s="25" t="s">
        <v>1046</v>
      </c>
      <c r="H131" s="26">
        <v>2.1635499999999999</v>
      </c>
      <c r="I131" s="26"/>
      <c r="J131" s="26"/>
      <c r="K131" s="25"/>
      <c r="L131" s="24" t="s">
        <v>512</v>
      </c>
      <c r="M131" s="27" t="s">
        <v>513</v>
      </c>
    </row>
    <row r="132" spans="1:13" ht="25.5" x14ac:dyDescent="0.25">
      <c r="A132" s="22">
        <v>2026</v>
      </c>
      <c r="B132" s="23" t="s">
        <v>167</v>
      </c>
      <c r="C132" s="23" t="s">
        <v>90</v>
      </c>
      <c r="D132" s="23" t="s">
        <v>226</v>
      </c>
      <c r="E132" s="24" t="s">
        <v>415</v>
      </c>
      <c r="F132" s="24" t="s">
        <v>350</v>
      </c>
      <c r="G132" s="25" t="s">
        <v>1047</v>
      </c>
      <c r="H132" s="26">
        <v>4.2960000000000003</v>
      </c>
      <c r="I132" s="26"/>
      <c r="J132" s="26"/>
      <c r="K132" s="25"/>
      <c r="L132" s="24" t="s">
        <v>512</v>
      </c>
      <c r="M132" s="27" t="s">
        <v>513</v>
      </c>
    </row>
    <row r="133" spans="1:13" ht="25.5" x14ac:dyDescent="0.25">
      <c r="A133" s="22">
        <v>2026</v>
      </c>
      <c r="B133" s="23" t="s">
        <v>167</v>
      </c>
      <c r="C133" s="23" t="s">
        <v>90</v>
      </c>
      <c r="D133" s="23" t="s">
        <v>1048</v>
      </c>
      <c r="E133" s="24" t="s">
        <v>398</v>
      </c>
      <c r="F133" s="24" t="s">
        <v>353</v>
      </c>
      <c r="G133" s="25" t="s">
        <v>1049</v>
      </c>
      <c r="H133" s="26">
        <v>0.57555000000000001</v>
      </c>
      <c r="I133" s="26"/>
      <c r="J133" s="26"/>
      <c r="K133" s="25"/>
      <c r="L133" s="24" t="s">
        <v>512</v>
      </c>
      <c r="M133" s="27" t="s">
        <v>513</v>
      </c>
    </row>
    <row r="134" spans="1:13" ht="25.5" x14ac:dyDescent="0.25">
      <c r="A134" s="22">
        <v>2026</v>
      </c>
      <c r="B134" s="23" t="s">
        <v>167</v>
      </c>
      <c r="C134" s="23" t="s">
        <v>90</v>
      </c>
      <c r="D134" s="23" t="s">
        <v>1048</v>
      </c>
      <c r="E134" s="24" t="s">
        <v>398</v>
      </c>
      <c r="F134" s="24" t="s">
        <v>353</v>
      </c>
      <c r="G134" s="25" t="s">
        <v>1050</v>
      </c>
      <c r="H134" s="26">
        <v>0.57584999999999997</v>
      </c>
      <c r="I134" s="26"/>
      <c r="J134" s="26"/>
      <c r="K134" s="25"/>
      <c r="L134" s="24" t="s">
        <v>512</v>
      </c>
      <c r="M134" s="27" t="s">
        <v>513</v>
      </c>
    </row>
    <row r="135" spans="1:13" ht="25.5" x14ac:dyDescent="0.25">
      <c r="A135" s="22">
        <v>2026</v>
      </c>
      <c r="B135" s="23" t="s">
        <v>167</v>
      </c>
      <c r="C135" s="23" t="s">
        <v>90</v>
      </c>
      <c r="D135" s="23" t="s">
        <v>1048</v>
      </c>
      <c r="E135" s="24" t="s">
        <v>398</v>
      </c>
      <c r="F135" s="24" t="s">
        <v>353</v>
      </c>
      <c r="G135" s="25" t="s">
        <v>1051</v>
      </c>
      <c r="H135" s="26">
        <v>1.1409</v>
      </c>
      <c r="I135" s="26"/>
      <c r="J135" s="26"/>
      <c r="K135" s="25"/>
      <c r="L135" s="24" t="s">
        <v>512</v>
      </c>
      <c r="M135" s="27" t="s">
        <v>513</v>
      </c>
    </row>
    <row r="136" spans="1:13" ht="25.5" x14ac:dyDescent="0.25">
      <c r="A136" s="22">
        <v>2026</v>
      </c>
      <c r="B136" s="23" t="s">
        <v>167</v>
      </c>
      <c r="C136" s="23" t="s">
        <v>90</v>
      </c>
      <c r="D136" s="23" t="s">
        <v>1048</v>
      </c>
      <c r="E136" s="24" t="s">
        <v>398</v>
      </c>
      <c r="F136" s="24" t="s">
        <v>353</v>
      </c>
      <c r="G136" s="25" t="s">
        <v>1052</v>
      </c>
      <c r="H136" s="26">
        <v>1.1412</v>
      </c>
      <c r="I136" s="26"/>
      <c r="J136" s="26"/>
      <c r="K136" s="25"/>
      <c r="L136" s="24" t="s">
        <v>512</v>
      </c>
      <c r="M136" s="27" t="s">
        <v>513</v>
      </c>
    </row>
    <row r="137" spans="1:13" ht="25.5" x14ac:dyDescent="0.25">
      <c r="A137" s="22">
        <v>2026</v>
      </c>
      <c r="B137" s="23" t="s">
        <v>167</v>
      </c>
      <c r="C137" s="23" t="s">
        <v>90</v>
      </c>
      <c r="D137" s="23" t="s">
        <v>1048</v>
      </c>
      <c r="E137" s="24" t="s">
        <v>398</v>
      </c>
      <c r="F137" s="24" t="s">
        <v>353</v>
      </c>
      <c r="G137" s="25" t="s">
        <v>1053</v>
      </c>
      <c r="H137" s="26">
        <v>1.3303500000000001</v>
      </c>
      <c r="I137" s="26"/>
      <c r="J137" s="26"/>
      <c r="K137" s="25"/>
      <c r="L137" s="24" t="s">
        <v>512</v>
      </c>
      <c r="M137" s="27" t="s">
        <v>513</v>
      </c>
    </row>
    <row r="138" spans="1:13" ht="25.5" x14ac:dyDescent="0.25">
      <c r="A138" s="22">
        <v>2026</v>
      </c>
      <c r="B138" s="23" t="s">
        <v>167</v>
      </c>
      <c r="C138" s="23" t="s">
        <v>90</v>
      </c>
      <c r="D138" s="23" t="s">
        <v>1048</v>
      </c>
      <c r="E138" s="24" t="s">
        <v>398</v>
      </c>
      <c r="F138" s="24" t="s">
        <v>353</v>
      </c>
      <c r="G138" s="25" t="s">
        <v>1054</v>
      </c>
      <c r="H138" s="26">
        <v>1.34785</v>
      </c>
      <c r="I138" s="26"/>
      <c r="J138" s="26"/>
      <c r="K138" s="25"/>
      <c r="L138" s="24" t="s">
        <v>512</v>
      </c>
      <c r="M138" s="27" t="s">
        <v>513</v>
      </c>
    </row>
    <row r="139" spans="1:13" ht="25.5" x14ac:dyDescent="0.25">
      <c r="A139" s="22">
        <v>2026</v>
      </c>
      <c r="B139" s="23" t="s">
        <v>167</v>
      </c>
      <c r="C139" s="23" t="s">
        <v>90</v>
      </c>
      <c r="D139" s="23" t="s">
        <v>1048</v>
      </c>
      <c r="E139" s="24" t="s">
        <v>398</v>
      </c>
      <c r="F139" s="24" t="s">
        <v>353</v>
      </c>
      <c r="G139" s="25" t="s">
        <v>1055</v>
      </c>
      <c r="H139" s="26">
        <v>1.42875</v>
      </c>
      <c r="I139" s="26"/>
      <c r="J139" s="26"/>
      <c r="K139" s="25"/>
      <c r="L139" s="24" t="s">
        <v>512</v>
      </c>
      <c r="M139" s="27" t="s">
        <v>513</v>
      </c>
    </row>
    <row r="140" spans="1:13" ht="25.5" x14ac:dyDescent="0.25">
      <c r="A140" s="22">
        <v>2026</v>
      </c>
      <c r="B140" s="23" t="s">
        <v>167</v>
      </c>
      <c r="C140" s="23" t="s">
        <v>90</v>
      </c>
      <c r="D140" s="23" t="s">
        <v>1048</v>
      </c>
      <c r="E140" s="24" t="s">
        <v>398</v>
      </c>
      <c r="F140" s="24" t="s">
        <v>353</v>
      </c>
      <c r="G140" s="25" t="s">
        <v>1056</v>
      </c>
      <c r="H140" s="26">
        <v>2.0855999999999999</v>
      </c>
      <c r="I140" s="26"/>
      <c r="J140" s="26"/>
      <c r="K140" s="25"/>
      <c r="L140" s="24" t="s">
        <v>512</v>
      </c>
      <c r="M140" s="27" t="s">
        <v>513</v>
      </c>
    </row>
    <row r="141" spans="1:13" ht="25.5" x14ac:dyDescent="0.25">
      <c r="A141" s="22">
        <v>2026</v>
      </c>
      <c r="B141" s="23" t="s">
        <v>167</v>
      </c>
      <c r="C141" s="23" t="s">
        <v>90</v>
      </c>
      <c r="D141" s="23" t="s">
        <v>1048</v>
      </c>
      <c r="E141" s="24" t="s">
        <v>398</v>
      </c>
      <c r="F141" s="24" t="s">
        <v>353</v>
      </c>
      <c r="G141" s="25" t="s">
        <v>1057</v>
      </c>
      <c r="H141" s="26">
        <v>2.101</v>
      </c>
      <c r="I141" s="26"/>
      <c r="J141" s="26"/>
      <c r="K141" s="25"/>
      <c r="L141" s="24" t="s">
        <v>512</v>
      </c>
      <c r="M141" s="27" t="s">
        <v>513</v>
      </c>
    </row>
    <row r="142" spans="1:13" ht="25.5" x14ac:dyDescent="0.25">
      <c r="A142" s="22">
        <v>2026</v>
      </c>
      <c r="B142" s="23" t="s">
        <v>183</v>
      </c>
      <c r="C142" s="23" t="s">
        <v>19</v>
      </c>
      <c r="D142" s="23" t="s">
        <v>196</v>
      </c>
      <c r="E142" s="24" t="s">
        <v>352</v>
      </c>
      <c r="F142" s="24" t="s">
        <v>353</v>
      </c>
      <c r="G142" s="25" t="s">
        <v>1058</v>
      </c>
      <c r="H142" s="26">
        <v>0.10831250000000001</v>
      </c>
      <c r="I142" s="26"/>
      <c r="J142" s="26"/>
      <c r="K142" s="25"/>
      <c r="L142" s="24" t="s">
        <v>512</v>
      </c>
      <c r="M142" s="27" t="s">
        <v>513</v>
      </c>
    </row>
    <row r="143" spans="1:13" ht="25.5" x14ac:dyDescent="0.25">
      <c r="A143" s="22">
        <v>2026</v>
      </c>
      <c r="B143" s="23" t="s">
        <v>183</v>
      </c>
      <c r="C143" s="23" t="s">
        <v>19</v>
      </c>
      <c r="D143" s="23" t="s">
        <v>196</v>
      </c>
      <c r="E143" s="24" t="s">
        <v>352</v>
      </c>
      <c r="F143" s="24" t="s">
        <v>353</v>
      </c>
      <c r="G143" s="25" t="s">
        <v>1059</v>
      </c>
      <c r="H143" s="26">
        <v>0.42699999999999999</v>
      </c>
      <c r="I143" s="26"/>
      <c r="J143" s="26"/>
      <c r="K143" s="25"/>
      <c r="L143" s="24" t="s">
        <v>512</v>
      </c>
      <c r="M143" s="27" t="s">
        <v>513</v>
      </c>
    </row>
    <row r="144" spans="1:13" ht="25.5" x14ac:dyDescent="0.25">
      <c r="A144" s="22">
        <v>2026</v>
      </c>
      <c r="B144" s="23" t="s">
        <v>183</v>
      </c>
      <c r="C144" s="23" t="s">
        <v>19</v>
      </c>
      <c r="D144" s="23" t="s">
        <v>196</v>
      </c>
      <c r="E144" s="24" t="s">
        <v>352</v>
      </c>
      <c r="F144" s="24" t="s">
        <v>353</v>
      </c>
      <c r="G144" s="25" t="s">
        <v>1060</v>
      </c>
      <c r="H144" s="26">
        <v>0.42849999999999999</v>
      </c>
      <c r="I144" s="26"/>
      <c r="J144" s="26"/>
      <c r="K144" s="25"/>
      <c r="L144" s="24" t="s">
        <v>512</v>
      </c>
      <c r="M144" s="27" t="s">
        <v>513</v>
      </c>
    </row>
    <row r="145" spans="1:13" ht="25.5" x14ac:dyDescent="0.25">
      <c r="A145" s="22">
        <v>2026</v>
      </c>
      <c r="B145" s="23" t="s">
        <v>183</v>
      </c>
      <c r="C145" s="23" t="s">
        <v>19</v>
      </c>
      <c r="D145" s="23" t="s">
        <v>196</v>
      </c>
      <c r="E145" s="24" t="s">
        <v>352</v>
      </c>
      <c r="F145" s="24" t="s">
        <v>353</v>
      </c>
      <c r="G145" s="25" t="s">
        <v>1061</v>
      </c>
      <c r="H145" s="26">
        <v>0.53218699999999997</v>
      </c>
      <c r="I145" s="26"/>
      <c r="J145" s="26"/>
      <c r="K145" s="25"/>
      <c r="L145" s="24" t="s">
        <v>512</v>
      </c>
      <c r="M145" s="27" t="s">
        <v>513</v>
      </c>
    </row>
    <row r="146" spans="1:13" ht="25.5" x14ac:dyDescent="0.25">
      <c r="A146" s="22">
        <v>2026</v>
      </c>
      <c r="B146" s="23" t="s">
        <v>183</v>
      </c>
      <c r="C146" s="23" t="s">
        <v>19</v>
      </c>
      <c r="D146" s="23" t="s">
        <v>196</v>
      </c>
      <c r="E146" s="24" t="s">
        <v>352</v>
      </c>
      <c r="F146" s="24" t="s">
        <v>353</v>
      </c>
      <c r="G146" s="25" t="s">
        <v>1062</v>
      </c>
      <c r="H146" s="26">
        <v>0.72455700000000001</v>
      </c>
      <c r="I146" s="26"/>
      <c r="J146" s="26"/>
      <c r="K146" s="25"/>
      <c r="L146" s="24" t="s">
        <v>512</v>
      </c>
      <c r="M146" s="27" t="s">
        <v>513</v>
      </c>
    </row>
    <row r="147" spans="1:13" ht="25.5" x14ac:dyDescent="0.25">
      <c r="A147" s="22">
        <v>2026</v>
      </c>
      <c r="B147" s="23" t="s">
        <v>183</v>
      </c>
      <c r="C147" s="23" t="s">
        <v>19</v>
      </c>
      <c r="D147" s="23" t="s">
        <v>196</v>
      </c>
      <c r="E147" s="24" t="s">
        <v>352</v>
      </c>
      <c r="F147" s="24" t="s">
        <v>353</v>
      </c>
      <c r="G147" s="25" t="s">
        <v>1063</v>
      </c>
      <c r="H147" s="26">
        <v>0.74375000000000002</v>
      </c>
      <c r="I147" s="26"/>
      <c r="J147" s="26"/>
      <c r="K147" s="25"/>
      <c r="L147" s="24" t="s">
        <v>512</v>
      </c>
      <c r="M147" s="27" t="s">
        <v>513</v>
      </c>
    </row>
    <row r="148" spans="1:13" ht="25.5" x14ac:dyDescent="0.25">
      <c r="A148" s="22">
        <v>2026</v>
      </c>
      <c r="B148" s="23" t="s">
        <v>183</v>
      </c>
      <c r="C148" s="23" t="s">
        <v>19</v>
      </c>
      <c r="D148" s="23" t="s">
        <v>196</v>
      </c>
      <c r="E148" s="24" t="s">
        <v>352</v>
      </c>
      <c r="F148" s="24" t="s">
        <v>353</v>
      </c>
      <c r="G148" s="25" t="s">
        <v>1064</v>
      </c>
      <c r="H148" s="26">
        <v>0.876</v>
      </c>
      <c r="I148" s="26"/>
      <c r="J148" s="26"/>
      <c r="K148" s="25"/>
      <c r="L148" s="24" t="s">
        <v>512</v>
      </c>
      <c r="M148" s="27" t="s">
        <v>513</v>
      </c>
    </row>
    <row r="149" spans="1:13" ht="25.5" x14ac:dyDescent="0.25">
      <c r="A149" s="22">
        <v>2026</v>
      </c>
      <c r="B149" s="23" t="s">
        <v>183</v>
      </c>
      <c r="C149" s="23" t="s">
        <v>19</v>
      </c>
      <c r="D149" s="23" t="s">
        <v>170</v>
      </c>
      <c r="E149" s="24" t="s">
        <v>286</v>
      </c>
      <c r="F149" s="24" t="s">
        <v>287</v>
      </c>
      <c r="G149" s="25" t="s">
        <v>1065</v>
      </c>
      <c r="H149" s="26">
        <v>0.5474</v>
      </c>
      <c r="I149" s="26"/>
      <c r="J149" s="26"/>
      <c r="K149" s="25"/>
      <c r="L149" s="24" t="s">
        <v>512</v>
      </c>
      <c r="M149" s="27" t="s">
        <v>513</v>
      </c>
    </row>
    <row r="150" spans="1:13" ht="25.5" x14ac:dyDescent="0.25">
      <c r="A150" s="22">
        <v>2026</v>
      </c>
      <c r="B150" s="23" t="s">
        <v>183</v>
      </c>
      <c r="C150" s="23" t="s">
        <v>19</v>
      </c>
      <c r="D150" s="23" t="s">
        <v>202</v>
      </c>
      <c r="E150" s="24" t="s">
        <v>369</v>
      </c>
      <c r="F150" s="24" t="s">
        <v>287</v>
      </c>
      <c r="G150" s="25" t="s">
        <v>1066</v>
      </c>
      <c r="H150" s="26">
        <v>0.50019999999999998</v>
      </c>
      <c r="I150" s="26"/>
      <c r="J150" s="26"/>
      <c r="K150" s="25"/>
      <c r="L150" s="24" t="s">
        <v>512</v>
      </c>
      <c r="M150" s="27" t="s">
        <v>513</v>
      </c>
    </row>
    <row r="151" spans="1:13" ht="25.5" x14ac:dyDescent="0.25">
      <c r="A151" s="22">
        <v>2026</v>
      </c>
      <c r="B151" s="23" t="s">
        <v>183</v>
      </c>
      <c r="C151" s="23" t="s">
        <v>19</v>
      </c>
      <c r="D151" s="23" t="s">
        <v>909</v>
      </c>
      <c r="E151" s="24" t="s">
        <v>569</v>
      </c>
      <c r="F151" s="24" t="s">
        <v>353</v>
      </c>
      <c r="G151" s="25" t="s">
        <v>1067</v>
      </c>
      <c r="H151" s="26">
        <v>0.55400000000000005</v>
      </c>
      <c r="I151" s="26"/>
      <c r="J151" s="26"/>
      <c r="K151" s="25"/>
      <c r="L151" s="24" t="s">
        <v>512</v>
      </c>
      <c r="M151" s="27" t="s">
        <v>513</v>
      </c>
    </row>
    <row r="152" spans="1:13" ht="25.5" x14ac:dyDescent="0.25">
      <c r="A152" s="22">
        <v>2026</v>
      </c>
      <c r="B152" s="23" t="s">
        <v>183</v>
      </c>
      <c r="C152" s="23" t="s">
        <v>19</v>
      </c>
      <c r="D152" s="23" t="s">
        <v>909</v>
      </c>
      <c r="E152" s="24" t="s">
        <v>569</v>
      </c>
      <c r="F152" s="24" t="s">
        <v>353</v>
      </c>
      <c r="G152" s="25" t="s">
        <v>1068</v>
      </c>
      <c r="H152" s="26">
        <v>0.70374999999999999</v>
      </c>
      <c r="I152" s="26"/>
      <c r="J152" s="26"/>
      <c r="K152" s="25"/>
      <c r="L152" s="24" t="s">
        <v>512</v>
      </c>
      <c r="M152" s="27" t="s">
        <v>513</v>
      </c>
    </row>
    <row r="153" spans="1:13" ht="25.5" x14ac:dyDescent="0.25">
      <c r="A153" s="22">
        <v>2026</v>
      </c>
      <c r="B153" s="23" t="s">
        <v>183</v>
      </c>
      <c r="C153" s="23" t="s">
        <v>19</v>
      </c>
      <c r="D153" s="23" t="s">
        <v>909</v>
      </c>
      <c r="E153" s="24" t="s">
        <v>569</v>
      </c>
      <c r="F153" s="24" t="s">
        <v>353</v>
      </c>
      <c r="G153" s="25" t="s">
        <v>1069</v>
      </c>
      <c r="H153" s="26">
        <v>0.72</v>
      </c>
      <c r="I153" s="26"/>
      <c r="J153" s="26"/>
      <c r="K153" s="25"/>
      <c r="L153" s="24" t="s">
        <v>512</v>
      </c>
      <c r="M153" s="27" t="s">
        <v>513</v>
      </c>
    </row>
    <row r="154" spans="1:13" ht="25.5" x14ac:dyDescent="0.25">
      <c r="A154" s="22">
        <v>2026</v>
      </c>
      <c r="B154" s="23" t="s">
        <v>183</v>
      </c>
      <c r="C154" s="23" t="s">
        <v>19</v>
      </c>
      <c r="D154" s="23" t="s">
        <v>909</v>
      </c>
      <c r="E154" s="24" t="s">
        <v>569</v>
      </c>
      <c r="F154" s="24" t="s">
        <v>353</v>
      </c>
      <c r="G154" s="25" t="s">
        <v>1070</v>
      </c>
      <c r="H154" s="26">
        <v>1.4175</v>
      </c>
      <c r="I154" s="26"/>
      <c r="J154" s="26"/>
      <c r="K154" s="25"/>
      <c r="L154" s="24" t="s">
        <v>512</v>
      </c>
      <c r="M154" s="27" t="s">
        <v>513</v>
      </c>
    </row>
    <row r="155" spans="1:13" ht="25.5" x14ac:dyDescent="0.25">
      <c r="A155" s="22">
        <v>2026</v>
      </c>
      <c r="B155" s="23" t="s">
        <v>183</v>
      </c>
      <c r="C155" s="23" t="s">
        <v>19</v>
      </c>
      <c r="D155" s="23" t="s">
        <v>909</v>
      </c>
      <c r="E155" s="24" t="s">
        <v>569</v>
      </c>
      <c r="F155" s="24" t="s">
        <v>353</v>
      </c>
      <c r="G155" s="25" t="s">
        <v>1071</v>
      </c>
      <c r="H155" s="26">
        <v>1.74</v>
      </c>
      <c r="I155" s="26"/>
      <c r="J155" s="26"/>
      <c r="K155" s="25"/>
      <c r="L155" s="24" t="s">
        <v>512</v>
      </c>
      <c r="M155" s="27" t="s">
        <v>513</v>
      </c>
    </row>
    <row r="156" spans="1:13" ht="25.5" x14ac:dyDescent="0.25">
      <c r="A156" s="22">
        <v>2026</v>
      </c>
      <c r="B156" s="23" t="s">
        <v>183</v>
      </c>
      <c r="C156" s="23" t="s">
        <v>19</v>
      </c>
      <c r="D156" s="23" t="s">
        <v>909</v>
      </c>
      <c r="E156" s="24" t="s">
        <v>569</v>
      </c>
      <c r="F156" s="24" t="s">
        <v>353</v>
      </c>
      <c r="G156" s="25" t="s">
        <v>1072</v>
      </c>
      <c r="H156" s="26">
        <v>3.0173999999999999</v>
      </c>
      <c r="I156" s="26"/>
      <c r="J156" s="26"/>
      <c r="K156" s="25"/>
      <c r="L156" s="24" t="s">
        <v>512</v>
      </c>
      <c r="M156" s="27" t="s">
        <v>513</v>
      </c>
    </row>
    <row r="157" spans="1:13" ht="25.5" x14ac:dyDescent="0.25">
      <c r="A157" s="22">
        <v>2026</v>
      </c>
      <c r="B157" s="23" t="s">
        <v>183</v>
      </c>
      <c r="C157" s="23" t="s">
        <v>19</v>
      </c>
      <c r="D157" s="23" t="s">
        <v>915</v>
      </c>
      <c r="E157" s="24" t="s">
        <v>491</v>
      </c>
      <c r="F157" s="24" t="s">
        <v>319</v>
      </c>
      <c r="G157" s="25" t="s">
        <v>1073</v>
      </c>
      <c r="H157" s="26">
        <v>0.76649999999999996</v>
      </c>
      <c r="I157" s="26"/>
      <c r="J157" s="26"/>
      <c r="K157" s="25"/>
      <c r="L157" s="24" t="s">
        <v>521</v>
      </c>
      <c r="M157" s="27" t="s">
        <v>513</v>
      </c>
    </row>
    <row r="158" spans="1:13" ht="25.5" x14ac:dyDescent="0.25">
      <c r="A158" s="22">
        <v>2026</v>
      </c>
      <c r="B158" s="23" t="s">
        <v>183</v>
      </c>
      <c r="C158" s="23" t="s">
        <v>19</v>
      </c>
      <c r="D158" s="23" t="s">
        <v>915</v>
      </c>
      <c r="E158" s="24" t="s">
        <v>491</v>
      </c>
      <c r="F158" s="24" t="s">
        <v>319</v>
      </c>
      <c r="G158" s="25" t="s">
        <v>1074</v>
      </c>
      <c r="H158" s="26">
        <v>1.3260000000000001</v>
      </c>
      <c r="I158" s="26"/>
      <c r="J158" s="26"/>
      <c r="K158" s="25"/>
      <c r="L158" s="24" t="s">
        <v>521</v>
      </c>
      <c r="M158" s="27" t="s">
        <v>513</v>
      </c>
    </row>
    <row r="159" spans="1:13" ht="25.5" x14ac:dyDescent="0.25">
      <c r="A159" s="22">
        <v>2026</v>
      </c>
      <c r="B159" s="23" t="s">
        <v>183</v>
      </c>
      <c r="C159" s="23" t="s">
        <v>19</v>
      </c>
      <c r="D159" s="23" t="s">
        <v>927</v>
      </c>
      <c r="E159" s="24" t="s">
        <v>923</v>
      </c>
      <c r="F159" s="24" t="s">
        <v>325</v>
      </c>
      <c r="G159" s="25" t="s">
        <v>1075</v>
      </c>
      <c r="H159" s="26">
        <v>0.12925</v>
      </c>
      <c r="I159" s="26"/>
      <c r="J159" s="26"/>
      <c r="K159" s="25"/>
      <c r="L159" s="24" t="s">
        <v>512</v>
      </c>
      <c r="M159" s="27" t="s">
        <v>513</v>
      </c>
    </row>
    <row r="160" spans="1:13" ht="25.5" x14ac:dyDescent="0.25">
      <c r="A160" s="22">
        <v>2026</v>
      </c>
      <c r="B160" s="23" t="s">
        <v>183</v>
      </c>
      <c r="C160" s="23" t="s">
        <v>19</v>
      </c>
      <c r="D160" s="23" t="s">
        <v>927</v>
      </c>
      <c r="E160" s="24" t="s">
        <v>923</v>
      </c>
      <c r="F160" s="24" t="s">
        <v>325</v>
      </c>
      <c r="G160" s="25" t="s">
        <v>1075</v>
      </c>
      <c r="H160" s="26">
        <v>0.12925</v>
      </c>
      <c r="I160" s="26"/>
      <c r="J160" s="26"/>
      <c r="K160" s="25"/>
      <c r="L160" s="24" t="s">
        <v>512</v>
      </c>
      <c r="M160" s="27" t="s">
        <v>513</v>
      </c>
    </row>
    <row r="161" spans="1:13" ht="25.5" x14ac:dyDescent="0.25">
      <c r="A161" s="22">
        <v>2026</v>
      </c>
      <c r="B161" s="23" t="s">
        <v>183</v>
      </c>
      <c r="C161" s="23" t="s">
        <v>19</v>
      </c>
      <c r="D161" s="23" t="s">
        <v>927</v>
      </c>
      <c r="E161" s="24" t="s">
        <v>923</v>
      </c>
      <c r="F161" s="24" t="s">
        <v>325</v>
      </c>
      <c r="G161" s="25" t="s">
        <v>1076</v>
      </c>
      <c r="H161" s="26">
        <v>0.13075000000000001</v>
      </c>
      <c r="I161" s="26"/>
      <c r="J161" s="26"/>
      <c r="K161" s="25"/>
      <c r="L161" s="24" t="s">
        <v>512</v>
      </c>
      <c r="M161" s="27" t="s">
        <v>513</v>
      </c>
    </row>
    <row r="162" spans="1:13" ht="25.5" x14ac:dyDescent="0.25">
      <c r="A162" s="22">
        <v>2026</v>
      </c>
      <c r="B162" s="23" t="s">
        <v>183</v>
      </c>
      <c r="C162" s="23" t="s">
        <v>19</v>
      </c>
      <c r="D162" s="23" t="s">
        <v>927</v>
      </c>
      <c r="E162" s="24" t="s">
        <v>923</v>
      </c>
      <c r="F162" s="24" t="s">
        <v>325</v>
      </c>
      <c r="G162" s="25" t="s">
        <v>1077</v>
      </c>
      <c r="H162" s="26">
        <v>0.1615625</v>
      </c>
      <c r="I162" s="26"/>
      <c r="J162" s="26"/>
      <c r="K162" s="25"/>
      <c r="L162" s="24" t="s">
        <v>512</v>
      </c>
      <c r="M162" s="27" t="s">
        <v>513</v>
      </c>
    </row>
    <row r="163" spans="1:13" ht="25.5" x14ac:dyDescent="0.25">
      <c r="A163" s="22">
        <v>2026</v>
      </c>
      <c r="B163" s="23" t="s">
        <v>183</v>
      </c>
      <c r="C163" s="23" t="s">
        <v>19</v>
      </c>
      <c r="D163" s="23" t="s">
        <v>927</v>
      </c>
      <c r="E163" s="24" t="s">
        <v>923</v>
      </c>
      <c r="F163" s="24" t="s">
        <v>325</v>
      </c>
      <c r="G163" s="25" t="s">
        <v>1078</v>
      </c>
      <c r="H163" s="26">
        <v>0.255</v>
      </c>
      <c r="I163" s="26"/>
      <c r="J163" s="26"/>
      <c r="K163" s="25"/>
      <c r="L163" s="24" t="s">
        <v>512</v>
      </c>
      <c r="M163" s="27" t="s">
        <v>513</v>
      </c>
    </row>
    <row r="164" spans="1:13" ht="25.5" x14ac:dyDescent="0.25">
      <c r="A164" s="22">
        <v>2026</v>
      </c>
      <c r="B164" s="23" t="s">
        <v>183</v>
      </c>
      <c r="C164" s="23" t="s">
        <v>19</v>
      </c>
      <c r="D164" s="23" t="s">
        <v>219</v>
      </c>
      <c r="E164" s="24" t="s">
        <v>403</v>
      </c>
      <c r="F164" s="24" t="s">
        <v>319</v>
      </c>
      <c r="G164" s="25" t="s">
        <v>1079</v>
      </c>
      <c r="H164" s="26">
        <v>9.2319999999999999E-2</v>
      </c>
      <c r="I164" s="26"/>
      <c r="J164" s="26"/>
      <c r="K164" s="25"/>
      <c r="L164" s="24" t="s">
        <v>521</v>
      </c>
      <c r="M164" s="27" t="s">
        <v>513</v>
      </c>
    </row>
    <row r="165" spans="1:13" ht="25.5" x14ac:dyDescent="0.25">
      <c r="A165" s="22">
        <v>2026</v>
      </c>
      <c r="B165" s="23" t="s">
        <v>183</v>
      </c>
      <c r="C165" s="23" t="s">
        <v>19</v>
      </c>
      <c r="D165" s="23" t="s">
        <v>933</v>
      </c>
      <c r="E165" s="24" t="s">
        <v>934</v>
      </c>
      <c r="F165" s="24" t="s">
        <v>301</v>
      </c>
      <c r="G165" s="25" t="s">
        <v>1080</v>
      </c>
      <c r="H165" s="26">
        <v>1.0609999999999999</v>
      </c>
      <c r="I165" s="26"/>
      <c r="J165" s="26"/>
      <c r="K165" s="25"/>
      <c r="L165" s="24" t="s">
        <v>521</v>
      </c>
      <c r="M165" s="27" t="s">
        <v>515</v>
      </c>
    </row>
    <row r="166" spans="1:13" ht="25.5" x14ac:dyDescent="0.25">
      <c r="A166" s="22">
        <v>2026</v>
      </c>
      <c r="B166" s="23" t="s">
        <v>183</v>
      </c>
      <c r="C166" s="23" t="s">
        <v>19</v>
      </c>
      <c r="D166" s="23" t="s">
        <v>933</v>
      </c>
      <c r="E166" s="24" t="s">
        <v>934</v>
      </c>
      <c r="F166" s="24" t="s">
        <v>301</v>
      </c>
      <c r="G166" s="25" t="s">
        <v>1081</v>
      </c>
      <c r="H166" s="26">
        <v>1.593774</v>
      </c>
      <c r="I166" s="26"/>
      <c r="J166" s="26"/>
      <c r="K166" s="25"/>
      <c r="L166" s="24" t="s">
        <v>521</v>
      </c>
      <c r="M166" s="27" t="s">
        <v>515</v>
      </c>
    </row>
    <row r="167" spans="1:13" ht="25.5" x14ac:dyDescent="0.25">
      <c r="A167" s="22">
        <v>2026</v>
      </c>
      <c r="B167" s="23" t="s">
        <v>183</v>
      </c>
      <c r="C167" s="23" t="s">
        <v>19</v>
      </c>
      <c r="D167" s="23" t="s">
        <v>933</v>
      </c>
      <c r="E167" s="24" t="s">
        <v>934</v>
      </c>
      <c r="F167" s="24" t="s">
        <v>301</v>
      </c>
      <c r="G167" s="25" t="s">
        <v>1082</v>
      </c>
      <c r="H167" s="26">
        <v>2.8255625000000002</v>
      </c>
      <c r="I167" s="26"/>
      <c r="J167" s="26"/>
      <c r="K167" s="25"/>
      <c r="L167" s="24" t="s">
        <v>521</v>
      </c>
      <c r="M167" s="27" t="s">
        <v>515</v>
      </c>
    </row>
    <row r="168" spans="1:13" ht="25.5" x14ac:dyDescent="0.25">
      <c r="A168" s="22">
        <v>2026</v>
      </c>
      <c r="B168" s="23" t="s">
        <v>183</v>
      </c>
      <c r="C168" s="23" t="s">
        <v>19</v>
      </c>
      <c r="D168" s="23" t="s">
        <v>1083</v>
      </c>
      <c r="E168" s="24" t="s">
        <v>1084</v>
      </c>
      <c r="F168" s="24" t="s">
        <v>386</v>
      </c>
      <c r="G168" s="25" t="s">
        <v>1085</v>
      </c>
      <c r="H168" s="26">
        <v>0.45250000000000001</v>
      </c>
      <c r="I168" s="26"/>
      <c r="J168" s="26"/>
      <c r="K168" s="25"/>
      <c r="L168" s="24" t="s">
        <v>512</v>
      </c>
      <c r="M168" s="27" t="s">
        <v>513</v>
      </c>
    </row>
    <row r="169" spans="1:13" ht="25.5" x14ac:dyDescent="0.25">
      <c r="A169" s="22">
        <v>2026</v>
      </c>
      <c r="B169" s="23" t="s">
        <v>183</v>
      </c>
      <c r="C169" s="23" t="s">
        <v>19</v>
      </c>
      <c r="D169" s="23" t="s">
        <v>936</v>
      </c>
      <c r="E169" s="24" t="s">
        <v>569</v>
      </c>
      <c r="F169" s="24" t="s">
        <v>937</v>
      </c>
      <c r="G169" s="25" t="s">
        <v>1086</v>
      </c>
      <c r="H169" s="26">
        <v>0.59840000000000004</v>
      </c>
      <c r="I169" s="26"/>
      <c r="J169" s="26"/>
      <c r="K169" s="25"/>
      <c r="L169" s="24" t="s">
        <v>521</v>
      </c>
      <c r="M169" s="27" t="s">
        <v>526</v>
      </c>
    </row>
    <row r="170" spans="1:13" ht="25.5" x14ac:dyDescent="0.25">
      <c r="A170" s="22">
        <v>2026</v>
      </c>
      <c r="B170" s="23" t="s">
        <v>183</v>
      </c>
      <c r="C170" s="23" t="s">
        <v>19</v>
      </c>
      <c r="D170" s="23" t="s">
        <v>936</v>
      </c>
      <c r="E170" s="24" t="s">
        <v>569</v>
      </c>
      <c r="F170" s="24" t="s">
        <v>937</v>
      </c>
      <c r="G170" s="25" t="s">
        <v>1087</v>
      </c>
      <c r="H170" s="26">
        <v>0.86450000000000005</v>
      </c>
      <c r="I170" s="26"/>
      <c r="J170" s="26"/>
      <c r="K170" s="25"/>
      <c r="L170" s="24" t="s">
        <v>521</v>
      </c>
      <c r="M170" s="27" t="s">
        <v>526</v>
      </c>
    </row>
    <row r="171" spans="1:13" ht="25.5" x14ac:dyDescent="0.25">
      <c r="A171" s="22">
        <v>2026</v>
      </c>
      <c r="B171" s="23" t="s">
        <v>183</v>
      </c>
      <c r="C171" s="23" t="s">
        <v>19</v>
      </c>
      <c r="D171" s="23" t="s">
        <v>936</v>
      </c>
      <c r="E171" s="24" t="s">
        <v>569</v>
      </c>
      <c r="F171" s="24" t="s">
        <v>937</v>
      </c>
      <c r="G171" s="25" t="s">
        <v>1088</v>
      </c>
      <c r="H171" s="26">
        <v>1.21275</v>
      </c>
      <c r="I171" s="26"/>
      <c r="J171" s="26"/>
      <c r="K171" s="25"/>
      <c r="L171" s="24" t="s">
        <v>521</v>
      </c>
      <c r="M171" s="27" t="s">
        <v>526</v>
      </c>
    </row>
    <row r="172" spans="1:13" ht="25.5" x14ac:dyDescent="0.25">
      <c r="A172" s="22">
        <v>2026</v>
      </c>
      <c r="B172" s="23" t="s">
        <v>183</v>
      </c>
      <c r="C172" s="23" t="s">
        <v>19</v>
      </c>
      <c r="D172" s="23" t="s">
        <v>936</v>
      </c>
      <c r="E172" s="24" t="s">
        <v>569</v>
      </c>
      <c r="F172" s="24" t="s">
        <v>937</v>
      </c>
      <c r="G172" s="25" t="s">
        <v>1089</v>
      </c>
      <c r="H172" s="26">
        <v>1.6348</v>
      </c>
      <c r="I172" s="26"/>
      <c r="J172" s="26"/>
      <c r="K172" s="25"/>
      <c r="L172" s="24" t="s">
        <v>521</v>
      </c>
      <c r="M172" s="27" t="s">
        <v>526</v>
      </c>
    </row>
    <row r="173" spans="1:13" ht="25.5" x14ac:dyDescent="0.25">
      <c r="A173" s="22">
        <v>2026</v>
      </c>
      <c r="B173" s="23" t="s">
        <v>183</v>
      </c>
      <c r="C173" s="23" t="s">
        <v>19</v>
      </c>
      <c r="D173" s="23" t="s">
        <v>952</v>
      </c>
      <c r="E173" s="24" t="s">
        <v>334</v>
      </c>
      <c r="F173" s="24" t="s">
        <v>319</v>
      </c>
      <c r="G173" s="25" t="s">
        <v>1090</v>
      </c>
      <c r="H173" s="26">
        <v>0.78790499999999997</v>
      </c>
      <c r="I173" s="26"/>
      <c r="J173" s="26"/>
      <c r="K173" s="25"/>
      <c r="L173" s="24" t="s">
        <v>521</v>
      </c>
      <c r="M173" s="27" t="s">
        <v>513</v>
      </c>
    </row>
    <row r="174" spans="1:13" ht="25.5" x14ac:dyDescent="0.25">
      <c r="A174" s="22">
        <v>2026</v>
      </c>
      <c r="B174" s="23" t="s">
        <v>183</v>
      </c>
      <c r="C174" s="23" t="s">
        <v>19</v>
      </c>
      <c r="D174" s="23" t="s">
        <v>952</v>
      </c>
      <c r="E174" s="24" t="s">
        <v>334</v>
      </c>
      <c r="F174" s="24" t="s">
        <v>319</v>
      </c>
      <c r="G174" s="25" t="s">
        <v>1091</v>
      </c>
      <c r="H174" s="26">
        <v>24.904820000000001</v>
      </c>
      <c r="I174" s="26"/>
      <c r="J174" s="26"/>
      <c r="K174" s="25"/>
      <c r="L174" s="24" t="s">
        <v>521</v>
      </c>
      <c r="M174" s="27" t="s">
        <v>513</v>
      </c>
    </row>
    <row r="175" spans="1:13" ht="25.5" x14ac:dyDescent="0.25">
      <c r="A175" s="22">
        <v>2026</v>
      </c>
      <c r="B175" s="23" t="s">
        <v>183</v>
      </c>
      <c r="C175" s="23" t="s">
        <v>19</v>
      </c>
      <c r="D175" s="23" t="s">
        <v>969</v>
      </c>
      <c r="E175" s="24" t="s">
        <v>970</v>
      </c>
      <c r="F175" s="24" t="s">
        <v>319</v>
      </c>
      <c r="G175" s="25" t="s">
        <v>1092</v>
      </c>
      <c r="H175" s="26">
        <v>0.23350000000000004</v>
      </c>
      <c r="I175" s="26"/>
      <c r="J175" s="26"/>
      <c r="K175" s="25" t="s">
        <v>550</v>
      </c>
      <c r="L175" s="24" t="s">
        <v>512</v>
      </c>
      <c r="M175" s="27" t="s">
        <v>513</v>
      </c>
    </row>
    <row r="176" spans="1:13" ht="25.5" x14ac:dyDescent="0.25">
      <c r="A176" s="22">
        <v>2026</v>
      </c>
      <c r="B176" s="23" t="s">
        <v>183</v>
      </c>
      <c r="C176" s="23" t="s">
        <v>19</v>
      </c>
      <c r="D176" s="23" t="s">
        <v>969</v>
      </c>
      <c r="E176" s="24" t="s">
        <v>970</v>
      </c>
      <c r="F176" s="24" t="s">
        <v>319</v>
      </c>
      <c r="G176" s="25" t="s">
        <v>1093</v>
      </c>
      <c r="H176" s="26">
        <v>0.3276</v>
      </c>
      <c r="I176" s="26"/>
      <c r="J176" s="26"/>
      <c r="K176" s="25" t="s">
        <v>550</v>
      </c>
      <c r="L176" s="24" t="s">
        <v>512</v>
      </c>
      <c r="M176" s="27" t="s">
        <v>513</v>
      </c>
    </row>
    <row r="177" spans="1:13" ht="25.5" x14ac:dyDescent="0.25">
      <c r="A177" s="22">
        <v>2026</v>
      </c>
      <c r="B177" s="23" t="s">
        <v>183</v>
      </c>
      <c r="C177" s="23" t="s">
        <v>19</v>
      </c>
      <c r="D177" s="23" t="s">
        <v>969</v>
      </c>
      <c r="E177" s="24" t="s">
        <v>970</v>
      </c>
      <c r="F177" s="24" t="s">
        <v>319</v>
      </c>
      <c r="G177" s="25" t="s">
        <v>977</v>
      </c>
      <c r="H177" s="26">
        <v>0.23400000000000001</v>
      </c>
      <c r="I177" s="26"/>
      <c r="J177" s="26"/>
      <c r="K177" s="25" t="s">
        <v>550</v>
      </c>
      <c r="L177" s="24" t="s">
        <v>512</v>
      </c>
      <c r="M177" s="27" t="s">
        <v>513</v>
      </c>
    </row>
    <row r="178" spans="1:13" ht="25.5" x14ac:dyDescent="0.25">
      <c r="A178" s="22">
        <v>2026</v>
      </c>
      <c r="B178" s="23" t="s">
        <v>183</v>
      </c>
      <c r="C178" s="23" t="s">
        <v>19</v>
      </c>
      <c r="D178" s="23" t="s">
        <v>1094</v>
      </c>
      <c r="E178" s="24" t="s">
        <v>1095</v>
      </c>
      <c r="F178" s="24" t="s">
        <v>316</v>
      </c>
      <c r="G178" s="25" t="s">
        <v>1096</v>
      </c>
      <c r="H178" s="26">
        <v>0.50429999999999997</v>
      </c>
      <c r="I178" s="26"/>
      <c r="J178" s="26"/>
      <c r="K178" s="25"/>
      <c r="L178" s="24" t="s">
        <v>512</v>
      </c>
      <c r="M178" s="27" t="s">
        <v>513</v>
      </c>
    </row>
    <row r="179" spans="1:13" ht="25.5" x14ac:dyDescent="0.25">
      <c r="A179" s="22">
        <v>2026</v>
      </c>
      <c r="B179" s="23" t="s">
        <v>183</v>
      </c>
      <c r="C179" s="23" t="s">
        <v>19</v>
      </c>
      <c r="D179" s="23" t="s">
        <v>1094</v>
      </c>
      <c r="E179" s="24" t="s">
        <v>1095</v>
      </c>
      <c r="F179" s="24" t="s">
        <v>316</v>
      </c>
      <c r="G179" s="25" t="s">
        <v>1097</v>
      </c>
      <c r="H179" s="26">
        <v>0.40920000000000001</v>
      </c>
      <c r="I179" s="26"/>
      <c r="J179" s="26"/>
      <c r="K179" s="25"/>
      <c r="L179" s="24" t="s">
        <v>512</v>
      </c>
      <c r="M179" s="27" t="s">
        <v>513</v>
      </c>
    </row>
    <row r="180" spans="1:13" ht="25.5" x14ac:dyDescent="0.25">
      <c r="A180" s="22">
        <v>2026</v>
      </c>
      <c r="B180" s="23" t="s">
        <v>183</v>
      </c>
      <c r="C180" s="23" t="s">
        <v>19</v>
      </c>
      <c r="D180" s="23" t="s">
        <v>1094</v>
      </c>
      <c r="E180" s="24" t="s">
        <v>1095</v>
      </c>
      <c r="F180" s="24" t="s">
        <v>316</v>
      </c>
      <c r="G180" s="25" t="s">
        <v>1098</v>
      </c>
      <c r="H180" s="26">
        <v>0.86099999999999999</v>
      </c>
      <c r="I180" s="26"/>
      <c r="J180" s="26"/>
      <c r="K180" s="25"/>
      <c r="L180" s="24" t="s">
        <v>512</v>
      </c>
      <c r="M180" s="27" t="s">
        <v>513</v>
      </c>
    </row>
    <row r="181" spans="1:13" ht="25.5" x14ac:dyDescent="0.25">
      <c r="A181" s="22">
        <v>2026</v>
      </c>
      <c r="B181" s="23" t="s">
        <v>183</v>
      </c>
      <c r="C181" s="23" t="s">
        <v>19</v>
      </c>
      <c r="D181" s="23" t="s">
        <v>978</v>
      </c>
      <c r="E181" s="24" t="s">
        <v>979</v>
      </c>
      <c r="F181" s="24" t="s">
        <v>343</v>
      </c>
      <c r="G181" s="25" t="s">
        <v>1099</v>
      </c>
      <c r="H181" s="26">
        <v>2.1092499999999998</v>
      </c>
      <c r="I181" s="26"/>
      <c r="J181" s="26"/>
      <c r="K181" s="25"/>
      <c r="L181" s="24" t="s">
        <v>512</v>
      </c>
      <c r="M181" s="27" t="s">
        <v>513</v>
      </c>
    </row>
    <row r="182" spans="1:13" ht="25.5" x14ac:dyDescent="0.25">
      <c r="A182" s="22">
        <v>2026</v>
      </c>
      <c r="B182" s="23" t="s">
        <v>183</v>
      </c>
      <c r="C182" s="23" t="s">
        <v>19</v>
      </c>
      <c r="D182" s="23" t="s">
        <v>226</v>
      </c>
      <c r="E182" s="24" t="s">
        <v>415</v>
      </c>
      <c r="F182" s="24" t="s">
        <v>350</v>
      </c>
      <c r="G182" s="25" t="s">
        <v>1100</v>
      </c>
      <c r="H182" s="26">
        <v>0.41899999999999998</v>
      </c>
      <c r="I182" s="26"/>
      <c r="J182" s="26"/>
      <c r="K182" s="25"/>
      <c r="L182" s="24" t="s">
        <v>512</v>
      </c>
      <c r="M182" s="27" t="s">
        <v>513</v>
      </c>
    </row>
    <row r="183" spans="1:13" ht="25.5" x14ac:dyDescent="0.25">
      <c r="A183" s="22">
        <v>2026</v>
      </c>
      <c r="B183" s="23" t="s">
        <v>183</v>
      </c>
      <c r="C183" s="23" t="s">
        <v>19</v>
      </c>
      <c r="D183" s="23" t="s">
        <v>984</v>
      </c>
      <c r="E183" s="24" t="s">
        <v>985</v>
      </c>
      <c r="F183" s="24" t="s">
        <v>343</v>
      </c>
      <c r="G183" s="25" t="s">
        <v>1101</v>
      </c>
      <c r="H183" s="26">
        <v>0.10595200000000002</v>
      </c>
      <c r="I183" s="26"/>
      <c r="J183" s="26"/>
      <c r="K183" s="25"/>
      <c r="L183" s="24" t="s">
        <v>512</v>
      </c>
      <c r="M183" s="27" t="s">
        <v>513</v>
      </c>
    </row>
    <row r="184" spans="1:13" ht="25.5" x14ac:dyDescent="0.25">
      <c r="A184" s="22">
        <v>2026</v>
      </c>
      <c r="B184" s="23" t="s">
        <v>183</v>
      </c>
      <c r="C184" s="23" t="s">
        <v>19</v>
      </c>
      <c r="D184" s="23" t="s">
        <v>984</v>
      </c>
      <c r="E184" s="24" t="s">
        <v>985</v>
      </c>
      <c r="F184" s="24" t="s">
        <v>343</v>
      </c>
      <c r="G184" s="25" t="s">
        <v>1102</v>
      </c>
      <c r="H184" s="26">
        <v>0.1368</v>
      </c>
      <c r="I184" s="26"/>
      <c r="J184" s="26"/>
      <c r="K184" s="25"/>
      <c r="L184" s="24" t="s">
        <v>512</v>
      </c>
      <c r="M184" s="27" t="s">
        <v>513</v>
      </c>
    </row>
    <row r="185" spans="1:13" ht="25.5" x14ac:dyDescent="0.25">
      <c r="A185" s="22">
        <v>2026</v>
      </c>
      <c r="B185" s="23" t="s">
        <v>183</v>
      </c>
      <c r="C185" s="23" t="s">
        <v>19</v>
      </c>
      <c r="D185" s="23" t="s">
        <v>984</v>
      </c>
      <c r="E185" s="24" t="s">
        <v>985</v>
      </c>
      <c r="F185" s="24" t="s">
        <v>343</v>
      </c>
      <c r="G185" s="25" t="s">
        <v>1103</v>
      </c>
      <c r="H185" s="26">
        <v>0.15072999999999998</v>
      </c>
      <c r="I185" s="26"/>
      <c r="J185" s="26"/>
      <c r="K185" s="25"/>
      <c r="L185" s="24" t="s">
        <v>512</v>
      </c>
      <c r="M185" s="27" t="s">
        <v>513</v>
      </c>
    </row>
    <row r="186" spans="1:13" ht="25.5" x14ac:dyDescent="0.25">
      <c r="A186" s="22">
        <v>2026</v>
      </c>
      <c r="B186" s="23" t="s">
        <v>183</v>
      </c>
      <c r="C186" s="23" t="s">
        <v>19</v>
      </c>
      <c r="D186" s="23" t="s">
        <v>984</v>
      </c>
      <c r="E186" s="24" t="s">
        <v>985</v>
      </c>
      <c r="F186" s="24" t="s">
        <v>343</v>
      </c>
      <c r="G186" s="25" t="s">
        <v>1104</v>
      </c>
      <c r="H186" s="26">
        <v>0.27249299999999999</v>
      </c>
      <c r="I186" s="26"/>
      <c r="J186" s="26"/>
      <c r="K186" s="25"/>
      <c r="L186" s="24" t="s">
        <v>512</v>
      </c>
      <c r="M186" s="27" t="s">
        <v>513</v>
      </c>
    </row>
    <row r="187" spans="1:13" ht="25.5" x14ac:dyDescent="0.25">
      <c r="A187" s="22">
        <v>2026</v>
      </c>
      <c r="B187" s="23" t="s">
        <v>183</v>
      </c>
      <c r="C187" s="23" t="s">
        <v>19</v>
      </c>
      <c r="D187" s="23" t="s">
        <v>984</v>
      </c>
      <c r="E187" s="24" t="s">
        <v>985</v>
      </c>
      <c r="F187" s="24" t="s">
        <v>343</v>
      </c>
      <c r="G187" s="25" t="s">
        <v>1105</v>
      </c>
      <c r="H187" s="26">
        <v>0.30174000000000001</v>
      </c>
      <c r="I187" s="26"/>
      <c r="J187" s="26"/>
      <c r="K187" s="25"/>
      <c r="L187" s="24" t="s">
        <v>512</v>
      </c>
      <c r="M187" s="27" t="s">
        <v>513</v>
      </c>
    </row>
    <row r="188" spans="1:13" ht="25.5" x14ac:dyDescent="0.25">
      <c r="A188" s="22">
        <v>2026</v>
      </c>
      <c r="B188" s="23" t="s">
        <v>183</v>
      </c>
      <c r="C188" s="23" t="s">
        <v>19</v>
      </c>
      <c r="D188" s="23" t="s">
        <v>984</v>
      </c>
      <c r="E188" s="24" t="s">
        <v>985</v>
      </c>
      <c r="F188" s="24" t="s">
        <v>343</v>
      </c>
      <c r="G188" s="25" t="s">
        <v>1106</v>
      </c>
      <c r="H188" s="26">
        <v>0.30370999999999992</v>
      </c>
      <c r="I188" s="26"/>
      <c r="J188" s="26"/>
      <c r="K188" s="25"/>
      <c r="L188" s="24" t="s">
        <v>512</v>
      </c>
      <c r="M188" s="27" t="s">
        <v>513</v>
      </c>
    </row>
    <row r="189" spans="1:13" ht="25.5" x14ac:dyDescent="0.25">
      <c r="A189" s="22">
        <v>2026</v>
      </c>
      <c r="B189" s="23" t="s">
        <v>183</v>
      </c>
      <c r="C189" s="23" t="s">
        <v>19</v>
      </c>
      <c r="D189" s="23" t="s">
        <v>984</v>
      </c>
      <c r="E189" s="24" t="s">
        <v>985</v>
      </c>
      <c r="F189" s="24" t="s">
        <v>343</v>
      </c>
      <c r="G189" s="25" t="s">
        <v>1107</v>
      </c>
      <c r="H189" s="26">
        <v>0.39009100000000002</v>
      </c>
      <c r="I189" s="26"/>
      <c r="J189" s="26"/>
      <c r="K189" s="25"/>
      <c r="L189" s="24" t="s">
        <v>512</v>
      </c>
      <c r="M189" s="27" t="s">
        <v>513</v>
      </c>
    </row>
    <row r="190" spans="1:13" ht="25.5" x14ac:dyDescent="0.25">
      <c r="A190" s="22">
        <v>2026</v>
      </c>
      <c r="B190" s="23" t="s">
        <v>183</v>
      </c>
      <c r="C190" s="23" t="s">
        <v>19</v>
      </c>
      <c r="D190" s="23" t="s">
        <v>984</v>
      </c>
      <c r="E190" s="24" t="s">
        <v>985</v>
      </c>
      <c r="F190" s="24" t="s">
        <v>343</v>
      </c>
      <c r="G190" s="25" t="s">
        <v>1108</v>
      </c>
      <c r="H190" s="26">
        <v>0.44953500000000002</v>
      </c>
      <c r="I190" s="26"/>
      <c r="J190" s="26"/>
      <c r="K190" s="25"/>
      <c r="L190" s="24" t="s">
        <v>512</v>
      </c>
      <c r="M190" s="27" t="s">
        <v>513</v>
      </c>
    </row>
    <row r="191" spans="1:13" ht="25.5" x14ac:dyDescent="0.25">
      <c r="A191" s="22">
        <v>2026</v>
      </c>
      <c r="B191" s="23" t="s">
        <v>183</v>
      </c>
      <c r="C191" s="23" t="s">
        <v>19</v>
      </c>
      <c r="D191" s="23" t="s">
        <v>984</v>
      </c>
      <c r="E191" s="24" t="s">
        <v>985</v>
      </c>
      <c r="F191" s="24" t="s">
        <v>343</v>
      </c>
      <c r="G191" s="25" t="s">
        <v>1109</v>
      </c>
      <c r="H191" s="26">
        <v>0.45433499999999999</v>
      </c>
      <c r="I191" s="26"/>
      <c r="J191" s="26"/>
      <c r="K191" s="25"/>
      <c r="L191" s="24" t="s">
        <v>512</v>
      </c>
      <c r="M191" s="27" t="s">
        <v>513</v>
      </c>
    </row>
    <row r="192" spans="1:13" ht="25.5" x14ac:dyDescent="0.25">
      <c r="A192" s="22">
        <v>2026</v>
      </c>
      <c r="B192" s="23" t="s">
        <v>183</v>
      </c>
      <c r="C192" s="23" t="s">
        <v>19</v>
      </c>
      <c r="D192" s="23" t="s">
        <v>984</v>
      </c>
      <c r="E192" s="24" t="s">
        <v>985</v>
      </c>
      <c r="F192" s="24" t="s">
        <v>343</v>
      </c>
      <c r="G192" s="25" t="s">
        <v>1110</v>
      </c>
      <c r="H192" s="26">
        <v>0.61024</v>
      </c>
      <c r="I192" s="26"/>
      <c r="J192" s="26"/>
      <c r="K192" s="25"/>
      <c r="L192" s="24" t="s">
        <v>512</v>
      </c>
      <c r="M192" s="27" t="s">
        <v>513</v>
      </c>
    </row>
    <row r="193" spans="1:13" ht="25.5" x14ac:dyDescent="0.25">
      <c r="A193" s="22">
        <v>2026</v>
      </c>
      <c r="B193" s="23" t="s">
        <v>183</v>
      </c>
      <c r="C193" s="23" t="s">
        <v>19</v>
      </c>
      <c r="D193" s="23" t="s">
        <v>984</v>
      </c>
      <c r="E193" s="24" t="s">
        <v>985</v>
      </c>
      <c r="F193" s="24" t="s">
        <v>343</v>
      </c>
      <c r="G193" s="25" t="s">
        <v>1111</v>
      </c>
      <c r="H193" s="26">
        <v>0.66690799999999995</v>
      </c>
      <c r="I193" s="26"/>
      <c r="J193" s="26"/>
      <c r="K193" s="25"/>
      <c r="L193" s="24" t="s">
        <v>512</v>
      </c>
      <c r="M193" s="27" t="s">
        <v>513</v>
      </c>
    </row>
    <row r="194" spans="1:13" ht="25.5" x14ac:dyDescent="0.25">
      <c r="A194" s="22">
        <v>2026</v>
      </c>
      <c r="B194" s="23" t="s">
        <v>183</v>
      </c>
      <c r="C194" s="23" t="s">
        <v>19</v>
      </c>
      <c r="D194" s="23" t="s">
        <v>984</v>
      </c>
      <c r="E194" s="24" t="s">
        <v>985</v>
      </c>
      <c r="F194" s="24" t="s">
        <v>343</v>
      </c>
      <c r="G194" s="25" t="s">
        <v>1112</v>
      </c>
      <c r="H194" s="26">
        <v>0.7571</v>
      </c>
      <c r="I194" s="26"/>
      <c r="J194" s="26"/>
      <c r="K194" s="25"/>
      <c r="L194" s="24" t="s">
        <v>512</v>
      </c>
      <c r="M194" s="27" t="s">
        <v>513</v>
      </c>
    </row>
    <row r="195" spans="1:13" ht="25.5" x14ac:dyDescent="0.25">
      <c r="A195" s="22">
        <v>2026</v>
      </c>
      <c r="B195" s="23" t="s">
        <v>183</v>
      </c>
      <c r="C195" s="23" t="s">
        <v>19</v>
      </c>
      <c r="D195" s="23" t="s">
        <v>984</v>
      </c>
      <c r="E195" s="24" t="s">
        <v>985</v>
      </c>
      <c r="F195" s="24" t="s">
        <v>343</v>
      </c>
      <c r="G195" s="25" t="s">
        <v>1113</v>
      </c>
      <c r="H195" s="26">
        <v>1.592862</v>
      </c>
      <c r="I195" s="26"/>
      <c r="J195" s="26"/>
      <c r="K195" s="25"/>
      <c r="L195" s="24" t="s">
        <v>512</v>
      </c>
      <c r="M195" s="27" t="s">
        <v>513</v>
      </c>
    </row>
    <row r="196" spans="1:13" ht="25.5" x14ac:dyDescent="0.25">
      <c r="A196" s="22">
        <v>2026</v>
      </c>
      <c r="B196" s="23" t="s">
        <v>183</v>
      </c>
      <c r="C196" s="23" t="s">
        <v>19</v>
      </c>
      <c r="D196" s="23" t="s">
        <v>988</v>
      </c>
      <c r="E196" s="24" t="s">
        <v>318</v>
      </c>
      <c r="F196" s="24" t="s">
        <v>301</v>
      </c>
      <c r="G196" s="25" t="s">
        <v>1114</v>
      </c>
      <c r="H196" s="26">
        <v>1.1245499999999999</v>
      </c>
      <c r="I196" s="26"/>
      <c r="J196" s="26"/>
      <c r="K196" s="25"/>
      <c r="L196" s="24" t="s">
        <v>514</v>
      </c>
      <c r="M196" s="27" t="s">
        <v>513</v>
      </c>
    </row>
    <row r="197" spans="1:13" ht="25.5" x14ac:dyDescent="0.25">
      <c r="A197" s="22">
        <v>2026</v>
      </c>
      <c r="B197" s="23" t="s">
        <v>183</v>
      </c>
      <c r="C197" s="23" t="s">
        <v>19</v>
      </c>
      <c r="D197" s="23" t="s">
        <v>988</v>
      </c>
      <c r="E197" s="24" t="s">
        <v>318</v>
      </c>
      <c r="F197" s="24" t="s">
        <v>301</v>
      </c>
      <c r="G197" s="25" t="s">
        <v>1115</v>
      </c>
      <c r="H197" s="26">
        <v>4.5119999999999996</v>
      </c>
      <c r="I197" s="26"/>
      <c r="J197" s="26"/>
      <c r="K197" s="25"/>
      <c r="L197" s="24" t="s">
        <v>514</v>
      </c>
      <c r="M197" s="27" t="s">
        <v>513</v>
      </c>
    </row>
    <row r="198" spans="1:13" ht="25.5" x14ac:dyDescent="0.25">
      <c r="A198" s="22">
        <v>2026</v>
      </c>
      <c r="B198" s="23" t="s">
        <v>183</v>
      </c>
      <c r="C198" s="23" t="s">
        <v>19</v>
      </c>
      <c r="D198" s="23" t="s">
        <v>988</v>
      </c>
      <c r="E198" s="24" t="s">
        <v>318</v>
      </c>
      <c r="F198" s="24" t="s">
        <v>301</v>
      </c>
      <c r="G198" s="25" t="s">
        <v>1115</v>
      </c>
      <c r="H198" s="26">
        <v>4.5119999999999996</v>
      </c>
      <c r="I198" s="26"/>
      <c r="J198" s="26"/>
      <c r="K198" s="25"/>
      <c r="L198" s="24" t="s">
        <v>514</v>
      </c>
      <c r="M198" s="27" t="s">
        <v>513</v>
      </c>
    </row>
    <row r="199" spans="1:13" ht="25.5" x14ac:dyDescent="0.25">
      <c r="A199" s="22">
        <v>2026</v>
      </c>
      <c r="B199" s="23" t="s">
        <v>183</v>
      </c>
      <c r="C199" s="23" t="s">
        <v>19</v>
      </c>
      <c r="D199" s="23" t="s">
        <v>988</v>
      </c>
      <c r="E199" s="24" t="s">
        <v>318</v>
      </c>
      <c r="F199" s="24" t="s">
        <v>301</v>
      </c>
      <c r="G199" s="25" t="s">
        <v>1116</v>
      </c>
      <c r="H199" s="26">
        <v>4.6383299999999998</v>
      </c>
      <c r="I199" s="26"/>
      <c r="J199" s="26"/>
      <c r="K199" s="25"/>
      <c r="L199" s="24" t="s">
        <v>514</v>
      </c>
      <c r="M199" s="27" t="s">
        <v>513</v>
      </c>
    </row>
    <row r="200" spans="1:13" ht="25.5" x14ac:dyDescent="0.25">
      <c r="A200" s="22">
        <v>2026</v>
      </c>
      <c r="B200" s="23" t="s">
        <v>183</v>
      </c>
      <c r="C200" s="23" t="s">
        <v>19</v>
      </c>
      <c r="D200" s="23" t="s">
        <v>181</v>
      </c>
      <c r="E200" s="24" t="s">
        <v>318</v>
      </c>
      <c r="F200" s="24" t="s">
        <v>319</v>
      </c>
      <c r="G200" s="25" t="s">
        <v>1117</v>
      </c>
      <c r="H200" s="26">
        <v>0.88019999999999998</v>
      </c>
      <c r="I200" s="26"/>
      <c r="J200" s="26"/>
      <c r="K200" s="25"/>
      <c r="L200" s="24" t="s">
        <v>514</v>
      </c>
      <c r="M200" s="27" t="s">
        <v>513</v>
      </c>
    </row>
    <row r="201" spans="1:13" ht="25.5" x14ac:dyDescent="0.25">
      <c r="A201" s="22">
        <v>2026</v>
      </c>
      <c r="B201" s="23" t="s">
        <v>183</v>
      </c>
      <c r="C201" s="23" t="s">
        <v>90</v>
      </c>
      <c r="D201" s="23" t="s">
        <v>180</v>
      </c>
      <c r="E201" s="24" t="s">
        <v>315</v>
      </c>
      <c r="F201" s="24" t="s">
        <v>316</v>
      </c>
      <c r="G201" s="25" t="s">
        <v>1118</v>
      </c>
      <c r="H201" s="26">
        <v>0.36299999999999999</v>
      </c>
      <c r="I201" s="26"/>
      <c r="J201" s="26"/>
      <c r="K201" s="25"/>
      <c r="L201" s="24" t="s">
        <v>512</v>
      </c>
      <c r="M201" s="27" t="s">
        <v>513</v>
      </c>
    </row>
    <row r="202" spans="1:13" ht="25.5" x14ac:dyDescent="0.25">
      <c r="A202" s="22">
        <v>2026</v>
      </c>
      <c r="B202" s="23" t="s">
        <v>183</v>
      </c>
      <c r="C202" s="23" t="s">
        <v>90</v>
      </c>
      <c r="D202" s="23" t="s">
        <v>1001</v>
      </c>
      <c r="E202" s="24" t="s">
        <v>491</v>
      </c>
      <c r="F202" s="24" t="s">
        <v>378</v>
      </c>
      <c r="G202" s="25" t="s">
        <v>1119</v>
      </c>
      <c r="H202" s="26">
        <v>0.40949999999999998</v>
      </c>
      <c r="I202" s="26"/>
      <c r="J202" s="26"/>
      <c r="K202" s="25" t="s">
        <v>550</v>
      </c>
      <c r="L202" s="24" t="s">
        <v>512</v>
      </c>
      <c r="M202" s="27" t="s">
        <v>513</v>
      </c>
    </row>
    <row r="203" spans="1:13" ht="25.5" x14ac:dyDescent="0.25">
      <c r="A203" s="22">
        <v>2026</v>
      </c>
      <c r="B203" s="23" t="s">
        <v>183</v>
      </c>
      <c r="C203" s="23" t="s">
        <v>90</v>
      </c>
      <c r="D203" s="23" t="s">
        <v>1001</v>
      </c>
      <c r="E203" s="24" t="s">
        <v>491</v>
      </c>
      <c r="F203" s="24" t="s">
        <v>378</v>
      </c>
      <c r="G203" s="25" t="s">
        <v>1120</v>
      </c>
      <c r="H203" s="26">
        <v>1.1776325000000001</v>
      </c>
      <c r="I203" s="26"/>
      <c r="J203" s="26"/>
      <c r="K203" s="25" t="s">
        <v>550</v>
      </c>
      <c r="L203" s="24" t="s">
        <v>512</v>
      </c>
      <c r="M203" s="27" t="s">
        <v>513</v>
      </c>
    </row>
    <row r="204" spans="1:13" ht="25.5" x14ac:dyDescent="0.25">
      <c r="A204" s="22">
        <v>2026</v>
      </c>
      <c r="B204" s="23" t="s">
        <v>183</v>
      </c>
      <c r="C204" s="23" t="s">
        <v>90</v>
      </c>
      <c r="D204" s="23" t="s">
        <v>922</v>
      </c>
      <c r="E204" s="24" t="s">
        <v>923</v>
      </c>
      <c r="F204" s="24" t="s">
        <v>325</v>
      </c>
      <c r="G204" s="25" t="s">
        <v>1121</v>
      </c>
      <c r="H204" s="26">
        <v>0.15712499999999999</v>
      </c>
      <c r="I204" s="26"/>
      <c r="J204" s="26"/>
      <c r="K204" s="25"/>
      <c r="L204" s="24" t="s">
        <v>512</v>
      </c>
      <c r="M204" s="27" t="s">
        <v>513</v>
      </c>
    </row>
    <row r="205" spans="1:13" ht="25.5" x14ac:dyDescent="0.25">
      <c r="A205" s="22">
        <v>2026</v>
      </c>
      <c r="B205" s="23" t="s">
        <v>183</v>
      </c>
      <c r="C205" s="23" t="s">
        <v>90</v>
      </c>
      <c r="D205" s="23" t="s">
        <v>1010</v>
      </c>
      <c r="E205" s="24" t="s">
        <v>923</v>
      </c>
      <c r="F205" s="24" t="s">
        <v>353</v>
      </c>
      <c r="G205" s="25" t="s">
        <v>1122</v>
      </c>
      <c r="H205" s="26">
        <v>0.12</v>
      </c>
      <c r="I205" s="26"/>
      <c r="J205" s="26"/>
      <c r="K205" s="25"/>
      <c r="L205" s="24" t="s">
        <v>512</v>
      </c>
      <c r="M205" s="27" t="s">
        <v>513</v>
      </c>
    </row>
    <row r="206" spans="1:13" ht="25.5" x14ac:dyDescent="0.25">
      <c r="A206" s="22">
        <v>2026</v>
      </c>
      <c r="B206" s="23" t="s">
        <v>183</v>
      </c>
      <c r="C206" s="23" t="s">
        <v>90</v>
      </c>
      <c r="D206" s="23" t="s">
        <v>1010</v>
      </c>
      <c r="E206" s="24" t="s">
        <v>923</v>
      </c>
      <c r="F206" s="24" t="s">
        <v>353</v>
      </c>
      <c r="G206" s="25" t="s">
        <v>1123</v>
      </c>
      <c r="H206" s="26">
        <v>0.24729999999999999</v>
      </c>
      <c r="I206" s="26"/>
      <c r="J206" s="26"/>
      <c r="K206" s="25"/>
      <c r="L206" s="24" t="s">
        <v>512</v>
      </c>
      <c r="M206" s="27" t="s">
        <v>513</v>
      </c>
    </row>
    <row r="207" spans="1:13" ht="25.5" x14ac:dyDescent="0.25">
      <c r="A207" s="22">
        <v>2026</v>
      </c>
      <c r="B207" s="23" t="s">
        <v>183</v>
      </c>
      <c r="C207" s="23" t="s">
        <v>90</v>
      </c>
      <c r="D207" s="23" t="s">
        <v>1018</v>
      </c>
      <c r="E207" s="24" t="s">
        <v>923</v>
      </c>
      <c r="F207" s="24" t="s">
        <v>353</v>
      </c>
      <c r="G207" s="25" t="s">
        <v>1124</v>
      </c>
      <c r="H207" s="26">
        <v>5.9400000000000001E-2</v>
      </c>
      <c r="I207" s="26"/>
      <c r="J207" s="26"/>
      <c r="K207" s="25"/>
      <c r="L207" s="24" t="s">
        <v>512</v>
      </c>
      <c r="M207" s="27" t="s">
        <v>513</v>
      </c>
    </row>
    <row r="208" spans="1:13" ht="25.5" x14ac:dyDescent="0.25">
      <c r="A208" s="22">
        <v>2026</v>
      </c>
      <c r="B208" s="23" t="s">
        <v>183</v>
      </c>
      <c r="C208" s="23" t="s">
        <v>90</v>
      </c>
      <c r="D208" s="23" t="s">
        <v>219</v>
      </c>
      <c r="E208" s="24" t="s">
        <v>403</v>
      </c>
      <c r="F208" s="24" t="s">
        <v>319</v>
      </c>
      <c r="G208" s="25" t="s">
        <v>1125</v>
      </c>
      <c r="H208" s="26">
        <v>0.23738999999999999</v>
      </c>
      <c r="I208" s="26"/>
      <c r="J208" s="26"/>
      <c r="K208" s="25"/>
      <c r="L208" s="24" t="s">
        <v>521</v>
      </c>
      <c r="M208" s="27" t="s">
        <v>513</v>
      </c>
    </row>
    <row r="209" spans="1:13" ht="25.5" x14ac:dyDescent="0.25">
      <c r="A209" s="22">
        <v>2026</v>
      </c>
      <c r="B209" s="23" t="s">
        <v>183</v>
      </c>
      <c r="C209" s="23" t="s">
        <v>90</v>
      </c>
      <c r="D209" s="23" t="s">
        <v>219</v>
      </c>
      <c r="E209" s="24" t="s">
        <v>403</v>
      </c>
      <c r="F209" s="24" t="s">
        <v>319</v>
      </c>
      <c r="G209" s="25" t="s">
        <v>1126</v>
      </c>
      <c r="H209" s="26">
        <v>2.8947500000000002</v>
      </c>
      <c r="I209" s="26"/>
      <c r="J209" s="26"/>
      <c r="K209" s="25"/>
      <c r="L209" s="24" t="s">
        <v>521</v>
      </c>
      <c r="M209" s="27" t="s">
        <v>513</v>
      </c>
    </row>
    <row r="210" spans="1:13" ht="25.5" x14ac:dyDescent="0.25">
      <c r="A210" s="22">
        <v>2026</v>
      </c>
      <c r="B210" s="23" t="s">
        <v>183</v>
      </c>
      <c r="C210" s="23" t="s">
        <v>90</v>
      </c>
      <c r="D210" s="23" t="s">
        <v>219</v>
      </c>
      <c r="E210" s="24" t="s">
        <v>403</v>
      </c>
      <c r="F210" s="24" t="s">
        <v>319</v>
      </c>
      <c r="G210" s="25" t="s">
        <v>1127</v>
      </c>
      <c r="H210" s="26">
        <v>2.8969999999999998</v>
      </c>
      <c r="I210" s="26"/>
      <c r="J210" s="26"/>
      <c r="K210" s="25"/>
      <c r="L210" s="24" t="s">
        <v>521</v>
      </c>
      <c r="M210" s="27" t="s">
        <v>513</v>
      </c>
    </row>
    <row r="211" spans="1:13" ht="25.5" x14ac:dyDescent="0.25">
      <c r="A211" s="22">
        <v>2026</v>
      </c>
      <c r="B211" s="23" t="s">
        <v>183</v>
      </c>
      <c r="C211" s="23" t="s">
        <v>90</v>
      </c>
      <c r="D211" s="23" t="s">
        <v>219</v>
      </c>
      <c r="E211" s="24" t="s">
        <v>403</v>
      </c>
      <c r="F211" s="24" t="s">
        <v>319</v>
      </c>
      <c r="G211" s="25" t="s">
        <v>1128</v>
      </c>
      <c r="H211" s="26">
        <v>5.3235799999999998</v>
      </c>
      <c r="I211" s="26"/>
      <c r="J211" s="26"/>
      <c r="K211" s="25"/>
      <c r="L211" s="24" t="s">
        <v>521</v>
      </c>
      <c r="M211" s="27" t="s">
        <v>513</v>
      </c>
    </row>
    <row r="212" spans="1:13" ht="25.5" x14ac:dyDescent="0.25">
      <c r="A212" s="22">
        <v>2026</v>
      </c>
      <c r="B212" s="23" t="s">
        <v>183</v>
      </c>
      <c r="C212" s="23" t="s">
        <v>90</v>
      </c>
      <c r="D212" s="23" t="s">
        <v>219</v>
      </c>
      <c r="E212" s="24" t="s">
        <v>403</v>
      </c>
      <c r="F212" s="24" t="s">
        <v>319</v>
      </c>
      <c r="G212" s="25" t="s">
        <v>1129</v>
      </c>
      <c r="H212" s="26">
        <v>4.6334E-2</v>
      </c>
      <c r="I212" s="26"/>
      <c r="J212" s="26"/>
      <c r="K212" s="25"/>
      <c r="L212" s="24" t="s">
        <v>521</v>
      </c>
      <c r="M212" s="27" t="s">
        <v>513</v>
      </c>
    </row>
    <row r="213" spans="1:13" ht="25.5" x14ac:dyDescent="0.25">
      <c r="A213" s="22">
        <v>2026</v>
      </c>
      <c r="B213" s="23" t="s">
        <v>183</v>
      </c>
      <c r="C213" s="23" t="s">
        <v>90</v>
      </c>
      <c r="D213" s="23" t="s">
        <v>1083</v>
      </c>
      <c r="E213" s="24" t="s">
        <v>1084</v>
      </c>
      <c r="F213" s="24" t="s">
        <v>386</v>
      </c>
      <c r="G213" s="25" t="s">
        <v>1130</v>
      </c>
      <c r="H213" s="26">
        <v>0.45050000000000001</v>
      </c>
      <c r="I213" s="26"/>
      <c r="J213" s="26"/>
      <c r="K213" s="25"/>
      <c r="L213" s="24" t="s">
        <v>512</v>
      </c>
      <c r="M213" s="27" t="s">
        <v>513</v>
      </c>
    </row>
    <row r="214" spans="1:13" ht="25.5" x14ac:dyDescent="0.25">
      <c r="A214" s="22">
        <v>2026</v>
      </c>
      <c r="B214" s="23" t="s">
        <v>183</v>
      </c>
      <c r="C214" s="23" t="s">
        <v>90</v>
      </c>
      <c r="D214" s="23" t="s">
        <v>1083</v>
      </c>
      <c r="E214" s="24" t="s">
        <v>1084</v>
      </c>
      <c r="F214" s="24" t="s">
        <v>386</v>
      </c>
      <c r="G214" s="25" t="s">
        <v>1131</v>
      </c>
      <c r="H214" s="26">
        <v>0.45574999999999999</v>
      </c>
      <c r="I214" s="26"/>
      <c r="J214" s="26"/>
      <c r="K214" s="25"/>
      <c r="L214" s="24" t="s">
        <v>512</v>
      </c>
      <c r="M214" s="27" t="s">
        <v>513</v>
      </c>
    </row>
    <row r="215" spans="1:13" ht="25.5" x14ac:dyDescent="0.25">
      <c r="A215" s="22">
        <v>2026</v>
      </c>
      <c r="B215" s="23" t="s">
        <v>183</v>
      </c>
      <c r="C215" s="23" t="s">
        <v>90</v>
      </c>
      <c r="D215" s="23" t="s">
        <v>1083</v>
      </c>
      <c r="E215" s="24" t="s">
        <v>1084</v>
      </c>
      <c r="F215" s="24" t="s">
        <v>386</v>
      </c>
      <c r="G215" s="25" t="s">
        <v>1132</v>
      </c>
      <c r="H215" s="26">
        <v>0.67035</v>
      </c>
      <c r="I215" s="26"/>
      <c r="J215" s="26"/>
      <c r="K215" s="25"/>
      <c r="L215" s="24" t="s">
        <v>512</v>
      </c>
      <c r="M215" s="27" t="s">
        <v>513</v>
      </c>
    </row>
    <row r="216" spans="1:13" ht="25.5" x14ac:dyDescent="0.25">
      <c r="A216" s="22">
        <v>2026</v>
      </c>
      <c r="B216" s="23" t="s">
        <v>183</v>
      </c>
      <c r="C216" s="23" t="s">
        <v>90</v>
      </c>
      <c r="D216" s="23" t="s">
        <v>1083</v>
      </c>
      <c r="E216" s="24" t="s">
        <v>1084</v>
      </c>
      <c r="F216" s="24" t="s">
        <v>386</v>
      </c>
      <c r="G216" s="25" t="s">
        <v>1133</v>
      </c>
      <c r="H216" s="26">
        <v>0.67364999999999997</v>
      </c>
      <c r="I216" s="26"/>
      <c r="J216" s="26"/>
      <c r="K216" s="25"/>
      <c r="L216" s="24" t="s">
        <v>512</v>
      </c>
      <c r="M216" s="27" t="s">
        <v>513</v>
      </c>
    </row>
    <row r="217" spans="1:13" ht="25.5" x14ac:dyDescent="0.25">
      <c r="A217" s="22">
        <v>2026</v>
      </c>
      <c r="B217" s="23" t="s">
        <v>183</v>
      </c>
      <c r="C217" s="23" t="s">
        <v>90</v>
      </c>
      <c r="D217" s="23" t="s">
        <v>1083</v>
      </c>
      <c r="E217" s="24" t="s">
        <v>1084</v>
      </c>
      <c r="F217" s="24" t="s">
        <v>386</v>
      </c>
      <c r="G217" s="25" t="s">
        <v>1134</v>
      </c>
      <c r="H217" s="26">
        <v>0.77937999999999996</v>
      </c>
      <c r="I217" s="26"/>
      <c r="J217" s="26"/>
      <c r="K217" s="25"/>
      <c r="L217" s="24" t="s">
        <v>512</v>
      </c>
      <c r="M217" s="27" t="s">
        <v>513</v>
      </c>
    </row>
    <row r="218" spans="1:13" ht="25.5" x14ac:dyDescent="0.25">
      <c r="A218" s="22">
        <v>2026</v>
      </c>
      <c r="B218" s="23" t="s">
        <v>183</v>
      </c>
      <c r="C218" s="23" t="s">
        <v>90</v>
      </c>
      <c r="D218" s="23" t="s">
        <v>1083</v>
      </c>
      <c r="E218" s="24" t="s">
        <v>1084</v>
      </c>
      <c r="F218" s="24" t="s">
        <v>386</v>
      </c>
      <c r="G218" s="25" t="s">
        <v>1135</v>
      </c>
      <c r="H218" s="26">
        <v>1.1395</v>
      </c>
      <c r="I218" s="26"/>
      <c r="J218" s="26"/>
      <c r="K218" s="25"/>
      <c r="L218" s="24" t="s">
        <v>512</v>
      </c>
      <c r="M218" s="27" t="s">
        <v>513</v>
      </c>
    </row>
    <row r="219" spans="1:13" ht="25.5" x14ac:dyDescent="0.25">
      <c r="A219" s="22">
        <v>2026</v>
      </c>
      <c r="B219" s="23" t="s">
        <v>183</v>
      </c>
      <c r="C219" s="23" t="s">
        <v>90</v>
      </c>
      <c r="D219" s="23" t="s">
        <v>188</v>
      </c>
      <c r="E219" s="24" t="s">
        <v>334</v>
      </c>
      <c r="F219" s="24" t="s">
        <v>335</v>
      </c>
      <c r="G219" s="25" t="s">
        <v>1136</v>
      </c>
      <c r="H219" s="26">
        <v>0.18574999999999997</v>
      </c>
      <c r="I219" s="26"/>
      <c r="J219" s="26"/>
      <c r="K219" s="25" t="s">
        <v>550</v>
      </c>
      <c r="L219" s="24" t="s">
        <v>512</v>
      </c>
      <c r="M219" s="27" t="s">
        <v>513</v>
      </c>
    </row>
    <row r="220" spans="1:13" ht="25.5" x14ac:dyDescent="0.25">
      <c r="A220" s="22">
        <v>2026</v>
      </c>
      <c r="B220" s="23" t="s">
        <v>183</v>
      </c>
      <c r="C220" s="23" t="s">
        <v>90</v>
      </c>
      <c r="D220" s="23" t="s">
        <v>188</v>
      </c>
      <c r="E220" s="24" t="s">
        <v>334</v>
      </c>
      <c r="F220" s="24" t="s">
        <v>335</v>
      </c>
      <c r="G220" s="25" t="s">
        <v>1137</v>
      </c>
      <c r="H220" s="26">
        <v>0.18704999999999999</v>
      </c>
      <c r="I220" s="26"/>
      <c r="J220" s="26"/>
      <c r="K220" s="25" t="s">
        <v>550</v>
      </c>
      <c r="L220" s="24" t="s">
        <v>512</v>
      </c>
      <c r="M220" s="27" t="s">
        <v>513</v>
      </c>
    </row>
    <row r="221" spans="1:13" ht="25.5" x14ac:dyDescent="0.25">
      <c r="A221" s="22">
        <v>2026</v>
      </c>
      <c r="B221" s="23" t="s">
        <v>183</v>
      </c>
      <c r="C221" s="23" t="s">
        <v>90</v>
      </c>
      <c r="D221" s="23" t="s">
        <v>188</v>
      </c>
      <c r="E221" s="24" t="s">
        <v>334</v>
      </c>
      <c r="F221" s="24" t="s">
        <v>335</v>
      </c>
      <c r="G221" s="25" t="s">
        <v>1138</v>
      </c>
      <c r="H221" s="26">
        <v>1.2379249999999999</v>
      </c>
      <c r="I221" s="26"/>
      <c r="J221" s="26"/>
      <c r="K221" s="25" t="s">
        <v>550</v>
      </c>
      <c r="L221" s="24" t="s">
        <v>512</v>
      </c>
      <c r="M221" s="27" t="s">
        <v>513</v>
      </c>
    </row>
    <row r="222" spans="1:13" ht="25.5" x14ac:dyDescent="0.25">
      <c r="A222" s="22">
        <v>2026</v>
      </c>
      <c r="B222" s="23" t="s">
        <v>183</v>
      </c>
      <c r="C222" s="23" t="s">
        <v>90</v>
      </c>
      <c r="D222" s="23" t="s">
        <v>188</v>
      </c>
      <c r="E222" s="24" t="s">
        <v>334</v>
      </c>
      <c r="F222" s="24" t="s">
        <v>335</v>
      </c>
      <c r="G222" s="25" t="s">
        <v>1139</v>
      </c>
      <c r="H222" s="26">
        <v>1.36548</v>
      </c>
      <c r="I222" s="26"/>
      <c r="J222" s="26"/>
      <c r="K222" s="25" t="s">
        <v>550</v>
      </c>
      <c r="L222" s="24" t="s">
        <v>512</v>
      </c>
      <c r="M222" s="27" t="s">
        <v>513</v>
      </c>
    </row>
    <row r="223" spans="1:13" ht="25.5" x14ac:dyDescent="0.25">
      <c r="A223" s="22">
        <v>2026</v>
      </c>
      <c r="B223" s="23" t="s">
        <v>183</v>
      </c>
      <c r="C223" s="23" t="s">
        <v>90</v>
      </c>
      <c r="D223" s="23" t="s">
        <v>188</v>
      </c>
      <c r="E223" s="24" t="s">
        <v>334</v>
      </c>
      <c r="F223" s="24" t="s">
        <v>335</v>
      </c>
      <c r="G223" s="25" t="s">
        <v>1140</v>
      </c>
      <c r="H223" s="26">
        <v>0.19189999999999999</v>
      </c>
      <c r="I223" s="26"/>
      <c r="J223" s="26"/>
      <c r="K223" s="25" t="s">
        <v>550</v>
      </c>
      <c r="L223" s="24" t="s">
        <v>512</v>
      </c>
      <c r="M223" s="27" t="s">
        <v>513</v>
      </c>
    </row>
    <row r="224" spans="1:13" ht="25.5" x14ac:dyDescent="0.25">
      <c r="A224" s="22">
        <v>2026</v>
      </c>
      <c r="B224" s="23" t="s">
        <v>183</v>
      </c>
      <c r="C224" s="23" t="s">
        <v>90</v>
      </c>
      <c r="D224" s="23" t="s">
        <v>188</v>
      </c>
      <c r="E224" s="24" t="s">
        <v>334</v>
      </c>
      <c r="F224" s="24" t="s">
        <v>335</v>
      </c>
      <c r="G224" s="25" t="s">
        <v>1141</v>
      </c>
      <c r="H224" s="26">
        <v>1.5556000000000001</v>
      </c>
      <c r="I224" s="26"/>
      <c r="J224" s="26"/>
      <c r="K224" s="25" t="s">
        <v>550</v>
      </c>
      <c r="L224" s="24" t="s">
        <v>512</v>
      </c>
      <c r="M224" s="27" t="s">
        <v>513</v>
      </c>
    </row>
    <row r="225" spans="1:13" ht="25.5" x14ac:dyDescent="0.25">
      <c r="A225" s="22">
        <v>2026</v>
      </c>
      <c r="B225" s="23" t="s">
        <v>183</v>
      </c>
      <c r="C225" s="23" t="s">
        <v>90</v>
      </c>
      <c r="D225" s="23" t="s">
        <v>188</v>
      </c>
      <c r="E225" s="24" t="s">
        <v>334</v>
      </c>
      <c r="F225" s="24" t="s">
        <v>335</v>
      </c>
      <c r="G225" s="25" t="s">
        <v>1142</v>
      </c>
      <c r="H225" s="26">
        <v>0.67305000000000004</v>
      </c>
      <c r="I225" s="26"/>
      <c r="J225" s="26"/>
      <c r="K225" s="25" t="s">
        <v>550</v>
      </c>
      <c r="L225" s="24" t="s">
        <v>512</v>
      </c>
      <c r="M225" s="27" t="s">
        <v>513</v>
      </c>
    </row>
    <row r="226" spans="1:13" ht="25.5" x14ac:dyDescent="0.25">
      <c r="A226" s="22">
        <v>2026</v>
      </c>
      <c r="B226" s="23" t="s">
        <v>183</v>
      </c>
      <c r="C226" s="23" t="s">
        <v>90</v>
      </c>
      <c r="D226" s="23" t="s">
        <v>1143</v>
      </c>
      <c r="E226" s="24" t="s">
        <v>352</v>
      </c>
      <c r="F226" s="24" t="s">
        <v>335</v>
      </c>
      <c r="G226" s="25" t="s">
        <v>1144</v>
      </c>
      <c r="H226" s="26">
        <v>0.35499999999999998</v>
      </c>
      <c r="I226" s="26"/>
      <c r="J226" s="26"/>
      <c r="K226" s="25"/>
      <c r="L226" s="24" t="s">
        <v>512</v>
      </c>
      <c r="M226" s="27" t="s">
        <v>513</v>
      </c>
    </row>
    <row r="227" spans="1:13" ht="25.5" x14ac:dyDescent="0.25">
      <c r="A227" s="22">
        <v>2026</v>
      </c>
      <c r="B227" s="23" t="s">
        <v>183</v>
      </c>
      <c r="C227" s="23" t="s">
        <v>90</v>
      </c>
      <c r="D227" s="23" t="s">
        <v>1143</v>
      </c>
      <c r="E227" s="24" t="s">
        <v>352</v>
      </c>
      <c r="F227" s="24" t="s">
        <v>335</v>
      </c>
      <c r="G227" s="25" t="s">
        <v>1145</v>
      </c>
      <c r="H227" s="26">
        <v>0.36149999999999999</v>
      </c>
      <c r="I227" s="26"/>
      <c r="J227" s="26"/>
      <c r="K227" s="25"/>
      <c r="L227" s="24" t="s">
        <v>512</v>
      </c>
      <c r="M227" s="27" t="s">
        <v>513</v>
      </c>
    </row>
    <row r="228" spans="1:13" ht="25.5" x14ac:dyDescent="0.25">
      <c r="A228" s="22">
        <v>2026</v>
      </c>
      <c r="B228" s="23" t="s">
        <v>183</v>
      </c>
      <c r="C228" s="23" t="s">
        <v>90</v>
      </c>
      <c r="D228" s="23" t="s">
        <v>1143</v>
      </c>
      <c r="E228" s="24" t="s">
        <v>352</v>
      </c>
      <c r="F228" s="24" t="s">
        <v>335</v>
      </c>
      <c r="G228" s="25" t="s">
        <v>1146</v>
      </c>
      <c r="H228" s="26">
        <v>0.36309999999999998</v>
      </c>
      <c r="I228" s="26"/>
      <c r="J228" s="26"/>
      <c r="K228" s="25"/>
      <c r="L228" s="24" t="s">
        <v>512</v>
      </c>
      <c r="M228" s="27" t="s">
        <v>513</v>
      </c>
    </row>
    <row r="229" spans="1:13" ht="25.5" x14ac:dyDescent="0.25">
      <c r="A229" s="22">
        <v>2026</v>
      </c>
      <c r="B229" s="23" t="s">
        <v>183</v>
      </c>
      <c r="C229" s="23" t="s">
        <v>90</v>
      </c>
      <c r="D229" s="23" t="s">
        <v>1143</v>
      </c>
      <c r="E229" s="24" t="s">
        <v>352</v>
      </c>
      <c r="F229" s="24" t="s">
        <v>335</v>
      </c>
      <c r="G229" s="25" t="s">
        <v>1147</v>
      </c>
      <c r="H229" s="26">
        <v>0.53849999999999998</v>
      </c>
      <c r="I229" s="26"/>
      <c r="J229" s="26"/>
      <c r="K229" s="25"/>
      <c r="L229" s="24" t="s">
        <v>512</v>
      </c>
      <c r="M229" s="27" t="s">
        <v>513</v>
      </c>
    </row>
    <row r="230" spans="1:13" ht="25.5" x14ac:dyDescent="0.25">
      <c r="A230" s="22">
        <v>2026</v>
      </c>
      <c r="B230" s="23" t="s">
        <v>183</v>
      </c>
      <c r="C230" s="23" t="s">
        <v>90</v>
      </c>
      <c r="D230" s="23" t="s">
        <v>1143</v>
      </c>
      <c r="E230" s="24" t="s">
        <v>352</v>
      </c>
      <c r="F230" s="24" t="s">
        <v>335</v>
      </c>
      <c r="G230" s="25" t="s">
        <v>1148</v>
      </c>
      <c r="H230" s="26">
        <v>0.63200000000000001</v>
      </c>
      <c r="I230" s="26"/>
      <c r="J230" s="26"/>
      <c r="K230" s="25"/>
      <c r="L230" s="24" t="s">
        <v>512</v>
      </c>
      <c r="M230" s="27" t="s">
        <v>513</v>
      </c>
    </row>
    <row r="231" spans="1:13" ht="25.5" x14ac:dyDescent="0.25">
      <c r="A231" s="22">
        <v>2026</v>
      </c>
      <c r="B231" s="23" t="s">
        <v>183</v>
      </c>
      <c r="C231" s="23" t="s">
        <v>90</v>
      </c>
      <c r="D231" s="23" t="s">
        <v>1143</v>
      </c>
      <c r="E231" s="24" t="s">
        <v>352</v>
      </c>
      <c r="F231" s="24" t="s">
        <v>335</v>
      </c>
      <c r="G231" s="25" t="s">
        <v>1149</v>
      </c>
      <c r="H231" s="26">
        <v>1.4005335607999998</v>
      </c>
      <c r="I231" s="26"/>
      <c r="J231" s="26"/>
      <c r="K231" s="25"/>
      <c r="L231" s="24" t="s">
        <v>512</v>
      </c>
      <c r="M231" s="27" t="s">
        <v>513</v>
      </c>
    </row>
    <row r="232" spans="1:13" ht="25.5" x14ac:dyDescent="0.25">
      <c r="A232" s="22">
        <v>2026</v>
      </c>
      <c r="B232" s="23" t="s">
        <v>183</v>
      </c>
      <c r="C232" s="23" t="s">
        <v>90</v>
      </c>
      <c r="D232" s="23" t="s">
        <v>1143</v>
      </c>
      <c r="E232" s="24" t="s">
        <v>352</v>
      </c>
      <c r="F232" s="24" t="s">
        <v>335</v>
      </c>
      <c r="G232" s="25" t="s">
        <v>1150</v>
      </c>
      <c r="H232" s="26">
        <v>1.7849999999999999</v>
      </c>
      <c r="I232" s="26"/>
      <c r="J232" s="26"/>
      <c r="K232" s="25"/>
      <c r="L232" s="24" t="s">
        <v>512</v>
      </c>
      <c r="M232" s="27" t="s">
        <v>513</v>
      </c>
    </row>
    <row r="233" spans="1:13" ht="25.5" x14ac:dyDescent="0.25">
      <c r="A233" s="22">
        <v>2026</v>
      </c>
      <c r="B233" s="23" t="s">
        <v>183</v>
      </c>
      <c r="C233" s="23" t="s">
        <v>90</v>
      </c>
      <c r="D233" s="23" t="s">
        <v>1033</v>
      </c>
      <c r="E233" s="24" t="s">
        <v>578</v>
      </c>
      <c r="F233" s="24" t="s">
        <v>325</v>
      </c>
      <c r="G233" s="25" t="s">
        <v>1151</v>
      </c>
      <c r="H233" s="26">
        <v>1.37175</v>
      </c>
      <c r="I233" s="26"/>
      <c r="J233" s="26"/>
      <c r="K233" s="25"/>
      <c r="L233" s="24" t="s">
        <v>512</v>
      </c>
      <c r="M233" s="27" t="s">
        <v>513</v>
      </c>
    </row>
    <row r="234" spans="1:13" ht="25.5" x14ac:dyDescent="0.25">
      <c r="A234" s="22">
        <v>2026</v>
      </c>
      <c r="B234" s="23" t="s">
        <v>183</v>
      </c>
      <c r="C234" s="23" t="s">
        <v>90</v>
      </c>
      <c r="D234" s="23" t="s">
        <v>226</v>
      </c>
      <c r="E234" s="24" t="s">
        <v>415</v>
      </c>
      <c r="F234" s="24" t="s">
        <v>350</v>
      </c>
      <c r="G234" s="25" t="s">
        <v>1152</v>
      </c>
      <c r="H234" s="26">
        <v>0.20735000000000001</v>
      </c>
      <c r="I234" s="26"/>
      <c r="J234" s="26"/>
      <c r="K234" s="25"/>
      <c r="L234" s="24" t="s">
        <v>512</v>
      </c>
      <c r="M234" s="27" t="s">
        <v>513</v>
      </c>
    </row>
    <row r="235" spans="1:13" ht="25.5" x14ac:dyDescent="0.25">
      <c r="A235" s="22">
        <v>2026</v>
      </c>
      <c r="B235" s="23" t="s">
        <v>183</v>
      </c>
      <c r="C235" s="23" t="s">
        <v>90</v>
      </c>
      <c r="D235" s="23" t="s">
        <v>226</v>
      </c>
      <c r="E235" s="24" t="s">
        <v>415</v>
      </c>
      <c r="F235" s="24" t="s">
        <v>350</v>
      </c>
      <c r="G235" s="25" t="s">
        <v>1153</v>
      </c>
      <c r="H235" s="26">
        <v>0.209675</v>
      </c>
      <c r="I235" s="26"/>
      <c r="J235" s="26"/>
      <c r="K235" s="25"/>
      <c r="L235" s="24" t="s">
        <v>512</v>
      </c>
      <c r="M235" s="27" t="s">
        <v>513</v>
      </c>
    </row>
    <row r="236" spans="1:13" ht="25.5" x14ac:dyDescent="0.25">
      <c r="A236" s="22">
        <v>2026</v>
      </c>
      <c r="B236" s="23" t="s">
        <v>183</v>
      </c>
      <c r="C236" s="23" t="s">
        <v>90</v>
      </c>
      <c r="D236" s="23" t="s">
        <v>226</v>
      </c>
      <c r="E236" s="24" t="s">
        <v>415</v>
      </c>
      <c r="F236" s="24" t="s">
        <v>350</v>
      </c>
      <c r="G236" s="25" t="s">
        <v>1154</v>
      </c>
      <c r="H236" s="26">
        <v>0.214</v>
      </c>
      <c r="I236" s="26"/>
      <c r="J236" s="26"/>
      <c r="K236" s="25"/>
      <c r="L236" s="24" t="s">
        <v>512</v>
      </c>
      <c r="M236" s="27" t="s">
        <v>513</v>
      </c>
    </row>
    <row r="237" spans="1:13" ht="25.5" x14ac:dyDescent="0.25">
      <c r="A237" s="22">
        <v>2026</v>
      </c>
      <c r="B237" s="23" t="s">
        <v>183</v>
      </c>
      <c r="C237" s="23" t="s">
        <v>90</v>
      </c>
      <c r="D237" s="23" t="s">
        <v>226</v>
      </c>
      <c r="E237" s="24" t="s">
        <v>415</v>
      </c>
      <c r="F237" s="24" t="s">
        <v>350</v>
      </c>
      <c r="G237" s="25" t="s">
        <v>1155</v>
      </c>
      <c r="H237" s="26">
        <v>0.41860000000000003</v>
      </c>
      <c r="I237" s="26"/>
      <c r="J237" s="26"/>
      <c r="K237" s="25"/>
      <c r="L237" s="24" t="s">
        <v>512</v>
      </c>
      <c r="M237" s="27" t="s">
        <v>513</v>
      </c>
    </row>
    <row r="238" spans="1:13" ht="25.5" x14ac:dyDescent="0.25">
      <c r="A238" s="22">
        <v>2026</v>
      </c>
      <c r="B238" s="23" t="s">
        <v>183</v>
      </c>
      <c r="C238" s="23" t="s">
        <v>90</v>
      </c>
      <c r="D238" s="23" t="s">
        <v>226</v>
      </c>
      <c r="E238" s="24" t="s">
        <v>415</v>
      </c>
      <c r="F238" s="24" t="s">
        <v>350</v>
      </c>
      <c r="G238" s="25" t="s">
        <v>1156</v>
      </c>
      <c r="H238" s="26">
        <v>0.52362500000000001</v>
      </c>
      <c r="I238" s="26"/>
      <c r="J238" s="26"/>
      <c r="K238" s="25"/>
      <c r="L238" s="24" t="s">
        <v>512</v>
      </c>
      <c r="M238" s="27" t="s">
        <v>513</v>
      </c>
    </row>
    <row r="239" spans="1:13" ht="25.5" x14ac:dyDescent="0.25">
      <c r="A239" s="22">
        <v>2026</v>
      </c>
      <c r="B239" s="23" t="s">
        <v>183</v>
      </c>
      <c r="C239" s="23" t="s">
        <v>90</v>
      </c>
      <c r="D239" s="23" t="s">
        <v>226</v>
      </c>
      <c r="E239" s="24" t="s">
        <v>415</v>
      </c>
      <c r="F239" s="24" t="s">
        <v>350</v>
      </c>
      <c r="G239" s="25" t="s">
        <v>1157</v>
      </c>
      <c r="H239" s="26">
        <v>0.76594799999999996</v>
      </c>
      <c r="I239" s="26"/>
      <c r="J239" s="26"/>
      <c r="K239" s="25"/>
      <c r="L239" s="24" t="s">
        <v>512</v>
      </c>
      <c r="M239" s="27" t="s">
        <v>513</v>
      </c>
    </row>
    <row r="240" spans="1:13" ht="25.5" x14ac:dyDescent="0.25">
      <c r="A240" s="22">
        <v>2026</v>
      </c>
      <c r="B240" s="23" t="s">
        <v>183</v>
      </c>
      <c r="C240" s="23" t="s">
        <v>90</v>
      </c>
      <c r="D240" s="23" t="s">
        <v>226</v>
      </c>
      <c r="E240" s="24" t="s">
        <v>415</v>
      </c>
      <c r="F240" s="24" t="s">
        <v>350</v>
      </c>
      <c r="G240" s="25" t="s">
        <v>1158</v>
      </c>
      <c r="H240" s="26">
        <v>1.0335000000000001</v>
      </c>
      <c r="I240" s="26"/>
      <c r="J240" s="26"/>
      <c r="K240" s="25"/>
      <c r="L240" s="24" t="s">
        <v>512</v>
      </c>
      <c r="M240" s="27" t="s">
        <v>513</v>
      </c>
    </row>
    <row r="241" spans="1:13" ht="25.5" x14ac:dyDescent="0.25">
      <c r="A241" s="22">
        <v>2026</v>
      </c>
      <c r="B241" s="23" t="s">
        <v>183</v>
      </c>
      <c r="C241" s="23" t="s">
        <v>90</v>
      </c>
      <c r="D241" s="23" t="s">
        <v>226</v>
      </c>
      <c r="E241" s="24" t="s">
        <v>415</v>
      </c>
      <c r="F241" s="24" t="s">
        <v>350</v>
      </c>
      <c r="G241" s="25" t="s">
        <v>1159</v>
      </c>
      <c r="H241" s="26">
        <v>1.2620400000000001</v>
      </c>
      <c r="I241" s="26"/>
      <c r="J241" s="26"/>
      <c r="K241" s="25"/>
      <c r="L241" s="24" t="s">
        <v>512</v>
      </c>
      <c r="M241" s="27" t="s">
        <v>513</v>
      </c>
    </row>
    <row r="242" spans="1:13" ht="25.5" x14ac:dyDescent="0.25">
      <c r="A242" s="22">
        <v>2026</v>
      </c>
      <c r="B242" s="23" t="s">
        <v>183</v>
      </c>
      <c r="C242" s="23" t="s">
        <v>90</v>
      </c>
      <c r="D242" s="23" t="s">
        <v>187</v>
      </c>
      <c r="E242" s="24" t="s">
        <v>331</v>
      </c>
      <c r="F242" s="24" t="s">
        <v>332</v>
      </c>
      <c r="G242" s="25" t="s">
        <v>1160</v>
      </c>
      <c r="H242" s="26">
        <v>2.0635000000000003</v>
      </c>
      <c r="I242" s="26"/>
      <c r="J242" s="26"/>
      <c r="K242" s="25"/>
      <c r="L242" s="24" t="s">
        <v>512</v>
      </c>
      <c r="M242" s="27" t="s">
        <v>513</v>
      </c>
    </row>
    <row r="243" spans="1:13" ht="25.5" x14ac:dyDescent="0.25">
      <c r="A243" s="22">
        <v>2026</v>
      </c>
      <c r="B243" s="23" t="s">
        <v>183</v>
      </c>
      <c r="C243" s="23" t="s">
        <v>90</v>
      </c>
      <c r="D243" s="23" t="s">
        <v>1048</v>
      </c>
      <c r="E243" s="24" t="s">
        <v>398</v>
      </c>
      <c r="F243" s="24" t="s">
        <v>353</v>
      </c>
      <c r="G243" s="25" t="s">
        <v>1161</v>
      </c>
      <c r="H243" s="26">
        <v>0.33647250000000001</v>
      </c>
      <c r="I243" s="26"/>
      <c r="J243" s="26"/>
      <c r="K243" s="25"/>
      <c r="L243" s="24" t="s">
        <v>512</v>
      </c>
      <c r="M243" s="27" t="s">
        <v>513</v>
      </c>
    </row>
    <row r="244" spans="1:13" ht="25.5" x14ac:dyDescent="0.25">
      <c r="A244" s="22">
        <v>2026</v>
      </c>
      <c r="B244" s="23" t="s">
        <v>183</v>
      </c>
      <c r="C244" s="23" t="s">
        <v>90</v>
      </c>
      <c r="D244" s="23" t="s">
        <v>1048</v>
      </c>
      <c r="E244" s="24" t="s">
        <v>398</v>
      </c>
      <c r="F244" s="24" t="s">
        <v>353</v>
      </c>
      <c r="G244" s="25" t="s">
        <v>1162</v>
      </c>
      <c r="H244" s="26">
        <v>0.65339999999999998</v>
      </c>
      <c r="I244" s="26"/>
      <c r="J244" s="26"/>
      <c r="K244" s="25"/>
      <c r="L244" s="24" t="s">
        <v>512</v>
      </c>
      <c r="M244" s="27" t="s">
        <v>513</v>
      </c>
    </row>
    <row r="245" spans="1:13" ht="25.5" x14ac:dyDescent="0.25">
      <c r="A245" s="22">
        <v>2026</v>
      </c>
      <c r="B245" s="23" t="s">
        <v>183</v>
      </c>
      <c r="C245" s="23" t="s">
        <v>90</v>
      </c>
      <c r="D245" s="23" t="s">
        <v>1048</v>
      </c>
      <c r="E245" s="24" t="s">
        <v>398</v>
      </c>
      <c r="F245" s="24" t="s">
        <v>353</v>
      </c>
      <c r="G245" s="25" t="s">
        <v>1163</v>
      </c>
      <c r="H245" s="26">
        <v>0.79159999999999997</v>
      </c>
      <c r="I245" s="26"/>
      <c r="J245" s="26"/>
      <c r="K245" s="25"/>
      <c r="L245" s="24" t="s">
        <v>512</v>
      </c>
      <c r="M245" s="27" t="s">
        <v>513</v>
      </c>
    </row>
    <row r="246" spans="1:13" ht="25.5" x14ac:dyDescent="0.25">
      <c r="A246" s="22">
        <v>2026</v>
      </c>
      <c r="B246" s="23" t="s">
        <v>183</v>
      </c>
      <c r="C246" s="23" t="s">
        <v>90</v>
      </c>
      <c r="D246" s="23" t="s">
        <v>1048</v>
      </c>
      <c r="E246" s="24" t="s">
        <v>398</v>
      </c>
      <c r="F246" s="24" t="s">
        <v>353</v>
      </c>
      <c r="G246" s="25" t="s">
        <v>1164</v>
      </c>
      <c r="H246" s="26">
        <v>0.80120000000000002</v>
      </c>
      <c r="I246" s="26"/>
      <c r="J246" s="26"/>
      <c r="K246" s="25"/>
      <c r="L246" s="24" t="s">
        <v>512</v>
      </c>
      <c r="M246" s="27" t="s">
        <v>513</v>
      </c>
    </row>
    <row r="247" spans="1:13" ht="25.5" x14ac:dyDescent="0.25">
      <c r="A247" s="22">
        <v>2026</v>
      </c>
      <c r="B247" s="23" t="s">
        <v>183</v>
      </c>
      <c r="C247" s="23" t="s">
        <v>90</v>
      </c>
      <c r="D247" s="23" t="s">
        <v>1048</v>
      </c>
      <c r="E247" s="24" t="s">
        <v>398</v>
      </c>
      <c r="F247" s="24" t="s">
        <v>353</v>
      </c>
      <c r="G247" s="25" t="s">
        <v>1165</v>
      </c>
      <c r="H247" s="26">
        <v>1.08405</v>
      </c>
      <c r="I247" s="26"/>
      <c r="J247" s="26"/>
      <c r="K247" s="25"/>
      <c r="L247" s="24" t="s">
        <v>512</v>
      </c>
      <c r="M247" s="27" t="s">
        <v>513</v>
      </c>
    </row>
    <row r="248" spans="1:13" ht="25.5" x14ac:dyDescent="0.25">
      <c r="A248" s="22">
        <v>2026</v>
      </c>
      <c r="B248" s="23" t="s">
        <v>183</v>
      </c>
      <c r="C248" s="23" t="s">
        <v>90</v>
      </c>
      <c r="D248" s="23" t="s">
        <v>1048</v>
      </c>
      <c r="E248" s="24" t="s">
        <v>398</v>
      </c>
      <c r="F248" s="24" t="s">
        <v>353</v>
      </c>
      <c r="G248" s="25" t="s">
        <v>1166</v>
      </c>
      <c r="H248" s="26">
        <v>1.2033</v>
      </c>
      <c r="I248" s="26"/>
      <c r="J248" s="26"/>
      <c r="K248" s="25"/>
      <c r="L248" s="24" t="s">
        <v>512</v>
      </c>
      <c r="M248" s="27" t="s">
        <v>513</v>
      </c>
    </row>
    <row r="249" spans="1:13" ht="25.5" x14ac:dyDescent="0.25">
      <c r="A249" s="22">
        <v>2026</v>
      </c>
      <c r="B249" s="23" t="s">
        <v>183</v>
      </c>
      <c r="C249" s="23" t="s">
        <v>90</v>
      </c>
      <c r="D249" s="23" t="s">
        <v>1048</v>
      </c>
      <c r="E249" s="24" t="s">
        <v>398</v>
      </c>
      <c r="F249" s="24" t="s">
        <v>353</v>
      </c>
      <c r="G249" s="25" t="s">
        <v>1167</v>
      </c>
      <c r="H249" s="26">
        <v>1.7076499999999999</v>
      </c>
      <c r="I249" s="26"/>
      <c r="J249" s="26"/>
      <c r="K249" s="25"/>
      <c r="L249" s="24" t="s">
        <v>512</v>
      </c>
      <c r="M249" s="27" t="s">
        <v>513</v>
      </c>
    </row>
    <row r="250" spans="1:13" ht="25.5" x14ac:dyDescent="0.25">
      <c r="A250" s="22">
        <v>2026</v>
      </c>
      <c r="B250" s="23" t="s">
        <v>183</v>
      </c>
      <c r="C250" s="23" t="s">
        <v>90</v>
      </c>
      <c r="D250" s="23" t="s">
        <v>1048</v>
      </c>
      <c r="E250" s="24" t="s">
        <v>398</v>
      </c>
      <c r="F250" s="24" t="s">
        <v>353</v>
      </c>
      <c r="G250" s="25" t="s">
        <v>1168</v>
      </c>
      <c r="H250" s="26">
        <v>1.8067500000000001</v>
      </c>
      <c r="I250" s="26"/>
      <c r="J250" s="26"/>
      <c r="K250" s="25"/>
      <c r="L250" s="24" t="s">
        <v>512</v>
      </c>
      <c r="M250" s="27" t="s">
        <v>513</v>
      </c>
    </row>
    <row r="251" spans="1:13" ht="25.5" x14ac:dyDescent="0.25">
      <c r="A251" s="22">
        <v>2026</v>
      </c>
      <c r="B251" s="23" t="s">
        <v>183</v>
      </c>
      <c r="C251" s="23" t="s">
        <v>90</v>
      </c>
      <c r="D251" s="23" t="s">
        <v>1048</v>
      </c>
      <c r="E251" s="24" t="s">
        <v>398</v>
      </c>
      <c r="F251" s="24" t="s">
        <v>353</v>
      </c>
      <c r="G251" s="25" t="s">
        <v>1169</v>
      </c>
      <c r="H251" s="26">
        <v>1.9955000000000001</v>
      </c>
      <c r="I251" s="26"/>
      <c r="J251" s="26"/>
      <c r="K251" s="25"/>
      <c r="L251" s="24" t="s">
        <v>512</v>
      </c>
      <c r="M251" s="27" t="s">
        <v>513</v>
      </c>
    </row>
    <row r="252" spans="1:13" ht="25.5" x14ac:dyDescent="0.25">
      <c r="A252" s="22">
        <v>2026</v>
      </c>
      <c r="B252" s="23" t="s">
        <v>183</v>
      </c>
      <c r="C252" s="23" t="s">
        <v>90</v>
      </c>
      <c r="D252" s="23" t="s">
        <v>1048</v>
      </c>
      <c r="E252" s="24" t="s">
        <v>398</v>
      </c>
      <c r="F252" s="24" t="s">
        <v>353</v>
      </c>
      <c r="G252" s="25" t="s">
        <v>1170</v>
      </c>
      <c r="H252" s="26">
        <v>3.4606249999999998</v>
      </c>
      <c r="I252" s="26"/>
      <c r="J252" s="26"/>
      <c r="K252" s="25"/>
      <c r="L252" s="24" t="s">
        <v>512</v>
      </c>
      <c r="M252" s="27" t="s">
        <v>513</v>
      </c>
    </row>
    <row r="253" spans="1:13" ht="25.5" x14ac:dyDescent="0.25">
      <c r="A253" s="22">
        <v>2026</v>
      </c>
      <c r="B253" s="23" t="s">
        <v>183</v>
      </c>
      <c r="C253" s="23" t="s">
        <v>90</v>
      </c>
      <c r="D253" s="23" t="s">
        <v>1048</v>
      </c>
      <c r="E253" s="24" t="s">
        <v>398</v>
      </c>
      <c r="F253" s="24" t="s">
        <v>353</v>
      </c>
      <c r="G253" s="25" t="s">
        <v>1171</v>
      </c>
      <c r="H253" s="26">
        <v>4.1307499999999999</v>
      </c>
      <c r="I253" s="26"/>
      <c r="J253" s="26"/>
      <c r="K253" s="25"/>
      <c r="L253" s="24" t="s">
        <v>512</v>
      </c>
      <c r="M253" s="27" t="s">
        <v>513</v>
      </c>
    </row>
    <row r="254" spans="1:13" ht="25.5" x14ac:dyDescent="0.25">
      <c r="A254" s="22">
        <v>2026</v>
      </c>
      <c r="B254" s="23" t="s">
        <v>192</v>
      </c>
      <c r="C254" s="23" t="s">
        <v>19</v>
      </c>
      <c r="D254" s="23" t="s">
        <v>170</v>
      </c>
      <c r="E254" s="24" t="s">
        <v>286</v>
      </c>
      <c r="F254" s="24" t="s">
        <v>287</v>
      </c>
      <c r="G254" s="25" t="s">
        <v>1172</v>
      </c>
      <c r="H254" s="26">
        <v>8.1750000000000003E-2</v>
      </c>
      <c r="I254" s="26"/>
      <c r="J254" s="26"/>
      <c r="K254" s="25"/>
      <c r="L254" s="24" t="s">
        <v>512</v>
      </c>
      <c r="M254" s="27" t="s">
        <v>513</v>
      </c>
    </row>
    <row r="255" spans="1:13" ht="25.5" x14ac:dyDescent="0.25">
      <c r="A255" s="22">
        <v>2026</v>
      </c>
      <c r="B255" s="23" t="s">
        <v>192</v>
      </c>
      <c r="C255" s="23" t="s">
        <v>19</v>
      </c>
      <c r="D255" s="23" t="s">
        <v>170</v>
      </c>
      <c r="E255" s="24" t="s">
        <v>286</v>
      </c>
      <c r="F255" s="24" t="s">
        <v>287</v>
      </c>
      <c r="G255" s="25" t="s">
        <v>1173</v>
      </c>
      <c r="H255" s="26">
        <v>0.55859999999999999</v>
      </c>
      <c r="I255" s="26"/>
      <c r="J255" s="26"/>
      <c r="K255" s="25"/>
      <c r="L255" s="24" t="s">
        <v>512</v>
      </c>
      <c r="M255" s="27" t="s">
        <v>513</v>
      </c>
    </row>
    <row r="256" spans="1:13" ht="25.5" x14ac:dyDescent="0.25">
      <c r="A256" s="22">
        <v>2026</v>
      </c>
      <c r="B256" s="23" t="s">
        <v>192</v>
      </c>
      <c r="C256" s="23" t="s">
        <v>19</v>
      </c>
      <c r="D256" s="23" t="s">
        <v>170</v>
      </c>
      <c r="E256" s="24" t="s">
        <v>286</v>
      </c>
      <c r="F256" s="24" t="s">
        <v>287</v>
      </c>
      <c r="G256" s="25" t="s">
        <v>1174</v>
      </c>
      <c r="H256" s="26">
        <v>0.19012499999999999</v>
      </c>
      <c r="I256" s="26"/>
      <c r="J256" s="26"/>
      <c r="K256" s="25"/>
      <c r="L256" s="24" t="s">
        <v>512</v>
      </c>
      <c r="M256" s="27" t="s">
        <v>513</v>
      </c>
    </row>
    <row r="257" spans="1:13" ht="25.5" x14ac:dyDescent="0.25">
      <c r="A257" s="22">
        <v>2026</v>
      </c>
      <c r="B257" s="23" t="s">
        <v>192</v>
      </c>
      <c r="C257" s="23" t="s">
        <v>19</v>
      </c>
      <c r="D257" s="23" t="s">
        <v>909</v>
      </c>
      <c r="E257" s="24" t="s">
        <v>569</v>
      </c>
      <c r="F257" s="24" t="s">
        <v>353</v>
      </c>
      <c r="G257" s="25" t="s">
        <v>1175</v>
      </c>
      <c r="H257" s="26">
        <v>0.57799999999999996</v>
      </c>
      <c r="I257" s="26"/>
      <c r="J257" s="26"/>
      <c r="K257" s="25"/>
      <c r="L257" s="24" t="s">
        <v>512</v>
      </c>
      <c r="M257" s="27" t="s">
        <v>513</v>
      </c>
    </row>
    <row r="258" spans="1:13" x14ac:dyDescent="0.25">
      <c r="A258" s="22">
        <v>2026</v>
      </c>
      <c r="B258" s="23" t="s">
        <v>192</v>
      </c>
      <c r="C258" s="23" t="s">
        <v>19</v>
      </c>
      <c r="D258" s="23" t="s">
        <v>207</v>
      </c>
      <c r="E258" s="24" t="s">
        <v>380</v>
      </c>
      <c r="F258" s="24" t="s">
        <v>374</v>
      </c>
      <c r="G258" s="25" t="s">
        <v>1176</v>
      </c>
      <c r="H258" s="26">
        <v>3.6593087999999998E-3</v>
      </c>
      <c r="I258" s="26"/>
      <c r="J258" s="26"/>
      <c r="K258" s="25"/>
      <c r="L258" s="24" t="s">
        <v>514</v>
      </c>
      <c r="M258" s="27" t="s">
        <v>515</v>
      </c>
    </row>
    <row r="259" spans="1:13" ht="25.5" x14ac:dyDescent="0.25">
      <c r="A259" s="22">
        <v>2026</v>
      </c>
      <c r="B259" s="23" t="s">
        <v>192</v>
      </c>
      <c r="C259" s="23" t="s">
        <v>19</v>
      </c>
      <c r="D259" s="23" t="s">
        <v>546</v>
      </c>
      <c r="E259" s="24" t="s">
        <v>585</v>
      </c>
      <c r="F259" s="24" t="s">
        <v>329</v>
      </c>
      <c r="G259" s="25" t="s">
        <v>1177</v>
      </c>
      <c r="H259" s="26">
        <v>0.85487199999999997</v>
      </c>
      <c r="I259" s="26"/>
      <c r="J259" s="26"/>
      <c r="K259" s="25"/>
      <c r="L259" s="24" t="s">
        <v>512</v>
      </c>
      <c r="M259" s="27" t="s">
        <v>513</v>
      </c>
    </row>
    <row r="260" spans="1:13" ht="25.5" x14ac:dyDescent="0.25">
      <c r="A260" s="22">
        <v>2026</v>
      </c>
      <c r="B260" s="23" t="s">
        <v>192</v>
      </c>
      <c r="C260" s="23" t="s">
        <v>19</v>
      </c>
      <c r="D260" s="23" t="s">
        <v>933</v>
      </c>
      <c r="E260" s="24" t="s">
        <v>934</v>
      </c>
      <c r="F260" s="24" t="s">
        <v>301</v>
      </c>
      <c r="G260" s="25" t="s">
        <v>1178</v>
      </c>
      <c r="H260" s="26">
        <v>0.26745724999999998</v>
      </c>
      <c r="I260" s="26"/>
      <c r="J260" s="26"/>
      <c r="K260" s="25"/>
      <c r="L260" s="24" t="s">
        <v>521</v>
      </c>
      <c r="M260" s="27" t="s">
        <v>515</v>
      </c>
    </row>
    <row r="261" spans="1:13" ht="25.5" x14ac:dyDescent="0.25">
      <c r="A261" s="22">
        <v>2026</v>
      </c>
      <c r="B261" s="23" t="s">
        <v>192</v>
      </c>
      <c r="C261" s="23" t="s">
        <v>19</v>
      </c>
      <c r="D261" s="23" t="s">
        <v>936</v>
      </c>
      <c r="E261" s="24" t="s">
        <v>569</v>
      </c>
      <c r="F261" s="24" t="s">
        <v>937</v>
      </c>
      <c r="G261" s="25" t="s">
        <v>1179</v>
      </c>
      <c r="H261" s="26">
        <v>1.224</v>
      </c>
      <c r="I261" s="26"/>
      <c r="J261" s="26"/>
      <c r="K261" s="25"/>
      <c r="L261" s="24" t="s">
        <v>521</v>
      </c>
      <c r="M261" s="27" t="s">
        <v>526</v>
      </c>
    </row>
    <row r="262" spans="1:13" ht="25.5" x14ac:dyDescent="0.25">
      <c r="A262" s="22">
        <v>2026</v>
      </c>
      <c r="B262" s="23" t="s">
        <v>192</v>
      </c>
      <c r="C262" s="23" t="s">
        <v>19</v>
      </c>
      <c r="D262" s="23" t="s">
        <v>936</v>
      </c>
      <c r="E262" s="24" t="s">
        <v>569</v>
      </c>
      <c r="F262" s="24" t="s">
        <v>937</v>
      </c>
      <c r="G262" s="25" t="s">
        <v>1180</v>
      </c>
      <c r="H262" s="26">
        <v>0.73456999999999995</v>
      </c>
      <c r="I262" s="26"/>
      <c r="J262" s="26"/>
      <c r="K262" s="25"/>
      <c r="L262" s="24" t="s">
        <v>521</v>
      </c>
      <c r="M262" s="27" t="s">
        <v>526</v>
      </c>
    </row>
    <row r="263" spans="1:13" ht="25.5" x14ac:dyDescent="0.25">
      <c r="A263" s="22">
        <v>2026</v>
      </c>
      <c r="B263" s="23" t="s">
        <v>192</v>
      </c>
      <c r="C263" s="23" t="s">
        <v>19</v>
      </c>
      <c r="D263" s="23" t="s">
        <v>936</v>
      </c>
      <c r="E263" s="24" t="s">
        <v>569</v>
      </c>
      <c r="F263" s="24" t="s">
        <v>937</v>
      </c>
      <c r="G263" s="25" t="s">
        <v>1181</v>
      </c>
      <c r="H263" s="26">
        <v>0.44012499999999999</v>
      </c>
      <c r="I263" s="26"/>
      <c r="J263" s="26"/>
      <c r="K263" s="25"/>
      <c r="L263" s="24" t="s">
        <v>521</v>
      </c>
      <c r="M263" s="27" t="s">
        <v>526</v>
      </c>
    </row>
    <row r="264" spans="1:13" ht="25.5" x14ac:dyDescent="0.25">
      <c r="A264" s="22">
        <v>2026</v>
      </c>
      <c r="B264" s="23" t="s">
        <v>192</v>
      </c>
      <c r="C264" s="23" t="s">
        <v>19</v>
      </c>
      <c r="D264" s="23" t="s">
        <v>936</v>
      </c>
      <c r="E264" s="24" t="s">
        <v>569</v>
      </c>
      <c r="F264" s="24" t="s">
        <v>937</v>
      </c>
      <c r="G264" s="25" t="s">
        <v>1182</v>
      </c>
      <c r="H264" s="26">
        <v>0.59519999999999995</v>
      </c>
      <c r="I264" s="26"/>
      <c r="J264" s="26"/>
      <c r="K264" s="25"/>
      <c r="L264" s="24" t="s">
        <v>521</v>
      </c>
      <c r="M264" s="27" t="s">
        <v>526</v>
      </c>
    </row>
    <row r="265" spans="1:13" ht="25.5" x14ac:dyDescent="0.25">
      <c r="A265" s="22">
        <v>2026</v>
      </c>
      <c r="B265" s="23" t="s">
        <v>192</v>
      </c>
      <c r="C265" s="23" t="s">
        <v>19</v>
      </c>
      <c r="D265" s="23" t="s">
        <v>936</v>
      </c>
      <c r="E265" s="24" t="s">
        <v>569</v>
      </c>
      <c r="F265" s="24" t="s">
        <v>937</v>
      </c>
      <c r="G265" s="25" t="s">
        <v>1183</v>
      </c>
      <c r="H265" s="26">
        <v>3.3633500000000001</v>
      </c>
      <c r="I265" s="26"/>
      <c r="J265" s="26"/>
      <c r="K265" s="25"/>
      <c r="L265" s="24" t="s">
        <v>521</v>
      </c>
      <c r="M265" s="27" t="s">
        <v>526</v>
      </c>
    </row>
    <row r="266" spans="1:13" ht="25.5" x14ac:dyDescent="0.25">
      <c r="A266" s="22">
        <v>2026</v>
      </c>
      <c r="B266" s="23" t="s">
        <v>192</v>
      </c>
      <c r="C266" s="23" t="s">
        <v>19</v>
      </c>
      <c r="D266" s="23" t="s">
        <v>952</v>
      </c>
      <c r="E266" s="24" t="s">
        <v>334</v>
      </c>
      <c r="F266" s="24" t="s">
        <v>319</v>
      </c>
      <c r="G266" s="25" t="s">
        <v>1184</v>
      </c>
      <c r="H266" s="26">
        <v>0.51515999999999995</v>
      </c>
      <c r="I266" s="26"/>
      <c r="J266" s="26"/>
      <c r="K266" s="25"/>
      <c r="L266" s="24" t="s">
        <v>521</v>
      </c>
      <c r="M266" s="27" t="s">
        <v>513</v>
      </c>
    </row>
    <row r="267" spans="1:13" ht="25.5" x14ac:dyDescent="0.25">
      <c r="A267" s="22">
        <v>2026</v>
      </c>
      <c r="B267" s="23" t="s">
        <v>192</v>
      </c>
      <c r="C267" s="23" t="s">
        <v>19</v>
      </c>
      <c r="D267" s="23" t="s">
        <v>952</v>
      </c>
      <c r="E267" s="24" t="s">
        <v>334</v>
      </c>
      <c r="F267" s="24" t="s">
        <v>319</v>
      </c>
      <c r="G267" s="25" t="s">
        <v>1185</v>
      </c>
      <c r="H267" s="26">
        <v>0.25775999999999999</v>
      </c>
      <c r="I267" s="26"/>
      <c r="J267" s="26"/>
      <c r="K267" s="25"/>
      <c r="L267" s="24" t="s">
        <v>521</v>
      </c>
      <c r="M267" s="27" t="s">
        <v>513</v>
      </c>
    </row>
    <row r="268" spans="1:13" ht="25.5" x14ac:dyDescent="0.25">
      <c r="A268" s="22">
        <v>2026</v>
      </c>
      <c r="B268" s="23" t="s">
        <v>192</v>
      </c>
      <c r="C268" s="23" t="s">
        <v>19</v>
      </c>
      <c r="D268" s="23" t="s">
        <v>1094</v>
      </c>
      <c r="E268" s="24" t="s">
        <v>1095</v>
      </c>
      <c r="F268" s="24" t="s">
        <v>316</v>
      </c>
      <c r="G268" s="25" t="s">
        <v>1186</v>
      </c>
      <c r="H268" s="26">
        <v>3.7696000000000001</v>
      </c>
      <c r="I268" s="26"/>
      <c r="J268" s="26"/>
      <c r="K268" s="25"/>
      <c r="L268" s="24" t="s">
        <v>512</v>
      </c>
      <c r="M268" s="27" t="s">
        <v>513</v>
      </c>
    </row>
    <row r="269" spans="1:13" ht="25.5" x14ac:dyDescent="0.25">
      <c r="A269" s="22">
        <v>2026</v>
      </c>
      <c r="B269" s="23" t="s">
        <v>192</v>
      </c>
      <c r="C269" s="23" t="s">
        <v>19</v>
      </c>
      <c r="D269" s="23" t="s">
        <v>1094</v>
      </c>
      <c r="E269" s="24" t="s">
        <v>1095</v>
      </c>
      <c r="F269" s="24" t="s">
        <v>316</v>
      </c>
      <c r="G269" s="25" t="s">
        <v>1187</v>
      </c>
      <c r="H269" s="26">
        <v>0.1416</v>
      </c>
      <c r="I269" s="26"/>
      <c r="J269" s="26"/>
      <c r="K269" s="25"/>
      <c r="L269" s="24" t="s">
        <v>512</v>
      </c>
      <c r="M269" s="27" t="s">
        <v>513</v>
      </c>
    </row>
    <row r="270" spans="1:13" ht="25.5" x14ac:dyDescent="0.25">
      <c r="A270" s="22">
        <v>2026</v>
      </c>
      <c r="B270" s="23" t="s">
        <v>192</v>
      </c>
      <c r="C270" s="23" t="s">
        <v>19</v>
      </c>
      <c r="D270" s="23" t="s">
        <v>978</v>
      </c>
      <c r="E270" s="24" t="s">
        <v>979</v>
      </c>
      <c r="F270" s="24" t="s">
        <v>343</v>
      </c>
      <c r="G270" s="25" t="s">
        <v>1188</v>
      </c>
      <c r="H270" s="26">
        <v>0.126225</v>
      </c>
      <c r="I270" s="26"/>
      <c r="J270" s="26"/>
      <c r="K270" s="25"/>
      <c r="L270" s="24" t="s">
        <v>512</v>
      </c>
      <c r="M270" s="27" t="s">
        <v>513</v>
      </c>
    </row>
    <row r="271" spans="1:13" ht="25.5" x14ac:dyDescent="0.25">
      <c r="A271" s="22">
        <v>2026</v>
      </c>
      <c r="B271" s="23" t="s">
        <v>192</v>
      </c>
      <c r="C271" s="23" t="s">
        <v>19</v>
      </c>
      <c r="D271" s="23" t="s">
        <v>978</v>
      </c>
      <c r="E271" s="24" t="s">
        <v>979</v>
      </c>
      <c r="F271" s="24" t="s">
        <v>343</v>
      </c>
      <c r="G271" s="25" t="s">
        <v>1189</v>
      </c>
      <c r="H271" s="26">
        <v>0.27750000000000002</v>
      </c>
      <c r="I271" s="26"/>
      <c r="J271" s="26"/>
      <c r="K271" s="25"/>
      <c r="L271" s="24" t="s">
        <v>512</v>
      </c>
      <c r="M271" s="27" t="s">
        <v>513</v>
      </c>
    </row>
    <row r="272" spans="1:13" ht="25.5" x14ac:dyDescent="0.25">
      <c r="A272" s="22">
        <v>2026</v>
      </c>
      <c r="B272" s="23" t="s">
        <v>192</v>
      </c>
      <c r="C272" s="23" t="s">
        <v>19</v>
      </c>
      <c r="D272" s="23" t="s">
        <v>978</v>
      </c>
      <c r="E272" s="24" t="s">
        <v>979</v>
      </c>
      <c r="F272" s="24" t="s">
        <v>343</v>
      </c>
      <c r="G272" s="25" t="s">
        <v>1190</v>
      </c>
      <c r="H272" s="26">
        <v>0.39487499999999998</v>
      </c>
      <c r="I272" s="26"/>
      <c r="J272" s="26"/>
      <c r="K272" s="25"/>
      <c r="L272" s="24" t="s">
        <v>512</v>
      </c>
      <c r="M272" s="27" t="s">
        <v>513</v>
      </c>
    </row>
    <row r="273" spans="1:13" ht="25.5" x14ac:dyDescent="0.25">
      <c r="A273" s="22">
        <v>2026</v>
      </c>
      <c r="B273" s="23" t="s">
        <v>192</v>
      </c>
      <c r="C273" s="23" t="s">
        <v>19</v>
      </c>
      <c r="D273" s="23" t="s">
        <v>984</v>
      </c>
      <c r="E273" s="24" t="s">
        <v>985</v>
      </c>
      <c r="F273" s="24" t="s">
        <v>343</v>
      </c>
      <c r="G273" s="25" t="s">
        <v>1191</v>
      </c>
      <c r="H273" s="26">
        <v>0.27005400000000002</v>
      </c>
      <c r="I273" s="26"/>
      <c r="J273" s="26"/>
      <c r="K273" s="25"/>
      <c r="L273" s="24" t="s">
        <v>512</v>
      </c>
      <c r="M273" s="27" t="s">
        <v>513</v>
      </c>
    </row>
    <row r="274" spans="1:13" ht="25.5" x14ac:dyDescent="0.25">
      <c r="A274" s="22">
        <v>2026</v>
      </c>
      <c r="B274" s="23" t="s">
        <v>192</v>
      </c>
      <c r="C274" s="23" t="s">
        <v>19</v>
      </c>
      <c r="D274" s="23" t="s">
        <v>984</v>
      </c>
      <c r="E274" s="24" t="s">
        <v>985</v>
      </c>
      <c r="F274" s="24" t="s">
        <v>343</v>
      </c>
      <c r="G274" s="25" t="s">
        <v>1192</v>
      </c>
      <c r="H274" s="26">
        <v>0.11934400000000001</v>
      </c>
      <c r="I274" s="26"/>
      <c r="J274" s="26"/>
      <c r="K274" s="25"/>
      <c r="L274" s="24" t="s">
        <v>512</v>
      </c>
      <c r="M274" s="27" t="s">
        <v>513</v>
      </c>
    </row>
    <row r="275" spans="1:13" ht="25.5" x14ac:dyDescent="0.25">
      <c r="A275" s="22">
        <v>2026</v>
      </c>
      <c r="B275" s="23" t="s">
        <v>192</v>
      </c>
      <c r="C275" s="23" t="s">
        <v>19</v>
      </c>
      <c r="D275" s="23" t="s">
        <v>984</v>
      </c>
      <c r="E275" s="24" t="s">
        <v>985</v>
      </c>
      <c r="F275" s="24" t="s">
        <v>343</v>
      </c>
      <c r="G275" s="25" t="s">
        <v>1193</v>
      </c>
      <c r="H275" s="26">
        <v>0.14645500000000003</v>
      </c>
      <c r="I275" s="26"/>
      <c r="J275" s="26"/>
      <c r="K275" s="25"/>
      <c r="L275" s="24" t="s">
        <v>512</v>
      </c>
      <c r="M275" s="27" t="s">
        <v>513</v>
      </c>
    </row>
    <row r="276" spans="1:13" ht="25.5" x14ac:dyDescent="0.25">
      <c r="A276" s="22">
        <v>2026</v>
      </c>
      <c r="B276" s="23" t="s">
        <v>192</v>
      </c>
      <c r="C276" s="23" t="s">
        <v>19</v>
      </c>
      <c r="D276" s="23" t="s">
        <v>984</v>
      </c>
      <c r="E276" s="24" t="s">
        <v>985</v>
      </c>
      <c r="F276" s="24" t="s">
        <v>343</v>
      </c>
      <c r="G276" s="25" t="s">
        <v>1194</v>
      </c>
      <c r="H276" s="26">
        <v>0.35773749999999999</v>
      </c>
      <c r="I276" s="26"/>
      <c r="J276" s="26"/>
      <c r="K276" s="25"/>
      <c r="L276" s="24" t="s">
        <v>512</v>
      </c>
      <c r="M276" s="27" t="s">
        <v>513</v>
      </c>
    </row>
    <row r="277" spans="1:13" ht="25.5" x14ac:dyDescent="0.25">
      <c r="A277" s="22">
        <v>2026</v>
      </c>
      <c r="B277" s="23" t="s">
        <v>192</v>
      </c>
      <c r="C277" s="23" t="s">
        <v>19</v>
      </c>
      <c r="D277" s="23" t="s">
        <v>984</v>
      </c>
      <c r="E277" s="24" t="s">
        <v>985</v>
      </c>
      <c r="F277" s="24" t="s">
        <v>343</v>
      </c>
      <c r="G277" s="25" t="s">
        <v>1195</v>
      </c>
      <c r="H277" s="26">
        <v>0.33</v>
      </c>
      <c r="I277" s="26"/>
      <c r="J277" s="26"/>
      <c r="K277" s="25"/>
      <c r="L277" s="24" t="s">
        <v>512</v>
      </c>
      <c r="M277" s="27" t="s">
        <v>513</v>
      </c>
    </row>
    <row r="278" spans="1:13" ht="25.5" x14ac:dyDescent="0.25">
      <c r="A278" s="22">
        <v>2026</v>
      </c>
      <c r="B278" s="23" t="s">
        <v>192</v>
      </c>
      <c r="C278" s="23" t="s">
        <v>90</v>
      </c>
      <c r="D278" s="23" t="s">
        <v>180</v>
      </c>
      <c r="E278" s="24" t="s">
        <v>315</v>
      </c>
      <c r="F278" s="24" t="s">
        <v>316</v>
      </c>
      <c r="G278" s="25" t="s">
        <v>1196</v>
      </c>
      <c r="H278" s="26">
        <v>0.64049999999999996</v>
      </c>
      <c r="I278" s="26"/>
      <c r="J278" s="26"/>
      <c r="K278" s="25"/>
      <c r="L278" s="24" t="s">
        <v>512</v>
      </c>
      <c r="M278" s="27" t="s">
        <v>513</v>
      </c>
    </row>
    <row r="279" spans="1:13" ht="25.5" x14ac:dyDescent="0.25">
      <c r="A279" s="22">
        <v>2026</v>
      </c>
      <c r="B279" s="23" t="s">
        <v>192</v>
      </c>
      <c r="C279" s="23" t="s">
        <v>90</v>
      </c>
      <c r="D279" s="23" t="s">
        <v>180</v>
      </c>
      <c r="E279" s="24" t="s">
        <v>315</v>
      </c>
      <c r="F279" s="24" t="s">
        <v>316</v>
      </c>
      <c r="G279" s="25" t="s">
        <v>1197</v>
      </c>
      <c r="H279" s="26">
        <v>1.1778</v>
      </c>
      <c r="I279" s="26"/>
      <c r="J279" s="26"/>
      <c r="K279" s="25"/>
      <c r="L279" s="24" t="s">
        <v>512</v>
      </c>
      <c r="M279" s="27" t="s">
        <v>513</v>
      </c>
    </row>
    <row r="280" spans="1:13" ht="25.5" x14ac:dyDescent="0.25">
      <c r="A280" s="22">
        <v>2026</v>
      </c>
      <c r="B280" s="23" t="s">
        <v>192</v>
      </c>
      <c r="C280" s="23" t="s">
        <v>90</v>
      </c>
      <c r="D280" s="23" t="s">
        <v>180</v>
      </c>
      <c r="E280" s="24" t="s">
        <v>315</v>
      </c>
      <c r="F280" s="24" t="s">
        <v>316</v>
      </c>
      <c r="G280" s="25" t="s">
        <v>1198</v>
      </c>
      <c r="H280" s="26">
        <v>1.3507499999999999</v>
      </c>
      <c r="I280" s="26"/>
      <c r="J280" s="26"/>
      <c r="K280" s="25"/>
      <c r="L280" s="24" t="s">
        <v>512</v>
      </c>
      <c r="M280" s="27" t="s">
        <v>513</v>
      </c>
    </row>
    <row r="281" spans="1:13" ht="25.5" x14ac:dyDescent="0.25">
      <c r="A281" s="22">
        <v>2026</v>
      </c>
      <c r="B281" s="23" t="s">
        <v>192</v>
      </c>
      <c r="C281" s="23" t="s">
        <v>90</v>
      </c>
      <c r="D281" s="23" t="s">
        <v>180</v>
      </c>
      <c r="E281" s="24" t="s">
        <v>315</v>
      </c>
      <c r="F281" s="24" t="s">
        <v>316</v>
      </c>
      <c r="G281" s="25" t="s">
        <v>1199</v>
      </c>
      <c r="H281" s="26">
        <v>0.44750000000000001</v>
      </c>
      <c r="I281" s="26"/>
      <c r="J281" s="26"/>
      <c r="K281" s="25"/>
      <c r="L281" s="24" t="s">
        <v>512</v>
      </c>
      <c r="M281" s="27" t="s">
        <v>513</v>
      </c>
    </row>
    <row r="282" spans="1:13" ht="25.5" x14ac:dyDescent="0.25">
      <c r="A282" s="22">
        <v>2026</v>
      </c>
      <c r="B282" s="23" t="s">
        <v>192</v>
      </c>
      <c r="C282" s="23" t="s">
        <v>90</v>
      </c>
      <c r="D282" s="23" t="s">
        <v>194</v>
      </c>
      <c r="E282" s="24" t="s">
        <v>357</v>
      </c>
      <c r="F282" s="24" t="s">
        <v>350</v>
      </c>
      <c r="G282" s="25" t="s">
        <v>1200</v>
      </c>
      <c r="H282" s="26">
        <v>18.68</v>
      </c>
      <c r="I282" s="26"/>
      <c r="J282" s="26"/>
      <c r="K282" s="25"/>
      <c r="L282" s="24" t="s">
        <v>512</v>
      </c>
      <c r="M282" s="27" t="s">
        <v>513</v>
      </c>
    </row>
    <row r="283" spans="1:13" ht="25.5" x14ac:dyDescent="0.25">
      <c r="A283" s="22">
        <v>2026</v>
      </c>
      <c r="B283" s="23" t="s">
        <v>192</v>
      </c>
      <c r="C283" s="23" t="s">
        <v>90</v>
      </c>
      <c r="D283" s="23" t="s">
        <v>226</v>
      </c>
      <c r="E283" s="24" t="s">
        <v>415</v>
      </c>
      <c r="F283" s="24" t="s">
        <v>350</v>
      </c>
      <c r="G283" s="25" t="s">
        <v>1201</v>
      </c>
      <c r="H283" s="26">
        <v>1.814516</v>
      </c>
      <c r="I283" s="26"/>
      <c r="J283" s="26"/>
      <c r="K283" s="25"/>
      <c r="L283" s="24" t="s">
        <v>512</v>
      </c>
      <c r="M283" s="27" t="s">
        <v>513</v>
      </c>
    </row>
    <row r="284" spans="1:13" ht="25.5" x14ac:dyDescent="0.25">
      <c r="A284" s="22">
        <v>2026</v>
      </c>
      <c r="B284" s="23" t="s">
        <v>192</v>
      </c>
      <c r="C284" s="23" t="s">
        <v>90</v>
      </c>
      <c r="D284" s="23" t="s">
        <v>226</v>
      </c>
      <c r="E284" s="24" t="s">
        <v>415</v>
      </c>
      <c r="F284" s="24" t="s">
        <v>350</v>
      </c>
      <c r="G284" s="25" t="s">
        <v>1202</v>
      </c>
      <c r="H284" s="26">
        <v>0.19225</v>
      </c>
      <c r="I284" s="26"/>
      <c r="J284" s="26"/>
      <c r="K284" s="25"/>
      <c r="L284" s="24" t="s">
        <v>512</v>
      </c>
      <c r="M284" s="27" t="s">
        <v>513</v>
      </c>
    </row>
    <row r="285" spans="1:13" ht="25.5" x14ac:dyDescent="0.25">
      <c r="A285" s="22">
        <v>2026</v>
      </c>
      <c r="B285" s="23" t="s">
        <v>192</v>
      </c>
      <c r="C285" s="23" t="s">
        <v>90</v>
      </c>
      <c r="D285" s="23" t="s">
        <v>226</v>
      </c>
      <c r="E285" s="24" t="s">
        <v>415</v>
      </c>
      <c r="F285" s="24" t="s">
        <v>350</v>
      </c>
      <c r="G285" s="25" t="s">
        <v>1203</v>
      </c>
      <c r="H285" s="26">
        <v>0.69159999999999999</v>
      </c>
      <c r="I285" s="26"/>
      <c r="J285" s="26"/>
      <c r="K285" s="25"/>
      <c r="L285" s="24" t="s">
        <v>512</v>
      </c>
      <c r="M285" s="27" t="s">
        <v>513</v>
      </c>
    </row>
    <row r="286" spans="1:13" ht="25.5" x14ac:dyDescent="0.25">
      <c r="A286" s="22">
        <v>2026</v>
      </c>
      <c r="B286" s="23" t="s">
        <v>192</v>
      </c>
      <c r="C286" s="23" t="s">
        <v>90</v>
      </c>
      <c r="D286" s="23" t="s">
        <v>1048</v>
      </c>
      <c r="E286" s="24" t="s">
        <v>398</v>
      </c>
      <c r="F286" s="24" t="s">
        <v>353</v>
      </c>
      <c r="G286" s="25" t="s">
        <v>1204</v>
      </c>
      <c r="H286" s="26">
        <v>1.3270249999999997</v>
      </c>
      <c r="I286" s="26"/>
      <c r="J286" s="26"/>
      <c r="K286" s="25"/>
      <c r="L286" s="24" t="s">
        <v>512</v>
      </c>
      <c r="M286" s="27" t="s">
        <v>513</v>
      </c>
    </row>
    <row r="287" spans="1:13" ht="25.5" x14ac:dyDescent="0.25">
      <c r="A287" s="22">
        <v>2026</v>
      </c>
      <c r="B287" s="23" t="s">
        <v>192</v>
      </c>
      <c r="C287" s="23" t="s">
        <v>90</v>
      </c>
      <c r="D287" s="23" t="s">
        <v>1048</v>
      </c>
      <c r="E287" s="24" t="s">
        <v>398</v>
      </c>
      <c r="F287" s="24" t="s">
        <v>353</v>
      </c>
      <c r="G287" s="25" t="s">
        <v>1205</v>
      </c>
      <c r="H287" s="26">
        <v>0.56692500000000001</v>
      </c>
      <c r="I287" s="26"/>
      <c r="J287" s="26"/>
      <c r="K287" s="25"/>
      <c r="L287" s="24" t="s">
        <v>512</v>
      </c>
      <c r="M287" s="27" t="s">
        <v>513</v>
      </c>
    </row>
    <row r="288" spans="1:13" ht="25.5" x14ac:dyDescent="0.25">
      <c r="A288" s="22">
        <v>2026</v>
      </c>
      <c r="B288" s="23" t="s">
        <v>203</v>
      </c>
      <c r="C288" s="23" t="s">
        <v>19</v>
      </c>
      <c r="D288" s="23" t="s">
        <v>170</v>
      </c>
      <c r="E288" s="24" t="s">
        <v>286</v>
      </c>
      <c r="F288" s="24" t="s">
        <v>287</v>
      </c>
      <c r="G288" s="25" t="s">
        <v>1206</v>
      </c>
      <c r="H288" s="26">
        <v>0.15780000000000002</v>
      </c>
      <c r="I288" s="26"/>
      <c r="J288" s="26"/>
      <c r="K288" s="25" t="s">
        <v>550</v>
      </c>
      <c r="L288" s="24" t="s">
        <v>512</v>
      </c>
      <c r="M288" s="27" t="s">
        <v>513</v>
      </c>
    </row>
    <row r="289" spans="1:13" ht="25.5" x14ac:dyDescent="0.25">
      <c r="A289" s="22">
        <v>2026</v>
      </c>
      <c r="B289" s="23" t="s">
        <v>203</v>
      </c>
      <c r="C289" s="23" t="s">
        <v>19</v>
      </c>
      <c r="D289" s="23" t="s">
        <v>170</v>
      </c>
      <c r="E289" s="24" t="s">
        <v>286</v>
      </c>
      <c r="F289" s="24" t="s">
        <v>287</v>
      </c>
      <c r="G289" s="25" t="s">
        <v>1207</v>
      </c>
      <c r="H289" s="26">
        <v>7.9500000000000001E-2</v>
      </c>
      <c r="I289" s="26"/>
      <c r="J289" s="26"/>
      <c r="K289" s="25" t="s">
        <v>550</v>
      </c>
      <c r="L289" s="24" t="s">
        <v>512</v>
      </c>
      <c r="M289" s="27" t="s">
        <v>513</v>
      </c>
    </row>
    <row r="290" spans="1:13" ht="25.5" x14ac:dyDescent="0.25">
      <c r="A290" s="22">
        <v>2026</v>
      </c>
      <c r="B290" s="23" t="s">
        <v>203</v>
      </c>
      <c r="C290" s="23" t="s">
        <v>19</v>
      </c>
      <c r="D290" s="23" t="s">
        <v>909</v>
      </c>
      <c r="E290" s="24" t="s">
        <v>569</v>
      </c>
      <c r="F290" s="24" t="s">
        <v>353</v>
      </c>
      <c r="G290" s="25" t="s">
        <v>1208</v>
      </c>
      <c r="H290" s="26">
        <v>1.2881249999999997</v>
      </c>
      <c r="I290" s="26"/>
      <c r="J290" s="26"/>
      <c r="K290" s="25" t="s">
        <v>550</v>
      </c>
      <c r="L290" s="24" t="s">
        <v>512</v>
      </c>
      <c r="M290" s="27" t="s">
        <v>513</v>
      </c>
    </row>
    <row r="291" spans="1:13" ht="25.5" x14ac:dyDescent="0.25">
      <c r="A291" s="22">
        <v>2026</v>
      </c>
      <c r="B291" s="23" t="s">
        <v>203</v>
      </c>
      <c r="C291" s="23" t="s">
        <v>19</v>
      </c>
      <c r="D291" s="23" t="s">
        <v>909</v>
      </c>
      <c r="E291" s="24" t="s">
        <v>569</v>
      </c>
      <c r="F291" s="24" t="s">
        <v>353</v>
      </c>
      <c r="G291" s="25" t="s">
        <v>1209</v>
      </c>
      <c r="H291" s="26">
        <v>1.0018750000000001</v>
      </c>
      <c r="I291" s="26"/>
      <c r="J291" s="26"/>
      <c r="K291" s="25" t="s">
        <v>550</v>
      </c>
      <c r="L291" s="24" t="s">
        <v>512</v>
      </c>
      <c r="M291" s="27" t="s">
        <v>513</v>
      </c>
    </row>
    <row r="292" spans="1:13" ht="25.5" x14ac:dyDescent="0.25">
      <c r="A292" s="22">
        <v>2026</v>
      </c>
      <c r="B292" s="23" t="s">
        <v>203</v>
      </c>
      <c r="C292" s="23" t="s">
        <v>19</v>
      </c>
      <c r="D292" s="23" t="s">
        <v>909</v>
      </c>
      <c r="E292" s="24" t="s">
        <v>569</v>
      </c>
      <c r="F292" s="24" t="s">
        <v>353</v>
      </c>
      <c r="G292" s="25" t="s">
        <v>1210</v>
      </c>
      <c r="H292" s="26">
        <v>1.1479999999999999</v>
      </c>
      <c r="I292" s="26"/>
      <c r="J292" s="26"/>
      <c r="K292" s="25" t="s">
        <v>550</v>
      </c>
      <c r="L292" s="24" t="s">
        <v>512</v>
      </c>
      <c r="M292" s="27" t="s">
        <v>513</v>
      </c>
    </row>
    <row r="293" spans="1:13" ht="25.5" x14ac:dyDescent="0.25">
      <c r="A293" s="22">
        <v>2026</v>
      </c>
      <c r="B293" s="23" t="s">
        <v>203</v>
      </c>
      <c r="C293" s="23" t="s">
        <v>19</v>
      </c>
      <c r="D293" s="23" t="s">
        <v>909</v>
      </c>
      <c r="E293" s="24" t="s">
        <v>569</v>
      </c>
      <c r="F293" s="24" t="s">
        <v>353</v>
      </c>
      <c r="G293" s="25" t="s">
        <v>1211</v>
      </c>
      <c r="H293" s="26">
        <v>0.9224</v>
      </c>
      <c r="I293" s="26"/>
      <c r="J293" s="26"/>
      <c r="K293" s="25" t="s">
        <v>550</v>
      </c>
      <c r="L293" s="24" t="s">
        <v>512</v>
      </c>
      <c r="M293" s="27" t="s">
        <v>513</v>
      </c>
    </row>
    <row r="294" spans="1:13" ht="25.5" x14ac:dyDescent="0.25">
      <c r="A294" s="22">
        <v>2026</v>
      </c>
      <c r="B294" s="23" t="s">
        <v>203</v>
      </c>
      <c r="C294" s="23" t="s">
        <v>19</v>
      </c>
      <c r="D294" s="23" t="s">
        <v>909</v>
      </c>
      <c r="E294" s="24" t="s">
        <v>569</v>
      </c>
      <c r="F294" s="24" t="s">
        <v>353</v>
      </c>
      <c r="G294" s="25" t="s">
        <v>1212</v>
      </c>
      <c r="H294" s="26">
        <v>3.7244999999999999</v>
      </c>
      <c r="I294" s="26"/>
      <c r="J294" s="26"/>
      <c r="K294" s="25" t="s">
        <v>550</v>
      </c>
      <c r="L294" s="24" t="s">
        <v>512</v>
      </c>
      <c r="M294" s="27" t="s">
        <v>513</v>
      </c>
    </row>
    <row r="295" spans="1:13" ht="25.5" x14ac:dyDescent="0.25">
      <c r="A295" s="22">
        <v>2026</v>
      </c>
      <c r="B295" s="23" t="s">
        <v>203</v>
      </c>
      <c r="C295" s="23" t="s">
        <v>19</v>
      </c>
      <c r="D295" s="23" t="s">
        <v>909</v>
      </c>
      <c r="E295" s="24" t="s">
        <v>569</v>
      </c>
      <c r="F295" s="24" t="s">
        <v>353</v>
      </c>
      <c r="G295" s="25" t="s">
        <v>1213</v>
      </c>
      <c r="H295" s="26">
        <v>1.2802500000000001</v>
      </c>
      <c r="I295" s="26"/>
      <c r="J295" s="26"/>
      <c r="K295" s="25" t="s">
        <v>550</v>
      </c>
      <c r="L295" s="24" t="s">
        <v>512</v>
      </c>
      <c r="M295" s="27" t="s">
        <v>513</v>
      </c>
    </row>
    <row r="296" spans="1:13" ht="25.5" x14ac:dyDescent="0.25">
      <c r="A296" s="22">
        <v>2026</v>
      </c>
      <c r="B296" s="23" t="s">
        <v>203</v>
      </c>
      <c r="C296" s="23" t="s">
        <v>19</v>
      </c>
      <c r="D296" s="23" t="s">
        <v>915</v>
      </c>
      <c r="E296" s="24" t="s">
        <v>491</v>
      </c>
      <c r="F296" s="24" t="s">
        <v>319</v>
      </c>
      <c r="G296" s="25" t="s">
        <v>1214</v>
      </c>
      <c r="H296" s="26">
        <v>0.2535</v>
      </c>
      <c r="I296" s="26"/>
      <c r="J296" s="26"/>
      <c r="K296" s="25" t="s">
        <v>550</v>
      </c>
      <c r="L296" s="24" t="s">
        <v>521</v>
      </c>
      <c r="M296" s="27" t="s">
        <v>513</v>
      </c>
    </row>
    <row r="297" spans="1:13" ht="25.5" x14ac:dyDescent="0.25">
      <c r="A297" s="22">
        <v>2026</v>
      </c>
      <c r="B297" s="23" t="s">
        <v>203</v>
      </c>
      <c r="C297" s="23" t="s">
        <v>19</v>
      </c>
      <c r="D297" s="23" t="s">
        <v>915</v>
      </c>
      <c r="E297" s="24" t="s">
        <v>491</v>
      </c>
      <c r="F297" s="24" t="s">
        <v>319</v>
      </c>
      <c r="G297" s="25" t="s">
        <v>1215</v>
      </c>
      <c r="H297" s="26">
        <v>1.141875</v>
      </c>
      <c r="I297" s="26"/>
      <c r="J297" s="26"/>
      <c r="K297" s="25" t="s">
        <v>550</v>
      </c>
      <c r="L297" s="24" t="s">
        <v>521</v>
      </c>
      <c r="M297" s="27" t="s">
        <v>513</v>
      </c>
    </row>
    <row r="298" spans="1:13" ht="25.5" x14ac:dyDescent="0.25">
      <c r="A298" s="22">
        <v>2026</v>
      </c>
      <c r="B298" s="23" t="s">
        <v>203</v>
      </c>
      <c r="C298" s="23" t="s">
        <v>19</v>
      </c>
      <c r="D298" s="23" t="s">
        <v>927</v>
      </c>
      <c r="E298" s="24" t="s">
        <v>923</v>
      </c>
      <c r="F298" s="24" t="s">
        <v>325</v>
      </c>
      <c r="G298" s="25" t="s">
        <v>1216</v>
      </c>
      <c r="H298" s="26">
        <v>0.21218799999999999</v>
      </c>
      <c r="I298" s="26"/>
      <c r="J298" s="26"/>
      <c r="K298" s="25"/>
      <c r="L298" s="24" t="s">
        <v>512</v>
      </c>
      <c r="M298" s="27" t="s">
        <v>513</v>
      </c>
    </row>
    <row r="299" spans="1:13" ht="25.5" x14ac:dyDescent="0.25">
      <c r="A299" s="22">
        <v>2026</v>
      </c>
      <c r="B299" s="23" t="s">
        <v>203</v>
      </c>
      <c r="C299" s="23" t="s">
        <v>19</v>
      </c>
      <c r="D299" s="23" t="s">
        <v>927</v>
      </c>
      <c r="E299" s="24" t="s">
        <v>923</v>
      </c>
      <c r="F299" s="24" t="s">
        <v>325</v>
      </c>
      <c r="G299" s="25" t="s">
        <v>1217</v>
      </c>
      <c r="H299" s="26">
        <v>0.126</v>
      </c>
      <c r="I299" s="26"/>
      <c r="J299" s="26"/>
      <c r="K299" s="25"/>
      <c r="L299" s="24" t="s">
        <v>512</v>
      </c>
      <c r="M299" s="27" t="s">
        <v>513</v>
      </c>
    </row>
    <row r="300" spans="1:13" ht="25.5" x14ac:dyDescent="0.25">
      <c r="A300" s="22">
        <v>2026</v>
      </c>
      <c r="B300" s="23" t="s">
        <v>203</v>
      </c>
      <c r="C300" s="23" t="s">
        <v>19</v>
      </c>
      <c r="D300" s="23" t="s">
        <v>927</v>
      </c>
      <c r="E300" s="24" t="s">
        <v>923</v>
      </c>
      <c r="F300" s="24" t="s">
        <v>325</v>
      </c>
      <c r="G300" s="25" t="s">
        <v>1218</v>
      </c>
      <c r="H300" s="26">
        <v>0.18187500000000001</v>
      </c>
      <c r="I300" s="26"/>
      <c r="J300" s="26"/>
      <c r="K300" s="25"/>
      <c r="L300" s="24" t="s">
        <v>512</v>
      </c>
      <c r="M300" s="27" t="s">
        <v>513</v>
      </c>
    </row>
    <row r="301" spans="1:13" ht="25.5" x14ac:dyDescent="0.25">
      <c r="A301" s="22">
        <v>2026</v>
      </c>
      <c r="B301" s="23" t="s">
        <v>203</v>
      </c>
      <c r="C301" s="23" t="s">
        <v>19</v>
      </c>
      <c r="D301" s="23" t="s">
        <v>927</v>
      </c>
      <c r="E301" s="24" t="s">
        <v>923</v>
      </c>
      <c r="F301" s="24" t="s">
        <v>325</v>
      </c>
      <c r="G301" s="25" t="s">
        <v>1219</v>
      </c>
      <c r="H301" s="26">
        <v>0.12675</v>
      </c>
      <c r="I301" s="26"/>
      <c r="J301" s="26"/>
      <c r="K301" s="25"/>
      <c r="L301" s="24" t="s">
        <v>512</v>
      </c>
      <c r="M301" s="27" t="s">
        <v>513</v>
      </c>
    </row>
    <row r="302" spans="1:13" ht="25.5" x14ac:dyDescent="0.25">
      <c r="A302" s="22">
        <v>2026</v>
      </c>
      <c r="B302" s="23" t="s">
        <v>203</v>
      </c>
      <c r="C302" s="23" t="s">
        <v>19</v>
      </c>
      <c r="D302" s="23" t="s">
        <v>927</v>
      </c>
      <c r="E302" s="24" t="s">
        <v>923</v>
      </c>
      <c r="F302" s="24" t="s">
        <v>325</v>
      </c>
      <c r="G302" s="25" t="s">
        <v>1220</v>
      </c>
      <c r="H302" s="26">
        <v>0.1905</v>
      </c>
      <c r="I302" s="26"/>
      <c r="J302" s="26"/>
      <c r="K302" s="25"/>
      <c r="L302" s="24" t="s">
        <v>512</v>
      </c>
      <c r="M302" s="27" t="s">
        <v>513</v>
      </c>
    </row>
    <row r="303" spans="1:13" ht="25.5" x14ac:dyDescent="0.25">
      <c r="A303" s="22">
        <v>2026</v>
      </c>
      <c r="B303" s="23" t="s">
        <v>203</v>
      </c>
      <c r="C303" s="23" t="s">
        <v>19</v>
      </c>
      <c r="D303" s="23" t="s">
        <v>933</v>
      </c>
      <c r="E303" s="24" t="s">
        <v>934</v>
      </c>
      <c r="F303" s="24" t="s">
        <v>301</v>
      </c>
      <c r="G303" s="25" t="s">
        <v>1221</v>
      </c>
      <c r="H303" s="26">
        <v>0.37679075000000001</v>
      </c>
      <c r="I303" s="26"/>
      <c r="J303" s="26"/>
      <c r="K303" s="25" t="s">
        <v>550</v>
      </c>
      <c r="L303" s="24" t="s">
        <v>521</v>
      </c>
      <c r="M303" s="27" t="s">
        <v>515</v>
      </c>
    </row>
    <row r="304" spans="1:13" ht="25.5" x14ac:dyDescent="0.25">
      <c r="A304" s="22">
        <v>2026</v>
      </c>
      <c r="B304" s="23" t="s">
        <v>203</v>
      </c>
      <c r="C304" s="23" t="s">
        <v>19</v>
      </c>
      <c r="D304" s="23" t="s">
        <v>933</v>
      </c>
      <c r="E304" s="24" t="s">
        <v>934</v>
      </c>
      <c r="F304" s="24" t="s">
        <v>301</v>
      </c>
      <c r="G304" s="25" t="s">
        <v>1222</v>
      </c>
      <c r="H304" s="26">
        <v>0.26919650000000001</v>
      </c>
      <c r="I304" s="26"/>
      <c r="J304" s="26"/>
      <c r="K304" s="25" t="s">
        <v>550</v>
      </c>
      <c r="L304" s="24" t="s">
        <v>521</v>
      </c>
      <c r="M304" s="27" t="s">
        <v>515</v>
      </c>
    </row>
    <row r="305" spans="1:13" ht="25.5" x14ac:dyDescent="0.25">
      <c r="A305" s="22">
        <v>2026</v>
      </c>
      <c r="B305" s="23" t="s">
        <v>203</v>
      </c>
      <c r="C305" s="23" t="s">
        <v>19</v>
      </c>
      <c r="D305" s="23" t="s">
        <v>933</v>
      </c>
      <c r="E305" s="24" t="s">
        <v>934</v>
      </c>
      <c r="F305" s="24" t="s">
        <v>301</v>
      </c>
      <c r="G305" s="25" t="s">
        <v>1223</v>
      </c>
      <c r="H305" s="26">
        <v>0.26997975000000002</v>
      </c>
      <c r="I305" s="26"/>
      <c r="J305" s="26"/>
      <c r="K305" s="25" t="s">
        <v>550</v>
      </c>
      <c r="L305" s="24" t="s">
        <v>521</v>
      </c>
      <c r="M305" s="27" t="s">
        <v>515</v>
      </c>
    </row>
    <row r="306" spans="1:13" ht="25.5" x14ac:dyDescent="0.25">
      <c r="A306" s="22">
        <v>2026</v>
      </c>
      <c r="B306" s="23" t="s">
        <v>203</v>
      </c>
      <c r="C306" s="23" t="s">
        <v>19</v>
      </c>
      <c r="D306" s="23" t="s">
        <v>936</v>
      </c>
      <c r="E306" s="24" t="s">
        <v>569</v>
      </c>
      <c r="F306" s="24" t="s">
        <v>937</v>
      </c>
      <c r="G306" s="25" t="s">
        <v>1224</v>
      </c>
      <c r="H306" s="26">
        <v>1.6189499999999999</v>
      </c>
      <c r="I306" s="26"/>
      <c r="J306" s="26"/>
      <c r="K306" s="25" t="s">
        <v>550</v>
      </c>
      <c r="L306" s="24" t="s">
        <v>521</v>
      </c>
      <c r="M306" s="27" t="s">
        <v>526</v>
      </c>
    </row>
    <row r="307" spans="1:13" ht="25.5" x14ac:dyDescent="0.25">
      <c r="A307" s="22">
        <v>2026</v>
      </c>
      <c r="B307" s="23" t="s">
        <v>203</v>
      </c>
      <c r="C307" s="23" t="s">
        <v>19</v>
      </c>
      <c r="D307" s="23" t="s">
        <v>936</v>
      </c>
      <c r="E307" s="24" t="s">
        <v>569</v>
      </c>
      <c r="F307" s="24" t="s">
        <v>937</v>
      </c>
      <c r="G307" s="25" t="s">
        <v>1225</v>
      </c>
      <c r="H307" s="26">
        <v>1.1821999999999999</v>
      </c>
      <c r="I307" s="26"/>
      <c r="J307" s="26"/>
      <c r="K307" s="25" t="s">
        <v>550</v>
      </c>
      <c r="L307" s="24" t="s">
        <v>521</v>
      </c>
      <c r="M307" s="27" t="s">
        <v>526</v>
      </c>
    </row>
    <row r="308" spans="1:13" ht="25.5" x14ac:dyDescent="0.25">
      <c r="A308" s="22">
        <v>2026</v>
      </c>
      <c r="B308" s="23" t="s">
        <v>203</v>
      </c>
      <c r="C308" s="23" t="s">
        <v>19</v>
      </c>
      <c r="D308" s="23" t="s">
        <v>936</v>
      </c>
      <c r="E308" s="24" t="s">
        <v>569</v>
      </c>
      <c r="F308" s="24" t="s">
        <v>937</v>
      </c>
      <c r="G308" s="25" t="s">
        <v>1226</v>
      </c>
      <c r="H308" s="26">
        <v>0.89249999999999996</v>
      </c>
      <c r="I308" s="26"/>
      <c r="J308" s="26"/>
      <c r="K308" s="25" t="s">
        <v>550</v>
      </c>
      <c r="L308" s="24" t="s">
        <v>521</v>
      </c>
      <c r="M308" s="27" t="s">
        <v>526</v>
      </c>
    </row>
    <row r="309" spans="1:13" ht="25.5" x14ac:dyDescent="0.25">
      <c r="A309" s="22">
        <v>2026</v>
      </c>
      <c r="B309" s="23" t="s">
        <v>203</v>
      </c>
      <c r="C309" s="23" t="s">
        <v>19</v>
      </c>
      <c r="D309" s="23" t="s">
        <v>936</v>
      </c>
      <c r="E309" s="24" t="s">
        <v>569</v>
      </c>
      <c r="F309" s="24" t="s">
        <v>937</v>
      </c>
      <c r="G309" s="25" t="s">
        <v>1227</v>
      </c>
      <c r="H309" s="26">
        <v>0.38100000000000001</v>
      </c>
      <c r="I309" s="26"/>
      <c r="J309" s="26"/>
      <c r="K309" s="25" t="s">
        <v>550</v>
      </c>
      <c r="L309" s="24" t="s">
        <v>521</v>
      </c>
      <c r="M309" s="27" t="s">
        <v>526</v>
      </c>
    </row>
    <row r="310" spans="1:13" ht="25.5" x14ac:dyDescent="0.25">
      <c r="A310" s="22">
        <v>2026</v>
      </c>
      <c r="B310" s="23" t="s">
        <v>203</v>
      </c>
      <c r="C310" s="23" t="s">
        <v>19</v>
      </c>
      <c r="D310" s="23" t="s">
        <v>936</v>
      </c>
      <c r="E310" s="24" t="s">
        <v>569</v>
      </c>
      <c r="F310" s="24" t="s">
        <v>937</v>
      </c>
      <c r="G310" s="25" t="s">
        <v>1228</v>
      </c>
      <c r="H310" s="26">
        <v>1.2360000000000002</v>
      </c>
      <c r="I310" s="26"/>
      <c r="J310" s="26"/>
      <c r="K310" s="25" t="s">
        <v>550</v>
      </c>
      <c r="L310" s="24" t="s">
        <v>521</v>
      </c>
      <c r="M310" s="27" t="s">
        <v>526</v>
      </c>
    </row>
    <row r="311" spans="1:13" ht="25.5" x14ac:dyDescent="0.25">
      <c r="A311" s="22">
        <v>2026</v>
      </c>
      <c r="B311" s="23" t="s">
        <v>203</v>
      </c>
      <c r="C311" s="23" t="s">
        <v>19</v>
      </c>
      <c r="D311" s="23" t="s">
        <v>936</v>
      </c>
      <c r="E311" s="24" t="s">
        <v>569</v>
      </c>
      <c r="F311" s="24" t="s">
        <v>937</v>
      </c>
      <c r="G311" s="25" t="s">
        <v>1229</v>
      </c>
      <c r="H311" s="26">
        <v>0.79979999999999996</v>
      </c>
      <c r="I311" s="26"/>
      <c r="J311" s="26"/>
      <c r="K311" s="25" t="s">
        <v>550</v>
      </c>
      <c r="L311" s="24" t="s">
        <v>521</v>
      </c>
      <c r="M311" s="27" t="s">
        <v>526</v>
      </c>
    </row>
    <row r="312" spans="1:13" ht="25.5" x14ac:dyDescent="0.25">
      <c r="A312" s="22">
        <v>2026</v>
      </c>
      <c r="B312" s="23" t="s">
        <v>203</v>
      </c>
      <c r="C312" s="23" t="s">
        <v>19</v>
      </c>
      <c r="D312" s="23" t="s">
        <v>936</v>
      </c>
      <c r="E312" s="24" t="s">
        <v>569</v>
      </c>
      <c r="F312" s="24" t="s">
        <v>937</v>
      </c>
      <c r="G312" s="25" t="s">
        <v>1230</v>
      </c>
      <c r="H312" s="26">
        <v>0.26000000000000006</v>
      </c>
      <c r="I312" s="26"/>
      <c r="J312" s="26"/>
      <c r="K312" s="25" t="s">
        <v>550</v>
      </c>
      <c r="L312" s="24" t="s">
        <v>521</v>
      </c>
      <c r="M312" s="27" t="s">
        <v>526</v>
      </c>
    </row>
    <row r="313" spans="1:13" ht="25.5" x14ac:dyDescent="0.25">
      <c r="A313" s="22">
        <v>2026</v>
      </c>
      <c r="B313" s="23" t="s">
        <v>203</v>
      </c>
      <c r="C313" s="23" t="s">
        <v>19</v>
      </c>
      <c r="D313" s="23" t="s">
        <v>936</v>
      </c>
      <c r="E313" s="24" t="s">
        <v>569</v>
      </c>
      <c r="F313" s="24" t="s">
        <v>937</v>
      </c>
      <c r="G313" s="25" t="s">
        <v>1231</v>
      </c>
      <c r="H313" s="26">
        <v>1.9762500000000001</v>
      </c>
      <c r="I313" s="26"/>
      <c r="J313" s="26"/>
      <c r="K313" s="25" t="s">
        <v>550</v>
      </c>
      <c r="L313" s="24" t="s">
        <v>521</v>
      </c>
      <c r="M313" s="27" t="s">
        <v>526</v>
      </c>
    </row>
    <row r="314" spans="1:13" ht="25.5" x14ac:dyDescent="0.25">
      <c r="A314" s="22">
        <v>2026</v>
      </c>
      <c r="B314" s="23" t="s">
        <v>203</v>
      </c>
      <c r="C314" s="23" t="s">
        <v>19</v>
      </c>
      <c r="D314" s="23" t="s">
        <v>936</v>
      </c>
      <c r="E314" s="24" t="s">
        <v>569</v>
      </c>
      <c r="F314" s="24" t="s">
        <v>937</v>
      </c>
      <c r="G314" s="25" t="s">
        <v>1232</v>
      </c>
      <c r="H314" s="26">
        <v>1.9103749999999999</v>
      </c>
      <c r="I314" s="26"/>
      <c r="J314" s="26"/>
      <c r="K314" s="25" t="s">
        <v>550</v>
      </c>
      <c r="L314" s="24" t="s">
        <v>521</v>
      </c>
      <c r="M314" s="27" t="s">
        <v>526</v>
      </c>
    </row>
    <row r="315" spans="1:13" ht="25.5" x14ac:dyDescent="0.25">
      <c r="A315" s="22">
        <v>2026</v>
      </c>
      <c r="B315" s="23" t="s">
        <v>203</v>
      </c>
      <c r="C315" s="23" t="s">
        <v>19</v>
      </c>
      <c r="D315" s="23" t="s">
        <v>936</v>
      </c>
      <c r="E315" s="24" t="s">
        <v>569</v>
      </c>
      <c r="F315" s="24" t="s">
        <v>937</v>
      </c>
      <c r="G315" s="25" t="s">
        <v>1233</v>
      </c>
      <c r="H315" s="26">
        <v>1.3728750000000003</v>
      </c>
      <c r="I315" s="26"/>
      <c r="J315" s="26"/>
      <c r="K315" s="25" t="s">
        <v>550</v>
      </c>
      <c r="L315" s="24" t="s">
        <v>521</v>
      </c>
      <c r="M315" s="27" t="s">
        <v>526</v>
      </c>
    </row>
    <row r="316" spans="1:13" ht="25.5" x14ac:dyDescent="0.25">
      <c r="A316" s="22">
        <v>2026</v>
      </c>
      <c r="B316" s="23" t="s">
        <v>203</v>
      </c>
      <c r="C316" s="23" t="s">
        <v>19</v>
      </c>
      <c r="D316" s="23" t="s">
        <v>936</v>
      </c>
      <c r="E316" s="24" t="s">
        <v>569</v>
      </c>
      <c r="F316" s="24" t="s">
        <v>937</v>
      </c>
      <c r="G316" s="25" t="s">
        <v>1234</v>
      </c>
      <c r="H316" s="26">
        <v>1.1156250000000001</v>
      </c>
      <c r="I316" s="26"/>
      <c r="J316" s="26"/>
      <c r="K316" s="25" t="s">
        <v>550</v>
      </c>
      <c r="L316" s="24" t="s">
        <v>521</v>
      </c>
      <c r="M316" s="27" t="s">
        <v>526</v>
      </c>
    </row>
    <row r="317" spans="1:13" ht="25.5" x14ac:dyDescent="0.25">
      <c r="A317" s="22">
        <v>2026</v>
      </c>
      <c r="B317" s="23" t="s">
        <v>203</v>
      </c>
      <c r="C317" s="23" t="s">
        <v>19</v>
      </c>
      <c r="D317" s="23" t="s">
        <v>936</v>
      </c>
      <c r="E317" s="24" t="s">
        <v>569</v>
      </c>
      <c r="F317" s="24" t="s">
        <v>937</v>
      </c>
      <c r="G317" s="25" t="s">
        <v>1235</v>
      </c>
      <c r="H317" s="26">
        <v>1.34385</v>
      </c>
      <c r="I317" s="26"/>
      <c r="J317" s="26"/>
      <c r="K317" s="25" t="s">
        <v>550</v>
      </c>
      <c r="L317" s="24" t="s">
        <v>521</v>
      </c>
      <c r="M317" s="27" t="s">
        <v>526</v>
      </c>
    </row>
    <row r="318" spans="1:13" ht="25.5" x14ac:dyDescent="0.25">
      <c r="A318" s="22">
        <v>2026</v>
      </c>
      <c r="B318" s="23" t="s">
        <v>203</v>
      </c>
      <c r="C318" s="23" t="s">
        <v>19</v>
      </c>
      <c r="D318" s="23" t="s">
        <v>936</v>
      </c>
      <c r="E318" s="24" t="s">
        <v>569</v>
      </c>
      <c r="F318" s="24" t="s">
        <v>937</v>
      </c>
      <c r="G318" s="25" t="s">
        <v>1236</v>
      </c>
      <c r="H318" s="26">
        <v>0.81530000000000002</v>
      </c>
      <c r="I318" s="26"/>
      <c r="J318" s="26"/>
      <c r="K318" s="25" t="s">
        <v>550</v>
      </c>
      <c r="L318" s="24" t="s">
        <v>521</v>
      </c>
      <c r="M318" s="27" t="s">
        <v>526</v>
      </c>
    </row>
    <row r="319" spans="1:13" ht="25.5" x14ac:dyDescent="0.25">
      <c r="A319" s="22">
        <v>2026</v>
      </c>
      <c r="B319" s="23" t="s">
        <v>203</v>
      </c>
      <c r="C319" s="23" t="s">
        <v>19</v>
      </c>
      <c r="D319" s="23" t="s">
        <v>936</v>
      </c>
      <c r="E319" s="24" t="s">
        <v>569</v>
      </c>
      <c r="F319" s="24" t="s">
        <v>937</v>
      </c>
      <c r="G319" s="25" t="s">
        <v>1237</v>
      </c>
      <c r="H319" s="26">
        <v>0.64434999999999998</v>
      </c>
      <c r="I319" s="26"/>
      <c r="J319" s="26"/>
      <c r="K319" s="25" t="s">
        <v>550</v>
      </c>
      <c r="L319" s="24" t="s">
        <v>521</v>
      </c>
      <c r="M319" s="27" t="s">
        <v>526</v>
      </c>
    </row>
    <row r="320" spans="1:13" ht="25.5" x14ac:dyDescent="0.25">
      <c r="A320" s="22">
        <v>2026</v>
      </c>
      <c r="B320" s="23" t="s">
        <v>203</v>
      </c>
      <c r="C320" s="23" t="s">
        <v>19</v>
      </c>
      <c r="D320" s="23" t="s">
        <v>936</v>
      </c>
      <c r="E320" s="24" t="s">
        <v>569</v>
      </c>
      <c r="F320" s="24" t="s">
        <v>937</v>
      </c>
      <c r="G320" s="25" t="s">
        <v>1238</v>
      </c>
      <c r="H320" s="26">
        <v>0.833175</v>
      </c>
      <c r="I320" s="26"/>
      <c r="J320" s="26"/>
      <c r="K320" s="25" t="s">
        <v>550</v>
      </c>
      <c r="L320" s="24" t="s">
        <v>521</v>
      </c>
      <c r="M320" s="27" t="s">
        <v>526</v>
      </c>
    </row>
    <row r="321" spans="1:13" ht="25.5" x14ac:dyDescent="0.25">
      <c r="A321" s="22">
        <v>2026</v>
      </c>
      <c r="B321" s="23" t="s">
        <v>203</v>
      </c>
      <c r="C321" s="23" t="s">
        <v>19</v>
      </c>
      <c r="D321" s="23" t="s">
        <v>952</v>
      </c>
      <c r="E321" s="24" t="s">
        <v>334</v>
      </c>
      <c r="F321" s="24" t="s">
        <v>319</v>
      </c>
      <c r="G321" s="25" t="s">
        <v>1239</v>
      </c>
      <c r="H321" s="26">
        <v>0.2147375</v>
      </c>
      <c r="I321" s="26"/>
      <c r="J321" s="26"/>
      <c r="K321" s="25" t="s">
        <v>550</v>
      </c>
      <c r="L321" s="24" t="s">
        <v>521</v>
      </c>
      <c r="M321" s="27" t="s">
        <v>513</v>
      </c>
    </row>
    <row r="322" spans="1:13" ht="25.5" x14ac:dyDescent="0.25">
      <c r="A322" s="22">
        <v>2026</v>
      </c>
      <c r="B322" s="23" t="s">
        <v>203</v>
      </c>
      <c r="C322" s="23" t="s">
        <v>19</v>
      </c>
      <c r="D322" s="23" t="s">
        <v>952</v>
      </c>
      <c r="E322" s="24" t="s">
        <v>334</v>
      </c>
      <c r="F322" s="24" t="s">
        <v>319</v>
      </c>
      <c r="G322" s="25" t="s">
        <v>1240</v>
      </c>
      <c r="H322" s="26">
        <v>1.2935249999999998</v>
      </c>
      <c r="I322" s="26"/>
      <c r="J322" s="26"/>
      <c r="K322" s="25" t="s">
        <v>550</v>
      </c>
      <c r="L322" s="24" t="s">
        <v>521</v>
      </c>
      <c r="M322" s="27" t="s">
        <v>513</v>
      </c>
    </row>
    <row r="323" spans="1:13" ht="25.5" x14ac:dyDescent="0.25">
      <c r="A323" s="22">
        <v>2026</v>
      </c>
      <c r="B323" s="23" t="s">
        <v>203</v>
      </c>
      <c r="C323" s="23" t="s">
        <v>19</v>
      </c>
      <c r="D323" s="23" t="s">
        <v>952</v>
      </c>
      <c r="E323" s="24" t="s">
        <v>334</v>
      </c>
      <c r="F323" s="24" t="s">
        <v>319</v>
      </c>
      <c r="G323" s="25" t="s">
        <v>1241</v>
      </c>
      <c r="H323" s="26">
        <v>0.17369999999999999</v>
      </c>
      <c r="I323" s="26"/>
      <c r="J323" s="26"/>
      <c r="K323" s="25" t="s">
        <v>550</v>
      </c>
      <c r="L323" s="24" t="s">
        <v>521</v>
      </c>
      <c r="M323" s="27" t="s">
        <v>513</v>
      </c>
    </row>
    <row r="324" spans="1:13" ht="25.5" x14ac:dyDescent="0.25">
      <c r="A324" s="22">
        <v>2026</v>
      </c>
      <c r="B324" s="23" t="s">
        <v>203</v>
      </c>
      <c r="C324" s="23" t="s">
        <v>19</v>
      </c>
      <c r="D324" s="23" t="s">
        <v>952</v>
      </c>
      <c r="E324" s="24" t="s">
        <v>334</v>
      </c>
      <c r="F324" s="24" t="s">
        <v>319</v>
      </c>
      <c r="G324" s="25" t="s">
        <v>1242</v>
      </c>
      <c r="H324" s="26">
        <v>11.463712800000001</v>
      </c>
      <c r="I324" s="26"/>
      <c r="J324" s="26"/>
      <c r="K324" s="25" t="s">
        <v>550</v>
      </c>
      <c r="L324" s="24" t="s">
        <v>521</v>
      </c>
      <c r="M324" s="27" t="s">
        <v>513</v>
      </c>
    </row>
    <row r="325" spans="1:13" ht="25.5" x14ac:dyDescent="0.25">
      <c r="A325" s="22">
        <v>2026</v>
      </c>
      <c r="B325" s="23" t="s">
        <v>203</v>
      </c>
      <c r="C325" s="23" t="s">
        <v>19</v>
      </c>
      <c r="D325" s="23" t="s">
        <v>952</v>
      </c>
      <c r="E325" s="24" t="s">
        <v>334</v>
      </c>
      <c r="F325" s="24" t="s">
        <v>319</v>
      </c>
      <c r="G325" s="25" t="s">
        <v>1242</v>
      </c>
      <c r="H325" s="26">
        <v>11.463712800000001</v>
      </c>
      <c r="I325" s="26"/>
      <c r="J325" s="26"/>
      <c r="K325" s="25" t="s">
        <v>550</v>
      </c>
      <c r="L325" s="24" t="s">
        <v>521</v>
      </c>
      <c r="M325" s="27" t="s">
        <v>513</v>
      </c>
    </row>
    <row r="326" spans="1:13" ht="25.5" x14ac:dyDescent="0.25">
      <c r="A326" s="22">
        <v>2026</v>
      </c>
      <c r="B326" s="23" t="s">
        <v>203</v>
      </c>
      <c r="C326" s="23" t="s">
        <v>19</v>
      </c>
      <c r="D326" s="23" t="s">
        <v>952</v>
      </c>
      <c r="E326" s="24" t="s">
        <v>334</v>
      </c>
      <c r="F326" s="24" t="s">
        <v>319</v>
      </c>
      <c r="G326" s="25" t="s">
        <v>1243</v>
      </c>
      <c r="H326" s="26">
        <v>0.86809999999999998</v>
      </c>
      <c r="I326" s="26"/>
      <c r="J326" s="26"/>
      <c r="K326" s="25" t="s">
        <v>550</v>
      </c>
      <c r="L326" s="24" t="s">
        <v>521</v>
      </c>
      <c r="M326" s="27" t="s">
        <v>513</v>
      </c>
    </row>
    <row r="327" spans="1:13" ht="25.5" x14ac:dyDescent="0.25">
      <c r="A327" s="22">
        <v>2026</v>
      </c>
      <c r="B327" s="23" t="s">
        <v>203</v>
      </c>
      <c r="C327" s="23" t="s">
        <v>19</v>
      </c>
      <c r="D327" s="23" t="s">
        <v>952</v>
      </c>
      <c r="E327" s="24" t="s">
        <v>334</v>
      </c>
      <c r="F327" s="24" t="s">
        <v>319</v>
      </c>
      <c r="G327" s="25" t="s">
        <v>1244</v>
      </c>
      <c r="H327" s="26">
        <v>1.6498650000000001</v>
      </c>
      <c r="I327" s="26"/>
      <c r="J327" s="26"/>
      <c r="K327" s="25" t="s">
        <v>550</v>
      </c>
      <c r="L327" s="24" t="s">
        <v>521</v>
      </c>
      <c r="M327" s="27" t="s">
        <v>513</v>
      </c>
    </row>
    <row r="328" spans="1:13" ht="25.5" x14ac:dyDescent="0.25">
      <c r="A328" s="22">
        <v>2026</v>
      </c>
      <c r="B328" s="23" t="s">
        <v>203</v>
      </c>
      <c r="C328" s="23" t="s">
        <v>19</v>
      </c>
      <c r="D328" s="23" t="s">
        <v>952</v>
      </c>
      <c r="E328" s="24" t="s">
        <v>334</v>
      </c>
      <c r="F328" s="24" t="s">
        <v>319</v>
      </c>
      <c r="G328" s="25" t="s">
        <v>1245</v>
      </c>
      <c r="H328" s="26">
        <v>0.87039999999999995</v>
      </c>
      <c r="I328" s="26"/>
      <c r="J328" s="26"/>
      <c r="K328" s="25" t="s">
        <v>550</v>
      </c>
      <c r="L328" s="24" t="s">
        <v>521</v>
      </c>
      <c r="M328" s="27" t="s">
        <v>513</v>
      </c>
    </row>
    <row r="329" spans="1:13" ht="25.5" x14ac:dyDescent="0.25">
      <c r="A329" s="22">
        <v>2026</v>
      </c>
      <c r="B329" s="23" t="s">
        <v>203</v>
      </c>
      <c r="C329" s="23" t="s">
        <v>19</v>
      </c>
      <c r="D329" s="23" t="s">
        <v>952</v>
      </c>
      <c r="E329" s="24" t="s">
        <v>334</v>
      </c>
      <c r="F329" s="24" t="s">
        <v>319</v>
      </c>
      <c r="G329" s="25" t="s">
        <v>1246</v>
      </c>
      <c r="H329" s="26">
        <v>2.3498099999999997</v>
      </c>
      <c r="I329" s="26"/>
      <c r="J329" s="26"/>
      <c r="K329" s="25" t="s">
        <v>550</v>
      </c>
      <c r="L329" s="24" t="s">
        <v>521</v>
      </c>
      <c r="M329" s="27" t="s">
        <v>513</v>
      </c>
    </row>
    <row r="330" spans="1:13" ht="25.5" x14ac:dyDescent="0.25">
      <c r="A330" s="22">
        <v>2026</v>
      </c>
      <c r="B330" s="23" t="s">
        <v>203</v>
      </c>
      <c r="C330" s="23" t="s">
        <v>19</v>
      </c>
      <c r="D330" s="23" t="s">
        <v>952</v>
      </c>
      <c r="E330" s="24" t="s">
        <v>334</v>
      </c>
      <c r="F330" s="24" t="s">
        <v>319</v>
      </c>
      <c r="G330" s="25" t="s">
        <v>1247</v>
      </c>
      <c r="H330" s="26">
        <v>0.69692000000000009</v>
      </c>
      <c r="I330" s="26"/>
      <c r="J330" s="26"/>
      <c r="K330" s="25" t="s">
        <v>550</v>
      </c>
      <c r="L330" s="24" t="s">
        <v>521</v>
      </c>
      <c r="M330" s="27" t="s">
        <v>513</v>
      </c>
    </row>
    <row r="331" spans="1:13" ht="25.5" x14ac:dyDescent="0.25">
      <c r="A331" s="22">
        <v>2026</v>
      </c>
      <c r="B331" s="23" t="s">
        <v>203</v>
      </c>
      <c r="C331" s="23" t="s">
        <v>19</v>
      </c>
      <c r="D331" s="23" t="s">
        <v>952</v>
      </c>
      <c r="E331" s="24" t="s">
        <v>334</v>
      </c>
      <c r="F331" s="24" t="s">
        <v>319</v>
      </c>
      <c r="G331" s="25" t="s">
        <v>1248</v>
      </c>
      <c r="H331" s="26">
        <v>0.61173</v>
      </c>
      <c r="I331" s="26"/>
      <c r="J331" s="26"/>
      <c r="K331" s="25" t="s">
        <v>550</v>
      </c>
      <c r="L331" s="24" t="s">
        <v>521</v>
      </c>
      <c r="M331" s="27" t="s">
        <v>513</v>
      </c>
    </row>
    <row r="332" spans="1:13" ht="25.5" x14ac:dyDescent="0.25">
      <c r="A332" s="22">
        <v>2026</v>
      </c>
      <c r="B332" s="23" t="s">
        <v>203</v>
      </c>
      <c r="C332" s="23" t="s">
        <v>19</v>
      </c>
      <c r="D332" s="23" t="s">
        <v>952</v>
      </c>
      <c r="E332" s="24" t="s">
        <v>334</v>
      </c>
      <c r="F332" s="24" t="s">
        <v>319</v>
      </c>
      <c r="G332" s="25" t="s">
        <v>1249</v>
      </c>
      <c r="H332" s="26">
        <v>0.65550000000000008</v>
      </c>
      <c r="I332" s="26"/>
      <c r="J332" s="26"/>
      <c r="K332" s="25" t="s">
        <v>550</v>
      </c>
      <c r="L332" s="24" t="s">
        <v>521</v>
      </c>
      <c r="M332" s="27" t="s">
        <v>513</v>
      </c>
    </row>
    <row r="333" spans="1:13" ht="25.5" x14ac:dyDescent="0.25">
      <c r="A333" s="22">
        <v>2026</v>
      </c>
      <c r="B333" s="23" t="s">
        <v>203</v>
      </c>
      <c r="C333" s="23" t="s">
        <v>19</v>
      </c>
      <c r="D333" s="23" t="s">
        <v>952</v>
      </c>
      <c r="E333" s="24" t="s">
        <v>334</v>
      </c>
      <c r="F333" s="24" t="s">
        <v>319</v>
      </c>
      <c r="G333" s="25" t="s">
        <v>1250</v>
      </c>
      <c r="H333" s="26">
        <v>0.69903999999999999</v>
      </c>
      <c r="I333" s="26"/>
      <c r="J333" s="26"/>
      <c r="K333" s="25" t="s">
        <v>550</v>
      </c>
      <c r="L333" s="24" t="s">
        <v>521</v>
      </c>
      <c r="M333" s="27" t="s">
        <v>513</v>
      </c>
    </row>
    <row r="334" spans="1:13" ht="25.5" x14ac:dyDescent="0.25">
      <c r="A334" s="22">
        <v>2026</v>
      </c>
      <c r="B334" s="23" t="s">
        <v>203</v>
      </c>
      <c r="C334" s="23" t="s">
        <v>19</v>
      </c>
      <c r="D334" s="23" t="s">
        <v>952</v>
      </c>
      <c r="E334" s="24" t="s">
        <v>334</v>
      </c>
      <c r="F334" s="24" t="s">
        <v>319</v>
      </c>
      <c r="G334" s="25" t="s">
        <v>1251</v>
      </c>
      <c r="H334" s="26">
        <v>1.0297799999999999</v>
      </c>
      <c r="I334" s="26"/>
      <c r="J334" s="26"/>
      <c r="K334" s="25" t="s">
        <v>550</v>
      </c>
      <c r="L334" s="24" t="s">
        <v>521</v>
      </c>
      <c r="M334" s="27" t="s">
        <v>513</v>
      </c>
    </row>
    <row r="335" spans="1:13" ht="25.5" x14ac:dyDescent="0.25">
      <c r="A335" s="22">
        <v>2026</v>
      </c>
      <c r="B335" s="23" t="s">
        <v>203</v>
      </c>
      <c r="C335" s="23" t="s">
        <v>19</v>
      </c>
      <c r="D335" s="23" t="s">
        <v>952</v>
      </c>
      <c r="E335" s="24" t="s">
        <v>334</v>
      </c>
      <c r="F335" s="24" t="s">
        <v>319</v>
      </c>
      <c r="G335" s="25" t="s">
        <v>1252</v>
      </c>
      <c r="H335" s="26">
        <v>0.34313999999999995</v>
      </c>
      <c r="I335" s="26"/>
      <c r="J335" s="26"/>
      <c r="K335" s="25" t="s">
        <v>550</v>
      </c>
      <c r="L335" s="24" t="s">
        <v>521</v>
      </c>
      <c r="M335" s="27" t="s">
        <v>513</v>
      </c>
    </row>
    <row r="336" spans="1:13" ht="25.5" x14ac:dyDescent="0.25">
      <c r="A336" s="22">
        <v>2026</v>
      </c>
      <c r="B336" s="23" t="s">
        <v>203</v>
      </c>
      <c r="C336" s="23" t="s">
        <v>19</v>
      </c>
      <c r="D336" s="23" t="s">
        <v>952</v>
      </c>
      <c r="E336" s="24" t="s">
        <v>334</v>
      </c>
      <c r="F336" s="24" t="s">
        <v>319</v>
      </c>
      <c r="G336" s="25" t="s">
        <v>1253</v>
      </c>
      <c r="H336" s="26">
        <v>1.1994499999999999</v>
      </c>
      <c r="I336" s="26"/>
      <c r="J336" s="26"/>
      <c r="K336" s="25"/>
      <c r="L336" s="24" t="s">
        <v>521</v>
      </c>
      <c r="M336" s="27" t="s">
        <v>513</v>
      </c>
    </row>
    <row r="337" spans="1:13" ht="25.5" x14ac:dyDescent="0.25">
      <c r="A337" s="22">
        <v>2026</v>
      </c>
      <c r="B337" s="23" t="s">
        <v>203</v>
      </c>
      <c r="C337" s="23" t="s">
        <v>19</v>
      </c>
      <c r="D337" s="23" t="s">
        <v>188</v>
      </c>
      <c r="E337" s="24" t="s">
        <v>334</v>
      </c>
      <c r="F337" s="24" t="s">
        <v>335</v>
      </c>
      <c r="G337" s="25" t="s">
        <v>1254</v>
      </c>
      <c r="H337" s="26">
        <v>0.58904999999999996</v>
      </c>
      <c r="I337" s="26"/>
      <c r="J337" s="26"/>
      <c r="K337" s="25" t="s">
        <v>550</v>
      </c>
      <c r="L337" s="24" t="s">
        <v>512</v>
      </c>
      <c r="M337" s="27" t="s">
        <v>513</v>
      </c>
    </row>
    <row r="338" spans="1:13" ht="25.5" x14ac:dyDescent="0.25">
      <c r="A338" s="22">
        <v>2026</v>
      </c>
      <c r="B338" s="23" t="s">
        <v>203</v>
      </c>
      <c r="C338" s="23" t="s">
        <v>19</v>
      </c>
      <c r="D338" s="23" t="s">
        <v>188</v>
      </c>
      <c r="E338" s="24" t="s">
        <v>334</v>
      </c>
      <c r="F338" s="24" t="s">
        <v>335</v>
      </c>
      <c r="G338" s="25" t="s">
        <v>1255</v>
      </c>
      <c r="H338" s="26">
        <v>0.19355</v>
      </c>
      <c r="I338" s="26"/>
      <c r="J338" s="26"/>
      <c r="K338" s="25" t="s">
        <v>550</v>
      </c>
      <c r="L338" s="24" t="s">
        <v>512</v>
      </c>
      <c r="M338" s="27" t="s">
        <v>513</v>
      </c>
    </row>
    <row r="339" spans="1:13" ht="25.5" x14ac:dyDescent="0.25">
      <c r="A339" s="22">
        <v>2026</v>
      </c>
      <c r="B339" s="23" t="s">
        <v>203</v>
      </c>
      <c r="C339" s="23" t="s">
        <v>19</v>
      </c>
      <c r="D339" s="23" t="s">
        <v>188</v>
      </c>
      <c r="E339" s="24" t="s">
        <v>334</v>
      </c>
      <c r="F339" s="24" t="s">
        <v>335</v>
      </c>
      <c r="G339" s="25" t="s">
        <v>1256</v>
      </c>
      <c r="H339" s="26">
        <v>1.7802</v>
      </c>
      <c r="I339" s="26"/>
      <c r="J339" s="26"/>
      <c r="K339" s="25"/>
      <c r="L339" s="24" t="s">
        <v>512</v>
      </c>
      <c r="M339" s="27" t="s">
        <v>513</v>
      </c>
    </row>
    <row r="340" spans="1:13" ht="25.5" x14ac:dyDescent="0.25">
      <c r="A340" s="22">
        <v>2026</v>
      </c>
      <c r="B340" s="23" t="s">
        <v>203</v>
      </c>
      <c r="C340" s="23" t="s">
        <v>19</v>
      </c>
      <c r="D340" s="23" t="s">
        <v>1094</v>
      </c>
      <c r="E340" s="24" t="s">
        <v>1095</v>
      </c>
      <c r="F340" s="24" t="s">
        <v>316</v>
      </c>
      <c r="G340" s="25" t="s">
        <v>1257</v>
      </c>
      <c r="H340" s="26">
        <v>0.77759999999999996</v>
      </c>
      <c r="I340" s="26"/>
      <c r="J340" s="26"/>
      <c r="K340" s="25" t="s">
        <v>550</v>
      </c>
      <c r="L340" s="24" t="s">
        <v>512</v>
      </c>
      <c r="M340" s="27" t="s">
        <v>513</v>
      </c>
    </row>
    <row r="341" spans="1:13" ht="25.5" x14ac:dyDescent="0.25">
      <c r="A341" s="22">
        <v>2026</v>
      </c>
      <c r="B341" s="23" t="s">
        <v>203</v>
      </c>
      <c r="C341" s="23" t="s">
        <v>19</v>
      </c>
      <c r="D341" s="23" t="s">
        <v>1094</v>
      </c>
      <c r="E341" s="24" t="s">
        <v>1095</v>
      </c>
      <c r="F341" s="24" t="s">
        <v>316</v>
      </c>
      <c r="G341" s="25" t="s">
        <v>1258</v>
      </c>
      <c r="H341" s="26">
        <v>0.73504999999999998</v>
      </c>
      <c r="I341" s="26"/>
      <c r="J341" s="26"/>
      <c r="K341" s="25" t="s">
        <v>550</v>
      </c>
      <c r="L341" s="24" t="s">
        <v>512</v>
      </c>
      <c r="M341" s="27" t="s">
        <v>513</v>
      </c>
    </row>
    <row r="342" spans="1:13" ht="25.5" x14ac:dyDescent="0.25">
      <c r="A342" s="22">
        <v>2026</v>
      </c>
      <c r="B342" s="23" t="s">
        <v>203</v>
      </c>
      <c r="C342" s="23" t="s">
        <v>19</v>
      </c>
      <c r="D342" s="23" t="s">
        <v>1094</v>
      </c>
      <c r="E342" s="24" t="s">
        <v>1095</v>
      </c>
      <c r="F342" s="24" t="s">
        <v>316</v>
      </c>
      <c r="G342" s="25" t="s">
        <v>1259</v>
      </c>
      <c r="H342" s="26">
        <v>0.17962500000000001</v>
      </c>
      <c r="I342" s="26"/>
      <c r="J342" s="26"/>
      <c r="K342" s="25" t="s">
        <v>550</v>
      </c>
      <c r="L342" s="24" t="s">
        <v>512</v>
      </c>
      <c r="M342" s="27" t="s">
        <v>513</v>
      </c>
    </row>
    <row r="343" spans="1:13" ht="25.5" x14ac:dyDescent="0.25">
      <c r="A343" s="22">
        <v>2026</v>
      </c>
      <c r="B343" s="23" t="s">
        <v>203</v>
      </c>
      <c r="C343" s="23" t="s">
        <v>19</v>
      </c>
      <c r="D343" s="23" t="s">
        <v>978</v>
      </c>
      <c r="E343" s="24" t="s">
        <v>979</v>
      </c>
      <c r="F343" s="24" t="s">
        <v>343</v>
      </c>
      <c r="G343" s="25" t="s">
        <v>1260</v>
      </c>
      <c r="H343" s="26">
        <v>0.19343000000000002</v>
      </c>
      <c r="I343" s="26"/>
      <c r="J343" s="26"/>
      <c r="K343" s="25" t="s">
        <v>550</v>
      </c>
      <c r="L343" s="24" t="s">
        <v>512</v>
      </c>
      <c r="M343" s="27" t="s">
        <v>513</v>
      </c>
    </row>
    <row r="344" spans="1:13" ht="25.5" x14ac:dyDescent="0.25">
      <c r="A344" s="22">
        <v>2026</v>
      </c>
      <c r="B344" s="23" t="s">
        <v>203</v>
      </c>
      <c r="C344" s="23" t="s">
        <v>19</v>
      </c>
      <c r="D344" s="23" t="s">
        <v>978</v>
      </c>
      <c r="E344" s="24" t="s">
        <v>979</v>
      </c>
      <c r="F344" s="24" t="s">
        <v>343</v>
      </c>
      <c r="G344" s="25" t="s">
        <v>1261</v>
      </c>
      <c r="H344" s="26">
        <v>0.38200000000000001</v>
      </c>
      <c r="I344" s="26"/>
      <c r="J344" s="26"/>
      <c r="K344" s="25" t="s">
        <v>550</v>
      </c>
      <c r="L344" s="24" t="s">
        <v>512</v>
      </c>
      <c r="M344" s="27" t="s">
        <v>513</v>
      </c>
    </row>
    <row r="345" spans="1:13" ht="25.5" x14ac:dyDescent="0.25">
      <c r="A345" s="22">
        <v>2026</v>
      </c>
      <c r="B345" s="23" t="s">
        <v>203</v>
      </c>
      <c r="C345" s="23" t="s">
        <v>19</v>
      </c>
      <c r="D345" s="23" t="s">
        <v>208</v>
      </c>
      <c r="E345" s="24" t="s">
        <v>382</v>
      </c>
      <c r="F345" s="24" t="s">
        <v>343</v>
      </c>
      <c r="G345" s="25" t="s">
        <v>1262</v>
      </c>
      <c r="H345" s="26">
        <v>0.25624999999999998</v>
      </c>
      <c r="I345" s="26"/>
      <c r="J345" s="26"/>
      <c r="K345" s="25" t="s">
        <v>550</v>
      </c>
      <c r="L345" s="24" t="s">
        <v>514</v>
      </c>
      <c r="M345" s="27" t="s">
        <v>513</v>
      </c>
    </row>
    <row r="346" spans="1:13" ht="25.5" x14ac:dyDescent="0.25">
      <c r="A346" s="22">
        <v>2026</v>
      </c>
      <c r="B346" s="23" t="s">
        <v>203</v>
      </c>
      <c r="C346" s="23" t="s">
        <v>19</v>
      </c>
      <c r="D346" s="23" t="s">
        <v>984</v>
      </c>
      <c r="E346" s="24" t="s">
        <v>985</v>
      </c>
      <c r="F346" s="24" t="s">
        <v>343</v>
      </c>
      <c r="G346" s="25" t="s">
        <v>1263</v>
      </c>
      <c r="H346" s="26">
        <v>0.29175999999999996</v>
      </c>
      <c r="I346" s="26"/>
      <c r="J346" s="26"/>
      <c r="K346" s="25" t="s">
        <v>550</v>
      </c>
      <c r="L346" s="24" t="s">
        <v>512</v>
      </c>
      <c r="M346" s="27" t="s">
        <v>513</v>
      </c>
    </row>
    <row r="347" spans="1:13" ht="25.5" x14ac:dyDescent="0.25">
      <c r="A347" s="22">
        <v>2026</v>
      </c>
      <c r="B347" s="23" t="s">
        <v>203</v>
      </c>
      <c r="C347" s="23" t="s">
        <v>19</v>
      </c>
      <c r="D347" s="23" t="s">
        <v>984</v>
      </c>
      <c r="E347" s="24" t="s">
        <v>985</v>
      </c>
      <c r="F347" s="24" t="s">
        <v>343</v>
      </c>
      <c r="G347" s="25" t="s">
        <v>1264</v>
      </c>
      <c r="H347" s="26">
        <v>0.36621250000000005</v>
      </c>
      <c r="I347" s="26"/>
      <c r="J347" s="26"/>
      <c r="K347" s="25" t="s">
        <v>550</v>
      </c>
      <c r="L347" s="24" t="s">
        <v>512</v>
      </c>
      <c r="M347" s="27" t="s">
        <v>513</v>
      </c>
    </row>
    <row r="348" spans="1:13" ht="25.5" x14ac:dyDescent="0.25">
      <c r="A348" s="22">
        <v>2026</v>
      </c>
      <c r="B348" s="23" t="s">
        <v>203</v>
      </c>
      <c r="C348" s="23" t="s">
        <v>19</v>
      </c>
      <c r="D348" s="23" t="s">
        <v>1265</v>
      </c>
      <c r="E348" s="24" t="s">
        <v>1266</v>
      </c>
      <c r="F348" s="24" t="s">
        <v>325</v>
      </c>
      <c r="G348" s="25" t="s">
        <v>1267</v>
      </c>
      <c r="H348" s="26">
        <v>1.5549999999999999</v>
      </c>
      <c r="I348" s="26"/>
      <c r="J348" s="26"/>
      <c r="K348" s="25"/>
      <c r="L348" s="24" t="s">
        <v>514</v>
      </c>
      <c r="M348" s="27" t="s">
        <v>513</v>
      </c>
    </row>
    <row r="349" spans="1:13" ht="25.5" x14ac:dyDescent="0.25">
      <c r="A349" s="22">
        <v>2026</v>
      </c>
      <c r="B349" s="23" t="s">
        <v>203</v>
      </c>
      <c r="C349" s="23" t="s">
        <v>19</v>
      </c>
      <c r="D349" s="23" t="s">
        <v>988</v>
      </c>
      <c r="E349" s="24" t="s">
        <v>318</v>
      </c>
      <c r="F349" s="24" t="s">
        <v>301</v>
      </c>
      <c r="G349" s="25" t="s">
        <v>1268</v>
      </c>
      <c r="H349" s="26">
        <v>3.8664499999999999</v>
      </c>
      <c r="I349" s="26"/>
      <c r="J349" s="26"/>
      <c r="K349" s="25" t="s">
        <v>550</v>
      </c>
      <c r="L349" s="24" t="s">
        <v>514</v>
      </c>
      <c r="M349" s="27" t="s">
        <v>513</v>
      </c>
    </row>
    <row r="350" spans="1:13" ht="25.5" x14ac:dyDescent="0.25">
      <c r="A350" s="22">
        <v>2026</v>
      </c>
      <c r="B350" s="23" t="s">
        <v>203</v>
      </c>
      <c r="C350" s="23" t="s">
        <v>19</v>
      </c>
      <c r="D350" s="23" t="s">
        <v>988</v>
      </c>
      <c r="E350" s="24" t="s">
        <v>318</v>
      </c>
      <c r="F350" s="24" t="s">
        <v>301</v>
      </c>
      <c r="G350" s="25" t="s">
        <v>1269</v>
      </c>
      <c r="H350" s="26">
        <v>7.1805500000000002</v>
      </c>
      <c r="I350" s="26"/>
      <c r="J350" s="26"/>
      <c r="K350" s="25" t="s">
        <v>550</v>
      </c>
      <c r="L350" s="24" t="s">
        <v>514</v>
      </c>
      <c r="M350" s="27" t="s">
        <v>513</v>
      </c>
    </row>
    <row r="351" spans="1:13" ht="25.5" x14ac:dyDescent="0.25">
      <c r="A351" s="22">
        <v>2026</v>
      </c>
      <c r="B351" s="23" t="s">
        <v>203</v>
      </c>
      <c r="C351" s="23" t="s">
        <v>19</v>
      </c>
      <c r="D351" s="23" t="s">
        <v>988</v>
      </c>
      <c r="E351" s="24" t="s">
        <v>318</v>
      </c>
      <c r="F351" s="24" t="s">
        <v>301</v>
      </c>
      <c r="G351" s="25" t="s">
        <v>1270</v>
      </c>
      <c r="H351" s="26">
        <v>5.5265000000000004</v>
      </c>
      <c r="I351" s="26"/>
      <c r="J351" s="26"/>
      <c r="K351" s="25" t="s">
        <v>550</v>
      </c>
      <c r="L351" s="24" t="s">
        <v>514</v>
      </c>
      <c r="M351" s="27" t="s">
        <v>513</v>
      </c>
    </row>
    <row r="352" spans="1:13" ht="25.5" x14ac:dyDescent="0.25">
      <c r="A352" s="22">
        <v>2026</v>
      </c>
      <c r="B352" s="23" t="s">
        <v>203</v>
      </c>
      <c r="C352" s="23" t="s">
        <v>19</v>
      </c>
      <c r="D352" s="23" t="s">
        <v>988</v>
      </c>
      <c r="E352" s="24" t="s">
        <v>318</v>
      </c>
      <c r="F352" s="24" t="s">
        <v>301</v>
      </c>
      <c r="G352" s="25" t="s">
        <v>1271</v>
      </c>
      <c r="H352" s="26">
        <v>4.2476000000000003</v>
      </c>
      <c r="I352" s="26"/>
      <c r="J352" s="26"/>
      <c r="K352" s="25"/>
      <c r="L352" s="24" t="s">
        <v>514</v>
      </c>
      <c r="M352" s="27" t="s">
        <v>513</v>
      </c>
    </row>
    <row r="353" spans="1:13" ht="25.5" x14ac:dyDescent="0.25">
      <c r="A353" s="22">
        <v>2026</v>
      </c>
      <c r="B353" s="23" t="s">
        <v>203</v>
      </c>
      <c r="C353" s="23" t="s">
        <v>19</v>
      </c>
      <c r="D353" s="23" t="s">
        <v>181</v>
      </c>
      <c r="E353" s="24" t="s">
        <v>318</v>
      </c>
      <c r="F353" s="24" t="s">
        <v>319</v>
      </c>
      <c r="G353" s="25" t="s">
        <v>1272</v>
      </c>
      <c r="H353" s="26">
        <v>0.99542181990000012</v>
      </c>
      <c r="I353" s="26"/>
      <c r="J353" s="26"/>
      <c r="K353" s="25" t="s">
        <v>550</v>
      </c>
      <c r="L353" s="24" t="s">
        <v>514</v>
      </c>
      <c r="M353" s="27" t="s">
        <v>513</v>
      </c>
    </row>
    <row r="354" spans="1:13" ht="25.5" x14ac:dyDescent="0.25">
      <c r="A354" s="22">
        <v>2026</v>
      </c>
      <c r="B354" s="23" t="s">
        <v>203</v>
      </c>
      <c r="C354" s="23" t="s">
        <v>90</v>
      </c>
      <c r="D354" s="23" t="s">
        <v>1273</v>
      </c>
      <c r="E354" s="24" t="s">
        <v>369</v>
      </c>
      <c r="F354" s="24" t="s">
        <v>1274</v>
      </c>
      <c r="G354" s="25" t="s">
        <v>1275</v>
      </c>
      <c r="H354" s="26">
        <v>0.24679999999999999</v>
      </c>
      <c r="I354" s="26"/>
      <c r="J354" s="26"/>
      <c r="K354" s="25" t="s">
        <v>550</v>
      </c>
      <c r="L354" s="24" t="s">
        <v>512</v>
      </c>
      <c r="M354" s="27" t="s">
        <v>513</v>
      </c>
    </row>
    <row r="355" spans="1:13" ht="25.5" x14ac:dyDescent="0.25">
      <c r="A355" s="22">
        <v>2026</v>
      </c>
      <c r="B355" s="23" t="s">
        <v>203</v>
      </c>
      <c r="C355" s="23" t="s">
        <v>90</v>
      </c>
      <c r="D355" s="23" t="s">
        <v>1273</v>
      </c>
      <c r="E355" s="24" t="s">
        <v>369</v>
      </c>
      <c r="F355" s="24" t="s">
        <v>1274</v>
      </c>
      <c r="G355" s="25" t="s">
        <v>1276</v>
      </c>
      <c r="H355" s="26">
        <v>0.16094</v>
      </c>
      <c r="I355" s="26"/>
      <c r="J355" s="26"/>
      <c r="K355" s="25" t="s">
        <v>550</v>
      </c>
      <c r="L355" s="24" t="s">
        <v>512</v>
      </c>
      <c r="M355" s="27" t="s">
        <v>513</v>
      </c>
    </row>
    <row r="356" spans="1:13" ht="25.5" x14ac:dyDescent="0.25">
      <c r="A356" s="22">
        <v>2026</v>
      </c>
      <c r="B356" s="23" t="s">
        <v>203</v>
      </c>
      <c r="C356" s="23" t="s">
        <v>90</v>
      </c>
      <c r="D356" s="23" t="s">
        <v>1273</v>
      </c>
      <c r="E356" s="24" t="s">
        <v>369</v>
      </c>
      <c r="F356" s="24" t="s">
        <v>1274</v>
      </c>
      <c r="G356" s="25" t="s">
        <v>1277</v>
      </c>
      <c r="H356" s="26">
        <v>0.24849999999999994</v>
      </c>
      <c r="I356" s="26"/>
      <c r="J356" s="26"/>
      <c r="K356" s="25" t="s">
        <v>550</v>
      </c>
      <c r="L356" s="24" t="s">
        <v>512</v>
      </c>
      <c r="M356" s="27" t="s">
        <v>513</v>
      </c>
    </row>
    <row r="357" spans="1:13" ht="25.5" x14ac:dyDescent="0.25">
      <c r="A357" s="22">
        <v>2026</v>
      </c>
      <c r="B357" s="23" t="s">
        <v>203</v>
      </c>
      <c r="C357" s="23" t="s">
        <v>90</v>
      </c>
      <c r="D357" s="23" t="s">
        <v>1273</v>
      </c>
      <c r="E357" s="24" t="s">
        <v>369</v>
      </c>
      <c r="F357" s="24" t="s">
        <v>1274</v>
      </c>
      <c r="G357" s="25" t="s">
        <v>1278</v>
      </c>
      <c r="H357" s="26">
        <v>0.43592500000000001</v>
      </c>
      <c r="I357" s="26"/>
      <c r="J357" s="26"/>
      <c r="K357" s="25" t="s">
        <v>550</v>
      </c>
      <c r="L357" s="24" t="s">
        <v>512</v>
      </c>
      <c r="M357" s="27" t="s">
        <v>513</v>
      </c>
    </row>
    <row r="358" spans="1:13" ht="25.5" x14ac:dyDescent="0.25">
      <c r="A358" s="22">
        <v>2026</v>
      </c>
      <c r="B358" s="23" t="s">
        <v>203</v>
      </c>
      <c r="C358" s="23" t="s">
        <v>90</v>
      </c>
      <c r="D358" s="23" t="s">
        <v>1273</v>
      </c>
      <c r="E358" s="24" t="s">
        <v>369</v>
      </c>
      <c r="F358" s="24" t="s">
        <v>1274</v>
      </c>
      <c r="G358" s="25" t="s">
        <v>1279</v>
      </c>
      <c r="H358" s="26">
        <v>0.1003</v>
      </c>
      <c r="I358" s="26"/>
      <c r="J358" s="26"/>
      <c r="K358" s="25" t="s">
        <v>550</v>
      </c>
      <c r="L358" s="24" t="s">
        <v>512</v>
      </c>
      <c r="M358" s="27" t="s">
        <v>513</v>
      </c>
    </row>
    <row r="359" spans="1:13" ht="25.5" x14ac:dyDescent="0.25">
      <c r="A359" s="22">
        <v>2026</v>
      </c>
      <c r="B359" s="23" t="s">
        <v>203</v>
      </c>
      <c r="C359" s="23" t="s">
        <v>90</v>
      </c>
      <c r="D359" s="23" t="s">
        <v>1273</v>
      </c>
      <c r="E359" s="24" t="s">
        <v>369</v>
      </c>
      <c r="F359" s="24" t="s">
        <v>1274</v>
      </c>
      <c r="G359" s="25" t="s">
        <v>1280</v>
      </c>
      <c r="H359" s="26">
        <v>6.2549999999999994E-2</v>
      </c>
      <c r="I359" s="26"/>
      <c r="J359" s="26"/>
      <c r="K359" s="25" t="s">
        <v>550</v>
      </c>
      <c r="L359" s="24" t="s">
        <v>512</v>
      </c>
      <c r="M359" s="27" t="s">
        <v>513</v>
      </c>
    </row>
    <row r="360" spans="1:13" ht="25.5" x14ac:dyDescent="0.25">
      <c r="A360" s="22">
        <v>2026</v>
      </c>
      <c r="B360" s="23" t="s">
        <v>203</v>
      </c>
      <c r="C360" s="23" t="s">
        <v>90</v>
      </c>
      <c r="D360" s="23" t="s">
        <v>1273</v>
      </c>
      <c r="E360" s="24" t="s">
        <v>369</v>
      </c>
      <c r="F360" s="24" t="s">
        <v>1274</v>
      </c>
      <c r="G360" s="25" t="s">
        <v>1281</v>
      </c>
      <c r="H360" s="26">
        <v>0.16353999999999999</v>
      </c>
      <c r="I360" s="26"/>
      <c r="J360" s="26"/>
      <c r="K360" s="25"/>
      <c r="L360" s="24" t="s">
        <v>512</v>
      </c>
      <c r="M360" s="27" t="s">
        <v>513</v>
      </c>
    </row>
    <row r="361" spans="1:13" ht="25.5" x14ac:dyDescent="0.25">
      <c r="A361" s="22">
        <v>2026</v>
      </c>
      <c r="B361" s="23" t="s">
        <v>203</v>
      </c>
      <c r="C361" s="23" t="s">
        <v>90</v>
      </c>
      <c r="D361" s="23" t="s">
        <v>202</v>
      </c>
      <c r="E361" s="24" t="s">
        <v>369</v>
      </c>
      <c r="F361" s="24" t="s">
        <v>287</v>
      </c>
      <c r="G361" s="25" t="s">
        <v>1282</v>
      </c>
      <c r="H361" s="26">
        <v>0.48499999999999999</v>
      </c>
      <c r="I361" s="26"/>
      <c r="J361" s="26"/>
      <c r="K361" s="25" t="s">
        <v>550</v>
      </c>
      <c r="L361" s="24" t="s">
        <v>512</v>
      </c>
      <c r="M361" s="27" t="s">
        <v>513</v>
      </c>
    </row>
    <row r="362" spans="1:13" ht="25.5" x14ac:dyDescent="0.25">
      <c r="A362" s="22">
        <v>2026</v>
      </c>
      <c r="B362" s="23" t="s">
        <v>203</v>
      </c>
      <c r="C362" s="23" t="s">
        <v>90</v>
      </c>
      <c r="D362" s="23" t="s">
        <v>202</v>
      </c>
      <c r="E362" s="24" t="s">
        <v>369</v>
      </c>
      <c r="F362" s="24" t="s">
        <v>287</v>
      </c>
      <c r="G362" s="25" t="s">
        <v>1283</v>
      </c>
      <c r="H362" s="26">
        <v>0.39139999999999997</v>
      </c>
      <c r="I362" s="26"/>
      <c r="J362" s="26"/>
      <c r="K362" s="25" t="s">
        <v>550</v>
      </c>
      <c r="L362" s="24" t="s">
        <v>512</v>
      </c>
      <c r="M362" s="27" t="s">
        <v>513</v>
      </c>
    </row>
    <row r="363" spans="1:13" ht="25.5" x14ac:dyDescent="0.25">
      <c r="A363" s="22">
        <v>2026</v>
      </c>
      <c r="B363" s="23" t="s">
        <v>203</v>
      </c>
      <c r="C363" s="23" t="s">
        <v>90</v>
      </c>
      <c r="D363" s="23" t="s">
        <v>219</v>
      </c>
      <c r="E363" s="24" t="s">
        <v>403</v>
      </c>
      <c r="F363" s="24" t="s">
        <v>319</v>
      </c>
      <c r="G363" s="25" t="s">
        <v>1284</v>
      </c>
      <c r="H363" s="26">
        <v>4.5629299999999998E-2</v>
      </c>
      <c r="I363" s="26"/>
      <c r="J363" s="26"/>
      <c r="K363" s="25"/>
      <c r="L363" s="24" t="s">
        <v>521</v>
      </c>
      <c r="M363" s="27" t="s">
        <v>513</v>
      </c>
    </row>
    <row r="364" spans="1:13" ht="25.5" x14ac:dyDescent="0.25">
      <c r="A364" s="22">
        <v>2026</v>
      </c>
      <c r="B364" s="23" t="s">
        <v>203</v>
      </c>
      <c r="C364" s="23" t="s">
        <v>90</v>
      </c>
      <c r="D364" s="23" t="s">
        <v>1285</v>
      </c>
      <c r="E364" s="24" t="s">
        <v>398</v>
      </c>
      <c r="F364" s="24" t="s">
        <v>1286</v>
      </c>
      <c r="G364" s="25" t="s">
        <v>1287</v>
      </c>
      <c r="H364" s="26">
        <v>0.18135000000000001</v>
      </c>
      <c r="I364" s="26"/>
      <c r="J364" s="26"/>
      <c r="K364" s="25" t="s">
        <v>550</v>
      </c>
      <c r="L364" s="24" t="s">
        <v>512</v>
      </c>
      <c r="M364" s="27" t="s">
        <v>513</v>
      </c>
    </row>
    <row r="365" spans="1:13" ht="25.5" x14ac:dyDescent="0.25">
      <c r="A365" s="22">
        <v>2026</v>
      </c>
      <c r="B365" s="23" t="s">
        <v>203</v>
      </c>
      <c r="C365" s="23" t="s">
        <v>90</v>
      </c>
      <c r="D365" s="23" t="s">
        <v>1285</v>
      </c>
      <c r="E365" s="24" t="s">
        <v>398</v>
      </c>
      <c r="F365" s="24" t="s">
        <v>1286</v>
      </c>
      <c r="G365" s="25" t="s">
        <v>1288</v>
      </c>
      <c r="H365" s="26">
        <v>0.21</v>
      </c>
      <c r="I365" s="26"/>
      <c r="J365" s="26"/>
      <c r="K365" s="25" t="s">
        <v>550</v>
      </c>
      <c r="L365" s="24" t="s">
        <v>512</v>
      </c>
      <c r="M365" s="27" t="s">
        <v>513</v>
      </c>
    </row>
    <row r="366" spans="1:13" ht="25.5" x14ac:dyDescent="0.25">
      <c r="A366" s="22">
        <v>2026</v>
      </c>
      <c r="B366" s="23" t="s">
        <v>203</v>
      </c>
      <c r="C366" s="23" t="s">
        <v>90</v>
      </c>
      <c r="D366" s="23" t="s">
        <v>1285</v>
      </c>
      <c r="E366" s="24" t="s">
        <v>398</v>
      </c>
      <c r="F366" s="24" t="s">
        <v>1286</v>
      </c>
      <c r="G366" s="25" t="s">
        <v>1289</v>
      </c>
      <c r="H366" s="26">
        <v>0.4367300400000001</v>
      </c>
      <c r="I366" s="26"/>
      <c r="J366" s="26"/>
      <c r="K366" s="25" t="s">
        <v>550</v>
      </c>
      <c r="L366" s="24" t="s">
        <v>512</v>
      </c>
      <c r="M366" s="27" t="s">
        <v>513</v>
      </c>
    </row>
    <row r="367" spans="1:13" ht="25.5" x14ac:dyDescent="0.25">
      <c r="A367" s="22">
        <v>2026</v>
      </c>
      <c r="B367" s="23" t="s">
        <v>203</v>
      </c>
      <c r="C367" s="23" t="s">
        <v>90</v>
      </c>
      <c r="D367" s="23" t="s">
        <v>188</v>
      </c>
      <c r="E367" s="24" t="s">
        <v>334</v>
      </c>
      <c r="F367" s="24" t="s">
        <v>335</v>
      </c>
      <c r="G367" s="25" t="s">
        <v>1290</v>
      </c>
      <c r="H367" s="26">
        <v>0.18185000000000001</v>
      </c>
      <c r="I367" s="26"/>
      <c r="J367" s="26"/>
      <c r="K367" s="25" t="s">
        <v>550</v>
      </c>
      <c r="L367" s="24" t="s">
        <v>512</v>
      </c>
      <c r="M367" s="27" t="s">
        <v>513</v>
      </c>
    </row>
    <row r="368" spans="1:13" ht="25.5" x14ac:dyDescent="0.25">
      <c r="A368" s="22">
        <v>2026</v>
      </c>
      <c r="B368" s="23" t="s">
        <v>203</v>
      </c>
      <c r="C368" s="23" t="s">
        <v>90</v>
      </c>
      <c r="D368" s="23" t="s">
        <v>188</v>
      </c>
      <c r="E368" s="24" t="s">
        <v>334</v>
      </c>
      <c r="F368" s="24" t="s">
        <v>335</v>
      </c>
      <c r="G368" s="25" t="s">
        <v>1291</v>
      </c>
      <c r="H368" s="26">
        <v>0.75479999999999992</v>
      </c>
      <c r="I368" s="26"/>
      <c r="J368" s="26"/>
      <c r="K368" s="25" t="s">
        <v>550</v>
      </c>
      <c r="L368" s="24" t="s">
        <v>512</v>
      </c>
      <c r="M368" s="27" t="s">
        <v>513</v>
      </c>
    </row>
    <row r="369" spans="1:13" ht="25.5" x14ac:dyDescent="0.25">
      <c r="A369" s="22">
        <v>2026</v>
      </c>
      <c r="B369" s="23" t="s">
        <v>203</v>
      </c>
      <c r="C369" s="23" t="s">
        <v>90</v>
      </c>
      <c r="D369" s="23" t="s">
        <v>188</v>
      </c>
      <c r="E369" s="24" t="s">
        <v>334</v>
      </c>
      <c r="F369" s="24" t="s">
        <v>335</v>
      </c>
      <c r="G369" s="25" t="s">
        <v>1292</v>
      </c>
      <c r="H369" s="26">
        <v>0.24459499999999998</v>
      </c>
      <c r="I369" s="26"/>
      <c r="J369" s="26"/>
      <c r="K369" s="25" t="s">
        <v>550</v>
      </c>
      <c r="L369" s="24" t="s">
        <v>512</v>
      </c>
      <c r="M369" s="27" t="s">
        <v>513</v>
      </c>
    </row>
    <row r="370" spans="1:13" ht="25.5" x14ac:dyDescent="0.25">
      <c r="A370" s="22">
        <v>2026</v>
      </c>
      <c r="B370" s="23" t="s">
        <v>203</v>
      </c>
      <c r="C370" s="23" t="s">
        <v>90</v>
      </c>
      <c r="D370" s="23" t="s">
        <v>188</v>
      </c>
      <c r="E370" s="24" t="s">
        <v>334</v>
      </c>
      <c r="F370" s="24" t="s">
        <v>335</v>
      </c>
      <c r="G370" s="25" t="s">
        <v>1293</v>
      </c>
      <c r="H370" s="26">
        <v>0.5333597040000001</v>
      </c>
      <c r="I370" s="26"/>
      <c r="J370" s="26"/>
      <c r="K370" s="25" t="s">
        <v>550</v>
      </c>
      <c r="L370" s="24" t="s">
        <v>512</v>
      </c>
      <c r="M370" s="27" t="s">
        <v>513</v>
      </c>
    </row>
    <row r="371" spans="1:13" ht="25.5" x14ac:dyDescent="0.25">
      <c r="A371" s="22">
        <v>2026</v>
      </c>
      <c r="B371" s="23" t="s">
        <v>203</v>
      </c>
      <c r="C371" s="23" t="s">
        <v>90</v>
      </c>
      <c r="D371" s="23" t="s">
        <v>1143</v>
      </c>
      <c r="E371" s="24" t="s">
        <v>352</v>
      </c>
      <c r="F371" s="24" t="s">
        <v>335</v>
      </c>
      <c r="G371" s="25" t="s">
        <v>1294</v>
      </c>
      <c r="H371" s="26">
        <v>0.17549999999999999</v>
      </c>
      <c r="I371" s="26"/>
      <c r="J371" s="26"/>
      <c r="K371" s="25" t="s">
        <v>550</v>
      </c>
      <c r="L371" s="24" t="s">
        <v>512</v>
      </c>
      <c r="M371" s="27" t="s">
        <v>513</v>
      </c>
    </row>
    <row r="372" spans="1:13" ht="25.5" x14ac:dyDescent="0.25">
      <c r="A372" s="22">
        <v>2026</v>
      </c>
      <c r="B372" s="23" t="s">
        <v>203</v>
      </c>
      <c r="C372" s="23" t="s">
        <v>90</v>
      </c>
      <c r="D372" s="23" t="s">
        <v>1143</v>
      </c>
      <c r="E372" s="24" t="s">
        <v>352</v>
      </c>
      <c r="F372" s="24" t="s">
        <v>335</v>
      </c>
      <c r="G372" s="25" t="s">
        <v>1295</v>
      </c>
      <c r="H372" s="26">
        <v>0.17624999999999999</v>
      </c>
      <c r="I372" s="26"/>
      <c r="J372" s="26"/>
      <c r="K372" s="25" t="s">
        <v>550</v>
      </c>
      <c r="L372" s="24" t="s">
        <v>512</v>
      </c>
      <c r="M372" s="27" t="s">
        <v>513</v>
      </c>
    </row>
    <row r="373" spans="1:13" ht="25.5" x14ac:dyDescent="0.25">
      <c r="A373" s="22">
        <v>2026</v>
      </c>
      <c r="B373" s="23" t="s">
        <v>203</v>
      </c>
      <c r="C373" s="23" t="s">
        <v>90</v>
      </c>
      <c r="D373" s="23" t="s">
        <v>1143</v>
      </c>
      <c r="E373" s="24" t="s">
        <v>352</v>
      </c>
      <c r="F373" s="24" t="s">
        <v>335</v>
      </c>
      <c r="G373" s="25" t="s">
        <v>1296</v>
      </c>
      <c r="H373" s="26">
        <v>0.87624999999999997</v>
      </c>
      <c r="I373" s="26"/>
      <c r="J373" s="26"/>
      <c r="K373" s="25" t="s">
        <v>550</v>
      </c>
      <c r="L373" s="24" t="s">
        <v>512</v>
      </c>
      <c r="M373" s="27" t="s">
        <v>513</v>
      </c>
    </row>
    <row r="374" spans="1:13" ht="25.5" x14ac:dyDescent="0.25">
      <c r="A374" s="22">
        <v>2026</v>
      </c>
      <c r="B374" s="23" t="s">
        <v>203</v>
      </c>
      <c r="C374" s="23" t="s">
        <v>90</v>
      </c>
      <c r="D374" s="23" t="s">
        <v>1143</v>
      </c>
      <c r="E374" s="24" t="s">
        <v>352</v>
      </c>
      <c r="F374" s="24" t="s">
        <v>335</v>
      </c>
      <c r="G374" s="25" t="s">
        <v>1297</v>
      </c>
      <c r="H374" s="26">
        <v>0.43812499999999999</v>
      </c>
      <c r="I374" s="26"/>
      <c r="J374" s="26"/>
      <c r="K374" s="25" t="s">
        <v>550</v>
      </c>
      <c r="L374" s="24" t="s">
        <v>512</v>
      </c>
      <c r="M374" s="27" t="s">
        <v>513</v>
      </c>
    </row>
    <row r="375" spans="1:13" ht="25.5" x14ac:dyDescent="0.25">
      <c r="A375" s="22">
        <v>2026</v>
      </c>
      <c r="B375" s="23" t="s">
        <v>203</v>
      </c>
      <c r="C375" s="23" t="s">
        <v>90</v>
      </c>
      <c r="D375" s="23" t="s">
        <v>1143</v>
      </c>
      <c r="E375" s="24" t="s">
        <v>352</v>
      </c>
      <c r="F375" s="24" t="s">
        <v>335</v>
      </c>
      <c r="G375" s="25" t="s">
        <v>1298</v>
      </c>
      <c r="H375" s="26">
        <v>1.3228874999999998</v>
      </c>
      <c r="I375" s="26"/>
      <c r="J375" s="26"/>
      <c r="K375" s="25" t="s">
        <v>550</v>
      </c>
      <c r="L375" s="24" t="s">
        <v>512</v>
      </c>
      <c r="M375" s="27" t="s">
        <v>513</v>
      </c>
    </row>
    <row r="376" spans="1:13" ht="25.5" x14ac:dyDescent="0.25">
      <c r="A376" s="22">
        <v>2026</v>
      </c>
      <c r="B376" s="23" t="s">
        <v>203</v>
      </c>
      <c r="C376" s="23" t="s">
        <v>90</v>
      </c>
      <c r="D376" s="23" t="s">
        <v>1143</v>
      </c>
      <c r="E376" s="24" t="s">
        <v>352</v>
      </c>
      <c r="F376" s="24" t="s">
        <v>335</v>
      </c>
      <c r="G376" s="25" t="s">
        <v>1294</v>
      </c>
      <c r="H376" s="26">
        <v>0.17549999999999999</v>
      </c>
      <c r="I376" s="26"/>
      <c r="J376" s="26"/>
      <c r="K376" s="25" t="s">
        <v>550</v>
      </c>
      <c r="L376" s="24" t="s">
        <v>512</v>
      </c>
      <c r="M376" s="27" t="s">
        <v>513</v>
      </c>
    </row>
    <row r="377" spans="1:13" ht="25.5" x14ac:dyDescent="0.25">
      <c r="A377" s="22">
        <v>2026</v>
      </c>
      <c r="B377" s="23" t="s">
        <v>203</v>
      </c>
      <c r="C377" s="23" t="s">
        <v>90</v>
      </c>
      <c r="D377" s="23" t="s">
        <v>1143</v>
      </c>
      <c r="E377" s="24" t="s">
        <v>352</v>
      </c>
      <c r="F377" s="24" t="s">
        <v>335</v>
      </c>
      <c r="G377" s="25" t="s">
        <v>1299</v>
      </c>
      <c r="H377" s="26">
        <v>0.35099999999999998</v>
      </c>
      <c r="I377" s="26"/>
      <c r="J377" s="26"/>
      <c r="K377" s="25" t="s">
        <v>550</v>
      </c>
      <c r="L377" s="24" t="s">
        <v>512</v>
      </c>
      <c r="M377" s="27" t="s">
        <v>513</v>
      </c>
    </row>
    <row r="378" spans="1:13" ht="25.5" x14ac:dyDescent="0.25">
      <c r="A378" s="22">
        <v>2026</v>
      </c>
      <c r="B378" s="23" t="s">
        <v>203</v>
      </c>
      <c r="C378" s="23" t="s">
        <v>90</v>
      </c>
      <c r="D378" s="23" t="s">
        <v>1143</v>
      </c>
      <c r="E378" s="24" t="s">
        <v>352</v>
      </c>
      <c r="F378" s="24" t="s">
        <v>335</v>
      </c>
      <c r="G378" s="25" t="s">
        <v>1300</v>
      </c>
      <c r="H378" s="26">
        <v>2.1000000000000005</v>
      </c>
      <c r="I378" s="26"/>
      <c r="J378" s="26"/>
      <c r="K378" s="25" t="s">
        <v>550</v>
      </c>
      <c r="L378" s="24" t="s">
        <v>512</v>
      </c>
      <c r="M378" s="27" t="s">
        <v>513</v>
      </c>
    </row>
    <row r="379" spans="1:13" ht="25.5" x14ac:dyDescent="0.25">
      <c r="A379" s="22">
        <v>2026</v>
      </c>
      <c r="B379" s="23" t="s">
        <v>203</v>
      </c>
      <c r="C379" s="23" t="s">
        <v>90</v>
      </c>
      <c r="D379" s="23" t="s">
        <v>1143</v>
      </c>
      <c r="E379" s="24" t="s">
        <v>352</v>
      </c>
      <c r="F379" s="24" t="s">
        <v>335</v>
      </c>
      <c r="G379" s="25" t="s">
        <v>1301</v>
      </c>
      <c r="H379" s="26">
        <v>0.52200000000000002</v>
      </c>
      <c r="I379" s="26"/>
      <c r="J379" s="26"/>
      <c r="K379" s="25" t="s">
        <v>550</v>
      </c>
      <c r="L379" s="24" t="s">
        <v>512</v>
      </c>
      <c r="M379" s="27" t="s">
        <v>513</v>
      </c>
    </row>
    <row r="380" spans="1:13" ht="25.5" x14ac:dyDescent="0.25">
      <c r="A380" s="22">
        <v>2026</v>
      </c>
      <c r="B380" s="23" t="s">
        <v>203</v>
      </c>
      <c r="C380" s="23" t="s">
        <v>90</v>
      </c>
      <c r="D380" s="23" t="s">
        <v>1033</v>
      </c>
      <c r="E380" s="24" t="s">
        <v>578</v>
      </c>
      <c r="F380" s="24" t="s">
        <v>325</v>
      </c>
      <c r="G380" s="25" t="s">
        <v>1302</v>
      </c>
      <c r="H380" s="26">
        <v>2.5825275000000003</v>
      </c>
      <c r="I380" s="26"/>
      <c r="J380" s="26"/>
      <c r="K380" s="25" t="s">
        <v>550</v>
      </c>
      <c r="L380" s="24" t="s">
        <v>512</v>
      </c>
      <c r="M380" s="27" t="s">
        <v>513</v>
      </c>
    </row>
    <row r="381" spans="1:13" ht="25.5" x14ac:dyDescent="0.25">
      <c r="A381" s="22">
        <v>2026</v>
      </c>
      <c r="B381" s="23" t="s">
        <v>203</v>
      </c>
      <c r="C381" s="23" t="s">
        <v>90</v>
      </c>
      <c r="D381" s="23" t="s">
        <v>226</v>
      </c>
      <c r="E381" s="24" t="s">
        <v>415</v>
      </c>
      <c r="F381" s="24" t="s">
        <v>350</v>
      </c>
      <c r="G381" s="25" t="s">
        <v>1303</v>
      </c>
      <c r="H381" s="26">
        <v>0.97775000000000001</v>
      </c>
      <c r="I381" s="26"/>
      <c r="J381" s="26"/>
      <c r="K381" s="25" t="s">
        <v>550</v>
      </c>
      <c r="L381" s="24" t="s">
        <v>512</v>
      </c>
      <c r="M381" s="27" t="s">
        <v>513</v>
      </c>
    </row>
    <row r="382" spans="1:13" ht="25.5" x14ac:dyDescent="0.25">
      <c r="A382" s="22">
        <v>2026</v>
      </c>
      <c r="B382" s="23" t="s">
        <v>203</v>
      </c>
      <c r="C382" s="23" t="s">
        <v>90</v>
      </c>
      <c r="D382" s="23" t="s">
        <v>226</v>
      </c>
      <c r="E382" s="24" t="s">
        <v>415</v>
      </c>
      <c r="F382" s="24" t="s">
        <v>350</v>
      </c>
      <c r="G382" s="25" t="s">
        <v>1304</v>
      </c>
      <c r="H382" s="26">
        <v>1.1861999999999999</v>
      </c>
      <c r="I382" s="26"/>
      <c r="J382" s="26"/>
      <c r="K382" s="25" t="s">
        <v>550</v>
      </c>
      <c r="L382" s="24" t="s">
        <v>512</v>
      </c>
      <c r="M382" s="27" t="s">
        <v>513</v>
      </c>
    </row>
    <row r="383" spans="1:13" ht="25.5" x14ac:dyDescent="0.25">
      <c r="A383" s="22">
        <v>2026</v>
      </c>
      <c r="B383" s="23" t="s">
        <v>203</v>
      </c>
      <c r="C383" s="23" t="s">
        <v>90</v>
      </c>
      <c r="D383" s="23" t="s">
        <v>226</v>
      </c>
      <c r="E383" s="24" t="s">
        <v>415</v>
      </c>
      <c r="F383" s="24" t="s">
        <v>350</v>
      </c>
      <c r="G383" s="25" t="s">
        <v>1305</v>
      </c>
      <c r="H383" s="26">
        <v>0.8</v>
      </c>
      <c r="I383" s="26"/>
      <c r="J383" s="26"/>
      <c r="K383" s="25" t="s">
        <v>550</v>
      </c>
      <c r="L383" s="24" t="s">
        <v>512</v>
      </c>
      <c r="M383" s="27" t="s">
        <v>513</v>
      </c>
    </row>
    <row r="384" spans="1:13" ht="25.5" x14ac:dyDescent="0.25">
      <c r="A384" s="22">
        <v>2026</v>
      </c>
      <c r="B384" s="23" t="s">
        <v>203</v>
      </c>
      <c r="C384" s="23" t="s">
        <v>90</v>
      </c>
      <c r="D384" s="23" t="s">
        <v>226</v>
      </c>
      <c r="E384" s="24" t="s">
        <v>415</v>
      </c>
      <c r="F384" s="24" t="s">
        <v>350</v>
      </c>
      <c r="G384" s="25" t="s">
        <v>1306</v>
      </c>
      <c r="H384" s="26">
        <v>0.69755</v>
      </c>
      <c r="I384" s="26"/>
      <c r="J384" s="26"/>
      <c r="K384" s="25" t="s">
        <v>550</v>
      </c>
      <c r="L384" s="24" t="s">
        <v>512</v>
      </c>
      <c r="M384" s="27" t="s">
        <v>513</v>
      </c>
    </row>
    <row r="385" spans="1:13" ht="25.5" x14ac:dyDescent="0.25">
      <c r="A385" s="22">
        <v>2026</v>
      </c>
      <c r="B385" s="23" t="s">
        <v>203</v>
      </c>
      <c r="C385" s="23" t="s">
        <v>90</v>
      </c>
      <c r="D385" s="23" t="s">
        <v>187</v>
      </c>
      <c r="E385" s="24" t="s">
        <v>331</v>
      </c>
      <c r="F385" s="24" t="s">
        <v>332</v>
      </c>
      <c r="G385" s="25" t="s">
        <v>1307</v>
      </c>
      <c r="H385" s="26">
        <v>1.1529219609452344</v>
      </c>
      <c r="I385" s="26"/>
      <c r="J385" s="26"/>
      <c r="K385" s="25" t="s">
        <v>550</v>
      </c>
      <c r="L385" s="24" t="s">
        <v>512</v>
      </c>
      <c r="M385" s="27" t="s">
        <v>513</v>
      </c>
    </row>
    <row r="386" spans="1:13" ht="25.5" x14ac:dyDescent="0.25">
      <c r="A386" s="22">
        <v>2026</v>
      </c>
      <c r="B386" s="23" t="s">
        <v>203</v>
      </c>
      <c r="C386" s="23" t="s">
        <v>90</v>
      </c>
      <c r="D386" s="23" t="s">
        <v>187</v>
      </c>
      <c r="E386" s="24" t="s">
        <v>331</v>
      </c>
      <c r="F386" s="24" t="s">
        <v>332</v>
      </c>
      <c r="G386" s="25" t="s">
        <v>1308</v>
      </c>
      <c r="H386" s="26">
        <v>0.36976937892158013</v>
      </c>
      <c r="I386" s="26"/>
      <c r="J386" s="26"/>
      <c r="K386" s="25" t="s">
        <v>550</v>
      </c>
      <c r="L386" s="24" t="s">
        <v>512</v>
      </c>
      <c r="M386" s="27" t="s">
        <v>513</v>
      </c>
    </row>
    <row r="387" spans="1:13" ht="25.5" x14ac:dyDescent="0.25">
      <c r="A387" s="22">
        <v>2026</v>
      </c>
      <c r="B387" s="23" t="s">
        <v>203</v>
      </c>
      <c r="C387" s="23" t="s">
        <v>90</v>
      </c>
      <c r="D387" s="23" t="s">
        <v>187</v>
      </c>
      <c r="E387" s="24" t="s">
        <v>331</v>
      </c>
      <c r="F387" s="24" t="s">
        <v>332</v>
      </c>
      <c r="G387" s="25" t="s">
        <v>1308</v>
      </c>
      <c r="H387" s="26">
        <v>0.36976937892158013</v>
      </c>
      <c r="I387" s="26"/>
      <c r="J387" s="26"/>
      <c r="K387" s="25" t="s">
        <v>550</v>
      </c>
      <c r="L387" s="24" t="s">
        <v>512</v>
      </c>
      <c r="M387" s="27" t="s">
        <v>513</v>
      </c>
    </row>
    <row r="388" spans="1:13" ht="25.5" x14ac:dyDescent="0.25">
      <c r="A388" s="22">
        <v>2026</v>
      </c>
      <c r="B388" s="23" t="s">
        <v>203</v>
      </c>
      <c r="C388" s="23" t="s">
        <v>90</v>
      </c>
      <c r="D388" s="23" t="s">
        <v>187</v>
      </c>
      <c r="E388" s="24" t="s">
        <v>331</v>
      </c>
      <c r="F388" s="24" t="s">
        <v>332</v>
      </c>
      <c r="G388" s="25" t="s">
        <v>1309</v>
      </c>
      <c r="H388" s="26">
        <v>0.50573073517120726</v>
      </c>
      <c r="I388" s="26"/>
      <c r="J388" s="26"/>
      <c r="K388" s="25" t="s">
        <v>550</v>
      </c>
      <c r="L388" s="24" t="s">
        <v>512</v>
      </c>
      <c r="M388" s="27" t="s">
        <v>513</v>
      </c>
    </row>
    <row r="389" spans="1:13" ht="25.5" x14ac:dyDescent="0.25">
      <c r="A389" s="22">
        <v>2026</v>
      </c>
      <c r="B389" s="23" t="s">
        <v>203</v>
      </c>
      <c r="C389" s="23" t="s">
        <v>90</v>
      </c>
      <c r="D389" s="23" t="s">
        <v>216</v>
      </c>
      <c r="E389" s="24" t="s">
        <v>331</v>
      </c>
      <c r="F389" s="24" t="s">
        <v>298</v>
      </c>
      <c r="G389" s="25" t="s">
        <v>1310</v>
      </c>
      <c r="H389" s="26">
        <v>25.346299999999999</v>
      </c>
      <c r="I389" s="26"/>
      <c r="J389" s="26"/>
      <c r="K389" s="25" t="s">
        <v>550</v>
      </c>
      <c r="L389" s="24" t="s">
        <v>512</v>
      </c>
      <c r="M389" s="27" t="s">
        <v>513</v>
      </c>
    </row>
    <row r="390" spans="1:13" ht="25.5" x14ac:dyDescent="0.25">
      <c r="A390" s="22">
        <v>2026</v>
      </c>
      <c r="B390" s="23" t="s">
        <v>203</v>
      </c>
      <c r="C390" s="23" t="s">
        <v>90</v>
      </c>
      <c r="D390" s="23" t="s">
        <v>216</v>
      </c>
      <c r="E390" s="24" t="s">
        <v>331</v>
      </c>
      <c r="F390" s="24" t="s">
        <v>298</v>
      </c>
      <c r="G390" s="25" t="s">
        <v>1311</v>
      </c>
      <c r="H390" s="26">
        <v>8.5530000000000008</v>
      </c>
      <c r="I390" s="26"/>
      <c r="J390" s="26"/>
      <c r="K390" s="25" t="s">
        <v>550</v>
      </c>
      <c r="L390" s="24" t="s">
        <v>512</v>
      </c>
      <c r="M390" s="27" t="s">
        <v>513</v>
      </c>
    </row>
    <row r="391" spans="1:13" ht="25.5" x14ac:dyDescent="0.25">
      <c r="A391" s="22">
        <v>2026</v>
      </c>
      <c r="B391" s="23" t="s">
        <v>203</v>
      </c>
      <c r="C391" s="23" t="s">
        <v>90</v>
      </c>
      <c r="D391" s="23" t="s">
        <v>216</v>
      </c>
      <c r="E391" s="24" t="s">
        <v>331</v>
      </c>
      <c r="F391" s="24" t="s">
        <v>298</v>
      </c>
      <c r="G391" s="25" t="s">
        <v>1312</v>
      </c>
      <c r="H391" s="26">
        <v>11.999789999999999</v>
      </c>
      <c r="I391" s="26"/>
      <c r="J391" s="26"/>
      <c r="K391" s="25" t="s">
        <v>550</v>
      </c>
      <c r="L391" s="24" t="s">
        <v>512</v>
      </c>
      <c r="M391" s="27" t="s">
        <v>513</v>
      </c>
    </row>
    <row r="392" spans="1:13" ht="25.5" x14ac:dyDescent="0.25">
      <c r="A392" s="22">
        <v>2026</v>
      </c>
      <c r="B392" s="23" t="s">
        <v>203</v>
      </c>
      <c r="C392" s="23" t="s">
        <v>90</v>
      </c>
      <c r="D392" s="23" t="s">
        <v>216</v>
      </c>
      <c r="E392" s="24" t="s">
        <v>331</v>
      </c>
      <c r="F392" s="24" t="s">
        <v>298</v>
      </c>
      <c r="G392" s="25" t="s">
        <v>1313</v>
      </c>
      <c r="H392" s="26">
        <v>41.548389999999998</v>
      </c>
      <c r="I392" s="26"/>
      <c r="J392" s="26"/>
      <c r="K392" s="25"/>
      <c r="L392" s="24" t="s">
        <v>512</v>
      </c>
      <c r="M392" s="27" t="s">
        <v>513</v>
      </c>
    </row>
    <row r="393" spans="1:13" ht="25.5" x14ac:dyDescent="0.25">
      <c r="A393" s="22">
        <v>2026</v>
      </c>
      <c r="B393" s="23" t="s">
        <v>203</v>
      </c>
      <c r="C393" s="23" t="s">
        <v>90</v>
      </c>
      <c r="D393" s="23" t="s">
        <v>1048</v>
      </c>
      <c r="E393" s="24" t="s">
        <v>398</v>
      </c>
      <c r="F393" s="24" t="s">
        <v>353</v>
      </c>
      <c r="G393" s="25" t="s">
        <v>1314</v>
      </c>
      <c r="H393" s="26">
        <v>1.6213749999999998</v>
      </c>
      <c r="I393" s="26"/>
      <c r="J393" s="26"/>
      <c r="K393" s="25" t="s">
        <v>550</v>
      </c>
      <c r="L393" s="24" t="s">
        <v>512</v>
      </c>
      <c r="M393" s="27" t="s">
        <v>513</v>
      </c>
    </row>
    <row r="394" spans="1:13" ht="25.5" x14ac:dyDescent="0.25">
      <c r="A394" s="22">
        <v>2026</v>
      </c>
      <c r="B394" s="23" t="s">
        <v>203</v>
      </c>
      <c r="C394" s="23" t="s">
        <v>90</v>
      </c>
      <c r="D394" s="23" t="s">
        <v>1048</v>
      </c>
      <c r="E394" s="24" t="s">
        <v>398</v>
      </c>
      <c r="F394" s="24" t="s">
        <v>353</v>
      </c>
      <c r="G394" s="25" t="s">
        <v>1315</v>
      </c>
      <c r="H394" s="26">
        <v>1.7466250000000001</v>
      </c>
      <c r="I394" s="26"/>
      <c r="J394" s="26"/>
      <c r="K394" s="25" t="s">
        <v>550</v>
      </c>
      <c r="L394" s="24" t="s">
        <v>512</v>
      </c>
      <c r="M394" s="27" t="s">
        <v>513</v>
      </c>
    </row>
    <row r="395" spans="1:13" ht="25.5" x14ac:dyDescent="0.25">
      <c r="A395" s="22">
        <v>2026</v>
      </c>
      <c r="B395" s="23" t="s">
        <v>203</v>
      </c>
      <c r="C395" s="23" t="s">
        <v>90</v>
      </c>
      <c r="D395" s="23" t="s">
        <v>1048</v>
      </c>
      <c r="E395" s="24" t="s">
        <v>398</v>
      </c>
      <c r="F395" s="24" t="s">
        <v>353</v>
      </c>
      <c r="G395" s="25" t="s">
        <v>1316</v>
      </c>
      <c r="H395" s="26">
        <v>1.3621999999999999</v>
      </c>
      <c r="I395" s="26"/>
      <c r="J395" s="26"/>
      <c r="K395" s="25" t="s">
        <v>550</v>
      </c>
      <c r="L395" s="24" t="s">
        <v>512</v>
      </c>
      <c r="M395" s="27" t="s">
        <v>513</v>
      </c>
    </row>
    <row r="396" spans="1:13" ht="25.5" x14ac:dyDescent="0.25">
      <c r="A396" s="22">
        <v>2026</v>
      </c>
      <c r="B396" s="23" t="s">
        <v>203</v>
      </c>
      <c r="C396" s="23" t="s">
        <v>90</v>
      </c>
      <c r="D396" s="23" t="s">
        <v>1048</v>
      </c>
      <c r="E396" s="24" t="s">
        <v>398</v>
      </c>
      <c r="F396" s="24" t="s">
        <v>353</v>
      </c>
      <c r="G396" s="25" t="s">
        <v>1317</v>
      </c>
      <c r="H396" s="26">
        <v>2.5684749999999998</v>
      </c>
      <c r="I396" s="26"/>
      <c r="J396" s="26"/>
      <c r="K396" s="25" t="s">
        <v>550</v>
      </c>
      <c r="L396" s="24" t="s">
        <v>512</v>
      </c>
      <c r="M396" s="27" t="s">
        <v>513</v>
      </c>
    </row>
    <row r="397" spans="1:13" ht="25.5" x14ac:dyDescent="0.25">
      <c r="A397" s="22">
        <v>2026</v>
      </c>
      <c r="B397" s="23" t="s">
        <v>203</v>
      </c>
      <c r="C397" s="23" t="s">
        <v>90</v>
      </c>
      <c r="D397" s="23" t="s">
        <v>1048</v>
      </c>
      <c r="E397" s="24" t="s">
        <v>398</v>
      </c>
      <c r="F397" s="24" t="s">
        <v>353</v>
      </c>
      <c r="G397" s="25" t="s">
        <v>1318</v>
      </c>
      <c r="H397" s="26">
        <v>4.3763500000000004</v>
      </c>
      <c r="I397" s="26"/>
      <c r="J397" s="26"/>
      <c r="K397" s="25" t="s">
        <v>550</v>
      </c>
      <c r="L397" s="24" t="s">
        <v>512</v>
      </c>
      <c r="M397" s="27" t="s">
        <v>513</v>
      </c>
    </row>
    <row r="398" spans="1:13" ht="25.5" x14ac:dyDescent="0.25">
      <c r="A398" s="22">
        <v>2026</v>
      </c>
      <c r="B398" s="23" t="s">
        <v>203</v>
      </c>
      <c r="C398" s="23" t="s">
        <v>90</v>
      </c>
      <c r="D398" s="23" t="s">
        <v>1048</v>
      </c>
      <c r="E398" s="24" t="s">
        <v>398</v>
      </c>
      <c r="F398" s="24" t="s">
        <v>353</v>
      </c>
      <c r="G398" s="25" t="s">
        <v>1319</v>
      </c>
      <c r="H398" s="26">
        <v>1.8840874999999999</v>
      </c>
      <c r="I398" s="26"/>
      <c r="J398" s="26"/>
      <c r="K398" s="25" t="s">
        <v>550</v>
      </c>
      <c r="L398" s="24" t="s">
        <v>512</v>
      </c>
      <c r="M398" s="27" t="s">
        <v>513</v>
      </c>
    </row>
    <row r="399" spans="1:13" ht="25.5" x14ac:dyDescent="0.25">
      <c r="A399" s="22">
        <v>2026</v>
      </c>
      <c r="B399" s="23" t="s">
        <v>203</v>
      </c>
      <c r="C399" s="23" t="s">
        <v>90</v>
      </c>
      <c r="D399" s="23" t="s">
        <v>1048</v>
      </c>
      <c r="E399" s="24" t="s">
        <v>398</v>
      </c>
      <c r="F399" s="24" t="s">
        <v>353</v>
      </c>
      <c r="G399" s="25" t="s">
        <v>1320</v>
      </c>
      <c r="H399" s="26">
        <v>0.90505000000000002</v>
      </c>
      <c r="I399" s="26"/>
      <c r="J399" s="26"/>
      <c r="K399" s="25" t="s">
        <v>550</v>
      </c>
      <c r="L399" s="24" t="s">
        <v>512</v>
      </c>
      <c r="M399" s="27" t="s">
        <v>513</v>
      </c>
    </row>
    <row r="400" spans="1:13" ht="25.5" x14ac:dyDescent="0.25">
      <c r="A400" s="22">
        <v>2026</v>
      </c>
      <c r="B400" s="23" t="s">
        <v>203</v>
      </c>
      <c r="C400" s="23" t="s">
        <v>90</v>
      </c>
      <c r="D400" s="23" t="s">
        <v>1048</v>
      </c>
      <c r="E400" s="24" t="s">
        <v>398</v>
      </c>
      <c r="F400" s="24" t="s">
        <v>353</v>
      </c>
      <c r="G400" s="25" t="s">
        <v>1321</v>
      </c>
      <c r="H400" s="26">
        <v>0.38915</v>
      </c>
      <c r="I400" s="26"/>
      <c r="J400" s="26"/>
      <c r="K400" s="25" t="s">
        <v>550</v>
      </c>
      <c r="L400" s="24" t="s">
        <v>512</v>
      </c>
      <c r="M400" s="27" t="s">
        <v>513</v>
      </c>
    </row>
    <row r="401" spans="1:13" ht="25.5" x14ac:dyDescent="0.25">
      <c r="A401" s="22">
        <v>2026</v>
      </c>
      <c r="B401" s="23" t="s">
        <v>203</v>
      </c>
      <c r="C401" s="23" t="s">
        <v>90</v>
      </c>
      <c r="D401" s="23" t="s">
        <v>181</v>
      </c>
      <c r="E401" s="24" t="s">
        <v>318</v>
      </c>
      <c r="F401" s="24" t="s">
        <v>319</v>
      </c>
      <c r="G401" s="25" t="s">
        <v>1322</v>
      </c>
      <c r="H401" s="26">
        <v>0.28422818010000001</v>
      </c>
      <c r="I401" s="26"/>
      <c r="J401" s="26"/>
      <c r="K401" s="25" t="s">
        <v>550</v>
      </c>
      <c r="L401" s="24" t="s">
        <v>514</v>
      </c>
      <c r="M401" s="27" t="s">
        <v>513</v>
      </c>
    </row>
    <row r="402" spans="1:13" ht="25.5" x14ac:dyDescent="0.25">
      <c r="A402" s="22">
        <v>2026</v>
      </c>
      <c r="B402" s="23" t="s">
        <v>203</v>
      </c>
      <c r="C402" s="23" t="s">
        <v>90</v>
      </c>
      <c r="D402" s="23" t="s">
        <v>1323</v>
      </c>
      <c r="E402" s="24" t="s">
        <v>1324</v>
      </c>
      <c r="F402" s="24" t="s">
        <v>503</v>
      </c>
      <c r="G402" s="25" t="s">
        <v>1325</v>
      </c>
      <c r="H402" s="26">
        <v>5.4314999999999998</v>
      </c>
      <c r="I402" s="26"/>
      <c r="J402" s="26"/>
      <c r="K402" s="25" t="s">
        <v>516</v>
      </c>
      <c r="L402" s="24" t="s">
        <v>512</v>
      </c>
      <c r="M402" s="27" t="s">
        <v>513</v>
      </c>
    </row>
    <row r="403" spans="1:13" ht="25.5" x14ac:dyDescent="0.25">
      <c r="A403" s="22">
        <v>2026</v>
      </c>
      <c r="B403" s="23" t="s">
        <v>203</v>
      </c>
      <c r="C403" s="23" t="s">
        <v>90</v>
      </c>
      <c r="D403" s="23" t="s">
        <v>1323</v>
      </c>
      <c r="E403" s="24" t="s">
        <v>1324</v>
      </c>
      <c r="F403" s="24" t="s">
        <v>503</v>
      </c>
      <c r="G403" s="25" t="s">
        <v>1326</v>
      </c>
      <c r="H403" s="26">
        <v>8.5359999999999984E-3</v>
      </c>
      <c r="I403" s="26"/>
      <c r="J403" s="26"/>
      <c r="K403" s="25" t="s">
        <v>516</v>
      </c>
      <c r="L403" s="24" t="s">
        <v>512</v>
      </c>
      <c r="M403" s="27" t="s">
        <v>513</v>
      </c>
    </row>
    <row r="404" spans="1:13" ht="25.5" x14ac:dyDescent="0.25">
      <c r="A404" s="22">
        <v>2026</v>
      </c>
      <c r="B404" s="23" t="s">
        <v>222</v>
      </c>
      <c r="C404" s="23" t="s">
        <v>19</v>
      </c>
      <c r="D404" s="23" t="s">
        <v>170</v>
      </c>
      <c r="E404" s="24" t="s">
        <v>286</v>
      </c>
      <c r="F404" s="24" t="s">
        <v>287</v>
      </c>
      <c r="G404" s="25" t="s">
        <v>1327</v>
      </c>
      <c r="H404" s="26">
        <v>0.58889999999999987</v>
      </c>
      <c r="I404" s="26"/>
      <c r="J404" s="26"/>
      <c r="K404" s="25" t="s">
        <v>550</v>
      </c>
      <c r="L404" s="24" t="s">
        <v>512</v>
      </c>
      <c r="M404" s="27" t="s">
        <v>513</v>
      </c>
    </row>
    <row r="405" spans="1:13" ht="25.5" x14ac:dyDescent="0.25">
      <c r="A405" s="22">
        <v>2026</v>
      </c>
      <c r="B405" s="23" t="s">
        <v>222</v>
      </c>
      <c r="C405" s="23" t="s">
        <v>19</v>
      </c>
      <c r="D405" s="23" t="s">
        <v>170</v>
      </c>
      <c r="E405" s="24" t="s">
        <v>286</v>
      </c>
      <c r="F405" s="24" t="s">
        <v>287</v>
      </c>
      <c r="G405" s="25" t="s">
        <v>1328</v>
      </c>
      <c r="H405" s="26">
        <v>0.17780000000000001</v>
      </c>
      <c r="I405" s="26"/>
      <c r="J405" s="26"/>
      <c r="K405" s="25" t="s">
        <v>550</v>
      </c>
      <c r="L405" s="24" t="s">
        <v>512</v>
      </c>
      <c r="M405" s="27" t="s">
        <v>513</v>
      </c>
    </row>
    <row r="406" spans="1:13" ht="25.5" x14ac:dyDescent="0.25">
      <c r="A406" s="22">
        <v>2026</v>
      </c>
      <c r="B406" s="23" t="s">
        <v>222</v>
      </c>
      <c r="C406" s="23" t="s">
        <v>19</v>
      </c>
      <c r="D406" s="23" t="s">
        <v>256</v>
      </c>
      <c r="E406" s="24" t="s">
        <v>256</v>
      </c>
      <c r="F406" s="24" t="s">
        <v>478</v>
      </c>
      <c r="G406" s="25" t="s">
        <v>1329</v>
      </c>
      <c r="H406" s="26">
        <v>10.463039999999999</v>
      </c>
      <c r="I406" s="26"/>
      <c r="J406" s="26"/>
      <c r="K406" s="25"/>
      <c r="L406" s="24" t="s">
        <v>514</v>
      </c>
      <c r="M406" s="27" t="s">
        <v>515</v>
      </c>
    </row>
    <row r="407" spans="1:13" ht="25.5" x14ac:dyDescent="0.25">
      <c r="A407" s="22">
        <v>2026</v>
      </c>
      <c r="B407" s="23" t="s">
        <v>222</v>
      </c>
      <c r="C407" s="23" t="s">
        <v>19</v>
      </c>
      <c r="D407" s="23" t="s">
        <v>909</v>
      </c>
      <c r="E407" s="24" t="s">
        <v>569</v>
      </c>
      <c r="F407" s="24" t="s">
        <v>353</v>
      </c>
      <c r="G407" s="25" t="s">
        <v>1330</v>
      </c>
      <c r="H407" s="26">
        <v>0.76949999999999996</v>
      </c>
      <c r="I407" s="26"/>
      <c r="J407" s="26"/>
      <c r="K407" s="25" t="s">
        <v>550</v>
      </c>
      <c r="L407" s="24" t="s">
        <v>512</v>
      </c>
      <c r="M407" s="27" t="s">
        <v>513</v>
      </c>
    </row>
    <row r="408" spans="1:13" ht="25.5" x14ac:dyDescent="0.25">
      <c r="A408" s="22">
        <v>2026</v>
      </c>
      <c r="B408" s="23" t="s">
        <v>222</v>
      </c>
      <c r="C408" s="23" t="s">
        <v>19</v>
      </c>
      <c r="D408" s="23" t="s">
        <v>909</v>
      </c>
      <c r="E408" s="24" t="s">
        <v>569</v>
      </c>
      <c r="F408" s="24" t="s">
        <v>353</v>
      </c>
      <c r="G408" s="25" t="s">
        <v>1331</v>
      </c>
      <c r="H408" s="26">
        <v>0.56499999999999995</v>
      </c>
      <c r="I408" s="26"/>
      <c r="J408" s="26"/>
      <c r="K408" s="25" t="s">
        <v>550</v>
      </c>
      <c r="L408" s="24" t="s">
        <v>512</v>
      </c>
      <c r="M408" s="27" t="s">
        <v>513</v>
      </c>
    </row>
    <row r="409" spans="1:13" ht="25.5" x14ac:dyDescent="0.25">
      <c r="A409" s="22">
        <v>2026</v>
      </c>
      <c r="B409" s="23" t="s">
        <v>222</v>
      </c>
      <c r="C409" s="23" t="s">
        <v>19</v>
      </c>
      <c r="D409" s="23" t="s">
        <v>915</v>
      </c>
      <c r="E409" s="24" t="s">
        <v>491</v>
      </c>
      <c r="F409" s="24" t="s">
        <v>319</v>
      </c>
      <c r="G409" s="25" t="s">
        <v>1332</v>
      </c>
      <c r="H409" s="26">
        <v>1.2575000000000001</v>
      </c>
      <c r="I409" s="26"/>
      <c r="J409" s="26"/>
      <c r="K409" s="25" t="s">
        <v>550</v>
      </c>
      <c r="L409" s="24" t="s">
        <v>521</v>
      </c>
      <c r="M409" s="27" t="s">
        <v>513</v>
      </c>
    </row>
    <row r="410" spans="1:13" ht="25.5" x14ac:dyDescent="0.25">
      <c r="A410" s="22">
        <v>2026</v>
      </c>
      <c r="B410" s="23" t="s">
        <v>222</v>
      </c>
      <c r="C410" s="23" t="s">
        <v>19</v>
      </c>
      <c r="D410" s="23" t="s">
        <v>915</v>
      </c>
      <c r="E410" s="24" t="s">
        <v>491</v>
      </c>
      <c r="F410" s="24" t="s">
        <v>319</v>
      </c>
      <c r="G410" s="25" t="s">
        <v>1333</v>
      </c>
      <c r="H410" s="26">
        <v>0.88375000000000004</v>
      </c>
      <c r="I410" s="26"/>
      <c r="J410" s="26"/>
      <c r="K410" s="25" t="s">
        <v>550</v>
      </c>
      <c r="L410" s="24" t="s">
        <v>521</v>
      </c>
      <c r="M410" s="27" t="s">
        <v>513</v>
      </c>
    </row>
    <row r="411" spans="1:13" ht="25.5" x14ac:dyDescent="0.25">
      <c r="A411" s="22">
        <v>2026</v>
      </c>
      <c r="B411" s="23" t="s">
        <v>222</v>
      </c>
      <c r="C411" s="23" t="s">
        <v>19</v>
      </c>
      <c r="D411" s="23" t="s">
        <v>915</v>
      </c>
      <c r="E411" s="24" t="s">
        <v>491</v>
      </c>
      <c r="F411" s="24" t="s">
        <v>319</v>
      </c>
      <c r="G411" s="25" t="s">
        <v>1334</v>
      </c>
      <c r="H411" s="26">
        <v>1.518</v>
      </c>
      <c r="I411" s="26"/>
      <c r="J411" s="26"/>
      <c r="K411" s="25" t="s">
        <v>550</v>
      </c>
      <c r="L411" s="24" t="s">
        <v>521</v>
      </c>
      <c r="M411" s="27" t="s">
        <v>513</v>
      </c>
    </row>
    <row r="412" spans="1:13" ht="25.5" x14ac:dyDescent="0.25">
      <c r="A412" s="22">
        <v>2026</v>
      </c>
      <c r="B412" s="23" t="s">
        <v>222</v>
      </c>
      <c r="C412" s="23" t="s">
        <v>19</v>
      </c>
      <c r="D412" s="23" t="s">
        <v>915</v>
      </c>
      <c r="E412" s="24" t="s">
        <v>491</v>
      </c>
      <c r="F412" s="24" t="s">
        <v>319</v>
      </c>
      <c r="G412" s="25" t="s">
        <v>1335</v>
      </c>
      <c r="H412" s="26">
        <v>0.254</v>
      </c>
      <c r="I412" s="26"/>
      <c r="J412" s="26"/>
      <c r="K412" s="25" t="s">
        <v>550</v>
      </c>
      <c r="L412" s="24" t="s">
        <v>521</v>
      </c>
      <c r="M412" s="27" t="s">
        <v>513</v>
      </c>
    </row>
    <row r="413" spans="1:13" ht="25.5" x14ac:dyDescent="0.25">
      <c r="A413" s="22">
        <v>2026</v>
      </c>
      <c r="B413" s="23" t="s">
        <v>222</v>
      </c>
      <c r="C413" s="23" t="s">
        <v>19</v>
      </c>
      <c r="D413" s="23" t="s">
        <v>927</v>
      </c>
      <c r="E413" s="24" t="s">
        <v>923</v>
      </c>
      <c r="F413" s="24" t="s">
        <v>325</v>
      </c>
      <c r="G413" s="25" t="s">
        <v>1336</v>
      </c>
      <c r="H413" s="26">
        <v>0.19425000000000001</v>
      </c>
      <c r="I413" s="26"/>
      <c r="J413" s="26"/>
      <c r="K413" s="25"/>
      <c r="L413" s="24" t="s">
        <v>512</v>
      </c>
      <c r="M413" s="27" t="s">
        <v>513</v>
      </c>
    </row>
    <row r="414" spans="1:13" ht="25.5" x14ac:dyDescent="0.25">
      <c r="A414" s="22">
        <v>2026</v>
      </c>
      <c r="B414" s="23" t="s">
        <v>222</v>
      </c>
      <c r="C414" s="23" t="s">
        <v>19</v>
      </c>
      <c r="D414" s="23" t="s">
        <v>927</v>
      </c>
      <c r="E414" s="24" t="s">
        <v>923</v>
      </c>
      <c r="F414" s="24" t="s">
        <v>325</v>
      </c>
      <c r="G414" s="25" t="s">
        <v>1337</v>
      </c>
      <c r="H414" s="26">
        <v>6.5375000000000003E-2</v>
      </c>
      <c r="I414" s="26"/>
      <c r="J414" s="26"/>
      <c r="K414" s="25"/>
      <c r="L414" s="24" t="s">
        <v>512</v>
      </c>
      <c r="M414" s="27" t="s">
        <v>513</v>
      </c>
    </row>
    <row r="415" spans="1:13" ht="25.5" x14ac:dyDescent="0.25">
      <c r="A415" s="22">
        <v>2026</v>
      </c>
      <c r="B415" s="23" t="s">
        <v>222</v>
      </c>
      <c r="C415" s="23" t="s">
        <v>19</v>
      </c>
      <c r="D415" s="23" t="s">
        <v>933</v>
      </c>
      <c r="E415" s="24" t="s">
        <v>934</v>
      </c>
      <c r="F415" s="24" t="s">
        <v>301</v>
      </c>
      <c r="G415" s="25" t="s">
        <v>1338</v>
      </c>
      <c r="H415" s="26">
        <v>0.10842729999999999</v>
      </c>
      <c r="I415" s="26"/>
      <c r="J415" s="26"/>
      <c r="K415" s="25" t="s">
        <v>550</v>
      </c>
      <c r="L415" s="24" t="s">
        <v>521</v>
      </c>
      <c r="M415" s="27" t="s">
        <v>515</v>
      </c>
    </row>
    <row r="416" spans="1:13" ht="25.5" x14ac:dyDescent="0.25">
      <c r="A416" s="22">
        <v>2026</v>
      </c>
      <c r="B416" s="23" t="s">
        <v>222</v>
      </c>
      <c r="C416" s="23" t="s">
        <v>19</v>
      </c>
      <c r="D416" s="23" t="s">
        <v>933</v>
      </c>
      <c r="E416" s="24" t="s">
        <v>934</v>
      </c>
      <c r="F416" s="24" t="s">
        <v>301</v>
      </c>
      <c r="G416" s="25" t="s">
        <v>1339</v>
      </c>
      <c r="H416" s="26">
        <v>0.21767999999999998</v>
      </c>
      <c r="I416" s="26"/>
      <c r="J416" s="26"/>
      <c r="K416" s="25" t="s">
        <v>550</v>
      </c>
      <c r="L416" s="24" t="s">
        <v>521</v>
      </c>
      <c r="M416" s="27" t="s">
        <v>515</v>
      </c>
    </row>
    <row r="417" spans="1:13" ht="25.5" x14ac:dyDescent="0.25">
      <c r="A417" s="22">
        <v>2026</v>
      </c>
      <c r="B417" s="23" t="s">
        <v>222</v>
      </c>
      <c r="C417" s="23" t="s">
        <v>19</v>
      </c>
      <c r="D417" s="23" t="s">
        <v>1340</v>
      </c>
      <c r="E417" s="24" t="s">
        <v>491</v>
      </c>
      <c r="F417" s="24" t="s">
        <v>378</v>
      </c>
      <c r="G417" s="25" t="s">
        <v>1341</v>
      </c>
      <c r="H417" s="26">
        <v>5.2644841080000004</v>
      </c>
      <c r="I417" s="26"/>
      <c r="J417" s="26"/>
      <c r="K417" s="25"/>
      <c r="L417" s="24" t="s">
        <v>521</v>
      </c>
      <c r="M417" s="27" t="s">
        <v>513</v>
      </c>
    </row>
    <row r="418" spans="1:13" ht="25.5" x14ac:dyDescent="0.25">
      <c r="A418" s="22">
        <v>2026</v>
      </c>
      <c r="B418" s="23" t="s">
        <v>222</v>
      </c>
      <c r="C418" s="23" t="s">
        <v>19</v>
      </c>
      <c r="D418" s="23" t="s">
        <v>1340</v>
      </c>
      <c r="E418" s="24" t="s">
        <v>491</v>
      </c>
      <c r="F418" s="24" t="s">
        <v>378</v>
      </c>
      <c r="G418" s="25" t="s">
        <v>1342</v>
      </c>
      <c r="H418" s="26">
        <v>2.5352950000000001</v>
      </c>
      <c r="I418" s="26"/>
      <c r="J418" s="26"/>
      <c r="K418" s="25"/>
      <c r="L418" s="24" t="s">
        <v>521</v>
      </c>
      <c r="M418" s="27" t="s">
        <v>513</v>
      </c>
    </row>
    <row r="419" spans="1:13" ht="25.5" x14ac:dyDescent="0.25">
      <c r="A419" s="22">
        <v>2026</v>
      </c>
      <c r="B419" s="23" t="s">
        <v>222</v>
      </c>
      <c r="C419" s="23" t="s">
        <v>19</v>
      </c>
      <c r="D419" s="23" t="s">
        <v>936</v>
      </c>
      <c r="E419" s="24" t="s">
        <v>569</v>
      </c>
      <c r="F419" s="24" t="s">
        <v>937</v>
      </c>
      <c r="G419" s="25" t="s">
        <v>1343</v>
      </c>
      <c r="H419" s="26">
        <v>3.6712500000000001</v>
      </c>
      <c r="I419" s="26"/>
      <c r="J419" s="26"/>
      <c r="K419" s="25" t="s">
        <v>550</v>
      </c>
      <c r="L419" s="24" t="s">
        <v>521</v>
      </c>
      <c r="M419" s="27" t="s">
        <v>526</v>
      </c>
    </row>
    <row r="420" spans="1:13" ht="25.5" x14ac:dyDescent="0.25">
      <c r="A420" s="22">
        <v>2026</v>
      </c>
      <c r="B420" s="23" t="s">
        <v>222</v>
      </c>
      <c r="C420" s="23" t="s">
        <v>19</v>
      </c>
      <c r="D420" s="23" t="s">
        <v>936</v>
      </c>
      <c r="E420" s="24" t="s">
        <v>569</v>
      </c>
      <c r="F420" s="24" t="s">
        <v>937</v>
      </c>
      <c r="G420" s="25" t="s">
        <v>1344</v>
      </c>
      <c r="H420" s="26">
        <v>0.66625000000000001</v>
      </c>
      <c r="I420" s="26"/>
      <c r="J420" s="26"/>
      <c r="K420" s="25" t="s">
        <v>550</v>
      </c>
      <c r="L420" s="24" t="s">
        <v>521</v>
      </c>
      <c r="M420" s="27" t="s">
        <v>526</v>
      </c>
    </row>
    <row r="421" spans="1:13" ht="25.5" x14ac:dyDescent="0.25">
      <c r="A421" s="22">
        <v>2026</v>
      </c>
      <c r="B421" s="23" t="s">
        <v>222</v>
      </c>
      <c r="C421" s="23" t="s">
        <v>19</v>
      </c>
      <c r="D421" s="23" t="s">
        <v>936</v>
      </c>
      <c r="E421" s="24" t="s">
        <v>569</v>
      </c>
      <c r="F421" s="24" t="s">
        <v>937</v>
      </c>
      <c r="G421" s="25" t="s">
        <v>1345</v>
      </c>
      <c r="H421" s="26">
        <v>0.40049999999999997</v>
      </c>
      <c r="I421" s="26"/>
      <c r="J421" s="26"/>
      <c r="K421" s="25" t="s">
        <v>550</v>
      </c>
      <c r="L421" s="24" t="s">
        <v>521</v>
      </c>
      <c r="M421" s="27" t="s">
        <v>526</v>
      </c>
    </row>
    <row r="422" spans="1:13" ht="25.5" x14ac:dyDescent="0.25">
      <c r="A422" s="22">
        <v>2026</v>
      </c>
      <c r="B422" s="23" t="s">
        <v>222</v>
      </c>
      <c r="C422" s="23" t="s">
        <v>19</v>
      </c>
      <c r="D422" s="23" t="s">
        <v>936</v>
      </c>
      <c r="E422" s="24" t="s">
        <v>569</v>
      </c>
      <c r="F422" s="24" t="s">
        <v>937</v>
      </c>
      <c r="G422" s="25" t="s">
        <v>1346</v>
      </c>
      <c r="H422" s="26">
        <v>0.84</v>
      </c>
      <c r="I422" s="26"/>
      <c r="J422" s="26"/>
      <c r="K422" s="25" t="s">
        <v>550</v>
      </c>
      <c r="L422" s="24" t="s">
        <v>521</v>
      </c>
      <c r="M422" s="27" t="s">
        <v>526</v>
      </c>
    </row>
    <row r="423" spans="1:13" ht="25.5" x14ac:dyDescent="0.25">
      <c r="A423" s="22">
        <v>2026</v>
      </c>
      <c r="B423" s="23" t="s">
        <v>222</v>
      </c>
      <c r="C423" s="23" t="s">
        <v>19</v>
      </c>
      <c r="D423" s="23" t="s">
        <v>936</v>
      </c>
      <c r="E423" s="24" t="s">
        <v>569</v>
      </c>
      <c r="F423" s="24" t="s">
        <v>937</v>
      </c>
      <c r="G423" s="25" t="s">
        <v>1347</v>
      </c>
      <c r="H423" s="26">
        <v>0.53200000000000003</v>
      </c>
      <c r="I423" s="26"/>
      <c r="J423" s="26"/>
      <c r="K423" s="25" t="s">
        <v>550</v>
      </c>
      <c r="L423" s="24" t="s">
        <v>521</v>
      </c>
      <c r="M423" s="27" t="s">
        <v>526</v>
      </c>
    </row>
    <row r="424" spans="1:13" ht="25.5" x14ac:dyDescent="0.25">
      <c r="A424" s="22">
        <v>2026</v>
      </c>
      <c r="B424" s="23" t="s">
        <v>222</v>
      </c>
      <c r="C424" s="23" t="s">
        <v>19</v>
      </c>
      <c r="D424" s="23" t="s">
        <v>936</v>
      </c>
      <c r="E424" s="24" t="s">
        <v>569</v>
      </c>
      <c r="F424" s="24" t="s">
        <v>937</v>
      </c>
      <c r="G424" s="25" t="s">
        <v>1348</v>
      </c>
      <c r="H424" s="26">
        <v>0.27050000000000002</v>
      </c>
      <c r="I424" s="26"/>
      <c r="J424" s="26"/>
      <c r="K424" s="25" t="s">
        <v>550</v>
      </c>
      <c r="L424" s="24" t="s">
        <v>521</v>
      </c>
      <c r="M424" s="27" t="s">
        <v>526</v>
      </c>
    </row>
    <row r="425" spans="1:13" ht="25.5" x14ac:dyDescent="0.25">
      <c r="A425" s="22">
        <v>2026</v>
      </c>
      <c r="B425" s="23" t="s">
        <v>222</v>
      </c>
      <c r="C425" s="23" t="s">
        <v>19</v>
      </c>
      <c r="D425" s="23" t="s">
        <v>936</v>
      </c>
      <c r="E425" s="24" t="s">
        <v>569</v>
      </c>
      <c r="F425" s="24" t="s">
        <v>937</v>
      </c>
      <c r="G425" s="25" t="s">
        <v>1349</v>
      </c>
      <c r="H425" s="26">
        <v>1.0125000000000002</v>
      </c>
      <c r="I425" s="26"/>
      <c r="J425" s="26"/>
      <c r="K425" s="25" t="s">
        <v>550</v>
      </c>
      <c r="L425" s="24" t="s">
        <v>521</v>
      </c>
      <c r="M425" s="27" t="s">
        <v>526</v>
      </c>
    </row>
    <row r="426" spans="1:13" ht="25.5" x14ac:dyDescent="0.25">
      <c r="A426" s="22">
        <v>2026</v>
      </c>
      <c r="B426" s="23" t="s">
        <v>222</v>
      </c>
      <c r="C426" s="23" t="s">
        <v>19</v>
      </c>
      <c r="D426" s="23" t="s">
        <v>936</v>
      </c>
      <c r="E426" s="24" t="s">
        <v>569</v>
      </c>
      <c r="F426" s="24" t="s">
        <v>937</v>
      </c>
      <c r="G426" s="25" t="s">
        <v>1350</v>
      </c>
      <c r="H426" s="26">
        <v>0.36652499999999993</v>
      </c>
      <c r="I426" s="26"/>
      <c r="J426" s="26"/>
      <c r="K426" s="25" t="s">
        <v>550</v>
      </c>
      <c r="L426" s="24" t="s">
        <v>521</v>
      </c>
      <c r="M426" s="27" t="s">
        <v>526</v>
      </c>
    </row>
    <row r="427" spans="1:13" ht="25.5" x14ac:dyDescent="0.25">
      <c r="A427" s="22">
        <v>2026</v>
      </c>
      <c r="B427" s="23" t="s">
        <v>222</v>
      </c>
      <c r="C427" s="23" t="s">
        <v>19</v>
      </c>
      <c r="D427" s="23" t="s">
        <v>952</v>
      </c>
      <c r="E427" s="24" t="s">
        <v>334</v>
      </c>
      <c r="F427" s="24" t="s">
        <v>319</v>
      </c>
      <c r="G427" s="25" t="s">
        <v>1351</v>
      </c>
      <c r="H427" s="26">
        <v>0.25738499999999997</v>
      </c>
      <c r="I427" s="26"/>
      <c r="J427" s="26"/>
      <c r="K427" s="25" t="s">
        <v>550</v>
      </c>
      <c r="L427" s="24" t="s">
        <v>521</v>
      </c>
      <c r="M427" s="27" t="s">
        <v>513</v>
      </c>
    </row>
    <row r="428" spans="1:13" ht="25.5" x14ac:dyDescent="0.25">
      <c r="A428" s="22">
        <v>2026</v>
      </c>
      <c r="B428" s="23" t="s">
        <v>222</v>
      </c>
      <c r="C428" s="23" t="s">
        <v>19</v>
      </c>
      <c r="D428" s="23" t="s">
        <v>952</v>
      </c>
      <c r="E428" s="24" t="s">
        <v>334</v>
      </c>
      <c r="F428" s="24" t="s">
        <v>319</v>
      </c>
      <c r="G428" s="25" t="s">
        <v>1352</v>
      </c>
      <c r="H428" s="26">
        <v>1.5440400000000001</v>
      </c>
      <c r="I428" s="26"/>
      <c r="J428" s="26"/>
      <c r="K428" s="25" t="s">
        <v>550</v>
      </c>
      <c r="L428" s="24" t="s">
        <v>521</v>
      </c>
      <c r="M428" s="27" t="s">
        <v>513</v>
      </c>
    </row>
    <row r="429" spans="1:13" ht="25.5" x14ac:dyDescent="0.25">
      <c r="A429" s="22">
        <v>2026</v>
      </c>
      <c r="B429" s="23" t="s">
        <v>222</v>
      </c>
      <c r="C429" s="23" t="s">
        <v>19</v>
      </c>
      <c r="D429" s="23" t="s">
        <v>952</v>
      </c>
      <c r="E429" s="24" t="s">
        <v>334</v>
      </c>
      <c r="F429" s="24" t="s">
        <v>319</v>
      </c>
      <c r="G429" s="25" t="s">
        <v>1353</v>
      </c>
      <c r="H429" s="26">
        <v>0.215</v>
      </c>
      <c r="I429" s="26"/>
      <c r="J429" s="26"/>
      <c r="K429" s="25" t="s">
        <v>550</v>
      </c>
      <c r="L429" s="24" t="s">
        <v>521</v>
      </c>
      <c r="M429" s="27" t="s">
        <v>513</v>
      </c>
    </row>
    <row r="430" spans="1:13" ht="25.5" x14ac:dyDescent="0.25">
      <c r="A430" s="22">
        <v>2026</v>
      </c>
      <c r="B430" s="23" t="s">
        <v>222</v>
      </c>
      <c r="C430" s="23" t="s">
        <v>19</v>
      </c>
      <c r="D430" s="23" t="s">
        <v>952</v>
      </c>
      <c r="E430" s="24" t="s">
        <v>334</v>
      </c>
      <c r="F430" s="24" t="s">
        <v>319</v>
      </c>
      <c r="G430" s="25" t="s">
        <v>1354</v>
      </c>
      <c r="H430" s="26">
        <v>0.17201000000000002</v>
      </c>
      <c r="I430" s="26"/>
      <c r="J430" s="26"/>
      <c r="K430" s="25" t="s">
        <v>550</v>
      </c>
      <c r="L430" s="24" t="s">
        <v>521</v>
      </c>
      <c r="M430" s="27" t="s">
        <v>513</v>
      </c>
    </row>
    <row r="431" spans="1:13" ht="25.5" x14ac:dyDescent="0.25">
      <c r="A431" s="22">
        <v>2026</v>
      </c>
      <c r="B431" s="23" t="s">
        <v>222</v>
      </c>
      <c r="C431" s="23" t="s">
        <v>19</v>
      </c>
      <c r="D431" s="23" t="s">
        <v>952</v>
      </c>
      <c r="E431" s="24" t="s">
        <v>334</v>
      </c>
      <c r="F431" s="24" t="s">
        <v>319</v>
      </c>
      <c r="G431" s="25" t="s">
        <v>1355</v>
      </c>
      <c r="H431" s="26">
        <v>0.25759499999999996</v>
      </c>
      <c r="I431" s="26"/>
      <c r="J431" s="26"/>
      <c r="K431" s="25" t="s">
        <v>550</v>
      </c>
      <c r="L431" s="24" t="s">
        <v>521</v>
      </c>
      <c r="M431" s="27" t="s">
        <v>513</v>
      </c>
    </row>
    <row r="432" spans="1:13" ht="25.5" x14ac:dyDescent="0.25">
      <c r="A432" s="22">
        <v>2026</v>
      </c>
      <c r="B432" s="23" t="s">
        <v>222</v>
      </c>
      <c r="C432" s="23" t="s">
        <v>19</v>
      </c>
      <c r="D432" s="23" t="s">
        <v>952</v>
      </c>
      <c r="E432" s="24" t="s">
        <v>334</v>
      </c>
      <c r="F432" s="24" t="s">
        <v>319</v>
      </c>
      <c r="G432" s="25" t="s">
        <v>1356</v>
      </c>
      <c r="H432" s="26">
        <v>0.51518999999999993</v>
      </c>
      <c r="I432" s="26"/>
      <c r="J432" s="26"/>
      <c r="K432" s="25" t="s">
        <v>550</v>
      </c>
      <c r="L432" s="24" t="s">
        <v>521</v>
      </c>
      <c r="M432" s="27" t="s">
        <v>513</v>
      </c>
    </row>
    <row r="433" spans="1:13" ht="25.5" x14ac:dyDescent="0.25">
      <c r="A433" s="22">
        <v>2026</v>
      </c>
      <c r="B433" s="23" t="s">
        <v>222</v>
      </c>
      <c r="C433" s="23" t="s">
        <v>19</v>
      </c>
      <c r="D433" s="23" t="s">
        <v>952</v>
      </c>
      <c r="E433" s="24" t="s">
        <v>334</v>
      </c>
      <c r="F433" s="24" t="s">
        <v>319</v>
      </c>
      <c r="G433" s="25" t="s">
        <v>1357</v>
      </c>
      <c r="H433" s="26">
        <v>0.55656249999999996</v>
      </c>
      <c r="I433" s="26"/>
      <c r="J433" s="26"/>
      <c r="K433" s="25" t="s">
        <v>550</v>
      </c>
      <c r="L433" s="24" t="s">
        <v>521</v>
      </c>
      <c r="M433" s="27" t="s">
        <v>513</v>
      </c>
    </row>
    <row r="434" spans="1:13" ht="25.5" x14ac:dyDescent="0.25">
      <c r="A434" s="22">
        <v>2026</v>
      </c>
      <c r="B434" s="23" t="s">
        <v>222</v>
      </c>
      <c r="C434" s="23" t="s">
        <v>19</v>
      </c>
      <c r="D434" s="23" t="s">
        <v>952</v>
      </c>
      <c r="E434" s="24" t="s">
        <v>334</v>
      </c>
      <c r="F434" s="24" t="s">
        <v>319</v>
      </c>
      <c r="G434" s="25" t="s">
        <v>1358</v>
      </c>
      <c r="H434" s="26">
        <v>0.55744000000000005</v>
      </c>
      <c r="I434" s="26"/>
      <c r="J434" s="26"/>
      <c r="K434" s="25" t="s">
        <v>550</v>
      </c>
      <c r="L434" s="24" t="s">
        <v>521</v>
      </c>
      <c r="M434" s="27" t="s">
        <v>513</v>
      </c>
    </row>
    <row r="435" spans="1:13" ht="25.5" x14ac:dyDescent="0.25">
      <c r="A435" s="22">
        <v>2026</v>
      </c>
      <c r="B435" s="23" t="s">
        <v>222</v>
      </c>
      <c r="C435" s="23" t="s">
        <v>19</v>
      </c>
      <c r="D435" s="23" t="s">
        <v>952</v>
      </c>
      <c r="E435" s="24" t="s">
        <v>334</v>
      </c>
      <c r="F435" s="24" t="s">
        <v>319</v>
      </c>
      <c r="G435" s="25" t="s">
        <v>1359</v>
      </c>
      <c r="H435" s="26">
        <v>0.47173499999999996</v>
      </c>
      <c r="I435" s="26"/>
      <c r="J435" s="26"/>
      <c r="K435" s="25" t="s">
        <v>550</v>
      </c>
      <c r="L435" s="24" t="s">
        <v>521</v>
      </c>
      <c r="M435" s="27" t="s">
        <v>513</v>
      </c>
    </row>
    <row r="436" spans="1:13" ht="25.5" x14ac:dyDescent="0.25">
      <c r="A436" s="22">
        <v>2026</v>
      </c>
      <c r="B436" s="23" t="s">
        <v>222</v>
      </c>
      <c r="C436" s="23" t="s">
        <v>19</v>
      </c>
      <c r="D436" s="23" t="s">
        <v>952</v>
      </c>
      <c r="E436" s="24" t="s">
        <v>334</v>
      </c>
      <c r="F436" s="24" t="s">
        <v>319</v>
      </c>
      <c r="G436" s="25" t="s">
        <v>1360</v>
      </c>
      <c r="H436" s="26">
        <v>0.34344000000000002</v>
      </c>
      <c r="I436" s="26"/>
      <c r="J436" s="26"/>
      <c r="K436" s="25" t="s">
        <v>550</v>
      </c>
      <c r="L436" s="24" t="s">
        <v>521</v>
      </c>
      <c r="M436" s="27" t="s">
        <v>513</v>
      </c>
    </row>
    <row r="437" spans="1:13" ht="25.5" x14ac:dyDescent="0.25">
      <c r="A437" s="22">
        <v>2026</v>
      </c>
      <c r="B437" s="23" t="s">
        <v>222</v>
      </c>
      <c r="C437" s="23" t="s">
        <v>19</v>
      </c>
      <c r="D437" s="23" t="s">
        <v>952</v>
      </c>
      <c r="E437" s="24" t="s">
        <v>334</v>
      </c>
      <c r="F437" s="24" t="s">
        <v>319</v>
      </c>
      <c r="G437" s="25" t="s">
        <v>1361</v>
      </c>
      <c r="H437" s="26">
        <v>0.51639000000000002</v>
      </c>
      <c r="I437" s="26"/>
      <c r="J437" s="26"/>
      <c r="K437" s="25" t="s">
        <v>550</v>
      </c>
      <c r="L437" s="24" t="s">
        <v>521</v>
      </c>
      <c r="M437" s="27" t="s">
        <v>513</v>
      </c>
    </row>
    <row r="438" spans="1:13" ht="25.5" x14ac:dyDescent="0.25">
      <c r="A438" s="22">
        <v>2026</v>
      </c>
      <c r="B438" s="23" t="s">
        <v>222</v>
      </c>
      <c r="C438" s="23" t="s">
        <v>19</v>
      </c>
      <c r="D438" s="23" t="s">
        <v>952</v>
      </c>
      <c r="E438" s="24" t="s">
        <v>334</v>
      </c>
      <c r="F438" s="24" t="s">
        <v>319</v>
      </c>
      <c r="G438" s="25" t="s">
        <v>1362</v>
      </c>
      <c r="H438" s="26">
        <v>0.34463999999999995</v>
      </c>
      <c r="I438" s="26"/>
      <c r="J438" s="26"/>
      <c r="K438" s="25" t="s">
        <v>550</v>
      </c>
      <c r="L438" s="24" t="s">
        <v>521</v>
      </c>
      <c r="M438" s="27" t="s">
        <v>513</v>
      </c>
    </row>
    <row r="439" spans="1:13" ht="25.5" x14ac:dyDescent="0.25">
      <c r="A439" s="22">
        <v>2026</v>
      </c>
      <c r="B439" s="23" t="s">
        <v>222</v>
      </c>
      <c r="C439" s="23" t="s">
        <v>19</v>
      </c>
      <c r="D439" s="23" t="s">
        <v>952</v>
      </c>
      <c r="E439" s="24" t="s">
        <v>334</v>
      </c>
      <c r="F439" s="24" t="s">
        <v>319</v>
      </c>
      <c r="G439" s="25" t="s">
        <v>1363</v>
      </c>
      <c r="H439" s="26">
        <v>0.47399000000000008</v>
      </c>
      <c r="I439" s="26"/>
      <c r="J439" s="26"/>
      <c r="K439" s="25" t="s">
        <v>550</v>
      </c>
      <c r="L439" s="24" t="s">
        <v>521</v>
      </c>
      <c r="M439" s="27" t="s">
        <v>513</v>
      </c>
    </row>
    <row r="440" spans="1:13" ht="25.5" x14ac:dyDescent="0.25">
      <c r="A440" s="22">
        <v>2026</v>
      </c>
      <c r="B440" s="23" t="s">
        <v>222</v>
      </c>
      <c r="C440" s="23" t="s">
        <v>19</v>
      </c>
      <c r="D440" s="23" t="s">
        <v>188</v>
      </c>
      <c r="E440" s="24" t="s">
        <v>334</v>
      </c>
      <c r="F440" s="24" t="s">
        <v>335</v>
      </c>
      <c r="G440" s="25" t="s">
        <v>1364</v>
      </c>
      <c r="H440" s="26">
        <v>0.35144999999999998</v>
      </c>
      <c r="I440" s="26"/>
      <c r="J440" s="26"/>
      <c r="K440" s="25" t="s">
        <v>550</v>
      </c>
      <c r="L440" s="24" t="s">
        <v>512</v>
      </c>
      <c r="M440" s="27" t="s">
        <v>513</v>
      </c>
    </row>
    <row r="441" spans="1:13" ht="25.5" x14ac:dyDescent="0.25">
      <c r="A441" s="22">
        <v>2026</v>
      </c>
      <c r="B441" s="23" t="s">
        <v>222</v>
      </c>
      <c r="C441" s="23" t="s">
        <v>19</v>
      </c>
      <c r="D441" s="23" t="s">
        <v>188</v>
      </c>
      <c r="E441" s="24" t="s">
        <v>334</v>
      </c>
      <c r="F441" s="24" t="s">
        <v>335</v>
      </c>
      <c r="G441" s="25" t="s">
        <v>1365</v>
      </c>
      <c r="H441" s="26">
        <v>7.0254000000000003</v>
      </c>
      <c r="I441" s="26"/>
      <c r="J441" s="26"/>
      <c r="K441" s="25" t="s">
        <v>550</v>
      </c>
      <c r="L441" s="24" t="s">
        <v>512</v>
      </c>
      <c r="M441" s="27" t="s">
        <v>513</v>
      </c>
    </row>
    <row r="442" spans="1:13" ht="25.5" x14ac:dyDescent="0.25">
      <c r="A442" s="22">
        <v>2026</v>
      </c>
      <c r="B442" s="23" t="s">
        <v>222</v>
      </c>
      <c r="C442" s="23" t="s">
        <v>19</v>
      </c>
      <c r="D442" s="23" t="s">
        <v>188</v>
      </c>
      <c r="E442" s="24" t="s">
        <v>334</v>
      </c>
      <c r="F442" s="24" t="s">
        <v>335</v>
      </c>
      <c r="G442" s="25" t="s">
        <v>1366</v>
      </c>
      <c r="H442" s="26">
        <v>0.58199999999999996</v>
      </c>
      <c r="I442" s="26"/>
      <c r="J442" s="26"/>
      <c r="K442" s="25" t="s">
        <v>550</v>
      </c>
      <c r="L442" s="24" t="s">
        <v>512</v>
      </c>
      <c r="M442" s="27" t="s">
        <v>513</v>
      </c>
    </row>
    <row r="443" spans="1:13" ht="25.5" x14ac:dyDescent="0.25">
      <c r="A443" s="22">
        <v>2026</v>
      </c>
      <c r="B443" s="23" t="s">
        <v>222</v>
      </c>
      <c r="C443" s="23" t="s">
        <v>19</v>
      </c>
      <c r="D443" s="23" t="s">
        <v>188</v>
      </c>
      <c r="E443" s="24" t="s">
        <v>334</v>
      </c>
      <c r="F443" s="24" t="s">
        <v>335</v>
      </c>
      <c r="G443" s="25" t="s">
        <v>1367</v>
      </c>
      <c r="H443" s="26">
        <v>0.29257499999999997</v>
      </c>
      <c r="I443" s="26"/>
      <c r="J443" s="26"/>
      <c r="K443" s="25" t="s">
        <v>550</v>
      </c>
      <c r="L443" s="24" t="s">
        <v>512</v>
      </c>
      <c r="M443" s="27" t="s">
        <v>513</v>
      </c>
    </row>
    <row r="444" spans="1:13" ht="25.5" x14ac:dyDescent="0.25">
      <c r="A444" s="22">
        <v>2026</v>
      </c>
      <c r="B444" s="23" t="s">
        <v>222</v>
      </c>
      <c r="C444" s="23" t="s">
        <v>19</v>
      </c>
      <c r="D444" s="23" t="s">
        <v>188</v>
      </c>
      <c r="E444" s="24" t="s">
        <v>334</v>
      </c>
      <c r="F444" s="24" t="s">
        <v>335</v>
      </c>
      <c r="G444" s="25" t="s">
        <v>1368</v>
      </c>
      <c r="H444" s="26">
        <v>0.87817500000000004</v>
      </c>
      <c r="I444" s="26"/>
      <c r="J444" s="26"/>
      <c r="K444" s="25" t="s">
        <v>550</v>
      </c>
      <c r="L444" s="24" t="s">
        <v>512</v>
      </c>
      <c r="M444" s="27" t="s">
        <v>513</v>
      </c>
    </row>
    <row r="445" spans="1:13" ht="25.5" x14ac:dyDescent="0.25">
      <c r="A445" s="22">
        <v>2026</v>
      </c>
      <c r="B445" s="23" t="s">
        <v>222</v>
      </c>
      <c r="C445" s="23" t="s">
        <v>19</v>
      </c>
      <c r="D445" s="23" t="s">
        <v>188</v>
      </c>
      <c r="E445" s="24" t="s">
        <v>334</v>
      </c>
      <c r="F445" s="24" t="s">
        <v>335</v>
      </c>
      <c r="G445" s="25" t="s">
        <v>1369</v>
      </c>
      <c r="H445" s="26">
        <v>0.35234999999999994</v>
      </c>
      <c r="I445" s="26"/>
      <c r="J445" s="26"/>
      <c r="K445" s="25" t="s">
        <v>550</v>
      </c>
      <c r="L445" s="24" t="s">
        <v>512</v>
      </c>
      <c r="M445" s="27" t="s">
        <v>513</v>
      </c>
    </row>
    <row r="446" spans="1:13" ht="25.5" x14ac:dyDescent="0.25">
      <c r="A446" s="22">
        <v>2026</v>
      </c>
      <c r="B446" s="23" t="s">
        <v>222</v>
      </c>
      <c r="C446" s="23" t="s">
        <v>19</v>
      </c>
      <c r="D446" s="23" t="s">
        <v>188</v>
      </c>
      <c r="E446" s="24" t="s">
        <v>334</v>
      </c>
      <c r="F446" s="24" t="s">
        <v>335</v>
      </c>
      <c r="G446" s="25" t="s">
        <v>1370</v>
      </c>
      <c r="H446" s="26">
        <v>0.59850000000000014</v>
      </c>
      <c r="I446" s="26"/>
      <c r="J446" s="26"/>
      <c r="K446" s="25" t="s">
        <v>550</v>
      </c>
      <c r="L446" s="24" t="s">
        <v>512</v>
      </c>
      <c r="M446" s="27" t="s">
        <v>513</v>
      </c>
    </row>
    <row r="447" spans="1:13" ht="25.5" x14ac:dyDescent="0.25">
      <c r="A447" s="22">
        <v>2026</v>
      </c>
      <c r="B447" s="23" t="s">
        <v>222</v>
      </c>
      <c r="C447" s="23" t="s">
        <v>19</v>
      </c>
      <c r="D447" s="23" t="s">
        <v>188</v>
      </c>
      <c r="E447" s="24" t="s">
        <v>334</v>
      </c>
      <c r="F447" s="24" t="s">
        <v>335</v>
      </c>
      <c r="G447" s="25" t="s">
        <v>1371</v>
      </c>
      <c r="H447" s="26">
        <v>0.34008500000000003</v>
      </c>
      <c r="I447" s="26"/>
      <c r="J447" s="26"/>
      <c r="K447" s="25" t="s">
        <v>550</v>
      </c>
      <c r="L447" s="24" t="s">
        <v>512</v>
      </c>
      <c r="M447" s="27" t="s">
        <v>513</v>
      </c>
    </row>
    <row r="448" spans="1:13" ht="25.5" x14ac:dyDescent="0.25">
      <c r="A448" s="22">
        <v>2026</v>
      </c>
      <c r="B448" s="23" t="s">
        <v>222</v>
      </c>
      <c r="C448" s="23" t="s">
        <v>19</v>
      </c>
      <c r="D448" s="23" t="s">
        <v>1094</v>
      </c>
      <c r="E448" s="24" t="s">
        <v>1095</v>
      </c>
      <c r="F448" s="24" t="s">
        <v>316</v>
      </c>
      <c r="G448" s="25" t="s">
        <v>1372</v>
      </c>
      <c r="H448" s="26">
        <v>0.85377499999999995</v>
      </c>
      <c r="I448" s="26"/>
      <c r="J448" s="26"/>
      <c r="K448" s="25" t="s">
        <v>550</v>
      </c>
      <c r="L448" s="24" t="s">
        <v>512</v>
      </c>
      <c r="M448" s="27" t="s">
        <v>513</v>
      </c>
    </row>
    <row r="449" spans="1:13" ht="25.5" x14ac:dyDescent="0.25">
      <c r="A449" s="22">
        <v>2026</v>
      </c>
      <c r="B449" s="23" t="s">
        <v>222</v>
      </c>
      <c r="C449" s="23" t="s">
        <v>19</v>
      </c>
      <c r="D449" s="23" t="s">
        <v>1094</v>
      </c>
      <c r="E449" s="24" t="s">
        <v>1095</v>
      </c>
      <c r="F449" s="24" t="s">
        <v>316</v>
      </c>
      <c r="G449" s="25" t="s">
        <v>1373</v>
      </c>
      <c r="H449" s="26">
        <v>1.2037500000000001</v>
      </c>
      <c r="I449" s="26"/>
      <c r="J449" s="26"/>
      <c r="K449" s="25" t="s">
        <v>550</v>
      </c>
      <c r="L449" s="24" t="s">
        <v>512</v>
      </c>
      <c r="M449" s="27" t="s">
        <v>513</v>
      </c>
    </row>
    <row r="450" spans="1:13" ht="25.5" x14ac:dyDescent="0.25">
      <c r="A450" s="22">
        <v>2026</v>
      </c>
      <c r="B450" s="23" t="s">
        <v>222</v>
      </c>
      <c r="C450" s="23" t="s">
        <v>19</v>
      </c>
      <c r="D450" s="23" t="s">
        <v>978</v>
      </c>
      <c r="E450" s="24" t="s">
        <v>979</v>
      </c>
      <c r="F450" s="24" t="s">
        <v>343</v>
      </c>
      <c r="G450" s="25" t="s">
        <v>1374</v>
      </c>
      <c r="H450" s="26">
        <v>1.5777840000000001</v>
      </c>
      <c r="I450" s="26"/>
      <c r="J450" s="26"/>
      <c r="K450" s="25" t="s">
        <v>550</v>
      </c>
      <c r="L450" s="24" t="s">
        <v>512</v>
      </c>
      <c r="M450" s="27" t="s">
        <v>513</v>
      </c>
    </row>
    <row r="451" spans="1:13" ht="25.5" x14ac:dyDescent="0.25">
      <c r="A451" s="22">
        <v>2026</v>
      </c>
      <c r="B451" s="23" t="s">
        <v>222</v>
      </c>
      <c r="C451" s="23" t="s">
        <v>19</v>
      </c>
      <c r="D451" s="23" t="s">
        <v>978</v>
      </c>
      <c r="E451" s="24" t="s">
        <v>979</v>
      </c>
      <c r="F451" s="24" t="s">
        <v>343</v>
      </c>
      <c r="G451" s="25" t="s">
        <v>1375</v>
      </c>
      <c r="H451" s="26">
        <v>0.20679</v>
      </c>
      <c r="I451" s="26"/>
      <c r="J451" s="26"/>
      <c r="K451" s="25" t="s">
        <v>550</v>
      </c>
      <c r="L451" s="24" t="s">
        <v>512</v>
      </c>
      <c r="M451" s="27" t="s">
        <v>513</v>
      </c>
    </row>
    <row r="452" spans="1:13" ht="25.5" x14ac:dyDescent="0.25">
      <c r="A452" s="22">
        <v>2026</v>
      </c>
      <c r="B452" s="23" t="s">
        <v>222</v>
      </c>
      <c r="C452" s="23" t="s">
        <v>19</v>
      </c>
      <c r="D452" s="23" t="s">
        <v>208</v>
      </c>
      <c r="E452" s="24" t="s">
        <v>382</v>
      </c>
      <c r="F452" s="24" t="s">
        <v>343</v>
      </c>
      <c r="G452" s="25" t="s">
        <v>1376</v>
      </c>
      <c r="H452" s="26">
        <v>0.44460000000000011</v>
      </c>
      <c r="I452" s="26"/>
      <c r="J452" s="26"/>
      <c r="K452" s="25" t="s">
        <v>550</v>
      </c>
      <c r="L452" s="24" t="s">
        <v>514</v>
      </c>
      <c r="M452" s="27" t="s">
        <v>513</v>
      </c>
    </row>
    <row r="453" spans="1:13" ht="25.5" x14ac:dyDescent="0.25">
      <c r="A453" s="22">
        <v>2026</v>
      </c>
      <c r="B453" s="23" t="s">
        <v>222</v>
      </c>
      <c r="C453" s="23" t="s">
        <v>19</v>
      </c>
      <c r="D453" s="23" t="s">
        <v>984</v>
      </c>
      <c r="E453" s="24" t="s">
        <v>985</v>
      </c>
      <c r="F453" s="24" t="s">
        <v>343</v>
      </c>
      <c r="G453" s="25" t="s">
        <v>1377</v>
      </c>
      <c r="H453" s="26">
        <v>0.45284999999999997</v>
      </c>
      <c r="I453" s="26"/>
      <c r="J453" s="26"/>
      <c r="K453" s="25" t="s">
        <v>550</v>
      </c>
      <c r="L453" s="24" t="s">
        <v>512</v>
      </c>
      <c r="M453" s="27" t="s">
        <v>513</v>
      </c>
    </row>
    <row r="454" spans="1:13" ht="25.5" x14ac:dyDescent="0.25">
      <c r="A454" s="22">
        <v>2026</v>
      </c>
      <c r="B454" s="23" t="s">
        <v>222</v>
      </c>
      <c r="C454" s="23" t="s">
        <v>19</v>
      </c>
      <c r="D454" s="23" t="s">
        <v>984</v>
      </c>
      <c r="E454" s="24" t="s">
        <v>985</v>
      </c>
      <c r="F454" s="24" t="s">
        <v>343</v>
      </c>
      <c r="G454" s="25" t="s">
        <v>1378</v>
      </c>
      <c r="H454" s="26">
        <v>0.37816249999999996</v>
      </c>
      <c r="I454" s="26"/>
      <c r="J454" s="26"/>
      <c r="K454" s="25" t="s">
        <v>550</v>
      </c>
      <c r="L454" s="24" t="s">
        <v>512</v>
      </c>
      <c r="M454" s="27" t="s">
        <v>513</v>
      </c>
    </row>
    <row r="455" spans="1:13" ht="25.5" x14ac:dyDescent="0.25">
      <c r="A455" s="22">
        <v>2026</v>
      </c>
      <c r="B455" s="23" t="s">
        <v>222</v>
      </c>
      <c r="C455" s="23" t="s">
        <v>19</v>
      </c>
      <c r="D455" s="23" t="s">
        <v>984</v>
      </c>
      <c r="E455" s="24" t="s">
        <v>985</v>
      </c>
      <c r="F455" s="24" t="s">
        <v>343</v>
      </c>
      <c r="G455" s="25" t="s">
        <v>1379</v>
      </c>
      <c r="H455" s="26">
        <v>0.39939999999999998</v>
      </c>
      <c r="I455" s="26"/>
      <c r="J455" s="26"/>
      <c r="K455" s="25" t="s">
        <v>550</v>
      </c>
      <c r="L455" s="24" t="s">
        <v>512</v>
      </c>
      <c r="M455" s="27" t="s">
        <v>513</v>
      </c>
    </row>
    <row r="456" spans="1:13" ht="25.5" x14ac:dyDescent="0.25">
      <c r="A456" s="22">
        <v>2026</v>
      </c>
      <c r="B456" s="23" t="s">
        <v>222</v>
      </c>
      <c r="C456" s="23" t="s">
        <v>19</v>
      </c>
      <c r="D456" s="23" t="s">
        <v>187</v>
      </c>
      <c r="E456" s="24" t="s">
        <v>331</v>
      </c>
      <c r="F456" s="24" t="s">
        <v>332</v>
      </c>
      <c r="G456" s="25" t="s">
        <v>1380</v>
      </c>
      <c r="H456" s="26">
        <v>2.5932059999999995</v>
      </c>
      <c r="I456" s="26"/>
      <c r="J456" s="26"/>
      <c r="K456" s="25"/>
      <c r="L456" s="24" t="s">
        <v>512</v>
      </c>
      <c r="M456" s="27" t="s">
        <v>513</v>
      </c>
    </row>
    <row r="457" spans="1:13" ht="25.5" x14ac:dyDescent="0.25">
      <c r="A457" s="22">
        <v>2026</v>
      </c>
      <c r="B457" s="23" t="s">
        <v>222</v>
      </c>
      <c r="C457" s="23" t="s">
        <v>19</v>
      </c>
      <c r="D457" s="23" t="s">
        <v>988</v>
      </c>
      <c r="E457" s="24" t="s">
        <v>318</v>
      </c>
      <c r="F457" s="24" t="s">
        <v>301</v>
      </c>
      <c r="G457" s="25" t="s">
        <v>1381</v>
      </c>
      <c r="H457" s="26">
        <v>2.1372</v>
      </c>
      <c r="I457" s="26"/>
      <c r="J457" s="26"/>
      <c r="K457" s="25" t="s">
        <v>550</v>
      </c>
      <c r="L457" s="24" t="s">
        <v>514</v>
      </c>
      <c r="M457" s="27" t="s">
        <v>513</v>
      </c>
    </row>
    <row r="458" spans="1:13" ht="25.5" x14ac:dyDescent="0.25">
      <c r="A458" s="22">
        <v>2026</v>
      </c>
      <c r="B458" s="23" t="s">
        <v>222</v>
      </c>
      <c r="C458" s="23" t="s">
        <v>19</v>
      </c>
      <c r="D458" s="23" t="s">
        <v>988</v>
      </c>
      <c r="E458" s="24" t="s">
        <v>318</v>
      </c>
      <c r="F458" s="24" t="s">
        <v>301</v>
      </c>
      <c r="G458" s="25" t="s">
        <v>1382</v>
      </c>
      <c r="H458" s="26">
        <v>3.2507999999999995</v>
      </c>
      <c r="I458" s="26"/>
      <c r="J458" s="26"/>
      <c r="K458" s="25" t="s">
        <v>550</v>
      </c>
      <c r="L458" s="24" t="s">
        <v>514</v>
      </c>
      <c r="M458" s="27" t="s">
        <v>513</v>
      </c>
    </row>
    <row r="459" spans="1:13" ht="25.5" x14ac:dyDescent="0.25">
      <c r="A459" s="22">
        <v>2026</v>
      </c>
      <c r="B459" s="23" t="s">
        <v>222</v>
      </c>
      <c r="C459" s="23" t="s">
        <v>19</v>
      </c>
      <c r="D459" s="23" t="s">
        <v>988</v>
      </c>
      <c r="E459" s="24" t="s">
        <v>318</v>
      </c>
      <c r="F459" s="24" t="s">
        <v>301</v>
      </c>
      <c r="G459" s="25" t="s">
        <v>1383</v>
      </c>
      <c r="H459" s="26">
        <v>2.1743999999999999</v>
      </c>
      <c r="I459" s="26"/>
      <c r="J459" s="26"/>
      <c r="K459" s="25" t="s">
        <v>550</v>
      </c>
      <c r="L459" s="24" t="s">
        <v>514</v>
      </c>
      <c r="M459" s="27" t="s">
        <v>513</v>
      </c>
    </row>
    <row r="460" spans="1:13" ht="25.5" x14ac:dyDescent="0.25">
      <c r="A460" s="22">
        <v>2026</v>
      </c>
      <c r="B460" s="23" t="s">
        <v>222</v>
      </c>
      <c r="C460" s="23" t="s">
        <v>19</v>
      </c>
      <c r="D460" s="23" t="s">
        <v>988</v>
      </c>
      <c r="E460" s="24" t="s">
        <v>318</v>
      </c>
      <c r="F460" s="24" t="s">
        <v>301</v>
      </c>
      <c r="G460" s="25" t="s">
        <v>1384</v>
      </c>
      <c r="H460" s="26">
        <v>8.6975999999999996</v>
      </c>
      <c r="I460" s="26"/>
      <c r="J460" s="26"/>
      <c r="K460" s="25" t="s">
        <v>550</v>
      </c>
      <c r="L460" s="24" t="s">
        <v>514</v>
      </c>
      <c r="M460" s="27" t="s">
        <v>513</v>
      </c>
    </row>
    <row r="461" spans="1:13" ht="25.5" x14ac:dyDescent="0.25">
      <c r="A461" s="22">
        <v>2026</v>
      </c>
      <c r="B461" s="23" t="s">
        <v>222</v>
      </c>
      <c r="C461" s="23" t="s">
        <v>19</v>
      </c>
      <c r="D461" s="23" t="s">
        <v>181</v>
      </c>
      <c r="E461" s="24" t="s">
        <v>318</v>
      </c>
      <c r="F461" s="24" t="s">
        <v>319</v>
      </c>
      <c r="G461" s="25" t="s">
        <v>1385</v>
      </c>
      <c r="H461" s="26">
        <v>1.27695</v>
      </c>
      <c r="I461" s="26"/>
      <c r="J461" s="26"/>
      <c r="K461" s="25" t="s">
        <v>550</v>
      </c>
      <c r="L461" s="24" t="s">
        <v>514</v>
      </c>
      <c r="M461" s="27" t="s">
        <v>513</v>
      </c>
    </row>
    <row r="462" spans="1:13" ht="38.25" x14ac:dyDescent="0.25">
      <c r="A462" s="22">
        <v>2026</v>
      </c>
      <c r="B462" s="23" t="s">
        <v>222</v>
      </c>
      <c r="C462" s="23" t="s">
        <v>37</v>
      </c>
      <c r="D462" s="23" t="s">
        <v>1386</v>
      </c>
      <c r="E462" s="24" t="s">
        <v>1387</v>
      </c>
      <c r="F462" s="24" t="s">
        <v>332</v>
      </c>
      <c r="G462" s="25" t="s">
        <v>1388</v>
      </c>
      <c r="H462" s="26">
        <v>136.50866300000001</v>
      </c>
      <c r="I462" s="26"/>
      <c r="J462" s="26">
        <v>0</v>
      </c>
      <c r="K462" s="25" t="s">
        <v>879</v>
      </c>
      <c r="L462" s="24" t="s">
        <v>512</v>
      </c>
      <c r="M462" s="27" t="s">
        <v>513</v>
      </c>
    </row>
    <row r="463" spans="1:13" ht="25.5" x14ac:dyDescent="0.25">
      <c r="A463" s="22">
        <v>2026</v>
      </c>
      <c r="B463" s="23" t="s">
        <v>222</v>
      </c>
      <c r="C463" s="23" t="s">
        <v>90</v>
      </c>
      <c r="D463" s="23" t="s">
        <v>1273</v>
      </c>
      <c r="E463" s="24" t="s">
        <v>369</v>
      </c>
      <c r="F463" s="24" t="s">
        <v>1274</v>
      </c>
      <c r="G463" s="25" t="s">
        <v>1389</v>
      </c>
      <c r="H463" s="26">
        <v>0.46079999999999999</v>
      </c>
      <c r="I463" s="26"/>
      <c r="J463" s="26"/>
      <c r="K463" s="25" t="s">
        <v>550</v>
      </c>
      <c r="L463" s="24" t="s">
        <v>512</v>
      </c>
      <c r="M463" s="27" t="s">
        <v>513</v>
      </c>
    </row>
    <row r="464" spans="1:13" ht="25.5" x14ac:dyDescent="0.25">
      <c r="A464" s="22">
        <v>2026</v>
      </c>
      <c r="B464" s="23" t="s">
        <v>222</v>
      </c>
      <c r="C464" s="23" t="s">
        <v>90</v>
      </c>
      <c r="D464" s="23" t="s">
        <v>1273</v>
      </c>
      <c r="E464" s="24" t="s">
        <v>369</v>
      </c>
      <c r="F464" s="24" t="s">
        <v>1274</v>
      </c>
      <c r="G464" s="25" t="s">
        <v>1390</v>
      </c>
      <c r="H464" s="26">
        <v>0.42157500000000009</v>
      </c>
      <c r="I464" s="26"/>
      <c r="J464" s="26"/>
      <c r="K464" s="25" t="s">
        <v>550</v>
      </c>
      <c r="L464" s="24" t="s">
        <v>512</v>
      </c>
      <c r="M464" s="27" t="s">
        <v>513</v>
      </c>
    </row>
    <row r="465" spans="1:13" ht="25.5" x14ac:dyDescent="0.25">
      <c r="A465" s="22">
        <v>2026</v>
      </c>
      <c r="B465" s="23" t="s">
        <v>222</v>
      </c>
      <c r="C465" s="23" t="s">
        <v>90</v>
      </c>
      <c r="D465" s="23" t="s">
        <v>1273</v>
      </c>
      <c r="E465" s="24" t="s">
        <v>369</v>
      </c>
      <c r="F465" s="24" t="s">
        <v>1274</v>
      </c>
      <c r="G465" s="25" t="s">
        <v>1391</v>
      </c>
      <c r="H465" s="26">
        <v>0.12795000000000001</v>
      </c>
      <c r="I465" s="26"/>
      <c r="J465" s="26"/>
      <c r="K465" s="25" t="s">
        <v>550</v>
      </c>
      <c r="L465" s="24" t="s">
        <v>512</v>
      </c>
      <c r="M465" s="27" t="s">
        <v>513</v>
      </c>
    </row>
    <row r="466" spans="1:13" ht="25.5" x14ac:dyDescent="0.25">
      <c r="A466" s="22">
        <v>2026</v>
      </c>
      <c r="B466" s="23" t="s">
        <v>222</v>
      </c>
      <c r="C466" s="23" t="s">
        <v>90</v>
      </c>
      <c r="D466" s="23" t="s">
        <v>1273</v>
      </c>
      <c r="E466" s="24" t="s">
        <v>369</v>
      </c>
      <c r="F466" s="24" t="s">
        <v>1274</v>
      </c>
      <c r="G466" s="25" t="s">
        <v>1392</v>
      </c>
      <c r="H466" s="26">
        <v>0.35797999999999996</v>
      </c>
      <c r="I466" s="26"/>
      <c r="J466" s="26"/>
      <c r="K466" s="25" t="s">
        <v>550</v>
      </c>
      <c r="L466" s="24" t="s">
        <v>512</v>
      </c>
      <c r="M466" s="27" t="s">
        <v>513</v>
      </c>
    </row>
    <row r="467" spans="1:13" ht="25.5" x14ac:dyDescent="0.25">
      <c r="A467" s="22">
        <v>2026</v>
      </c>
      <c r="B467" s="23" t="s">
        <v>222</v>
      </c>
      <c r="C467" s="23" t="s">
        <v>90</v>
      </c>
      <c r="D467" s="23" t="s">
        <v>1273</v>
      </c>
      <c r="E467" s="24" t="s">
        <v>369</v>
      </c>
      <c r="F467" s="24" t="s">
        <v>1274</v>
      </c>
      <c r="G467" s="25" t="s">
        <v>1393</v>
      </c>
      <c r="H467" s="26">
        <v>0.1162125</v>
      </c>
      <c r="I467" s="26"/>
      <c r="J467" s="26"/>
      <c r="K467" s="25" t="s">
        <v>550</v>
      </c>
      <c r="L467" s="24" t="s">
        <v>512</v>
      </c>
      <c r="M467" s="27" t="s">
        <v>513</v>
      </c>
    </row>
    <row r="468" spans="1:13" ht="25.5" x14ac:dyDescent="0.25">
      <c r="A468" s="22">
        <v>2026</v>
      </c>
      <c r="B468" s="23" t="s">
        <v>222</v>
      </c>
      <c r="C468" s="23" t="s">
        <v>90</v>
      </c>
      <c r="D468" s="23" t="s">
        <v>1273</v>
      </c>
      <c r="E468" s="24" t="s">
        <v>369</v>
      </c>
      <c r="F468" s="24" t="s">
        <v>1274</v>
      </c>
      <c r="G468" s="25" t="s">
        <v>1394</v>
      </c>
      <c r="H468" s="26">
        <v>0.20504</v>
      </c>
      <c r="I468" s="26"/>
      <c r="J468" s="26"/>
      <c r="K468" s="25" t="s">
        <v>550</v>
      </c>
      <c r="L468" s="24" t="s">
        <v>512</v>
      </c>
      <c r="M468" s="27" t="s">
        <v>513</v>
      </c>
    </row>
    <row r="469" spans="1:13" ht="25.5" x14ac:dyDescent="0.25">
      <c r="A469" s="22">
        <v>2026</v>
      </c>
      <c r="B469" s="23" t="s">
        <v>222</v>
      </c>
      <c r="C469" s="23" t="s">
        <v>90</v>
      </c>
      <c r="D469" s="23" t="s">
        <v>1273</v>
      </c>
      <c r="E469" s="24" t="s">
        <v>369</v>
      </c>
      <c r="F469" s="24" t="s">
        <v>1274</v>
      </c>
      <c r="G469" s="25" t="s">
        <v>1395</v>
      </c>
      <c r="H469" s="26">
        <v>0.49481249999999999</v>
      </c>
      <c r="I469" s="26"/>
      <c r="J469" s="26"/>
      <c r="K469" s="25" t="s">
        <v>550</v>
      </c>
      <c r="L469" s="24" t="s">
        <v>512</v>
      </c>
      <c r="M469" s="27" t="s">
        <v>513</v>
      </c>
    </row>
    <row r="470" spans="1:13" ht="25.5" x14ac:dyDescent="0.25">
      <c r="A470" s="22">
        <v>2026</v>
      </c>
      <c r="B470" s="23" t="s">
        <v>222</v>
      </c>
      <c r="C470" s="23" t="s">
        <v>90</v>
      </c>
      <c r="D470" s="23" t="s">
        <v>1273</v>
      </c>
      <c r="E470" s="24" t="s">
        <v>369</v>
      </c>
      <c r="F470" s="24" t="s">
        <v>1274</v>
      </c>
      <c r="G470" s="25" t="s">
        <v>1396</v>
      </c>
      <c r="H470" s="26">
        <v>0.39255000000000001</v>
      </c>
      <c r="I470" s="26"/>
      <c r="J470" s="26"/>
      <c r="K470" s="25" t="s">
        <v>550</v>
      </c>
      <c r="L470" s="24" t="s">
        <v>512</v>
      </c>
      <c r="M470" s="27" t="s">
        <v>513</v>
      </c>
    </row>
    <row r="471" spans="1:13" ht="25.5" x14ac:dyDescent="0.25">
      <c r="A471" s="22">
        <v>2026</v>
      </c>
      <c r="B471" s="23" t="s">
        <v>222</v>
      </c>
      <c r="C471" s="23" t="s">
        <v>90</v>
      </c>
      <c r="D471" s="23" t="s">
        <v>202</v>
      </c>
      <c r="E471" s="24" t="s">
        <v>369</v>
      </c>
      <c r="F471" s="24" t="s">
        <v>287</v>
      </c>
      <c r="G471" s="25" t="s">
        <v>1397</v>
      </c>
      <c r="H471" s="26">
        <v>0.57450000000000001</v>
      </c>
      <c r="I471" s="26"/>
      <c r="J471" s="26"/>
      <c r="K471" s="25" t="s">
        <v>550</v>
      </c>
      <c r="L471" s="24" t="s">
        <v>512</v>
      </c>
      <c r="M471" s="27" t="s">
        <v>513</v>
      </c>
    </row>
    <row r="472" spans="1:13" ht="25.5" x14ac:dyDescent="0.25">
      <c r="A472" s="22">
        <v>2026</v>
      </c>
      <c r="B472" s="23" t="s">
        <v>222</v>
      </c>
      <c r="C472" s="23" t="s">
        <v>90</v>
      </c>
      <c r="D472" s="23" t="s">
        <v>202</v>
      </c>
      <c r="E472" s="24" t="s">
        <v>369</v>
      </c>
      <c r="F472" s="24" t="s">
        <v>287</v>
      </c>
      <c r="G472" s="25" t="s">
        <v>1398</v>
      </c>
      <c r="H472" s="26">
        <v>0.24</v>
      </c>
      <c r="I472" s="26"/>
      <c r="J472" s="26"/>
      <c r="K472" s="25" t="s">
        <v>550</v>
      </c>
      <c r="L472" s="24" t="s">
        <v>512</v>
      </c>
      <c r="M472" s="27" t="s">
        <v>513</v>
      </c>
    </row>
    <row r="473" spans="1:13" ht="25.5" x14ac:dyDescent="0.25">
      <c r="A473" s="22">
        <v>2026</v>
      </c>
      <c r="B473" s="23" t="s">
        <v>222</v>
      </c>
      <c r="C473" s="23" t="s">
        <v>90</v>
      </c>
      <c r="D473" s="23" t="s">
        <v>202</v>
      </c>
      <c r="E473" s="24" t="s">
        <v>369</v>
      </c>
      <c r="F473" s="24" t="s">
        <v>287</v>
      </c>
      <c r="G473" s="25" t="s">
        <v>1399</v>
      </c>
      <c r="H473" s="26">
        <v>0.28875000000000001</v>
      </c>
      <c r="I473" s="26"/>
      <c r="J473" s="26"/>
      <c r="K473" s="25" t="s">
        <v>550</v>
      </c>
      <c r="L473" s="24" t="s">
        <v>512</v>
      </c>
      <c r="M473" s="27" t="s">
        <v>513</v>
      </c>
    </row>
    <row r="474" spans="1:13" ht="25.5" x14ac:dyDescent="0.25">
      <c r="A474" s="22">
        <v>2026</v>
      </c>
      <c r="B474" s="23" t="s">
        <v>222</v>
      </c>
      <c r="C474" s="23" t="s">
        <v>90</v>
      </c>
      <c r="D474" s="23" t="s">
        <v>219</v>
      </c>
      <c r="E474" s="24" t="s">
        <v>403</v>
      </c>
      <c r="F474" s="24" t="s">
        <v>319</v>
      </c>
      <c r="G474" s="25" t="s">
        <v>1400</v>
      </c>
      <c r="H474" s="26">
        <v>0.35604999999999998</v>
      </c>
      <c r="I474" s="26"/>
      <c r="J474" s="26"/>
      <c r="K474" s="25"/>
      <c r="L474" s="24" t="s">
        <v>521</v>
      </c>
      <c r="M474" s="27" t="s">
        <v>513</v>
      </c>
    </row>
    <row r="475" spans="1:13" ht="25.5" x14ac:dyDescent="0.25">
      <c r="A475" s="22">
        <v>2026</v>
      </c>
      <c r="B475" s="23" t="s">
        <v>222</v>
      </c>
      <c r="C475" s="23" t="s">
        <v>90</v>
      </c>
      <c r="D475" s="23" t="s">
        <v>219</v>
      </c>
      <c r="E475" s="24" t="s">
        <v>403</v>
      </c>
      <c r="F475" s="24" t="s">
        <v>319</v>
      </c>
      <c r="G475" s="25" t="s">
        <v>1401</v>
      </c>
      <c r="H475" s="26">
        <v>0.182726</v>
      </c>
      <c r="I475" s="26"/>
      <c r="J475" s="26"/>
      <c r="K475" s="25"/>
      <c r="L475" s="24" t="s">
        <v>521</v>
      </c>
      <c r="M475" s="27" t="s">
        <v>513</v>
      </c>
    </row>
    <row r="476" spans="1:13" ht="25.5" x14ac:dyDescent="0.25">
      <c r="A476" s="22">
        <v>2026</v>
      </c>
      <c r="B476" s="23" t="s">
        <v>222</v>
      </c>
      <c r="C476" s="23" t="s">
        <v>90</v>
      </c>
      <c r="D476" s="23" t="s">
        <v>219</v>
      </c>
      <c r="E476" s="24" t="s">
        <v>403</v>
      </c>
      <c r="F476" s="24" t="s">
        <v>319</v>
      </c>
      <c r="G476" s="25" t="s">
        <v>1402</v>
      </c>
      <c r="H476" s="26">
        <v>0.34494000000000002</v>
      </c>
      <c r="I476" s="26"/>
      <c r="J476" s="26"/>
      <c r="K476" s="25"/>
      <c r="L476" s="24" t="s">
        <v>521</v>
      </c>
      <c r="M476" s="27" t="s">
        <v>513</v>
      </c>
    </row>
    <row r="477" spans="1:13" ht="25.5" x14ac:dyDescent="0.25">
      <c r="A477" s="22">
        <v>2026</v>
      </c>
      <c r="B477" s="23" t="s">
        <v>222</v>
      </c>
      <c r="C477" s="23" t="s">
        <v>90</v>
      </c>
      <c r="D477" s="23" t="s">
        <v>1285</v>
      </c>
      <c r="E477" s="24" t="s">
        <v>398</v>
      </c>
      <c r="F477" s="24" t="s">
        <v>1286</v>
      </c>
      <c r="G477" s="25" t="s">
        <v>1403</v>
      </c>
      <c r="H477" s="26">
        <v>0.42</v>
      </c>
      <c r="I477" s="26"/>
      <c r="J477" s="26"/>
      <c r="K477" s="25" t="s">
        <v>550</v>
      </c>
      <c r="L477" s="24" t="s">
        <v>512</v>
      </c>
      <c r="M477" s="27" t="s">
        <v>513</v>
      </c>
    </row>
    <row r="478" spans="1:13" ht="25.5" x14ac:dyDescent="0.25">
      <c r="A478" s="22">
        <v>2026</v>
      </c>
      <c r="B478" s="23" t="s">
        <v>222</v>
      </c>
      <c r="C478" s="23" t="s">
        <v>90</v>
      </c>
      <c r="D478" s="23" t="s">
        <v>1285</v>
      </c>
      <c r="E478" s="24" t="s">
        <v>398</v>
      </c>
      <c r="F478" s="24" t="s">
        <v>1286</v>
      </c>
      <c r="G478" s="25" t="s">
        <v>1404</v>
      </c>
      <c r="H478" s="26">
        <v>0.64528799999999997</v>
      </c>
      <c r="I478" s="26"/>
      <c r="J478" s="26"/>
      <c r="K478" s="25" t="s">
        <v>550</v>
      </c>
      <c r="L478" s="24" t="s">
        <v>512</v>
      </c>
      <c r="M478" s="27" t="s">
        <v>513</v>
      </c>
    </row>
    <row r="479" spans="1:13" ht="25.5" x14ac:dyDescent="0.25">
      <c r="A479" s="22">
        <v>2026</v>
      </c>
      <c r="B479" s="23" t="s">
        <v>222</v>
      </c>
      <c r="C479" s="23" t="s">
        <v>90</v>
      </c>
      <c r="D479" s="23" t="s">
        <v>1285</v>
      </c>
      <c r="E479" s="24" t="s">
        <v>398</v>
      </c>
      <c r="F479" s="24" t="s">
        <v>1286</v>
      </c>
      <c r="G479" s="25" t="s">
        <v>1405</v>
      </c>
      <c r="H479" s="26">
        <v>0.13825000000000001</v>
      </c>
      <c r="I479" s="26"/>
      <c r="J479" s="26"/>
      <c r="K479" s="25" t="s">
        <v>550</v>
      </c>
      <c r="L479" s="24" t="s">
        <v>512</v>
      </c>
      <c r="M479" s="27" t="s">
        <v>513</v>
      </c>
    </row>
    <row r="480" spans="1:13" ht="25.5" x14ac:dyDescent="0.25">
      <c r="A480" s="22">
        <v>2026</v>
      </c>
      <c r="B480" s="23" t="s">
        <v>222</v>
      </c>
      <c r="C480" s="23" t="s">
        <v>90</v>
      </c>
      <c r="D480" s="23" t="s">
        <v>1285</v>
      </c>
      <c r="E480" s="24" t="s">
        <v>398</v>
      </c>
      <c r="F480" s="24" t="s">
        <v>1286</v>
      </c>
      <c r="G480" s="25" t="s">
        <v>1406</v>
      </c>
      <c r="H480" s="26">
        <v>1.2180232499999999</v>
      </c>
      <c r="I480" s="26"/>
      <c r="J480" s="26"/>
      <c r="K480" s="25" t="s">
        <v>550</v>
      </c>
      <c r="L480" s="24" t="s">
        <v>512</v>
      </c>
      <c r="M480" s="27" t="s">
        <v>513</v>
      </c>
    </row>
    <row r="481" spans="1:13" ht="25.5" x14ac:dyDescent="0.25">
      <c r="A481" s="22">
        <v>2026</v>
      </c>
      <c r="B481" s="23" t="s">
        <v>222</v>
      </c>
      <c r="C481" s="23" t="s">
        <v>90</v>
      </c>
      <c r="D481" s="23" t="s">
        <v>1285</v>
      </c>
      <c r="E481" s="24" t="s">
        <v>398</v>
      </c>
      <c r="F481" s="24" t="s">
        <v>1286</v>
      </c>
      <c r="G481" s="25" t="s">
        <v>1407</v>
      </c>
      <c r="H481" s="26">
        <v>0.41304000000000007</v>
      </c>
      <c r="I481" s="26"/>
      <c r="J481" s="26"/>
      <c r="K481" s="25" t="s">
        <v>550</v>
      </c>
      <c r="L481" s="24" t="s">
        <v>512</v>
      </c>
      <c r="M481" s="27" t="s">
        <v>513</v>
      </c>
    </row>
    <row r="482" spans="1:13" ht="25.5" x14ac:dyDescent="0.25">
      <c r="A482" s="22">
        <v>2026</v>
      </c>
      <c r="B482" s="23" t="s">
        <v>222</v>
      </c>
      <c r="C482" s="23" t="s">
        <v>90</v>
      </c>
      <c r="D482" s="23" t="s">
        <v>1285</v>
      </c>
      <c r="E482" s="24" t="s">
        <v>398</v>
      </c>
      <c r="F482" s="24" t="s">
        <v>1286</v>
      </c>
      <c r="G482" s="25" t="s">
        <v>1408</v>
      </c>
      <c r="H482" s="26">
        <v>0.30440002999999999</v>
      </c>
      <c r="I482" s="26"/>
      <c r="J482" s="26"/>
      <c r="K482" s="25" t="s">
        <v>550</v>
      </c>
      <c r="L482" s="24" t="s">
        <v>512</v>
      </c>
      <c r="M482" s="27" t="s">
        <v>513</v>
      </c>
    </row>
    <row r="483" spans="1:13" ht="25.5" x14ac:dyDescent="0.25">
      <c r="A483" s="22">
        <v>2026</v>
      </c>
      <c r="B483" s="23" t="s">
        <v>222</v>
      </c>
      <c r="C483" s="23" t="s">
        <v>90</v>
      </c>
      <c r="D483" s="23" t="s">
        <v>1285</v>
      </c>
      <c r="E483" s="24" t="s">
        <v>398</v>
      </c>
      <c r="F483" s="24" t="s">
        <v>1286</v>
      </c>
      <c r="G483" s="25" t="s">
        <v>1409</v>
      </c>
      <c r="H483" s="26">
        <v>1.7785829850000001</v>
      </c>
      <c r="I483" s="26"/>
      <c r="J483" s="26"/>
      <c r="K483" s="25" t="s">
        <v>550</v>
      </c>
      <c r="L483" s="24" t="s">
        <v>512</v>
      </c>
      <c r="M483" s="27" t="s">
        <v>513</v>
      </c>
    </row>
    <row r="484" spans="1:13" ht="25.5" x14ac:dyDescent="0.25">
      <c r="A484" s="22">
        <v>2026</v>
      </c>
      <c r="B484" s="23" t="s">
        <v>222</v>
      </c>
      <c r="C484" s="23" t="s">
        <v>90</v>
      </c>
      <c r="D484" s="23" t="s">
        <v>1143</v>
      </c>
      <c r="E484" s="24" t="s">
        <v>352</v>
      </c>
      <c r="F484" s="24" t="s">
        <v>335</v>
      </c>
      <c r="G484" s="25" t="s">
        <v>1410</v>
      </c>
      <c r="H484" s="26">
        <v>0.38915000000000005</v>
      </c>
      <c r="I484" s="26"/>
      <c r="J484" s="26"/>
      <c r="K484" s="25" t="s">
        <v>550</v>
      </c>
      <c r="L484" s="24" t="s">
        <v>512</v>
      </c>
      <c r="M484" s="27" t="s">
        <v>513</v>
      </c>
    </row>
    <row r="485" spans="1:13" ht="25.5" x14ac:dyDescent="0.25">
      <c r="A485" s="22">
        <v>2026</v>
      </c>
      <c r="B485" s="23" t="s">
        <v>222</v>
      </c>
      <c r="C485" s="23" t="s">
        <v>90</v>
      </c>
      <c r="D485" s="23" t="s">
        <v>1143</v>
      </c>
      <c r="E485" s="24" t="s">
        <v>352</v>
      </c>
      <c r="F485" s="24" t="s">
        <v>335</v>
      </c>
      <c r="G485" s="25" t="s">
        <v>1411</v>
      </c>
      <c r="H485" s="26">
        <v>0.36450000000000005</v>
      </c>
      <c r="I485" s="26"/>
      <c r="J485" s="26"/>
      <c r="K485" s="25" t="s">
        <v>550</v>
      </c>
      <c r="L485" s="24" t="s">
        <v>512</v>
      </c>
      <c r="M485" s="27" t="s">
        <v>513</v>
      </c>
    </row>
    <row r="486" spans="1:13" ht="25.5" x14ac:dyDescent="0.25">
      <c r="A486" s="22">
        <v>2026</v>
      </c>
      <c r="B486" s="23" t="s">
        <v>222</v>
      </c>
      <c r="C486" s="23" t="s">
        <v>90</v>
      </c>
      <c r="D486" s="23" t="s">
        <v>1143</v>
      </c>
      <c r="E486" s="24" t="s">
        <v>352</v>
      </c>
      <c r="F486" s="24" t="s">
        <v>335</v>
      </c>
      <c r="G486" s="25" t="s">
        <v>1412</v>
      </c>
      <c r="H486" s="26">
        <v>0.36399999999999999</v>
      </c>
      <c r="I486" s="26"/>
      <c r="J486" s="26"/>
      <c r="K486" s="25" t="s">
        <v>550</v>
      </c>
      <c r="L486" s="24" t="s">
        <v>512</v>
      </c>
      <c r="M486" s="27" t="s">
        <v>513</v>
      </c>
    </row>
    <row r="487" spans="1:13" ht="25.5" x14ac:dyDescent="0.25">
      <c r="A487" s="22">
        <v>2026</v>
      </c>
      <c r="B487" s="23" t="s">
        <v>222</v>
      </c>
      <c r="C487" s="23" t="s">
        <v>90</v>
      </c>
      <c r="D487" s="23" t="s">
        <v>1143</v>
      </c>
      <c r="E487" s="24" t="s">
        <v>352</v>
      </c>
      <c r="F487" s="24" t="s">
        <v>335</v>
      </c>
      <c r="G487" s="25" t="s">
        <v>1413</v>
      </c>
      <c r="H487" s="26">
        <v>0.36200000000000004</v>
      </c>
      <c r="I487" s="26"/>
      <c r="J487" s="26"/>
      <c r="K487" s="25" t="s">
        <v>550</v>
      </c>
      <c r="L487" s="24" t="s">
        <v>512</v>
      </c>
      <c r="M487" s="27" t="s">
        <v>513</v>
      </c>
    </row>
    <row r="488" spans="1:13" ht="25.5" x14ac:dyDescent="0.25">
      <c r="A488" s="22">
        <v>2026</v>
      </c>
      <c r="B488" s="23" t="s">
        <v>222</v>
      </c>
      <c r="C488" s="23" t="s">
        <v>90</v>
      </c>
      <c r="D488" s="23" t="s">
        <v>1143</v>
      </c>
      <c r="E488" s="24" t="s">
        <v>352</v>
      </c>
      <c r="F488" s="24" t="s">
        <v>335</v>
      </c>
      <c r="G488" s="25" t="s">
        <v>1414</v>
      </c>
      <c r="H488" s="26">
        <v>0.72199999999999998</v>
      </c>
      <c r="I488" s="26"/>
      <c r="J488" s="26"/>
      <c r="K488" s="25" t="s">
        <v>550</v>
      </c>
      <c r="L488" s="24" t="s">
        <v>512</v>
      </c>
      <c r="M488" s="27" t="s">
        <v>513</v>
      </c>
    </row>
    <row r="489" spans="1:13" ht="25.5" x14ac:dyDescent="0.25">
      <c r="A489" s="22">
        <v>2026</v>
      </c>
      <c r="B489" s="23" t="s">
        <v>222</v>
      </c>
      <c r="C489" s="23" t="s">
        <v>90</v>
      </c>
      <c r="D489" s="23" t="s">
        <v>1033</v>
      </c>
      <c r="E489" s="24" t="s">
        <v>578</v>
      </c>
      <c r="F489" s="24" t="s">
        <v>325</v>
      </c>
      <c r="G489" s="25" t="s">
        <v>1415</v>
      </c>
      <c r="H489" s="26">
        <v>1.6373999999999997</v>
      </c>
      <c r="I489" s="26"/>
      <c r="J489" s="26"/>
      <c r="K489" s="25" t="s">
        <v>550</v>
      </c>
      <c r="L489" s="24" t="s">
        <v>512</v>
      </c>
      <c r="M489" s="27" t="s">
        <v>513</v>
      </c>
    </row>
    <row r="490" spans="1:13" ht="25.5" x14ac:dyDescent="0.25">
      <c r="A490" s="22">
        <v>2026</v>
      </c>
      <c r="B490" s="23" t="s">
        <v>222</v>
      </c>
      <c r="C490" s="23" t="s">
        <v>90</v>
      </c>
      <c r="D490" s="23" t="s">
        <v>1033</v>
      </c>
      <c r="E490" s="24" t="s">
        <v>578</v>
      </c>
      <c r="F490" s="24" t="s">
        <v>325</v>
      </c>
      <c r="G490" s="25" t="s">
        <v>1416</v>
      </c>
      <c r="H490" s="26">
        <v>0.27385000000000004</v>
      </c>
      <c r="I490" s="26"/>
      <c r="J490" s="26"/>
      <c r="K490" s="25" t="s">
        <v>550</v>
      </c>
      <c r="L490" s="24" t="s">
        <v>512</v>
      </c>
      <c r="M490" s="27" t="s">
        <v>513</v>
      </c>
    </row>
    <row r="491" spans="1:13" ht="25.5" x14ac:dyDescent="0.25">
      <c r="A491" s="22">
        <v>2026</v>
      </c>
      <c r="B491" s="23" t="s">
        <v>222</v>
      </c>
      <c r="C491" s="23" t="s">
        <v>90</v>
      </c>
      <c r="D491" s="23" t="s">
        <v>187</v>
      </c>
      <c r="E491" s="24" t="s">
        <v>331</v>
      </c>
      <c r="F491" s="24" t="s">
        <v>332</v>
      </c>
      <c r="G491" s="25" t="s">
        <v>1417</v>
      </c>
      <c r="H491" s="26">
        <v>1.5397576188939643</v>
      </c>
      <c r="I491" s="26"/>
      <c r="J491" s="26"/>
      <c r="K491" s="25" t="s">
        <v>550</v>
      </c>
      <c r="L491" s="24" t="s">
        <v>512</v>
      </c>
      <c r="M491" s="27" t="s">
        <v>513</v>
      </c>
    </row>
    <row r="492" spans="1:13" ht="25.5" x14ac:dyDescent="0.25">
      <c r="A492" s="22">
        <v>2026</v>
      </c>
      <c r="B492" s="23" t="s">
        <v>222</v>
      </c>
      <c r="C492" s="23" t="s">
        <v>90</v>
      </c>
      <c r="D492" s="23" t="s">
        <v>187</v>
      </c>
      <c r="E492" s="24" t="s">
        <v>331</v>
      </c>
      <c r="F492" s="24" t="s">
        <v>332</v>
      </c>
      <c r="G492" s="25" t="s">
        <v>1418</v>
      </c>
      <c r="H492" s="26">
        <v>0.78504883524889313</v>
      </c>
      <c r="I492" s="26"/>
      <c r="J492" s="26"/>
      <c r="K492" s="25" t="s">
        <v>550</v>
      </c>
      <c r="L492" s="24" t="s">
        <v>512</v>
      </c>
      <c r="M492" s="27" t="s">
        <v>513</v>
      </c>
    </row>
    <row r="493" spans="1:13" ht="25.5" x14ac:dyDescent="0.25">
      <c r="A493" s="22">
        <v>2026</v>
      </c>
      <c r="B493" s="23" t="s">
        <v>222</v>
      </c>
      <c r="C493" s="23" t="s">
        <v>90</v>
      </c>
      <c r="D493" s="23" t="s">
        <v>187</v>
      </c>
      <c r="E493" s="24" t="s">
        <v>331</v>
      </c>
      <c r="F493" s="24" t="s">
        <v>332</v>
      </c>
      <c r="G493" s="25" t="s">
        <v>1419</v>
      </c>
      <c r="H493" s="26">
        <v>3.9252441762444659</v>
      </c>
      <c r="I493" s="26"/>
      <c r="J493" s="26"/>
      <c r="K493" s="25" t="s">
        <v>550</v>
      </c>
      <c r="L493" s="24" t="s">
        <v>512</v>
      </c>
      <c r="M493" s="27" t="s">
        <v>513</v>
      </c>
    </row>
    <row r="494" spans="1:13" ht="25.5" x14ac:dyDescent="0.25">
      <c r="A494" s="22">
        <v>2026</v>
      </c>
      <c r="B494" s="23" t="s">
        <v>222</v>
      </c>
      <c r="C494" s="23" t="s">
        <v>90</v>
      </c>
      <c r="D494" s="23" t="s">
        <v>187</v>
      </c>
      <c r="E494" s="24" t="s">
        <v>331</v>
      </c>
      <c r="F494" s="24" t="s">
        <v>332</v>
      </c>
      <c r="G494" s="25" t="s">
        <v>1420</v>
      </c>
      <c r="H494" s="26">
        <v>5.707722207969006</v>
      </c>
      <c r="I494" s="26"/>
      <c r="J494" s="26"/>
      <c r="K494" s="25" t="s">
        <v>550</v>
      </c>
      <c r="L494" s="24" t="s">
        <v>512</v>
      </c>
      <c r="M494" s="27" t="s">
        <v>513</v>
      </c>
    </row>
    <row r="495" spans="1:13" ht="25.5" x14ac:dyDescent="0.25">
      <c r="A495" s="22">
        <v>2026</v>
      </c>
      <c r="B495" s="23" t="s">
        <v>222</v>
      </c>
      <c r="C495" s="23" t="s">
        <v>90</v>
      </c>
      <c r="D495" s="23" t="s">
        <v>187</v>
      </c>
      <c r="E495" s="24" t="s">
        <v>331</v>
      </c>
      <c r="F495" s="24" t="s">
        <v>332</v>
      </c>
      <c r="G495" s="25" t="s">
        <v>1421</v>
      </c>
      <c r="H495" s="26">
        <v>1.7330237476103105</v>
      </c>
      <c r="I495" s="26"/>
      <c r="J495" s="26"/>
      <c r="K495" s="25" t="s">
        <v>550</v>
      </c>
      <c r="L495" s="24" t="s">
        <v>512</v>
      </c>
      <c r="M495" s="27" t="s">
        <v>513</v>
      </c>
    </row>
    <row r="496" spans="1:13" ht="25.5" x14ac:dyDescent="0.25">
      <c r="A496" s="22">
        <v>2026</v>
      </c>
      <c r="B496" s="23" t="s">
        <v>222</v>
      </c>
      <c r="C496" s="23" t="s">
        <v>90</v>
      </c>
      <c r="D496" s="23" t="s">
        <v>216</v>
      </c>
      <c r="E496" s="24" t="s">
        <v>331</v>
      </c>
      <c r="F496" s="24" t="s">
        <v>298</v>
      </c>
      <c r="G496" s="25" t="s">
        <v>1422</v>
      </c>
      <c r="H496" s="26">
        <v>18.538</v>
      </c>
      <c r="I496" s="26"/>
      <c r="J496" s="26"/>
      <c r="K496" s="25" t="s">
        <v>550</v>
      </c>
      <c r="L496" s="24" t="s">
        <v>512</v>
      </c>
      <c r="M496" s="27" t="s">
        <v>513</v>
      </c>
    </row>
    <row r="497" spans="1:13" ht="25.5" x14ac:dyDescent="0.25">
      <c r="A497" s="22">
        <v>2026</v>
      </c>
      <c r="B497" s="23" t="s">
        <v>222</v>
      </c>
      <c r="C497" s="23" t="s">
        <v>90</v>
      </c>
      <c r="D497" s="23" t="s">
        <v>216</v>
      </c>
      <c r="E497" s="24" t="s">
        <v>331</v>
      </c>
      <c r="F497" s="24" t="s">
        <v>298</v>
      </c>
      <c r="G497" s="25" t="s">
        <v>1423</v>
      </c>
      <c r="H497" s="26">
        <v>22.404475000000001</v>
      </c>
      <c r="I497" s="26"/>
      <c r="J497" s="26"/>
      <c r="K497" s="25" t="s">
        <v>550</v>
      </c>
      <c r="L497" s="24" t="s">
        <v>512</v>
      </c>
      <c r="M497" s="27" t="s">
        <v>513</v>
      </c>
    </row>
    <row r="498" spans="1:13" ht="25.5" x14ac:dyDescent="0.25">
      <c r="A498" s="22">
        <v>2026</v>
      </c>
      <c r="B498" s="23" t="s">
        <v>222</v>
      </c>
      <c r="C498" s="23" t="s">
        <v>90</v>
      </c>
      <c r="D498" s="23" t="s">
        <v>216</v>
      </c>
      <c r="E498" s="24" t="s">
        <v>331</v>
      </c>
      <c r="F498" s="24" t="s">
        <v>298</v>
      </c>
      <c r="G498" s="25" t="s">
        <v>1424</v>
      </c>
      <c r="H498" s="26">
        <v>21.704999999999998</v>
      </c>
      <c r="I498" s="26"/>
      <c r="J498" s="26"/>
      <c r="K498" s="25" t="s">
        <v>550</v>
      </c>
      <c r="L498" s="24" t="s">
        <v>512</v>
      </c>
      <c r="M498" s="27" t="s">
        <v>513</v>
      </c>
    </row>
    <row r="499" spans="1:13" ht="25.5" x14ac:dyDescent="0.25">
      <c r="A499" s="22">
        <v>2026</v>
      </c>
      <c r="B499" s="23" t="s">
        <v>222</v>
      </c>
      <c r="C499" s="23" t="s">
        <v>90</v>
      </c>
      <c r="D499" s="23" t="s">
        <v>216</v>
      </c>
      <c r="E499" s="24" t="s">
        <v>331</v>
      </c>
      <c r="F499" s="24" t="s">
        <v>298</v>
      </c>
      <c r="G499" s="25" t="s">
        <v>1425</v>
      </c>
      <c r="H499" s="26">
        <v>30.081030000000005</v>
      </c>
      <c r="I499" s="26"/>
      <c r="J499" s="26"/>
      <c r="K499" s="25" t="s">
        <v>550</v>
      </c>
      <c r="L499" s="24" t="s">
        <v>512</v>
      </c>
      <c r="M499" s="27" t="s">
        <v>513</v>
      </c>
    </row>
    <row r="500" spans="1:13" ht="25.5" x14ac:dyDescent="0.25">
      <c r="A500" s="22">
        <v>2026</v>
      </c>
      <c r="B500" s="23" t="s">
        <v>222</v>
      </c>
      <c r="C500" s="23" t="s">
        <v>90</v>
      </c>
      <c r="D500" s="23" t="s">
        <v>216</v>
      </c>
      <c r="E500" s="24" t="s">
        <v>331</v>
      </c>
      <c r="F500" s="24" t="s">
        <v>298</v>
      </c>
      <c r="G500" s="25" t="s">
        <v>1426</v>
      </c>
      <c r="H500" s="26">
        <v>8.5709999999999997</v>
      </c>
      <c r="I500" s="26"/>
      <c r="J500" s="26"/>
      <c r="K500" s="25" t="s">
        <v>550</v>
      </c>
      <c r="L500" s="24" t="s">
        <v>512</v>
      </c>
      <c r="M500" s="27" t="s">
        <v>513</v>
      </c>
    </row>
    <row r="501" spans="1:13" ht="25.5" x14ac:dyDescent="0.25">
      <c r="A501" s="22">
        <v>2026</v>
      </c>
      <c r="B501" s="23" t="s">
        <v>222</v>
      </c>
      <c r="C501" s="23" t="s">
        <v>90</v>
      </c>
      <c r="D501" s="23" t="s">
        <v>216</v>
      </c>
      <c r="E501" s="24" t="s">
        <v>331</v>
      </c>
      <c r="F501" s="24" t="s">
        <v>298</v>
      </c>
      <c r="G501" s="25" t="s">
        <v>1427</v>
      </c>
      <c r="H501" s="26">
        <v>14.279999999999998</v>
      </c>
      <c r="I501" s="26"/>
      <c r="J501" s="26"/>
      <c r="K501" s="25" t="s">
        <v>550</v>
      </c>
      <c r="L501" s="24" t="s">
        <v>512</v>
      </c>
      <c r="M501" s="27" t="s">
        <v>513</v>
      </c>
    </row>
    <row r="502" spans="1:13" ht="25.5" x14ac:dyDescent="0.25">
      <c r="A502" s="22">
        <v>2026</v>
      </c>
      <c r="B502" s="23" t="s">
        <v>222</v>
      </c>
      <c r="C502" s="23" t="s">
        <v>90</v>
      </c>
      <c r="D502" s="23" t="s">
        <v>216</v>
      </c>
      <c r="E502" s="24" t="s">
        <v>331</v>
      </c>
      <c r="F502" s="24" t="s">
        <v>298</v>
      </c>
      <c r="G502" s="25" t="s">
        <v>1428</v>
      </c>
      <c r="H502" s="26">
        <v>14.29</v>
      </c>
      <c r="I502" s="26"/>
      <c r="J502" s="26"/>
      <c r="K502" s="25" t="s">
        <v>550</v>
      </c>
      <c r="L502" s="24" t="s">
        <v>512</v>
      </c>
      <c r="M502" s="27" t="s">
        <v>513</v>
      </c>
    </row>
    <row r="503" spans="1:13" ht="25.5" x14ac:dyDescent="0.25">
      <c r="A503" s="22">
        <v>2026</v>
      </c>
      <c r="B503" s="23" t="s">
        <v>222</v>
      </c>
      <c r="C503" s="23" t="s">
        <v>90</v>
      </c>
      <c r="D503" s="23" t="s">
        <v>216</v>
      </c>
      <c r="E503" s="24" t="s">
        <v>331</v>
      </c>
      <c r="F503" s="24" t="s">
        <v>298</v>
      </c>
      <c r="G503" s="25" t="s">
        <v>1429</v>
      </c>
      <c r="H503" s="26">
        <v>18.063749999999999</v>
      </c>
      <c r="I503" s="26"/>
      <c r="J503" s="26"/>
      <c r="K503" s="25" t="s">
        <v>550</v>
      </c>
      <c r="L503" s="24" t="s">
        <v>512</v>
      </c>
      <c r="M503" s="27" t="s">
        <v>513</v>
      </c>
    </row>
    <row r="504" spans="1:13" ht="25.5" x14ac:dyDescent="0.25">
      <c r="A504" s="22">
        <v>2026</v>
      </c>
      <c r="B504" s="23" t="s">
        <v>222</v>
      </c>
      <c r="C504" s="23" t="s">
        <v>90</v>
      </c>
      <c r="D504" s="23" t="s">
        <v>216</v>
      </c>
      <c r="E504" s="24" t="s">
        <v>331</v>
      </c>
      <c r="F504" s="24" t="s">
        <v>298</v>
      </c>
      <c r="G504" s="25" t="s">
        <v>1430</v>
      </c>
      <c r="H504" s="26">
        <v>7.19</v>
      </c>
      <c r="I504" s="26"/>
      <c r="J504" s="26"/>
      <c r="K504" s="25" t="s">
        <v>550</v>
      </c>
      <c r="L504" s="24" t="s">
        <v>512</v>
      </c>
      <c r="M504" s="27" t="s">
        <v>513</v>
      </c>
    </row>
    <row r="505" spans="1:13" ht="25.5" x14ac:dyDescent="0.25">
      <c r="A505" s="22">
        <v>2026</v>
      </c>
      <c r="B505" s="23" t="s">
        <v>222</v>
      </c>
      <c r="C505" s="23" t="s">
        <v>90</v>
      </c>
      <c r="D505" s="23" t="s">
        <v>216</v>
      </c>
      <c r="E505" s="24" t="s">
        <v>331</v>
      </c>
      <c r="F505" s="24" t="s">
        <v>298</v>
      </c>
      <c r="G505" s="25" t="s">
        <v>1431</v>
      </c>
      <c r="H505" s="26">
        <v>21.670050000000003</v>
      </c>
      <c r="I505" s="26"/>
      <c r="J505" s="26"/>
      <c r="K505" s="25" t="s">
        <v>550</v>
      </c>
      <c r="L505" s="24" t="s">
        <v>512</v>
      </c>
      <c r="M505" s="27" t="s">
        <v>513</v>
      </c>
    </row>
    <row r="506" spans="1:13" ht="25.5" x14ac:dyDescent="0.25">
      <c r="A506" s="22">
        <v>2026</v>
      </c>
      <c r="B506" s="23" t="s">
        <v>222</v>
      </c>
      <c r="C506" s="23" t="s">
        <v>90</v>
      </c>
      <c r="D506" s="23" t="s">
        <v>216</v>
      </c>
      <c r="E506" s="24" t="s">
        <v>331</v>
      </c>
      <c r="F506" s="24" t="s">
        <v>298</v>
      </c>
      <c r="G506" s="25" t="s">
        <v>1432</v>
      </c>
      <c r="H506" s="26">
        <v>35.195040000000006</v>
      </c>
      <c r="I506" s="26"/>
      <c r="J506" s="26"/>
      <c r="K506" s="25" t="s">
        <v>550</v>
      </c>
      <c r="L506" s="24" t="s">
        <v>512</v>
      </c>
      <c r="M506" s="27" t="s">
        <v>513</v>
      </c>
    </row>
    <row r="507" spans="1:13" ht="25.5" x14ac:dyDescent="0.25">
      <c r="A507" s="22">
        <v>2026</v>
      </c>
      <c r="B507" s="23" t="s">
        <v>222</v>
      </c>
      <c r="C507" s="23" t="s">
        <v>90</v>
      </c>
      <c r="D507" s="23" t="s">
        <v>216</v>
      </c>
      <c r="E507" s="24" t="s">
        <v>331</v>
      </c>
      <c r="F507" s="24" t="s">
        <v>298</v>
      </c>
      <c r="G507" s="25" t="s">
        <v>1433</v>
      </c>
      <c r="H507" s="26">
        <v>32.475740000000002</v>
      </c>
      <c r="I507" s="26"/>
      <c r="J507" s="26"/>
      <c r="K507" s="25" t="s">
        <v>550</v>
      </c>
      <c r="L507" s="24" t="s">
        <v>512</v>
      </c>
      <c r="M507" s="27" t="s">
        <v>513</v>
      </c>
    </row>
    <row r="508" spans="1:13" ht="25.5" x14ac:dyDescent="0.25">
      <c r="A508" s="22">
        <v>2026</v>
      </c>
      <c r="B508" s="23" t="s">
        <v>222</v>
      </c>
      <c r="C508" s="23" t="s">
        <v>90</v>
      </c>
      <c r="D508" s="23" t="s">
        <v>216</v>
      </c>
      <c r="E508" s="24" t="s">
        <v>331</v>
      </c>
      <c r="F508" s="24" t="s">
        <v>298</v>
      </c>
      <c r="G508" s="25" t="s">
        <v>1434</v>
      </c>
      <c r="H508" s="26">
        <v>33.673949999999998</v>
      </c>
      <c r="I508" s="26"/>
      <c r="J508" s="26"/>
      <c r="K508" s="25" t="s">
        <v>550</v>
      </c>
      <c r="L508" s="24" t="s">
        <v>512</v>
      </c>
      <c r="M508" s="27" t="s">
        <v>513</v>
      </c>
    </row>
    <row r="509" spans="1:13" ht="25.5" x14ac:dyDescent="0.25">
      <c r="A509" s="22">
        <v>2026</v>
      </c>
      <c r="B509" s="23" t="s">
        <v>222</v>
      </c>
      <c r="C509" s="23" t="s">
        <v>90</v>
      </c>
      <c r="D509" s="23" t="s">
        <v>216</v>
      </c>
      <c r="E509" s="24" t="s">
        <v>331</v>
      </c>
      <c r="F509" s="24" t="s">
        <v>298</v>
      </c>
      <c r="G509" s="25" t="s">
        <v>1435</v>
      </c>
      <c r="H509" s="26">
        <v>19</v>
      </c>
      <c r="I509" s="26"/>
      <c r="J509" s="26"/>
      <c r="K509" s="25" t="s">
        <v>550</v>
      </c>
      <c r="L509" s="24" t="s">
        <v>512</v>
      </c>
      <c r="M509" s="27" t="s">
        <v>513</v>
      </c>
    </row>
    <row r="510" spans="1:13" ht="25.5" x14ac:dyDescent="0.25">
      <c r="A510" s="22">
        <v>2026</v>
      </c>
      <c r="B510" s="23" t="s">
        <v>222</v>
      </c>
      <c r="C510" s="23" t="s">
        <v>90</v>
      </c>
      <c r="D510" s="23" t="s">
        <v>216</v>
      </c>
      <c r="E510" s="24" t="s">
        <v>331</v>
      </c>
      <c r="F510" s="24" t="s">
        <v>298</v>
      </c>
      <c r="G510" s="25" t="s">
        <v>1436</v>
      </c>
      <c r="H510" s="26">
        <v>37.875</v>
      </c>
      <c r="I510" s="26"/>
      <c r="J510" s="26"/>
      <c r="K510" s="25" t="s">
        <v>550</v>
      </c>
      <c r="L510" s="24" t="s">
        <v>512</v>
      </c>
      <c r="M510" s="27" t="s">
        <v>513</v>
      </c>
    </row>
    <row r="511" spans="1:13" ht="25.5" x14ac:dyDescent="0.25">
      <c r="A511" s="22">
        <v>2026</v>
      </c>
      <c r="B511" s="23" t="s">
        <v>222</v>
      </c>
      <c r="C511" s="23" t="s">
        <v>90</v>
      </c>
      <c r="D511" s="23" t="s">
        <v>216</v>
      </c>
      <c r="E511" s="24" t="s">
        <v>331</v>
      </c>
      <c r="F511" s="24" t="s">
        <v>298</v>
      </c>
      <c r="G511" s="25" t="s">
        <v>1437</v>
      </c>
      <c r="H511" s="26">
        <v>17.273229999999998</v>
      </c>
      <c r="I511" s="26"/>
      <c r="J511" s="26"/>
      <c r="K511" s="25" t="s">
        <v>550</v>
      </c>
      <c r="L511" s="24" t="s">
        <v>512</v>
      </c>
      <c r="M511" s="27" t="s">
        <v>513</v>
      </c>
    </row>
    <row r="512" spans="1:13" ht="25.5" x14ac:dyDescent="0.25">
      <c r="A512" s="22">
        <v>2026</v>
      </c>
      <c r="B512" s="23" t="s">
        <v>222</v>
      </c>
      <c r="C512" s="23" t="s">
        <v>90</v>
      </c>
      <c r="D512" s="23" t="s">
        <v>216</v>
      </c>
      <c r="E512" s="24" t="s">
        <v>331</v>
      </c>
      <c r="F512" s="24" t="s">
        <v>298</v>
      </c>
      <c r="G512" s="25" t="s">
        <v>1438</v>
      </c>
      <c r="H512" s="26">
        <v>43.365314999999995</v>
      </c>
      <c r="I512" s="26"/>
      <c r="J512" s="26"/>
      <c r="K512" s="25" t="s">
        <v>550</v>
      </c>
      <c r="L512" s="24" t="s">
        <v>512</v>
      </c>
      <c r="M512" s="27" t="s">
        <v>513</v>
      </c>
    </row>
    <row r="513" spans="1:13" ht="25.5" x14ac:dyDescent="0.25">
      <c r="A513" s="22">
        <v>2026</v>
      </c>
      <c r="B513" s="23" t="s">
        <v>222</v>
      </c>
      <c r="C513" s="23" t="s">
        <v>90</v>
      </c>
      <c r="D513" s="23" t="s">
        <v>1048</v>
      </c>
      <c r="E513" s="24" t="s">
        <v>398</v>
      </c>
      <c r="F513" s="24" t="s">
        <v>353</v>
      </c>
      <c r="G513" s="25" t="s">
        <v>1439</v>
      </c>
      <c r="H513" s="26">
        <v>0.97450000000000003</v>
      </c>
      <c r="I513" s="26"/>
      <c r="J513" s="26"/>
      <c r="K513" s="25" t="s">
        <v>550</v>
      </c>
      <c r="L513" s="24" t="s">
        <v>512</v>
      </c>
      <c r="M513" s="27" t="s">
        <v>513</v>
      </c>
    </row>
    <row r="514" spans="1:13" ht="25.5" x14ac:dyDescent="0.25">
      <c r="A514" s="22">
        <v>2026</v>
      </c>
      <c r="B514" s="23" t="s">
        <v>222</v>
      </c>
      <c r="C514" s="23" t="s">
        <v>90</v>
      </c>
      <c r="D514" s="23" t="s">
        <v>1048</v>
      </c>
      <c r="E514" s="24" t="s">
        <v>398</v>
      </c>
      <c r="F514" s="24" t="s">
        <v>353</v>
      </c>
      <c r="G514" s="25" t="s">
        <v>1440</v>
      </c>
      <c r="H514" s="26">
        <v>0.39429999999999998</v>
      </c>
      <c r="I514" s="26"/>
      <c r="J514" s="26"/>
      <c r="K514" s="25" t="s">
        <v>550</v>
      </c>
      <c r="L514" s="24" t="s">
        <v>512</v>
      </c>
      <c r="M514" s="27" t="s">
        <v>513</v>
      </c>
    </row>
    <row r="515" spans="1:13" ht="25.5" x14ac:dyDescent="0.25">
      <c r="A515" s="22">
        <v>2026</v>
      </c>
      <c r="B515" s="23" t="s">
        <v>222</v>
      </c>
      <c r="C515" s="23" t="s">
        <v>90</v>
      </c>
      <c r="D515" s="23" t="s">
        <v>1048</v>
      </c>
      <c r="E515" s="24" t="s">
        <v>398</v>
      </c>
      <c r="F515" s="24" t="s">
        <v>353</v>
      </c>
      <c r="G515" s="25" t="s">
        <v>1441</v>
      </c>
      <c r="H515" s="26">
        <v>1.9358</v>
      </c>
      <c r="I515" s="26"/>
      <c r="J515" s="26"/>
      <c r="K515" s="25" t="s">
        <v>550</v>
      </c>
      <c r="L515" s="24" t="s">
        <v>512</v>
      </c>
      <c r="M515" s="27" t="s">
        <v>513</v>
      </c>
    </row>
    <row r="516" spans="1:13" ht="25.5" x14ac:dyDescent="0.25">
      <c r="A516" s="22">
        <v>2026</v>
      </c>
      <c r="B516" s="23" t="s">
        <v>222</v>
      </c>
      <c r="C516" s="23" t="s">
        <v>90</v>
      </c>
      <c r="D516" s="23" t="s">
        <v>1048</v>
      </c>
      <c r="E516" s="24" t="s">
        <v>398</v>
      </c>
      <c r="F516" s="24" t="s">
        <v>353</v>
      </c>
      <c r="G516" s="25" t="s">
        <v>1442</v>
      </c>
      <c r="H516" s="26">
        <v>0.19553000000000001</v>
      </c>
      <c r="I516" s="26"/>
      <c r="J516" s="26"/>
      <c r="K516" s="25" t="s">
        <v>550</v>
      </c>
      <c r="L516" s="24" t="s">
        <v>512</v>
      </c>
      <c r="M516" s="27" t="s">
        <v>513</v>
      </c>
    </row>
    <row r="517" spans="1:13" ht="25.5" x14ac:dyDescent="0.25">
      <c r="A517" s="22">
        <v>2026</v>
      </c>
      <c r="B517" s="23" t="s">
        <v>222</v>
      </c>
      <c r="C517" s="23" t="s">
        <v>90</v>
      </c>
      <c r="D517" s="23" t="s">
        <v>1048</v>
      </c>
      <c r="E517" s="24" t="s">
        <v>398</v>
      </c>
      <c r="F517" s="24" t="s">
        <v>353</v>
      </c>
      <c r="G517" s="25" t="s">
        <v>1443</v>
      </c>
      <c r="H517" s="26">
        <v>0.67353999999999992</v>
      </c>
      <c r="I517" s="26"/>
      <c r="J517" s="26"/>
      <c r="K517" s="25" t="s">
        <v>550</v>
      </c>
      <c r="L517" s="24" t="s">
        <v>512</v>
      </c>
      <c r="M517" s="27" t="s">
        <v>513</v>
      </c>
    </row>
    <row r="518" spans="1:13" ht="25.5" x14ac:dyDescent="0.25">
      <c r="A518" s="22">
        <v>2026</v>
      </c>
      <c r="B518" s="23" t="s">
        <v>222</v>
      </c>
      <c r="C518" s="23" t="s">
        <v>90</v>
      </c>
      <c r="D518" s="23" t="s">
        <v>1048</v>
      </c>
      <c r="E518" s="24" t="s">
        <v>398</v>
      </c>
      <c r="F518" s="24" t="s">
        <v>353</v>
      </c>
      <c r="G518" s="25" t="s">
        <v>1444</v>
      </c>
      <c r="H518" s="26">
        <v>1.2108000000000001</v>
      </c>
      <c r="I518" s="26"/>
      <c r="J518" s="26"/>
      <c r="K518" s="25" t="s">
        <v>550</v>
      </c>
      <c r="L518" s="24" t="s">
        <v>512</v>
      </c>
      <c r="M518" s="27" t="s">
        <v>513</v>
      </c>
    </row>
    <row r="519" spans="1:13" ht="25.5" x14ac:dyDescent="0.25">
      <c r="A519" s="22">
        <v>2026</v>
      </c>
      <c r="B519" s="23" t="s">
        <v>237</v>
      </c>
      <c r="C519" s="23" t="s">
        <v>19</v>
      </c>
      <c r="D519" s="23" t="s">
        <v>170</v>
      </c>
      <c r="E519" s="24" t="s">
        <v>286</v>
      </c>
      <c r="F519" s="24" t="s">
        <v>287</v>
      </c>
      <c r="G519" s="25" t="s">
        <v>1445</v>
      </c>
      <c r="H519" s="26">
        <v>9.0200000000000002E-2</v>
      </c>
      <c r="I519" s="26"/>
      <c r="J519" s="26"/>
      <c r="K519" s="25" t="s">
        <v>550</v>
      </c>
      <c r="L519" s="24" t="s">
        <v>512</v>
      </c>
      <c r="M519" s="27" t="s">
        <v>513</v>
      </c>
    </row>
    <row r="520" spans="1:13" ht="25.5" x14ac:dyDescent="0.25">
      <c r="A520" s="22">
        <v>2026</v>
      </c>
      <c r="B520" s="23" t="s">
        <v>237</v>
      </c>
      <c r="C520" s="23" t="s">
        <v>19</v>
      </c>
      <c r="D520" s="23" t="s">
        <v>170</v>
      </c>
      <c r="E520" s="24" t="s">
        <v>286</v>
      </c>
      <c r="F520" s="24" t="s">
        <v>287</v>
      </c>
      <c r="G520" s="25" t="s">
        <v>1446</v>
      </c>
      <c r="H520" s="26">
        <v>0.54120000000000013</v>
      </c>
      <c r="I520" s="26"/>
      <c r="J520" s="26"/>
      <c r="K520" s="25" t="s">
        <v>550</v>
      </c>
      <c r="L520" s="24" t="s">
        <v>512</v>
      </c>
      <c r="M520" s="27" t="s">
        <v>513</v>
      </c>
    </row>
    <row r="521" spans="1:13" ht="25.5" x14ac:dyDescent="0.25">
      <c r="A521" s="22">
        <v>2026</v>
      </c>
      <c r="B521" s="23" t="s">
        <v>237</v>
      </c>
      <c r="C521" s="23" t="s">
        <v>19</v>
      </c>
      <c r="D521" s="23" t="s">
        <v>170</v>
      </c>
      <c r="E521" s="24" t="s">
        <v>286</v>
      </c>
      <c r="F521" s="24" t="s">
        <v>287</v>
      </c>
      <c r="G521" s="25" t="s">
        <v>1447</v>
      </c>
      <c r="H521" s="26">
        <v>9.5449999999999993E-2</v>
      </c>
      <c r="I521" s="26"/>
      <c r="J521" s="26"/>
      <c r="K521" s="25" t="s">
        <v>550</v>
      </c>
      <c r="L521" s="24" t="s">
        <v>512</v>
      </c>
      <c r="M521" s="27" t="s">
        <v>513</v>
      </c>
    </row>
    <row r="522" spans="1:13" ht="25.5" x14ac:dyDescent="0.25">
      <c r="A522" s="22">
        <v>2026</v>
      </c>
      <c r="B522" s="23" t="s">
        <v>237</v>
      </c>
      <c r="C522" s="23" t="s">
        <v>19</v>
      </c>
      <c r="D522" s="23" t="s">
        <v>170</v>
      </c>
      <c r="E522" s="24" t="s">
        <v>286</v>
      </c>
      <c r="F522" s="24" t="s">
        <v>287</v>
      </c>
      <c r="G522" s="25" t="s">
        <v>1448</v>
      </c>
      <c r="H522" s="26">
        <v>0.1883</v>
      </c>
      <c r="I522" s="26"/>
      <c r="J522" s="26"/>
      <c r="K522" s="25" t="s">
        <v>550</v>
      </c>
      <c r="L522" s="24" t="s">
        <v>512</v>
      </c>
      <c r="M522" s="27" t="s">
        <v>513</v>
      </c>
    </row>
    <row r="523" spans="1:13" ht="25.5" x14ac:dyDescent="0.25">
      <c r="A523" s="22">
        <v>2026</v>
      </c>
      <c r="B523" s="23" t="s">
        <v>237</v>
      </c>
      <c r="C523" s="23" t="s">
        <v>19</v>
      </c>
      <c r="D523" s="23" t="s">
        <v>909</v>
      </c>
      <c r="E523" s="24" t="s">
        <v>569</v>
      </c>
      <c r="F523" s="24" t="s">
        <v>353</v>
      </c>
      <c r="G523" s="25" t="s">
        <v>1449</v>
      </c>
      <c r="H523" s="26">
        <v>7.819</v>
      </c>
      <c r="I523" s="26"/>
      <c r="J523" s="26"/>
      <c r="K523" s="25" t="s">
        <v>550</v>
      </c>
      <c r="L523" s="24" t="s">
        <v>512</v>
      </c>
      <c r="M523" s="27" t="s">
        <v>513</v>
      </c>
    </row>
    <row r="524" spans="1:13" ht="25.5" x14ac:dyDescent="0.25">
      <c r="A524" s="22">
        <v>2026</v>
      </c>
      <c r="B524" s="23" t="s">
        <v>237</v>
      </c>
      <c r="C524" s="23" t="s">
        <v>19</v>
      </c>
      <c r="D524" s="23" t="s">
        <v>909</v>
      </c>
      <c r="E524" s="24" t="s">
        <v>569</v>
      </c>
      <c r="F524" s="24" t="s">
        <v>353</v>
      </c>
      <c r="G524" s="25" t="s">
        <v>1450</v>
      </c>
      <c r="H524" s="26">
        <v>0.55800000000000005</v>
      </c>
      <c r="I524" s="26"/>
      <c r="J524" s="26"/>
      <c r="K524" s="25" t="s">
        <v>550</v>
      </c>
      <c r="L524" s="24" t="s">
        <v>512</v>
      </c>
      <c r="M524" s="27" t="s">
        <v>513</v>
      </c>
    </row>
    <row r="525" spans="1:13" ht="25.5" x14ac:dyDescent="0.25">
      <c r="A525" s="22">
        <v>2026</v>
      </c>
      <c r="B525" s="23" t="s">
        <v>237</v>
      </c>
      <c r="C525" s="23" t="s">
        <v>19</v>
      </c>
      <c r="D525" s="23" t="s">
        <v>909</v>
      </c>
      <c r="E525" s="24" t="s">
        <v>569</v>
      </c>
      <c r="F525" s="24" t="s">
        <v>353</v>
      </c>
      <c r="G525" s="25" t="s">
        <v>1451</v>
      </c>
      <c r="H525" s="26">
        <v>6.3997500000000009</v>
      </c>
      <c r="I525" s="26"/>
      <c r="J525" s="26"/>
      <c r="K525" s="25" t="s">
        <v>550</v>
      </c>
      <c r="L525" s="24" t="s">
        <v>512</v>
      </c>
      <c r="M525" s="27" t="s">
        <v>513</v>
      </c>
    </row>
    <row r="526" spans="1:13" ht="25.5" x14ac:dyDescent="0.25">
      <c r="A526" s="22">
        <v>2026</v>
      </c>
      <c r="B526" s="23" t="s">
        <v>237</v>
      </c>
      <c r="C526" s="23" t="s">
        <v>19</v>
      </c>
      <c r="D526" s="23" t="s">
        <v>909</v>
      </c>
      <c r="E526" s="24" t="s">
        <v>569</v>
      </c>
      <c r="F526" s="24" t="s">
        <v>353</v>
      </c>
      <c r="G526" s="25" t="s">
        <v>1452</v>
      </c>
      <c r="H526" s="26">
        <v>0.83925000000000005</v>
      </c>
      <c r="I526" s="26"/>
      <c r="J526" s="26"/>
      <c r="K526" s="25" t="s">
        <v>550</v>
      </c>
      <c r="L526" s="24" t="s">
        <v>512</v>
      </c>
      <c r="M526" s="27" t="s">
        <v>513</v>
      </c>
    </row>
    <row r="527" spans="1:13" ht="25.5" x14ac:dyDescent="0.25">
      <c r="A527" s="22">
        <v>2026</v>
      </c>
      <c r="B527" s="23" t="s">
        <v>237</v>
      </c>
      <c r="C527" s="23" t="s">
        <v>19</v>
      </c>
      <c r="D527" s="23" t="s">
        <v>909</v>
      </c>
      <c r="E527" s="24" t="s">
        <v>569</v>
      </c>
      <c r="F527" s="24" t="s">
        <v>353</v>
      </c>
      <c r="G527" s="25" t="s">
        <v>1453</v>
      </c>
      <c r="H527" s="26">
        <v>2.7317499999999999</v>
      </c>
      <c r="I527" s="26"/>
      <c r="J527" s="26"/>
      <c r="K527" s="25" t="s">
        <v>550</v>
      </c>
      <c r="L527" s="24" t="s">
        <v>512</v>
      </c>
      <c r="M527" s="27" t="s">
        <v>513</v>
      </c>
    </row>
    <row r="528" spans="1:13" ht="25.5" x14ac:dyDescent="0.25">
      <c r="A528" s="22">
        <v>2026</v>
      </c>
      <c r="B528" s="23" t="s">
        <v>237</v>
      </c>
      <c r="C528" s="23" t="s">
        <v>19</v>
      </c>
      <c r="D528" s="23" t="s">
        <v>909</v>
      </c>
      <c r="E528" s="24" t="s">
        <v>569</v>
      </c>
      <c r="F528" s="24" t="s">
        <v>353</v>
      </c>
      <c r="G528" s="25" t="s">
        <v>1454</v>
      </c>
      <c r="H528" s="26">
        <v>5.2638000000000007</v>
      </c>
      <c r="I528" s="26"/>
      <c r="J528" s="26"/>
      <c r="K528" s="25" t="s">
        <v>550</v>
      </c>
      <c r="L528" s="24" t="s">
        <v>512</v>
      </c>
      <c r="M528" s="27" t="s">
        <v>513</v>
      </c>
    </row>
    <row r="529" spans="1:13" ht="25.5" x14ac:dyDescent="0.25">
      <c r="A529" s="22">
        <v>2026</v>
      </c>
      <c r="B529" s="23" t="s">
        <v>237</v>
      </c>
      <c r="C529" s="23" t="s">
        <v>19</v>
      </c>
      <c r="D529" s="23" t="s">
        <v>909</v>
      </c>
      <c r="E529" s="24" t="s">
        <v>569</v>
      </c>
      <c r="F529" s="24" t="s">
        <v>353</v>
      </c>
      <c r="G529" s="25" t="s">
        <v>1455</v>
      </c>
      <c r="H529" s="26">
        <v>1.881</v>
      </c>
      <c r="I529" s="26"/>
      <c r="J529" s="26"/>
      <c r="K529" s="25" t="s">
        <v>550</v>
      </c>
      <c r="L529" s="24" t="s">
        <v>512</v>
      </c>
      <c r="M529" s="27" t="s">
        <v>513</v>
      </c>
    </row>
    <row r="530" spans="1:13" ht="25.5" x14ac:dyDescent="0.25">
      <c r="A530" s="22">
        <v>2026</v>
      </c>
      <c r="B530" s="23" t="s">
        <v>237</v>
      </c>
      <c r="C530" s="23" t="s">
        <v>19</v>
      </c>
      <c r="D530" s="23" t="s">
        <v>909</v>
      </c>
      <c r="E530" s="24" t="s">
        <v>569</v>
      </c>
      <c r="F530" s="24" t="s">
        <v>353</v>
      </c>
      <c r="G530" s="25" t="s">
        <v>1456</v>
      </c>
      <c r="H530" s="26">
        <v>1.6326999999999998</v>
      </c>
      <c r="I530" s="26"/>
      <c r="J530" s="26"/>
      <c r="K530" s="25" t="s">
        <v>550</v>
      </c>
      <c r="L530" s="24" t="s">
        <v>512</v>
      </c>
      <c r="M530" s="27" t="s">
        <v>513</v>
      </c>
    </row>
    <row r="531" spans="1:13" ht="25.5" x14ac:dyDescent="0.25">
      <c r="A531" s="22">
        <v>2026</v>
      </c>
      <c r="B531" s="23" t="s">
        <v>237</v>
      </c>
      <c r="C531" s="23" t="s">
        <v>19</v>
      </c>
      <c r="D531" s="23" t="s">
        <v>915</v>
      </c>
      <c r="E531" s="24" t="s">
        <v>491</v>
      </c>
      <c r="F531" s="24" t="s">
        <v>319</v>
      </c>
      <c r="G531" s="25" t="s">
        <v>1457</v>
      </c>
      <c r="H531" s="26">
        <v>0.50600000000000001</v>
      </c>
      <c r="I531" s="26"/>
      <c r="J531" s="26"/>
      <c r="K531" s="25" t="s">
        <v>550</v>
      </c>
      <c r="L531" s="24" t="s">
        <v>521</v>
      </c>
      <c r="M531" s="27" t="s">
        <v>513</v>
      </c>
    </row>
    <row r="532" spans="1:13" ht="25.5" x14ac:dyDescent="0.25">
      <c r="A532" s="22">
        <v>2026</v>
      </c>
      <c r="B532" s="23" t="s">
        <v>237</v>
      </c>
      <c r="C532" s="23" t="s">
        <v>19</v>
      </c>
      <c r="D532" s="23" t="s">
        <v>915</v>
      </c>
      <c r="E532" s="24" t="s">
        <v>491</v>
      </c>
      <c r="F532" s="24" t="s">
        <v>319</v>
      </c>
      <c r="G532" s="25" t="s">
        <v>1457</v>
      </c>
      <c r="H532" s="26">
        <v>0.50600000000000001</v>
      </c>
      <c r="I532" s="26"/>
      <c r="J532" s="26"/>
      <c r="K532" s="25" t="s">
        <v>550</v>
      </c>
      <c r="L532" s="24" t="s">
        <v>521</v>
      </c>
      <c r="M532" s="27" t="s">
        <v>513</v>
      </c>
    </row>
    <row r="533" spans="1:13" ht="25.5" x14ac:dyDescent="0.25">
      <c r="A533" s="22">
        <v>2026</v>
      </c>
      <c r="B533" s="23" t="s">
        <v>237</v>
      </c>
      <c r="C533" s="23" t="s">
        <v>19</v>
      </c>
      <c r="D533" s="23" t="s">
        <v>915</v>
      </c>
      <c r="E533" s="24" t="s">
        <v>491</v>
      </c>
      <c r="F533" s="24" t="s">
        <v>319</v>
      </c>
      <c r="G533" s="25" t="s">
        <v>1458</v>
      </c>
      <c r="H533" s="26">
        <v>0.40479999999999999</v>
      </c>
      <c r="I533" s="26"/>
      <c r="J533" s="26"/>
      <c r="K533" s="25" t="s">
        <v>550</v>
      </c>
      <c r="L533" s="24" t="s">
        <v>521</v>
      </c>
      <c r="M533" s="27" t="s">
        <v>513</v>
      </c>
    </row>
    <row r="534" spans="1:13" ht="25.5" x14ac:dyDescent="0.25">
      <c r="A534" s="22">
        <v>2026</v>
      </c>
      <c r="B534" s="23" t="s">
        <v>237</v>
      </c>
      <c r="C534" s="23" t="s">
        <v>19</v>
      </c>
      <c r="D534" s="23" t="s">
        <v>915</v>
      </c>
      <c r="E534" s="24" t="s">
        <v>491</v>
      </c>
      <c r="F534" s="24" t="s">
        <v>319</v>
      </c>
      <c r="G534" s="25" t="s">
        <v>1459</v>
      </c>
      <c r="H534" s="26">
        <v>1.64775</v>
      </c>
      <c r="I534" s="26"/>
      <c r="J534" s="26"/>
      <c r="K534" s="25" t="s">
        <v>550</v>
      </c>
      <c r="L534" s="24" t="s">
        <v>521</v>
      </c>
      <c r="M534" s="27" t="s">
        <v>513</v>
      </c>
    </row>
    <row r="535" spans="1:13" ht="25.5" x14ac:dyDescent="0.25">
      <c r="A535" s="22">
        <v>2026</v>
      </c>
      <c r="B535" s="23" t="s">
        <v>237</v>
      </c>
      <c r="C535" s="23" t="s">
        <v>19</v>
      </c>
      <c r="D535" s="23" t="s">
        <v>915</v>
      </c>
      <c r="E535" s="24" t="s">
        <v>491</v>
      </c>
      <c r="F535" s="24" t="s">
        <v>319</v>
      </c>
      <c r="G535" s="25" t="s">
        <v>1460</v>
      </c>
      <c r="H535" s="26">
        <v>0.2545</v>
      </c>
      <c r="I535" s="26"/>
      <c r="J535" s="26"/>
      <c r="K535" s="25" t="s">
        <v>550</v>
      </c>
      <c r="L535" s="24" t="s">
        <v>521</v>
      </c>
      <c r="M535" s="27" t="s">
        <v>513</v>
      </c>
    </row>
    <row r="536" spans="1:13" ht="25.5" x14ac:dyDescent="0.25">
      <c r="A536" s="22">
        <v>2026</v>
      </c>
      <c r="B536" s="23" t="s">
        <v>237</v>
      </c>
      <c r="C536" s="23" t="s">
        <v>19</v>
      </c>
      <c r="D536" s="23" t="s">
        <v>927</v>
      </c>
      <c r="E536" s="24" t="s">
        <v>923</v>
      </c>
      <c r="F536" s="24" t="s">
        <v>325</v>
      </c>
      <c r="G536" s="25" t="s">
        <v>1461</v>
      </c>
      <c r="H536" s="26">
        <v>0.17252000000000001</v>
      </c>
      <c r="I536" s="26"/>
      <c r="J536" s="26"/>
      <c r="K536" s="25" t="s">
        <v>550</v>
      </c>
      <c r="L536" s="24" t="s">
        <v>521</v>
      </c>
      <c r="M536" s="27" t="s">
        <v>513</v>
      </c>
    </row>
    <row r="537" spans="1:13" ht="25.5" x14ac:dyDescent="0.25">
      <c r="A537" s="22">
        <v>2026</v>
      </c>
      <c r="B537" s="23" t="s">
        <v>237</v>
      </c>
      <c r="C537" s="23" t="s">
        <v>19</v>
      </c>
      <c r="D537" s="23" t="s">
        <v>927</v>
      </c>
      <c r="E537" s="24" t="s">
        <v>923</v>
      </c>
      <c r="F537" s="24" t="s">
        <v>325</v>
      </c>
      <c r="G537" s="25" t="s">
        <v>1462</v>
      </c>
      <c r="H537" s="26">
        <v>0.13300000000000001</v>
      </c>
      <c r="I537" s="26"/>
      <c r="J537" s="26"/>
      <c r="K537" s="25"/>
      <c r="L537" s="24" t="s">
        <v>512</v>
      </c>
      <c r="M537" s="27" t="s">
        <v>513</v>
      </c>
    </row>
    <row r="538" spans="1:13" ht="25.5" x14ac:dyDescent="0.25">
      <c r="A538" s="22">
        <v>2026</v>
      </c>
      <c r="B538" s="23" t="s">
        <v>237</v>
      </c>
      <c r="C538" s="23" t="s">
        <v>19</v>
      </c>
      <c r="D538" s="23" t="s">
        <v>933</v>
      </c>
      <c r="E538" s="24" t="s">
        <v>934</v>
      </c>
      <c r="F538" s="24" t="s">
        <v>301</v>
      </c>
      <c r="G538" s="25" t="s">
        <v>1463</v>
      </c>
      <c r="H538" s="26">
        <v>0.27276999999999996</v>
      </c>
      <c r="I538" s="26"/>
      <c r="J538" s="26"/>
      <c r="K538" s="25" t="s">
        <v>550</v>
      </c>
      <c r="L538" s="24" t="s">
        <v>521</v>
      </c>
      <c r="M538" s="27" t="s">
        <v>515</v>
      </c>
    </row>
    <row r="539" spans="1:13" ht="25.5" x14ac:dyDescent="0.25">
      <c r="A539" s="22">
        <v>2026</v>
      </c>
      <c r="B539" s="23" t="s">
        <v>237</v>
      </c>
      <c r="C539" s="23" t="s">
        <v>19</v>
      </c>
      <c r="D539" s="23" t="s">
        <v>933</v>
      </c>
      <c r="E539" s="24" t="s">
        <v>934</v>
      </c>
      <c r="F539" s="24" t="s">
        <v>301</v>
      </c>
      <c r="G539" s="25" t="s">
        <v>1464</v>
      </c>
      <c r="H539" s="26">
        <v>0.96199141499999985</v>
      </c>
      <c r="I539" s="26"/>
      <c r="J539" s="26"/>
      <c r="K539" s="25" t="s">
        <v>550</v>
      </c>
      <c r="L539" s="24" t="s">
        <v>521</v>
      </c>
      <c r="M539" s="27" t="s">
        <v>515</v>
      </c>
    </row>
    <row r="540" spans="1:13" ht="25.5" x14ac:dyDescent="0.25">
      <c r="A540" s="22">
        <v>2026</v>
      </c>
      <c r="B540" s="23" t="s">
        <v>237</v>
      </c>
      <c r="C540" s="23" t="s">
        <v>19</v>
      </c>
      <c r="D540" s="23" t="s">
        <v>936</v>
      </c>
      <c r="E540" s="24" t="s">
        <v>569</v>
      </c>
      <c r="F540" s="24" t="s">
        <v>937</v>
      </c>
      <c r="G540" s="25" t="s">
        <v>1465</v>
      </c>
      <c r="H540" s="26">
        <v>0.11717999999999999</v>
      </c>
      <c r="I540" s="26"/>
      <c r="J540" s="26"/>
      <c r="K540" s="25" t="s">
        <v>550</v>
      </c>
      <c r="L540" s="24" t="s">
        <v>512</v>
      </c>
      <c r="M540" s="27" t="s">
        <v>513</v>
      </c>
    </row>
    <row r="541" spans="1:13" ht="25.5" x14ac:dyDescent="0.25">
      <c r="A541" s="22">
        <v>2026</v>
      </c>
      <c r="B541" s="23" t="s">
        <v>237</v>
      </c>
      <c r="C541" s="23" t="s">
        <v>19</v>
      </c>
      <c r="D541" s="23" t="s">
        <v>936</v>
      </c>
      <c r="E541" s="24" t="s">
        <v>569</v>
      </c>
      <c r="F541" s="24" t="s">
        <v>937</v>
      </c>
      <c r="G541" s="25" t="s">
        <v>1466</v>
      </c>
      <c r="H541" s="26">
        <v>0.27550000000000002</v>
      </c>
      <c r="I541" s="26"/>
      <c r="J541" s="26"/>
      <c r="K541" s="25" t="s">
        <v>550</v>
      </c>
      <c r="L541" s="24" t="s">
        <v>521</v>
      </c>
      <c r="M541" s="27" t="s">
        <v>526</v>
      </c>
    </row>
    <row r="542" spans="1:13" ht="25.5" x14ac:dyDescent="0.25">
      <c r="A542" s="22">
        <v>2026</v>
      </c>
      <c r="B542" s="23" t="s">
        <v>237</v>
      </c>
      <c r="C542" s="23" t="s">
        <v>19</v>
      </c>
      <c r="D542" s="23" t="s">
        <v>936</v>
      </c>
      <c r="E542" s="24" t="s">
        <v>569</v>
      </c>
      <c r="F542" s="24" t="s">
        <v>937</v>
      </c>
      <c r="G542" s="25" t="s">
        <v>1467</v>
      </c>
      <c r="H542" s="26">
        <v>1.9738</v>
      </c>
      <c r="I542" s="26"/>
      <c r="J542" s="26"/>
      <c r="K542" s="25" t="s">
        <v>550</v>
      </c>
      <c r="L542" s="24" t="s">
        <v>521</v>
      </c>
      <c r="M542" s="27" t="s">
        <v>526</v>
      </c>
    </row>
    <row r="543" spans="1:13" ht="25.5" x14ac:dyDescent="0.25">
      <c r="A543" s="22">
        <v>2026</v>
      </c>
      <c r="B543" s="23" t="s">
        <v>237</v>
      </c>
      <c r="C543" s="23" t="s">
        <v>19</v>
      </c>
      <c r="D543" s="23" t="s">
        <v>936</v>
      </c>
      <c r="E543" s="24" t="s">
        <v>569</v>
      </c>
      <c r="F543" s="24" t="s">
        <v>937</v>
      </c>
      <c r="G543" s="25" t="s">
        <v>1468</v>
      </c>
      <c r="H543" s="26">
        <v>0.86624999999999996</v>
      </c>
      <c r="I543" s="26"/>
      <c r="J543" s="26"/>
      <c r="K543" s="25" t="s">
        <v>550</v>
      </c>
      <c r="L543" s="24" t="s">
        <v>521</v>
      </c>
      <c r="M543" s="27" t="s">
        <v>526</v>
      </c>
    </row>
    <row r="544" spans="1:13" ht="25.5" x14ac:dyDescent="0.25">
      <c r="A544" s="22">
        <v>2026</v>
      </c>
      <c r="B544" s="23" t="s">
        <v>237</v>
      </c>
      <c r="C544" s="23" t="s">
        <v>19</v>
      </c>
      <c r="D544" s="23" t="s">
        <v>936</v>
      </c>
      <c r="E544" s="24" t="s">
        <v>569</v>
      </c>
      <c r="F544" s="24" t="s">
        <v>937</v>
      </c>
      <c r="G544" s="25" t="s">
        <v>1469</v>
      </c>
      <c r="H544" s="26">
        <v>0.47425</v>
      </c>
      <c r="I544" s="26"/>
      <c r="J544" s="26"/>
      <c r="K544" s="25" t="s">
        <v>550</v>
      </c>
      <c r="L544" s="24" t="s">
        <v>521</v>
      </c>
      <c r="M544" s="27" t="s">
        <v>526</v>
      </c>
    </row>
    <row r="545" spans="1:13" ht="25.5" x14ac:dyDescent="0.25">
      <c r="A545" s="22">
        <v>2026</v>
      </c>
      <c r="B545" s="23" t="s">
        <v>237</v>
      </c>
      <c r="C545" s="23" t="s">
        <v>19</v>
      </c>
      <c r="D545" s="23" t="s">
        <v>936</v>
      </c>
      <c r="E545" s="24" t="s">
        <v>569</v>
      </c>
      <c r="F545" s="24" t="s">
        <v>937</v>
      </c>
      <c r="G545" s="25" t="s">
        <v>1470</v>
      </c>
      <c r="H545" s="26">
        <v>0.33100000000000002</v>
      </c>
      <c r="I545" s="26"/>
      <c r="J545" s="26"/>
      <c r="K545" s="25" t="s">
        <v>550</v>
      </c>
      <c r="L545" s="24" t="s">
        <v>521</v>
      </c>
      <c r="M545" s="27" t="s">
        <v>526</v>
      </c>
    </row>
    <row r="546" spans="1:13" ht="25.5" x14ac:dyDescent="0.25">
      <c r="A546" s="22">
        <v>2026</v>
      </c>
      <c r="B546" s="23" t="s">
        <v>237</v>
      </c>
      <c r="C546" s="23" t="s">
        <v>19</v>
      </c>
      <c r="D546" s="23" t="s">
        <v>936</v>
      </c>
      <c r="E546" s="24" t="s">
        <v>569</v>
      </c>
      <c r="F546" s="24" t="s">
        <v>937</v>
      </c>
      <c r="G546" s="25" t="s">
        <v>1471</v>
      </c>
      <c r="H546" s="26">
        <v>0.56437499999999996</v>
      </c>
      <c r="I546" s="26"/>
      <c r="J546" s="26"/>
      <c r="K546" s="25" t="s">
        <v>550</v>
      </c>
      <c r="L546" s="24" t="s">
        <v>521</v>
      </c>
      <c r="M546" s="27" t="s">
        <v>526</v>
      </c>
    </row>
    <row r="547" spans="1:13" ht="25.5" x14ac:dyDescent="0.25">
      <c r="A547" s="22">
        <v>2026</v>
      </c>
      <c r="B547" s="23" t="s">
        <v>237</v>
      </c>
      <c r="C547" s="23" t="s">
        <v>19</v>
      </c>
      <c r="D547" s="23" t="s">
        <v>936</v>
      </c>
      <c r="E547" s="24" t="s">
        <v>569</v>
      </c>
      <c r="F547" s="24" t="s">
        <v>937</v>
      </c>
      <c r="G547" s="25" t="s">
        <v>1472</v>
      </c>
      <c r="H547" s="26">
        <v>0.81299999999999994</v>
      </c>
      <c r="I547" s="26"/>
      <c r="J547" s="26"/>
      <c r="K547" s="25" t="s">
        <v>550</v>
      </c>
      <c r="L547" s="24" t="s">
        <v>521</v>
      </c>
      <c r="M547" s="27" t="s">
        <v>526</v>
      </c>
    </row>
    <row r="548" spans="1:13" ht="25.5" x14ac:dyDescent="0.25">
      <c r="A548" s="22">
        <v>2026</v>
      </c>
      <c r="B548" s="23" t="s">
        <v>237</v>
      </c>
      <c r="C548" s="23" t="s">
        <v>19</v>
      </c>
      <c r="D548" s="23" t="s">
        <v>936</v>
      </c>
      <c r="E548" s="24" t="s">
        <v>569</v>
      </c>
      <c r="F548" s="24" t="s">
        <v>937</v>
      </c>
      <c r="G548" s="25" t="s">
        <v>1473</v>
      </c>
      <c r="H548" s="26">
        <v>0.97475000000000001</v>
      </c>
      <c r="I548" s="26"/>
      <c r="J548" s="26"/>
      <c r="K548" s="25" t="s">
        <v>550</v>
      </c>
      <c r="L548" s="24" t="s">
        <v>521</v>
      </c>
      <c r="M548" s="27" t="s">
        <v>526</v>
      </c>
    </row>
    <row r="549" spans="1:13" ht="25.5" x14ac:dyDescent="0.25">
      <c r="A549" s="22">
        <v>2026</v>
      </c>
      <c r="B549" s="23" t="s">
        <v>237</v>
      </c>
      <c r="C549" s="23" t="s">
        <v>19</v>
      </c>
      <c r="D549" s="23" t="s">
        <v>936</v>
      </c>
      <c r="E549" s="24" t="s">
        <v>569</v>
      </c>
      <c r="F549" s="24" t="s">
        <v>937</v>
      </c>
      <c r="G549" s="25" t="s">
        <v>1474</v>
      </c>
      <c r="H549" s="26">
        <v>0.96074999999999999</v>
      </c>
      <c r="I549" s="26"/>
      <c r="J549" s="26"/>
      <c r="K549" s="25" t="s">
        <v>550</v>
      </c>
      <c r="L549" s="24" t="s">
        <v>521</v>
      </c>
      <c r="M549" s="27" t="s">
        <v>526</v>
      </c>
    </row>
    <row r="550" spans="1:13" ht="25.5" x14ac:dyDescent="0.25">
      <c r="A550" s="22">
        <v>2026</v>
      </c>
      <c r="B550" s="23" t="s">
        <v>237</v>
      </c>
      <c r="C550" s="23" t="s">
        <v>19</v>
      </c>
      <c r="D550" s="23" t="s">
        <v>936</v>
      </c>
      <c r="E550" s="24" t="s">
        <v>569</v>
      </c>
      <c r="F550" s="24" t="s">
        <v>937</v>
      </c>
      <c r="G550" s="25" t="s">
        <v>1475</v>
      </c>
      <c r="H550" s="26">
        <v>0.79372500000000001</v>
      </c>
      <c r="I550" s="26"/>
      <c r="J550" s="26"/>
      <c r="K550" s="25" t="s">
        <v>550</v>
      </c>
      <c r="L550" s="24" t="s">
        <v>521</v>
      </c>
      <c r="M550" s="27" t="s">
        <v>526</v>
      </c>
    </row>
    <row r="551" spans="1:13" ht="25.5" x14ac:dyDescent="0.25">
      <c r="A551" s="22">
        <v>2026</v>
      </c>
      <c r="B551" s="23" t="s">
        <v>237</v>
      </c>
      <c r="C551" s="23" t="s">
        <v>19</v>
      </c>
      <c r="D551" s="23" t="s">
        <v>936</v>
      </c>
      <c r="E551" s="24" t="s">
        <v>569</v>
      </c>
      <c r="F551" s="24" t="s">
        <v>937</v>
      </c>
      <c r="G551" s="25" t="s">
        <v>1476</v>
      </c>
      <c r="H551" s="26">
        <v>1.34</v>
      </c>
      <c r="I551" s="26"/>
      <c r="J551" s="26"/>
      <c r="K551" s="25" t="s">
        <v>550</v>
      </c>
      <c r="L551" s="24" t="s">
        <v>521</v>
      </c>
      <c r="M551" s="27" t="s">
        <v>526</v>
      </c>
    </row>
    <row r="552" spans="1:13" ht="25.5" x14ac:dyDescent="0.25">
      <c r="A552" s="22">
        <v>2026</v>
      </c>
      <c r="B552" s="23" t="s">
        <v>237</v>
      </c>
      <c r="C552" s="23" t="s">
        <v>19</v>
      </c>
      <c r="D552" s="23" t="s">
        <v>936</v>
      </c>
      <c r="E552" s="24" t="s">
        <v>569</v>
      </c>
      <c r="F552" s="24" t="s">
        <v>937</v>
      </c>
      <c r="G552" s="25" t="s">
        <v>1477</v>
      </c>
      <c r="H552" s="26">
        <v>0.4824</v>
      </c>
      <c r="I552" s="26"/>
      <c r="J552" s="26"/>
      <c r="K552" s="25" t="s">
        <v>550</v>
      </c>
      <c r="L552" s="24" t="s">
        <v>521</v>
      </c>
      <c r="M552" s="27" t="s">
        <v>526</v>
      </c>
    </row>
    <row r="553" spans="1:13" ht="25.5" x14ac:dyDescent="0.25">
      <c r="A553" s="22">
        <v>2026</v>
      </c>
      <c r="B553" s="23" t="s">
        <v>237</v>
      </c>
      <c r="C553" s="23" t="s">
        <v>19</v>
      </c>
      <c r="D553" s="23" t="s">
        <v>936</v>
      </c>
      <c r="E553" s="24" t="s">
        <v>569</v>
      </c>
      <c r="F553" s="24" t="s">
        <v>937</v>
      </c>
      <c r="G553" s="25" t="s">
        <v>1478</v>
      </c>
      <c r="H553" s="26">
        <v>0.89419999999999999</v>
      </c>
      <c r="I553" s="26"/>
      <c r="J553" s="26"/>
      <c r="K553" s="25" t="s">
        <v>550</v>
      </c>
      <c r="L553" s="24" t="s">
        <v>521</v>
      </c>
      <c r="M553" s="27" t="s">
        <v>526</v>
      </c>
    </row>
    <row r="554" spans="1:13" ht="25.5" x14ac:dyDescent="0.25">
      <c r="A554" s="22">
        <v>2026</v>
      </c>
      <c r="B554" s="23" t="s">
        <v>237</v>
      </c>
      <c r="C554" s="23" t="s">
        <v>19</v>
      </c>
      <c r="D554" s="23" t="s">
        <v>936</v>
      </c>
      <c r="E554" s="24" t="s">
        <v>569</v>
      </c>
      <c r="F554" s="24" t="s">
        <v>937</v>
      </c>
      <c r="G554" s="25" t="s">
        <v>1479</v>
      </c>
      <c r="H554" s="26">
        <v>0.78000000000000014</v>
      </c>
      <c r="I554" s="26"/>
      <c r="J554" s="26"/>
      <c r="K554" s="25" t="s">
        <v>550</v>
      </c>
      <c r="L554" s="24" t="s">
        <v>521</v>
      </c>
      <c r="M554" s="27" t="s">
        <v>526</v>
      </c>
    </row>
    <row r="555" spans="1:13" ht="25.5" x14ac:dyDescent="0.25">
      <c r="A555" s="22">
        <v>2026</v>
      </c>
      <c r="B555" s="23" t="s">
        <v>237</v>
      </c>
      <c r="C555" s="23" t="s">
        <v>19</v>
      </c>
      <c r="D555" s="23" t="s">
        <v>952</v>
      </c>
      <c r="E555" s="24" t="s">
        <v>334</v>
      </c>
      <c r="F555" s="24" t="s">
        <v>319</v>
      </c>
      <c r="G555" s="25" t="s">
        <v>1480</v>
      </c>
      <c r="H555" s="26">
        <v>0.34844000000000003</v>
      </c>
      <c r="I555" s="26"/>
      <c r="J555" s="26"/>
      <c r="K555" s="25" t="s">
        <v>550</v>
      </c>
      <c r="L555" s="24" t="s">
        <v>521</v>
      </c>
      <c r="M555" s="27" t="s">
        <v>513</v>
      </c>
    </row>
    <row r="556" spans="1:13" ht="25.5" x14ac:dyDescent="0.25">
      <c r="A556" s="22">
        <v>2026</v>
      </c>
      <c r="B556" s="23" t="s">
        <v>237</v>
      </c>
      <c r="C556" s="23" t="s">
        <v>19</v>
      </c>
      <c r="D556" s="23" t="s">
        <v>952</v>
      </c>
      <c r="E556" s="24" t="s">
        <v>334</v>
      </c>
      <c r="F556" s="24" t="s">
        <v>319</v>
      </c>
      <c r="G556" s="25" t="s">
        <v>1481</v>
      </c>
      <c r="H556" s="26">
        <v>0.34495999999999999</v>
      </c>
      <c r="I556" s="26"/>
      <c r="J556" s="26"/>
      <c r="K556" s="25" t="s">
        <v>550</v>
      </c>
      <c r="L556" s="24" t="s">
        <v>521</v>
      </c>
      <c r="M556" s="27" t="s">
        <v>513</v>
      </c>
    </row>
    <row r="557" spans="1:13" ht="25.5" x14ac:dyDescent="0.25">
      <c r="A557" s="22">
        <v>2026</v>
      </c>
      <c r="B557" s="23" t="s">
        <v>237</v>
      </c>
      <c r="C557" s="23" t="s">
        <v>19</v>
      </c>
      <c r="D557" s="23" t="s">
        <v>952</v>
      </c>
      <c r="E557" s="24" t="s">
        <v>334</v>
      </c>
      <c r="F557" s="24" t="s">
        <v>319</v>
      </c>
      <c r="G557" s="25" t="s">
        <v>1482</v>
      </c>
      <c r="H557" s="26">
        <v>0.47443000000000002</v>
      </c>
      <c r="I557" s="26"/>
      <c r="J557" s="26"/>
      <c r="K557" s="25" t="s">
        <v>550</v>
      </c>
      <c r="L557" s="24" t="s">
        <v>521</v>
      </c>
      <c r="M557" s="27" t="s">
        <v>513</v>
      </c>
    </row>
    <row r="558" spans="1:13" ht="25.5" x14ac:dyDescent="0.25">
      <c r="A558" s="22">
        <v>2026</v>
      </c>
      <c r="B558" s="23" t="s">
        <v>237</v>
      </c>
      <c r="C558" s="23" t="s">
        <v>19</v>
      </c>
      <c r="D558" s="23" t="s">
        <v>952</v>
      </c>
      <c r="E558" s="24" t="s">
        <v>334</v>
      </c>
      <c r="F558" s="24" t="s">
        <v>319</v>
      </c>
      <c r="G558" s="25" t="s">
        <v>1483</v>
      </c>
      <c r="H558" s="26">
        <v>0.17252000000000001</v>
      </c>
      <c r="I558" s="26"/>
      <c r="J558" s="26"/>
      <c r="K558" s="25" t="s">
        <v>550</v>
      </c>
      <c r="L558" s="24" t="s">
        <v>521</v>
      </c>
      <c r="M558" s="27" t="s">
        <v>513</v>
      </c>
    </row>
    <row r="559" spans="1:13" ht="25.5" x14ac:dyDescent="0.25">
      <c r="A559" s="22">
        <v>2026</v>
      </c>
      <c r="B559" s="23" t="s">
        <v>237</v>
      </c>
      <c r="C559" s="23" t="s">
        <v>19</v>
      </c>
      <c r="D559" s="23" t="s">
        <v>952</v>
      </c>
      <c r="E559" s="24" t="s">
        <v>334</v>
      </c>
      <c r="F559" s="24" t="s">
        <v>319</v>
      </c>
      <c r="G559" s="25" t="s">
        <v>1484</v>
      </c>
      <c r="H559" s="26">
        <v>0.25879500000000005</v>
      </c>
      <c r="I559" s="26"/>
      <c r="J559" s="26"/>
      <c r="K559" s="25" t="s">
        <v>550</v>
      </c>
      <c r="L559" s="24" t="s">
        <v>521</v>
      </c>
      <c r="M559" s="27" t="s">
        <v>513</v>
      </c>
    </row>
    <row r="560" spans="1:13" ht="25.5" x14ac:dyDescent="0.25">
      <c r="A560" s="22">
        <v>2026</v>
      </c>
      <c r="B560" s="23" t="s">
        <v>237</v>
      </c>
      <c r="C560" s="23" t="s">
        <v>19</v>
      </c>
      <c r="D560" s="23" t="s">
        <v>952</v>
      </c>
      <c r="E560" s="24" t="s">
        <v>334</v>
      </c>
      <c r="F560" s="24" t="s">
        <v>319</v>
      </c>
      <c r="G560" s="25" t="s">
        <v>1485</v>
      </c>
      <c r="H560" s="26">
        <v>0.51765000000000005</v>
      </c>
      <c r="I560" s="26"/>
      <c r="J560" s="26"/>
      <c r="K560" s="25" t="s">
        <v>550</v>
      </c>
      <c r="L560" s="24" t="s">
        <v>521</v>
      </c>
      <c r="M560" s="27" t="s">
        <v>513</v>
      </c>
    </row>
    <row r="561" spans="1:13" ht="25.5" x14ac:dyDescent="0.25">
      <c r="A561" s="22">
        <v>2026</v>
      </c>
      <c r="B561" s="23" t="s">
        <v>237</v>
      </c>
      <c r="C561" s="23" t="s">
        <v>19</v>
      </c>
      <c r="D561" s="23" t="s">
        <v>952</v>
      </c>
      <c r="E561" s="24" t="s">
        <v>334</v>
      </c>
      <c r="F561" s="24" t="s">
        <v>319</v>
      </c>
      <c r="G561" s="25" t="s">
        <v>1486</v>
      </c>
      <c r="H561" s="26">
        <v>0.34558</v>
      </c>
      <c r="I561" s="26"/>
      <c r="J561" s="26"/>
      <c r="K561" s="25" t="s">
        <v>550</v>
      </c>
      <c r="L561" s="24" t="s">
        <v>521</v>
      </c>
      <c r="M561" s="27" t="s">
        <v>513</v>
      </c>
    </row>
    <row r="562" spans="1:13" ht="25.5" x14ac:dyDescent="0.25">
      <c r="A562" s="22">
        <v>2026</v>
      </c>
      <c r="B562" s="23" t="s">
        <v>237</v>
      </c>
      <c r="C562" s="23" t="s">
        <v>19</v>
      </c>
      <c r="D562" s="23" t="s">
        <v>952</v>
      </c>
      <c r="E562" s="24" t="s">
        <v>334</v>
      </c>
      <c r="F562" s="24" t="s">
        <v>319</v>
      </c>
      <c r="G562" s="25" t="s">
        <v>1487</v>
      </c>
      <c r="H562" s="26">
        <v>0.43267499999999998</v>
      </c>
      <c r="I562" s="26"/>
      <c r="J562" s="26"/>
      <c r="K562" s="25" t="s">
        <v>550</v>
      </c>
      <c r="L562" s="24" t="s">
        <v>521</v>
      </c>
      <c r="M562" s="27" t="s">
        <v>513</v>
      </c>
    </row>
    <row r="563" spans="1:13" ht="25.5" x14ac:dyDescent="0.25">
      <c r="A563" s="22">
        <v>2026</v>
      </c>
      <c r="B563" s="23" t="s">
        <v>237</v>
      </c>
      <c r="C563" s="23" t="s">
        <v>19</v>
      </c>
      <c r="D563" s="23" t="s">
        <v>952</v>
      </c>
      <c r="E563" s="24" t="s">
        <v>334</v>
      </c>
      <c r="F563" s="24" t="s">
        <v>319</v>
      </c>
      <c r="G563" s="25" t="s">
        <v>1488</v>
      </c>
      <c r="H563" s="26">
        <v>0.43347499999999989</v>
      </c>
      <c r="I563" s="26"/>
      <c r="J563" s="26"/>
      <c r="K563" s="25" t="s">
        <v>550</v>
      </c>
      <c r="L563" s="24" t="s">
        <v>521</v>
      </c>
      <c r="M563" s="27" t="s">
        <v>513</v>
      </c>
    </row>
    <row r="564" spans="1:13" ht="25.5" x14ac:dyDescent="0.25">
      <c r="A564" s="22">
        <v>2026</v>
      </c>
      <c r="B564" s="23" t="s">
        <v>237</v>
      </c>
      <c r="C564" s="23" t="s">
        <v>19</v>
      </c>
      <c r="D564" s="23" t="s">
        <v>952</v>
      </c>
      <c r="E564" s="24" t="s">
        <v>334</v>
      </c>
      <c r="F564" s="24" t="s">
        <v>319</v>
      </c>
      <c r="G564" s="25" t="s">
        <v>1489</v>
      </c>
      <c r="H564" s="26">
        <v>0.17344999999999999</v>
      </c>
      <c r="I564" s="26"/>
      <c r="J564" s="26"/>
      <c r="K564" s="25" t="s">
        <v>550</v>
      </c>
      <c r="L564" s="24" t="s">
        <v>521</v>
      </c>
      <c r="M564" s="27" t="s">
        <v>513</v>
      </c>
    </row>
    <row r="565" spans="1:13" ht="25.5" x14ac:dyDescent="0.25">
      <c r="A565" s="22">
        <v>2026</v>
      </c>
      <c r="B565" s="23" t="s">
        <v>237</v>
      </c>
      <c r="C565" s="23" t="s">
        <v>19</v>
      </c>
      <c r="D565" s="23" t="s">
        <v>952</v>
      </c>
      <c r="E565" s="24" t="s">
        <v>334</v>
      </c>
      <c r="F565" s="24" t="s">
        <v>319</v>
      </c>
      <c r="G565" s="25" t="s">
        <v>1490</v>
      </c>
      <c r="H565" s="26">
        <v>2.0825999999999998</v>
      </c>
      <c r="I565" s="26"/>
      <c r="J565" s="26"/>
      <c r="K565" s="25" t="s">
        <v>550</v>
      </c>
      <c r="L565" s="24" t="s">
        <v>521</v>
      </c>
      <c r="M565" s="27" t="s">
        <v>513</v>
      </c>
    </row>
    <row r="566" spans="1:13" ht="25.5" x14ac:dyDescent="0.25">
      <c r="A566" s="22">
        <v>2026</v>
      </c>
      <c r="B566" s="23" t="s">
        <v>237</v>
      </c>
      <c r="C566" s="23" t="s">
        <v>19</v>
      </c>
      <c r="D566" s="23" t="s">
        <v>952</v>
      </c>
      <c r="E566" s="24" t="s">
        <v>334</v>
      </c>
      <c r="F566" s="24" t="s">
        <v>319</v>
      </c>
      <c r="G566" s="25" t="s">
        <v>1491</v>
      </c>
      <c r="H566" s="26">
        <v>0.26049</v>
      </c>
      <c r="I566" s="26"/>
      <c r="J566" s="26"/>
      <c r="K566" s="25" t="s">
        <v>550</v>
      </c>
      <c r="L566" s="24" t="s">
        <v>521</v>
      </c>
      <c r="M566" s="27" t="s">
        <v>513</v>
      </c>
    </row>
    <row r="567" spans="1:13" ht="25.5" x14ac:dyDescent="0.25">
      <c r="A567" s="22">
        <v>2026</v>
      </c>
      <c r="B567" s="23" t="s">
        <v>237</v>
      </c>
      <c r="C567" s="23" t="s">
        <v>19</v>
      </c>
      <c r="D567" s="23" t="s">
        <v>952</v>
      </c>
      <c r="E567" s="24" t="s">
        <v>334</v>
      </c>
      <c r="F567" s="24" t="s">
        <v>319</v>
      </c>
      <c r="G567" s="25" t="s">
        <v>1492</v>
      </c>
      <c r="H567" s="26">
        <v>0.87090000000000001</v>
      </c>
      <c r="I567" s="26"/>
      <c r="J567" s="26"/>
      <c r="K567" s="25" t="s">
        <v>550</v>
      </c>
      <c r="L567" s="24" t="s">
        <v>521</v>
      </c>
      <c r="M567" s="27" t="s">
        <v>513</v>
      </c>
    </row>
    <row r="568" spans="1:13" ht="25.5" x14ac:dyDescent="0.25">
      <c r="A568" s="22">
        <v>2026</v>
      </c>
      <c r="B568" s="23" t="s">
        <v>237</v>
      </c>
      <c r="C568" s="23" t="s">
        <v>19</v>
      </c>
      <c r="D568" s="23" t="s">
        <v>952</v>
      </c>
      <c r="E568" s="24" t="s">
        <v>334</v>
      </c>
      <c r="F568" s="24" t="s">
        <v>319</v>
      </c>
      <c r="G568" s="25" t="s">
        <v>1493</v>
      </c>
      <c r="H568" s="26">
        <v>0.17405000000000001</v>
      </c>
      <c r="I568" s="26"/>
      <c r="J568" s="26"/>
      <c r="K568" s="25" t="s">
        <v>550</v>
      </c>
      <c r="L568" s="24" t="s">
        <v>521</v>
      </c>
      <c r="M568" s="27" t="s">
        <v>513</v>
      </c>
    </row>
    <row r="569" spans="1:13" ht="25.5" x14ac:dyDescent="0.25">
      <c r="A569" s="22">
        <v>2026</v>
      </c>
      <c r="B569" s="23" t="s">
        <v>237</v>
      </c>
      <c r="C569" s="23" t="s">
        <v>19</v>
      </c>
      <c r="D569" s="23" t="s">
        <v>952</v>
      </c>
      <c r="E569" s="24" t="s">
        <v>334</v>
      </c>
      <c r="F569" s="24" t="s">
        <v>319</v>
      </c>
      <c r="G569" s="25" t="s">
        <v>1494</v>
      </c>
      <c r="H569" s="26">
        <v>0.65287499999999987</v>
      </c>
      <c r="I569" s="26"/>
      <c r="J569" s="26"/>
      <c r="K569" s="25" t="s">
        <v>550</v>
      </c>
      <c r="L569" s="24" t="s">
        <v>521</v>
      </c>
      <c r="M569" s="27" t="s">
        <v>513</v>
      </c>
    </row>
    <row r="570" spans="1:13" ht="25.5" x14ac:dyDescent="0.25">
      <c r="A570" s="22">
        <v>2026</v>
      </c>
      <c r="B570" s="23" t="s">
        <v>237</v>
      </c>
      <c r="C570" s="23" t="s">
        <v>19</v>
      </c>
      <c r="D570" s="23" t="s">
        <v>978</v>
      </c>
      <c r="E570" s="24" t="s">
        <v>979</v>
      </c>
      <c r="F570" s="24" t="s">
        <v>343</v>
      </c>
      <c r="G570" s="25" t="s">
        <v>1495</v>
      </c>
      <c r="H570" s="26">
        <v>0.10397499999999998</v>
      </c>
      <c r="I570" s="26"/>
      <c r="J570" s="26"/>
      <c r="K570" s="25" t="s">
        <v>550</v>
      </c>
      <c r="L570" s="24" t="s">
        <v>512</v>
      </c>
      <c r="M570" s="27" t="s">
        <v>513</v>
      </c>
    </row>
    <row r="571" spans="1:13" ht="25.5" x14ac:dyDescent="0.25">
      <c r="A571" s="22">
        <v>2026</v>
      </c>
      <c r="B571" s="23" t="s">
        <v>237</v>
      </c>
      <c r="C571" s="23" t="s">
        <v>19</v>
      </c>
      <c r="D571" s="23" t="s">
        <v>208</v>
      </c>
      <c r="E571" s="24" t="s">
        <v>382</v>
      </c>
      <c r="F571" s="24" t="s">
        <v>343</v>
      </c>
      <c r="G571" s="25" t="s">
        <v>1496</v>
      </c>
      <c r="H571" s="26">
        <v>0.27675</v>
      </c>
      <c r="I571" s="26"/>
      <c r="J571" s="26"/>
      <c r="K571" s="25" t="s">
        <v>550</v>
      </c>
      <c r="L571" s="24" t="s">
        <v>514</v>
      </c>
      <c r="M571" s="27" t="s">
        <v>513</v>
      </c>
    </row>
    <row r="572" spans="1:13" ht="25.5" x14ac:dyDescent="0.25">
      <c r="A572" s="22">
        <v>2026</v>
      </c>
      <c r="B572" s="23" t="s">
        <v>237</v>
      </c>
      <c r="C572" s="23" t="s">
        <v>19</v>
      </c>
      <c r="D572" s="23" t="s">
        <v>208</v>
      </c>
      <c r="E572" s="24" t="s">
        <v>382</v>
      </c>
      <c r="F572" s="24" t="s">
        <v>343</v>
      </c>
      <c r="G572" s="25" t="s">
        <v>1497</v>
      </c>
      <c r="H572" s="26">
        <v>0.12914999999999999</v>
      </c>
      <c r="I572" s="26"/>
      <c r="J572" s="26"/>
      <c r="K572" s="25" t="s">
        <v>550</v>
      </c>
      <c r="L572" s="24" t="s">
        <v>514</v>
      </c>
      <c r="M572" s="27" t="s">
        <v>513</v>
      </c>
    </row>
    <row r="573" spans="1:13" ht="25.5" x14ac:dyDescent="0.25">
      <c r="A573" s="22">
        <v>2026</v>
      </c>
      <c r="B573" s="23" t="s">
        <v>237</v>
      </c>
      <c r="C573" s="23" t="s">
        <v>19</v>
      </c>
      <c r="D573" s="23" t="s">
        <v>984</v>
      </c>
      <c r="E573" s="24" t="s">
        <v>985</v>
      </c>
      <c r="F573" s="24" t="s">
        <v>343</v>
      </c>
      <c r="G573" s="25" t="s">
        <v>1498</v>
      </c>
      <c r="H573" s="26">
        <v>0.40157500000000002</v>
      </c>
      <c r="I573" s="26"/>
      <c r="J573" s="26"/>
      <c r="K573" s="25" t="s">
        <v>550</v>
      </c>
      <c r="L573" s="24" t="s">
        <v>512</v>
      </c>
      <c r="M573" s="27" t="s">
        <v>513</v>
      </c>
    </row>
    <row r="574" spans="1:13" ht="25.5" x14ac:dyDescent="0.25">
      <c r="A574" s="22">
        <v>2026</v>
      </c>
      <c r="B574" s="23" t="s">
        <v>237</v>
      </c>
      <c r="C574" s="23" t="s">
        <v>19</v>
      </c>
      <c r="D574" s="23" t="s">
        <v>984</v>
      </c>
      <c r="E574" s="24" t="s">
        <v>985</v>
      </c>
      <c r="F574" s="24" t="s">
        <v>343</v>
      </c>
      <c r="G574" s="25" t="s">
        <v>1499</v>
      </c>
      <c r="H574" s="26">
        <v>0.31989999999999996</v>
      </c>
      <c r="I574" s="26"/>
      <c r="J574" s="26"/>
      <c r="K574" s="25" t="s">
        <v>550</v>
      </c>
      <c r="L574" s="24" t="s">
        <v>512</v>
      </c>
      <c r="M574" s="27" t="s">
        <v>513</v>
      </c>
    </row>
    <row r="575" spans="1:13" ht="25.5" x14ac:dyDescent="0.25">
      <c r="A575" s="22">
        <v>2026</v>
      </c>
      <c r="B575" s="23" t="s">
        <v>237</v>
      </c>
      <c r="C575" s="23" t="s">
        <v>19</v>
      </c>
      <c r="D575" s="23" t="s">
        <v>984</v>
      </c>
      <c r="E575" s="24" t="s">
        <v>985</v>
      </c>
      <c r="F575" s="24" t="s">
        <v>343</v>
      </c>
      <c r="G575" s="25" t="s">
        <v>1500</v>
      </c>
      <c r="H575" s="26">
        <v>0.20432750000000002</v>
      </c>
      <c r="I575" s="26"/>
      <c r="J575" s="26"/>
      <c r="K575" s="25" t="s">
        <v>550</v>
      </c>
      <c r="L575" s="24" t="s">
        <v>512</v>
      </c>
      <c r="M575" s="27" t="s">
        <v>513</v>
      </c>
    </row>
    <row r="576" spans="1:13" ht="25.5" x14ac:dyDescent="0.25">
      <c r="A576" s="22">
        <v>2026</v>
      </c>
      <c r="B576" s="23" t="s">
        <v>237</v>
      </c>
      <c r="C576" s="23" t="s">
        <v>19</v>
      </c>
      <c r="D576" s="23" t="s">
        <v>984</v>
      </c>
      <c r="E576" s="24" t="s">
        <v>985</v>
      </c>
      <c r="F576" s="24" t="s">
        <v>343</v>
      </c>
      <c r="G576" s="25" t="s">
        <v>1501</v>
      </c>
      <c r="H576" s="26">
        <v>1.8978599999999999</v>
      </c>
      <c r="I576" s="26"/>
      <c r="J576" s="26"/>
      <c r="K576" s="25" t="s">
        <v>550</v>
      </c>
      <c r="L576" s="24" t="s">
        <v>512</v>
      </c>
      <c r="M576" s="27" t="s">
        <v>513</v>
      </c>
    </row>
    <row r="577" spans="1:13" ht="25.5" x14ac:dyDescent="0.25">
      <c r="A577" s="22">
        <v>2026</v>
      </c>
      <c r="B577" s="23" t="s">
        <v>237</v>
      </c>
      <c r="C577" s="23" t="s">
        <v>19</v>
      </c>
      <c r="D577" s="23" t="s">
        <v>984</v>
      </c>
      <c r="E577" s="24" t="s">
        <v>985</v>
      </c>
      <c r="F577" s="24" t="s">
        <v>343</v>
      </c>
      <c r="G577" s="25" t="s">
        <v>1502</v>
      </c>
      <c r="H577" s="26">
        <v>0.361238</v>
      </c>
      <c r="I577" s="26"/>
      <c r="J577" s="26"/>
      <c r="K577" s="25" t="s">
        <v>550</v>
      </c>
      <c r="L577" s="24" t="s">
        <v>512</v>
      </c>
      <c r="M577" s="27" t="s">
        <v>513</v>
      </c>
    </row>
    <row r="578" spans="1:13" ht="25.5" x14ac:dyDescent="0.25">
      <c r="A578" s="22">
        <v>2026</v>
      </c>
      <c r="B578" s="23" t="s">
        <v>237</v>
      </c>
      <c r="C578" s="23" t="s">
        <v>19</v>
      </c>
      <c r="D578" s="23" t="s">
        <v>984</v>
      </c>
      <c r="E578" s="24" t="s">
        <v>985</v>
      </c>
      <c r="F578" s="24" t="s">
        <v>343</v>
      </c>
      <c r="G578" s="25" t="s">
        <v>1503</v>
      </c>
      <c r="H578" s="26">
        <v>0.34326600000000002</v>
      </c>
      <c r="I578" s="26"/>
      <c r="J578" s="26"/>
      <c r="K578" s="25" t="s">
        <v>550</v>
      </c>
      <c r="L578" s="24" t="s">
        <v>512</v>
      </c>
      <c r="M578" s="27" t="s">
        <v>513</v>
      </c>
    </row>
    <row r="579" spans="1:13" ht="25.5" x14ac:dyDescent="0.25">
      <c r="A579" s="22">
        <v>2026</v>
      </c>
      <c r="B579" s="23" t="s">
        <v>237</v>
      </c>
      <c r="C579" s="23" t="s">
        <v>19</v>
      </c>
      <c r="D579" s="23" t="s">
        <v>984</v>
      </c>
      <c r="E579" s="24" t="s">
        <v>985</v>
      </c>
      <c r="F579" s="24" t="s">
        <v>343</v>
      </c>
      <c r="G579" s="25" t="s">
        <v>1504</v>
      </c>
      <c r="H579" s="26">
        <v>0.46460999999999997</v>
      </c>
      <c r="I579" s="26"/>
      <c r="J579" s="26"/>
      <c r="K579" s="25" t="s">
        <v>550</v>
      </c>
      <c r="L579" s="24" t="s">
        <v>512</v>
      </c>
      <c r="M579" s="27" t="s">
        <v>513</v>
      </c>
    </row>
    <row r="580" spans="1:13" ht="25.5" x14ac:dyDescent="0.25">
      <c r="A580" s="22">
        <v>2026</v>
      </c>
      <c r="B580" s="23" t="s">
        <v>237</v>
      </c>
      <c r="C580" s="23" t="s">
        <v>19</v>
      </c>
      <c r="D580" s="23" t="s">
        <v>984</v>
      </c>
      <c r="E580" s="24" t="s">
        <v>985</v>
      </c>
      <c r="F580" s="24" t="s">
        <v>343</v>
      </c>
      <c r="G580" s="25" t="s">
        <v>1505</v>
      </c>
      <c r="H580" s="26">
        <v>0.24984800000000001</v>
      </c>
      <c r="I580" s="26"/>
      <c r="J580" s="26"/>
      <c r="K580" s="25" t="s">
        <v>550</v>
      </c>
      <c r="L580" s="24" t="s">
        <v>512</v>
      </c>
      <c r="M580" s="27" t="s">
        <v>513</v>
      </c>
    </row>
    <row r="581" spans="1:13" ht="25.5" x14ac:dyDescent="0.25">
      <c r="A581" s="22">
        <v>2026</v>
      </c>
      <c r="B581" s="23" t="s">
        <v>237</v>
      </c>
      <c r="C581" s="23" t="s">
        <v>19</v>
      </c>
      <c r="D581" s="23" t="s">
        <v>984</v>
      </c>
      <c r="E581" s="24" t="s">
        <v>985</v>
      </c>
      <c r="F581" s="24" t="s">
        <v>343</v>
      </c>
      <c r="G581" s="25" t="s">
        <v>1506</v>
      </c>
      <c r="H581" s="26">
        <v>0.465555</v>
      </c>
      <c r="I581" s="26"/>
      <c r="J581" s="26"/>
      <c r="K581" s="25" t="s">
        <v>550</v>
      </c>
      <c r="L581" s="24" t="s">
        <v>512</v>
      </c>
      <c r="M581" s="27" t="s">
        <v>513</v>
      </c>
    </row>
    <row r="582" spans="1:13" ht="25.5" x14ac:dyDescent="0.25">
      <c r="A582" s="22">
        <v>2026</v>
      </c>
      <c r="B582" s="23" t="s">
        <v>237</v>
      </c>
      <c r="C582" s="23" t="s">
        <v>19</v>
      </c>
      <c r="D582" s="23" t="s">
        <v>984</v>
      </c>
      <c r="E582" s="24" t="s">
        <v>985</v>
      </c>
      <c r="F582" s="24" t="s">
        <v>343</v>
      </c>
      <c r="G582" s="25" t="s">
        <v>1507</v>
      </c>
      <c r="H582" s="26">
        <v>0.15410499999999999</v>
      </c>
      <c r="I582" s="26"/>
      <c r="J582" s="26"/>
      <c r="K582" s="25" t="s">
        <v>550</v>
      </c>
      <c r="L582" s="24" t="s">
        <v>512</v>
      </c>
      <c r="M582" s="27" t="s">
        <v>513</v>
      </c>
    </row>
    <row r="583" spans="1:13" ht="25.5" x14ac:dyDescent="0.25">
      <c r="A583" s="22">
        <v>2026</v>
      </c>
      <c r="B583" s="23" t="s">
        <v>237</v>
      </c>
      <c r="C583" s="23" t="s">
        <v>19</v>
      </c>
      <c r="D583" s="23" t="s">
        <v>984</v>
      </c>
      <c r="E583" s="24" t="s">
        <v>985</v>
      </c>
      <c r="F583" s="24" t="s">
        <v>343</v>
      </c>
      <c r="G583" s="25" t="s">
        <v>1508</v>
      </c>
      <c r="H583" s="26">
        <v>1.0823050000000001</v>
      </c>
      <c r="I583" s="26"/>
      <c r="J583" s="26"/>
      <c r="K583" s="25" t="s">
        <v>550</v>
      </c>
      <c r="L583" s="24" t="s">
        <v>512</v>
      </c>
      <c r="M583" s="27" t="s">
        <v>513</v>
      </c>
    </row>
    <row r="584" spans="1:13" ht="25.5" x14ac:dyDescent="0.25">
      <c r="A584" s="22">
        <v>2026</v>
      </c>
      <c r="B584" s="23" t="s">
        <v>237</v>
      </c>
      <c r="C584" s="23" t="s">
        <v>19</v>
      </c>
      <c r="D584" s="23" t="s">
        <v>984</v>
      </c>
      <c r="E584" s="24" t="s">
        <v>985</v>
      </c>
      <c r="F584" s="24" t="s">
        <v>343</v>
      </c>
      <c r="G584" s="25" t="s">
        <v>1509</v>
      </c>
      <c r="H584" s="26">
        <v>0.30767000000000005</v>
      </c>
      <c r="I584" s="26"/>
      <c r="J584" s="26"/>
      <c r="K584" s="25" t="s">
        <v>550</v>
      </c>
      <c r="L584" s="24" t="s">
        <v>512</v>
      </c>
      <c r="M584" s="27" t="s">
        <v>513</v>
      </c>
    </row>
    <row r="585" spans="1:13" ht="25.5" x14ac:dyDescent="0.25">
      <c r="A585" s="22">
        <v>2026</v>
      </c>
      <c r="B585" s="23" t="s">
        <v>237</v>
      </c>
      <c r="C585" s="23" t="s">
        <v>19</v>
      </c>
      <c r="D585" s="23" t="s">
        <v>988</v>
      </c>
      <c r="E585" s="24" t="s">
        <v>318</v>
      </c>
      <c r="F585" s="24" t="s">
        <v>301</v>
      </c>
      <c r="G585" s="25" t="s">
        <v>1510</v>
      </c>
      <c r="H585" s="26">
        <v>1.0925</v>
      </c>
      <c r="I585" s="26"/>
      <c r="J585" s="26"/>
      <c r="K585" s="25" t="s">
        <v>550</v>
      </c>
      <c r="L585" s="24" t="s">
        <v>514</v>
      </c>
      <c r="M585" s="27" t="s">
        <v>513</v>
      </c>
    </row>
    <row r="586" spans="1:13" ht="25.5" x14ac:dyDescent="0.25">
      <c r="A586" s="22">
        <v>2026</v>
      </c>
      <c r="B586" s="23" t="s">
        <v>237</v>
      </c>
      <c r="C586" s="23" t="s">
        <v>19</v>
      </c>
      <c r="D586" s="23" t="s">
        <v>988</v>
      </c>
      <c r="E586" s="24" t="s">
        <v>318</v>
      </c>
      <c r="F586" s="24" t="s">
        <v>301</v>
      </c>
      <c r="G586" s="25" t="s">
        <v>1511</v>
      </c>
      <c r="H586" s="26">
        <v>5.4764999999999997</v>
      </c>
      <c r="I586" s="26"/>
      <c r="J586" s="26"/>
      <c r="K586" s="25" t="s">
        <v>550</v>
      </c>
      <c r="L586" s="24" t="s">
        <v>514</v>
      </c>
      <c r="M586" s="27" t="s">
        <v>513</v>
      </c>
    </row>
    <row r="587" spans="1:13" ht="25.5" x14ac:dyDescent="0.25">
      <c r="A587" s="22">
        <v>2026</v>
      </c>
      <c r="B587" s="23" t="s">
        <v>237</v>
      </c>
      <c r="C587" s="23" t="s">
        <v>19</v>
      </c>
      <c r="D587" s="23" t="s">
        <v>988</v>
      </c>
      <c r="E587" s="24" t="s">
        <v>318</v>
      </c>
      <c r="F587" s="24" t="s">
        <v>301</v>
      </c>
      <c r="G587" s="25" t="s">
        <v>1512</v>
      </c>
      <c r="H587" s="26">
        <v>17.532799999999998</v>
      </c>
      <c r="I587" s="26"/>
      <c r="J587" s="26"/>
      <c r="K587" s="25" t="s">
        <v>550</v>
      </c>
      <c r="L587" s="24" t="s">
        <v>514</v>
      </c>
      <c r="M587" s="27" t="s">
        <v>513</v>
      </c>
    </row>
    <row r="588" spans="1:13" ht="25.5" x14ac:dyDescent="0.25">
      <c r="A588" s="22">
        <v>2026</v>
      </c>
      <c r="B588" s="23" t="s">
        <v>237</v>
      </c>
      <c r="C588" s="23" t="s">
        <v>19</v>
      </c>
      <c r="D588" s="23" t="s">
        <v>988</v>
      </c>
      <c r="E588" s="24" t="s">
        <v>318</v>
      </c>
      <c r="F588" s="24" t="s">
        <v>301</v>
      </c>
      <c r="G588" s="25" t="s">
        <v>1513</v>
      </c>
      <c r="H588" s="26">
        <v>1.0959000000000001</v>
      </c>
      <c r="I588" s="26"/>
      <c r="J588" s="26"/>
      <c r="K588" s="25" t="s">
        <v>550</v>
      </c>
      <c r="L588" s="24" t="s">
        <v>514</v>
      </c>
      <c r="M588" s="27" t="s">
        <v>513</v>
      </c>
    </row>
    <row r="589" spans="1:13" ht="25.5" x14ac:dyDescent="0.25">
      <c r="A589" s="22">
        <v>2026</v>
      </c>
      <c r="B589" s="23" t="s">
        <v>237</v>
      </c>
      <c r="C589" s="23" t="s">
        <v>19</v>
      </c>
      <c r="D589" s="23" t="s">
        <v>181</v>
      </c>
      <c r="E589" s="24" t="s">
        <v>318</v>
      </c>
      <c r="F589" s="24" t="s">
        <v>319</v>
      </c>
      <c r="G589" s="25" t="s">
        <v>1514</v>
      </c>
      <c r="H589" s="26">
        <v>0.8599</v>
      </c>
      <c r="I589" s="26"/>
      <c r="J589" s="26"/>
      <c r="K589" s="25" t="s">
        <v>550</v>
      </c>
      <c r="L589" s="24" t="s">
        <v>514</v>
      </c>
      <c r="M589" s="27" t="s">
        <v>513</v>
      </c>
    </row>
    <row r="590" spans="1:13" ht="25.5" x14ac:dyDescent="0.25">
      <c r="A590" s="22">
        <v>2026</v>
      </c>
      <c r="B590" s="23" t="s">
        <v>237</v>
      </c>
      <c r="C590" s="23" t="s">
        <v>19</v>
      </c>
      <c r="D590" s="23" t="s">
        <v>181</v>
      </c>
      <c r="E590" s="24" t="s">
        <v>318</v>
      </c>
      <c r="F590" s="24" t="s">
        <v>319</v>
      </c>
      <c r="G590" s="25" t="s">
        <v>1515</v>
      </c>
      <c r="H590" s="26">
        <v>0.86040000000000005</v>
      </c>
      <c r="I590" s="26"/>
      <c r="J590" s="26"/>
      <c r="K590" s="25" t="s">
        <v>550</v>
      </c>
      <c r="L590" s="24" t="s">
        <v>514</v>
      </c>
      <c r="M590" s="27" t="s">
        <v>513</v>
      </c>
    </row>
    <row r="591" spans="1:13" ht="25.5" x14ac:dyDescent="0.25">
      <c r="A591" s="22">
        <v>2026</v>
      </c>
      <c r="B591" s="23" t="s">
        <v>237</v>
      </c>
      <c r="C591" s="23" t="s">
        <v>19</v>
      </c>
      <c r="D591" s="23" t="s">
        <v>181</v>
      </c>
      <c r="E591" s="24" t="s">
        <v>318</v>
      </c>
      <c r="F591" s="24" t="s">
        <v>319</v>
      </c>
      <c r="G591" s="25" t="s">
        <v>1516</v>
      </c>
      <c r="H591" s="26">
        <v>1.2263147665</v>
      </c>
      <c r="I591" s="26"/>
      <c r="J591" s="26"/>
      <c r="K591" s="25" t="s">
        <v>550</v>
      </c>
      <c r="L591" s="24" t="s">
        <v>514</v>
      </c>
      <c r="M591" s="27" t="s">
        <v>513</v>
      </c>
    </row>
    <row r="592" spans="1:13" ht="25.5" x14ac:dyDescent="0.25">
      <c r="A592" s="22">
        <v>2026</v>
      </c>
      <c r="B592" s="23" t="s">
        <v>237</v>
      </c>
      <c r="C592" s="23" t="s">
        <v>19</v>
      </c>
      <c r="D592" s="23" t="s">
        <v>181</v>
      </c>
      <c r="E592" s="24" t="s">
        <v>318</v>
      </c>
      <c r="F592" s="24" t="s">
        <v>319</v>
      </c>
      <c r="G592" s="25" t="s">
        <v>1517</v>
      </c>
      <c r="H592" s="26">
        <v>6.3220522500000001E-2</v>
      </c>
      <c r="I592" s="26"/>
      <c r="J592" s="26"/>
      <c r="K592" s="25" t="s">
        <v>550</v>
      </c>
      <c r="L592" s="24" t="s">
        <v>514</v>
      </c>
      <c r="M592" s="27" t="s">
        <v>513</v>
      </c>
    </row>
    <row r="593" spans="1:13" ht="25.5" x14ac:dyDescent="0.25">
      <c r="A593" s="22">
        <v>2026</v>
      </c>
      <c r="B593" s="23" t="s">
        <v>237</v>
      </c>
      <c r="C593" s="23" t="s">
        <v>90</v>
      </c>
      <c r="D593" s="23" t="s">
        <v>1273</v>
      </c>
      <c r="E593" s="24" t="s">
        <v>369</v>
      </c>
      <c r="F593" s="24" t="s">
        <v>1274</v>
      </c>
      <c r="G593" s="25" t="s">
        <v>1518</v>
      </c>
      <c r="H593" s="26">
        <v>0.40875</v>
      </c>
      <c r="I593" s="26"/>
      <c r="J593" s="26"/>
      <c r="K593" s="25" t="s">
        <v>550</v>
      </c>
      <c r="L593" s="24" t="s">
        <v>512</v>
      </c>
      <c r="M593" s="27" t="s">
        <v>513</v>
      </c>
    </row>
    <row r="594" spans="1:13" ht="25.5" x14ac:dyDescent="0.25">
      <c r="A594" s="22">
        <v>2026</v>
      </c>
      <c r="B594" s="23" t="s">
        <v>237</v>
      </c>
      <c r="C594" s="23" t="s">
        <v>90</v>
      </c>
      <c r="D594" s="23" t="s">
        <v>1273</v>
      </c>
      <c r="E594" s="24" t="s">
        <v>369</v>
      </c>
      <c r="F594" s="24" t="s">
        <v>1274</v>
      </c>
      <c r="G594" s="25" t="s">
        <v>1519</v>
      </c>
      <c r="H594" s="26">
        <v>0.11717999999999999</v>
      </c>
      <c r="I594" s="26"/>
      <c r="J594" s="26"/>
      <c r="K594" s="25" t="s">
        <v>550</v>
      </c>
      <c r="L594" s="24" t="s">
        <v>512</v>
      </c>
      <c r="M594" s="27" t="s">
        <v>513</v>
      </c>
    </row>
    <row r="595" spans="1:13" ht="25.5" x14ac:dyDescent="0.25">
      <c r="A595" s="22">
        <v>2026</v>
      </c>
      <c r="B595" s="23" t="s">
        <v>237</v>
      </c>
      <c r="C595" s="23" t="s">
        <v>90</v>
      </c>
      <c r="D595" s="23" t="s">
        <v>1273</v>
      </c>
      <c r="E595" s="24" t="s">
        <v>369</v>
      </c>
      <c r="F595" s="24" t="s">
        <v>1274</v>
      </c>
      <c r="G595" s="25" t="s">
        <v>1520</v>
      </c>
      <c r="H595" s="26">
        <v>0.16405199999999998</v>
      </c>
      <c r="I595" s="26"/>
      <c r="J595" s="26"/>
      <c r="K595" s="25" t="s">
        <v>550</v>
      </c>
      <c r="L595" s="24" t="s">
        <v>512</v>
      </c>
      <c r="M595" s="27" t="s">
        <v>513</v>
      </c>
    </row>
    <row r="596" spans="1:13" ht="25.5" x14ac:dyDescent="0.25">
      <c r="A596" s="22">
        <v>2026</v>
      </c>
      <c r="B596" s="23" t="s">
        <v>237</v>
      </c>
      <c r="C596" s="23" t="s">
        <v>90</v>
      </c>
      <c r="D596" s="23" t="s">
        <v>1273</v>
      </c>
      <c r="E596" s="24" t="s">
        <v>369</v>
      </c>
      <c r="F596" s="24" t="s">
        <v>1274</v>
      </c>
      <c r="G596" s="25" t="s">
        <v>1521</v>
      </c>
      <c r="H596" s="26">
        <v>0.17134000000000002</v>
      </c>
      <c r="I596" s="26"/>
      <c r="J596" s="26"/>
      <c r="K596" s="25" t="s">
        <v>550</v>
      </c>
      <c r="L596" s="24" t="s">
        <v>512</v>
      </c>
      <c r="M596" s="27" t="s">
        <v>513</v>
      </c>
    </row>
    <row r="597" spans="1:13" ht="25.5" x14ac:dyDescent="0.25">
      <c r="A597" s="22">
        <v>2026</v>
      </c>
      <c r="B597" s="23" t="s">
        <v>237</v>
      </c>
      <c r="C597" s="23" t="s">
        <v>90</v>
      </c>
      <c r="D597" s="23" t="s">
        <v>1273</v>
      </c>
      <c r="E597" s="24" t="s">
        <v>369</v>
      </c>
      <c r="F597" s="24" t="s">
        <v>1274</v>
      </c>
      <c r="G597" s="25" t="s">
        <v>1522</v>
      </c>
      <c r="H597" s="26">
        <v>0.74883750000000004</v>
      </c>
      <c r="I597" s="26"/>
      <c r="J597" s="26"/>
      <c r="K597" s="25" t="s">
        <v>550</v>
      </c>
      <c r="L597" s="24" t="s">
        <v>512</v>
      </c>
      <c r="M597" s="27" t="s">
        <v>513</v>
      </c>
    </row>
    <row r="598" spans="1:13" ht="25.5" x14ac:dyDescent="0.25">
      <c r="A598" s="22">
        <v>2026</v>
      </c>
      <c r="B598" s="23" t="s">
        <v>237</v>
      </c>
      <c r="C598" s="23" t="s">
        <v>90</v>
      </c>
      <c r="D598" s="23" t="s">
        <v>1273</v>
      </c>
      <c r="E598" s="24" t="s">
        <v>369</v>
      </c>
      <c r="F598" s="24" t="s">
        <v>1274</v>
      </c>
      <c r="G598" s="25" t="s">
        <v>1523</v>
      </c>
      <c r="H598" s="26">
        <v>0.48618</v>
      </c>
      <c r="I598" s="26"/>
      <c r="J598" s="26"/>
      <c r="K598" s="25" t="s">
        <v>550</v>
      </c>
      <c r="L598" s="24" t="s">
        <v>512</v>
      </c>
      <c r="M598" s="27" t="s">
        <v>513</v>
      </c>
    </row>
    <row r="599" spans="1:13" ht="25.5" x14ac:dyDescent="0.25">
      <c r="A599" s="22">
        <v>2026</v>
      </c>
      <c r="B599" s="23" t="s">
        <v>237</v>
      </c>
      <c r="C599" s="23" t="s">
        <v>90</v>
      </c>
      <c r="D599" s="23" t="s">
        <v>1273</v>
      </c>
      <c r="E599" s="24" t="s">
        <v>369</v>
      </c>
      <c r="F599" s="24" t="s">
        <v>1274</v>
      </c>
      <c r="G599" s="25" t="s">
        <v>1524</v>
      </c>
      <c r="H599" s="26">
        <v>0.40094999999999997</v>
      </c>
      <c r="I599" s="26"/>
      <c r="J599" s="26"/>
      <c r="K599" s="25" t="s">
        <v>550</v>
      </c>
      <c r="L599" s="24" t="s">
        <v>512</v>
      </c>
      <c r="M599" s="27" t="s">
        <v>513</v>
      </c>
    </row>
    <row r="600" spans="1:13" ht="25.5" x14ac:dyDescent="0.25">
      <c r="A600" s="22">
        <v>2026</v>
      </c>
      <c r="B600" s="23" t="s">
        <v>237</v>
      </c>
      <c r="C600" s="23" t="s">
        <v>90</v>
      </c>
      <c r="D600" s="23" t="s">
        <v>1273</v>
      </c>
      <c r="E600" s="24" t="s">
        <v>369</v>
      </c>
      <c r="F600" s="24" t="s">
        <v>1274</v>
      </c>
      <c r="G600" s="25" t="s">
        <v>1525</v>
      </c>
      <c r="H600" s="26">
        <v>0.4615499999999999</v>
      </c>
      <c r="I600" s="26"/>
      <c r="J600" s="26"/>
      <c r="K600" s="25" t="s">
        <v>550</v>
      </c>
      <c r="L600" s="24" t="s">
        <v>512</v>
      </c>
      <c r="M600" s="27" t="s">
        <v>513</v>
      </c>
    </row>
    <row r="601" spans="1:13" ht="25.5" x14ac:dyDescent="0.25">
      <c r="A601" s="22">
        <v>2026</v>
      </c>
      <c r="B601" s="23" t="s">
        <v>237</v>
      </c>
      <c r="C601" s="23" t="s">
        <v>90</v>
      </c>
      <c r="D601" s="23" t="s">
        <v>1273</v>
      </c>
      <c r="E601" s="24" t="s">
        <v>369</v>
      </c>
      <c r="F601" s="24" t="s">
        <v>1274</v>
      </c>
      <c r="G601" s="25" t="s">
        <v>1526</v>
      </c>
      <c r="H601" s="26">
        <v>0.13605</v>
      </c>
      <c r="I601" s="26"/>
      <c r="J601" s="26"/>
      <c r="K601" s="25" t="s">
        <v>550</v>
      </c>
      <c r="L601" s="24" t="s">
        <v>512</v>
      </c>
      <c r="M601" s="27" t="s">
        <v>513</v>
      </c>
    </row>
    <row r="602" spans="1:13" ht="25.5" x14ac:dyDescent="0.25">
      <c r="A602" s="22">
        <v>2026</v>
      </c>
      <c r="B602" s="23" t="s">
        <v>237</v>
      </c>
      <c r="C602" s="23" t="s">
        <v>90</v>
      </c>
      <c r="D602" s="23" t="s">
        <v>1273</v>
      </c>
      <c r="E602" s="24" t="s">
        <v>369</v>
      </c>
      <c r="F602" s="24" t="s">
        <v>1274</v>
      </c>
      <c r="G602" s="25" t="s">
        <v>1527</v>
      </c>
      <c r="H602" s="26">
        <v>0.88010000000000022</v>
      </c>
      <c r="I602" s="26"/>
      <c r="J602" s="26"/>
      <c r="K602" s="25" t="s">
        <v>550</v>
      </c>
      <c r="L602" s="24" t="s">
        <v>512</v>
      </c>
      <c r="M602" s="27" t="s">
        <v>513</v>
      </c>
    </row>
    <row r="603" spans="1:13" ht="25.5" x14ac:dyDescent="0.25">
      <c r="A603" s="22">
        <v>2026</v>
      </c>
      <c r="B603" s="23" t="s">
        <v>237</v>
      </c>
      <c r="C603" s="23" t="s">
        <v>90</v>
      </c>
      <c r="D603" s="23" t="s">
        <v>1273</v>
      </c>
      <c r="E603" s="24" t="s">
        <v>369</v>
      </c>
      <c r="F603" s="24" t="s">
        <v>1274</v>
      </c>
      <c r="G603" s="25" t="s">
        <v>1528</v>
      </c>
      <c r="H603" s="26">
        <v>1.232775</v>
      </c>
      <c r="I603" s="26"/>
      <c r="J603" s="26"/>
      <c r="K603" s="25" t="s">
        <v>550</v>
      </c>
      <c r="L603" s="24" t="s">
        <v>512</v>
      </c>
      <c r="M603" s="27" t="s">
        <v>513</v>
      </c>
    </row>
    <row r="604" spans="1:13" ht="25.5" x14ac:dyDescent="0.25">
      <c r="A604" s="22">
        <v>2026</v>
      </c>
      <c r="B604" s="23" t="s">
        <v>237</v>
      </c>
      <c r="C604" s="23" t="s">
        <v>90</v>
      </c>
      <c r="D604" s="23" t="s">
        <v>1273</v>
      </c>
      <c r="E604" s="24" t="s">
        <v>369</v>
      </c>
      <c r="F604" s="24" t="s">
        <v>1274</v>
      </c>
      <c r="G604" s="25" t="s">
        <v>1529</v>
      </c>
      <c r="H604" s="26">
        <v>9.604E-2</v>
      </c>
      <c r="I604" s="26"/>
      <c r="J604" s="26"/>
      <c r="K604" s="25" t="s">
        <v>550</v>
      </c>
      <c r="L604" s="24" t="s">
        <v>512</v>
      </c>
      <c r="M604" s="27" t="s">
        <v>513</v>
      </c>
    </row>
    <row r="605" spans="1:13" ht="25.5" x14ac:dyDescent="0.25">
      <c r="A605" s="22">
        <v>2026</v>
      </c>
      <c r="B605" s="23" t="s">
        <v>237</v>
      </c>
      <c r="C605" s="23" t="s">
        <v>90</v>
      </c>
      <c r="D605" s="23" t="s">
        <v>1273</v>
      </c>
      <c r="E605" s="24" t="s">
        <v>369</v>
      </c>
      <c r="F605" s="24" t="s">
        <v>1274</v>
      </c>
      <c r="G605" s="25" t="s">
        <v>1530</v>
      </c>
      <c r="H605" s="26">
        <v>0.13502500000000001</v>
      </c>
      <c r="I605" s="26"/>
      <c r="J605" s="26"/>
      <c r="K605" s="25" t="s">
        <v>550</v>
      </c>
      <c r="L605" s="24" t="s">
        <v>512</v>
      </c>
      <c r="M605" s="27" t="s">
        <v>513</v>
      </c>
    </row>
    <row r="606" spans="1:13" ht="25.5" x14ac:dyDescent="0.25">
      <c r="A606" s="22">
        <v>2026</v>
      </c>
      <c r="B606" s="23" t="s">
        <v>237</v>
      </c>
      <c r="C606" s="23" t="s">
        <v>90</v>
      </c>
      <c r="D606" s="23" t="s">
        <v>1273</v>
      </c>
      <c r="E606" s="24" t="s">
        <v>369</v>
      </c>
      <c r="F606" s="24" t="s">
        <v>1274</v>
      </c>
      <c r="G606" s="25" t="s">
        <v>1518</v>
      </c>
      <c r="H606" s="26">
        <v>0.40875</v>
      </c>
      <c r="I606" s="26"/>
      <c r="J606" s="26"/>
      <c r="K606" s="25" t="s">
        <v>550</v>
      </c>
      <c r="L606" s="24" t="s">
        <v>512</v>
      </c>
      <c r="M606" s="27" t="s">
        <v>513</v>
      </c>
    </row>
    <row r="607" spans="1:13" ht="25.5" x14ac:dyDescent="0.25">
      <c r="A607" s="22">
        <v>2026</v>
      </c>
      <c r="B607" s="23" t="s">
        <v>237</v>
      </c>
      <c r="C607" s="23" t="s">
        <v>90</v>
      </c>
      <c r="D607" s="23" t="s">
        <v>1273</v>
      </c>
      <c r="E607" s="24" t="s">
        <v>369</v>
      </c>
      <c r="F607" s="24" t="s">
        <v>1274</v>
      </c>
      <c r="G607" s="25" t="s">
        <v>1531</v>
      </c>
      <c r="H607" s="26">
        <v>0.27400000000000002</v>
      </c>
      <c r="I607" s="26"/>
      <c r="J607" s="26"/>
      <c r="K607" s="25" t="s">
        <v>550</v>
      </c>
      <c r="L607" s="24" t="s">
        <v>512</v>
      </c>
      <c r="M607" s="27" t="s">
        <v>513</v>
      </c>
    </row>
    <row r="608" spans="1:13" ht="25.5" x14ac:dyDescent="0.25">
      <c r="A608" s="22">
        <v>2026</v>
      </c>
      <c r="B608" s="23" t="s">
        <v>237</v>
      </c>
      <c r="C608" s="23" t="s">
        <v>90</v>
      </c>
      <c r="D608" s="23" t="s">
        <v>1273</v>
      </c>
      <c r="E608" s="24" t="s">
        <v>369</v>
      </c>
      <c r="F608" s="24" t="s">
        <v>1274</v>
      </c>
      <c r="G608" s="25" t="s">
        <v>1532</v>
      </c>
      <c r="H608" s="26">
        <v>0.27300000000000002</v>
      </c>
      <c r="I608" s="26"/>
      <c r="J608" s="26"/>
      <c r="K608" s="25" t="s">
        <v>550</v>
      </c>
      <c r="L608" s="24" t="s">
        <v>512</v>
      </c>
      <c r="M608" s="27" t="s">
        <v>513</v>
      </c>
    </row>
    <row r="609" spans="1:13" ht="25.5" x14ac:dyDescent="0.25">
      <c r="A609" s="22">
        <v>2026</v>
      </c>
      <c r="B609" s="23" t="s">
        <v>237</v>
      </c>
      <c r="C609" s="23" t="s">
        <v>90</v>
      </c>
      <c r="D609" s="23" t="s">
        <v>202</v>
      </c>
      <c r="E609" s="24" t="s">
        <v>369</v>
      </c>
      <c r="F609" s="24" t="s">
        <v>287</v>
      </c>
      <c r="G609" s="25" t="s">
        <v>1533</v>
      </c>
      <c r="H609" s="26">
        <v>0.19130000000000003</v>
      </c>
      <c r="I609" s="26"/>
      <c r="J609" s="26"/>
      <c r="K609" s="25" t="s">
        <v>550</v>
      </c>
      <c r="L609" s="24" t="s">
        <v>512</v>
      </c>
      <c r="M609" s="27" t="s">
        <v>513</v>
      </c>
    </row>
    <row r="610" spans="1:13" ht="25.5" x14ac:dyDescent="0.25">
      <c r="A610" s="22">
        <v>2026</v>
      </c>
      <c r="B610" s="23" t="s">
        <v>237</v>
      </c>
      <c r="C610" s="23" t="s">
        <v>90</v>
      </c>
      <c r="D610" s="23" t="s">
        <v>202</v>
      </c>
      <c r="E610" s="24" t="s">
        <v>369</v>
      </c>
      <c r="F610" s="24" t="s">
        <v>287</v>
      </c>
      <c r="G610" s="25" t="s">
        <v>1534</v>
      </c>
      <c r="H610" s="26">
        <v>9.5500000000000002E-2</v>
      </c>
      <c r="I610" s="26"/>
      <c r="J610" s="26"/>
      <c r="K610" s="25" t="s">
        <v>550</v>
      </c>
      <c r="L610" s="24" t="s">
        <v>512</v>
      </c>
      <c r="M610" s="27" t="s">
        <v>513</v>
      </c>
    </row>
    <row r="611" spans="1:13" ht="25.5" x14ac:dyDescent="0.25">
      <c r="A611" s="22">
        <v>2026</v>
      </c>
      <c r="B611" s="23" t="s">
        <v>237</v>
      </c>
      <c r="C611" s="23" t="s">
        <v>90</v>
      </c>
      <c r="D611" s="23" t="s">
        <v>1018</v>
      </c>
      <c r="E611" s="24" t="s">
        <v>923</v>
      </c>
      <c r="F611" s="24" t="s">
        <v>353</v>
      </c>
      <c r="G611" s="25" t="s">
        <v>1535</v>
      </c>
      <c r="H611" s="26">
        <v>0.171075</v>
      </c>
      <c r="I611" s="26"/>
      <c r="J611" s="26"/>
      <c r="K611" s="25"/>
      <c r="L611" s="24" t="s">
        <v>512</v>
      </c>
      <c r="M611" s="27" t="s">
        <v>513</v>
      </c>
    </row>
    <row r="612" spans="1:13" ht="25.5" x14ac:dyDescent="0.25">
      <c r="A612" s="22">
        <v>2026</v>
      </c>
      <c r="B612" s="23" t="s">
        <v>237</v>
      </c>
      <c r="C612" s="23" t="s">
        <v>90</v>
      </c>
      <c r="D612" s="23" t="s">
        <v>219</v>
      </c>
      <c r="E612" s="24" t="s">
        <v>403</v>
      </c>
      <c r="F612" s="24" t="s">
        <v>319</v>
      </c>
      <c r="G612" s="25" t="s">
        <v>1536</v>
      </c>
      <c r="H612" s="26">
        <v>0.28897499999999998</v>
      </c>
      <c r="I612" s="26"/>
      <c r="J612" s="26"/>
      <c r="K612" s="25" t="s">
        <v>550</v>
      </c>
      <c r="L612" s="24" t="s">
        <v>512</v>
      </c>
      <c r="M612" s="27" t="s">
        <v>513</v>
      </c>
    </row>
    <row r="613" spans="1:13" ht="25.5" x14ac:dyDescent="0.25">
      <c r="A613" s="22">
        <v>2026</v>
      </c>
      <c r="B613" s="23" t="s">
        <v>237</v>
      </c>
      <c r="C613" s="23" t="s">
        <v>90</v>
      </c>
      <c r="D613" s="23" t="s">
        <v>219</v>
      </c>
      <c r="E613" s="24" t="s">
        <v>403</v>
      </c>
      <c r="F613" s="24" t="s">
        <v>319</v>
      </c>
      <c r="G613" s="25" t="s">
        <v>1537</v>
      </c>
      <c r="H613" s="26">
        <v>0.28897499999999998</v>
      </c>
      <c r="I613" s="26"/>
      <c r="J613" s="26"/>
      <c r="K613" s="25" t="s">
        <v>550</v>
      </c>
      <c r="L613" s="24" t="s">
        <v>512</v>
      </c>
      <c r="M613" s="27" t="s">
        <v>513</v>
      </c>
    </row>
    <row r="614" spans="1:13" ht="25.5" x14ac:dyDescent="0.25">
      <c r="A614" s="22">
        <v>2026</v>
      </c>
      <c r="B614" s="23" t="s">
        <v>237</v>
      </c>
      <c r="C614" s="23" t="s">
        <v>90</v>
      </c>
      <c r="D614" s="23" t="s">
        <v>219</v>
      </c>
      <c r="E614" s="24" t="s">
        <v>403</v>
      </c>
      <c r="F614" s="24" t="s">
        <v>319</v>
      </c>
      <c r="G614" s="25" t="s">
        <v>1538</v>
      </c>
      <c r="H614" s="26">
        <v>0.87097500000000005</v>
      </c>
      <c r="I614" s="26"/>
      <c r="J614" s="26"/>
      <c r="K614" s="25" t="s">
        <v>550</v>
      </c>
      <c r="L614" s="24" t="s">
        <v>512</v>
      </c>
      <c r="M614" s="27" t="s">
        <v>513</v>
      </c>
    </row>
    <row r="615" spans="1:13" ht="25.5" x14ac:dyDescent="0.25">
      <c r="A615" s="22">
        <v>2026</v>
      </c>
      <c r="B615" s="23" t="s">
        <v>237</v>
      </c>
      <c r="C615" s="23" t="s">
        <v>90</v>
      </c>
      <c r="D615" s="23" t="s">
        <v>1143</v>
      </c>
      <c r="E615" s="24" t="s">
        <v>352</v>
      </c>
      <c r="F615" s="24" t="s">
        <v>335</v>
      </c>
      <c r="G615" s="25" t="s">
        <v>1539</v>
      </c>
      <c r="H615" s="26">
        <v>0.89749999999999996</v>
      </c>
      <c r="I615" s="26"/>
      <c r="J615" s="26"/>
      <c r="K615" s="25" t="s">
        <v>550</v>
      </c>
      <c r="L615" s="24" t="s">
        <v>512</v>
      </c>
      <c r="M615" s="27" t="s">
        <v>513</v>
      </c>
    </row>
    <row r="616" spans="1:13" ht="25.5" x14ac:dyDescent="0.25">
      <c r="A616" s="22">
        <v>2026</v>
      </c>
      <c r="B616" s="23" t="s">
        <v>237</v>
      </c>
      <c r="C616" s="23" t="s">
        <v>90</v>
      </c>
      <c r="D616" s="23" t="s">
        <v>1143</v>
      </c>
      <c r="E616" s="24" t="s">
        <v>352</v>
      </c>
      <c r="F616" s="24" t="s">
        <v>335</v>
      </c>
      <c r="G616" s="25" t="s">
        <v>1540</v>
      </c>
      <c r="H616" s="26">
        <v>0.36049999999999999</v>
      </c>
      <c r="I616" s="26"/>
      <c r="J616" s="26"/>
      <c r="K616" s="25" t="s">
        <v>550</v>
      </c>
      <c r="L616" s="24" t="s">
        <v>512</v>
      </c>
      <c r="M616" s="27" t="s">
        <v>513</v>
      </c>
    </row>
    <row r="617" spans="1:13" ht="25.5" x14ac:dyDescent="0.25">
      <c r="A617" s="22">
        <v>2026</v>
      </c>
      <c r="B617" s="23" t="s">
        <v>237</v>
      </c>
      <c r="C617" s="23" t="s">
        <v>90</v>
      </c>
      <c r="D617" s="23" t="s">
        <v>1143</v>
      </c>
      <c r="E617" s="24" t="s">
        <v>352</v>
      </c>
      <c r="F617" s="24" t="s">
        <v>335</v>
      </c>
      <c r="G617" s="25" t="s">
        <v>1541</v>
      </c>
      <c r="H617" s="26">
        <v>1.0740000000000001</v>
      </c>
      <c r="I617" s="26"/>
      <c r="J617" s="26"/>
      <c r="K617" s="25" t="s">
        <v>550</v>
      </c>
      <c r="L617" s="24" t="s">
        <v>512</v>
      </c>
      <c r="M617" s="27" t="s">
        <v>513</v>
      </c>
    </row>
    <row r="618" spans="1:13" ht="25.5" x14ac:dyDescent="0.25">
      <c r="A618" s="22">
        <v>2026</v>
      </c>
      <c r="B618" s="23" t="s">
        <v>237</v>
      </c>
      <c r="C618" s="23" t="s">
        <v>90</v>
      </c>
      <c r="D618" s="23" t="s">
        <v>1143</v>
      </c>
      <c r="E618" s="24" t="s">
        <v>352</v>
      </c>
      <c r="F618" s="24" t="s">
        <v>335</v>
      </c>
      <c r="G618" s="25" t="s">
        <v>1542</v>
      </c>
      <c r="H618" s="26">
        <v>0.80100000000000005</v>
      </c>
      <c r="I618" s="26"/>
      <c r="J618" s="26"/>
      <c r="K618" s="25" t="s">
        <v>550</v>
      </c>
      <c r="L618" s="24" t="s">
        <v>512</v>
      </c>
      <c r="M618" s="27" t="s">
        <v>513</v>
      </c>
    </row>
    <row r="619" spans="1:13" ht="25.5" x14ac:dyDescent="0.25">
      <c r="A619" s="22">
        <v>2026</v>
      </c>
      <c r="B619" s="23" t="s">
        <v>237</v>
      </c>
      <c r="C619" s="23" t="s">
        <v>90</v>
      </c>
      <c r="D619" s="23" t="s">
        <v>1143</v>
      </c>
      <c r="E619" s="24" t="s">
        <v>352</v>
      </c>
      <c r="F619" s="24" t="s">
        <v>335</v>
      </c>
      <c r="G619" s="25" t="s">
        <v>1413</v>
      </c>
      <c r="H619" s="26">
        <v>0.36200000000000004</v>
      </c>
      <c r="I619" s="26"/>
      <c r="J619" s="26"/>
      <c r="K619" s="25" t="s">
        <v>550</v>
      </c>
      <c r="L619" s="24" t="s">
        <v>512</v>
      </c>
      <c r="M619" s="27" t="s">
        <v>513</v>
      </c>
    </row>
    <row r="620" spans="1:13" ht="25.5" x14ac:dyDescent="0.25">
      <c r="A620" s="22">
        <v>2026</v>
      </c>
      <c r="B620" s="23" t="s">
        <v>237</v>
      </c>
      <c r="C620" s="23" t="s">
        <v>90</v>
      </c>
      <c r="D620" s="23" t="s">
        <v>226</v>
      </c>
      <c r="E620" s="24" t="s">
        <v>415</v>
      </c>
      <c r="F620" s="24" t="s">
        <v>412</v>
      </c>
      <c r="G620" s="25" t="s">
        <v>1543</v>
      </c>
      <c r="H620" s="26">
        <v>0.32887499999999997</v>
      </c>
      <c r="I620" s="26"/>
      <c r="J620" s="26"/>
      <c r="K620" s="25" t="s">
        <v>550</v>
      </c>
      <c r="L620" s="24" t="s">
        <v>512</v>
      </c>
      <c r="M620" s="27" t="s">
        <v>513</v>
      </c>
    </row>
    <row r="621" spans="1:13" ht="25.5" x14ac:dyDescent="0.25">
      <c r="A621" s="22">
        <v>2026</v>
      </c>
      <c r="B621" s="23" t="s">
        <v>237</v>
      </c>
      <c r="C621" s="23" t="s">
        <v>90</v>
      </c>
      <c r="D621" s="23" t="s">
        <v>226</v>
      </c>
      <c r="E621" s="24" t="s">
        <v>415</v>
      </c>
      <c r="F621" s="24" t="s">
        <v>412</v>
      </c>
      <c r="G621" s="25" t="s">
        <v>1544</v>
      </c>
      <c r="H621" s="26">
        <v>0.31222499999999997</v>
      </c>
      <c r="I621" s="26"/>
      <c r="J621" s="26"/>
      <c r="K621" s="25" t="s">
        <v>550</v>
      </c>
      <c r="L621" s="24" t="s">
        <v>512</v>
      </c>
      <c r="M621" s="27" t="s">
        <v>513</v>
      </c>
    </row>
    <row r="622" spans="1:13" ht="25.5" x14ac:dyDescent="0.25">
      <c r="A622" s="22">
        <v>2026</v>
      </c>
      <c r="B622" s="23" t="s">
        <v>237</v>
      </c>
      <c r="C622" s="23" t="s">
        <v>90</v>
      </c>
      <c r="D622" s="23" t="s">
        <v>226</v>
      </c>
      <c r="E622" s="24" t="s">
        <v>415</v>
      </c>
      <c r="F622" s="24" t="s">
        <v>412</v>
      </c>
      <c r="G622" s="25" t="s">
        <v>1545</v>
      </c>
      <c r="H622" s="26">
        <v>0.75437999999999994</v>
      </c>
      <c r="I622" s="26"/>
      <c r="J622" s="26"/>
      <c r="K622" s="25" t="s">
        <v>550</v>
      </c>
      <c r="L622" s="24" t="s">
        <v>512</v>
      </c>
      <c r="M622" s="27" t="s">
        <v>513</v>
      </c>
    </row>
    <row r="623" spans="1:13" ht="25.5" x14ac:dyDescent="0.25">
      <c r="A623" s="22">
        <v>2026</v>
      </c>
      <c r="B623" s="23" t="s">
        <v>237</v>
      </c>
      <c r="C623" s="23" t="s">
        <v>90</v>
      </c>
      <c r="D623" s="23" t="s">
        <v>226</v>
      </c>
      <c r="E623" s="24" t="s">
        <v>415</v>
      </c>
      <c r="F623" s="24" t="s">
        <v>412</v>
      </c>
      <c r="G623" s="25" t="s">
        <v>1546</v>
      </c>
      <c r="H623" s="26">
        <v>0.20924999999999999</v>
      </c>
      <c r="I623" s="26"/>
      <c r="J623" s="26"/>
      <c r="K623" s="25" t="s">
        <v>550</v>
      </c>
      <c r="L623" s="24" t="s">
        <v>512</v>
      </c>
      <c r="M623" s="27" t="s">
        <v>513</v>
      </c>
    </row>
    <row r="624" spans="1:13" ht="25.5" x14ac:dyDescent="0.25">
      <c r="A624" s="22">
        <v>2026</v>
      </c>
      <c r="B624" s="23" t="s">
        <v>237</v>
      </c>
      <c r="C624" s="23" t="s">
        <v>90</v>
      </c>
      <c r="D624" s="23" t="s">
        <v>226</v>
      </c>
      <c r="E624" s="24" t="s">
        <v>415</v>
      </c>
      <c r="F624" s="24" t="s">
        <v>412</v>
      </c>
      <c r="G624" s="25" t="s">
        <v>1547</v>
      </c>
      <c r="H624" s="26">
        <v>0.20899999999999999</v>
      </c>
      <c r="I624" s="26"/>
      <c r="J624" s="26"/>
      <c r="K624" s="25" t="s">
        <v>550</v>
      </c>
      <c r="L624" s="24" t="s">
        <v>512</v>
      </c>
      <c r="M624" s="27" t="s">
        <v>513</v>
      </c>
    </row>
    <row r="625" spans="1:13" ht="25.5" x14ac:dyDescent="0.25">
      <c r="A625" s="22">
        <v>2026</v>
      </c>
      <c r="B625" s="23" t="s">
        <v>237</v>
      </c>
      <c r="C625" s="23" t="s">
        <v>90</v>
      </c>
      <c r="D625" s="23" t="s">
        <v>226</v>
      </c>
      <c r="E625" s="24" t="s">
        <v>415</v>
      </c>
      <c r="F625" s="24" t="s">
        <v>412</v>
      </c>
      <c r="G625" s="25" t="s">
        <v>1548</v>
      </c>
      <c r="H625" s="26">
        <v>0.66839999999999999</v>
      </c>
      <c r="I625" s="26"/>
      <c r="J625" s="26"/>
      <c r="K625" s="25" t="s">
        <v>550</v>
      </c>
      <c r="L625" s="24" t="s">
        <v>512</v>
      </c>
      <c r="M625" s="27" t="s">
        <v>513</v>
      </c>
    </row>
    <row r="626" spans="1:13" ht="25.5" x14ac:dyDescent="0.25">
      <c r="A626" s="22">
        <v>2026</v>
      </c>
      <c r="B626" s="23" t="s">
        <v>237</v>
      </c>
      <c r="C626" s="23" t="s">
        <v>90</v>
      </c>
      <c r="D626" s="23" t="s">
        <v>216</v>
      </c>
      <c r="E626" s="24" t="s">
        <v>331</v>
      </c>
      <c r="F626" s="24" t="s">
        <v>298</v>
      </c>
      <c r="G626" s="25" t="s">
        <v>1549</v>
      </c>
      <c r="H626" s="26">
        <v>0.34558</v>
      </c>
      <c r="I626" s="26"/>
      <c r="J626" s="26"/>
      <c r="K626" s="25" t="s">
        <v>550</v>
      </c>
      <c r="L626" s="24" t="s">
        <v>521</v>
      </c>
      <c r="M626" s="27" t="s">
        <v>513</v>
      </c>
    </row>
    <row r="627" spans="1:13" ht="25.5" x14ac:dyDescent="0.25">
      <c r="A627" s="22">
        <v>2026</v>
      </c>
      <c r="B627" s="23" t="s">
        <v>237</v>
      </c>
      <c r="C627" s="23" t="s">
        <v>90</v>
      </c>
      <c r="D627" s="23" t="s">
        <v>216</v>
      </c>
      <c r="E627" s="24" t="s">
        <v>331</v>
      </c>
      <c r="F627" s="24" t="s">
        <v>298</v>
      </c>
      <c r="G627" s="25" t="s">
        <v>1550</v>
      </c>
      <c r="H627" s="26">
        <v>35.637749999999997</v>
      </c>
      <c r="I627" s="26"/>
      <c r="J627" s="26"/>
      <c r="K627" s="25" t="s">
        <v>550</v>
      </c>
      <c r="L627" s="24" t="s">
        <v>512</v>
      </c>
      <c r="M627" s="27" t="s">
        <v>513</v>
      </c>
    </row>
    <row r="628" spans="1:13" ht="25.5" x14ac:dyDescent="0.25">
      <c r="A628" s="22">
        <v>2026</v>
      </c>
      <c r="B628" s="23" t="s">
        <v>237</v>
      </c>
      <c r="C628" s="23" t="s">
        <v>90</v>
      </c>
      <c r="D628" s="23" t="s">
        <v>1048</v>
      </c>
      <c r="E628" s="24" t="s">
        <v>398</v>
      </c>
      <c r="F628" s="24" t="s">
        <v>353</v>
      </c>
      <c r="G628" s="25" t="s">
        <v>1551</v>
      </c>
      <c r="H628" s="26">
        <v>1.18605</v>
      </c>
      <c r="I628" s="26"/>
      <c r="J628" s="26"/>
      <c r="K628" s="25" t="s">
        <v>550</v>
      </c>
      <c r="L628" s="24" t="s">
        <v>512</v>
      </c>
      <c r="M628" s="27" t="s">
        <v>513</v>
      </c>
    </row>
    <row r="629" spans="1:13" ht="25.5" x14ac:dyDescent="0.25">
      <c r="A629" s="22">
        <v>2026</v>
      </c>
      <c r="B629" s="23" t="s">
        <v>237</v>
      </c>
      <c r="C629" s="23" t="s">
        <v>90</v>
      </c>
      <c r="D629" s="23" t="s">
        <v>1048</v>
      </c>
      <c r="E629" s="24" t="s">
        <v>398</v>
      </c>
      <c r="F629" s="24" t="s">
        <v>353</v>
      </c>
      <c r="G629" s="25" t="s">
        <v>1552</v>
      </c>
      <c r="H629" s="26">
        <v>0.39564999999999995</v>
      </c>
      <c r="I629" s="26"/>
      <c r="J629" s="26"/>
      <c r="K629" s="25" t="s">
        <v>550</v>
      </c>
      <c r="L629" s="24" t="s">
        <v>512</v>
      </c>
      <c r="M629" s="27" t="s">
        <v>513</v>
      </c>
    </row>
    <row r="630" spans="1:13" ht="25.5" x14ac:dyDescent="0.25">
      <c r="A630" s="22">
        <v>2026</v>
      </c>
      <c r="B630" s="23" t="s">
        <v>237</v>
      </c>
      <c r="C630" s="23" t="s">
        <v>90</v>
      </c>
      <c r="D630" s="23" t="s">
        <v>1048</v>
      </c>
      <c r="E630" s="24" t="s">
        <v>398</v>
      </c>
      <c r="F630" s="24" t="s">
        <v>353</v>
      </c>
      <c r="G630" s="25" t="s">
        <v>1553</v>
      </c>
      <c r="H630" s="26">
        <v>0.90382499999999999</v>
      </c>
      <c r="I630" s="26"/>
      <c r="J630" s="26"/>
      <c r="K630" s="25" t="s">
        <v>550</v>
      </c>
      <c r="L630" s="24" t="s">
        <v>512</v>
      </c>
      <c r="M630" s="27" t="s">
        <v>513</v>
      </c>
    </row>
    <row r="631" spans="1:13" ht="25.5" x14ac:dyDescent="0.25">
      <c r="A631" s="22">
        <v>2026</v>
      </c>
      <c r="B631" s="23" t="s">
        <v>237</v>
      </c>
      <c r="C631" s="23" t="s">
        <v>90</v>
      </c>
      <c r="D631" s="23" t="s">
        <v>1323</v>
      </c>
      <c r="E631" s="24" t="s">
        <v>1324</v>
      </c>
      <c r="F631" s="24" t="s">
        <v>503</v>
      </c>
      <c r="G631" s="25" t="s">
        <v>1554</v>
      </c>
      <c r="H631" s="26">
        <v>5.0055000000000002E-2</v>
      </c>
      <c r="I631" s="26"/>
      <c r="J631" s="26"/>
      <c r="K631" s="25" t="s">
        <v>516</v>
      </c>
      <c r="L631" s="24" t="s">
        <v>512</v>
      </c>
      <c r="M631" s="27" t="s">
        <v>513</v>
      </c>
    </row>
    <row r="632" spans="1:13" ht="25.5" x14ac:dyDescent="0.25">
      <c r="A632" s="22">
        <v>2026</v>
      </c>
      <c r="B632" s="23" t="s">
        <v>249</v>
      </c>
      <c r="C632" s="23" t="s">
        <v>19</v>
      </c>
      <c r="D632" s="23" t="s">
        <v>196</v>
      </c>
      <c r="E632" s="24" t="s">
        <v>352</v>
      </c>
      <c r="F632" s="24" t="s">
        <v>353</v>
      </c>
      <c r="G632" s="25" t="s">
        <v>1555</v>
      </c>
      <c r="H632" s="26">
        <v>0.11525000000000001</v>
      </c>
      <c r="I632" s="26"/>
      <c r="J632" s="26"/>
      <c r="K632" s="25" t="s">
        <v>550</v>
      </c>
      <c r="L632" s="24" t="s">
        <v>512</v>
      </c>
      <c r="M632" s="27" t="s">
        <v>513</v>
      </c>
    </row>
    <row r="633" spans="1:13" ht="25.5" x14ac:dyDescent="0.25">
      <c r="A633" s="22">
        <v>2026</v>
      </c>
      <c r="B633" s="23" t="s">
        <v>249</v>
      </c>
      <c r="C633" s="23" t="s">
        <v>19</v>
      </c>
      <c r="D633" s="23" t="s">
        <v>196</v>
      </c>
      <c r="E633" s="24" t="s">
        <v>352</v>
      </c>
      <c r="F633" s="24" t="s">
        <v>353</v>
      </c>
      <c r="G633" s="25" t="s">
        <v>1556</v>
      </c>
      <c r="H633" s="26">
        <v>0.27809999999999996</v>
      </c>
      <c r="I633" s="26"/>
      <c r="J633" s="26"/>
      <c r="K633" s="25" t="s">
        <v>550</v>
      </c>
      <c r="L633" s="24" t="s">
        <v>512</v>
      </c>
      <c r="M633" s="27" t="s">
        <v>513</v>
      </c>
    </row>
    <row r="634" spans="1:13" ht="25.5" x14ac:dyDescent="0.25">
      <c r="A634" s="22">
        <v>2026</v>
      </c>
      <c r="B634" s="23" t="s">
        <v>249</v>
      </c>
      <c r="C634" s="23" t="s">
        <v>19</v>
      </c>
      <c r="D634" s="23" t="s">
        <v>196</v>
      </c>
      <c r="E634" s="24" t="s">
        <v>352</v>
      </c>
      <c r="F634" s="24" t="s">
        <v>353</v>
      </c>
      <c r="G634" s="25" t="s">
        <v>1556</v>
      </c>
      <c r="H634" s="26">
        <v>0.27809999999999996</v>
      </c>
      <c r="I634" s="26"/>
      <c r="J634" s="26"/>
      <c r="K634" s="25" t="s">
        <v>550</v>
      </c>
      <c r="L634" s="24" t="s">
        <v>512</v>
      </c>
      <c r="M634" s="27" t="s">
        <v>513</v>
      </c>
    </row>
    <row r="635" spans="1:13" ht="25.5" x14ac:dyDescent="0.25">
      <c r="A635" s="22">
        <v>2026</v>
      </c>
      <c r="B635" s="23" t="s">
        <v>249</v>
      </c>
      <c r="C635" s="23" t="s">
        <v>19</v>
      </c>
      <c r="D635" s="23" t="s">
        <v>196</v>
      </c>
      <c r="E635" s="24" t="s">
        <v>352</v>
      </c>
      <c r="F635" s="24" t="s">
        <v>353</v>
      </c>
      <c r="G635" s="25" t="s">
        <v>1557</v>
      </c>
      <c r="H635" s="26">
        <v>0.39184999999999998</v>
      </c>
      <c r="I635" s="26"/>
      <c r="J635" s="26"/>
      <c r="K635" s="25" t="s">
        <v>550</v>
      </c>
      <c r="L635" s="24" t="s">
        <v>512</v>
      </c>
      <c r="M635" s="27" t="s">
        <v>513</v>
      </c>
    </row>
    <row r="636" spans="1:13" ht="25.5" x14ac:dyDescent="0.25">
      <c r="A636" s="22">
        <v>2026</v>
      </c>
      <c r="B636" s="23" t="s">
        <v>249</v>
      </c>
      <c r="C636" s="23" t="s">
        <v>19</v>
      </c>
      <c r="D636" s="23" t="s">
        <v>196</v>
      </c>
      <c r="E636" s="24" t="s">
        <v>352</v>
      </c>
      <c r="F636" s="24" t="s">
        <v>353</v>
      </c>
      <c r="G636" s="25" t="s">
        <v>1558</v>
      </c>
      <c r="H636" s="26">
        <v>0.34799999999999998</v>
      </c>
      <c r="I636" s="26"/>
      <c r="J636" s="26"/>
      <c r="K636" s="25" t="s">
        <v>550</v>
      </c>
      <c r="L636" s="24" t="s">
        <v>512</v>
      </c>
      <c r="M636" s="27" t="s">
        <v>513</v>
      </c>
    </row>
    <row r="637" spans="1:13" ht="25.5" x14ac:dyDescent="0.25">
      <c r="A637" s="22">
        <v>2026</v>
      </c>
      <c r="B637" s="23" t="s">
        <v>249</v>
      </c>
      <c r="C637" s="23" t="s">
        <v>19</v>
      </c>
      <c r="D637" s="23" t="s">
        <v>196</v>
      </c>
      <c r="E637" s="24" t="s">
        <v>352</v>
      </c>
      <c r="F637" s="24" t="s">
        <v>353</v>
      </c>
      <c r="G637" s="25" t="s">
        <v>1559</v>
      </c>
      <c r="H637" s="26">
        <v>0.53359999999999996</v>
      </c>
      <c r="I637" s="26"/>
      <c r="J637" s="26"/>
      <c r="K637" s="25" t="s">
        <v>550</v>
      </c>
      <c r="L637" s="24" t="s">
        <v>512</v>
      </c>
      <c r="M637" s="27" t="s">
        <v>513</v>
      </c>
    </row>
    <row r="638" spans="1:13" ht="25.5" x14ac:dyDescent="0.25">
      <c r="A638" s="22">
        <v>2026</v>
      </c>
      <c r="B638" s="23" t="s">
        <v>249</v>
      </c>
      <c r="C638" s="23" t="s">
        <v>19</v>
      </c>
      <c r="D638" s="23" t="s">
        <v>170</v>
      </c>
      <c r="E638" s="24" t="s">
        <v>286</v>
      </c>
      <c r="F638" s="24" t="s">
        <v>287</v>
      </c>
      <c r="G638" s="25" t="s">
        <v>1560</v>
      </c>
      <c r="H638" s="26">
        <v>1.1737084254000001</v>
      </c>
      <c r="I638" s="26"/>
      <c r="J638" s="26"/>
      <c r="K638" s="25" t="s">
        <v>550</v>
      </c>
      <c r="L638" s="24" t="s">
        <v>512</v>
      </c>
      <c r="M638" s="27" t="s">
        <v>513</v>
      </c>
    </row>
    <row r="639" spans="1:13" ht="25.5" x14ac:dyDescent="0.25">
      <c r="A639" s="22">
        <v>2026</v>
      </c>
      <c r="B639" s="23" t="s">
        <v>249</v>
      </c>
      <c r="C639" s="23" t="s">
        <v>19</v>
      </c>
      <c r="D639" s="23" t="s">
        <v>170</v>
      </c>
      <c r="E639" s="24" t="s">
        <v>286</v>
      </c>
      <c r="F639" s="24" t="s">
        <v>287</v>
      </c>
      <c r="G639" s="25" t="s">
        <v>1561</v>
      </c>
      <c r="H639" s="26">
        <v>8.7849999999999984E-2</v>
      </c>
      <c r="I639" s="26"/>
      <c r="J639" s="26"/>
      <c r="K639" s="25" t="s">
        <v>550</v>
      </c>
      <c r="L639" s="24" t="s">
        <v>512</v>
      </c>
      <c r="M639" s="27" t="s">
        <v>513</v>
      </c>
    </row>
    <row r="640" spans="1:13" ht="25.5" x14ac:dyDescent="0.25">
      <c r="A640" s="22">
        <v>2026</v>
      </c>
      <c r="B640" s="23" t="s">
        <v>249</v>
      </c>
      <c r="C640" s="23" t="s">
        <v>19</v>
      </c>
      <c r="D640" s="23" t="s">
        <v>170</v>
      </c>
      <c r="E640" s="24" t="s">
        <v>286</v>
      </c>
      <c r="F640" s="24" t="s">
        <v>287</v>
      </c>
      <c r="G640" s="25" t="s">
        <v>1562</v>
      </c>
      <c r="H640" s="26">
        <v>1.1737084253999999</v>
      </c>
      <c r="I640" s="26"/>
      <c r="J640" s="26"/>
      <c r="K640" s="25" t="s">
        <v>550</v>
      </c>
      <c r="L640" s="24" t="s">
        <v>512</v>
      </c>
      <c r="M640" s="27" t="s">
        <v>513</v>
      </c>
    </row>
    <row r="641" spans="1:13" ht="25.5" x14ac:dyDescent="0.25">
      <c r="A641" s="22">
        <v>2026</v>
      </c>
      <c r="B641" s="23" t="s">
        <v>249</v>
      </c>
      <c r="C641" s="23" t="s">
        <v>19</v>
      </c>
      <c r="D641" s="23" t="s">
        <v>909</v>
      </c>
      <c r="E641" s="24" t="s">
        <v>569</v>
      </c>
      <c r="F641" s="24" t="s">
        <v>353</v>
      </c>
      <c r="G641" s="25" t="s">
        <v>1563</v>
      </c>
      <c r="H641" s="26">
        <v>2.0055000000000001</v>
      </c>
      <c r="I641" s="26"/>
      <c r="J641" s="26"/>
      <c r="K641" s="25" t="s">
        <v>550</v>
      </c>
      <c r="L641" s="24" t="s">
        <v>512</v>
      </c>
      <c r="M641" s="27" t="s">
        <v>513</v>
      </c>
    </row>
    <row r="642" spans="1:13" ht="25.5" x14ac:dyDescent="0.25">
      <c r="A642" s="22">
        <v>2026</v>
      </c>
      <c r="B642" s="23" t="s">
        <v>249</v>
      </c>
      <c r="C642" s="23" t="s">
        <v>19</v>
      </c>
      <c r="D642" s="23" t="s">
        <v>909</v>
      </c>
      <c r="E642" s="24" t="s">
        <v>569</v>
      </c>
      <c r="F642" s="24" t="s">
        <v>353</v>
      </c>
      <c r="G642" s="25" t="s">
        <v>1564</v>
      </c>
      <c r="H642" s="26">
        <v>0.59199999999999997</v>
      </c>
      <c r="I642" s="26"/>
      <c r="J642" s="26"/>
      <c r="K642" s="25" t="s">
        <v>550</v>
      </c>
      <c r="L642" s="24" t="s">
        <v>512</v>
      </c>
      <c r="M642" s="27" t="s">
        <v>513</v>
      </c>
    </row>
    <row r="643" spans="1:13" ht="25.5" x14ac:dyDescent="0.25">
      <c r="A643" s="22">
        <v>2026</v>
      </c>
      <c r="B643" s="23" t="s">
        <v>249</v>
      </c>
      <c r="C643" s="23" t="s">
        <v>19</v>
      </c>
      <c r="D643" s="23" t="s">
        <v>915</v>
      </c>
      <c r="E643" s="24" t="s">
        <v>491</v>
      </c>
      <c r="F643" s="24" t="s">
        <v>319</v>
      </c>
      <c r="G643" s="25" t="s">
        <v>1565</v>
      </c>
      <c r="H643" s="26">
        <v>3.3952499999999999</v>
      </c>
      <c r="I643" s="26"/>
      <c r="J643" s="26"/>
      <c r="K643" s="25" t="s">
        <v>550</v>
      </c>
      <c r="L643" s="24" t="s">
        <v>521</v>
      </c>
      <c r="M643" s="27" t="s">
        <v>513</v>
      </c>
    </row>
    <row r="644" spans="1:13" ht="63.75" x14ac:dyDescent="0.25">
      <c r="A644" s="22">
        <v>2026</v>
      </c>
      <c r="B644" s="23" t="s">
        <v>249</v>
      </c>
      <c r="C644" s="23" t="s">
        <v>19</v>
      </c>
      <c r="D644" s="23" t="s">
        <v>219</v>
      </c>
      <c r="E644" s="24" t="s">
        <v>403</v>
      </c>
      <c r="F644" s="24" t="s">
        <v>319</v>
      </c>
      <c r="G644" s="25" t="s">
        <v>1566</v>
      </c>
      <c r="H644" s="26">
        <v>16.503249</v>
      </c>
      <c r="I644" s="26"/>
      <c r="J644" s="26"/>
      <c r="K644" s="25"/>
      <c r="L644" s="24" t="s">
        <v>521</v>
      </c>
      <c r="M644" s="27" t="s">
        <v>513</v>
      </c>
    </row>
    <row r="645" spans="1:13" ht="25.5" x14ac:dyDescent="0.25">
      <c r="A645" s="22">
        <v>2026</v>
      </c>
      <c r="B645" s="23" t="s">
        <v>249</v>
      </c>
      <c r="C645" s="23" t="s">
        <v>19</v>
      </c>
      <c r="D645" s="23" t="s">
        <v>936</v>
      </c>
      <c r="E645" s="24" t="s">
        <v>569</v>
      </c>
      <c r="F645" s="24" t="s">
        <v>937</v>
      </c>
      <c r="G645" s="25" t="s">
        <v>1567</v>
      </c>
      <c r="H645" s="26">
        <v>1.3362000000000001</v>
      </c>
      <c r="I645" s="26"/>
      <c r="J645" s="26"/>
      <c r="K645" s="25" t="s">
        <v>550</v>
      </c>
      <c r="L645" s="24" t="s">
        <v>521</v>
      </c>
      <c r="M645" s="27" t="s">
        <v>526</v>
      </c>
    </row>
    <row r="646" spans="1:13" ht="25.5" x14ac:dyDescent="0.25">
      <c r="A646" s="22">
        <v>2026</v>
      </c>
      <c r="B646" s="23" t="s">
        <v>249</v>
      </c>
      <c r="C646" s="23" t="s">
        <v>19</v>
      </c>
      <c r="D646" s="23" t="s">
        <v>936</v>
      </c>
      <c r="E646" s="24" t="s">
        <v>569</v>
      </c>
      <c r="F646" s="24" t="s">
        <v>937</v>
      </c>
      <c r="G646" s="25" t="s">
        <v>1568</v>
      </c>
      <c r="H646" s="26">
        <v>1.2207499999999998</v>
      </c>
      <c r="I646" s="26"/>
      <c r="J646" s="26"/>
      <c r="K646" s="25" t="s">
        <v>550</v>
      </c>
      <c r="L646" s="24" t="s">
        <v>521</v>
      </c>
      <c r="M646" s="27" t="s">
        <v>526</v>
      </c>
    </row>
    <row r="647" spans="1:13" ht="25.5" x14ac:dyDescent="0.25">
      <c r="A647" s="22">
        <v>2026</v>
      </c>
      <c r="B647" s="23" t="s">
        <v>249</v>
      </c>
      <c r="C647" s="23" t="s">
        <v>19</v>
      </c>
      <c r="D647" s="23" t="s">
        <v>936</v>
      </c>
      <c r="E647" s="24" t="s">
        <v>569</v>
      </c>
      <c r="F647" s="24" t="s">
        <v>937</v>
      </c>
      <c r="G647" s="25" t="s">
        <v>1569</v>
      </c>
      <c r="H647" s="26">
        <v>2.4319500000000005</v>
      </c>
      <c r="I647" s="26"/>
      <c r="J647" s="26"/>
      <c r="K647" s="25" t="s">
        <v>550</v>
      </c>
      <c r="L647" s="24" t="s">
        <v>521</v>
      </c>
      <c r="M647" s="27" t="s">
        <v>526</v>
      </c>
    </row>
    <row r="648" spans="1:13" ht="25.5" x14ac:dyDescent="0.25">
      <c r="A648" s="22">
        <v>2026</v>
      </c>
      <c r="B648" s="23" t="s">
        <v>249</v>
      </c>
      <c r="C648" s="23" t="s">
        <v>19</v>
      </c>
      <c r="D648" s="23" t="s">
        <v>936</v>
      </c>
      <c r="E648" s="24" t="s">
        <v>569</v>
      </c>
      <c r="F648" s="24" t="s">
        <v>937</v>
      </c>
      <c r="G648" s="25" t="s">
        <v>1570</v>
      </c>
      <c r="H648" s="26">
        <v>0.65625</v>
      </c>
      <c r="I648" s="26"/>
      <c r="J648" s="26"/>
      <c r="K648" s="25" t="s">
        <v>550</v>
      </c>
      <c r="L648" s="24" t="s">
        <v>521</v>
      </c>
      <c r="M648" s="27" t="s">
        <v>526</v>
      </c>
    </row>
    <row r="649" spans="1:13" ht="25.5" x14ac:dyDescent="0.25">
      <c r="A649" s="22">
        <v>2026</v>
      </c>
      <c r="B649" s="23" t="s">
        <v>249</v>
      </c>
      <c r="C649" s="23" t="s">
        <v>19</v>
      </c>
      <c r="D649" s="23" t="s">
        <v>936</v>
      </c>
      <c r="E649" s="24" t="s">
        <v>569</v>
      </c>
      <c r="F649" s="24" t="s">
        <v>937</v>
      </c>
      <c r="G649" s="25" t="s">
        <v>1571</v>
      </c>
      <c r="H649" s="26">
        <v>0.85470000000000002</v>
      </c>
      <c r="I649" s="26"/>
      <c r="J649" s="26"/>
      <c r="K649" s="25" t="s">
        <v>550</v>
      </c>
      <c r="L649" s="24" t="s">
        <v>521</v>
      </c>
      <c r="M649" s="27" t="s">
        <v>526</v>
      </c>
    </row>
    <row r="650" spans="1:13" ht="25.5" x14ac:dyDescent="0.25">
      <c r="A650" s="22">
        <v>2026</v>
      </c>
      <c r="B650" s="23" t="s">
        <v>249</v>
      </c>
      <c r="C650" s="23" t="s">
        <v>19</v>
      </c>
      <c r="D650" s="23" t="s">
        <v>936</v>
      </c>
      <c r="E650" s="24" t="s">
        <v>569</v>
      </c>
      <c r="F650" s="24" t="s">
        <v>937</v>
      </c>
      <c r="G650" s="25" t="s">
        <v>1572</v>
      </c>
      <c r="H650" s="26">
        <v>1.1914</v>
      </c>
      <c r="I650" s="26"/>
      <c r="J650" s="26"/>
      <c r="K650" s="25" t="s">
        <v>550</v>
      </c>
      <c r="L650" s="24" t="s">
        <v>521</v>
      </c>
      <c r="M650" s="27" t="s">
        <v>526</v>
      </c>
    </row>
    <row r="651" spans="1:13" ht="25.5" x14ac:dyDescent="0.25">
      <c r="A651" s="22">
        <v>2026</v>
      </c>
      <c r="B651" s="23" t="s">
        <v>249</v>
      </c>
      <c r="C651" s="23" t="s">
        <v>19</v>
      </c>
      <c r="D651" s="23" t="s">
        <v>936</v>
      </c>
      <c r="E651" s="24" t="s">
        <v>569</v>
      </c>
      <c r="F651" s="24" t="s">
        <v>937</v>
      </c>
      <c r="G651" s="25" t="s">
        <v>1573</v>
      </c>
      <c r="H651" s="26">
        <v>0.40765000000000001</v>
      </c>
      <c r="I651" s="26"/>
      <c r="J651" s="26"/>
      <c r="K651" s="25" t="s">
        <v>550</v>
      </c>
      <c r="L651" s="24" t="s">
        <v>521</v>
      </c>
      <c r="M651" s="27" t="s">
        <v>526</v>
      </c>
    </row>
    <row r="652" spans="1:13" ht="25.5" x14ac:dyDescent="0.25">
      <c r="A652" s="22">
        <v>2026</v>
      </c>
      <c r="B652" s="23" t="s">
        <v>249</v>
      </c>
      <c r="C652" s="23" t="s">
        <v>19</v>
      </c>
      <c r="D652" s="23" t="s">
        <v>936</v>
      </c>
      <c r="E652" s="24" t="s">
        <v>569</v>
      </c>
      <c r="F652" s="24" t="s">
        <v>937</v>
      </c>
      <c r="G652" s="25" t="s">
        <v>1574</v>
      </c>
      <c r="H652" s="26">
        <v>0.72187500000000004</v>
      </c>
      <c r="I652" s="26"/>
      <c r="J652" s="26"/>
      <c r="K652" s="25" t="s">
        <v>550</v>
      </c>
      <c r="L652" s="24" t="s">
        <v>521</v>
      </c>
      <c r="M652" s="27" t="s">
        <v>526</v>
      </c>
    </row>
    <row r="653" spans="1:13" ht="25.5" x14ac:dyDescent="0.25">
      <c r="A653" s="22">
        <v>2026</v>
      </c>
      <c r="B653" s="23" t="s">
        <v>249</v>
      </c>
      <c r="C653" s="23" t="s">
        <v>19</v>
      </c>
      <c r="D653" s="23" t="s">
        <v>936</v>
      </c>
      <c r="E653" s="24" t="s">
        <v>569</v>
      </c>
      <c r="F653" s="24" t="s">
        <v>937</v>
      </c>
      <c r="G653" s="25" t="s">
        <v>1575</v>
      </c>
      <c r="H653" s="26">
        <v>2.3368000000000002</v>
      </c>
      <c r="I653" s="26"/>
      <c r="J653" s="26"/>
      <c r="K653" s="25" t="s">
        <v>550</v>
      </c>
      <c r="L653" s="24" t="s">
        <v>521</v>
      </c>
      <c r="M653" s="27" t="s">
        <v>526</v>
      </c>
    </row>
    <row r="654" spans="1:13" ht="25.5" x14ac:dyDescent="0.25">
      <c r="A654" s="22">
        <v>2026</v>
      </c>
      <c r="B654" s="23" t="s">
        <v>249</v>
      </c>
      <c r="C654" s="23" t="s">
        <v>19</v>
      </c>
      <c r="D654" s="23" t="s">
        <v>936</v>
      </c>
      <c r="E654" s="24" t="s">
        <v>569</v>
      </c>
      <c r="F654" s="24" t="s">
        <v>937</v>
      </c>
      <c r="G654" s="25" t="s">
        <v>1576</v>
      </c>
      <c r="H654" s="26">
        <v>0.44369999999999998</v>
      </c>
      <c r="I654" s="26"/>
      <c r="J654" s="26"/>
      <c r="K654" s="25" t="s">
        <v>550</v>
      </c>
      <c r="L654" s="24" t="s">
        <v>521</v>
      </c>
      <c r="M654" s="27" t="s">
        <v>526</v>
      </c>
    </row>
    <row r="655" spans="1:13" ht="25.5" x14ac:dyDescent="0.25">
      <c r="A655" s="22">
        <v>2026</v>
      </c>
      <c r="B655" s="23" t="s">
        <v>249</v>
      </c>
      <c r="C655" s="23" t="s">
        <v>19</v>
      </c>
      <c r="D655" s="23" t="s">
        <v>936</v>
      </c>
      <c r="E655" s="24" t="s">
        <v>569</v>
      </c>
      <c r="F655" s="24" t="s">
        <v>937</v>
      </c>
      <c r="G655" s="25" t="s">
        <v>1577</v>
      </c>
      <c r="H655" s="26">
        <v>0.48747499999999999</v>
      </c>
      <c r="I655" s="26"/>
      <c r="J655" s="26"/>
      <c r="K655" s="25" t="s">
        <v>550</v>
      </c>
      <c r="L655" s="24" t="s">
        <v>521</v>
      </c>
      <c r="M655" s="27" t="s">
        <v>526</v>
      </c>
    </row>
    <row r="656" spans="1:13" ht="25.5" x14ac:dyDescent="0.25">
      <c r="A656" s="22">
        <v>2026</v>
      </c>
      <c r="B656" s="23" t="s">
        <v>249</v>
      </c>
      <c r="C656" s="23" t="s">
        <v>19</v>
      </c>
      <c r="D656" s="23" t="s">
        <v>936</v>
      </c>
      <c r="E656" s="24" t="s">
        <v>569</v>
      </c>
      <c r="F656" s="24" t="s">
        <v>937</v>
      </c>
      <c r="G656" s="25" t="s">
        <v>1578</v>
      </c>
      <c r="H656" s="26">
        <v>1.82</v>
      </c>
      <c r="I656" s="26"/>
      <c r="J656" s="26"/>
      <c r="K656" s="25" t="s">
        <v>550</v>
      </c>
      <c r="L656" s="24" t="s">
        <v>521</v>
      </c>
      <c r="M656" s="27" t="s">
        <v>526</v>
      </c>
    </row>
    <row r="657" spans="1:13" ht="25.5" x14ac:dyDescent="0.25">
      <c r="A657" s="22">
        <v>2026</v>
      </c>
      <c r="B657" s="23" t="s">
        <v>249</v>
      </c>
      <c r="C657" s="23" t="s">
        <v>19</v>
      </c>
      <c r="D657" s="23" t="s">
        <v>936</v>
      </c>
      <c r="E657" s="24" t="s">
        <v>569</v>
      </c>
      <c r="F657" s="24" t="s">
        <v>937</v>
      </c>
      <c r="G657" s="25" t="s">
        <v>1579</v>
      </c>
      <c r="H657" s="26">
        <v>4.7070000000000007</v>
      </c>
      <c r="I657" s="26"/>
      <c r="J657" s="26"/>
      <c r="K657" s="25" t="s">
        <v>550</v>
      </c>
      <c r="L657" s="24" t="s">
        <v>521</v>
      </c>
      <c r="M657" s="27" t="s">
        <v>526</v>
      </c>
    </row>
    <row r="658" spans="1:13" ht="25.5" x14ac:dyDescent="0.25">
      <c r="A658" s="22">
        <v>2026</v>
      </c>
      <c r="B658" s="23" t="s">
        <v>249</v>
      </c>
      <c r="C658" s="23" t="s">
        <v>19</v>
      </c>
      <c r="D658" s="23" t="s">
        <v>936</v>
      </c>
      <c r="E658" s="24" t="s">
        <v>569</v>
      </c>
      <c r="F658" s="24" t="s">
        <v>937</v>
      </c>
      <c r="G658" s="25" t="s">
        <v>1579</v>
      </c>
      <c r="H658" s="26">
        <v>4.7070000000000007</v>
      </c>
      <c r="I658" s="26"/>
      <c r="J658" s="26"/>
      <c r="K658" s="25" t="s">
        <v>550</v>
      </c>
      <c r="L658" s="24" t="s">
        <v>521</v>
      </c>
      <c r="M658" s="27" t="s">
        <v>526</v>
      </c>
    </row>
    <row r="659" spans="1:13" ht="25.5" x14ac:dyDescent="0.25">
      <c r="A659" s="22">
        <v>2026</v>
      </c>
      <c r="B659" s="23" t="s">
        <v>249</v>
      </c>
      <c r="C659" s="23" t="s">
        <v>19</v>
      </c>
      <c r="D659" s="23" t="s">
        <v>936</v>
      </c>
      <c r="E659" s="24" t="s">
        <v>569</v>
      </c>
      <c r="F659" s="24" t="s">
        <v>937</v>
      </c>
      <c r="G659" s="25" t="s">
        <v>1580</v>
      </c>
      <c r="H659" s="26">
        <v>3.6902499999999998</v>
      </c>
      <c r="I659" s="26"/>
      <c r="J659" s="26"/>
      <c r="K659" s="25" t="s">
        <v>550</v>
      </c>
      <c r="L659" s="24" t="s">
        <v>521</v>
      </c>
      <c r="M659" s="27" t="s">
        <v>526</v>
      </c>
    </row>
    <row r="660" spans="1:13" ht="25.5" x14ac:dyDescent="0.25">
      <c r="A660" s="22">
        <v>2026</v>
      </c>
      <c r="B660" s="23" t="s">
        <v>249</v>
      </c>
      <c r="C660" s="23" t="s">
        <v>19</v>
      </c>
      <c r="D660" s="23" t="s">
        <v>936</v>
      </c>
      <c r="E660" s="24" t="s">
        <v>569</v>
      </c>
      <c r="F660" s="24" t="s">
        <v>937</v>
      </c>
      <c r="G660" s="25" t="s">
        <v>1581</v>
      </c>
      <c r="H660" s="26">
        <v>3.8174999999999999</v>
      </c>
      <c r="I660" s="26"/>
      <c r="J660" s="26"/>
      <c r="K660" s="25" t="s">
        <v>550</v>
      </c>
      <c r="L660" s="24" t="s">
        <v>521</v>
      </c>
      <c r="M660" s="27" t="s">
        <v>526</v>
      </c>
    </row>
    <row r="661" spans="1:13" ht="25.5" x14ac:dyDescent="0.25">
      <c r="A661" s="22">
        <v>2026</v>
      </c>
      <c r="B661" s="23" t="s">
        <v>249</v>
      </c>
      <c r="C661" s="23" t="s">
        <v>19</v>
      </c>
      <c r="D661" s="23" t="s">
        <v>936</v>
      </c>
      <c r="E661" s="24" t="s">
        <v>569</v>
      </c>
      <c r="F661" s="24" t="s">
        <v>937</v>
      </c>
      <c r="G661" s="25" t="s">
        <v>1582</v>
      </c>
      <c r="H661" s="26">
        <v>0.51300000000000001</v>
      </c>
      <c r="I661" s="26"/>
      <c r="J661" s="26"/>
      <c r="K661" s="25" t="s">
        <v>550</v>
      </c>
      <c r="L661" s="24" t="s">
        <v>521</v>
      </c>
      <c r="M661" s="27" t="s">
        <v>526</v>
      </c>
    </row>
    <row r="662" spans="1:13" ht="25.5" x14ac:dyDescent="0.25">
      <c r="A662" s="22">
        <v>2026</v>
      </c>
      <c r="B662" s="23" t="s">
        <v>249</v>
      </c>
      <c r="C662" s="23" t="s">
        <v>19</v>
      </c>
      <c r="D662" s="23" t="s">
        <v>952</v>
      </c>
      <c r="E662" s="24" t="s">
        <v>334</v>
      </c>
      <c r="F662" s="24" t="s">
        <v>319</v>
      </c>
      <c r="G662" s="25" t="s">
        <v>1583</v>
      </c>
      <c r="H662" s="26">
        <v>1.0443</v>
      </c>
      <c r="I662" s="26"/>
      <c r="J662" s="26"/>
      <c r="K662" s="25" t="s">
        <v>550</v>
      </c>
      <c r="L662" s="24" t="s">
        <v>521</v>
      </c>
      <c r="M662" s="27" t="s">
        <v>513</v>
      </c>
    </row>
    <row r="663" spans="1:13" ht="25.5" x14ac:dyDescent="0.25">
      <c r="A663" s="22">
        <v>2026</v>
      </c>
      <c r="B663" s="23" t="s">
        <v>249</v>
      </c>
      <c r="C663" s="23" t="s">
        <v>19</v>
      </c>
      <c r="D663" s="23" t="s">
        <v>952</v>
      </c>
      <c r="E663" s="24" t="s">
        <v>334</v>
      </c>
      <c r="F663" s="24" t="s">
        <v>319</v>
      </c>
      <c r="G663" s="25" t="s">
        <v>1584</v>
      </c>
      <c r="H663" s="26">
        <v>0.26103000000000004</v>
      </c>
      <c r="I663" s="26"/>
      <c r="J663" s="26"/>
      <c r="K663" s="25" t="s">
        <v>550</v>
      </c>
      <c r="L663" s="24" t="s">
        <v>521</v>
      </c>
      <c r="M663" s="27" t="s">
        <v>513</v>
      </c>
    </row>
    <row r="664" spans="1:13" ht="25.5" x14ac:dyDescent="0.25">
      <c r="A664" s="22">
        <v>2026</v>
      </c>
      <c r="B664" s="23" t="s">
        <v>249</v>
      </c>
      <c r="C664" s="23" t="s">
        <v>19</v>
      </c>
      <c r="D664" s="23" t="s">
        <v>952</v>
      </c>
      <c r="E664" s="24" t="s">
        <v>334</v>
      </c>
      <c r="F664" s="24" t="s">
        <v>319</v>
      </c>
      <c r="G664" s="25" t="s">
        <v>1585</v>
      </c>
      <c r="H664" s="26">
        <v>3.2294399999999999</v>
      </c>
      <c r="I664" s="26"/>
      <c r="J664" s="26"/>
      <c r="K664" s="25" t="s">
        <v>550</v>
      </c>
      <c r="L664" s="24" t="s">
        <v>521</v>
      </c>
      <c r="M664" s="27" t="s">
        <v>513</v>
      </c>
    </row>
    <row r="665" spans="1:13" ht="25.5" x14ac:dyDescent="0.25">
      <c r="A665" s="22">
        <v>2026</v>
      </c>
      <c r="B665" s="23" t="s">
        <v>249</v>
      </c>
      <c r="C665" s="23" t="s">
        <v>19</v>
      </c>
      <c r="D665" s="23" t="s">
        <v>952</v>
      </c>
      <c r="E665" s="24" t="s">
        <v>334</v>
      </c>
      <c r="F665" s="24" t="s">
        <v>319</v>
      </c>
      <c r="G665" s="25" t="s">
        <v>1586</v>
      </c>
      <c r="H665" s="26">
        <v>0.69611999999999985</v>
      </c>
      <c r="I665" s="26"/>
      <c r="J665" s="26"/>
      <c r="K665" s="25" t="s">
        <v>550</v>
      </c>
      <c r="L665" s="24" t="s">
        <v>521</v>
      </c>
      <c r="M665" s="27" t="s">
        <v>513</v>
      </c>
    </row>
    <row r="666" spans="1:13" ht="25.5" x14ac:dyDescent="0.25">
      <c r="A666" s="22">
        <v>2026</v>
      </c>
      <c r="B666" s="23" t="s">
        <v>249</v>
      </c>
      <c r="C666" s="23" t="s">
        <v>19</v>
      </c>
      <c r="D666" s="23" t="s">
        <v>952</v>
      </c>
      <c r="E666" s="24" t="s">
        <v>334</v>
      </c>
      <c r="F666" s="24" t="s">
        <v>319</v>
      </c>
      <c r="G666" s="25" t="s">
        <v>1587</v>
      </c>
      <c r="H666" s="26">
        <v>0.39199499999999998</v>
      </c>
      <c r="I666" s="26"/>
      <c r="J666" s="26"/>
      <c r="K666" s="25" t="s">
        <v>550</v>
      </c>
      <c r="L666" s="24" t="s">
        <v>521</v>
      </c>
      <c r="M666" s="27" t="s">
        <v>513</v>
      </c>
    </row>
    <row r="667" spans="1:13" ht="25.5" x14ac:dyDescent="0.25">
      <c r="A667" s="22">
        <v>2026</v>
      </c>
      <c r="B667" s="23" t="s">
        <v>249</v>
      </c>
      <c r="C667" s="23" t="s">
        <v>19</v>
      </c>
      <c r="D667" s="23" t="s">
        <v>952</v>
      </c>
      <c r="E667" s="24" t="s">
        <v>334</v>
      </c>
      <c r="F667" s="24" t="s">
        <v>319</v>
      </c>
      <c r="G667" s="25" t="s">
        <v>1588</v>
      </c>
      <c r="H667" s="26">
        <v>0.4356000000000001</v>
      </c>
      <c r="I667" s="26"/>
      <c r="J667" s="26"/>
      <c r="K667" s="25" t="s">
        <v>550</v>
      </c>
      <c r="L667" s="24" t="s">
        <v>521</v>
      </c>
      <c r="M667" s="27" t="s">
        <v>513</v>
      </c>
    </row>
    <row r="668" spans="1:13" ht="25.5" x14ac:dyDescent="0.25">
      <c r="A668" s="22">
        <v>2026</v>
      </c>
      <c r="B668" s="23" t="s">
        <v>249</v>
      </c>
      <c r="C668" s="23" t="s">
        <v>19</v>
      </c>
      <c r="D668" s="23" t="s">
        <v>952</v>
      </c>
      <c r="E668" s="24" t="s">
        <v>334</v>
      </c>
      <c r="F668" s="24" t="s">
        <v>319</v>
      </c>
      <c r="G668" s="25" t="s">
        <v>1589</v>
      </c>
      <c r="H668" s="26">
        <v>0.69552000000000003</v>
      </c>
      <c r="I668" s="26"/>
      <c r="J668" s="26"/>
      <c r="K668" s="25" t="s">
        <v>550</v>
      </c>
      <c r="L668" s="24" t="s">
        <v>521</v>
      </c>
      <c r="M668" s="27" t="s">
        <v>513</v>
      </c>
    </row>
    <row r="669" spans="1:13" ht="25.5" x14ac:dyDescent="0.25">
      <c r="A669" s="22">
        <v>2026</v>
      </c>
      <c r="B669" s="23" t="s">
        <v>249</v>
      </c>
      <c r="C669" s="23" t="s">
        <v>19</v>
      </c>
      <c r="D669" s="23" t="s">
        <v>952</v>
      </c>
      <c r="E669" s="24" t="s">
        <v>334</v>
      </c>
      <c r="F669" s="24" t="s">
        <v>319</v>
      </c>
      <c r="G669" s="25" t="s">
        <v>1590</v>
      </c>
      <c r="H669" s="26">
        <v>0.65283749999999996</v>
      </c>
      <c r="I669" s="26"/>
      <c r="J669" s="26"/>
      <c r="K669" s="25" t="s">
        <v>550</v>
      </c>
      <c r="L669" s="24" t="s">
        <v>521</v>
      </c>
      <c r="M669" s="27" t="s">
        <v>513</v>
      </c>
    </row>
    <row r="670" spans="1:13" ht="25.5" x14ac:dyDescent="0.25">
      <c r="A670" s="22">
        <v>2026</v>
      </c>
      <c r="B670" s="23" t="s">
        <v>249</v>
      </c>
      <c r="C670" s="23" t="s">
        <v>19</v>
      </c>
      <c r="D670" s="23" t="s">
        <v>952</v>
      </c>
      <c r="E670" s="24" t="s">
        <v>334</v>
      </c>
      <c r="F670" s="24" t="s">
        <v>319</v>
      </c>
      <c r="G670" s="25" t="s">
        <v>1591</v>
      </c>
      <c r="H670" s="26">
        <v>0.59769499999999998</v>
      </c>
      <c r="I670" s="26"/>
      <c r="J670" s="26"/>
      <c r="K670" s="25" t="s">
        <v>550</v>
      </c>
      <c r="L670" s="24" t="s">
        <v>521</v>
      </c>
      <c r="M670" s="27" t="s">
        <v>513</v>
      </c>
    </row>
    <row r="671" spans="1:13" ht="25.5" x14ac:dyDescent="0.25">
      <c r="A671" s="22">
        <v>2026</v>
      </c>
      <c r="B671" s="23" t="s">
        <v>249</v>
      </c>
      <c r="C671" s="23" t="s">
        <v>19</v>
      </c>
      <c r="D671" s="23" t="s">
        <v>952</v>
      </c>
      <c r="E671" s="24" t="s">
        <v>334</v>
      </c>
      <c r="F671" s="24" t="s">
        <v>319</v>
      </c>
      <c r="G671" s="25" t="s">
        <v>1592</v>
      </c>
      <c r="H671" s="26">
        <v>0.42625000000000002</v>
      </c>
      <c r="I671" s="26"/>
      <c r="J671" s="26"/>
      <c r="K671" s="25" t="s">
        <v>550</v>
      </c>
      <c r="L671" s="24" t="s">
        <v>521</v>
      </c>
      <c r="M671" s="27" t="s">
        <v>513</v>
      </c>
    </row>
    <row r="672" spans="1:13" ht="25.5" x14ac:dyDescent="0.25">
      <c r="A672" s="22">
        <v>2026</v>
      </c>
      <c r="B672" s="23" t="s">
        <v>249</v>
      </c>
      <c r="C672" s="23" t="s">
        <v>19</v>
      </c>
      <c r="D672" s="23" t="s">
        <v>952</v>
      </c>
      <c r="E672" s="24" t="s">
        <v>334</v>
      </c>
      <c r="F672" s="24" t="s">
        <v>319</v>
      </c>
      <c r="G672" s="25" t="s">
        <v>1593</v>
      </c>
      <c r="H672" s="26">
        <v>0.4269</v>
      </c>
      <c r="I672" s="26"/>
      <c r="J672" s="26"/>
      <c r="K672" s="25" t="s">
        <v>550</v>
      </c>
      <c r="L672" s="24" t="s">
        <v>521</v>
      </c>
      <c r="M672" s="27" t="s">
        <v>513</v>
      </c>
    </row>
    <row r="673" spans="1:13" ht="25.5" x14ac:dyDescent="0.25">
      <c r="A673" s="22">
        <v>2026</v>
      </c>
      <c r="B673" s="23" t="s">
        <v>249</v>
      </c>
      <c r="C673" s="23" t="s">
        <v>19</v>
      </c>
      <c r="D673" s="23" t="s">
        <v>952</v>
      </c>
      <c r="E673" s="24" t="s">
        <v>334</v>
      </c>
      <c r="F673" s="24" t="s">
        <v>319</v>
      </c>
      <c r="G673" s="25" t="s">
        <v>1594</v>
      </c>
      <c r="H673" s="26">
        <v>0.17066999999999999</v>
      </c>
      <c r="I673" s="26"/>
      <c r="J673" s="26"/>
      <c r="K673" s="25" t="s">
        <v>550</v>
      </c>
      <c r="L673" s="24" t="s">
        <v>521</v>
      </c>
      <c r="M673" s="27" t="s">
        <v>513</v>
      </c>
    </row>
    <row r="674" spans="1:13" ht="25.5" x14ac:dyDescent="0.25">
      <c r="A674" s="22">
        <v>2026</v>
      </c>
      <c r="B674" s="23" t="s">
        <v>249</v>
      </c>
      <c r="C674" s="23" t="s">
        <v>19</v>
      </c>
      <c r="D674" s="23" t="s">
        <v>952</v>
      </c>
      <c r="E674" s="24" t="s">
        <v>334</v>
      </c>
      <c r="F674" s="24" t="s">
        <v>319</v>
      </c>
      <c r="G674" s="25" t="s">
        <v>1595</v>
      </c>
      <c r="H674" s="26">
        <v>1.0645625000000001</v>
      </c>
      <c r="I674" s="26"/>
      <c r="J674" s="26"/>
      <c r="K674" s="25" t="s">
        <v>550</v>
      </c>
      <c r="L674" s="24" t="s">
        <v>521</v>
      </c>
      <c r="M674" s="27" t="s">
        <v>513</v>
      </c>
    </row>
    <row r="675" spans="1:13" ht="25.5" x14ac:dyDescent="0.25">
      <c r="A675" s="22">
        <v>2026</v>
      </c>
      <c r="B675" s="23" t="s">
        <v>249</v>
      </c>
      <c r="C675" s="23" t="s">
        <v>19</v>
      </c>
      <c r="D675" s="23" t="s">
        <v>952</v>
      </c>
      <c r="E675" s="24" t="s">
        <v>334</v>
      </c>
      <c r="F675" s="24" t="s">
        <v>319</v>
      </c>
      <c r="G675" s="25" t="s">
        <v>1596</v>
      </c>
      <c r="H675" s="26">
        <v>0.85175000000000001</v>
      </c>
      <c r="I675" s="26"/>
      <c r="J675" s="26"/>
      <c r="K675" s="25" t="s">
        <v>550</v>
      </c>
      <c r="L675" s="24" t="s">
        <v>521</v>
      </c>
      <c r="M675" s="27" t="s">
        <v>513</v>
      </c>
    </row>
    <row r="676" spans="1:13" ht="25.5" x14ac:dyDescent="0.25">
      <c r="A676" s="22">
        <v>2026</v>
      </c>
      <c r="B676" s="23" t="s">
        <v>249</v>
      </c>
      <c r="C676" s="23" t="s">
        <v>19</v>
      </c>
      <c r="D676" s="23" t="s">
        <v>952</v>
      </c>
      <c r="E676" s="24" t="s">
        <v>334</v>
      </c>
      <c r="F676" s="24" t="s">
        <v>319</v>
      </c>
      <c r="G676" s="25" t="s">
        <v>1596</v>
      </c>
      <c r="H676" s="26">
        <v>0.85175000000000001</v>
      </c>
      <c r="I676" s="26"/>
      <c r="J676" s="26"/>
      <c r="K676" s="25" t="s">
        <v>550</v>
      </c>
      <c r="L676" s="24" t="s">
        <v>521</v>
      </c>
      <c r="M676" s="27" t="s">
        <v>513</v>
      </c>
    </row>
    <row r="677" spans="1:13" ht="25.5" x14ac:dyDescent="0.25">
      <c r="A677" s="22">
        <v>2026</v>
      </c>
      <c r="B677" s="23" t="s">
        <v>249</v>
      </c>
      <c r="C677" s="23" t="s">
        <v>19</v>
      </c>
      <c r="D677" s="23" t="s">
        <v>952</v>
      </c>
      <c r="E677" s="24" t="s">
        <v>334</v>
      </c>
      <c r="F677" s="24" t="s">
        <v>319</v>
      </c>
      <c r="G677" s="25" t="s">
        <v>1597</v>
      </c>
      <c r="H677" s="26">
        <v>0.80987500000000001</v>
      </c>
      <c r="I677" s="26"/>
      <c r="J677" s="26"/>
      <c r="K677" s="25" t="s">
        <v>550</v>
      </c>
      <c r="L677" s="24" t="s">
        <v>521</v>
      </c>
      <c r="M677" s="27" t="s">
        <v>513</v>
      </c>
    </row>
    <row r="678" spans="1:13" ht="25.5" x14ac:dyDescent="0.25">
      <c r="A678" s="22">
        <v>2026</v>
      </c>
      <c r="B678" s="23" t="s">
        <v>249</v>
      </c>
      <c r="C678" s="23" t="s">
        <v>19</v>
      </c>
      <c r="D678" s="23" t="s">
        <v>952</v>
      </c>
      <c r="E678" s="24" t="s">
        <v>334</v>
      </c>
      <c r="F678" s="24" t="s">
        <v>319</v>
      </c>
      <c r="G678" s="25" t="s">
        <v>1598</v>
      </c>
      <c r="H678" s="26">
        <v>0.17036999999999999</v>
      </c>
      <c r="I678" s="26"/>
      <c r="J678" s="26"/>
      <c r="K678" s="25" t="s">
        <v>550</v>
      </c>
      <c r="L678" s="24" t="s">
        <v>521</v>
      </c>
      <c r="M678" s="27" t="s">
        <v>513</v>
      </c>
    </row>
    <row r="679" spans="1:13" ht="25.5" x14ac:dyDescent="0.25">
      <c r="A679" s="22">
        <v>2026</v>
      </c>
      <c r="B679" s="23" t="s">
        <v>249</v>
      </c>
      <c r="C679" s="23" t="s">
        <v>19</v>
      </c>
      <c r="D679" s="23" t="s">
        <v>952</v>
      </c>
      <c r="E679" s="24" t="s">
        <v>334</v>
      </c>
      <c r="F679" s="24" t="s">
        <v>319</v>
      </c>
      <c r="G679" s="25" t="s">
        <v>1599</v>
      </c>
      <c r="H679" s="26">
        <v>0.85034999999999983</v>
      </c>
      <c r="I679" s="26"/>
      <c r="J679" s="26"/>
      <c r="K679" s="25" t="s">
        <v>550</v>
      </c>
      <c r="L679" s="24" t="s">
        <v>521</v>
      </c>
      <c r="M679" s="27" t="s">
        <v>513</v>
      </c>
    </row>
    <row r="680" spans="1:13" ht="25.5" x14ac:dyDescent="0.25">
      <c r="A680" s="22">
        <v>2026</v>
      </c>
      <c r="B680" s="23" t="s">
        <v>249</v>
      </c>
      <c r="C680" s="23" t="s">
        <v>19</v>
      </c>
      <c r="D680" s="23" t="s">
        <v>952</v>
      </c>
      <c r="E680" s="24" t="s">
        <v>334</v>
      </c>
      <c r="F680" s="24" t="s">
        <v>319</v>
      </c>
      <c r="G680" s="25" t="s">
        <v>1600</v>
      </c>
      <c r="H680" s="26">
        <v>0.46750000000000003</v>
      </c>
      <c r="I680" s="26"/>
      <c r="J680" s="26"/>
      <c r="K680" s="25" t="s">
        <v>550</v>
      </c>
      <c r="L680" s="24" t="s">
        <v>521</v>
      </c>
      <c r="M680" s="27" t="s">
        <v>513</v>
      </c>
    </row>
    <row r="681" spans="1:13" ht="25.5" x14ac:dyDescent="0.25">
      <c r="A681" s="22">
        <v>2026</v>
      </c>
      <c r="B681" s="23" t="s">
        <v>249</v>
      </c>
      <c r="C681" s="23" t="s">
        <v>19</v>
      </c>
      <c r="D681" s="23" t="s">
        <v>188</v>
      </c>
      <c r="E681" s="24" t="s">
        <v>334</v>
      </c>
      <c r="F681" s="24" t="s">
        <v>335</v>
      </c>
      <c r="G681" s="25" t="s">
        <v>1601</v>
      </c>
      <c r="H681" s="26">
        <v>0.72274999999999989</v>
      </c>
      <c r="I681" s="26"/>
      <c r="J681" s="26"/>
      <c r="K681" s="25" t="s">
        <v>550</v>
      </c>
      <c r="L681" s="24" t="s">
        <v>512</v>
      </c>
      <c r="M681" s="27" t="s">
        <v>513</v>
      </c>
    </row>
    <row r="682" spans="1:13" ht="25.5" x14ac:dyDescent="0.25">
      <c r="A682" s="22">
        <v>2026</v>
      </c>
      <c r="B682" s="23" t="s">
        <v>249</v>
      </c>
      <c r="C682" s="23" t="s">
        <v>19</v>
      </c>
      <c r="D682" s="23" t="s">
        <v>188</v>
      </c>
      <c r="E682" s="24" t="s">
        <v>334</v>
      </c>
      <c r="F682" s="24" t="s">
        <v>335</v>
      </c>
      <c r="G682" s="25" t="s">
        <v>1602</v>
      </c>
      <c r="H682" s="26">
        <v>0.20449999999999999</v>
      </c>
      <c r="I682" s="26"/>
      <c r="J682" s="26"/>
      <c r="K682" s="25" t="s">
        <v>550</v>
      </c>
      <c r="L682" s="24" t="s">
        <v>512</v>
      </c>
      <c r="M682" s="27" t="s">
        <v>513</v>
      </c>
    </row>
    <row r="683" spans="1:13" ht="25.5" x14ac:dyDescent="0.25">
      <c r="A683" s="22">
        <v>2026</v>
      </c>
      <c r="B683" s="23" t="s">
        <v>249</v>
      </c>
      <c r="C683" s="23" t="s">
        <v>19</v>
      </c>
      <c r="D683" s="23" t="s">
        <v>188</v>
      </c>
      <c r="E683" s="24" t="s">
        <v>334</v>
      </c>
      <c r="F683" s="24" t="s">
        <v>335</v>
      </c>
      <c r="G683" s="25" t="s">
        <v>1603</v>
      </c>
      <c r="H683" s="26">
        <v>0.20524999999999999</v>
      </c>
      <c r="I683" s="26"/>
      <c r="J683" s="26"/>
      <c r="K683" s="25" t="s">
        <v>550</v>
      </c>
      <c r="L683" s="24" t="s">
        <v>512</v>
      </c>
      <c r="M683" s="27" t="s">
        <v>513</v>
      </c>
    </row>
    <row r="684" spans="1:13" ht="25.5" x14ac:dyDescent="0.25">
      <c r="A684" s="22">
        <v>2026</v>
      </c>
      <c r="B684" s="23" t="s">
        <v>249</v>
      </c>
      <c r="C684" s="23" t="s">
        <v>19</v>
      </c>
      <c r="D684" s="23" t="s">
        <v>188</v>
      </c>
      <c r="E684" s="24" t="s">
        <v>334</v>
      </c>
      <c r="F684" s="24" t="s">
        <v>335</v>
      </c>
      <c r="G684" s="25" t="s">
        <v>1604</v>
      </c>
      <c r="H684" s="26">
        <v>0.20305000000000001</v>
      </c>
      <c r="I684" s="26"/>
      <c r="J684" s="26"/>
      <c r="K684" s="25" t="s">
        <v>550</v>
      </c>
      <c r="L684" s="24" t="s">
        <v>512</v>
      </c>
      <c r="M684" s="27" t="s">
        <v>513</v>
      </c>
    </row>
    <row r="685" spans="1:13" ht="25.5" x14ac:dyDescent="0.25">
      <c r="A685" s="22">
        <v>2026</v>
      </c>
      <c r="B685" s="23" t="s">
        <v>249</v>
      </c>
      <c r="C685" s="23" t="s">
        <v>19</v>
      </c>
      <c r="D685" s="23" t="s">
        <v>188</v>
      </c>
      <c r="E685" s="24" t="s">
        <v>334</v>
      </c>
      <c r="F685" s="24" t="s">
        <v>335</v>
      </c>
      <c r="G685" s="25" t="s">
        <v>1605</v>
      </c>
      <c r="H685" s="26">
        <v>0.34756499999999996</v>
      </c>
      <c r="I685" s="26"/>
      <c r="J685" s="26"/>
      <c r="K685" s="25" t="s">
        <v>550</v>
      </c>
      <c r="L685" s="24" t="s">
        <v>512</v>
      </c>
      <c r="M685" s="27" t="s">
        <v>513</v>
      </c>
    </row>
    <row r="686" spans="1:13" ht="25.5" x14ac:dyDescent="0.25">
      <c r="A686" s="22">
        <v>2026</v>
      </c>
      <c r="B686" s="23" t="s">
        <v>249</v>
      </c>
      <c r="C686" s="23" t="s">
        <v>19</v>
      </c>
      <c r="D686" s="23" t="s">
        <v>188</v>
      </c>
      <c r="E686" s="24" t="s">
        <v>334</v>
      </c>
      <c r="F686" s="24" t="s">
        <v>335</v>
      </c>
      <c r="G686" s="25" t="s">
        <v>1606</v>
      </c>
      <c r="H686" s="26">
        <v>0.513625</v>
      </c>
      <c r="I686" s="26"/>
      <c r="J686" s="26"/>
      <c r="K686" s="25" t="s">
        <v>550</v>
      </c>
      <c r="L686" s="24" t="s">
        <v>512</v>
      </c>
      <c r="M686" s="27" t="s">
        <v>513</v>
      </c>
    </row>
    <row r="687" spans="1:13" ht="25.5" x14ac:dyDescent="0.25">
      <c r="A687" s="22">
        <v>2026</v>
      </c>
      <c r="B687" s="23" t="s">
        <v>249</v>
      </c>
      <c r="C687" s="23" t="s">
        <v>19</v>
      </c>
      <c r="D687" s="23" t="s">
        <v>188</v>
      </c>
      <c r="E687" s="24" t="s">
        <v>334</v>
      </c>
      <c r="F687" s="24" t="s">
        <v>335</v>
      </c>
      <c r="G687" s="25" t="s">
        <v>1606</v>
      </c>
      <c r="H687" s="26">
        <v>0.513625</v>
      </c>
      <c r="I687" s="26"/>
      <c r="J687" s="26"/>
      <c r="K687" s="25" t="s">
        <v>550</v>
      </c>
      <c r="L687" s="24" t="s">
        <v>512</v>
      </c>
      <c r="M687" s="27" t="s">
        <v>513</v>
      </c>
    </row>
    <row r="688" spans="1:13" ht="25.5" x14ac:dyDescent="0.25">
      <c r="A688" s="22">
        <v>2026</v>
      </c>
      <c r="B688" s="23" t="s">
        <v>249</v>
      </c>
      <c r="C688" s="23" t="s">
        <v>19</v>
      </c>
      <c r="D688" s="23" t="s">
        <v>188</v>
      </c>
      <c r="E688" s="24" t="s">
        <v>334</v>
      </c>
      <c r="F688" s="24" t="s">
        <v>335</v>
      </c>
      <c r="G688" s="25" t="s">
        <v>1607</v>
      </c>
      <c r="H688" s="26">
        <v>1.2434999999999998</v>
      </c>
      <c r="I688" s="26"/>
      <c r="J688" s="26"/>
      <c r="K688" s="25" t="s">
        <v>550</v>
      </c>
      <c r="L688" s="24" t="s">
        <v>512</v>
      </c>
      <c r="M688" s="27" t="s">
        <v>513</v>
      </c>
    </row>
    <row r="689" spans="1:13" ht="25.5" x14ac:dyDescent="0.25">
      <c r="A689" s="22">
        <v>2026</v>
      </c>
      <c r="B689" s="23" t="s">
        <v>249</v>
      </c>
      <c r="C689" s="23" t="s">
        <v>19</v>
      </c>
      <c r="D689" s="23" t="s">
        <v>188</v>
      </c>
      <c r="E689" s="24" t="s">
        <v>334</v>
      </c>
      <c r="F689" s="24" t="s">
        <v>335</v>
      </c>
      <c r="G689" s="25" t="s">
        <v>1608</v>
      </c>
      <c r="H689" s="26">
        <v>0.20845</v>
      </c>
      <c r="I689" s="26"/>
      <c r="J689" s="26"/>
      <c r="K689" s="25" t="s">
        <v>550</v>
      </c>
      <c r="L689" s="24" t="s">
        <v>512</v>
      </c>
      <c r="M689" s="27" t="s">
        <v>513</v>
      </c>
    </row>
    <row r="690" spans="1:13" ht="25.5" x14ac:dyDescent="0.25">
      <c r="A690" s="22">
        <v>2026</v>
      </c>
      <c r="B690" s="23" t="s">
        <v>249</v>
      </c>
      <c r="C690" s="23" t="s">
        <v>19</v>
      </c>
      <c r="D690" s="23" t="s">
        <v>238</v>
      </c>
      <c r="E690" s="24" t="s">
        <v>435</v>
      </c>
      <c r="F690" s="24" t="s">
        <v>343</v>
      </c>
      <c r="G690" s="25" t="s">
        <v>1609</v>
      </c>
      <c r="H690" s="26">
        <v>0.29999700000000001</v>
      </c>
      <c r="I690" s="26"/>
      <c r="J690" s="26"/>
      <c r="K690" s="25"/>
      <c r="L690" s="24" t="s">
        <v>512</v>
      </c>
      <c r="M690" s="27" t="s">
        <v>513</v>
      </c>
    </row>
    <row r="691" spans="1:13" ht="25.5" x14ac:dyDescent="0.25">
      <c r="A691" s="22">
        <v>2026</v>
      </c>
      <c r="B691" s="23" t="s">
        <v>249</v>
      </c>
      <c r="C691" s="23" t="s">
        <v>19</v>
      </c>
      <c r="D691" s="23" t="s">
        <v>1610</v>
      </c>
      <c r="E691" s="24" t="s">
        <v>1610</v>
      </c>
      <c r="F691" s="24" t="s">
        <v>353</v>
      </c>
      <c r="G691" s="25" t="s">
        <v>1611</v>
      </c>
      <c r="H691" s="26">
        <v>3.1250000000000002E-3</v>
      </c>
      <c r="I691" s="26"/>
      <c r="J691" s="26"/>
      <c r="K691" s="25" t="s">
        <v>550</v>
      </c>
      <c r="L691" s="24" t="s">
        <v>512</v>
      </c>
      <c r="M691" s="27" t="s">
        <v>513</v>
      </c>
    </row>
    <row r="692" spans="1:13" ht="25.5" x14ac:dyDescent="0.25">
      <c r="A692" s="22">
        <v>2026</v>
      </c>
      <c r="B692" s="23" t="s">
        <v>249</v>
      </c>
      <c r="C692" s="23" t="s">
        <v>19</v>
      </c>
      <c r="D692" s="23" t="s">
        <v>1610</v>
      </c>
      <c r="E692" s="24" t="s">
        <v>1610</v>
      </c>
      <c r="F692" s="24" t="s">
        <v>353</v>
      </c>
      <c r="G692" s="25" t="s">
        <v>1612</v>
      </c>
      <c r="H692" s="26">
        <v>2.8784500000000001E-2</v>
      </c>
      <c r="I692" s="26"/>
      <c r="J692" s="26"/>
      <c r="K692" s="25" t="s">
        <v>550</v>
      </c>
      <c r="L692" s="24" t="s">
        <v>512</v>
      </c>
      <c r="M692" s="27" t="s">
        <v>513</v>
      </c>
    </row>
    <row r="693" spans="1:13" ht="25.5" x14ac:dyDescent="0.25">
      <c r="A693" s="22">
        <v>2026</v>
      </c>
      <c r="B693" s="23" t="s">
        <v>249</v>
      </c>
      <c r="C693" s="23" t="s">
        <v>19</v>
      </c>
      <c r="D693" s="23" t="s">
        <v>1610</v>
      </c>
      <c r="E693" s="24" t="s">
        <v>1610</v>
      </c>
      <c r="F693" s="24" t="s">
        <v>353</v>
      </c>
      <c r="G693" s="25" t="s">
        <v>1613</v>
      </c>
      <c r="H693" s="26">
        <v>1.251E-2</v>
      </c>
      <c r="I693" s="26"/>
      <c r="J693" s="26"/>
      <c r="K693" s="25" t="s">
        <v>550</v>
      </c>
      <c r="L693" s="24" t="s">
        <v>512</v>
      </c>
      <c r="M693" s="27" t="s">
        <v>513</v>
      </c>
    </row>
    <row r="694" spans="1:13" ht="25.5" x14ac:dyDescent="0.25">
      <c r="A694" s="22">
        <v>2026</v>
      </c>
      <c r="B694" s="23" t="s">
        <v>249</v>
      </c>
      <c r="C694" s="23" t="s">
        <v>19</v>
      </c>
      <c r="D694" s="23" t="s">
        <v>969</v>
      </c>
      <c r="E694" s="24" t="s">
        <v>970</v>
      </c>
      <c r="F694" s="24" t="s">
        <v>319</v>
      </c>
      <c r="G694" s="25" t="s">
        <v>1614</v>
      </c>
      <c r="H694" s="26">
        <v>9.3200000000000005E-2</v>
      </c>
      <c r="I694" s="26"/>
      <c r="J694" s="26"/>
      <c r="K694" s="25" t="s">
        <v>550</v>
      </c>
      <c r="L694" s="24" t="s">
        <v>512</v>
      </c>
      <c r="M694" s="27" t="s">
        <v>513</v>
      </c>
    </row>
    <row r="695" spans="1:13" ht="25.5" x14ac:dyDescent="0.25">
      <c r="A695" s="22">
        <v>2026</v>
      </c>
      <c r="B695" s="23" t="s">
        <v>249</v>
      </c>
      <c r="C695" s="23" t="s">
        <v>19</v>
      </c>
      <c r="D695" s="23" t="s">
        <v>969</v>
      </c>
      <c r="E695" s="24" t="s">
        <v>970</v>
      </c>
      <c r="F695" s="24" t="s">
        <v>319</v>
      </c>
      <c r="G695" s="25" t="s">
        <v>1615</v>
      </c>
      <c r="H695" s="26">
        <v>0.23325000000000001</v>
      </c>
      <c r="I695" s="26"/>
      <c r="J695" s="26"/>
      <c r="K695" s="25" t="s">
        <v>550</v>
      </c>
      <c r="L695" s="24" t="s">
        <v>512</v>
      </c>
      <c r="M695" s="27" t="s">
        <v>513</v>
      </c>
    </row>
    <row r="696" spans="1:13" ht="25.5" x14ac:dyDescent="0.25">
      <c r="A696" s="22">
        <v>2026</v>
      </c>
      <c r="B696" s="23" t="s">
        <v>249</v>
      </c>
      <c r="C696" s="23" t="s">
        <v>19</v>
      </c>
      <c r="D696" s="23" t="s">
        <v>969</v>
      </c>
      <c r="E696" s="24" t="s">
        <v>970</v>
      </c>
      <c r="F696" s="24" t="s">
        <v>319</v>
      </c>
      <c r="G696" s="25" t="s">
        <v>1615</v>
      </c>
      <c r="H696" s="26">
        <v>0.23325000000000001</v>
      </c>
      <c r="I696" s="26"/>
      <c r="J696" s="26"/>
      <c r="K696" s="25" t="s">
        <v>550</v>
      </c>
      <c r="L696" s="24" t="s">
        <v>512</v>
      </c>
      <c r="M696" s="27" t="s">
        <v>513</v>
      </c>
    </row>
    <row r="697" spans="1:13" ht="25.5" x14ac:dyDescent="0.25">
      <c r="A697" s="22">
        <v>2026</v>
      </c>
      <c r="B697" s="23" t="s">
        <v>249</v>
      </c>
      <c r="C697" s="23" t="s">
        <v>19</v>
      </c>
      <c r="D697" s="23" t="s">
        <v>969</v>
      </c>
      <c r="E697" s="24" t="s">
        <v>970</v>
      </c>
      <c r="F697" s="24" t="s">
        <v>319</v>
      </c>
      <c r="G697" s="25" t="s">
        <v>1616</v>
      </c>
      <c r="H697" s="26">
        <v>0.55979999999999996</v>
      </c>
      <c r="I697" s="26"/>
      <c r="J697" s="26"/>
      <c r="K697" s="25" t="s">
        <v>550</v>
      </c>
      <c r="L697" s="24" t="s">
        <v>512</v>
      </c>
      <c r="M697" s="27" t="s">
        <v>513</v>
      </c>
    </row>
    <row r="698" spans="1:13" ht="25.5" x14ac:dyDescent="0.25">
      <c r="A698" s="22">
        <v>2026</v>
      </c>
      <c r="B698" s="23" t="s">
        <v>249</v>
      </c>
      <c r="C698" s="23" t="s">
        <v>19</v>
      </c>
      <c r="D698" s="23" t="s">
        <v>969</v>
      </c>
      <c r="E698" s="24" t="s">
        <v>970</v>
      </c>
      <c r="F698" s="24" t="s">
        <v>319</v>
      </c>
      <c r="G698" s="25" t="s">
        <v>1617</v>
      </c>
      <c r="H698" s="26">
        <v>0.18310000000000001</v>
      </c>
      <c r="I698" s="26"/>
      <c r="J698" s="26"/>
      <c r="K698" s="25" t="s">
        <v>550</v>
      </c>
      <c r="L698" s="24" t="s">
        <v>512</v>
      </c>
      <c r="M698" s="27" t="s">
        <v>513</v>
      </c>
    </row>
    <row r="699" spans="1:13" ht="25.5" x14ac:dyDescent="0.25">
      <c r="A699" s="22">
        <v>2026</v>
      </c>
      <c r="B699" s="23" t="s">
        <v>249</v>
      </c>
      <c r="C699" s="23" t="s">
        <v>19</v>
      </c>
      <c r="D699" s="23" t="s">
        <v>969</v>
      </c>
      <c r="E699" s="24" t="s">
        <v>970</v>
      </c>
      <c r="F699" s="24" t="s">
        <v>319</v>
      </c>
      <c r="G699" s="25" t="s">
        <v>1614</v>
      </c>
      <c r="H699" s="26">
        <v>9.3200000000000005E-2</v>
      </c>
      <c r="I699" s="26"/>
      <c r="J699" s="26"/>
      <c r="K699" s="25" t="s">
        <v>550</v>
      </c>
      <c r="L699" s="24" t="s">
        <v>512</v>
      </c>
      <c r="M699" s="27" t="s">
        <v>513</v>
      </c>
    </row>
    <row r="700" spans="1:13" ht="25.5" x14ac:dyDescent="0.25">
      <c r="A700" s="22">
        <v>2026</v>
      </c>
      <c r="B700" s="23" t="s">
        <v>249</v>
      </c>
      <c r="C700" s="23" t="s">
        <v>19</v>
      </c>
      <c r="D700" s="23" t="s">
        <v>1094</v>
      </c>
      <c r="E700" s="24" t="s">
        <v>1095</v>
      </c>
      <c r="F700" s="24" t="s">
        <v>316</v>
      </c>
      <c r="G700" s="25" t="s">
        <v>1618</v>
      </c>
      <c r="H700" s="26">
        <v>2.2246000000000001</v>
      </c>
      <c r="I700" s="26"/>
      <c r="J700" s="26"/>
      <c r="K700" s="25" t="s">
        <v>550</v>
      </c>
      <c r="L700" s="24" t="s">
        <v>512</v>
      </c>
      <c r="M700" s="27" t="s">
        <v>513</v>
      </c>
    </row>
    <row r="701" spans="1:13" ht="25.5" x14ac:dyDescent="0.25">
      <c r="A701" s="22">
        <v>2026</v>
      </c>
      <c r="B701" s="23" t="s">
        <v>249</v>
      </c>
      <c r="C701" s="23" t="s">
        <v>19</v>
      </c>
      <c r="D701" s="23" t="s">
        <v>978</v>
      </c>
      <c r="E701" s="24" t="s">
        <v>979</v>
      </c>
      <c r="F701" s="24" t="s">
        <v>343</v>
      </c>
      <c r="G701" s="25" t="s">
        <v>1619</v>
      </c>
      <c r="H701" s="26">
        <v>0.94999500000000003</v>
      </c>
      <c r="I701" s="26"/>
      <c r="J701" s="26"/>
      <c r="K701" s="25" t="s">
        <v>550</v>
      </c>
      <c r="L701" s="24" t="s">
        <v>512</v>
      </c>
      <c r="M701" s="27" t="s">
        <v>513</v>
      </c>
    </row>
    <row r="702" spans="1:13" ht="25.5" x14ac:dyDescent="0.25">
      <c r="A702" s="22">
        <v>2026</v>
      </c>
      <c r="B702" s="23" t="s">
        <v>249</v>
      </c>
      <c r="C702" s="23" t="s">
        <v>19</v>
      </c>
      <c r="D702" s="23" t="s">
        <v>978</v>
      </c>
      <c r="E702" s="24" t="s">
        <v>979</v>
      </c>
      <c r="F702" s="24" t="s">
        <v>343</v>
      </c>
      <c r="G702" s="25" t="s">
        <v>1620</v>
      </c>
      <c r="H702" s="26">
        <v>4.24</v>
      </c>
      <c r="I702" s="26"/>
      <c r="J702" s="26"/>
      <c r="K702" s="25" t="s">
        <v>550</v>
      </c>
      <c r="L702" s="24" t="s">
        <v>512</v>
      </c>
      <c r="M702" s="27" t="s">
        <v>513</v>
      </c>
    </row>
    <row r="703" spans="1:13" ht="25.5" x14ac:dyDescent="0.25">
      <c r="A703" s="22">
        <v>2026</v>
      </c>
      <c r="B703" s="23" t="s">
        <v>249</v>
      </c>
      <c r="C703" s="23" t="s">
        <v>19</v>
      </c>
      <c r="D703" s="23" t="s">
        <v>978</v>
      </c>
      <c r="E703" s="24" t="s">
        <v>979</v>
      </c>
      <c r="F703" s="24" t="s">
        <v>343</v>
      </c>
      <c r="G703" s="25" t="s">
        <v>1621</v>
      </c>
      <c r="H703" s="26">
        <v>0.15633000000000002</v>
      </c>
      <c r="I703" s="26"/>
      <c r="J703" s="26"/>
      <c r="K703" s="25" t="s">
        <v>550</v>
      </c>
      <c r="L703" s="24" t="s">
        <v>512</v>
      </c>
      <c r="M703" s="27" t="s">
        <v>513</v>
      </c>
    </row>
    <row r="704" spans="1:13" ht="25.5" x14ac:dyDescent="0.25">
      <c r="A704" s="22">
        <v>2026</v>
      </c>
      <c r="B704" s="23" t="s">
        <v>249</v>
      </c>
      <c r="C704" s="23" t="s">
        <v>19</v>
      </c>
      <c r="D704" s="23" t="s">
        <v>978</v>
      </c>
      <c r="E704" s="24" t="s">
        <v>979</v>
      </c>
      <c r="F704" s="24" t="s">
        <v>343</v>
      </c>
      <c r="G704" s="25" t="s">
        <v>1622</v>
      </c>
      <c r="H704" s="26">
        <v>0.1085</v>
      </c>
      <c r="I704" s="26"/>
      <c r="J704" s="26"/>
      <c r="K704" s="25" t="s">
        <v>550</v>
      </c>
      <c r="L704" s="24" t="s">
        <v>512</v>
      </c>
      <c r="M704" s="27" t="s">
        <v>513</v>
      </c>
    </row>
    <row r="705" spans="1:13" ht="25.5" x14ac:dyDescent="0.25">
      <c r="A705" s="22">
        <v>2026</v>
      </c>
      <c r="B705" s="23" t="s">
        <v>249</v>
      </c>
      <c r="C705" s="23" t="s">
        <v>19</v>
      </c>
      <c r="D705" s="23" t="s">
        <v>978</v>
      </c>
      <c r="E705" s="24" t="s">
        <v>979</v>
      </c>
      <c r="F705" s="24" t="s">
        <v>343</v>
      </c>
      <c r="G705" s="25" t="s">
        <v>1623</v>
      </c>
      <c r="H705" s="26">
        <v>0.18711899999999998</v>
      </c>
      <c r="I705" s="26"/>
      <c r="J705" s="26"/>
      <c r="K705" s="25" t="s">
        <v>550</v>
      </c>
      <c r="L705" s="24" t="s">
        <v>512</v>
      </c>
      <c r="M705" s="27" t="s">
        <v>513</v>
      </c>
    </row>
    <row r="706" spans="1:13" ht="25.5" x14ac:dyDescent="0.25">
      <c r="A706" s="22">
        <v>2026</v>
      </c>
      <c r="B706" s="23" t="s">
        <v>249</v>
      </c>
      <c r="C706" s="23" t="s">
        <v>19</v>
      </c>
      <c r="D706" s="23" t="s">
        <v>978</v>
      </c>
      <c r="E706" s="24" t="s">
        <v>979</v>
      </c>
      <c r="F706" s="24" t="s">
        <v>343</v>
      </c>
      <c r="G706" s="25" t="s">
        <v>1624</v>
      </c>
      <c r="H706" s="26">
        <v>0.44800000000000006</v>
      </c>
      <c r="I706" s="26"/>
      <c r="J706" s="26"/>
      <c r="K706" s="25" t="s">
        <v>550</v>
      </c>
      <c r="L706" s="24" t="s">
        <v>512</v>
      </c>
      <c r="M706" s="27" t="s">
        <v>513</v>
      </c>
    </row>
    <row r="707" spans="1:13" ht="25.5" x14ac:dyDescent="0.25">
      <c r="A707" s="22">
        <v>2026</v>
      </c>
      <c r="B707" s="23" t="s">
        <v>249</v>
      </c>
      <c r="C707" s="23" t="s">
        <v>19</v>
      </c>
      <c r="D707" s="23" t="s">
        <v>978</v>
      </c>
      <c r="E707" s="24" t="s">
        <v>979</v>
      </c>
      <c r="F707" s="24" t="s">
        <v>343</v>
      </c>
      <c r="G707" s="25" t="s">
        <v>1625</v>
      </c>
      <c r="H707" s="26">
        <v>0.11200000000000002</v>
      </c>
      <c r="I707" s="26"/>
      <c r="J707" s="26"/>
      <c r="K707" s="25" t="s">
        <v>550</v>
      </c>
      <c r="L707" s="24" t="s">
        <v>512</v>
      </c>
      <c r="M707" s="27" t="s">
        <v>513</v>
      </c>
    </row>
    <row r="708" spans="1:13" ht="25.5" x14ac:dyDescent="0.25">
      <c r="A708" s="22">
        <v>2026</v>
      </c>
      <c r="B708" s="23" t="s">
        <v>249</v>
      </c>
      <c r="C708" s="23" t="s">
        <v>19</v>
      </c>
      <c r="D708" s="23" t="s">
        <v>978</v>
      </c>
      <c r="E708" s="24" t="s">
        <v>979</v>
      </c>
      <c r="F708" s="24" t="s">
        <v>343</v>
      </c>
      <c r="G708" s="25" t="s">
        <v>1626</v>
      </c>
      <c r="H708" s="26">
        <v>0.32480000000000003</v>
      </c>
      <c r="I708" s="26"/>
      <c r="J708" s="26"/>
      <c r="K708" s="25" t="s">
        <v>550</v>
      </c>
      <c r="L708" s="24" t="s">
        <v>512</v>
      </c>
      <c r="M708" s="27" t="s">
        <v>513</v>
      </c>
    </row>
    <row r="709" spans="1:13" ht="25.5" x14ac:dyDescent="0.25">
      <c r="A709" s="22">
        <v>2026</v>
      </c>
      <c r="B709" s="23" t="s">
        <v>249</v>
      </c>
      <c r="C709" s="23" t="s">
        <v>19</v>
      </c>
      <c r="D709" s="23" t="s">
        <v>208</v>
      </c>
      <c r="E709" s="24" t="s">
        <v>382</v>
      </c>
      <c r="F709" s="24" t="s">
        <v>343</v>
      </c>
      <c r="G709" s="25" t="s">
        <v>1627</v>
      </c>
      <c r="H709" s="26">
        <v>0.16033875</v>
      </c>
      <c r="I709" s="26"/>
      <c r="J709" s="26"/>
      <c r="K709" s="25" t="s">
        <v>550</v>
      </c>
      <c r="L709" s="24" t="s">
        <v>514</v>
      </c>
      <c r="M709" s="27" t="s">
        <v>513</v>
      </c>
    </row>
    <row r="710" spans="1:13" ht="25.5" x14ac:dyDescent="0.25">
      <c r="A710" s="22">
        <v>2026</v>
      </c>
      <c r="B710" s="23" t="s">
        <v>249</v>
      </c>
      <c r="C710" s="23" t="s">
        <v>19</v>
      </c>
      <c r="D710" s="23" t="s">
        <v>208</v>
      </c>
      <c r="E710" s="24" t="s">
        <v>382</v>
      </c>
      <c r="F710" s="24" t="s">
        <v>343</v>
      </c>
      <c r="G710" s="25" t="s">
        <v>1628</v>
      </c>
      <c r="H710" s="26">
        <v>0.17513999999999999</v>
      </c>
      <c r="I710" s="26"/>
      <c r="J710" s="26"/>
      <c r="K710" s="25" t="s">
        <v>550</v>
      </c>
      <c r="L710" s="24" t="s">
        <v>514</v>
      </c>
      <c r="M710" s="27" t="s">
        <v>513</v>
      </c>
    </row>
    <row r="711" spans="1:13" ht="25.5" x14ac:dyDescent="0.25">
      <c r="A711" s="22">
        <v>2026</v>
      </c>
      <c r="B711" s="23" t="s">
        <v>249</v>
      </c>
      <c r="C711" s="23" t="s">
        <v>19</v>
      </c>
      <c r="D711" s="23" t="s">
        <v>208</v>
      </c>
      <c r="E711" s="24" t="s">
        <v>382</v>
      </c>
      <c r="F711" s="24" t="s">
        <v>343</v>
      </c>
      <c r="G711" s="25" t="s">
        <v>1629</v>
      </c>
      <c r="H711" s="26">
        <v>0.124</v>
      </c>
      <c r="I711" s="26"/>
      <c r="J711" s="26"/>
      <c r="K711" s="25" t="s">
        <v>550</v>
      </c>
      <c r="L711" s="24" t="s">
        <v>514</v>
      </c>
      <c r="M711" s="27" t="s">
        <v>513</v>
      </c>
    </row>
    <row r="712" spans="1:13" ht="25.5" x14ac:dyDescent="0.25">
      <c r="A712" s="22">
        <v>2026</v>
      </c>
      <c r="B712" s="23" t="s">
        <v>249</v>
      </c>
      <c r="C712" s="23" t="s">
        <v>19</v>
      </c>
      <c r="D712" s="23" t="s">
        <v>984</v>
      </c>
      <c r="E712" s="24" t="s">
        <v>985</v>
      </c>
      <c r="F712" s="24" t="s">
        <v>343</v>
      </c>
      <c r="G712" s="25" t="s">
        <v>1630</v>
      </c>
      <c r="H712" s="26">
        <v>5.3094399999999995</v>
      </c>
      <c r="I712" s="26"/>
      <c r="J712" s="26"/>
      <c r="K712" s="25" t="s">
        <v>550</v>
      </c>
      <c r="L712" s="24" t="s">
        <v>512</v>
      </c>
      <c r="M712" s="27" t="s">
        <v>513</v>
      </c>
    </row>
    <row r="713" spans="1:13" ht="25.5" x14ac:dyDescent="0.25">
      <c r="A713" s="22">
        <v>2026</v>
      </c>
      <c r="B713" s="23" t="s">
        <v>249</v>
      </c>
      <c r="C713" s="23" t="s">
        <v>19</v>
      </c>
      <c r="D713" s="23" t="s">
        <v>984</v>
      </c>
      <c r="E713" s="24" t="s">
        <v>985</v>
      </c>
      <c r="F713" s="24" t="s">
        <v>343</v>
      </c>
      <c r="G713" s="25" t="s">
        <v>1631</v>
      </c>
      <c r="H713" s="26">
        <v>0.111321</v>
      </c>
      <c r="I713" s="26"/>
      <c r="J713" s="26"/>
      <c r="K713" s="25" t="s">
        <v>550</v>
      </c>
      <c r="L713" s="24" t="s">
        <v>512</v>
      </c>
      <c r="M713" s="27" t="s">
        <v>513</v>
      </c>
    </row>
    <row r="714" spans="1:13" ht="25.5" x14ac:dyDescent="0.25">
      <c r="A714" s="22">
        <v>2026</v>
      </c>
      <c r="B714" s="23" t="s">
        <v>249</v>
      </c>
      <c r="C714" s="23" t="s">
        <v>19</v>
      </c>
      <c r="D714" s="23" t="s">
        <v>984</v>
      </c>
      <c r="E714" s="24" t="s">
        <v>985</v>
      </c>
      <c r="F714" s="24" t="s">
        <v>343</v>
      </c>
      <c r="G714" s="25" t="s">
        <v>1632</v>
      </c>
      <c r="H714" s="26">
        <v>0.24957600000000002</v>
      </c>
      <c r="I714" s="26"/>
      <c r="J714" s="26"/>
      <c r="K714" s="25" t="s">
        <v>550</v>
      </c>
      <c r="L714" s="24" t="s">
        <v>512</v>
      </c>
      <c r="M714" s="27" t="s">
        <v>513</v>
      </c>
    </row>
    <row r="715" spans="1:13" ht="25.5" x14ac:dyDescent="0.25">
      <c r="A715" s="22">
        <v>2026</v>
      </c>
      <c r="B715" s="23" t="s">
        <v>249</v>
      </c>
      <c r="C715" s="23" t="s">
        <v>19</v>
      </c>
      <c r="D715" s="23" t="s">
        <v>984</v>
      </c>
      <c r="E715" s="24" t="s">
        <v>985</v>
      </c>
      <c r="F715" s="24" t="s">
        <v>343</v>
      </c>
      <c r="G715" s="25" t="s">
        <v>1633</v>
      </c>
      <c r="H715" s="26">
        <v>0.39986250000000007</v>
      </c>
      <c r="I715" s="26"/>
      <c r="J715" s="26"/>
      <c r="K715" s="25" t="s">
        <v>550</v>
      </c>
      <c r="L715" s="24" t="s">
        <v>512</v>
      </c>
      <c r="M715" s="27" t="s">
        <v>513</v>
      </c>
    </row>
    <row r="716" spans="1:13" ht="25.5" x14ac:dyDescent="0.25">
      <c r="A716" s="22">
        <v>2026</v>
      </c>
      <c r="B716" s="23" t="s">
        <v>249</v>
      </c>
      <c r="C716" s="23" t="s">
        <v>19</v>
      </c>
      <c r="D716" s="23" t="s">
        <v>984</v>
      </c>
      <c r="E716" s="24" t="s">
        <v>985</v>
      </c>
      <c r="F716" s="24" t="s">
        <v>343</v>
      </c>
      <c r="G716" s="25" t="s">
        <v>1634</v>
      </c>
      <c r="H716" s="26">
        <v>0.32288999999999995</v>
      </c>
      <c r="I716" s="26"/>
      <c r="J716" s="26"/>
      <c r="K716" s="25" t="s">
        <v>550</v>
      </c>
      <c r="L716" s="24" t="s">
        <v>512</v>
      </c>
      <c r="M716" s="27" t="s">
        <v>513</v>
      </c>
    </row>
    <row r="717" spans="1:13" ht="25.5" x14ac:dyDescent="0.25">
      <c r="A717" s="22">
        <v>2026</v>
      </c>
      <c r="B717" s="23" t="s">
        <v>249</v>
      </c>
      <c r="C717" s="23" t="s">
        <v>19</v>
      </c>
      <c r="D717" s="23" t="s">
        <v>984</v>
      </c>
      <c r="E717" s="24" t="s">
        <v>985</v>
      </c>
      <c r="F717" s="24" t="s">
        <v>343</v>
      </c>
      <c r="G717" s="25" t="s">
        <v>1635</v>
      </c>
      <c r="H717" s="26">
        <v>0.1111145</v>
      </c>
      <c r="I717" s="26"/>
      <c r="J717" s="26"/>
      <c r="K717" s="25" t="s">
        <v>550</v>
      </c>
      <c r="L717" s="24" t="s">
        <v>512</v>
      </c>
      <c r="M717" s="27" t="s">
        <v>513</v>
      </c>
    </row>
    <row r="718" spans="1:13" ht="25.5" x14ac:dyDescent="0.25">
      <c r="A718" s="22">
        <v>2026</v>
      </c>
      <c r="B718" s="23" t="s">
        <v>249</v>
      </c>
      <c r="C718" s="23" t="s">
        <v>19</v>
      </c>
      <c r="D718" s="23" t="s">
        <v>984</v>
      </c>
      <c r="E718" s="24" t="s">
        <v>985</v>
      </c>
      <c r="F718" s="24" t="s">
        <v>343</v>
      </c>
      <c r="G718" s="25" t="s">
        <v>1636</v>
      </c>
      <c r="H718" s="26">
        <v>0.31766000000000005</v>
      </c>
      <c r="I718" s="26"/>
      <c r="J718" s="26"/>
      <c r="K718" s="25" t="s">
        <v>550</v>
      </c>
      <c r="L718" s="24" t="s">
        <v>512</v>
      </c>
      <c r="M718" s="27" t="s">
        <v>513</v>
      </c>
    </row>
    <row r="719" spans="1:13" ht="25.5" x14ac:dyDescent="0.25">
      <c r="A719" s="22">
        <v>2026</v>
      </c>
      <c r="B719" s="23" t="s">
        <v>249</v>
      </c>
      <c r="C719" s="23" t="s">
        <v>19</v>
      </c>
      <c r="D719" s="23" t="s">
        <v>984</v>
      </c>
      <c r="E719" s="24" t="s">
        <v>985</v>
      </c>
      <c r="F719" s="24" t="s">
        <v>343</v>
      </c>
      <c r="G719" s="25" t="s">
        <v>1637</v>
      </c>
      <c r="H719" s="26">
        <v>0.11166049999999998</v>
      </c>
      <c r="I719" s="26"/>
      <c r="J719" s="26"/>
      <c r="K719" s="25" t="s">
        <v>550</v>
      </c>
      <c r="L719" s="24" t="s">
        <v>512</v>
      </c>
      <c r="M719" s="27" t="s">
        <v>513</v>
      </c>
    </row>
    <row r="720" spans="1:13" ht="25.5" x14ac:dyDescent="0.25">
      <c r="A720" s="22">
        <v>2026</v>
      </c>
      <c r="B720" s="23" t="s">
        <v>249</v>
      </c>
      <c r="C720" s="23" t="s">
        <v>19</v>
      </c>
      <c r="D720" s="23" t="s">
        <v>984</v>
      </c>
      <c r="E720" s="24" t="s">
        <v>985</v>
      </c>
      <c r="F720" s="24" t="s">
        <v>343</v>
      </c>
      <c r="G720" s="25" t="s">
        <v>1638</v>
      </c>
      <c r="H720" s="26">
        <v>0.15740500000000002</v>
      </c>
      <c r="I720" s="26"/>
      <c r="J720" s="26"/>
      <c r="K720" s="25" t="s">
        <v>550</v>
      </c>
      <c r="L720" s="24" t="s">
        <v>512</v>
      </c>
      <c r="M720" s="27" t="s">
        <v>513</v>
      </c>
    </row>
    <row r="721" spans="1:13" ht="25.5" x14ac:dyDescent="0.25">
      <c r="A721" s="22">
        <v>2026</v>
      </c>
      <c r="B721" s="23" t="s">
        <v>249</v>
      </c>
      <c r="C721" s="23" t="s">
        <v>19</v>
      </c>
      <c r="D721" s="23" t="s">
        <v>199</v>
      </c>
      <c r="E721" s="24" t="s">
        <v>199</v>
      </c>
      <c r="F721" s="24" t="s">
        <v>350</v>
      </c>
      <c r="G721" s="25" t="s">
        <v>1639</v>
      </c>
      <c r="H721" s="26">
        <v>9.9830000000000006E-3</v>
      </c>
      <c r="I721" s="26"/>
      <c r="J721" s="26"/>
      <c r="K721" s="25"/>
      <c r="L721" s="24" t="s">
        <v>514</v>
      </c>
      <c r="M721" s="27" t="s">
        <v>513</v>
      </c>
    </row>
    <row r="722" spans="1:13" ht="25.5" x14ac:dyDescent="0.25">
      <c r="A722" s="22">
        <v>2026</v>
      </c>
      <c r="B722" s="23" t="s">
        <v>249</v>
      </c>
      <c r="C722" s="23" t="s">
        <v>19</v>
      </c>
      <c r="D722" s="23" t="s">
        <v>988</v>
      </c>
      <c r="E722" s="24" t="s">
        <v>318</v>
      </c>
      <c r="F722" s="24" t="s">
        <v>301</v>
      </c>
      <c r="G722" s="25" t="s">
        <v>1640</v>
      </c>
      <c r="H722" s="26">
        <v>3.2856000000000001</v>
      </c>
      <c r="I722" s="26"/>
      <c r="J722" s="26"/>
      <c r="K722" s="25" t="s">
        <v>550</v>
      </c>
      <c r="L722" s="24" t="s">
        <v>514</v>
      </c>
      <c r="M722" s="27" t="s">
        <v>513</v>
      </c>
    </row>
    <row r="723" spans="1:13" ht="25.5" x14ac:dyDescent="0.25">
      <c r="A723" s="22">
        <v>2026</v>
      </c>
      <c r="B723" s="23" t="s">
        <v>249</v>
      </c>
      <c r="C723" s="23" t="s">
        <v>19</v>
      </c>
      <c r="D723" s="23" t="s">
        <v>988</v>
      </c>
      <c r="E723" s="24" t="s">
        <v>318</v>
      </c>
      <c r="F723" s="24" t="s">
        <v>301</v>
      </c>
      <c r="G723" s="25" t="s">
        <v>1641</v>
      </c>
      <c r="H723" s="26">
        <v>4.3844000000000003</v>
      </c>
      <c r="I723" s="26"/>
      <c r="J723" s="26"/>
      <c r="K723" s="25" t="s">
        <v>550</v>
      </c>
      <c r="L723" s="24" t="s">
        <v>514</v>
      </c>
      <c r="M723" s="27" t="s">
        <v>513</v>
      </c>
    </row>
    <row r="724" spans="1:13" ht="25.5" x14ac:dyDescent="0.25">
      <c r="A724" s="22">
        <v>2026</v>
      </c>
      <c r="B724" s="23" t="s">
        <v>249</v>
      </c>
      <c r="C724" s="23" t="s">
        <v>19</v>
      </c>
      <c r="D724" s="23" t="s">
        <v>988</v>
      </c>
      <c r="E724" s="24" t="s">
        <v>318</v>
      </c>
      <c r="F724" s="24" t="s">
        <v>301</v>
      </c>
      <c r="G724" s="25" t="s">
        <v>1642</v>
      </c>
      <c r="H724" s="26">
        <v>2.6892499999999995</v>
      </c>
      <c r="I724" s="26"/>
      <c r="J724" s="26"/>
      <c r="K724" s="25" t="s">
        <v>550</v>
      </c>
      <c r="L724" s="24" t="s">
        <v>514</v>
      </c>
      <c r="M724" s="27" t="s">
        <v>513</v>
      </c>
    </row>
    <row r="725" spans="1:13" ht="25.5" x14ac:dyDescent="0.25">
      <c r="A725" s="22">
        <v>2026</v>
      </c>
      <c r="B725" s="23" t="s">
        <v>249</v>
      </c>
      <c r="C725" s="23" t="s">
        <v>19</v>
      </c>
      <c r="D725" s="23" t="s">
        <v>988</v>
      </c>
      <c r="E725" s="24" t="s">
        <v>318</v>
      </c>
      <c r="F725" s="24" t="s">
        <v>301</v>
      </c>
      <c r="G725" s="25" t="s">
        <v>1643</v>
      </c>
      <c r="H725" s="26">
        <v>2.6910000000000003</v>
      </c>
      <c r="I725" s="26"/>
      <c r="J725" s="26"/>
      <c r="K725" s="25" t="s">
        <v>550</v>
      </c>
      <c r="L725" s="24" t="s">
        <v>514</v>
      </c>
      <c r="M725" s="27" t="s">
        <v>513</v>
      </c>
    </row>
    <row r="726" spans="1:13" ht="25.5" x14ac:dyDescent="0.25">
      <c r="A726" s="22">
        <v>2026</v>
      </c>
      <c r="B726" s="23" t="s">
        <v>249</v>
      </c>
      <c r="C726" s="23" t="s">
        <v>19</v>
      </c>
      <c r="D726" s="23" t="s">
        <v>181</v>
      </c>
      <c r="E726" s="24" t="s">
        <v>318</v>
      </c>
      <c r="F726" s="24" t="s">
        <v>319</v>
      </c>
      <c r="G726" s="25" t="s">
        <v>1644</v>
      </c>
      <c r="H726" s="26">
        <v>1.724</v>
      </c>
      <c r="I726" s="26"/>
      <c r="J726" s="26"/>
      <c r="K726" s="25" t="s">
        <v>550</v>
      </c>
      <c r="L726" s="24" t="s">
        <v>514</v>
      </c>
      <c r="M726" s="27" t="s">
        <v>513</v>
      </c>
    </row>
    <row r="727" spans="1:13" ht="25.5" x14ac:dyDescent="0.25">
      <c r="A727" s="22">
        <v>2026</v>
      </c>
      <c r="B727" s="23" t="s">
        <v>249</v>
      </c>
      <c r="C727" s="23" t="s">
        <v>19</v>
      </c>
      <c r="D727" s="23" t="s">
        <v>181</v>
      </c>
      <c r="E727" s="24" t="s">
        <v>318</v>
      </c>
      <c r="F727" s="24" t="s">
        <v>319</v>
      </c>
      <c r="G727" s="25" t="s">
        <v>1645</v>
      </c>
      <c r="H727" s="26">
        <v>0.86299999999999999</v>
      </c>
      <c r="I727" s="26"/>
      <c r="J727" s="26"/>
      <c r="K727" s="25" t="s">
        <v>550</v>
      </c>
      <c r="L727" s="24" t="s">
        <v>514</v>
      </c>
      <c r="M727" s="27" t="s">
        <v>513</v>
      </c>
    </row>
    <row r="728" spans="1:13" ht="25.5" x14ac:dyDescent="0.25">
      <c r="A728" s="22">
        <v>2026</v>
      </c>
      <c r="B728" s="23" t="s">
        <v>249</v>
      </c>
      <c r="C728" s="23" t="s">
        <v>19</v>
      </c>
      <c r="D728" s="23" t="s">
        <v>181</v>
      </c>
      <c r="E728" s="24" t="s">
        <v>318</v>
      </c>
      <c r="F728" s="24" t="s">
        <v>319</v>
      </c>
      <c r="G728" s="25" t="s">
        <v>1646</v>
      </c>
      <c r="H728" s="26">
        <v>0.85790000000000022</v>
      </c>
      <c r="I728" s="26"/>
      <c r="J728" s="26"/>
      <c r="K728" s="25" t="s">
        <v>550</v>
      </c>
      <c r="L728" s="24" t="s">
        <v>514</v>
      </c>
      <c r="M728" s="27" t="s">
        <v>513</v>
      </c>
    </row>
    <row r="729" spans="1:13" ht="25.5" x14ac:dyDescent="0.25">
      <c r="A729" s="22">
        <v>2026</v>
      </c>
      <c r="B729" s="23" t="s">
        <v>249</v>
      </c>
      <c r="C729" s="23" t="s">
        <v>19</v>
      </c>
      <c r="D729" s="23" t="s">
        <v>181</v>
      </c>
      <c r="E729" s="24" t="s">
        <v>318</v>
      </c>
      <c r="F729" s="24" t="s">
        <v>319</v>
      </c>
      <c r="G729" s="25" t="s">
        <v>1647</v>
      </c>
      <c r="H729" s="26">
        <v>1.2858000000000001</v>
      </c>
      <c r="I729" s="26"/>
      <c r="J729" s="26"/>
      <c r="K729" s="25" t="s">
        <v>550</v>
      </c>
      <c r="L729" s="24" t="s">
        <v>514</v>
      </c>
      <c r="M729" s="27" t="s">
        <v>513</v>
      </c>
    </row>
    <row r="730" spans="1:13" ht="63.75" x14ac:dyDescent="0.25">
      <c r="A730" s="22">
        <v>2026</v>
      </c>
      <c r="B730" s="23" t="s">
        <v>249</v>
      </c>
      <c r="C730" s="23" t="s">
        <v>267</v>
      </c>
      <c r="D730" s="23" t="s">
        <v>246</v>
      </c>
      <c r="E730" s="24" t="s">
        <v>450</v>
      </c>
      <c r="F730" s="24" t="s">
        <v>295</v>
      </c>
      <c r="G730" s="25" t="s">
        <v>1648</v>
      </c>
      <c r="H730" s="26">
        <v>-107.3</v>
      </c>
      <c r="I730" s="26">
        <v>-107.3</v>
      </c>
      <c r="J730" s="26"/>
      <c r="K730" s="25" t="s">
        <v>516</v>
      </c>
      <c r="L730" s="24" t="s">
        <v>512</v>
      </c>
      <c r="M730" s="27" t="s">
        <v>513</v>
      </c>
    </row>
    <row r="731" spans="1:13" ht="25.5" x14ac:dyDescent="0.25">
      <c r="A731" s="22">
        <v>2026</v>
      </c>
      <c r="B731" s="23" t="s">
        <v>249</v>
      </c>
      <c r="C731" s="23" t="s">
        <v>90</v>
      </c>
      <c r="D731" s="23" t="s">
        <v>1273</v>
      </c>
      <c r="E731" s="24" t="s">
        <v>369</v>
      </c>
      <c r="F731" s="24" t="s">
        <v>1274</v>
      </c>
      <c r="G731" s="25" t="s">
        <v>1531</v>
      </c>
      <c r="H731" s="26">
        <v>0.27400000000000002</v>
      </c>
      <c r="I731" s="26"/>
      <c r="J731" s="26"/>
      <c r="K731" s="25" t="s">
        <v>550</v>
      </c>
      <c r="L731" s="24" t="s">
        <v>512</v>
      </c>
      <c r="M731" s="27" t="s">
        <v>513</v>
      </c>
    </row>
    <row r="732" spans="1:13" ht="25.5" x14ac:dyDescent="0.25">
      <c r="A732" s="22">
        <v>2026</v>
      </c>
      <c r="B732" s="23" t="s">
        <v>249</v>
      </c>
      <c r="C732" s="23" t="s">
        <v>90</v>
      </c>
      <c r="D732" s="23" t="s">
        <v>1273</v>
      </c>
      <c r="E732" s="24" t="s">
        <v>369</v>
      </c>
      <c r="F732" s="24" t="s">
        <v>1274</v>
      </c>
      <c r="G732" s="25" t="s">
        <v>1649</v>
      </c>
      <c r="H732" s="26">
        <v>0.27600000000000002</v>
      </c>
      <c r="I732" s="26"/>
      <c r="J732" s="26"/>
      <c r="K732" s="25" t="s">
        <v>550</v>
      </c>
      <c r="L732" s="24" t="s">
        <v>512</v>
      </c>
      <c r="M732" s="27" t="s">
        <v>513</v>
      </c>
    </row>
    <row r="733" spans="1:13" ht="25.5" x14ac:dyDescent="0.25">
      <c r="A733" s="22">
        <v>2026</v>
      </c>
      <c r="B733" s="23" t="s">
        <v>249</v>
      </c>
      <c r="C733" s="23" t="s">
        <v>90</v>
      </c>
      <c r="D733" s="23" t="s">
        <v>1273</v>
      </c>
      <c r="E733" s="24" t="s">
        <v>369</v>
      </c>
      <c r="F733" s="24" t="s">
        <v>1274</v>
      </c>
      <c r="G733" s="25" t="s">
        <v>1650</v>
      </c>
      <c r="H733" s="26">
        <v>0.27526</v>
      </c>
      <c r="I733" s="26"/>
      <c r="J733" s="26"/>
      <c r="K733" s="25" t="s">
        <v>550</v>
      </c>
      <c r="L733" s="24" t="s">
        <v>512</v>
      </c>
      <c r="M733" s="27" t="s">
        <v>513</v>
      </c>
    </row>
    <row r="734" spans="1:13" ht="25.5" x14ac:dyDescent="0.25">
      <c r="A734" s="22">
        <v>2026</v>
      </c>
      <c r="B734" s="23" t="s">
        <v>249</v>
      </c>
      <c r="C734" s="23" t="s">
        <v>90</v>
      </c>
      <c r="D734" s="23" t="s">
        <v>1273</v>
      </c>
      <c r="E734" s="24" t="s">
        <v>369</v>
      </c>
      <c r="F734" s="24" t="s">
        <v>1274</v>
      </c>
      <c r="G734" s="25" t="s">
        <v>1651</v>
      </c>
      <c r="H734" s="26">
        <v>0.27374999999999994</v>
      </c>
      <c r="I734" s="26"/>
      <c r="J734" s="26"/>
      <c r="K734" s="25" t="s">
        <v>550</v>
      </c>
      <c r="L734" s="24" t="s">
        <v>512</v>
      </c>
      <c r="M734" s="27" t="s">
        <v>513</v>
      </c>
    </row>
    <row r="735" spans="1:13" ht="25.5" x14ac:dyDescent="0.25">
      <c r="A735" s="22">
        <v>2026</v>
      </c>
      <c r="B735" s="23" t="s">
        <v>249</v>
      </c>
      <c r="C735" s="23" t="s">
        <v>90</v>
      </c>
      <c r="D735" s="23" t="s">
        <v>1273</v>
      </c>
      <c r="E735" s="24" t="s">
        <v>369</v>
      </c>
      <c r="F735" s="24" t="s">
        <v>1274</v>
      </c>
      <c r="G735" s="25" t="s">
        <v>1531</v>
      </c>
      <c r="H735" s="26">
        <v>0.27400000000000002</v>
      </c>
      <c r="I735" s="26"/>
      <c r="J735" s="26"/>
      <c r="K735" s="25" t="s">
        <v>550</v>
      </c>
      <c r="L735" s="24" t="s">
        <v>512</v>
      </c>
      <c r="M735" s="27" t="s">
        <v>513</v>
      </c>
    </row>
    <row r="736" spans="1:13" ht="25.5" x14ac:dyDescent="0.25">
      <c r="A736" s="22">
        <v>2026</v>
      </c>
      <c r="B736" s="23" t="s">
        <v>249</v>
      </c>
      <c r="C736" s="23" t="s">
        <v>90</v>
      </c>
      <c r="D736" s="23" t="s">
        <v>1273</v>
      </c>
      <c r="E736" s="24" t="s">
        <v>369</v>
      </c>
      <c r="F736" s="24" t="s">
        <v>1274</v>
      </c>
      <c r="G736" s="25" t="s">
        <v>1652</v>
      </c>
      <c r="H736" s="26">
        <v>0.27479999999999999</v>
      </c>
      <c r="I736" s="26"/>
      <c r="J736" s="26"/>
      <c r="K736" s="25" t="s">
        <v>550</v>
      </c>
      <c r="L736" s="24" t="s">
        <v>512</v>
      </c>
      <c r="M736" s="27" t="s">
        <v>513</v>
      </c>
    </row>
    <row r="737" spans="1:13" ht="25.5" x14ac:dyDescent="0.25">
      <c r="A737" s="22">
        <v>2026</v>
      </c>
      <c r="B737" s="23" t="s">
        <v>249</v>
      </c>
      <c r="C737" s="23" t="s">
        <v>90</v>
      </c>
      <c r="D737" s="23" t="s">
        <v>1273</v>
      </c>
      <c r="E737" s="24" t="s">
        <v>369</v>
      </c>
      <c r="F737" s="24" t="s">
        <v>1274</v>
      </c>
      <c r="G737" s="25" t="s">
        <v>1649</v>
      </c>
      <c r="H737" s="26">
        <v>0.27600000000000002</v>
      </c>
      <c r="I737" s="26"/>
      <c r="J737" s="26"/>
      <c r="K737" s="25" t="s">
        <v>550</v>
      </c>
      <c r="L737" s="24" t="s">
        <v>512</v>
      </c>
      <c r="M737" s="27" t="s">
        <v>513</v>
      </c>
    </row>
    <row r="738" spans="1:13" ht="25.5" x14ac:dyDescent="0.25">
      <c r="A738" s="22">
        <v>2026</v>
      </c>
      <c r="B738" s="23" t="s">
        <v>249</v>
      </c>
      <c r="C738" s="23" t="s">
        <v>90</v>
      </c>
      <c r="D738" s="23" t="s">
        <v>1273</v>
      </c>
      <c r="E738" s="24" t="s">
        <v>369</v>
      </c>
      <c r="F738" s="24" t="s">
        <v>1274</v>
      </c>
      <c r="G738" s="25" t="s">
        <v>1653</v>
      </c>
      <c r="H738" s="26">
        <v>0.27729999999999999</v>
      </c>
      <c r="I738" s="26"/>
      <c r="J738" s="26"/>
      <c r="K738" s="25" t="s">
        <v>550</v>
      </c>
      <c r="L738" s="24" t="s">
        <v>512</v>
      </c>
      <c r="M738" s="27" t="s">
        <v>513</v>
      </c>
    </row>
    <row r="739" spans="1:13" ht="25.5" x14ac:dyDescent="0.25">
      <c r="A739" s="22">
        <v>2026</v>
      </c>
      <c r="B739" s="23" t="s">
        <v>249</v>
      </c>
      <c r="C739" s="23" t="s">
        <v>90</v>
      </c>
      <c r="D739" s="23" t="s">
        <v>1273</v>
      </c>
      <c r="E739" s="24" t="s">
        <v>369</v>
      </c>
      <c r="F739" s="24" t="s">
        <v>1274</v>
      </c>
      <c r="G739" s="25" t="s">
        <v>1654</v>
      </c>
      <c r="H739" s="26">
        <v>0.55400000000000005</v>
      </c>
      <c r="I739" s="26"/>
      <c r="J739" s="26"/>
      <c r="K739" s="25" t="s">
        <v>550</v>
      </c>
      <c r="L739" s="24" t="s">
        <v>512</v>
      </c>
      <c r="M739" s="27" t="s">
        <v>513</v>
      </c>
    </row>
    <row r="740" spans="1:13" ht="25.5" x14ac:dyDescent="0.25">
      <c r="A740" s="22">
        <v>2026</v>
      </c>
      <c r="B740" s="23" t="s">
        <v>249</v>
      </c>
      <c r="C740" s="23" t="s">
        <v>90</v>
      </c>
      <c r="D740" s="23" t="s">
        <v>1273</v>
      </c>
      <c r="E740" s="24" t="s">
        <v>369</v>
      </c>
      <c r="F740" s="24" t="s">
        <v>1274</v>
      </c>
      <c r="G740" s="25" t="s">
        <v>1655</v>
      </c>
      <c r="H740" s="26">
        <v>1.318125</v>
      </c>
      <c r="I740" s="26"/>
      <c r="J740" s="26"/>
      <c r="K740" s="25" t="s">
        <v>550</v>
      </c>
      <c r="L740" s="24" t="s">
        <v>512</v>
      </c>
      <c r="M740" s="27" t="s">
        <v>513</v>
      </c>
    </row>
    <row r="741" spans="1:13" ht="25.5" x14ac:dyDescent="0.25">
      <c r="A741" s="22">
        <v>2026</v>
      </c>
      <c r="B741" s="23" t="s">
        <v>249</v>
      </c>
      <c r="C741" s="23" t="s">
        <v>90</v>
      </c>
      <c r="D741" s="23" t="s">
        <v>1273</v>
      </c>
      <c r="E741" s="24" t="s">
        <v>369</v>
      </c>
      <c r="F741" s="24" t="s">
        <v>1274</v>
      </c>
      <c r="G741" s="25" t="s">
        <v>1656</v>
      </c>
      <c r="H741" s="26">
        <v>0.42104999999999998</v>
      </c>
      <c r="I741" s="26"/>
      <c r="J741" s="26"/>
      <c r="K741" s="25" t="s">
        <v>550</v>
      </c>
      <c r="L741" s="24" t="s">
        <v>512</v>
      </c>
      <c r="M741" s="27" t="s">
        <v>513</v>
      </c>
    </row>
    <row r="742" spans="1:13" ht="25.5" x14ac:dyDescent="0.25">
      <c r="A742" s="22">
        <v>2026</v>
      </c>
      <c r="B742" s="23" t="s">
        <v>249</v>
      </c>
      <c r="C742" s="23" t="s">
        <v>90</v>
      </c>
      <c r="D742" s="23" t="s">
        <v>1273</v>
      </c>
      <c r="E742" s="24" t="s">
        <v>369</v>
      </c>
      <c r="F742" s="24" t="s">
        <v>1274</v>
      </c>
      <c r="G742" s="25" t="s">
        <v>1656</v>
      </c>
      <c r="H742" s="26">
        <v>0.42104999999999998</v>
      </c>
      <c r="I742" s="26"/>
      <c r="J742" s="26"/>
      <c r="K742" s="25" t="s">
        <v>550</v>
      </c>
      <c r="L742" s="24" t="s">
        <v>512</v>
      </c>
      <c r="M742" s="27" t="s">
        <v>513</v>
      </c>
    </row>
    <row r="743" spans="1:13" ht="25.5" x14ac:dyDescent="0.25">
      <c r="A743" s="22">
        <v>2026</v>
      </c>
      <c r="B743" s="23" t="s">
        <v>249</v>
      </c>
      <c r="C743" s="23" t="s">
        <v>90</v>
      </c>
      <c r="D743" s="23" t="s">
        <v>1273</v>
      </c>
      <c r="E743" s="24" t="s">
        <v>369</v>
      </c>
      <c r="F743" s="24" t="s">
        <v>1274</v>
      </c>
      <c r="G743" s="25" t="s">
        <v>1657</v>
      </c>
      <c r="H743" s="26">
        <v>0.80313000000000001</v>
      </c>
      <c r="I743" s="26"/>
      <c r="J743" s="26"/>
      <c r="K743" s="25" t="s">
        <v>550</v>
      </c>
      <c r="L743" s="24" t="s">
        <v>512</v>
      </c>
      <c r="M743" s="27" t="s">
        <v>513</v>
      </c>
    </row>
    <row r="744" spans="1:13" ht="25.5" x14ac:dyDescent="0.25">
      <c r="A744" s="22">
        <v>2026</v>
      </c>
      <c r="B744" s="23" t="s">
        <v>249</v>
      </c>
      <c r="C744" s="23" t="s">
        <v>90</v>
      </c>
      <c r="D744" s="23" t="s">
        <v>1273</v>
      </c>
      <c r="E744" s="24" t="s">
        <v>369</v>
      </c>
      <c r="F744" s="24" t="s">
        <v>1274</v>
      </c>
      <c r="G744" s="25" t="s">
        <v>1658</v>
      </c>
      <c r="H744" s="26">
        <v>1.8873899999999997</v>
      </c>
      <c r="I744" s="26"/>
      <c r="J744" s="26"/>
      <c r="K744" s="25" t="s">
        <v>550</v>
      </c>
      <c r="L744" s="24" t="s">
        <v>512</v>
      </c>
      <c r="M744" s="27" t="s">
        <v>513</v>
      </c>
    </row>
    <row r="745" spans="1:13" ht="25.5" x14ac:dyDescent="0.25">
      <c r="A745" s="22">
        <v>2026</v>
      </c>
      <c r="B745" s="23" t="s">
        <v>249</v>
      </c>
      <c r="C745" s="23" t="s">
        <v>90</v>
      </c>
      <c r="D745" s="23" t="s">
        <v>1273</v>
      </c>
      <c r="E745" s="24" t="s">
        <v>369</v>
      </c>
      <c r="F745" s="24" t="s">
        <v>1274</v>
      </c>
      <c r="G745" s="25" t="s">
        <v>1659</v>
      </c>
      <c r="H745" s="26">
        <v>3.5344099999999998</v>
      </c>
      <c r="I745" s="26"/>
      <c r="J745" s="26"/>
      <c r="K745" s="25" t="s">
        <v>550</v>
      </c>
      <c r="L745" s="24" t="s">
        <v>512</v>
      </c>
      <c r="M745" s="27" t="s">
        <v>513</v>
      </c>
    </row>
    <row r="746" spans="1:13" ht="25.5" x14ac:dyDescent="0.25">
      <c r="A746" s="22">
        <v>2026</v>
      </c>
      <c r="B746" s="23" t="s">
        <v>249</v>
      </c>
      <c r="C746" s="23" t="s">
        <v>90</v>
      </c>
      <c r="D746" s="23" t="s">
        <v>1273</v>
      </c>
      <c r="E746" s="24" t="s">
        <v>369</v>
      </c>
      <c r="F746" s="24" t="s">
        <v>1274</v>
      </c>
      <c r="G746" s="25" t="s">
        <v>1660</v>
      </c>
      <c r="H746" s="26">
        <v>0.30799999999999994</v>
      </c>
      <c r="I746" s="26"/>
      <c r="J746" s="26"/>
      <c r="K746" s="25" t="s">
        <v>550</v>
      </c>
      <c r="L746" s="24" t="s">
        <v>512</v>
      </c>
      <c r="M746" s="27" t="s">
        <v>513</v>
      </c>
    </row>
    <row r="747" spans="1:13" ht="25.5" x14ac:dyDescent="0.25">
      <c r="A747" s="22">
        <v>2026</v>
      </c>
      <c r="B747" s="23" t="s">
        <v>249</v>
      </c>
      <c r="C747" s="23" t="s">
        <v>90</v>
      </c>
      <c r="D747" s="23" t="s">
        <v>202</v>
      </c>
      <c r="E747" s="24" t="s">
        <v>369</v>
      </c>
      <c r="F747" s="24" t="s">
        <v>287</v>
      </c>
      <c r="G747" s="25" t="s">
        <v>1661</v>
      </c>
      <c r="H747" s="26">
        <v>0.14355000000000001</v>
      </c>
      <c r="I747" s="26"/>
      <c r="J747" s="26"/>
      <c r="K747" s="25" t="s">
        <v>550</v>
      </c>
      <c r="L747" s="24" t="s">
        <v>512</v>
      </c>
      <c r="M747" s="27" t="s">
        <v>513</v>
      </c>
    </row>
    <row r="748" spans="1:13" ht="25.5" x14ac:dyDescent="0.25">
      <c r="A748" s="22">
        <v>2026</v>
      </c>
      <c r="B748" s="23" t="s">
        <v>249</v>
      </c>
      <c r="C748" s="23" t="s">
        <v>90</v>
      </c>
      <c r="D748" s="23" t="s">
        <v>202</v>
      </c>
      <c r="E748" s="24" t="s">
        <v>369</v>
      </c>
      <c r="F748" s="24" t="s">
        <v>287</v>
      </c>
      <c r="G748" s="25" t="s">
        <v>1662</v>
      </c>
      <c r="H748" s="26">
        <v>9.4600000000000004E-2</v>
      </c>
      <c r="I748" s="26"/>
      <c r="J748" s="26"/>
      <c r="K748" s="25" t="s">
        <v>550</v>
      </c>
      <c r="L748" s="24" t="s">
        <v>512</v>
      </c>
      <c r="M748" s="27" t="s">
        <v>513</v>
      </c>
    </row>
    <row r="749" spans="1:13" ht="25.5" x14ac:dyDescent="0.25">
      <c r="A749" s="22">
        <v>2026</v>
      </c>
      <c r="B749" s="23" t="s">
        <v>249</v>
      </c>
      <c r="C749" s="23" t="s">
        <v>90</v>
      </c>
      <c r="D749" s="23" t="s">
        <v>1663</v>
      </c>
      <c r="E749" s="24" t="s">
        <v>369</v>
      </c>
      <c r="F749" s="24" t="s">
        <v>378</v>
      </c>
      <c r="G749" s="25" t="s">
        <v>1664</v>
      </c>
      <c r="H749" s="26">
        <v>4.6512799999999999</v>
      </c>
      <c r="I749" s="26"/>
      <c r="J749" s="26"/>
      <c r="K749" s="25" t="s">
        <v>550</v>
      </c>
      <c r="L749" s="24" t="s">
        <v>512</v>
      </c>
      <c r="M749" s="27" t="s">
        <v>513</v>
      </c>
    </row>
    <row r="750" spans="1:13" ht="25.5" x14ac:dyDescent="0.25">
      <c r="A750" s="22">
        <v>2026</v>
      </c>
      <c r="B750" s="23" t="s">
        <v>249</v>
      </c>
      <c r="C750" s="23" t="s">
        <v>90</v>
      </c>
      <c r="D750" s="23" t="s">
        <v>219</v>
      </c>
      <c r="E750" s="24" t="s">
        <v>403</v>
      </c>
      <c r="F750" s="24" t="s">
        <v>319</v>
      </c>
      <c r="G750" s="25" t="s">
        <v>1665</v>
      </c>
      <c r="H750" s="26">
        <v>1.1709000000000001</v>
      </c>
      <c r="I750" s="26"/>
      <c r="J750" s="26"/>
      <c r="K750" s="25" t="s">
        <v>550</v>
      </c>
      <c r="L750" s="24" t="s">
        <v>512</v>
      </c>
      <c r="M750" s="27" t="s">
        <v>513</v>
      </c>
    </row>
    <row r="751" spans="1:13" ht="25.5" x14ac:dyDescent="0.25">
      <c r="A751" s="22">
        <v>2026</v>
      </c>
      <c r="B751" s="23" t="s">
        <v>249</v>
      </c>
      <c r="C751" s="23" t="s">
        <v>90</v>
      </c>
      <c r="D751" s="23" t="s">
        <v>219</v>
      </c>
      <c r="E751" s="24" t="s">
        <v>403</v>
      </c>
      <c r="F751" s="24" t="s">
        <v>319</v>
      </c>
      <c r="G751" s="25" t="s">
        <v>1666</v>
      </c>
      <c r="H751" s="26">
        <v>0.29272500000000001</v>
      </c>
      <c r="I751" s="26"/>
      <c r="J751" s="26"/>
      <c r="K751" s="25" t="s">
        <v>550</v>
      </c>
      <c r="L751" s="24" t="s">
        <v>512</v>
      </c>
      <c r="M751" s="27" t="s">
        <v>513</v>
      </c>
    </row>
    <row r="752" spans="1:13" ht="25.5" x14ac:dyDescent="0.25">
      <c r="A752" s="22">
        <v>2026</v>
      </c>
      <c r="B752" s="23" t="s">
        <v>249</v>
      </c>
      <c r="C752" s="23" t="s">
        <v>90</v>
      </c>
      <c r="D752" s="23" t="s">
        <v>219</v>
      </c>
      <c r="E752" s="24" t="s">
        <v>403</v>
      </c>
      <c r="F752" s="24" t="s">
        <v>319</v>
      </c>
      <c r="G752" s="25" t="s">
        <v>1667</v>
      </c>
      <c r="H752" s="26">
        <v>3.4160061000000002</v>
      </c>
      <c r="I752" s="26"/>
      <c r="J752" s="26"/>
      <c r="K752" s="25" t="s">
        <v>550</v>
      </c>
      <c r="L752" s="24" t="s">
        <v>512</v>
      </c>
      <c r="M752" s="27" t="s">
        <v>513</v>
      </c>
    </row>
    <row r="753" spans="1:13" ht="25.5" x14ac:dyDescent="0.25">
      <c r="A753" s="22">
        <v>2026</v>
      </c>
      <c r="B753" s="23" t="s">
        <v>249</v>
      </c>
      <c r="C753" s="23" t="s">
        <v>90</v>
      </c>
      <c r="D753" s="23" t="s">
        <v>219</v>
      </c>
      <c r="E753" s="24" t="s">
        <v>403</v>
      </c>
      <c r="F753" s="24" t="s">
        <v>319</v>
      </c>
      <c r="G753" s="25" t="s">
        <v>1668</v>
      </c>
      <c r="H753" s="26">
        <v>0.29980000000000001</v>
      </c>
      <c r="I753" s="26"/>
      <c r="J753" s="26"/>
      <c r="K753" s="25" t="s">
        <v>550</v>
      </c>
      <c r="L753" s="24" t="s">
        <v>512</v>
      </c>
      <c r="M753" s="27" t="s">
        <v>513</v>
      </c>
    </row>
    <row r="754" spans="1:13" ht="25.5" x14ac:dyDescent="0.25">
      <c r="A754" s="22">
        <v>2026</v>
      </c>
      <c r="B754" s="23" t="s">
        <v>249</v>
      </c>
      <c r="C754" s="23" t="s">
        <v>90</v>
      </c>
      <c r="D754" s="23" t="s">
        <v>219</v>
      </c>
      <c r="E754" s="24" t="s">
        <v>403</v>
      </c>
      <c r="F754" s="24" t="s">
        <v>319</v>
      </c>
      <c r="G754" s="25" t="s">
        <v>1669</v>
      </c>
      <c r="H754" s="26">
        <v>0.29925000000000002</v>
      </c>
      <c r="I754" s="26"/>
      <c r="J754" s="26"/>
      <c r="K754" s="25" t="s">
        <v>550</v>
      </c>
      <c r="L754" s="24" t="s">
        <v>512</v>
      </c>
      <c r="M754" s="27" t="s">
        <v>513</v>
      </c>
    </row>
    <row r="755" spans="1:13" ht="25.5" x14ac:dyDescent="0.25">
      <c r="A755" s="22">
        <v>2026</v>
      </c>
      <c r="B755" s="23" t="s">
        <v>249</v>
      </c>
      <c r="C755" s="23" t="s">
        <v>90</v>
      </c>
      <c r="D755" s="23" t="s">
        <v>219</v>
      </c>
      <c r="E755" s="24" t="s">
        <v>403</v>
      </c>
      <c r="F755" s="24" t="s">
        <v>319</v>
      </c>
      <c r="G755" s="25" t="s">
        <v>1670</v>
      </c>
      <c r="H755" s="26">
        <v>0.89775000000000005</v>
      </c>
      <c r="I755" s="26"/>
      <c r="J755" s="26"/>
      <c r="K755" s="25" t="s">
        <v>550</v>
      </c>
      <c r="L755" s="24" t="s">
        <v>512</v>
      </c>
      <c r="M755" s="27" t="s">
        <v>513</v>
      </c>
    </row>
    <row r="756" spans="1:13" ht="25.5" x14ac:dyDescent="0.25">
      <c r="A756" s="22">
        <v>2026</v>
      </c>
      <c r="B756" s="23" t="s">
        <v>249</v>
      </c>
      <c r="C756" s="23" t="s">
        <v>90</v>
      </c>
      <c r="D756" s="23" t="s">
        <v>1285</v>
      </c>
      <c r="E756" s="24" t="s">
        <v>398</v>
      </c>
      <c r="F756" s="24" t="s">
        <v>1286</v>
      </c>
      <c r="G756" s="25" t="s">
        <v>1671</v>
      </c>
      <c r="H756" s="26">
        <v>0.37831967401</v>
      </c>
      <c r="I756" s="26"/>
      <c r="J756" s="26"/>
      <c r="K756" s="25" t="s">
        <v>550</v>
      </c>
      <c r="L756" s="24" t="s">
        <v>512</v>
      </c>
      <c r="M756" s="27" t="s">
        <v>513</v>
      </c>
    </row>
    <row r="757" spans="1:13" ht="25.5" x14ac:dyDescent="0.25">
      <c r="A757" s="22">
        <v>2026</v>
      </c>
      <c r="B757" s="23" t="s">
        <v>249</v>
      </c>
      <c r="C757" s="23" t="s">
        <v>90</v>
      </c>
      <c r="D757" s="23" t="s">
        <v>1285</v>
      </c>
      <c r="E757" s="24" t="s">
        <v>398</v>
      </c>
      <c r="F757" s="24" t="s">
        <v>1286</v>
      </c>
      <c r="G757" s="25" t="s">
        <v>1672</v>
      </c>
      <c r="H757" s="26">
        <v>0.24975387000000002</v>
      </c>
      <c r="I757" s="26"/>
      <c r="J757" s="26"/>
      <c r="K757" s="25" t="s">
        <v>550</v>
      </c>
      <c r="L757" s="24" t="s">
        <v>512</v>
      </c>
      <c r="M757" s="27" t="s">
        <v>513</v>
      </c>
    </row>
    <row r="758" spans="1:13" ht="25.5" x14ac:dyDescent="0.25">
      <c r="A758" s="22">
        <v>2026</v>
      </c>
      <c r="B758" s="23" t="s">
        <v>249</v>
      </c>
      <c r="C758" s="23" t="s">
        <v>90</v>
      </c>
      <c r="D758" s="23" t="s">
        <v>1285</v>
      </c>
      <c r="E758" s="24" t="s">
        <v>398</v>
      </c>
      <c r="F758" s="24" t="s">
        <v>1286</v>
      </c>
      <c r="G758" s="25" t="s">
        <v>1673</v>
      </c>
      <c r="H758" s="26">
        <v>0.41437499999999999</v>
      </c>
      <c r="I758" s="26"/>
      <c r="J758" s="26"/>
      <c r="K758" s="25" t="s">
        <v>550</v>
      </c>
      <c r="L758" s="24" t="s">
        <v>512</v>
      </c>
      <c r="M758" s="27" t="s">
        <v>513</v>
      </c>
    </row>
    <row r="759" spans="1:13" ht="38.25" x14ac:dyDescent="0.25">
      <c r="A759" s="22">
        <v>2026</v>
      </c>
      <c r="B759" s="23" t="s">
        <v>249</v>
      </c>
      <c r="C759" s="23" t="s">
        <v>90</v>
      </c>
      <c r="D759" s="23" t="s">
        <v>238</v>
      </c>
      <c r="E759" s="24" t="s">
        <v>435</v>
      </c>
      <c r="F759" s="24" t="s">
        <v>343</v>
      </c>
      <c r="G759" s="25" t="s">
        <v>1674</v>
      </c>
      <c r="H759" s="26">
        <v>2.7916607400000002</v>
      </c>
      <c r="I759" s="26"/>
      <c r="J759" s="26"/>
      <c r="K759" s="25"/>
      <c r="L759" s="24" t="s">
        <v>512</v>
      </c>
      <c r="M759" s="27" t="s">
        <v>513</v>
      </c>
    </row>
    <row r="760" spans="1:13" ht="25.5" x14ac:dyDescent="0.25">
      <c r="A760" s="22">
        <v>2026</v>
      </c>
      <c r="B760" s="23" t="s">
        <v>249</v>
      </c>
      <c r="C760" s="23" t="s">
        <v>90</v>
      </c>
      <c r="D760" s="23" t="s">
        <v>969</v>
      </c>
      <c r="E760" s="24" t="s">
        <v>970</v>
      </c>
      <c r="F760" s="24" t="s">
        <v>319</v>
      </c>
      <c r="G760" s="25" t="s">
        <v>1675</v>
      </c>
      <c r="H760" s="26">
        <v>9.3200000000000005E-2</v>
      </c>
      <c r="I760" s="26"/>
      <c r="J760" s="26"/>
      <c r="K760" s="25" t="s">
        <v>550</v>
      </c>
      <c r="L760" s="24" t="s">
        <v>512</v>
      </c>
      <c r="M760" s="27" t="s">
        <v>513</v>
      </c>
    </row>
    <row r="761" spans="1:13" ht="25.5" x14ac:dyDescent="0.25">
      <c r="A761" s="22">
        <v>2026</v>
      </c>
      <c r="B761" s="23" t="s">
        <v>249</v>
      </c>
      <c r="C761" s="23" t="s">
        <v>90</v>
      </c>
      <c r="D761" s="23" t="s">
        <v>1143</v>
      </c>
      <c r="E761" s="24" t="s">
        <v>352</v>
      </c>
      <c r="F761" s="24" t="s">
        <v>335</v>
      </c>
      <c r="G761" s="25" t="s">
        <v>1676</v>
      </c>
      <c r="H761" s="26">
        <v>1.2539999500000001</v>
      </c>
      <c r="I761" s="26"/>
      <c r="J761" s="26"/>
      <c r="K761" s="25" t="s">
        <v>550</v>
      </c>
      <c r="L761" s="24" t="s">
        <v>512</v>
      </c>
      <c r="M761" s="27" t="s">
        <v>513</v>
      </c>
    </row>
    <row r="762" spans="1:13" ht="25.5" x14ac:dyDescent="0.25">
      <c r="A762" s="22">
        <v>2026</v>
      </c>
      <c r="B762" s="23" t="s">
        <v>249</v>
      </c>
      <c r="C762" s="23" t="s">
        <v>90</v>
      </c>
      <c r="D762" s="23" t="s">
        <v>226</v>
      </c>
      <c r="E762" s="24" t="s">
        <v>415</v>
      </c>
      <c r="F762" s="24" t="s">
        <v>412</v>
      </c>
      <c r="G762" s="25" t="s">
        <v>1677</v>
      </c>
      <c r="H762" s="26">
        <v>2.2250000000000005</v>
      </c>
      <c r="I762" s="26"/>
      <c r="J762" s="26"/>
      <c r="K762" s="25" t="s">
        <v>550</v>
      </c>
      <c r="L762" s="24" t="s">
        <v>512</v>
      </c>
      <c r="M762" s="27" t="s">
        <v>513</v>
      </c>
    </row>
    <row r="763" spans="1:13" ht="25.5" x14ac:dyDescent="0.25">
      <c r="A763" s="22">
        <v>2026</v>
      </c>
      <c r="B763" s="23" t="s">
        <v>249</v>
      </c>
      <c r="C763" s="23" t="s">
        <v>90</v>
      </c>
      <c r="D763" s="23" t="s">
        <v>226</v>
      </c>
      <c r="E763" s="24" t="s">
        <v>415</v>
      </c>
      <c r="F763" s="24" t="s">
        <v>412</v>
      </c>
      <c r="G763" s="25" t="s">
        <v>1678</v>
      </c>
      <c r="H763" s="26">
        <v>0.56262500000000004</v>
      </c>
      <c r="I763" s="26"/>
      <c r="J763" s="26"/>
      <c r="K763" s="25" t="s">
        <v>550</v>
      </c>
      <c r="L763" s="24" t="s">
        <v>512</v>
      </c>
      <c r="M763" s="27" t="s">
        <v>513</v>
      </c>
    </row>
    <row r="764" spans="1:13" ht="25.5" x14ac:dyDescent="0.25">
      <c r="A764" s="22">
        <v>2026</v>
      </c>
      <c r="B764" s="23" t="s">
        <v>249</v>
      </c>
      <c r="C764" s="23" t="s">
        <v>90</v>
      </c>
      <c r="D764" s="23" t="s">
        <v>226</v>
      </c>
      <c r="E764" s="24" t="s">
        <v>415</v>
      </c>
      <c r="F764" s="24" t="s">
        <v>412</v>
      </c>
      <c r="G764" s="25" t="s">
        <v>1679</v>
      </c>
      <c r="H764" s="26">
        <v>0.33637499999999998</v>
      </c>
      <c r="I764" s="26"/>
      <c r="J764" s="26"/>
      <c r="K764" s="25" t="s">
        <v>550</v>
      </c>
      <c r="L764" s="24" t="s">
        <v>512</v>
      </c>
      <c r="M764" s="27" t="s">
        <v>513</v>
      </c>
    </row>
    <row r="765" spans="1:13" ht="25.5" x14ac:dyDescent="0.25">
      <c r="A765" s="22">
        <v>2026</v>
      </c>
      <c r="B765" s="23" t="s">
        <v>249</v>
      </c>
      <c r="C765" s="23" t="s">
        <v>90</v>
      </c>
      <c r="D765" s="23" t="s">
        <v>226</v>
      </c>
      <c r="E765" s="24" t="s">
        <v>415</v>
      </c>
      <c r="F765" s="24" t="s">
        <v>412</v>
      </c>
      <c r="G765" s="25" t="s">
        <v>1680</v>
      </c>
      <c r="H765" s="26">
        <v>1.57605</v>
      </c>
      <c r="I765" s="26"/>
      <c r="J765" s="26"/>
      <c r="K765" s="25" t="s">
        <v>550</v>
      </c>
      <c r="L765" s="24" t="s">
        <v>512</v>
      </c>
      <c r="M765" s="27" t="s">
        <v>513</v>
      </c>
    </row>
    <row r="766" spans="1:13" ht="25.5" x14ac:dyDescent="0.25">
      <c r="A766" s="22">
        <v>2026</v>
      </c>
      <c r="B766" s="23" t="s">
        <v>249</v>
      </c>
      <c r="C766" s="23" t="s">
        <v>90</v>
      </c>
      <c r="D766" s="23" t="s">
        <v>226</v>
      </c>
      <c r="E766" s="24" t="s">
        <v>415</v>
      </c>
      <c r="F766" s="24" t="s">
        <v>412</v>
      </c>
      <c r="G766" s="25" t="s">
        <v>1681</v>
      </c>
      <c r="H766" s="26">
        <v>0.471555</v>
      </c>
      <c r="I766" s="26"/>
      <c r="J766" s="26"/>
      <c r="K766" s="25" t="s">
        <v>550</v>
      </c>
      <c r="L766" s="24" t="s">
        <v>512</v>
      </c>
      <c r="M766" s="27" t="s">
        <v>513</v>
      </c>
    </row>
    <row r="767" spans="1:13" ht="25.5" x14ac:dyDescent="0.25">
      <c r="A767" s="22">
        <v>2026</v>
      </c>
      <c r="B767" s="23" t="s">
        <v>249</v>
      </c>
      <c r="C767" s="23" t="s">
        <v>90</v>
      </c>
      <c r="D767" s="23" t="s">
        <v>226</v>
      </c>
      <c r="E767" s="24" t="s">
        <v>415</v>
      </c>
      <c r="F767" s="24" t="s">
        <v>412</v>
      </c>
      <c r="G767" s="25" t="s">
        <v>1682</v>
      </c>
      <c r="H767" s="26">
        <v>0.21659999999999999</v>
      </c>
      <c r="I767" s="26"/>
      <c r="J767" s="26"/>
      <c r="K767" s="25" t="s">
        <v>550</v>
      </c>
      <c r="L767" s="24" t="s">
        <v>512</v>
      </c>
      <c r="M767" s="27" t="s">
        <v>513</v>
      </c>
    </row>
    <row r="768" spans="1:13" ht="25.5" x14ac:dyDescent="0.25">
      <c r="A768" s="22">
        <v>2026</v>
      </c>
      <c r="B768" s="23" t="s">
        <v>249</v>
      </c>
      <c r="C768" s="23" t="s">
        <v>90</v>
      </c>
      <c r="D768" s="23" t="s">
        <v>226</v>
      </c>
      <c r="E768" s="24" t="s">
        <v>415</v>
      </c>
      <c r="F768" s="24" t="s">
        <v>412</v>
      </c>
      <c r="G768" s="25" t="s">
        <v>1683</v>
      </c>
      <c r="H768" s="26">
        <v>0.88320000000000021</v>
      </c>
      <c r="I768" s="26"/>
      <c r="J768" s="26"/>
      <c r="K768" s="25" t="s">
        <v>550</v>
      </c>
      <c r="L768" s="24" t="s">
        <v>512</v>
      </c>
      <c r="M768" s="27" t="s">
        <v>513</v>
      </c>
    </row>
    <row r="769" spans="1:13" ht="25.5" x14ac:dyDescent="0.25">
      <c r="A769" s="22">
        <v>2026</v>
      </c>
      <c r="B769" s="23" t="s">
        <v>249</v>
      </c>
      <c r="C769" s="23" t="s">
        <v>90</v>
      </c>
      <c r="D769" s="23" t="s">
        <v>226</v>
      </c>
      <c r="E769" s="24" t="s">
        <v>415</v>
      </c>
      <c r="F769" s="24" t="s">
        <v>412</v>
      </c>
      <c r="G769" s="25" t="s">
        <v>1684</v>
      </c>
      <c r="H769" s="26">
        <v>0.33277499999999999</v>
      </c>
      <c r="I769" s="26"/>
      <c r="J769" s="26"/>
      <c r="K769" s="25" t="s">
        <v>550</v>
      </c>
      <c r="L769" s="24" t="s">
        <v>512</v>
      </c>
      <c r="M769" s="27" t="s">
        <v>513</v>
      </c>
    </row>
    <row r="770" spans="1:13" ht="25.5" x14ac:dyDescent="0.25">
      <c r="A770" s="22">
        <v>2026</v>
      </c>
      <c r="B770" s="23" t="s">
        <v>249</v>
      </c>
      <c r="C770" s="23" t="s">
        <v>90</v>
      </c>
      <c r="D770" s="23" t="s">
        <v>226</v>
      </c>
      <c r="E770" s="24" t="s">
        <v>415</v>
      </c>
      <c r="F770" s="24" t="s">
        <v>412</v>
      </c>
      <c r="G770" s="25" t="s">
        <v>1684</v>
      </c>
      <c r="H770" s="26">
        <v>0.33277499999999999</v>
      </c>
      <c r="I770" s="26"/>
      <c r="J770" s="26"/>
      <c r="K770" s="25" t="s">
        <v>550</v>
      </c>
      <c r="L770" s="24" t="s">
        <v>512</v>
      </c>
      <c r="M770" s="27" t="s">
        <v>513</v>
      </c>
    </row>
    <row r="771" spans="1:13" ht="25.5" x14ac:dyDescent="0.25">
      <c r="A771" s="22">
        <v>2026</v>
      </c>
      <c r="B771" s="23" t="s">
        <v>249</v>
      </c>
      <c r="C771" s="23" t="s">
        <v>90</v>
      </c>
      <c r="D771" s="23" t="s">
        <v>226</v>
      </c>
      <c r="E771" s="24" t="s">
        <v>415</v>
      </c>
      <c r="F771" s="24" t="s">
        <v>412</v>
      </c>
      <c r="G771" s="25" t="s">
        <v>1685</v>
      </c>
      <c r="H771" s="26">
        <v>1.13375</v>
      </c>
      <c r="I771" s="26"/>
      <c r="J771" s="26"/>
      <c r="K771" s="25" t="s">
        <v>550</v>
      </c>
      <c r="L771" s="24" t="s">
        <v>512</v>
      </c>
      <c r="M771" s="27" t="s">
        <v>513</v>
      </c>
    </row>
    <row r="772" spans="1:13" ht="25.5" x14ac:dyDescent="0.25">
      <c r="A772" s="22">
        <v>2026</v>
      </c>
      <c r="B772" s="23" t="s">
        <v>249</v>
      </c>
      <c r="C772" s="23" t="s">
        <v>90</v>
      </c>
      <c r="D772" s="23" t="s">
        <v>226</v>
      </c>
      <c r="E772" s="24" t="s">
        <v>415</v>
      </c>
      <c r="F772" s="24" t="s">
        <v>412</v>
      </c>
      <c r="G772" s="25" t="s">
        <v>1686</v>
      </c>
      <c r="H772" s="26">
        <v>3.0485000000000002</v>
      </c>
      <c r="I772" s="26"/>
      <c r="J772" s="26"/>
      <c r="K772" s="25" t="s">
        <v>550</v>
      </c>
      <c r="L772" s="24" t="s">
        <v>512</v>
      </c>
      <c r="M772" s="27" t="s">
        <v>513</v>
      </c>
    </row>
    <row r="773" spans="1:13" ht="25.5" x14ac:dyDescent="0.25">
      <c r="A773" s="22">
        <v>2026</v>
      </c>
      <c r="B773" s="23" t="s">
        <v>249</v>
      </c>
      <c r="C773" s="23" t="s">
        <v>90</v>
      </c>
      <c r="D773" s="23" t="s">
        <v>1048</v>
      </c>
      <c r="E773" s="24" t="s">
        <v>398</v>
      </c>
      <c r="F773" s="24" t="s">
        <v>353</v>
      </c>
      <c r="G773" s="25" t="s">
        <v>1687</v>
      </c>
      <c r="H773" s="26">
        <v>1.7859499999999999</v>
      </c>
      <c r="I773" s="26"/>
      <c r="J773" s="26"/>
      <c r="K773" s="25" t="s">
        <v>550</v>
      </c>
      <c r="L773" s="24" t="s">
        <v>512</v>
      </c>
      <c r="M773" s="27" t="s">
        <v>513</v>
      </c>
    </row>
    <row r="774" spans="1:13" ht="25.5" x14ac:dyDescent="0.25">
      <c r="A774" s="22">
        <v>2026</v>
      </c>
      <c r="B774" s="23" t="s">
        <v>249</v>
      </c>
      <c r="C774" s="23" t="s">
        <v>90</v>
      </c>
      <c r="D774" s="23" t="s">
        <v>1048</v>
      </c>
      <c r="E774" s="24" t="s">
        <v>398</v>
      </c>
      <c r="F774" s="24" t="s">
        <v>353</v>
      </c>
      <c r="G774" s="25" t="s">
        <v>1688</v>
      </c>
      <c r="H774" s="26">
        <v>1.1328849999999999</v>
      </c>
      <c r="I774" s="26"/>
      <c r="J774" s="26"/>
      <c r="K774" s="25" t="s">
        <v>550</v>
      </c>
      <c r="L774" s="24" t="s">
        <v>512</v>
      </c>
      <c r="M774" s="27" t="s">
        <v>513</v>
      </c>
    </row>
    <row r="775" spans="1:13" ht="25.5" x14ac:dyDescent="0.25">
      <c r="A775" s="22">
        <v>2026</v>
      </c>
      <c r="B775" s="23" t="s">
        <v>249</v>
      </c>
      <c r="C775" s="23" t="s">
        <v>90</v>
      </c>
      <c r="D775" s="23" t="s">
        <v>1048</v>
      </c>
      <c r="E775" s="24" t="s">
        <v>398</v>
      </c>
      <c r="F775" s="24" t="s">
        <v>353</v>
      </c>
      <c r="G775" s="25" t="s">
        <v>1689</v>
      </c>
      <c r="H775" s="26">
        <v>0.2976375</v>
      </c>
      <c r="I775" s="26"/>
      <c r="J775" s="26"/>
      <c r="K775" s="25" t="s">
        <v>550</v>
      </c>
      <c r="L775" s="24" t="s">
        <v>512</v>
      </c>
      <c r="M775" s="27" t="s">
        <v>513</v>
      </c>
    </row>
    <row r="776" spans="1:13" ht="25.5" x14ac:dyDescent="0.25">
      <c r="A776" s="22">
        <v>2026</v>
      </c>
      <c r="B776" s="23" t="s">
        <v>249</v>
      </c>
      <c r="C776" s="23" t="s">
        <v>90</v>
      </c>
      <c r="D776" s="23" t="s">
        <v>1048</v>
      </c>
      <c r="E776" s="24" t="s">
        <v>398</v>
      </c>
      <c r="F776" s="24" t="s">
        <v>353</v>
      </c>
      <c r="G776" s="25" t="s">
        <v>1690</v>
      </c>
      <c r="H776" s="26">
        <v>2.1150000000000002</v>
      </c>
      <c r="I776" s="26"/>
      <c r="J776" s="26"/>
      <c r="K776" s="25" t="s">
        <v>550</v>
      </c>
      <c r="L776" s="24" t="s">
        <v>512</v>
      </c>
      <c r="M776" s="27" t="s">
        <v>513</v>
      </c>
    </row>
  </sheetData>
  <autoFilter ref="A3:M633" xr:uid="{ABADB00E-576E-4D12-A2FA-C77F2E5E104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1972-A5F3-4C7F-9683-67DFFF81D5E5}">
  <dimension ref="A1:L7923"/>
  <sheetViews>
    <sheetView showGridLines="0" zoomScaleNormal="100" workbookViewId="0">
      <pane ySplit="3" topLeftCell="A4" activePane="bottomLeft" state="frozen"/>
      <selection pane="bottomLeft"/>
    </sheetView>
  </sheetViews>
  <sheetFormatPr defaultRowHeight="15" x14ac:dyDescent="0.25"/>
  <cols>
    <col min="1" max="1" width="8.85546875" customWidth="1"/>
    <col min="2" max="2" width="8.5703125" bestFit="1" customWidth="1"/>
    <col min="3" max="3" width="15.140625" customWidth="1"/>
    <col min="4" max="4" width="38.140625" bestFit="1" customWidth="1"/>
    <col min="5" max="5" width="35.28515625" bestFit="1" customWidth="1"/>
    <col min="6" max="6" width="30.5703125" bestFit="1" customWidth="1"/>
    <col min="7" max="7" width="73.28515625" customWidth="1"/>
  </cols>
  <sheetData>
    <row r="1" spans="1:11" x14ac:dyDescent="0.25">
      <c r="A1" s="14" t="s">
        <v>166</v>
      </c>
      <c r="B1" s="15"/>
      <c r="C1" s="15"/>
      <c r="D1" s="15"/>
      <c r="E1" s="15"/>
      <c r="F1" s="15"/>
      <c r="G1" s="16"/>
      <c r="H1" s="17"/>
      <c r="I1" s="15"/>
      <c r="J1" s="15"/>
      <c r="K1" s="15"/>
    </row>
    <row r="2" spans="1:11" x14ac:dyDescent="0.25">
      <c r="A2" s="18" t="s">
        <v>0</v>
      </c>
      <c r="B2" s="19"/>
      <c r="C2" s="19"/>
      <c r="D2" s="19"/>
      <c r="E2" s="19"/>
      <c r="F2" s="19"/>
      <c r="G2" s="20"/>
      <c r="H2" s="21"/>
      <c r="I2" s="19"/>
      <c r="J2" s="19"/>
      <c r="K2" s="19"/>
    </row>
    <row r="3" spans="1:11" ht="38.25" x14ac:dyDescent="0.25">
      <c r="A3" s="62" t="s">
        <v>1</v>
      </c>
      <c r="B3" s="63" t="s">
        <v>2</v>
      </c>
      <c r="C3" s="63" t="s">
        <v>3</v>
      </c>
      <c r="D3" s="63" t="s">
        <v>96</v>
      </c>
      <c r="E3" s="63" t="s">
        <v>4</v>
      </c>
      <c r="F3" s="63" t="s">
        <v>5</v>
      </c>
      <c r="G3" s="62" t="s">
        <v>6</v>
      </c>
      <c r="H3" s="64" t="s">
        <v>7</v>
      </c>
      <c r="I3" s="62" t="s">
        <v>10</v>
      </c>
      <c r="J3" s="62" t="s">
        <v>11</v>
      </c>
      <c r="K3" s="62" t="s">
        <v>12</v>
      </c>
    </row>
    <row r="4" spans="1:11" ht="25.5" x14ac:dyDescent="0.25">
      <c r="A4" s="22">
        <v>2026</v>
      </c>
      <c r="B4" s="28" t="s">
        <v>167</v>
      </c>
      <c r="C4" s="28" t="s">
        <v>97</v>
      </c>
      <c r="D4" s="28" t="s">
        <v>1692</v>
      </c>
      <c r="E4" s="29" t="s">
        <v>352</v>
      </c>
      <c r="F4" s="29" t="s">
        <v>576</v>
      </c>
      <c r="G4" s="25" t="s">
        <v>1824</v>
      </c>
      <c r="H4" s="26">
        <v>-0.28199999999999997</v>
      </c>
      <c r="I4" s="26"/>
      <c r="J4" s="26" t="s">
        <v>512</v>
      </c>
      <c r="K4" s="25" t="s">
        <v>513</v>
      </c>
    </row>
    <row r="5" spans="1:11" ht="25.5" x14ac:dyDescent="0.25">
      <c r="A5" s="22">
        <v>2026</v>
      </c>
      <c r="B5" s="28" t="s">
        <v>167</v>
      </c>
      <c r="C5" s="28" t="s">
        <v>97</v>
      </c>
      <c r="D5" s="28" t="s">
        <v>1692</v>
      </c>
      <c r="E5" s="29" t="s">
        <v>352</v>
      </c>
      <c r="F5" s="29" t="s">
        <v>576</v>
      </c>
      <c r="G5" s="25" t="s">
        <v>1825</v>
      </c>
      <c r="H5" s="26">
        <v>-0.31874999999999998</v>
      </c>
      <c r="I5" s="26"/>
      <c r="J5" s="26" t="s">
        <v>512</v>
      </c>
      <c r="K5" s="25" t="s">
        <v>513</v>
      </c>
    </row>
    <row r="6" spans="1:11" ht="25.5" x14ac:dyDescent="0.25">
      <c r="A6" s="22">
        <v>2026</v>
      </c>
      <c r="B6" s="28" t="s">
        <v>167</v>
      </c>
      <c r="C6" s="28" t="s">
        <v>97</v>
      </c>
      <c r="D6" s="28" t="s">
        <v>1692</v>
      </c>
      <c r="E6" s="29" t="s">
        <v>352</v>
      </c>
      <c r="F6" s="29" t="s">
        <v>576</v>
      </c>
      <c r="G6" s="25" t="s">
        <v>1826</v>
      </c>
      <c r="H6" s="26">
        <v>-0.56642400000000004</v>
      </c>
      <c r="I6" s="26"/>
      <c r="J6" s="26" t="s">
        <v>512</v>
      </c>
      <c r="K6" s="25" t="s">
        <v>513</v>
      </c>
    </row>
    <row r="7" spans="1:11" ht="25.5" x14ac:dyDescent="0.25">
      <c r="A7" s="22">
        <v>2026</v>
      </c>
      <c r="B7" s="28" t="s">
        <v>167</v>
      </c>
      <c r="C7" s="28" t="s">
        <v>97</v>
      </c>
      <c r="D7" s="28" t="s">
        <v>1692</v>
      </c>
      <c r="E7" s="29" t="s">
        <v>352</v>
      </c>
      <c r="F7" s="29" t="s">
        <v>576</v>
      </c>
      <c r="G7" s="25" t="s">
        <v>1827</v>
      </c>
      <c r="H7" s="26">
        <v>-0.28649999999999998</v>
      </c>
      <c r="I7" s="26"/>
      <c r="J7" s="26" t="s">
        <v>512</v>
      </c>
      <c r="K7" s="25" t="s">
        <v>513</v>
      </c>
    </row>
    <row r="8" spans="1:11" ht="25.5" x14ac:dyDescent="0.25">
      <c r="A8" s="22">
        <v>2026</v>
      </c>
      <c r="B8" s="28" t="s">
        <v>167</v>
      </c>
      <c r="C8" s="28" t="s">
        <v>97</v>
      </c>
      <c r="D8" s="28" t="s">
        <v>1692</v>
      </c>
      <c r="E8" s="29" t="s">
        <v>352</v>
      </c>
      <c r="F8" s="29" t="s">
        <v>576</v>
      </c>
      <c r="G8" s="25" t="s">
        <v>1828</v>
      </c>
      <c r="H8" s="26">
        <v>-0.18975</v>
      </c>
      <c r="I8" s="26"/>
      <c r="J8" s="26" t="s">
        <v>512</v>
      </c>
      <c r="K8" s="25" t="s">
        <v>513</v>
      </c>
    </row>
    <row r="9" spans="1:11" ht="25.5" x14ac:dyDescent="0.25">
      <c r="A9" s="22">
        <v>2026</v>
      </c>
      <c r="B9" s="28" t="s">
        <v>167</v>
      </c>
      <c r="C9" s="28" t="s">
        <v>97</v>
      </c>
      <c r="D9" s="28" t="s">
        <v>1693</v>
      </c>
      <c r="E9" s="29" t="s">
        <v>352</v>
      </c>
      <c r="F9" s="29" t="s">
        <v>903</v>
      </c>
      <c r="G9" s="25" t="s">
        <v>1829</v>
      </c>
      <c r="H9" s="26">
        <v>-0.1168488</v>
      </c>
      <c r="I9" s="26"/>
      <c r="J9" s="26" t="s">
        <v>512</v>
      </c>
      <c r="K9" s="25" t="s">
        <v>513</v>
      </c>
    </row>
    <row r="10" spans="1:11" ht="25.5" x14ac:dyDescent="0.25">
      <c r="A10" s="22">
        <v>2026</v>
      </c>
      <c r="B10" s="28" t="s">
        <v>167</v>
      </c>
      <c r="C10" s="28" t="s">
        <v>97</v>
      </c>
      <c r="D10" s="28" t="s">
        <v>1693</v>
      </c>
      <c r="E10" s="29" t="s">
        <v>352</v>
      </c>
      <c r="F10" s="29" t="s">
        <v>903</v>
      </c>
      <c r="G10" s="25" t="s">
        <v>1830</v>
      </c>
      <c r="H10" s="26">
        <v>-0.27377245</v>
      </c>
      <c r="I10" s="26"/>
      <c r="J10" s="26" t="s">
        <v>512</v>
      </c>
      <c r="K10" s="25" t="s">
        <v>513</v>
      </c>
    </row>
    <row r="11" spans="1:11" ht="25.5" x14ac:dyDescent="0.25">
      <c r="A11" s="22">
        <v>2026</v>
      </c>
      <c r="B11" s="28" t="s">
        <v>167</v>
      </c>
      <c r="C11" s="28" t="s">
        <v>97</v>
      </c>
      <c r="D11" s="28" t="s">
        <v>1693</v>
      </c>
      <c r="E11" s="29" t="s">
        <v>352</v>
      </c>
      <c r="F11" s="29" t="s">
        <v>903</v>
      </c>
      <c r="G11" s="25" t="s">
        <v>1831</v>
      </c>
      <c r="H11" s="26">
        <v>-0.23270850000000001</v>
      </c>
      <c r="I11" s="26"/>
      <c r="J11" s="26" t="s">
        <v>512</v>
      </c>
      <c r="K11" s="25" t="s">
        <v>513</v>
      </c>
    </row>
    <row r="12" spans="1:11" ht="25.5" x14ac:dyDescent="0.25">
      <c r="A12" s="22">
        <v>2026</v>
      </c>
      <c r="B12" s="28" t="s">
        <v>167</v>
      </c>
      <c r="C12" s="28" t="s">
        <v>97</v>
      </c>
      <c r="D12" s="28" t="s">
        <v>1693</v>
      </c>
      <c r="E12" s="29" t="s">
        <v>352</v>
      </c>
      <c r="F12" s="29" t="s">
        <v>903</v>
      </c>
      <c r="G12" s="25" t="s">
        <v>1832</v>
      </c>
      <c r="H12" s="26">
        <v>-0.19213649999999999</v>
      </c>
      <c r="I12" s="26"/>
      <c r="J12" s="26" t="s">
        <v>512</v>
      </c>
      <c r="K12" s="25" t="s">
        <v>513</v>
      </c>
    </row>
    <row r="13" spans="1:11" ht="25.5" x14ac:dyDescent="0.25">
      <c r="A13" s="22">
        <v>2026</v>
      </c>
      <c r="B13" s="28" t="s">
        <v>167</v>
      </c>
      <c r="C13" s="28" t="s">
        <v>97</v>
      </c>
      <c r="D13" s="28" t="s">
        <v>1693</v>
      </c>
      <c r="E13" s="29" t="s">
        <v>352</v>
      </c>
      <c r="F13" s="29" t="s">
        <v>903</v>
      </c>
      <c r="G13" s="25" t="s">
        <v>1833</v>
      </c>
      <c r="H13" s="26">
        <v>-0.19088050000000001</v>
      </c>
      <c r="I13" s="26"/>
      <c r="J13" s="26" t="s">
        <v>512</v>
      </c>
      <c r="K13" s="25" t="s">
        <v>513</v>
      </c>
    </row>
    <row r="14" spans="1:11" ht="25.5" x14ac:dyDescent="0.25">
      <c r="A14" s="22">
        <v>2026</v>
      </c>
      <c r="B14" s="28" t="s">
        <v>167</v>
      </c>
      <c r="C14" s="28" t="s">
        <v>97</v>
      </c>
      <c r="D14" s="28" t="s">
        <v>1693</v>
      </c>
      <c r="E14" s="29" t="s">
        <v>352</v>
      </c>
      <c r="F14" s="29" t="s">
        <v>903</v>
      </c>
      <c r="G14" s="25" t="s">
        <v>1834</v>
      </c>
      <c r="H14" s="26">
        <v>-0.22869869999999998</v>
      </c>
      <c r="I14" s="26"/>
      <c r="J14" s="26" t="s">
        <v>512</v>
      </c>
      <c r="K14" s="25" t="s">
        <v>513</v>
      </c>
    </row>
    <row r="15" spans="1:11" ht="25.5" x14ac:dyDescent="0.25">
      <c r="A15" s="22">
        <v>2026</v>
      </c>
      <c r="B15" s="28" t="s">
        <v>167</v>
      </c>
      <c r="C15" s="28" t="s">
        <v>97</v>
      </c>
      <c r="D15" s="28" t="s">
        <v>1693</v>
      </c>
      <c r="E15" s="29" t="s">
        <v>352</v>
      </c>
      <c r="F15" s="29" t="s">
        <v>903</v>
      </c>
      <c r="G15" s="25" t="s">
        <v>1835</v>
      </c>
      <c r="H15" s="26">
        <v>-0.1519954</v>
      </c>
      <c r="I15" s="26"/>
      <c r="J15" s="26" t="s">
        <v>512</v>
      </c>
      <c r="K15" s="25" t="s">
        <v>513</v>
      </c>
    </row>
    <row r="16" spans="1:11" ht="25.5" x14ac:dyDescent="0.25">
      <c r="A16" s="22">
        <v>2026</v>
      </c>
      <c r="B16" s="28" t="s">
        <v>167</v>
      </c>
      <c r="C16" s="28" t="s">
        <v>97</v>
      </c>
      <c r="D16" s="28" t="s">
        <v>1693</v>
      </c>
      <c r="E16" s="29" t="s">
        <v>352</v>
      </c>
      <c r="F16" s="29" t="s">
        <v>903</v>
      </c>
      <c r="G16" s="25" t="s">
        <v>1836</v>
      </c>
      <c r="H16" s="26">
        <v>-0.15896414519999999</v>
      </c>
      <c r="I16" s="26"/>
      <c r="J16" s="26" t="s">
        <v>512</v>
      </c>
      <c r="K16" s="25" t="s">
        <v>513</v>
      </c>
    </row>
    <row r="17" spans="1:11" ht="25.5" x14ac:dyDescent="0.25">
      <c r="A17" s="22">
        <v>2026</v>
      </c>
      <c r="B17" s="28" t="s">
        <v>167</v>
      </c>
      <c r="C17" s="28" t="s">
        <v>97</v>
      </c>
      <c r="D17" s="28" t="s">
        <v>1693</v>
      </c>
      <c r="E17" s="29" t="s">
        <v>352</v>
      </c>
      <c r="F17" s="29" t="s">
        <v>903</v>
      </c>
      <c r="G17" s="25" t="s">
        <v>1837</v>
      </c>
      <c r="H17" s="26">
        <v>-0.14534606375</v>
      </c>
      <c r="I17" s="26"/>
      <c r="J17" s="26" t="s">
        <v>512</v>
      </c>
      <c r="K17" s="25" t="s">
        <v>513</v>
      </c>
    </row>
    <row r="18" spans="1:11" ht="25.5" x14ac:dyDescent="0.25">
      <c r="A18" s="22">
        <v>2026</v>
      </c>
      <c r="B18" s="28" t="s">
        <v>167</v>
      </c>
      <c r="C18" s="28" t="s">
        <v>97</v>
      </c>
      <c r="D18" s="28" t="s">
        <v>1693</v>
      </c>
      <c r="E18" s="29" t="s">
        <v>352</v>
      </c>
      <c r="F18" s="29" t="s">
        <v>903</v>
      </c>
      <c r="G18" s="25" t="s">
        <v>1838</v>
      </c>
      <c r="H18" s="26">
        <v>-7.3746300000000001E-2</v>
      </c>
      <c r="I18" s="26"/>
      <c r="J18" s="26" t="s">
        <v>512</v>
      </c>
      <c r="K18" s="25" t="s">
        <v>513</v>
      </c>
    </row>
    <row r="19" spans="1:11" ht="25.5" x14ac:dyDescent="0.25">
      <c r="A19" s="22">
        <v>2026</v>
      </c>
      <c r="B19" s="28" t="s">
        <v>167</v>
      </c>
      <c r="C19" s="28" t="s">
        <v>97</v>
      </c>
      <c r="D19" s="28" t="s">
        <v>1693</v>
      </c>
      <c r="E19" s="29" t="s">
        <v>352</v>
      </c>
      <c r="F19" s="29" t="s">
        <v>903</v>
      </c>
      <c r="G19" s="25" t="s">
        <v>1839</v>
      </c>
      <c r="H19" s="26">
        <v>-7.3200000000000001E-2</v>
      </c>
      <c r="I19" s="26"/>
      <c r="J19" s="26" t="s">
        <v>512</v>
      </c>
      <c r="K19" s="25" t="s">
        <v>513</v>
      </c>
    </row>
    <row r="20" spans="1:11" ht="25.5" x14ac:dyDescent="0.25">
      <c r="A20" s="22">
        <v>2026</v>
      </c>
      <c r="B20" s="28" t="s">
        <v>167</v>
      </c>
      <c r="C20" s="28" t="s">
        <v>97</v>
      </c>
      <c r="D20" s="28" t="s">
        <v>1693</v>
      </c>
      <c r="E20" s="29" t="s">
        <v>352</v>
      </c>
      <c r="F20" s="29" t="s">
        <v>903</v>
      </c>
      <c r="G20" s="25" t="s">
        <v>1840</v>
      </c>
      <c r="H20" s="26">
        <v>-4.3799999999999999E-2</v>
      </c>
      <c r="I20" s="26"/>
      <c r="J20" s="26" t="s">
        <v>512</v>
      </c>
      <c r="K20" s="25" t="s">
        <v>513</v>
      </c>
    </row>
    <row r="21" spans="1:11" ht="25.5" x14ac:dyDescent="0.25">
      <c r="A21" s="22">
        <v>2026</v>
      </c>
      <c r="B21" s="28" t="s">
        <v>167</v>
      </c>
      <c r="C21" s="28" t="s">
        <v>97</v>
      </c>
      <c r="D21" s="28" t="s">
        <v>1693</v>
      </c>
      <c r="E21" s="29" t="s">
        <v>352</v>
      </c>
      <c r="F21" s="29" t="s">
        <v>903</v>
      </c>
      <c r="G21" s="25" t="s">
        <v>1841</v>
      </c>
      <c r="H21" s="26">
        <v>-8.6022120000000007E-2</v>
      </c>
      <c r="I21" s="26"/>
      <c r="J21" s="26" t="s">
        <v>512</v>
      </c>
      <c r="K21" s="25" t="s">
        <v>513</v>
      </c>
    </row>
    <row r="22" spans="1:11" ht="25.5" x14ac:dyDescent="0.25">
      <c r="A22" s="22">
        <v>2026</v>
      </c>
      <c r="B22" s="28" t="s">
        <v>167</v>
      </c>
      <c r="C22" s="28" t="s">
        <v>97</v>
      </c>
      <c r="D22" s="28" t="s">
        <v>1693</v>
      </c>
      <c r="E22" s="29" t="s">
        <v>352</v>
      </c>
      <c r="F22" s="29" t="s">
        <v>903</v>
      </c>
      <c r="G22" s="25" t="s">
        <v>1842</v>
      </c>
      <c r="H22" s="26">
        <v>-8.5013640000000001E-2</v>
      </c>
      <c r="I22" s="26"/>
      <c r="J22" s="26" t="s">
        <v>512</v>
      </c>
      <c r="K22" s="25" t="s">
        <v>513</v>
      </c>
    </row>
    <row r="23" spans="1:11" ht="25.5" x14ac:dyDescent="0.25">
      <c r="A23" s="22">
        <v>2026</v>
      </c>
      <c r="B23" s="28" t="s">
        <v>167</v>
      </c>
      <c r="C23" s="28" t="s">
        <v>97</v>
      </c>
      <c r="D23" s="28" t="s">
        <v>1693</v>
      </c>
      <c r="E23" s="29" t="s">
        <v>352</v>
      </c>
      <c r="F23" s="29" t="s">
        <v>903</v>
      </c>
      <c r="G23" s="25" t="s">
        <v>1843</v>
      </c>
      <c r="H23" s="26">
        <v>-1.7600000000000001E-2</v>
      </c>
      <c r="I23" s="26"/>
      <c r="J23" s="26" t="s">
        <v>512</v>
      </c>
      <c r="K23" s="25" t="s">
        <v>513</v>
      </c>
    </row>
    <row r="24" spans="1:11" ht="25.5" x14ac:dyDescent="0.25">
      <c r="A24" s="22">
        <v>2026</v>
      </c>
      <c r="B24" s="28" t="s">
        <v>167</v>
      </c>
      <c r="C24" s="28" t="s">
        <v>97</v>
      </c>
      <c r="D24" s="28" t="s">
        <v>1693</v>
      </c>
      <c r="E24" s="29" t="s">
        <v>352</v>
      </c>
      <c r="F24" s="29" t="s">
        <v>903</v>
      </c>
      <c r="G24" s="25" t="s">
        <v>1844</v>
      </c>
      <c r="H24" s="26">
        <v>-6.7144385000000001E-2</v>
      </c>
      <c r="I24" s="26"/>
      <c r="J24" s="26" t="s">
        <v>512</v>
      </c>
      <c r="K24" s="25" t="s">
        <v>513</v>
      </c>
    </row>
    <row r="25" spans="1:11" ht="25.5" x14ac:dyDescent="0.25">
      <c r="A25" s="22">
        <v>2026</v>
      </c>
      <c r="B25" s="28" t="s">
        <v>167</v>
      </c>
      <c r="C25" s="28" t="s">
        <v>97</v>
      </c>
      <c r="D25" s="28" t="s">
        <v>1693</v>
      </c>
      <c r="E25" s="29" t="s">
        <v>352</v>
      </c>
      <c r="F25" s="29" t="s">
        <v>903</v>
      </c>
      <c r="G25" s="25" t="s">
        <v>1845</v>
      </c>
      <c r="H25" s="26">
        <v>-6.3516059999999999E-2</v>
      </c>
      <c r="I25" s="26"/>
      <c r="J25" s="26" t="s">
        <v>512</v>
      </c>
      <c r="K25" s="25" t="s">
        <v>513</v>
      </c>
    </row>
    <row r="26" spans="1:11" ht="25.5" x14ac:dyDescent="0.25">
      <c r="A26" s="22">
        <v>2026</v>
      </c>
      <c r="B26" s="28" t="s">
        <v>167</v>
      </c>
      <c r="C26" s="28" t="s">
        <v>97</v>
      </c>
      <c r="D26" s="28" t="s">
        <v>1693</v>
      </c>
      <c r="E26" s="29" t="s">
        <v>352</v>
      </c>
      <c r="F26" s="29" t="s">
        <v>903</v>
      </c>
      <c r="G26" s="25" t="s">
        <v>1846</v>
      </c>
      <c r="H26" s="26">
        <v>-6.4332449999999999E-2</v>
      </c>
      <c r="I26" s="26"/>
      <c r="J26" s="26" t="s">
        <v>512</v>
      </c>
      <c r="K26" s="25" t="s">
        <v>513</v>
      </c>
    </row>
    <row r="27" spans="1:11" ht="25.5" x14ac:dyDescent="0.25">
      <c r="A27" s="22">
        <v>2026</v>
      </c>
      <c r="B27" s="28" t="s">
        <v>167</v>
      </c>
      <c r="C27" s="28" t="s">
        <v>97</v>
      </c>
      <c r="D27" s="28" t="s">
        <v>1694</v>
      </c>
      <c r="E27" s="29" t="s">
        <v>352</v>
      </c>
      <c r="F27" s="29" t="s">
        <v>343</v>
      </c>
      <c r="G27" s="25" t="s">
        <v>1847</v>
      </c>
      <c r="H27" s="26">
        <v>-0.25327701056000002</v>
      </c>
      <c r="I27" s="26"/>
      <c r="J27" s="26" t="s">
        <v>512</v>
      </c>
      <c r="K27" s="25" t="s">
        <v>513</v>
      </c>
    </row>
    <row r="28" spans="1:11" ht="25.5" x14ac:dyDescent="0.25">
      <c r="A28" s="22">
        <v>2026</v>
      </c>
      <c r="B28" s="28" t="s">
        <v>167</v>
      </c>
      <c r="C28" s="28" t="s">
        <v>97</v>
      </c>
      <c r="D28" s="28" t="s">
        <v>1694</v>
      </c>
      <c r="E28" s="29" t="s">
        <v>352</v>
      </c>
      <c r="F28" s="29" t="s">
        <v>343</v>
      </c>
      <c r="G28" s="25" t="s">
        <v>1848</v>
      </c>
      <c r="H28" s="26">
        <v>-6.4471848380000002E-2</v>
      </c>
      <c r="I28" s="26"/>
      <c r="J28" s="26" t="s">
        <v>512</v>
      </c>
      <c r="K28" s="25" t="s">
        <v>513</v>
      </c>
    </row>
    <row r="29" spans="1:11" ht="25.5" x14ac:dyDescent="0.25">
      <c r="A29" s="22">
        <v>2026</v>
      </c>
      <c r="B29" s="28" t="s">
        <v>167</v>
      </c>
      <c r="C29" s="28" t="s">
        <v>97</v>
      </c>
      <c r="D29" s="28" t="s">
        <v>1694</v>
      </c>
      <c r="E29" s="29" t="s">
        <v>352</v>
      </c>
      <c r="F29" s="29" t="s">
        <v>343</v>
      </c>
      <c r="G29" s="25" t="s">
        <v>1849</v>
      </c>
      <c r="H29" s="26">
        <v>-0.43189242227999997</v>
      </c>
      <c r="I29" s="26"/>
      <c r="J29" s="26" t="s">
        <v>512</v>
      </c>
      <c r="K29" s="25" t="s">
        <v>513</v>
      </c>
    </row>
    <row r="30" spans="1:11" ht="25.5" x14ac:dyDescent="0.25">
      <c r="A30" s="22">
        <v>2026</v>
      </c>
      <c r="B30" s="28" t="s">
        <v>167</v>
      </c>
      <c r="C30" s="28" t="s">
        <v>97</v>
      </c>
      <c r="D30" s="28" t="s">
        <v>1694</v>
      </c>
      <c r="E30" s="29" t="s">
        <v>352</v>
      </c>
      <c r="F30" s="29" t="s">
        <v>343</v>
      </c>
      <c r="G30" s="25" t="s">
        <v>1850</v>
      </c>
      <c r="H30" s="26">
        <v>-0.391519968</v>
      </c>
      <c r="I30" s="26"/>
      <c r="J30" s="26" t="s">
        <v>512</v>
      </c>
      <c r="K30" s="25" t="s">
        <v>513</v>
      </c>
    </row>
    <row r="31" spans="1:11" ht="25.5" x14ac:dyDescent="0.25">
      <c r="A31" s="22">
        <v>2026</v>
      </c>
      <c r="B31" s="28" t="s">
        <v>167</v>
      </c>
      <c r="C31" s="28" t="s">
        <v>97</v>
      </c>
      <c r="D31" s="28" t="s">
        <v>1694</v>
      </c>
      <c r="E31" s="29" t="s">
        <v>352</v>
      </c>
      <c r="F31" s="29" t="s">
        <v>343</v>
      </c>
      <c r="G31" s="25" t="s">
        <v>1851</v>
      </c>
      <c r="H31" s="26">
        <v>-0.8415737459999999</v>
      </c>
      <c r="I31" s="26"/>
      <c r="J31" s="26" t="s">
        <v>512</v>
      </c>
      <c r="K31" s="25" t="s">
        <v>513</v>
      </c>
    </row>
    <row r="32" spans="1:11" ht="25.5" x14ac:dyDescent="0.25">
      <c r="A32" s="22">
        <v>2026</v>
      </c>
      <c r="B32" s="28" t="s">
        <v>167</v>
      </c>
      <c r="C32" s="28" t="s">
        <v>97</v>
      </c>
      <c r="D32" s="28" t="s">
        <v>1694</v>
      </c>
      <c r="E32" s="29" t="s">
        <v>352</v>
      </c>
      <c r="F32" s="29" t="s">
        <v>343</v>
      </c>
      <c r="G32" s="25" t="s">
        <v>1852</v>
      </c>
      <c r="H32" s="26">
        <v>-0.31373825</v>
      </c>
      <c r="I32" s="26"/>
      <c r="J32" s="26" t="s">
        <v>512</v>
      </c>
      <c r="K32" s="25" t="s">
        <v>513</v>
      </c>
    </row>
    <row r="33" spans="1:11" ht="25.5" x14ac:dyDescent="0.25">
      <c r="A33" s="22">
        <v>2026</v>
      </c>
      <c r="B33" s="28" t="s">
        <v>167</v>
      </c>
      <c r="C33" s="28" t="s">
        <v>97</v>
      </c>
      <c r="D33" s="28" t="s">
        <v>1694</v>
      </c>
      <c r="E33" s="29" t="s">
        <v>352</v>
      </c>
      <c r="F33" s="29" t="s">
        <v>343</v>
      </c>
      <c r="G33" s="25" t="s">
        <v>1853</v>
      </c>
      <c r="H33" s="26">
        <v>-0.27117877499999998</v>
      </c>
      <c r="I33" s="26"/>
      <c r="J33" s="26" t="s">
        <v>512</v>
      </c>
      <c r="K33" s="25" t="s">
        <v>513</v>
      </c>
    </row>
    <row r="34" spans="1:11" ht="25.5" x14ac:dyDescent="0.25">
      <c r="A34" s="22">
        <v>2026</v>
      </c>
      <c r="B34" s="28" t="s">
        <v>167</v>
      </c>
      <c r="C34" s="28" t="s">
        <v>97</v>
      </c>
      <c r="D34" s="28" t="s">
        <v>1694</v>
      </c>
      <c r="E34" s="29" t="s">
        <v>352</v>
      </c>
      <c r="F34" s="29" t="s">
        <v>343</v>
      </c>
      <c r="G34" s="25" t="s">
        <v>1854</v>
      </c>
      <c r="H34" s="26">
        <v>-0.50246820000000003</v>
      </c>
      <c r="I34" s="26"/>
      <c r="J34" s="26" t="s">
        <v>512</v>
      </c>
      <c r="K34" s="25" t="s">
        <v>513</v>
      </c>
    </row>
    <row r="35" spans="1:11" ht="25.5" x14ac:dyDescent="0.25">
      <c r="A35" s="22">
        <v>2026</v>
      </c>
      <c r="B35" s="28" t="s">
        <v>167</v>
      </c>
      <c r="C35" s="28" t="s">
        <v>97</v>
      </c>
      <c r="D35" s="28" t="s">
        <v>1694</v>
      </c>
      <c r="E35" s="29" t="s">
        <v>352</v>
      </c>
      <c r="F35" s="29" t="s">
        <v>343</v>
      </c>
      <c r="G35" s="25" t="s">
        <v>1855</v>
      </c>
      <c r="H35" s="26">
        <v>-0.38949620000000001</v>
      </c>
      <c r="I35" s="26"/>
      <c r="J35" s="26" t="s">
        <v>512</v>
      </c>
      <c r="K35" s="25" t="s">
        <v>513</v>
      </c>
    </row>
    <row r="36" spans="1:11" ht="25.5" x14ac:dyDescent="0.25">
      <c r="A36" s="22">
        <v>2026</v>
      </c>
      <c r="B36" s="28" t="s">
        <v>167</v>
      </c>
      <c r="C36" s="28" t="s">
        <v>97</v>
      </c>
      <c r="D36" s="28" t="s">
        <v>1694</v>
      </c>
      <c r="E36" s="29" t="s">
        <v>352</v>
      </c>
      <c r="F36" s="29" t="s">
        <v>343</v>
      </c>
      <c r="G36" s="25" t="s">
        <v>1856</v>
      </c>
      <c r="H36" s="26">
        <v>-1.1705433600000001</v>
      </c>
      <c r="I36" s="26"/>
      <c r="J36" s="26" t="s">
        <v>512</v>
      </c>
      <c r="K36" s="25" t="s">
        <v>513</v>
      </c>
    </row>
    <row r="37" spans="1:11" ht="25.5" x14ac:dyDescent="0.25">
      <c r="A37" s="22">
        <v>2026</v>
      </c>
      <c r="B37" s="28" t="s">
        <v>167</v>
      </c>
      <c r="C37" s="28" t="s">
        <v>97</v>
      </c>
      <c r="D37" s="28" t="s">
        <v>1694</v>
      </c>
      <c r="E37" s="29" t="s">
        <v>352</v>
      </c>
      <c r="F37" s="29" t="s">
        <v>343</v>
      </c>
      <c r="G37" s="25" t="s">
        <v>1857</v>
      </c>
      <c r="H37" s="26">
        <v>-0.51809399999999994</v>
      </c>
      <c r="I37" s="26"/>
      <c r="J37" s="26" t="s">
        <v>512</v>
      </c>
      <c r="K37" s="25" t="s">
        <v>513</v>
      </c>
    </row>
    <row r="38" spans="1:11" ht="25.5" x14ac:dyDescent="0.25">
      <c r="A38" s="22">
        <v>2026</v>
      </c>
      <c r="B38" s="28" t="s">
        <v>167</v>
      </c>
      <c r="C38" s="28" t="s">
        <v>97</v>
      </c>
      <c r="D38" s="28" t="s">
        <v>1694</v>
      </c>
      <c r="E38" s="29" t="s">
        <v>352</v>
      </c>
      <c r="F38" s="29" t="s">
        <v>343</v>
      </c>
      <c r="G38" s="25" t="s">
        <v>1858</v>
      </c>
      <c r="H38" s="26">
        <v>-0.30032905500000001</v>
      </c>
      <c r="I38" s="26"/>
      <c r="J38" s="26" t="s">
        <v>512</v>
      </c>
      <c r="K38" s="25" t="s">
        <v>513</v>
      </c>
    </row>
    <row r="39" spans="1:11" ht="25.5" x14ac:dyDescent="0.25">
      <c r="A39" s="22">
        <v>2026</v>
      </c>
      <c r="B39" s="28" t="s">
        <v>167</v>
      </c>
      <c r="C39" s="28" t="s">
        <v>97</v>
      </c>
      <c r="D39" s="28" t="s">
        <v>1694</v>
      </c>
      <c r="E39" s="29" t="s">
        <v>352</v>
      </c>
      <c r="F39" s="29" t="s">
        <v>343</v>
      </c>
      <c r="G39" s="25" t="s">
        <v>1859</v>
      </c>
      <c r="H39" s="26">
        <v>-0.11010988499999999</v>
      </c>
      <c r="I39" s="26"/>
      <c r="J39" s="26" t="s">
        <v>512</v>
      </c>
      <c r="K39" s="25" t="s">
        <v>513</v>
      </c>
    </row>
    <row r="40" spans="1:11" ht="25.5" x14ac:dyDescent="0.25">
      <c r="A40" s="22">
        <v>2026</v>
      </c>
      <c r="B40" s="28" t="s">
        <v>167</v>
      </c>
      <c r="C40" s="28" t="s">
        <v>97</v>
      </c>
      <c r="D40" s="28" t="s">
        <v>1694</v>
      </c>
      <c r="E40" s="29" t="s">
        <v>352</v>
      </c>
      <c r="F40" s="29" t="s">
        <v>343</v>
      </c>
      <c r="G40" s="25" t="s">
        <v>1860</v>
      </c>
      <c r="H40" s="26">
        <v>-0.89219910000000013</v>
      </c>
      <c r="I40" s="26"/>
      <c r="J40" s="26" t="s">
        <v>512</v>
      </c>
      <c r="K40" s="25" t="s">
        <v>513</v>
      </c>
    </row>
    <row r="41" spans="1:11" ht="25.5" x14ac:dyDescent="0.25">
      <c r="A41" s="22">
        <v>2026</v>
      </c>
      <c r="B41" s="28" t="s">
        <v>167</v>
      </c>
      <c r="C41" s="28" t="s">
        <v>97</v>
      </c>
      <c r="D41" s="28" t="s">
        <v>1694</v>
      </c>
      <c r="E41" s="29" t="s">
        <v>352</v>
      </c>
      <c r="F41" s="29" t="s">
        <v>343</v>
      </c>
      <c r="G41" s="25" t="s">
        <v>1861</v>
      </c>
      <c r="H41" s="26">
        <v>-0.47102130000000003</v>
      </c>
      <c r="I41" s="26"/>
      <c r="J41" s="26" t="s">
        <v>512</v>
      </c>
      <c r="K41" s="25" t="s">
        <v>513</v>
      </c>
    </row>
    <row r="42" spans="1:11" ht="25.5" x14ac:dyDescent="0.25">
      <c r="A42" s="22">
        <v>2026</v>
      </c>
      <c r="B42" s="28" t="s">
        <v>167</v>
      </c>
      <c r="C42" s="28" t="s">
        <v>97</v>
      </c>
      <c r="D42" s="28" t="s">
        <v>1694</v>
      </c>
      <c r="E42" s="29" t="s">
        <v>352</v>
      </c>
      <c r="F42" s="29" t="s">
        <v>343</v>
      </c>
      <c r="G42" s="25" t="s">
        <v>1862</v>
      </c>
      <c r="H42" s="26">
        <v>-0.31377720000000003</v>
      </c>
      <c r="I42" s="26"/>
      <c r="J42" s="26" t="s">
        <v>512</v>
      </c>
      <c r="K42" s="25" t="s">
        <v>513</v>
      </c>
    </row>
    <row r="43" spans="1:11" ht="25.5" x14ac:dyDescent="0.25">
      <c r="A43" s="22">
        <v>2026</v>
      </c>
      <c r="B43" s="28" t="s">
        <v>167</v>
      </c>
      <c r="C43" s="28" t="s">
        <v>97</v>
      </c>
      <c r="D43" s="28" t="s">
        <v>1694</v>
      </c>
      <c r="E43" s="29" t="s">
        <v>352</v>
      </c>
      <c r="F43" s="29" t="s">
        <v>343</v>
      </c>
      <c r="G43" s="25" t="s">
        <v>1863</v>
      </c>
      <c r="H43" s="26">
        <v>-0.73067119999999997</v>
      </c>
      <c r="I43" s="26"/>
      <c r="J43" s="26" t="s">
        <v>512</v>
      </c>
      <c r="K43" s="25" t="s">
        <v>513</v>
      </c>
    </row>
    <row r="44" spans="1:11" ht="25.5" x14ac:dyDescent="0.25">
      <c r="A44" s="22">
        <v>2026</v>
      </c>
      <c r="B44" s="28" t="s">
        <v>167</v>
      </c>
      <c r="C44" s="28" t="s">
        <v>97</v>
      </c>
      <c r="D44" s="28" t="s">
        <v>1694</v>
      </c>
      <c r="E44" s="29" t="s">
        <v>352</v>
      </c>
      <c r="F44" s="29" t="s">
        <v>343</v>
      </c>
      <c r="G44" s="25" t="s">
        <v>1864</v>
      </c>
      <c r="H44" s="26">
        <v>-0.52166599999999996</v>
      </c>
      <c r="I44" s="26"/>
      <c r="J44" s="26" t="s">
        <v>512</v>
      </c>
      <c r="K44" s="25" t="s">
        <v>513</v>
      </c>
    </row>
    <row r="45" spans="1:11" ht="25.5" x14ac:dyDescent="0.25">
      <c r="A45" s="22">
        <v>2026</v>
      </c>
      <c r="B45" s="28" t="s">
        <v>167</v>
      </c>
      <c r="C45" s="28" t="s">
        <v>97</v>
      </c>
      <c r="D45" s="28" t="s">
        <v>1694</v>
      </c>
      <c r="E45" s="29" t="s">
        <v>352</v>
      </c>
      <c r="F45" s="29" t="s">
        <v>343</v>
      </c>
      <c r="G45" s="25" t="s">
        <v>1865</v>
      </c>
      <c r="H45" s="26">
        <v>-0.51747799999999999</v>
      </c>
      <c r="I45" s="26"/>
      <c r="J45" s="26" t="s">
        <v>512</v>
      </c>
      <c r="K45" s="25" t="s">
        <v>513</v>
      </c>
    </row>
    <row r="46" spans="1:11" ht="25.5" x14ac:dyDescent="0.25">
      <c r="A46" s="22">
        <v>2026</v>
      </c>
      <c r="B46" s="28" t="s">
        <v>167</v>
      </c>
      <c r="C46" s="28" t="s">
        <v>97</v>
      </c>
      <c r="D46" s="28" t="s">
        <v>1694</v>
      </c>
      <c r="E46" s="29" t="s">
        <v>352</v>
      </c>
      <c r="F46" s="29" t="s">
        <v>343</v>
      </c>
      <c r="G46" s="25" t="s">
        <v>1866</v>
      </c>
      <c r="H46" s="26">
        <v>-0.51758800000000005</v>
      </c>
      <c r="I46" s="26"/>
      <c r="J46" s="26" t="s">
        <v>512</v>
      </c>
      <c r="K46" s="25" t="s">
        <v>513</v>
      </c>
    </row>
    <row r="47" spans="1:11" ht="25.5" x14ac:dyDescent="0.25">
      <c r="A47" s="22">
        <v>2026</v>
      </c>
      <c r="B47" s="28" t="s">
        <v>167</v>
      </c>
      <c r="C47" s="28" t="s">
        <v>97</v>
      </c>
      <c r="D47" s="28" t="s">
        <v>530</v>
      </c>
      <c r="E47" s="29" t="s">
        <v>548</v>
      </c>
      <c r="F47" s="29" t="s">
        <v>343</v>
      </c>
      <c r="G47" s="25" t="s">
        <v>1806</v>
      </c>
      <c r="H47" s="26">
        <v>-7.8799999999999995E-2</v>
      </c>
      <c r="I47" s="26"/>
      <c r="J47" s="26" t="s">
        <v>512</v>
      </c>
      <c r="K47" s="25" t="s">
        <v>513</v>
      </c>
    </row>
    <row r="48" spans="1:11" ht="25.5" x14ac:dyDescent="0.25">
      <c r="A48" s="22">
        <v>2026</v>
      </c>
      <c r="B48" s="28" t="s">
        <v>167</v>
      </c>
      <c r="C48" s="28" t="s">
        <v>97</v>
      </c>
      <c r="D48" s="28" t="s">
        <v>530</v>
      </c>
      <c r="E48" s="29" t="s">
        <v>548</v>
      </c>
      <c r="F48" s="29" t="s">
        <v>343</v>
      </c>
      <c r="G48" s="25" t="s">
        <v>1807</v>
      </c>
      <c r="H48" s="26">
        <v>-0.25268192</v>
      </c>
      <c r="I48" s="26"/>
      <c r="J48" s="26" t="s">
        <v>512</v>
      </c>
      <c r="K48" s="25" t="s">
        <v>513</v>
      </c>
    </row>
    <row r="49" spans="1:11" ht="25.5" x14ac:dyDescent="0.25">
      <c r="A49" s="22">
        <v>2026</v>
      </c>
      <c r="B49" s="28" t="s">
        <v>167</v>
      </c>
      <c r="C49" s="28" t="s">
        <v>97</v>
      </c>
      <c r="D49" s="28" t="s">
        <v>530</v>
      </c>
      <c r="E49" s="29" t="s">
        <v>548</v>
      </c>
      <c r="F49" s="29" t="s">
        <v>343</v>
      </c>
      <c r="G49" s="25" t="s">
        <v>1808</v>
      </c>
      <c r="H49" s="26">
        <v>-0.23937</v>
      </c>
      <c r="I49" s="26"/>
      <c r="J49" s="26" t="s">
        <v>512</v>
      </c>
      <c r="K49" s="25" t="s">
        <v>513</v>
      </c>
    </row>
    <row r="50" spans="1:11" ht="25.5" x14ac:dyDescent="0.25">
      <c r="A50" s="22">
        <v>2026</v>
      </c>
      <c r="B50" s="28" t="s">
        <v>167</v>
      </c>
      <c r="C50" s="28" t="s">
        <v>97</v>
      </c>
      <c r="D50" s="28" t="s">
        <v>530</v>
      </c>
      <c r="E50" s="29" t="s">
        <v>548</v>
      </c>
      <c r="F50" s="29" t="s">
        <v>343</v>
      </c>
      <c r="G50" s="25" t="s">
        <v>1809</v>
      </c>
      <c r="H50" s="26">
        <v>-0.28627991999999997</v>
      </c>
      <c r="I50" s="26"/>
      <c r="J50" s="26" t="s">
        <v>512</v>
      </c>
      <c r="K50" s="25" t="s">
        <v>513</v>
      </c>
    </row>
    <row r="51" spans="1:11" ht="25.5" x14ac:dyDescent="0.25">
      <c r="A51" s="22">
        <v>2026</v>
      </c>
      <c r="B51" s="28" t="s">
        <v>167</v>
      </c>
      <c r="C51" s="28" t="s">
        <v>97</v>
      </c>
      <c r="D51" s="28" t="s">
        <v>530</v>
      </c>
      <c r="E51" s="29" t="s">
        <v>548</v>
      </c>
      <c r="F51" s="29" t="s">
        <v>343</v>
      </c>
      <c r="G51" s="25" t="s">
        <v>1810</v>
      </c>
      <c r="H51" s="26">
        <v>-0.79500000000000004</v>
      </c>
      <c r="I51" s="26"/>
      <c r="J51" s="26" t="s">
        <v>512</v>
      </c>
      <c r="K51" s="25" t="s">
        <v>513</v>
      </c>
    </row>
    <row r="52" spans="1:11" ht="25.5" x14ac:dyDescent="0.25">
      <c r="A52" s="22">
        <v>2026</v>
      </c>
      <c r="B52" s="28" t="s">
        <v>167</v>
      </c>
      <c r="C52" s="28" t="s">
        <v>97</v>
      </c>
      <c r="D52" s="28" t="s">
        <v>530</v>
      </c>
      <c r="E52" s="29" t="s">
        <v>548</v>
      </c>
      <c r="F52" s="29" t="s">
        <v>343</v>
      </c>
      <c r="G52" s="25" t="s">
        <v>1811</v>
      </c>
      <c r="H52" s="26">
        <v>-0.80149999999999999</v>
      </c>
      <c r="I52" s="26"/>
      <c r="J52" s="26" t="s">
        <v>512</v>
      </c>
      <c r="K52" s="25" t="s">
        <v>513</v>
      </c>
    </row>
    <row r="53" spans="1:11" ht="25.5" x14ac:dyDescent="0.25">
      <c r="A53" s="22">
        <v>2026</v>
      </c>
      <c r="B53" s="28" t="s">
        <v>167</v>
      </c>
      <c r="C53" s="28" t="s">
        <v>97</v>
      </c>
      <c r="D53" s="28" t="s">
        <v>530</v>
      </c>
      <c r="E53" s="29" t="s">
        <v>548</v>
      </c>
      <c r="F53" s="29" t="s">
        <v>343</v>
      </c>
      <c r="G53" s="25" t="s">
        <v>1812</v>
      </c>
      <c r="H53" s="26">
        <v>-0.39924999999999999</v>
      </c>
      <c r="I53" s="26"/>
      <c r="J53" s="26" t="s">
        <v>512</v>
      </c>
      <c r="K53" s="25" t="s">
        <v>513</v>
      </c>
    </row>
    <row r="54" spans="1:11" ht="25.5" x14ac:dyDescent="0.25">
      <c r="A54" s="22">
        <v>2026</v>
      </c>
      <c r="B54" s="28" t="s">
        <v>167</v>
      </c>
      <c r="C54" s="28" t="s">
        <v>97</v>
      </c>
      <c r="D54" s="28" t="s">
        <v>530</v>
      </c>
      <c r="E54" s="29" t="s">
        <v>548</v>
      </c>
      <c r="F54" s="29" t="s">
        <v>343</v>
      </c>
      <c r="G54" s="25" t="s">
        <v>1813</v>
      </c>
      <c r="H54" s="26">
        <v>-0.24089999999999998</v>
      </c>
      <c r="I54" s="26"/>
      <c r="J54" s="26" t="s">
        <v>512</v>
      </c>
      <c r="K54" s="25" t="s">
        <v>513</v>
      </c>
    </row>
    <row r="55" spans="1:11" ht="25.5" x14ac:dyDescent="0.25">
      <c r="A55" s="22">
        <v>2026</v>
      </c>
      <c r="B55" s="28" t="s">
        <v>167</v>
      </c>
      <c r="C55" s="28" t="s">
        <v>97</v>
      </c>
      <c r="D55" s="28" t="s">
        <v>530</v>
      </c>
      <c r="E55" s="29" t="s">
        <v>548</v>
      </c>
      <c r="F55" s="29" t="s">
        <v>343</v>
      </c>
      <c r="G55" s="25" t="s">
        <v>1814</v>
      </c>
      <c r="H55" s="26">
        <v>-4.8059999999999999E-2</v>
      </c>
      <c r="I55" s="26"/>
      <c r="J55" s="26" t="s">
        <v>512</v>
      </c>
      <c r="K55" s="25" t="s">
        <v>513</v>
      </c>
    </row>
    <row r="56" spans="1:11" ht="25.5" x14ac:dyDescent="0.25">
      <c r="A56" s="22">
        <v>2026</v>
      </c>
      <c r="B56" s="28" t="s">
        <v>167</v>
      </c>
      <c r="C56" s="28" t="s">
        <v>97</v>
      </c>
      <c r="D56" s="28" t="s">
        <v>530</v>
      </c>
      <c r="E56" s="29" t="s">
        <v>548</v>
      </c>
      <c r="F56" s="29" t="s">
        <v>343</v>
      </c>
      <c r="G56" s="25" t="s">
        <v>1815</v>
      </c>
      <c r="H56" s="26">
        <v>-0.32795999999999997</v>
      </c>
      <c r="I56" s="26"/>
      <c r="J56" s="26" t="s">
        <v>512</v>
      </c>
      <c r="K56" s="25" t="s">
        <v>513</v>
      </c>
    </row>
    <row r="57" spans="1:11" ht="25.5" x14ac:dyDescent="0.25">
      <c r="A57" s="22">
        <v>2026</v>
      </c>
      <c r="B57" s="28" t="s">
        <v>167</v>
      </c>
      <c r="C57" s="28" t="s">
        <v>97</v>
      </c>
      <c r="D57" s="28" t="s">
        <v>530</v>
      </c>
      <c r="E57" s="29" t="s">
        <v>548</v>
      </c>
      <c r="F57" s="29" t="s">
        <v>343</v>
      </c>
      <c r="G57" s="25" t="s">
        <v>1816</v>
      </c>
      <c r="H57" s="26">
        <v>-0.28482492500000001</v>
      </c>
      <c r="I57" s="26"/>
      <c r="J57" s="26" t="s">
        <v>512</v>
      </c>
      <c r="K57" s="25" t="s">
        <v>513</v>
      </c>
    </row>
    <row r="58" spans="1:11" ht="25.5" x14ac:dyDescent="0.25">
      <c r="A58" s="22">
        <v>2026</v>
      </c>
      <c r="B58" s="28" t="s">
        <v>167</v>
      </c>
      <c r="C58" s="28" t="s">
        <v>97</v>
      </c>
      <c r="D58" s="28" t="s">
        <v>530</v>
      </c>
      <c r="E58" s="29" t="s">
        <v>548</v>
      </c>
      <c r="F58" s="29" t="s">
        <v>343</v>
      </c>
      <c r="G58" s="25" t="s">
        <v>1817</v>
      </c>
      <c r="H58" s="26">
        <v>-8.0600000000000005E-2</v>
      </c>
      <c r="I58" s="26"/>
      <c r="J58" s="26" t="s">
        <v>512</v>
      </c>
      <c r="K58" s="25" t="s">
        <v>513</v>
      </c>
    </row>
    <row r="59" spans="1:11" ht="25.5" x14ac:dyDescent="0.25">
      <c r="A59" s="22">
        <v>2026</v>
      </c>
      <c r="B59" s="28" t="s">
        <v>167</v>
      </c>
      <c r="C59" s="28" t="s">
        <v>97</v>
      </c>
      <c r="D59" s="28" t="s">
        <v>530</v>
      </c>
      <c r="E59" s="29" t="s">
        <v>548</v>
      </c>
      <c r="F59" s="29" t="s">
        <v>343</v>
      </c>
      <c r="G59" s="25" t="s">
        <v>1818</v>
      </c>
      <c r="H59" s="26">
        <v>-0.32340000000000008</v>
      </c>
      <c r="I59" s="26"/>
      <c r="J59" s="26" t="s">
        <v>512</v>
      </c>
      <c r="K59" s="25" t="s">
        <v>513</v>
      </c>
    </row>
    <row r="60" spans="1:11" ht="25.5" x14ac:dyDescent="0.25">
      <c r="A60" s="22">
        <v>2026</v>
      </c>
      <c r="B60" s="28" t="s">
        <v>167</v>
      </c>
      <c r="C60" s="28" t="s">
        <v>97</v>
      </c>
      <c r="D60" s="28" t="s">
        <v>530</v>
      </c>
      <c r="E60" s="29" t="s">
        <v>548</v>
      </c>
      <c r="F60" s="29" t="s">
        <v>343</v>
      </c>
      <c r="G60" s="25" t="s">
        <v>1819</v>
      </c>
      <c r="H60" s="26">
        <v>-0.41389999999999999</v>
      </c>
      <c r="I60" s="26"/>
      <c r="J60" s="26" t="s">
        <v>512</v>
      </c>
      <c r="K60" s="25" t="s">
        <v>513</v>
      </c>
    </row>
    <row r="61" spans="1:11" ht="25.5" x14ac:dyDescent="0.25">
      <c r="A61" s="22">
        <v>2026</v>
      </c>
      <c r="B61" s="28" t="s">
        <v>167</v>
      </c>
      <c r="C61" s="28" t="s">
        <v>97</v>
      </c>
      <c r="D61" s="28" t="s">
        <v>530</v>
      </c>
      <c r="E61" s="29" t="s">
        <v>548</v>
      </c>
      <c r="F61" s="29" t="s">
        <v>343</v>
      </c>
      <c r="G61" s="25" t="s">
        <v>1820</v>
      </c>
      <c r="H61" s="26">
        <v>-0.23282700000000003</v>
      </c>
      <c r="I61" s="26"/>
      <c r="J61" s="26" t="s">
        <v>512</v>
      </c>
      <c r="K61" s="25" t="s">
        <v>513</v>
      </c>
    </row>
    <row r="62" spans="1:11" ht="25.5" x14ac:dyDescent="0.25">
      <c r="A62" s="22">
        <v>2026</v>
      </c>
      <c r="B62" s="28" t="s">
        <v>167</v>
      </c>
      <c r="C62" s="28" t="s">
        <v>97</v>
      </c>
      <c r="D62" s="28" t="s">
        <v>530</v>
      </c>
      <c r="E62" s="29" t="s">
        <v>548</v>
      </c>
      <c r="F62" s="29" t="s">
        <v>343</v>
      </c>
      <c r="G62" s="25" t="s">
        <v>1821</v>
      </c>
      <c r="H62" s="26">
        <v>-0.16707</v>
      </c>
      <c r="I62" s="26"/>
      <c r="J62" s="26" t="s">
        <v>512</v>
      </c>
      <c r="K62" s="25" t="s">
        <v>513</v>
      </c>
    </row>
    <row r="63" spans="1:11" ht="25.5" x14ac:dyDescent="0.25">
      <c r="A63" s="22">
        <v>2026</v>
      </c>
      <c r="B63" s="28" t="s">
        <v>167</v>
      </c>
      <c r="C63" s="28" t="s">
        <v>97</v>
      </c>
      <c r="D63" s="28" t="s">
        <v>530</v>
      </c>
      <c r="E63" s="29" t="s">
        <v>548</v>
      </c>
      <c r="F63" s="29" t="s">
        <v>343</v>
      </c>
      <c r="G63" s="25" t="s">
        <v>1822</v>
      </c>
      <c r="H63" s="26">
        <v>-0.25189995000000004</v>
      </c>
      <c r="I63" s="26"/>
      <c r="J63" s="26" t="s">
        <v>512</v>
      </c>
      <c r="K63" s="25" t="s">
        <v>513</v>
      </c>
    </row>
    <row r="64" spans="1:11" ht="25.5" x14ac:dyDescent="0.25">
      <c r="A64" s="22">
        <v>2026</v>
      </c>
      <c r="B64" s="28" t="s">
        <v>167</v>
      </c>
      <c r="C64" s="28" t="s">
        <v>97</v>
      </c>
      <c r="D64" s="28" t="s">
        <v>530</v>
      </c>
      <c r="E64" s="29" t="s">
        <v>548</v>
      </c>
      <c r="F64" s="29" t="s">
        <v>343</v>
      </c>
      <c r="G64" s="25" t="s">
        <v>1823</v>
      </c>
      <c r="H64" s="26">
        <v>-0.18441995</v>
      </c>
      <c r="I64" s="26"/>
      <c r="J64" s="26" t="s">
        <v>512</v>
      </c>
      <c r="K64" s="25" t="s">
        <v>513</v>
      </c>
    </row>
    <row r="65" spans="1:11" ht="25.5" x14ac:dyDescent="0.25">
      <c r="A65" s="22">
        <v>2026</v>
      </c>
      <c r="B65" s="28" t="s">
        <v>167</v>
      </c>
      <c r="C65" s="28" t="s">
        <v>97</v>
      </c>
      <c r="D65" s="28" t="s">
        <v>541</v>
      </c>
      <c r="E65" s="29" t="s">
        <v>572</v>
      </c>
      <c r="F65" s="29" t="s">
        <v>298</v>
      </c>
      <c r="G65" s="25" t="s">
        <v>1867</v>
      </c>
      <c r="H65" s="26">
        <v>-0.64700000000000002</v>
      </c>
      <c r="I65" s="26"/>
      <c r="J65" s="26" t="s">
        <v>512</v>
      </c>
      <c r="K65" s="25" t="s">
        <v>513</v>
      </c>
    </row>
    <row r="66" spans="1:11" ht="25.5" x14ac:dyDescent="0.25">
      <c r="A66" s="22">
        <v>2026</v>
      </c>
      <c r="B66" s="28" t="s">
        <v>167</v>
      </c>
      <c r="C66" s="28" t="s">
        <v>97</v>
      </c>
      <c r="D66" s="28" t="s">
        <v>541</v>
      </c>
      <c r="E66" s="29" t="s">
        <v>572</v>
      </c>
      <c r="F66" s="29" t="s">
        <v>298</v>
      </c>
      <c r="G66" s="25" t="s">
        <v>1867</v>
      </c>
      <c r="H66" s="26">
        <v>-0.64700000000000002</v>
      </c>
      <c r="I66" s="26"/>
      <c r="J66" s="26" t="s">
        <v>512</v>
      </c>
      <c r="K66" s="25" t="s">
        <v>513</v>
      </c>
    </row>
    <row r="67" spans="1:11" ht="25.5" x14ac:dyDescent="0.25">
      <c r="A67" s="22">
        <v>2026</v>
      </c>
      <c r="B67" s="28" t="s">
        <v>167</v>
      </c>
      <c r="C67" s="28" t="s">
        <v>97</v>
      </c>
      <c r="D67" s="28" t="s">
        <v>541</v>
      </c>
      <c r="E67" s="29" t="s">
        <v>572</v>
      </c>
      <c r="F67" s="29" t="s">
        <v>298</v>
      </c>
      <c r="G67" s="25" t="s">
        <v>1868</v>
      </c>
      <c r="H67" s="26">
        <v>-1.677</v>
      </c>
      <c r="I67" s="26"/>
      <c r="J67" s="26" t="s">
        <v>512</v>
      </c>
      <c r="K67" s="25" t="s">
        <v>513</v>
      </c>
    </row>
    <row r="68" spans="1:11" ht="25.5" x14ac:dyDescent="0.25">
      <c r="A68" s="22">
        <v>2026</v>
      </c>
      <c r="B68" s="28" t="s">
        <v>167</v>
      </c>
      <c r="C68" s="28" t="s">
        <v>97</v>
      </c>
      <c r="D68" s="28" t="s">
        <v>541</v>
      </c>
      <c r="E68" s="29" t="s">
        <v>572</v>
      </c>
      <c r="F68" s="29" t="s">
        <v>298</v>
      </c>
      <c r="G68" s="25" t="s">
        <v>1869</v>
      </c>
      <c r="H68" s="26">
        <v>-0.96450000000000002</v>
      </c>
      <c r="I68" s="26"/>
      <c r="J68" s="26" t="s">
        <v>512</v>
      </c>
      <c r="K68" s="25" t="s">
        <v>513</v>
      </c>
    </row>
    <row r="69" spans="1:11" ht="25.5" x14ac:dyDescent="0.25">
      <c r="A69" s="22">
        <v>2026</v>
      </c>
      <c r="B69" s="28" t="s">
        <v>167</v>
      </c>
      <c r="C69" s="28" t="s">
        <v>97</v>
      </c>
      <c r="D69" s="28" t="s">
        <v>541</v>
      </c>
      <c r="E69" s="29" t="s">
        <v>572</v>
      </c>
      <c r="F69" s="29" t="s">
        <v>298</v>
      </c>
      <c r="G69" s="25" t="s">
        <v>1870</v>
      </c>
      <c r="H69" s="26">
        <v>-0.51759999999999995</v>
      </c>
      <c r="I69" s="26"/>
      <c r="J69" s="26" t="s">
        <v>512</v>
      </c>
      <c r="K69" s="25" t="s">
        <v>513</v>
      </c>
    </row>
    <row r="70" spans="1:11" ht="25.5" x14ac:dyDescent="0.25">
      <c r="A70" s="22">
        <v>2026</v>
      </c>
      <c r="B70" s="28" t="s">
        <v>167</v>
      </c>
      <c r="C70" s="28" t="s">
        <v>97</v>
      </c>
      <c r="D70" s="28" t="s">
        <v>541</v>
      </c>
      <c r="E70" s="29" t="s">
        <v>572</v>
      </c>
      <c r="F70" s="29" t="s">
        <v>298</v>
      </c>
      <c r="G70" s="25" t="s">
        <v>1871</v>
      </c>
      <c r="H70" s="26">
        <v>-2.5581079999999998</v>
      </c>
      <c r="I70" s="26"/>
      <c r="J70" s="26" t="s">
        <v>512</v>
      </c>
      <c r="K70" s="25" t="s">
        <v>513</v>
      </c>
    </row>
    <row r="71" spans="1:11" ht="25.5" x14ac:dyDescent="0.25">
      <c r="A71" s="22">
        <v>2026</v>
      </c>
      <c r="B71" s="28" t="s">
        <v>167</v>
      </c>
      <c r="C71" s="28" t="s">
        <v>97</v>
      </c>
      <c r="D71" s="28" t="s">
        <v>541</v>
      </c>
      <c r="E71" s="29" t="s">
        <v>572</v>
      </c>
      <c r="F71" s="29" t="s">
        <v>298</v>
      </c>
      <c r="G71" s="25" t="s">
        <v>1872</v>
      </c>
      <c r="H71" s="26">
        <v>-2.2911299999999999</v>
      </c>
      <c r="I71" s="26"/>
      <c r="J71" s="26" t="s">
        <v>512</v>
      </c>
      <c r="K71" s="25" t="s">
        <v>513</v>
      </c>
    </row>
    <row r="72" spans="1:11" ht="25.5" x14ac:dyDescent="0.25">
      <c r="A72" s="22">
        <v>2026</v>
      </c>
      <c r="B72" s="28" t="s">
        <v>167</v>
      </c>
      <c r="C72" s="28" t="s">
        <v>97</v>
      </c>
      <c r="D72" s="28" t="s">
        <v>541</v>
      </c>
      <c r="E72" s="29" t="s">
        <v>572</v>
      </c>
      <c r="F72" s="29" t="s">
        <v>298</v>
      </c>
      <c r="G72" s="25" t="s">
        <v>1873</v>
      </c>
      <c r="H72" s="26">
        <v>-1.6614</v>
      </c>
      <c r="I72" s="26"/>
      <c r="J72" s="26" t="s">
        <v>512</v>
      </c>
      <c r="K72" s="25" t="s">
        <v>513</v>
      </c>
    </row>
    <row r="73" spans="1:11" ht="25.5" x14ac:dyDescent="0.25">
      <c r="A73" s="22">
        <v>2026</v>
      </c>
      <c r="B73" s="28" t="s">
        <v>167</v>
      </c>
      <c r="C73" s="28" t="s">
        <v>97</v>
      </c>
      <c r="D73" s="28" t="s">
        <v>541</v>
      </c>
      <c r="E73" s="29" t="s">
        <v>572</v>
      </c>
      <c r="F73" s="29" t="s">
        <v>298</v>
      </c>
      <c r="G73" s="25" t="s">
        <v>1874</v>
      </c>
      <c r="H73" s="26">
        <v>-1.1519999999999999</v>
      </c>
      <c r="I73" s="26"/>
      <c r="J73" s="26" t="s">
        <v>512</v>
      </c>
      <c r="K73" s="25" t="s">
        <v>513</v>
      </c>
    </row>
    <row r="74" spans="1:11" ht="25.5" x14ac:dyDescent="0.25">
      <c r="A74" s="22">
        <v>2026</v>
      </c>
      <c r="B74" s="28" t="s">
        <v>167</v>
      </c>
      <c r="C74" s="28" t="s">
        <v>97</v>
      </c>
      <c r="D74" s="28" t="s">
        <v>541</v>
      </c>
      <c r="E74" s="29" t="s">
        <v>572</v>
      </c>
      <c r="F74" s="29" t="s">
        <v>298</v>
      </c>
      <c r="G74" s="25" t="s">
        <v>1875</v>
      </c>
      <c r="H74" s="26">
        <v>-0.44519999999999998</v>
      </c>
      <c r="I74" s="26"/>
      <c r="J74" s="26" t="s">
        <v>512</v>
      </c>
      <c r="K74" s="25" t="s">
        <v>513</v>
      </c>
    </row>
    <row r="75" spans="1:11" ht="25.5" x14ac:dyDescent="0.25">
      <c r="A75" s="22">
        <v>2026</v>
      </c>
      <c r="B75" s="28" t="s">
        <v>167</v>
      </c>
      <c r="C75" s="28" t="s">
        <v>97</v>
      </c>
      <c r="D75" s="28" t="s">
        <v>541</v>
      </c>
      <c r="E75" s="29" t="s">
        <v>572</v>
      </c>
      <c r="F75" s="29" t="s">
        <v>298</v>
      </c>
      <c r="G75" s="25" t="s">
        <v>1876</v>
      </c>
      <c r="H75" s="26">
        <v>-0.63300000000000001</v>
      </c>
      <c r="I75" s="26"/>
      <c r="J75" s="26" t="s">
        <v>512</v>
      </c>
      <c r="K75" s="25" t="s">
        <v>513</v>
      </c>
    </row>
    <row r="76" spans="1:11" ht="25.5" x14ac:dyDescent="0.25">
      <c r="A76" s="22">
        <v>2026</v>
      </c>
      <c r="B76" s="28" t="s">
        <v>167</v>
      </c>
      <c r="C76" s="28" t="s">
        <v>97</v>
      </c>
      <c r="D76" s="28" t="s">
        <v>541</v>
      </c>
      <c r="E76" s="29" t="s">
        <v>572</v>
      </c>
      <c r="F76" s="29" t="s">
        <v>298</v>
      </c>
      <c r="G76" s="25" t="s">
        <v>1877</v>
      </c>
      <c r="H76" s="26">
        <v>-3.1613799999999999</v>
      </c>
      <c r="I76" s="26"/>
      <c r="J76" s="26" t="s">
        <v>512</v>
      </c>
      <c r="K76" s="25" t="s">
        <v>513</v>
      </c>
    </row>
    <row r="77" spans="1:11" ht="25.5" x14ac:dyDescent="0.25">
      <c r="A77" s="22">
        <v>2026</v>
      </c>
      <c r="B77" s="28" t="s">
        <v>167</v>
      </c>
      <c r="C77" s="28" t="s">
        <v>97</v>
      </c>
      <c r="D77" s="28" t="s">
        <v>541</v>
      </c>
      <c r="E77" s="29" t="s">
        <v>572</v>
      </c>
      <c r="F77" s="29" t="s">
        <v>298</v>
      </c>
      <c r="G77" s="25" t="s">
        <v>1878</v>
      </c>
      <c r="H77" s="26">
        <v>-0.77843230590000001</v>
      </c>
      <c r="I77" s="26"/>
      <c r="J77" s="26" t="s">
        <v>512</v>
      </c>
      <c r="K77" s="25" t="s">
        <v>513</v>
      </c>
    </row>
    <row r="78" spans="1:11" ht="25.5" x14ac:dyDescent="0.25">
      <c r="A78" s="22">
        <v>2026</v>
      </c>
      <c r="B78" s="28" t="s">
        <v>167</v>
      </c>
      <c r="C78" s="28" t="s">
        <v>97</v>
      </c>
      <c r="D78" s="28" t="s">
        <v>541</v>
      </c>
      <c r="E78" s="29" t="s">
        <v>572</v>
      </c>
      <c r="F78" s="29" t="s">
        <v>298</v>
      </c>
      <c r="G78" s="25" t="s">
        <v>1879</v>
      </c>
      <c r="H78" s="26">
        <v>-2.7605203999999999</v>
      </c>
      <c r="I78" s="26"/>
      <c r="J78" s="26" t="s">
        <v>512</v>
      </c>
      <c r="K78" s="25" t="s">
        <v>513</v>
      </c>
    </row>
    <row r="79" spans="1:11" ht="25.5" x14ac:dyDescent="0.25">
      <c r="A79" s="22">
        <v>2026</v>
      </c>
      <c r="B79" s="28" t="s">
        <v>167</v>
      </c>
      <c r="C79" s="28" t="s">
        <v>97</v>
      </c>
      <c r="D79" s="28" t="s">
        <v>1695</v>
      </c>
      <c r="E79" s="29" t="s">
        <v>1758</v>
      </c>
      <c r="F79" s="29" t="s">
        <v>1759</v>
      </c>
      <c r="G79" s="25" t="s">
        <v>1880</v>
      </c>
      <c r="H79" s="26">
        <v>-0.98158674700000004</v>
      </c>
      <c r="I79" s="26"/>
      <c r="J79" s="26" t="s">
        <v>512</v>
      </c>
      <c r="K79" s="25" t="s">
        <v>513</v>
      </c>
    </row>
    <row r="80" spans="1:11" ht="25.5" x14ac:dyDescent="0.25">
      <c r="A80" s="22">
        <v>2026</v>
      </c>
      <c r="B80" s="28" t="s">
        <v>167</v>
      </c>
      <c r="C80" s="28" t="s">
        <v>97</v>
      </c>
      <c r="D80" s="28" t="s">
        <v>1695</v>
      </c>
      <c r="E80" s="29" t="s">
        <v>1758</v>
      </c>
      <c r="F80" s="29" t="s">
        <v>1759</v>
      </c>
      <c r="G80" s="25" t="s">
        <v>1881</v>
      </c>
      <c r="H80" s="26">
        <v>-0.47091352000000003</v>
      </c>
      <c r="I80" s="26"/>
      <c r="J80" s="26" t="s">
        <v>512</v>
      </c>
      <c r="K80" s="25" t="s">
        <v>513</v>
      </c>
    </row>
    <row r="81" spans="1:11" ht="25.5" x14ac:dyDescent="0.25">
      <c r="A81" s="22">
        <v>2026</v>
      </c>
      <c r="B81" s="28" t="s">
        <v>167</v>
      </c>
      <c r="C81" s="28" t="s">
        <v>97</v>
      </c>
      <c r="D81" s="28" t="s">
        <v>1695</v>
      </c>
      <c r="E81" s="29" t="s">
        <v>1758</v>
      </c>
      <c r="F81" s="29" t="s">
        <v>1759</v>
      </c>
      <c r="G81" s="25" t="s">
        <v>1882</v>
      </c>
      <c r="H81" s="26">
        <v>-2.1756799999999998</v>
      </c>
      <c r="I81" s="26"/>
      <c r="J81" s="26" t="s">
        <v>512</v>
      </c>
      <c r="K81" s="25" t="s">
        <v>513</v>
      </c>
    </row>
    <row r="82" spans="1:11" ht="25.5" x14ac:dyDescent="0.25">
      <c r="A82" s="22">
        <v>2026</v>
      </c>
      <c r="B82" s="28" t="s">
        <v>167</v>
      </c>
      <c r="C82" s="28" t="s">
        <v>97</v>
      </c>
      <c r="D82" s="28" t="s">
        <v>1695</v>
      </c>
      <c r="E82" s="29" t="s">
        <v>1758</v>
      </c>
      <c r="F82" s="29" t="s">
        <v>1759</v>
      </c>
      <c r="G82" s="25" t="s">
        <v>1883</v>
      </c>
      <c r="H82" s="26">
        <v>-0.79873601059999988</v>
      </c>
      <c r="I82" s="26"/>
      <c r="J82" s="26" t="s">
        <v>512</v>
      </c>
      <c r="K82" s="25" t="s">
        <v>513</v>
      </c>
    </row>
    <row r="83" spans="1:11" ht="25.5" x14ac:dyDescent="0.25">
      <c r="A83" s="22">
        <v>2026</v>
      </c>
      <c r="B83" s="28" t="s">
        <v>167</v>
      </c>
      <c r="C83" s="28" t="s">
        <v>97</v>
      </c>
      <c r="D83" s="28" t="s">
        <v>1695</v>
      </c>
      <c r="E83" s="29" t="s">
        <v>1758</v>
      </c>
      <c r="F83" s="29" t="s">
        <v>1759</v>
      </c>
      <c r="G83" s="25" t="s">
        <v>1884</v>
      </c>
      <c r="H83" s="26">
        <v>-0.43545458049999997</v>
      </c>
      <c r="I83" s="26"/>
      <c r="J83" s="26" t="s">
        <v>512</v>
      </c>
      <c r="K83" s="25" t="s">
        <v>513</v>
      </c>
    </row>
    <row r="84" spans="1:11" ht="25.5" x14ac:dyDescent="0.25">
      <c r="A84" s="22">
        <v>2026</v>
      </c>
      <c r="B84" s="28" t="s">
        <v>167</v>
      </c>
      <c r="C84" s="28" t="s">
        <v>97</v>
      </c>
      <c r="D84" s="28" t="s">
        <v>1696</v>
      </c>
      <c r="E84" s="29" t="s">
        <v>1760</v>
      </c>
      <c r="F84" s="29" t="s">
        <v>343</v>
      </c>
      <c r="G84" s="25" t="s">
        <v>1885</v>
      </c>
      <c r="H84" s="26">
        <v>-5.5038922920000004E-2</v>
      </c>
      <c r="I84" s="26"/>
      <c r="J84" s="26" t="s">
        <v>512</v>
      </c>
      <c r="K84" s="25" t="s">
        <v>513</v>
      </c>
    </row>
    <row r="85" spans="1:11" ht="25.5" x14ac:dyDescent="0.25">
      <c r="A85" s="22">
        <v>2026</v>
      </c>
      <c r="B85" s="28" t="s">
        <v>167</v>
      </c>
      <c r="C85" s="28" t="s">
        <v>97</v>
      </c>
      <c r="D85" s="28" t="s">
        <v>1696</v>
      </c>
      <c r="E85" s="29" t="s">
        <v>1760</v>
      </c>
      <c r="F85" s="29" t="s">
        <v>343</v>
      </c>
      <c r="G85" s="25" t="s">
        <v>1886</v>
      </c>
      <c r="H85" s="26">
        <v>-1.0521559999999999E-2</v>
      </c>
      <c r="I85" s="26"/>
      <c r="J85" s="26" t="s">
        <v>512</v>
      </c>
      <c r="K85" s="25" t="s">
        <v>513</v>
      </c>
    </row>
    <row r="86" spans="1:11" ht="25.5" x14ac:dyDescent="0.25">
      <c r="A86" s="22">
        <v>2026</v>
      </c>
      <c r="B86" s="28" t="s">
        <v>167</v>
      </c>
      <c r="C86" s="28" t="s">
        <v>97</v>
      </c>
      <c r="D86" s="28" t="s">
        <v>1696</v>
      </c>
      <c r="E86" s="29" t="s">
        <v>1760</v>
      </c>
      <c r="F86" s="29" t="s">
        <v>343</v>
      </c>
      <c r="G86" s="25" t="s">
        <v>1887</v>
      </c>
      <c r="H86" s="26">
        <v>-1.483636E-2</v>
      </c>
      <c r="I86" s="26"/>
      <c r="J86" s="26" t="s">
        <v>512</v>
      </c>
      <c r="K86" s="25" t="s">
        <v>513</v>
      </c>
    </row>
    <row r="87" spans="1:11" ht="25.5" x14ac:dyDescent="0.25">
      <c r="A87" s="22">
        <v>2026</v>
      </c>
      <c r="B87" s="28" t="s">
        <v>167</v>
      </c>
      <c r="C87" s="28" t="s">
        <v>97</v>
      </c>
      <c r="D87" s="28" t="s">
        <v>1696</v>
      </c>
      <c r="E87" s="29" t="s">
        <v>1760</v>
      </c>
      <c r="F87" s="29" t="s">
        <v>343</v>
      </c>
      <c r="G87" s="25" t="s">
        <v>1888</v>
      </c>
      <c r="H87" s="26">
        <v>-2.58216E-3</v>
      </c>
      <c r="I87" s="26"/>
      <c r="J87" s="26" t="s">
        <v>512</v>
      </c>
      <c r="K87" s="25" t="s">
        <v>513</v>
      </c>
    </row>
    <row r="88" spans="1:11" ht="25.5" x14ac:dyDescent="0.25">
      <c r="A88" s="22">
        <v>2026</v>
      </c>
      <c r="B88" s="28" t="s">
        <v>167</v>
      </c>
      <c r="C88" s="28" t="s">
        <v>97</v>
      </c>
      <c r="D88" s="28" t="s">
        <v>1696</v>
      </c>
      <c r="E88" s="29" t="s">
        <v>1760</v>
      </c>
      <c r="F88" s="29" t="s">
        <v>343</v>
      </c>
      <c r="G88" s="25" t="s">
        <v>1889</v>
      </c>
      <c r="H88" s="26">
        <v>-1.2486937440000002E-2</v>
      </c>
      <c r="I88" s="26"/>
      <c r="J88" s="26" t="s">
        <v>512</v>
      </c>
      <c r="K88" s="25" t="s">
        <v>513</v>
      </c>
    </row>
    <row r="89" spans="1:11" ht="25.5" x14ac:dyDescent="0.25">
      <c r="A89" s="22">
        <v>2026</v>
      </c>
      <c r="B89" s="28" t="s">
        <v>167</v>
      </c>
      <c r="C89" s="28" t="s">
        <v>97</v>
      </c>
      <c r="D89" s="28" t="s">
        <v>1696</v>
      </c>
      <c r="E89" s="29" t="s">
        <v>1760</v>
      </c>
      <c r="F89" s="29" t="s">
        <v>343</v>
      </c>
      <c r="G89" s="25" t="s">
        <v>1890</v>
      </c>
      <c r="H89" s="26">
        <v>-1.0216853279999999E-2</v>
      </c>
      <c r="I89" s="26"/>
      <c r="J89" s="26" t="s">
        <v>512</v>
      </c>
      <c r="K89" s="25" t="s">
        <v>513</v>
      </c>
    </row>
    <row r="90" spans="1:11" ht="25.5" x14ac:dyDescent="0.25">
      <c r="A90" s="22">
        <v>2026</v>
      </c>
      <c r="B90" s="28" t="s">
        <v>167</v>
      </c>
      <c r="C90" s="28" t="s">
        <v>97</v>
      </c>
      <c r="D90" s="28" t="s">
        <v>1696</v>
      </c>
      <c r="E90" s="29" t="s">
        <v>1760</v>
      </c>
      <c r="F90" s="29" t="s">
        <v>343</v>
      </c>
      <c r="G90" s="25" t="s">
        <v>1891</v>
      </c>
      <c r="H90" s="26">
        <v>-1.5022354860000002E-2</v>
      </c>
      <c r="I90" s="26"/>
      <c r="J90" s="26" t="s">
        <v>512</v>
      </c>
      <c r="K90" s="25" t="s">
        <v>513</v>
      </c>
    </row>
    <row r="91" spans="1:11" ht="25.5" x14ac:dyDescent="0.25">
      <c r="A91" s="22">
        <v>2026</v>
      </c>
      <c r="B91" s="28" t="s">
        <v>167</v>
      </c>
      <c r="C91" s="28" t="s">
        <v>97</v>
      </c>
      <c r="D91" s="28" t="s">
        <v>1696</v>
      </c>
      <c r="E91" s="29" t="s">
        <v>1760</v>
      </c>
      <c r="F91" s="29" t="s">
        <v>343</v>
      </c>
      <c r="G91" s="25" t="s">
        <v>1892</v>
      </c>
      <c r="H91" s="26">
        <v>-4.3674739460000001E-2</v>
      </c>
      <c r="I91" s="26"/>
      <c r="J91" s="26" t="s">
        <v>512</v>
      </c>
      <c r="K91" s="25" t="s">
        <v>513</v>
      </c>
    </row>
    <row r="92" spans="1:11" ht="25.5" x14ac:dyDescent="0.25">
      <c r="A92" s="22">
        <v>2026</v>
      </c>
      <c r="B92" s="28" t="s">
        <v>167</v>
      </c>
      <c r="C92" s="28" t="s">
        <v>97</v>
      </c>
      <c r="D92" s="28" t="s">
        <v>1696</v>
      </c>
      <c r="E92" s="29" t="s">
        <v>1760</v>
      </c>
      <c r="F92" s="29" t="s">
        <v>343</v>
      </c>
      <c r="G92" s="25" t="s">
        <v>1893</v>
      </c>
      <c r="H92" s="26">
        <v>-6.18705009E-2</v>
      </c>
      <c r="I92" s="26"/>
      <c r="J92" s="26" t="s">
        <v>512</v>
      </c>
      <c r="K92" s="25" t="s">
        <v>513</v>
      </c>
    </row>
    <row r="93" spans="1:11" ht="25.5" x14ac:dyDescent="0.25">
      <c r="A93" s="22">
        <v>2026</v>
      </c>
      <c r="B93" s="28" t="s">
        <v>167</v>
      </c>
      <c r="C93" s="28" t="s">
        <v>97</v>
      </c>
      <c r="D93" s="28" t="s">
        <v>1696</v>
      </c>
      <c r="E93" s="29" t="s">
        <v>1760</v>
      </c>
      <c r="F93" s="29" t="s">
        <v>343</v>
      </c>
      <c r="G93" s="25" t="s">
        <v>1894</v>
      </c>
      <c r="H93" s="26">
        <v>-9.7290700800000008E-3</v>
      </c>
      <c r="I93" s="26"/>
      <c r="J93" s="26" t="s">
        <v>512</v>
      </c>
      <c r="K93" s="25" t="s">
        <v>513</v>
      </c>
    </row>
    <row r="94" spans="1:11" ht="25.5" x14ac:dyDescent="0.25">
      <c r="A94" s="22">
        <v>2026</v>
      </c>
      <c r="B94" s="28" t="s">
        <v>167</v>
      </c>
      <c r="C94" s="28" t="s">
        <v>97</v>
      </c>
      <c r="D94" s="28" t="s">
        <v>1696</v>
      </c>
      <c r="E94" s="29" t="s">
        <v>1760</v>
      </c>
      <c r="F94" s="29" t="s">
        <v>343</v>
      </c>
      <c r="G94" s="25" t="s">
        <v>1895</v>
      </c>
      <c r="H94" s="26">
        <v>-9.5267500000000005E-3</v>
      </c>
      <c r="I94" s="26"/>
      <c r="J94" s="26" t="s">
        <v>512</v>
      </c>
      <c r="K94" s="25" t="s">
        <v>513</v>
      </c>
    </row>
    <row r="95" spans="1:11" ht="25.5" x14ac:dyDescent="0.25">
      <c r="A95" s="22">
        <v>2026</v>
      </c>
      <c r="B95" s="28" t="s">
        <v>167</v>
      </c>
      <c r="C95" s="28" t="s">
        <v>97</v>
      </c>
      <c r="D95" s="28" t="s">
        <v>1696</v>
      </c>
      <c r="E95" s="29" t="s">
        <v>1760</v>
      </c>
      <c r="F95" s="29" t="s">
        <v>343</v>
      </c>
      <c r="G95" s="25" t="s">
        <v>1896</v>
      </c>
      <c r="H95" s="26">
        <v>-1.1396969999999999E-2</v>
      </c>
      <c r="I95" s="26"/>
      <c r="J95" s="26" t="s">
        <v>512</v>
      </c>
      <c r="K95" s="25" t="s">
        <v>513</v>
      </c>
    </row>
    <row r="96" spans="1:11" ht="25.5" x14ac:dyDescent="0.25">
      <c r="A96" s="22">
        <v>2026</v>
      </c>
      <c r="B96" s="28" t="s">
        <v>167</v>
      </c>
      <c r="C96" s="28" t="s">
        <v>97</v>
      </c>
      <c r="D96" s="28" t="s">
        <v>1696</v>
      </c>
      <c r="E96" s="29" t="s">
        <v>1760</v>
      </c>
      <c r="F96" s="29" t="s">
        <v>343</v>
      </c>
      <c r="G96" s="25" t="s">
        <v>1897</v>
      </c>
      <c r="H96" s="26">
        <v>-1.3350015000000002E-2</v>
      </c>
      <c r="I96" s="26"/>
      <c r="J96" s="26" t="s">
        <v>512</v>
      </c>
      <c r="K96" s="25" t="s">
        <v>513</v>
      </c>
    </row>
    <row r="97" spans="1:11" ht="25.5" x14ac:dyDescent="0.25">
      <c r="A97" s="22">
        <v>2026</v>
      </c>
      <c r="B97" s="28" t="s">
        <v>167</v>
      </c>
      <c r="C97" s="28" t="s">
        <v>97</v>
      </c>
      <c r="D97" s="28" t="s">
        <v>1696</v>
      </c>
      <c r="E97" s="29" t="s">
        <v>1760</v>
      </c>
      <c r="F97" s="29" t="s">
        <v>343</v>
      </c>
      <c r="G97" s="25" t="s">
        <v>1898</v>
      </c>
      <c r="H97" s="26">
        <v>-7.2803500000000005E-3</v>
      </c>
      <c r="I97" s="26"/>
      <c r="J97" s="26" t="s">
        <v>512</v>
      </c>
      <c r="K97" s="25" t="s">
        <v>513</v>
      </c>
    </row>
    <row r="98" spans="1:11" ht="25.5" x14ac:dyDescent="0.25">
      <c r="A98" s="22">
        <v>2026</v>
      </c>
      <c r="B98" s="28" t="s">
        <v>167</v>
      </c>
      <c r="C98" s="28" t="s">
        <v>97</v>
      </c>
      <c r="D98" s="28" t="s">
        <v>1696</v>
      </c>
      <c r="E98" s="29" t="s">
        <v>1760</v>
      </c>
      <c r="F98" s="29" t="s">
        <v>343</v>
      </c>
      <c r="G98" s="25" t="s">
        <v>1899</v>
      </c>
      <c r="H98" s="26">
        <v>-4.2320624000000001E-2</v>
      </c>
      <c r="I98" s="26"/>
      <c r="J98" s="26" t="s">
        <v>512</v>
      </c>
      <c r="K98" s="25" t="s">
        <v>513</v>
      </c>
    </row>
    <row r="99" spans="1:11" ht="25.5" x14ac:dyDescent="0.25">
      <c r="A99" s="22">
        <v>2026</v>
      </c>
      <c r="B99" s="28" t="s">
        <v>167</v>
      </c>
      <c r="C99" s="28" t="s">
        <v>97</v>
      </c>
      <c r="D99" s="28" t="s">
        <v>1696</v>
      </c>
      <c r="E99" s="29" t="s">
        <v>1760</v>
      </c>
      <c r="F99" s="29" t="s">
        <v>343</v>
      </c>
      <c r="G99" s="25" t="s">
        <v>1900</v>
      </c>
      <c r="H99" s="26">
        <v>-1.341535389E-2</v>
      </c>
      <c r="I99" s="26"/>
      <c r="J99" s="26" t="s">
        <v>512</v>
      </c>
      <c r="K99" s="25" t="s">
        <v>513</v>
      </c>
    </row>
    <row r="100" spans="1:11" ht="25.5" x14ac:dyDescent="0.25">
      <c r="A100" s="22">
        <v>2026</v>
      </c>
      <c r="B100" s="28" t="s">
        <v>167</v>
      </c>
      <c r="C100" s="28" t="s">
        <v>97</v>
      </c>
      <c r="D100" s="28" t="s">
        <v>1698</v>
      </c>
      <c r="E100" s="29" t="s">
        <v>315</v>
      </c>
      <c r="F100" s="29" t="s">
        <v>298</v>
      </c>
      <c r="G100" s="25" t="s">
        <v>1901</v>
      </c>
      <c r="H100" s="26">
        <v>-0.64749999999999996</v>
      </c>
      <c r="I100" s="26"/>
      <c r="J100" s="26" t="s">
        <v>512</v>
      </c>
      <c r="K100" s="25" t="s">
        <v>513</v>
      </c>
    </row>
    <row r="101" spans="1:11" ht="25.5" x14ac:dyDescent="0.25">
      <c r="A101" s="22">
        <v>2026</v>
      </c>
      <c r="B101" s="28" t="s">
        <v>167</v>
      </c>
      <c r="C101" s="28" t="s">
        <v>97</v>
      </c>
      <c r="D101" s="28" t="s">
        <v>1698</v>
      </c>
      <c r="E101" s="29" t="s">
        <v>315</v>
      </c>
      <c r="F101" s="29" t="s">
        <v>298</v>
      </c>
      <c r="G101" s="25" t="s">
        <v>1902</v>
      </c>
      <c r="H101" s="26">
        <v>-1.2869999999999999</v>
      </c>
      <c r="I101" s="26"/>
      <c r="J101" s="26" t="s">
        <v>512</v>
      </c>
      <c r="K101" s="25" t="s">
        <v>513</v>
      </c>
    </row>
    <row r="102" spans="1:11" ht="25.5" x14ac:dyDescent="0.25">
      <c r="A102" s="22">
        <v>2026</v>
      </c>
      <c r="B102" s="28" t="s">
        <v>167</v>
      </c>
      <c r="C102" s="28" t="s">
        <v>97</v>
      </c>
      <c r="D102" s="28" t="s">
        <v>1698</v>
      </c>
      <c r="E102" s="29" t="s">
        <v>315</v>
      </c>
      <c r="F102" s="29" t="s">
        <v>298</v>
      </c>
      <c r="G102" s="25" t="s">
        <v>1903</v>
      </c>
      <c r="H102" s="26">
        <v>-1.2890999999999999</v>
      </c>
      <c r="I102" s="26"/>
      <c r="J102" s="26" t="s">
        <v>512</v>
      </c>
      <c r="K102" s="25" t="s">
        <v>513</v>
      </c>
    </row>
    <row r="103" spans="1:11" ht="25.5" x14ac:dyDescent="0.25">
      <c r="A103" s="22">
        <v>2026</v>
      </c>
      <c r="B103" s="28" t="s">
        <v>167</v>
      </c>
      <c r="C103" s="28" t="s">
        <v>97</v>
      </c>
      <c r="D103" s="28" t="s">
        <v>1698</v>
      </c>
      <c r="E103" s="29" t="s">
        <v>315</v>
      </c>
      <c r="F103" s="29" t="s">
        <v>298</v>
      </c>
      <c r="G103" s="25" t="s">
        <v>1904</v>
      </c>
      <c r="H103" s="26">
        <v>-0.327125</v>
      </c>
      <c r="I103" s="26"/>
      <c r="J103" s="26" t="s">
        <v>512</v>
      </c>
      <c r="K103" s="25" t="s">
        <v>513</v>
      </c>
    </row>
    <row r="104" spans="1:11" ht="25.5" x14ac:dyDescent="0.25">
      <c r="A104" s="22">
        <v>2026</v>
      </c>
      <c r="B104" s="28" t="s">
        <v>167</v>
      </c>
      <c r="C104" s="28" t="s">
        <v>97</v>
      </c>
      <c r="D104" s="28" t="s">
        <v>1698</v>
      </c>
      <c r="E104" s="29" t="s">
        <v>315</v>
      </c>
      <c r="F104" s="29" t="s">
        <v>298</v>
      </c>
      <c r="G104" s="25" t="s">
        <v>1905</v>
      </c>
      <c r="H104" s="26">
        <v>-1.1036824999999999</v>
      </c>
      <c r="I104" s="26"/>
      <c r="J104" s="26" t="s">
        <v>512</v>
      </c>
      <c r="K104" s="25" t="s">
        <v>513</v>
      </c>
    </row>
    <row r="105" spans="1:11" ht="25.5" x14ac:dyDescent="0.25">
      <c r="A105" s="22">
        <v>2026</v>
      </c>
      <c r="B105" s="28" t="s">
        <v>167</v>
      </c>
      <c r="C105" s="28" t="s">
        <v>97</v>
      </c>
      <c r="D105" s="28" t="s">
        <v>1698</v>
      </c>
      <c r="E105" s="29" t="s">
        <v>315</v>
      </c>
      <c r="F105" s="29" t="s">
        <v>298</v>
      </c>
      <c r="G105" s="25" t="s">
        <v>1906</v>
      </c>
      <c r="H105" s="26">
        <v>-0.33011249999999998</v>
      </c>
      <c r="I105" s="26"/>
      <c r="J105" s="26" t="s">
        <v>512</v>
      </c>
      <c r="K105" s="25" t="s">
        <v>513</v>
      </c>
    </row>
    <row r="106" spans="1:11" ht="25.5" x14ac:dyDescent="0.25">
      <c r="A106" s="22">
        <v>2026</v>
      </c>
      <c r="B106" s="28" t="s">
        <v>167</v>
      </c>
      <c r="C106" s="28" t="s">
        <v>97</v>
      </c>
      <c r="D106" s="28" t="s">
        <v>1698</v>
      </c>
      <c r="E106" s="29" t="s">
        <v>315</v>
      </c>
      <c r="F106" s="29" t="s">
        <v>298</v>
      </c>
      <c r="G106" s="25" t="s">
        <v>1907</v>
      </c>
      <c r="H106" s="26">
        <v>-0.32824999999999999</v>
      </c>
      <c r="I106" s="26"/>
      <c r="J106" s="26" t="s">
        <v>512</v>
      </c>
      <c r="K106" s="25" t="s">
        <v>513</v>
      </c>
    </row>
    <row r="107" spans="1:11" ht="25.5" x14ac:dyDescent="0.25">
      <c r="A107" s="22">
        <v>2026</v>
      </c>
      <c r="B107" s="28" t="s">
        <v>167</v>
      </c>
      <c r="C107" s="28" t="s">
        <v>97</v>
      </c>
      <c r="D107" s="28" t="s">
        <v>1698</v>
      </c>
      <c r="E107" s="29" t="s">
        <v>315</v>
      </c>
      <c r="F107" s="29" t="s">
        <v>298</v>
      </c>
      <c r="G107" s="25" t="s">
        <v>1908</v>
      </c>
      <c r="H107" s="26">
        <v>-2.15754</v>
      </c>
      <c r="I107" s="26"/>
      <c r="J107" s="26" t="s">
        <v>512</v>
      </c>
      <c r="K107" s="25" t="s">
        <v>513</v>
      </c>
    </row>
    <row r="108" spans="1:11" ht="25.5" x14ac:dyDescent="0.25">
      <c r="A108" s="22">
        <v>2026</v>
      </c>
      <c r="B108" s="28" t="s">
        <v>167</v>
      </c>
      <c r="C108" s="28" t="s">
        <v>97</v>
      </c>
      <c r="D108" s="28" t="s">
        <v>1699</v>
      </c>
      <c r="E108" s="29" t="s">
        <v>331</v>
      </c>
      <c r="F108" s="29" t="s">
        <v>1762</v>
      </c>
      <c r="G108" s="25" t="s">
        <v>1909</v>
      </c>
      <c r="H108" s="26">
        <v>-1.2498720000000001E-2</v>
      </c>
      <c r="I108" s="26"/>
      <c r="J108" s="26" t="s">
        <v>512</v>
      </c>
      <c r="K108" s="25" t="s">
        <v>513</v>
      </c>
    </row>
    <row r="109" spans="1:11" ht="25.5" x14ac:dyDescent="0.25">
      <c r="A109" s="22">
        <v>2026</v>
      </c>
      <c r="B109" s="28" t="s">
        <v>167</v>
      </c>
      <c r="C109" s="28" t="s">
        <v>97</v>
      </c>
      <c r="D109" s="28" t="s">
        <v>1699</v>
      </c>
      <c r="E109" s="29" t="s">
        <v>331</v>
      </c>
      <c r="F109" s="29" t="s">
        <v>1762</v>
      </c>
      <c r="G109" s="25" t="s">
        <v>1910</v>
      </c>
      <c r="H109" s="26">
        <v>-7.9020000000000007E-2</v>
      </c>
      <c r="I109" s="26"/>
      <c r="J109" s="26" t="s">
        <v>512</v>
      </c>
      <c r="K109" s="25" t="s">
        <v>513</v>
      </c>
    </row>
    <row r="110" spans="1:11" ht="25.5" x14ac:dyDescent="0.25">
      <c r="A110" s="22">
        <v>2026</v>
      </c>
      <c r="B110" s="28" t="s">
        <v>167</v>
      </c>
      <c r="C110" s="28" t="s">
        <v>97</v>
      </c>
      <c r="D110" s="28" t="s">
        <v>1699</v>
      </c>
      <c r="E110" s="29" t="s">
        <v>331</v>
      </c>
      <c r="F110" s="29" t="s">
        <v>1762</v>
      </c>
      <c r="G110" s="25" t="s">
        <v>1911</v>
      </c>
      <c r="H110" s="26">
        <v>-6.9995119999999994E-2</v>
      </c>
      <c r="I110" s="26"/>
      <c r="J110" s="26" t="s">
        <v>512</v>
      </c>
      <c r="K110" s="25" t="s">
        <v>513</v>
      </c>
    </row>
    <row r="111" spans="1:11" ht="25.5" x14ac:dyDescent="0.25">
      <c r="A111" s="22">
        <v>2026</v>
      </c>
      <c r="B111" s="28" t="s">
        <v>167</v>
      </c>
      <c r="C111" s="28" t="s">
        <v>97</v>
      </c>
      <c r="D111" s="28" t="s">
        <v>1699</v>
      </c>
      <c r="E111" s="29" t="s">
        <v>331</v>
      </c>
      <c r="F111" s="29" t="s">
        <v>1762</v>
      </c>
      <c r="G111" s="25" t="s">
        <v>1912</v>
      </c>
      <c r="H111" s="26">
        <v>-5.3539800000000005E-2</v>
      </c>
      <c r="I111" s="26"/>
      <c r="J111" s="26" t="s">
        <v>512</v>
      </c>
      <c r="K111" s="25" t="s">
        <v>513</v>
      </c>
    </row>
    <row r="112" spans="1:11" ht="25.5" x14ac:dyDescent="0.25">
      <c r="A112" s="22">
        <v>2026</v>
      </c>
      <c r="B112" s="28" t="s">
        <v>167</v>
      </c>
      <c r="C112" s="28" t="s">
        <v>97</v>
      </c>
      <c r="D112" s="28" t="s">
        <v>1699</v>
      </c>
      <c r="E112" s="29" t="s">
        <v>331</v>
      </c>
      <c r="F112" s="29" t="s">
        <v>1762</v>
      </c>
      <c r="G112" s="25" t="s">
        <v>1913</v>
      </c>
      <c r="H112" s="26">
        <v>-6.9638800000000001E-2</v>
      </c>
      <c r="I112" s="26"/>
      <c r="J112" s="26" t="s">
        <v>512</v>
      </c>
      <c r="K112" s="25" t="s">
        <v>513</v>
      </c>
    </row>
    <row r="113" spans="1:11" ht="25.5" x14ac:dyDescent="0.25">
      <c r="A113" s="22">
        <v>2026</v>
      </c>
      <c r="B113" s="28" t="s">
        <v>167</v>
      </c>
      <c r="C113" s="28" t="s">
        <v>97</v>
      </c>
      <c r="D113" s="28" t="s">
        <v>1699</v>
      </c>
      <c r="E113" s="29" t="s">
        <v>331</v>
      </c>
      <c r="F113" s="29" t="s">
        <v>1762</v>
      </c>
      <c r="G113" s="25" t="s">
        <v>1914</v>
      </c>
      <c r="H113" s="26">
        <v>-4.6281999999999997E-2</v>
      </c>
      <c r="I113" s="26"/>
      <c r="J113" s="26" t="s">
        <v>512</v>
      </c>
      <c r="K113" s="25" t="s">
        <v>513</v>
      </c>
    </row>
    <row r="114" spans="1:11" ht="25.5" x14ac:dyDescent="0.25">
      <c r="A114" s="22">
        <v>2026</v>
      </c>
      <c r="B114" s="28" t="s">
        <v>167</v>
      </c>
      <c r="C114" s="28" t="s">
        <v>97</v>
      </c>
      <c r="D114" s="28" t="s">
        <v>1699</v>
      </c>
      <c r="E114" s="29" t="s">
        <v>331</v>
      </c>
      <c r="F114" s="29" t="s">
        <v>1762</v>
      </c>
      <c r="G114" s="25" t="s">
        <v>1915</v>
      </c>
      <c r="H114" s="26">
        <v>-6.2920000000000004E-2</v>
      </c>
      <c r="I114" s="26"/>
      <c r="J114" s="26" t="s">
        <v>512</v>
      </c>
      <c r="K114" s="25" t="s">
        <v>513</v>
      </c>
    </row>
    <row r="115" spans="1:11" ht="25.5" x14ac:dyDescent="0.25">
      <c r="A115" s="22">
        <v>2026</v>
      </c>
      <c r="B115" s="28" t="s">
        <v>167</v>
      </c>
      <c r="C115" s="28" t="s">
        <v>97</v>
      </c>
      <c r="D115" s="28" t="s">
        <v>1699</v>
      </c>
      <c r="E115" s="29" t="s">
        <v>331</v>
      </c>
      <c r="F115" s="29" t="s">
        <v>1762</v>
      </c>
      <c r="G115" s="25" t="s">
        <v>1916</v>
      </c>
      <c r="H115" s="26">
        <v>-5.4960900599999994E-2</v>
      </c>
      <c r="I115" s="26"/>
      <c r="J115" s="26" t="s">
        <v>512</v>
      </c>
      <c r="K115" s="25" t="s">
        <v>513</v>
      </c>
    </row>
    <row r="116" spans="1:11" ht="25.5" x14ac:dyDescent="0.25">
      <c r="A116" s="22">
        <v>2026</v>
      </c>
      <c r="B116" s="28" t="s">
        <v>167</v>
      </c>
      <c r="C116" s="28" t="s">
        <v>97</v>
      </c>
      <c r="D116" s="28" t="s">
        <v>1699</v>
      </c>
      <c r="E116" s="29" t="s">
        <v>331</v>
      </c>
      <c r="F116" s="29" t="s">
        <v>1762</v>
      </c>
      <c r="G116" s="25" t="s">
        <v>1917</v>
      </c>
      <c r="H116" s="26">
        <v>-4.8713593499999992E-2</v>
      </c>
      <c r="I116" s="26"/>
      <c r="J116" s="26" t="s">
        <v>512</v>
      </c>
      <c r="K116" s="25" t="s">
        <v>513</v>
      </c>
    </row>
    <row r="117" spans="1:11" ht="25.5" x14ac:dyDescent="0.25">
      <c r="A117" s="22">
        <v>2026</v>
      </c>
      <c r="B117" s="28" t="s">
        <v>167</v>
      </c>
      <c r="C117" s="28" t="s">
        <v>97</v>
      </c>
      <c r="D117" s="28" t="s">
        <v>1699</v>
      </c>
      <c r="E117" s="29" t="s">
        <v>331</v>
      </c>
      <c r="F117" s="29" t="s">
        <v>1762</v>
      </c>
      <c r="G117" s="25" t="s">
        <v>1918</v>
      </c>
      <c r="H117" s="26">
        <v>-5.2218249599999995E-2</v>
      </c>
      <c r="I117" s="26"/>
      <c r="J117" s="26" t="s">
        <v>512</v>
      </c>
      <c r="K117" s="25" t="s">
        <v>513</v>
      </c>
    </row>
    <row r="118" spans="1:11" ht="25.5" x14ac:dyDescent="0.25">
      <c r="A118" s="22">
        <v>2026</v>
      </c>
      <c r="B118" s="28" t="s">
        <v>167</v>
      </c>
      <c r="C118" s="28" t="s">
        <v>97</v>
      </c>
      <c r="D118" s="28" t="s">
        <v>1699</v>
      </c>
      <c r="E118" s="29" t="s">
        <v>331</v>
      </c>
      <c r="F118" s="29" t="s">
        <v>1762</v>
      </c>
      <c r="G118" s="25" t="s">
        <v>1919</v>
      </c>
      <c r="H118" s="26">
        <v>-2.1213639999999999E-2</v>
      </c>
      <c r="I118" s="26"/>
      <c r="J118" s="26" t="s">
        <v>512</v>
      </c>
      <c r="K118" s="25" t="s">
        <v>513</v>
      </c>
    </row>
    <row r="119" spans="1:11" ht="25.5" x14ac:dyDescent="0.25">
      <c r="A119" s="22">
        <v>2026</v>
      </c>
      <c r="B119" s="28" t="s">
        <v>167</v>
      </c>
      <c r="C119" s="28" t="s">
        <v>97</v>
      </c>
      <c r="D119" s="28" t="s">
        <v>1699</v>
      </c>
      <c r="E119" s="29" t="s">
        <v>331</v>
      </c>
      <c r="F119" s="29" t="s">
        <v>1762</v>
      </c>
      <c r="G119" s="25" t="s">
        <v>1920</v>
      </c>
      <c r="H119" s="26">
        <v>-4.7673E-2</v>
      </c>
      <c r="I119" s="26"/>
      <c r="J119" s="26" t="s">
        <v>512</v>
      </c>
      <c r="K119" s="25" t="s">
        <v>513</v>
      </c>
    </row>
    <row r="120" spans="1:11" ht="25.5" x14ac:dyDescent="0.25">
      <c r="A120" s="22">
        <v>2026</v>
      </c>
      <c r="B120" s="28" t="s">
        <v>167</v>
      </c>
      <c r="C120" s="28" t="s">
        <v>97</v>
      </c>
      <c r="D120" s="28" t="s">
        <v>1699</v>
      </c>
      <c r="E120" s="29" t="s">
        <v>331</v>
      </c>
      <c r="F120" s="29" t="s">
        <v>1762</v>
      </c>
      <c r="G120" s="25" t="s">
        <v>1921</v>
      </c>
      <c r="H120" s="26">
        <v>-2.0451649399999997E-2</v>
      </c>
      <c r="I120" s="26"/>
      <c r="J120" s="26" t="s">
        <v>512</v>
      </c>
      <c r="K120" s="25" t="s">
        <v>513</v>
      </c>
    </row>
    <row r="121" spans="1:11" ht="25.5" x14ac:dyDescent="0.25">
      <c r="A121" s="22">
        <v>2026</v>
      </c>
      <c r="B121" s="28" t="s">
        <v>167</v>
      </c>
      <c r="C121" s="28" t="s">
        <v>97</v>
      </c>
      <c r="D121" s="28" t="s">
        <v>1699</v>
      </c>
      <c r="E121" s="29" t="s">
        <v>331</v>
      </c>
      <c r="F121" s="29" t="s">
        <v>1762</v>
      </c>
      <c r="G121" s="25" t="s">
        <v>1922</v>
      </c>
      <c r="H121" s="26">
        <v>-2.3286240000000003E-2</v>
      </c>
      <c r="I121" s="26"/>
      <c r="J121" s="26" t="s">
        <v>512</v>
      </c>
      <c r="K121" s="25" t="s">
        <v>513</v>
      </c>
    </row>
    <row r="122" spans="1:11" ht="25.5" x14ac:dyDescent="0.25">
      <c r="A122" s="22">
        <v>2026</v>
      </c>
      <c r="B122" s="28" t="s">
        <v>167</v>
      </c>
      <c r="C122" s="28" t="s">
        <v>97</v>
      </c>
      <c r="D122" s="28" t="s">
        <v>1699</v>
      </c>
      <c r="E122" s="29" t="s">
        <v>331</v>
      </c>
      <c r="F122" s="29" t="s">
        <v>1762</v>
      </c>
      <c r="G122" s="25" t="s">
        <v>1923</v>
      </c>
      <c r="H122" s="26">
        <v>-2.6596577699999999E-2</v>
      </c>
      <c r="I122" s="26"/>
      <c r="J122" s="26" t="s">
        <v>512</v>
      </c>
      <c r="K122" s="25" t="s">
        <v>513</v>
      </c>
    </row>
    <row r="123" spans="1:11" ht="25.5" x14ac:dyDescent="0.25">
      <c r="A123" s="22">
        <v>2026</v>
      </c>
      <c r="B123" s="28" t="s">
        <v>167</v>
      </c>
      <c r="C123" s="28" t="s">
        <v>97</v>
      </c>
      <c r="D123" s="28" t="s">
        <v>1700</v>
      </c>
      <c r="E123" s="29" t="s">
        <v>331</v>
      </c>
      <c r="F123" s="29" t="s">
        <v>483</v>
      </c>
      <c r="G123" s="25" t="s">
        <v>1924</v>
      </c>
      <c r="H123" s="26">
        <v>-0.15260000000000001</v>
      </c>
      <c r="I123" s="26"/>
      <c r="J123" s="26" t="s">
        <v>512</v>
      </c>
      <c r="K123" s="25" t="s">
        <v>513</v>
      </c>
    </row>
    <row r="124" spans="1:11" ht="25.5" x14ac:dyDescent="0.25">
      <c r="A124" s="22">
        <v>2026</v>
      </c>
      <c r="B124" s="28" t="s">
        <v>167</v>
      </c>
      <c r="C124" s="28" t="s">
        <v>97</v>
      </c>
      <c r="D124" s="28" t="s">
        <v>1700</v>
      </c>
      <c r="E124" s="29" t="s">
        <v>331</v>
      </c>
      <c r="F124" s="29" t="s">
        <v>483</v>
      </c>
      <c r="G124" s="25" t="s">
        <v>1925</v>
      </c>
      <c r="H124" s="26">
        <v>-0.152306</v>
      </c>
      <c r="I124" s="26"/>
      <c r="J124" s="26" t="s">
        <v>512</v>
      </c>
      <c r="K124" s="25" t="s">
        <v>513</v>
      </c>
    </row>
    <row r="125" spans="1:11" ht="25.5" x14ac:dyDescent="0.25">
      <c r="A125" s="22">
        <v>2026</v>
      </c>
      <c r="B125" s="28" t="s">
        <v>167</v>
      </c>
      <c r="C125" s="28" t="s">
        <v>97</v>
      </c>
      <c r="D125" s="28" t="s">
        <v>1700</v>
      </c>
      <c r="E125" s="29" t="s">
        <v>331</v>
      </c>
      <c r="F125" s="29" t="s">
        <v>483</v>
      </c>
      <c r="G125" s="25" t="s">
        <v>1924</v>
      </c>
      <c r="H125" s="26">
        <v>-0.15260000000000001</v>
      </c>
      <c r="I125" s="26"/>
      <c r="J125" s="26" t="s">
        <v>512</v>
      </c>
      <c r="K125" s="25" t="s">
        <v>513</v>
      </c>
    </row>
    <row r="126" spans="1:11" ht="25.5" x14ac:dyDescent="0.25">
      <c r="A126" s="22">
        <v>2026</v>
      </c>
      <c r="B126" s="28" t="s">
        <v>167</v>
      </c>
      <c r="C126" s="28" t="s">
        <v>97</v>
      </c>
      <c r="D126" s="28" t="s">
        <v>1700</v>
      </c>
      <c r="E126" s="29" t="s">
        <v>331</v>
      </c>
      <c r="F126" s="29" t="s">
        <v>483</v>
      </c>
      <c r="G126" s="25" t="s">
        <v>1926</v>
      </c>
      <c r="H126" s="26">
        <v>-0.153748</v>
      </c>
      <c r="I126" s="26"/>
      <c r="J126" s="26" t="s">
        <v>512</v>
      </c>
      <c r="K126" s="25" t="s">
        <v>513</v>
      </c>
    </row>
    <row r="127" spans="1:11" ht="25.5" x14ac:dyDescent="0.25">
      <c r="A127" s="22">
        <v>2026</v>
      </c>
      <c r="B127" s="28" t="s">
        <v>167</v>
      </c>
      <c r="C127" s="28" t="s">
        <v>97</v>
      </c>
      <c r="D127" s="28" t="s">
        <v>1700</v>
      </c>
      <c r="E127" s="29" t="s">
        <v>331</v>
      </c>
      <c r="F127" s="29" t="s">
        <v>483</v>
      </c>
      <c r="G127" s="25" t="s">
        <v>1927</v>
      </c>
      <c r="H127" s="26">
        <v>-0.15310399999999999</v>
      </c>
      <c r="I127" s="26"/>
      <c r="J127" s="26" t="s">
        <v>512</v>
      </c>
      <c r="K127" s="25" t="s">
        <v>513</v>
      </c>
    </row>
    <row r="128" spans="1:11" ht="25.5" x14ac:dyDescent="0.25">
      <c r="A128" s="22">
        <v>2026</v>
      </c>
      <c r="B128" s="28" t="s">
        <v>167</v>
      </c>
      <c r="C128" s="28" t="s">
        <v>97</v>
      </c>
      <c r="D128" s="28" t="s">
        <v>1700</v>
      </c>
      <c r="E128" s="29" t="s">
        <v>331</v>
      </c>
      <c r="F128" s="29" t="s">
        <v>483</v>
      </c>
      <c r="G128" s="25" t="s">
        <v>1928</v>
      </c>
      <c r="H128" s="26">
        <v>-0.154</v>
      </c>
      <c r="I128" s="26"/>
      <c r="J128" s="26" t="s">
        <v>512</v>
      </c>
      <c r="K128" s="25" t="s">
        <v>513</v>
      </c>
    </row>
    <row r="129" spans="1:11" ht="25.5" x14ac:dyDescent="0.25">
      <c r="A129" s="22">
        <v>2026</v>
      </c>
      <c r="B129" s="28" t="s">
        <v>167</v>
      </c>
      <c r="C129" s="28" t="s">
        <v>97</v>
      </c>
      <c r="D129" s="28" t="s">
        <v>1700</v>
      </c>
      <c r="E129" s="29" t="s">
        <v>331</v>
      </c>
      <c r="F129" s="29" t="s">
        <v>483</v>
      </c>
      <c r="G129" s="25" t="s">
        <v>1929</v>
      </c>
      <c r="H129" s="26">
        <v>-0.15476999999999999</v>
      </c>
      <c r="I129" s="26"/>
      <c r="J129" s="26" t="s">
        <v>512</v>
      </c>
      <c r="K129" s="25" t="s">
        <v>513</v>
      </c>
    </row>
    <row r="130" spans="1:11" ht="25.5" x14ac:dyDescent="0.25">
      <c r="A130" s="22">
        <v>2026</v>
      </c>
      <c r="B130" s="28" t="s">
        <v>167</v>
      </c>
      <c r="C130" s="28" t="s">
        <v>97</v>
      </c>
      <c r="D130" s="28" t="s">
        <v>1700</v>
      </c>
      <c r="E130" s="29" t="s">
        <v>331</v>
      </c>
      <c r="F130" s="29" t="s">
        <v>483</v>
      </c>
      <c r="G130" s="25" t="s">
        <v>1928</v>
      </c>
      <c r="H130" s="26">
        <v>-0.154</v>
      </c>
      <c r="I130" s="26"/>
      <c r="J130" s="26" t="s">
        <v>512</v>
      </c>
      <c r="K130" s="25" t="s">
        <v>513</v>
      </c>
    </row>
    <row r="131" spans="1:11" ht="25.5" x14ac:dyDescent="0.25">
      <c r="A131" s="22">
        <v>2026</v>
      </c>
      <c r="B131" s="28" t="s">
        <v>167</v>
      </c>
      <c r="C131" s="28" t="s">
        <v>97</v>
      </c>
      <c r="D131" s="28" t="s">
        <v>1700</v>
      </c>
      <c r="E131" s="29" t="s">
        <v>331</v>
      </c>
      <c r="F131" s="29" t="s">
        <v>483</v>
      </c>
      <c r="G131" s="25" t="s">
        <v>1930</v>
      </c>
      <c r="H131" s="26">
        <v>-0.15468599999999999</v>
      </c>
      <c r="I131" s="26"/>
      <c r="J131" s="26" t="s">
        <v>512</v>
      </c>
      <c r="K131" s="25" t="s">
        <v>513</v>
      </c>
    </row>
    <row r="132" spans="1:11" ht="25.5" x14ac:dyDescent="0.25">
      <c r="A132" s="22">
        <v>2026</v>
      </c>
      <c r="B132" s="28" t="s">
        <v>167</v>
      </c>
      <c r="C132" s="28" t="s">
        <v>97</v>
      </c>
      <c r="D132" s="28" t="s">
        <v>1700</v>
      </c>
      <c r="E132" s="29" t="s">
        <v>331</v>
      </c>
      <c r="F132" s="29" t="s">
        <v>483</v>
      </c>
      <c r="G132" s="25" t="s">
        <v>1931</v>
      </c>
      <c r="H132" s="26">
        <v>-0.15520400000000001</v>
      </c>
      <c r="I132" s="26"/>
      <c r="J132" s="26" t="s">
        <v>512</v>
      </c>
      <c r="K132" s="25" t="s">
        <v>513</v>
      </c>
    </row>
    <row r="133" spans="1:11" ht="25.5" x14ac:dyDescent="0.25">
      <c r="A133" s="22">
        <v>2026</v>
      </c>
      <c r="B133" s="28" t="s">
        <v>167</v>
      </c>
      <c r="C133" s="28" t="s">
        <v>97</v>
      </c>
      <c r="D133" s="28" t="s">
        <v>1700</v>
      </c>
      <c r="E133" s="29" t="s">
        <v>331</v>
      </c>
      <c r="F133" s="29" t="s">
        <v>483</v>
      </c>
      <c r="G133" s="25" t="s">
        <v>1932</v>
      </c>
      <c r="H133" s="26">
        <v>-0.15443399999999999</v>
      </c>
      <c r="I133" s="26"/>
      <c r="J133" s="26" t="s">
        <v>512</v>
      </c>
      <c r="K133" s="25" t="s">
        <v>513</v>
      </c>
    </row>
    <row r="134" spans="1:11" ht="25.5" x14ac:dyDescent="0.25">
      <c r="A134" s="22">
        <v>2026</v>
      </c>
      <c r="B134" s="28" t="s">
        <v>167</v>
      </c>
      <c r="C134" s="28" t="s">
        <v>97</v>
      </c>
      <c r="D134" s="28" t="s">
        <v>1700</v>
      </c>
      <c r="E134" s="29" t="s">
        <v>331</v>
      </c>
      <c r="F134" s="29" t="s">
        <v>483</v>
      </c>
      <c r="G134" s="25" t="s">
        <v>1933</v>
      </c>
      <c r="H134" s="26">
        <v>-0.15190000000000001</v>
      </c>
      <c r="I134" s="26"/>
      <c r="J134" s="26" t="s">
        <v>512</v>
      </c>
      <c r="K134" s="25" t="s">
        <v>513</v>
      </c>
    </row>
    <row r="135" spans="1:11" ht="25.5" x14ac:dyDescent="0.25">
      <c r="A135" s="22">
        <v>2026</v>
      </c>
      <c r="B135" s="28" t="s">
        <v>167</v>
      </c>
      <c r="C135" s="28" t="s">
        <v>97</v>
      </c>
      <c r="D135" s="28" t="s">
        <v>1700</v>
      </c>
      <c r="E135" s="29" t="s">
        <v>331</v>
      </c>
      <c r="F135" s="29" t="s">
        <v>483</v>
      </c>
      <c r="G135" s="25" t="s">
        <v>1933</v>
      </c>
      <c r="H135" s="26">
        <v>-0.15190000000000001</v>
      </c>
      <c r="I135" s="26"/>
      <c r="J135" s="26" t="s">
        <v>512</v>
      </c>
      <c r="K135" s="25" t="s">
        <v>513</v>
      </c>
    </row>
    <row r="136" spans="1:11" ht="25.5" x14ac:dyDescent="0.25">
      <c r="A136" s="22">
        <v>2026</v>
      </c>
      <c r="B136" s="28" t="s">
        <v>167</v>
      </c>
      <c r="C136" s="28" t="s">
        <v>97</v>
      </c>
      <c r="D136" s="28" t="s">
        <v>1700</v>
      </c>
      <c r="E136" s="29" t="s">
        <v>331</v>
      </c>
      <c r="F136" s="29" t="s">
        <v>483</v>
      </c>
      <c r="G136" s="25" t="s">
        <v>1928</v>
      </c>
      <c r="H136" s="26">
        <v>-0.154</v>
      </c>
      <c r="I136" s="26"/>
      <c r="J136" s="26" t="s">
        <v>512</v>
      </c>
      <c r="K136" s="25" t="s">
        <v>513</v>
      </c>
    </row>
    <row r="137" spans="1:11" ht="25.5" x14ac:dyDescent="0.25">
      <c r="A137" s="22">
        <v>2026</v>
      </c>
      <c r="B137" s="28" t="s">
        <v>167</v>
      </c>
      <c r="C137" s="28" t="s">
        <v>97</v>
      </c>
      <c r="D137" s="28" t="s">
        <v>1700</v>
      </c>
      <c r="E137" s="29" t="s">
        <v>331</v>
      </c>
      <c r="F137" s="29" t="s">
        <v>483</v>
      </c>
      <c r="G137" s="25" t="s">
        <v>1934</v>
      </c>
      <c r="H137" s="26">
        <v>-0.156002</v>
      </c>
      <c r="I137" s="26"/>
      <c r="J137" s="26" t="s">
        <v>512</v>
      </c>
      <c r="K137" s="25" t="s">
        <v>513</v>
      </c>
    </row>
    <row r="138" spans="1:11" ht="25.5" x14ac:dyDescent="0.25">
      <c r="A138" s="22">
        <v>2026</v>
      </c>
      <c r="B138" s="28" t="s">
        <v>167</v>
      </c>
      <c r="C138" s="28" t="s">
        <v>97</v>
      </c>
      <c r="D138" s="28" t="s">
        <v>1700</v>
      </c>
      <c r="E138" s="29" t="s">
        <v>331</v>
      </c>
      <c r="F138" s="29" t="s">
        <v>483</v>
      </c>
      <c r="G138" s="25" t="s">
        <v>1928</v>
      </c>
      <c r="H138" s="26">
        <v>-0.154</v>
      </c>
      <c r="I138" s="26"/>
      <c r="J138" s="26" t="s">
        <v>512</v>
      </c>
      <c r="K138" s="25" t="s">
        <v>513</v>
      </c>
    </row>
    <row r="139" spans="1:11" ht="25.5" x14ac:dyDescent="0.25">
      <c r="A139" s="22">
        <v>2026</v>
      </c>
      <c r="B139" s="28" t="s">
        <v>167</v>
      </c>
      <c r="C139" s="28" t="s">
        <v>97</v>
      </c>
      <c r="D139" s="28" t="s">
        <v>1700</v>
      </c>
      <c r="E139" s="29" t="s">
        <v>331</v>
      </c>
      <c r="F139" s="29" t="s">
        <v>483</v>
      </c>
      <c r="G139" s="25" t="s">
        <v>1935</v>
      </c>
      <c r="H139" s="26">
        <v>-0.15324399999999999</v>
      </c>
      <c r="I139" s="26"/>
      <c r="J139" s="26" t="s">
        <v>512</v>
      </c>
      <c r="K139" s="25" t="s">
        <v>513</v>
      </c>
    </row>
    <row r="140" spans="1:11" ht="25.5" x14ac:dyDescent="0.25">
      <c r="A140" s="22">
        <v>2026</v>
      </c>
      <c r="B140" s="28" t="s">
        <v>167</v>
      </c>
      <c r="C140" s="28" t="s">
        <v>97</v>
      </c>
      <c r="D140" s="28" t="s">
        <v>1700</v>
      </c>
      <c r="E140" s="29" t="s">
        <v>331</v>
      </c>
      <c r="F140" s="29" t="s">
        <v>483</v>
      </c>
      <c r="G140" s="25" t="s">
        <v>1936</v>
      </c>
      <c r="H140" s="26">
        <v>-0.15457399999999999</v>
      </c>
      <c r="I140" s="26"/>
      <c r="J140" s="26" t="s">
        <v>512</v>
      </c>
      <c r="K140" s="25" t="s">
        <v>513</v>
      </c>
    </row>
    <row r="141" spans="1:11" ht="25.5" x14ac:dyDescent="0.25">
      <c r="A141" s="22">
        <v>2026</v>
      </c>
      <c r="B141" s="28" t="s">
        <v>167</v>
      </c>
      <c r="C141" s="28" t="s">
        <v>97</v>
      </c>
      <c r="D141" s="28" t="s">
        <v>1700</v>
      </c>
      <c r="E141" s="29" t="s">
        <v>331</v>
      </c>
      <c r="F141" s="29" t="s">
        <v>483</v>
      </c>
      <c r="G141" s="25" t="s">
        <v>1937</v>
      </c>
      <c r="H141" s="26">
        <v>-0.15329999999999999</v>
      </c>
      <c r="I141" s="26"/>
      <c r="J141" s="26" t="s">
        <v>512</v>
      </c>
      <c r="K141" s="25" t="s">
        <v>513</v>
      </c>
    </row>
    <row r="142" spans="1:11" ht="25.5" x14ac:dyDescent="0.25">
      <c r="A142" s="22">
        <v>2026</v>
      </c>
      <c r="B142" s="28" t="s">
        <v>167</v>
      </c>
      <c r="C142" s="28" t="s">
        <v>97</v>
      </c>
      <c r="D142" s="28" t="s">
        <v>1700</v>
      </c>
      <c r="E142" s="29" t="s">
        <v>331</v>
      </c>
      <c r="F142" s="29" t="s">
        <v>483</v>
      </c>
      <c r="G142" s="25" t="s">
        <v>1938</v>
      </c>
      <c r="H142" s="26">
        <v>-0.1512</v>
      </c>
      <c r="I142" s="26"/>
      <c r="J142" s="26" t="s">
        <v>512</v>
      </c>
      <c r="K142" s="25" t="s">
        <v>513</v>
      </c>
    </row>
    <row r="143" spans="1:11" ht="25.5" x14ac:dyDescent="0.25">
      <c r="A143" s="22">
        <v>2026</v>
      </c>
      <c r="B143" s="28" t="s">
        <v>167</v>
      </c>
      <c r="C143" s="28" t="s">
        <v>97</v>
      </c>
      <c r="D143" s="28" t="s">
        <v>1700</v>
      </c>
      <c r="E143" s="29" t="s">
        <v>331</v>
      </c>
      <c r="F143" s="29" t="s">
        <v>483</v>
      </c>
      <c r="G143" s="25" t="s">
        <v>1939</v>
      </c>
      <c r="H143" s="26">
        <v>-0.152446</v>
      </c>
      <c r="I143" s="26"/>
      <c r="J143" s="26" t="s">
        <v>512</v>
      </c>
      <c r="K143" s="25" t="s">
        <v>513</v>
      </c>
    </row>
    <row r="144" spans="1:11" ht="25.5" x14ac:dyDescent="0.25">
      <c r="A144" s="22">
        <v>2026</v>
      </c>
      <c r="B144" s="28" t="s">
        <v>167</v>
      </c>
      <c r="C144" s="28" t="s">
        <v>97</v>
      </c>
      <c r="D144" s="28" t="s">
        <v>1701</v>
      </c>
      <c r="E144" s="29" t="s">
        <v>331</v>
      </c>
      <c r="F144" s="29" t="s">
        <v>566</v>
      </c>
      <c r="G144" s="25" t="s">
        <v>1940</v>
      </c>
      <c r="H144" s="26">
        <v>-9.039999999999998E-2</v>
      </c>
      <c r="I144" s="26"/>
      <c r="J144" s="26" t="s">
        <v>512</v>
      </c>
      <c r="K144" s="25" t="s">
        <v>513</v>
      </c>
    </row>
    <row r="145" spans="1:11" ht="25.5" x14ac:dyDescent="0.25">
      <c r="A145" s="22">
        <v>2026</v>
      </c>
      <c r="B145" s="28" t="s">
        <v>167</v>
      </c>
      <c r="C145" s="28" t="s">
        <v>97</v>
      </c>
      <c r="D145" s="28" t="s">
        <v>1701</v>
      </c>
      <c r="E145" s="29" t="s">
        <v>331</v>
      </c>
      <c r="F145" s="29" t="s">
        <v>566</v>
      </c>
      <c r="G145" s="25" t="s">
        <v>1941</v>
      </c>
      <c r="H145" s="26">
        <v>-0.45500000000000002</v>
      </c>
      <c r="I145" s="26"/>
      <c r="J145" s="26" t="s">
        <v>512</v>
      </c>
      <c r="K145" s="25" t="s">
        <v>513</v>
      </c>
    </row>
    <row r="146" spans="1:11" ht="25.5" x14ac:dyDescent="0.25">
      <c r="A146" s="22">
        <v>2026</v>
      </c>
      <c r="B146" s="28" t="s">
        <v>167</v>
      </c>
      <c r="C146" s="28" t="s">
        <v>97</v>
      </c>
      <c r="D146" s="28" t="s">
        <v>1701</v>
      </c>
      <c r="E146" s="29" t="s">
        <v>331</v>
      </c>
      <c r="F146" s="29" t="s">
        <v>566</v>
      </c>
      <c r="G146" s="25" t="s">
        <v>1942</v>
      </c>
      <c r="H146" s="26">
        <v>-0.31885000000000002</v>
      </c>
      <c r="I146" s="26"/>
      <c r="J146" s="26" t="s">
        <v>512</v>
      </c>
      <c r="K146" s="25" t="s">
        <v>513</v>
      </c>
    </row>
    <row r="147" spans="1:11" ht="25.5" x14ac:dyDescent="0.25">
      <c r="A147" s="22">
        <v>2026</v>
      </c>
      <c r="B147" s="28" t="s">
        <v>167</v>
      </c>
      <c r="C147" s="28" t="s">
        <v>97</v>
      </c>
      <c r="D147" s="28" t="s">
        <v>1701</v>
      </c>
      <c r="E147" s="29" t="s">
        <v>331</v>
      </c>
      <c r="F147" s="29" t="s">
        <v>566</v>
      </c>
      <c r="G147" s="25" t="s">
        <v>1943</v>
      </c>
      <c r="H147" s="26">
        <v>-9.2299999999999993E-2</v>
      </c>
      <c r="I147" s="26"/>
      <c r="J147" s="26" t="s">
        <v>512</v>
      </c>
      <c r="K147" s="25" t="s">
        <v>513</v>
      </c>
    </row>
    <row r="148" spans="1:11" ht="25.5" x14ac:dyDescent="0.25">
      <c r="A148" s="22">
        <v>2026</v>
      </c>
      <c r="B148" s="28" t="s">
        <v>167</v>
      </c>
      <c r="C148" s="28" t="s">
        <v>97</v>
      </c>
      <c r="D148" s="28" t="s">
        <v>1701</v>
      </c>
      <c r="E148" s="29" t="s">
        <v>331</v>
      </c>
      <c r="F148" s="29" t="s">
        <v>566</v>
      </c>
      <c r="G148" s="25" t="s">
        <v>1944</v>
      </c>
      <c r="H148" s="26">
        <v>-0.23499999999999999</v>
      </c>
      <c r="I148" s="26"/>
      <c r="J148" s="26" t="s">
        <v>512</v>
      </c>
      <c r="K148" s="25" t="s">
        <v>513</v>
      </c>
    </row>
    <row r="149" spans="1:11" ht="25.5" x14ac:dyDescent="0.25">
      <c r="A149" s="22">
        <v>2026</v>
      </c>
      <c r="B149" s="28" t="s">
        <v>167</v>
      </c>
      <c r="C149" s="28" t="s">
        <v>97</v>
      </c>
      <c r="D149" s="28" t="s">
        <v>1701</v>
      </c>
      <c r="E149" s="29" t="s">
        <v>331</v>
      </c>
      <c r="F149" s="29" t="s">
        <v>566</v>
      </c>
      <c r="G149" s="25" t="s">
        <v>1945</v>
      </c>
      <c r="H149" s="26">
        <v>-0.36995600000000006</v>
      </c>
      <c r="I149" s="26"/>
      <c r="J149" s="26" t="s">
        <v>512</v>
      </c>
      <c r="K149" s="25" t="s">
        <v>513</v>
      </c>
    </row>
    <row r="150" spans="1:11" ht="25.5" x14ac:dyDescent="0.25">
      <c r="A150" s="22">
        <v>2026</v>
      </c>
      <c r="B150" s="28" t="s">
        <v>167</v>
      </c>
      <c r="C150" s="28" t="s">
        <v>97</v>
      </c>
      <c r="D150" s="28" t="s">
        <v>1701</v>
      </c>
      <c r="E150" s="29" t="s">
        <v>331</v>
      </c>
      <c r="F150" s="29" t="s">
        <v>566</v>
      </c>
      <c r="G150" s="25" t="s">
        <v>1946</v>
      </c>
      <c r="H150" s="26">
        <v>-0.45650000000000007</v>
      </c>
      <c r="I150" s="26"/>
      <c r="J150" s="26" t="s">
        <v>512</v>
      </c>
      <c r="K150" s="25" t="s">
        <v>513</v>
      </c>
    </row>
    <row r="151" spans="1:11" ht="25.5" x14ac:dyDescent="0.25">
      <c r="A151" s="22">
        <v>2026</v>
      </c>
      <c r="B151" s="28" t="s">
        <v>167</v>
      </c>
      <c r="C151" s="28" t="s">
        <v>97</v>
      </c>
      <c r="D151" s="28" t="s">
        <v>1701</v>
      </c>
      <c r="E151" s="29" t="s">
        <v>331</v>
      </c>
      <c r="F151" s="29" t="s">
        <v>566</v>
      </c>
      <c r="G151" s="25" t="s">
        <v>1941</v>
      </c>
      <c r="H151" s="26">
        <v>-0.45500000000000002</v>
      </c>
      <c r="I151" s="26"/>
      <c r="J151" s="26" t="s">
        <v>512</v>
      </c>
      <c r="K151" s="25" t="s">
        <v>513</v>
      </c>
    </row>
    <row r="152" spans="1:11" ht="25.5" x14ac:dyDescent="0.25">
      <c r="A152" s="22">
        <v>2026</v>
      </c>
      <c r="B152" s="28" t="s">
        <v>167</v>
      </c>
      <c r="C152" s="28" t="s">
        <v>97</v>
      </c>
      <c r="D152" s="28" t="s">
        <v>1701</v>
      </c>
      <c r="E152" s="29" t="s">
        <v>331</v>
      </c>
      <c r="F152" s="29" t="s">
        <v>566</v>
      </c>
      <c r="G152" s="25" t="s">
        <v>1947</v>
      </c>
      <c r="H152" s="26">
        <v>-0.54179999999999995</v>
      </c>
      <c r="I152" s="26"/>
      <c r="J152" s="26" t="s">
        <v>512</v>
      </c>
      <c r="K152" s="25" t="s">
        <v>513</v>
      </c>
    </row>
    <row r="153" spans="1:11" ht="25.5" x14ac:dyDescent="0.25">
      <c r="A153" s="22">
        <v>2026</v>
      </c>
      <c r="B153" s="28" t="s">
        <v>167</v>
      </c>
      <c r="C153" s="28" t="s">
        <v>97</v>
      </c>
      <c r="D153" s="28" t="s">
        <v>1701</v>
      </c>
      <c r="E153" s="29" t="s">
        <v>331</v>
      </c>
      <c r="F153" s="29" t="s">
        <v>566</v>
      </c>
      <c r="G153" s="25" t="s">
        <v>1948</v>
      </c>
      <c r="H153" s="26">
        <v>-0.534918</v>
      </c>
      <c r="I153" s="26"/>
      <c r="J153" s="26" t="s">
        <v>512</v>
      </c>
      <c r="K153" s="25" t="s">
        <v>513</v>
      </c>
    </row>
    <row r="154" spans="1:11" ht="25.5" x14ac:dyDescent="0.25">
      <c r="A154" s="22">
        <v>2026</v>
      </c>
      <c r="B154" s="28" t="s">
        <v>167</v>
      </c>
      <c r="C154" s="28" t="s">
        <v>97</v>
      </c>
      <c r="D154" s="28" t="s">
        <v>1701</v>
      </c>
      <c r="E154" s="29" t="s">
        <v>331</v>
      </c>
      <c r="F154" s="29" t="s">
        <v>566</v>
      </c>
      <c r="G154" s="25" t="s">
        <v>1949</v>
      </c>
      <c r="H154" s="26">
        <v>-0.45172000000000001</v>
      </c>
      <c r="I154" s="26"/>
      <c r="J154" s="26" t="s">
        <v>512</v>
      </c>
      <c r="K154" s="25" t="s">
        <v>513</v>
      </c>
    </row>
    <row r="155" spans="1:11" ht="25.5" x14ac:dyDescent="0.25">
      <c r="A155" s="22">
        <v>2026</v>
      </c>
      <c r="B155" s="28" t="s">
        <v>167</v>
      </c>
      <c r="C155" s="28" t="s">
        <v>97</v>
      </c>
      <c r="D155" s="28" t="s">
        <v>201</v>
      </c>
      <c r="E155" s="29" t="s">
        <v>331</v>
      </c>
      <c r="F155" s="29" t="s">
        <v>316</v>
      </c>
      <c r="G155" s="25" t="s">
        <v>1950</v>
      </c>
      <c r="H155" s="26">
        <v>-0.32797500000000002</v>
      </c>
      <c r="I155" s="26"/>
      <c r="J155" s="26" t="s">
        <v>512</v>
      </c>
      <c r="K155" s="25" t="s">
        <v>513</v>
      </c>
    </row>
    <row r="156" spans="1:11" ht="25.5" x14ac:dyDescent="0.25">
      <c r="A156" s="22">
        <v>2026</v>
      </c>
      <c r="B156" s="28" t="s">
        <v>167</v>
      </c>
      <c r="C156" s="28" t="s">
        <v>97</v>
      </c>
      <c r="D156" s="28" t="s">
        <v>201</v>
      </c>
      <c r="E156" s="29" t="s">
        <v>331</v>
      </c>
      <c r="F156" s="29" t="s">
        <v>316</v>
      </c>
      <c r="G156" s="25" t="s">
        <v>1951</v>
      </c>
      <c r="H156" s="26">
        <v>-8.5935220000000007E-2</v>
      </c>
      <c r="I156" s="26"/>
      <c r="J156" s="26" t="s">
        <v>512</v>
      </c>
      <c r="K156" s="25" t="s">
        <v>513</v>
      </c>
    </row>
    <row r="157" spans="1:11" ht="25.5" x14ac:dyDescent="0.25">
      <c r="A157" s="22">
        <v>2026</v>
      </c>
      <c r="B157" s="28" t="s">
        <v>167</v>
      </c>
      <c r="C157" s="28" t="s">
        <v>97</v>
      </c>
      <c r="D157" s="28" t="s">
        <v>532</v>
      </c>
      <c r="E157" s="29" t="s">
        <v>331</v>
      </c>
      <c r="F157" s="29" t="s">
        <v>386</v>
      </c>
      <c r="G157" s="25" t="s">
        <v>1952</v>
      </c>
      <c r="H157" s="26">
        <v>-0.12862079999999998</v>
      </c>
      <c r="I157" s="26"/>
      <c r="J157" s="26" t="s">
        <v>512</v>
      </c>
      <c r="K157" s="25" t="s">
        <v>513</v>
      </c>
    </row>
    <row r="158" spans="1:11" ht="25.5" x14ac:dyDescent="0.25">
      <c r="A158" s="22">
        <v>2026</v>
      </c>
      <c r="B158" s="28" t="s">
        <v>167</v>
      </c>
      <c r="C158" s="28" t="s">
        <v>97</v>
      </c>
      <c r="D158" s="28" t="s">
        <v>532</v>
      </c>
      <c r="E158" s="29" t="s">
        <v>331</v>
      </c>
      <c r="F158" s="29" t="s">
        <v>386</v>
      </c>
      <c r="G158" s="25" t="s">
        <v>1953</v>
      </c>
      <c r="H158" s="26">
        <v>-0.1926754</v>
      </c>
      <c r="I158" s="26"/>
      <c r="J158" s="26" t="s">
        <v>512</v>
      </c>
      <c r="K158" s="25" t="s">
        <v>513</v>
      </c>
    </row>
    <row r="159" spans="1:11" ht="25.5" x14ac:dyDescent="0.25">
      <c r="A159" s="22">
        <v>2026</v>
      </c>
      <c r="B159" s="28" t="s">
        <v>167</v>
      </c>
      <c r="C159" s="28" t="s">
        <v>97</v>
      </c>
      <c r="D159" s="28" t="s">
        <v>532</v>
      </c>
      <c r="E159" s="29" t="s">
        <v>331</v>
      </c>
      <c r="F159" s="29" t="s">
        <v>386</v>
      </c>
      <c r="G159" s="25" t="s">
        <v>1954</v>
      </c>
      <c r="H159" s="26">
        <v>-5.1499999999999997E-2</v>
      </c>
      <c r="I159" s="26"/>
      <c r="J159" s="26" t="s">
        <v>512</v>
      </c>
      <c r="K159" s="25" t="s">
        <v>513</v>
      </c>
    </row>
    <row r="160" spans="1:11" ht="25.5" x14ac:dyDescent="0.25">
      <c r="A160" s="22">
        <v>2026</v>
      </c>
      <c r="B160" s="28" t="s">
        <v>167</v>
      </c>
      <c r="C160" s="28" t="s">
        <v>97</v>
      </c>
      <c r="D160" s="28" t="s">
        <v>532</v>
      </c>
      <c r="E160" s="29" t="s">
        <v>331</v>
      </c>
      <c r="F160" s="29" t="s">
        <v>386</v>
      </c>
      <c r="G160" s="25" t="s">
        <v>1955</v>
      </c>
      <c r="H160" s="26">
        <v>-0.23074987199999999</v>
      </c>
      <c r="I160" s="26"/>
      <c r="J160" s="26" t="s">
        <v>512</v>
      </c>
      <c r="K160" s="25" t="s">
        <v>513</v>
      </c>
    </row>
    <row r="161" spans="1:11" ht="25.5" x14ac:dyDescent="0.25">
      <c r="A161" s="22">
        <v>2026</v>
      </c>
      <c r="B161" s="28" t="s">
        <v>167</v>
      </c>
      <c r="C161" s="28" t="s">
        <v>97</v>
      </c>
      <c r="D161" s="28" t="s">
        <v>532</v>
      </c>
      <c r="E161" s="29" t="s">
        <v>331</v>
      </c>
      <c r="F161" s="29" t="s">
        <v>386</v>
      </c>
      <c r="G161" s="25" t="s">
        <v>1956</v>
      </c>
      <c r="H161" s="26">
        <v>-0.16577670999999999</v>
      </c>
      <c r="I161" s="26"/>
      <c r="J161" s="26" t="s">
        <v>512</v>
      </c>
      <c r="K161" s="25" t="s">
        <v>513</v>
      </c>
    </row>
    <row r="162" spans="1:11" ht="25.5" x14ac:dyDescent="0.25">
      <c r="A162" s="22">
        <v>2026</v>
      </c>
      <c r="B162" s="28" t="s">
        <v>167</v>
      </c>
      <c r="C162" s="28" t="s">
        <v>97</v>
      </c>
      <c r="D162" s="28" t="s">
        <v>532</v>
      </c>
      <c r="E162" s="29" t="s">
        <v>331</v>
      </c>
      <c r="F162" s="29" t="s">
        <v>386</v>
      </c>
      <c r="G162" s="25" t="s">
        <v>1957</v>
      </c>
      <c r="H162" s="26">
        <v>-7.7417600000000003E-2</v>
      </c>
      <c r="I162" s="26"/>
      <c r="J162" s="26" t="s">
        <v>512</v>
      </c>
      <c r="K162" s="25" t="s">
        <v>513</v>
      </c>
    </row>
    <row r="163" spans="1:11" ht="25.5" x14ac:dyDescent="0.25">
      <c r="A163" s="22">
        <v>2026</v>
      </c>
      <c r="B163" s="28" t="s">
        <v>167</v>
      </c>
      <c r="C163" s="28" t="s">
        <v>97</v>
      </c>
      <c r="D163" s="28" t="s">
        <v>532</v>
      </c>
      <c r="E163" s="29" t="s">
        <v>331</v>
      </c>
      <c r="F163" s="29" t="s">
        <v>386</v>
      </c>
      <c r="G163" s="25" t="s">
        <v>1958</v>
      </c>
      <c r="H163" s="26">
        <v>-4.8749250000000001E-2</v>
      </c>
      <c r="I163" s="26"/>
      <c r="J163" s="26" t="s">
        <v>512</v>
      </c>
      <c r="K163" s="25" t="s">
        <v>513</v>
      </c>
    </row>
    <row r="164" spans="1:11" ht="25.5" x14ac:dyDescent="0.25">
      <c r="A164" s="22">
        <v>2026</v>
      </c>
      <c r="B164" s="28" t="s">
        <v>167</v>
      </c>
      <c r="C164" s="28" t="s">
        <v>97</v>
      </c>
      <c r="D164" s="28" t="s">
        <v>1703</v>
      </c>
      <c r="E164" s="29" t="s">
        <v>569</v>
      </c>
      <c r="F164" s="29" t="s">
        <v>298</v>
      </c>
      <c r="G164" s="25" t="s">
        <v>1959</v>
      </c>
      <c r="H164" s="26">
        <v>-0.1326</v>
      </c>
      <c r="I164" s="26"/>
      <c r="J164" s="26" t="s">
        <v>512</v>
      </c>
      <c r="K164" s="25" t="s">
        <v>526</v>
      </c>
    </row>
    <row r="165" spans="1:11" ht="25.5" x14ac:dyDescent="0.25">
      <c r="A165" s="22">
        <v>2026</v>
      </c>
      <c r="B165" s="28" t="s">
        <v>167</v>
      </c>
      <c r="C165" s="28" t="s">
        <v>97</v>
      </c>
      <c r="D165" s="28" t="s">
        <v>1703</v>
      </c>
      <c r="E165" s="29" t="s">
        <v>569</v>
      </c>
      <c r="F165" s="29" t="s">
        <v>298</v>
      </c>
      <c r="G165" s="25" t="s">
        <v>1960</v>
      </c>
      <c r="H165" s="26">
        <v>-0.227539504</v>
      </c>
      <c r="I165" s="26"/>
      <c r="J165" s="26" t="s">
        <v>512</v>
      </c>
      <c r="K165" s="25" t="s">
        <v>526</v>
      </c>
    </row>
    <row r="166" spans="1:11" ht="25.5" x14ac:dyDescent="0.25">
      <c r="A166" s="22">
        <v>2026</v>
      </c>
      <c r="B166" s="28" t="s">
        <v>167</v>
      </c>
      <c r="C166" s="28" t="s">
        <v>97</v>
      </c>
      <c r="D166" s="28" t="s">
        <v>1703</v>
      </c>
      <c r="E166" s="29" t="s">
        <v>569</v>
      </c>
      <c r="F166" s="29" t="s">
        <v>298</v>
      </c>
      <c r="G166" s="25" t="s">
        <v>1961</v>
      </c>
      <c r="H166" s="26">
        <v>-0.38765879668000003</v>
      </c>
      <c r="I166" s="26"/>
      <c r="J166" s="26" t="s">
        <v>512</v>
      </c>
      <c r="K166" s="25" t="s">
        <v>526</v>
      </c>
    </row>
    <row r="167" spans="1:11" ht="25.5" x14ac:dyDescent="0.25">
      <c r="A167" s="22">
        <v>2026</v>
      </c>
      <c r="B167" s="28" t="s">
        <v>167</v>
      </c>
      <c r="C167" s="28" t="s">
        <v>97</v>
      </c>
      <c r="D167" s="28" t="s">
        <v>1703</v>
      </c>
      <c r="E167" s="29" t="s">
        <v>569</v>
      </c>
      <c r="F167" s="29" t="s">
        <v>298</v>
      </c>
      <c r="G167" s="25" t="s">
        <v>1962</v>
      </c>
      <c r="H167" s="26">
        <v>-8.8214039209999984E-2</v>
      </c>
      <c r="I167" s="26"/>
      <c r="J167" s="26" t="s">
        <v>512</v>
      </c>
      <c r="K167" s="25" t="s">
        <v>526</v>
      </c>
    </row>
    <row r="168" spans="1:11" ht="25.5" x14ac:dyDescent="0.25">
      <c r="A168" s="22">
        <v>2026</v>
      </c>
      <c r="B168" s="28" t="s">
        <v>167</v>
      </c>
      <c r="C168" s="28" t="s">
        <v>97</v>
      </c>
      <c r="D168" s="28" t="s">
        <v>1703</v>
      </c>
      <c r="E168" s="29" t="s">
        <v>569</v>
      </c>
      <c r="F168" s="29" t="s">
        <v>298</v>
      </c>
      <c r="G168" s="25" t="s">
        <v>1963</v>
      </c>
      <c r="H168" s="26">
        <v>-0.30409874999999997</v>
      </c>
      <c r="I168" s="26"/>
      <c r="J168" s="26" t="s">
        <v>512</v>
      </c>
      <c r="K168" s="25" t="s">
        <v>526</v>
      </c>
    </row>
    <row r="169" spans="1:11" ht="25.5" x14ac:dyDescent="0.25">
      <c r="A169" s="22">
        <v>2026</v>
      </c>
      <c r="B169" s="28" t="s">
        <v>167</v>
      </c>
      <c r="C169" s="28" t="s">
        <v>97</v>
      </c>
      <c r="D169" s="28" t="s">
        <v>1703</v>
      </c>
      <c r="E169" s="29" t="s">
        <v>569</v>
      </c>
      <c r="F169" s="29" t="s">
        <v>298</v>
      </c>
      <c r="G169" s="25" t="s">
        <v>1964</v>
      </c>
      <c r="H169" s="26">
        <v>-0.25963132</v>
      </c>
      <c r="I169" s="26"/>
      <c r="J169" s="26" t="s">
        <v>512</v>
      </c>
      <c r="K169" s="25" t="s">
        <v>526</v>
      </c>
    </row>
    <row r="170" spans="1:11" ht="25.5" x14ac:dyDescent="0.25">
      <c r="A170" s="22">
        <v>2026</v>
      </c>
      <c r="B170" s="28" t="s">
        <v>167</v>
      </c>
      <c r="C170" s="28" t="s">
        <v>97</v>
      </c>
      <c r="D170" s="28" t="s">
        <v>1703</v>
      </c>
      <c r="E170" s="29" t="s">
        <v>569</v>
      </c>
      <c r="F170" s="29" t="s">
        <v>298</v>
      </c>
      <c r="G170" s="25" t="s">
        <v>1965</v>
      </c>
      <c r="H170" s="26">
        <v>-0.15485158416</v>
      </c>
      <c r="I170" s="26"/>
      <c r="J170" s="26" t="s">
        <v>512</v>
      </c>
      <c r="K170" s="25" t="s">
        <v>526</v>
      </c>
    </row>
    <row r="171" spans="1:11" ht="25.5" x14ac:dyDescent="0.25">
      <c r="A171" s="22">
        <v>2026</v>
      </c>
      <c r="B171" s="28" t="s">
        <v>167</v>
      </c>
      <c r="C171" s="28" t="s">
        <v>97</v>
      </c>
      <c r="D171" s="28" t="s">
        <v>1703</v>
      </c>
      <c r="E171" s="29" t="s">
        <v>569</v>
      </c>
      <c r="F171" s="29" t="s">
        <v>298</v>
      </c>
      <c r="G171" s="25" t="s">
        <v>1966</v>
      </c>
      <c r="H171" s="26">
        <v>-0.10807235600000001</v>
      </c>
      <c r="I171" s="26"/>
      <c r="J171" s="26" t="s">
        <v>512</v>
      </c>
      <c r="K171" s="25" t="s">
        <v>526</v>
      </c>
    </row>
    <row r="172" spans="1:11" ht="25.5" x14ac:dyDescent="0.25">
      <c r="A172" s="22">
        <v>2026</v>
      </c>
      <c r="B172" s="28" t="s">
        <v>167</v>
      </c>
      <c r="C172" s="28" t="s">
        <v>97</v>
      </c>
      <c r="D172" s="28" t="s">
        <v>1703</v>
      </c>
      <c r="E172" s="29" t="s">
        <v>569</v>
      </c>
      <c r="F172" s="29" t="s">
        <v>298</v>
      </c>
      <c r="G172" s="25" t="s">
        <v>1967</v>
      </c>
      <c r="H172" s="26">
        <v>-0.37575999999999998</v>
      </c>
      <c r="I172" s="26"/>
      <c r="J172" s="26" t="s">
        <v>512</v>
      </c>
      <c r="K172" s="25" t="s">
        <v>526</v>
      </c>
    </row>
    <row r="173" spans="1:11" ht="25.5" x14ac:dyDescent="0.25">
      <c r="A173" s="22">
        <v>2026</v>
      </c>
      <c r="B173" s="28" t="s">
        <v>167</v>
      </c>
      <c r="C173" s="28" t="s">
        <v>97</v>
      </c>
      <c r="D173" s="28" t="s">
        <v>1703</v>
      </c>
      <c r="E173" s="29" t="s">
        <v>569</v>
      </c>
      <c r="F173" s="29" t="s">
        <v>298</v>
      </c>
      <c r="G173" s="25" t="s">
        <v>1968</v>
      </c>
      <c r="H173" s="26">
        <v>-8.593498631999999E-2</v>
      </c>
      <c r="I173" s="26"/>
      <c r="J173" s="26" t="s">
        <v>512</v>
      </c>
      <c r="K173" s="25" t="s">
        <v>526</v>
      </c>
    </row>
    <row r="174" spans="1:11" ht="25.5" x14ac:dyDescent="0.25">
      <c r="A174" s="22">
        <v>2026</v>
      </c>
      <c r="B174" s="28" t="s">
        <v>167</v>
      </c>
      <c r="C174" s="28" t="s">
        <v>97</v>
      </c>
      <c r="D174" s="28" t="s">
        <v>1703</v>
      </c>
      <c r="E174" s="29" t="s">
        <v>569</v>
      </c>
      <c r="F174" s="29" t="s">
        <v>298</v>
      </c>
      <c r="G174" s="25" t="s">
        <v>1969</v>
      </c>
      <c r="H174" s="26">
        <v>-6.6699999999999995E-2</v>
      </c>
      <c r="I174" s="26"/>
      <c r="J174" s="26" t="s">
        <v>512</v>
      </c>
      <c r="K174" s="25" t="s">
        <v>526</v>
      </c>
    </row>
    <row r="175" spans="1:11" ht="25.5" x14ac:dyDescent="0.25">
      <c r="A175" s="22">
        <v>2026</v>
      </c>
      <c r="B175" s="28" t="s">
        <v>167</v>
      </c>
      <c r="C175" s="28" t="s">
        <v>97</v>
      </c>
      <c r="D175" s="28" t="s">
        <v>1703</v>
      </c>
      <c r="E175" s="29" t="s">
        <v>569</v>
      </c>
      <c r="F175" s="29" t="s">
        <v>298</v>
      </c>
      <c r="G175" s="25" t="s">
        <v>1970</v>
      </c>
      <c r="H175" s="26">
        <v>-0.28815771743999996</v>
      </c>
      <c r="I175" s="26"/>
      <c r="J175" s="26" t="s">
        <v>512</v>
      </c>
      <c r="K175" s="25" t="s">
        <v>526</v>
      </c>
    </row>
    <row r="176" spans="1:11" ht="25.5" x14ac:dyDescent="0.25">
      <c r="A176" s="22">
        <v>2026</v>
      </c>
      <c r="B176" s="28" t="s">
        <v>167</v>
      </c>
      <c r="C176" s="28" t="s">
        <v>97</v>
      </c>
      <c r="D176" s="28" t="s">
        <v>1703</v>
      </c>
      <c r="E176" s="29" t="s">
        <v>569</v>
      </c>
      <c r="F176" s="29" t="s">
        <v>298</v>
      </c>
      <c r="G176" s="25" t="s">
        <v>1971</v>
      </c>
      <c r="H176" s="26">
        <v>-0.51505317214000002</v>
      </c>
      <c r="I176" s="26"/>
      <c r="J176" s="26" t="s">
        <v>512</v>
      </c>
      <c r="K176" s="25" t="s">
        <v>526</v>
      </c>
    </row>
    <row r="177" spans="1:11" ht="25.5" x14ac:dyDescent="0.25">
      <c r="A177" s="22">
        <v>2026</v>
      </c>
      <c r="B177" s="28" t="s">
        <v>167</v>
      </c>
      <c r="C177" s="28" t="s">
        <v>97</v>
      </c>
      <c r="D177" s="28" t="s">
        <v>1703</v>
      </c>
      <c r="E177" s="29" t="s">
        <v>569</v>
      </c>
      <c r="F177" s="29" t="s">
        <v>298</v>
      </c>
      <c r="G177" s="25" t="s">
        <v>1972</v>
      </c>
      <c r="H177" s="26">
        <v>-0.11060034000000001</v>
      </c>
      <c r="I177" s="26"/>
      <c r="J177" s="26" t="s">
        <v>512</v>
      </c>
      <c r="K177" s="25" t="s">
        <v>526</v>
      </c>
    </row>
    <row r="178" spans="1:11" ht="25.5" x14ac:dyDescent="0.25">
      <c r="A178" s="22">
        <v>2026</v>
      </c>
      <c r="B178" s="28" t="s">
        <v>167</v>
      </c>
      <c r="C178" s="28" t="s">
        <v>97</v>
      </c>
      <c r="D178" s="28" t="s">
        <v>1703</v>
      </c>
      <c r="E178" s="29" t="s">
        <v>569</v>
      </c>
      <c r="F178" s="29" t="s">
        <v>298</v>
      </c>
      <c r="G178" s="25" t="s">
        <v>1973</v>
      </c>
      <c r="H178" s="26">
        <v>-6.6302652000000004E-2</v>
      </c>
      <c r="I178" s="26"/>
      <c r="J178" s="26" t="s">
        <v>512</v>
      </c>
      <c r="K178" s="25" t="s">
        <v>526</v>
      </c>
    </row>
    <row r="179" spans="1:11" ht="25.5" x14ac:dyDescent="0.25">
      <c r="A179" s="22">
        <v>2026</v>
      </c>
      <c r="B179" s="28" t="s">
        <v>167</v>
      </c>
      <c r="C179" s="28" t="s">
        <v>97</v>
      </c>
      <c r="D179" s="28" t="s">
        <v>1703</v>
      </c>
      <c r="E179" s="29" t="s">
        <v>569</v>
      </c>
      <c r="F179" s="29" t="s">
        <v>298</v>
      </c>
      <c r="G179" s="25" t="s">
        <v>1974</v>
      </c>
      <c r="H179" s="26">
        <v>-0.57764717003999999</v>
      </c>
      <c r="I179" s="26"/>
      <c r="J179" s="26" t="s">
        <v>512</v>
      </c>
      <c r="K179" s="25" t="s">
        <v>526</v>
      </c>
    </row>
    <row r="180" spans="1:11" ht="25.5" x14ac:dyDescent="0.25">
      <c r="A180" s="22">
        <v>2026</v>
      </c>
      <c r="B180" s="28" t="s">
        <v>167</v>
      </c>
      <c r="C180" s="28" t="s">
        <v>97</v>
      </c>
      <c r="D180" s="28" t="s">
        <v>1703</v>
      </c>
      <c r="E180" s="29" t="s">
        <v>569</v>
      </c>
      <c r="F180" s="29" t="s">
        <v>298</v>
      </c>
      <c r="G180" s="25" t="s">
        <v>1975</v>
      </c>
      <c r="H180" s="26">
        <v>-0.36154800000000004</v>
      </c>
      <c r="I180" s="26"/>
      <c r="J180" s="26" t="s">
        <v>512</v>
      </c>
      <c r="K180" s="25" t="s">
        <v>526</v>
      </c>
    </row>
    <row r="181" spans="1:11" ht="25.5" x14ac:dyDescent="0.25">
      <c r="A181" s="22">
        <v>2026</v>
      </c>
      <c r="B181" s="28" t="s">
        <v>167</v>
      </c>
      <c r="C181" s="28" t="s">
        <v>97</v>
      </c>
      <c r="D181" s="28" t="s">
        <v>1703</v>
      </c>
      <c r="E181" s="29" t="s">
        <v>569</v>
      </c>
      <c r="F181" s="29" t="s">
        <v>298</v>
      </c>
      <c r="G181" s="25" t="s">
        <v>1976</v>
      </c>
      <c r="H181" s="26">
        <v>-0.23483322525</v>
      </c>
      <c r="I181" s="26"/>
      <c r="J181" s="26" t="s">
        <v>512</v>
      </c>
      <c r="K181" s="25" t="s">
        <v>526</v>
      </c>
    </row>
    <row r="182" spans="1:11" ht="25.5" x14ac:dyDescent="0.25">
      <c r="A182" s="22">
        <v>2026</v>
      </c>
      <c r="B182" s="28" t="s">
        <v>167</v>
      </c>
      <c r="C182" s="28" t="s">
        <v>97</v>
      </c>
      <c r="D182" s="28" t="s">
        <v>1704</v>
      </c>
      <c r="E182" s="29" t="s">
        <v>1764</v>
      </c>
      <c r="F182" s="29" t="s">
        <v>287</v>
      </c>
      <c r="G182" s="25" t="s">
        <v>1977</v>
      </c>
      <c r="H182" s="26">
        <v>-1.2430994579999998E-2</v>
      </c>
      <c r="I182" s="26"/>
      <c r="J182" s="26" t="s">
        <v>512</v>
      </c>
      <c r="K182" s="25" t="s">
        <v>513</v>
      </c>
    </row>
    <row r="183" spans="1:11" ht="25.5" x14ac:dyDescent="0.25">
      <c r="A183" s="22">
        <v>2026</v>
      </c>
      <c r="B183" s="28" t="s">
        <v>167</v>
      </c>
      <c r="C183" s="28" t="s">
        <v>97</v>
      </c>
      <c r="D183" s="28" t="s">
        <v>1704</v>
      </c>
      <c r="E183" s="29" t="s">
        <v>1764</v>
      </c>
      <c r="F183" s="29" t="s">
        <v>287</v>
      </c>
      <c r="G183" s="25" t="s">
        <v>1978</v>
      </c>
      <c r="H183" s="26">
        <v>-1.2075000000000002E-2</v>
      </c>
      <c r="I183" s="26"/>
      <c r="J183" s="26" t="s">
        <v>512</v>
      </c>
      <c r="K183" s="25" t="s">
        <v>513</v>
      </c>
    </row>
    <row r="184" spans="1:11" ht="25.5" x14ac:dyDescent="0.25">
      <c r="A184" s="22">
        <v>2026</v>
      </c>
      <c r="B184" s="28" t="s">
        <v>167</v>
      </c>
      <c r="C184" s="28" t="s">
        <v>97</v>
      </c>
      <c r="D184" s="28" t="s">
        <v>1704</v>
      </c>
      <c r="E184" s="29" t="s">
        <v>1764</v>
      </c>
      <c r="F184" s="29" t="s">
        <v>287</v>
      </c>
      <c r="G184" s="25" t="s">
        <v>1979</v>
      </c>
      <c r="H184" s="26">
        <v>-1.6400000000000001E-2</v>
      </c>
      <c r="I184" s="26"/>
      <c r="J184" s="26" t="s">
        <v>512</v>
      </c>
      <c r="K184" s="25" t="s">
        <v>513</v>
      </c>
    </row>
    <row r="185" spans="1:11" ht="25.5" x14ac:dyDescent="0.25">
      <c r="A185" s="22">
        <v>2026</v>
      </c>
      <c r="B185" s="28" t="s">
        <v>167</v>
      </c>
      <c r="C185" s="28" t="s">
        <v>97</v>
      </c>
      <c r="D185" s="28" t="s">
        <v>1704</v>
      </c>
      <c r="E185" s="29" t="s">
        <v>1764</v>
      </c>
      <c r="F185" s="29" t="s">
        <v>287</v>
      </c>
      <c r="G185" s="25" t="s">
        <v>1980</v>
      </c>
      <c r="H185" s="26">
        <v>-9.8799960000000003E-3</v>
      </c>
      <c r="I185" s="26"/>
      <c r="J185" s="26" t="s">
        <v>512</v>
      </c>
      <c r="K185" s="25" t="s">
        <v>513</v>
      </c>
    </row>
    <row r="186" spans="1:11" ht="25.5" x14ac:dyDescent="0.25">
      <c r="A186" s="22">
        <v>2026</v>
      </c>
      <c r="B186" s="28" t="s">
        <v>167</v>
      </c>
      <c r="C186" s="28" t="s">
        <v>97</v>
      </c>
      <c r="D186" s="28" t="s">
        <v>1704</v>
      </c>
      <c r="E186" s="29" t="s">
        <v>1764</v>
      </c>
      <c r="F186" s="29" t="s">
        <v>287</v>
      </c>
      <c r="G186" s="25" t="s">
        <v>1981</v>
      </c>
      <c r="H186" s="26">
        <v>-6.9043375700000006E-2</v>
      </c>
      <c r="I186" s="26"/>
      <c r="J186" s="26" t="s">
        <v>512</v>
      </c>
      <c r="K186" s="25" t="s">
        <v>513</v>
      </c>
    </row>
    <row r="187" spans="1:11" ht="25.5" x14ac:dyDescent="0.25">
      <c r="A187" s="22">
        <v>2026</v>
      </c>
      <c r="B187" s="28" t="s">
        <v>167</v>
      </c>
      <c r="C187" s="28" t="s">
        <v>97</v>
      </c>
      <c r="D187" s="28" t="s">
        <v>1704</v>
      </c>
      <c r="E187" s="29" t="s">
        <v>1764</v>
      </c>
      <c r="F187" s="29" t="s">
        <v>287</v>
      </c>
      <c r="G187" s="25" t="s">
        <v>1982</v>
      </c>
      <c r="H187" s="26">
        <v>-3.6312749999999998E-2</v>
      </c>
      <c r="I187" s="26"/>
      <c r="J187" s="26" t="s">
        <v>512</v>
      </c>
      <c r="K187" s="25" t="s">
        <v>513</v>
      </c>
    </row>
    <row r="188" spans="1:11" ht="25.5" x14ac:dyDescent="0.25">
      <c r="A188" s="22">
        <v>2026</v>
      </c>
      <c r="B188" s="28" t="s">
        <v>167</v>
      </c>
      <c r="C188" s="28" t="s">
        <v>97</v>
      </c>
      <c r="D188" s="28" t="s">
        <v>1704</v>
      </c>
      <c r="E188" s="29" t="s">
        <v>1764</v>
      </c>
      <c r="F188" s="29" t="s">
        <v>287</v>
      </c>
      <c r="G188" s="25" t="s">
        <v>1983</v>
      </c>
      <c r="H188" s="26">
        <v>-1.2424994999999999E-2</v>
      </c>
      <c r="I188" s="26"/>
      <c r="J188" s="26" t="s">
        <v>512</v>
      </c>
      <c r="K188" s="25" t="s">
        <v>513</v>
      </c>
    </row>
    <row r="189" spans="1:11" ht="25.5" x14ac:dyDescent="0.25">
      <c r="A189" s="22">
        <v>2026</v>
      </c>
      <c r="B189" s="28" t="s">
        <v>167</v>
      </c>
      <c r="C189" s="28" t="s">
        <v>97</v>
      </c>
      <c r="D189" s="28" t="s">
        <v>1704</v>
      </c>
      <c r="E189" s="29" t="s">
        <v>1764</v>
      </c>
      <c r="F189" s="29" t="s">
        <v>287</v>
      </c>
      <c r="G189" s="25" t="s">
        <v>1984</v>
      </c>
      <c r="H189" s="26">
        <v>-1.1827200000000001E-2</v>
      </c>
      <c r="I189" s="26"/>
      <c r="J189" s="26" t="s">
        <v>512</v>
      </c>
      <c r="K189" s="25" t="s">
        <v>513</v>
      </c>
    </row>
    <row r="190" spans="1:11" ht="25.5" x14ac:dyDescent="0.25">
      <c r="A190" s="22">
        <v>2026</v>
      </c>
      <c r="B190" s="28" t="s">
        <v>167</v>
      </c>
      <c r="C190" s="28" t="s">
        <v>97</v>
      </c>
      <c r="D190" s="28" t="s">
        <v>1704</v>
      </c>
      <c r="E190" s="29" t="s">
        <v>1764</v>
      </c>
      <c r="F190" s="29" t="s">
        <v>287</v>
      </c>
      <c r="G190" s="25" t="s">
        <v>1985</v>
      </c>
      <c r="H190" s="26">
        <v>-1.4010400000000001E-2</v>
      </c>
      <c r="I190" s="26"/>
      <c r="J190" s="26" t="s">
        <v>512</v>
      </c>
      <c r="K190" s="25" t="s">
        <v>513</v>
      </c>
    </row>
    <row r="191" spans="1:11" ht="25.5" x14ac:dyDescent="0.25">
      <c r="A191" s="22">
        <v>2026</v>
      </c>
      <c r="B191" s="28" t="s">
        <v>167</v>
      </c>
      <c r="C191" s="28" t="s">
        <v>97</v>
      </c>
      <c r="D191" s="28" t="s">
        <v>1704</v>
      </c>
      <c r="E191" s="29" t="s">
        <v>1764</v>
      </c>
      <c r="F191" s="29" t="s">
        <v>287</v>
      </c>
      <c r="G191" s="25" t="s">
        <v>1986</v>
      </c>
      <c r="H191" s="26">
        <v>-8.4499999999999992E-3</v>
      </c>
      <c r="I191" s="26"/>
      <c r="J191" s="26" t="s">
        <v>512</v>
      </c>
      <c r="K191" s="25" t="s">
        <v>513</v>
      </c>
    </row>
    <row r="192" spans="1:11" ht="25.5" x14ac:dyDescent="0.25">
      <c r="A192" s="22">
        <v>2026</v>
      </c>
      <c r="B192" s="28" t="s">
        <v>167</v>
      </c>
      <c r="C192" s="28" t="s">
        <v>97</v>
      </c>
      <c r="D192" s="28" t="s">
        <v>1704</v>
      </c>
      <c r="E192" s="29" t="s">
        <v>1764</v>
      </c>
      <c r="F192" s="29" t="s">
        <v>287</v>
      </c>
      <c r="G192" s="25" t="s">
        <v>1987</v>
      </c>
      <c r="H192" s="26">
        <v>-4.9259980000000009E-3</v>
      </c>
      <c r="I192" s="26"/>
      <c r="J192" s="26" t="s">
        <v>512</v>
      </c>
      <c r="K192" s="25" t="s">
        <v>513</v>
      </c>
    </row>
    <row r="193" spans="1:11" ht="25.5" x14ac:dyDescent="0.25">
      <c r="A193" s="22">
        <v>2026</v>
      </c>
      <c r="B193" s="28" t="s">
        <v>167</v>
      </c>
      <c r="C193" s="28" t="s">
        <v>97</v>
      </c>
      <c r="D193" s="28" t="s">
        <v>1704</v>
      </c>
      <c r="E193" s="29" t="s">
        <v>1764</v>
      </c>
      <c r="F193" s="29" t="s">
        <v>287</v>
      </c>
      <c r="G193" s="25" t="s">
        <v>1988</v>
      </c>
      <c r="H193" s="26">
        <v>-1.123859743E-2</v>
      </c>
      <c r="I193" s="26"/>
      <c r="J193" s="26" t="s">
        <v>512</v>
      </c>
      <c r="K193" s="25" t="s">
        <v>513</v>
      </c>
    </row>
    <row r="194" spans="1:11" ht="25.5" x14ac:dyDescent="0.25">
      <c r="A194" s="22">
        <v>2026</v>
      </c>
      <c r="B194" s="28" t="s">
        <v>167</v>
      </c>
      <c r="C194" s="28" t="s">
        <v>97</v>
      </c>
      <c r="D194" s="28" t="s">
        <v>1705</v>
      </c>
      <c r="E194" s="29" t="s">
        <v>1765</v>
      </c>
      <c r="F194" s="29" t="s">
        <v>1766</v>
      </c>
      <c r="G194" s="25" t="s">
        <v>2010</v>
      </c>
      <c r="H194" s="26">
        <v>-0.50216812399999999</v>
      </c>
      <c r="I194" s="26"/>
      <c r="J194" s="26" t="s">
        <v>514</v>
      </c>
      <c r="K194" s="25" t="s">
        <v>513</v>
      </c>
    </row>
    <row r="195" spans="1:11" ht="25.5" x14ac:dyDescent="0.25">
      <c r="A195" s="22">
        <v>2026</v>
      </c>
      <c r="B195" s="28" t="s">
        <v>167</v>
      </c>
      <c r="C195" s="28" t="s">
        <v>97</v>
      </c>
      <c r="D195" s="28" t="s">
        <v>1705</v>
      </c>
      <c r="E195" s="29" t="s">
        <v>1765</v>
      </c>
      <c r="F195" s="29" t="s">
        <v>1766</v>
      </c>
      <c r="G195" s="25" t="s">
        <v>2011</v>
      </c>
      <c r="H195" s="26">
        <v>-0.68835708479999991</v>
      </c>
      <c r="I195" s="26"/>
      <c r="J195" s="26" t="s">
        <v>514</v>
      </c>
      <c r="K195" s="25" t="s">
        <v>513</v>
      </c>
    </row>
    <row r="196" spans="1:11" ht="25.5" x14ac:dyDescent="0.25">
      <c r="A196" s="22">
        <v>2026</v>
      </c>
      <c r="B196" s="28" t="s">
        <v>167</v>
      </c>
      <c r="C196" s="28" t="s">
        <v>97</v>
      </c>
      <c r="D196" s="28" t="s">
        <v>1705</v>
      </c>
      <c r="E196" s="29" t="s">
        <v>1765</v>
      </c>
      <c r="F196" s="29" t="s">
        <v>1766</v>
      </c>
      <c r="G196" s="25" t="s">
        <v>2012</v>
      </c>
      <c r="H196" s="26">
        <v>-0.6394856619</v>
      </c>
      <c r="I196" s="26"/>
      <c r="J196" s="26" t="s">
        <v>514</v>
      </c>
      <c r="K196" s="25" t="s">
        <v>513</v>
      </c>
    </row>
    <row r="197" spans="1:11" ht="25.5" x14ac:dyDescent="0.25">
      <c r="A197" s="22">
        <v>2026</v>
      </c>
      <c r="B197" s="28" t="s">
        <v>167</v>
      </c>
      <c r="C197" s="28" t="s">
        <v>97</v>
      </c>
      <c r="D197" s="28" t="s">
        <v>1705</v>
      </c>
      <c r="E197" s="29" t="s">
        <v>1765</v>
      </c>
      <c r="F197" s="29" t="s">
        <v>1766</v>
      </c>
      <c r="G197" s="25" t="s">
        <v>2013</v>
      </c>
      <c r="H197" s="26">
        <v>-0.51525416879999997</v>
      </c>
      <c r="I197" s="26"/>
      <c r="J197" s="26" t="s">
        <v>514</v>
      </c>
      <c r="K197" s="25" t="s">
        <v>513</v>
      </c>
    </row>
    <row r="198" spans="1:11" ht="25.5" x14ac:dyDescent="0.25">
      <c r="A198" s="22">
        <v>2026</v>
      </c>
      <c r="B198" s="28" t="s">
        <v>167</v>
      </c>
      <c r="C198" s="28" t="s">
        <v>97</v>
      </c>
      <c r="D198" s="28" t="s">
        <v>1705</v>
      </c>
      <c r="E198" s="29" t="s">
        <v>1765</v>
      </c>
      <c r="F198" s="29" t="s">
        <v>1766</v>
      </c>
      <c r="G198" s="25" t="s">
        <v>2014</v>
      </c>
      <c r="H198" s="26">
        <v>-0.49035804570000002</v>
      </c>
      <c r="I198" s="26"/>
      <c r="J198" s="26" t="s">
        <v>514</v>
      </c>
      <c r="K198" s="25" t="s">
        <v>513</v>
      </c>
    </row>
    <row r="199" spans="1:11" ht="25.5" x14ac:dyDescent="0.25">
      <c r="A199" s="22">
        <v>2026</v>
      </c>
      <c r="B199" s="28" t="s">
        <v>167</v>
      </c>
      <c r="C199" s="28" t="s">
        <v>97</v>
      </c>
      <c r="D199" s="28" t="s">
        <v>1705</v>
      </c>
      <c r="E199" s="29" t="s">
        <v>1765</v>
      </c>
      <c r="F199" s="29" t="s">
        <v>1766</v>
      </c>
      <c r="G199" s="25" t="s">
        <v>2015</v>
      </c>
      <c r="H199" s="26">
        <v>-1.1507976204000001</v>
      </c>
      <c r="I199" s="26"/>
      <c r="J199" s="26" t="s">
        <v>514</v>
      </c>
      <c r="K199" s="25" t="s">
        <v>513</v>
      </c>
    </row>
    <row r="200" spans="1:11" ht="25.5" x14ac:dyDescent="0.25">
      <c r="A200" s="22">
        <v>2026</v>
      </c>
      <c r="B200" s="28" t="s">
        <v>167</v>
      </c>
      <c r="C200" s="28" t="s">
        <v>97</v>
      </c>
      <c r="D200" s="28" t="s">
        <v>1705</v>
      </c>
      <c r="E200" s="29" t="s">
        <v>1765</v>
      </c>
      <c r="F200" s="29" t="s">
        <v>1766</v>
      </c>
      <c r="G200" s="25" t="s">
        <v>2016</v>
      </c>
      <c r="H200" s="26">
        <v>-1.0783325358</v>
      </c>
      <c r="I200" s="26"/>
      <c r="J200" s="26" t="s">
        <v>514</v>
      </c>
      <c r="K200" s="25" t="s">
        <v>513</v>
      </c>
    </row>
    <row r="201" spans="1:11" ht="25.5" x14ac:dyDescent="0.25">
      <c r="A201" s="22">
        <v>2026</v>
      </c>
      <c r="B201" s="28" t="s">
        <v>167</v>
      </c>
      <c r="C201" s="28" t="s">
        <v>97</v>
      </c>
      <c r="D201" s="28" t="s">
        <v>1705</v>
      </c>
      <c r="E201" s="29" t="s">
        <v>1765</v>
      </c>
      <c r="F201" s="29" t="s">
        <v>1766</v>
      </c>
      <c r="G201" s="25" t="s">
        <v>2017</v>
      </c>
      <c r="H201" s="26">
        <v>-1.05632394</v>
      </c>
      <c r="I201" s="26"/>
      <c r="J201" s="26" t="s">
        <v>514</v>
      </c>
      <c r="K201" s="25" t="s">
        <v>513</v>
      </c>
    </row>
    <row r="202" spans="1:11" ht="25.5" x14ac:dyDescent="0.25">
      <c r="A202" s="22">
        <v>2026</v>
      </c>
      <c r="B202" s="28" t="s">
        <v>167</v>
      </c>
      <c r="C202" s="28" t="s">
        <v>97</v>
      </c>
      <c r="D202" s="28" t="s">
        <v>1705</v>
      </c>
      <c r="E202" s="29" t="s">
        <v>1765</v>
      </c>
      <c r="F202" s="29" t="s">
        <v>1766</v>
      </c>
      <c r="G202" s="25" t="s">
        <v>2018</v>
      </c>
      <c r="H202" s="26">
        <v>-0.60412500000000002</v>
      </c>
      <c r="I202" s="26"/>
      <c r="J202" s="26" t="s">
        <v>514</v>
      </c>
      <c r="K202" s="25" t="s">
        <v>513</v>
      </c>
    </row>
    <row r="203" spans="1:11" ht="25.5" x14ac:dyDescent="0.25">
      <c r="A203" s="22">
        <v>2026</v>
      </c>
      <c r="B203" s="28" t="s">
        <v>167</v>
      </c>
      <c r="C203" s="28" t="s">
        <v>97</v>
      </c>
      <c r="D203" s="28" t="s">
        <v>1705</v>
      </c>
      <c r="E203" s="29" t="s">
        <v>1765</v>
      </c>
      <c r="F203" s="29" t="s">
        <v>1766</v>
      </c>
      <c r="G203" s="25" t="s">
        <v>2019</v>
      </c>
      <c r="H203" s="26">
        <v>-0.16155947500000001</v>
      </c>
      <c r="I203" s="26"/>
      <c r="J203" s="26" t="s">
        <v>514</v>
      </c>
      <c r="K203" s="25" t="s">
        <v>513</v>
      </c>
    </row>
    <row r="204" spans="1:11" ht="25.5" x14ac:dyDescent="0.25">
      <c r="A204" s="22">
        <v>2026</v>
      </c>
      <c r="B204" s="28" t="s">
        <v>167</v>
      </c>
      <c r="C204" s="28" t="s">
        <v>97</v>
      </c>
      <c r="D204" s="28" t="s">
        <v>1705</v>
      </c>
      <c r="E204" s="29" t="s">
        <v>1765</v>
      </c>
      <c r="F204" s="29" t="s">
        <v>1766</v>
      </c>
      <c r="G204" s="25" t="s">
        <v>2020</v>
      </c>
      <c r="H204" s="26">
        <v>-0.77728741120000011</v>
      </c>
      <c r="I204" s="26"/>
      <c r="J204" s="26" t="s">
        <v>514</v>
      </c>
      <c r="K204" s="25" t="s">
        <v>513</v>
      </c>
    </row>
    <row r="205" spans="1:11" ht="25.5" x14ac:dyDescent="0.25">
      <c r="A205" s="22">
        <v>2026</v>
      </c>
      <c r="B205" s="28" t="s">
        <v>167</v>
      </c>
      <c r="C205" s="28" t="s">
        <v>97</v>
      </c>
      <c r="D205" s="28" t="s">
        <v>1705</v>
      </c>
      <c r="E205" s="29" t="s">
        <v>1765</v>
      </c>
      <c r="F205" s="29" t="s">
        <v>1766</v>
      </c>
      <c r="G205" s="25" t="s">
        <v>2021</v>
      </c>
      <c r="H205" s="26">
        <v>-1.047774</v>
      </c>
      <c r="I205" s="26"/>
      <c r="J205" s="26" t="s">
        <v>514</v>
      </c>
      <c r="K205" s="25" t="s">
        <v>513</v>
      </c>
    </row>
    <row r="206" spans="1:11" ht="25.5" x14ac:dyDescent="0.25">
      <c r="A206" s="22">
        <v>2026</v>
      </c>
      <c r="B206" s="28" t="s">
        <v>167</v>
      </c>
      <c r="C206" s="28" t="s">
        <v>97</v>
      </c>
      <c r="D206" s="28" t="s">
        <v>1705</v>
      </c>
      <c r="E206" s="29" t="s">
        <v>1765</v>
      </c>
      <c r="F206" s="29" t="s">
        <v>1766</v>
      </c>
      <c r="G206" s="25" t="s">
        <v>2022</v>
      </c>
      <c r="H206" s="26">
        <v>-0.99144853140000011</v>
      </c>
      <c r="I206" s="26"/>
      <c r="J206" s="26" t="s">
        <v>514</v>
      </c>
      <c r="K206" s="25" t="s">
        <v>513</v>
      </c>
    </row>
    <row r="207" spans="1:11" ht="25.5" x14ac:dyDescent="0.25">
      <c r="A207" s="22">
        <v>2026</v>
      </c>
      <c r="B207" s="28" t="s">
        <v>167</v>
      </c>
      <c r="C207" s="28" t="s">
        <v>97</v>
      </c>
      <c r="D207" s="28" t="s">
        <v>1705</v>
      </c>
      <c r="E207" s="29" t="s">
        <v>1765</v>
      </c>
      <c r="F207" s="29" t="s">
        <v>1766</v>
      </c>
      <c r="G207" s="25" t="s">
        <v>2023</v>
      </c>
      <c r="H207" s="26">
        <v>-0.13932752749999999</v>
      </c>
      <c r="I207" s="26"/>
      <c r="J207" s="26" t="s">
        <v>514</v>
      </c>
      <c r="K207" s="25" t="s">
        <v>513</v>
      </c>
    </row>
    <row r="208" spans="1:11" ht="25.5" x14ac:dyDescent="0.25">
      <c r="A208" s="22">
        <v>2026</v>
      </c>
      <c r="B208" s="28" t="s">
        <v>167</v>
      </c>
      <c r="C208" s="28" t="s">
        <v>97</v>
      </c>
      <c r="D208" s="28" t="s">
        <v>1705</v>
      </c>
      <c r="E208" s="29" t="s">
        <v>1765</v>
      </c>
      <c r="F208" s="29" t="s">
        <v>1766</v>
      </c>
      <c r="G208" s="25" t="s">
        <v>2024</v>
      </c>
      <c r="H208" s="26">
        <v>-0.36883414260000003</v>
      </c>
      <c r="I208" s="26"/>
      <c r="J208" s="26" t="s">
        <v>514</v>
      </c>
      <c r="K208" s="25" t="s">
        <v>513</v>
      </c>
    </row>
    <row r="209" spans="1:11" ht="25.5" x14ac:dyDescent="0.25">
      <c r="A209" s="22">
        <v>2026</v>
      </c>
      <c r="B209" s="28" t="s">
        <v>167</v>
      </c>
      <c r="C209" s="28" t="s">
        <v>97</v>
      </c>
      <c r="D209" s="28" t="s">
        <v>1705</v>
      </c>
      <c r="E209" s="29" t="s">
        <v>1765</v>
      </c>
      <c r="F209" s="29" t="s">
        <v>1766</v>
      </c>
      <c r="G209" s="25" t="s">
        <v>2025</v>
      </c>
      <c r="H209" s="26">
        <v>-1.2683642916</v>
      </c>
      <c r="I209" s="26"/>
      <c r="J209" s="26" t="s">
        <v>514</v>
      </c>
      <c r="K209" s="25" t="s">
        <v>513</v>
      </c>
    </row>
    <row r="210" spans="1:11" ht="25.5" x14ac:dyDescent="0.25">
      <c r="A210" s="22">
        <v>2026</v>
      </c>
      <c r="B210" s="28" t="s">
        <v>167</v>
      </c>
      <c r="C210" s="28" t="s">
        <v>97</v>
      </c>
      <c r="D210" s="28" t="s">
        <v>1705</v>
      </c>
      <c r="E210" s="29" t="s">
        <v>1765</v>
      </c>
      <c r="F210" s="29" t="s">
        <v>1766</v>
      </c>
      <c r="G210" s="25" t="s">
        <v>2026</v>
      </c>
      <c r="H210" s="26">
        <v>-1.039060257</v>
      </c>
      <c r="I210" s="26"/>
      <c r="J210" s="26" t="s">
        <v>514</v>
      </c>
      <c r="K210" s="25" t="s">
        <v>513</v>
      </c>
    </row>
    <row r="211" spans="1:11" ht="25.5" x14ac:dyDescent="0.25">
      <c r="A211" s="22">
        <v>2026</v>
      </c>
      <c r="B211" s="28" t="s">
        <v>167</v>
      </c>
      <c r="C211" s="28" t="s">
        <v>97</v>
      </c>
      <c r="D211" s="28" t="s">
        <v>1705</v>
      </c>
      <c r="E211" s="29" t="s">
        <v>1765</v>
      </c>
      <c r="F211" s="29" t="s">
        <v>1766</v>
      </c>
      <c r="G211" s="25" t="s">
        <v>2027</v>
      </c>
      <c r="H211" s="26">
        <v>-1.5593482863999999</v>
      </c>
      <c r="I211" s="26"/>
      <c r="J211" s="26" t="s">
        <v>514</v>
      </c>
      <c r="K211" s="25" t="s">
        <v>513</v>
      </c>
    </row>
    <row r="212" spans="1:11" ht="25.5" x14ac:dyDescent="0.25">
      <c r="A212" s="22">
        <v>2026</v>
      </c>
      <c r="B212" s="28" t="s">
        <v>167</v>
      </c>
      <c r="C212" s="28" t="s">
        <v>97</v>
      </c>
      <c r="D212" s="28" t="s">
        <v>1706</v>
      </c>
      <c r="E212" s="29" t="s">
        <v>1765</v>
      </c>
      <c r="F212" s="29" t="s">
        <v>1766</v>
      </c>
      <c r="G212" s="25" t="s">
        <v>2028</v>
      </c>
      <c r="H212" s="26">
        <v>-9.4642289999999994E-3</v>
      </c>
      <c r="I212" s="26"/>
      <c r="J212" s="26" t="s">
        <v>514</v>
      </c>
      <c r="K212" s="25" t="s">
        <v>513</v>
      </c>
    </row>
    <row r="213" spans="1:11" ht="25.5" x14ac:dyDescent="0.25">
      <c r="A213" s="22">
        <v>2026</v>
      </c>
      <c r="B213" s="28" t="s">
        <v>167</v>
      </c>
      <c r="C213" s="28" t="s">
        <v>97</v>
      </c>
      <c r="D213" s="28" t="s">
        <v>1706</v>
      </c>
      <c r="E213" s="29" t="s">
        <v>1765</v>
      </c>
      <c r="F213" s="29" t="s">
        <v>1766</v>
      </c>
      <c r="G213" s="25" t="s">
        <v>2029</v>
      </c>
      <c r="H213" s="26">
        <v>-7.2201857600000003E-5</v>
      </c>
      <c r="I213" s="26"/>
      <c r="J213" s="26" t="s">
        <v>514</v>
      </c>
      <c r="K213" s="25" t="s">
        <v>513</v>
      </c>
    </row>
    <row r="214" spans="1:11" ht="25.5" x14ac:dyDescent="0.25">
      <c r="A214" s="22">
        <v>2026</v>
      </c>
      <c r="B214" s="28" t="s">
        <v>167</v>
      </c>
      <c r="C214" s="28" t="s">
        <v>97</v>
      </c>
      <c r="D214" s="28" t="s">
        <v>1706</v>
      </c>
      <c r="E214" s="29" t="s">
        <v>1765</v>
      </c>
      <c r="F214" s="29" t="s">
        <v>1766</v>
      </c>
      <c r="G214" s="25" t="s">
        <v>2030</v>
      </c>
      <c r="H214" s="26">
        <v>-1.5727643999999999E-2</v>
      </c>
      <c r="I214" s="26"/>
      <c r="J214" s="26" t="s">
        <v>514</v>
      </c>
      <c r="K214" s="25" t="s">
        <v>513</v>
      </c>
    </row>
    <row r="215" spans="1:11" ht="25.5" x14ac:dyDescent="0.25">
      <c r="A215" s="22">
        <v>2026</v>
      </c>
      <c r="B215" s="28" t="s">
        <v>167</v>
      </c>
      <c r="C215" s="28" t="s">
        <v>97</v>
      </c>
      <c r="D215" s="28" t="s">
        <v>1706</v>
      </c>
      <c r="E215" s="29" t="s">
        <v>1765</v>
      </c>
      <c r="F215" s="29" t="s">
        <v>1766</v>
      </c>
      <c r="G215" s="25" t="s">
        <v>2031</v>
      </c>
      <c r="H215" s="26">
        <v>-4.5738660799999997E-2</v>
      </c>
      <c r="I215" s="26"/>
      <c r="J215" s="26" t="s">
        <v>514</v>
      </c>
      <c r="K215" s="25" t="s">
        <v>513</v>
      </c>
    </row>
    <row r="216" spans="1:11" ht="25.5" x14ac:dyDescent="0.25">
      <c r="A216" s="22">
        <v>2026</v>
      </c>
      <c r="B216" s="28" t="s">
        <v>167</v>
      </c>
      <c r="C216" s="28" t="s">
        <v>97</v>
      </c>
      <c r="D216" s="28" t="s">
        <v>1706</v>
      </c>
      <c r="E216" s="29" t="s">
        <v>1765</v>
      </c>
      <c r="F216" s="29" t="s">
        <v>1766</v>
      </c>
      <c r="G216" s="25" t="s">
        <v>2032</v>
      </c>
      <c r="H216" s="26">
        <v>-3.0667818383999998E-2</v>
      </c>
      <c r="I216" s="26"/>
      <c r="J216" s="26" t="s">
        <v>514</v>
      </c>
      <c r="K216" s="25" t="s">
        <v>513</v>
      </c>
    </row>
    <row r="217" spans="1:11" ht="25.5" x14ac:dyDescent="0.25">
      <c r="A217" s="22">
        <v>2026</v>
      </c>
      <c r="B217" s="28" t="s">
        <v>167</v>
      </c>
      <c r="C217" s="28" t="s">
        <v>97</v>
      </c>
      <c r="D217" s="28" t="s">
        <v>1706</v>
      </c>
      <c r="E217" s="29" t="s">
        <v>1765</v>
      </c>
      <c r="F217" s="29" t="s">
        <v>1766</v>
      </c>
      <c r="G217" s="25" t="s">
        <v>2033</v>
      </c>
      <c r="H217" s="26">
        <v>-3.1274681040000002E-2</v>
      </c>
      <c r="I217" s="26"/>
      <c r="J217" s="26" t="s">
        <v>514</v>
      </c>
      <c r="K217" s="25" t="s">
        <v>513</v>
      </c>
    </row>
    <row r="218" spans="1:11" ht="25.5" x14ac:dyDescent="0.25">
      <c r="A218" s="22">
        <v>2026</v>
      </c>
      <c r="B218" s="28" t="s">
        <v>167</v>
      </c>
      <c r="C218" s="28" t="s">
        <v>97</v>
      </c>
      <c r="D218" s="28" t="s">
        <v>1706</v>
      </c>
      <c r="E218" s="29" t="s">
        <v>1765</v>
      </c>
      <c r="F218" s="29" t="s">
        <v>1766</v>
      </c>
      <c r="G218" s="25" t="s">
        <v>2034</v>
      </c>
      <c r="H218" s="26">
        <v>-2.8193443200000001E-2</v>
      </c>
      <c r="I218" s="26"/>
      <c r="J218" s="26" t="s">
        <v>514</v>
      </c>
      <c r="K218" s="25" t="s">
        <v>513</v>
      </c>
    </row>
    <row r="219" spans="1:11" ht="25.5" x14ac:dyDescent="0.25">
      <c r="A219" s="22">
        <v>2026</v>
      </c>
      <c r="B219" s="28" t="s">
        <v>167</v>
      </c>
      <c r="C219" s="28" t="s">
        <v>97</v>
      </c>
      <c r="D219" s="28" t="s">
        <v>1706</v>
      </c>
      <c r="E219" s="29" t="s">
        <v>1765</v>
      </c>
      <c r="F219" s="29" t="s">
        <v>1766</v>
      </c>
      <c r="G219" s="25" t="s">
        <v>2035</v>
      </c>
      <c r="H219" s="26">
        <v>-9.7663576884E-3</v>
      </c>
      <c r="I219" s="26"/>
      <c r="J219" s="26" t="s">
        <v>514</v>
      </c>
      <c r="K219" s="25" t="s">
        <v>513</v>
      </c>
    </row>
    <row r="220" spans="1:11" ht="25.5" x14ac:dyDescent="0.25">
      <c r="A220" s="22">
        <v>2026</v>
      </c>
      <c r="B220" s="28" t="s">
        <v>167</v>
      </c>
      <c r="C220" s="28" t="s">
        <v>97</v>
      </c>
      <c r="D220" s="28" t="s">
        <v>224</v>
      </c>
      <c r="E220" s="29" t="s">
        <v>411</v>
      </c>
      <c r="F220" s="29" t="s">
        <v>350</v>
      </c>
      <c r="G220" s="25" t="s">
        <v>2036</v>
      </c>
      <c r="H220" s="26">
        <v>-1.0994254365</v>
      </c>
      <c r="I220" s="26"/>
      <c r="J220" s="26" t="s">
        <v>512</v>
      </c>
      <c r="K220" s="25" t="s">
        <v>513</v>
      </c>
    </row>
    <row r="221" spans="1:11" ht="25.5" x14ac:dyDescent="0.25">
      <c r="A221" s="22">
        <v>2026</v>
      </c>
      <c r="B221" s="28" t="s">
        <v>167</v>
      </c>
      <c r="C221" s="28" t="s">
        <v>97</v>
      </c>
      <c r="D221" s="28" t="s">
        <v>224</v>
      </c>
      <c r="E221" s="29" t="s">
        <v>411</v>
      </c>
      <c r="F221" s="29" t="s">
        <v>350</v>
      </c>
      <c r="G221" s="25" t="s">
        <v>2037</v>
      </c>
      <c r="H221" s="26">
        <v>-0.36453661200000004</v>
      </c>
      <c r="I221" s="26"/>
      <c r="J221" s="26" t="s">
        <v>512</v>
      </c>
      <c r="K221" s="25" t="s">
        <v>513</v>
      </c>
    </row>
    <row r="222" spans="1:11" ht="25.5" x14ac:dyDescent="0.25">
      <c r="A222" s="22">
        <v>2026</v>
      </c>
      <c r="B222" s="28" t="s">
        <v>167</v>
      </c>
      <c r="C222" s="28" t="s">
        <v>97</v>
      </c>
      <c r="D222" s="28" t="s">
        <v>224</v>
      </c>
      <c r="E222" s="29" t="s">
        <v>411</v>
      </c>
      <c r="F222" s="29" t="s">
        <v>350</v>
      </c>
      <c r="G222" s="25" t="s">
        <v>2038</v>
      </c>
      <c r="H222" s="26">
        <v>-1.0333283230999999</v>
      </c>
      <c r="I222" s="26"/>
      <c r="J222" s="26" t="s">
        <v>512</v>
      </c>
      <c r="K222" s="25" t="s">
        <v>513</v>
      </c>
    </row>
    <row r="223" spans="1:11" ht="25.5" x14ac:dyDescent="0.25">
      <c r="A223" s="22">
        <v>2026</v>
      </c>
      <c r="B223" s="28" t="s">
        <v>167</v>
      </c>
      <c r="C223" s="28" t="s">
        <v>97</v>
      </c>
      <c r="D223" s="28" t="s">
        <v>224</v>
      </c>
      <c r="E223" s="29" t="s">
        <v>411</v>
      </c>
      <c r="F223" s="29" t="s">
        <v>350</v>
      </c>
      <c r="G223" s="25" t="s">
        <v>2039</v>
      </c>
      <c r="H223" s="26">
        <v>-1.077355692</v>
      </c>
      <c r="I223" s="26"/>
      <c r="J223" s="26" t="s">
        <v>512</v>
      </c>
      <c r="K223" s="25" t="s">
        <v>513</v>
      </c>
    </row>
    <row r="224" spans="1:11" ht="25.5" x14ac:dyDescent="0.25">
      <c r="A224" s="22">
        <v>2026</v>
      </c>
      <c r="B224" s="28" t="s">
        <v>167</v>
      </c>
      <c r="C224" s="28" t="s">
        <v>97</v>
      </c>
      <c r="D224" s="28" t="s">
        <v>1707</v>
      </c>
      <c r="E224" s="29" t="s">
        <v>369</v>
      </c>
      <c r="F224" s="29" t="s">
        <v>378</v>
      </c>
      <c r="G224" s="25" t="s">
        <v>2040</v>
      </c>
      <c r="H224" s="26">
        <v>-15.7203</v>
      </c>
      <c r="I224" s="26"/>
      <c r="J224" s="26" t="s">
        <v>512</v>
      </c>
      <c r="K224" s="25" t="s">
        <v>513</v>
      </c>
    </row>
    <row r="225" spans="1:11" ht="25.5" x14ac:dyDescent="0.25">
      <c r="A225" s="22">
        <v>2026</v>
      </c>
      <c r="B225" s="28" t="s">
        <v>167</v>
      </c>
      <c r="C225" s="28" t="s">
        <v>97</v>
      </c>
      <c r="D225" s="28" t="s">
        <v>1708</v>
      </c>
      <c r="E225" s="29" t="s">
        <v>369</v>
      </c>
      <c r="F225" s="29" t="s">
        <v>483</v>
      </c>
      <c r="G225" s="25" t="s">
        <v>2041</v>
      </c>
      <c r="H225" s="26">
        <v>-7.5378700899999998E-2</v>
      </c>
      <c r="I225" s="26"/>
      <c r="J225" s="26" t="s">
        <v>512</v>
      </c>
      <c r="K225" s="25" t="s">
        <v>513</v>
      </c>
    </row>
    <row r="226" spans="1:11" ht="25.5" x14ac:dyDescent="0.25">
      <c r="A226" s="22">
        <v>2026</v>
      </c>
      <c r="B226" s="28" t="s">
        <v>167</v>
      </c>
      <c r="C226" s="28" t="s">
        <v>97</v>
      </c>
      <c r="D226" s="28" t="s">
        <v>1708</v>
      </c>
      <c r="E226" s="29" t="s">
        <v>369</v>
      </c>
      <c r="F226" s="29" t="s">
        <v>483</v>
      </c>
      <c r="G226" s="25" t="s">
        <v>2042</v>
      </c>
      <c r="H226" s="26">
        <v>-0.15759973190000001</v>
      </c>
      <c r="I226" s="26"/>
      <c r="J226" s="26" t="s">
        <v>512</v>
      </c>
      <c r="K226" s="25" t="s">
        <v>513</v>
      </c>
    </row>
    <row r="227" spans="1:11" ht="25.5" x14ac:dyDescent="0.25">
      <c r="A227" s="22">
        <v>2026</v>
      </c>
      <c r="B227" s="28" t="s">
        <v>167</v>
      </c>
      <c r="C227" s="28" t="s">
        <v>97</v>
      </c>
      <c r="D227" s="28" t="s">
        <v>1708</v>
      </c>
      <c r="E227" s="29" t="s">
        <v>369</v>
      </c>
      <c r="F227" s="29" t="s">
        <v>483</v>
      </c>
      <c r="G227" s="25" t="s">
        <v>2043</v>
      </c>
      <c r="H227" s="26">
        <v>-5.8493999999999997E-2</v>
      </c>
      <c r="I227" s="26"/>
      <c r="J227" s="26" t="s">
        <v>512</v>
      </c>
      <c r="K227" s="25" t="s">
        <v>513</v>
      </c>
    </row>
    <row r="228" spans="1:11" ht="25.5" x14ac:dyDescent="0.25">
      <c r="A228" s="22">
        <v>2026</v>
      </c>
      <c r="B228" s="28" t="s">
        <v>167</v>
      </c>
      <c r="C228" s="28" t="s">
        <v>97</v>
      </c>
      <c r="D228" s="28" t="s">
        <v>1708</v>
      </c>
      <c r="E228" s="29" t="s">
        <v>369</v>
      </c>
      <c r="F228" s="29" t="s">
        <v>483</v>
      </c>
      <c r="G228" s="25" t="s">
        <v>2044</v>
      </c>
      <c r="H228" s="26">
        <v>-0.11932</v>
      </c>
      <c r="I228" s="26"/>
      <c r="J228" s="26" t="s">
        <v>512</v>
      </c>
      <c r="K228" s="25" t="s">
        <v>513</v>
      </c>
    </row>
    <row r="229" spans="1:11" ht="25.5" x14ac:dyDescent="0.25">
      <c r="A229" s="22">
        <v>2026</v>
      </c>
      <c r="B229" s="28" t="s">
        <v>167</v>
      </c>
      <c r="C229" s="28" t="s">
        <v>97</v>
      </c>
      <c r="D229" s="28" t="s">
        <v>1708</v>
      </c>
      <c r="E229" s="29" t="s">
        <v>369</v>
      </c>
      <c r="F229" s="29" t="s">
        <v>483</v>
      </c>
      <c r="G229" s="25" t="s">
        <v>2045</v>
      </c>
      <c r="H229" s="26">
        <v>-0.1490175</v>
      </c>
      <c r="I229" s="26"/>
      <c r="J229" s="26" t="s">
        <v>512</v>
      </c>
      <c r="K229" s="25" t="s">
        <v>513</v>
      </c>
    </row>
    <row r="230" spans="1:11" ht="25.5" x14ac:dyDescent="0.25">
      <c r="A230" s="22">
        <v>2026</v>
      </c>
      <c r="B230" s="28" t="s">
        <v>167</v>
      </c>
      <c r="C230" s="28" t="s">
        <v>97</v>
      </c>
      <c r="D230" s="28" t="s">
        <v>1708</v>
      </c>
      <c r="E230" s="29" t="s">
        <v>369</v>
      </c>
      <c r="F230" s="29" t="s">
        <v>483</v>
      </c>
      <c r="G230" s="25" t="s">
        <v>2046</v>
      </c>
      <c r="H230" s="26">
        <v>-0.21146926319999998</v>
      </c>
      <c r="I230" s="26"/>
      <c r="J230" s="26" t="s">
        <v>512</v>
      </c>
      <c r="K230" s="25" t="s">
        <v>513</v>
      </c>
    </row>
    <row r="231" spans="1:11" ht="25.5" x14ac:dyDescent="0.25">
      <c r="A231" s="22">
        <v>2026</v>
      </c>
      <c r="B231" s="28" t="s">
        <v>167</v>
      </c>
      <c r="C231" s="28" t="s">
        <v>97</v>
      </c>
      <c r="D231" s="28" t="s">
        <v>1708</v>
      </c>
      <c r="E231" s="29" t="s">
        <v>369</v>
      </c>
      <c r="F231" s="29" t="s">
        <v>483</v>
      </c>
      <c r="G231" s="25" t="s">
        <v>2047</v>
      </c>
      <c r="H231" s="26">
        <v>-0.1090246465</v>
      </c>
      <c r="I231" s="26"/>
      <c r="J231" s="26" t="s">
        <v>512</v>
      </c>
      <c r="K231" s="25" t="s">
        <v>513</v>
      </c>
    </row>
    <row r="232" spans="1:11" ht="25.5" x14ac:dyDescent="0.25">
      <c r="A232" s="22">
        <v>2026</v>
      </c>
      <c r="B232" s="28" t="s">
        <v>167</v>
      </c>
      <c r="C232" s="28" t="s">
        <v>97</v>
      </c>
      <c r="D232" s="28" t="s">
        <v>1708</v>
      </c>
      <c r="E232" s="29" t="s">
        <v>369</v>
      </c>
      <c r="F232" s="29" t="s">
        <v>483</v>
      </c>
      <c r="G232" s="25" t="s">
        <v>2048</v>
      </c>
      <c r="H232" s="26">
        <v>-0.16278371989999998</v>
      </c>
      <c r="I232" s="26"/>
      <c r="J232" s="26" t="s">
        <v>512</v>
      </c>
      <c r="K232" s="25" t="s">
        <v>513</v>
      </c>
    </row>
    <row r="233" spans="1:11" ht="25.5" x14ac:dyDescent="0.25">
      <c r="A233" s="22">
        <v>2026</v>
      </c>
      <c r="B233" s="28" t="s">
        <v>167</v>
      </c>
      <c r="C233" s="28" t="s">
        <v>97</v>
      </c>
      <c r="D233" s="28" t="s">
        <v>1708</v>
      </c>
      <c r="E233" s="29" t="s">
        <v>369</v>
      </c>
      <c r="F233" s="29" t="s">
        <v>483</v>
      </c>
      <c r="G233" s="25" t="s">
        <v>2049</v>
      </c>
      <c r="H233" s="26">
        <v>-5.47781465E-2</v>
      </c>
      <c r="I233" s="26"/>
      <c r="J233" s="26" t="s">
        <v>512</v>
      </c>
      <c r="K233" s="25" t="s">
        <v>513</v>
      </c>
    </row>
    <row r="234" spans="1:11" ht="25.5" x14ac:dyDescent="0.25">
      <c r="A234" s="22">
        <v>2026</v>
      </c>
      <c r="B234" s="28" t="s">
        <v>167</v>
      </c>
      <c r="C234" s="28" t="s">
        <v>97</v>
      </c>
      <c r="D234" s="28" t="s">
        <v>1708</v>
      </c>
      <c r="E234" s="29" t="s">
        <v>369</v>
      </c>
      <c r="F234" s="29" t="s">
        <v>483</v>
      </c>
      <c r="G234" s="25" t="s">
        <v>2050</v>
      </c>
      <c r="H234" s="26">
        <v>-0.15719012819999997</v>
      </c>
      <c r="I234" s="26"/>
      <c r="J234" s="26" t="s">
        <v>512</v>
      </c>
      <c r="K234" s="25" t="s">
        <v>513</v>
      </c>
    </row>
    <row r="235" spans="1:11" ht="25.5" x14ac:dyDescent="0.25">
      <c r="A235" s="22">
        <v>2026</v>
      </c>
      <c r="B235" s="28" t="s">
        <v>167</v>
      </c>
      <c r="C235" s="28" t="s">
        <v>97</v>
      </c>
      <c r="D235" s="28" t="s">
        <v>1708</v>
      </c>
      <c r="E235" s="29" t="s">
        <v>369</v>
      </c>
      <c r="F235" s="29" t="s">
        <v>483</v>
      </c>
      <c r="G235" s="25" t="s">
        <v>2051</v>
      </c>
      <c r="H235" s="26">
        <v>-0.12320481970000001</v>
      </c>
      <c r="I235" s="26"/>
      <c r="J235" s="26" t="s">
        <v>512</v>
      </c>
      <c r="K235" s="25" t="s">
        <v>513</v>
      </c>
    </row>
    <row r="236" spans="1:11" ht="25.5" x14ac:dyDescent="0.25">
      <c r="A236" s="22">
        <v>2026</v>
      </c>
      <c r="B236" s="28" t="s">
        <v>167</v>
      </c>
      <c r="C236" s="28" t="s">
        <v>97</v>
      </c>
      <c r="D236" s="28" t="s">
        <v>1708</v>
      </c>
      <c r="E236" s="29" t="s">
        <v>369</v>
      </c>
      <c r="F236" s="29" t="s">
        <v>483</v>
      </c>
      <c r="G236" s="25" t="s">
        <v>2052</v>
      </c>
      <c r="H236" s="26">
        <v>-8.9436000000000002E-2</v>
      </c>
      <c r="I236" s="26"/>
      <c r="J236" s="26" t="s">
        <v>512</v>
      </c>
      <c r="K236" s="25" t="s">
        <v>513</v>
      </c>
    </row>
    <row r="237" spans="1:11" ht="25.5" x14ac:dyDescent="0.25">
      <c r="A237" s="22">
        <v>2026</v>
      </c>
      <c r="B237" s="28" t="s">
        <v>167</v>
      </c>
      <c r="C237" s="28" t="s">
        <v>97</v>
      </c>
      <c r="D237" s="28" t="s">
        <v>1708</v>
      </c>
      <c r="E237" s="29" t="s">
        <v>369</v>
      </c>
      <c r="F237" s="29" t="s">
        <v>483</v>
      </c>
      <c r="G237" s="25" t="s">
        <v>2053</v>
      </c>
      <c r="H237" s="26">
        <v>-0.13176075640000001</v>
      </c>
      <c r="I237" s="26"/>
      <c r="J237" s="26" t="s">
        <v>512</v>
      </c>
      <c r="K237" s="25" t="s">
        <v>513</v>
      </c>
    </row>
    <row r="238" spans="1:11" ht="25.5" x14ac:dyDescent="0.25">
      <c r="A238" s="22">
        <v>2026</v>
      </c>
      <c r="B238" s="28" t="s">
        <v>167</v>
      </c>
      <c r="C238" s="28" t="s">
        <v>97</v>
      </c>
      <c r="D238" s="28" t="s">
        <v>1708</v>
      </c>
      <c r="E238" s="29" t="s">
        <v>369</v>
      </c>
      <c r="F238" s="29" t="s">
        <v>483</v>
      </c>
      <c r="G238" s="25" t="s">
        <v>2054</v>
      </c>
      <c r="H238" s="26">
        <v>-0.25223993840000003</v>
      </c>
      <c r="I238" s="26"/>
      <c r="J238" s="26" t="s">
        <v>512</v>
      </c>
      <c r="K238" s="25" t="s">
        <v>513</v>
      </c>
    </row>
    <row r="239" spans="1:11" ht="25.5" x14ac:dyDescent="0.25">
      <c r="A239" s="22">
        <v>2026</v>
      </c>
      <c r="B239" s="28" t="s">
        <v>167</v>
      </c>
      <c r="C239" s="28" t="s">
        <v>97</v>
      </c>
      <c r="D239" s="28" t="s">
        <v>1708</v>
      </c>
      <c r="E239" s="29" t="s">
        <v>369</v>
      </c>
      <c r="F239" s="29" t="s">
        <v>483</v>
      </c>
      <c r="G239" s="25" t="s">
        <v>2055</v>
      </c>
      <c r="H239" s="26">
        <v>-8.9403493000000001E-2</v>
      </c>
      <c r="I239" s="26"/>
      <c r="J239" s="26" t="s">
        <v>512</v>
      </c>
      <c r="K239" s="25" t="s">
        <v>513</v>
      </c>
    </row>
    <row r="240" spans="1:11" ht="25.5" x14ac:dyDescent="0.25">
      <c r="A240" s="22">
        <v>2026</v>
      </c>
      <c r="B240" s="28" t="s">
        <v>167</v>
      </c>
      <c r="C240" s="28" t="s">
        <v>97</v>
      </c>
      <c r="D240" s="28" t="s">
        <v>1708</v>
      </c>
      <c r="E240" s="29" t="s">
        <v>369</v>
      </c>
      <c r="F240" s="29" t="s">
        <v>483</v>
      </c>
      <c r="G240" s="25" t="s">
        <v>2056</v>
      </c>
      <c r="H240" s="26">
        <v>-0.13693245639999999</v>
      </c>
      <c r="I240" s="26"/>
      <c r="J240" s="26" t="s">
        <v>512</v>
      </c>
      <c r="K240" s="25" t="s">
        <v>513</v>
      </c>
    </row>
    <row r="241" spans="1:11" ht="25.5" x14ac:dyDescent="0.25">
      <c r="A241" s="22">
        <v>2026</v>
      </c>
      <c r="B241" s="28" t="s">
        <v>167</v>
      </c>
      <c r="C241" s="28" t="s">
        <v>97</v>
      </c>
      <c r="D241" s="28" t="s">
        <v>1708</v>
      </c>
      <c r="E241" s="29" t="s">
        <v>369</v>
      </c>
      <c r="F241" s="29" t="s">
        <v>483</v>
      </c>
      <c r="G241" s="25" t="s">
        <v>2057</v>
      </c>
      <c r="H241" s="26">
        <v>-5.9868999999999999E-2</v>
      </c>
      <c r="I241" s="26"/>
      <c r="J241" s="26" t="s">
        <v>512</v>
      </c>
      <c r="K241" s="25" t="s">
        <v>513</v>
      </c>
    </row>
    <row r="242" spans="1:11" ht="25.5" x14ac:dyDescent="0.25">
      <c r="A242" s="22">
        <v>2026</v>
      </c>
      <c r="B242" s="28" t="s">
        <v>167</v>
      </c>
      <c r="C242" s="28" t="s">
        <v>97</v>
      </c>
      <c r="D242" s="28" t="s">
        <v>1708</v>
      </c>
      <c r="E242" s="29" t="s">
        <v>369</v>
      </c>
      <c r="F242" s="29" t="s">
        <v>483</v>
      </c>
      <c r="G242" s="25" t="s">
        <v>2058</v>
      </c>
      <c r="H242" s="26">
        <v>-0.25024140680000001</v>
      </c>
      <c r="I242" s="26"/>
      <c r="J242" s="26" t="s">
        <v>512</v>
      </c>
      <c r="K242" s="25" t="s">
        <v>513</v>
      </c>
    </row>
    <row r="243" spans="1:11" ht="25.5" x14ac:dyDescent="0.25">
      <c r="A243" s="22">
        <v>2026</v>
      </c>
      <c r="B243" s="28" t="s">
        <v>167</v>
      </c>
      <c r="C243" s="28" t="s">
        <v>97</v>
      </c>
      <c r="D243" s="28" t="s">
        <v>1709</v>
      </c>
      <c r="E243" s="29" t="s">
        <v>369</v>
      </c>
      <c r="F243" s="29" t="s">
        <v>353</v>
      </c>
      <c r="G243" s="25" t="s">
        <v>2059</v>
      </c>
      <c r="H243" s="26">
        <v>-2.2400000000000003E-2</v>
      </c>
      <c r="I243" s="26"/>
      <c r="J243" s="26" t="s">
        <v>512</v>
      </c>
      <c r="K243" s="25" t="s">
        <v>513</v>
      </c>
    </row>
    <row r="244" spans="1:11" ht="25.5" x14ac:dyDescent="0.25">
      <c r="A244" s="22">
        <v>2026</v>
      </c>
      <c r="B244" s="28" t="s">
        <v>167</v>
      </c>
      <c r="C244" s="28" t="s">
        <v>97</v>
      </c>
      <c r="D244" s="28" t="s">
        <v>1709</v>
      </c>
      <c r="E244" s="29" t="s">
        <v>369</v>
      </c>
      <c r="F244" s="29" t="s">
        <v>353</v>
      </c>
      <c r="G244" s="25" t="s">
        <v>2060</v>
      </c>
      <c r="H244" s="26">
        <v>-2.2799999999999997E-2</v>
      </c>
      <c r="I244" s="26"/>
      <c r="J244" s="26" t="s">
        <v>512</v>
      </c>
      <c r="K244" s="25" t="s">
        <v>513</v>
      </c>
    </row>
    <row r="245" spans="1:11" ht="25.5" x14ac:dyDescent="0.25">
      <c r="A245" s="22">
        <v>2026</v>
      </c>
      <c r="B245" s="28" t="s">
        <v>167</v>
      </c>
      <c r="C245" s="28" t="s">
        <v>97</v>
      </c>
      <c r="D245" s="28" t="s">
        <v>1709</v>
      </c>
      <c r="E245" s="29" t="s">
        <v>369</v>
      </c>
      <c r="F245" s="29" t="s">
        <v>353</v>
      </c>
      <c r="G245" s="25" t="s">
        <v>2061</v>
      </c>
      <c r="H245" s="26">
        <v>-2.2599999999999995E-2</v>
      </c>
      <c r="I245" s="26"/>
      <c r="J245" s="26" t="s">
        <v>512</v>
      </c>
      <c r="K245" s="25" t="s">
        <v>513</v>
      </c>
    </row>
    <row r="246" spans="1:11" ht="25.5" x14ac:dyDescent="0.25">
      <c r="A246" s="22">
        <v>2026</v>
      </c>
      <c r="B246" s="28" t="s">
        <v>167</v>
      </c>
      <c r="C246" s="28" t="s">
        <v>97</v>
      </c>
      <c r="D246" s="28" t="s">
        <v>1709</v>
      </c>
      <c r="E246" s="29" t="s">
        <v>369</v>
      </c>
      <c r="F246" s="29" t="s">
        <v>353</v>
      </c>
      <c r="G246" s="25" t="s">
        <v>2061</v>
      </c>
      <c r="H246" s="26">
        <v>-2.2599999999999995E-2</v>
      </c>
      <c r="I246" s="26"/>
      <c r="J246" s="26" t="s">
        <v>512</v>
      </c>
      <c r="K246" s="25" t="s">
        <v>513</v>
      </c>
    </row>
    <row r="247" spans="1:11" ht="25.5" x14ac:dyDescent="0.25">
      <c r="A247" s="22">
        <v>2026</v>
      </c>
      <c r="B247" s="28" t="s">
        <v>167</v>
      </c>
      <c r="C247" s="28" t="s">
        <v>97</v>
      </c>
      <c r="D247" s="28" t="s">
        <v>1709</v>
      </c>
      <c r="E247" s="29" t="s">
        <v>369</v>
      </c>
      <c r="F247" s="29" t="s">
        <v>353</v>
      </c>
      <c r="G247" s="25" t="s">
        <v>2061</v>
      </c>
      <c r="H247" s="26">
        <v>-2.2599999999999995E-2</v>
      </c>
      <c r="I247" s="26"/>
      <c r="J247" s="26" t="s">
        <v>512</v>
      </c>
      <c r="K247" s="25" t="s">
        <v>513</v>
      </c>
    </row>
    <row r="248" spans="1:11" ht="25.5" x14ac:dyDescent="0.25">
      <c r="A248" s="22">
        <v>2026</v>
      </c>
      <c r="B248" s="28" t="s">
        <v>167</v>
      </c>
      <c r="C248" s="28" t="s">
        <v>97</v>
      </c>
      <c r="D248" s="28" t="s">
        <v>1709</v>
      </c>
      <c r="E248" s="29" t="s">
        <v>369</v>
      </c>
      <c r="F248" s="29" t="s">
        <v>353</v>
      </c>
      <c r="G248" s="25" t="s">
        <v>2061</v>
      </c>
      <c r="H248" s="26">
        <v>-2.2599999999999995E-2</v>
      </c>
      <c r="I248" s="26"/>
      <c r="J248" s="26" t="s">
        <v>512</v>
      </c>
      <c r="K248" s="25" t="s">
        <v>513</v>
      </c>
    </row>
    <row r="249" spans="1:11" ht="25.5" x14ac:dyDescent="0.25">
      <c r="A249" s="22">
        <v>2026</v>
      </c>
      <c r="B249" s="28" t="s">
        <v>167</v>
      </c>
      <c r="C249" s="28" t="s">
        <v>97</v>
      </c>
      <c r="D249" s="28" t="s">
        <v>1709</v>
      </c>
      <c r="E249" s="29" t="s">
        <v>369</v>
      </c>
      <c r="F249" s="29" t="s">
        <v>353</v>
      </c>
      <c r="G249" s="25" t="s">
        <v>2062</v>
      </c>
      <c r="H249" s="26">
        <v>-4.519999999999999E-2</v>
      </c>
      <c r="I249" s="26"/>
      <c r="J249" s="26" t="s">
        <v>512</v>
      </c>
      <c r="K249" s="25" t="s">
        <v>513</v>
      </c>
    </row>
    <row r="250" spans="1:11" ht="25.5" x14ac:dyDescent="0.25">
      <c r="A250" s="22">
        <v>2026</v>
      </c>
      <c r="B250" s="28" t="s">
        <v>167</v>
      </c>
      <c r="C250" s="28" t="s">
        <v>97</v>
      </c>
      <c r="D250" s="28" t="s">
        <v>1709</v>
      </c>
      <c r="E250" s="29" t="s">
        <v>369</v>
      </c>
      <c r="F250" s="29" t="s">
        <v>353</v>
      </c>
      <c r="G250" s="25" t="s">
        <v>2062</v>
      </c>
      <c r="H250" s="26">
        <v>-4.519999999999999E-2</v>
      </c>
      <c r="I250" s="26"/>
      <c r="J250" s="26" t="s">
        <v>512</v>
      </c>
      <c r="K250" s="25" t="s">
        <v>513</v>
      </c>
    </row>
    <row r="251" spans="1:11" ht="25.5" x14ac:dyDescent="0.25">
      <c r="A251" s="22">
        <v>2026</v>
      </c>
      <c r="B251" s="28" t="s">
        <v>167</v>
      </c>
      <c r="C251" s="28" t="s">
        <v>97</v>
      </c>
      <c r="D251" s="28" t="s">
        <v>1709</v>
      </c>
      <c r="E251" s="29" t="s">
        <v>369</v>
      </c>
      <c r="F251" s="29" t="s">
        <v>353</v>
      </c>
      <c r="G251" s="25" t="s">
        <v>2062</v>
      </c>
      <c r="H251" s="26">
        <v>-4.519999999999999E-2</v>
      </c>
      <c r="I251" s="26"/>
      <c r="J251" s="26" t="s">
        <v>512</v>
      </c>
      <c r="K251" s="25" t="s">
        <v>513</v>
      </c>
    </row>
    <row r="252" spans="1:11" ht="25.5" x14ac:dyDescent="0.25">
      <c r="A252" s="22">
        <v>2026</v>
      </c>
      <c r="B252" s="28" t="s">
        <v>167</v>
      </c>
      <c r="C252" s="28" t="s">
        <v>97</v>
      </c>
      <c r="D252" s="28" t="s">
        <v>1709</v>
      </c>
      <c r="E252" s="29" t="s">
        <v>369</v>
      </c>
      <c r="F252" s="29" t="s">
        <v>353</v>
      </c>
      <c r="G252" s="25" t="s">
        <v>2063</v>
      </c>
      <c r="H252" s="26">
        <v>-1.1299999999999998E-2</v>
      </c>
      <c r="I252" s="26"/>
      <c r="J252" s="26" t="s">
        <v>512</v>
      </c>
      <c r="K252" s="25" t="s">
        <v>513</v>
      </c>
    </row>
    <row r="253" spans="1:11" ht="25.5" x14ac:dyDescent="0.25">
      <c r="A253" s="22">
        <v>2026</v>
      </c>
      <c r="B253" s="28" t="s">
        <v>167</v>
      </c>
      <c r="C253" s="28" t="s">
        <v>97</v>
      </c>
      <c r="D253" s="28" t="s">
        <v>1712</v>
      </c>
      <c r="E253" s="29" t="s">
        <v>1712</v>
      </c>
      <c r="F253" s="29" t="s">
        <v>325</v>
      </c>
      <c r="G253" s="25" t="s">
        <v>2064</v>
      </c>
      <c r="H253" s="26">
        <v>-0.14027319999999999</v>
      </c>
      <c r="I253" s="26"/>
      <c r="J253" s="26" t="s">
        <v>512</v>
      </c>
      <c r="K253" s="25" t="s">
        <v>513</v>
      </c>
    </row>
    <row r="254" spans="1:11" ht="25.5" x14ac:dyDescent="0.25">
      <c r="A254" s="22">
        <v>2026</v>
      </c>
      <c r="B254" s="28" t="s">
        <v>167</v>
      </c>
      <c r="C254" s="28" t="s">
        <v>97</v>
      </c>
      <c r="D254" s="28" t="s">
        <v>1712</v>
      </c>
      <c r="E254" s="29" t="s">
        <v>1712</v>
      </c>
      <c r="F254" s="29" t="s">
        <v>325</v>
      </c>
      <c r="G254" s="25" t="s">
        <v>2065</v>
      </c>
      <c r="H254" s="26">
        <v>-0.23582891639999998</v>
      </c>
      <c r="I254" s="26"/>
      <c r="J254" s="26" t="s">
        <v>512</v>
      </c>
      <c r="K254" s="25" t="s">
        <v>513</v>
      </c>
    </row>
    <row r="255" spans="1:11" ht="25.5" x14ac:dyDescent="0.25">
      <c r="A255" s="22">
        <v>2026</v>
      </c>
      <c r="B255" s="28" t="s">
        <v>167</v>
      </c>
      <c r="C255" s="28" t="s">
        <v>97</v>
      </c>
      <c r="D255" s="28" t="s">
        <v>1712</v>
      </c>
      <c r="E255" s="29" t="s">
        <v>1712</v>
      </c>
      <c r="F255" s="29" t="s">
        <v>325</v>
      </c>
      <c r="G255" s="25" t="s">
        <v>2066</v>
      </c>
      <c r="H255" s="26">
        <v>-3.8120000000000001E-2</v>
      </c>
      <c r="I255" s="26"/>
      <c r="J255" s="26" t="s">
        <v>512</v>
      </c>
      <c r="K255" s="25" t="s">
        <v>513</v>
      </c>
    </row>
    <row r="256" spans="1:11" ht="25.5" x14ac:dyDescent="0.25">
      <c r="A256" s="22">
        <v>2026</v>
      </c>
      <c r="B256" s="28" t="s">
        <v>167</v>
      </c>
      <c r="C256" s="28" t="s">
        <v>97</v>
      </c>
      <c r="D256" s="28" t="s">
        <v>1712</v>
      </c>
      <c r="E256" s="29" t="s">
        <v>1712</v>
      </c>
      <c r="F256" s="29" t="s">
        <v>325</v>
      </c>
      <c r="G256" s="25" t="s">
        <v>2067</v>
      </c>
      <c r="H256" s="26">
        <v>-0.17338033259999999</v>
      </c>
      <c r="I256" s="26"/>
      <c r="J256" s="26" t="s">
        <v>512</v>
      </c>
      <c r="K256" s="25" t="s">
        <v>513</v>
      </c>
    </row>
    <row r="257" spans="1:11" ht="25.5" x14ac:dyDescent="0.25">
      <c r="A257" s="22">
        <v>2026</v>
      </c>
      <c r="B257" s="28" t="s">
        <v>167</v>
      </c>
      <c r="C257" s="28" t="s">
        <v>97</v>
      </c>
      <c r="D257" s="28" t="s">
        <v>1712</v>
      </c>
      <c r="E257" s="29" t="s">
        <v>1712</v>
      </c>
      <c r="F257" s="29" t="s">
        <v>325</v>
      </c>
      <c r="G257" s="25" t="s">
        <v>2068</v>
      </c>
      <c r="H257" s="26">
        <v>-0.14758125</v>
      </c>
      <c r="I257" s="26"/>
      <c r="J257" s="26" t="s">
        <v>512</v>
      </c>
      <c r="K257" s="25" t="s">
        <v>513</v>
      </c>
    </row>
    <row r="258" spans="1:11" ht="25.5" x14ac:dyDescent="0.25">
      <c r="A258" s="22">
        <v>2026</v>
      </c>
      <c r="B258" s="28" t="s">
        <v>167</v>
      </c>
      <c r="C258" s="28" t="s">
        <v>97</v>
      </c>
      <c r="D258" s="28" t="s">
        <v>1712</v>
      </c>
      <c r="E258" s="29" t="s">
        <v>1712</v>
      </c>
      <c r="F258" s="29" t="s">
        <v>325</v>
      </c>
      <c r="G258" s="25" t="s">
        <v>2069</v>
      </c>
      <c r="H258" s="26">
        <v>-0.24511816400000003</v>
      </c>
      <c r="I258" s="26"/>
      <c r="J258" s="26" t="s">
        <v>512</v>
      </c>
      <c r="K258" s="25" t="s">
        <v>513</v>
      </c>
    </row>
    <row r="259" spans="1:11" ht="25.5" x14ac:dyDescent="0.25">
      <c r="A259" s="22">
        <v>2026</v>
      </c>
      <c r="B259" s="28" t="s">
        <v>167</v>
      </c>
      <c r="C259" s="28" t="s">
        <v>97</v>
      </c>
      <c r="D259" s="28" t="s">
        <v>1712</v>
      </c>
      <c r="E259" s="29" t="s">
        <v>1712</v>
      </c>
      <c r="F259" s="29" t="s">
        <v>325</v>
      </c>
      <c r="G259" s="25" t="s">
        <v>2070</v>
      </c>
      <c r="H259" s="26">
        <v>-0.24773739899999997</v>
      </c>
      <c r="I259" s="26"/>
      <c r="J259" s="26" t="s">
        <v>512</v>
      </c>
      <c r="K259" s="25" t="s">
        <v>513</v>
      </c>
    </row>
    <row r="260" spans="1:11" ht="25.5" x14ac:dyDescent="0.25">
      <c r="A260" s="22">
        <v>2026</v>
      </c>
      <c r="B260" s="28" t="s">
        <v>167</v>
      </c>
      <c r="C260" s="28" t="s">
        <v>97</v>
      </c>
      <c r="D260" s="28" t="s">
        <v>1712</v>
      </c>
      <c r="E260" s="29" t="s">
        <v>1712</v>
      </c>
      <c r="F260" s="29" t="s">
        <v>325</v>
      </c>
      <c r="G260" s="25" t="s">
        <v>2071</v>
      </c>
      <c r="H260" s="26">
        <v>-0.11540127999999999</v>
      </c>
      <c r="I260" s="26"/>
      <c r="J260" s="26" t="s">
        <v>512</v>
      </c>
      <c r="K260" s="25" t="s">
        <v>513</v>
      </c>
    </row>
    <row r="261" spans="1:11" ht="25.5" x14ac:dyDescent="0.25">
      <c r="A261" s="22">
        <v>2026</v>
      </c>
      <c r="B261" s="28" t="s">
        <v>167</v>
      </c>
      <c r="C261" s="28" t="s">
        <v>97</v>
      </c>
      <c r="D261" s="28" t="s">
        <v>1712</v>
      </c>
      <c r="E261" s="29" t="s">
        <v>1712</v>
      </c>
      <c r="F261" s="29" t="s">
        <v>325</v>
      </c>
      <c r="G261" s="25" t="s">
        <v>2072</v>
      </c>
      <c r="H261" s="26">
        <v>-0.25423119150000001</v>
      </c>
      <c r="I261" s="26"/>
      <c r="J261" s="26" t="s">
        <v>512</v>
      </c>
      <c r="K261" s="25" t="s">
        <v>513</v>
      </c>
    </row>
    <row r="262" spans="1:11" ht="25.5" x14ac:dyDescent="0.25">
      <c r="A262" s="22">
        <v>2026</v>
      </c>
      <c r="B262" s="28" t="s">
        <v>167</v>
      </c>
      <c r="C262" s="28" t="s">
        <v>97</v>
      </c>
      <c r="D262" s="28" t="s">
        <v>1712</v>
      </c>
      <c r="E262" s="29" t="s">
        <v>1712</v>
      </c>
      <c r="F262" s="29" t="s">
        <v>325</v>
      </c>
      <c r="G262" s="25" t="s">
        <v>2073</v>
      </c>
      <c r="H262" s="26">
        <v>-0.2538381186</v>
      </c>
      <c r="I262" s="26"/>
      <c r="J262" s="26" t="s">
        <v>512</v>
      </c>
      <c r="K262" s="25" t="s">
        <v>513</v>
      </c>
    </row>
    <row r="263" spans="1:11" ht="25.5" x14ac:dyDescent="0.25">
      <c r="A263" s="22">
        <v>2026</v>
      </c>
      <c r="B263" s="28" t="s">
        <v>167</v>
      </c>
      <c r="C263" s="28" t="s">
        <v>97</v>
      </c>
      <c r="D263" s="28" t="s">
        <v>1712</v>
      </c>
      <c r="E263" s="29" t="s">
        <v>1712</v>
      </c>
      <c r="F263" s="29" t="s">
        <v>325</v>
      </c>
      <c r="G263" s="25" t="s">
        <v>2074</v>
      </c>
      <c r="H263" s="26">
        <v>-0.25355556699999998</v>
      </c>
      <c r="I263" s="26"/>
      <c r="J263" s="26" t="s">
        <v>512</v>
      </c>
      <c r="K263" s="25" t="s">
        <v>513</v>
      </c>
    </row>
    <row r="264" spans="1:11" ht="25.5" x14ac:dyDescent="0.25">
      <c r="A264" s="22">
        <v>2026</v>
      </c>
      <c r="B264" s="28" t="s">
        <v>167</v>
      </c>
      <c r="C264" s="28" t="s">
        <v>97</v>
      </c>
      <c r="D264" s="28" t="s">
        <v>1712</v>
      </c>
      <c r="E264" s="29" t="s">
        <v>1712</v>
      </c>
      <c r="F264" s="29" t="s">
        <v>325</v>
      </c>
      <c r="G264" s="25" t="s">
        <v>2075</v>
      </c>
      <c r="H264" s="26">
        <v>-0.115755315</v>
      </c>
      <c r="I264" s="26"/>
      <c r="J264" s="26" t="s">
        <v>512</v>
      </c>
      <c r="K264" s="25" t="s">
        <v>513</v>
      </c>
    </row>
    <row r="265" spans="1:11" ht="25.5" x14ac:dyDescent="0.25">
      <c r="A265" s="22">
        <v>2026</v>
      </c>
      <c r="B265" s="28" t="s">
        <v>167</v>
      </c>
      <c r="C265" s="28" t="s">
        <v>97</v>
      </c>
      <c r="D265" s="28" t="s">
        <v>1712</v>
      </c>
      <c r="E265" s="29" t="s">
        <v>1712</v>
      </c>
      <c r="F265" s="29" t="s">
        <v>325</v>
      </c>
      <c r="G265" s="25" t="s">
        <v>2076</v>
      </c>
      <c r="H265" s="26">
        <v>-7.4207419999999996E-2</v>
      </c>
      <c r="I265" s="26"/>
      <c r="J265" s="26" t="s">
        <v>512</v>
      </c>
      <c r="K265" s="25" t="s">
        <v>513</v>
      </c>
    </row>
    <row r="266" spans="1:11" ht="25.5" x14ac:dyDescent="0.25">
      <c r="A266" s="22">
        <v>2026</v>
      </c>
      <c r="B266" s="28" t="s">
        <v>167</v>
      </c>
      <c r="C266" s="28" t="s">
        <v>97</v>
      </c>
      <c r="D266" s="28" t="s">
        <v>1712</v>
      </c>
      <c r="E266" s="29" t="s">
        <v>1712</v>
      </c>
      <c r="F266" s="29" t="s">
        <v>325</v>
      </c>
      <c r="G266" s="25" t="s">
        <v>2077</v>
      </c>
      <c r="H266" s="26">
        <v>-7.5595910000000002E-2</v>
      </c>
      <c r="I266" s="26"/>
      <c r="J266" s="26" t="s">
        <v>512</v>
      </c>
      <c r="K266" s="25" t="s">
        <v>513</v>
      </c>
    </row>
    <row r="267" spans="1:11" ht="25.5" x14ac:dyDescent="0.25">
      <c r="A267" s="22">
        <v>2026</v>
      </c>
      <c r="B267" s="28" t="s">
        <v>167</v>
      </c>
      <c r="C267" s="28" t="s">
        <v>97</v>
      </c>
      <c r="D267" s="28" t="s">
        <v>250</v>
      </c>
      <c r="E267" s="29" t="s">
        <v>463</v>
      </c>
      <c r="F267" s="29" t="s">
        <v>325</v>
      </c>
      <c r="G267" s="25" t="s">
        <v>2078</v>
      </c>
      <c r="H267" s="26">
        <v>-0.1228794985</v>
      </c>
      <c r="I267" s="26"/>
      <c r="J267" s="26" t="s">
        <v>512</v>
      </c>
      <c r="K267" s="25" t="s">
        <v>513</v>
      </c>
    </row>
    <row r="268" spans="1:11" ht="25.5" x14ac:dyDescent="0.25">
      <c r="A268" s="22">
        <v>2026</v>
      </c>
      <c r="B268" s="28" t="s">
        <v>167</v>
      </c>
      <c r="C268" s="28" t="s">
        <v>97</v>
      </c>
      <c r="D268" s="28" t="s">
        <v>250</v>
      </c>
      <c r="E268" s="29" t="s">
        <v>463</v>
      </c>
      <c r="F268" s="29" t="s">
        <v>325</v>
      </c>
      <c r="G268" s="25" t="s">
        <v>2079</v>
      </c>
      <c r="H268" s="26">
        <v>-3.6752400000000005E-2</v>
      </c>
      <c r="I268" s="26"/>
      <c r="J268" s="26" t="s">
        <v>512</v>
      </c>
      <c r="K268" s="25" t="s">
        <v>513</v>
      </c>
    </row>
    <row r="269" spans="1:11" ht="25.5" x14ac:dyDescent="0.25">
      <c r="A269" s="22">
        <v>2026</v>
      </c>
      <c r="B269" s="28" t="s">
        <v>167</v>
      </c>
      <c r="C269" s="28" t="s">
        <v>97</v>
      </c>
      <c r="D269" s="28" t="s">
        <v>250</v>
      </c>
      <c r="E269" s="29" t="s">
        <v>463</v>
      </c>
      <c r="F269" s="29" t="s">
        <v>325</v>
      </c>
      <c r="G269" s="25" t="s">
        <v>2080</v>
      </c>
      <c r="H269" s="26">
        <v>-0.12709574999999998</v>
      </c>
      <c r="I269" s="26"/>
      <c r="J269" s="26" t="s">
        <v>512</v>
      </c>
      <c r="K269" s="25" t="s">
        <v>513</v>
      </c>
    </row>
    <row r="270" spans="1:11" ht="25.5" x14ac:dyDescent="0.25">
      <c r="A270" s="22">
        <v>2026</v>
      </c>
      <c r="B270" s="28" t="s">
        <v>167</v>
      </c>
      <c r="C270" s="28" t="s">
        <v>97</v>
      </c>
      <c r="D270" s="28" t="s">
        <v>250</v>
      </c>
      <c r="E270" s="29" t="s">
        <v>463</v>
      </c>
      <c r="F270" s="29" t="s">
        <v>325</v>
      </c>
      <c r="G270" s="25" t="s">
        <v>2081</v>
      </c>
      <c r="H270" s="26">
        <v>-2.5468699999999997E-2</v>
      </c>
      <c r="I270" s="26"/>
      <c r="J270" s="26" t="s">
        <v>512</v>
      </c>
      <c r="K270" s="25" t="s">
        <v>513</v>
      </c>
    </row>
    <row r="271" spans="1:11" ht="25.5" x14ac:dyDescent="0.25">
      <c r="A271" s="22">
        <v>2026</v>
      </c>
      <c r="B271" s="28" t="s">
        <v>167</v>
      </c>
      <c r="C271" s="28" t="s">
        <v>97</v>
      </c>
      <c r="D271" s="28" t="s">
        <v>250</v>
      </c>
      <c r="E271" s="29" t="s">
        <v>463</v>
      </c>
      <c r="F271" s="29" t="s">
        <v>325</v>
      </c>
      <c r="G271" s="25" t="s">
        <v>2082</v>
      </c>
      <c r="H271" s="26">
        <v>-3.1744E-3</v>
      </c>
      <c r="I271" s="26"/>
      <c r="J271" s="26" t="s">
        <v>512</v>
      </c>
      <c r="K271" s="25" t="s">
        <v>513</v>
      </c>
    </row>
    <row r="272" spans="1:11" ht="25.5" x14ac:dyDescent="0.25">
      <c r="A272" s="22">
        <v>2026</v>
      </c>
      <c r="B272" s="28" t="s">
        <v>167</v>
      </c>
      <c r="C272" s="28" t="s">
        <v>97</v>
      </c>
      <c r="D272" s="28" t="s">
        <v>250</v>
      </c>
      <c r="E272" s="29" t="s">
        <v>463</v>
      </c>
      <c r="F272" s="29" t="s">
        <v>325</v>
      </c>
      <c r="G272" s="25" t="s">
        <v>2083</v>
      </c>
      <c r="H272" s="26">
        <v>-2.1336432000000003</v>
      </c>
      <c r="I272" s="26"/>
      <c r="J272" s="26" t="s">
        <v>512</v>
      </c>
      <c r="K272" s="25" t="s">
        <v>513</v>
      </c>
    </row>
    <row r="273" spans="1:11" ht="25.5" x14ac:dyDescent="0.25">
      <c r="A273" s="22">
        <v>2026</v>
      </c>
      <c r="B273" s="28" t="s">
        <v>167</v>
      </c>
      <c r="C273" s="28" t="s">
        <v>97</v>
      </c>
      <c r="D273" s="28" t="s">
        <v>250</v>
      </c>
      <c r="E273" s="29" t="s">
        <v>463</v>
      </c>
      <c r="F273" s="29" t="s">
        <v>325</v>
      </c>
      <c r="G273" s="25" t="s">
        <v>2084</v>
      </c>
      <c r="H273" s="26">
        <v>-0.23889059999999998</v>
      </c>
      <c r="I273" s="26"/>
      <c r="J273" s="26" t="s">
        <v>512</v>
      </c>
      <c r="K273" s="25" t="s">
        <v>513</v>
      </c>
    </row>
    <row r="274" spans="1:11" ht="25.5" x14ac:dyDescent="0.25">
      <c r="A274" s="22">
        <v>2026</v>
      </c>
      <c r="B274" s="28" t="s">
        <v>167</v>
      </c>
      <c r="C274" s="28" t="s">
        <v>97</v>
      </c>
      <c r="D274" s="28" t="s">
        <v>250</v>
      </c>
      <c r="E274" s="29" t="s">
        <v>463</v>
      </c>
      <c r="F274" s="29" t="s">
        <v>325</v>
      </c>
      <c r="G274" s="25" t="s">
        <v>2085</v>
      </c>
      <c r="H274" s="26">
        <v>-9.6082473800000012E-2</v>
      </c>
      <c r="I274" s="26"/>
      <c r="J274" s="26" t="s">
        <v>512</v>
      </c>
      <c r="K274" s="25" t="s">
        <v>513</v>
      </c>
    </row>
    <row r="275" spans="1:11" ht="25.5" x14ac:dyDescent="0.25">
      <c r="A275" s="22">
        <v>2026</v>
      </c>
      <c r="B275" s="28" t="s">
        <v>167</v>
      </c>
      <c r="C275" s="28" t="s">
        <v>97</v>
      </c>
      <c r="D275" s="28" t="s">
        <v>250</v>
      </c>
      <c r="E275" s="29" t="s">
        <v>463</v>
      </c>
      <c r="F275" s="29" t="s">
        <v>325</v>
      </c>
      <c r="G275" s="25" t="s">
        <v>2086</v>
      </c>
      <c r="H275" s="26">
        <v>-8.4077500000000003E-3</v>
      </c>
      <c r="I275" s="26"/>
      <c r="J275" s="26" t="s">
        <v>512</v>
      </c>
      <c r="K275" s="25" t="s">
        <v>513</v>
      </c>
    </row>
    <row r="276" spans="1:11" ht="25.5" x14ac:dyDescent="0.25">
      <c r="A276" s="22">
        <v>2026</v>
      </c>
      <c r="B276" s="28" t="s">
        <v>167</v>
      </c>
      <c r="C276" s="28" t="s">
        <v>97</v>
      </c>
      <c r="D276" s="28" t="s">
        <v>250</v>
      </c>
      <c r="E276" s="29" t="s">
        <v>463</v>
      </c>
      <c r="F276" s="29" t="s">
        <v>325</v>
      </c>
      <c r="G276" s="25" t="s">
        <v>2087</v>
      </c>
      <c r="H276" s="26">
        <v>-0.90675794999999992</v>
      </c>
      <c r="I276" s="26"/>
      <c r="J276" s="26" t="s">
        <v>512</v>
      </c>
      <c r="K276" s="25" t="s">
        <v>513</v>
      </c>
    </row>
    <row r="277" spans="1:11" ht="25.5" x14ac:dyDescent="0.25">
      <c r="A277" s="22">
        <v>2026</v>
      </c>
      <c r="B277" s="28" t="s">
        <v>167</v>
      </c>
      <c r="C277" s="28" t="s">
        <v>97</v>
      </c>
      <c r="D277" s="28" t="s">
        <v>250</v>
      </c>
      <c r="E277" s="29" t="s">
        <v>463</v>
      </c>
      <c r="F277" s="29" t="s">
        <v>325</v>
      </c>
      <c r="G277" s="25" t="s">
        <v>2088</v>
      </c>
      <c r="H277" s="26">
        <v>-1.51088E-2</v>
      </c>
      <c r="I277" s="26"/>
      <c r="J277" s="26" t="s">
        <v>512</v>
      </c>
      <c r="K277" s="25" t="s">
        <v>513</v>
      </c>
    </row>
    <row r="278" spans="1:11" ht="25.5" x14ac:dyDescent="0.25">
      <c r="A278" s="22">
        <v>2026</v>
      </c>
      <c r="B278" s="28" t="s">
        <v>167</v>
      </c>
      <c r="C278" s="28" t="s">
        <v>97</v>
      </c>
      <c r="D278" s="28" t="s">
        <v>250</v>
      </c>
      <c r="E278" s="29" t="s">
        <v>463</v>
      </c>
      <c r="F278" s="29" t="s">
        <v>325</v>
      </c>
      <c r="G278" s="25" t="s">
        <v>2089</v>
      </c>
      <c r="H278" s="26">
        <v>-1.68498594E-2</v>
      </c>
      <c r="I278" s="26"/>
      <c r="J278" s="26" t="s">
        <v>512</v>
      </c>
      <c r="K278" s="25" t="s">
        <v>513</v>
      </c>
    </row>
    <row r="279" spans="1:11" ht="25.5" x14ac:dyDescent="0.25">
      <c r="A279" s="22">
        <v>2026</v>
      </c>
      <c r="B279" s="28" t="s">
        <v>167</v>
      </c>
      <c r="C279" s="28" t="s">
        <v>97</v>
      </c>
      <c r="D279" s="28" t="s">
        <v>250</v>
      </c>
      <c r="E279" s="29" t="s">
        <v>463</v>
      </c>
      <c r="F279" s="29" t="s">
        <v>325</v>
      </c>
      <c r="G279" s="25" t="s">
        <v>2090</v>
      </c>
      <c r="H279" s="26">
        <v>-2.1072800000000003E-2</v>
      </c>
      <c r="I279" s="26"/>
      <c r="J279" s="26" t="s">
        <v>512</v>
      </c>
      <c r="K279" s="25" t="s">
        <v>513</v>
      </c>
    </row>
    <row r="280" spans="1:11" ht="25.5" x14ac:dyDescent="0.25">
      <c r="A280" s="22">
        <v>2026</v>
      </c>
      <c r="B280" s="28" t="s">
        <v>167</v>
      </c>
      <c r="C280" s="28" t="s">
        <v>97</v>
      </c>
      <c r="D280" s="28" t="s">
        <v>250</v>
      </c>
      <c r="E280" s="29" t="s">
        <v>463</v>
      </c>
      <c r="F280" s="29" t="s">
        <v>325</v>
      </c>
      <c r="G280" s="25" t="s">
        <v>2091</v>
      </c>
      <c r="H280" s="26">
        <v>-4.8260914049999997</v>
      </c>
      <c r="I280" s="26"/>
      <c r="J280" s="26" t="s">
        <v>512</v>
      </c>
      <c r="K280" s="25" t="s">
        <v>513</v>
      </c>
    </row>
    <row r="281" spans="1:11" ht="25.5" x14ac:dyDescent="0.25">
      <c r="A281" s="22">
        <v>2026</v>
      </c>
      <c r="B281" s="28" t="s">
        <v>167</v>
      </c>
      <c r="C281" s="28" t="s">
        <v>97</v>
      </c>
      <c r="D281" s="28" t="s">
        <v>250</v>
      </c>
      <c r="E281" s="29" t="s">
        <v>463</v>
      </c>
      <c r="F281" s="29" t="s">
        <v>325</v>
      </c>
      <c r="G281" s="25" t="s">
        <v>2092</v>
      </c>
      <c r="H281" s="26">
        <v>-0.496479</v>
      </c>
      <c r="I281" s="26"/>
      <c r="J281" s="26" t="s">
        <v>512</v>
      </c>
      <c r="K281" s="25" t="s">
        <v>513</v>
      </c>
    </row>
    <row r="282" spans="1:11" ht="25.5" x14ac:dyDescent="0.25">
      <c r="A282" s="22">
        <v>2026</v>
      </c>
      <c r="B282" s="28" t="s">
        <v>167</v>
      </c>
      <c r="C282" s="28" t="s">
        <v>97</v>
      </c>
      <c r="D282" s="28" t="s">
        <v>250</v>
      </c>
      <c r="E282" s="29" t="s">
        <v>463</v>
      </c>
      <c r="F282" s="29" t="s">
        <v>325</v>
      </c>
      <c r="G282" s="25" t="s">
        <v>2093</v>
      </c>
      <c r="H282" s="26">
        <v>-0.40381883709999999</v>
      </c>
      <c r="I282" s="26"/>
      <c r="J282" s="26" t="s">
        <v>512</v>
      </c>
      <c r="K282" s="25" t="s">
        <v>513</v>
      </c>
    </row>
    <row r="283" spans="1:11" ht="25.5" x14ac:dyDescent="0.25">
      <c r="A283" s="22">
        <v>2026</v>
      </c>
      <c r="B283" s="28" t="s">
        <v>167</v>
      </c>
      <c r="C283" s="28" t="s">
        <v>97</v>
      </c>
      <c r="D283" s="28" t="s">
        <v>250</v>
      </c>
      <c r="E283" s="29" t="s">
        <v>463</v>
      </c>
      <c r="F283" s="29" t="s">
        <v>325</v>
      </c>
      <c r="G283" s="25" t="s">
        <v>2094</v>
      </c>
      <c r="H283" s="26">
        <v>-1.0776399496</v>
      </c>
      <c r="I283" s="26"/>
      <c r="J283" s="26" t="s">
        <v>512</v>
      </c>
      <c r="K283" s="25" t="s">
        <v>513</v>
      </c>
    </row>
    <row r="284" spans="1:11" ht="25.5" x14ac:dyDescent="0.25">
      <c r="A284" s="22">
        <v>2026</v>
      </c>
      <c r="B284" s="28" t="s">
        <v>167</v>
      </c>
      <c r="C284" s="28" t="s">
        <v>97</v>
      </c>
      <c r="D284" s="28" t="s">
        <v>250</v>
      </c>
      <c r="E284" s="29" t="s">
        <v>463</v>
      </c>
      <c r="F284" s="29" t="s">
        <v>325</v>
      </c>
      <c r="G284" s="25" t="s">
        <v>2095</v>
      </c>
      <c r="H284" s="26">
        <v>-0.12381820290000001</v>
      </c>
      <c r="I284" s="26"/>
      <c r="J284" s="26" t="s">
        <v>512</v>
      </c>
      <c r="K284" s="25" t="s">
        <v>513</v>
      </c>
    </row>
    <row r="285" spans="1:11" ht="25.5" x14ac:dyDescent="0.25">
      <c r="A285" s="22">
        <v>2026</v>
      </c>
      <c r="B285" s="28" t="s">
        <v>167</v>
      </c>
      <c r="C285" s="28" t="s">
        <v>97</v>
      </c>
      <c r="D285" s="28" t="s">
        <v>200</v>
      </c>
      <c r="E285" s="29" t="s">
        <v>365</v>
      </c>
      <c r="F285" s="29" t="s">
        <v>332</v>
      </c>
      <c r="G285" s="25" t="s">
        <v>2096</v>
      </c>
      <c r="H285" s="26">
        <v>-0.294375</v>
      </c>
      <c r="I285" s="26"/>
      <c r="J285" s="26" t="s">
        <v>514</v>
      </c>
      <c r="K285" s="25" t="s">
        <v>513</v>
      </c>
    </row>
    <row r="286" spans="1:11" ht="25.5" x14ac:dyDescent="0.25">
      <c r="A286" s="22">
        <v>2026</v>
      </c>
      <c r="B286" s="28" t="s">
        <v>167</v>
      </c>
      <c r="C286" s="28" t="s">
        <v>97</v>
      </c>
      <c r="D286" s="28" t="s">
        <v>200</v>
      </c>
      <c r="E286" s="29" t="s">
        <v>365</v>
      </c>
      <c r="F286" s="29" t="s">
        <v>332</v>
      </c>
      <c r="G286" s="25" t="s">
        <v>2097</v>
      </c>
      <c r="H286" s="26">
        <v>-0.2940025</v>
      </c>
      <c r="I286" s="26"/>
      <c r="J286" s="26" t="s">
        <v>514</v>
      </c>
      <c r="K286" s="25" t="s">
        <v>513</v>
      </c>
    </row>
    <row r="287" spans="1:11" ht="25.5" x14ac:dyDescent="0.25">
      <c r="A287" s="22">
        <v>2026</v>
      </c>
      <c r="B287" s="28" t="s">
        <v>167</v>
      </c>
      <c r="C287" s="28" t="s">
        <v>97</v>
      </c>
      <c r="D287" s="28" t="s">
        <v>200</v>
      </c>
      <c r="E287" s="29" t="s">
        <v>365</v>
      </c>
      <c r="F287" s="29" t="s">
        <v>332</v>
      </c>
      <c r="G287" s="25" t="s">
        <v>2098</v>
      </c>
      <c r="H287" s="26">
        <v>-0.29410750000000002</v>
      </c>
      <c r="I287" s="26"/>
      <c r="J287" s="26" t="s">
        <v>514</v>
      </c>
      <c r="K287" s="25" t="s">
        <v>513</v>
      </c>
    </row>
    <row r="288" spans="1:11" ht="25.5" x14ac:dyDescent="0.25">
      <c r="A288" s="22">
        <v>2026</v>
      </c>
      <c r="B288" s="28" t="s">
        <v>167</v>
      </c>
      <c r="C288" s="28" t="s">
        <v>97</v>
      </c>
      <c r="D288" s="28" t="s">
        <v>200</v>
      </c>
      <c r="E288" s="29" t="s">
        <v>365</v>
      </c>
      <c r="F288" s="29" t="s">
        <v>332</v>
      </c>
      <c r="G288" s="25" t="s">
        <v>2099</v>
      </c>
      <c r="H288" s="26">
        <v>-0.29494500000000001</v>
      </c>
      <c r="I288" s="26"/>
      <c r="J288" s="26" t="s">
        <v>514</v>
      </c>
      <c r="K288" s="25" t="s">
        <v>513</v>
      </c>
    </row>
    <row r="289" spans="1:11" ht="25.5" x14ac:dyDescent="0.25">
      <c r="A289" s="22">
        <v>2026</v>
      </c>
      <c r="B289" s="28" t="s">
        <v>167</v>
      </c>
      <c r="C289" s="28" t="s">
        <v>97</v>
      </c>
      <c r="D289" s="28" t="s">
        <v>200</v>
      </c>
      <c r="E289" s="29" t="s">
        <v>365</v>
      </c>
      <c r="F289" s="29" t="s">
        <v>332</v>
      </c>
      <c r="G289" s="25" t="s">
        <v>2100</v>
      </c>
      <c r="H289" s="26">
        <v>-0.2949</v>
      </c>
      <c r="I289" s="26"/>
      <c r="J289" s="26" t="s">
        <v>514</v>
      </c>
      <c r="K289" s="25" t="s">
        <v>513</v>
      </c>
    </row>
    <row r="290" spans="1:11" ht="25.5" x14ac:dyDescent="0.25">
      <c r="A290" s="22">
        <v>2026</v>
      </c>
      <c r="B290" s="28" t="s">
        <v>167</v>
      </c>
      <c r="C290" s="28" t="s">
        <v>97</v>
      </c>
      <c r="D290" s="28" t="s">
        <v>200</v>
      </c>
      <c r="E290" s="29" t="s">
        <v>365</v>
      </c>
      <c r="F290" s="29" t="s">
        <v>332</v>
      </c>
      <c r="G290" s="25" t="s">
        <v>2101</v>
      </c>
      <c r="H290" s="26">
        <v>-0.29346499999999998</v>
      </c>
      <c r="I290" s="26"/>
      <c r="J290" s="26" t="s">
        <v>514</v>
      </c>
      <c r="K290" s="25" t="s">
        <v>513</v>
      </c>
    </row>
    <row r="291" spans="1:11" ht="25.5" x14ac:dyDescent="0.25">
      <c r="A291" s="22">
        <v>2026</v>
      </c>
      <c r="B291" s="28" t="s">
        <v>167</v>
      </c>
      <c r="C291" s="28" t="s">
        <v>97</v>
      </c>
      <c r="D291" s="28" t="s">
        <v>200</v>
      </c>
      <c r="E291" s="29" t="s">
        <v>365</v>
      </c>
      <c r="F291" s="29" t="s">
        <v>332</v>
      </c>
      <c r="G291" s="25" t="s">
        <v>2102</v>
      </c>
      <c r="H291" s="26">
        <v>-0.29070000000000001</v>
      </c>
      <c r="I291" s="26"/>
      <c r="J291" s="26" t="s">
        <v>514</v>
      </c>
      <c r="K291" s="25" t="s">
        <v>513</v>
      </c>
    </row>
    <row r="292" spans="1:11" ht="25.5" x14ac:dyDescent="0.25">
      <c r="A292" s="22">
        <v>2026</v>
      </c>
      <c r="B292" s="28" t="s">
        <v>167</v>
      </c>
      <c r="C292" s="28" t="s">
        <v>97</v>
      </c>
      <c r="D292" s="28" t="s">
        <v>200</v>
      </c>
      <c r="E292" s="29" t="s">
        <v>365</v>
      </c>
      <c r="F292" s="29" t="s">
        <v>332</v>
      </c>
      <c r="G292" s="25" t="s">
        <v>2103</v>
      </c>
      <c r="H292" s="26">
        <v>-0.29122999999999999</v>
      </c>
      <c r="I292" s="26"/>
      <c r="J292" s="26" t="s">
        <v>514</v>
      </c>
      <c r="K292" s="25" t="s">
        <v>513</v>
      </c>
    </row>
    <row r="293" spans="1:11" ht="25.5" x14ac:dyDescent="0.25">
      <c r="A293" s="22">
        <v>2026</v>
      </c>
      <c r="B293" s="28" t="s">
        <v>167</v>
      </c>
      <c r="C293" s="28" t="s">
        <v>97</v>
      </c>
      <c r="D293" s="28" t="s">
        <v>200</v>
      </c>
      <c r="E293" s="29" t="s">
        <v>365</v>
      </c>
      <c r="F293" s="29" t="s">
        <v>332</v>
      </c>
      <c r="G293" s="25" t="s">
        <v>2104</v>
      </c>
      <c r="H293" s="26">
        <v>-0.28820000000000001</v>
      </c>
      <c r="I293" s="26"/>
      <c r="J293" s="26" t="s">
        <v>514</v>
      </c>
      <c r="K293" s="25" t="s">
        <v>513</v>
      </c>
    </row>
    <row r="294" spans="1:11" ht="25.5" x14ac:dyDescent="0.25">
      <c r="A294" s="22">
        <v>2026</v>
      </c>
      <c r="B294" s="28" t="s">
        <v>167</v>
      </c>
      <c r="C294" s="28" t="s">
        <v>97</v>
      </c>
      <c r="D294" s="28" t="s">
        <v>200</v>
      </c>
      <c r="E294" s="29" t="s">
        <v>365</v>
      </c>
      <c r="F294" s="29" t="s">
        <v>332</v>
      </c>
      <c r="G294" s="25" t="s">
        <v>2105</v>
      </c>
      <c r="H294" s="26">
        <v>-0.29054999999999997</v>
      </c>
      <c r="I294" s="26"/>
      <c r="J294" s="26" t="s">
        <v>514</v>
      </c>
      <c r="K294" s="25" t="s">
        <v>513</v>
      </c>
    </row>
    <row r="295" spans="1:11" ht="25.5" x14ac:dyDescent="0.25">
      <c r="A295" s="22">
        <v>2026</v>
      </c>
      <c r="B295" s="28" t="s">
        <v>167</v>
      </c>
      <c r="C295" s="28" t="s">
        <v>97</v>
      </c>
      <c r="D295" s="28" t="s">
        <v>200</v>
      </c>
      <c r="E295" s="29" t="s">
        <v>365</v>
      </c>
      <c r="F295" s="29" t="s">
        <v>332</v>
      </c>
      <c r="G295" s="25" t="s">
        <v>2106</v>
      </c>
      <c r="H295" s="26">
        <v>-0.28760000000000002</v>
      </c>
      <c r="I295" s="26"/>
      <c r="J295" s="26" t="s">
        <v>514</v>
      </c>
      <c r="K295" s="25" t="s">
        <v>513</v>
      </c>
    </row>
    <row r="296" spans="1:11" ht="25.5" x14ac:dyDescent="0.25">
      <c r="A296" s="22">
        <v>2026</v>
      </c>
      <c r="B296" s="28" t="s">
        <v>167</v>
      </c>
      <c r="C296" s="28" t="s">
        <v>97</v>
      </c>
      <c r="D296" s="28" t="s">
        <v>200</v>
      </c>
      <c r="E296" s="29" t="s">
        <v>365</v>
      </c>
      <c r="F296" s="29" t="s">
        <v>332</v>
      </c>
      <c r="G296" s="25" t="s">
        <v>2107</v>
      </c>
      <c r="H296" s="26">
        <v>-0.28105000000000002</v>
      </c>
      <c r="I296" s="26"/>
      <c r="J296" s="26" t="s">
        <v>514</v>
      </c>
      <c r="K296" s="25" t="s">
        <v>513</v>
      </c>
    </row>
    <row r="297" spans="1:11" ht="25.5" x14ac:dyDescent="0.25">
      <c r="A297" s="22">
        <v>2026</v>
      </c>
      <c r="B297" s="28" t="s">
        <v>167</v>
      </c>
      <c r="C297" s="28" t="s">
        <v>97</v>
      </c>
      <c r="D297" s="28" t="s">
        <v>200</v>
      </c>
      <c r="E297" s="29" t="s">
        <v>365</v>
      </c>
      <c r="F297" s="29" t="s">
        <v>332</v>
      </c>
      <c r="G297" s="25" t="s">
        <v>2108</v>
      </c>
      <c r="H297" s="26">
        <v>-0.27472999999999997</v>
      </c>
      <c r="I297" s="26"/>
      <c r="J297" s="26" t="s">
        <v>514</v>
      </c>
      <c r="K297" s="25" t="s">
        <v>513</v>
      </c>
    </row>
    <row r="298" spans="1:11" ht="25.5" x14ac:dyDescent="0.25">
      <c r="A298" s="22">
        <v>2026</v>
      </c>
      <c r="B298" s="28" t="s">
        <v>167</v>
      </c>
      <c r="C298" s="28" t="s">
        <v>97</v>
      </c>
      <c r="D298" s="28" t="s">
        <v>200</v>
      </c>
      <c r="E298" s="29" t="s">
        <v>365</v>
      </c>
      <c r="F298" s="29" t="s">
        <v>332</v>
      </c>
      <c r="G298" s="25" t="s">
        <v>2109</v>
      </c>
      <c r="H298" s="26">
        <v>-0.27729999999999999</v>
      </c>
      <c r="I298" s="26"/>
      <c r="J298" s="26" t="s">
        <v>514</v>
      </c>
      <c r="K298" s="25" t="s">
        <v>513</v>
      </c>
    </row>
    <row r="299" spans="1:11" ht="25.5" x14ac:dyDescent="0.25">
      <c r="A299" s="22">
        <v>2026</v>
      </c>
      <c r="B299" s="28" t="s">
        <v>167</v>
      </c>
      <c r="C299" s="28" t="s">
        <v>97</v>
      </c>
      <c r="D299" s="28" t="s">
        <v>200</v>
      </c>
      <c r="E299" s="29" t="s">
        <v>365</v>
      </c>
      <c r="F299" s="29" t="s">
        <v>332</v>
      </c>
      <c r="G299" s="25" t="s">
        <v>2110</v>
      </c>
      <c r="H299" s="26">
        <v>-0.27764</v>
      </c>
      <c r="I299" s="26"/>
      <c r="J299" s="26" t="s">
        <v>514</v>
      </c>
      <c r="K299" s="25" t="s">
        <v>513</v>
      </c>
    </row>
    <row r="300" spans="1:11" ht="25.5" x14ac:dyDescent="0.25">
      <c r="A300" s="22">
        <v>2026</v>
      </c>
      <c r="B300" s="28" t="s">
        <v>167</v>
      </c>
      <c r="C300" s="28" t="s">
        <v>97</v>
      </c>
      <c r="D300" s="28" t="s">
        <v>200</v>
      </c>
      <c r="E300" s="29" t="s">
        <v>365</v>
      </c>
      <c r="F300" s="29" t="s">
        <v>332</v>
      </c>
      <c r="G300" s="25" t="s">
        <v>2111</v>
      </c>
      <c r="H300" s="26">
        <v>-0.27534999999999998</v>
      </c>
      <c r="I300" s="26"/>
      <c r="J300" s="26" t="s">
        <v>514</v>
      </c>
      <c r="K300" s="25" t="s">
        <v>513</v>
      </c>
    </row>
    <row r="301" spans="1:11" ht="25.5" x14ac:dyDescent="0.25">
      <c r="A301" s="22">
        <v>2026</v>
      </c>
      <c r="B301" s="28" t="s">
        <v>167</v>
      </c>
      <c r="C301" s="28" t="s">
        <v>97</v>
      </c>
      <c r="D301" s="28" t="s">
        <v>200</v>
      </c>
      <c r="E301" s="29" t="s">
        <v>365</v>
      </c>
      <c r="F301" s="29" t="s">
        <v>332</v>
      </c>
      <c r="G301" s="25" t="s">
        <v>2112</v>
      </c>
      <c r="H301" s="26">
        <v>-0.27479999999999999</v>
      </c>
      <c r="I301" s="26"/>
      <c r="J301" s="26" t="s">
        <v>514</v>
      </c>
      <c r="K301" s="25" t="s">
        <v>513</v>
      </c>
    </row>
    <row r="302" spans="1:11" ht="25.5" x14ac:dyDescent="0.25">
      <c r="A302" s="22">
        <v>2026</v>
      </c>
      <c r="B302" s="28" t="s">
        <v>167</v>
      </c>
      <c r="C302" s="28" t="s">
        <v>97</v>
      </c>
      <c r="D302" s="28" t="s">
        <v>200</v>
      </c>
      <c r="E302" s="29" t="s">
        <v>365</v>
      </c>
      <c r="F302" s="29" t="s">
        <v>332</v>
      </c>
      <c r="G302" s="25" t="s">
        <v>2113</v>
      </c>
      <c r="H302" s="26">
        <v>-0.27725</v>
      </c>
      <c r="I302" s="26"/>
      <c r="J302" s="26" t="s">
        <v>514</v>
      </c>
      <c r="K302" s="25" t="s">
        <v>513</v>
      </c>
    </row>
    <row r="303" spans="1:11" ht="25.5" x14ac:dyDescent="0.25">
      <c r="A303" s="22">
        <v>2026</v>
      </c>
      <c r="B303" s="28" t="s">
        <v>167</v>
      </c>
      <c r="C303" s="28" t="s">
        <v>97</v>
      </c>
      <c r="D303" s="28" t="s">
        <v>200</v>
      </c>
      <c r="E303" s="29" t="s">
        <v>365</v>
      </c>
      <c r="F303" s="29" t="s">
        <v>332</v>
      </c>
      <c r="G303" s="25" t="s">
        <v>2114</v>
      </c>
      <c r="H303" s="26">
        <v>-0.28179999999999999</v>
      </c>
      <c r="I303" s="26"/>
      <c r="J303" s="26" t="s">
        <v>514</v>
      </c>
      <c r="K303" s="25" t="s">
        <v>513</v>
      </c>
    </row>
    <row r="304" spans="1:11" ht="25.5" x14ac:dyDescent="0.25">
      <c r="A304" s="22">
        <v>2026</v>
      </c>
      <c r="B304" s="28" t="s">
        <v>167</v>
      </c>
      <c r="C304" s="28" t="s">
        <v>97</v>
      </c>
      <c r="D304" s="28" t="s">
        <v>200</v>
      </c>
      <c r="E304" s="29" t="s">
        <v>365</v>
      </c>
      <c r="F304" s="29" t="s">
        <v>332</v>
      </c>
      <c r="G304" s="25" t="s">
        <v>2115</v>
      </c>
      <c r="H304" s="26">
        <v>-0.2145</v>
      </c>
      <c r="I304" s="26"/>
      <c r="J304" s="26" t="s">
        <v>514</v>
      </c>
      <c r="K304" s="25" t="s">
        <v>513</v>
      </c>
    </row>
    <row r="305" spans="1:11" ht="25.5" x14ac:dyDescent="0.25">
      <c r="A305" s="22">
        <v>2026</v>
      </c>
      <c r="B305" s="28" t="s">
        <v>167</v>
      </c>
      <c r="C305" s="28" t="s">
        <v>97</v>
      </c>
      <c r="D305" s="28" t="s">
        <v>210</v>
      </c>
      <c r="E305" s="29" t="s">
        <v>392</v>
      </c>
      <c r="F305" s="29" t="s">
        <v>343</v>
      </c>
      <c r="G305" s="25" t="s">
        <v>2116</v>
      </c>
      <c r="H305" s="26">
        <v>-1.2E-2</v>
      </c>
      <c r="I305" s="26"/>
      <c r="J305" s="26" t="s">
        <v>514</v>
      </c>
      <c r="K305" s="25" t="s">
        <v>522</v>
      </c>
    </row>
    <row r="306" spans="1:11" ht="25.5" x14ac:dyDescent="0.25">
      <c r="A306" s="22">
        <v>2026</v>
      </c>
      <c r="B306" s="28" t="s">
        <v>167</v>
      </c>
      <c r="C306" s="28" t="s">
        <v>97</v>
      </c>
      <c r="D306" s="28" t="s">
        <v>210</v>
      </c>
      <c r="E306" s="29" t="s">
        <v>392</v>
      </c>
      <c r="F306" s="29" t="s">
        <v>343</v>
      </c>
      <c r="G306" s="25" t="s">
        <v>2117</v>
      </c>
      <c r="H306" s="26">
        <v>-9.2249999999999999E-2</v>
      </c>
      <c r="I306" s="26"/>
      <c r="J306" s="26" t="s">
        <v>514</v>
      </c>
      <c r="K306" s="25" t="s">
        <v>522</v>
      </c>
    </row>
    <row r="307" spans="1:11" ht="25.5" x14ac:dyDescent="0.25">
      <c r="A307" s="22">
        <v>2026</v>
      </c>
      <c r="B307" s="28" t="s">
        <v>167</v>
      </c>
      <c r="C307" s="28" t="s">
        <v>97</v>
      </c>
      <c r="D307" s="28" t="s">
        <v>210</v>
      </c>
      <c r="E307" s="29" t="s">
        <v>392</v>
      </c>
      <c r="F307" s="29" t="s">
        <v>343</v>
      </c>
      <c r="G307" s="25" t="s">
        <v>2118</v>
      </c>
      <c r="H307" s="26">
        <v>-6.0999999999999999E-2</v>
      </c>
      <c r="I307" s="26"/>
      <c r="J307" s="26" t="s">
        <v>514</v>
      </c>
      <c r="K307" s="25" t="s">
        <v>522</v>
      </c>
    </row>
    <row r="308" spans="1:11" ht="25.5" x14ac:dyDescent="0.25">
      <c r="A308" s="22">
        <v>2026</v>
      </c>
      <c r="B308" s="28" t="s">
        <v>167</v>
      </c>
      <c r="C308" s="28" t="s">
        <v>97</v>
      </c>
      <c r="D308" s="28" t="s">
        <v>210</v>
      </c>
      <c r="E308" s="29" t="s">
        <v>392</v>
      </c>
      <c r="F308" s="29" t="s">
        <v>343</v>
      </c>
      <c r="G308" s="25" t="s">
        <v>2118</v>
      </c>
      <c r="H308" s="26">
        <v>-6.0999999999999999E-2</v>
      </c>
      <c r="I308" s="26"/>
      <c r="J308" s="26" t="s">
        <v>514</v>
      </c>
      <c r="K308" s="25" t="s">
        <v>522</v>
      </c>
    </row>
    <row r="309" spans="1:11" ht="25.5" x14ac:dyDescent="0.25">
      <c r="A309" s="22">
        <v>2026</v>
      </c>
      <c r="B309" s="28" t="s">
        <v>167</v>
      </c>
      <c r="C309" s="28" t="s">
        <v>97</v>
      </c>
      <c r="D309" s="28" t="s">
        <v>210</v>
      </c>
      <c r="E309" s="29" t="s">
        <v>392</v>
      </c>
      <c r="F309" s="29" t="s">
        <v>343</v>
      </c>
      <c r="G309" s="25" t="s">
        <v>2119</v>
      </c>
      <c r="H309" s="26">
        <v>-4.7969999999999999E-2</v>
      </c>
      <c r="I309" s="26"/>
      <c r="J309" s="26" t="s">
        <v>514</v>
      </c>
      <c r="K309" s="25" t="s">
        <v>522</v>
      </c>
    </row>
    <row r="310" spans="1:11" ht="25.5" x14ac:dyDescent="0.25">
      <c r="A310" s="22">
        <v>2026</v>
      </c>
      <c r="B310" s="28" t="s">
        <v>167</v>
      </c>
      <c r="C310" s="28" t="s">
        <v>97</v>
      </c>
      <c r="D310" s="28" t="s">
        <v>210</v>
      </c>
      <c r="E310" s="29" t="s">
        <v>392</v>
      </c>
      <c r="F310" s="29" t="s">
        <v>343</v>
      </c>
      <c r="G310" s="25" t="s">
        <v>2120</v>
      </c>
      <c r="H310" s="26">
        <v>-4.9599999999999998E-2</v>
      </c>
      <c r="I310" s="26"/>
      <c r="J310" s="26" t="s">
        <v>514</v>
      </c>
      <c r="K310" s="25" t="s">
        <v>522</v>
      </c>
    </row>
    <row r="311" spans="1:11" ht="25.5" x14ac:dyDescent="0.25">
      <c r="A311" s="22">
        <v>2026</v>
      </c>
      <c r="B311" s="28" t="s">
        <v>167</v>
      </c>
      <c r="C311" s="28" t="s">
        <v>97</v>
      </c>
      <c r="D311" s="28" t="s">
        <v>210</v>
      </c>
      <c r="E311" s="29" t="s">
        <v>392</v>
      </c>
      <c r="F311" s="29" t="s">
        <v>343</v>
      </c>
      <c r="G311" s="25" t="s">
        <v>2121</v>
      </c>
      <c r="H311" s="26">
        <v>-2.9760000000000002E-2</v>
      </c>
      <c r="I311" s="26"/>
      <c r="J311" s="26" t="s">
        <v>514</v>
      </c>
      <c r="K311" s="25" t="s">
        <v>522</v>
      </c>
    </row>
    <row r="312" spans="1:11" ht="25.5" x14ac:dyDescent="0.25">
      <c r="A312" s="22">
        <v>2026</v>
      </c>
      <c r="B312" s="28" t="s">
        <v>167</v>
      </c>
      <c r="C312" s="28" t="s">
        <v>97</v>
      </c>
      <c r="D312" s="28" t="s">
        <v>198</v>
      </c>
      <c r="E312" s="29" t="s">
        <v>923</v>
      </c>
      <c r="F312" s="29" t="s">
        <v>350</v>
      </c>
      <c r="G312" s="25" t="s">
        <v>1989</v>
      </c>
      <c r="H312" s="26">
        <v>-0.64283224399999994</v>
      </c>
      <c r="I312" s="26"/>
      <c r="J312" s="26" t="s">
        <v>512</v>
      </c>
      <c r="K312" s="25" t="s">
        <v>513</v>
      </c>
    </row>
    <row r="313" spans="1:11" ht="25.5" x14ac:dyDescent="0.25">
      <c r="A313" s="22">
        <v>2026</v>
      </c>
      <c r="B313" s="28" t="s">
        <v>167</v>
      </c>
      <c r="C313" s="28" t="s">
        <v>97</v>
      </c>
      <c r="D313" s="28" t="s">
        <v>198</v>
      </c>
      <c r="E313" s="29" t="s">
        <v>923</v>
      </c>
      <c r="F313" s="29" t="s">
        <v>350</v>
      </c>
      <c r="G313" s="25" t="s">
        <v>1990</v>
      </c>
      <c r="H313" s="26">
        <v>-0.62732591920000003</v>
      </c>
      <c r="I313" s="26"/>
      <c r="J313" s="26" t="s">
        <v>512</v>
      </c>
      <c r="K313" s="25" t="s">
        <v>513</v>
      </c>
    </row>
    <row r="314" spans="1:11" ht="25.5" x14ac:dyDescent="0.25">
      <c r="A314" s="22">
        <v>2026</v>
      </c>
      <c r="B314" s="28" t="s">
        <v>167</v>
      </c>
      <c r="C314" s="28" t="s">
        <v>97</v>
      </c>
      <c r="D314" s="28" t="s">
        <v>198</v>
      </c>
      <c r="E314" s="29" t="s">
        <v>923</v>
      </c>
      <c r="F314" s="29" t="s">
        <v>350</v>
      </c>
      <c r="G314" s="25" t="s">
        <v>1991</v>
      </c>
      <c r="H314" s="26">
        <v>-0.31736097899999999</v>
      </c>
      <c r="I314" s="26"/>
      <c r="J314" s="26" t="s">
        <v>512</v>
      </c>
      <c r="K314" s="25" t="s">
        <v>513</v>
      </c>
    </row>
    <row r="315" spans="1:11" ht="25.5" x14ac:dyDescent="0.25">
      <c r="A315" s="22">
        <v>2026</v>
      </c>
      <c r="B315" s="28" t="s">
        <v>167</v>
      </c>
      <c r="C315" s="28" t="s">
        <v>97</v>
      </c>
      <c r="D315" s="28" t="s">
        <v>198</v>
      </c>
      <c r="E315" s="29" t="s">
        <v>923</v>
      </c>
      <c r="F315" s="29" t="s">
        <v>350</v>
      </c>
      <c r="G315" s="25" t="s">
        <v>1992</v>
      </c>
      <c r="H315" s="26">
        <v>-0.19273709620000001</v>
      </c>
      <c r="I315" s="26"/>
      <c r="J315" s="26" t="s">
        <v>512</v>
      </c>
      <c r="K315" s="25" t="s">
        <v>513</v>
      </c>
    </row>
    <row r="316" spans="1:11" ht="25.5" x14ac:dyDescent="0.25">
      <c r="A316" s="22">
        <v>2026</v>
      </c>
      <c r="B316" s="28" t="s">
        <v>167</v>
      </c>
      <c r="C316" s="28" t="s">
        <v>97</v>
      </c>
      <c r="D316" s="28" t="s">
        <v>198</v>
      </c>
      <c r="E316" s="29" t="s">
        <v>923</v>
      </c>
      <c r="F316" s="29" t="s">
        <v>350</v>
      </c>
      <c r="G316" s="25" t="s">
        <v>1993</v>
      </c>
      <c r="H316" s="26">
        <v>-0.8247295656000001</v>
      </c>
      <c r="I316" s="26"/>
      <c r="J316" s="26" t="s">
        <v>512</v>
      </c>
      <c r="K316" s="25" t="s">
        <v>513</v>
      </c>
    </row>
    <row r="317" spans="1:11" ht="25.5" x14ac:dyDescent="0.25">
      <c r="A317" s="22">
        <v>2026</v>
      </c>
      <c r="B317" s="28" t="s">
        <v>167</v>
      </c>
      <c r="C317" s="28" t="s">
        <v>97</v>
      </c>
      <c r="D317" s="28" t="s">
        <v>198</v>
      </c>
      <c r="E317" s="29" t="s">
        <v>923</v>
      </c>
      <c r="F317" s="29" t="s">
        <v>350</v>
      </c>
      <c r="G317" s="25" t="s">
        <v>1994</v>
      </c>
      <c r="H317" s="26">
        <v>-1.4078179806000002</v>
      </c>
      <c r="I317" s="26"/>
      <c r="J317" s="26" t="s">
        <v>512</v>
      </c>
      <c r="K317" s="25" t="s">
        <v>513</v>
      </c>
    </row>
    <row r="318" spans="1:11" ht="25.5" x14ac:dyDescent="0.25">
      <c r="A318" s="22">
        <v>2026</v>
      </c>
      <c r="B318" s="28" t="s">
        <v>167</v>
      </c>
      <c r="C318" s="28" t="s">
        <v>97</v>
      </c>
      <c r="D318" s="28" t="s">
        <v>198</v>
      </c>
      <c r="E318" s="29" t="s">
        <v>923</v>
      </c>
      <c r="F318" s="29" t="s">
        <v>350</v>
      </c>
      <c r="G318" s="25" t="s">
        <v>1995</v>
      </c>
      <c r="H318" s="26">
        <v>-1.1168913348</v>
      </c>
      <c r="I318" s="26"/>
      <c r="J318" s="26" t="s">
        <v>512</v>
      </c>
      <c r="K318" s="25" t="s">
        <v>513</v>
      </c>
    </row>
    <row r="319" spans="1:11" ht="25.5" x14ac:dyDescent="0.25">
      <c r="A319" s="22">
        <v>2026</v>
      </c>
      <c r="B319" s="28" t="s">
        <v>167</v>
      </c>
      <c r="C319" s="28" t="s">
        <v>97</v>
      </c>
      <c r="D319" s="28" t="s">
        <v>198</v>
      </c>
      <c r="E319" s="29" t="s">
        <v>923</v>
      </c>
      <c r="F319" s="29" t="s">
        <v>350</v>
      </c>
      <c r="G319" s="25" t="s">
        <v>1996</v>
      </c>
      <c r="H319" s="26">
        <v>-0.67263487200000005</v>
      </c>
      <c r="I319" s="26"/>
      <c r="J319" s="26" t="s">
        <v>512</v>
      </c>
      <c r="K319" s="25" t="s">
        <v>513</v>
      </c>
    </row>
    <row r="320" spans="1:11" ht="25.5" x14ac:dyDescent="0.25">
      <c r="A320" s="22">
        <v>2026</v>
      </c>
      <c r="B320" s="28" t="s">
        <v>167</v>
      </c>
      <c r="C320" s="28" t="s">
        <v>97</v>
      </c>
      <c r="D320" s="28" t="s">
        <v>198</v>
      </c>
      <c r="E320" s="29" t="s">
        <v>923</v>
      </c>
      <c r="F320" s="29" t="s">
        <v>350</v>
      </c>
      <c r="G320" s="25" t="s">
        <v>1997</v>
      </c>
      <c r="H320" s="26">
        <v>-0.50955714539999997</v>
      </c>
      <c r="I320" s="26"/>
      <c r="J320" s="26" t="s">
        <v>512</v>
      </c>
      <c r="K320" s="25" t="s">
        <v>513</v>
      </c>
    </row>
    <row r="321" spans="1:11" ht="25.5" x14ac:dyDescent="0.25">
      <c r="A321" s="22">
        <v>2026</v>
      </c>
      <c r="B321" s="28" t="s">
        <v>167</v>
      </c>
      <c r="C321" s="28" t="s">
        <v>97</v>
      </c>
      <c r="D321" s="28" t="s">
        <v>198</v>
      </c>
      <c r="E321" s="29" t="s">
        <v>923</v>
      </c>
      <c r="F321" s="29" t="s">
        <v>350</v>
      </c>
      <c r="G321" s="25" t="s">
        <v>1998</v>
      </c>
      <c r="H321" s="26">
        <v>-0.54345090880000013</v>
      </c>
      <c r="I321" s="26"/>
      <c r="J321" s="26" t="s">
        <v>512</v>
      </c>
      <c r="K321" s="25" t="s">
        <v>513</v>
      </c>
    </row>
    <row r="322" spans="1:11" ht="25.5" x14ac:dyDescent="0.25">
      <c r="A322" s="22">
        <v>2026</v>
      </c>
      <c r="B322" s="28" t="s">
        <v>167</v>
      </c>
      <c r="C322" s="28" t="s">
        <v>97</v>
      </c>
      <c r="D322" s="28" t="s">
        <v>198</v>
      </c>
      <c r="E322" s="29" t="s">
        <v>923</v>
      </c>
      <c r="F322" s="29" t="s">
        <v>350</v>
      </c>
      <c r="G322" s="25" t="s">
        <v>1999</v>
      </c>
      <c r="H322" s="26">
        <v>-0.40398476579999998</v>
      </c>
      <c r="I322" s="26"/>
      <c r="J322" s="26" t="s">
        <v>512</v>
      </c>
      <c r="K322" s="25" t="s">
        <v>513</v>
      </c>
    </row>
    <row r="323" spans="1:11" ht="25.5" x14ac:dyDescent="0.25">
      <c r="A323" s="22">
        <v>2026</v>
      </c>
      <c r="B323" s="28" t="s">
        <v>167</v>
      </c>
      <c r="C323" s="28" t="s">
        <v>97</v>
      </c>
      <c r="D323" s="28" t="s">
        <v>198</v>
      </c>
      <c r="E323" s="29" t="s">
        <v>923</v>
      </c>
      <c r="F323" s="29" t="s">
        <v>350</v>
      </c>
      <c r="G323" s="25" t="s">
        <v>2000</v>
      </c>
      <c r="H323" s="26">
        <v>-0.44048999999999999</v>
      </c>
      <c r="I323" s="26"/>
      <c r="J323" s="26" t="s">
        <v>512</v>
      </c>
      <c r="K323" s="25" t="s">
        <v>513</v>
      </c>
    </row>
    <row r="324" spans="1:11" ht="25.5" x14ac:dyDescent="0.25">
      <c r="A324" s="22">
        <v>2026</v>
      </c>
      <c r="B324" s="28" t="s">
        <v>167</v>
      </c>
      <c r="C324" s="28" t="s">
        <v>97</v>
      </c>
      <c r="D324" s="28" t="s">
        <v>198</v>
      </c>
      <c r="E324" s="29" t="s">
        <v>923</v>
      </c>
      <c r="F324" s="29" t="s">
        <v>350</v>
      </c>
      <c r="G324" s="25" t="s">
        <v>2001</v>
      </c>
      <c r="H324" s="26">
        <v>-0.44062242299999999</v>
      </c>
      <c r="I324" s="26"/>
      <c r="J324" s="26" t="s">
        <v>512</v>
      </c>
      <c r="K324" s="25" t="s">
        <v>513</v>
      </c>
    </row>
    <row r="325" spans="1:11" ht="25.5" x14ac:dyDescent="0.25">
      <c r="A325" s="22">
        <v>2026</v>
      </c>
      <c r="B325" s="28" t="s">
        <v>167</v>
      </c>
      <c r="C325" s="28" t="s">
        <v>97</v>
      </c>
      <c r="D325" s="28" t="s">
        <v>198</v>
      </c>
      <c r="E325" s="29" t="s">
        <v>923</v>
      </c>
      <c r="F325" s="29" t="s">
        <v>350</v>
      </c>
      <c r="G325" s="25" t="s">
        <v>2002</v>
      </c>
      <c r="H325" s="26">
        <v>-0.28388285380000006</v>
      </c>
      <c r="I325" s="26"/>
      <c r="J325" s="26" t="s">
        <v>512</v>
      </c>
      <c r="K325" s="25" t="s">
        <v>513</v>
      </c>
    </row>
    <row r="326" spans="1:11" ht="25.5" x14ac:dyDescent="0.25">
      <c r="A326" s="22">
        <v>2026</v>
      </c>
      <c r="B326" s="28" t="s">
        <v>167</v>
      </c>
      <c r="C326" s="28" t="s">
        <v>97</v>
      </c>
      <c r="D326" s="28" t="s">
        <v>198</v>
      </c>
      <c r="E326" s="29" t="s">
        <v>923</v>
      </c>
      <c r="F326" s="29" t="s">
        <v>350</v>
      </c>
      <c r="G326" s="25" t="s">
        <v>2003</v>
      </c>
      <c r="H326" s="26">
        <v>-0.34243526069999997</v>
      </c>
      <c r="I326" s="26"/>
      <c r="J326" s="26" t="s">
        <v>512</v>
      </c>
      <c r="K326" s="25" t="s">
        <v>513</v>
      </c>
    </row>
    <row r="327" spans="1:11" ht="25.5" x14ac:dyDescent="0.25">
      <c r="A327" s="22">
        <v>2026</v>
      </c>
      <c r="B327" s="28" t="s">
        <v>167</v>
      </c>
      <c r="C327" s="28" t="s">
        <v>97</v>
      </c>
      <c r="D327" s="28" t="s">
        <v>198</v>
      </c>
      <c r="E327" s="29" t="s">
        <v>923</v>
      </c>
      <c r="F327" s="29" t="s">
        <v>350</v>
      </c>
      <c r="G327" s="25" t="s">
        <v>2004</v>
      </c>
      <c r="H327" s="26">
        <v>-0.70486935959999997</v>
      </c>
      <c r="I327" s="26"/>
      <c r="J327" s="26" t="s">
        <v>512</v>
      </c>
      <c r="K327" s="25" t="s">
        <v>513</v>
      </c>
    </row>
    <row r="328" spans="1:11" ht="25.5" x14ac:dyDescent="0.25">
      <c r="A328" s="22">
        <v>2026</v>
      </c>
      <c r="B328" s="28" t="s">
        <v>167</v>
      </c>
      <c r="C328" s="28" t="s">
        <v>97</v>
      </c>
      <c r="D328" s="28" t="s">
        <v>198</v>
      </c>
      <c r="E328" s="29" t="s">
        <v>923</v>
      </c>
      <c r="F328" s="29" t="s">
        <v>350</v>
      </c>
      <c r="G328" s="25" t="s">
        <v>2005</v>
      </c>
      <c r="H328" s="26">
        <v>-0.42120387050000002</v>
      </c>
      <c r="I328" s="26"/>
      <c r="J328" s="26" t="s">
        <v>512</v>
      </c>
      <c r="K328" s="25" t="s">
        <v>513</v>
      </c>
    </row>
    <row r="329" spans="1:11" ht="25.5" x14ac:dyDescent="0.25">
      <c r="A329" s="22">
        <v>2026</v>
      </c>
      <c r="B329" s="28" t="s">
        <v>167</v>
      </c>
      <c r="C329" s="28" t="s">
        <v>97</v>
      </c>
      <c r="D329" s="28" t="s">
        <v>198</v>
      </c>
      <c r="E329" s="29" t="s">
        <v>923</v>
      </c>
      <c r="F329" s="29" t="s">
        <v>350</v>
      </c>
      <c r="G329" s="25" t="s">
        <v>2006</v>
      </c>
      <c r="H329" s="26">
        <v>-0.22311510000000001</v>
      </c>
      <c r="I329" s="26"/>
      <c r="J329" s="26" t="s">
        <v>512</v>
      </c>
      <c r="K329" s="25" t="s">
        <v>513</v>
      </c>
    </row>
    <row r="330" spans="1:11" ht="25.5" x14ac:dyDescent="0.25">
      <c r="A330" s="22">
        <v>2026</v>
      </c>
      <c r="B330" s="28" t="s">
        <v>167</v>
      </c>
      <c r="C330" s="28" t="s">
        <v>97</v>
      </c>
      <c r="D330" s="28" t="s">
        <v>198</v>
      </c>
      <c r="E330" s="29" t="s">
        <v>923</v>
      </c>
      <c r="F330" s="29" t="s">
        <v>350</v>
      </c>
      <c r="G330" s="25" t="s">
        <v>2007</v>
      </c>
      <c r="H330" s="26">
        <v>-8.7732000000000004E-2</v>
      </c>
      <c r="I330" s="26"/>
      <c r="J330" s="26" t="s">
        <v>512</v>
      </c>
      <c r="K330" s="25" t="s">
        <v>513</v>
      </c>
    </row>
    <row r="331" spans="1:11" ht="25.5" x14ac:dyDescent="0.25">
      <c r="A331" s="22">
        <v>2026</v>
      </c>
      <c r="B331" s="28" t="s">
        <v>167</v>
      </c>
      <c r="C331" s="28" t="s">
        <v>97</v>
      </c>
      <c r="D331" s="28" t="s">
        <v>198</v>
      </c>
      <c r="E331" s="29" t="s">
        <v>923</v>
      </c>
      <c r="F331" s="29" t="s">
        <v>350</v>
      </c>
      <c r="G331" s="25" t="s">
        <v>2008</v>
      </c>
      <c r="H331" s="26">
        <v>-0.20105400000000001</v>
      </c>
      <c r="I331" s="26"/>
      <c r="J331" s="26" t="s">
        <v>512</v>
      </c>
      <c r="K331" s="25" t="s">
        <v>513</v>
      </c>
    </row>
    <row r="332" spans="1:11" ht="25.5" x14ac:dyDescent="0.25">
      <c r="A332" s="22">
        <v>2026</v>
      </c>
      <c r="B332" s="28" t="s">
        <v>167</v>
      </c>
      <c r="C332" s="28" t="s">
        <v>97</v>
      </c>
      <c r="D332" s="28" t="s">
        <v>198</v>
      </c>
      <c r="E332" s="29" t="s">
        <v>923</v>
      </c>
      <c r="F332" s="29" t="s">
        <v>350</v>
      </c>
      <c r="G332" s="25" t="s">
        <v>2009</v>
      </c>
      <c r="H332" s="26">
        <v>-0.12918640279999999</v>
      </c>
      <c r="I332" s="26"/>
      <c r="J332" s="26" t="s">
        <v>512</v>
      </c>
      <c r="K332" s="25" t="s">
        <v>513</v>
      </c>
    </row>
    <row r="333" spans="1:11" ht="25.5" x14ac:dyDescent="0.25">
      <c r="A333" s="22">
        <v>2026</v>
      </c>
      <c r="B333" s="28" t="s">
        <v>167</v>
      </c>
      <c r="C333" s="28" t="s">
        <v>97</v>
      </c>
      <c r="D333" s="28" t="s">
        <v>1715</v>
      </c>
      <c r="E333" s="29" t="s">
        <v>352</v>
      </c>
      <c r="F333" s="29" t="s">
        <v>353</v>
      </c>
      <c r="G333" s="25" t="s">
        <v>2122</v>
      </c>
      <c r="H333" s="26">
        <v>-0.10813146</v>
      </c>
      <c r="I333" s="26"/>
      <c r="J333" s="26" t="s">
        <v>512</v>
      </c>
      <c r="K333" s="25" t="s">
        <v>513</v>
      </c>
    </row>
    <row r="334" spans="1:11" ht="25.5" x14ac:dyDescent="0.25">
      <c r="A334" s="22">
        <v>2026</v>
      </c>
      <c r="B334" s="28" t="s">
        <v>167</v>
      </c>
      <c r="C334" s="28" t="s">
        <v>97</v>
      </c>
      <c r="D334" s="28" t="s">
        <v>1715</v>
      </c>
      <c r="E334" s="29" t="s">
        <v>352</v>
      </c>
      <c r="F334" s="29" t="s">
        <v>353</v>
      </c>
      <c r="G334" s="25" t="s">
        <v>2123</v>
      </c>
      <c r="H334" s="26">
        <v>-4.4088480000000006E-2</v>
      </c>
      <c r="I334" s="26"/>
      <c r="J334" s="26" t="s">
        <v>512</v>
      </c>
      <c r="K334" s="25" t="s">
        <v>513</v>
      </c>
    </row>
    <row r="335" spans="1:11" ht="25.5" x14ac:dyDescent="0.25">
      <c r="A335" s="22">
        <v>2026</v>
      </c>
      <c r="B335" s="28" t="s">
        <v>167</v>
      </c>
      <c r="C335" s="28" t="s">
        <v>97</v>
      </c>
      <c r="D335" s="28" t="s">
        <v>1715</v>
      </c>
      <c r="E335" s="29" t="s">
        <v>352</v>
      </c>
      <c r="F335" s="29" t="s">
        <v>353</v>
      </c>
      <c r="G335" s="25" t="s">
        <v>2124</v>
      </c>
      <c r="H335" s="26">
        <v>-0.31</v>
      </c>
      <c r="I335" s="26"/>
      <c r="J335" s="26" t="s">
        <v>512</v>
      </c>
      <c r="K335" s="25" t="s">
        <v>513</v>
      </c>
    </row>
    <row r="336" spans="1:11" ht="25.5" x14ac:dyDescent="0.25">
      <c r="A336" s="22">
        <v>2026</v>
      </c>
      <c r="B336" s="28" t="s">
        <v>167</v>
      </c>
      <c r="C336" s="28" t="s">
        <v>97</v>
      </c>
      <c r="D336" s="28" t="s">
        <v>1715</v>
      </c>
      <c r="E336" s="29" t="s">
        <v>352</v>
      </c>
      <c r="F336" s="29" t="s">
        <v>353</v>
      </c>
      <c r="G336" s="25" t="s">
        <v>2125</v>
      </c>
      <c r="H336" s="26">
        <v>-1.544570508E-2</v>
      </c>
      <c r="I336" s="26"/>
      <c r="J336" s="26" t="s">
        <v>512</v>
      </c>
      <c r="K336" s="25" t="s">
        <v>513</v>
      </c>
    </row>
    <row r="337" spans="1:11" ht="25.5" x14ac:dyDescent="0.25">
      <c r="A337" s="22">
        <v>2026</v>
      </c>
      <c r="B337" s="28" t="s">
        <v>167</v>
      </c>
      <c r="C337" s="28" t="s">
        <v>97</v>
      </c>
      <c r="D337" s="28" t="s">
        <v>1285</v>
      </c>
      <c r="E337" s="29" t="s">
        <v>398</v>
      </c>
      <c r="F337" s="29" t="s">
        <v>1286</v>
      </c>
      <c r="G337" s="25" t="s">
        <v>2126</v>
      </c>
      <c r="H337" s="26">
        <v>-5.85935E-2</v>
      </c>
      <c r="I337" s="26"/>
      <c r="J337" s="26" t="s">
        <v>512</v>
      </c>
      <c r="K337" s="25" t="s">
        <v>513</v>
      </c>
    </row>
    <row r="338" spans="1:11" ht="25.5" x14ac:dyDescent="0.25">
      <c r="A338" s="22">
        <v>2026</v>
      </c>
      <c r="B338" s="28" t="s">
        <v>167</v>
      </c>
      <c r="C338" s="28" t="s">
        <v>97</v>
      </c>
      <c r="D338" s="28" t="s">
        <v>1285</v>
      </c>
      <c r="E338" s="29" t="s">
        <v>398</v>
      </c>
      <c r="F338" s="29" t="s">
        <v>1286</v>
      </c>
      <c r="G338" s="25" t="s">
        <v>2127</v>
      </c>
      <c r="H338" s="26">
        <v>-7.0249800000000001E-2</v>
      </c>
      <c r="I338" s="26"/>
      <c r="J338" s="26" t="s">
        <v>512</v>
      </c>
      <c r="K338" s="25" t="s">
        <v>513</v>
      </c>
    </row>
    <row r="339" spans="1:11" ht="25.5" x14ac:dyDescent="0.25">
      <c r="A339" s="22">
        <v>2026</v>
      </c>
      <c r="B339" s="28" t="s">
        <v>167</v>
      </c>
      <c r="C339" s="28" t="s">
        <v>97</v>
      </c>
      <c r="D339" s="28" t="s">
        <v>1285</v>
      </c>
      <c r="E339" s="29" t="s">
        <v>398</v>
      </c>
      <c r="F339" s="29" t="s">
        <v>1286</v>
      </c>
      <c r="G339" s="25" t="s">
        <v>2128</v>
      </c>
      <c r="H339" s="26">
        <v>-5.8740000000000001E-2</v>
      </c>
      <c r="I339" s="26"/>
      <c r="J339" s="26" t="s">
        <v>512</v>
      </c>
      <c r="K339" s="25" t="s">
        <v>513</v>
      </c>
    </row>
    <row r="340" spans="1:11" ht="25.5" x14ac:dyDescent="0.25">
      <c r="A340" s="22">
        <v>2026</v>
      </c>
      <c r="B340" s="28" t="s">
        <v>167</v>
      </c>
      <c r="C340" s="28" t="s">
        <v>97</v>
      </c>
      <c r="D340" s="28" t="s">
        <v>1285</v>
      </c>
      <c r="E340" s="29" t="s">
        <v>398</v>
      </c>
      <c r="F340" s="29" t="s">
        <v>1286</v>
      </c>
      <c r="G340" s="25" t="s">
        <v>2129</v>
      </c>
      <c r="H340" s="26">
        <v>-4.67874E-2</v>
      </c>
      <c r="I340" s="26"/>
      <c r="J340" s="26" t="s">
        <v>512</v>
      </c>
      <c r="K340" s="25" t="s">
        <v>513</v>
      </c>
    </row>
    <row r="341" spans="1:11" ht="25.5" x14ac:dyDescent="0.25">
      <c r="A341" s="22">
        <v>2026</v>
      </c>
      <c r="B341" s="28" t="s">
        <v>167</v>
      </c>
      <c r="C341" s="28" t="s">
        <v>97</v>
      </c>
      <c r="D341" s="28" t="s">
        <v>1285</v>
      </c>
      <c r="E341" s="29" t="s">
        <v>398</v>
      </c>
      <c r="F341" s="29" t="s">
        <v>1286</v>
      </c>
      <c r="G341" s="25" t="s">
        <v>2130</v>
      </c>
      <c r="H341" s="26">
        <v>-5.0658364880000001E-2</v>
      </c>
      <c r="I341" s="26"/>
      <c r="J341" s="26" t="s">
        <v>512</v>
      </c>
      <c r="K341" s="25" t="s">
        <v>513</v>
      </c>
    </row>
    <row r="342" spans="1:11" ht="25.5" x14ac:dyDescent="0.25">
      <c r="A342" s="22">
        <v>2026</v>
      </c>
      <c r="B342" s="28" t="s">
        <v>167</v>
      </c>
      <c r="C342" s="28" t="s">
        <v>97</v>
      </c>
      <c r="D342" s="28" t="s">
        <v>1716</v>
      </c>
      <c r="E342" s="29" t="s">
        <v>446</v>
      </c>
      <c r="F342" s="29" t="s">
        <v>353</v>
      </c>
      <c r="G342" s="25" t="s">
        <v>2131</v>
      </c>
      <c r="H342" s="26">
        <v>-0.45069749999999997</v>
      </c>
      <c r="I342" s="26"/>
      <c r="J342" s="26" t="s">
        <v>512</v>
      </c>
      <c r="K342" s="25" t="s">
        <v>513</v>
      </c>
    </row>
    <row r="343" spans="1:11" ht="25.5" x14ac:dyDescent="0.25">
      <c r="A343" s="22">
        <v>2026</v>
      </c>
      <c r="B343" s="28" t="s">
        <v>167</v>
      </c>
      <c r="C343" s="28" t="s">
        <v>97</v>
      </c>
      <c r="D343" s="28" t="s">
        <v>1716</v>
      </c>
      <c r="E343" s="29" t="s">
        <v>446</v>
      </c>
      <c r="F343" s="29" t="s">
        <v>353</v>
      </c>
      <c r="G343" s="25" t="s">
        <v>2132</v>
      </c>
      <c r="H343" s="26">
        <v>-0.45180300000000007</v>
      </c>
      <c r="I343" s="26"/>
      <c r="J343" s="26" t="s">
        <v>512</v>
      </c>
      <c r="K343" s="25" t="s">
        <v>513</v>
      </c>
    </row>
    <row r="344" spans="1:11" ht="25.5" x14ac:dyDescent="0.25">
      <c r="A344" s="22">
        <v>2026</v>
      </c>
      <c r="B344" s="28" t="s">
        <v>167</v>
      </c>
      <c r="C344" s="28" t="s">
        <v>97</v>
      </c>
      <c r="D344" s="28" t="s">
        <v>1716</v>
      </c>
      <c r="E344" s="29" t="s">
        <v>446</v>
      </c>
      <c r="F344" s="29" t="s">
        <v>353</v>
      </c>
      <c r="G344" s="25" t="s">
        <v>2133</v>
      </c>
      <c r="H344" s="26">
        <v>-0.45667600000000003</v>
      </c>
      <c r="I344" s="26"/>
      <c r="J344" s="26" t="s">
        <v>512</v>
      </c>
      <c r="K344" s="25" t="s">
        <v>513</v>
      </c>
    </row>
    <row r="345" spans="1:11" ht="25.5" x14ac:dyDescent="0.25">
      <c r="A345" s="22">
        <v>2026</v>
      </c>
      <c r="B345" s="28" t="s">
        <v>167</v>
      </c>
      <c r="C345" s="28" t="s">
        <v>97</v>
      </c>
      <c r="D345" s="28" t="s">
        <v>1716</v>
      </c>
      <c r="E345" s="29" t="s">
        <v>446</v>
      </c>
      <c r="F345" s="29" t="s">
        <v>353</v>
      </c>
      <c r="G345" s="25" t="s">
        <v>2134</v>
      </c>
      <c r="H345" s="26">
        <v>-0.45703349999999993</v>
      </c>
      <c r="I345" s="26"/>
      <c r="J345" s="26" t="s">
        <v>512</v>
      </c>
      <c r="K345" s="25" t="s">
        <v>513</v>
      </c>
    </row>
    <row r="346" spans="1:11" ht="25.5" x14ac:dyDescent="0.25">
      <c r="A346" s="22">
        <v>2026</v>
      </c>
      <c r="B346" s="28" t="s">
        <v>167</v>
      </c>
      <c r="C346" s="28" t="s">
        <v>97</v>
      </c>
      <c r="D346" s="28" t="s">
        <v>1716</v>
      </c>
      <c r="E346" s="29" t="s">
        <v>446</v>
      </c>
      <c r="F346" s="29" t="s">
        <v>353</v>
      </c>
      <c r="G346" s="25" t="s">
        <v>2135</v>
      </c>
      <c r="H346" s="26">
        <v>-0.563836</v>
      </c>
      <c r="I346" s="26"/>
      <c r="J346" s="26" t="s">
        <v>512</v>
      </c>
      <c r="K346" s="25" t="s">
        <v>513</v>
      </c>
    </row>
    <row r="347" spans="1:11" ht="25.5" x14ac:dyDescent="0.25">
      <c r="A347" s="22">
        <v>2026</v>
      </c>
      <c r="B347" s="28" t="s">
        <v>167</v>
      </c>
      <c r="C347" s="28" t="s">
        <v>97</v>
      </c>
      <c r="D347" s="28" t="s">
        <v>1716</v>
      </c>
      <c r="E347" s="29" t="s">
        <v>446</v>
      </c>
      <c r="F347" s="29" t="s">
        <v>353</v>
      </c>
      <c r="G347" s="25" t="s">
        <v>2136</v>
      </c>
      <c r="H347" s="26">
        <v>-0.55744499999999997</v>
      </c>
      <c r="I347" s="26"/>
      <c r="J347" s="26" t="s">
        <v>512</v>
      </c>
      <c r="K347" s="25" t="s">
        <v>513</v>
      </c>
    </row>
    <row r="348" spans="1:11" ht="25.5" x14ac:dyDescent="0.25">
      <c r="A348" s="22">
        <v>2026</v>
      </c>
      <c r="B348" s="28" t="s">
        <v>167</v>
      </c>
      <c r="C348" s="28" t="s">
        <v>97</v>
      </c>
      <c r="D348" s="28" t="s">
        <v>1716</v>
      </c>
      <c r="E348" s="29" t="s">
        <v>446</v>
      </c>
      <c r="F348" s="29" t="s">
        <v>353</v>
      </c>
      <c r="G348" s="25" t="s">
        <v>2137</v>
      </c>
      <c r="H348" s="26">
        <v>-0.55746600000000002</v>
      </c>
      <c r="I348" s="26"/>
      <c r="J348" s="26" t="s">
        <v>512</v>
      </c>
      <c r="K348" s="25" t="s">
        <v>513</v>
      </c>
    </row>
    <row r="349" spans="1:11" ht="25.5" x14ac:dyDescent="0.25">
      <c r="A349" s="22">
        <v>2026</v>
      </c>
      <c r="B349" s="28" t="s">
        <v>167</v>
      </c>
      <c r="C349" s="28" t="s">
        <v>97</v>
      </c>
      <c r="D349" s="28" t="s">
        <v>1784</v>
      </c>
      <c r="E349" s="29" t="s">
        <v>331</v>
      </c>
      <c r="F349" s="29" t="s">
        <v>340</v>
      </c>
      <c r="G349" s="25" t="s">
        <v>2138</v>
      </c>
      <c r="H349" s="26">
        <v>-1.1332500000000001</v>
      </c>
      <c r="I349" s="26"/>
      <c r="J349" s="26" t="s">
        <v>512</v>
      </c>
      <c r="K349" s="25" t="s">
        <v>513</v>
      </c>
    </row>
    <row r="350" spans="1:11" ht="25.5" x14ac:dyDescent="0.25">
      <c r="A350" s="22">
        <v>2026</v>
      </c>
      <c r="B350" s="28" t="s">
        <v>167</v>
      </c>
      <c r="C350" s="28" t="s">
        <v>97</v>
      </c>
      <c r="D350" s="28" t="s">
        <v>1784</v>
      </c>
      <c r="E350" s="29" t="s">
        <v>331</v>
      </c>
      <c r="F350" s="29" t="s">
        <v>340</v>
      </c>
      <c r="G350" s="25" t="s">
        <v>2139</v>
      </c>
      <c r="H350" s="26">
        <v>-0.22325</v>
      </c>
      <c r="I350" s="26"/>
      <c r="J350" s="26" t="s">
        <v>512</v>
      </c>
      <c r="K350" s="25" t="s">
        <v>513</v>
      </c>
    </row>
    <row r="351" spans="1:11" ht="25.5" x14ac:dyDescent="0.25">
      <c r="A351" s="22">
        <v>2026</v>
      </c>
      <c r="B351" s="28" t="s">
        <v>167</v>
      </c>
      <c r="C351" s="28" t="s">
        <v>97</v>
      </c>
      <c r="D351" s="28" t="s">
        <v>1784</v>
      </c>
      <c r="E351" s="29" t="s">
        <v>331</v>
      </c>
      <c r="F351" s="29" t="s">
        <v>340</v>
      </c>
      <c r="G351" s="25" t="s">
        <v>2140</v>
      </c>
      <c r="H351" s="26">
        <v>-0.45</v>
      </c>
      <c r="I351" s="26"/>
      <c r="J351" s="26" t="s">
        <v>512</v>
      </c>
      <c r="K351" s="25" t="s">
        <v>513</v>
      </c>
    </row>
    <row r="352" spans="1:11" ht="25.5" x14ac:dyDescent="0.25">
      <c r="A352" s="22">
        <v>2026</v>
      </c>
      <c r="B352" s="28" t="s">
        <v>167</v>
      </c>
      <c r="C352" s="28" t="s">
        <v>97</v>
      </c>
      <c r="D352" s="28" t="s">
        <v>1784</v>
      </c>
      <c r="E352" s="29" t="s">
        <v>331</v>
      </c>
      <c r="F352" s="29" t="s">
        <v>340</v>
      </c>
      <c r="G352" s="25" t="s">
        <v>2141</v>
      </c>
      <c r="H352" s="26">
        <v>-0.44700000000000001</v>
      </c>
      <c r="I352" s="26"/>
      <c r="J352" s="26" t="s">
        <v>512</v>
      </c>
      <c r="K352" s="25" t="s">
        <v>513</v>
      </c>
    </row>
    <row r="353" spans="1:11" ht="25.5" x14ac:dyDescent="0.25">
      <c r="A353" s="22">
        <v>2026</v>
      </c>
      <c r="B353" s="28" t="s">
        <v>167</v>
      </c>
      <c r="C353" s="28" t="s">
        <v>97</v>
      </c>
      <c r="D353" s="28" t="s">
        <v>229</v>
      </c>
      <c r="E353" s="29" t="s">
        <v>923</v>
      </c>
      <c r="F353" s="29" t="s">
        <v>298</v>
      </c>
      <c r="G353" s="25" t="s">
        <v>2142</v>
      </c>
      <c r="H353" s="26">
        <v>-0.50165180200000004</v>
      </c>
      <c r="I353" s="26"/>
      <c r="J353" s="26" t="s">
        <v>512</v>
      </c>
      <c r="K353" s="25" t="s">
        <v>526</v>
      </c>
    </row>
    <row r="354" spans="1:11" ht="25.5" x14ac:dyDescent="0.25">
      <c r="A354" s="22">
        <v>2026</v>
      </c>
      <c r="B354" s="28" t="s">
        <v>167</v>
      </c>
      <c r="C354" s="28" t="s">
        <v>97</v>
      </c>
      <c r="D354" s="28" t="s">
        <v>229</v>
      </c>
      <c r="E354" s="29" t="s">
        <v>923</v>
      </c>
      <c r="F354" s="29" t="s">
        <v>298</v>
      </c>
      <c r="G354" s="25" t="s">
        <v>2143</v>
      </c>
      <c r="H354" s="26">
        <v>-0.89393602150000007</v>
      </c>
      <c r="I354" s="26"/>
      <c r="J354" s="26" t="s">
        <v>512</v>
      </c>
      <c r="K354" s="25" t="s">
        <v>526</v>
      </c>
    </row>
    <row r="355" spans="1:11" ht="25.5" x14ac:dyDescent="0.25">
      <c r="A355" s="22">
        <v>2026</v>
      </c>
      <c r="B355" s="28" t="s">
        <v>167</v>
      </c>
      <c r="C355" s="28" t="s">
        <v>97</v>
      </c>
      <c r="D355" s="28" t="s">
        <v>229</v>
      </c>
      <c r="E355" s="29" t="s">
        <v>923</v>
      </c>
      <c r="F355" s="29" t="s">
        <v>298</v>
      </c>
      <c r="G355" s="25" t="s">
        <v>2144</v>
      </c>
      <c r="H355" s="26">
        <v>-0.11316240000000001</v>
      </c>
      <c r="I355" s="26"/>
      <c r="J355" s="26" t="s">
        <v>512</v>
      </c>
      <c r="K355" s="25" t="s">
        <v>526</v>
      </c>
    </row>
    <row r="356" spans="1:11" ht="25.5" x14ac:dyDescent="0.25">
      <c r="A356" s="22">
        <v>2026</v>
      </c>
      <c r="B356" s="28" t="s">
        <v>167</v>
      </c>
      <c r="C356" s="28" t="s">
        <v>97</v>
      </c>
      <c r="D356" s="28" t="s">
        <v>229</v>
      </c>
      <c r="E356" s="29" t="s">
        <v>923</v>
      </c>
      <c r="F356" s="29" t="s">
        <v>298</v>
      </c>
      <c r="G356" s="25" t="s">
        <v>2145</v>
      </c>
      <c r="H356" s="26">
        <v>-1.12423390659</v>
      </c>
      <c r="I356" s="26"/>
      <c r="J356" s="26" t="s">
        <v>512</v>
      </c>
      <c r="K356" s="25" t="s">
        <v>526</v>
      </c>
    </row>
    <row r="357" spans="1:11" ht="25.5" x14ac:dyDescent="0.25">
      <c r="A357" s="22">
        <v>2026</v>
      </c>
      <c r="B357" s="28" t="s">
        <v>167</v>
      </c>
      <c r="C357" s="28" t="s">
        <v>97</v>
      </c>
      <c r="D357" s="28" t="s">
        <v>229</v>
      </c>
      <c r="E357" s="29" t="s">
        <v>923</v>
      </c>
      <c r="F357" s="29" t="s">
        <v>298</v>
      </c>
      <c r="G357" s="25" t="s">
        <v>2146</v>
      </c>
      <c r="H357" s="26">
        <v>-0.50322744900000005</v>
      </c>
      <c r="I357" s="26"/>
      <c r="J357" s="26" t="s">
        <v>512</v>
      </c>
      <c r="K357" s="25" t="s">
        <v>526</v>
      </c>
    </row>
    <row r="358" spans="1:11" ht="25.5" x14ac:dyDescent="0.25">
      <c r="A358" s="22">
        <v>2026</v>
      </c>
      <c r="B358" s="28" t="s">
        <v>167</v>
      </c>
      <c r="C358" s="28" t="s">
        <v>97</v>
      </c>
      <c r="D358" s="28" t="s">
        <v>229</v>
      </c>
      <c r="E358" s="29" t="s">
        <v>923</v>
      </c>
      <c r="F358" s="29" t="s">
        <v>298</v>
      </c>
      <c r="G358" s="25" t="s">
        <v>2147</v>
      </c>
      <c r="H358" s="26">
        <v>-1.2456</v>
      </c>
      <c r="I358" s="26"/>
      <c r="J358" s="26" t="s">
        <v>512</v>
      </c>
      <c r="K358" s="25" t="s">
        <v>526</v>
      </c>
    </row>
    <row r="359" spans="1:11" ht="25.5" x14ac:dyDescent="0.25">
      <c r="A359" s="22">
        <v>2026</v>
      </c>
      <c r="B359" s="28" t="s">
        <v>167</v>
      </c>
      <c r="C359" s="28" t="s">
        <v>97</v>
      </c>
      <c r="D359" s="28" t="s">
        <v>229</v>
      </c>
      <c r="E359" s="29" t="s">
        <v>923</v>
      </c>
      <c r="F359" s="29" t="s">
        <v>298</v>
      </c>
      <c r="G359" s="25" t="s">
        <v>2148</v>
      </c>
      <c r="H359" s="26">
        <v>-0.39895842752999999</v>
      </c>
      <c r="I359" s="26"/>
      <c r="J359" s="26" t="s">
        <v>512</v>
      </c>
      <c r="K359" s="25" t="s">
        <v>526</v>
      </c>
    </row>
    <row r="360" spans="1:11" ht="25.5" x14ac:dyDescent="0.25">
      <c r="A360" s="22">
        <v>2026</v>
      </c>
      <c r="B360" s="28" t="s">
        <v>167</v>
      </c>
      <c r="C360" s="28" t="s">
        <v>97</v>
      </c>
      <c r="D360" s="28" t="s">
        <v>229</v>
      </c>
      <c r="E360" s="29" t="s">
        <v>923</v>
      </c>
      <c r="F360" s="29" t="s">
        <v>298</v>
      </c>
      <c r="G360" s="25" t="s">
        <v>2149</v>
      </c>
      <c r="H360" s="26">
        <v>-1.2445489999999999</v>
      </c>
      <c r="I360" s="26"/>
      <c r="J360" s="26" t="s">
        <v>512</v>
      </c>
      <c r="K360" s="25" t="s">
        <v>526</v>
      </c>
    </row>
    <row r="361" spans="1:11" ht="25.5" x14ac:dyDescent="0.25">
      <c r="A361" s="22">
        <v>2026</v>
      </c>
      <c r="B361" s="28" t="s">
        <v>167</v>
      </c>
      <c r="C361" s="28" t="s">
        <v>97</v>
      </c>
      <c r="D361" s="28" t="s">
        <v>229</v>
      </c>
      <c r="E361" s="29" t="s">
        <v>923</v>
      </c>
      <c r="F361" s="29" t="s">
        <v>298</v>
      </c>
      <c r="G361" s="25" t="s">
        <v>2150</v>
      </c>
      <c r="H361" s="26">
        <v>-0.39775422852000003</v>
      </c>
      <c r="I361" s="26"/>
      <c r="J361" s="26" t="s">
        <v>512</v>
      </c>
      <c r="K361" s="25" t="s">
        <v>526</v>
      </c>
    </row>
    <row r="362" spans="1:11" ht="25.5" x14ac:dyDescent="0.25">
      <c r="A362" s="22">
        <v>2026</v>
      </c>
      <c r="B362" s="28" t="s">
        <v>167</v>
      </c>
      <c r="C362" s="28" t="s">
        <v>97</v>
      </c>
      <c r="D362" s="28" t="s">
        <v>229</v>
      </c>
      <c r="E362" s="29" t="s">
        <v>923</v>
      </c>
      <c r="F362" s="29" t="s">
        <v>298</v>
      </c>
      <c r="G362" s="25" t="s">
        <v>2151</v>
      </c>
      <c r="H362" s="26">
        <v>-0.79881398514000002</v>
      </c>
      <c r="I362" s="26"/>
      <c r="J362" s="26" t="s">
        <v>512</v>
      </c>
      <c r="K362" s="25" t="s">
        <v>526</v>
      </c>
    </row>
    <row r="363" spans="1:11" ht="25.5" x14ac:dyDescent="0.25">
      <c r="A363" s="22">
        <v>2026</v>
      </c>
      <c r="B363" s="28" t="s">
        <v>167</v>
      </c>
      <c r="C363" s="28" t="s">
        <v>97</v>
      </c>
      <c r="D363" s="28" t="s">
        <v>229</v>
      </c>
      <c r="E363" s="29" t="s">
        <v>923</v>
      </c>
      <c r="F363" s="29" t="s">
        <v>298</v>
      </c>
      <c r="G363" s="25" t="s">
        <v>2152</v>
      </c>
      <c r="H363" s="26">
        <v>-0.99480320000000011</v>
      </c>
      <c r="I363" s="26"/>
      <c r="J363" s="26" t="s">
        <v>512</v>
      </c>
      <c r="K363" s="25" t="s">
        <v>526</v>
      </c>
    </row>
    <row r="364" spans="1:11" ht="25.5" x14ac:dyDescent="0.25">
      <c r="A364" s="22">
        <v>2026</v>
      </c>
      <c r="B364" s="28" t="s">
        <v>167</v>
      </c>
      <c r="C364" s="28" t="s">
        <v>97</v>
      </c>
      <c r="D364" s="28" t="s">
        <v>204</v>
      </c>
      <c r="E364" s="29" t="s">
        <v>371</v>
      </c>
      <c r="F364" s="29" t="s">
        <v>301</v>
      </c>
      <c r="G364" s="25" t="s">
        <v>2153</v>
      </c>
      <c r="H364" s="26">
        <v>-1.5780539774999998E-2</v>
      </c>
      <c r="I364" s="26"/>
      <c r="J364" s="26" t="s">
        <v>514</v>
      </c>
      <c r="K364" s="25" t="s">
        <v>515</v>
      </c>
    </row>
    <row r="365" spans="1:11" ht="25.5" x14ac:dyDescent="0.25">
      <c r="A365" s="22">
        <v>2026</v>
      </c>
      <c r="B365" s="28" t="s">
        <v>167</v>
      </c>
      <c r="C365" s="28" t="s">
        <v>97</v>
      </c>
      <c r="D365" s="28" t="s">
        <v>204</v>
      </c>
      <c r="E365" s="29" t="s">
        <v>371</v>
      </c>
      <c r="F365" s="29" t="s">
        <v>301</v>
      </c>
      <c r="G365" s="25" t="s">
        <v>2154</v>
      </c>
      <c r="H365" s="26">
        <v>-1.6326994716E-2</v>
      </c>
      <c r="I365" s="26"/>
      <c r="J365" s="26" t="s">
        <v>514</v>
      </c>
      <c r="K365" s="25" t="s">
        <v>515</v>
      </c>
    </row>
    <row r="366" spans="1:11" ht="25.5" x14ac:dyDescent="0.25">
      <c r="A366" s="22">
        <v>2026</v>
      </c>
      <c r="B366" s="28" t="s">
        <v>167</v>
      </c>
      <c r="C366" s="28" t="s">
        <v>97</v>
      </c>
      <c r="D366" s="28" t="s">
        <v>204</v>
      </c>
      <c r="E366" s="29" t="s">
        <v>371</v>
      </c>
      <c r="F366" s="29" t="s">
        <v>301</v>
      </c>
      <c r="G366" s="25" t="s">
        <v>2155</v>
      </c>
      <c r="H366" s="26">
        <v>-1.6930417536000001E-2</v>
      </c>
      <c r="I366" s="26"/>
      <c r="J366" s="26" t="s">
        <v>514</v>
      </c>
      <c r="K366" s="25" t="s">
        <v>515</v>
      </c>
    </row>
    <row r="367" spans="1:11" ht="25.5" x14ac:dyDescent="0.25">
      <c r="A367" s="22">
        <v>2026</v>
      </c>
      <c r="B367" s="28" t="s">
        <v>167</v>
      </c>
      <c r="C367" s="28" t="s">
        <v>97</v>
      </c>
      <c r="D367" s="28" t="s">
        <v>204</v>
      </c>
      <c r="E367" s="29" t="s">
        <v>371</v>
      </c>
      <c r="F367" s="29" t="s">
        <v>301</v>
      </c>
      <c r="G367" s="25" t="s">
        <v>2156</v>
      </c>
      <c r="H367" s="26">
        <v>-1.7080258477499999E-2</v>
      </c>
      <c r="I367" s="26"/>
      <c r="J367" s="26" t="s">
        <v>514</v>
      </c>
      <c r="K367" s="25" t="s">
        <v>515</v>
      </c>
    </row>
    <row r="368" spans="1:11" ht="25.5" x14ac:dyDescent="0.25">
      <c r="A368" s="22">
        <v>2026</v>
      </c>
      <c r="B368" s="28" t="s">
        <v>167</v>
      </c>
      <c r="C368" s="28" t="s">
        <v>97</v>
      </c>
      <c r="D368" s="28" t="s">
        <v>204</v>
      </c>
      <c r="E368" s="29" t="s">
        <v>371</v>
      </c>
      <c r="F368" s="29" t="s">
        <v>301</v>
      </c>
      <c r="G368" s="25" t="s">
        <v>2157</v>
      </c>
      <c r="H368" s="26">
        <v>-1.6769751152000002E-2</v>
      </c>
      <c r="I368" s="26"/>
      <c r="J368" s="26" t="s">
        <v>514</v>
      </c>
      <c r="K368" s="25" t="s">
        <v>515</v>
      </c>
    </row>
    <row r="369" spans="1:11" ht="25.5" x14ac:dyDescent="0.25">
      <c r="A369" s="22">
        <v>2026</v>
      </c>
      <c r="B369" s="28" t="s">
        <v>167</v>
      </c>
      <c r="C369" s="28" t="s">
        <v>97</v>
      </c>
      <c r="D369" s="28" t="s">
        <v>204</v>
      </c>
      <c r="E369" s="29" t="s">
        <v>371</v>
      </c>
      <c r="F369" s="29" t="s">
        <v>301</v>
      </c>
      <c r="G369" s="25" t="s">
        <v>2158</v>
      </c>
      <c r="H369" s="26">
        <v>-1.5505433630399999E-2</v>
      </c>
      <c r="I369" s="26"/>
      <c r="J369" s="26" t="s">
        <v>514</v>
      </c>
      <c r="K369" s="25" t="s">
        <v>515</v>
      </c>
    </row>
    <row r="370" spans="1:11" ht="25.5" x14ac:dyDescent="0.25">
      <c r="A370" s="22">
        <v>2026</v>
      </c>
      <c r="B370" s="28" t="s">
        <v>167</v>
      </c>
      <c r="C370" s="28" t="s">
        <v>97</v>
      </c>
      <c r="D370" s="28" t="s">
        <v>204</v>
      </c>
      <c r="E370" s="29" t="s">
        <v>371</v>
      </c>
      <c r="F370" s="29" t="s">
        <v>301</v>
      </c>
      <c r="G370" s="25" t="s">
        <v>2159</v>
      </c>
      <c r="H370" s="26">
        <v>-1.5498401232000001E-2</v>
      </c>
      <c r="I370" s="26"/>
      <c r="J370" s="26" t="s">
        <v>514</v>
      </c>
      <c r="K370" s="25" t="s">
        <v>515</v>
      </c>
    </row>
    <row r="371" spans="1:11" ht="25.5" x14ac:dyDescent="0.25">
      <c r="A371" s="22">
        <v>2026</v>
      </c>
      <c r="B371" s="28" t="s">
        <v>167</v>
      </c>
      <c r="C371" s="28" t="s">
        <v>97</v>
      </c>
      <c r="D371" s="28" t="s">
        <v>204</v>
      </c>
      <c r="E371" s="29" t="s">
        <v>371</v>
      </c>
      <c r="F371" s="29" t="s">
        <v>301</v>
      </c>
      <c r="G371" s="25" t="s">
        <v>2160</v>
      </c>
      <c r="H371" s="26">
        <v>-1.6011826991999999E-2</v>
      </c>
      <c r="I371" s="26"/>
      <c r="J371" s="26" t="s">
        <v>514</v>
      </c>
      <c r="K371" s="25" t="s">
        <v>515</v>
      </c>
    </row>
    <row r="372" spans="1:11" ht="25.5" x14ac:dyDescent="0.25">
      <c r="A372" s="22">
        <v>2026</v>
      </c>
      <c r="B372" s="28" t="s">
        <v>167</v>
      </c>
      <c r="C372" s="28" t="s">
        <v>97</v>
      </c>
      <c r="D372" s="28" t="s">
        <v>204</v>
      </c>
      <c r="E372" s="29" t="s">
        <v>371</v>
      </c>
      <c r="F372" s="29" t="s">
        <v>301</v>
      </c>
      <c r="G372" s="25" t="s">
        <v>2161</v>
      </c>
      <c r="H372" s="26">
        <v>-1.4729510409600001E-2</v>
      </c>
      <c r="I372" s="26"/>
      <c r="J372" s="26" t="s">
        <v>514</v>
      </c>
      <c r="K372" s="25" t="s">
        <v>515</v>
      </c>
    </row>
    <row r="373" spans="1:11" ht="25.5" x14ac:dyDescent="0.25">
      <c r="A373" s="22">
        <v>2026</v>
      </c>
      <c r="B373" s="28" t="s">
        <v>167</v>
      </c>
      <c r="C373" s="28" t="s">
        <v>97</v>
      </c>
      <c r="D373" s="28" t="s">
        <v>204</v>
      </c>
      <c r="E373" s="29" t="s">
        <v>371</v>
      </c>
      <c r="F373" s="29" t="s">
        <v>301</v>
      </c>
      <c r="G373" s="25" t="s">
        <v>2162</v>
      </c>
      <c r="H373" s="26">
        <v>-1.51662170728E-2</v>
      </c>
      <c r="I373" s="26"/>
      <c r="J373" s="26" t="s">
        <v>514</v>
      </c>
      <c r="K373" s="25" t="s">
        <v>515</v>
      </c>
    </row>
    <row r="374" spans="1:11" ht="25.5" x14ac:dyDescent="0.25">
      <c r="A374" s="22">
        <v>2026</v>
      </c>
      <c r="B374" s="28" t="s">
        <v>167</v>
      </c>
      <c r="C374" s="28" t="s">
        <v>97</v>
      </c>
      <c r="D374" s="28" t="s">
        <v>204</v>
      </c>
      <c r="E374" s="29" t="s">
        <v>371</v>
      </c>
      <c r="F374" s="29" t="s">
        <v>301</v>
      </c>
      <c r="G374" s="25" t="s">
        <v>2163</v>
      </c>
      <c r="H374" s="26">
        <v>-1.4843130119999957E-2</v>
      </c>
      <c r="I374" s="26"/>
      <c r="J374" s="26" t="s">
        <v>514</v>
      </c>
      <c r="K374" s="25" t="s">
        <v>515</v>
      </c>
    </row>
    <row r="375" spans="1:11" ht="25.5" x14ac:dyDescent="0.25">
      <c r="A375" s="22">
        <v>2026</v>
      </c>
      <c r="B375" s="28" t="s">
        <v>167</v>
      </c>
      <c r="C375" s="28" t="s">
        <v>97</v>
      </c>
      <c r="D375" s="28" t="s">
        <v>204</v>
      </c>
      <c r="E375" s="29" t="s">
        <v>371</v>
      </c>
      <c r="F375" s="29" t="s">
        <v>301</v>
      </c>
      <c r="G375" s="25" t="s">
        <v>2164</v>
      </c>
      <c r="H375" s="26">
        <v>-1.4359704307199999E-2</v>
      </c>
      <c r="I375" s="26"/>
      <c r="J375" s="26" t="s">
        <v>514</v>
      </c>
      <c r="K375" s="25" t="s">
        <v>515</v>
      </c>
    </row>
    <row r="376" spans="1:11" ht="25.5" x14ac:dyDescent="0.25">
      <c r="A376" s="22">
        <v>2026</v>
      </c>
      <c r="B376" s="28" t="s">
        <v>167</v>
      </c>
      <c r="C376" s="28" t="s">
        <v>97</v>
      </c>
      <c r="D376" s="28" t="s">
        <v>204</v>
      </c>
      <c r="E376" s="29" t="s">
        <v>371</v>
      </c>
      <c r="F376" s="29" t="s">
        <v>301</v>
      </c>
      <c r="G376" s="25" t="s">
        <v>2165</v>
      </c>
      <c r="H376" s="26">
        <v>-1.4395672367999962E-2</v>
      </c>
      <c r="I376" s="26"/>
      <c r="J376" s="26" t="s">
        <v>514</v>
      </c>
      <c r="K376" s="25" t="s">
        <v>515</v>
      </c>
    </row>
    <row r="377" spans="1:11" ht="25.5" x14ac:dyDescent="0.25">
      <c r="A377" s="22">
        <v>2026</v>
      </c>
      <c r="B377" s="28" t="s">
        <v>167</v>
      </c>
      <c r="C377" s="28" t="s">
        <v>97</v>
      </c>
      <c r="D377" s="28" t="s">
        <v>204</v>
      </c>
      <c r="E377" s="29" t="s">
        <v>371</v>
      </c>
      <c r="F377" s="29" t="s">
        <v>301</v>
      </c>
      <c r="G377" s="25" t="s">
        <v>2166</v>
      </c>
      <c r="H377" s="26">
        <v>-1.89694028695E-2</v>
      </c>
      <c r="I377" s="26"/>
      <c r="J377" s="26" t="s">
        <v>514</v>
      </c>
      <c r="K377" s="25" t="s">
        <v>515</v>
      </c>
    </row>
    <row r="378" spans="1:11" ht="25.5" x14ac:dyDescent="0.25">
      <c r="A378" s="22">
        <v>2026</v>
      </c>
      <c r="B378" s="28" t="s">
        <v>167</v>
      </c>
      <c r="C378" s="28" t="s">
        <v>97</v>
      </c>
      <c r="D378" s="28" t="s">
        <v>204</v>
      </c>
      <c r="E378" s="29" t="s">
        <v>371</v>
      </c>
      <c r="F378" s="29" t="s">
        <v>301</v>
      </c>
      <c r="G378" s="25" t="s">
        <v>2167</v>
      </c>
      <c r="H378" s="26">
        <v>-2.199764978E-2</v>
      </c>
      <c r="I378" s="26"/>
      <c r="J378" s="26" t="s">
        <v>514</v>
      </c>
      <c r="K378" s="25" t="s">
        <v>515</v>
      </c>
    </row>
    <row r="379" spans="1:11" ht="25.5" x14ac:dyDescent="0.25">
      <c r="A379" s="22">
        <v>2026</v>
      </c>
      <c r="B379" s="28" t="s">
        <v>167</v>
      </c>
      <c r="C379" s="28" t="s">
        <v>97</v>
      </c>
      <c r="D379" s="28" t="s">
        <v>204</v>
      </c>
      <c r="E379" s="29" t="s">
        <v>371</v>
      </c>
      <c r="F379" s="29" t="s">
        <v>301</v>
      </c>
      <c r="G379" s="25" t="s">
        <v>2168</v>
      </c>
      <c r="H379" s="26">
        <v>-2.1859186031249998E-2</v>
      </c>
      <c r="I379" s="26"/>
      <c r="J379" s="26" t="s">
        <v>514</v>
      </c>
      <c r="K379" s="25" t="s">
        <v>515</v>
      </c>
    </row>
    <row r="380" spans="1:11" ht="25.5" x14ac:dyDescent="0.25">
      <c r="A380" s="22">
        <v>2026</v>
      </c>
      <c r="B380" s="28" t="s">
        <v>167</v>
      </c>
      <c r="C380" s="28" t="s">
        <v>97</v>
      </c>
      <c r="D380" s="28" t="s">
        <v>204</v>
      </c>
      <c r="E380" s="29" t="s">
        <v>371</v>
      </c>
      <c r="F380" s="29" t="s">
        <v>301</v>
      </c>
      <c r="G380" s="25" t="s">
        <v>2169</v>
      </c>
      <c r="H380" s="26">
        <v>-1.9932889827600001E-2</v>
      </c>
      <c r="I380" s="26"/>
      <c r="J380" s="26" t="s">
        <v>514</v>
      </c>
      <c r="K380" s="25" t="s">
        <v>515</v>
      </c>
    </row>
    <row r="381" spans="1:11" ht="25.5" x14ac:dyDescent="0.25">
      <c r="A381" s="22">
        <v>2026</v>
      </c>
      <c r="B381" s="28" t="s">
        <v>167</v>
      </c>
      <c r="C381" s="28" t="s">
        <v>97</v>
      </c>
      <c r="D381" s="28" t="s">
        <v>204</v>
      </c>
      <c r="E381" s="29" t="s">
        <v>371</v>
      </c>
      <c r="F381" s="29" t="s">
        <v>301</v>
      </c>
      <c r="G381" s="25" t="s">
        <v>2170</v>
      </c>
      <c r="H381" s="26">
        <v>-2.4869767105800002E-2</v>
      </c>
      <c r="I381" s="26"/>
      <c r="J381" s="26" t="s">
        <v>514</v>
      </c>
      <c r="K381" s="25" t="s">
        <v>515</v>
      </c>
    </row>
    <row r="382" spans="1:11" ht="25.5" x14ac:dyDescent="0.25">
      <c r="A382" s="22">
        <v>2026</v>
      </c>
      <c r="B382" s="28" t="s">
        <v>167</v>
      </c>
      <c r="C382" s="28" t="s">
        <v>97</v>
      </c>
      <c r="D382" s="28" t="s">
        <v>204</v>
      </c>
      <c r="E382" s="29" t="s">
        <v>371</v>
      </c>
      <c r="F382" s="29" t="s">
        <v>301</v>
      </c>
      <c r="G382" s="25" t="s">
        <v>2171</v>
      </c>
      <c r="H382" s="26">
        <v>-2.7178827311999922E-2</v>
      </c>
      <c r="I382" s="26"/>
      <c r="J382" s="26" t="s">
        <v>514</v>
      </c>
      <c r="K382" s="25" t="s">
        <v>515</v>
      </c>
    </row>
    <row r="383" spans="1:11" ht="25.5" x14ac:dyDescent="0.25">
      <c r="A383" s="22">
        <v>2026</v>
      </c>
      <c r="B383" s="28" t="s">
        <v>167</v>
      </c>
      <c r="C383" s="28" t="s">
        <v>97</v>
      </c>
      <c r="D383" s="28" t="s">
        <v>204</v>
      </c>
      <c r="E383" s="29" t="s">
        <v>371</v>
      </c>
      <c r="F383" s="29" t="s">
        <v>301</v>
      </c>
      <c r="G383" s="25" t="s">
        <v>2172</v>
      </c>
      <c r="H383" s="26">
        <v>-2.8458559115999999E-2</v>
      </c>
      <c r="I383" s="26"/>
      <c r="J383" s="26" t="s">
        <v>514</v>
      </c>
      <c r="K383" s="25" t="s">
        <v>515</v>
      </c>
    </row>
    <row r="384" spans="1:11" ht="25.5" x14ac:dyDescent="0.25">
      <c r="A384" s="22">
        <v>2026</v>
      </c>
      <c r="B384" s="28" t="s">
        <v>167</v>
      </c>
      <c r="C384" s="28" t="s">
        <v>97</v>
      </c>
      <c r="D384" s="28" t="s">
        <v>204</v>
      </c>
      <c r="E384" s="29" t="s">
        <v>371</v>
      </c>
      <c r="F384" s="29" t="s">
        <v>301</v>
      </c>
      <c r="G384" s="25" t="s">
        <v>2173</v>
      </c>
      <c r="H384" s="26">
        <v>-2.9494618020000002E-2</v>
      </c>
      <c r="I384" s="26"/>
      <c r="J384" s="26" t="s">
        <v>514</v>
      </c>
      <c r="K384" s="25" t="s">
        <v>515</v>
      </c>
    </row>
    <row r="385" spans="1:11" ht="25.5" x14ac:dyDescent="0.25">
      <c r="A385" s="22">
        <v>2026</v>
      </c>
      <c r="B385" s="28" t="s">
        <v>167</v>
      </c>
      <c r="C385" s="28" t="s">
        <v>97</v>
      </c>
      <c r="D385" s="28" t="s">
        <v>1717</v>
      </c>
      <c r="E385" s="29" t="s">
        <v>1084</v>
      </c>
      <c r="F385" s="29" t="s">
        <v>576</v>
      </c>
      <c r="G385" s="25" t="s">
        <v>2174</v>
      </c>
      <c r="H385" s="26">
        <v>-0.30530000000000002</v>
      </c>
      <c r="I385" s="26"/>
      <c r="J385" s="26" t="s">
        <v>512</v>
      </c>
      <c r="K385" s="25" t="s">
        <v>513</v>
      </c>
    </row>
    <row r="386" spans="1:11" ht="25.5" x14ac:dyDescent="0.25">
      <c r="A386" s="22">
        <v>2026</v>
      </c>
      <c r="B386" s="28" t="s">
        <v>167</v>
      </c>
      <c r="C386" s="28" t="s">
        <v>97</v>
      </c>
      <c r="D386" s="28" t="s">
        <v>1717</v>
      </c>
      <c r="E386" s="29" t="s">
        <v>1084</v>
      </c>
      <c r="F386" s="29" t="s">
        <v>576</v>
      </c>
      <c r="G386" s="25" t="s">
        <v>2175</v>
      </c>
      <c r="H386" s="26">
        <v>-6.08E-2</v>
      </c>
      <c r="I386" s="26"/>
      <c r="J386" s="26" t="s">
        <v>512</v>
      </c>
      <c r="K386" s="25" t="s">
        <v>513</v>
      </c>
    </row>
    <row r="387" spans="1:11" ht="25.5" x14ac:dyDescent="0.25">
      <c r="A387" s="22">
        <v>2026</v>
      </c>
      <c r="B387" s="28" t="s">
        <v>167</v>
      </c>
      <c r="C387" s="28" t="s">
        <v>97</v>
      </c>
      <c r="D387" s="28" t="s">
        <v>1717</v>
      </c>
      <c r="E387" s="29" t="s">
        <v>1084</v>
      </c>
      <c r="F387" s="29" t="s">
        <v>576</v>
      </c>
      <c r="G387" s="25" t="s">
        <v>2176</v>
      </c>
      <c r="H387" s="26">
        <v>-8.7234479999999989E-2</v>
      </c>
      <c r="I387" s="26"/>
      <c r="J387" s="26" t="s">
        <v>512</v>
      </c>
      <c r="K387" s="25" t="s">
        <v>513</v>
      </c>
    </row>
    <row r="388" spans="1:11" ht="25.5" x14ac:dyDescent="0.25">
      <c r="A388" s="22">
        <v>2026</v>
      </c>
      <c r="B388" s="28" t="s">
        <v>167</v>
      </c>
      <c r="C388" s="28" t="s">
        <v>97</v>
      </c>
      <c r="D388" s="28" t="s">
        <v>1717</v>
      </c>
      <c r="E388" s="29" t="s">
        <v>1084</v>
      </c>
      <c r="F388" s="29" t="s">
        <v>576</v>
      </c>
      <c r="G388" s="25" t="s">
        <v>2177</v>
      </c>
      <c r="H388" s="26">
        <v>-0.30771999999999999</v>
      </c>
      <c r="I388" s="26"/>
      <c r="J388" s="26" t="s">
        <v>512</v>
      </c>
      <c r="K388" s="25" t="s">
        <v>513</v>
      </c>
    </row>
    <row r="389" spans="1:11" ht="25.5" x14ac:dyDescent="0.25">
      <c r="A389" s="22">
        <v>2026</v>
      </c>
      <c r="B389" s="28" t="s">
        <v>167</v>
      </c>
      <c r="C389" s="28" t="s">
        <v>97</v>
      </c>
      <c r="D389" s="28" t="s">
        <v>1717</v>
      </c>
      <c r="E389" s="29" t="s">
        <v>1084</v>
      </c>
      <c r="F389" s="29" t="s">
        <v>576</v>
      </c>
      <c r="G389" s="25" t="s">
        <v>2178</v>
      </c>
      <c r="H389" s="26">
        <v>-2.7638998800000002E-2</v>
      </c>
      <c r="I389" s="26"/>
      <c r="J389" s="26" t="s">
        <v>512</v>
      </c>
      <c r="K389" s="25" t="s">
        <v>513</v>
      </c>
    </row>
    <row r="390" spans="1:11" ht="25.5" x14ac:dyDescent="0.25">
      <c r="A390" s="22">
        <v>2026</v>
      </c>
      <c r="B390" s="28" t="s">
        <v>167</v>
      </c>
      <c r="C390" s="28" t="s">
        <v>97</v>
      </c>
      <c r="D390" s="28" t="s">
        <v>1718</v>
      </c>
      <c r="E390" s="29" t="s">
        <v>1084</v>
      </c>
      <c r="F390" s="29" t="s">
        <v>1762</v>
      </c>
      <c r="G390" s="25" t="s">
        <v>2179</v>
      </c>
      <c r="H390" s="26">
        <v>-1.2075646669</v>
      </c>
      <c r="I390" s="26"/>
      <c r="J390" s="26" t="s">
        <v>512</v>
      </c>
      <c r="K390" s="25" t="s">
        <v>513</v>
      </c>
    </row>
    <row r="391" spans="1:11" ht="25.5" x14ac:dyDescent="0.25">
      <c r="A391" s="22">
        <v>2026</v>
      </c>
      <c r="B391" s="28" t="s">
        <v>167</v>
      </c>
      <c r="C391" s="28" t="s">
        <v>97</v>
      </c>
      <c r="D391" s="28" t="s">
        <v>1718</v>
      </c>
      <c r="E391" s="29" t="s">
        <v>1084</v>
      </c>
      <c r="F391" s="29" t="s">
        <v>1762</v>
      </c>
      <c r="G391" s="25" t="s">
        <v>2180</v>
      </c>
      <c r="H391" s="26">
        <v>-8.1480071400000006E-2</v>
      </c>
      <c r="I391" s="26"/>
      <c r="J391" s="26" t="s">
        <v>512</v>
      </c>
      <c r="K391" s="25" t="s">
        <v>513</v>
      </c>
    </row>
    <row r="392" spans="1:11" ht="25.5" x14ac:dyDescent="0.25">
      <c r="A392" s="22">
        <v>2026</v>
      </c>
      <c r="B392" s="28" t="s">
        <v>167</v>
      </c>
      <c r="C392" s="28" t="s">
        <v>97</v>
      </c>
      <c r="D392" s="28" t="s">
        <v>1718</v>
      </c>
      <c r="E392" s="29" t="s">
        <v>1084</v>
      </c>
      <c r="F392" s="29" t="s">
        <v>1762</v>
      </c>
      <c r="G392" s="25" t="s">
        <v>2181</v>
      </c>
      <c r="H392" s="26">
        <v>-1.2018484992</v>
      </c>
      <c r="I392" s="26"/>
      <c r="J392" s="26" t="s">
        <v>512</v>
      </c>
      <c r="K392" s="25" t="s">
        <v>513</v>
      </c>
    </row>
    <row r="393" spans="1:11" ht="25.5" x14ac:dyDescent="0.25">
      <c r="A393" s="22">
        <v>2026</v>
      </c>
      <c r="B393" s="28" t="s">
        <v>167</v>
      </c>
      <c r="C393" s="28" t="s">
        <v>97</v>
      </c>
      <c r="D393" s="28" t="s">
        <v>1718</v>
      </c>
      <c r="E393" s="29" t="s">
        <v>1084</v>
      </c>
      <c r="F393" s="29" t="s">
        <v>1762</v>
      </c>
      <c r="G393" s="25" t="s">
        <v>2182</v>
      </c>
      <c r="H393" s="26">
        <v>-0.23483758359999998</v>
      </c>
      <c r="I393" s="26"/>
      <c r="J393" s="26" t="s">
        <v>512</v>
      </c>
      <c r="K393" s="25" t="s">
        <v>513</v>
      </c>
    </row>
    <row r="394" spans="1:11" ht="25.5" x14ac:dyDescent="0.25">
      <c r="A394" s="22">
        <v>2026</v>
      </c>
      <c r="B394" s="28" t="s">
        <v>167</v>
      </c>
      <c r="C394" s="28" t="s">
        <v>97</v>
      </c>
      <c r="D394" s="28" t="s">
        <v>1718</v>
      </c>
      <c r="E394" s="29" t="s">
        <v>1084</v>
      </c>
      <c r="F394" s="29" t="s">
        <v>1762</v>
      </c>
      <c r="G394" s="25" t="s">
        <v>2183</v>
      </c>
      <c r="H394" s="26">
        <v>-0.13641857999999998</v>
      </c>
      <c r="I394" s="26"/>
      <c r="J394" s="26" t="s">
        <v>512</v>
      </c>
      <c r="K394" s="25" t="s">
        <v>513</v>
      </c>
    </row>
    <row r="395" spans="1:11" ht="25.5" x14ac:dyDescent="0.25">
      <c r="A395" s="22">
        <v>2026</v>
      </c>
      <c r="B395" s="28" t="s">
        <v>167</v>
      </c>
      <c r="C395" s="28" t="s">
        <v>97</v>
      </c>
      <c r="D395" s="28" t="s">
        <v>1718</v>
      </c>
      <c r="E395" s="29" t="s">
        <v>1084</v>
      </c>
      <c r="F395" s="29" t="s">
        <v>1762</v>
      </c>
      <c r="G395" s="25" t="s">
        <v>2184</v>
      </c>
      <c r="H395" s="26">
        <v>-0.17375923800000001</v>
      </c>
      <c r="I395" s="26"/>
      <c r="J395" s="26" t="s">
        <v>512</v>
      </c>
      <c r="K395" s="25" t="s">
        <v>513</v>
      </c>
    </row>
    <row r="396" spans="1:11" ht="25.5" x14ac:dyDescent="0.25">
      <c r="A396" s="22">
        <v>2026</v>
      </c>
      <c r="B396" s="28" t="s">
        <v>167</v>
      </c>
      <c r="C396" s="28" t="s">
        <v>97</v>
      </c>
      <c r="D396" s="28" t="s">
        <v>1719</v>
      </c>
      <c r="E396" s="29" t="s">
        <v>1084</v>
      </c>
      <c r="F396" s="29" t="s">
        <v>287</v>
      </c>
      <c r="G396" s="25" t="s">
        <v>2185</v>
      </c>
      <c r="H396" s="26">
        <v>-0.18131766570000002</v>
      </c>
      <c r="I396" s="26"/>
      <c r="J396" s="26" t="s">
        <v>514</v>
      </c>
      <c r="K396" s="25" t="s">
        <v>513</v>
      </c>
    </row>
    <row r="397" spans="1:11" ht="25.5" x14ac:dyDescent="0.25">
      <c r="A397" s="22">
        <v>2026</v>
      </c>
      <c r="B397" s="28" t="s">
        <v>167</v>
      </c>
      <c r="C397" s="28" t="s">
        <v>97</v>
      </c>
      <c r="D397" s="28" t="s">
        <v>1719</v>
      </c>
      <c r="E397" s="29" t="s">
        <v>1084</v>
      </c>
      <c r="F397" s="29" t="s">
        <v>287</v>
      </c>
      <c r="G397" s="25" t="s">
        <v>2186</v>
      </c>
      <c r="H397" s="26">
        <v>-0.91499984639999987</v>
      </c>
      <c r="I397" s="26"/>
      <c r="J397" s="26" t="s">
        <v>514</v>
      </c>
      <c r="K397" s="25" t="s">
        <v>513</v>
      </c>
    </row>
    <row r="398" spans="1:11" ht="25.5" x14ac:dyDescent="0.25">
      <c r="A398" s="22">
        <v>2026</v>
      </c>
      <c r="B398" s="28" t="s">
        <v>167</v>
      </c>
      <c r="C398" s="28" t="s">
        <v>97</v>
      </c>
      <c r="D398" s="28" t="s">
        <v>1719</v>
      </c>
      <c r="E398" s="29" t="s">
        <v>1084</v>
      </c>
      <c r="F398" s="29" t="s">
        <v>287</v>
      </c>
      <c r="G398" s="25" t="s">
        <v>2187</v>
      </c>
      <c r="H398" s="26">
        <v>-0.50974115809999998</v>
      </c>
      <c r="I398" s="26"/>
      <c r="J398" s="26" t="s">
        <v>514</v>
      </c>
      <c r="K398" s="25" t="s">
        <v>513</v>
      </c>
    </row>
    <row r="399" spans="1:11" ht="25.5" x14ac:dyDescent="0.25">
      <c r="A399" s="22">
        <v>2026</v>
      </c>
      <c r="B399" s="28" t="s">
        <v>167</v>
      </c>
      <c r="C399" s="28" t="s">
        <v>97</v>
      </c>
      <c r="D399" s="28" t="s">
        <v>1719</v>
      </c>
      <c r="E399" s="29" t="s">
        <v>1084</v>
      </c>
      <c r="F399" s="29" t="s">
        <v>287</v>
      </c>
      <c r="G399" s="25" t="s">
        <v>2188</v>
      </c>
      <c r="H399" s="26">
        <v>-1.1761190750999999</v>
      </c>
      <c r="I399" s="26"/>
      <c r="J399" s="26" t="s">
        <v>514</v>
      </c>
      <c r="K399" s="25" t="s">
        <v>513</v>
      </c>
    </row>
    <row r="400" spans="1:11" ht="25.5" x14ac:dyDescent="0.25">
      <c r="A400" s="22">
        <v>2026</v>
      </c>
      <c r="B400" s="28" t="s">
        <v>167</v>
      </c>
      <c r="C400" s="28" t="s">
        <v>97</v>
      </c>
      <c r="D400" s="28" t="s">
        <v>1719</v>
      </c>
      <c r="E400" s="29" t="s">
        <v>1084</v>
      </c>
      <c r="F400" s="29" t="s">
        <v>287</v>
      </c>
      <c r="G400" s="25" t="s">
        <v>2189</v>
      </c>
      <c r="H400" s="26">
        <v>-1.0991490084</v>
      </c>
      <c r="I400" s="26"/>
      <c r="J400" s="26" t="s">
        <v>514</v>
      </c>
      <c r="K400" s="25" t="s">
        <v>513</v>
      </c>
    </row>
    <row r="401" spans="1:11" ht="25.5" x14ac:dyDescent="0.25">
      <c r="A401" s="22">
        <v>2026</v>
      </c>
      <c r="B401" s="28" t="s">
        <v>167</v>
      </c>
      <c r="C401" s="28" t="s">
        <v>97</v>
      </c>
      <c r="D401" s="28" t="s">
        <v>1719</v>
      </c>
      <c r="E401" s="29" t="s">
        <v>1084</v>
      </c>
      <c r="F401" s="29" t="s">
        <v>287</v>
      </c>
      <c r="G401" s="25" t="s">
        <v>2190</v>
      </c>
      <c r="H401" s="26">
        <v>-1.6618350000000002</v>
      </c>
      <c r="I401" s="26"/>
      <c r="J401" s="26" t="s">
        <v>514</v>
      </c>
      <c r="K401" s="25" t="s">
        <v>513</v>
      </c>
    </row>
    <row r="402" spans="1:11" ht="25.5" x14ac:dyDescent="0.25">
      <c r="A402" s="22">
        <v>2026</v>
      </c>
      <c r="B402" s="28" t="s">
        <v>167</v>
      </c>
      <c r="C402" s="28" t="s">
        <v>97</v>
      </c>
      <c r="D402" s="28" t="s">
        <v>1719</v>
      </c>
      <c r="E402" s="29" t="s">
        <v>1084</v>
      </c>
      <c r="F402" s="29" t="s">
        <v>287</v>
      </c>
      <c r="G402" s="25" t="s">
        <v>2191</v>
      </c>
      <c r="H402" s="26">
        <v>-0.61864151329999995</v>
      </c>
      <c r="I402" s="26"/>
      <c r="J402" s="26" t="s">
        <v>514</v>
      </c>
      <c r="K402" s="25" t="s">
        <v>513</v>
      </c>
    </row>
    <row r="403" spans="1:11" ht="25.5" x14ac:dyDescent="0.25">
      <c r="A403" s="22">
        <v>2026</v>
      </c>
      <c r="B403" s="28" t="s">
        <v>167</v>
      </c>
      <c r="C403" s="28" t="s">
        <v>97</v>
      </c>
      <c r="D403" s="28" t="s">
        <v>1719</v>
      </c>
      <c r="E403" s="29" t="s">
        <v>1084</v>
      </c>
      <c r="F403" s="29" t="s">
        <v>287</v>
      </c>
      <c r="G403" s="25" t="s">
        <v>2192</v>
      </c>
      <c r="H403" s="26">
        <v>-0.82795391969999999</v>
      </c>
      <c r="I403" s="26"/>
      <c r="J403" s="26" t="s">
        <v>514</v>
      </c>
      <c r="K403" s="25" t="s">
        <v>513</v>
      </c>
    </row>
    <row r="404" spans="1:11" ht="25.5" x14ac:dyDescent="0.25">
      <c r="A404" s="22">
        <v>2026</v>
      </c>
      <c r="B404" s="28" t="s">
        <v>167</v>
      </c>
      <c r="C404" s="28" t="s">
        <v>97</v>
      </c>
      <c r="D404" s="28" t="s">
        <v>1719</v>
      </c>
      <c r="E404" s="29" t="s">
        <v>1084</v>
      </c>
      <c r="F404" s="29" t="s">
        <v>287</v>
      </c>
      <c r="G404" s="25" t="s">
        <v>2193</v>
      </c>
      <c r="H404" s="26">
        <v>-1.5273745182</v>
      </c>
      <c r="I404" s="26"/>
      <c r="J404" s="26" t="s">
        <v>514</v>
      </c>
      <c r="K404" s="25" t="s">
        <v>513</v>
      </c>
    </row>
    <row r="405" spans="1:11" ht="25.5" x14ac:dyDescent="0.25">
      <c r="A405" s="22">
        <v>2026</v>
      </c>
      <c r="B405" s="28" t="s">
        <v>167</v>
      </c>
      <c r="C405" s="28" t="s">
        <v>97</v>
      </c>
      <c r="D405" s="28" t="s">
        <v>1719</v>
      </c>
      <c r="E405" s="29" t="s">
        <v>1084</v>
      </c>
      <c r="F405" s="29" t="s">
        <v>287</v>
      </c>
      <c r="G405" s="25" t="s">
        <v>2194</v>
      </c>
      <c r="H405" s="26">
        <v>-0.58528847160000008</v>
      </c>
      <c r="I405" s="26"/>
      <c r="J405" s="26" t="s">
        <v>514</v>
      </c>
      <c r="K405" s="25" t="s">
        <v>513</v>
      </c>
    </row>
    <row r="406" spans="1:11" ht="25.5" x14ac:dyDescent="0.25">
      <c r="A406" s="22">
        <v>2026</v>
      </c>
      <c r="B406" s="28" t="s">
        <v>167</v>
      </c>
      <c r="C406" s="28" t="s">
        <v>97</v>
      </c>
      <c r="D406" s="28" t="s">
        <v>1719</v>
      </c>
      <c r="E406" s="29" t="s">
        <v>1084</v>
      </c>
      <c r="F406" s="29" t="s">
        <v>287</v>
      </c>
      <c r="G406" s="25" t="s">
        <v>2195</v>
      </c>
      <c r="H406" s="26">
        <v>-0.87968003750000012</v>
      </c>
      <c r="I406" s="26"/>
      <c r="J406" s="26" t="s">
        <v>514</v>
      </c>
      <c r="K406" s="25" t="s">
        <v>513</v>
      </c>
    </row>
    <row r="407" spans="1:11" ht="25.5" x14ac:dyDescent="0.25">
      <c r="A407" s="22">
        <v>2026</v>
      </c>
      <c r="B407" s="28" t="s">
        <v>167</v>
      </c>
      <c r="C407" s="28" t="s">
        <v>97</v>
      </c>
      <c r="D407" s="28" t="s">
        <v>1719</v>
      </c>
      <c r="E407" s="29" t="s">
        <v>1084</v>
      </c>
      <c r="F407" s="29" t="s">
        <v>287</v>
      </c>
      <c r="G407" s="25" t="s">
        <v>2196</v>
      </c>
      <c r="H407" s="26">
        <v>-0.11341134</v>
      </c>
      <c r="I407" s="26"/>
      <c r="J407" s="26" t="s">
        <v>514</v>
      </c>
      <c r="K407" s="25" t="s">
        <v>513</v>
      </c>
    </row>
    <row r="408" spans="1:11" ht="25.5" x14ac:dyDescent="0.25">
      <c r="A408" s="22">
        <v>2026</v>
      </c>
      <c r="B408" s="28" t="s">
        <v>167</v>
      </c>
      <c r="C408" s="28" t="s">
        <v>97</v>
      </c>
      <c r="D408" s="28" t="s">
        <v>1719</v>
      </c>
      <c r="E408" s="29" t="s">
        <v>1084</v>
      </c>
      <c r="F408" s="29" t="s">
        <v>287</v>
      </c>
      <c r="G408" s="25" t="s">
        <v>2197</v>
      </c>
      <c r="H408" s="26">
        <v>-1.5219981739000001</v>
      </c>
      <c r="I408" s="26"/>
      <c r="J408" s="26" t="s">
        <v>514</v>
      </c>
      <c r="K408" s="25" t="s">
        <v>513</v>
      </c>
    </row>
    <row r="409" spans="1:11" ht="25.5" x14ac:dyDescent="0.25">
      <c r="A409" s="22">
        <v>2026</v>
      </c>
      <c r="B409" s="28" t="s">
        <v>167</v>
      </c>
      <c r="C409" s="28" t="s">
        <v>97</v>
      </c>
      <c r="D409" s="28" t="s">
        <v>1719</v>
      </c>
      <c r="E409" s="29" t="s">
        <v>1084</v>
      </c>
      <c r="F409" s="29" t="s">
        <v>287</v>
      </c>
      <c r="G409" s="25" t="s">
        <v>2198</v>
      </c>
      <c r="H409" s="26">
        <v>-0.18788923999999999</v>
      </c>
      <c r="I409" s="26"/>
      <c r="J409" s="26" t="s">
        <v>514</v>
      </c>
      <c r="K409" s="25" t="s">
        <v>513</v>
      </c>
    </row>
    <row r="410" spans="1:11" ht="25.5" x14ac:dyDescent="0.25">
      <c r="A410" s="22">
        <v>2026</v>
      </c>
      <c r="B410" s="28" t="s">
        <v>167</v>
      </c>
      <c r="C410" s="28" t="s">
        <v>97</v>
      </c>
      <c r="D410" s="28" t="s">
        <v>1719</v>
      </c>
      <c r="E410" s="29" t="s">
        <v>1084</v>
      </c>
      <c r="F410" s="29" t="s">
        <v>287</v>
      </c>
      <c r="G410" s="25" t="s">
        <v>2199</v>
      </c>
      <c r="H410" s="26">
        <v>-0.52083049999999997</v>
      </c>
      <c r="I410" s="26"/>
      <c r="J410" s="26" t="s">
        <v>514</v>
      </c>
      <c r="K410" s="25" t="s">
        <v>513</v>
      </c>
    </row>
    <row r="411" spans="1:11" ht="25.5" x14ac:dyDescent="0.25">
      <c r="A411" s="22">
        <v>2026</v>
      </c>
      <c r="B411" s="28" t="s">
        <v>167</v>
      </c>
      <c r="C411" s="28" t="s">
        <v>97</v>
      </c>
      <c r="D411" s="28" t="s">
        <v>1721</v>
      </c>
      <c r="E411" s="29" t="s">
        <v>411</v>
      </c>
      <c r="F411" s="29" t="s">
        <v>353</v>
      </c>
      <c r="G411" s="25" t="s">
        <v>2200</v>
      </c>
      <c r="H411" s="26">
        <v>-1.2389498184000001</v>
      </c>
      <c r="I411" s="26"/>
      <c r="J411" s="26" t="s">
        <v>512</v>
      </c>
      <c r="K411" s="25" t="s">
        <v>513</v>
      </c>
    </row>
    <row r="412" spans="1:11" ht="25.5" x14ac:dyDescent="0.25">
      <c r="A412" s="22">
        <v>2026</v>
      </c>
      <c r="B412" s="28" t="s">
        <v>167</v>
      </c>
      <c r="C412" s="28" t="s">
        <v>97</v>
      </c>
      <c r="D412" s="28" t="s">
        <v>1721</v>
      </c>
      <c r="E412" s="29" t="s">
        <v>411</v>
      </c>
      <c r="F412" s="29" t="s">
        <v>353</v>
      </c>
      <c r="G412" s="25" t="s">
        <v>2201</v>
      </c>
      <c r="H412" s="26">
        <v>-2.0586000000000002</v>
      </c>
      <c r="I412" s="26"/>
      <c r="J412" s="26" t="s">
        <v>512</v>
      </c>
      <c r="K412" s="25" t="s">
        <v>513</v>
      </c>
    </row>
    <row r="413" spans="1:11" ht="25.5" x14ac:dyDescent="0.25">
      <c r="A413" s="22">
        <v>2026</v>
      </c>
      <c r="B413" s="28" t="s">
        <v>167</v>
      </c>
      <c r="C413" s="28" t="s">
        <v>97</v>
      </c>
      <c r="D413" s="28" t="s">
        <v>1721</v>
      </c>
      <c r="E413" s="29" t="s">
        <v>411</v>
      </c>
      <c r="F413" s="29" t="s">
        <v>353</v>
      </c>
      <c r="G413" s="25" t="s">
        <v>2202</v>
      </c>
      <c r="H413" s="26">
        <v>-2.0255130000000001</v>
      </c>
      <c r="I413" s="26"/>
      <c r="J413" s="26" t="s">
        <v>512</v>
      </c>
      <c r="K413" s="25" t="s">
        <v>513</v>
      </c>
    </row>
    <row r="414" spans="1:11" ht="25.5" x14ac:dyDescent="0.25">
      <c r="A414" s="22">
        <v>2026</v>
      </c>
      <c r="B414" s="28" t="s">
        <v>167</v>
      </c>
      <c r="C414" s="28" t="s">
        <v>97</v>
      </c>
      <c r="D414" s="28" t="s">
        <v>1721</v>
      </c>
      <c r="E414" s="29" t="s">
        <v>411</v>
      </c>
      <c r="F414" s="29" t="s">
        <v>353</v>
      </c>
      <c r="G414" s="25" t="s">
        <v>2203</v>
      </c>
      <c r="H414" s="26">
        <v>-1.6496400000000002</v>
      </c>
      <c r="I414" s="26"/>
      <c r="J414" s="26" t="s">
        <v>512</v>
      </c>
      <c r="K414" s="25" t="s">
        <v>513</v>
      </c>
    </row>
    <row r="415" spans="1:11" ht="25.5" x14ac:dyDescent="0.25">
      <c r="A415" s="22">
        <v>2026</v>
      </c>
      <c r="B415" s="28" t="s">
        <v>167</v>
      </c>
      <c r="C415" s="28" t="s">
        <v>97</v>
      </c>
      <c r="D415" s="28" t="s">
        <v>1721</v>
      </c>
      <c r="E415" s="29" t="s">
        <v>411</v>
      </c>
      <c r="F415" s="29" t="s">
        <v>353</v>
      </c>
      <c r="G415" s="25" t="s">
        <v>2204</v>
      </c>
      <c r="H415" s="26">
        <v>-0.2383198544</v>
      </c>
      <c r="I415" s="26"/>
      <c r="J415" s="26" t="s">
        <v>512</v>
      </c>
      <c r="K415" s="25" t="s">
        <v>513</v>
      </c>
    </row>
    <row r="416" spans="1:11" ht="25.5" x14ac:dyDescent="0.25">
      <c r="A416" s="22">
        <v>2026</v>
      </c>
      <c r="B416" s="28" t="s">
        <v>167</v>
      </c>
      <c r="C416" s="28" t="s">
        <v>97</v>
      </c>
      <c r="D416" s="28" t="s">
        <v>1721</v>
      </c>
      <c r="E416" s="29" t="s">
        <v>411</v>
      </c>
      <c r="F416" s="29" t="s">
        <v>353</v>
      </c>
      <c r="G416" s="25" t="s">
        <v>2205</v>
      </c>
      <c r="H416" s="26">
        <v>-2.0740837000000001</v>
      </c>
      <c r="I416" s="26"/>
      <c r="J416" s="26" t="s">
        <v>512</v>
      </c>
      <c r="K416" s="25" t="s">
        <v>513</v>
      </c>
    </row>
    <row r="417" spans="1:11" ht="25.5" x14ac:dyDescent="0.25">
      <c r="A417" s="22">
        <v>2026</v>
      </c>
      <c r="B417" s="28" t="s">
        <v>167</v>
      </c>
      <c r="C417" s="28" t="s">
        <v>97</v>
      </c>
      <c r="D417" s="28" t="s">
        <v>1721</v>
      </c>
      <c r="E417" s="29" t="s">
        <v>411</v>
      </c>
      <c r="F417" s="29" t="s">
        <v>353</v>
      </c>
      <c r="G417" s="25" t="s">
        <v>2206</v>
      </c>
      <c r="H417" s="26">
        <v>-0.56083572599999998</v>
      </c>
      <c r="I417" s="26"/>
      <c r="J417" s="26" t="s">
        <v>512</v>
      </c>
      <c r="K417" s="25" t="s">
        <v>513</v>
      </c>
    </row>
    <row r="418" spans="1:11" ht="25.5" x14ac:dyDescent="0.25">
      <c r="A418" s="22">
        <v>2026</v>
      </c>
      <c r="B418" s="28" t="s">
        <v>167</v>
      </c>
      <c r="C418" s="28" t="s">
        <v>97</v>
      </c>
      <c r="D418" s="28" t="s">
        <v>1721</v>
      </c>
      <c r="E418" s="29" t="s">
        <v>411</v>
      </c>
      <c r="F418" s="29" t="s">
        <v>353</v>
      </c>
      <c r="G418" s="25" t="s">
        <v>2207</v>
      </c>
      <c r="H418" s="26">
        <v>-0.32330866050000001</v>
      </c>
      <c r="I418" s="26"/>
      <c r="J418" s="26" t="s">
        <v>512</v>
      </c>
      <c r="K418" s="25" t="s">
        <v>513</v>
      </c>
    </row>
    <row r="419" spans="1:11" ht="25.5" x14ac:dyDescent="0.25">
      <c r="A419" s="22">
        <v>2026</v>
      </c>
      <c r="B419" s="28" t="s">
        <v>167</v>
      </c>
      <c r="C419" s="28" t="s">
        <v>97</v>
      </c>
      <c r="D419" s="28" t="s">
        <v>1721</v>
      </c>
      <c r="E419" s="29" t="s">
        <v>411</v>
      </c>
      <c r="F419" s="29" t="s">
        <v>353</v>
      </c>
      <c r="G419" s="25" t="s">
        <v>2208</v>
      </c>
      <c r="H419" s="26">
        <v>-1.5033729438000001</v>
      </c>
      <c r="I419" s="26"/>
      <c r="J419" s="26" t="s">
        <v>512</v>
      </c>
      <c r="K419" s="25" t="s">
        <v>513</v>
      </c>
    </row>
    <row r="420" spans="1:11" ht="25.5" x14ac:dyDescent="0.25">
      <c r="A420" s="22">
        <v>2026</v>
      </c>
      <c r="B420" s="28" t="s">
        <v>167</v>
      </c>
      <c r="C420" s="28" t="s">
        <v>97</v>
      </c>
      <c r="D420" s="28" t="s">
        <v>1721</v>
      </c>
      <c r="E420" s="29" t="s">
        <v>411</v>
      </c>
      <c r="F420" s="29" t="s">
        <v>353</v>
      </c>
      <c r="G420" s="25" t="s">
        <v>2209</v>
      </c>
      <c r="H420" s="26">
        <v>-1.4795474274</v>
      </c>
      <c r="I420" s="26"/>
      <c r="J420" s="26" t="s">
        <v>512</v>
      </c>
      <c r="K420" s="25" t="s">
        <v>513</v>
      </c>
    </row>
    <row r="421" spans="1:11" ht="25.5" x14ac:dyDescent="0.25">
      <c r="A421" s="22">
        <v>2026</v>
      </c>
      <c r="B421" s="28" t="s">
        <v>167</v>
      </c>
      <c r="C421" s="28" t="s">
        <v>97</v>
      </c>
      <c r="D421" s="28" t="s">
        <v>1721</v>
      </c>
      <c r="E421" s="29" t="s">
        <v>411</v>
      </c>
      <c r="F421" s="29" t="s">
        <v>353</v>
      </c>
      <c r="G421" s="25" t="s">
        <v>2210</v>
      </c>
      <c r="H421" s="26">
        <v>-1.071306351</v>
      </c>
      <c r="I421" s="26"/>
      <c r="J421" s="26" t="s">
        <v>512</v>
      </c>
      <c r="K421" s="25" t="s">
        <v>513</v>
      </c>
    </row>
    <row r="422" spans="1:11" ht="25.5" x14ac:dyDescent="0.25">
      <c r="A422" s="22">
        <v>2026</v>
      </c>
      <c r="B422" s="28" t="s">
        <v>167</v>
      </c>
      <c r="C422" s="28" t="s">
        <v>97</v>
      </c>
      <c r="D422" s="28" t="s">
        <v>1721</v>
      </c>
      <c r="E422" s="29" t="s">
        <v>411</v>
      </c>
      <c r="F422" s="29" t="s">
        <v>353</v>
      </c>
      <c r="G422" s="25" t="s">
        <v>2211</v>
      </c>
      <c r="H422" s="26">
        <v>-0.85209356100000011</v>
      </c>
      <c r="I422" s="26"/>
      <c r="J422" s="26" t="s">
        <v>512</v>
      </c>
      <c r="K422" s="25" t="s">
        <v>513</v>
      </c>
    </row>
    <row r="423" spans="1:11" ht="25.5" x14ac:dyDescent="0.25">
      <c r="A423" s="22">
        <v>2026</v>
      </c>
      <c r="B423" s="28" t="s">
        <v>167</v>
      </c>
      <c r="C423" s="28" t="s">
        <v>97</v>
      </c>
      <c r="D423" s="28" t="s">
        <v>1721</v>
      </c>
      <c r="E423" s="29" t="s">
        <v>411</v>
      </c>
      <c r="F423" s="29" t="s">
        <v>353</v>
      </c>
      <c r="G423" s="25" t="s">
        <v>2212</v>
      </c>
      <c r="H423" s="26">
        <v>-2.0404499999999999</v>
      </c>
      <c r="I423" s="26"/>
      <c r="J423" s="26" t="s">
        <v>512</v>
      </c>
      <c r="K423" s="25" t="s">
        <v>513</v>
      </c>
    </row>
    <row r="424" spans="1:11" ht="25.5" x14ac:dyDescent="0.25">
      <c r="A424" s="22">
        <v>2026</v>
      </c>
      <c r="B424" s="28" t="s">
        <v>167</v>
      </c>
      <c r="C424" s="28" t="s">
        <v>97</v>
      </c>
      <c r="D424" s="28" t="s">
        <v>1721</v>
      </c>
      <c r="E424" s="29" t="s">
        <v>411</v>
      </c>
      <c r="F424" s="29" t="s">
        <v>353</v>
      </c>
      <c r="G424" s="25" t="s">
        <v>2213</v>
      </c>
      <c r="H424" s="26">
        <v>-1.8928354368</v>
      </c>
      <c r="I424" s="26"/>
      <c r="J424" s="26" t="s">
        <v>512</v>
      </c>
      <c r="K424" s="25" t="s">
        <v>513</v>
      </c>
    </row>
    <row r="425" spans="1:11" ht="25.5" x14ac:dyDescent="0.25">
      <c r="A425" s="22">
        <v>2026</v>
      </c>
      <c r="B425" s="28" t="s">
        <v>167</v>
      </c>
      <c r="C425" s="28" t="s">
        <v>97</v>
      </c>
      <c r="D425" s="28" t="s">
        <v>1721</v>
      </c>
      <c r="E425" s="29" t="s">
        <v>411</v>
      </c>
      <c r="F425" s="29" t="s">
        <v>353</v>
      </c>
      <c r="G425" s="25" t="s">
        <v>2214</v>
      </c>
      <c r="H425" s="26">
        <v>-1.1986199040000001</v>
      </c>
      <c r="I425" s="26"/>
      <c r="J425" s="26" t="s">
        <v>512</v>
      </c>
      <c r="K425" s="25" t="s">
        <v>513</v>
      </c>
    </row>
    <row r="426" spans="1:11" ht="25.5" x14ac:dyDescent="0.25">
      <c r="A426" s="22">
        <v>2026</v>
      </c>
      <c r="B426" s="28" t="s">
        <v>167</v>
      </c>
      <c r="C426" s="28" t="s">
        <v>97</v>
      </c>
      <c r="D426" s="28" t="s">
        <v>1721</v>
      </c>
      <c r="E426" s="29" t="s">
        <v>411</v>
      </c>
      <c r="F426" s="29" t="s">
        <v>353</v>
      </c>
      <c r="G426" s="25" t="s">
        <v>2215</v>
      </c>
      <c r="H426" s="26">
        <v>-0.47774719719999992</v>
      </c>
      <c r="I426" s="26"/>
      <c r="J426" s="26" t="s">
        <v>512</v>
      </c>
      <c r="K426" s="25" t="s">
        <v>513</v>
      </c>
    </row>
    <row r="427" spans="1:11" ht="25.5" x14ac:dyDescent="0.25">
      <c r="A427" s="22">
        <v>2026</v>
      </c>
      <c r="B427" s="28" t="s">
        <v>167</v>
      </c>
      <c r="C427" s="28" t="s">
        <v>97</v>
      </c>
      <c r="D427" s="28" t="s">
        <v>1721</v>
      </c>
      <c r="E427" s="29" t="s">
        <v>411</v>
      </c>
      <c r="F427" s="29" t="s">
        <v>353</v>
      </c>
      <c r="G427" s="25" t="s">
        <v>2216</v>
      </c>
      <c r="H427" s="26">
        <v>-1.1831100000000001</v>
      </c>
      <c r="I427" s="26"/>
      <c r="J427" s="26" t="s">
        <v>512</v>
      </c>
      <c r="K427" s="25" t="s">
        <v>513</v>
      </c>
    </row>
    <row r="428" spans="1:11" ht="25.5" x14ac:dyDescent="0.25">
      <c r="A428" s="22">
        <v>2026</v>
      </c>
      <c r="B428" s="28" t="s">
        <v>167</v>
      </c>
      <c r="C428" s="28" t="s">
        <v>97</v>
      </c>
      <c r="D428" s="28" t="s">
        <v>1721</v>
      </c>
      <c r="E428" s="29" t="s">
        <v>411</v>
      </c>
      <c r="F428" s="29" t="s">
        <v>353</v>
      </c>
      <c r="G428" s="25" t="s">
        <v>2217</v>
      </c>
      <c r="H428" s="26">
        <v>-0.2549261337</v>
      </c>
      <c r="I428" s="26"/>
      <c r="J428" s="26" t="s">
        <v>512</v>
      </c>
      <c r="K428" s="25" t="s">
        <v>513</v>
      </c>
    </row>
    <row r="429" spans="1:11" ht="25.5" x14ac:dyDescent="0.25">
      <c r="A429" s="22">
        <v>2026</v>
      </c>
      <c r="B429" s="28" t="s">
        <v>167</v>
      </c>
      <c r="C429" s="28" t="s">
        <v>97</v>
      </c>
      <c r="D429" s="28" t="s">
        <v>1721</v>
      </c>
      <c r="E429" s="29" t="s">
        <v>411</v>
      </c>
      <c r="F429" s="29" t="s">
        <v>353</v>
      </c>
      <c r="G429" s="25" t="s">
        <v>2218</v>
      </c>
      <c r="H429" s="26">
        <v>-1.0869028811999999</v>
      </c>
      <c r="I429" s="26"/>
      <c r="J429" s="26" t="s">
        <v>512</v>
      </c>
      <c r="K429" s="25" t="s">
        <v>513</v>
      </c>
    </row>
    <row r="430" spans="1:11" ht="25.5" x14ac:dyDescent="0.25">
      <c r="A430" s="22">
        <v>2026</v>
      </c>
      <c r="B430" s="28" t="s">
        <v>167</v>
      </c>
      <c r="C430" s="28" t="s">
        <v>97</v>
      </c>
      <c r="D430" s="28" t="s">
        <v>1721</v>
      </c>
      <c r="E430" s="29" t="s">
        <v>411</v>
      </c>
      <c r="F430" s="29" t="s">
        <v>353</v>
      </c>
      <c r="G430" s="25" t="s">
        <v>2219</v>
      </c>
      <c r="H430" s="26">
        <v>-0.6898216197</v>
      </c>
      <c r="I430" s="26"/>
      <c r="J430" s="26" t="s">
        <v>512</v>
      </c>
      <c r="K430" s="25" t="s">
        <v>513</v>
      </c>
    </row>
    <row r="431" spans="1:11" ht="25.5" x14ac:dyDescent="0.25">
      <c r="A431" s="22">
        <v>2026</v>
      </c>
      <c r="B431" s="28" t="s">
        <v>167</v>
      </c>
      <c r="C431" s="28" t="s">
        <v>97</v>
      </c>
      <c r="D431" s="28" t="s">
        <v>1722</v>
      </c>
      <c r="E431" s="29" t="s">
        <v>640</v>
      </c>
      <c r="F431" s="29" t="s">
        <v>282</v>
      </c>
      <c r="G431" s="25" t="s">
        <v>2220</v>
      </c>
      <c r="H431" s="26">
        <v>-4.51836984E-2</v>
      </c>
      <c r="I431" s="26"/>
      <c r="J431" s="26" t="s">
        <v>521</v>
      </c>
      <c r="K431" s="25" t="s">
        <v>513</v>
      </c>
    </row>
    <row r="432" spans="1:11" ht="25.5" x14ac:dyDescent="0.25">
      <c r="A432" s="22">
        <v>2026</v>
      </c>
      <c r="B432" s="28" t="s">
        <v>167</v>
      </c>
      <c r="C432" s="28" t="s">
        <v>97</v>
      </c>
      <c r="D432" s="28" t="s">
        <v>1722</v>
      </c>
      <c r="E432" s="29" t="s">
        <v>640</v>
      </c>
      <c r="F432" s="29" t="s">
        <v>282</v>
      </c>
      <c r="G432" s="25" t="s">
        <v>2221</v>
      </c>
      <c r="H432" s="26">
        <v>-2.8747676600000001E-2</v>
      </c>
      <c r="I432" s="26"/>
      <c r="J432" s="26" t="s">
        <v>521</v>
      </c>
      <c r="K432" s="25" t="s">
        <v>513</v>
      </c>
    </row>
    <row r="433" spans="1:11" ht="25.5" x14ac:dyDescent="0.25">
      <c r="A433" s="22">
        <v>2026</v>
      </c>
      <c r="B433" s="28" t="s">
        <v>167</v>
      </c>
      <c r="C433" s="28" t="s">
        <v>97</v>
      </c>
      <c r="D433" s="28" t="s">
        <v>1722</v>
      </c>
      <c r="E433" s="29" t="s">
        <v>640</v>
      </c>
      <c r="F433" s="29" t="s">
        <v>282</v>
      </c>
      <c r="G433" s="25" t="s">
        <v>2222</v>
      </c>
      <c r="H433" s="26">
        <v>-2.9169E-2</v>
      </c>
      <c r="I433" s="26"/>
      <c r="J433" s="26" t="s">
        <v>521</v>
      </c>
      <c r="K433" s="25" t="s">
        <v>513</v>
      </c>
    </row>
    <row r="434" spans="1:11" ht="25.5" x14ac:dyDescent="0.25">
      <c r="A434" s="22">
        <v>2026</v>
      </c>
      <c r="B434" s="28" t="s">
        <v>167</v>
      </c>
      <c r="C434" s="28" t="s">
        <v>97</v>
      </c>
      <c r="D434" s="28" t="s">
        <v>1722</v>
      </c>
      <c r="E434" s="29" t="s">
        <v>640</v>
      </c>
      <c r="F434" s="29" t="s">
        <v>282</v>
      </c>
      <c r="G434" s="25" t="s">
        <v>2223</v>
      </c>
      <c r="H434" s="26">
        <v>-2.8605387199999999E-2</v>
      </c>
      <c r="I434" s="26"/>
      <c r="J434" s="26" t="s">
        <v>521</v>
      </c>
      <c r="K434" s="25" t="s">
        <v>513</v>
      </c>
    </row>
    <row r="435" spans="1:11" ht="25.5" x14ac:dyDescent="0.25">
      <c r="A435" s="22">
        <v>2026</v>
      </c>
      <c r="B435" s="28" t="s">
        <v>167</v>
      </c>
      <c r="C435" s="28" t="s">
        <v>97</v>
      </c>
      <c r="D435" s="28" t="s">
        <v>1722</v>
      </c>
      <c r="E435" s="29" t="s">
        <v>640</v>
      </c>
      <c r="F435" s="29" t="s">
        <v>282</v>
      </c>
      <c r="G435" s="25" t="s">
        <v>2224</v>
      </c>
      <c r="H435" s="26">
        <v>-2.9061942000000004E-2</v>
      </c>
      <c r="I435" s="26"/>
      <c r="J435" s="26" t="s">
        <v>521</v>
      </c>
      <c r="K435" s="25" t="s">
        <v>513</v>
      </c>
    </row>
    <row r="436" spans="1:11" ht="25.5" x14ac:dyDescent="0.25">
      <c r="A436" s="22">
        <v>2026</v>
      </c>
      <c r="B436" s="28" t="s">
        <v>167</v>
      </c>
      <c r="C436" s="28" t="s">
        <v>97</v>
      </c>
      <c r="D436" s="28" t="s">
        <v>1722</v>
      </c>
      <c r="E436" s="29" t="s">
        <v>640</v>
      </c>
      <c r="F436" s="29" t="s">
        <v>282</v>
      </c>
      <c r="G436" s="25" t="s">
        <v>2225</v>
      </c>
      <c r="H436" s="26">
        <v>-3.2708652499999998E-2</v>
      </c>
      <c r="I436" s="26"/>
      <c r="J436" s="26" t="s">
        <v>521</v>
      </c>
      <c r="K436" s="25" t="s">
        <v>513</v>
      </c>
    </row>
    <row r="437" spans="1:11" ht="25.5" x14ac:dyDescent="0.25">
      <c r="A437" s="22">
        <v>2026</v>
      </c>
      <c r="B437" s="28" t="s">
        <v>167</v>
      </c>
      <c r="C437" s="28" t="s">
        <v>97</v>
      </c>
      <c r="D437" s="28" t="s">
        <v>1722</v>
      </c>
      <c r="E437" s="29" t="s">
        <v>640</v>
      </c>
      <c r="F437" s="29" t="s">
        <v>282</v>
      </c>
      <c r="G437" s="25" t="s">
        <v>2226</v>
      </c>
      <c r="H437" s="26">
        <v>-2.8737191699999998E-2</v>
      </c>
      <c r="I437" s="26"/>
      <c r="J437" s="26" t="s">
        <v>521</v>
      </c>
      <c r="K437" s="25" t="s">
        <v>513</v>
      </c>
    </row>
    <row r="438" spans="1:11" ht="25.5" x14ac:dyDescent="0.25">
      <c r="A438" s="22">
        <v>2026</v>
      </c>
      <c r="B438" s="28" t="s">
        <v>167</v>
      </c>
      <c r="C438" s="28" t="s">
        <v>97</v>
      </c>
      <c r="D438" s="28" t="s">
        <v>1722</v>
      </c>
      <c r="E438" s="29" t="s">
        <v>640</v>
      </c>
      <c r="F438" s="29" t="s">
        <v>282</v>
      </c>
      <c r="G438" s="25" t="s">
        <v>2227</v>
      </c>
      <c r="H438" s="26">
        <v>-2.9645122499999999E-2</v>
      </c>
      <c r="I438" s="26"/>
      <c r="J438" s="26" t="s">
        <v>521</v>
      </c>
      <c r="K438" s="25" t="s">
        <v>513</v>
      </c>
    </row>
    <row r="439" spans="1:11" ht="25.5" x14ac:dyDescent="0.25">
      <c r="A439" s="22">
        <v>2026</v>
      </c>
      <c r="B439" s="28" t="s">
        <v>167</v>
      </c>
      <c r="C439" s="28" t="s">
        <v>97</v>
      </c>
      <c r="D439" s="28" t="s">
        <v>1722</v>
      </c>
      <c r="E439" s="29" t="s">
        <v>640</v>
      </c>
      <c r="F439" s="29" t="s">
        <v>282</v>
      </c>
      <c r="G439" s="25" t="s">
        <v>2228</v>
      </c>
      <c r="H439" s="26">
        <v>-2.9526937E-2</v>
      </c>
      <c r="I439" s="26"/>
      <c r="J439" s="26" t="s">
        <v>521</v>
      </c>
      <c r="K439" s="25" t="s">
        <v>513</v>
      </c>
    </row>
    <row r="440" spans="1:11" ht="25.5" x14ac:dyDescent="0.25">
      <c r="A440" s="22">
        <v>2026</v>
      </c>
      <c r="B440" s="28" t="s">
        <v>167</v>
      </c>
      <c r="C440" s="28" t="s">
        <v>97</v>
      </c>
      <c r="D440" s="28" t="s">
        <v>1722</v>
      </c>
      <c r="E440" s="29" t="s">
        <v>640</v>
      </c>
      <c r="F440" s="29" t="s">
        <v>282</v>
      </c>
      <c r="G440" s="25" t="s">
        <v>2229</v>
      </c>
      <c r="H440" s="26">
        <v>-2.95997112E-2</v>
      </c>
      <c r="I440" s="26"/>
      <c r="J440" s="26" t="s">
        <v>521</v>
      </c>
      <c r="K440" s="25" t="s">
        <v>513</v>
      </c>
    </row>
    <row r="441" spans="1:11" ht="25.5" x14ac:dyDescent="0.25">
      <c r="A441" s="22">
        <v>2026</v>
      </c>
      <c r="B441" s="28" t="s">
        <v>167</v>
      </c>
      <c r="C441" s="28" t="s">
        <v>97</v>
      </c>
      <c r="D441" s="28" t="s">
        <v>1722</v>
      </c>
      <c r="E441" s="29" t="s">
        <v>640</v>
      </c>
      <c r="F441" s="29" t="s">
        <v>282</v>
      </c>
      <c r="G441" s="25" t="s">
        <v>2230</v>
      </c>
      <c r="H441" s="26">
        <v>-2.98566496E-2</v>
      </c>
      <c r="I441" s="26"/>
      <c r="J441" s="26" t="s">
        <v>521</v>
      </c>
      <c r="K441" s="25" t="s">
        <v>513</v>
      </c>
    </row>
    <row r="442" spans="1:11" ht="25.5" x14ac:dyDescent="0.25">
      <c r="A442" s="22">
        <v>2026</v>
      </c>
      <c r="B442" s="28" t="s">
        <v>167</v>
      </c>
      <c r="C442" s="28" t="s">
        <v>97</v>
      </c>
      <c r="D442" s="28" t="s">
        <v>1722</v>
      </c>
      <c r="E442" s="29" t="s">
        <v>640</v>
      </c>
      <c r="F442" s="29" t="s">
        <v>282</v>
      </c>
      <c r="G442" s="25" t="s">
        <v>2231</v>
      </c>
      <c r="H442" s="26">
        <v>-2.7811399000000001E-2</v>
      </c>
      <c r="I442" s="26"/>
      <c r="J442" s="26" t="s">
        <v>521</v>
      </c>
      <c r="K442" s="25" t="s">
        <v>513</v>
      </c>
    </row>
    <row r="443" spans="1:11" ht="25.5" x14ac:dyDescent="0.25">
      <c r="A443" s="22">
        <v>2026</v>
      </c>
      <c r="B443" s="28" t="s">
        <v>167</v>
      </c>
      <c r="C443" s="28" t="s">
        <v>97</v>
      </c>
      <c r="D443" s="28" t="s">
        <v>1722</v>
      </c>
      <c r="E443" s="29" t="s">
        <v>640</v>
      </c>
      <c r="F443" s="29" t="s">
        <v>282</v>
      </c>
      <c r="G443" s="25" t="s">
        <v>2232</v>
      </c>
      <c r="H443" s="26">
        <v>-2.8388402000000004E-2</v>
      </c>
      <c r="I443" s="26"/>
      <c r="J443" s="26" t="s">
        <v>521</v>
      </c>
      <c r="K443" s="25" t="s">
        <v>513</v>
      </c>
    </row>
    <row r="444" spans="1:11" ht="25.5" x14ac:dyDescent="0.25">
      <c r="A444" s="22">
        <v>2026</v>
      </c>
      <c r="B444" s="28" t="s">
        <v>167</v>
      </c>
      <c r="C444" s="28" t="s">
        <v>97</v>
      </c>
      <c r="D444" s="28" t="s">
        <v>1722</v>
      </c>
      <c r="E444" s="29" t="s">
        <v>640</v>
      </c>
      <c r="F444" s="29" t="s">
        <v>282</v>
      </c>
      <c r="G444" s="25" t="s">
        <v>2233</v>
      </c>
      <c r="H444" s="26">
        <v>-2.8008374399999997E-2</v>
      </c>
      <c r="I444" s="26"/>
      <c r="J444" s="26" t="s">
        <v>521</v>
      </c>
      <c r="K444" s="25" t="s">
        <v>513</v>
      </c>
    </row>
    <row r="445" spans="1:11" ht="25.5" x14ac:dyDescent="0.25">
      <c r="A445" s="22">
        <v>2026</v>
      </c>
      <c r="B445" s="28" t="s">
        <v>167</v>
      </c>
      <c r="C445" s="28" t="s">
        <v>97</v>
      </c>
      <c r="D445" s="28" t="s">
        <v>1722</v>
      </c>
      <c r="E445" s="29" t="s">
        <v>640</v>
      </c>
      <c r="F445" s="29" t="s">
        <v>282</v>
      </c>
      <c r="G445" s="25" t="s">
        <v>2234</v>
      </c>
      <c r="H445" s="26">
        <v>-2.9214E-2</v>
      </c>
      <c r="I445" s="26"/>
      <c r="J445" s="26" t="s">
        <v>521</v>
      </c>
      <c r="K445" s="25" t="s">
        <v>513</v>
      </c>
    </row>
    <row r="446" spans="1:11" ht="25.5" x14ac:dyDescent="0.25">
      <c r="A446" s="22">
        <v>2026</v>
      </c>
      <c r="B446" s="28" t="s">
        <v>167</v>
      </c>
      <c r="C446" s="28" t="s">
        <v>97</v>
      </c>
      <c r="D446" s="28" t="s">
        <v>1722</v>
      </c>
      <c r="E446" s="29" t="s">
        <v>640</v>
      </c>
      <c r="F446" s="29" t="s">
        <v>282</v>
      </c>
      <c r="G446" s="25" t="s">
        <v>2235</v>
      </c>
      <c r="H446" s="26">
        <v>-3.1336813200000001E-2</v>
      </c>
      <c r="I446" s="26"/>
      <c r="J446" s="26" t="s">
        <v>521</v>
      </c>
      <c r="K446" s="25" t="s">
        <v>513</v>
      </c>
    </row>
    <row r="447" spans="1:11" ht="25.5" x14ac:dyDescent="0.25">
      <c r="A447" s="22">
        <v>2026</v>
      </c>
      <c r="B447" s="28" t="s">
        <v>167</v>
      </c>
      <c r="C447" s="28" t="s">
        <v>97</v>
      </c>
      <c r="D447" s="28" t="s">
        <v>1722</v>
      </c>
      <c r="E447" s="29" t="s">
        <v>640</v>
      </c>
      <c r="F447" s="29" t="s">
        <v>282</v>
      </c>
      <c r="G447" s="25" t="s">
        <v>2236</v>
      </c>
      <c r="H447" s="26">
        <v>-2.8390564399999998E-2</v>
      </c>
      <c r="I447" s="26"/>
      <c r="J447" s="26" t="s">
        <v>521</v>
      </c>
      <c r="K447" s="25" t="s">
        <v>513</v>
      </c>
    </row>
    <row r="448" spans="1:11" ht="25.5" x14ac:dyDescent="0.25">
      <c r="A448" s="22">
        <v>2026</v>
      </c>
      <c r="B448" s="28" t="s">
        <v>167</v>
      </c>
      <c r="C448" s="28" t="s">
        <v>97</v>
      </c>
      <c r="D448" s="28" t="s">
        <v>1722</v>
      </c>
      <c r="E448" s="29" t="s">
        <v>640</v>
      </c>
      <c r="F448" s="29" t="s">
        <v>282</v>
      </c>
      <c r="G448" s="25" t="s">
        <v>2237</v>
      </c>
      <c r="H448" s="26">
        <v>-2.91995876E-2</v>
      </c>
      <c r="I448" s="26"/>
      <c r="J448" s="26" t="s">
        <v>521</v>
      </c>
      <c r="K448" s="25" t="s">
        <v>513</v>
      </c>
    </row>
    <row r="449" spans="1:11" ht="25.5" x14ac:dyDescent="0.25">
      <c r="A449" s="22">
        <v>2026</v>
      </c>
      <c r="B449" s="28" t="s">
        <v>167</v>
      </c>
      <c r="C449" s="28" t="s">
        <v>97</v>
      </c>
      <c r="D449" s="28" t="s">
        <v>1722</v>
      </c>
      <c r="E449" s="29" t="s">
        <v>640</v>
      </c>
      <c r="F449" s="29" t="s">
        <v>282</v>
      </c>
      <c r="G449" s="25" t="s">
        <v>2238</v>
      </c>
      <c r="H449" s="26">
        <v>-2.8866152699999998E-2</v>
      </c>
      <c r="I449" s="26"/>
      <c r="J449" s="26" t="s">
        <v>521</v>
      </c>
      <c r="K449" s="25" t="s">
        <v>513</v>
      </c>
    </row>
    <row r="450" spans="1:11" ht="25.5" x14ac:dyDescent="0.25">
      <c r="A450" s="22">
        <v>2026</v>
      </c>
      <c r="B450" s="28" t="s">
        <v>167</v>
      </c>
      <c r="C450" s="28" t="s">
        <v>97</v>
      </c>
      <c r="D450" s="28" t="s">
        <v>1722</v>
      </c>
      <c r="E450" s="29" t="s">
        <v>640</v>
      </c>
      <c r="F450" s="29" t="s">
        <v>282</v>
      </c>
      <c r="G450" s="25" t="s">
        <v>2239</v>
      </c>
      <c r="H450" s="26">
        <v>-2.8746000000000001E-2</v>
      </c>
      <c r="I450" s="26"/>
      <c r="J450" s="26" t="s">
        <v>521</v>
      </c>
      <c r="K450" s="25" t="s">
        <v>513</v>
      </c>
    </row>
    <row r="451" spans="1:11" ht="25.5" x14ac:dyDescent="0.25">
      <c r="A451" s="22">
        <v>2026</v>
      </c>
      <c r="B451" s="28" t="s">
        <v>167</v>
      </c>
      <c r="C451" s="28" t="s">
        <v>97</v>
      </c>
      <c r="D451" s="28" t="s">
        <v>1722</v>
      </c>
      <c r="E451" s="29" t="s">
        <v>640</v>
      </c>
      <c r="F451" s="29" t="s">
        <v>282</v>
      </c>
      <c r="G451" s="25" t="s">
        <v>2240</v>
      </c>
      <c r="H451" s="26">
        <v>-3.1382636999999998E-2</v>
      </c>
      <c r="I451" s="26"/>
      <c r="J451" s="26" t="s">
        <v>521</v>
      </c>
      <c r="K451" s="25" t="s">
        <v>513</v>
      </c>
    </row>
    <row r="452" spans="1:11" ht="25.5" x14ac:dyDescent="0.25">
      <c r="A452" s="22">
        <v>2026</v>
      </c>
      <c r="B452" s="28" t="s">
        <v>167</v>
      </c>
      <c r="C452" s="28" t="s">
        <v>97</v>
      </c>
      <c r="D452" s="28" t="s">
        <v>189</v>
      </c>
      <c r="E452" s="29" t="s">
        <v>337</v>
      </c>
      <c r="F452" s="29" t="s">
        <v>298</v>
      </c>
      <c r="G452" s="25" t="s">
        <v>2241</v>
      </c>
      <c r="H452" s="26">
        <v>-8.4650973600000012E-2</v>
      </c>
      <c r="I452" s="26"/>
      <c r="J452" s="26" t="s">
        <v>512</v>
      </c>
      <c r="K452" s="25" t="s">
        <v>513</v>
      </c>
    </row>
    <row r="453" spans="1:11" ht="25.5" x14ac:dyDescent="0.25">
      <c r="A453" s="22">
        <v>2026</v>
      </c>
      <c r="B453" s="28" t="s">
        <v>167</v>
      </c>
      <c r="C453" s="28" t="s">
        <v>97</v>
      </c>
      <c r="D453" s="28" t="s">
        <v>189</v>
      </c>
      <c r="E453" s="29" t="s">
        <v>337</v>
      </c>
      <c r="F453" s="29" t="s">
        <v>298</v>
      </c>
      <c r="G453" s="25" t="s">
        <v>2242</v>
      </c>
      <c r="H453" s="26">
        <v>-0.17405294999999998</v>
      </c>
      <c r="I453" s="26"/>
      <c r="J453" s="26" t="s">
        <v>512</v>
      </c>
      <c r="K453" s="25" t="s">
        <v>513</v>
      </c>
    </row>
    <row r="454" spans="1:11" ht="25.5" x14ac:dyDescent="0.25">
      <c r="A454" s="22">
        <v>2026</v>
      </c>
      <c r="B454" s="28" t="s">
        <v>167</v>
      </c>
      <c r="C454" s="28" t="s">
        <v>97</v>
      </c>
      <c r="D454" s="28" t="s">
        <v>189</v>
      </c>
      <c r="E454" s="29" t="s">
        <v>337</v>
      </c>
      <c r="F454" s="29" t="s">
        <v>298</v>
      </c>
      <c r="G454" s="25" t="s">
        <v>2243</v>
      </c>
      <c r="H454" s="26">
        <v>-0.1080944697</v>
      </c>
      <c r="I454" s="26"/>
      <c r="J454" s="26" t="s">
        <v>512</v>
      </c>
      <c r="K454" s="25" t="s">
        <v>513</v>
      </c>
    </row>
    <row r="455" spans="1:11" ht="25.5" x14ac:dyDescent="0.25">
      <c r="A455" s="22">
        <v>2026</v>
      </c>
      <c r="B455" s="28" t="s">
        <v>167</v>
      </c>
      <c r="C455" s="28" t="s">
        <v>97</v>
      </c>
      <c r="D455" s="28" t="s">
        <v>189</v>
      </c>
      <c r="E455" s="29" t="s">
        <v>337</v>
      </c>
      <c r="F455" s="29" t="s">
        <v>298</v>
      </c>
      <c r="G455" s="25" t="s">
        <v>2244</v>
      </c>
      <c r="H455" s="26">
        <v>-0.14640509500000001</v>
      </c>
      <c r="I455" s="26"/>
      <c r="J455" s="26" t="s">
        <v>512</v>
      </c>
      <c r="K455" s="25" t="s">
        <v>513</v>
      </c>
    </row>
    <row r="456" spans="1:11" ht="25.5" x14ac:dyDescent="0.25">
      <c r="A456" s="22">
        <v>2026</v>
      </c>
      <c r="B456" s="28" t="s">
        <v>167</v>
      </c>
      <c r="C456" s="28" t="s">
        <v>97</v>
      </c>
      <c r="D456" s="28" t="s">
        <v>189</v>
      </c>
      <c r="E456" s="29" t="s">
        <v>337</v>
      </c>
      <c r="F456" s="29" t="s">
        <v>298</v>
      </c>
      <c r="G456" s="25" t="s">
        <v>2245</v>
      </c>
      <c r="H456" s="26">
        <v>-0.23287804449999999</v>
      </c>
      <c r="I456" s="26"/>
      <c r="J456" s="26" t="s">
        <v>512</v>
      </c>
      <c r="K456" s="25" t="s">
        <v>513</v>
      </c>
    </row>
    <row r="457" spans="1:11" ht="25.5" x14ac:dyDescent="0.25">
      <c r="A457" s="22">
        <v>2026</v>
      </c>
      <c r="B457" s="28" t="s">
        <v>167</v>
      </c>
      <c r="C457" s="28" t="s">
        <v>97</v>
      </c>
      <c r="D457" s="28" t="s">
        <v>189</v>
      </c>
      <c r="E457" s="29" t="s">
        <v>337</v>
      </c>
      <c r="F457" s="29" t="s">
        <v>298</v>
      </c>
      <c r="G457" s="25" t="s">
        <v>2246</v>
      </c>
      <c r="H457" s="26">
        <v>-5.541012E-2</v>
      </c>
      <c r="I457" s="26"/>
      <c r="J457" s="26" t="s">
        <v>512</v>
      </c>
      <c r="K457" s="25" t="s">
        <v>513</v>
      </c>
    </row>
    <row r="458" spans="1:11" ht="25.5" x14ac:dyDescent="0.25">
      <c r="A458" s="22">
        <v>2026</v>
      </c>
      <c r="B458" s="28" t="s">
        <v>167</v>
      </c>
      <c r="C458" s="28" t="s">
        <v>97</v>
      </c>
      <c r="D458" s="28" t="s">
        <v>189</v>
      </c>
      <c r="E458" s="29" t="s">
        <v>337</v>
      </c>
      <c r="F458" s="29" t="s">
        <v>298</v>
      </c>
      <c r="G458" s="25" t="s">
        <v>2247</v>
      </c>
      <c r="H458" s="26">
        <v>-6.8061182799999995E-2</v>
      </c>
      <c r="I458" s="26"/>
      <c r="J458" s="26" t="s">
        <v>512</v>
      </c>
      <c r="K458" s="25" t="s">
        <v>513</v>
      </c>
    </row>
    <row r="459" spans="1:11" ht="25.5" x14ac:dyDescent="0.25">
      <c r="A459" s="22">
        <v>2026</v>
      </c>
      <c r="B459" s="28" t="s">
        <v>167</v>
      </c>
      <c r="C459" s="28" t="s">
        <v>97</v>
      </c>
      <c r="D459" s="28" t="s">
        <v>189</v>
      </c>
      <c r="E459" s="29" t="s">
        <v>337</v>
      </c>
      <c r="F459" s="29" t="s">
        <v>298</v>
      </c>
      <c r="G459" s="25" t="s">
        <v>2248</v>
      </c>
      <c r="H459" s="26">
        <v>-0.15680331480000001</v>
      </c>
      <c r="I459" s="26"/>
      <c r="J459" s="26" t="s">
        <v>512</v>
      </c>
      <c r="K459" s="25" t="s">
        <v>513</v>
      </c>
    </row>
    <row r="460" spans="1:11" ht="25.5" x14ac:dyDescent="0.25">
      <c r="A460" s="22">
        <v>2026</v>
      </c>
      <c r="B460" s="28" t="s">
        <v>167</v>
      </c>
      <c r="C460" s="28" t="s">
        <v>97</v>
      </c>
      <c r="D460" s="28" t="s">
        <v>189</v>
      </c>
      <c r="E460" s="29" t="s">
        <v>337</v>
      </c>
      <c r="F460" s="29" t="s">
        <v>298</v>
      </c>
      <c r="G460" s="25" t="s">
        <v>2249</v>
      </c>
      <c r="H460" s="26">
        <v>-0.24071751799999999</v>
      </c>
      <c r="I460" s="26"/>
      <c r="J460" s="26" t="s">
        <v>512</v>
      </c>
      <c r="K460" s="25" t="s">
        <v>513</v>
      </c>
    </row>
    <row r="461" spans="1:11" ht="25.5" x14ac:dyDescent="0.25">
      <c r="A461" s="22">
        <v>2026</v>
      </c>
      <c r="B461" s="28" t="s">
        <v>167</v>
      </c>
      <c r="C461" s="28" t="s">
        <v>97</v>
      </c>
      <c r="D461" s="28" t="s">
        <v>189</v>
      </c>
      <c r="E461" s="29" t="s">
        <v>337</v>
      </c>
      <c r="F461" s="29" t="s">
        <v>298</v>
      </c>
      <c r="G461" s="25" t="s">
        <v>2250</v>
      </c>
      <c r="H461" s="26">
        <v>-7.853999999999999E-5</v>
      </c>
      <c r="I461" s="26"/>
      <c r="J461" s="26" t="s">
        <v>512</v>
      </c>
      <c r="K461" s="25" t="s">
        <v>513</v>
      </c>
    </row>
    <row r="462" spans="1:11" ht="25.5" x14ac:dyDescent="0.25">
      <c r="A462" s="22">
        <v>2026</v>
      </c>
      <c r="B462" s="28" t="s">
        <v>167</v>
      </c>
      <c r="C462" s="28" t="s">
        <v>97</v>
      </c>
      <c r="D462" s="28" t="s">
        <v>189</v>
      </c>
      <c r="E462" s="29" t="s">
        <v>337</v>
      </c>
      <c r="F462" s="29" t="s">
        <v>298</v>
      </c>
      <c r="G462" s="25" t="s">
        <v>2251</v>
      </c>
      <c r="H462" s="26">
        <v>-0.15415106200000001</v>
      </c>
      <c r="I462" s="26"/>
      <c r="J462" s="26" t="s">
        <v>512</v>
      </c>
      <c r="K462" s="25" t="s">
        <v>513</v>
      </c>
    </row>
    <row r="463" spans="1:11" ht="25.5" x14ac:dyDescent="0.25">
      <c r="A463" s="22">
        <v>2026</v>
      </c>
      <c r="B463" s="28" t="s">
        <v>167</v>
      </c>
      <c r="C463" s="28" t="s">
        <v>97</v>
      </c>
      <c r="D463" s="28" t="s">
        <v>189</v>
      </c>
      <c r="E463" s="29" t="s">
        <v>337</v>
      </c>
      <c r="F463" s="29" t="s">
        <v>298</v>
      </c>
      <c r="G463" s="25" t="s">
        <v>2252</v>
      </c>
      <c r="H463" s="26">
        <v>-6.1596000000000003E-3</v>
      </c>
      <c r="I463" s="26"/>
      <c r="J463" s="26" t="s">
        <v>512</v>
      </c>
      <c r="K463" s="25" t="s">
        <v>513</v>
      </c>
    </row>
    <row r="464" spans="1:11" ht="25.5" x14ac:dyDescent="0.25">
      <c r="A464" s="22">
        <v>2026</v>
      </c>
      <c r="B464" s="28" t="s">
        <v>167</v>
      </c>
      <c r="C464" s="28" t="s">
        <v>97</v>
      </c>
      <c r="D464" s="28" t="s">
        <v>189</v>
      </c>
      <c r="E464" s="29" t="s">
        <v>337</v>
      </c>
      <c r="F464" s="29" t="s">
        <v>298</v>
      </c>
      <c r="G464" s="25" t="s">
        <v>2253</v>
      </c>
      <c r="H464" s="26">
        <v>-2.2693918800000001E-2</v>
      </c>
      <c r="I464" s="26"/>
      <c r="J464" s="26" t="s">
        <v>512</v>
      </c>
      <c r="K464" s="25" t="s">
        <v>513</v>
      </c>
    </row>
    <row r="465" spans="1:11" ht="25.5" x14ac:dyDescent="0.25">
      <c r="A465" s="22">
        <v>2026</v>
      </c>
      <c r="B465" s="28" t="s">
        <v>167</v>
      </c>
      <c r="C465" s="28" t="s">
        <v>97</v>
      </c>
      <c r="D465" s="28" t="s">
        <v>189</v>
      </c>
      <c r="E465" s="29" t="s">
        <v>337</v>
      </c>
      <c r="F465" s="29" t="s">
        <v>298</v>
      </c>
      <c r="G465" s="25" t="s">
        <v>2254</v>
      </c>
      <c r="H465" s="26">
        <v>-7.47541543E-2</v>
      </c>
      <c r="I465" s="26"/>
      <c r="J465" s="26" t="s">
        <v>512</v>
      </c>
      <c r="K465" s="25" t="s">
        <v>513</v>
      </c>
    </row>
    <row r="466" spans="1:11" ht="25.5" x14ac:dyDescent="0.25">
      <c r="A466" s="22">
        <v>2026</v>
      </c>
      <c r="B466" s="28" t="s">
        <v>167</v>
      </c>
      <c r="C466" s="28" t="s">
        <v>97</v>
      </c>
      <c r="D466" s="28" t="s">
        <v>189</v>
      </c>
      <c r="E466" s="29" t="s">
        <v>337</v>
      </c>
      <c r="F466" s="29" t="s">
        <v>298</v>
      </c>
      <c r="G466" s="25" t="s">
        <v>2255</v>
      </c>
      <c r="H466" s="26">
        <v>-7.0757873999999998E-2</v>
      </c>
      <c r="I466" s="26"/>
      <c r="J466" s="26" t="s">
        <v>512</v>
      </c>
      <c r="K466" s="25" t="s">
        <v>513</v>
      </c>
    </row>
    <row r="467" spans="1:11" ht="25.5" x14ac:dyDescent="0.25">
      <c r="A467" s="22">
        <v>2026</v>
      </c>
      <c r="B467" s="28" t="s">
        <v>167</v>
      </c>
      <c r="C467" s="28" t="s">
        <v>97</v>
      </c>
      <c r="D467" s="28" t="s">
        <v>189</v>
      </c>
      <c r="E467" s="29" t="s">
        <v>337</v>
      </c>
      <c r="F467" s="29" t="s">
        <v>298</v>
      </c>
      <c r="G467" s="25" t="s">
        <v>2256</v>
      </c>
      <c r="H467" s="26">
        <v>-0.13637314350000002</v>
      </c>
      <c r="I467" s="26"/>
      <c r="J467" s="26" t="s">
        <v>512</v>
      </c>
      <c r="K467" s="25" t="s">
        <v>513</v>
      </c>
    </row>
    <row r="468" spans="1:11" ht="25.5" x14ac:dyDescent="0.25">
      <c r="A468" s="22">
        <v>2026</v>
      </c>
      <c r="B468" s="28" t="s">
        <v>167</v>
      </c>
      <c r="C468" s="28" t="s">
        <v>97</v>
      </c>
      <c r="D468" s="28" t="s">
        <v>189</v>
      </c>
      <c r="E468" s="29" t="s">
        <v>337</v>
      </c>
      <c r="F468" s="29" t="s">
        <v>298</v>
      </c>
      <c r="G468" s="25" t="s">
        <v>2257</v>
      </c>
      <c r="H468" s="26">
        <v>-0.34897</v>
      </c>
      <c r="I468" s="26"/>
      <c r="J468" s="26" t="s">
        <v>512</v>
      </c>
      <c r="K468" s="25" t="s">
        <v>513</v>
      </c>
    </row>
    <row r="469" spans="1:11" ht="25.5" x14ac:dyDescent="0.25">
      <c r="A469" s="22">
        <v>2026</v>
      </c>
      <c r="B469" s="28" t="s">
        <v>167</v>
      </c>
      <c r="C469" s="28" t="s">
        <v>97</v>
      </c>
      <c r="D469" s="28" t="s">
        <v>189</v>
      </c>
      <c r="E469" s="29" t="s">
        <v>337</v>
      </c>
      <c r="F469" s="29" t="s">
        <v>298</v>
      </c>
      <c r="G469" s="25" t="s">
        <v>2258</v>
      </c>
      <c r="H469" s="26">
        <v>-0.28447239520000001</v>
      </c>
      <c r="I469" s="26"/>
      <c r="J469" s="26" t="s">
        <v>512</v>
      </c>
      <c r="K469" s="25" t="s">
        <v>513</v>
      </c>
    </row>
    <row r="470" spans="1:11" ht="25.5" x14ac:dyDescent="0.25">
      <c r="A470" s="22">
        <v>2026</v>
      </c>
      <c r="B470" s="28" t="s">
        <v>167</v>
      </c>
      <c r="C470" s="28" t="s">
        <v>97</v>
      </c>
      <c r="D470" s="28" t="s">
        <v>189</v>
      </c>
      <c r="E470" s="29" t="s">
        <v>337</v>
      </c>
      <c r="F470" s="29" t="s">
        <v>298</v>
      </c>
      <c r="G470" s="25" t="s">
        <v>2259</v>
      </c>
      <c r="H470" s="26">
        <v>-0.1038</v>
      </c>
      <c r="I470" s="26"/>
      <c r="J470" s="26" t="s">
        <v>512</v>
      </c>
      <c r="K470" s="25" t="s">
        <v>513</v>
      </c>
    </row>
    <row r="471" spans="1:11" ht="25.5" x14ac:dyDescent="0.25">
      <c r="A471" s="22">
        <v>2026</v>
      </c>
      <c r="B471" s="28" t="s">
        <v>167</v>
      </c>
      <c r="C471" s="28" t="s">
        <v>97</v>
      </c>
      <c r="D471" s="28" t="s">
        <v>1723</v>
      </c>
      <c r="E471" s="29" t="s">
        <v>437</v>
      </c>
      <c r="F471" s="29" t="s">
        <v>374</v>
      </c>
      <c r="G471" s="25" t="s">
        <v>2260</v>
      </c>
      <c r="H471" s="26">
        <v>-0.37290000000000001</v>
      </c>
      <c r="I471" s="26"/>
      <c r="J471" s="26" t="s">
        <v>521</v>
      </c>
      <c r="K471" s="25" t="s">
        <v>513</v>
      </c>
    </row>
    <row r="472" spans="1:11" ht="25.5" x14ac:dyDescent="0.25">
      <c r="A472" s="22">
        <v>2026</v>
      </c>
      <c r="B472" s="28" t="s">
        <v>167</v>
      </c>
      <c r="C472" s="28" t="s">
        <v>97</v>
      </c>
      <c r="D472" s="28" t="s">
        <v>1723</v>
      </c>
      <c r="E472" s="29" t="s">
        <v>437</v>
      </c>
      <c r="F472" s="29" t="s">
        <v>374</v>
      </c>
      <c r="G472" s="25" t="s">
        <v>2261</v>
      </c>
      <c r="H472" s="26">
        <v>-0.15</v>
      </c>
      <c r="I472" s="26"/>
      <c r="J472" s="26" t="s">
        <v>521</v>
      </c>
      <c r="K472" s="25" t="s">
        <v>513</v>
      </c>
    </row>
    <row r="473" spans="1:11" ht="25.5" x14ac:dyDescent="0.25">
      <c r="A473" s="22">
        <v>2026</v>
      </c>
      <c r="B473" s="28" t="s">
        <v>167</v>
      </c>
      <c r="C473" s="28" t="s">
        <v>97</v>
      </c>
      <c r="D473" s="28" t="s">
        <v>1723</v>
      </c>
      <c r="E473" s="29" t="s">
        <v>437</v>
      </c>
      <c r="F473" s="29" t="s">
        <v>374</v>
      </c>
      <c r="G473" s="25" t="s">
        <v>2262</v>
      </c>
      <c r="H473" s="26">
        <v>-0.11197500000000002</v>
      </c>
      <c r="I473" s="26"/>
      <c r="J473" s="26" t="s">
        <v>521</v>
      </c>
      <c r="K473" s="25" t="s">
        <v>513</v>
      </c>
    </row>
    <row r="474" spans="1:11" ht="25.5" x14ac:dyDescent="0.25">
      <c r="A474" s="22">
        <v>2026</v>
      </c>
      <c r="B474" s="28" t="s">
        <v>167</v>
      </c>
      <c r="C474" s="28" t="s">
        <v>97</v>
      </c>
      <c r="D474" s="28" t="s">
        <v>1723</v>
      </c>
      <c r="E474" s="29" t="s">
        <v>437</v>
      </c>
      <c r="F474" s="29" t="s">
        <v>374</v>
      </c>
      <c r="G474" s="25" t="s">
        <v>2263</v>
      </c>
      <c r="H474" s="26">
        <v>-0.18445</v>
      </c>
      <c r="I474" s="26"/>
      <c r="J474" s="26" t="s">
        <v>521</v>
      </c>
      <c r="K474" s="25" t="s">
        <v>513</v>
      </c>
    </row>
    <row r="475" spans="1:11" ht="25.5" x14ac:dyDescent="0.25">
      <c r="A475" s="22">
        <v>2026</v>
      </c>
      <c r="B475" s="28" t="s">
        <v>167</v>
      </c>
      <c r="C475" s="28" t="s">
        <v>97</v>
      </c>
      <c r="D475" s="28" t="s">
        <v>1785</v>
      </c>
      <c r="E475" s="29" t="s">
        <v>1769</v>
      </c>
      <c r="F475" s="29" t="s">
        <v>282</v>
      </c>
      <c r="G475" s="25" t="s">
        <v>2264</v>
      </c>
      <c r="H475" s="26">
        <v>-9.4477500000000006E-2</v>
      </c>
      <c r="I475" s="26"/>
      <c r="J475" s="26" t="s">
        <v>512</v>
      </c>
      <c r="K475" s="25" t="s">
        <v>513</v>
      </c>
    </row>
    <row r="476" spans="1:11" ht="25.5" x14ac:dyDescent="0.25">
      <c r="A476" s="22">
        <v>2026</v>
      </c>
      <c r="B476" s="28" t="s">
        <v>167</v>
      </c>
      <c r="C476" s="28" t="s">
        <v>97</v>
      </c>
      <c r="D476" s="28" t="s">
        <v>1785</v>
      </c>
      <c r="E476" s="29" t="s">
        <v>1769</v>
      </c>
      <c r="F476" s="29" t="s">
        <v>282</v>
      </c>
      <c r="G476" s="25" t="s">
        <v>2265</v>
      </c>
      <c r="H476" s="26">
        <v>-4.7518999999999999E-2</v>
      </c>
      <c r="I476" s="26"/>
      <c r="J476" s="26" t="s">
        <v>512</v>
      </c>
      <c r="K476" s="25" t="s">
        <v>513</v>
      </c>
    </row>
    <row r="477" spans="1:11" ht="25.5" x14ac:dyDescent="0.25">
      <c r="A477" s="22">
        <v>2026</v>
      </c>
      <c r="B477" s="28" t="s">
        <v>167</v>
      </c>
      <c r="C477" s="28" t="s">
        <v>97</v>
      </c>
      <c r="D477" s="28" t="s">
        <v>1785</v>
      </c>
      <c r="E477" s="29" t="s">
        <v>1769</v>
      </c>
      <c r="F477" s="29" t="s">
        <v>282</v>
      </c>
      <c r="G477" s="25" t="s">
        <v>2266</v>
      </c>
      <c r="H477" s="26">
        <v>-4.7769599999999995E-2</v>
      </c>
      <c r="I477" s="26"/>
      <c r="J477" s="26" t="s">
        <v>512</v>
      </c>
      <c r="K477" s="25" t="s">
        <v>513</v>
      </c>
    </row>
    <row r="478" spans="1:11" ht="25.5" x14ac:dyDescent="0.25">
      <c r="A478" s="22">
        <v>2026</v>
      </c>
      <c r="B478" s="28" t="s">
        <v>167</v>
      </c>
      <c r="C478" s="28" t="s">
        <v>97</v>
      </c>
      <c r="D478" s="28" t="s">
        <v>1785</v>
      </c>
      <c r="E478" s="29" t="s">
        <v>1769</v>
      </c>
      <c r="F478" s="29" t="s">
        <v>282</v>
      </c>
      <c r="G478" s="25" t="s">
        <v>2267</v>
      </c>
      <c r="H478" s="26">
        <v>-4.7447999999999997E-2</v>
      </c>
      <c r="I478" s="26"/>
      <c r="J478" s="26" t="s">
        <v>512</v>
      </c>
      <c r="K478" s="25" t="s">
        <v>513</v>
      </c>
    </row>
    <row r="479" spans="1:11" ht="25.5" x14ac:dyDescent="0.25">
      <c r="A479" s="22">
        <v>2026</v>
      </c>
      <c r="B479" s="28" t="s">
        <v>167</v>
      </c>
      <c r="C479" s="28" t="s">
        <v>97</v>
      </c>
      <c r="D479" s="28" t="s">
        <v>1785</v>
      </c>
      <c r="E479" s="29" t="s">
        <v>1769</v>
      </c>
      <c r="F479" s="29" t="s">
        <v>282</v>
      </c>
      <c r="G479" s="25" t="s">
        <v>2268</v>
      </c>
      <c r="H479" s="26">
        <v>-4.7179199999999998E-2</v>
      </c>
      <c r="I479" s="26"/>
      <c r="J479" s="26" t="s">
        <v>512</v>
      </c>
      <c r="K479" s="25" t="s">
        <v>513</v>
      </c>
    </row>
    <row r="480" spans="1:11" ht="25.5" x14ac:dyDescent="0.25">
      <c r="A480" s="22">
        <v>2026</v>
      </c>
      <c r="B480" s="28" t="s">
        <v>167</v>
      </c>
      <c r="C480" s="28" t="s">
        <v>97</v>
      </c>
      <c r="D480" s="28" t="s">
        <v>1785</v>
      </c>
      <c r="E480" s="29" t="s">
        <v>1769</v>
      </c>
      <c r="F480" s="29" t="s">
        <v>282</v>
      </c>
      <c r="G480" s="25" t="s">
        <v>2269</v>
      </c>
      <c r="H480" s="26">
        <v>-5.6698354799999996E-2</v>
      </c>
      <c r="I480" s="26"/>
      <c r="J480" s="26" t="s">
        <v>512</v>
      </c>
      <c r="K480" s="25" t="s">
        <v>513</v>
      </c>
    </row>
    <row r="481" spans="1:11" ht="25.5" x14ac:dyDescent="0.25">
      <c r="A481" s="22">
        <v>2026</v>
      </c>
      <c r="B481" s="28" t="s">
        <v>167</v>
      </c>
      <c r="C481" s="28" t="s">
        <v>97</v>
      </c>
      <c r="D481" s="28" t="s">
        <v>1785</v>
      </c>
      <c r="E481" s="29" t="s">
        <v>1769</v>
      </c>
      <c r="F481" s="29" t="s">
        <v>282</v>
      </c>
      <c r="G481" s="25" t="s">
        <v>2270</v>
      </c>
      <c r="H481" s="26">
        <v>-4.71216E-2</v>
      </c>
      <c r="I481" s="26"/>
      <c r="J481" s="26" t="s">
        <v>512</v>
      </c>
      <c r="K481" s="25" t="s">
        <v>513</v>
      </c>
    </row>
    <row r="482" spans="1:11" ht="25.5" x14ac:dyDescent="0.25">
      <c r="A482" s="22">
        <v>2026</v>
      </c>
      <c r="B482" s="28" t="s">
        <v>167</v>
      </c>
      <c r="C482" s="28" t="s">
        <v>97</v>
      </c>
      <c r="D482" s="28" t="s">
        <v>1785</v>
      </c>
      <c r="E482" s="29" t="s">
        <v>1769</v>
      </c>
      <c r="F482" s="29" t="s">
        <v>282</v>
      </c>
      <c r="G482" s="25" t="s">
        <v>2271</v>
      </c>
      <c r="H482" s="26">
        <v>-4.7092799999999997E-2</v>
      </c>
      <c r="I482" s="26"/>
      <c r="J482" s="26" t="s">
        <v>512</v>
      </c>
      <c r="K482" s="25" t="s">
        <v>513</v>
      </c>
    </row>
    <row r="483" spans="1:11" ht="25.5" x14ac:dyDescent="0.25">
      <c r="A483" s="22">
        <v>2026</v>
      </c>
      <c r="B483" s="28" t="s">
        <v>167</v>
      </c>
      <c r="C483" s="28" t="s">
        <v>97</v>
      </c>
      <c r="D483" s="28" t="s">
        <v>1785</v>
      </c>
      <c r="E483" s="29" t="s">
        <v>1769</v>
      </c>
      <c r="F483" s="29" t="s">
        <v>282</v>
      </c>
      <c r="G483" s="25" t="s">
        <v>2272</v>
      </c>
      <c r="H483" s="26">
        <v>-4.6756799999999994E-2</v>
      </c>
      <c r="I483" s="26"/>
      <c r="J483" s="26" t="s">
        <v>512</v>
      </c>
      <c r="K483" s="25" t="s">
        <v>513</v>
      </c>
    </row>
    <row r="484" spans="1:11" ht="25.5" x14ac:dyDescent="0.25">
      <c r="A484" s="22">
        <v>2026</v>
      </c>
      <c r="B484" s="28" t="s">
        <v>167</v>
      </c>
      <c r="C484" s="28" t="s">
        <v>97</v>
      </c>
      <c r="D484" s="28" t="s">
        <v>1785</v>
      </c>
      <c r="E484" s="29" t="s">
        <v>1769</v>
      </c>
      <c r="F484" s="29" t="s">
        <v>282</v>
      </c>
      <c r="G484" s="25" t="s">
        <v>2273</v>
      </c>
      <c r="H484" s="26">
        <v>-4.7203200000000008E-2</v>
      </c>
      <c r="I484" s="26"/>
      <c r="J484" s="26" t="s">
        <v>512</v>
      </c>
      <c r="K484" s="25" t="s">
        <v>513</v>
      </c>
    </row>
    <row r="485" spans="1:11" ht="25.5" x14ac:dyDescent="0.25">
      <c r="A485" s="22">
        <v>2026</v>
      </c>
      <c r="B485" s="28" t="s">
        <v>167</v>
      </c>
      <c r="C485" s="28" t="s">
        <v>97</v>
      </c>
      <c r="D485" s="28" t="s">
        <v>1785</v>
      </c>
      <c r="E485" s="29" t="s">
        <v>1769</v>
      </c>
      <c r="F485" s="29" t="s">
        <v>282</v>
      </c>
      <c r="G485" s="25" t="s">
        <v>2274</v>
      </c>
      <c r="H485" s="26">
        <v>-5.9244383200000007E-2</v>
      </c>
      <c r="I485" s="26"/>
      <c r="J485" s="26" t="s">
        <v>512</v>
      </c>
      <c r="K485" s="25" t="s">
        <v>513</v>
      </c>
    </row>
    <row r="486" spans="1:11" ht="25.5" x14ac:dyDescent="0.25">
      <c r="A486" s="22">
        <v>2026</v>
      </c>
      <c r="B486" s="28" t="s">
        <v>167</v>
      </c>
      <c r="C486" s="28" t="s">
        <v>97</v>
      </c>
      <c r="D486" s="28" t="s">
        <v>1785</v>
      </c>
      <c r="E486" s="29" t="s">
        <v>1769</v>
      </c>
      <c r="F486" s="29" t="s">
        <v>282</v>
      </c>
      <c r="G486" s="25" t="s">
        <v>2275</v>
      </c>
      <c r="H486" s="26">
        <v>-4.7491199999999997E-2</v>
      </c>
      <c r="I486" s="26"/>
      <c r="J486" s="26" t="s">
        <v>512</v>
      </c>
      <c r="K486" s="25" t="s">
        <v>513</v>
      </c>
    </row>
    <row r="487" spans="1:11" ht="25.5" x14ac:dyDescent="0.25">
      <c r="A487" s="22">
        <v>2026</v>
      </c>
      <c r="B487" s="28" t="s">
        <v>167</v>
      </c>
      <c r="C487" s="28" t="s">
        <v>97</v>
      </c>
      <c r="D487" s="28" t="s">
        <v>1785</v>
      </c>
      <c r="E487" s="29" t="s">
        <v>1769</v>
      </c>
      <c r="F487" s="29" t="s">
        <v>282</v>
      </c>
      <c r="G487" s="25" t="s">
        <v>2276</v>
      </c>
      <c r="H487" s="26">
        <v>-4.6440000000000002E-2</v>
      </c>
      <c r="I487" s="26"/>
      <c r="J487" s="26" t="s">
        <v>512</v>
      </c>
      <c r="K487" s="25" t="s">
        <v>513</v>
      </c>
    </row>
    <row r="488" spans="1:11" ht="25.5" x14ac:dyDescent="0.25">
      <c r="A488" s="22">
        <v>2026</v>
      </c>
      <c r="B488" s="28" t="s">
        <v>167</v>
      </c>
      <c r="C488" s="28" t="s">
        <v>97</v>
      </c>
      <c r="D488" s="28" t="s">
        <v>1785</v>
      </c>
      <c r="E488" s="29" t="s">
        <v>1769</v>
      </c>
      <c r="F488" s="29" t="s">
        <v>282</v>
      </c>
      <c r="G488" s="25" t="s">
        <v>2277</v>
      </c>
      <c r="H488" s="26">
        <v>-4.6367999999999999E-2</v>
      </c>
      <c r="I488" s="26"/>
      <c r="J488" s="26" t="s">
        <v>512</v>
      </c>
      <c r="K488" s="25" t="s">
        <v>513</v>
      </c>
    </row>
    <row r="489" spans="1:11" ht="25.5" x14ac:dyDescent="0.25">
      <c r="A489" s="22">
        <v>2026</v>
      </c>
      <c r="B489" s="28" t="s">
        <v>167</v>
      </c>
      <c r="C489" s="28" t="s">
        <v>97</v>
      </c>
      <c r="D489" s="28" t="s">
        <v>1785</v>
      </c>
      <c r="E489" s="29" t="s">
        <v>1769</v>
      </c>
      <c r="F489" s="29" t="s">
        <v>282</v>
      </c>
      <c r="G489" s="25" t="s">
        <v>2278</v>
      </c>
      <c r="H489" s="26">
        <v>-4.6177434099999998E-2</v>
      </c>
      <c r="I489" s="26"/>
      <c r="J489" s="26" t="s">
        <v>512</v>
      </c>
      <c r="K489" s="25" t="s">
        <v>513</v>
      </c>
    </row>
    <row r="490" spans="1:11" ht="25.5" x14ac:dyDescent="0.25">
      <c r="A490" s="22">
        <v>2026</v>
      </c>
      <c r="B490" s="28" t="s">
        <v>167</v>
      </c>
      <c r="C490" s="28" t="s">
        <v>97</v>
      </c>
      <c r="D490" s="28" t="s">
        <v>1785</v>
      </c>
      <c r="E490" s="29" t="s">
        <v>1769</v>
      </c>
      <c r="F490" s="29" t="s">
        <v>282</v>
      </c>
      <c r="G490" s="25" t="s">
        <v>2279</v>
      </c>
      <c r="H490" s="26">
        <v>-5.7551999999999999E-2</v>
      </c>
      <c r="I490" s="26"/>
      <c r="J490" s="26" t="s">
        <v>512</v>
      </c>
      <c r="K490" s="25" t="s">
        <v>513</v>
      </c>
    </row>
    <row r="491" spans="1:11" ht="25.5" x14ac:dyDescent="0.25">
      <c r="A491" s="22">
        <v>2026</v>
      </c>
      <c r="B491" s="28" t="s">
        <v>167</v>
      </c>
      <c r="C491" s="28" t="s">
        <v>97</v>
      </c>
      <c r="D491" s="28" t="s">
        <v>1785</v>
      </c>
      <c r="E491" s="29" t="s">
        <v>1769</v>
      </c>
      <c r="F491" s="29" t="s">
        <v>282</v>
      </c>
      <c r="G491" s="25" t="s">
        <v>2280</v>
      </c>
      <c r="H491" s="26">
        <v>-4.8188432000000003E-2</v>
      </c>
      <c r="I491" s="26"/>
      <c r="J491" s="26" t="s">
        <v>512</v>
      </c>
      <c r="K491" s="25" t="s">
        <v>513</v>
      </c>
    </row>
    <row r="492" spans="1:11" ht="25.5" x14ac:dyDescent="0.25">
      <c r="A492" s="22">
        <v>2026</v>
      </c>
      <c r="B492" s="28" t="s">
        <v>167</v>
      </c>
      <c r="C492" s="28" t="s">
        <v>97</v>
      </c>
      <c r="D492" s="28" t="s">
        <v>1785</v>
      </c>
      <c r="E492" s="29" t="s">
        <v>1769</v>
      </c>
      <c r="F492" s="29" t="s">
        <v>282</v>
      </c>
      <c r="G492" s="25" t="s">
        <v>2281</v>
      </c>
      <c r="H492" s="26">
        <v>-4.8201143599999996E-2</v>
      </c>
      <c r="I492" s="26"/>
      <c r="J492" s="26" t="s">
        <v>512</v>
      </c>
      <c r="K492" s="25" t="s">
        <v>513</v>
      </c>
    </row>
    <row r="493" spans="1:11" ht="25.5" x14ac:dyDescent="0.25">
      <c r="A493" s="22">
        <v>2026</v>
      </c>
      <c r="B493" s="28" t="s">
        <v>167</v>
      </c>
      <c r="C493" s="28" t="s">
        <v>97</v>
      </c>
      <c r="D493" s="28" t="s">
        <v>1785</v>
      </c>
      <c r="E493" s="29" t="s">
        <v>1769</v>
      </c>
      <c r="F493" s="29" t="s">
        <v>282</v>
      </c>
      <c r="G493" s="25" t="s">
        <v>2282</v>
      </c>
      <c r="H493" s="26">
        <v>-4.9500000000000002E-2</v>
      </c>
      <c r="I493" s="26"/>
      <c r="J493" s="26" t="s">
        <v>512</v>
      </c>
      <c r="K493" s="25" t="s">
        <v>513</v>
      </c>
    </row>
    <row r="494" spans="1:11" ht="25.5" x14ac:dyDescent="0.25">
      <c r="A494" s="22">
        <v>2026</v>
      </c>
      <c r="B494" s="28" t="s">
        <v>167</v>
      </c>
      <c r="C494" s="28" t="s">
        <v>97</v>
      </c>
      <c r="D494" s="28" t="s">
        <v>1785</v>
      </c>
      <c r="E494" s="29" t="s">
        <v>1769</v>
      </c>
      <c r="F494" s="29" t="s">
        <v>282</v>
      </c>
      <c r="G494" s="25" t="s">
        <v>2283</v>
      </c>
      <c r="H494" s="26">
        <v>-4.8919999999999998E-2</v>
      </c>
      <c r="I494" s="26"/>
      <c r="J494" s="26" t="s">
        <v>512</v>
      </c>
      <c r="K494" s="25" t="s">
        <v>513</v>
      </c>
    </row>
    <row r="495" spans="1:11" ht="25.5" x14ac:dyDescent="0.25">
      <c r="A495" s="22">
        <v>2026</v>
      </c>
      <c r="B495" s="28" t="s">
        <v>167</v>
      </c>
      <c r="C495" s="28" t="s">
        <v>97</v>
      </c>
      <c r="D495" s="28" t="s">
        <v>1785</v>
      </c>
      <c r="E495" s="29" t="s">
        <v>1769</v>
      </c>
      <c r="F495" s="29" t="s">
        <v>282</v>
      </c>
      <c r="G495" s="25" t="s">
        <v>2284</v>
      </c>
      <c r="H495" s="26">
        <v>-5.3921617000000005E-2</v>
      </c>
      <c r="I495" s="26"/>
      <c r="J495" s="26" t="s">
        <v>512</v>
      </c>
      <c r="K495" s="25" t="s">
        <v>513</v>
      </c>
    </row>
    <row r="496" spans="1:11" ht="25.5" x14ac:dyDescent="0.25">
      <c r="A496" s="22">
        <v>2026</v>
      </c>
      <c r="B496" s="28" t="s">
        <v>167</v>
      </c>
      <c r="C496" s="28" t="s">
        <v>97</v>
      </c>
      <c r="D496" s="28" t="s">
        <v>1725</v>
      </c>
      <c r="E496" s="29" t="s">
        <v>1772</v>
      </c>
      <c r="F496" s="29" t="s">
        <v>325</v>
      </c>
      <c r="G496" s="25" t="s">
        <v>2285</v>
      </c>
      <c r="H496" s="26">
        <v>-0.1333</v>
      </c>
      <c r="I496" s="26"/>
      <c r="J496" s="26" t="s">
        <v>1773</v>
      </c>
      <c r="K496" s="25" t="s">
        <v>513</v>
      </c>
    </row>
    <row r="497" spans="1:11" ht="25.5" x14ac:dyDescent="0.25">
      <c r="A497" s="22">
        <v>2026</v>
      </c>
      <c r="B497" s="28" t="s">
        <v>167</v>
      </c>
      <c r="C497" s="28" t="s">
        <v>97</v>
      </c>
      <c r="D497" s="28" t="s">
        <v>1725</v>
      </c>
      <c r="E497" s="29" t="s">
        <v>1772</v>
      </c>
      <c r="F497" s="29" t="s">
        <v>325</v>
      </c>
      <c r="G497" s="25" t="s">
        <v>2286</v>
      </c>
      <c r="H497" s="26">
        <v>-0.28139999999999998</v>
      </c>
      <c r="I497" s="26"/>
      <c r="J497" s="26" t="s">
        <v>1773</v>
      </c>
      <c r="K497" s="25" t="s">
        <v>513</v>
      </c>
    </row>
    <row r="498" spans="1:11" ht="25.5" x14ac:dyDescent="0.25">
      <c r="A498" s="22">
        <v>2026</v>
      </c>
      <c r="B498" s="28" t="s">
        <v>167</v>
      </c>
      <c r="C498" s="28" t="s">
        <v>97</v>
      </c>
      <c r="D498" s="28" t="s">
        <v>1725</v>
      </c>
      <c r="E498" s="29" t="s">
        <v>1772</v>
      </c>
      <c r="F498" s="29" t="s">
        <v>325</v>
      </c>
      <c r="G498" s="25" t="s">
        <v>2287</v>
      </c>
      <c r="H498" s="26">
        <v>-0.3216</v>
      </c>
      <c r="I498" s="26"/>
      <c r="J498" s="26" t="s">
        <v>1773</v>
      </c>
      <c r="K498" s="25" t="s">
        <v>513</v>
      </c>
    </row>
    <row r="499" spans="1:11" ht="25.5" x14ac:dyDescent="0.25">
      <c r="A499" s="22">
        <v>2026</v>
      </c>
      <c r="B499" s="28" t="s">
        <v>167</v>
      </c>
      <c r="C499" s="28" t="s">
        <v>97</v>
      </c>
      <c r="D499" s="28" t="s">
        <v>1725</v>
      </c>
      <c r="E499" s="29" t="s">
        <v>1772</v>
      </c>
      <c r="F499" s="29" t="s">
        <v>325</v>
      </c>
      <c r="G499" s="25" t="s">
        <v>2288</v>
      </c>
      <c r="H499" s="26">
        <v>-0.18759999999999999</v>
      </c>
      <c r="I499" s="26"/>
      <c r="J499" s="26" t="s">
        <v>1773</v>
      </c>
      <c r="K499" s="25" t="s">
        <v>513</v>
      </c>
    </row>
    <row r="500" spans="1:11" ht="25.5" x14ac:dyDescent="0.25">
      <c r="A500" s="22">
        <v>2026</v>
      </c>
      <c r="B500" s="28" t="s">
        <v>167</v>
      </c>
      <c r="C500" s="28" t="s">
        <v>97</v>
      </c>
      <c r="D500" s="28" t="s">
        <v>1725</v>
      </c>
      <c r="E500" s="29" t="s">
        <v>1772</v>
      </c>
      <c r="F500" s="29" t="s">
        <v>325</v>
      </c>
      <c r="G500" s="25" t="s">
        <v>2289</v>
      </c>
      <c r="H500" s="26">
        <v>-0.26950000000000002</v>
      </c>
      <c r="I500" s="26"/>
      <c r="J500" s="26" t="s">
        <v>1773</v>
      </c>
      <c r="K500" s="25" t="s">
        <v>513</v>
      </c>
    </row>
    <row r="501" spans="1:11" ht="25.5" x14ac:dyDescent="0.25">
      <c r="A501" s="22">
        <v>2026</v>
      </c>
      <c r="B501" s="28" t="s">
        <v>167</v>
      </c>
      <c r="C501" s="28" t="s">
        <v>97</v>
      </c>
      <c r="D501" s="28" t="s">
        <v>1725</v>
      </c>
      <c r="E501" s="29" t="s">
        <v>1772</v>
      </c>
      <c r="F501" s="29" t="s">
        <v>325</v>
      </c>
      <c r="G501" s="25" t="s">
        <v>2290</v>
      </c>
      <c r="H501" s="26">
        <v>-0.27</v>
      </c>
      <c r="I501" s="26"/>
      <c r="J501" s="26" t="s">
        <v>1773</v>
      </c>
      <c r="K501" s="25" t="s">
        <v>513</v>
      </c>
    </row>
    <row r="502" spans="1:11" ht="25.5" x14ac:dyDescent="0.25">
      <c r="A502" s="22">
        <v>2026</v>
      </c>
      <c r="B502" s="28" t="s">
        <v>167</v>
      </c>
      <c r="C502" s="28" t="s">
        <v>97</v>
      </c>
      <c r="D502" s="28" t="s">
        <v>1725</v>
      </c>
      <c r="E502" s="29" t="s">
        <v>1772</v>
      </c>
      <c r="F502" s="29" t="s">
        <v>325</v>
      </c>
      <c r="G502" s="25" t="s">
        <v>2291</v>
      </c>
      <c r="H502" s="26">
        <v>-0.13400000000000001</v>
      </c>
      <c r="I502" s="26"/>
      <c r="J502" s="26" t="s">
        <v>1773</v>
      </c>
      <c r="K502" s="25" t="s">
        <v>513</v>
      </c>
    </row>
    <row r="503" spans="1:11" ht="25.5" x14ac:dyDescent="0.25">
      <c r="A503" s="22">
        <v>2026</v>
      </c>
      <c r="B503" s="28" t="s">
        <v>167</v>
      </c>
      <c r="C503" s="28" t="s">
        <v>97</v>
      </c>
      <c r="D503" s="28" t="s">
        <v>1725</v>
      </c>
      <c r="E503" s="29" t="s">
        <v>1772</v>
      </c>
      <c r="F503" s="29" t="s">
        <v>325</v>
      </c>
      <c r="G503" s="25" t="s">
        <v>2292</v>
      </c>
      <c r="H503" s="26">
        <v>-0.16259999999999999</v>
      </c>
      <c r="I503" s="26"/>
      <c r="J503" s="26" t="s">
        <v>1773</v>
      </c>
      <c r="K503" s="25" t="s">
        <v>513</v>
      </c>
    </row>
    <row r="504" spans="1:11" ht="25.5" x14ac:dyDescent="0.25">
      <c r="A504" s="22">
        <v>2026</v>
      </c>
      <c r="B504" s="28" t="s">
        <v>167</v>
      </c>
      <c r="C504" s="28" t="s">
        <v>97</v>
      </c>
      <c r="D504" s="28" t="s">
        <v>1725</v>
      </c>
      <c r="E504" s="29" t="s">
        <v>1772</v>
      </c>
      <c r="F504" s="29" t="s">
        <v>325</v>
      </c>
      <c r="G504" s="25" t="s">
        <v>2293</v>
      </c>
      <c r="H504" s="26">
        <v>-0.24480000000000002</v>
      </c>
      <c r="I504" s="26"/>
      <c r="J504" s="26" t="s">
        <v>1773</v>
      </c>
      <c r="K504" s="25" t="s">
        <v>513</v>
      </c>
    </row>
    <row r="505" spans="1:11" ht="25.5" x14ac:dyDescent="0.25">
      <c r="A505" s="22">
        <v>2026</v>
      </c>
      <c r="B505" s="28" t="s">
        <v>167</v>
      </c>
      <c r="C505" s="28" t="s">
        <v>97</v>
      </c>
      <c r="D505" s="28" t="s">
        <v>1725</v>
      </c>
      <c r="E505" s="29" t="s">
        <v>1772</v>
      </c>
      <c r="F505" s="29" t="s">
        <v>325</v>
      </c>
      <c r="G505" s="25" t="s">
        <v>2294</v>
      </c>
      <c r="H505" s="26">
        <v>-0.26800000000000002</v>
      </c>
      <c r="I505" s="26"/>
      <c r="J505" s="26" t="s">
        <v>1773</v>
      </c>
      <c r="K505" s="25" t="s">
        <v>513</v>
      </c>
    </row>
    <row r="506" spans="1:11" ht="25.5" x14ac:dyDescent="0.25">
      <c r="A506" s="22">
        <v>2026</v>
      </c>
      <c r="B506" s="28" t="s">
        <v>167</v>
      </c>
      <c r="C506" s="28" t="s">
        <v>97</v>
      </c>
      <c r="D506" s="28" t="s">
        <v>1725</v>
      </c>
      <c r="E506" s="29" t="s">
        <v>1772</v>
      </c>
      <c r="F506" s="29" t="s">
        <v>325</v>
      </c>
      <c r="G506" s="25" t="s">
        <v>2295</v>
      </c>
      <c r="H506" s="26">
        <v>-0.25779839999999998</v>
      </c>
      <c r="I506" s="26"/>
      <c r="J506" s="26" t="s">
        <v>1773</v>
      </c>
      <c r="K506" s="25" t="s">
        <v>513</v>
      </c>
    </row>
    <row r="507" spans="1:11" ht="25.5" x14ac:dyDescent="0.25">
      <c r="A507" s="22">
        <v>2026</v>
      </c>
      <c r="B507" s="28" t="s">
        <v>167</v>
      </c>
      <c r="C507" s="28" t="s">
        <v>97</v>
      </c>
      <c r="D507" s="28" t="s">
        <v>1725</v>
      </c>
      <c r="E507" s="29" t="s">
        <v>1772</v>
      </c>
      <c r="F507" s="29" t="s">
        <v>325</v>
      </c>
      <c r="G507" s="25" t="s">
        <v>2296</v>
      </c>
      <c r="H507" s="26">
        <v>-1.911</v>
      </c>
      <c r="I507" s="26"/>
      <c r="J507" s="26" t="s">
        <v>1773</v>
      </c>
      <c r="K507" s="25" t="s">
        <v>513</v>
      </c>
    </row>
    <row r="508" spans="1:11" ht="25.5" x14ac:dyDescent="0.25">
      <c r="A508" s="22">
        <v>2026</v>
      </c>
      <c r="B508" s="28" t="s">
        <v>167</v>
      </c>
      <c r="C508" s="28" t="s">
        <v>97</v>
      </c>
      <c r="D508" s="28" t="s">
        <v>1725</v>
      </c>
      <c r="E508" s="29" t="s">
        <v>1772</v>
      </c>
      <c r="F508" s="29" t="s">
        <v>325</v>
      </c>
      <c r="G508" s="25" t="s">
        <v>2297</v>
      </c>
      <c r="H508" s="26">
        <v>-0.34250000000000003</v>
      </c>
      <c r="I508" s="26"/>
      <c r="J508" s="26" t="s">
        <v>1773</v>
      </c>
      <c r="K508" s="25" t="s">
        <v>513</v>
      </c>
    </row>
    <row r="509" spans="1:11" ht="25.5" x14ac:dyDescent="0.25">
      <c r="A509" s="22">
        <v>2026</v>
      </c>
      <c r="B509" s="28" t="s">
        <v>167</v>
      </c>
      <c r="C509" s="28" t="s">
        <v>97</v>
      </c>
      <c r="D509" s="28" t="s">
        <v>1725</v>
      </c>
      <c r="E509" s="29" t="s">
        <v>1772</v>
      </c>
      <c r="F509" s="29" t="s">
        <v>325</v>
      </c>
      <c r="G509" s="25" t="s">
        <v>2298</v>
      </c>
      <c r="H509" s="26">
        <v>-2.8895142999999996</v>
      </c>
      <c r="I509" s="26"/>
      <c r="J509" s="26" t="s">
        <v>1773</v>
      </c>
      <c r="K509" s="25" t="s">
        <v>513</v>
      </c>
    </row>
    <row r="510" spans="1:11" ht="25.5" x14ac:dyDescent="0.25">
      <c r="A510" s="22">
        <v>2026</v>
      </c>
      <c r="B510" s="28" t="s">
        <v>167</v>
      </c>
      <c r="C510" s="28" t="s">
        <v>97</v>
      </c>
      <c r="D510" s="28" t="s">
        <v>1725</v>
      </c>
      <c r="E510" s="29" t="s">
        <v>1772</v>
      </c>
      <c r="F510" s="29" t="s">
        <v>325</v>
      </c>
      <c r="G510" s="25" t="s">
        <v>2299</v>
      </c>
      <c r="H510" s="26">
        <v>-0.27600000000000002</v>
      </c>
      <c r="I510" s="26"/>
      <c r="J510" s="26" t="s">
        <v>1773</v>
      </c>
      <c r="K510" s="25" t="s">
        <v>513</v>
      </c>
    </row>
    <row r="511" spans="1:11" ht="25.5" x14ac:dyDescent="0.25">
      <c r="A511" s="22">
        <v>2026</v>
      </c>
      <c r="B511" s="28" t="s">
        <v>167</v>
      </c>
      <c r="C511" s="28" t="s">
        <v>97</v>
      </c>
      <c r="D511" s="28" t="s">
        <v>1725</v>
      </c>
      <c r="E511" s="29" t="s">
        <v>1772</v>
      </c>
      <c r="F511" s="29" t="s">
        <v>325</v>
      </c>
      <c r="G511" s="25" t="s">
        <v>2300</v>
      </c>
      <c r="H511" s="26">
        <v>-9.1079999999999994E-2</v>
      </c>
      <c r="I511" s="26"/>
      <c r="J511" s="26" t="s">
        <v>1773</v>
      </c>
      <c r="K511" s="25" t="s">
        <v>513</v>
      </c>
    </row>
    <row r="512" spans="1:11" ht="25.5" x14ac:dyDescent="0.25">
      <c r="A512" s="22">
        <v>2026</v>
      </c>
      <c r="B512" s="28" t="s">
        <v>167</v>
      </c>
      <c r="C512" s="28" t="s">
        <v>97</v>
      </c>
      <c r="D512" s="28" t="s">
        <v>1786</v>
      </c>
      <c r="E512" s="29" t="s">
        <v>1772</v>
      </c>
      <c r="F512" s="29" t="s">
        <v>325</v>
      </c>
      <c r="G512" s="25" t="s">
        <v>2301</v>
      </c>
      <c r="H512" s="26">
        <v>-9.5200000000000007E-2</v>
      </c>
      <c r="I512" s="26"/>
      <c r="J512" s="26" t="s">
        <v>1773</v>
      </c>
      <c r="K512" s="25" t="s">
        <v>513</v>
      </c>
    </row>
    <row r="513" spans="1:11" ht="25.5" x14ac:dyDescent="0.25">
      <c r="A513" s="22">
        <v>2026</v>
      </c>
      <c r="B513" s="28" t="s">
        <v>167</v>
      </c>
      <c r="C513" s="28" t="s">
        <v>97</v>
      </c>
      <c r="D513" s="28" t="s">
        <v>1786</v>
      </c>
      <c r="E513" s="29" t="s">
        <v>1772</v>
      </c>
      <c r="F513" s="29" t="s">
        <v>325</v>
      </c>
      <c r="G513" s="25" t="s">
        <v>2302</v>
      </c>
      <c r="H513" s="26">
        <v>-0.18492</v>
      </c>
      <c r="I513" s="26"/>
      <c r="J513" s="26" t="s">
        <v>1773</v>
      </c>
      <c r="K513" s="25" t="s">
        <v>513</v>
      </c>
    </row>
    <row r="514" spans="1:11" ht="25.5" x14ac:dyDescent="0.25">
      <c r="A514" s="22">
        <v>2026</v>
      </c>
      <c r="B514" s="28" t="s">
        <v>167</v>
      </c>
      <c r="C514" s="28" t="s">
        <v>97</v>
      </c>
      <c r="D514" s="28" t="s">
        <v>272</v>
      </c>
      <c r="E514" s="29" t="s">
        <v>500</v>
      </c>
      <c r="F514" s="29" t="s">
        <v>284</v>
      </c>
      <c r="G514" s="25" t="s">
        <v>2303</v>
      </c>
      <c r="H514" s="26">
        <v>-0.39098500000000003</v>
      </c>
      <c r="I514" s="26"/>
      <c r="J514" s="26" t="s">
        <v>514</v>
      </c>
      <c r="K514" s="25" t="s">
        <v>513</v>
      </c>
    </row>
    <row r="515" spans="1:11" ht="25.5" x14ac:dyDescent="0.25">
      <c r="A515" s="22">
        <v>2026</v>
      </c>
      <c r="B515" s="28" t="s">
        <v>167</v>
      </c>
      <c r="C515" s="28" t="s">
        <v>97</v>
      </c>
      <c r="D515" s="28" t="s">
        <v>272</v>
      </c>
      <c r="E515" s="29" t="s">
        <v>500</v>
      </c>
      <c r="F515" s="29" t="s">
        <v>284</v>
      </c>
      <c r="G515" s="25" t="s">
        <v>2304</v>
      </c>
      <c r="H515" s="26">
        <v>-0.39976324019999998</v>
      </c>
      <c r="I515" s="26"/>
      <c r="J515" s="26" t="s">
        <v>514</v>
      </c>
      <c r="K515" s="25" t="s">
        <v>513</v>
      </c>
    </row>
    <row r="516" spans="1:11" ht="25.5" x14ac:dyDescent="0.25">
      <c r="A516" s="22">
        <v>2026</v>
      </c>
      <c r="B516" s="28" t="s">
        <v>167</v>
      </c>
      <c r="C516" s="28" t="s">
        <v>97</v>
      </c>
      <c r="D516" s="28" t="s">
        <v>272</v>
      </c>
      <c r="E516" s="29" t="s">
        <v>500</v>
      </c>
      <c r="F516" s="29" t="s">
        <v>284</v>
      </c>
      <c r="G516" s="25" t="s">
        <v>2305</v>
      </c>
      <c r="H516" s="26">
        <v>-0.39495582000000001</v>
      </c>
      <c r="I516" s="26"/>
      <c r="J516" s="26" t="s">
        <v>514</v>
      </c>
      <c r="K516" s="25" t="s">
        <v>513</v>
      </c>
    </row>
    <row r="517" spans="1:11" ht="25.5" x14ac:dyDescent="0.25">
      <c r="A517" s="22">
        <v>2026</v>
      </c>
      <c r="B517" s="28" t="s">
        <v>167</v>
      </c>
      <c r="C517" s="28" t="s">
        <v>97</v>
      </c>
      <c r="D517" s="28" t="s">
        <v>272</v>
      </c>
      <c r="E517" s="29" t="s">
        <v>500</v>
      </c>
      <c r="F517" s="29" t="s">
        <v>284</v>
      </c>
      <c r="G517" s="25" t="s">
        <v>2306</v>
      </c>
      <c r="H517" s="26">
        <v>-0.39208625000000003</v>
      </c>
      <c r="I517" s="26"/>
      <c r="J517" s="26" t="s">
        <v>514</v>
      </c>
      <c r="K517" s="25" t="s">
        <v>513</v>
      </c>
    </row>
    <row r="518" spans="1:11" ht="25.5" x14ac:dyDescent="0.25">
      <c r="A518" s="22">
        <v>2026</v>
      </c>
      <c r="B518" s="28" t="s">
        <v>167</v>
      </c>
      <c r="C518" s="28" t="s">
        <v>97</v>
      </c>
      <c r="D518" s="28" t="s">
        <v>272</v>
      </c>
      <c r="E518" s="29" t="s">
        <v>500</v>
      </c>
      <c r="F518" s="29" t="s">
        <v>284</v>
      </c>
      <c r="G518" s="25" t="s">
        <v>2307</v>
      </c>
      <c r="H518" s="26">
        <v>-0.38807406699999997</v>
      </c>
      <c r="I518" s="26"/>
      <c r="J518" s="26" t="s">
        <v>514</v>
      </c>
      <c r="K518" s="25" t="s">
        <v>513</v>
      </c>
    </row>
    <row r="519" spans="1:11" ht="25.5" x14ac:dyDescent="0.25">
      <c r="A519" s="22">
        <v>2026</v>
      </c>
      <c r="B519" s="28" t="s">
        <v>167</v>
      </c>
      <c r="C519" s="28" t="s">
        <v>97</v>
      </c>
      <c r="D519" s="28" t="s">
        <v>272</v>
      </c>
      <c r="E519" s="29" t="s">
        <v>500</v>
      </c>
      <c r="F519" s="29" t="s">
        <v>284</v>
      </c>
      <c r="G519" s="25" t="s">
        <v>2308</v>
      </c>
      <c r="H519" s="26">
        <v>-0.39172561449999999</v>
      </c>
      <c r="I519" s="26"/>
      <c r="J519" s="26" t="s">
        <v>514</v>
      </c>
      <c r="K519" s="25" t="s">
        <v>513</v>
      </c>
    </row>
    <row r="520" spans="1:11" ht="25.5" x14ac:dyDescent="0.25">
      <c r="A520" s="22">
        <v>2026</v>
      </c>
      <c r="B520" s="28" t="s">
        <v>167</v>
      </c>
      <c r="C520" s="28" t="s">
        <v>97</v>
      </c>
      <c r="D520" s="28" t="s">
        <v>272</v>
      </c>
      <c r="E520" s="29" t="s">
        <v>500</v>
      </c>
      <c r="F520" s="29" t="s">
        <v>284</v>
      </c>
      <c r="G520" s="25" t="s">
        <v>2309</v>
      </c>
      <c r="H520" s="26">
        <v>-0.39939775890000001</v>
      </c>
      <c r="I520" s="26"/>
      <c r="J520" s="26" t="s">
        <v>514</v>
      </c>
      <c r="K520" s="25" t="s">
        <v>513</v>
      </c>
    </row>
    <row r="521" spans="1:11" ht="25.5" x14ac:dyDescent="0.25">
      <c r="A521" s="22">
        <v>2026</v>
      </c>
      <c r="B521" s="28" t="s">
        <v>167</v>
      </c>
      <c r="C521" s="28" t="s">
        <v>97</v>
      </c>
      <c r="D521" s="28" t="s">
        <v>272</v>
      </c>
      <c r="E521" s="29" t="s">
        <v>500</v>
      </c>
      <c r="F521" s="29" t="s">
        <v>284</v>
      </c>
      <c r="G521" s="25" t="s">
        <v>2310</v>
      </c>
      <c r="H521" s="26">
        <v>-0.39337</v>
      </c>
      <c r="I521" s="26"/>
      <c r="J521" s="26" t="s">
        <v>514</v>
      </c>
      <c r="K521" s="25" t="s">
        <v>513</v>
      </c>
    </row>
    <row r="522" spans="1:11" ht="25.5" x14ac:dyDescent="0.25">
      <c r="A522" s="22">
        <v>2026</v>
      </c>
      <c r="B522" s="28" t="s">
        <v>167</v>
      </c>
      <c r="C522" s="28" t="s">
        <v>97</v>
      </c>
      <c r="D522" s="28" t="s">
        <v>272</v>
      </c>
      <c r="E522" s="29" t="s">
        <v>500</v>
      </c>
      <c r="F522" s="29" t="s">
        <v>284</v>
      </c>
      <c r="G522" s="25" t="s">
        <v>2311</v>
      </c>
      <c r="H522" s="26">
        <v>-0.39102375</v>
      </c>
      <c r="I522" s="26"/>
      <c r="J522" s="26" t="s">
        <v>514</v>
      </c>
      <c r="K522" s="25" t="s">
        <v>513</v>
      </c>
    </row>
    <row r="523" spans="1:11" ht="25.5" x14ac:dyDescent="0.25">
      <c r="A523" s="22">
        <v>2026</v>
      </c>
      <c r="B523" s="28" t="s">
        <v>167</v>
      </c>
      <c r="C523" s="28" t="s">
        <v>97</v>
      </c>
      <c r="D523" s="28" t="s">
        <v>272</v>
      </c>
      <c r="E523" s="29" t="s">
        <v>500</v>
      </c>
      <c r="F523" s="29" t="s">
        <v>284</v>
      </c>
      <c r="G523" s="25" t="s">
        <v>2312</v>
      </c>
      <c r="H523" s="26">
        <v>-0.39401000000000003</v>
      </c>
      <c r="I523" s="26"/>
      <c r="J523" s="26" t="s">
        <v>514</v>
      </c>
      <c r="K523" s="25" t="s">
        <v>513</v>
      </c>
    </row>
    <row r="524" spans="1:11" ht="25.5" x14ac:dyDescent="0.25">
      <c r="A524" s="22">
        <v>2026</v>
      </c>
      <c r="B524" s="28" t="s">
        <v>167</v>
      </c>
      <c r="C524" s="28" t="s">
        <v>97</v>
      </c>
      <c r="D524" s="28" t="s">
        <v>272</v>
      </c>
      <c r="E524" s="29" t="s">
        <v>500</v>
      </c>
      <c r="F524" s="29" t="s">
        <v>284</v>
      </c>
      <c r="G524" s="25" t="s">
        <v>2313</v>
      </c>
      <c r="H524" s="26">
        <v>-0.40183154999999998</v>
      </c>
      <c r="I524" s="26"/>
      <c r="J524" s="26" t="s">
        <v>514</v>
      </c>
      <c r="K524" s="25" t="s">
        <v>513</v>
      </c>
    </row>
    <row r="525" spans="1:11" ht="25.5" x14ac:dyDescent="0.25">
      <c r="A525" s="22">
        <v>2026</v>
      </c>
      <c r="B525" s="28" t="s">
        <v>167</v>
      </c>
      <c r="C525" s="28" t="s">
        <v>97</v>
      </c>
      <c r="D525" s="28" t="s">
        <v>272</v>
      </c>
      <c r="E525" s="29" t="s">
        <v>500</v>
      </c>
      <c r="F525" s="29" t="s">
        <v>284</v>
      </c>
      <c r="G525" s="25" t="s">
        <v>2314</v>
      </c>
      <c r="H525" s="26">
        <v>-0.40186752000000003</v>
      </c>
      <c r="I525" s="26"/>
      <c r="J525" s="26" t="s">
        <v>514</v>
      </c>
      <c r="K525" s="25" t="s">
        <v>513</v>
      </c>
    </row>
    <row r="526" spans="1:11" ht="25.5" x14ac:dyDescent="0.25">
      <c r="A526" s="22">
        <v>2026</v>
      </c>
      <c r="B526" s="28" t="s">
        <v>167</v>
      </c>
      <c r="C526" s="28" t="s">
        <v>97</v>
      </c>
      <c r="D526" s="28" t="s">
        <v>272</v>
      </c>
      <c r="E526" s="29" t="s">
        <v>500</v>
      </c>
      <c r="F526" s="29" t="s">
        <v>284</v>
      </c>
      <c r="G526" s="25" t="s">
        <v>2315</v>
      </c>
      <c r="H526" s="26">
        <v>-0.39971760000000006</v>
      </c>
      <c r="I526" s="26"/>
      <c r="J526" s="26" t="s">
        <v>514</v>
      </c>
      <c r="K526" s="25" t="s">
        <v>513</v>
      </c>
    </row>
    <row r="527" spans="1:11" ht="25.5" x14ac:dyDescent="0.25">
      <c r="A527" s="22">
        <v>2026</v>
      </c>
      <c r="B527" s="28" t="s">
        <v>167</v>
      </c>
      <c r="C527" s="28" t="s">
        <v>97</v>
      </c>
      <c r="D527" s="28" t="s">
        <v>272</v>
      </c>
      <c r="E527" s="29" t="s">
        <v>500</v>
      </c>
      <c r="F527" s="29" t="s">
        <v>284</v>
      </c>
      <c r="G527" s="25" t="s">
        <v>2316</v>
      </c>
      <c r="H527" s="26">
        <v>-0.40430336000000006</v>
      </c>
      <c r="I527" s="26"/>
      <c r="J527" s="26" t="s">
        <v>514</v>
      </c>
      <c r="K527" s="25" t="s">
        <v>513</v>
      </c>
    </row>
    <row r="528" spans="1:11" ht="25.5" x14ac:dyDescent="0.25">
      <c r="A528" s="22">
        <v>2026</v>
      </c>
      <c r="B528" s="28" t="s">
        <v>167</v>
      </c>
      <c r="C528" s="28" t="s">
        <v>97</v>
      </c>
      <c r="D528" s="28" t="s">
        <v>272</v>
      </c>
      <c r="E528" s="29" t="s">
        <v>500</v>
      </c>
      <c r="F528" s="29" t="s">
        <v>284</v>
      </c>
      <c r="G528" s="25" t="s">
        <v>2317</v>
      </c>
      <c r="H528" s="26">
        <v>-0.42191069919999996</v>
      </c>
      <c r="I528" s="26"/>
      <c r="J528" s="26" t="s">
        <v>514</v>
      </c>
      <c r="K528" s="25" t="s">
        <v>513</v>
      </c>
    </row>
    <row r="529" spans="1:11" ht="25.5" x14ac:dyDescent="0.25">
      <c r="A529" s="22">
        <v>2026</v>
      </c>
      <c r="B529" s="28" t="s">
        <v>167</v>
      </c>
      <c r="C529" s="28" t="s">
        <v>97</v>
      </c>
      <c r="D529" s="28" t="s">
        <v>272</v>
      </c>
      <c r="E529" s="29" t="s">
        <v>500</v>
      </c>
      <c r="F529" s="29" t="s">
        <v>284</v>
      </c>
      <c r="G529" s="25" t="s">
        <v>2318</v>
      </c>
      <c r="H529" s="26">
        <v>-0.32077</v>
      </c>
      <c r="I529" s="26"/>
      <c r="J529" s="26" t="s">
        <v>514</v>
      </c>
      <c r="K529" s="25" t="s">
        <v>513</v>
      </c>
    </row>
    <row r="530" spans="1:11" ht="25.5" x14ac:dyDescent="0.25">
      <c r="A530" s="22">
        <v>2026</v>
      </c>
      <c r="B530" s="28" t="s">
        <v>167</v>
      </c>
      <c r="C530" s="28" t="s">
        <v>97</v>
      </c>
      <c r="D530" s="28" t="s">
        <v>272</v>
      </c>
      <c r="E530" s="29" t="s">
        <v>500</v>
      </c>
      <c r="F530" s="29" t="s">
        <v>284</v>
      </c>
      <c r="G530" s="25" t="s">
        <v>2319</v>
      </c>
      <c r="H530" s="26">
        <v>-0.38333879999999998</v>
      </c>
      <c r="I530" s="26"/>
      <c r="J530" s="26" t="s">
        <v>514</v>
      </c>
      <c r="K530" s="25" t="s">
        <v>513</v>
      </c>
    </row>
    <row r="531" spans="1:11" ht="25.5" x14ac:dyDescent="0.25">
      <c r="A531" s="22">
        <v>2026</v>
      </c>
      <c r="B531" s="28" t="s">
        <v>167</v>
      </c>
      <c r="C531" s="28" t="s">
        <v>97</v>
      </c>
      <c r="D531" s="28" t="s">
        <v>272</v>
      </c>
      <c r="E531" s="29" t="s">
        <v>500</v>
      </c>
      <c r="F531" s="29" t="s">
        <v>284</v>
      </c>
      <c r="G531" s="25" t="s">
        <v>2320</v>
      </c>
      <c r="H531" s="26">
        <v>-0.40807005000000007</v>
      </c>
      <c r="I531" s="26"/>
      <c r="J531" s="26" t="s">
        <v>514</v>
      </c>
      <c r="K531" s="25" t="s">
        <v>513</v>
      </c>
    </row>
    <row r="532" spans="1:11" ht="25.5" x14ac:dyDescent="0.25">
      <c r="A532" s="22">
        <v>2026</v>
      </c>
      <c r="B532" s="28" t="s">
        <v>167</v>
      </c>
      <c r="C532" s="28" t="s">
        <v>97</v>
      </c>
      <c r="D532" s="28" t="s">
        <v>272</v>
      </c>
      <c r="E532" s="29" t="s">
        <v>500</v>
      </c>
      <c r="F532" s="29" t="s">
        <v>284</v>
      </c>
      <c r="G532" s="25" t="s">
        <v>2321</v>
      </c>
      <c r="H532" s="26">
        <v>-0.39907124999999999</v>
      </c>
      <c r="I532" s="26"/>
      <c r="J532" s="26" t="s">
        <v>514</v>
      </c>
      <c r="K532" s="25" t="s">
        <v>513</v>
      </c>
    </row>
    <row r="533" spans="1:11" ht="25.5" x14ac:dyDescent="0.25">
      <c r="A533" s="22">
        <v>2026</v>
      </c>
      <c r="B533" s="28" t="s">
        <v>167</v>
      </c>
      <c r="C533" s="28" t="s">
        <v>97</v>
      </c>
      <c r="D533" s="28" t="s">
        <v>272</v>
      </c>
      <c r="E533" s="29" t="s">
        <v>500</v>
      </c>
      <c r="F533" s="29" t="s">
        <v>284</v>
      </c>
      <c r="G533" s="25" t="s">
        <v>2322</v>
      </c>
      <c r="H533" s="26">
        <v>-0.39426375000000002</v>
      </c>
      <c r="I533" s="26"/>
      <c r="J533" s="26" t="s">
        <v>514</v>
      </c>
      <c r="K533" s="25" t="s">
        <v>513</v>
      </c>
    </row>
    <row r="534" spans="1:11" ht="25.5" x14ac:dyDescent="0.25">
      <c r="A534" s="22">
        <v>2026</v>
      </c>
      <c r="B534" s="28" t="s">
        <v>167</v>
      </c>
      <c r="C534" s="28" t="s">
        <v>97</v>
      </c>
      <c r="D534" s="28" t="s">
        <v>272</v>
      </c>
      <c r="E534" s="29" t="s">
        <v>500</v>
      </c>
      <c r="F534" s="29" t="s">
        <v>284</v>
      </c>
      <c r="G534" s="25" t="s">
        <v>2323</v>
      </c>
      <c r="H534" s="26">
        <v>-0.39471768000000002</v>
      </c>
      <c r="I534" s="26"/>
      <c r="J534" s="26" t="s">
        <v>514</v>
      </c>
      <c r="K534" s="25" t="s">
        <v>513</v>
      </c>
    </row>
    <row r="535" spans="1:11" ht="25.5" x14ac:dyDescent="0.25">
      <c r="A535" s="22">
        <v>2026</v>
      </c>
      <c r="B535" s="28" t="s">
        <v>167</v>
      </c>
      <c r="C535" s="28" t="s">
        <v>97</v>
      </c>
      <c r="D535" s="28" t="s">
        <v>1726</v>
      </c>
      <c r="E535" s="29" t="s">
        <v>569</v>
      </c>
      <c r="F535" s="29" t="s">
        <v>343</v>
      </c>
      <c r="G535" s="25" t="s">
        <v>2324</v>
      </c>
      <c r="H535" s="26">
        <v>-4.3450000000000003E-2</v>
      </c>
      <c r="I535" s="26"/>
      <c r="J535" s="26" t="s">
        <v>512</v>
      </c>
      <c r="K535" s="25" t="s">
        <v>513</v>
      </c>
    </row>
    <row r="536" spans="1:11" ht="25.5" x14ac:dyDescent="0.25">
      <c r="A536" s="22">
        <v>2026</v>
      </c>
      <c r="B536" s="28" t="s">
        <v>167</v>
      </c>
      <c r="C536" s="28" t="s">
        <v>97</v>
      </c>
      <c r="D536" s="28" t="s">
        <v>1726</v>
      </c>
      <c r="E536" s="29" t="s">
        <v>569</v>
      </c>
      <c r="F536" s="29" t="s">
        <v>343</v>
      </c>
      <c r="G536" s="25" t="s">
        <v>2325</v>
      </c>
      <c r="H536" s="26">
        <v>-0.26664888799999997</v>
      </c>
      <c r="I536" s="26"/>
      <c r="J536" s="26" t="s">
        <v>512</v>
      </c>
      <c r="K536" s="25" t="s">
        <v>513</v>
      </c>
    </row>
    <row r="537" spans="1:11" ht="25.5" x14ac:dyDescent="0.25">
      <c r="A537" s="22">
        <v>2026</v>
      </c>
      <c r="B537" s="28" t="s">
        <v>167</v>
      </c>
      <c r="C537" s="28" t="s">
        <v>97</v>
      </c>
      <c r="D537" s="28" t="s">
        <v>1726</v>
      </c>
      <c r="E537" s="29" t="s">
        <v>569</v>
      </c>
      <c r="F537" s="29" t="s">
        <v>343</v>
      </c>
      <c r="G537" s="25" t="s">
        <v>2326</v>
      </c>
      <c r="H537" s="26">
        <v>-0.39278581964999998</v>
      </c>
      <c r="I537" s="26"/>
      <c r="J537" s="26" t="s">
        <v>512</v>
      </c>
      <c r="K537" s="25" t="s">
        <v>513</v>
      </c>
    </row>
    <row r="538" spans="1:11" ht="25.5" x14ac:dyDescent="0.25">
      <c r="A538" s="22">
        <v>2026</v>
      </c>
      <c r="B538" s="28" t="s">
        <v>167</v>
      </c>
      <c r="C538" s="28" t="s">
        <v>97</v>
      </c>
      <c r="D538" s="28" t="s">
        <v>533</v>
      </c>
      <c r="E538" s="29" t="s">
        <v>554</v>
      </c>
      <c r="F538" s="29" t="s">
        <v>284</v>
      </c>
      <c r="G538" s="25" t="s">
        <v>2327</v>
      </c>
      <c r="H538" s="26">
        <v>-2.1</v>
      </c>
      <c r="I538" s="26"/>
      <c r="J538" s="26" t="s">
        <v>512</v>
      </c>
      <c r="K538" s="25" t="s">
        <v>513</v>
      </c>
    </row>
    <row r="539" spans="1:11" ht="25.5" x14ac:dyDescent="0.25">
      <c r="A539" s="22">
        <v>2026</v>
      </c>
      <c r="B539" s="28" t="s">
        <v>167</v>
      </c>
      <c r="C539" s="28" t="s">
        <v>97</v>
      </c>
      <c r="D539" s="28" t="s">
        <v>533</v>
      </c>
      <c r="E539" s="29" t="s">
        <v>554</v>
      </c>
      <c r="F539" s="29" t="s">
        <v>284</v>
      </c>
      <c r="G539" s="25" t="s">
        <v>2328</v>
      </c>
      <c r="H539" s="26">
        <v>-0.1489</v>
      </c>
      <c r="I539" s="26"/>
      <c r="J539" s="26" t="s">
        <v>512</v>
      </c>
      <c r="K539" s="25" t="s">
        <v>513</v>
      </c>
    </row>
    <row r="540" spans="1:11" ht="25.5" x14ac:dyDescent="0.25">
      <c r="A540" s="22">
        <v>2026</v>
      </c>
      <c r="B540" s="28" t="s">
        <v>167</v>
      </c>
      <c r="C540" s="28" t="s">
        <v>97</v>
      </c>
      <c r="D540" s="28" t="s">
        <v>533</v>
      </c>
      <c r="E540" s="29" t="s">
        <v>554</v>
      </c>
      <c r="F540" s="29" t="s">
        <v>284</v>
      </c>
      <c r="G540" s="25" t="s">
        <v>2329</v>
      </c>
      <c r="H540" s="26">
        <v>-0.15340000000000001</v>
      </c>
      <c r="I540" s="26"/>
      <c r="J540" s="26" t="s">
        <v>512</v>
      </c>
      <c r="K540" s="25" t="s">
        <v>513</v>
      </c>
    </row>
    <row r="541" spans="1:11" ht="25.5" x14ac:dyDescent="0.25">
      <c r="A541" s="22">
        <v>2026</v>
      </c>
      <c r="B541" s="28" t="s">
        <v>167</v>
      </c>
      <c r="C541" s="28" t="s">
        <v>97</v>
      </c>
      <c r="D541" s="28" t="s">
        <v>533</v>
      </c>
      <c r="E541" s="29" t="s">
        <v>554</v>
      </c>
      <c r="F541" s="29" t="s">
        <v>284</v>
      </c>
      <c r="G541" s="25" t="s">
        <v>2330</v>
      </c>
      <c r="H541" s="26">
        <v>-0.1532</v>
      </c>
      <c r="I541" s="26"/>
      <c r="J541" s="26" t="s">
        <v>512</v>
      </c>
      <c r="K541" s="25" t="s">
        <v>513</v>
      </c>
    </row>
    <row r="542" spans="1:11" ht="25.5" x14ac:dyDescent="0.25">
      <c r="A542" s="22">
        <v>2026</v>
      </c>
      <c r="B542" s="28" t="s">
        <v>167</v>
      </c>
      <c r="C542" s="28" t="s">
        <v>97</v>
      </c>
      <c r="D542" s="28" t="s">
        <v>1727</v>
      </c>
      <c r="E542" s="29" t="s">
        <v>305</v>
      </c>
      <c r="F542" s="29" t="s">
        <v>903</v>
      </c>
      <c r="G542" s="25" t="s">
        <v>2331</v>
      </c>
      <c r="H542" s="26">
        <v>-8.2000000000000003E-2</v>
      </c>
      <c r="I542" s="26"/>
      <c r="J542" s="26" t="s">
        <v>514</v>
      </c>
      <c r="K542" s="25" t="s">
        <v>513</v>
      </c>
    </row>
    <row r="543" spans="1:11" ht="25.5" x14ac:dyDescent="0.25">
      <c r="A543" s="22">
        <v>2026</v>
      </c>
      <c r="B543" s="28" t="s">
        <v>167</v>
      </c>
      <c r="C543" s="28" t="s">
        <v>97</v>
      </c>
      <c r="D543" s="28" t="s">
        <v>1727</v>
      </c>
      <c r="E543" s="29" t="s">
        <v>305</v>
      </c>
      <c r="F543" s="29" t="s">
        <v>903</v>
      </c>
      <c r="G543" s="25" t="s">
        <v>2332</v>
      </c>
      <c r="H543" s="26">
        <v>-4.1000000000000002E-2</v>
      </c>
      <c r="I543" s="26"/>
      <c r="J543" s="26" t="s">
        <v>514</v>
      </c>
      <c r="K543" s="25" t="s">
        <v>513</v>
      </c>
    </row>
    <row r="544" spans="1:11" ht="25.5" x14ac:dyDescent="0.25">
      <c r="A544" s="22">
        <v>2026</v>
      </c>
      <c r="B544" s="28" t="s">
        <v>167</v>
      </c>
      <c r="C544" s="28" t="s">
        <v>97</v>
      </c>
      <c r="D544" s="28" t="s">
        <v>1727</v>
      </c>
      <c r="E544" s="29" t="s">
        <v>305</v>
      </c>
      <c r="F544" s="29" t="s">
        <v>903</v>
      </c>
      <c r="G544" s="25" t="s">
        <v>2333</v>
      </c>
      <c r="H544" s="26">
        <v>-4.4240000000000002E-2</v>
      </c>
      <c r="I544" s="26"/>
      <c r="J544" s="26" t="s">
        <v>514</v>
      </c>
      <c r="K544" s="25" t="s">
        <v>513</v>
      </c>
    </row>
    <row r="545" spans="1:11" ht="25.5" x14ac:dyDescent="0.25">
      <c r="A545" s="22">
        <v>2026</v>
      </c>
      <c r="B545" s="28" t="s">
        <v>167</v>
      </c>
      <c r="C545" s="28" t="s">
        <v>97</v>
      </c>
      <c r="D545" s="28" t="s">
        <v>1727</v>
      </c>
      <c r="E545" s="29" t="s">
        <v>305</v>
      </c>
      <c r="F545" s="29" t="s">
        <v>903</v>
      </c>
      <c r="G545" s="25" t="s">
        <v>2334</v>
      </c>
      <c r="H545" s="26">
        <v>-0.11085200000000001</v>
      </c>
      <c r="I545" s="26"/>
      <c r="J545" s="26" t="s">
        <v>514</v>
      </c>
      <c r="K545" s="25" t="s">
        <v>513</v>
      </c>
    </row>
    <row r="546" spans="1:11" ht="25.5" x14ac:dyDescent="0.25">
      <c r="A546" s="22">
        <v>2026</v>
      </c>
      <c r="B546" s="28" t="s">
        <v>167</v>
      </c>
      <c r="C546" s="28" t="s">
        <v>97</v>
      </c>
      <c r="D546" s="28" t="s">
        <v>1727</v>
      </c>
      <c r="E546" s="29" t="s">
        <v>305</v>
      </c>
      <c r="F546" s="29" t="s">
        <v>903</v>
      </c>
      <c r="G546" s="25" t="s">
        <v>2335</v>
      </c>
      <c r="H546" s="26">
        <v>-0.1925</v>
      </c>
      <c r="I546" s="26"/>
      <c r="J546" s="26" t="s">
        <v>514</v>
      </c>
      <c r="K546" s="25" t="s">
        <v>513</v>
      </c>
    </row>
    <row r="547" spans="1:11" ht="25.5" x14ac:dyDescent="0.25">
      <c r="A547" s="22">
        <v>2026</v>
      </c>
      <c r="B547" s="28" t="s">
        <v>167</v>
      </c>
      <c r="C547" s="28" t="s">
        <v>97</v>
      </c>
      <c r="D547" s="28" t="s">
        <v>1727</v>
      </c>
      <c r="E547" s="29" t="s">
        <v>305</v>
      </c>
      <c r="F547" s="29" t="s">
        <v>903</v>
      </c>
      <c r="G547" s="25" t="s">
        <v>2336</v>
      </c>
      <c r="H547" s="26">
        <v>-7.6939999999999995E-2</v>
      </c>
      <c r="I547" s="26"/>
      <c r="J547" s="26" t="s">
        <v>514</v>
      </c>
      <c r="K547" s="25" t="s">
        <v>513</v>
      </c>
    </row>
    <row r="548" spans="1:11" ht="25.5" x14ac:dyDescent="0.25">
      <c r="A548" s="22">
        <v>2026</v>
      </c>
      <c r="B548" s="28" t="s">
        <v>167</v>
      </c>
      <c r="C548" s="28" t="s">
        <v>97</v>
      </c>
      <c r="D548" s="28" t="s">
        <v>1728</v>
      </c>
      <c r="E548" s="29" t="s">
        <v>1775</v>
      </c>
      <c r="F548" s="29" t="s">
        <v>374</v>
      </c>
      <c r="G548" s="25" t="s">
        <v>2337</v>
      </c>
      <c r="H548" s="26">
        <v>-0.31225000000000003</v>
      </c>
      <c r="I548" s="26"/>
      <c r="J548" s="26" t="s">
        <v>514</v>
      </c>
      <c r="K548" s="25" t="s">
        <v>513</v>
      </c>
    </row>
    <row r="549" spans="1:11" ht="25.5" x14ac:dyDescent="0.25">
      <c r="A549" s="22">
        <v>2026</v>
      </c>
      <c r="B549" s="28" t="s">
        <v>167</v>
      </c>
      <c r="C549" s="28" t="s">
        <v>97</v>
      </c>
      <c r="D549" s="28" t="s">
        <v>1728</v>
      </c>
      <c r="E549" s="29" t="s">
        <v>1775</v>
      </c>
      <c r="F549" s="29" t="s">
        <v>374</v>
      </c>
      <c r="G549" s="25" t="s">
        <v>2338</v>
      </c>
      <c r="H549" s="26">
        <v>-0.3125</v>
      </c>
      <c r="I549" s="26"/>
      <c r="J549" s="26" t="s">
        <v>514</v>
      </c>
      <c r="K549" s="25" t="s">
        <v>513</v>
      </c>
    </row>
    <row r="550" spans="1:11" ht="25.5" x14ac:dyDescent="0.25">
      <c r="A550" s="22">
        <v>2026</v>
      </c>
      <c r="B550" s="28" t="s">
        <v>167</v>
      </c>
      <c r="C550" s="28" t="s">
        <v>97</v>
      </c>
      <c r="D550" s="28" t="s">
        <v>1728</v>
      </c>
      <c r="E550" s="29" t="s">
        <v>1775</v>
      </c>
      <c r="F550" s="29" t="s">
        <v>374</v>
      </c>
      <c r="G550" s="25" t="s">
        <v>2339</v>
      </c>
      <c r="H550" s="26">
        <v>-0.37470000000000003</v>
      </c>
      <c r="I550" s="26"/>
      <c r="J550" s="26" t="s">
        <v>514</v>
      </c>
      <c r="K550" s="25" t="s">
        <v>513</v>
      </c>
    </row>
    <row r="551" spans="1:11" ht="25.5" x14ac:dyDescent="0.25">
      <c r="A551" s="22">
        <v>2026</v>
      </c>
      <c r="B551" s="28" t="s">
        <v>167</v>
      </c>
      <c r="C551" s="28" t="s">
        <v>97</v>
      </c>
      <c r="D551" s="28" t="s">
        <v>1728</v>
      </c>
      <c r="E551" s="29" t="s">
        <v>1775</v>
      </c>
      <c r="F551" s="29" t="s">
        <v>374</v>
      </c>
      <c r="G551" s="25" t="s">
        <v>2340</v>
      </c>
      <c r="H551" s="26">
        <v>-0.33776999999999996</v>
      </c>
      <c r="I551" s="26"/>
      <c r="J551" s="26" t="s">
        <v>514</v>
      </c>
      <c r="K551" s="25" t="s">
        <v>513</v>
      </c>
    </row>
    <row r="552" spans="1:11" ht="25.5" x14ac:dyDescent="0.25">
      <c r="A552" s="22">
        <v>2026</v>
      </c>
      <c r="B552" s="28" t="s">
        <v>167</v>
      </c>
      <c r="C552" s="28" t="s">
        <v>97</v>
      </c>
      <c r="D552" s="28" t="s">
        <v>1728</v>
      </c>
      <c r="E552" s="29" t="s">
        <v>1775</v>
      </c>
      <c r="F552" s="29" t="s">
        <v>374</v>
      </c>
      <c r="G552" s="25" t="s">
        <v>2341</v>
      </c>
      <c r="H552" s="26">
        <v>-0.37829999999999991</v>
      </c>
      <c r="I552" s="26"/>
      <c r="J552" s="26" t="s">
        <v>514</v>
      </c>
      <c r="K552" s="25" t="s">
        <v>513</v>
      </c>
    </row>
    <row r="553" spans="1:11" ht="25.5" x14ac:dyDescent="0.25">
      <c r="A553" s="22">
        <v>2026</v>
      </c>
      <c r="B553" s="28" t="s">
        <v>167</v>
      </c>
      <c r="C553" s="28" t="s">
        <v>97</v>
      </c>
      <c r="D553" s="28" t="s">
        <v>1728</v>
      </c>
      <c r="E553" s="29" t="s">
        <v>1775</v>
      </c>
      <c r="F553" s="29" t="s">
        <v>374</v>
      </c>
      <c r="G553" s="25" t="s">
        <v>2342</v>
      </c>
      <c r="H553" s="26">
        <v>-0.31674999999999998</v>
      </c>
      <c r="I553" s="26"/>
      <c r="J553" s="26" t="s">
        <v>514</v>
      </c>
      <c r="K553" s="25" t="s">
        <v>513</v>
      </c>
    </row>
    <row r="554" spans="1:11" ht="25.5" x14ac:dyDescent="0.25">
      <c r="A554" s="22">
        <v>2026</v>
      </c>
      <c r="B554" s="28" t="s">
        <v>167</v>
      </c>
      <c r="C554" s="28" t="s">
        <v>97</v>
      </c>
      <c r="D554" s="28" t="s">
        <v>1728</v>
      </c>
      <c r="E554" s="29" t="s">
        <v>1775</v>
      </c>
      <c r="F554" s="29" t="s">
        <v>374</v>
      </c>
      <c r="G554" s="25" t="s">
        <v>2343</v>
      </c>
      <c r="H554" s="26">
        <v>-0.3175</v>
      </c>
      <c r="I554" s="26"/>
      <c r="J554" s="26" t="s">
        <v>514</v>
      </c>
      <c r="K554" s="25" t="s">
        <v>513</v>
      </c>
    </row>
    <row r="555" spans="1:11" ht="25.5" x14ac:dyDescent="0.25">
      <c r="A555" s="22">
        <v>2026</v>
      </c>
      <c r="B555" s="28" t="s">
        <v>167</v>
      </c>
      <c r="C555" s="28" t="s">
        <v>97</v>
      </c>
      <c r="D555" s="28" t="s">
        <v>1728</v>
      </c>
      <c r="E555" s="29" t="s">
        <v>1775</v>
      </c>
      <c r="F555" s="29" t="s">
        <v>374</v>
      </c>
      <c r="G555" s="25" t="s">
        <v>2344</v>
      </c>
      <c r="H555" s="26">
        <v>-0.31824999999999998</v>
      </c>
      <c r="I555" s="26"/>
      <c r="J555" s="26" t="s">
        <v>514</v>
      </c>
      <c r="K555" s="25" t="s">
        <v>513</v>
      </c>
    </row>
    <row r="556" spans="1:11" ht="25.5" x14ac:dyDescent="0.25">
      <c r="A556" s="22">
        <v>2026</v>
      </c>
      <c r="B556" s="28" t="s">
        <v>167</v>
      </c>
      <c r="C556" s="28" t="s">
        <v>97</v>
      </c>
      <c r="D556" s="28" t="s">
        <v>1728</v>
      </c>
      <c r="E556" s="29" t="s">
        <v>1775</v>
      </c>
      <c r="F556" s="29" t="s">
        <v>374</v>
      </c>
      <c r="G556" s="25" t="s">
        <v>2345</v>
      </c>
      <c r="H556" s="26">
        <v>-0.15887499999999999</v>
      </c>
      <c r="I556" s="26"/>
      <c r="J556" s="26" t="s">
        <v>514</v>
      </c>
      <c r="K556" s="25" t="s">
        <v>513</v>
      </c>
    </row>
    <row r="557" spans="1:11" ht="25.5" x14ac:dyDescent="0.25">
      <c r="A557" s="22">
        <v>2026</v>
      </c>
      <c r="B557" s="28" t="s">
        <v>167</v>
      </c>
      <c r="C557" s="28" t="s">
        <v>97</v>
      </c>
      <c r="D557" s="28" t="s">
        <v>1728</v>
      </c>
      <c r="E557" s="29" t="s">
        <v>1775</v>
      </c>
      <c r="F557" s="29" t="s">
        <v>374</v>
      </c>
      <c r="G557" s="25" t="s">
        <v>2346</v>
      </c>
      <c r="H557" s="26">
        <v>-0.32500000000000001</v>
      </c>
      <c r="I557" s="26"/>
      <c r="J557" s="26" t="s">
        <v>514</v>
      </c>
      <c r="K557" s="25" t="s">
        <v>513</v>
      </c>
    </row>
    <row r="558" spans="1:11" ht="25.5" x14ac:dyDescent="0.25">
      <c r="A558" s="22">
        <v>2026</v>
      </c>
      <c r="B558" s="28" t="s">
        <v>167</v>
      </c>
      <c r="C558" s="28" t="s">
        <v>97</v>
      </c>
      <c r="D558" s="28" t="s">
        <v>1728</v>
      </c>
      <c r="E558" s="29" t="s">
        <v>1775</v>
      </c>
      <c r="F558" s="29" t="s">
        <v>374</v>
      </c>
      <c r="G558" s="25" t="s">
        <v>2347</v>
      </c>
      <c r="H558" s="26">
        <v>-0.32300000000000001</v>
      </c>
      <c r="I558" s="26"/>
      <c r="J558" s="26" t="s">
        <v>514</v>
      </c>
      <c r="K558" s="25" t="s">
        <v>513</v>
      </c>
    </row>
    <row r="559" spans="1:11" ht="25.5" x14ac:dyDescent="0.25">
      <c r="A559" s="22">
        <v>2026</v>
      </c>
      <c r="B559" s="28" t="s">
        <v>167</v>
      </c>
      <c r="C559" s="28" t="s">
        <v>97</v>
      </c>
      <c r="D559" s="28" t="s">
        <v>1728</v>
      </c>
      <c r="E559" s="29" t="s">
        <v>1775</v>
      </c>
      <c r="F559" s="29" t="s">
        <v>374</v>
      </c>
      <c r="G559" s="25" t="s">
        <v>2348</v>
      </c>
      <c r="H559" s="26">
        <v>-0.31900000000000001</v>
      </c>
      <c r="I559" s="26"/>
      <c r="J559" s="26" t="s">
        <v>514</v>
      </c>
      <c r="K559" s="25" t="s">
        <v>513</v>
      </c>
    </row>
    <row r="560" spans="1:11" ht="25.5" x14ac:dyDescent="0.25">
      <c r="A560" s="22">
        <v>2026</v>
      </c>
      <c r="B560" s="28" t="s">
        <v>167</v>
      </c>
      <c r="C560" s="28" t="s">
        <v>97</v>
      </c>
      <c r="D560" s="28" t="s">
        <v>1728</v>
      </c>
      <c r="E560" s="29" t="s">
        <v>1775</v>
      </c>
      <c r="F560" s="29" t="s">
        <v>374</v>
      </c>
      <c r="G560" s="25" t="s">
        <v>2349</v>
      </c>
      <c r="H560" s="26">
        <v>-0.32050000000000001</v>
      </c>
      <c r="I560" s="26"/>
      <c r="J560" s="26" t="s">
        <v>514</v>
      </c>
      <c r="K560" s="25" t="s">
        <v>513</v>
      </c>
    </row>
    <row r="561" spans="1:11" ht="25.5" x14ac:dyDescent="0.25">
      <c r="A561" s="22">
        <v>2026</v>
      </c>
      <c r="B561" s="28" t="s">
        <v>167</v>
      </c>
      <c r="C561" s="28" t="s">
        <v>97</v>
      </c>
      <c r="D561" s="28" t="s">
        <v>1728</v>
      </c>
      <c r="E561" s="29" t="s">
        <v>1775</v>
      </c>
      <c r="F561" s="29" t="s">
        <v>374</v>
      </c>
      <c r="G561" s="25" t="s">
        <v>2350</v>
      </c>
      <c r="H561" s="26">
        <v>-0.32200000000000001</v>
      </c>
      <c r="I561" s="26"/>
      <c r="J561" s="26" t="s">
        <v>514</v>
      </c>
      <c r="K561" s="25" t="s">
        <v>513</v>
      </c>
    </row>
    <row r="562" spans="1:11" ht="25.5" x14ac:dyDescent="0.25">
      <c r="A562" s="22">
        <v>2026</v>
      </c>
      <c r="B562" s="28" t="s">
        <v>167</v>
      </c>
      <c r="C562" s="28" t="s">
        <v>97</v>
      </c>
      <c r="D562" s="28" t="s">
        <v>1728</v>
      </c>
      <c r="E562" s="29" t="s">
        <v>1775</v>
      </c>
      <c r="F562" s="29" t="s">
        <v>374</v>
      </c>
      <c r="G562" s="25" t="s">
        <v>2351</v>
      </c>
      <c r="H562" s="26">
        <v>-0.31924999999999998</v>
      </c>
      <c r="I562" s="26"/>
      <c r="J562" s="26" t="s">
        <v>514</v>
      </c>
      <c r="K562" s="25" t="s">
        <v>513</v>
      </c>
    </row>
    <row r="563" spans="1:11" ht="25.5" x14ac:dyDescent="0.25">
      <c r="A563" s="22">
        <v>2026</v>
      </c>
      <c r="B563" s="28" t="s">
        <v>167</v>
      </c>
      <c r="C563" s="28" t="s">
        <v>97</v>
      </c>
      <c r="D563" s="28" t="s">
        <v>1728</v>
      </c>
      <c r="E563" s="29" t="s">
        <v>1775</v>
      </c>
      <c r="F563" s="29" t="s">
        <v>374</v>
      </c>
      <c r="G563" s="25" t="s">
        <v>2349</v>
      </c>
      <c r="H563" s="26">
        <v>-0.32050000000000001</v>
      </c>
      <c r="I563" s="26"/>
      <c r="J563" s="26" t="s">
        <v>514</v>
      </c>
      <c r="K563" s="25" t="s">
        <v>513</v>
      </c>
    </row>
    <row r="564" spans="1:11" ht="25.5" x14ac:dyDescent="0.25">
      <c r="A564" s="22">
        <v>2026</v>
      </c>
      <c r="B564" s="28" t="s">
        <v>167</v>
      </c>
      <c r="C564" s="28" t="s">
        <v>97</v>
      </c>
      <c r="D564" s="28" t="s">
        <v>1728</v>
      </c>
      <c r="E564" s="29" t="s">
        <v>1775</v>
      </c>
      <c r="F564" s="29" t="s">
        <v>374</v>
      </c>
      <c r="G564" s="25" t="s">
        <v>2352</v>
      </c>
      <c r="H564" s="26">
        <v>-0.31874999999999998</v>
      </c>
      <c r="I564" s="26"/>
      <c r="J564" s="26" t="s">
        <v>514</v>
      </c>
      <c r="K564" s="25" t="s">
        <v>513</v>
      </c>
    </row>
    <row r="565" spans="1:11" ht="25.5" x14ac:dyDescent="0.25">
      <c r="A565" s="22">
        <v>2026</v>
      </c>
      <c r="B565" s="28" t="s">
        <v>167</v>
      </c>
      <c r="C565" s="28" t="s">
        <v>97</v>
      </c>
      <c r="D565" s="28" t="s">
        <v>1728</v>
      </c>
      <c r="E565" s="29" t="s">
        <v>1775</v>
      </c>
      <c r="F565" s="29" t="s">
        <v>374</v>
      </c>
      <c r="G565" s="25" t="s">
        <v>2353</v>
      </c>
      <c r="H565" s="26">
        <v>-0.32</v>
      </c>
      <c r="I565" s="26"/>
      <c r="J565" s="26" t="s">
        <v>514</v>
      </c>
      <c r="K565" s="25" t="s">
        <v>513</v>
      </c>
    </row>
    <row r="566" spans="1:11" ht="25.5" x14ac:dyDescent="0.25">
      <c r="A566" s="22">
        <v>2026</v>
      </c>
      <c r="B566" s="28" t="s">
        <v>167</v>
      </c>
      <c r="C566" s="28" t="s">
        <v>97</v>
      </c>
      <c r="D566" s="28" t="s">
        <v>1728</v>
      </c>
      <c r="E566" s="29" t="s">
        <v>1775</v>
      </c>
      <c r="F566" s="29" t="s">
        <v>374</v>
      </c>
      <c r="G566" s="25" t="s">
        <v>2342</v>
      </c>
      <c r="H566" s="26">
        <v>-0.31674999999999998</v>
      </c>
      <c r="I566" s="26"/>
      <c r="J566" s="26" t="s">
        <v>514</v>
      </c>
      <c r="K566" s="25" t="s">
        <v>513</v>
      </c>
    </row>
    <row r="567" spans="1:11" ht="25.5" x14ac:dyDescent="0.25">
      <c r="A567" s="22">
        <v>2026</v>
      </c>
      <c r="B567" s="28" t="s">
        <v>167</v>
      </c>
      <c r="C567" s="28" t="s">
        <v>97</v>
      </c>
      <c r="D567" s="28" t="s">
        <v>1728</v>
      </c>
      <c r="E567" s="29" t="s">
        <v>1775</v>
      </c>
      <c r="F567" s="29" t="s">
        <v>374</v>
      </c>
      <c r="G567" s="25" t="s">
        <v>2354</v>
      </c>
      <c r="H567" s="26">
        <v>-0.31624999999999998</v>
      </c>
      <c r="I567" s="26"/>
      <c r="J567" s="26" t="s">
        <v>514</v>
      </c>
      <c r="K567" s="25" t="s">
        <v>513</v>
      </c>
    </row>
    <row r="568" spans="1:11" ht="25.5" x14ac:dyDescent="0.25">
      <c r="A568" s="22">
        <v>2026</v>
      </c>
      <c r="B568" s="28" t="s">
        <v>167</v>
      </c>
      <c r="C568" s="28" t="s">
        <v>97</v>
      </c>
      <c r="D568" s="28" t="s">
        <v>1729</v>
      </c>
      <c r="E568" s="29" t="s">
        <v>334</v>
      </c>
      <c r="F568" s="29" t="s">
        <v>937</v>
      </c>
      <c r="G568" s="25" t="s">
        <v>2355</v>
      </c>
      <c r="H568" s="26">
        <v>-0.22000000000000003</v>
      </c>
      <c r="I568" s="26"/>
      <c r="J568" s="26" t="s">
        <v>512</v>
      </c>
      <c r="K568" s="25" t="s">
        <v>513</v>
      </c>
    </row>
    <row r="569" spans="1:11" ht="25.5" x14ac:dyDescent="0.25">
      <c r="A569" s="22">
        <v>2026</v>
      </c>
      <c r="B569" s="28" t="s">
        <v>167</v>
      </c>
      <c r="C569" s="28" t="s">
        <v>97</v>
      </c>
      <c r="D569" s="28" t="s">
        <v>1729</v>
      </c>
      <c r="E569" s="29" t="s">
        <v>334</v>
      </c>
      <c r="F569" s="29" t="s">
        <v>937</v>
      </c>
      <c r="G569" s="25" t="s">
        <v>2356</v>
      </c>
      <c r="H569" s="26">
        <v>-0.33224999999999999</v>
      </c>
      <c r="I569" s="26"/>
      <c r="J569" s="26" t="s">
        <v>512</v>
      </c>
      <c r="K569" s="25" t="s">
        <v>513</v>
      </c>
    </row>
    <row r="570" spans="1:11" ht="25.5" x14ac:dyDescent="0.25">
      <c r="A570" s="22">
        <v>2026</v>
      </c>
      <c r="B570" s="28" t="s">
        <v>167</v>
      </c>
      <c r="C570" s="28" t="s">
        <v>97</v>
      </c>
      <c r="D570" s="28" t="s">
        <v>1729</v>
      </c>
      <c r="E570" s="29" t="s">
        <v>334</v>
      </c>
      <c r="F570" s="29" t="s">
        <v>937</v>
      </c>
      <c r="G570" s="25" t="s">
        <v>2357</v>
      </c>
      <c r="H570" s="26">
        <v>-0.43899999999999995</v>
      </c>
      <c r="I570" s="26"/>
      <c r="J570" s="26" t="s">
        <v>512</v>
      </c>
      <c r="K570" s="25" t="s">
        <v>513</v>
      </c>
    </row>
    <row r="571" spans="1:11" ht="25.5" x14ac:dyDescent="0.25">
      <c r="A571" s="22">
        <v>2026</v>
      </c>
      <c r="B571" s="28" t="s">
        <v>167</v>
      </c>
      <c r="C571" s="28" t="s">
        <v>97</v>
      </c>
      <c r="D571" s="28" t="s">
        <v>1729</v>
      </c>
      <c r="E571" s="29" t="s">
        <v>334</v>
      </c>
      <c r="F571" s="29" t="s">
        <v>937</v>
      </c>
      <c r="G571" s="25" t="s">
        <v>2358</v>
      </c>
      <c r="H571" s="26">
        <v>-0.44000000000000006</v>
      </c>
      <c r="I571" s="26"/>
      <c r="J571" s="26" t="s">
        <v>512</v>
      </c>
      <c r="K571" s="25" t="s">
        <v>513</v>
      </c>
    </row>
    <row r="572" spans="1:11" ht="25.5" x14ac:dyDescent="0.25">
      <c r="A572" s="22">
        <v>2026</v>
      </c>
      <c r="B572" s="28" t="s">
        <v>167</v>
      </c>
      <c r="C572" s="28" t="s">
        <v>97</v>
      </c>
      <c r="D572" s="28" t="s">
        <v>1729</v>
      </c>
      <c r="E572" s="29" t="s">
        <v>334</v>
      </c>
      <c r="F572" s="29" t="s">
        <v>937</v>
      </c>
      <c r="G572" s="25" t="s">
        <v>2359</v>
      </c>
      <c r="H572" s="26">
        <v>-0.86799999999999999</v>
      </c>
      <c r="I572" s="26"/>
      <c r="J572" s="26" t="s">
        <v>512</v>
      </c>
      <c r="K572" s="25" t="s">
        <v>513</v>
      </c>
    </row>
    <row r="573" spans="1:11" ht="25.5" x14ac:dyDescent="0.25">
      <c r="A573" s="22">
        <v>2026</v>
      </c>
      <c r="B573" s="28" t="s">
        <v>167</v>
      </c>
      <c r="C573" s="28" t="s">
        <v>97</v>
      </c>
      <c r="D573" s="28" t="s">
        <v>1729</v>
      </c>
      <c r="E573" s="29" t="s">
        <v>334</v>
      </c>
      <c r="F573" s="29" t="s">
        <v>937</v>
      </c>
      <c r="G573" s="25" t="s">
        <v>2360</v>
      </c>
      <c r="H573" s="26">
        <v>-0.65549999999999997</v>
      </c>
      <c r="I573" s="26"/>
      <c r="J573" s="26" t="s">
        <v>512</v>
      </c>
      <c r="K573" s="25" t="s">
        <v>513</v>
      </c>
    </row>
    <row r="574" spans="1:11" ht="25.5" x14ac:dyDescent="0.25">
      <c r="A574" s="22">
        <v>2026</v>
      </c>
      <c r="B574" s="28" t="s">
        <v>167</v>
      </c>
      <c r="C574" s="28" t="s">
        <v>97</v>
      </c>
      <c r="D574" s="28" t="s">
        <v>1729</v>
      </c>
      <c r="E574" s="29" t="s">
        <v>334</v>
      </c>
      <c r="F574" s="29" t="s">
        <v>937</v>
      </c>
      <c r="G574" s="25" t="s">
        <v>2361</v>
      </c>
      <c r="H574" s="26">
        <v>-0.437</v>
      </c>
      <c r="I574" s="26"/>
      <c r="J574" s="26" t="s">
        <v>512</v>
      </c>
      <c r="K574" s="25" t="s">
        <v>513</v>
      </c>
    </row>
    <row r="575" spans="1:11" ht="25.5" x14ac:dyDescent="0.25">
      <c r="A575" s="22">
        <v>2026</v>
      </c>
      <c r="B575" s="28" t="s">
        <v>167</v>
      </c>
      <c r="C575" s="28" t="s">
        <v>97</v>
      </c>
      <c r="D575" s="28" t="s">
        <v>1729</v>
      </c>
      <c r="E575" s="29" t="s">
        <v>334</v>
      </c>
      <c r="F575" s="29" t="s">
        <v>937</v>
      </c>
      <c r="G575" s="25" t="s">
        <v>2362</v>
      </c>
      <c r="H575" s="26">
        <v>-0.32845500000000005</v>
      </c>
      <c r="I575" s="26"/>
      <c r="J575" s="26" t="s">
        <v>512</v>
      </c>
      <c r="K575" s="25" t="s">
        <v>513</v>
      </c>
    </row>
    <row r="576" spans="1:11" ht="25.5" x14ac:dyDescent="0.25">
      <c r="A576" s="22">
        <v>2026</v>
      </c>
      <c r="B576" s="28" t="s">
        <v>167</v>
      </c>
      <c r="C576" s="28" t="s">
        <v>97</v>
      </c>
      <c r="D576" s="28" t="s">
        <v>171</v>
      </c>
      <c r="E576" s="29" t="s">
        <v>289</v>
      </c>
      <c r="F576" s="29" t="s">
        <v>284</v>
      </c>
      <c r="G576" s="25" t="s">
        <v>2363</v>
      </c>
      <c r="H576" s="26">
        <v>-4.4652024874512</v>
      </c>
      <c r="I576" s="26"/>
      <c r="J576" s="26" t="s">
        <v>514</v>
      </c>
      <c r="K576" s="25" t="s">
        <v>513</v>
      </c>
    </row>
    <row r="577" spans="1:11" ht="25.5" x14ac:dyDescent="0.25">
      <c r="A577" s="22">
        <v>2026</v>
      </c>
      <c r="B577" s="28" t="s">
        <v>167</v>
      </c>
      <c r="C577" s="28" t="s">
        <v>97</v>
      </c>
      <c r="D577" s="28" t="s">
        <v>1730</v>
      </c>
      <c r="E577" s="29" t="s">
        <v>309</v>
      </c>
      <c r="F577" s="29" t="s">
        <v>1274</v>
      </c>
      <c r="G577" s="25" t="s">
        <v>2364</v>
      </c>
      <c r="H577" s="26">
        <v>-0.44375199999999998</v>
      </c>
      <c r="I577" s="26"/>
      <c r="J577" s="26" t="s">
        <v>512</v>
      </c>
      <c r="K577" s="25" t="s">
        <v>513</v>
      </c>
    </row>
    <row r="578" spans="1:11" ht="25.5" x14ac:dyDescent="0.25">
      <c r="A578" s="22">
        <v>2026</v>
      </c>
      <c r="B578" s="28" t="s">
        <v>167</v>
      </c>
      <c r="C578" s="28" t="s">
        <v>97</v>
      </c>
      <c r="D578" s="28" t="s">
        <v>1730</v>
      </c>
      <c r="E578" s="29" t="s">
        <v>309</v>
      </c>
      <c r="F578" s="29" t="s">
        <v>1274</v>
      </c>
      <c r="G578" s="25" t="s">
        <v>2365</v>
      </c>
      <c r="H578" s="26">
        <v>-0.89227999999999996</v>
      </c>
      <c r="I578" s="26"/>
      <c r="J578" s="26" t="s">
        <v>512</v>
      </c>
      <c r="K578" s="25" t="s">
        <v>513</v>
      </c>
    </row>
    <row r="579" spans="1:11" ht="25.5" x14ac:dyDescent="0.25">
      <c r="A579" s="22">
        <v>2026</v>
      </c>
      <c r="B579" s="28" t="s">
        <v>167</v>
      </c>
      <c r="C579" s="28" t="s">
        <v>97</v>
      </c>
      <c r="D579" s="28" t="s">
        <v>1730</v>
      </c>
      <c r="E579" s="29" t="s">
        <v>309</v>
      </c>
      <c r="F579" s="29" t="s">
        <v>1274</v>
      </c>
      <c r="G579" s="25" t="s">
        <v>2366</v>
      </c>
      <c r="H579" s="26">
        <v>-0.22300400000000001</v>
      </c>
      <c r="I579" s="26"/>
      <c r="J579" s="26" t="s">
        <v>512</v>
      </c>
      <c r="K579" s="25" t="s">
        <v>513</v>
      </c>
    </row>
    <row r="580" spans="1:11" ht="25.5" x14ac:dyDescent="0.25">
      <c r="A580" s="22">
        <v>2026</v>
      </c>
      <c r="B580" s="28" t="s">
        <v>167</v>
      </c>
      <c r="C580" s="28" t="s">
        <v>97</v>
      </c>
      <c r="D580" s="28" t="s">
        <v>1730</v>
      </c>
      <c r="E580" s="29" t="s">
        <v>309</v>
      </c>
      <c r="F580" s="29" t="s">
        <v>1274</v>
      </c>
      <c r="G580" s="25" t="s">
        <v>2367</v>
      </c>
      <c r="H580" s="26">
        <v>-0.22439999999999999</v>
      </c>
      <c r="I580" s="26"/>
      <c r="J580" s="26" t="s">
        <v>512</v>
      </c>
      <c r="K580" s="25" t="s">
        <v>513</v>
      </c>
    </row>
    <row r="581" spans="1:11" ht="25.5" x14ac:dyDescent="0.25">
      <c r="A581" s="22">
        <v>2026</v>
      </c>
      <c r="B581" s="28" t="s">
        <v>167</v>
      </c>
      <c r="C581" s="28" t="s">
        <v>97</v>
      </c>
      <c r="D581" s="28" t="s">
        <v>1730</v>
      </c>
      <c r="E581" s="29" t="s">
        <v>309</v>
      </c>
      <c r="F581" s="29" t="s">
        <v>1274</v>
      </c>
      <c r="G581" s="25" t="s">
        <v>2368</v>
      </c>
      <c r="H581" s="26">
        <v>-0.38622332250000002</v>
      </c>
      <c r="I581" s="26"/>
      <c r="J581" s="26" t="s">
        <v>512</v>
      </c>
      <c r="K581" s="25" t="s">
        <v>513</v>
      </c>
    </row>
    <row r="582" spans="1:11" ht="25.5" x14ac:dyDescent="0.25">
      <c r="A582" s="22">
        <v>2026</v>
      </c>
      <c r="B582" s="28" t="s">
        <v>167</v>
      </c>
      <c r="C582" s="28" t="s">
        <v>97</v>
      </c>
      <c r="D582" s="28" t="s">
        <v>1730</v>
      </c>
      <c r="E582" s="29" t="s">
        <v>309</v>
      </c>
      <c r="F582" s="29" t="s">
        <v>1274</v>
      </c>
      <c r="G582" s="25" t="s">
        <v>2369</v>
      </c>
      <c r="H582" s="26">
        <v>-0.56399500000000002</v>
      </c>
      <c r="I582" s="26"/>
      <c r="J582" s="26" t="s">
        <v>512</v>
      </c>
      <c r="K582" s="25" t="s">
        <v>513</v>
      </c>
    </row>
    <row r="583" spans="1:11" ht="25.5" x14ac:dyDescent="0.25">
      <c r="A583" s="22">
        <v>2026</v>
      </c>
      <c r="B583" s="28" t="s">
        <v>167</v>
      </c>
      <c r="C583" s="28" t="s">
        <v>97</v>
      </c>
      <c r="D583" s="28" t="s">
        <v>1730</v>
      </c>
      <c r="E583" s="29" t="s">
        <v>309</v>
      </c>
      <c r="F583" s="29" t="s">
        <v>1274</v>
      </c>
      <c r="G583" s="25" t="s">
        <v>2370</v>
      </c>
      <c r="H583" s="26">
        <v>-0.44867600000000007</v>
      </c>
      <c r="I583" s="26"/>
      <c r="J583" s="26" t="s">
        <v>512</v>
      </c>
      <c r="K583" s="25" t="s">
        <v>513</v>
      </c>
    </row>
    <row r="584" spans="1:11" ht="25.5" x14ac:dyDescent="0.25">
      <c r="A584" s="22">
        <v>2026</v>
      </c>
      <c r="B584" s="28" t="s">
        <v>167</v>
      </c>
      <c r="C584" s="28" t="s">
        <v>97</v>
      </c>
      <c r="D584" s="28" t="s">
        <v>1730</v>
      </c>
      <c r="E584" s="29" t="s">
        <v>309</v>
      </c>
      <c r="F584" s="29" t="s">
        <v>1274</v>
      </c>
      <c r="G584" s="25" t="s">
        <v>2371</v>
      </c>
      <c r="H584" s="26">
        <v>-0.359456</v>
      </c>
      <c r="I584" s="26"/>
      <c r="J584" s="26" t="s">
        <v>512</v>
      </c>
      <c r="K584" s="25" t="s">
        <v>513</v>
      </c>
    </row>
    <row r="585" spans="1:11" ht="25.5" x14ac:dyDescent="0.25">
      <c r="A585" s="22">
        <v>2026</v>
      </c>
      <c r="B585" s="28" t="s">
        <v>167</v>
      </c>
      <c r="C585" s="28" t="s">
        <v>97</v>
      </c>
      <c r="D585" s="28" t="s">
        <v>1730</v>
      </c>
      <c r="E585" s="29" t="s">
        <v>309</v>
      </c>
      <c r="F585" s="29" t="s">
        <v>1274</v>
      </c>
      <c r="G585" s="25" t="s">
        <v>2372</v>
      </c>
      <c r="H585" s="26">
        <v>-0.26456812499999999</v>
      </c>
      <c r="I585" s="26"/>
      <c r="J585" s="26" t="s">
        <v>512</v>
      </c>
      <c r="K585" s="25" t="s">
        <v>513</v>
      </c>
    </row>
    <row r="586" spans="1:11" ht="25.5" x14ac:dyDescent="0.25">
      <c r="A586" s="22">
        <v>2026</v>
      </c>
      <c r="B586" s="28" t="s">
        <v>167</v>
      </c>
      <c r="C586" s="28" t="s">
        <v>97</v>
      </c>
      <c r="D586" s="28" t="s">
        <v>1730</v>
      </c>
      <c r="E586" s="29" t="s">
        <v>309</v>
      </c>
      <c r="F586" s="29" t="s">
        <v>1274</v>
      </c>
      <c r="G586" s="25" t="s">
        <v>2373</v>
      </c>
      <c r="H586" s="26">
        <v>-0.33906599999999998</v>
      </c>
      <c r="I586" s="26"/>
      <c r="J586" s="26" t="s">
        <v>512</v>
      </c>
      <c r="K586" s="25" t="s">
        <v>513</v>
      </c>
    </row>
    <row r="587" spans="1:11" ht="25.5" x14ac:dyDescent="0.25">
      <c r="A587" s="22">
        <v>2026</v>
      </c>
      <c r="B587" s="28" t="s">
        <v>167</v>
      </c>
      <c r="C587" s="28" t="s">
        <v>97</v>
      </c>
      <c r="D587" s="28" t="s">
        <v>1730</v>
      </c>
      <c r="E587" s="29" t="s">
        <v>309</v>
      </c>
      <c r="F587" s="29" t="s">
        <v>1274</v>
      </c>
      <c r="G587" s="25" t="s">
        <v>2374</v>
      </c>
      <c r="H587" s="26">
        <v>-0.45144400000000001</v>
      </c>
      <c r="I587" s="26"/>
      <c r="J587" s="26" t="s">
        <v>512</v>
      </c>
      <c r="K587" s="25" t="s">
        <v>513</v>
      </c>
    </row>
    <row r="588" spans="1:11" ht="25.5" x14ac:dyDescent="0.25">
      <c r="A588" s="22">
        <v>2026</v>
      </c>
      <c r="B588" s="28" t="s">
        <v>167</v>
      </c>
      <c r="C588" s="28" t="s">
        <v>97</v>
      </c>
      <c r="D588" s="28" t="s">
        <v>1730</v>
      </c>
      <c r="E588" s="29" t="s">
        <v>309</v>
      </c>
      <c r="F588" s="29" t="s">
        <v>1274</v>
      </c>
      <c r="G588" s="25" t="s">
        <v>2375</v>
      </c>
      <c r="H588" s="26">
        <v>-0.33284999999999998</v>
      </c>
      <c r="I588" s="26"/>
      <c r="J588" s="26" t="s">
        <v>512</v>
      </c>
      <c r="K588" s="25" t="s">
        <v>513</v>
      </c>
    </row>
    <row r="589" spans="1:11" ht="25.5" x14ac:dyDescent="0.25">
      <c r="A589" s="22">
        <v>2026</v>
      </c>
      <c r="B589" s="28" t="s">
        <v>167</v>
      </c>
      <c r="C589" s="28" t="s">
        <v>97</v>
      </c>
      <c r="D589" s="28" t="s">
        <v>1730</v>
      </c>
      <c r="E589" s="29" t="s">
        <v>309</v>
      </c>
      <c r="F589" s="29" t="s">
        <v>1274</v>
      </c>
      <c r="G589" s="25" t="s">
        <v>2376</v>
      </c>
      <c r="H589" s="26">
        <v>-8.1325458000000003E-2</v>
      </c>
      <c r="I589" s="26"/>
      <c r="J589" s="26" t="s">
        <v>512</v>
      </c>
      <c r="K589" s="25" t="s">
        <v>513</v>
      </c>
    </row>
    <row r="590" spans="1:11" ht="25.5" x14ac:dyDescent="0.25">
      <c r="A590" s="22">
        <v>2026</v>
      </c>
      <c r="B590" s="28" t="s">
        <v>167</v>
      </c>
      <c r="C590" s="28" t="s">
        <v>97</v>
      </c>
      <c r="D590" s="28" t="s">
        <v>1730</v>
      </c>
      <c r="E590" s="29" t="s">
        <v>309</v>
      </c>
      <c r="F590" s="29" t="s">
        <v>1274</v>
      </c>
      <c r="G590" s="25" t="s">
        <v>2377</v>
      </c>
      <c r="H590" s="26">
        <v>-0.15927404550000002</v>
      </c>
      <c r="I590" s="26"/>
      <c r="J590" s="26" t="s">
        <v>512</v>
      </c>
      <c r="K590" s="25" t="s">
        <v>513</v>
      </c>
    </row>
    <row r="591" spans="1:11" ht="25.5" x14ac:dyDescent="0.25">
      <c r="A591" s="22">
        <v>2026</v>
      </c>
      <c r="B591" s="28" t="s">
        <v>167</v>
      </c>
      <c r="C591" s="28" t="s">
        <v>97</v>
      </c>
      <c r="D591" s="28" t="s">
        <v>1732</v>
      </c>
      <c r="E591" s="29" t="s">
        <v>309</v>
      </c>
      <c r="F591" s="29" t="s">
        <v>287</v>
      </c>
      <c r="G591" s="25" t="s">
        <v>2378</v>
      </c>
      <c r="H591" s="26">
        <v>-0.35352499999999998</v>
      </c>
      <c r="I591" s="26"/>
      <c r="J591" s="26" t="s">
        <v>512</v>
      </c>
      <c r="K591" s="25" t="s">
        <v>513</v>
      </c>
    </row>
    <row r="592" spans="1:11" ht="25.5" x14ac:dyDescent="0.25">
      <c r="A592" s="22">
        <v>2026</v>
      </c>
      <c r="B592" s="28" t="s">
        <v>167</v>
      </c>
      <c r="C592" s="28" t="s">
        <v>97</v>
      </c>
      <c r="D592" s="28" t="s">
        <v>1732</v>
      </c>
      <c r="E592" s="29" t="s">
        <v>309</v>
      </c>
      <c r="F592" s="29" t="s">
        <v>287</v>
      </c>
      <c r="G592" s="25" t="s">
        <v>2379</v>
      </c>
      <c r="H592" s="26">
        <v>-0.35885</v>
      </c>
      <c r="I592" s="26"/>
      <c r="J592" s="26" t="s">
        <v>512</v>
      </c>
      <c r="K592" s="25" t="s">
        <v>513</v>
      </c>
    </row>
    <row r="593" spans="1:11" ht="25.5" x14ac:dyDescent="0.25">
      <c r="A593" s="22">
        <v>2026</v>
      </c>
      <c r="B593" s="28" t="s">
        <v>167</v>
      </c>
      <c r="C593" s="28" t="s">
        <v>97</v>
      </c>
      <c r="D593" s="28" t="s">
        <v>1732</v>
      </c>
      <c r="E593" s="29" t="s">
        <v>309</v>
      </c>
      <c r="F593" s="29" t="s">
        <v>287</v>
      </c>
      <c r="G593" s="25" t="s">
        <v>2380</v>
      </c>
      <c r="H593" s="26">
        <v>-0.35625000000000001</v>
      </c>
      <c r="I593" s="26"/>
      <c r="J593" s="26" t="s">
        <v>512</v>
      </c>
      <c r="K593" s="25" t="s">
        <v>513</v>
      </c>
    </row>
    <row r="594" spans="1:11" ht="25.5" x14ac:dyDescent="0.25">
      <c r="A594" s="22">
        <v>2026</v>
      </c>
      <c r="B594" s="28" t="s">
        <v>167</v>
      </c>
      <c r="C594" s="28" t="s">
        <v>97</v>
      </c>
      <c r="D594" s="28" t="s">
        <v>1732</v>
      </c>
      <c r="E594" s="29" t="s">
        <v>309</v>
      </c>
      <c r="F594" s="29" t="s">
        <v>287</v>
      </c>
      <c r="G594" s="25" t="s">
        <v>2380</v>
      </c>
      <c r="H594" s="26">
        <v>-0.35625000000000001</v>
      </c>
      <c r="I594" s="26"/>
      <c r="J594" s="26" t="s">
        <v>512</v>
      </c>
      <c r="K594" s="25" t="s">
        <v>513</v>
      </c>
    </row>
    <row r="595" spans="1:11" ht="25.5" x14ac:dyDescent="0.25">
      <c r="A595" s="22">
        <v>2026</v>
      </c>
      <c r="B595" s="28" t="s">
        <v>167</v>
      </c>
      <c r="C595" s="28" t="s">
        <v>97</v>
      </c>
      <c r="D595" s="28" t="s">
        <v>1732</v>
      </c>
      <c r="E595" s="29" t="s">
        <v>309</v>
      </c>
      <c r="F595" s="29" t="s">
        <v>287</v>
      </c>
      <c r="G595" s="25" t="s">
        <v>2381</v>
      </c>
      <c r="H595" s="26">
        <v>-0.45205135889999998</v>
      </c>
      <c r="I595" s="26"/>
      <c r="J595" s="26" t="s">
        <v>512</v>
      </c>
      <c r="K595" s="25" t="s">
        <v>513</v>
      </c>
    </row>
    <row r="596" spans="1:11" ht="25.5" x14ac:dyDescent="0.25">
      <c r="A596" s="22">
        <v>2026</v>
      </c>
      <c r="B596" s="28" t="s">
        <v>167</v>
      </c>
      <c r="C596" s="28" t="s">
        <v>97</v>
      </c>
      <c r="D596" s="28" t="s">
        <v>1732</v>
      </c>
      <c r="E596" s="29" t="s">
        <v>309</v>
      </c>
      <c r="F596" s="29" t="s">
        <v>287</v>
      </c>
      <c r="G596" s="25" t="s">
        <v>2382</v>
      </c>
      <c r="H596" s="26">
        <v>-0.57188000000000005</v>
      </c>
      <c r="I596" s="26"/>
      <c r="J596" s="26" t="s">
        <v>512</v>
      </c>
      <c r="K596" s="25" t="s">
        <v>513</v>
      </c>
    </row>
    <row r="597" spans="1:11" ht="25.5" x14ac:dyDescent="0.25">
      <c r="A597" s="22">
        <v>2026</v>
      </c>
      <c r="B597" s="28" t="s">
        <v>167</v>
      </c>
      <c r="C597" s="28" t="s">
        <v>97</v>
      </c>
      <c r="D597" s="28" t="s">
        <v>1732</v>
      </c>
      <c r="E597" s="29" t="s">
        <v>309</v>
      </c>
      <c r="F597" s="29" t="s">
        <v>287</v>
      </c>
      <c r="G597" s="25" t="s">
        <v>2383</v>
      </c>
      <c r="H597" s="26">
        <v>-0.86040000000000005</v>
      </c>
      <c r="I597" s="26"/>
      <c r="J597" s="26" t="s">
        <v>512</v>
      </c>
      <c r="K597" s="25" t="s">
        <v>513</v>
      </c>
    </row>
    <row r="598" spans="1:11" ht="25.5" x14ac:dyDescent="0.25">
      <c r="A598" s="22">
        <v>2026</v>
      </c>
      <c r="B598" s="28" t="s">
        <v>167</v>
      </c>
      <c r="C598" s="28" t="s">
        <v>97</v>
      </c>
      <c r="D598" s="28" t="s">
        <v>1732</v>
      </c>
      <c r="E598" s="29" t="s">
        <v>309</v>
      </c>
      <c r="F598" s="29" t="s">
        <v>287</v>
      </c>
      <c r="G598" s="25" t="s">
        <v>2384</v>
      </c>
      <c r="H598" s="26">
        <v>-0.57428000000000001</v>
      </c>
      <c r="I598" s="26"/>
      <c r="J598" s="26" t="s">
        <v>512</v>
      </c>
      <c r="K598" s="25" t="s">
        <v>513</v>
      </c>
    </row>
    <row r="599" spans="1:11" ht="25.5" x14ac:dyDescent="0.25">
      <c r="A599" s="22">
        <v>2026</v>
      </c>
      <c r="B599" s="28" t="s">
        <v>167</v>
      </c>
      <c r="C599" s="28" t="s">
        <v>97</v>
      </c>
      <c r="D599" s="28" t="s">
        <v>1732</v>
      </c>
      <c r="E599" s="29" t="s">
        <v>309</v>
      </c>
      <c r="F599" s="29" t="s">
        <v>287</v>
      </c>
      <c r="G599" s="25" t="s">
        <v>2385</v>
      </c>
      <c r="H599" s="26">
        <v>-0.18739500000000001</v>
      </c>
      <c r="I599" s="26"/>
      <c r="J599" s="26" t="s">
        <v>512</v>
      </c>
      <c r="K599" s="25" t="s">
        <v>513</v>
      </c>
    </row>
    <row r="600" spans="1:11" ht="25.5" x14ac:dyDescent="0.25">
      <c r="A600" s="22">
        <v>2026</v>
      </c>
      <c r="B600" s="28" t="s">
        <v>167</v>
      </c>
      <c r="C600" s="28" t="s">
        <v>97</v>
      </c>
      <c r="D600" s="28" t="s">
        <v>1732</v>
      </c>
      <c r="E600" s="29" t="s">
        <v>309</v>
      </c>
      <c r="F600" s="29" t="s">
        <v>287</v>
      </c>
      <c r="G600" s="25" t="s">
        <v>2386</v>
      </c>
      <c r="H600" s="26">
        <v>-0.50865499999999997</v>
      </c>
      <c r="I600" s="26"/>
      <c r="J600" s="26" t="s">
        <v>512</v>
      </c>
      <c r="K600" s="25" t="s">
        <v>513</v>
      </c>
    </row>
    <row r="601" spans="1:11" ht="25.5" x14ac:dyDescent="0.25">
      <c r="A601" s="22">
        <v>2026</v>
      </c>
      <c r="B601" s="28" t="s">
        <v>167</v>
      </c>
      <c r="C601" s="28" t="s">
        <v>97</v>
      </c>
      <c r="D601" s="28" t="s">
        <v>1732</v>
      </c>
      <c r="E601" s="29" t="s">
        <v>309</v>
      </c>
      <c r="F601" s="29" t="s">
        <v>287</v>
      </c>
      <c r="G601" s="25" t="s">
        <v>2387</v>
      </c>
      <c r="H601" s="26">
        <v>-6.733008E-2</v>
      </c>
      <c r="I601" s="26"/>
      <c r="J601" s="26" t="s">
        <v>512</v>
      </c>
      <c r="K601" s="25" t="s">
        <v>513</v>
      </c>
    </row>
    <row r="602" spans="1:11" ht="25.5" x14ac:dyDescent="0.25">
      <c r="A602" s="22">
        <v>2026</v>
      </c>
      <c r="B602" s="28" t="s">
        <v>167</v>
      </c>
      <c r="C602" s="28" t="s">
        <v>97</v>
      </c>
      <c r="D602" s="28" t="s">
        <v>1732</v>
      </c>
      <c r="E602" s="29" t="s">
        <v>309</v>
      </c>
      <c r="F602" s="29" t="s">
        <v>287</v>
      </c>
      <c r="G602" s="25" t="s">
        <v>2388</v>
      </c>
      <c r="H602" s="26">
        <v>-0.72169067880000004</v>
      </c>
      <c r="I602" s="26"/>
      <c r="J602" s="26" t="s">
        <v>512</v>
      </c>
      <c r="K602" s="25" t="s">
        <v>513</v>
      </c>
    </row>
    <row r="603" spans="1:11" ht="25.5" x14ac:dyDescent="0.25">
      <c r="A603" s="22">
        <v>2026</v>
      </c>
      <c r="B603" s="28" t="s">
        <v>167</v>
      </c>
      <c r="C603" s="28" t="s">
        <v>97</v>
      </c>
      <c r="D603" s="28" t="s">
        <v>1732</v>
      </c>
      <c r="E603" s="29" t="s">
        <v>309</v>
      </c>
      <c r="F603" s="29" t="s">
        <v>287</v>
      </c>
      <c r="G603" s="25" t="s">
        <v>2389</v>
      </c>
      <c r="H603" s="26">
        <v>-0.17236866639999998</v>
      </c>
      <c r="I603" s="26"/>
      <c r="J603" s="26" t="s">
        <v>512</v>
      </c>
      <c r="K603" s="25" t="s">
        <v>513</v>
      </c>
    </row>
    <row r="604" spans="1:11" ht="25.5" x14ac:dyDescent="0.25">
      <c r="A604" s="22">
        <v>2026</v>
      </c>
      <c r="B604" s="28" t="s">
        <v>167</v>
      </c>
      <c r="C604" s="28" t="s">
        <v>97</v>
      </c>
      <c r="D604" s="28" t="s">
        <v>1787</v>
      </c>
      <c r="E604" s="29" t="s">
        <v>309</v>
      </c>
      <c r="F604" s="29" t="s">
        <v>335</v>
      </c>
      <c r="G604" s="25" t="s">
        <v>2390</v>
      </c>
      <c r="H604" s="26">
        <v>-0.82233287080000006</v>
      </c>
      <c r="I604" s="26"/>
      <c r="J604" s="26" t="s">
        <v>512</v>
      </c>
      <c r="K604" s="25" t="s">
        <v>513</v>
      </c>
    </row>
    <row r="605" spans="1:11" ht="25.5" x14ac:dyDescent="0.25">
      <c r="A605" s="22">
        <v>2026</v>
      </c>
      <c r="B605" s="28" t="s">
        <v>167</v>
      </c>
      <c r="C605" s="28" t="s">
        <v>97</v>
      </c>
      <c r="D605" s="28" t="s">
        <v>1787</v>
      </c>
      <c r="E605" s="29" t="s">
        <v>309</v>
      </c>
      <c r="F605" s="29" t="s">
        <v>335</v>
      </c>
      <c r="G605" s="25" t="s">
        <v>2391</v>
      </c>
      <c r="H605" s="26">
        <v>-2.3315571206999999</v>
      </c>
      <c r="I605" s="26"/>
      <c r="J605" s="26" t="s">
        <v>512</v>
      </c>
      <c r="K605" s="25" t="s">
        <v>513</v>
      </c>
    </row>
    <row r="606" spans="1:11" ht="25.5" x14ac:dyDescent="0.25">
      <c r="A606" s="22">
        <v>2026</v>
      </c>
      <c r="B606" s="28" t="s">
        <v>167</v>
      </c>
      <c r="C606" s="28" t="s">
        <v>97</v>
      </c>
      <c r="D606" s="28" t="s">
        <v>1787</v>
      </c>
      <c r="E606" s="29" t="s">
        <v>309</v>
      </c>
      <c r="F606" s="29" t="s">
        <v>335</v>
      </c>
      <c r="G606" s="25" t="s">
        <v>2392</v>
      </c>
      <c r="H606" s="26">
        <v>-1.9989028809</v>
      </c>
      <c r="I606" s="26"/>
      <c r="J606" s="26" t="s">
        <v>512</v>
      </c>
      <c r="K606" s="25" t="s">
        <v>513</v>
      </c>
    </row>
    <row r="607" spans="1:11" ht="25.5" x14ac:dyDescent="0.25">
      <c r="A607" s="22">
        <v>2026</v>
      </c>
      <c r="B607" s="28" t="s">
        <v>167</v>
      </c>
      <c r="C607" s="28" t="s">
        <v>97</v>
      </c>
      <c r="D607" s="28" t="s">
        <v>1787</v>
      </c>
      <c r="E607" s="29" t="s">
        <v>309</v>
      </c>
      <c r="F607" s="29" t="s">
        <v>335</v>
      </c>
      <c r="G607" s="25" t="s">
        <v>2393</v>
      </c>
      <c r="H607" s="26">
        <v>-0.180032</v>
      </c>
      <c r="I607" s="26"/>
      <c r="J607" s="26" t="s">
        <v>512</v>
      </c>
      <c r="K607" s="25" t="s">
        <v>513</v>
      </c>
    </row>
    <row r="608" spans="1:11" ht="25.5" x14ac:dyDescent="0.25">
      <c r="A608" s="22">
        <v>2026</v>
      </c>
      <c r="B608" s="28" t="s">
        <v>167</v>
      </c>
      <c r="C608" s="28" t="s">
        <v>97</v>
      </c>
      <c r="D608" s="28" t="s">
        <v>1787</v>
      </c>
      <c r="E608" s="29" t="s">
        <v>309</v>
      </c>
      <c r="F608" s="29" t="s">
        <v>335</v>
      </c>
      <c r="G608" s="25" t="s">
        <v>2394</v>
      </c>
      <c r="H608" s="26">
        <v>-0.69452724080000006</v>
      </c>
      <c r="I608" s="26"/>
      <c r="J608" s="26" t="s">
        <v>512</v>
      </c>
      <c r="K608" s="25" t="s">
        <v>513</v>
      </c>
    </row>
    <row r="609" spans="1:11" ht="25.5" x14ac:dyDescent="0.25">
      <c r="A609" s="22">
        <v>2026</v>
      </c>
      <c r="B609" s="28" t="s">
        <v>167</v>
      </c>
      <c r="C609" s="28" t="s">
        <v>97</v>
      </c>
      <c r="D609" s="28" t="s">
        <v>1787</v>
      </c>
      <c r="E609" s="29" t="s">
        <v>309</v>
      </c>
      <c r="F609" s="29" t="s">
        <v>335</v>
      </c>
      <c r="G609" s="25" t="s">
        <v>2395</v>
      </c>
      <c r="H609" s="26">
        <v>-1.7627638891999999</v>
      </c>
      <c r="I609" s="26"/>
      <c r="J609" s="26" t="s">
        <v>512</v>
      </c>
      <c r="K609" s="25" t="s">
        <v>513</v>
      </c>
    </row>
    <row r="610" spans="1:11" ht="25.5" x14ac:dyDescent="0.25">
      <c r="A610" s="22">
        <v>2026</v>
      </c>
      <c r="B610" s="28" t="s">
        <v>167</v>
      </c>
      <c r="C610" s="28" t="s">
        <v>97</v>
      </c>
      <c r="D610" s="28" t="s">
        <v>1787</v>
      </c>
      <c r="E610" s="29" t="s">
        <v>309</v>
      </c>
      <c r="F610" s="29" t="s">
        <v>335</v>
      </c>
      <c r="G610" s="25" t="s">
        <v>2396</v>
      </c>
      <c r="H610" s="26">
        <v>-1.1958465777</v>
      </c>
      <c r="I610" s="26"/>
      <c r="J610" s="26" t="s">
        <v>512</v>
      </c>
      <c r="K610" s="25" t="s">
        <v>513</v>
      </c>
    </row>
    <row r="611" spans="1:11" ht="25.5" x14ac:dyDescent="0.25">
      <c r="A611" s="22">
        <v>2026</v>
      </c>
      <c r="B611" s="28" t="s">
        <v>167</v>
      </c>
      <c r="C611" s="28" t="s">
        <v>97</v>
      </c>
      <c r="D611" s="28" t="s">
        <v>1787</v>
      </c>
      <c r="E611" s="29" t="s">
        <v>309</v>
      </c>
      <c r="F611" s="29" t="s">
        <v>335</v>
      </c>
      <c r="G611" s="25" t="s">
        <v>2397</v>
      </c>
      <c r="H611" s="26">
        <v>-0.66660552959999997</v>
      </c>
      <c r="I611" s="26"/>
      <c r="J611" s="26" t="s">
        <v>512</v>
      </c>
      <c r="K611" s="25" t="s">
        <v>513</v>
      </c>
    </row>
    <row r="612" spans="1:11" ht="25.5" x14ac:dyDescent="0.25">
      <c r="A612" s="22">
        <v>2026</v>
      </c>
      <c r="B612" s="28" t="s">
        <v>167</v>
      </c>
      <c r="C612" s="28" t="s">
        <v>97</v>
      </c>
      <c r="D612" s="28" t="s">
        <v>1787</v>
      </c>
      <c r="E612" s="29" t="s">
        <v>309</v>
      </c>
      <c r="F612" s="29" t="s">
        <v>335</v>
      </c>
      <c r="G612" s="25" t="s">
        <v>2398</v>
      </c>
      <c r="H612" s="26">
        <v>-2.3613289632000001</v>
      </c>
      <c r="I612" s="26"/>
      <c r="J612" s="26" t="s">
        <v>512</v>
      </c>
      <c r="K612" s="25" t="s">
        <v>513</v>
      </c>
    </row>
    <row r="613" spans="1:11" ht="25.5" x14ac:dyDescent="0.25">
      <c r="A613" s="22">
        <v>2026</v>
      </c>
      <c r="B613" s="28" t="s">
        <v>167</v>
      </c>
      <c r="C613" s="28" t="s">
        <v>97</v>
      </c>
      <c r="D613" s="28" t="s">
        <v>1787</v>
      </c>
      <c r="E613" s="29" t="s">
        <v>309</v>
      </c>
      <c r="F613" s="29" t="s">
        <v>335</v>
      </c>
      <c r="G613" s="25" t="s">
        <v>2399</v>
      </c>
      <c r="H613" s="26">
        <v>-2.8866999999999998</v>
      </c>
      <c r="I613" s="26"/>
      <c r="J613" s="26" t="s">
        <v>512</v>
      </c>
      <c r="K613" s="25" t="s">
        <v>513</v>
      </c>
    </row>
    <row r="614" spans="1:11" ht="25.5" x14ac:dyDescent="0.25">
      <c r="A614" s="22">
        <v>2026</v>
      </c>
      <c r="B614" s="28" t="s">
        <v>167</v>
      </c>
      <c r="C614" s="28" t="s">
        <v>97</v>
      </c>
      <c r="D614" s="28" t="s">
        <v>1787</v>
      </c>
      <c r="E614" s="29" t="s">
        <v>309</v>
      </c>
      <c r="F614" s="29" t="s">
        <v>335</v>
      </c>
      <c r="G614" s="25" t="s">
        <v>2400</v>
      </c>
      <c r="H614" s="26">
        <v>-2.4743692992000001</v>
      </c>
      <c r="I614" s="26"/>
      <c r="J614" s="26" t="s">
        <v>512</v>
      </c>
      <c r="K614" s="25" t="s">
        <v>513</v>
      </c>
    </row>
    <row r="615" spans="1:11" ht="25.5" x14ac:dyDescent="0.25">
      <c r="A615" s="22">
        <v>2026</v>
      </c>
      <c r="B615" s="28" t="s">
        <v>167</v>
      </c>
      <c r="C615" s="28" t="s">
        <v>97</v>
      </c>
      <c r="D615" s="28" t="s">
        <v>1787</v>
      </c>
      <c r="E615" s="29" t="s">
        <v>309</v>
      </c>
      <c r="F615" s="29" t="s">
        <v>335</v>
      </c>
      <c r="G615" s="25" t="s">
        <v>2401</v>
      </c>
      <c r="H615" s="26">
        <v>-2.2588176600000001</v>
      </c>
      <c r="I615" s="26"/>
      <c r="J615" s="26" t="s">
        <v>512</v>
      </c>
      <c r="K615" s="25" t="s">
        <v>513</v>
      </c>
    </row>
    <row r="616" spans="1:11" ht="25.5" x14ac:dyDescent="0.25">
      <c r="A616" s="22">
        <v>2026</v>
      </c>
      <c r="B616" s="28" t="s">
        <v>167</v>
      </c>
      <c r="C616" s="28" t="s">
        <v>97</v>
      </c>
      <c r="D616" s="28" t="s">
        <v>1787</v>
      </c>
      <c r="E616" s="29" t="s">
        <v>309</v>
      </c>
      <c r="F616" s="29" t="s">
        <v>335</v>
      </c>
      <c r="G616" s="25" t="s">
        <v>2402</v>
      </c>
      <c r="H616" s="26">
        <v>-2.9092500000000001</v>
      </c>
      <c r="I616" s="26"/>
      <c r="J616" s="26" t="s">
        <v>512</v>
      </c>
      <c r="K616" s="25" t="s">
        <v>513</v>
      </c>
    </row>
    <row r="617" spans="1:11" ht="25.5" x14ac:dyDescent="0.25">
      <c r="A617" s="22">
        <v>2026</v>
      </c>
      <c r="B617" s="28" t="s">
        <v>167</v>
      </c>
      <c r="C617" s="28" t="s">
        <v>97</v>
      </c>
      <c r="D617" s="28" t="s">
        <v>1787</v>
      </c>
      <c r="E617" s="29" t="s">
        <v>309</v>
      </c>
      <c r="F617" s="29" t="s">
        <v>335</v>
      </c>
      <c r="G617" s="25" t="s">
        <v>2403</v>
      </c>
      <c r="H617" s="26">
        <v>-1.7569780443</v>
      </c>
      <c r="I617" s="26"/>
      <c r="J617" s="26" t="s">
        <v>512</v>
      </c>
      <c r="K617" s="25" t="s">
        <v>513</v>
      </c>
    </row>
    <row r="618" spans="1:11" ht="25.5" x14ac:dyDescent="0.25">
      <c r="A618" s="22">
        <v>2026</v>
      </c>
      <c r="B618" s="28" t="s">
        <v>167</v>
      </c>
      <c r="C618" s="28" t="s">
        <v>97</v>
      </c>
      <c r="D618" s="28" t="s">
        <v>1787</v>
      </c>
      <c r="E618" s="29" t="s">
        <v>309</v>
      </c>
      <c r="F618" s="29" t="s">
        <v>335</v>
      </c>
      <c r="G618" s="25" t="s">
        <v>2404</v>
      </c>
      <c r="H618" s="26">
        <v>-0.69778394069999994</v>
      </c>
      <c r="I618" s="26"/>
      <c r="J618" s="26" t="s">
        <v>512</v>
      </c>
      <c r="K618" s="25" t="s">
        <v>513</v>
      </c>
    </row>
    <row r="619" spans="1:11" ht="25.5" x14ac:dyDescent="0.25">
      <c r="A619" s="22">
        <v>2026</v>
      </c>
      <c r="B619" s="28" t="s">
        <v>167</v>
      </c>
      <c r="C619" s="28" t="s">
        <v>97</v>
      </c>
      <c r="D619" s="28" t="s">
        <v>1787</v>
      </c>
      <c r="E619" s="29" t="s">
        <v>309</v>
      </c>
      <c r="F619" s="29" t="s">
        <v>335</v>
      </c>
      <c r="G619" s="25" t="s">
        <v>2405</v>
      </c>
      <c r="H619" s="26">
        <v>-2.0118096647999999</v>
      </c>
      <c r="I619" s="26"/>
      <c r="J619" s="26" t="s">
        <v>512</v>
      </c>
      <c r="K619" s="25" t="s">
        <v>513</v>
      </c>
    </row>
    <row r="620" spans="1:11" ht="25.5" x14ac:dyDescent="0.25">
      <c r="A620" s="22">
        <v>2026</v>
      </c>
      <c r="B620" s="28" t="s">
        <v>167</v>
      </c>
      <c r="C620" s="28" t="s">
        <v>97</v>
      </c>
      <c r="D620" s="28" t="s">
        <v>1787</v>
      </c>
      <c r="E620" s="29" t="s">
        <v>309</v>
      </c>
      <c r="F620" s="29" t="s">
        <v>335</v>
      </c>
      <c r="G620" s="25" t="s">
        <v>2406</v>
      </c>
      <c r="H620" s="26">
        <v>-7.8734100000000001E-2</v>
      </c>
      <c r="I620" s="26"/>
      <c r="J620" s="26" t="s">
        <v>512</v>
      </c>
      <c r="K620" s="25" t="s">
        <v>513</v>
      </c>
    </row>
    <row r="621" spans="1:11" ht="25.5" x14ac:dyDescent="0.25">
      <c r="A621" s="22">
        <v>2026</v>
      </c>
      <c r="B621" s="28" t="s">
        <v>167</v>
      </c>
      <c r="C621" s="28" t="s">
        <v>97</v>
      </c>
      <c r="D621" s="28" t="s">
        <v>1787</v>
      </c>
      <c r="E621" s="29" t="s">
        <v>309</v>
      </c>
      <c r="F621" s="29" t="s">
        <v>335</v>
      </c>
      <c r="G621" s="25" t="s">
        <v>2407</v>
      </c>
      <c r="H621" s="26">
        <v>-2.8844500000000002</v>
      </c>
      <c r="I621" s="26"/>
      <c r="J621" s="26" t="s">
        <v>512</v>
      </c>
      <c r="K621" s="25" t="s">
        <v>513</v>
      </c>
    </row>
    <row r="622" spans="1:11" ht="25.5" x14ac:dyDescent="0.25">
      <c r="A622" s="22">
        <v>2026</v>
      </c>
      <c r="B622" s="28" t="s">
        <v>167</v>
      </c>
      <c r="C622" s="28" t="s">
        <v>97</v>
      </c>
      <c r="D622" s="28" t="s">
        <v>1734</v>
      </c>
      <c r="E622" s="29" t="s">
        <v>309</v>
      </c>
      <c r="F622" s="29" t="s">
        <v>903</v>
      </c>
      <c r="G622" s="25" t="s">
        <v>2408</v>
      </c>
      <c r="H622" s="26">
        <v>-0.1024415</v>
      </c>
      <c r="I622" s="26"/>
      <c r="J622" s="26" t="s">
        <v>512</v>
      </c>
      <c r="K622" s="25" t="s">
        <v>513</v>
      </c>
    </row>
    <row r="623" spans="1:11" ht="25.5" x14ac:dyDescent="0.25">
      <c r="A623" s="22">
        <v>2026</v>
      </c>
      <c r="B623" s="28" t="s">
        <v>167</v>
      </c>
      <c r="C623" s="28" t="s">
        <v>97</v>
      </c>
      <c r="D623" s="28" t="s">
        <v>1734</v>
      </c>
      <c r="E623" s="29" t="s">
        <v>309</v>
      </c>
      <c r="F623" s="29" t="s">
        <v>903</v>
      </c>
      <c r="G623" s="25" t="s">
        <v>2409</v>
      </c>
      <c r="H623" s="26">
        <v>-0.44685000000000002</v>
      </c>
      <c r="I623" s="26"/>
      <c r="J623" s="26" t="s">
        <v>512</v>
      </c>
      <c r="K623" s="25" t="s">
        <v>513</v>
      </c>
    </row>
    <row r="624" spans="1:11" ht="25.5" x14ac:dyDescent="0.25">
      <c r="A624" s="22">
        <v>2026</v>
      </c>
      <c r="B624" s="28" t="s">
        <v>167</v>
      </c>
      <c r="C624" s="28" t="s">
        <v>97</v>
      </c>
      <c r="D624" s="28" t="s">
        <v>1734</v>
      </c>
      <c r="E624" s="29" t="s">
        <v>309</v>
      </c>
      <c r="F624" s="29" t="s">
        <v>903</v>
      </c>
      <c r="G624" s="25" t="s">
        <v>2410</v>
      </c>
      <c r="H624" s="26">
        <v>-0.34580279999999997</v>
      </c>
      <c r="I624" s="26"/>
      <c r="J624" s="26" t="s">
        <v>512</v>
      </c>
      <c r="K624" s="25" t="s">
        <v>513</v>
      </c>
    </row>
    <row r="625" spans="1:11" ht="25.5" x14ac:dyDescent="0.25">
      <c r="A625" s="22">
        <v>2026</v>
      </c>
      <c r="B625" s="28" t="s">
        <v>167</v>
      </c>
      <c r="C625" s="28" t="s">
        <v>97</v>
      </c>
      <c r="D625" s="28" t="s">
        <v>1734</v>
      </c>
      <c r="E625" s="29" t="s">
        <v>309</v>
      </c>
      <c r="F625" s="29" t="s">
        <v>903</v>
      </c>
      <c r="G625" s="25" t="s">
        <v>2411</v>
      </c>
      <c r="H625" s="26">
        <v>-4.8800400000000001E-2</v>
      </c>
      <c r="I625" s="26"/>
      <c r="J625" s="26" t="s">
        <v>512</v>
      </c>
      <c r="K625" s="25" t="s">
        <v>513</v>
      </c>
    </row>
    <row r="626" spans="1:11" ht="25.5" x14ac:dyDescent="0.25">
      <c r="A626" s="22">
        <v>2026</v>
      </c>
      <c r="B626" s="28" t="s">
        <v>167</v>
      </c>
      <c r="C626" s="28" t="s">
        <v>97</v>
      </c>
      <c r="D626" s="28" t="s">
        <v>1735</v>
      </c>
      <c r="E626" s="29" t="s">
        <v>309</v>
      </c>
      <c r="F626" s="29" t="s">
        <v>566</v>
      </c>
      <c r="G626" s="25" t="s">
        <v>2412</v>
      </c>
      <c r="H626" s="26">
        <v>-0.25530000000000003</v>
      </c>
      <c r="I626" s="26"/>
      <c r="J626" s="26" t="s">
        <v>512</v>
      </c>
      <c r="K626" s="25" t="s">
        <v>513</v>
      </c>
    </row>
    <row r="627" spans="1:11" ht="25.5" x14ac:dyDescent="0.25">
      <c r="A627" s="22">
        <v>2026</v>
      </c>
      <c r="B627" s="28" t="s">
        <v>167</v>
      </c>
      <c r="C627" s="28" t="s">
        <v>97</v>
      </c>
      <c r="D627" s="28" t="s">
        <v>1735</v>
      </c>
      <c r="E627" s="29" t="s">
        <v>309</v>
      </c>
      <c r="F627" s="29" t="s">
        <v>566</v>
      </c>
      <c r="G627" s="25" t="s">
        <v>2413</v>
      </c>
      <c r="H627" s="26">
        <v>-0.52875000000000005</v>
      </c>
      <c r="I627" s="26"/>
      <c r="J627" s="26" t="s">
        <v>512</v>
      </c>
      <c r="K627" s="25" t="s">
        <v>513</v>
      </c>
    </row>
    <row r="628" spans="1:11" ht="25.5" x14ac:dyDescent="0.25">
      <c r="A628" s="22">
        <v>2026</v>
      </c>
      <c r="B628" s="28" t="s">
        <v>167</v>
      </c>
      <c r="C628" s="28" t="s">
        <v>97</v>
      </c>
      <c r="D628" s="28" t="s">
        <v>1735</v>
      </c>
      <c r="E628" s="29" t="s">
        <v>309</v>
      </c>
      <c r="F628" s="29" t="s">
        <v>566</v>
      </c>
      <c r="G628" s="25" t="s">
        <v>2414</v>
      </c>
      <c r="H628" s="26">
        <v>-0.71099999999999997</v>
      </c>
      <c r="I628" s="26"/>
      <c r="J628" s="26" t="s">
        <v>512</v>
      </c>
      <c r="K628" s="25" t="s">
        <v>513</v>
      </c>
    </row>
    <row r="629" spans="1:11" ht="25.5" x14ac:dyDescent="0.25">
      <c r="A629" s="22">
        <v>2026</v>
      </c>
      <c r="B629" s="28" t="s">
        <v>167</v>
      </c>
      <c r="C629" s="28" t="s">
        <v>97</v>
      </c>
      <c r="D629" s="28" t="s">
        <v>1735</v>
      </c>
      <c r="E629" s="29" t="s">
        <v>309</v>
      </c>
      <c r="F629" s="29" t="s">
        <v>566</v>
      </c>
      <c r="G629" s="25" t="s">
        <v>2415</v>
      </c>
      <c r="H629" s="26">
        <v>-0.53849999999999998</v>
      </c>
      <c r="I629" s="26"/>
      <c r="J629" s="26" t="s">
        <v>512</v>
      </c>
      <c r="K629" s="25" t="s">
        <v>513</v>
      </c>
    </row>
    <row r="630" spans="1:11" ht="25.5" x14ac:dyDescent="0.25">
      <c r="A630" s="22">
        <v>2026</v>
      </c>
      <c r="B630" s="28" t="s">
        <v>167</v>
      </c>
      <c r="C630" s="28" t="s">
        <v>97</v>
      </c>
      <c r="D630" s="28" t="s">
        <v>1735</v>
      </c>
      <c r="E630" s="29" t="s">
        <v>309</v>
      </c>
      <c r="F630" s="29" t="s">
        <v>566</v>
      </c>
      <c r="G630" s="25" t="s">
        <v>2416</v>
      </c>
      <c r="H630" s="26">
        <v>-0.54926249999999999</v>
      </c>
      <c r="I630" s="26"/>
      <c r="J630" s="26" t="s">
        <v>512</v>
      </c>
      <c r="K630" s="25" t="s">
        <v>513</v>
      </c>
    </row>
    <row r="631" spans="1:11" ht="25.5" x14ac:dyDescent="0.25">
      <c r="A631" s="22">
        <v>2026</v>
      </c>
      <c r="B631" s="28" t="s">
        <v>167</v>
      </c>
      <c r="C631" s="28" t="s">
        <v>97</v>
      </c>
      <c r="D631" s="28" t="s">
        <v>1735</v>
      </c>
      <c r="E631" s="29" t="s">
        <v>309</v>
      </c>
      <c r="F631" s="29" t="s">
        <v>566</v>
      </c>
      <c r="G631" s="25" t="s">
        <v>2417</v>
      </c>
      <c r="H631" s="26">
        <v>-0.372</v>
      </c>
      <c r="I631" s="26"/>
      <c r="J631" s="26" t="s">
        <v>512</v>
      </c>
      <c r="K631" s="25" t="s">
        <v>513</v>
      </c>
    </row>
    <row r="632" spans="1:11" ht="25.5" x14ac:dyDescent="0.25">
      <c r="A632" s="22">
        <v>2026</v>
      </c>
      <c r="B632" s="28" t="s">
        <v>167</v>
      </c>
      <c r="C632" s="28" t="s">
        <v>97</v>
      </c>
      <c r="D632" s="28" t="s">
        <v>1735</v>
      </c>
      <c r="E632" s="29" t="s">
        <v>309</v>
      </c>
      <c r="F632" s="29" t="s">
        <v>566</v>
      </c>
      <c r="G632" s="25" t="s">
        <v>2418</v>
      </c>
      <c r="H632" s="26">
        <v>-0.56925000000000003</v>
      </c>
      <c r="I632" s="26"/>
      <c r="J632" s="26" t="s">
        <v>512</v>
      </c>
      <c r="K632" s="25" t="s">
        <v>513</v>
      </c>
    </row>
    <row r="633" spans="1:11" ht="25.5" x14ac:dyDescent="0.25">
      <c r="A633" s="22">
        <v>2026</v>
      </c>
      <c r="B633" s="28" t="s">
        <v>167</v>
      </c>
      <c r="C633" s="28" t="s">
        <v>97</v>
      </c>
      <c r="D633" s="28" t="s">
        <v>1735</v>
      </c>
      <c r="E633" s="29" t="s">
        <v>309</v>
      </c>
      <c r="F633" s="29" t="s">
        <v>566</v>
      </c>
      <c r="G633" s="25" t="s">
        <v>2419</v>
      </c>
      <c r="H633" s="26">
        <v>-0.379</v>
      </c>
      <c r="I633" s="26"/>
      <c r="J633" s="26" t="s">
        <v>512</v>
      </c>
      <c r="K633" s="25" t="s">
        <v>513</v>
      </c>
    </row>
    <row r="634" spans="1:11" ht="25.5" x14ac:dyDescent="0.25">
      <c r="A634" s="22">
        <v>2026</v>
      </c>
      <c r="B634" s="28" t="s">
        <v>167</v>
      </c>
      <c r="C634" s="28" t="s">
        <v>97</v>
      </c>
      <c r="D634" s="28" t="s">
        <v>1735</v>
      </c>
      <c r="E634" s="29" t="s">
        <v>309</v>
      </c>
      <c r="F634" s="29" t="s">
        <v>566</v>
      </c>
      <c r="G634" s="25" t="s">
        <v>2420</v>
      </c>
      <c r="H634" s="26">
        <v>-0.41082249999999998</v>
      </c>
      <c r="I634" s="26"/>
      <c r="J634" s="26" t="s">
        <v>512</v>
      </c>
      <c r="K634" s="25" t="s">
        <v>513</v>
      </c>
    </row>
    <row r="635" spans="1:11" ht="25.5" x14ac:dyDescent="0.25">
      <c r="A635" s="22">
        <v>2026</v>
      </c>
      <c r="B635" s="28" t="s">
        <v>167</v>
      </c>
      <c r="C635" s="28" t="s">
        <v>97</v>
      </c>
      <c r="D635" s="28" t="s">
        <v>1735</v>
      </c>
      <c r="E635" s="29" t="s">
        <v>309</v>
      </c>
      <c r="F635" s="29" t="s">
        <v>566</v>
      </c>
      <c r="G635" s="25" t="s">
        <v>2421</v>
      </c>
      <c r="H635" s="26">
        <v>-0.3705</v>
      </c>
      <c r="I635" s="26"/>
      <c r="J635" s="26" t="s">
        <v>512</v>
      </c>
      <c r="K635" s="25" t="s">
        <v>513</v>
      </c>
    </row>
    <row r="636" spans="1:11" ht="25.5" x14ac:dyDescent="0.25">
      <c r="A636" s="22">
        <v>2026</v>
      </c>
      <c r="B636" s="28" t="s">
        <v>167</v>
      </c>
      <c r="C636" s="28" t="s">
        <v>97</v>
      </c>
      <c r="D636" s="28" t="s">
        <v>1735</v>
      </c>
      <c r="E636" s="29" t="s">
        <v>309</v>
      </c>
      <c r="F636" s="29" t="s">
        <v>566</v>
      </c>
      <c r="G636" s="25" t="s">
        <v>2422</v>
      </c>
      <c r="H636" s="26">
        <v>-0.55508250000000003</v>
      </c>
      <c r="I636" s="26"/>
      <c r="J636" s="26" t="s">
        <v>512</v>
      </c>
      <c r="K636" s="25" t="s">
        <v>513</v>
      </c>
    </row>
    <row r="637" spans="1:11" ht="25.5" x14ac:dyDescent="0.25">
      <c r="A637" s="22">
        <v>2026</v>
      </c>
      <c r="B637" s="28" t="s">
        <v>167</v>
      </c>
      <c r="C637" s="28" t="s">
        <v>97</v>
      </c>
      <c r="D637" s="28" t="s">
        <v>538</v>
      </c>
      <c r="E637" s="29" t="s">
        <v>309</v>
      </c>
      <c r="F637" s="29" t="s">
        <v>564</v>
      </c>
      <c r="G637" s="25" t="s">
        <v>2423</v>
      </c>
      <c r="H637" s="26">
        <v>-9.9031250000000001E-2</v>
      </c>
      <c r="I637" s="26"/>
      <c r="J637" s="26" t="s">
        <v>512</v>
      </c>
      <c r="K637" s="25" t="s">
        <v>513</v>
      </c>
    </row>
    <row r="638" spans="1:11" ht="25.5" x14ac:dyDescent="0.25">
      <c r="A638" s="22">
        <v>2026</v>
      </c>
      <c r="B638" s="28" t="s">
        <v>167</v>
      </c>
      <c r="C638" s="28" t="s">
        <v>97</v>
      </c>
      <c r="D638" s="28" t="s">
        <v>538</v>
      </c>
      <c r="E638" s="29" t="s">
        <v>309</v>
      </c>
      <c r="F638" s="29" t="s">
        <v>564</v>
      </c>
      <c r="G638" s="25" t="s">
        <v>2424</v>
      </c>
      <c r="H638" s="26">
        <v>-9.904375E-2</v>
      </c>
      <c r="I638" s="26"/>
      <c r="J638" s="26" t="s">
        <v>512</v>
      </c>
      <c r="K638" s="25" t="s">
        <v>513</v>
      </c>
    </row>
    <row r="639" spans="1:11" ht="25.5" x14ac:dyDescent="0.25">
      <c r="A639" s="22">
        <v>2026</v>
      </c>
      <c r="B639" s="28" t="s">
        <v>167</v>
      </c>
      <c r="C639" s="28" t="s">
        <v>97</v>
      </c>
      <c r="D639" s="28" t="s">
        <v>538</v>
      </c>
      <c r="E639" s="29" t="s">
        <v>309</v>
      </c>
      <c r="F639" s="29" t="s">
        <v>564</v>
      </c>
      <c r="G639" s="25" t="s">
        <v>2425</v>
      </c>
      <c r="H639" s="26">
        <v>-0.3457749</v>
      </c>
      <c r="I639" s="26"/>
      <c r="J639" s="26" t="s">
        <v>512</v>
      </c>
      <c r="K639" s="25" t="s">
        <v>513</v>
      </c>
    </row>
    <row r="640" spans="1:11" ht="25.5" x14ac:dyDescent="0.25">
      <c r="A640" s="22">
        <v>2026</v>
      </c>
      <c r="B640" s="28" t="s">
        <v>167</v>
      </c>
      <c r="C640" s="28" t="s">
        <v>97</v>
      </c>
      <c r="D640" s="28" t="s">
        <v>538</v>
      </c>
      <c r="E640" s="29" t="s">
        <v>309</v>
      </c>
      <c r="F640" s="29" t="s">
        <v>564</v>
      </c>
      <c r="G640" s="25" t="s">
        <v>2426</v>
      </c>
      <c r="H640" s="26">
        <v>-0.14280000000000001</v>
      </c>
      <c r="I640" s="26"/>
      <c r="J640" s="26" t="s">
        <v>512</v>
      </c>
      <c r="K640" s="25" t="s">
        <v>513</v>
      </c>
    </row>
    <row r="641" spans="1:11" ht="25.5" x14ac:dyDescent="0.25">
      <c r="A641" s="22">
        <v>2026</v>
      </c>
      <c r="B641" s="28" t="s">
        <v>167</v>
      </c>
      <c r="C641" s="28" t="s">
        <v>97</v>
      </c>
      <c r="D641" s="28" t="s">
        <v>538</v>
      </c>
      <c r="E641" s="29" t="s">
        <v>309</v>
      </c>
      <c r="F641" s="29" t="s">
        <v>564</v>
      </c>
      <c r="G641" s="25" t="s">
        <v>2427</v>
      </c>
      <c r="H641" s="26">
        <v>-0.102549</v>
      </c>
      <c r="I641" s="26"/>
      <c r="J641" s="26" t="s">
        <v>512</v>
      </c>
      <c r="K641" s="25" t="s">
        <v>513</v>
      </c>
    </row>
    <row r="642" spans="1:11" ht="25.5" x14ac:dyDescent="0.25">
      <c r="A642" s="22">
        <v>2026</v>
      </c>
      <c r="B642" s="28" t="s">
        <v>167</v>
      </c>
      <c r="C642" s="28" t="s">
        <v>97</v>
      </c>
      <c r="D642" s="28" t="s">
        <v>538</v>
      </c>
      <c r="E642" s="29" t="s">
        <v>309</v>
      </c>
      <c r="F642" s="29" t="s">
        <v>564</v>
      </c>
      <c r="G642" s="25" t="s">
        <v>2428</v>
      </c>
      <c r="H642" s="26">
        <v>-6.2465217439999998E-2</v>
      </c>
      <c r="I642" s="26"/>
      <c r="J642" s="26" t="s">
        <v>512</v>
      </c>
      <c r="K642" s="25" t="s">
        <v>513</v>
      </c>
    </row>
    <row r="643" spans="1:11" ht="25.5" x14ac:dyDescent="0.25">
      <c r="A643" s="22">
        <v>2026</v>
      </c>
      <c r="B643" s="28" t="s">
        <v>167</v>
      </c>
      <c r="C643" s="28" t="s">
        <v>97</v>
      </c>
      <c r="D643" s="28" t="s">
        <v>538</v>
      </c>
      <c r="E643" s="29" t="s">
        <v>309</v>
      </c>
      <c r="F643" s="29" t="s">
        <v>564</v>
      </c>
      <c r="G643" s="25" t="s">
        <v>2429</v>
      </c>
      <c r="H643" s="26">
        <v>-0.10299999999999999</v>
      </c>
      <c r="I643" s="26"/>
      <c r="J643" s="26" t="s">
        <v>512</v>
      </c>
      <c r="K643" s="25" t="s">
        <v>513</v>
      </c>
    </row>
    <row r="644" spans="1:11" ht="25.5" x14ac:dyDescent="0.25">
      <c r="A644" s="22">
        <v>2026</v>
      </c>
      <c r="B644" s="28" t="s">
        <v>167</v>
      </c>
      <c r="C644" s="28" t="s">
        <v>97</v>
      </c>
      <c r="D644" s="28" t="s">
        <v>538</v>
      </c>
      <c r="E644" s="29" t="s">
        <v>309</v>
      </c>
      <c r="F644" s="29" t="s">
        <v>564</v>
      </c>
      <c r="G644" s="25" t="s">
        <v>2430</v>
      </c>
      <c r="H644" s="26">
        <v>-8.3465999999999999E-2</v>
      </c>
      <c r="I644" s="26"/>
      <c r="J644" s="26" t="s">
        <v>512</v>
      </c>
      <c r="K644" s="25" t="s">
        <v>513</v>
      </c>
    </row>
    <row r="645" spans="1:11" ht="25.5" x14ac:dyDescent="0.25">
      <c r="A645" s="22">
        <v>2026</v>
      </c>
      <c r="B645" s="28" t="s">
        <v>167</v>
      </c>
      <c r="C645" s="28" t="s">
        <v>97</v>
      </c>
      <c r="D645" s="28" t="s">
        <v>538</v>
      </c>
      <c r="E645" s="29" t="s">
        <v>309</v>
      </c>
      <c r="F645" s="29" t="s">
        <v>564</v>
      </c>
      <c r="G645" s="25" t="s">
        <v>2431</v>
      </c>
      <c r="H645" s="26">
        <v>-6.264285E-2</v>
      </c>
      <c r="I645" s="26"/>
      <c r="J645" s="26" t="s">
        <v>512</v>
      </c>
      <c r="K645" s="25" t="s">
        <v>513</v>
      </c>
    </row>
    <row r="646" spans="1:11" ht="25.5" x14ac:dyDescent="0.25">
      <c r="A646" s="22">
        <v>2026</v>
      </c>
      <c r="B646" s="28" t="s">
        <v>167</v>
      </c>
      <c r="C646" s="28" t="s">
        <v>97</v>
      </c>
      <c r="D646" s="28" t="s">
        <v>538</v>
      </c>
      <c r="E646" s="29" t="s">
        <v>309</v>
      </c>
      <c r="F646" s="29" t="s">
        <v>564</v>
      </c>
      <c r="G646" s="25" t="s">
        <v>2432</v>
      </c>
      <c r="H646" s="26">
        <v>-8.5078600000000004E-2</v>
      </c>
      <c r="I646" s="26"/>
      <c r="J646" s="26" t="s">
        <v>512</v>
      </c>
      <c r="K646" s="25" t="s">
        <v>513</v>
      </c>
    </row>
    <row r="647" spans="1:11" ht="25.5" x14ac:dyDescent="0.25">
      <c r="A647" s="22">
        <v>2026</v>
      </c>
      <c r="B647" s="28" t="s">
        <v>167</v>
      </c>
      <c r="C647" s="28" t="s">
        <v>97</v>
      </c>
      <c r="D647" s="28" t="s">
        <v>538</v>
      </c>
      <c r="E647" s="29" t="s">
        <v>309</v>
      </c>
      <c r="F647" s="29" t="s">
        <v>564</v>
      </c>
      <c r="G647" s="25" t="s">
        <v>2433</v>
      </c>
      <c r="H647" s="26">
        <v>-0.13656233640000001</v>
      </c>
      <c r="I647" s="26"/>
      <c r="J647" s="26" t="s">
        <v>512</v>
      </c>
      <c r="K647" s="25" t="s">
        <v>513</v>
      </c>
    </row>
    <row r="648" spans="1:11" ht="25.5" x14ac:dyDescent="0.25">
      <c r="A648" s="22">
        <v>2026</v>
      </c>
      <c r="B648" s="28" t="s">
        <v>167</v>
      </c>
      <c r="C648" s="28" t="s">
        <v>97</v>
      </c>
      <c r="D648" s="28" t="s">
        <v>538</v>
      </c>
      <c r="E648" s="29" t="s">
        <v>309</v>
      </c>
      <c r="F648" s="29" t="s">
        <v>564</v>
      </c>
      <c r="G648" s="25" t="s">
        <v>2434</v>
      </c>
      <c r="H648" s="26">
        <v>-6.2845949999999998E-2</v>
      </c>
      <c r="I648" s="26"/>
      <c r="J648" s="26" t="s">
        <v>512</v>
      </c>
      <c r="K648" s="25" t="s">
        <v>513</v>
      </c>
    </row>
    <row r="649" spans="1:11" ht="25.5" x14ac:dyDescent="0.25">
      <c r="A649" s="22">
        <v>2026</v>
      </c>
      <c r="B649" s="28" t="s">
        <v>167</v>
      </c>
      <c r="C649" s="28" t="s">
        <v>97</v>
      </c>
      <c r="D649" s="28" t="s">
        <v>538</v>
      </c>
      <c r="E649" s="29" t="s">
        <v>309</v>
      </c>
      <c r="F649" s="29" t="s">
        <v>564</v>
      </c>
      <c r="G649" s="25" t="s">
        <v>2435</v>
      </c>
      <c r="H649" s="26">
        <v>-6.2491649999999996E-2</v>
      </c>
      <c r="I649" s="26"/>
      <c r="J649" s="26" t="s">
        <v>512</v>
      </c>
      <c r="K649" s="25" t="s">
        <v>513</v>
      </c>
    </row>
    <row r="650" spans="1:11" ht="25.5" x14ac:dyDescent="0.25">
      <c r="A650" s="22">
        <v>2026</v>
      </c>
      <c r="B650" s="28" t="s">
        <v>167</v>
      </c>
      <c r="C650" s="28" t="s">
        <v>97</v>
      </c>
      <c r="D650" s="28" t="s">
        <v>538</v>
      </c>
      <c r="E650" s="29" t="s">
        <v>309</v>
      </c>
      <c r="F650" s="29" t="s">
        <v>564</v>
      </c>
      <c r="G650" s="25" t="s">
        <v>2436</v>
      </c>
      <c r="H650" s="26">
        <v>-8.3898600000000004E-2</v>
      </c>
      <c r="I650" s="26"/>
      <c r="J650" s="26" t="s">
        <v>512</v>
      </c>
      <c r="K650" s="25" t="s">
        <v>513</v>
      </c>
    </row>
    <row r="651" spans="1:11" ht="25.5" x14ac:dyDescent="0.25">
      <c r="A651" s="22">
        <v>2026</v>
      </c>
      <c r="B651" s="28" t="s">
        <v>167</v>
      </c>
      <c r="C651" s="28" t="s">
        <v>97</v>
      </c>
      <c r="D651" s="28" t="s">
        <v>538</v>
      </c>
      <c r="E651" s="29" t="s">
        <v>309</v>
      </c>
      <c r="F651" s="29" t="s">
        <v>564</v>
      </c>
      <c r="G651" s="25" t="s">
        <v>2437</v>
      </c>
      <c r="H651" s="26">
        <v>-4.2560899999999999E-2</v>
      </c>
      <c r="I651" s="26"/>
      <c r="J651" s="26" t="s">
        <v>512</v>
      </c>
      <c r="K651" s="25" t="s">
        <v>513</v>
      </c>
    </row>
    <row r="652" spans="1:11" ht="25.5" x14ac:dyDescent="0.25">
      <c r="A652" s="22">
        <v>2026</v>
      </c>
      <c r="B652" s="28" t="s">
        <v>167</v>
      </c>
      <c r="C652" s="28" t="s">
        <v>97</v>
      </c>
      <c r="D652" s="28" t="s">
        <v>538</v>
      </c>
      <c r="E652" s="29" t="s">
        <v>309</v>
      </c>
      <c r="F652" s="29" t="s">
        <v>564</v>
      </c>
      <c r="G652" s="25" t="s">
        <v>2438</v>
      </c>
      <c r="H652" s="26">
        <v>-8.3718400000000012E-2</v>
      </c>
      <c r="I652" s="26"/>
      <c r="J652" s="26" t="s">
        <v>512</v>
      </c>
      <c r="K652" s="25" t="s">
        <v>513</v>
      </c>
    </row>
    <row r="653" spans="1:11" ht="25.5" x14ac:dyDescent="0.25">
      <c r="A653" s="22">
        <v>2026</v>
      </c>
      <c r="B653" s="28" t="s">
        <v>167</v>
      </c>
      <c r="C653" s="28" t="s">
        <v>97</v>
      </c>
      <c r="D653" s="28" t="s">
        <v>538</v>
      </c>
      <c r="E653" s="29" t="s">
        <v>309</v>
      </c>
      <c r="F653" s="29" t="s">
        <v>564</v>
      </c>
      <c r="G653" s="25" t="s">
        <v>2439</v>
      </c>
      <c r="H653" s="26">
        <v>-0.16612480000000002</v>
      </c>
      <c r="I653" s="26"/>
      <c r="J653" s="26" t="s">
        <v>512</v>
      </c>
      <c r="K653" s="25" t="s">
        <v>513</v>
      </c>
    </row>
    <row r="654" spans="1:11" ht="25.5" x14ac:dyDescent="0.25">
      <c r="A654" s="22">
        <v>2026</v>
      </c>
      <c r="B654" s="28" t="s">
        <v>167</v>
      </c>
      <c r="C654" s="28" t="s">
        <v>97</v>
      </c>
      <c r="D654" s="28" t="s">
        <v>538</v>
      </c>
      <c r="E654" s="29" t="s">
        <v>309</v>
      </c>
      <c r="F654" s="29" t="s">
        <v>564</v>
      </c>
      <c r="G654" s="25" t="s">
        <v>2440</v>
      </c>
      <c r="H654" s="26">
        <v>-0.20705000000000001</v>
      </c>
      <c r="I654" s="26"/>
      <c r="J654" s="26" t="s">
        <v>512</v>
      </c>
      <c r="K654" s="25" t="s">
        <v>513</v>
      </c>
    </row>
    <row r="655" spans="1:11" ht="25.5" x14ac:dyDescent="0.25">
      <c r="A655" s="22">
        <v>2026</v>
      </c>
      <c r="B655" s="28" t="s">
        <v>167</v>
      </c>
      <c r="C655" s="28" t="s">
        <v>97</v>
      </c>
      <c r="D655" s="28" t="s">
        <v>538</v>
      </c>
      <c r="E655" s="29" t="s">
        <v>309</v>
      </c>
      <c r="F655" s="29" t="s">
        <v>564</v>
      </c>
      <c r="G655" s="25" t="s">
        <v>2441</v>
      </c>
      <c r="H655" s="26">
        <v>-0.32835439999999999</v>
      </c>
      <c r="I655" s="26"/>
      <c r="J655" s="26" t="s">
        <v>512</v>
      </c>
      <c r="K655" s="25" t="s">
        <v>513</v>
      </c>
    </row>
    <row r="656" spans="1:11" ht="25.5" x14ac:dyDescent="0.25">
      <c r="A656" s="22">
        <v>2026</v>
      </c>
      <c r="B656" s="28" t="s">
        <v>167</v>
      </c>
      <c r="C656" s="28" t="s">
        <v>97</v>
      </c>
      <c r="D656" s="28" t="s">
        <v>538</v>
      </c>
      <c r="E656" s="29" t="s">
        <v>309</v>
      </c>
      <c r="F656" s="29" t="s">
        <v>564</v>
      </c>
      <c r="G656" s="25" t="s">
        <v>2442</v>
      </c>
      <c r="H656" s="26">
        <v>-0.2442684</v>
      </c>
      <c r="I656" s="26"/>
      <c r="J656" s="26" t="s">
        <v>512</v>
      </c>
      <c r="K656" s="25" t="s">
        <v>513</v>
      </c>
    </row>
    <row r="657" spans="1:11" ht="25.5" x14ac:dyDescent="0.25">
      <c r="A657" s="22">
        <v>2026</v>
      </c>
      <c r="B657" s="28" t="s">
        <v>167</v>
      </c>
      <c r="C657" s="28" t="s">
        <v>97</v>
      </c>
      <c r="D657" s="28" t="s">
        <v>538</v>
      </c>
      <c r="E657" s="29" t="s">
        <v>309</v>
      </c>
      <c r="F657" s="29" t="s">
        <v>564</v>
      </c>
      <c r="G657" s="25" t="s">
        <v>2443</v>
      </c>
      <c r="H657" s="26">
        <v>-6.1440300000000003E-2</v>
      </c>
      <c r="I657" s="26"/>
      <c r="J657" s="26" t="s">
        <v>512</v>
      </c>
      <c r="K657" s="25" t="s">
        <v>513</v>
      </c>
    </row>
    <row r="658" spans="1:11" ht="25.5" x14ac:dyDescent="0.25">
      <c r="A658" s="22">
        <v>2026</v>
      </c>
      <c r="B658" s="28" t="s">
        <v>167</v>
      </c>
      <c r="C658" s="28" t="s">
        <v>97</v>
      </c>
      <c r="D658" s="28" t="s">
        <v>1738</v>
      </c>
      <c r="E658" s="29" t="s">
        <v>309</v>
      </c>
      <c r="F658" s="29" t="s">
        <v>386</v>
      </c>
      <c r="G658" s="25" t="s">
        <v>2444</v>
      </c>
      <c r="H658" s="26">
        <v>-0.92765344560000007</v>
      </c>
      <c r="I658" s="26"/>
      <c r="J658" s="26" t="s">
        <v>512</v>
      </c>
      <c r="K658" s="25" t="s">
        <v>513</v>
      </c>
    </row>
    <row r="659" spans="1:11" ht="25.5" x14ac:dyDescent="0.25">
      <c r="A659" s="22">
        <v>2026</v>
      </c>
      <c r="B659" s="28" t="s">
        <v>167</v>
      </c>
      <c r="C659" s="28" t="s">
        <v>97</v>
      </c>
      <c r="D659" s="28" t="s">
        <v>1738</v>
      </c>
      <c r="E659" s="29" t="s">
        <v>309</v>
      </c>
      <c r="F659" s="29" t="s">
        <v>386</v>
      </c>
      <c r="G659" s="25" t="s">
        <v>2445</v>
      </c>
      <c r="H659" s="26">
        <v>-0.9832418865</v>
      </c>
      <c r="I659" s="26"/>
      <c r="J659" s="26" t="s">
        <v>512</v>
      </c>
      <c r="K659" s="25" t="s">
        <v>513</v>
      </c>
    </row>
    <row r="660" spans="1:11" ht="25.5" x14ac:dyDescent="0.25">
      <c r="A660" s="22">
        <v>2026</v>
      </c>
      <c r="B660" s="28" t="s">
        <v>167</v>
      </c>
      <c r="C660" s="28" t="s">
        <v>97</v>
      </c>
      <c r="D660" s="28" t="s">
        <v>1738</v>
      </c>
      <c r="E660" s="29" t="s">
        <v>309</v>
      </c>
      <c r="F660" s="29" t="s">
        <v>386</v>
      </c>
      <c r="G660" s="25" t="s">
        <v>2446</v>
      </c>
      <c r="H660" s="26">
        <v>-1.30755</v>
      </c>
      <c r="I660" s="26"/>
      <c r="J660" s="26" t="s">
        <v>512</v>
      </c>
      <c r="K660" s="25" t="s">
        <v>513</v>
      </c>
    </row>
    <row r="661" spans="1:11" ht="25.5" x14ac:dyDescent="0.25">
      <c r="A661" s="22">
        <v>2026</v>
      </c>
      <c r="B661" s="28" t="s">
        <v>167</v>
      </c>
      <c r="C661" s="28" t="s">
        <v>97</v>
      </c>
      <c r="D661" s="28" t="s">
        <v>1738</v>
      </c>
      <c r="E661" s="29" t="s">
        <v>309</v>
      </c>
      <c r="F661" s="29" t="s">
        <v>386</v>
      </c>
      <c r="G661" s="25" t="s">
        <v>2447</v>
      </c>
      <c r="H661" s="26">
        <v>-0.25638375000000002</v>
      </c>
      <c r="I661" s="26"/>
      <c r="J661" s="26" t="s">
        <v>512</v>
      </c>
      <c r="K661" s="25" t="s">
        <v>513</v>
      </c>
    </row>
    <row r="662" spans="1:11" ht="25.5" x14ac:dyDescent="0.25">
      <c r="A662" s="22">
        <v>2026</v>
      </c>
      <c r="B662" s="28" t="s">
        <v>167</v>
      </c>
      <c r="C662" s="28" t="s">
        <v>97</v>
      </c>
      <c r="D662" s="28" t="s">
        <v>1738</v>
      </c>
      <c r="E662" s="29" t="s">
        <v>309</v>
      </c>
      <c r="F662" s="29" t="s">
        <v>386</v>
      </c>
      <c r="G662" s="25" t="s">
        <v>2448</v>
      </c>
      <c r="H662" s="26">
        <v>-1.1232151991999999</v>
      </c>
      <c r="I662" s="26"/>
      <c r="J662" s="26" t="s">
        <v>512</v>
      </c>
      <c r="K662" s="25" t="s">
        <v>513</v>
      </c>
    </row>
    <row r="663" spans="1:11" ht="25.5" x14ac:dyDescent="0.25">
      <c r="A663" s="22">
        <v>2026</v>
      </c>
      <c r="B663" s="28" t="s">
        <v>167</v>
      </c>
      <c r="C663" s="28" t="s">
        <v>97</v>
      </c>
      <c r="D663" s="28" t="s">
        <v>1738</v>
      </c>
      <c r="E663" s="29" t="s">
        <v>309</v>
      </c>
      <c r="F663" s="29" t="s">
        <v>386</v>
      </c>
      <c r="G663" s="25" t="s">
        <v>2449</v>
      </c>
      <c r="H663" s="26">
        <v>-1.30925</v>
      </c>
      <c r="I663" s="26"/>
      <c r="J663" s="26" t="s">
        <v>512</v>
      </c>
      <c r="K663" s="25" t="s">
        <v>513</v>
      </c>
    </row>
    <row r="664" spans="1:11" ht="25.5" x14ac:dyDescent="0.25">
      <c r="A664" s="22">
        <v>2026</v>
      </c>
      <c r="B664" s="28" t="s">
        <v>167</v>
      </c>
      <c r="C664" s="28" t="s">
        <v>97</v>
      </c>
      <c r="D664" s="28" t="s">
        <v>1738</v>
      </c>
      <c r="E664" s="29" t="s">
        <v>309</v>
      </c>
      <c r="F664" s="29" t="s">
        <v>386</v>
      </c>
      <c r="G664" s="25" t="s">
        <v>2450</v>
      </c>
      <c r="H664" s="26">
        <v>-0.20297136629999998</v>
      </c>
      <c r="I664" s="26"/>
      <c r="J664" s="26" t="s">
        <v>512</v>
      </c>
      <c r="K664" s="25" t="s">
        <v>513</v>
      </c>
    </row>
    <row r="665" spans="1:11" ht="25.5" x14ac:dyDescent="0.25">
      <c r="A665" s="22">
        <v>2026</v>
      </c>
      <c r="B665" s="28" t="s">
        <v>167</v>
      </c>
      <c r="C665" s="28" t="s">
        <v>97</v>
      </c>
      <c r="D665" s="28" t="s">
        <v>1738</v>
      </c>
      <c r="E665" s="29" t="s">
        <v>309</v>
      </c>
      <c r="F665" s="29" t="s">
        <v>386</v>
      </c>
      <c r="G665" s="25" t="s">
        <v>2451</v>
      </c>
      <c r="H665" s="26">
        <v>-8.6130300000000007E-2</v>
      </c>
      <c r="I665" s="26"/>
      <c r="J665" s="26" t="s">
        <v>512</v>
      </c>
      <c r="K665" s="25" t="s">
        <v>513</v>
      </c>
    </row>
    <row r="666" spans="1:11" ht="25.5" x14ac:dyDescent="0.25">
      <c r="A666" s="22">
        <v>2026</v>
      </c>
      <c r="B666" s="28" t="s">
        <v>167</v>
      </c>
      <c r="C666" s="28" t="s">
        <v>97</v>
      </c>
      <c r="D666" s="28" t="s">
        <v>1738</v>
      </c>
      <c r="E666" s="29" t="s">
        <v>309</v>
      </c>
      <c r="F666" s="29" t="s">
        <v>386</v>
      </c>
      <c r="G666" s="25" t="s">
        <v>2452</v>
      </c>
      <c r="H666" s="26">
        <v>-0.41760113760000001</v>
      </c>
      <c r="I666" s="26"/>
      <c r="J666" s="26" t="s">
        <v>512</v>
      </c>
      <c r="K666" s="25" t="s">
        <v>513</v>
      </c>
    </row>
    <row r="667" spans="1:11" ht="25.5" x14ac:dyDescent="0.25">
      <c r="A667" s="22">
        <v>2026</v>
      </c>
      <c r="B667" s="28" t="s">
        <v>167</v>
      </c>
      <c r="C667" s="28" t="s">
        <v>97</v>
      </c>
      <c r="D667" s="28" t="s">
        <v>1738</v>
      </c>
      <c r="E667" s="29" t="s">
        <v>309</v>
      </c>
      <c r="F667" s="29" t="s">
        <v>386</v>
      </c>
      <c r="G667" s="25" t="s">
        <v>2453</v>
      </c>
      <c r="H667" s="26">
        <v>-0.25823928499999999</v>
      </c>
      <c r="I667" s="26"/>
      <c r="J667" s="26" t="s">
        <v>512</v>
      </c>
      <c r="K667" s="25" t="s">
        <v>513</v>
      </c>
    </row>
    <row r="668" spans="1:11" ht="25.5" x14ac:dyDescent="0.25">
      <c r="A668" s="22">
        <v>2026</v>
      </c>
      <c r="B668" s="28" t="s">
        <v>167</v>
      </c>
      <c r="C668" s="28" t="s">
        <v>97</v>
      </c>
      <c r="D668" s="28" t="s">
        <v>1738</v>
      </c>
      <c r="E668" s="29" t="s">
        <v>309</v>
      </c>
      <c r="F668" s="29" t="s">
        <v>386</v>
      </c>
      <c r="G668" s="25" t="s">
        <v>2454</v>
      </c>
      <c r="H668" s="26">
        <v>-0.32389239000000003</v>
      </c>
      <c r="I668" s="26"/>
      <c r="J668" s="26" t="s">
        <v>512</v>
      </c>
      <c r="K668" s="25" t="s">
        <v>513</v>
      </c>
    </row>
    <row r="669" spans="1:11" ht="25.5" x14ac:dyDescent="0.25">
      <c r="A669" s="22">
        <v>2026</v>
      </c>
      <c r="B669" s="28" t="s">
        <v>167</v>
      </c>
      <c r="C669" s="28" t="s">
        <v>97</v>
      </c>
      <c r="D669" s="28" t="s">
        <v>1738</v>
      </c>
      <c r="E669" s="29" t="s">
        <v>309</v>
      </c>
      <c r="F669" s="29" t="s">
        <v>386</v>
      </c>
      <c r="G669" s="25" t="s">
        <v>2455</v>
      </c>
      <c r="H669" s="26">
        <v>-1.3187500000000001</v>
      </c>
      <c r="I669" s="26"/>
      <c r="J669" s="26" t="s">
        <v>512</v>
      </c>
      <c r="K669" s="25" t="s">
        <v>513</v>
      </c>
    </row>
    <row r="670" spans="1:11" ht="25.5" x14ac:dyDescent="0.25">
      <c r="A670" s="22">
        <v>2026</v>
      </c>
      <c r="B670" s="28" t="s">
        <v>167</v>
      </c>
      <c r="C670" s="28" t="s">
        <v>97</v>
      </c>
      <c r="D670" s="28" t="s">
        <v>1738</v>
      </c>
      <c r="E670" s="29" t="s">
        <v>309</v>
      </c>
      <c r="F670" s="29" t="s">
        <v>386</v>
      </c>
      <c r="G670" s="25" t="s">
        <v>2456</v>
      </c>
      <c r="H670" s="26">
        <v>-0.84228789520000003</v>
      </c>
      <c r="I670" s="26"/>
      <c r="J670" s="26" t="s">
        <v>512</v>
      </c>
      <c r="K670" s="25" t="s">
        <v>513</v>
      </c>
    </row>
    <row r="671" spans="1:11" ht="25.5" x14ac:dyDescent="0.25">
      <c r="A671" s="22">
        <v>2026</v>
      </c>
      <c r="B671" s="28" t="s">
        <v>167</v>
      </c>
      <c r="C671" s="28" t="s">
        <v>97</v>
      </c>
      <c r="D671" s="28" t="s">
        <v>1738</v>
      </c>
      <c r="E671" s="29" t="s">
        <v>309</v>
      </c>
      <c r="F671" s="29" t="s">
        <v>386</v>
      </c>
      <c r="G671" s="25" t="s">
        <v>2457</v>
      </c>
      <c r="H671" s="26">
        <v>-0.82864784999999996</v>
      </c>
      <c r="I671" s="26"/>
      <c r="J671" s="26" t="s">
        <v>512</v>
      </c>
      <c r="K671" s="25" t="s">
        <v>513</v>
      </c>
    </row>
    <row r="672" spans="1:11" ht="25.5" x14ac:dyDescent="0.25">
      <c r="A672" s="22">
        <v>2026</v>
      </c>
      <c r="B672" s="28" t="s">
        <v>167</v>
      </c>
      <c r="C672" s="28" t="s">
        <v>97</v>
      </c>
      <c r="D672" s="28" t="s">
        <v>1738</v>
      </c>
      <c r="E672" s="29" t="s">
        <v>309</v>
      </c>
      <c r="F672" s="29" t="s">
        <v>386</v>
      </c>
      <c r="G672" s="25" t="s">
        <v>2458</v>
      </c>
      <c r="H672" s="26">
        <v>-0.53500000000000003</v>
      </c>
      <c r="I672" s="26"/>
      <c r="J672" s="26" t="s">
        <v>512</v>
      </c>
      <c r="K672" s="25" t="s">
        <v>513</v>
      </c>
    </row>
    <row r="673" spans="1:11" ht="25.5" x14ac:dyDescent="0.25">
      <c r="A673" s="22">
        <v>2026</v>
      </c>
      <c r="B673" s="28" t="s">
        <v>167</v>
      </c>
      <c r="C673" s="28" t="s">
        <v>97</v>
      </c>
      <c r="D673" s="28" t="s">
        <v>1738</v>
      </c>
      <c r="E673" s="29" t="s">
        <v>309</v>
      </c>
      <c r="F673" s="29" t="s">
        <v>386</v>
      </c>
      <c r="G673" s="25" t="s">
        <v>2459</v>
      </c>
      <c r="H673" s="26">
        <v>-0.59899500000000006</v>
      </c>
      <c r="I673" s="26"/>
      <c r="J673" s="26" t="s">
        <v>512</v>
      </c>
      <c r="K673" s="25" t="s">
        <v>513</v>
      </c>
    </row>
    <row r="674" spans="1:11" ht="25.5" x14ac:dyDescent="0.25">
      <c r="A674" s="22">
        <v>2026</v>
      </c>
      <c r="B674" s="28" t="s">
        <v>167</v>
      </c>
      <c r="C674" s="28" t="s">
        <v>97</v>
      </c>
      <c r="D674" s="28" t="s">
        <v>1738</v>
      </c>
      <c r="E674" s="29" t="s">
        <v>309</v>
      </c>
      <c r="F674" s="29" t="s">
        <v>386</v>
      </c>
      <c r="G674" s="25" t="s">
        <v>2460</v>
      </c>
      <c r="H674" s="26">
        <v>-0.64566287499999997</v>
      </c>
      <c r="I674" s="26"/>
      <c r="J674" s="26" t="s">
        <v>512</v>
      </c>
      <c r="K674" s="25" t="s">
        <v>513</v>
      </c>
    </row>
    <row r="675" spans="1:11" ht="25.5" x14ac:dyDescent="0.25">
      <c r="A675" s="22">
        <v>2026</v>
      </c>
      <c r="B675" s="28" t="s">
        <v>167</v>
      </c>
      <c r="C675" s="28" t="s">
        <v>97</v>
      </c>
      <c r="D675" s="28" t="s">
        <v>1738</v>
      </c>
      <c r="E675" s="29" t="s">
        <v>309</v>
      </c>
      <c r="F675" s="29" t="s">
        <v>386</v>
      </c>
      <c r="G675" s="25" t="s">
        <v>2461</v>
      </c>
      <c r="H675" s="26">
        <v>-0.13690649999999999</v>
      </c>
      <c r="I675" s="26"/>
      <c r="J675" s="26" t="s">
        <v>512</v>
      </c>
      <c r="K675" s="25" t="s">
        <v>513</v>
      </c>
    </row>
    <row r="676" spans="1:11" ht="25.5" x14ac:dyDescent="0.25">
      <c r="A676" s="22">
        <v>2026</v>
      </c>
      <c r="B676" s="28" t="s">
        <v>167</v>
      </c>
      <c r="C676" s="28" t="s">
        <v>97</v>
      </c>
      <c r="D676" s="28" t="s">
        <v>537</v>
      </c>
      <c r="E676" s="29" t="s">
        <v>561</v>
      </c>
      <c r="F676" s="29" t="s">
        <v>298</v>
      </c>
      <c r="G676" s="25" t="s">
        <v>2462</v>
      </c>
      <c r="H676" s="26">
        <v>-0.38724999999999998</v>
      </c>
      <c r="I676" s="26"/>
      <c r="J676" s="26" t="s">
        <v>512</v>
      </c>
      <c r="K676" s="25" t="s">
        <v>513</v>
      </c>
    </row>
    <row r="677" spans="1:11" ht="25.5" x14ac:dyDescent="0.25">
      <c r="A677" s="22">
        <v>2026</v>
      </c>
      <c r="B677" s="28" t="s">
        <v>167</v>
      </c>
      <c r="C677" s="28" t="s">
        <v>97</v>
      </c>
      <c r="D677" s="28" t="s">
        <v>537</v>
      </c>
      <c r="E677" s="29" t="s">
        <v>561</v>
      </c>
      <c r="F677" s="29" t="s">
        <v>298</v>
      </c>
      <c r="G677" s="25" t="s">
        <v>2463</v>
      </c>
      <c r="H677" s="26">
        <v>-0.7061499</v>
      </c>
      <c r="I677" s="26"/>
      <c r="J677" s="26" t="s">
        <v>512</v>
      </c>
      <c r="K677" s="25" t="s">
        <v>513</v>
      </c>
    </row>
    <row r="678" spans="1:11" ht="25.5" x14ac:dyDescent="0.25">
      <c r="A678" s="22">
        <v>2026</v>
      </c>
      <c r="B678" s="28" t="s">
        <v>167</v>
      </c>
      <c r="C678" s="28" t="s">
        <v>97</v>
      </c>
      <c r="D678" s="28" t="s">
        <v>537</v>
      </c>
      <c r="E678" s="29" t="s">
        <v>561</v>
      </c>
      <c r="F678" s="29" t="s">
        <v>298</v>
      </c>
      <c r="G678" s="25" t="s">
        <v>2464</v>
      </c>
      <c r="H678" s="26">
        <v>-0.19600000000000001</v>
      </c>
      <c r="I678" s="26"/>
      <c r="J678" s="26" t="s">
        <v>512</v>
      </c>
      <c r="K678" s="25" t="s">
        <v>513</v>
      </c>
    </row>
    <row r="679" spans="1:11" ht="25.5" x14ac:dyDescent="0.25">
      <c r="A679" s="22">
        <v>2026</v>
      </c>
      <c r="B679" s="28" t="s">
        <v>167</v>
      </c>
      <c r="C679" s="28" t="s">
        <v>97</v>
      </c>
      <c r="D679" s="28" t="s">
        <v>537</v>
      </c>
      <c r="E679" s="29" t="s">
        <v>561</v>
      </c>
      <c r="F679" s="29" t="s">
        <v>298</v>
      </c>
      <c r="G679" s="25" t="s">
        <v>2465</v>
      </c>
      <c r="H679" s="26">
        <v>-0.11835</v>
      </c>
      <c r="I679" s="26"/>
      <c r="J679" s="26" t="s">
        <v>512</v>
      </c>
      <c r="K679" s="25" t="s">
        <v>513</v>
      </c>
    </row>
    <row r="680" spans="1:11" ht="25.5" x14ac:dyDescent="0.25">
      <c r="A680" s="22">
        <v>2026</v>
      </c>
      <c r="B680" s="28" t="s">
        <v>167</v>
      </c>
      <c r="C680" s="28" t="s">
        <v>97</v>
      </c>
      <c r="D680" s="28" t="s">
        <v>537</v>
      </c>
      <c r="E680" s="29" t="s">
        <v>561</v>
      </c>
      <c r="F680" s="29" t="s">
        <v>298</v>
      </c>
      <c r="G680" s="25" t="s">
        <v>2466</v>
      </c>
      <c r="H680" s="26">
        <v>-0.19750000000000001</v>
      </c>
      <c r="I680" s="26"/>
      <c r="J680" s="26" t="s">
        <v>512</v>
      </c>
      <c r="K680" s="25" t="s">
        <v>513</v>
      </c>
    </row>
    <row r="681" spans="1:11" ht="25.5" x14ac:dyDescent="0.25">
      <c r="A681" s="22">
        <v>2026</v>
      </c>
      <c r="B681" s="28" t="s">
        <v>167</v>
      </c>
      <c r="C681" s="28" t="s">
        <v>97</v>
      </c>
      <c r="D681" s="28" t="s">
        <v>537</v>
      </c>
      <c r="E681" s="29" t="s">
        <v>561</v>
      </c>
      <c r="F681" s="29" t="s">
        <v>298</v>
      </c>
      <c r="G681" s="25" t="s">
        <v>2467</v>
      </c>
      <c r="H681" s="26">
        <v>-0.78674999999999995</v>
      </c>
      <c r="I681" s="26"/>
      <c r="J681" s="26" t="s">
        <v>512</v>
      </c>
      <c r="K681" s="25" t="s">
        <v>513</v>
      </c>
    </row>
    <row r="682" spans="1:11" ht="25.5" x14ac:dyDescent="0.25">
      <c r="A682" s="22">
        <v>2026</v>
      </c>
      <c r="B682" s="28" t="s">
        <v>167</v>
      </c>
      <c r="C682" s="28" t="s">
        <v>97</v>
      </c>
      <c r="D682" s="28" t="s">
        <v>537</v>
      </c>
      <c r="E682" s="29" t="s">
        <v>561</v>
      </c>
      <c r="F682" s="29" t="s">
        <v>298</v>
      </c>
      <c r="G682" s="25" t="s">
        <v>2468</v>
      </c>
      <c r="H682" s="26">
        <v>-0.19625000000000001</v>
      </c>
      <c r="I682" s="26"/>
      <c r="J682" s="26" t="s">
        <v>512</v>
      </c>
      <c r="K682" s="25" t="s">
        <v>513</v>
      </c>
    </row>
    <row r="683" spans="1:11" ht="25.5" x14ac:dyDescent="0.25">
      <c r="A683" s="22">
        <v>2026</v>
      </c>
      <c r="B683" s="28" t="s">
        <v>167</v>
      </c>
      <c r="C683" s="28" t="s">
        <v>97</v>
      </c>
      <c r="D683" s="28" t="s">
        <v>537</v>
      </c>
      <c r="E683" s="29" t="s">
        <v>561</v>
      </c>
      <c r="F683" s="29" t="s">
        <v>298</v>
      </c>
      <c r="G683" s="25" t="s">
        <v>2469</v>
      </c>
      <c r="H683" s="26">
        <v>-0.19925000000000001</v>
      </c>
      <c r="I683" s="26"/>
      <c r="J683" s="26" t="s">
        <v>512</v>
      </c>
      <c r="K683" s="25" t="s">
        <v>513</v>
      </c>
    </row>
    <row r="684" spans="1:11" ht="25.5" x14ac:dyDescent="0.25">
      <c r="A684" s="22">
        <v>2026</v>
      </c>
      <c r="B684" s="28" t="s">
        <v>167</v>
      </c>
      <c r="C684" s="28" t="s">
        <v>97</v>
      </c>
      <c r="D684" s="28" t="s">
        <v>537</v>
      </c>
      <c r="E684" s="29" t="s">
        <v>561</v>
      </c>
      <c r="F684" s="29" t="s">
        <v>298</v>
      </c>
      <c r="G684" s="25" t="s">
        <v>2470</v>
      </c>
      <c r="H684" s="26">
        <v>-0.4762998</v>
      </c>
      <c r="I684" s="26"/>
      <c r="J684" s="26" t="s">
        <v>512</v>
      </c>
      <c r="K684" s="25" t="s">
        <v>513</v>
      </c>
    </row>
    <row r="685" spans="1:11" ht="25.5" x14ac:dyDescent="0.25">
      <c r="A685" s="22">
        <v>2026</v>
      </c>
      <c r="B685" s="28" t="s">
        <v>167</v>
      </c>
      <c r="C685" s="28" t="s">
        <v>97</v>
      </c>
      <c r="D685" s="28" t="s">
        <v>537</v>
      </c>
      <c r="E685" s="29" t="s">
        <v>561</v>
      </c>
      <c r="F685" s="29" t="s">
        <v>298</v>
      </c>
      <c r="G685" s="25" t="s">
        <v>2471</v>
      </c>
      <c r="H685" s="26">
        <v>-1.5660000000000001</v>
      </c>
      <c r="I685" s="26"/>
      <c r="J685" s="26" t="s">
        <v>512</v>
      </c>
      <c r="K685" s="25" t="s">
        <v>513</v>
      </c>
    </row>
    <row r="686" spans="1:11" ht="25.5" x14ac:dyDescent="0.25">
      <c r="A686" s="22">
        <v>2026</v>
      </c>
      <c r="B686" s="28" t="s">
        <v>167</v>
      </c>
      <c r="C686" s="28" t="s">
        <v>97</v>
      </c>
      <c r="D686" s="28" t="s">
        <v>537</v>
      </c>
      <c r="E686" s="29" t="s">
        <v>561</v>
      </c>
      <c r="F686" s="29" t="s">
        <v>298</v>
      </c>
      <c r="G686" s="25" t="s">
        <v>2472</v>
      </c>
      <c r="H686" s="26">
        <v>-0.89815</v>
      </c>
      <c r="I686" s="26"/>
      <c r="J686" s="26" t="s">
        <v>512</v>
      </c>
      <c r="K686" s="25" t="s">
        <v>513</v>
      </c>
    </row>
    <row r="687" spans="1:11" ht="25.5" x14ac:dyDescent="0.25">
      <c r="A687" s="22">
        <v>2026</v>
      </c>
      <c r="B687" s="28" t="s">
        <v>167</v>
      </c>
      <c r="C687" s="28" t="s">
        <v>97</v>
      </c>
      <c r="D687" s="28" t="s">
        <v>537</v>
      </c>
      <c r="E687" s="29" t="s">
        <v>561</v>
      </c>
      <c r="F687" s="29" t="s">
        <v>298</v>
      </c>
      <c r="G687" s="25" t="s">
        <v>2473</v>
      </c>
      <c r="H687" s="26">
        <v>-0.66554999999999997</v>
      </c>
      <c r="I687" s="26"/>
      <c r="J687" s="26" t="s">
        <v>512</v>
      </c>
      <c r="K687" s="25" t="s">
        <v>513</v>
      </c>
    </row>
    <row r="688" spans="1:11" ht="25.5" x14ac:dyDescent="0.25">
      <c r="A688" s="22">
        <v>2026</v>
      </c>
      <c r="B688" s="28" t="s">
        <v>167</v>
      </c>
      <c r="C688" s="28" t="s">
        <v>97</v>
      </c>
      <c r="D688" s="28" t="s">
        <v>537</v>
      </c>
      <c r="E688" s="29" t="s">
        <v>561</v>
      </c>
      <c r="F688" s="29" t="s">
        <v>298</v>
      </c>
      <c r="G688" s="25" t="s">
        <v>2474</v>
      </c>
      <c r="H688" s="26">
        <v>-1.2865000500000001</v>
      </c>
      <c r="I688" s="26"/>
      <c r="J688" s="26" t="s">
        <v>512</v>
      </c>
      <c r="K688" s="25" t="s">
        <v>513</v>
      </c>
    </row>
    <row r="689" spans="1:11" ht="25.5" x14ac:dyDescent="0.25">
      <c r="A689" s="22">
        <v>2026</v>
      </c>
      <c r="B689" s="28" t="s">
        <v>167</v>
      </c>
      <c r="C689" s="28" t="s">
        <v>97</v>
      </c>
      <c r="D689" s="28" t="s">
        <v>537</v>
      </c>
      <c r="E689" s="29" t="s">
        <v>561</v>
      </c>
      <c r="F689" s="29" t="s">
        <v>298</v>
      </c>
      <c r="G689" s="25" t="s">
        <v>2475</v>
      </c>
      <c r="H689" s="26">
        <v>-0.77</v>
      </c>
      <c r="I689" s="26"/>
      <c r="J689" s="26" t="s">
        <v>512</v>
      </c>
      <c r="K689" s="25" t="s">
        <v>513</v>
      </c>
    </row>
    <row r="690" spans="1:11" ht="25.5" x14ac:dyDescent="0.25">
      <c r="A690" s="22">
        <v>2026</v>
      </c>
      <c r="B690" s="28" t="s">
        <v>167</v>
      </c>
      <c r="C690" s="28" t="s">
        <v>97</v>
      </c>
      <c r="D690" s="28" t="s">
        <v>1788</v>
      </c>
      <c r="E690" s="29" t="s">
        <v>1798</v>
      </c>
      <c r="F690" s="29" t="s">
        <v>325</v>
      </c>
      <c r="G690" s="25" t="s">
        <v>2476</v>
      </c>
      <c r="H690" s="26">
        <v>-0.28000000000000003</v>
      </c>
      <c r="I690" s="26"/>
      <c r="J690" s="26" t="s">
        <v>512</v>
      </c>
      <c r="K690" s="25" t="s">
        <v>513</v>
      </c>
    </row>
    <row r="691" spans="1:11" ht="25.5" x14ac:dyDescent="0.25">
      <c r="A691" s="22">
        <v>2026</v>
      </c>
      <c r="B691" s="28" t="s">
        <v>167</v>
      </c>
      <c r="C691" s="28" t="s">
        <v>97</v>
      </c>
      <c r="D691" s="28" t="s">
        <v>768</v>
      </c>
      <c r="E691" s="29" t="s">
        <v>768</v>
      </c>
      <c r="F691" s="29" t="s">
        <v>332</v>
      </c>
      <c r="G691" s="25" t="s">
        <v>2477</v>
      </c>
      <c r="H691" s="26">
        <v>-0.25351149999999995</v>
      </c>
      <c r="I691" s="26"/>
      <c r="J691" s="26" t="s">
        <v>512</v>
      </c>
      <c r="K691" s="25" t="s">
        <v>513</v>
      </c>
    </row>
    <row r="692" spans="1:11" ht="25.5" x14ac:dyDescent="0.25">
      <c r="A692" s="22">
        <v>2026</v>
      </c>
      <c r="B692" s="28" t="s">
        <v>167</v>
      </c>
      <c r="C692" s="28" t="s">
        <v>97</v>
      </c>
      <c r="D692" s="28" t="s">
        <v>768</v>
      </c>
      <c r="E692" s="29" t="s">
        <v>768</v>
      </c>
      <c r="F692" s="29" t="s">
        <v>332</v>
      </c>
      <c r="G692" s="25" t="s">
        <v>2478</v>
      </c>
      <c r="H692" s="26">
        <v>-0.2132464278</v>
      </c>
      <c r="I692" s="26"/>
      <c r="J692" s="26" t="s">
        <v>512</v>
      </c>
      <c r="K692" s="25" t="s">
        <v>513</v>
      </c>
    </row>
    <row r="693" spans="1:11" ht="25.5" x14ac:dyDescent="0.25">
      <c r="A693" s="22">
        <v>2026</v>
      </c>
      <c r="B693" s="28" t="s">
        <v>167</v>
      </c>
      <c r="C693" s="28" t="s">
        <v>97</v>
      </c>
      <c r="D693" s="28" t="s">
        <v>768</v>
      </c>
      <c r="E693" s="29" t="s">
        <v>768</v>
      </c>
      <c r="F693" s="29" t="s">
        <v>332</v>
      </c>
      <c r="G693" s="25" t="s">
        <v>2479</v>
      </c>
      <c r="H693" s="26">
        <v>-0.25751600000000002</v>
      </c>
      <c r="I693" s="26"/>
      <c r="J693" s="26" t="s">
        <v>512</v>
      </c>
      <c r="K693" s="25" t="s">
        <v>513</v>
      </c>
    </row>
    <row r="694" spans="1:11" ht="25.5" x14ac:dyDescent="0.25">
      <c r="A694" s="22">
        <v>2026</v>
      </c>
      <c r="B694" s="28" t="s">
        <v>167</v>
      </c>
      <c r="C694" s="28" t="s">
        <v>97</v>
      </c>
      <c r="D694" s="28" t="s">
        <v>768</v>
      </c>
      <c r="E694" s="29" t="s">
        <v>768</v>
      </c>
      <c r="F694" s="29" t="s">
        <v>332</v>
      </c>
      <c r="G694" s="25" t="s">
        <v>2480</v>
      </c>
      <c r="H694" s="26">
        <v>-0.25630950000000002</v>
      </c>
      <c r="I694" s="26"/>
      <c r="J694" s="26" t="s">
        <v>512</v>
      </c>
      <c r="K694" s="25" t="s">
        <v>513</v>
      </c>
    </row>
    <row r="695" spans="1:11" ht="25.5" x14ac:dyDescent="0.25">
      <c r="A695" s="22">
        <v>2026</v>
      </c>
      <c r="B695" s="28" t="s">
        <v>167</v>
      </c>
      <c r="C695" s="28" t="s">
        <v>97</v>
      </c>
      <c r="D695" s="28" t="s">
        <v>768</v>
      </c>
      <c r="E695" s="29" t="s">
        <v>768</v>
      </c>
      <c r="F695" s="29" t="s">
        <v>332</v>
      </c>
      <c r="G695" s="25" t="s">
        <v>2481</v>
      </c>
      <c r="H695" s="26">
        <v>-0.25758800000000004</v>
      </c>
      <c r="I695" s="26"/>
      <c r="J695" s="26" t="s">
        <v>512</v>
      </c>
      <c r="K695" s="25" t="s">
        <v>513</v>
      </c>
    </row>
    <row r="696" spans="1:11" ht="25.5" x14ac:dyDescent="0.25">
      <c r="A696" s="22">
        <v>2026</v>
      </c>
      <c r="B696" s="28" t="s">
        <v>167</v>
      </c>
      <c r="C696" s="28" t="s">
        <v>97</v>
      </c>
      <c r="D696" s="28" t="s">
        <v>768</v>
      </c>
      <c r="E696" s="29" t="s">
        <v>768</v>
      </c>
      <c r="F696" s="29" t="s">
        <v>332</v>
      </c>
      <c r="G696" s="25" t="s">
        <v>2482</v>
      </c>
      <c r="H696" s="26">
        <v>-0.25771500000000003</v>
      </c>
      <c r="I696" s="26"/>
      <c r="J696" s="26" t="s">
        <v>512</v>
      </c>
      <c r="K696" s="25" t="s">
        <v>513</v>
      </c>
    </row>
    <row r="697" spans="1:11" ht="25.5" x14ac:dyDescent="0.25">
      <c r="A697" s="22">
        <v>2026</v>
      </c>
      <c r="B697" s="28" t="s">
        <v>167</v>
      </c>
      <c r="C697" s="28" t="s">
        <v>97</v>
      </c>
      <c r="D697" s="28" t="s">
        <v>768</v>
      </c>
      <c r="E697" s="29" t="s">
        <v>768</v>
      </c>
      <c r="F697" s="29" t="s">
        <v>332</v>
      </c>
      <c r="G697" s="25" t="s">
        <v>2483</v>
      </c>
      <c r="H697" s="26">
        <v>-0.1037158</v>
      </c>
      <c r="I697" s="26"/>
      <c r="J697" s="26" t="s">
        <v>512</v>
      </c>
      <c r="K697" s="25" t="s">
        <v>513</v>
      </c>
    </row>
    <row r="698" spans="1:11" ht="25.5" x14ac:dyDescent="0.25">
      <c r="A698" s="22">
        <v>2026</v>
      </c>
      <c r="B698" s="28" t="s">
        <v>167</v>
      </c>
      <c r="C698" s="28" t="s">
        <v>97</v>
      </c>
      <c r="D698" s="28" t="s">
        <v>768</v>
      </c>
      <c r="E698" s="29" t="s">
        <v>768</v>
      </c>
      <c r="F698" s="29" t="s">
        <v>332</v>
      </c>
      <c r="G698" s="25" t="s">
        <v>2484</v>
      </c>
      <c r="H698" s="26">
        <v>-0.1028138</v>
      </c>
      <c r="I698" s="26"/>
      <c r="J698" s="26" t="s">
        <v>512</v>
      </c>
      <c r="K698" s="25" t="s">
        <v>513</v>
      </c>
    </row>
    <row r="699" spans="1:11" ht="25.5" x14ac:dyDescent="0.25">
      <c r="A699" s="22">
        <v>2026</v>
      </c>
      <c r="B699" s="28" t="s">
        <v>167</v>
      </c>
      <c r="C699" s="28" t="s">
        <v>97</v>
      </c>
      <c r="D699" s="28" t="s">
        <v>768</v>
      </c>
      <c r="E699" s="29" t="s">
        <v>768</v>
      </c>
      <c r="F699" s="29" t="s">
        <v>332</v>
      </c>
      <c r="G699" s="25" t="s">
        <v>2485</v>
      </c>
      <c r="H699" s="26">
        <v>-0.1010518</v>
      </c>
      <c r="I699" s="26"/>
      <c r="J699" s="26" t="s">
        <v>512</v>
      </c>
      <c r="K699" s="25" t="s">
        <v>513</v>
      </c>
    </row>
    <row r="700" spans="1:11" ht="25.5" x14ac:dyDescent="0.25">
      <c r="A700" s="22">
        <v>2026</v>
      </c>
      <c r="B700" s="28" t="s">
        <v>167</v>
      </c>
      <c r="C700" s="28" t="s">
        <v>97</v>
      </c>
      <c r="D700" s="28" t="s">
        <v>768</v>
      </c>
      <c r="E700" s="29" t="s">
        <v>768</v>
      </c>
      <c r="F700" s="29" t="s">
        <v>332</v>
      </c>
      <c r="G700" s="25" t="s">
        <v>2486</v>
      </c>
      <c r="H700" s="26">
        <v>-4.8882422159999994E-2</v>
      </c>
      <c r="I700" s="26"/>
      <c r="J700" s="26" t="s">
        <v>512</v>
      </c>
      <c r="K700" s="25" t="s">
        <v>513</v>
      </c>
    </row>
    <row r="701" spans="1:11" ht="25.5" x14ac:dyDescent="0.25">
      <c r="A701" s="22">
        <v>2026</v>
      </c>
      <c r="B701" s="28" t="s">
        <v>167</v>
      </c>
      <c r="C701" s="28" t="s">
        <v>97</v>
      </c>
      <c r="D701" s="28" t="s">
        <v>768</v>
      </c>
      <c r="E701" s="29" t="s">
        <v>768</v>
      </c>
      <c r="F701" s="29" t="s">
        <v>332</v>
      </c>
      <c r="G701" s="25" t="s">
        <v>2487</v>
      </c>
      <c r="H701" s="26">
        <v>-0.10368380000000001</v>
      </c>
      <c r="I701" s="26"/>
      <c r="J701" s="26" t="s">
        <v>512</v>
      </c>
      <c r="K701" s="25" t="s">
        <v>513</v>
      </c>
    </row>
    <row r="702" spans="1:11" ht="25.5" x14ac:dyDescent="0.25">
      <c r="A702" s="22">
        <v>2026</v>
      </c>
      <c r="B702" s="28" t="s">
        <v>167</v>
      </c>
      <c r="C702" s="28" t="s">
        <v>97</v>
      </c>
      <c r="D702" s="28" t="s">
        <v>768</v>
      </c>
      <c r="E702" s="29" t="s">
        <v>768</v>
      </c>
      <c r="F702" s="29" t="s">
        <v>332</v>
      </c>
      <c r="G702" s="25" t="s">
        <v>2488</v>
      </c>
      <c r="H702" s="26">
        <v>-0.10046860000000001</v>
      </c>
      <c r="I702" s="26"/>
      <c r="J702" s="26" t="s">
        <v>512</v>
      </c>
      <c r="K702" s="25" t="s">
        <v>513</v>
      </c>
    </row>
    <row r="703" spans="1:11" ht="25.5" x14ac:dyDescent="0.25">
      <c r="A703" s="22">
        <v>2026</v>
      </c>
      <c r="B703" s="28" t="s">
        <v>167</v>
      </c>
      <c r="C703" s="28" t="s">
        <v>97</v>
      </c>
      <c r="D703" s="28" t="s">
        <v>768</v>
      </c>
      <c r="E703" s="29" t="s">
        <v>768</v>
      </c>
      <c r="F703" s="29" t="s">
        <v>332</v>
      </c>
      <c r="G703" s="25" t="s">
        <v>2489</v>
      </c>
      <c r="H703" s="26">
        <v>-0.10054100000000001</v>
      </c>
      <c r="I703" s="26"/>
      <c r="J703" s="26" t="s">
        <v>512</v>
      </c>
      <c r="K703" s="25" t="s">
        <v>513</v>
      </c>
    </row>
    <row r="704" spans="1:11" ht="25.5" x14ac:dyDescent="0.25">
      <c r="A704" s="22">
        <v>2026</v>
      </c>
      <c r="B704" s="28" t="s">
        <v>167</v>
      </c>
      <c r="C704" s="28" t="s">
        <v>97</v>
      </c>
      <c r="D704" s="28" t="s">
        <v>768</v>
      </c>
      <c r="E704" s="29" t="s">
        <v>768</v>
      </c>
      <c r="F704" s="29" t="s">
        <v>332</v>
      </c>
      <c r="G704" s="25" t="s">
        <v>2490</v>
      </c>
      <c r="H704" s="26">
        <v>-0.102655</v>
      </c>
      <c r="I704" s="26"/>
      <c r="J704" s="26" t="s">
        <v>512</v>
      </c>
      <c r="K704" s="25" t="s">
        <v>513</v>
      </c>
    </row>
    <row r="705" spans="1:11" ht="25.5" x14ac:dyDescent="0.25">
      <c r="A705" s="22">
        <v>2026</v>
      </c>
      <c r="B705" s="28" t="s">
        <v>167</v>
      </c>
      <c r="C705" s="28" t="s">
        <v>97</v>
      </c>
      <c r="D705" s="28" t="s">
        <v>768</v>
      </c>
      <c r="E705" s="29" t="s">
        <v>768</v>
      </c>
      <c r="F705" s="29" t="s">
        <v>332</v>
      </c>
      <c r="G705" s="25" t="s">
        <v>2491</v>
      </c>
      <c r="H705" s="26">
        <v>-0.1022492</v>
      </c>
      <c r="I705" s="26"/>
      <c r="J705" s="26" t="s">
        <v>512</v>
      </c>
      <c r="K705" s="25" t="s">
        <v>513</v>
      </c>
    </row>
    <row r="706" spans="1:11" ht="25.5" x14ac:dyDescent="0.25">
      <c r="A706" s="22">
        <v>2026</v>
      </c>
      <c r="B706" s="28" t="s">
        <v>167</v>
      </c>
      <c r="C706" s="28" t="s">
        <v>97</v>
      </c>
      <c r="D706" s="28" t="s">
        <v>768</v>
      </c>
      <c r="E706" s="29" t="s">
        <v>768</v>
      </c>
      <c r="F706" s="29" t="s">
        <v>332</v>
      </c>
      <c r="G706" s="25" t="s">
        <v>2492</v>
      </c>
      <c r="H706" s="26">
        <v>-0.10198760000000001</v>
      </c>
      <c r="I706" s="26"/>
      <c r="J706" s="26" t="s">
        <v>512</v>
      </c>
      <c r="K706" s="25" t="s">
        <v>513</v>
      </c>
    </row>
    <row r="707" spans="1:11" ht="25.5" x14ac:dyDescent="0.25">
      <c r="A707" s="22">
        <v>2026</v>
      </c>
      <c r="B707" s="28" t="s">
        <v>167</v>
      </c>
      <c r="C707" s="28" t="s">
        <v>97</v>
      </c>
      <c r="D707" s="28" t="s">
        <v>768</v>
      </c>
      <c r="E707" s="29" t="s">
        <v>768</v>
      </c>
      <c r="F707" s="29" t="s">
        <v>332</v>
      </c>
      <c r="G707" s="25" t="s">
        <v>2493</v>
      </c>
      <c r="H707" s="26">
        <v>-0.1019732</v>
      </c>
      <c r="I707" s="26"/>
      <c r="J707" s="26" t="s">
        <v>512</v>
      </c>
      <c r="K707" s="25" t="s">
        <v>513</v>
      </c>
    </row>
    <row r="708" spans="1:11" ht="25.5" x14ac:dyDescent="0.25">
      <c r="A708" s="22">
        <v>2026</v>
      </c>
      <c r="B708" s="28" t="s">
        <v>167</v>
      </c>
      <c r="C708" s="28" t="s">
        <v>97</v>
      </c>
      <c r="D708" s="28" t="s">
        <v>768</v>
      </c>
      <c r="E708" s="29" t="s">
        <v>768</v>
      </c>
      <c r="F708" s="29" t="s">
        <v>332</v>
      </c>
      <c r="G708" s="25" t="s">
        <v>2494</v>
      </c>
      <c r="H708" s="26">
        <v>-0.10383539999999999</v>
      </c>
      <c r="I708" s="26"/>
      <c r="J708" s="26" t="s">
        <v>512</v>
      </c>
      <c r="K708" s="25" t="s">
        <v>513</v>
      </c>
    </row>
    <row r="709" spans="1:11" ht="25.5" x14ac:dyDescent="0.25">
      <c r="A709" s="22">
        <v>2026</v>
      </c>
      <c r="B709" s="28" t="s">
        <v>167</v>
      </c>
      <c r="C709" s="28" t="s">
        <v>97</v>
      </c>
      <c r="D709" s="28" t="s">
        <v>768</v>
      </c>
      <c r="E709" s="29" t="s">
        <v>768</v>
      </c>
      <c r="F709" s="29" t="s">
        <v>332</v>
      </c>
      <c r="G709" s="25" t="s">
        <v>2495</v>
      </c>
      <c r="H709" s="26">
        <v>-8.9776691999999991E-2</v>
      </c>
      <c r="I709" s="26"/>
      <c r="J709" s="26" t="s">
        <v>512</v>
      </c>
      <c r="K709" s="25" t="s">
        <v>513</v>
      </c>
    </row>
    <row r="710" spans="1:11" ht="25.5" x14ac:dyDescent="0.25">
      <c r="A710" s="22">
        <v>2026</v>
      </c>
      <c r="B710" s="28" t="s">
        <v>167</v>
      </c>
      <c r="C710" s="28" t="s">
        <v>97</v>
      </c>
      <c r="D710" s="28" t="s">
        <v>768</v>
      </c>
      <c r="E710" s="29" t="s">
        <v>768</v>
      </c>
      <c r="F710" s="29" t="s">
        <v>332</v>
      </c>
      <c r="G710" s="25" t="s">
        <v>2496</v>
      </c>
      <c r="H710" s="26">
        <v>-7.5790650000000015E-2</v>
      </c>
      <c r="I710" s="26"/>
      <c r="J710" s="26" t="s">
        <v>512</v>
      </c>
      <c r="K710" s="25" t="s">
        <v>513</v>
      </c>
    </row>
    <row r="711" spans="1:11" ht="25.5" x14ac:dyDescent="0.25">
      <c r="A711" s="22">
        <v>2026</v>
      </c>
      <c r="B711" s="28" t="s">
        <v>167</v>
      </c>
      <c r="C711" s="28" t="s">
        <v>97</v>
      </c>
      <c r="D711" s="28" t="s">
        <v>1739</v>
      </c>
      <c r="E711" s="29" t="s">
        <v>331</v>
      </c>
      <c r="F711" s="29" t="s">
        <v>298</v>
      </c>
      <c r="G711" s="25" t="s">
        <v>2497</v>
      </c>
      <c r="H711" s="26">
        <v>-0.98643349999999996</v>
      </c>
      <c r="I711" s="26"/>
      <c r="J711" s="26" t="s">
        <v>512</v>
      </c>
      <c r="K711" s="25" t="s">
        <v>513</v>
      </c>
    </row>
    <row r="712" spans="1:11" ht="25.5" x14ac:dyDescent="0.25">
      <c r="A712" s="22">
        <v>2026</v>
      </c>
      <c r="B712" s="28" t="s">
        <v>167</v>
      </c>
      <c r="C712" s="28" t="s">
        <v>97</v>
      </c>
      <c r="D712" s="28" t="s">
        <v>1739</v>
      </c>
      <c r="E712" s="29" t="s">
        <v>331</v>
      </c>
      <c r="F712" s="29" t="s">
        <v>298</v>
      </c>
      <c r="G712" s="25" t="s">
        <v>2498</v>
      </c>
      <c r="H712" s="26">
        <v>-3.0741000000000001</v>
      </c>
      <c r="I712" s="26"/>
      <c r="J712" s="26" t="s">
        <v>512</v>
      </c>
      <c r="K712" s="25" t="s">
        <v>513</v>
      </c>
    </row>
    <row r="713" spans="1:11" ht="25.5" x14ac:dyDescent="0.25">
      <c r="A713" s="22">
        <v>2026</v>
      </c>
      <c r="B713" s="28" t="s">
        <v>167</v>
      </c>
      <c r="C713" s="28" t="s">
        <v>97</v>
      </c>
      <c r="D713" s="28" t="s">
        <v>1739</v>
      </c>
      <c r="E713" s="29" t="s">
        <v>331</v>
      </c>
      <c r="F713" s="29" t="s">
        <v>298</v>
      </c>
      <c r="G713" s="25" t="s">
        <v>2499</v>
      </c>
      <c r="H713" s="26">
        <v>-0.38750000000000001</v>
      </c>
      <c r="I713" s="26"/>
      <c r="J713" s="26" t="s">
        <v>512</v>
      </c>
      <c r="K713" s="25" t="s">
        <v>513</v>
      </c>
    </row>
    <row r="714" spans="1:11" ht="25.5" x14ac:dyDescent="0.25">
      <c r="A714" s="22">
        <v>2026</v>
      </c>
      <c r="B714" s="28" t="s">
        <v>167</v>
      </c>
      <c r="C714" s="28" t="s">
        <v>97</v>
      </c>
      <c r="D714" s="28" t="s">
        <v>1739</v>
      </c>
      <c r="E714" s="29" t="s">
        <v>331</v>
      </c>
      <c r="F714" s="29" t="s">
        <v>298</v>
      </c>
      <c r="G714" s="25" t="s">
        <v>2500</v>
      </c>
      <c r="H714" s="26">
        <v>-5.0286600000000004</v>
      </c>
      <c r="I714" s="26"/>
      <c r="J714" s="26" t="s">
        <v>512</v>
      </c>
      <c r="K714" s="25" t="s">
        <v>513</v>
      </c>
    </row>
    <row r="715" spans="1:11" ht="25.5" x14ac:dyDescent="0.25">
      <c r="A715" s="22">
        <v>2026</v>
      </c>
      <c r="B715" s="28" t="s">
        <v>167</v>
      </c>
      <c r="C715" s="28" t="s">
        <v>97</v>
      </c>
      <c r="D715" s="28" t="s">
        <v>1739</v>
      </c>
      <c r="E715" s="29" t="s">
        <v>331</v>
      </c>
      <c r="F715" s="29" t="s">
        <v>298</v>
      </c>
      <c r="G715" s="25" t="s">
        <v>2501</v>
      </c>
      <c r="H715" s="26">
        <v>-1.3138875000000001</v>
      </c>
      <c r="I715" s="26"/>
      <c r="J715" s="26" t="s">
        <v>512</v>
      </c>
      <c r="K715" s="25" t="s">
        <v>513</v>
      </c>
    </row>
    <row r="716" spans="1:11" ht="25.5" x14ac:dyDescent="0.25">
      <c r="A716" s="22">
        <v>2026</v>
      </c>
      <c r="B716" s="28" t="s">
        <v>167</v>
      </c>
      <c r="C716" s="28" t="s">
        <v>97</v>
      </c>
      <c r="D716" s="28" t="s">
        <v>1739</v>
      </c>
      <c r="E716" s="29" t="s">
        <v>331</v>
      </c>
      <c r="F716" s="29" t="s">
        <v>298</v>
      </c>
      <c r="G716" s="25" t="s">
        <v>2502</v>
      </c>
      <c r="H716" s="26">
        <v>-1.3054215</v>
      </c>
      <c r="I716" s="26"/>
      <c r="J716" s="26" t="s">
        <v>512</v>
      </c>
      <c r="K716" s="25" t="s">
        <v>513</v>
      </c>
    </row>
    <row r="717" spans="1:11" ht="25.5" x14ac:dyDescent="0.25">
      <c r="A717" s="22">
        <v>2026</v>
      </c>
      <c r="B717" s="28" t="s">
        <v>167</v>
      </c>
      <c r="C717" s="28" t="s">
        <v>97</v>
      </c>
      <c r="D717" s="28" t="s">
        <v>1739</v>
      </c>
      <c r="E717" s="29" t="s">
        <v>331</v>
      </c>
      <c r="F717" s="29" t="s">
        <v>298</v>
      </c>
      <c r="G717" s="25" t="s">
        <v>2503</v>
      </c>
      <c r="H717" s="26">
        <v>-0.38800000000000001</v>
      </c>
      <c r="I717" s="26"/>
      <c r="J717" s="26" t="s">
        <v>512</v>
      </c>
      <c r="K717" s="25" t="s">
        <v>513</v>
      </c>
    </row>
    <row r="718" spans="1:11" ht="25.5" x14ac:dyDescent="0.25">
      <c r="A718" s="22">
        <v>2026</v>
      </c>
      <c r="B718" s="28" t="s">
        <v>167</v>
      </c>
      <c r="C718" s="28" t="s">
        <v>97</v>
      </c>
      <c r="D718" s="28" t="s">
        <v>1739</v>
      </c>
      <c r="E718" s="29" t="s">
        <v>331</v>
      </c>
      <c r="F718" s="29" t="s">
        <v>298</v>
      </c>
      <c r="G718" s="25" t="s">
        <v>2504</v>
      </c>
      <c r="H718" s="26">
        <v>-2.6042299999999998</v>
      </c>
      <c r="I718" s="26"/>
      <c r="J718" s="26" t="s">
        <v>512</v>
      </c>
      <c r="K718" s="25" t="s">
        <v>513</v>
      </c>
    </row>
    <row r="719" spans="1:11" ht="25.5" x14ac:dyDescent="0.25">
      <c r="A719" s="22">
        <v>2026</v>
      </c>
      <c r="B719" s="28" t="s">
        <v>167</v>
      </c>
      <c r="C719" s="28" t="s">
        <v>97</v>
      </c>
      <c r="D719" s="28" t="s">
        <v>1739</v>
      </c>
      <c r="E719" s="29" t="s">
        <v>331</v>
      </c>
      <c r="F719" s="29" t="s">
        <v>298</v>
      </c>
      <c r="G719" s="25" t="s">
        <v>2505</v>
      </c>
      <c r="H719" s="26">
        <v>-1.0653790000000001</v>
      </c>
      <c r="I719" s="26"/>
      <c r="J719" s="26" t="s">
        <v>512</v>
      </c>
      <c r="K719" s="25" t="s">
        <v>513</v>
      </c>
    </row>
    <row r="720" spans="1:11" ht="25.5" x14ac:dyDescent="0.25">
      <c r="A720" s="22">
        <v>2026</v>
      </c>
      <c r="B720" s="28" t="s">
        <v>167</v>
      </c>
      <c r="C720" s="28" t="s">
        <v>97</v>
      </c>
      <c r="D720" s="28" t="s">
        <v>1739</v>
      </c>
      <c r="E720" s="29" t="s">
        <v>331</v>
      </c>
      <c r="F720" s="29" t="s">
        <v>298</v>
      </c>
      <c r="G720" s="25" t="s">
        <v>2506</v>
      </c>
      <c r="H720" s="26">
        <v>-3.0862400000000001</v>
      </c>
      <c r="I720" s="26"/>
      <c r="J720" s="26" t="s">
        <v>512</v>
      </c>
      <c r="K720" s="25" t="s">
        <v>513</v>
      </c>
    </row>
    <row r="721" spans="1:11" ht="25.5" x14ac:dyDescent="0.25">
      <c r="A721" s="22">
        <v>2026</v>
      </c>
      <c r="B721" s="28" t="s">
        <v>167</v>
      </c>
      <c r="C721" s="28" t="s">
        <v>97</v>
      </c>
      <c r="D721" s="28" t="s">
        <v>1739</v>
      </c>
      <c r="E721" s="29" t="s">
        <v>331</v>
      </c>
      <c r="F721" s="29" t="s">
        <v>298</v>
      </c>
      <c r="G721" s="25" t="s">
        <v>2507</v>
      </c>
      <c r="H721" s="26">
        <v>-2.3834970000000002</v>
      </c>
      <c r="I721" s="26"/>
      <c r="J721" s="26" t="s">
        <v>512</v>
      </c>
      <c r="K721" s="25" t="s">
        <v>513</v>
      </c>
    </row>
    <row r="722" spans="1:11" ht="25.5" x14ac:dyDescent="0.25">
      <c r="A722" s="22">
        <v>2026</v>
      </c>
      <c r="B722" s="28" t="s">
        <v>167</v>
      </c>
      <c r="C722" s="28" t="s">
        <v>97</v>
      </c>
      <c r="D722" s="28" t="s">
        <v>1739</v>
      </c>
      <c r="E722" s="29" t="s">
        <v>331</v>
      </c>
      <c r="F722" s="29" t="s">
        <v>298</v>
      </c>
      <c r="G722" s="25" t="s">
        <v>2508</v>
      </c>
      <c r="H722" s="26">
        <v>-6.1436400000000004</v>
      </c>
      <c r="I722" s="26"/>
      <c r="J722" s="26" t="s">
        <v>512</v>
      </c>
      <c r="K722" s="25" t="s">
        <v>513</v>
      </c>
    </row>
    <row r="723" spans="1:11" ht="25.5" x14ac:dyDescent="0.25">
      <c r="A723" s="22">
        <v>2026</v>
      </c>
      <c r="B723" s="28" t="s">
        <v>167</v>
      </c>
      <c r="C723" s="28" t="s">
        <v>97</v>
      </c>
      <c r="D723" s="28" t="s">
        <v>1739</v>
      </c>
      <c r="E723" s="29" t="s">
        <v>331</v>
      </c>
      <c r="F723" s="29" t="s">
        <v>298</v>
      </c>
      <c r="G723" s="25" t="s">
        <v>2509</v>
      </c>
      <c r="H723" s="26">
        <v>-2.4140799999999998</v>
      </c>
      <c r="I723" s="26"/>
      <c r="J723" s="26" t="s">
        <v>512</v>
      </c>
      <c r="K723" s="25" t="s">
        <v>513</v>
      </c>
    </row>
    <row r="724" spans="1:11" ht="25.5" x14ac:dyDescent="0.25">
      <c r="A724" s="22">
        <v>2026</v>
      </c>
      <c r="B724" s="28" t="s">
        <v>167</v>
      </c>
      <c r="C724" s="28" t="s">
        <v>97</v>
      </c>
      <c r="D724" s="28" t="s">
        <v>254</v>
      </c>
      <c r="E724" s="29" t="s">
        <v>473</v>
      </c>
      <c r="F724" s="29" t="s">
        <v>474</v>
      </c>
      <c r="G724" s="25" t="s">
        <v>2510</v>
      </c>
      <c r="H724" s="26">
        <v>-0.16505</v>
      </c>
      <c r="I724" s="26"/>
      <c r="J724" s="26" t="s">
        <v>512</v>
      </c>
      <c r="K724" s="25" t="s">
        <v>513</v>
      </c>
    </row>
    <row r="725" spans="1:11" ht="25.5" x14ac:dyDescent="0.25">
      <c r="A725" s="22">
        <v>2026</v>
      </c>
      <c r="B725" s="28" t="s">
        <v>167</v>
      </c>
      <c r="C725" s="28" t="s">
        <v>97</v>
      </c>
      <c r="D725" s="28" t="s">
        <v>254</v>
      </c>
      <c r="E725" s="29" t="s">
        <v>473</v>
      </c>
      <c r="F725" s="29" t="s">
        <v>474</v>
      </c>
      <c r="G725" s="25" t="s">
        <v>2511</v>
      </c>
      <c r="H725" s="26">
        <v>-0.33069999999999999</v>
      </c>
      <c r="I725" s="26"/>
      <c r="J725" s="26" t="s">
        <v>512</v>
      </c>
      <c r="K725" s="25" t="s">
        <v>513</v>
      </c>
    </row>
    <row r="726" spans="1:11" ht="25.5" x14ac:dyDescent="0.25">
      <c r="A726" s="22">
        <v>2026</v>
      </c>
      <c r="B726" s="28" t="s">
        <v>167</v>
      </c>
      <c r="C726" s="28" t="s">
        <v>97</v>
      </c>
      <c r="D726" s="28" t="s">
        <v>254</v>
      </c>
      <c r="E726" s="29" t="s">
        <v>473</v>
      </c>
      <c r="F726" s="29" t="s">
        <v>474</v>
      </c>
      <c r="G726" s="25" t="s">
        <v>2512</v>
      </c>
      <c r="H726" s="26">
        <v>-0.32969507000000003</v>
      </c>
      <c r="I726" s="26"/>
      <c r="J726" s="26" t="s">
        <v>512</v>
      </c>
      <c r="K726" s="25" t="s">
        <v>513</v>
      </c>
    </row>
    <row r="727" spans="1:11" ht="25.5" x14ac:dyDescent="0.25">
      <c r="A727" s="22">
        <v>2026</v>
      </c>
      <c r="B727" s="28" t="s">
        <v>167</v>
      </c>
      <c r="C727" s="28" t="s">
        <v>97</v>
      </c>
      <c r="D727" s="28" t="s">
        <v>254</v>
      </c>
      <c r="E727" s="29" t="s">
        <v>473</v>
      </c>
      <c r="F727" s="29" t="s">
        <v>474</v>
      </c>
      <c r="G727" s="25" t="s">
        <v>2513</v>
      </c>
      <c r="H727" s="26">
        <v>-0.15597006799999999</v>
      </c>
      <c r="I727" s="26"/>
      <c r="J727" s="26" t="s">
        <v>512</v>
      </c>
      <c r="K727" s="25" t="s">
        <v>513</v>
      </c>
    </row>
    <row r="728" spans="1:11" ht="25.5" x14ac:dyDescent="0.25">
      <c r="A728" s="22">
        <v>2026</v>
      </c>
      <c r="B728" s="28" t="s">
        <v>167</v>
      </c>
      <c r="C728" s="28" t="s">
        <v>97</v>
      </c>
      <c r="D728" s="28" t="s">
        <v>254</v>
      </c>
      <c r="E728" s="29" t="s">
        <v>473</v>
      </c>
      <c r="F728" s="29" t="s">
        <v>474</v>
      </c>
      <c r="G728" s="25" t="s">
        <v>2514</v>
      </c>
      <c r="H728" s="26">
        <v>-0.23804770319999999</v>
      </c>
      <c r="I728" s="26"/>
      <c r="J728" s="26" t="s">
        <v>512</v>
      </c>
      <c r="K728" s="25" t="s">
        <v>513</v>
      </c>
    </row>
    <row r="729" spans="1:11" ht="25.5" x14ac:dyDescent="0.25">
      <c r="A729" s="22">
        <v>2026</v>
      </c>
      <c r="B729" s="28" t="s">
        <v>167</v>
      </c>
      <c r="C729" s="28" t="s">
        <v>97</v>
      </c>
      <c r="D729" s="28" t="s">
        <v>254</v>
      </c>
      <c r="E729" s="29" t="s">
        <v>473</v>
      </c>
      <c r="F729" s="29" t="s">
        <v>474</v>
      </c>
      <c r="G729" s="25" t="s">
        <v>2515</v>
      </c>
      <c r="H729" s="26">
        <v>-7.2287157599999985E-2</v>
      </c>
      <c r="I729" s="26"/>
      <c r="J729" s="26" t="s">
        <v>512</v>
      </c>
      <c r="K729" s="25" t="s">
        <v>513</v>
      </c>
    </row>
    <row r="730" spans="1:11" ht="25.5" x14ac:dyDescent="0.25">
      <c r="A730" s="22">
        <v>2026</v>
      </c>
      <c r="B730" s="28" t="s">
        <v>167</v>
      </c>
      <c r="C730" s="28" t="s">
        <v>97</v>
      </c>
      <c r="D730" s="28" t="s">
        <v>254</v>
      </c>
      <c r="E730" s="29" t="s">
        <v>473</v>
      </c>
      <c r="F730" s="29" t="s">
        <v>474</v>
      </c>
      <c r="G730" s="25" t="s">
        <v>2516</v>
      </c>
      <c r="H730" s="26">
        <v>-0.11122036199999999</v>
      </c>
      <c r="I730" s="26"/>
      <c r="J730" s="26" t="s">
        <v>512</v>
      </c>
      <c r="K730" s="25" t="s">
        <v>513</v>
      </c>
    </row>
    <row r="731" spans="1:11" ht="25.5" x14ac:dyDescent="0.25">
      <c r="A731" s="22">
        <v>2026</v>
      </c>
      <c r="B731" s="28" t="s">
        <v>167</v>
      </c>
      <c r="C731" s="28" t="s">
        <v>97</v>
      </c>
      <c r="D731" s="28" t="s">
        <v>254</v>
      </c>
      <c r="E731" s="29" t="s">
        <v>473</v>
      </c>
      <c r="F731" s="29" t="s">
        <v>474</v>
      </c>
      <c r="G731" s="25" t="s">
        <v>2517</v>
      </c>
      <c r="H731" s="26">
        <v>-6.5047171860000003E-2</v>
      </c>
      <c r="I731" s="26"/>
      <c r="J731" s="26" t="s">
        <v>512</v>
      </c>
      <c r="K731" s="25" t="s">
        <v>513</v>
      </c>
    </row>
    <row r="732" spans="1:11" ht="25.5" x14ac:dyDescent="0.25">
      <c r="A732" s="22">
        <v>2026</v>
      </c>
      <c r="B732" s="28" t="s">
        <v>167</v>
      </c>
      <c r="C732" s="28" t="s">
        <v>97</v>
      </c>
      <c r="D732" s="28" t="s">
        <v>254</v>
      </c>
      <c r="E732" s="29" t="s">
        <v>473</v>
      </c>
      <c r="F732" s="29" t="s">
        <v>474</v>
      </c>
      <c r="G732" s="25" t="s">
        <v>2518</v>
      </c>
      <c r="H732" s="26">
        <v>-0.13503893729999999</v>
      </c>
      <c r="I732" s="26"/>
      <c r="J732" s="26" t="s">
        <v>512</v>
      </c>
      <c r="K732" s="25" t="s">
        <v>513</v>
      </c>
    </row>
    <row r="733" spans="1:11" ht="25.5" x14ac:dyDescent="0.25">
      <c r="A733" s="22">
        <v>2026</v>
      </c>
      <c r="B733" s="28" t="s">
        <v>167</v>
      </c>
      <c r="C733" s="28" t="s">
        <v>97</v>
      </c>
      <c r="D733" s="28" t="s">
        <v>254</v>
      </c>
      <c r="E733" s="29" t="s">
        <v>473</v>
      </c>
      <c r="F733" s="29" t="s">
        <v>474</v>
      </c>
      <c r="G733" s="25" t="s">
        <v>2519</v>
      </c>
      <c r="H733" s="26">
        <v>-0.32037405576</v>
      </c>
      <c r="I733" s="26"/>
      <c r="J733" s="26" t="s">
        <v>512</v>
      </c>
      <c r="K733" s="25" t="s">
        <v>513</v>
      </c>
    </row>
    <row r="734" spans="1:11" ht="25.5" x14ac:dyDescent="0.25">
      <c r="A734" s="22">
        <v>2026</v>
      </c>
      <c r="B734" s="28" t="s">
        <v>167</v>
      </c>
      <c r="C734" s="28" t="s">
        <v>97</v>
      </c>
      <c r="D734" s="28" t="s">
        <v>254</v>
      </c>
      <c r="E734" s="29" t="s">
        <v>473</v>
      </c>
      <c r="F734" s="29" t="s">
        <v>474</v>
      </c>
      <c r="G734" s="25" t="s">
        <v>2520</v>
      </c>
      <c r="H734" s="26">
        <v>-7.5113068800000002E-2</v>
      </c>
      <c r="I734" s="26"/>
      <c r="J734" s="26" t="s">
        <v>512</v>
      </c>
      <c r="K734" s="25" t="s">
        <v>513</v>
      </c>
    </row>
    <row r="735" spans="1:11" ht="25.5" x14ac:dyDescent="0.25">
      <c r="A735" s="22">
        <v>2026</v>
      </c>
      <c r="B735" s="28" t="s">
        <v>167</v>
      </c>
      <c r="C735" s="28" t="s">
        <v>97</v>
      </c>
      <c r="D735" s="28" t="s">
        <v>254</v>
      </c>
      <c r="E735" s="29" t="s">
        <v>473</v>
      </c>
      <c r="F735" s="29" t="s">
        <v>474</v>
      </c>
      <c r="G735" s="25" t="s">
        <v>2521</v>
      </c>
      <c r="H735" s="26">
        <v>-5.8516232760000009E-2</v>
      </c>
      <c r="I735" s="26"/>
      <c r="J735" s="26" t="s">
        <v>512</v>
      </c>
      <c r="K735" s="25" t="s">
        <v>513</v>
      </c>
    </row>
    <row r="736" spans="1:11" ht="25.5" x14ac:dyDescent="0.25">
      <c r="A736" s="22">
        <v>2026</v>
      </c>
      <c r="B736" s="28" t="s">
        <v>167</v>
      </c>
      <c r="C736" s="28" t="s">
        <v>97</v>
      </c>
      <c r="D736" s="28" t="s">
        <v>254</v>
      </c>
      <c r="E736" s="29" t="s">
        <v>473</v>
      </c>
      <c r="F736" s="29" t="s">
        <v>474</v>
      </c>
      <c r="G736" s="25" t="s">
        <v>2522</v>
      </c>
      <c r="H736" s="26">
        <v>-0.31649635222</v>
      </c>
      <c r="I736" s="26"/>
      <c r="J736" s="26" t="s">
        <v>512</v>
      </c>
      <c r="K736" s="25" t="s">
        <v>513</v>
      </c>
    </row>
    <row r="737" spans="1:11" ht="25.5" x14ac:dyDescent="0.25">
      <c r="A737" s="22">
        <v>2026</v>
      </c>
      <c r="B737" s="28" t="s">
        <v>167</v>
      </c>
      <c r="C737" s="28" t="s">
        <v>97</v>
      </c>
      <c r="D737" s="28" t="s">
        <v>254</v>
      </c>
      <c r="E737" s="29" t="s">
        <v>473</v>
      </c>
      <c r="F737" s="29" t="s">
        <v>474</v>
      </c>
      <c r="G737" s="25" t="s">
        <v>2523</v>
      </c>
      <c r="H737" s="26">
        <v>-7.6958471250000007E-2</v>
      </c>
      <c r="I737" s="26"/>
      <c r="J737" s="26" t="s">
        <v>512</v>
      </c>
      <c r="K737" s="25" t="s">
        <v>513</v>
      </c>
    </row>
    <row r="738" spans="1:11" ht="25.5" x14ac:dyDescent="0.25">
      <c r="A738" s="22">
        <v>2026</v>
      </c>
      <c r="B738" s="28" t="s">
        <v>167</v>
      </c>
      <c r="C738" s="28" t="s">
        <v>97</v>
      </c>
      <c r="D738" s="28" t="s">
        <v>254</v>
      </c>
      <c r="E738" s="29" t="s">
        <v>473</v>
      </c>
      <c r="F738" s="29" t="s">
        <v>474</v>
      </c>
      <c r="G738" s="25" t="s">
        <v>2524</v>
      </c>
      <c r="H738" s="26">
        <v>-2.9074335000000003E-2</v>
      </c>
      <c r="I738" s="26"/>
      <c r="J738" s="26" t="s">
        <v>512</v>
      </c>
      <c r="K738" s="25" t="s">
        <v>513</v>
      </c>
    </row>
    <row r="739" spans="1:11" ht="25.5" x14ac:dyDescent="0.25">
      <c r="A739" s="22">
        <v>2026</v>
      </c>
      <c r="B739" s="28" t="s">
        <v>167</v>
      </c>
      <c r="C739" s="28" t="s">
        <v>97</v>
      </c>
      <c r="D739" s="28" t="s">
        <v>254</v>
      </c>
      <c r="E739" s="29" t="s">
        <v>473</v>
      </c>
      <c r="F739" s="29" t="s">
        <v>474</v>
      </c>
      <c r="G739" s="25" t="s">
        <v>2525</v>
      </c>
      <c r="H739" s="26">
        <v>-4.2215170760000004E-2</v>
      </c>
      <c r="I739" s="26"/>
      <c r="J739" s="26" t="s">
        <v>512</v>
      </c>
      <c r="K739" s="25" t="s">
        <v>513</v>
      </c>
    </row>
    <row r="740" spans="1:11" ht="25.5" x14ac:dyDescent="0.25">
      <c r="A740" s="22">
        <v>2026</v>
      </c>
      <c r="B740" s="28" t="s">
        <v>167</v>
      </c>
      <c r="C740" s="28" t="s">
        <v>97</v>
      </c>
      <c r="D740" s="28" t="s">
        <v>254</v>
      </c>
      <c r="E740" s="29" t="s">
        <v>473</v>
      </c>
      <c r="F740" s="29" t="s">
        <v>474</v>
      </c>
      <c r="G740" s="25" t="s">
        <v>2526</v>
      </c>
      <c r="H740" s="26">
        <v>-0.11470916860000001</v>
      </c>
      <c r="I740" s="26"/>
      <c r="J740" s="26" t="s">
        <v>512</v>
      </c>
      <c r="K740" s="25" t="s">
        <v>513</v>
      </c>
    </row>
    <row r="741" spans="1:11" ht="25.5" x14ac:dyDescent="0.25">
      <c r="A741" s="22">
        <v>2026</v>
      </c>
      <c r="B741" s="28" t="s">
        <v>167</v>
      </c>
      <c r="C741" s="28" t="s">
        <v>97</v>
      </c>
      <c r="D741" s="28" t="s">
        <v>254</v>
      </c>
      <c r="E741" s="29" t="s">
        <v>473</v>
      </c>
      <c r="F741" s="29" t="s">
        <v>474</v>
      </c>
      <c r="G741" s="25" t="s">
        <v>2527</v>
      </c>
      <c r="H741" s="26">
        <v>-0.180093694</v>
      </c>
      <c r="I741" s="26"/>
      <c r="J741" s="26" t="s">
        <v>512</v>
      </c>
      <c r="K741" s="25" t="s">
        <v>513</v>
      </c>
    </row>
    <row r="742" spans="1:11" ht="25.5" x14ac:dyDescent="0.25">
      <c r="A742" s="22">
        <v>2026</v>
      </c>
      <c r="B742" s="28" t="s">
        <v>167</v>
      </c>
      <c r="C742" s="28" t="s">
        <v>97</v>
      </c>
      <c r="D742" s="28" t="s">
        <v>254</v>
      </c>
      <c r="E742" s="29" t="s">
        <v>473</v>
      </c>
      <c r="F742" s="29" t="s">
        <v>474</v>
      </c>
      <c r="G742" s="25" t="s">
        <v>2528</v>
      </c>
      <c r="H742" s="26">
        <v>-5.0150099999999996E-2</v>
      </c>
      <c r="I742" s="26"/>
      <c r="J742" s="26" t="s">
        <v>512</v>
      </c>
      <c r="K742" s="25" t="s">
        <v>513</v>
      </c>
    </row>
    <row r="743" spans="1:11" ht="25.5" x14ac:dyDescent="0.25">
      <c r="A743" s="22">
        <v>2026</v>
      </c>
      <c r="B743" s="28" t="s">
        <v>167</v>
      </c>
      <c r="C743" s="28" t="s">
        <v>97</v>
      </c>
      <c r="D743" s="28" t="s">
        <v>195</v>
      </c>
      <c r="E743" s="29" t="s">
        <v>1760</v>
      </c>
      <c r="F743" s="29" t="s">
        <v>353</v>
      </c>
      <c r="G743" s="25" t="s">
        <v>2529</v>
      </c>
      <c r="H743" s="26">
        <v>-0.18279999999999999</v>
      </c>
      <c r="I743" s="26"/>
      <c r="J743" s="26" t="s">
        <v>512</v>
      </c>
      <c r="K743" s="25" t="s">
        <v>513</v>
      </c>
    </row>
    <row r="744" spans="1:11" ht="25.5" x14ac:dyDescent="0.25">
      <c r="A744" s="22">
        <v>2026</v>
      </c>
      <c r="B744" s="28" t="s">
        <v>167</v>
      </c>
      <c r="C744" s="28" t="s">
        <v>97</v>
      </c>
      <c r="D744" s="28" t="s">
        <v>195</v>
      </c>
      <c r="E744" s="29" t="s">
        <v>1760</v>
      </c>
      <c r="F744" s="29" t="s">
        <v>353</v>
      </c>
      <c r="G744" s="25" t="s">
        <v>2530</v>
      </c>
      <c r="H744" s="26">
        <v>-0.92747299999999999</v>
      </c>
      <c r="I744" s="26"/>
      <c r="J744" s="26" t="s">
        <v>512</v>
      </c>
      <c r="K744" s="25" t="s">
        <v>513</v>
      </c>
    </row>
    <row r="745" spans="1:11" ht="25.5" x14ac:dyDescent="0.25">
      <c r="A745" s="22">
        <v>2026</v>
      </c>
      <c r="B745" s="28" t="s">
        <v>167</v>
      </c>
      <c r="C745" s="28" t="s">
        <v>97</v>
      </c>
      <c r="D745" s="28" t="s">
        <v>195</v>
      </c>
      <c r="E745" s="29" t="s">
        <v>1760</v>
      </c>
      <c r="F745" s="29" t="s">
        <v>353</v>
      </c>
      <c r="G745" s="25" t="s">
        <v>2531</v>
      </c>
      <c r="H745" s="26">
        <v>-0.47532000000000002</v>
      </c>
      <c r="I745" s="26"/>
      <c r="J745" s="26" t="s">
        <v>512</v>
      </c>
      <c r="K745" s="25" t="s">
        <v>513</v>
      </c>
    </row>
    <row r="746" spans="1:11" ht="25.5" x14ac:dyDescent="0.25">
      <c r="A746" s="22">
        <v>2026</v>
      </c>
      <c r="B746" s="28" t="s">
        <v>167</v>
      </c>
      <c r="C746" s="28" t="s">
        <v>97</v>
      </c>
      <c r="D746" s="28" t="s">
        <v>195</v>
      </c>
      <c r="E746" s="29" t="s">
        <v>1760</v>
      </c>
      <c r="F746" s="29" t="s">
        <v>353</v>
      </c>
      <c r="G746" s="25" t="s">
        <v>2532</v>
      </c>
      <c r="H746" s="26">
        <v>-0.93100000000000005</v>
      </c>
      <c r="I746" s="26"/>
      <c r="J746" s="26" t="s">
        <v>512</v>
      </c>
      <c r="K746" s="25" t="s">
        <v>513</v>
      </c>
    </row>
    <row r="747" spans="1:11" ht="25.5" x14ac:dyDescent="0.25">
      <c r="A747" s="22">
        <v>2026</v>
      </c>
      <c r="B747" s="28" t="s">
        <v>167</v>
      </c>
      <c r="C747" s="28" t="s">
        <v>97</v>
      </c>
      <c r="D747" s="28" t="s">
        <v>195</v>
      </c>
      <c r="E747" s="29" t="s">
        <v>1760</v>
      </c>
      <c r="F747" s="29" t="s">
        <v>353</v>
      </c>
      <c r="G747" s="25" t="s">
        <v>2533</v>
      </c>
      <c r="H747" s="26">
        <v>-0.93122700000000003</v>
      </c>
      <c r="I747" s="26"/>
      <c r="J747" s="26" t="s">
        <v>512</v>
      </c>
      <c r="K747" s="25" t="s">
        <v>513</v>
      </c>
    </row>
    <row r="748" spans="1:11" ht="38.25" x14ac:dyDescent="0.25">
      <c r="A748" s="22">
        <v>2026</v>
      </c>
      <c r="B748" s="28" t="s">
        <v>167</v>
      </c>
      <c r="C748" s="28" t="s">
        <v>97</v>
      </c>
      <c r="D748" s="28" t="s">
        <v>244</v>
      </c>
      <c r="E748" s="29" t="s">
        <v>448</v>
      </c>
      <c r="F748" s="29" t="s">
        <v>284</v>
      </c>
      <c r="G748" s="25" t="s">
        <v>2534</v>
      </c>
      <c r="H748" s="26">
        <v>-0.48405705999999998</v>
      </c>
      <c r="I748" s="26"/>
      <c r="J748" s="26" t="s">
        <v>514</v>
      </c>
      <c r="K748" s="25" t="s">
        <v>528</v>
      </c>
    </row>
    <row r="749" spans="1:11" ht="38.25" x14ac:dyDescent="0.25">
      <c r="A749" s="22">
        <v>2026</v>
      </c>
      <c r="B749" s="28" t="s">
        <v>167</v>
      </c>
      <c r="C749" s="28" t="s">
        <v>97</v>
      </c>
      <c r="D749" s="28" t="s">
        <v>244</v>
      </c>
      <c r="E749" s="29" t="s">
        <v>448</v>
      </c>
      <c r="F749" s="29" t="s">
        <v>284</v>
      </c>
      <c r="G749" s="25" t="s">
        <v>2535</v>
      </c>
      <c r="H749" s="26">
        <v>-0.10397397999999999</v>
      </c>
      <c r="I749" s="26"/>
      <c r="J749" s="26" t="s">
        <v>514</v>
      </c>
      <c r="K749" s="25" t="s">
        <v>528</v>
      </c>
    </row>
    <row r="750" spans="1:11" ht="38.25" x14ac:dyDescent="0.25">
      <c r="A750" s="22">
        <v>2026</v>
      </c>
      <c r="B750" s="28" t="s">
        <v>167</v>
      </c>
      <c r="C750" s="28" t="s">
        <v>97</v>
      </c>
      <c r="D750" s="28" t="s">
        <v>244</v>
      </c>
      <c r="E750" s="29" t="s">
        <v>448</v>
      </c>
      <c r="F750" s="29" t="s">
        <v>284</v>
      </c>
      <c r="G750" s="25" t="s">
        <v>2536</v>
      </c>
      <c r="H750" s="26">
        <v>-3.2299999999999995E-2</v>
      </c>
      <c r="I750" s="26"/>
      <c r="J750" s="26" t="s">
        <v>514</v>
      </c>
      <c r="K750" s="25" t="s">
        <v>528</v>
      </c>
    </row>
    <row r="751" spans="1:11" ht="38.25" x14ac:dyDescent="0.25">
      <c r="A751" s="22">
        <v>2026</v>
      </c>
      <c r="B751" s="28" t="s">
        <v>167</v>
      </c>
      <c r="C751" s="28" t="s">
        <v>97</v>
      </c>
      <c r="D751" s="28" t="s">
        <v>244</v>
      </c>
      <c r="E751" s="29" t="s">
        <v>448</v>
      </c>
      <c r="F751" s="29" t="s">
        <v>284</v>
      </c>
      <c r="G751" s="25" t="s">
        <v>2537</v>
      </c>
      <c r="H751" s="26">
        <v>-0.16120000000000001</v>
      </c>
      <c r="I751" s="26"/>
      <c r="J751" s="26" t="s">
        <v>514</v>
      </c>
      <c r="K751" s="25" t="s">
        <v>528</v>
      </c>
    </row>
    <row r="752" spans="1:11" ht="38.25" x14ac:dyDescent="0.25">
      <c r="A752" s="22">
        <v>2026</v>
      </c>
      <c r="B752" s="28" t="s">
        <v>167</v>
      </c>
      <c r="C752" s="28" t="s">
        <v>97</v>
      </c>
      <c r="D752" s="28" t="s">
        <v>244</v>
      </c>
      <c r="E752" s="29" t="s">
        <v>448</v>
      </c>
      <c r="F752" s="29" t="s">
        <v>284</v>
      </c>
      <c r="G752" s="25" t="s">
        <v>2538</v>
      </c>
      <c r="H752" s="26">
        <v>-0.16</v>
      </c>
      <c r="I752" s="26"/>
      <c r="J752" s="26" t="s">
        <v>514</v>
      </c>
      <c r="K752" s="25" t="s">
        <v>528</v>
      </c>
    </row>
    <row r="753" spans="1:11" ht="38.25" x14ac:dyDescent="0.25">
      <c r="A753" s="22">
        <v>2026</v>
      </c>
      <c r="B753" s="28" t="s">
        <v>167</v>
      </c>
      <c r="C753" s="28" t="s">
        <v>97</v>
      </c>
      <c r="D753" s="28" t="s">
        <v>244</v>
      </c>
      <c r="E753" s="29" t="s">
        <v>448</v>
      </c>
      <c r="F753" s="29" t="s">
        <v>284</v>
      </c>
      <c r="G753" s="25" t="s">
        <v>2539</v>
      </c>
      <c r="H753" s="26">
        <v>-0.15920000000000001</v>
      </c>
      <c r="I753" s="26"/>
      <c r="J753" s="26" t="s">
        <v>514</v>
      </c>
      <c r="K753" s="25" t="s">
        <v>528</v>
      </c>
    </row>
    <row r="754" spans="1:11" ht="38.25" x14ac:dyDescent="0.25">
      <c r="A754" s="22">
        <v>2026</v>
      </c>
      <c r="B754" s="28" t="s">
        <v>167</v>
      </c>
      <c r="C754" s="28" t="s">
        <v>97</v>
      </c>
      <c r="D754" s="28" t="s">
        <v>244</v>
      </c>
      <c r="E754" s="29" t="s">
        <v>448</v>
      </c>
      <c r="F754" s="29" t="s">
        <v>284</v>
      </c>
      <c r="G754" s="25" t="s">
        <v>2540</v>
      </c>
      <c r="H754" s="26">
        <v>-0.15795000000000001</v>
      </c>
      <c r="I754" s="26"/>
      <c r="J754" s="26" t="s">
        <v>514</v>
      </c>
      <c r="K754" s="25" t="s">
        <v>528</v>
      </c>
    </row>
    <row r="755" spans="1:11" ht="38.25" x14ac:dyDescent="0.25">
      <c r="A755" s="22">
        <v>2026</v>
      </c>
      <c r="B755" s="28" t="s">
        <v>167</v>
      </c>
      <c r="C755" s="28" t="s">
        <v>97</v>
      </c>
      <c r="D755" s="28" t="s">
        <v>244</v>
      </c>
      <c r="E755" s="29" t="s">
        <v>448</v>
      </c>
      <c r="F755" s="29" t="s">
        <v>284</v>
      </c>
      <c r="G755" s="25" t="s">
        <v>2541</v>
      </c>
      <c r="H755" s="26">
        <v>-0.12692000000000001</v>
      </c>
      <c r="I755" s="26"/>
      <c r="J755" s="26" t="s">
        <v>514</v>
      </c>
      <c r="K755" s="25" t="s">
        <v>528</v>
      </c>
    </row>
    <row r="756" spans="1:11" ht="38.25" x14ac:dyDescent="0.25">
      <c r="A756" s="22">
        <v>2026</v>
      </c>
      <c r="B756" s="28" t="s">
        <v>167</v>
      </c>
      <c r="C756" s="28" t="s">
        <v>97</v>
      </c>
      <c r="D756" s="28" t="s">
        <v>244</v>
      </c>
      <c r="E756" s="29" t="s">
        <v>448</v>
      </c>
      <c r="F756" s="29" t="s">
        <v>284</v>
      </c>
      <c r="G756" s="25" t="s">
        <v>2542</v>
      </c>
      <c r="H756" s="26">
        <v>-0.1573</v>
      </c>
      <c r="I756" s="26"/>
      <c r="J756" s="26" t="s">
        <v>514</v>
      </c>
      <c r="K756" s="25" t="s">
        <v>528</v>
      </c>
    </row>
    <row r="757" spans="1:11" ht="38.25" x14ac:dyDescent="0.25">
      <c r="A757" s="22">
        <v>2026</v>
      </c>
      <c r="B757" s="28" t="s">
        <v>167</v>
      </c>
      <c r="C757" s="28" t="s">
        <v>97</v>
      </c>
      <c r="D757" s="28" t="s">
        <v>244</v>
      </c>
      <c r="E757" s="29" t="s">
        <v>448</v>
      </c>
      <c r="F757" s="29" t="s">
        <v>284</v>
      </c>
      <c r="G757" s="25" t="s">
        <v>2543</v>
      </c>
      <c r="H757" s="26">
        <v>-0.23171360999999999</v>
      </c>
      <c r="I757" s="26"/>
      <c r="J757" s="26" t="s">
        <v>514</v>
      </c>
      <c r="K757" s="25" t="s">
        <v>528</v>
      </c>
    </row>
    <row r="758" spans="1:11" ht="38.25" x14ac:dyDescent="0.25">
      <c r="A758" s="22">
        <v>2026</v>
      </c>
      <c r="B758" s="28" t="s">
        <v>167</v>
      </c>
      <c r="C758" s="28" t="s">
        <v>97</v>
      </c>
      <c r="D758" s="28" t="s">
        <v>244</v>
      </c>
      <c r="E758" s="29" t="s">
        <v>448</v>
      </c>
      <c r="F758" s="29" t="s">
        <v>284</v>
      </c>
      <c r="G758" s="25" t="s">
        <v>2544</v>
      </c>
      <c r="H758" s="26">
        <v>-0.39424999999999999</v>
      </c>
      <c r="I758" s="26"/>
      <c r="J758" s="26" t="s">
        <v>514</v>
      </c>
      <c r="K758" s="25" t="s">
        <v>528</v>
      </c>
    </row>
    <row r="759" spans="1:11" ht="38.25" x14ac:dyDescent="0.25">
      <c r="A759" s="22">
        <v>2026</v>
      </c>
      <c r="B759" s="28" t="s">
        <v>167</v>
      </c>
      <c r="C759" s="28" t="s">
        <v>97</v>
      </c>
      <c r="D759" s="28" t="s">
        <v>244</v>
      </c>
      <c r="E759" s="29" t="s">
        <v>448</v>
      </c>
      <c r="F759" s="29" t="s">
        <v>284</v>
      </c>
      <c r="G759" s="25" t="s">
        <v>2545</v>
      </c>
      <c r="H759" s="26">
        <v>-0.16208007000000002</v>
      </c>
      <c r="I759" s="26"/>
      <c r="J759" s="26" t="s">
        <v>514</v>
      </c>
      <c r="K759" s="25" t="s">
        <v>528</v>
      </c>
    </row>
    <row r="760" spans="1:11" ht="38.25" x14ac:dyDescent="0.25">
      <c r="A760" s="22">
        <v>2026</v>
      </c>
      <c r="B760" s="28" t="s">
        <v>167</v>
      </c>
      <c r="C760" s="28" t="s">
        <v>97</v>
      </c>
      <c r="D760" s="28" t="s">
        <v>244</v>
      </c>
      <c r="E760" s="29" t="s">
        <v>448</v>
      </c>
      <c r="F760" s="29" t="s">
        <v>284</v>
      </c>
      <c r="G760" s="25" t="s">
        <v>2546</v>
      </c>
      <c r="H760" s="26">
        <v>-0.62039999999999995</v>
      </c>
      <c r="I760" s="26"/>
      <c r="J760" s="26" t="s">
        <v>514</v>
      </c>
      <c r="K760" s="25" t="s">
        <v>528</v>
      </c>
    </row>
    <row r="761" spans="1:11" ht="38.25" x14ac:dyDescent="0.25">
      <c r="A761" s="22">
        <v>2026</v>
      </c>
      <c r="B761" s="28" t="s">
        <v>167</v>
      </c>
      <c r="C761" s="28" t="s">
        <v>97</v>
      </c>
      <c r="D761" s="28" t="s">
        <v>244</v>
      </c>
      <c r="E761" s="29" t="s">
        <v>448</v>
      </c>
      <c r="F761" s="29" t="s">
        <v>284</v>
      </c>
      <c r="G761" s="25" t="s">
        <v>2547</v>
      </c>
      <c r="H761" s="26">
        <v>-9.3379019999999993E-2</v>
      </c>
      <c r="I761" s="26"/>
      <c r="J761" s="26" t="s">
        <v>514</v>
      </c>
      <c r="K761" s="25" t="s">
        <v>528</v>
      </c>
    </row>
    <row r="762" spans="1:11" ht="38.25" x14ac:dyDescent="0.25">
      <c r="A762" s="22">
        <v>2026</v>
      </c>
      <c r="B762" s="28" t="s">
        <v>167</v>
      </c>
      <c r="C762" s="28" t="s">
        <v>97</v>
      </c>
      <c r="D762" s="28" t="s">
        <v>244</v>
      </c>
      <c r="E762" s="29" t="s">
        <v>448</v>
      </c>
      <c r="F762" s="29" t="s">
        <v>284</v>
      </c>
      <c r="G762" s="25" t="s">
        <v>2548</v>
      </c>
      <c r="H762" s="26">
        <v>-0.32381206000000001</v>
      </c>
      <c r="I762" s="26"/>
      <c r="J762" s="26" t="s">
        <v>514</v>
      </c>
      <c r="K762" s="25" t="s">
        <v>528</v>
      </c>
    </row>
    <row r="763" spans="1:11" ht="38.25" x14ac:dyDescent="0.25">
      <c r="A763" s="22">
        <v>2026</v>
      </c>
      <c r="B763" s="28" t="s">
        <v>167</v>
      </c>
      <c r="C763" s="28" t="s">
        <v>97</v>
      </c>
      <c r="D763" s="28" t="s">
        <v>244</v>
      </c>
      <c r="E763" s="29" t="s">
        <v>448</v>
      </c>
      <c r="F763" s="29" t="s">
        <v>284</v>
      </c>
      <c r="G763" s="25" t="s">
        <v>2549</v>
      </c>
      <c r="H763" s="26">
        <v>-0.25665596000000002</v>
      </c>
      <c r="I763" s="26"/>
      <c r="J763" s="26" t="s">
        <v>514</v>
      </c>
      <c r="K763" s="25" t="s">
        <v>528</v>
      </c>
    </row>
    <row r="764" spans="1:11" ht="38.25" x14ac:dyDescent="0.25">
      <c r="A764" s="22">
        <v>2026</v>
      </c>
      <c r="B764" s="28" t="s">
        <v>167</v>
      </c>
      <c r="C764" s="28" t="s">
        <v>97</v>
      </c>
      <c r="D764" s="28" t="s">
        <v>244</v>
      </c>
      <c r="E764" s="29" t="s">
        <v>448</v>
      </c>
      <c r="F764" s="29" t="s">
        <v>284</v>
      </c>
      <c r="G764" s="25" t="s">
        <v>2550</v>
      </c>
      <c r="H764" s="26">
        <v>-0.40812880000000001</v>
      </c>
      <c r="I764" s="26"/>
      <c r="J764" s="26" t="s">
        <v>514</v>
      </c>
      <c r="K764" s="25" t="s">
        <v>528</v>
      </c>
    </row>
    <row r="765" spans="1:11" ht="38.25" x14ac:dyDescent="0.25">
      <c r="A765" s="22">
        <v>2026</v>
      </c>
      <c r="B765" s="28" t="s">
        <v>167</v>
      </c>
      <c r="C765" s="28" t="s">
        <v>97</v>
      </c>
      <c r="D765" s="28" t="s">
        <v>244</v>
      </c>
      <c r="E765" s="29" t="s">
        <v>448</v>
      </c>
      <c r="F765" s="29" t="s">
        <v>284</v>
      </c>
      <c r="G765" s="25" t="s">
        <v>2551</v>
      </c>
      <c r="H765" s="26">
        <v>-0.33810315000000002</v>
      </c>
      <c r="I765" s="26"/>
      <c r="J765" s="26" t="s">
        <v>514</v>
      </c>
      <c r="K765" s="25" t="s">
        <v>528</v>
      </c>
    </row>
    <row r="766" spans="1:11" ht="38.25" x14ac:dyDescent="0.25">
      <c r="A766" s="22">
        <v>2026</v>
      </c>
      <c r="B766" s="28" t="s">
        <v>167</v>
      </c>
      <c r="C766" s="28" t="s">
        <v>97</v>
      </c>
      <c r="D766" s="28" t="s">
        <v>244</v>
      </c>
      <c r="E766" s="29" t="s">
        <v>448</v>
      </c>
      <c r="F766" s="29" t="s">
        <v>284</v>
      </c>
      <c r="G766" s="25" t="s">
        <v>2552</v>
      </c>
      <c r="H766" s="26">
        <v>-0.153</v>
      </c>
      <c r="I766" s="26"/>
      <c r="J766" s="26" t="s">
        <v>514</v>
      </c>
      <c r="K766" s="25" t="s">
        <v>528</v>
      </c>
    </row>
    <row r="767" spans="1:11" ht="38.25" x14ac:dyDescent="0.25">
      <c r="A767" s="22">
        <v>2026</v>
      </c>
      <c r="B767" s="28" t="s">
        <v>167</v>
      </c>
      <c r="C767" s="28" t="s">
        <v>97</v>
      </c>
      <c r="D767" s="28" t="s">
        <v>244</v>
      </c>
      <c r="E767" s="29" t="s">
        <v>448</v>
      </c>
      <c r="F767" s="29" t="s">
        <v>284</v>
      </c>
      <c r="G767" s="25" t="s">
        <v>2553</v>
      </c>
      <c r="H767" s="26">
        <v>-0.60960000000000003</v>
      </c>
      <c r="I767" s="26"/>
      <c r="J767" s="26" t="s">
        <v>514</v>
      </c>
      <c r="K767" s="25" t="s">
        <v>528</v>
      </c>
    </row>
    <row r="768" spans="1:11" ht="38.25" x14ac:dyDescent="0.25">
      <c r="A768" s="22">
        <v>2026</v>
      </c>
      <c r="B768" s="28" t="s">
        <v>167</v>
      </c>
      <c r="C768" s="28" t="s">
        <v>97</v>
      </c>
      <c r="D768" s="28" t="s">
        <v>244</v>
      </c>
      <c r="E768" s="29" t="s">
        <v>448</v>
      </c>
      <c r="F768" s="29" t="s">
        <v>284</v>
      </c>
      <c r="G768" s="25" t="s">
        <v>2554</v>
      </c>
      <c r="H768" s="26">
        <v>-0.35030664</v>
      </c>
      <c r="I768" s="26"/>
      <c r="J768" s="26" t="s">
        <v>514</v>
      </c>
      <c r="K768" s="25" t="s">
        <v>528</v>
      </c>
    </row>
    <row r="769" spans="1:11" ht="25.5" x14ac:dyDescent="0.25">
      <c r="A769" s="22">
        <v>2026</v>
      </c>
      <c r="B769" s="28" t="s">
        <v>167</v>
      </c>
      <c r="C769" s="28" t="s">
        <v>97</v>
      </c>
      <c r="D769" s="28" t="s">
        <v>1741</v>
      </c>
      <c r="E769" s="29" t="s">
        <v>985</v>
      </c>
      <c r="F769" s="29" t="s">
        <v>340</v>
      </c>
      <c r="G769" s="25" t="s">
        <v>2555</v>
      </c>
      <c r="H769" s="26">
        <v>-0.35599999999999998</v>
      </c>
      <c r="I769" s="26"/>
      <c r="J769" s="26" t="s">
        <v>512</v>
      </c>
      <c r="K769" s="25" t="s">
        <v>513</v>
      </c>
    </row>
    <row r="770" spans="1:11" ht="25.5" x14ac:dyDescent="0.25">
      <c r="A770" s="22">
        <v>2026</v>
      </c>
      <c r="B770" s="28" t="s">
        <v>167</v>
      </c>
      <c r="C770" s="28" t="s">
        <v>97</v>
      </c>
      <c r="D770" s="28" t="s">
        <v>1742</v>
      </c>
      <c r="E770" s="29" t="s">
        <v>1742</v>
      </c>
      <c r="F770" s="29" t="s">
        <v>284</v>
      </c>
      <c r="G770" s="25" t="s">
        <v>2556</v>
      </c>
      <c r="H770" s="26">
        <v>-2.2799999999999998</v>
      </c>
      <c r="I770" s="26"/>
      <c r="J770" s="26" t="s">
        <v>1773</v>
      </c>
      <c r="K770" s="25" t="s">
        <v>513</v>
      </c>
    </row>
    <row r="771" spans="1:11" ht="25.5" x14ac:dyDescent="0.25">
      <c r="A771" s="22">
        <v>2026</v>
      </c>
      <c r="B771" s="28" t="s">
        <v>167</v>
      </c>
      <c r="C771" s="28" t="s">
        <v>97</v>
      </c>
      <c r="D771" s="28" t="s">
        <v>545</v>
      </c>
      <c r="E771" s="29" t="s">
        <v>583</v>
      </c>
      <c r="F771" s="29" t="s">
        <v>284</v>
      </c>
      <c r="G771" s="25" t="s">
        <v>2557</v>
      </c>
      <c r="H771" s="26">
        <v>-0.11763384</v>
      </c>
      <c r="I771" s="26"/>
      <c r="J771" s="26" t="s">
        <v>512</v>
      </c>
      <c r="K771" s="25" t="s">
        <v>513</v>
      </c>
    </row>
    <row r="772" spans="1:11" ht="25.5" x14ac:dyDescent="0.25">
      <c r="A772" s="22">
        <v>2026</v>
      </c>
      <c r="B772" s="28" t="s">
        <v>167</v>
      </c>
      <c r="C772" s="28" t="s">
        <v>97</v>
      </c>
      <c r="D772" s="28" t="s">
        <v>545</v>
      </c>
      <c r="E772" s="29" t="s">
        <v>583</v>
      </c>
      <c r="F772" s="29" t="s">
        <v>284</v>
      </c>
      <c r="G772" s="25" t="s">
        <v>2558</v>
      </c>
      <c r="H772" s="26">
        <v>-9.4725000000000004E-2</v>
      </c>
      <c r="I772" s="26"/>
      <c r="J772" s="26" t="s">
        <v>512</v>
      </c>
      <c r="K772" s="25" t="s">
        <v>513</v>
      </c>
    </row>
    <row r="773" spans="1:11" ht="25.5" x14ac:dyDescent="0.25">
      <c r="A773" s="22">
        <v>2026</v>
      </c>
      <c r="B773" s="28" t="s">
        <v>167</v>
      </c>
      <c r="C773" s="28" t="s">
        <v>97</v>
      </c>
      <c r="D773" s="28" t="s">
        <v>545</v>
      </c>
      <c r="E773" s="29" t="s">
        <v>583</v>
      </c>
      <c r="F773" s="29" t="s">
        <v>284</v>
      </c>
      <c r="G773" s="25" t="s">
        <v>2559</v>
      </c>
      <c r="H773" s="26">
        <v>-0.56979000000000002</v>
      </c>
      <c r="I773" s="26"/>
      <c r="J773" s="26" t="s">
        <v>512</v>
      </c>
      <c r="K773" s="25" t="s">
        <v>513</v>
      </c>
    </row>
    <row r="774" spans="1:11" ht="25.5" x14ac:dyDescent="0.25">
      <c r="A774" s="22">
        <v>2026</v>
      </c>
      <c r="B774" s="28" t="s">
        <v>167</v>
      </c>
      <c r="C774" s="28" t="s">
        <v>97</v>
      </c>
      <c r="D774" s="28" t="s">
        <v>545</v>
      </c>
      <c r="E774" s="29" t="s">
        <v>583</v>
      </c>
      <c r="F774" s="29" t="s">
        <v>284</v>
      </c>
      <c r="G774" s="25" t="s">
        <v>2560</v>
      </c>
      <c r="H774" s="26">
        <v>-1.3282499999999999</v>
      </c>
      <c r="I774" s="26"/>
      <c r="J774" s="26" t="s">
        <v>512</v>
      </c>
      <c r="K774" s="25" t="s">
        <v>513</v>
      </c>
    </row>
    <row r="775" spans="1:11" ht="25.5" x14ac:dyDescent="0.25">
      <c r="A775" s="22">
        <v>2026</v>
      </c>
      <c r="B775" s="28" t="s">
        <v>167</v>
      </c>
      <c r="C775" s="28" t="s">
        <v>97</v>
      </c>
      <c r="D775" s="28" t="s">
        <v>545</v>
      </c>
      <c r="E775" s="29" t="s">
        <v>583</v>
      </c>
      <c r="F775" s="29" t="s">
        <v>284</v>
      </c>
      <c r="G775" s="25" t="s">
        <v>2561</v>
      </c>
      <c r="H775" s="26">
        <v>-0.28799999999999998</v>
      </c>
      <c r="I775" s="26"/>
      <c r="J775" s="26" t="s">
        <v>512</v>
      </c>
      <c r="K775" s="25" t="s">
        <v>513</v>
      </c>
    </row>
    <row r="776" spans="1:11" ht="25.5" x14ac:dyDescent="0.25">
      <c r="A776" s="22">
        <v>2026</v>
      </c>
      <c r="B776" s="28" t="s">
        <v>167</v>
      </c>
      <c r="C776" s="28" t="s">
        <v>97</v>
      </c>
      <c r="D776" s="28" t="s">
        <v>545</v>
      </c>
      <c r="E776" s="29" t="s">
        <v>583</v>
      </c>
      <c r="F776" s="29" t="s">
        <v>284</v>
      </c>
      <c r="G776" s="25" t="s">
        <v>2562</v>
      </c>
      <c r="H776" s="26">
        <v>-1.1477489999999999</v>
      </c>
      <c r="I776" s="26"/>
      <c r="J776" s="26" t="s">
        <v>512</v>
      </c>
      <c r="K776" s="25" t="s">
        <v>513</v>
      </c>
    </row>
    <row r="777" spans="1:11" ht="25.5" x14ac:dyDescent="0.25">
      <c r="A777" s="22">
        <v>2026</v>
      </c>
      <c r="B777" s="28" t="s">
        <v>167</v>
      </c>
      <c r="C777" s="28" t="s">
        <v>97</v>
      </c>
      <c r="D777" s="28" t="s">
        <v>545</v>
      </c>
      <c r="E777" s="29" t="s">
        <v>583</v>
      </c>
      <c r="F777" s="29" t="s">
        <v>284</v>
      </c>
      <c r="G777" s="25" t="s">
        <v>2563</v>
      </c>
      <c r="H777" s="26">
        <v>-0.57569999999999999</v>
      </c>
      <c r="I777" s="26"/>
      <c r="J777" s="26" t="s">
        <v>512</v>
      </c>
      <c r="K777" s="25" t="s">
        <v>513</v>
      </c>
    </row>
    <row r="778" spans="1:11" ht="25.5" x14ac:dyDescent="0.25">
      <c r="A778" s="22">
        <v>2026</v>
      </c>
      <c r="B778" s="28" t="s">
        <v>167</v>
      </c>
      <c r="C778" s="28" t="s">
        <v>97</v>
      </c>
      <c r="D778" s="28" t="s">
        <v>545</v>
      </c>
      <c r="E778" s="29" t="s">
        <v>583</v>
      </c>
      <c r="F778" s="29" t="s">
        <v>284</v>
      </c>
      <c r="G778" s="25" t="s">
        <v>2564</v>
      </c>
      <c r="H778" s="26">
        <v>-0.192</v>
      </c>
      <c r="I778" s="26"/>
      <c r="J778" s="26" t="s">
        <v>512</v>
      </c>
      <c r="K778" s="25" t="s">
        <v>513</v>
      </c>
    </row>
    <row r="779" spans="1:11" ht="25.5" x14ac:dyDescent="0.25">
      <c r="A779" s="22">
        <v>2026</v>
      </c>
      <c r="B779" s="28" t="s">
        <v>167</v>
      </c>
      <c r="C779" s="28" t="s">
        <v>97</v>
      </c>
      <c r="D779" s="28" t="s">
        <v>545</v>
      </c>
      <c r="E779" s="29" t="s">
        <v>583</v>
      </c>
      <c r="F779" s="29" t="s">
        <v>284</v>
      </c>
      <c r="G779" s="25" t="s">
        <v>2565</v>
      </c>
      <c r="H779" s="26">
        <v>-0.57411000000000001</v>
      </c>
      <c r="I779" s="26"/>
      <c r="J779" s="26" t="s">
        <v>512</v>
      </c>
      <c r="K779" s="25" t="s">
        <v>513</v>
      </c>
    </row>
    <row r="780" spans="1:11" ht="25.5" x14ac:dyDescent="0.25">
      <c r="A780" s="22">
        <v>2026</v>
      </c>
      <c r="B780" s="28" t="s">
        <v>167</v>
      </c>
      <c r="C780" s="28" t="s">
        <v>97</v>
      </c>
      <c r="D780" s="28" t="s">
        <v>545</v>
      </c>
      <c r="E780" s="29" t="s">
        <v>583</v>
      </c>
      <c r="F780" s="29" t="s">
        <v>284</v>
      </c>
      <c r="G780" s="25" t="s">
        <v>2566</v>
      </c>
      <c r="H780" s="26">
        <v>-0.57825000000000004</v>
      </c>
      <c r="I780" s="26"/>
      <c r="J780" s="26" t="s">
        <v>512</v>
      </c>
      <c r="K780" s="25" t="s">
        <v>513</v>
      </c>
    </row>
    <row r="781" spans="1:11" ht="25.5" x14ac:dyDescent="0.25">
      <c r="A781" s="22">
        <v>2026</v>
      </c>
      <c r="B781" s="28" t="s">
        <v>167</v>
      </c>
      <c r="C781" s="28" t="s">
        <v>97</v>
      </c>
      <c r="D781" s="28" t="s">
        <v>545</v>
      </c>
      <c r="E781" s="29" t="s">
        <v>583</v>
      </c>
      <c r="F781" s="29" t="s">
        <v>284</v>
      </c>
      <c r="G781" s="25" t="s">
        <v>2567</v>
      </c>
      <c r="H781" s="26">
        <v>-0.58162499999999995</v>
      </c>
      <c r="I781" s="26"/>
      <c r="J781" s="26" t="s">
        <v>512</v>
      </c>
      <c r="K781" s="25" t="s">
        <v>513</v>
      </c>
    </row>
    <row r="782" spans="1:11" ht="25.5" x14ac:dyDescent="0.25">
      <c r="A782" s="22">
        <v>2026</v>
      </c>
      <c r="B782" s="28" t="s">
        <v>167</v>
      </c>
      <c r="C782" s="28" t="s">
        <v>97</v>
      </c>
      <c r="D782" s="28" t="s">
        <v>545</v>
      </c>
      <c r="E782" s="29" t="s">
        <v>583</v>
      </c>
      <c r="F782" s="29" t="s">
        <v>284</v>
      </c>
      <c r="G782" s="25" t="s">
        <v>2568</v>
      </c>
      <c r="H782" s="26">
        <v>-0.38900000000000001</v>
      </c>
      <c r="I782" s="26"/>
      <c r="J782" s="26" t="s">
        <v>512</v>
      </c>
      <c r="K782" s="25" t="s">
        <v>513</v>
      </c>
    </row>
    <row r="783" spans="1:11" ht="25.5" x14ac:dyDescent="0.25">
      <c r="A783" s="22">
        <v>2026</v>
      </c>
      <c r="B783" s="28" t="s">
        <v>167</v>
      </c>
      <c r="C783" s="28" t="s">
        <v>97</v>
      </c>
      <c r="D783" s="28" t="s">
        <v>545</v>
      </c>
      <c r="E783" s="29" t="s">
        <v>583</v>
      </c>
      <c r="F783" s="29" t="s">
        <v>284</v>
      </c>
      <c r="G783" s="25" t="s">
        <v>2569</v>
      </c>
      <c r="H783" s="26">
        <v>-0.19325000000000001</v>
      </c>
      <c r="I783" s="26"/>
      <c r="J783" s="26" t="s">
        <v>512</v>
      </c>
      <c r="K783" s="25" t="s">
        <v>513</v>
      </c>
    </row>
    <row r="784" spans="1:11" ht="25.5" x14ac:dyDescent="0.25">
      <c r="A784" s="22">
        <v>2026</v>
      </c>
      <c r="B784" s="28" t="s">
        <v>167</v>
      </c>
      <c r="C784" s="28" t="s">
        <v>97</v>
      </c>
      <c r="D784" s="28" t="s">
        <v>545</v>
      </c>
      <c r="E784" s="29" t="s">
        <v>583</v>
      </c>
      <c r="F784" s="29" t="s">
        <v>284</v>
      </c>
      <c r="G784" s="25" t="s">
        <v>2570</v>
      </c>
      <c r="H784" s="26">
        <v>-0.38350000000000001</v>
      </c>
      <c r="I784" s="26"/>
      <c r="J784" s="26" t="s">
        <v>512</v>
      </c>
      <c r="K784" s="25" t="s">
        <v>513</v>
      </c>
    </row>
    <row r="785" spans="1:11" ht="25.5" x14ac:dyDescent="0.25">
      <c r="A785" s="22">
        <v>2026</v>
      </c>
      <c r="B785" s="28" t="s">
        <v>167</v>
      </c>
      <c r="C785" s="28" t="s">
        <v>97</v>
      </c>
      <c r="D785" s="28" t="s">
        <v>545</v>
      </c>
      <c r="E785" s="29" t="s">
        <v>583</v>
      </c>
      <c r="F785" s="29" t="s">
        <v>284</v>
      </c>
      <c r="G785" s="25" t="s">
        <v>2571</v>
      </c>
      <c r="H785" s="26">
        <v>-0.57349499999999998</v>
      </c>
      <c r="I785" s="26"/>
      <c r="J785" s="26" t="s">
        <v>512</v>
      </c>
      <c r="K785" s="25" t="s">
        <v>513</v>
      </c>
    </row>
    <row r="786" spans="1:11" ht="25.5" x14ac:dyDescent="0.25">
      <c r="A786" s="22">
        <v>2026</v>
      </c>
      <c r="B786" s="28" t="s">
        <v>167</v>
      </c>
      <c r="C786" s="28" t="s">
        <v>97</v>
      </c>
      <c r="D786" s="28" t="s">
        <v>545</v>
      </c>
      <c r="E786" s="29" t="s">
        <v>583</v>
      </c>
      <c r="F786" s="29" t="s">
        <v>284</v>
      </c>
      <c r="G786" s="25" t="s">
        <v>2572</v>
      </c>
      <c r="H786" s="26">
        <v>-0.45495619127000003</v>
      </c>
      <c r="I786" s="26"/>
      <c r="J786" s="26" t="s">
        <v>512</v>
      </c>
      <c r="K786" s="25" t="s">
        <v>513</v>
      </c>
    </row>
    <row r="787" spans="1:11" ht="25.5" x14ac:dyDescent="0.25">
      <c r="A787" s="22">
        <v>2026</v>
      </c>
      <c r="B787" s="28" t="s">
        <v>167</v>
      </c>
      <c r="C787" s="28" t="s">
        <v>97</v>
      </c>
      <c r="D787" s="28" t="s">
        <v>545</v>
      </c>
      <c r="E787" s="29" t="s">
        <v>583</v>
      </c>
      <c r="F787" s="29" t="s">
        <v>284</v>
      </c>
      <c r="G787" s="25" t="s">
        <v>2573</v>
      </c>
      <c r="H787" s="26">
        <v>-0.30295258685999998</v>
      </c>
      <c r="I787" s="26"/>
      <c r="J787" s="26" t="s">
        <v>512</v>
      </c>
      <c r="K787" s="25" t="s">
        <v>513</v>
      </c>
    </row>
    <row r="788" spans="1:11" ht="25.5" x14ac:dyDescent="0.25">
      <c r="A788" s="22">
        <v>2026</v>
      </c>
      <c r="B788" s="28" t="s">
        <v>167</v>
      </c>
      <c r="C788" s="28" t="s">
        <v>97</v>
      </c>
      <c r="D788" s="28" t="s">
        <v>1744</v>
      </c>
      <c r="E788" s="29" t="s">
        <v>1776</v>
      </c>
      <c r="F788" s="29" t="s">
        <v>284</v>
      </c>
      <c r="G788" s="25" t="s">
        <v>2574</v>
      </c>
      <c r="H788" s="26">
        <v>-0.90982941361659508</v>
      </c>
      <c r="I788" s="26"/>
      <c r="J788" s="26" t="s">
        <v>514</v>
      </c>
      <c r="K788" s="25" t="s">
        <v>513</v>
      </c>
    </row>
    <row r="789" spans="1:11" ht="25.5" x14ac:dyDescent="0.25">
      <c r="A789" s="22">
        <v>2026</v>
      </c>
      <c r="B789" s="28" t="s">
        <v>167</v>
      </c>
      <c r="C789" s="28" t="s">
        <v>97</v>
      </c>
      <c r="D789" s="28" t="s">
        <v>1744</v>
      </c>
      <c r="E789" s="29" t="s">
        <v>1776</v>
      </c>
      <c r="F789" s="29" t="s">
        <v>284</v>
      </c>
      <c r="G789" s="25" t="s">
        <v>2575</v>
      </c>
      <c r="H789" s="26">
        <v>-0.32952985598010903</v>
      </c>
      <c r="I789" s="26"/>
      <c r="J789" s="26" t="s">
        <v>514</v>
      </c>
      <c r="K789" s="25" t="s">
        <v>513</v>
      </c>
    </row>
    <row r="790" spans="1:11" ht="25.5" x14ac:dyDescent="0.25">
      <c r="A790" s="22">
        <v>2026</v>
      </c>
      <c r="B790" s="28" t="s">
        <v>167</v>
      </c>
      <c r="C790" s="28" t="s">
        <v>97</v>
      </c>
      <c r="D790" s="28" t="s">
        <v>1744</v>
      </c>
      <c r="E790" s="29" t="s">
        <v>1776</v>
      </c>
      <c r="F790" s="29" t="s">
        <v>284</v>
      </c>
      <c r="G790" s="25" t="s">
        <v>2576</v>
      </c>
      <c r="H790" s="26">
        <v>-0.2270621832719795</v>
      </c>
      <c r="I790" s="26"/>
      <c r="J790" s="26" t="s">
        <v>514</v>
      </c>
      <c r="K790" s="25" t="s">
        <v>513</v>
      </c>
    </row>
    <row r="791" spans="1:11" ht="25.5" x14ac:dyDescent="0.25">
      <c r="A791" s="22">
        <v>2026</v>
      </c>
      <c r="B791" s="28" t="s">
        <v>167</v>
      </c>
      <c r="C791" s="28" t="s">
        <v>97</v>
      </c>
      <c r="D791" s="28" t="s">
        <v>1744</v>
      </c>
      <c r="E791" s="29" t="s">
        <v>1776</v>
      </c>
      <c r="F791" s="29" t="s">
        <v>284</v>
      </c>
      <c r="G791" s="25" t="s">
        <v>2577</v>
      </c>
      <c r="H791" s="26">
        <v>-0.45254126654244903</v>
      </c>
      <c r="I791" s="26"/>
      <c r="J791" s="26" t="s">
        <v>514</v>
      </c>
      <c r="K791" s="25" t="s">
        <v>513</v>
      </c>
    </row>
    <row r="792" spans="1:11" ht="25.5" x14ac:dyDescent="0.25">
      <c r="A792" s="22">
        <v>2026</v>
      </c>
      <c r="B792" s="28" t="s">
        <v>167</v>
      </c>
      <c r="C792" s="28" t="s">
        <v>97</v>
      </c>
      <c r="D792" s="28" t="s">
        <v>1744</v>
      </c>
      <c r="E792" s="29" t="s">
        <v>1776</v>
      </c>
      <c r="F792" s="29" t="s">
        <v>284</v>
      </c>
      <c r="G792" s="25" t="s">
        <v>2578</v>
      </c>
      <c r="H792" s="26">
        <v>-0.22403888411709949</v>
      </c>
      <c r="I792" s="26"/>
      <c r="J792" s="26" t="s">
        <v>514</v>
      </c>
      <c r="K792" s="25" t="s">
        <v>513</v>
      </c>
    </row>
    <row r="793" spans="1:11" ht="25.5" x14ac:dyDescent="0.25">
      <c r="A793" s="22">
        <v>2026</v>
      </c>
      <c r="B793" s="28" t="s">
        <v>167</v>
      </c>
      <c r="C793" s="28" t="s">
        <v>97</v>
      </c>
      <c r="D793" s="28" t="s">
        <v>1745</v>
      </c>
      <c r="E793" s="29" t="s">
        <v>1777</v>
      </c>
      <c r="F793" s="29" t="s">
        <v>284</v>
      </c>
      <c r="G793" s="25" t="s">
        <v>2579</v>
      </c>
      <c r="H793" s="26">
        <v>-6.3E-2</v>
      </c>
      <c r="I793" s="26"/>
      <c r="J793" s="26" t="s">
        <v>512</v>
      </c>
      <c r="K793" s="25" t="s">
        <v>513</v>
      </c>
    </row>
    <row r="794" spans="1:11" ht="25.5" x14ac:dyDescent="0.25">
      <c r="A794" s="22">
        <v>2026</v>
      </c>
      <c r="B794" s="28" t="s">
        <v>167</v>
      </c>
      <c r="C794" s="28" t="s">
        <v>97</v>
      </c>
      <c r="D794" s="28" t="s">
        <v>1745</v>
      </c>
      <c r="E794" s="29" t="s">
        <v>1777</v>
      </c>
      <c r="F794" s="29" t="s">
        <v>284</v>
      </c>
      <c r="G794" s="25" t="s">
        <v>2579</v>
      </c>
      <c r="H794" s="26">
        <v>-6.3E-2</v>
      </c>
      <c r="I794" s="26"/>
      <c r="J794" s="26" t="s">
        <v>512</v>
      </c>
      <c r="K794" s="25" t="s">
        <v>513</v>
      </c>
    </row>
    <row r="795" spans="1:11" ht="25.5" x14ac:dyDescent="0.25">
      <c r="A795" s="22">
        <v>2026</v>
      </c>
      <c r="B795" s="28" t="s">
        <v>167</v>
      </c>
      <c r="C795" s="28" t="s">
        <v>97</v>
      </c>
      <c r="D795" s="28" t="s">
        <v>1745</v>
      </c>
      <c r="E795" s="29" t="s">
        <v>1777</v>
      </c>
      <c r="F795" s="29" t="s">
        <v>284</v>
      </c>
      <c r="G795" s="25" t="s">
        <v>2580</v>
      </c>
      <c r="H795" s="26">
        <v>-6.2836199999999995E-2</v>
      </c>
      <c r="I795" s="26"/>
      <c r="J795" s="26" t="s">
        <v>512</v>
      </c>
      <c r="K795" s="25" t="s">
        <v>513</v>
      </c>
    </row>
    <row r="796" spans="1:11" ht="25.5" x14ac:dyDescent="0.25">
      <c r="A796" s="22">
        <v>2026</v>
      </c>
      <c r="B796" s="28" t="s">
        <v>167</v>
      </c>
      <c r="C796" s="28" t="s">
        <v>97</v>
      </c>
      <c r="D796" s="28" t="s">
        <v>1745</v>
      </c>
      <c r="E796" s="29" t="s">
        <v>1777</v>
      </c>
      <c r="F796" s="29" t="s">
        <v>284</v>
      </c>
      <c r="G796" s="25" t="s">
        <v>2581</v>
      </c>
      <c r="H796" s="26">
        <v>-0.31395499999999998</v>
      </c>
      <c r="I796" s="26"/>
      <c r="J796" s="26" t="s">
        <v>512</v>
      </c>
      <c r="K796" s="25" t="s">
        <v>513</v>
      </c>
    </row>
    <row r="797" spans="1:11" ht="25.5" x14ac:dyDescent="0.25">
      <c r="A797" s="22">
        <v>2026</v>
      </c>
      <c r="B797" s="28" t="s">
        <v>167</v>
      </c>
      <c r="C797" s="28" t="s">
        <v>97</v>
      </c>
      <c r="D797" s="28" t="s">
        <v>1745</v>
      </c>
      <c r="E797" s="29" t="s">
        <v>1777</v>
      </c>
      <c r="F797" s="29" t="s">
        <v>284</v>
      </c>
      <c r="G797" s="25" t="s">
        <v>2582</v>
      </c>
      <c r="H797" s="26">
        <v>-0.1575</v>
      </c>
      <c r="I797" s="26"/>
      <c r="J797" s="26" t="s">
        <v>512</v>
      </c>
      <c r="K797" s="25" t="s">
        <v>513</v>
      </c>
    </row>
    <row r="798" spans="1:11" ht="25.5" x14ac:dyDescent="0.25">
      <c r="A798" s="22">
        <v>2026</v>
      </c>
      <c r="B798" s="28" t="s">
        <v>167</v>
      </c>
      <c r="C798" s="28" t="s">
        <v>97</v>
      </c>
      <c r="D798" s="28" t="s">
        <v>1745</v>
      </c>
      <c r="E798" s="29" t="s">
        <v>1777</v>
      </c>
      <c r="F798" s="29" t="s">
        <v>284</v>
      </c>
      <c r="G798" s="25" t="s">
        <v>2583</v>
      </c>
      <c r="H798" s="26">
        <v>-0.62819999999999998</v>
      </c>
      <c r="I798" s="26"/>
      <c r="J798" s="26" t="s">
        <v>512</v>
      </c>
      <c r="K798" s="25" t="s">
        <v>513</v>
      </c>
    </row>
    <row r="799" spans="1:11" ht="25.5" x14ac:dyDescent="0.25">
      <c r="A799" s="22">
        <v>2026</v>
      </c>
      <c r="B799" s="28" t="s">
        <v>167</v>
      </c>
      <c r="C799" s="28" t="s">
        <v>97</v>
      </c>
      <c r="D799" s="28" t="s">
        <v>1745</v>
      </c>
      <c r="E799" s="29" t="s">
        <v>1777</v>
      </c>
      <c r="F799" s="29" t="s">
        <v>284</v>
      </c>
      <c r="G799" s="25" t="s">
        <v>2584</v>
      </c>
      <c r="H799" s="26">
        <v>-0.3125</v>
      </c>
      <c r="I799" s="26"/>
      <c r="J799" s="26" t="s">
        <v>512</v>
      </c>
      <c r="K799" s="25" t="s">
        <v>513</v>
      </c>
    </row>
    <row r="800" spans="1:11" ht="25.5" x14ac:dyDescent="0.25">
      <c r="A800" s="22">
        <v>2026</v>
      </c>
      <c r="B800" s="28" t="s">
        <v>167</v>
      </c>
      <c r="C800" s="28" t="s">
        <v>97</v>
      </c>
      <c r="D800" s="28" t="s">
        <v>1745</v>
      </c>
      <c r="E800" s="29" t="s">
        <v>1777</v>
      </c>
      <c r="F800" s="29" t="s">
        <v>284</v>
      </c>
      <c r="G800" s="25" t="s">
        <v>2585</v>
      </c>
      <c r="H800" s="26">
        <v>-0.308</v>
      </c>
      <c r="I800" s="26"/>
      <c r="J800" s="26" t="s">
        <v>512</v>
      </c>
      <c r="K800" s="25" t="s">
        <v>513</v>
      </c>
    </row>
    <row r="801" spans="1:11" ht="25.5" x14ac:dyDescent="0.25">
      <c r="A801" s="22">
        <v>2026</v>
      </c>
      <c r="B801" s="28" t="s">
        <v>167</v>
      </c>
      <c r="C801" s="28" t="s">
        <v>97</v>
      </c>
      <c r="D801" s="28" t="s">
        <v>1745</v>
      </c>
      <c r="E801" s="29" t="s">
        <v>1777</v>
      </c>
      <c r="F801" s="29" t="s">
        <v>284</v>
      </c>
      <c r="G801" s="25" t="s">
        <v>2586</v>
      </c>
      <c r="H801" s="26">
        <v>-0.30680000000000002</v>
      </c>
      <c r="I801" s="26"/>
      <c r="J801" s="26" t="s">
        <v>512</v>
      </c>
      <c r="K801" s="25" t="s">
        <v>513</v>
      </c>
    </row>
    <row r="802" spans="1:11" ht="25.5" x14ac:dyDescent="0.25">
      <c r="A802" s="22">
        <v>2026</v>
      </c>
      <c r="B802" s="28" t="s">
        <v>167</v>
      </c>
      <c r="C802" s="28" t="s">
        <v>97</v>
      </c>
      <c r="D802" s="28" t="s">
        <v>1745</v>
      </c>
      <c r="E802" s="29" t="s">
        <v>1777</v>
      </c>
      <c r="F802" s="29" t="s">
        <v>284</v>
      </c>
      <c r="G802" s="25" t="s">
        <v>2587</v>
      </c>
      <c r="H802" s="26">
        <v>-0.25</v>
      </c>
      <c r="I802" s="26"/>
      <c r="J802" s="26" t="s">
        <v>512</v>
      </c>
      <c r="K802" s="25" t="s">
        <v>513</v>
      </c>
    </row>
    <row r="803" spans="1:11" ht="25.5" x14ac:dyDescent="0.25">
      <c r="A803" s="22">
        <v>2026</v>
      </c>
      <c r="B803" s="28" t="s">
        <v>167</v>
      </c>
      <c r="C803" s="28" t="s">
        <v>97</v>
      </c>
      <c r="D803" s="28" t="s">
        <v>1745</v>
      </c>
      <c r="E803" s="29" t="s">
        <v>1777</v>
      </c>
      <c r="F803" s="29" t="s">
        <v>284</v>
      </c>
      <c r="G803" s="25" t="s">
        <v>2588</v>
      </c>
      <c r="H803" s="26">
        <v>-0.30982199999999999</v>
      </c>
      <c r="I803" s="26"/>
      <c r="J803" s="26" t="s">
        <v>512</v>
      </c>
      <c r="K803" s="25" t="s">
        <v>513</v>
      </c>
    </row>
    <row r="804" spans="1:11" ht="25.5" x14ac:dyDescent="0.25">
      <c r="A804" s="22">
        <v>2026</v>
      </c>
      <c r="B804" s="28" t="s">
        <v>167</v>
      </c>
      <c r="C804" s="28" t="s">
        <v>97</v>
      </c>
      <c r="D804" s="28" t="s">
        <v>1746</v>
      </c>
      <c r="E804" s="29" t="s">
        <v>1778</v>
      </c>
      <c r="F804" s="29" t="s">
        <v>1274</v>
      </c>
      <c r="G804" s="25" t="s">
        <v>2589</v>
      </c>
      <c r="H804" s="26">
        <v>-0.71263811519999998</v>
      </c>
      <c r="I804" s="26"/>
      <c r="J804" s="26" t="s">
        <v>514</v>
      </c>
      <c r="K804" s="25" t="s">
        <v>513</v>
      </c>
    </row>
    <row r="805" spans="1:11" ht="25.5" x14ac:dyDescent="0.25">
      <c r="A805" s="22">
        <v>2026</v>
      </c>
      <c r="B805" s="28" t="s">
        <v>167</v>
      </c>
      <c r="C805" s="28" t="s">
        <v>97</v>
      </c>
      <c r="D805" s="28" t="s">
        <v>1746</v>
      </c>
      <c r="E805" s="29" t="s">
        <v>1778</v>
      </c>
      <c r="F805" s="29" t="s">
        <v>1274</v>
      </c>
      <c r="G805" s="25" t="s">
        <v>2590</v>
      </c>
      <c r="H805" s="26">
        <v>-0.71412235859999995</v>
      </c>
      <c r="I805" s="26"/>
      <c r="J805" s="26" t="s">
        <v>514</v>
      </c>
      <c r="K805" s="25" t="s">
        <v>513</v>
      </c>
    </row>
    <row r="806" spans="1:11" ht="25.5" x14ac:dyDescent="0.25">
      <c r="A806" s="22">
        <v>2026</v>
      </c>
      <c r="B806" s="28" t="s">
        <v>167</v>
      </c>
      <c r="C806" s="28" t="s">
        <v>97</v>
      </c>
      <c r="D806" s="28" t="s">
        <v>1746</v>
      </c>
      <c r="E806" s="29" t="s">
        <v>1778</v>
      </c>
      <c r="F806" s="29" t="s">
        <v>1274</v>
      </c>
      <c r="G806" s="25" t="s">
        <v>2591</v>
      </c>
      <c r="H806" s="26">
        <v>-0.70067941919999999</v>
      </c>
      <c r="I806" s="26"/>
      <c r="J806" s="26" t="s">
        <v>514</v>
      </c>
      <c r="K806" s="25" t="s">
        <v>513</v>
      </c>
    </row>
    <row r="807" spans="1:11" ht="25.5" x14ac:dyDescent="0.25">
      <c r="A807" s="22">
        <v>2026</v>
      </c>
      <c r="B807" s="28" t="s">
        <v>167</v>
      </c>
      <c r="C807" s="28" t="s">
        <v>97</v>
      </c>
      <c r="D807" s="28" t="s">
        <v>1746</v>
      </c>
      <c r="E807" s="29" t="s">
        <v>1778</v>
      </c>
      <c r="F807" s="29" t="s">
        <v>1274</v>
      </c>
      <c r="G807" s="25" t="s">
        <v>2592</v>
      </c>
      <c r="H807" s="26">
        <v>-0.68445694619999997</v>
      </c>
      <c r="I807" s="26"/>
      <c r="J807" s="26" t="s">
        <v>514</v>
      </c>
      <c r="K807" s="25" t="s">
        <v>513</v>
      </c>
    </row>
    <row r="808" spans="1:11" ht="25.5" x14ac:dyDescent="0.25">
      <c r="A808" s="22">
        <v>2026</v>
      </c>
      <c r="B808" s="28" t="s">
        <v>167</v>
      </c>
      <c r="C808" s="28" t="s">
        <v>97</v>
      </c>
      <c r="D808" s="28" t="s">
        <v>1746</v>
      </c>
      <c r="E808" s="29" t="s">
        <v>1778</v>
      </c>
      <c r="F808" s="29" t="s">
        <v>1274</v>
      </c>
      <c r="G808" s="25" t="s">
        <v>2593</v>
      </c>
      <c r="H808" s="26">
        <v>-0.67692664450000006</v>
      </c>
      <c r="I808" s="26"/>
      <c r="J808" s="26" t="s">
        <v>514</v>
      </c>
      <c r="K808" s="25" t="s">
        <v>513</v>
      </c>
    </row>
    <row r="809" spans="1:11" ht="25.5" x14ac:dyDescent="0.25">
      <c r="A809" s="22">
        <v>2026</v>
      </c>
      <c r="B809" s="28" t="s">
        <v>167</v>
      </c>
      <c r="C809" s="28" t="s">
        <v>97</v>
      </c>
      <c r="D809" s="28" t="s">
        <v>1746</v>
      </c>
      <c r="E809" s="29" t="s">
        <v>1778</v>
      </c>
      <c r="F809" s="29" t="s">
        <v>1274</v>
      </c>
      <c r="G809" s="25" t="s">
        <v>2594</v>
      </c>
      <c r="H809" s="26">
        <v>-0.68456035829999995</v>
      </c>
      <c r="I809" s="26"/>
      <c r="J809" s="26" t="s">
        <v>514</v>
      </c>
      <c r="K809" s="25" t="s">
        <v>513</v>
      </c>
    </row>
    <row r="810" spans="1:11" ht="25.5" x14ac:dyDescent="0.25">
      <c r="A810" s="22">
        <v>2026</v>
      </c>
      <c r="B810" s="28" t="s">
        <v>167</v>
      </c>
      <c r="C810" s="28" t="s">
        <v>97</v>
      </c>
      <c r="D810" s="28" t="s">
        <v>1746</v>
      </c>
      <c r="E810" s="29" t="s">
        <v>1778</v>
      </c>
      <c r="F810" s="29" t="s">
        <v>1274</v>
      </c>
      <c r="G810" s="25" t="s">
        <v>2595</v>
      </c>
      <c r="H810" s="26">
        <v>-0.69837840549999997</v>
      </c>
      <c r="I810" s="26"/>
      <c r="J810" s="26" t="s">
        <v>514</v>
      </c>
      <c r="K810" s="25" t="s">
        <v>513</v>
      </c>
    </row>
    <row r="811" spans="1:11" ht="25.5" x14ac:dyDescent="0.25">
      <c r="A811" s="22">
        <v>2026</v>
      </c>
      <c r="B811" s="28" t="s">
        <v>167</v>
      </c>
      <c r="C811" s="28" t="s">
        <v>97</v>
      </c>
      <c r="D811" s="28" t="s">
        <v>1746</v>
      </c>
      <c r="E811" s="29" t="s">
        <v>1778</v>
      </c>
      <c r="F811" s="29" t="s">
        <v>1274</v>
      </c>
      <c r="G811" s="25" t="s">
        <v>2596</v>
      </c>
      <c r="H811" s="26">
        <v>-0.43118265960000002</v>
      </c>
      <c r="I811" s="26"/>
      <c r="J811" s="26" t="s">
        <v>514</v>
      </c>
      <c r="K811" s="25" t="s">
        <v>513</v>
      </c>
    </row>
    <row r="812" spans="1:11" ht="25.5" x14ac:dyDescent="0.25">
      <c r="A812" s="22">
        <v>2026</v>
      </c>
      <c r="B812" s="28" t="s">
        <v>167</v>
      </c>
      <c r="C812" s="28" t="s">
        <v>97</v>
      </c>
      <c r="D812" s="28" t="s">
        <v>1746</v>
      </c>
      <c r="E812" s="29" t="s">
        <v>1778</v>
      </c>
      <c r="F812" s="29" t="s">
        <v>1274</v>
      </c>
      <c r="G812" s="25" t="s">
        <v>2597</v>
      </c>
      <c r="H812" s="26">
        <v>-0.75211914080000009</v>
      </c>
      <c r="I812" s="26"/>
      <c r="J812" s="26" t="s">
        <v>514</v>
      </c>
      <c r="K812" s="25" t="s">
        <v>513</v>
      </c>
    </row>
    <row r="813" spans="1:11" ht="25.5" x14ac:dyDescent="0.25">
      <c r="A813" s="22">
        <v>2026</v>
      </c>
      <c r="B813" s="28" t="s">
        <v>167</v>
      </c>
      <c r="C813" s="28" t="s">
        <v>97</v>
      </c>
      <c r="D813" s="28" t="s">
        <v>1746</v>
      </c>
      <c r="E813" s="29" t="s">
        <v>1778</v>
      </c>
      <c r="F813" s="29" t="s">
        <v>1274</v>
      </c>
      <c r="G813" s="25" t="s">
        <v>2598</v>
      </c>
      <c r="H813" s="26">
        <v>-0.73622835990000002</v>
      </c>
      <c r="I813" s="26"/>
      <c r="J813" s="26" t="s">
        <v>514</v>
      </c>
      <c r="K813" s="25" t="s">
        <v>513</v>
      </c>
    </row>
    <row r="814" spans="1:11" ht="25.5" x14ac:dyDescent="0.25">
      <c r="A814" s="22">
        <v>2026</v>
      </c>
      <c r="B814" s="28" t="s">
        <v>167</v>
      </c>
      <c r="C814" s="28" t="s">
        <v>97</v>
      </c>
      <c r="D814" s="28" t="s">
        <v>1746</v>
      </c>
      <c r="E814" s="29" t="s">
        <v>1778</v>
      </c>
      <c r="F814" s="29" t="s">
        <v>1274</v>
      </c>
      <c r="G814" s="25" t="s">
        <v>2599</v>
      </c>
      <c r="H814" s="26">
        <v>-0.72160779639999995</v>
      </c>
      <c r="I814" s="26"/>
      <c r="J814" s="26" t="s">
        <v>514</v>
      </c>
      <c r="K814" s="25" t="s">
        <v>513</v>
      </c>
    </row>
    <row r="815" spans="1:11" ht="25.5" x14ac:dyDescent="0.25">
      <c r="A815" s="22">
        <v>2026</v>
      </c>
      <c r="B815" s="28" t="s">
        <v>167</v>
      </c>
      <c r="C815" s="28" t="s">
        <v>97</v>
      </c>
      <c r="D815" s="28" t="s">
        <v>1746</v>
      </c>
      <c r="E815" s="29" t="s">
        <v>1778</v>
      </c>
      <c r="F815" s="29" t="s">
        <v>1274</v>
      </c>
      <c r="G815" s="25" t="s">
        <v>2600</v>
      </c>
      <c r="H815" s="26">
        <v>-0.73645691120000012</v>
      </c>
      <c r="I815" s="26"/>
      <c r="J815" s="26" t="s">
        <v>514</v>
      </c>
      <c r="K815" s="25" t="s">
        <v>513</v>
      </c>
    </row>
    <row r="816" spans="1:11" ht="25.5" x14ac:dyDescent="0.25">
      <c r="A816" s="22">
        <v>2026</v>
      </c>
      <c r="B816" s="28" t="s">
        <v>167</v>
      </c>
      <c r="C816" s="28" t="s">
        <v>97</v>
      </c>
      <c r="D816" s="28" t="s">
        <v>1746</v>
      </c>
      <c r="E816" s="29" t="s">
        <v>1778</v>
      </c>
      <c r="F816" s="29" t="s">
        <v>1274</v>
      </c>
      <c r="G816" s="25" t="s">
        <v>2601</v>
      </c>
      <c r="H816" s="26">
        <v>-0.6941784822</v>
      </c>
      <c r="I816" s="26"/>
      <c r="J816" s="26" t="s">
        <v>514</v>
      </c>
      <c r="K816" s="25" t="s">
        <v>513</v>
      </c>
    </row>
    <row r="817" spans="1:11" ht="25.5" x14ac:dyDescent="0.25">
      <c r="A817" s="22">
        <v>2026</v>
      </c>
      <c r="B817" s="28" t="s">
        <v>167</v>
      </c>
      <c r="C817" s="28" t="s">
        <v>97</v>
      </c>
      <c r="D817" s="28" t="s">
        <v>1746</v>
      </c>
      <c r="E817" s="29" t="s">
        <v>1778</v>
      </c>
      <c r="F817" s="29" t="s">
        <v>1274</v>
      </c>
      <c r="G817" s="25" t="s">
        <v>2602</v>
      </c>
      <c r="H817" s="26">
        <v>-0.72107945280000008</v>
      </c>
      <c r="I817" s="26"/>
      <c r="J817" s="26" t="s">
        <v>514</v>
      </c>
      <c r="K817" s="25" t="s">
        <v>513</v>
      </c>
    </row>
    <row r="818" spans="1:11" ht="25.5" x14ac:dyDescent="0.25">
      <c r="A818" s="22">
        <v>2026</v>
      </c>
      <c r="B818" s="28" t="s">
        <v>167</v>
      </c>
      <c r="C818" s="28" t="s">
        <v>97</v>
      </c>
      <c r="D818" s="28" t="s">
        <v>1746</v>
      </c>
      <c r="E818" s="29" t="s">
        <v>1778</v>
      </c>
      <c r="F818" s="29" t="s">
        <v>1274</v>
      </c>
      <c r="G818" s="25" t="s">
        <v>2603</v>
      </c>
      <c r="H818" s="26">
        <v>-0.70908257999999991</v>
      </c>
      <c r="I818" s="26"/>
      <c r="J818" s="26" t="s">
        <v>514</v>
      </c>
      <c r="K818" s="25" t="s">
        <v>513</v>
      </c>
    </row>
    <row r="819" spans="1:11" ht="25.5" x14ac:dyDescent="0.25">
      <c r="A819" s="22">
        <v>2026</v>
      </c>
      <c r="B819" s="28" t="s">
        <v>167</v>
      </c>
      <c r="C819" s="28" t="s">
        <v>97</v>
      </c>
      <c r="D819" s="28" t="s">
        <v>1746</v>
      </c>
      <c r="E819" s="29" t="s">
        <v>1778</v>
      </c>
      <c r="F819" s="29" t="s">
        <v>1274</v>
      </c>
      <c r="G819" s="25" t="s">
        <v>2604</v>
      </c>
      <c r="H819" s="26">
        <v>-0.70971064560000008</v>
      </c>
      <c r="I819" s="26"/>
      <c r="J819" s="26" t="s">
        <v>514</v>
      </c>
      <c r="K819" s="25" t="s">
        <v>513</v>
      </c>
    </row>
    <row r="820" spans="1:11" ht="25.5" x14ac:dyDescent="0.25">
      <c r="A820" s="22">
        <v>2026</v>
      </c>
      <c r="B820" s="28" t="s">
        <v>167</v>
      </c>
      <c r="C820" s="28" t="s">
        <v>97</v>
      </c>
      <c r="D820" s="28" t="s">
        <v>1746</v>
      </c>
      <c r="E820" s="29" t="s">
        <v>1778</v>
      </c>
      <c r="F820" s="29" t="s">
        <v>1274</v>
      </c>
      <c r="G820" s="25" t="s">
        <v>2605</v>
      </c>
      <c r="H820" s="26">
        <v>-0.7124169240999999</v>
      </c>
      <c r="I820" s="26"/>
      <c r="J820" s="26" t="s">
        <v>514</v>
      </c>
      <c r="K820" s="25" t="s">
        <v>513</v>
      </c>
    </row>
    <row r="821" spans="1:11" ht="25.5" x14ac:dyDescent="0.25">
      <c r="A821" s="22">
        <v>2026</v>
      </c>
      <c r="B821" s="28" t="s">
        <v>167</v>
      </c>
      <c r="C821" s="28" t="s">
        <v>97</v>
      </c>
      <c r="D821" s="28" t="s">
        <v>1746</v>
      </c>
      <c r="E821" s="29" t="s">
        <v>1778</v>
      </c>
      <c r="F821" s="29" t="s">
        <v>1274</v>
      </c>
      <c r="G821" s="25" t="s">
        <v>2606</v>
      </c>
      <c r="H821" s="26">
        <v>-0.76671534299999999</v>
      </c>
      <c r="I821" s="26"/>
      <c r="J821" s="26" t="s">
        <v>514</v>
      </c>
      <c r="K821" s="25" t="s">
        <v>513</v>
      </c>
    </row>
    <row r="822" spans="1:11" ht="25.5" x14ac:dyDescent="0.25">
      <c r="A822" s="22">
        <v>2026</v>
      </c>
      <c r="B822" s="28" t="s">
        <v>167</v>
      </c>
      <c r="C822" s="28" t="s">
        <v>97</v>
      </c>
      <c r="D822" s="28" t="s">
        <v>1746</v>
      </c>
      <c r="E822" s="29" t="s">
        <v>1778</v>
      </c>
      <c r="F822" s="29" t="s">
        <v>1274</v>
      </c>
      <c r="G822" s="25" t="s">
        <v>2607</v>
      </c>
      <c r="H822" s="26">
        <v>-0.77387703120000007</v>
      </c>
      <c r="I822" s="26"/>
      <c r="J822" s="26" t="s">
        <v>514</v>
      </c>
      <c r="K822" s="25" t="s">
        <v>513</v>
      </c>
    </row>
    <row r="823" spans="1:11" ht="25.5" x14ac:dyDescent="0.25">
      <c r="A823" s="22">
        <v>2026</v>
      </c>
      <c r="B823" s="28" t="s">
        <v>167</v>
      </c>
      <c r="C823" s="28" t="s">
        <v>97</v>
      </c>
      <c r="D823" s="28" t="s">
        <v>1746</v>
      </c>
      <c r="E823" s="29" t="s">
        <v>1778</v>
      </c>
      <c r="F823" s="29" t="s">
        <v>1274</v>
      </c>
      <c r="G823" s="25" t="s">
        <v>2608</v>
      </c>
      <c r="H823" s="26">
        <v>-0.77649581279999991</v>
      </c>
      <c r="I823" s="26"/>
      <c r="J823" s="26" t="s">
        <v>514</v>
      </c>
      <c r="K823" s="25" t="s">
        <v>513</v>
      </c>
    </row>
    <row r="824" spans="1:11" ht="25.5" x14ac:dyDescent="0.25">
      <c r="A824" s="22">
        <v>2026</v>
      </c>
      <c r="B824" s="28" t="s">
        <v>167</v>
      </c>
      <c r="C824" s="28" t="s">
        <v>97</v>
      </c>
      <c r="D824" s="28" t="s">
        <v>1746</v>
      </c>
      <c r="E824" s="29" t="s">
        <v>1778</v>
      </c>
      <c r="F824" s="29" t="s">
        <v>1274</v>
      </c>
      <c r="G824" s="25" t="s">
        <v>2609</v>
      </c>
      <c r="H824" s="26">
        <v>-0.81188389119999993</v>
      </c>
      <c r="I824" s="26"/>
      <c r="J824" s="26" t="s">
        <v>514</v>
      </c>
      <c r="K824" s="25" t="s">
        <v>513</v>
      </c>
    </row>
    <row r="825" spans="1:11" ht="25.5" x14ac:dyDescent="0.25">
      <c r="A825" s="22">
        <v>2026</v>
      </c>
      <c r="B825" s="28" t="s">
        <v>167</v>
      </c>
      <c r="C825" s="28" t="s">
        <v>97</v>
      </c>
      <c r="D825" s="28" t="s">
        <v>1748</v>
      </c>
      <c r="E825" s="29" t="s">
        <v>415</v>
      </c>
      <c r="F825" s="29" t="s">
        <v>1759</v>
      </c>
      <c r="G825" s="25" t="s">
        <v>2610</v>
      </c>
      <c r="H825" s="26">
        <v>-0.57354462644999993</v>
      </c>
      <c r="I825" s="26"/>
      <c r="J825" s="26" t="s">
        <v>512</v>
      </c>
      <c r="K825" s="25" t="s">
        <v>513</v>
      </c>
    </row>
    <row r="826" spans="1:11" ht="25.5" x14ac:dyDescent="0.25">
      <c r="A826" s="22">
        <v>2026</v>
      </c>
      <c r="B826" s="28" t="s">
        <v>167</v>
      </c>
      <c r="C826" s="28" t="s">
        <v>97</v>
      </c>
      <c r="D826" s="28" t="s">
        <v>1748</v>
      </c>
      <c r="E826" s="29" t="s">
        <v>415</v>
      </c>
      <c r="F826" s="29" t="s">
        <v>1759</v>
      </c>
      <c r="G826" s="25" t="s">
        <v>2611</v>
      </c>
      <c r="H826" s="26">
        <v>-4.2733169999999996</v>
      </c>
      <c r="I826" s="26"/>
      <c r="J826" s="26" t="s">
        <v>512</v>
      </c>
      <c r="K826" s="25" t="s">
        <v>513</v>
      </c>
    </row>
    <row r="827" spans="1:11" ht="25.5" x14ac:dyDescent="0.25">
      <c r="A827" s="22">
        <v>2026</v>
      </c>
      <c r="B827" s="28" t="s">
        <v>167</v>
      </c>
      <c r="C827" s="28" t="s">
        <v>97</v>
      </c>
      <c r="D827" s="28" t="s">
        <v>1748</v>
      </c>
      <c r="E827" s="29" t="s">
        <v>415</v>
      </c>
      <c r="F827" s="29" t="s">
        <v>1759</v>
      </c>
      <c r="G827" s="25" t="s">
        <v>2612</v>
      </c>
      <c r="H827" s="26">
        <v>-0.17279700000000001</v>
      </c>
      <c r="I827" s="26"/>
      <c r="J827" s="26" t="s">
        <v>512</v>
      </c>
      <c r="K827" s="25" t="s">
        <v>513</v>
      </c>
    </row>
    <row r="828" spans="1:11" ht="25.5" x14ac:dyDescent="0.25">
      <c r="A828" s="22">
        <v>2026</v>
      </c>
      <c r="B828" s="28" t="s">
        <v>167</v>
      </c>
      <c r="C828" s="28" t="s">
        <v>97</v>
      </c>
      <c r="D828" s="28" t="s">
        <v>1748</v>
      </c>
      <c r="E828" s="29" t="s">
        <v>415</v>
      </c>
      <c r="F828" s="29" t="s">
        <v>1759</v>
      </c>
      <c r="G828" s="25" t="s">
        <v>2613</v>
      </c>
      <c r="H828" s="26">
        <v>-1.8029082163999999</v>
      </c>
      <c r="I828" s="26"/>
      <c r="J828" s="26" t="s">
        <v>512</v>
      </c>
      <c r="K828" s="25" t="s">
        <v>513</v>
      </c>
    </row>
    <row r="829" spans="1:11" ht="25.5" x14ac:dyDescent="0.25">
      <c r="A829" s="22">
        <v>2026</v>
      </c>
      <c r="B829" s="28" t="s">
        <v>167</v>
      </c>
      <c r="C829" s="28" t="s">
        <v>97</v>
      </c>
      <c r="D829" s="28" t="s">
        <v>1748</v>
      </c>
      <c r="E829" s="29" t="s">
        <v>415</v>
      </c>
      <c r="F829" s="29" t="s">
        <v>1759</v>
      </c>
      <c r="G829" s="25" t="s">
        <v>2614</v>
      </c>
      <c r="H829" s="26">
        <v>-0.24</v>
      </c>
      <c r="I829" s="26"/>
      <c r="J829" s="26" t="s">
        <v>512</v>
      </c>
      <c r="K829" s="25" t="s">
        <v>513</v>
      </c>
    </row>
    <row r="830" spans="1:11" ht="25.5" x14ac:dyDescent="0.25">
      <c r="A830" s="22">
        <v>2026</v>
      </c>
      <c r="B830" s="28" t="s">
        <v>167</v>
      </c>
      <c r="C830" s="28" t="s">
        <v>97</v>
      </c>
      <c r="D830" s="28" t="s">
        <v>1748</v>
      </c>
      <c r="E830" s="29" t="s">
        <v>415</v>
      </c>
      <c r="F830" s="29" t="s">
        <v>1759</v>
      </c>
      <c r="G830" s="25" t="s">
        <v>2615</v>
      </c>
      <c r="H830" s="26">
        <v>-0.24700000000000003</v>
      </c>
      <c r="I830" s="26"/>
      <c r="J830" s="26" t="s">
        <v>512</v>
      </c>
      <c r="K830" s="25" t="s">
        <v>513</v>
      </c>
    </row>
    <row r="831" spans="1:11" ht="25.5" x14ac:dyDescent="0.25">
      <c r="A831" s="22">
        <v>2026</v>
      </c>
      <c r="B831" s="28" t="s">
        <v>167</v>
      </c>
      <c r="C831" s="28" t="s">
        <v>97</v>
      </c>
      <c r="D831" s="28" t="s">
        <v>536</v>
      </c>
      <c r="E831" s="29" t="s">
        <v>558</v>
      </c>
      <c r="F831" s="29" t="s">
        <v>282</v>
      </c>
      <c r="G831" s="25" t="s">
        <v>2616</v>
      </c>
      <c r="H831" s="26">
        <v>-4.9852800000000003E-2</v>
      </c>
      <c r="I831" s="26"/>
      <c r="J831" s="26" t="s">
        <v>514</v>
      </c>
      <c r="K831" s="25" t="s">
        <v>513</v>
      </c>
    </row>
    <row r="832" spans="1:11" ht="25.5" x14ac:dyDescent="0.25">
      <c r="A832" s="22">
        <v>2026</v>
      </c>
      <c r="B832" s="28" t="s">
        <v>167</v>
      </c>
      <c r="C832" s="28" t="s">
        <v>97</v>
      </c>
      <c r="D832" s="28" t="s">
        <v>536</v>
      </c>
      <c r="E832" s="29" t="s">
        <v>558</v>
      </c>
      <c r="F832" s="29" t="s">
        <v>282</v>
      </c>
      <c r="G832" s="25" t="s">
        <v>2617</v>
      </c>
      <c r="H832" s="26">
        <v>-4.9723199999999995E-2</v>
      </c>
      <c r="I832" s="26"/>
      <c r="J832" s="26" t="s">
        <v>514</v>
      </c>
      <c r="K832" s="25" t="s">
        <v>513</v>
      </c>
    </row>
    <row r="833" spans="1:11" ht="25.5" x14ac:dyDescent="0.25">
      <c r="A833" s="22">
        <v>2026</v>
      </c>
      <c r="B833" s="28" t="s">
        <v>167</v>
      </c>
      <c r="C833" s="28" t="s">
        <v>97</v>
      </c>
      <c r="D833" s="28" t="s">
        <v>536</v>
      </c>
      <c r="E833" s="29" t="s">
        <v>558</v>
      </c>
      <c r="F833" s="29" t="s">
        <v>282</v>
      </c>
      <c r="G833" s="25" t="s">
        <v>2618</v>
      </c>
      <c r="H833" s="26">
        <v>-4.9082399999999998E-2</v>
      </c>
      <c r="I833" s="26"/>
      <c r="J833" s="26" t="s">
        <v>514</v>
      </c>
      <c r="K833" s="25" t="s">
        <v>513</v>
      </c>
    </row>
    <row r="834" spans="1:11" ht="25.5" x14ac:dyDescent="0.25">
      <c r="A834" s="22">
        <v>2026</v>
      </c>
      <c r="B834" s="28" t="s">
        <v>167</v>
      </c>
      <c r="C834" s="28" t="s">
        <v>97</v>
      </c>
      <c r="D834" s="28" t="s">
        <v>536</v>
      </c>
      <c r="E834" s="29" t="s">
        <v>558</v>
      </c>
      <c r="F834" s="29" t="s">
        <v>282</v>
      </c>
      <c r="G834" s="25" t="s">
        <v>2619</v>
      </c>
      <c r="H834" s="26">
        <v>-4.9377600000000001E-2</v>
      </c>
      <c r="I834" s="26"/>
      <c r="J834" s="26" t="s">
        <v>514</v>
      </c>
      <c r="K834" s="25" t="s">
        <v>513</v>
      </c>
    </row>
    <row r="835" spans="1:11" ht="25.5" x14ac:dyDescent="0.25">
      <c r="A835" s="22">
        <v>2026</v>
      </c>
      <c r="B835" s="28" t="s">
        <v>167</v>
      </c>
      <c r="C835" s="28" t="s">
        <v>97</v>
      </c>
      <c r="D835" s="28" t="s">
        <v>536</v>
      </c>
      <c r="E835" s="29" t="s">
        <v>558</v>
      </c>
      <c r="F835" s="29" t="s">
        <v>282</v>
      </c>
      <c r="G835" s="25" t="s">
        <v>2620</v>
      </c>
      <c r="H835" s="26">
        <v>-4.9845599999999997E-2</v>
      </c>
      <c r="I835" s="26"/>
      <c r="J835" s="26" t="s">
        <v>514</v>
      </c>
      <c r="K835" s="25" t="s">
        <v>513</v>
      </c>
    </row>
    <row r="836" spans="1:11" ht="25.5" x14ac:dyDescent="0.25">
      <c r="A836" s="22">
        <v>2026</v>
      </c>
      <c r="B836" s="28" t="s">
        <v>167</v>
      </c>
      <c r="C836" s="28" t="s">
        <v>97</v>
      </c>
      <c r="D836" s="28" t="s">
        <v>536</v>
      </c>
      <c r="E836" s="29" t="s">
        <v>558</v>
      </c>
      <c r="F836" s="29" t="s">
        <v>282</v>
      </c>
      <c r="G836" s="25" t="s">
        <v>2621</v>
      </c>
      <c r="H836" s="26">
        <v>-4.9759200000000003E-2</v>
      </c>
      <c r="I836" s="26"/>
      <c r="J836" s="26" t="s">
        <v>514</v>
      </c>
      <c r="K836" s="25" t="s">
        <v>513</v>
      </c>
    </row>
    <row r="837" spans="1:11" ht="25.5" x14ac:dyDescent="0.25">
      <c r="A837" s="22">
        <v>2026</v>
      </c>
      <c r="B837" s="28" t="s">
        <v>167</v>
      </c>
      <c r="C837" s="28" t="s">
        <v>97</v>
      </c>
      <c r="D837" s="28" t="s">
        <v>536</v>
      </c>
      <c r="E837" s="29" t="s">
        <v>558</v>
      </c>
      <c r="F837" s="29" t="s">
        <v>282</v>
      </c>
      <c r="G837" s="25" t="s">
        <v>2622</v>
      </c>
      <c r="H837" s="26">
        <v>-4.9771250000000003E-2</v>
      </c>
      <c r="I837" s="26"/>
      <c r="J837" s="26" t="s">
        <v>514</v>
      </c>
      <c r="K837" s="25" t="s">
        <v>513</v>
      </c>
    </row>
    <row r="838" spans="1:11" ht="25.5" x14ac:dyDescent="0.25">
      <c r="A838" s="22">
        <v>2026</v>
      </c>
      <c r="B838" s="28" t="s">
        <v>167</v>
      </c>
      <c r="C838" s="28" t="s">
        <v>97</v>
      </c>
      <c r="D838" s="28" t="s">
        <v>536</v>
      </c>
      <c r="E838" s="29" t="s">
        <v>558</v>
      </c>
      <c r="F838" s="29" t="s">
        <v>282</v>
      </c>
      <c r="G838" s="25" t="s">
        <v>2623</v>
      </c>
      <c r="H838" s="26">
        <v>-4.9708800000000004E-2</v>
      </c>
      <c r="I838" s="26"/>
      <c r="J838" s="26" t="s">
        <v>514</v>
      </c>
      <c r="K838" s="25" t="s">
        <v>513</v>
      </c>
    </row>
    <row r="839" spans="1:11" ht="25.5" x14ac:dyDescent="0.25">
      <c r="A839" s="22">
        <v>2026</v>
      </c>
      <c r="B839" s="28" t="s">
        <v>167</v>
      </c>
      <c r="C839" s="28" t="s">
        <v>97</v>
      </c>
      <c r="D839" s="28" t="s">
        <v>536</v>
      </c>
      <c r="E839" s="29" t="s">
        <v>558</v>
      </c>
      <c r="F839" s="29" t="s">
        <v>282</v>
      </c>
      <c r="G839" s="25" t="s">
        <v>2624</v>
      </c>
      <c r="H839" s="26">
        <v>-4.9600799999999994E-2</v>
      </c>
      <c r="I839" s="26"/>
      <c r="J839" s="26" t="s">
        <v>514</v>
      </c>
      <c r="K839" s="25" t="s">
        <v>513</v>
      </c>
    </row>
    <row r="840" spans="1:11" ht="25.5" x14ac:dyDescent="0.25">
      <c r="A840" s="22">
        <v>2026</v>
      </c>
      <c r="B840" s="28" t="s">
        <v>167</v>
      </c>
      <c r="C840" s="28" t="s">
        <v>97</v>
      </c>
      <c r="D840" s="28" t="s">
        <v>536</v>
      </c>
      <c r="E840" s="29" t="s">
        <v>558</v>
      </c>
      <c r="F840" s="29" t="s">
        <v>282</v>
      </c>
      <c r="G840" s="25" t="s">
        <v>2625</v>
      </c>
      <c r="H840" s="26">
        <v>-4.9575500000000002E-2</v>
      </c>
      <c r="I840" s="26"/>
      <c r="J840" s="26" t="s">
        <v>514</v>
      </c>
      <c r="K840" s="25" t="s">
        <v>513</v>
      </c>
    </row>
    <row r="841" spans="1:11" ht="25.5" x14ac:dyDescent="0.25">
      <c r="A841" s="22">
        <v>2026</v>
      </c>
      <c r="B841" s="28" t="s">
        <v>167</v>
      </c>
      <c r="C841" s="28" t="s">
        <v>97</v>
      </c>
      <c r="D841" s="28" t="s">
        <v>536</v>
      </c>
      <c r="E841" s="29" t="s">
        <v>558</v>
      </c>
      <c r="F841" s="29" t="s">
        <v>282</v>
      </c>
      <c r="G841" s="25" t="s">
        <v>2626</v>
      </c>
      <c r="H841" s="26">
        <v>-4.9604500000000003E-2</v>
      </c>
      <c r="I841" s="26"/>
      <c r="J841" s="26" t="s">
        <v>514</v>
      </c>
      <c r="K841" s="25" t="s">
        <v>513</v>
      </c>
    </row>
    <row r="842" spans="1:11" ht="25.5" x14ac:dyDescent="0.25">
      <c r="A842" s="22">
        <v>2026</v>
      </c>
      <c r="B842" s="28" t="s">
        <v>167</v>
      </c>
      <c r="C842" s="28" t="s">
        <v>97</v>
      </c>
      <c r="D842" s="28" t="s">
        <v>536</v>
      </c>
      <c r="E842" s="29" t="s">
        <v>558</v>
      </c>
      <c r="F842" s="29" t="s">
        <v>282</v>
      </c>
      <c r="G842" s="25" t="s">
        <v>2627</v>
      </c>
      <c r="H842" s="26">
        <v>-4.9794600000000008E-2</v>
      </c>
      <c r="I842" s="26"/>
      <c r="J842" s="26" t="s">
        <v>514</v>
      </c>
      <c r="K842" s="25" t="s">
        <v>513</v>
      </c>
    </row>
    <row r="843" spans="1:11" ht="25.5" x14ac:dyDescent="0.25">
      <c r="A843" s="22">
        <v>2026</v>
      </c>
      <c r="B843" s="28" t="s">
        <v>167</v>
      </c>
      <c r="C843" s="28" t="s">
        <v>97</v>
      </c>
      <c r="D843" s="28" t="s">
        <v>536</v>
      </c>
      <c r="E843" s="29" t="s">
        <v>558</v>
      </c>
      <c r="F843" s="29" t="s">
        <v>282</v>
      </c>
      <c r="G843" s="25" t="s">
        <v>2628</v>
      </c>
      <c r="H843" s="26">
        <v>-4.9644000000000001E-2</v>
      </c>
      <c r="I843" s="26"/>
      <c r="J843" s="26" t="s">
        <v>514</v>
      </c>
      <c r="K843" s="25" t="s">
        <v>513</v>
      </c>
    </row>
    <row r="844" spans="1:11" ht="25.5" x14ac:dyDescent="0.25">
      <c r="A844" s="22">
        <v>2026</v>
      </c>
      <c r="B844" s="28" t="s">
        <v>167</v>
      </c>
      <c r="C844" s="28" t="s">
        <v>97</v>
      </c>
      <c r="D844" s="28" t="s">
        <v>536</v>
      </c>
      <c r="E844" s="29" t="s">
        <v>558</v>
      </c>
      <c r="F844" s="29" t="s">
        <v>282</v>
      </c>
      <c r="G844" s="25" t="s">
        <v>2629</v>
      </c>
      <c r="H844" s="26">
        <v>-4.995249999999999E-2</v>
      </c>
      <c r="I844" s="26"/>
      <c r="J844" s="26" t="s">
        <v>514</v>
      </c>
      <c r="K844" s="25" t="s">
        <v>513</v>
      </c>
    </row>
    <row r="845" spans="1:11" ht="25.5" x14ac:dyDescent="0.25">
      <c r="A845" s="22">
        <v>2026</v>
      </c>
      <c r="B845" s="28" t="s">
        <v>167</v>
      </c>
      <c r="C845" s="28" t="s">
        <v>97</v>
      </c>
      <c r="D845" s="28" t="s">
        <v>536</v>
      </c>
      <c r="E845" s="29" t="s">
        <v>558</v>
      </c>
      <c r="F845" s="29" t="s">
        <v>282</v>
      </c>
      <c r="G845" s="25" t="s">
        <v>2630</v>
      </c>
      <c r="H845" s="26">
        <v>-4.9190400000000002E-2</v>
      </c>
      <c r="I845" s="26"/>
      <c r="J845" s="26" t="s">
        <v>514</v>
      </c>
      <c r="K845" s="25" t="s">
        <v>513</v>
      </c>
    </row>
    <row r="846" spans="1:11" ht="25.5" x14ac:dyDescent="0.25">
      <c r="A846" s="22">
        <v>2026</v>
      </c>
      <c r="B846" s="28" t="s">
        <v>167</v>
      </c>
      <c r="C846" s="28" t="s">
        <v>97</v>
      </c>
      <c r="D846" s="28" t="s">
        <v>255</v>
      </c>
      <c r="E846" s="29" t="s">
        <v>255</v>
      </c>
      <c r="F846" s="29" t="s">
        <v>325</v>
      </c>
      <c r="G846" s="25" t="s">
        <v>2631</v>
      </c>
      <c r="H846" s="26">
        <v>-0.75207500000000005</v>
      </c>
      <c r="I846" s="26"/>
      <c r="J846" s="26" t="s">
        <v>512</v>
      </c>
      <c r="K846" s="25" t="s">
        <v>513</v>
      </c>
    </row>
    <row r="847" spans="1:11" ht="25.5" x14ac:dyDescent="0.25">
      <c r="A847" s="22">
        <v>2026</v>
      </c>
      <c r="B847" s="28" t="s">
        <v>167</v>
      </c>
      <c r="C847" s="28" t="s">
        <v>97</v>
      </c>
      <c r="D847" s="28" t="s">
        <v>255</v>
      </c>
      <c r="E847" s="29" t="s">
        <v>255</v>
      </c>
      <c r="F847" s="29" t="s">
        <v>325</v>
      </c>
      <c r="G847" s="25" t="s">
        <v>2632</v>
      </c>
      <c r="H847" s="26">
        <v>-1.5582</v>
      </c>
      <c r="I847" s="26"/>
      <c r="J847" s="26" t="s">
        <v>512</v>
      </c>
      <c r="K847" s="25" t="s">
        <v>513</v>
      </c>
    </row>
    <row r="848" spans="1:11" ht="25.5" x14ac:dyDescent="0.25">
      <c r="A848" s="22">
        <v>2026</v>
      </c>
      <c r="B848" s="28" t="s">
        <v>167</v>
      </c>
      <c r="C848" s="28" t="s">
        <v>97</v>
      </c>
      <c r="D848" s="28" t="s">
        <v>255</v>
      </c>
      <c r="E848" s="29" t="s">
        <v>255</v>
      </c>
      <c r="F848" s="29" t="s">
        <v>325</v>
      </c>
      <c r="G848" s="25" t="s">
        <v>2633</v>
      </c>
      <c r="H848" s="26">
        <v>-0.16635</v>
      </c>
      <c r="I848" s="26"/>
      <c r="J848" s="26" t="s">
        <v>512</v>
      </c>
      <c r="K848" s="25" t="s">
        <v>513</v>
      </c>
    </row>
    <row r="849" spans="1:11" ht="25.5" x14ac:dyDescent="0.25">
      <c r="A849" s="22">
        <v>2026</v>
      </c>
      <c r="B849" s="28" t="s">
        <v>167</v>
      </c>
      <c r="C849" s="28" t="s">
        <v>97</v>
      </c>
      <c r="D849" s="28" t="s">
        <v>255</v>
      </c>
      <c r="E849" s="29" t="s">
        <v>255</v>
      </c>
      <c r="F849" s="29" t="s">
        <v>325</v>
      </c>
      <c r="G849" s="25" t="s">
        <v>2634</v>
      </c>
      <c r="H849" s="26">
        <v>-0.33629999999999999</v>
      </c>
      <c r="I849" s="26"/>
      <c r="J849" s="26" t="s">
        <v>512</v>
      </c>
      <c r="K849" s="25" t="s">
        <v>513</v>
      </c>
    </row>
    <row r="850" spans="1:11" ht="25.5" x14ac:dyDescent="0.25">
      <c r="A850" s="22">
        <v>2026</v>
      </c>
      <c r="B850" s="28" t="s">
        <v>167</v>
      </c>
      <c r="C850" s="28" t="s">
        <v>97</v>
      </c>
      <c r="D850" s="28" t="s">
        <v>255</v>
      </c>
      <c r="E850" s="29" t="s">
        <v>255</v>
      </c>
      <c r="F850" s="29" t="s">
        <v>325</v>
      </c>
      <c r="G850" s="25" t="s">
        <v>2635</v>
      </c>
      <c r="H850" s="26">
        <v>-0.55900000000000005</v>
      </c>
      <c r="I850" s="26"/>
      <c r="J850" s="26" t="s">
        <v>512</v>
      </c>
      <c r="K850" s="25" t="s">
        <v>513</v>
      </c>
    </row>
    <row r="851" spans="1:11" ht="25.5" x14ac:dyDescent="0.25">
      <c r="A851" s="22">
        <v>2026</v>
      </c>
      <c r="B851" s="28" t="s">
        <v>167</v>
      </c>
      <c r="C851" s="28" t="s">
        <v>97</v>
      </c>
      <c r="D851" s="28" t="s">
        <v>255</v>
      </c>
      <c r="E851" s="29" t="s">
        <v>255</v>
      </c>
      <c r="F851" s="29" t="s">
        <v>325</v>
      </c>
      <c r="G851" s="25" t="s">
        <v>2636</v>
      </c>
      <c r="H851" s="26">
        <v>-0.33029999999999998</v>
      </c>
      <c r="I851" s="26"/>
      <c r="J851" s="26" t="s">
        <v>512</v>
      </c>
      <c r="K851" s="25" t="s">
        <v>513</v>
      </c>
    </row>
    <row r="852" spans="1:11" ht="25.5" x14ac:dyDescent="0.25">
      <c r="A852" s="22">
        <v>2026</v>
      </c>
      <c r="B852" s="28" t="s">
        <v>167</v>
      </c>
      <c r="C852" s="28" t="s">
        <v>97</v>
      </c>
      <c r="D852" s="28" t="s">
        <v>255</v>
      </c>
      <c r="E852" s="29" t="s">
        <v>255</v>
      </c>
      <c r="F852" s="29" t="s">
        <v>325</v>
      </c>
      <c r="G852" s="25" t="s">
        <v>2637</v>
      </c>
      <c r="H852" s="26">
        <v>-0.32684999999999997</v>
      </c>
      <c r="I852" s="26"/>
      <c r="J852" s="26" t="s">
        <v>512</v>
      </c>
      <c r="K852" s="25" t="s">
        <v>513</v>
      </c>
    </row>
    <row r="853" spans="1:11" ht="25.5" x14ac:dyDescent="0.25">
      <c r="A853" s="22">
        <v>2026</v>
      </c>
      <c r="B853" s="28" t="s">
        <v>167</v>
      </c>
      <c r="C853" s="28" t="s">
        <v>97</v>
      </c>
      <c r="D853" s="28" t="s">
        <v>255</v>
      </c>
      <c r="E853" s="29" t="s">
        <v>255</v>
      </c>
      <c r="F853" s="29" t="s">
        <v>325</v>
      </c>
      <c r="G853" s="25" t="s">
        <v>2638</v>
      </c>
      <c r="H853" s="26">
        <v>-0.33045000000000002</v>
      </c>
      <c r="I853" s="26"/>
      <c r="J853" s="26" t="s">
        <v>512</v>
      </c>
      <c r="K853" s="25" t="s">
        <v>513</v>
      </c>
    </row>
    <row r="854" spans="1:11" ht="25.5" x14ac:dyDescent="0.25">
      <c r="A854" s="22">
        <v>2026</v>
      </c>
      <c r="B854" s="28" t="s">
        <v>167</v>
      </c>
      <c r="C854" s="28" t="s">
        <v>97</v>
      </c>
      <c r="D854" s="28" t="s">
        <v>255</v>
      </c>
      <c r="E854" s="29" t="s">
        <v>255</v>
      </c>
      <c r="F854" s="29" t="s">
        <v>325</v>
      </c>
      <c r="G854" s="25" t="s">
        <v>2639</v>
      </c>
      <c r="H854" s="26">
        <v>-0.38867499999999999</v>
      </c>
      <c r="I854" s="26"/>
      <c r="J854" s="26" t="s">
        <v>512</v>
      </c>
      <c r="K854" s="25" t="s">
        <v>513</v>
      </c>
    </row>
    <row r="855" spans="1:11" ht="25.5" x14ac:dyDescent="0.25">
      <c r="A855" s="22">
        <v>2026</v>
      </c>
      <c r="B855" s="28" t="s">
        <v>167</v>
      </c>
      <c r="C855" s="28" t="s">
        <v>97</v>
      </c>
      <c r="D855" s="28" t="s">
        <v>255</v>
      </c>
      <c r="E855" s="29" t="s">
        <v>255</v>
      </c>
      <c r="F855" s="29" t="s">
        <v>325</v>
      </c>
      <c r="G855" s="25" t="s">
        <v>2640</v>
      </c>
      <c r="H855" s="26">
        <v>-0.38884999999999997</v>
      </c>
      <c r="I855" s="26"/>
      <c r="J855" s="26" t="s">
        <v>512</v>
      </c>
      <c r="K855" s="25" t="s">
        <v>513</v>
      </c>
    </row>
    <row r="856" spans="1:11" ht="25.5" x14ac:dyDescent="0.25">
      <c r="A856" s="22">
        <v>2026</v>
      </c>
      <c r="B856" s="28" t="s">
        <v>167</v>
      </c>
      <c r="C856" s="28" t="s">
        <v>97</v>
      </c>
      <c r="D856" s="28" t="s">
        <v>255</v>
      </c>
      <c r="E856" s="29" t="s">
        <v>255</v>
      </c>
      <c r="F856" s="29" t="s">
        <v>325</v>
      </c>
      <c r="G856" s="25" t="s">
        <v>2641</v>
      </c>
      <c r="H856" s="26">
        <v>-0.40050000000000002</v>
      </c>
      <c r="I856" s="26"/>
      <c r="J856" s="26" t="s">
        <v>512</v>
      </c>
      <c r="K856" s="25" t="s">
        <v>513</v>
      </c>
    </row>
    <row r="857" spans="1:11" ht="25.5" x14ac:dyDescent="0.25">
      <c r="A857" s="22">
        <v>2026</v>
      </c>
      <c r="B857" s="28" t="s">
        <v>167</v>
      </c>
      <c r="C857" s="28" t="s">
        <v>97</v>
      </c>
      <c r="D857" s="28" t="s">
        <v>255</v>
      </c>
      <c r="E857" s="29" t="s">
        <v>255</v>
      </c>
      <c r="F857" s="29" t="s">
        <v>325</v>
      </c>
      <c r="G857" s="25" t="s">
        <v>2642</v>
      </c>
      <c r="H857" s="26">
        <v>-0.44159999999999994</v>
      </c>
      <c r="I857" s="26"/>
      <c r="J857" s="26" t="s">
        <v>512</v>
      </c>
      <c r="K857" s="25" t="s">
        <v>513</v>
      </c>
    </row>
    <row r="858" spans="1:11" ht="25.5" x14ac:dyDescent="0.25">
      <c r="A858" s="22">
        <v>2026</v>
      </c>
      <c r="B858" s="28" t="s">
        <v>167</v>
      </c>
      <c r="C858" s="28" t="s">
        <v>97</v>
      </c>
      <c r="D858" s="28" t="s">
        <v>255</v>
      </c>
      <c r="E858" s="29" t="s">
        <v>255</v>
      </c>
      <c r="F858" s="29" t="s">
        <v>325</v>
      </c>
      <c r="G858" s="25" t="s">
        <v>2643</v>
      </c>
      <c r="H858" s="26">
        <v>-0.2185</v>
      </c>
      <c r="I858" s="26"/>
      <c r="J858" s="26" t="s">
        <v>512</v>
      </c>
      <c r="K858" s="25" t="s">
        <v>513</v>
      </c>
    </row>
    <row r="859" spans="1:11" ht="25.5" x14ac:dyDescent="0.25">
      <c r="A859" s="22">
        <v>2026</v>
      </c>
      <c r="B859" s="28" t="s">
        <v>167</v>
      </c>
      <c r="C859" s="28" t="s">
        <v>97</v>
      </c>
      <c r="D859" s="28" t="s">
        <v>255</v>
      </c>
      <c r="E859" s="29" t="s">
        <v>255</v>
      </c>
      <c r="F859" s="29" t="s">
        <v>325</v>
      </c>
      <c r="G859" s="25" t="s">
        <v>2644</v>
      </c>
      <c r="H859" s="26">
        <v>-0.218</v>
      </c>
      <c r="I859" s="26"/>
      <c r="J859" s="26" t="s">
        <v>512</v>
      </c>
      <c r="K859" s="25" t="s">
        <v>513</v>
      </c>
    </row>
    <row r="860" spans="1:11" ht="25.5" x14ac:dyDescent="0.25">
      <c r="A860" s="22">
        <v>2026</v>
      </c>
      <c r="B860" s="28" t="s">
        <v>167</v>
      </c>
      <c r="C860" s="28" t="s">
        <v>97</v>
      </c>
      <c r="D860" s="28" t="s">
        <v>255</v>
      </c>
      <c r="E860" s="29" t="s">
        <v>255</v>
      </c>
      <c r="F860" s="29" t="s">
        <v>325</v>
      </c>
      <c r="G860" s="25" t="s">
        <v>2645</v>
      </c>
      <c r="H860" s="26">
        <v>-0.44</v>
      </c>
      <c r="I860" s="26"/>
      <c r="J860" s="26" t="s">
        <v>512</v>
      </c>
      <c r="K860" s="25" t="s">
        <v>513</v>
      </c>
    </row>
    <row r="861" spans="1:11" ht="25.5" x14ac:dyDescent="0.25">
      <c r="A861" s="22">
        <v>2026</v>
      </c>
      <c r="B861" s="28" t="s">
        <v>167</v>
      </c>
      <c r="C861" s="28" t="s">
        <v>97</v>
      </c>
      <c r="D861" s="28" t="s">
        <v>243</v>
      </c>
      <c r="E861" s="29" t="s">
        <v>1799</v>
      </c>
      <c r="F861" s="29" t="s">
        <v>343</v>
      </c>
      <c r="G861" s="25" t="s">
        <v>2646</v>
      </c>
      <c r="H861" s="26">
        <v>-4.6949999999999999E-2</v>
      </c>
      <c r="I861" s="26"/>
      <c r="J861" s="26" t="s">
        <v>514</v>
      </c>
      <c r="K861" s="25" t="s">
        <v>513</v>
      </c>
    </row>
    <row r="862" spans="1:11" ht="25.5" x14ac:dyDescent="0.25">
      <c r="A862" s="22">
        <v>2026</v>
      </c>
      <c r="B862" s="28" t="s">
        <v>167</v>
      </c>
      <c r="C862" s="28" t="s">
        <v>97</v>
      </c>
      <c r="D862" s="28" t="s">
        <v>1265</v>
      </c>
      <c r="E862" s="29" t="s">
        <v>1266</v>
      </c>
      <c r="F862" s="29" t="s">
        <v>325</v>
      </c>
      <c r="G862" s="25" t="s">
        <v>2647</v>
      </c>
      <c r="H862" s="26">
        <v>-0.12923679999999999</v>
      </c>
      <c r="I862" s="26"/>
      <c r="J862" s="26" t="s">
        <v>514</v>
      </c>
      <c r="K862" s="25" t="s">
        <v>513</v>
      </c>
    </row>
    <row r="863" spans="1:11" ht="25.5" x14ac:dyDescent="0.25">
      <c r="A863" s="22">
        <v>2026</v>
      </c>
      <c r="B863" s="28" t="s">
        <v>167</v>
      </c>
      <c r="C863" s="28" t="s">
        <v>97</v>
      </c>
      <c r="D863" s="28" t="s">
        <v>1265</v>
      </c>
      <c r="E863" s="29" t="s">
        <v>1266</v>
      </c>
      <c r="F863" s="29" t="s">
        <v>325</v>
      </c>
      <c r="G863" s="25" t="s">
        <v>2648</v>
      </c>
      <c r="H863" s="26">
        <v>-0.44400000000000001</v>
      </c>
      <c r="I863" s="26"/>
      <c r="J863" s="26" t="s">
        <v>514</v>
      </c>
      <c r="K863" s="25" t="s">
        <v>513</v>
      </c>
    </row>
    <row r="864" spans="1:11" ht="25.5" x14ac:dyDescent="0.25">
      <c r="A864" s="22">
        <v>2026</v>
      </c>
      <c r="B864" s="28" t="s">
        <v>167</v>
      </c>
      <c r="C864" s="28" t="s">
        <v>97</v>
      </c>
      <c r="D864" s="28" t="s">
        <v>1750</v>
      </c>
      <c r="E864" s="29" t="s">
        <v>485</v>
      </c>
      <c r="F864" s="29" t="s">
        <v>494</v>
      </c>
      <c r="G864" s="25" t="s">
        <v>2649</v>
      </c>
      <c r="H864" s="26">
        <v>-0.27027000000000001</v>
      </c>
      <c r="I864" s="26"/>
      <c r="J864" s="26" t="s">
        <v>512</v>
      </c>
      <c r="K864" s="25" t="s">
        <v>513</v>
      </c>
    </row>
    <row r="865" spans="1:11" ht="25.5" x14ac:dyDescent="0.25">
      <c r="A865" s="22">
        <v>2026</v>
      </c>
      <c r="B865" s="28" t="s">
        <v>167</v>
      </c>
      <c r="C865" s="28" t="s">
        <v>97</v>
      </c>
      <c r="D865" s="28" t="s">
        <v>1750</v>
      </c>
      <c r="E865" s="29" t="s">
        <v>485</v>
      </c>
      <c r="F865" s="29" t="s">
        <v>494</v>
      </c>
      <c r="G865" s="25" t="s">
        <v>2650</v>
      </c>
      <c r="H865" s="26">
        <v>-1.38</v>
      </c>
      <c r="I865" s="26"/>
      <c r="J865" s="26" t="s">
        <v>512</v>
      </c>
      <c r="K865" s="25" t="s">
        <v>513</v>
      </c>
    </row>
    <row r="866" spans="1:11" ht="25.5" x14ac:dyDescent="0.25">
      <c r="A866" s="22">
        <v>2026</v>
      </c>
      <c r="B866" s="28" t="s">
        <v>167</v>
      </c>
      <c r="C866" s="28" t="s">
        <v>97</v>
      </c>
      <c r="D866" s="28" t="s">
        <v>1750</v>
      </c>
      <c r="E866" s="29" t="s">
        <v>485</v>
      </c>
      <c r="F866" s="29" t="s">
        <v>494</v>
      </c>
      <c r="G866" s="25" t="s">
        <v>2651</v>
      </c>
      <c r="H866" s="26">
        <v>-1.548</v>
      </c>
      <c r="I866" s="26"/>
      <c r="J866" s="26" t="s">
        <v>512</v>
      </c>
      <c r="K866" s="25" t="s">
        <v>513</v>
      </c>
    </row>
    <row r="867" spans="1:11" ht="25.5" x14ac:dyDescent="0.25">
      <c r="A867" s="22">
        <v>2026</v>
      </c>
      <c r="B867" s="28" t="s">
        <v>167</v>
      </c>
      <c r="C867" s="28" t="s">
        <v>97</v>
      </c>
      <c r="D867" s="28" t="s">
        <v>1750</v>
      </c>
      <c r="E867" s="29" t="s">
        <v>485</v>
      </c>
      <c r="F867" s="29" t="s">
        <v>494</v>
      </c>
      <c r="G867" s="25" t="s">
        <v>2652</v>
      </c>
      <c r="H867" s="26">
        <v>-0.24232845</v>
      </c>
      <c r="I867" s="26"/>
      <c r="J867" s="26" t="s">
        <v>512</v>
      </c>
      <c r="K867" s="25" t="s">
        <v>513</v>
      </c>
    </row>
    <row r="868" spans="1:11" ht="25.5" x14ac:dyDescent="0.25">
      <c r="A868" s="22">
        <v>2026</v>
      </c>
      <c r="B868" s="28" t="s">
        <v>167</v>
      </c>
      <c r="C868" s="28" t="s">
        <v>97</v>
      </c>
      <c r="D868" s="28" t="s">
        <v>1750</v>
      </c>
      <c r="E868" s="29" t="s">
        <v>485</v>
      </c>
      <c r="F868" s="29" t="s">
        <v>494</v>
      </c>
      <c r="G868" s="25" t="s">
        <v>2653</v>
      </c>
      <c r="H868" s="26">
        <v>-0.69950000000000001</v>
      </c>
      <c r="I868" s="26"/>
      <c r="J868" s="26" t="s">
        <v>512</v>
      </c>
      <c r="K868" s="25" t="s">
        <v>513</v>
      </c>
    </row>
    <row r="869" spans="1:11" ht="25.5" x14ac:dyDescent="0.25">
      <c r="A869" s="22">
        <v>2026</v>
      </c>
      <c r="B869" s="28" t="s">
        <v>167</v>
      </c>
      <c r="C869" s="28" t="s">
        <v>97</v>
      </c>
      <c r="D869" s="28" t="s">
        <v>1750</v>
      </c>
      <c r="E869" s="29" t="s">
        <v>485</v>
      </c>
      <c r="F869" s="29" t="s">
        <v>494</v>
      </c>
      <c r="G869" s="25" t="s">
        <v>2654</v>
      </c>
      <c r="H869" s="26">
        <v>-0.86875000000000002</v>
      </c>
      <c r="I869" s="26"/>
      <c r="J869" s="26" t="s">
        <v>512</v>
      </c>
      <c r="K869" s="25" t="s">
        <v>513</v>
      </c>
    </row>
    <row r="870" spans="1:11" ht="25.5" x14ac:dyDescent="0.25">
      <c r="A870" s="22">
        <v>2026</v>
      </c>
      <c r="B870" s="28" t="s">
        <v>167</v>
      </c>
      <c r="C870" s="28" t="s">
        <v>97</v>
      </c>
      <c r="D870" s="28" t="s">
        <v>265</v>
      </c>
      <c r="E870" s="29" t="s">
        <v>485</v>
      </c>
      <c r="F870" s="29" t="s">
        <v>325</v>
      </c>
      <c r="G870" s="25" t="s">
        <v>2655</v>
      </c>
      <c r="H870" s="26">
        <v>-2.0799999999999999E-2</v>
      </c>
      <c r="I870" s="26"/>
      <c r="J870" s="26" t="s">
        <v>512</v>
      </c>
      <c r="K870" s="25" t="s">
        <v>513</v>
      </c>
    </row>
    <row r="871" spans="1:11" ht="25.5" x14ac:dyDescent="0.25">
      <c r="A871" s="22">
        <v>2026</v>
      </c>
      <c r="B871" s="28" t="s">
        <v>167</v>
      </c>
      <c r="C871" s="28" t="s">
        <v>97</v>
      </c>
      <c r="D871" s="28" t="s">
        <v>265</v>
      </c>
      <c r="E871" s="29" t="s">
        <v>485</v>
      </c>
      <c r="F871" s="29" t="s">
        <v>325</v>
      </c>
      <c r="G871" s="25" t="s">
        <v>2656</v>
      </c>
      <c r="H871" s="26">
        <v>-2.64E-2</v>
      </c>
      <c r="I871" s="26"/>
      <c r="J871" s="26" t="s">
        <v>512</v>
      </c>
      <c r="K871" s="25" t="s">
        <v>513</v>
      </c>
    </row>
    <row r="872" spans="1:11" ht="25.5" x14ac:dyDescent="0.25">
      <c r="A872" s="22">
        <v>2026</v>
      </c>
      <c r="B872" s="28" t="s">
        <v>167</v>
      </c>
      <c r="C872" s="28" t="s">
        <v>97</v>
      </c>
      <c r="D872" s="28" t="s">
        <v>265</v>
      </c>
      <c r="E872" s="29" t="s">
        <v>485</v>
      </c>
      <c r="F872" s="29" t="s">
        <v>325</v>
      </c>
      <c r="G872" s="25" t="s">
        <v>2657</v>
      </c>
      <c r="H872" s="26">
        <v>-2.605E-2</v>
      </c>
      <c r="I872" s="26"/>
      <c r="J872" s="26" t="s">
        <v>512</v>
      </c>
      <c r="K872" s="25" t="s">
        <v>513</v>
      </c>
    </row>
    <row r="873" spans="1:11" ht="25.5" x14ac:dyDescent="0.25">
      <c r="A873" s="22">
        <v>2026</v>
      </c>
      <c r="B873" s="28" t="s">
        <v>167</v>
      </c>
      <c r="C873" s="28" t="s">
        <v>97</v>
      </c>
      <c r="D873" s="28" t="s">
        <v>265</v>
      </c>
      <c r="E873" s="29" t="s">
        <v>485</v>
      </c>
      <c r="F873" s="29" t="s">
        <v>325</v>
      </c>
      <c r="G873" s="25" t="s">
        <v>2658</v>
      </c>
      <c r="H873" s="26">
        <v>-2.5999999999999999E-2</v>
      </c>
      <c r="I873" s="26"/>
      <c r="J873" s="26" t="s">
        <v>512</v>
      </c>
      <c r="K873" s="25" t="s">
        <v>513</v>
      </c>
    </row>
    <row r="874" spans="1:11" ht="25.5" x14ac:dyDescent="0.25">
      <c r="A874" s="22">
        <v>2026</v>
      </c>
      <c r="B874" s="28" t="s">
        <v>167</v>
      </c>
      <c r="C874" s="28" t="s">
        <v>97</v>
      </c>
      <c r="D874" s="28" t="s">
        <v>1751</v>
      </c>
      <c r="E874" s="29" t="s">
        <v>485</v>
      </c>
      <c r="F874" s="29" t="s">
        <v>353</v>
      </c>
      <c r="G874" s="25" t="s">
        <v>2659</v>
      </c>
      <c r="H874" s="26">
        <v>-0.10180192</v>
      </c>
      <c r="I874" s="26"/>
      <c r="J874" s="26" t="s">
        <v>512</v>
      </c>
      <c r="K874" s="25" t="s">
        <v>513</v>
      </c>
    </row>
    <row r="875" spans="1:11" ht="25.5" x14ac:dyDescent="0.25">
      <c r="A875" s="22">
        <v>2026</v>
      </c>
      <c r="B875" s="28" t="s">
        <v>167</v>
      </c>
      <c r="C875" s="28" t="s">
        <v>97</v>
      </c>
      <c r="D875" s="28" t="s">
        <v>1751</v>
      </c>
      <c r="E875" s="29" t="s">
        <v>485</v>
      </c>
      <c r="F875" s="29" t="s">
        <v>353</v>
      </c>
      <c r="G875" s="25" t="s">
        <v>2660</v>
      </c>
      <c r="H875" s="26">
        <v>-8.7499999999999994E-2</v>
      </c>
      <c r="I875" s="26"/>
      <c r="J875" s="26" t="s">
        <v>512</v>
      </c>
      <c r="K875" s="25" t="s">
        <v>513</v>
      </c>
    </row>
    <row r="876" spans="1:11" ht="25.5" x14ac:dyDescent="0.25">
      <c r="A876" s="22">
        <v>2026</v>
      </c>
      <c r="B876" s="28" t="s">
        <v>167</v>
      </c>
      <c r="C876" s="28" t="s">
        <v>97</v>
      </c>
      <c r="D876" s="28" t="s">
        <v>1751</v>
      </c>
      <c r="E876" s="29" t="s">
        <v>485</v>
      </c>
      <c r="F876" s="29" t="s">
        <v>353</v>
      </c>
      <c r="G876" s="25" t="s">
        <v>2661</v>
      </c>
      <c r="H876" s="26">
        <v>-7.0400000000000004E-2</v>
      </c>
      <c r="I876" s="26"/>
      <c r="J876" s="26" t="s">
        <v>512</v>
      </c>
      <c r="K876" s="25" t="s">
        <v>513</v>
      </c>
    </row>
    <row r="877" spans="1:11" ht="25.5" x14ac:dyDescent="0.25">
      <c r="A877" s="22">
        <v>2026</v>
      </c>
      <c r="B877" s="28" t="s">
        <v>167</v>
      </c>
      <c r="C877" s="28" t="s">
        <v>97</v>
      </c>
      <c r="D877" s="28" t="s">
        <v>1751</v>
      </c>
      <c r="E877" s="29" t="s">
        <v>485</v>
      </c>
      <c r="F877" s="29" t="s">
        <v>353</v>
      </c>
      <c r="G877" s="25" t="s">
        <v>2662</v>
      </c>
      <c r="H877" s="26">
        <v>-5.8763777099999998E-2</v>
      </c>
      <c r="I877" s="26"/>
      <c r="J877" s="26" t="s">
        <v>512</v>
      </c>
      <c r="K877" s="25" t="s">
        <v>513</v>
      </c>
    </row>
    <row r="878" spans="1:11" ht="25.5" x14ac:dyDescent="0.25">
      <c r="A878" s="22">
        <v>2026</v>
      </c>
      <c r="B878" s="28" t="s">
        <v>167</v>
      </c>
      <c r="C878" s="28" t="s">
        <v>97</v>
      </c>
      <c r="D878" s="28" t="s">
        <v>1751</v>
      </c>
      <c r="E878" s="29" t="s">
        <v>485</v>
      </c>
      <c r="F878" s="29" t="s">
        <v>353</v>
      </c>
      <c r="G878" s="25" t="s">
        <v>2663</v>
      </c>
      <c r="H878" s="26">
        <v>-1.77E-2</v>
      </c>
      <c r="I878" s="26"/>
      <c r="J878" s="26" t="s">
        <v>512</v>
      </c>
      <c r="K878" s="25" t="s">
        <v>513</v>
      </c>
    </row>
    <row r="879" spans="1:11" ht="25.5" x14ac:dyDescent="0.25">
      <c r="A879" s="22">
        <v>2026</v>
      </c>
      <c r="B879" s="28" t="s">
        <v>167</v>
      </c>
      <c r="C879" s="28" t="s">
        <v>97</v>
      </c>
      <c r="D879" s="28" t="s">
        <v>260</v>
      </c>
      <c r="E879" s="29" t="s">
        <v>485</v>
      </c>
      <c r="F879" s="29" t="s">
        <v>386</v>
      </c>
      <c r="G879" s="25" t="s">
        <v>2664</v>
      </c>
      <c r="H879" s="26">
        <v>-0.14152000000000001</v>
      </c>
      <c r="I879" s="26"/>
      <c r="J879" s="26" t="s">
        <v>512</v>
      </c>
      <c r="K879" s="25" t="s">
        <v>513</v>
      </c>
    </row>
    <row r="880" spans="1:11" ht="25.5" x14ac:dyDescent="0.25">
      <c r="A880" s="22">
        <v>2026</v>
      </c>
      <c r="B880" s="28" t="s">
        <v>167</v>
      </c>
      <c r="C880" s="28" t="s">
        <v>97</v>
      </c>
      <c r="D880" s="28" t="s">
        <v>260</v>
      </c>
      <c r="E880" s="29" t="s">
        <v>485</v>
      </c>
      <c r="F880" s="29" t="s">
        <v>386</v>
      </c>
      <c r="G880" s="25" t="s">
        <v>2665</v>
      </c>
      <c r="H880" s="26">
        <v>-0.106005</v>
      </c>
      <c r="I880" s="26"/>
      <c r="J880" s="26" t="s">
        <v>512</v>
      </c>
      <c r="K880" s="25" t="s">
        <v>513</v>
      </c>
    </row>
    <row r="881" spans="1:11" ht="25.5" x14ac:dyDescent="0.25">
      <c r="A881" s="22">
        <v>2026</v>
      </c>
      <c r="B881" s="28" t="s">
        <v>167</v>
      </c>
      <c r="C881" s="28" t="s">
        <v>97</v>
      </c>
      <c r="D881" s="28" t="s">
        <v>260</v>
      </c>
      <c r="E881" s="29" t="s">
        <v>485</v>
      </c>
      <c r="F881" s="29" t="s">
        <v>386</v>
      </c>
      <c r="G881" s="25" t="s">
        <v>2666</v>
      </c>
      <c r="H881" s="26">
        <v>-0.10743900000000001</v>
      </c>
      <c r="I881" s="26"/>
      <c r="J881" s="26" t="s">
        <v>512</v>
      </c>
      <c r="K881" s="25" t="s">
        <v>513</v>
      </c>
    </row>
    <row r="882" spans="1:11" ht="25.5" x14ac:dyDescent="0.25">
      <c r="A882" s="22">
        <v>2026</v>
      </c>
      <c r="B882" s="28" t="s">
        <v>167</v>
      </c>
      <c r="C882" s="28" t="s">
        <v>97</v>
      </c>
      <c r="D882" s="28" t="s">
        <v>1753</v>
      </c>
      <c r="E882" s="29" t="s">
        <v>331</v>
      </c>
      <c r="F882" s="29" t="s">
        <v>335</v>
      </c>
      <c r="G882" s="25" t="s">
        <v>2667</v>
      </c>
      <c r="H882" s="26">
        <v>-0.1274525</v>
      </c>
      <c r="I882" s="26"/>
      <c r="J882" s="26" t="s">
        <v>512</v>
      </c>
      <c r="K882" s="25" t="s">
        <v>513</v>
      </c>
    </row>
    <row r="883" spans="1:11" ht="25.5" x14ac:dyDescent="0.25">
      <c r="A883" s="22">
        <v>2026</v>
      </c>
      <c r="B883" s="28" t="s">
        <v>167</v>
      </c>
      <c r="C883" s="28" t="s">
        <v>97</v>
      </c>
      <c r="D883" s="28" t="s">
        <v>1753</v>
      </c>
      <c r="E883" s="29" t="s">
        <v>331</v>
      </c>
      <c r="F883" s="29" t="s">
        <v>335</v>
      </c>
      <c r="G883" s="25" t="s">
        <v>2668</v>
      </c>
      <c r="H883" s="26">
        <v>-0.12829499999999999</v>
      </c>
      <c r="I883" s="26"/>
      <c r="J883" s="26" t="s">
        <v>512</v>
      </c>
      <c r="K883" s="25" t="s">
        <v>513</v>
      </c>
    </row>
    <row r="884" spans="1:11" ht="25.5" x14ac:dyDescent="0.25">
      <c r="A884" s="22">
        <v>2026</v>
      </c>
      <c r="B884" s="28" t="s">
        <v>167</v>
      </c>
      <c r="C884" s="28" t="s">
        <v>97</v>
      </c>
      <c r="D884" s="28" t="s">
        <v>1753</v>
      </c>
      <c r="E884" s="29" t="s">
        <v>331</v>
      </c>
      <c r="F884" s="29" t="s">
        <v>335</v>
      </c>
      <c r="G884" s="25" t="s">
        <v>2669</v>
      </c>
      <c r="H884" s="26">
        <v>-0.12839</v>
      </c>
      <c r="I884" s="26"/>
      <c r="J884" s="26" t="s">
        <v>512</v>
      </c>
      <c r="K884" s="25" t="s">
        <v>513</v>
      </c>
    </row>
    <row r="885" spans="1:11" ht="25.5" x14ac:dyDescent="0.25">
      <c r="A885" s="22">
        <v>2026</v>
      </c>
      <c r="B885" s="28" t="s">
        <v>167</v>
      </c>
      <c r="C885" s="28" t="s">
        <v>97</v>
      </c>
      <c r="D885" s="28" t="s">
        <v>1753</v>
      </c>
      <c r="E885" s="29" t="s">
        <v>331</v>
      </c>
      <c r="F885" s="29" t="s">
        <v>335</v>
      </c>
      <c r="G885" s="25" t="s">
        <v>2670</v>
      </c>
      <c r="H885" s="26">
        <v>-0.12894000000000003</v>
      </c>
      <c r="I885" s="26"/>
      <c r="J885" s="26" t="s">
        <v>512</v>
      </c>
      <c r="K885" s="25" t="s">
        <v>513</v>
      </c>
    </row>
    <row r="886" spans="1:11" ht="25.5" x14ac:dyDescent="0.25">
      <c r="A886" s="22">
        <v>2026</v>
      </c>
      <c r="B886" s="28" t="s">
        <v>167</v>
      </c>
      <c r="C886" s="28" t="s">
        <v>97</v>
      </c>
      <c r="D886" s="28" t="s">
        <v>1753</v>
      </c>
      <c r="E886" s="29" t="s">
        <v>331</v>
      </c>
      <c r="F886" s="29" t="s">
        <v>335</v>
      </c>
      <c r="G886" s="25" t="s">
        <v>2671</v>
      </c>
      <c r="H886" s="26">
        <v>-0.129555</v>
      </c>
      <c r="I886" s="26"/>
      <c r="J886" s="26" t="s">
        <v>512</v>
      </c>
      <c r="K886" s="25" t="s">
        <v>513</v>
      </c>
    </row>
    <row r="887" spans="1:11" ht="25.5" x14ac:dyDescent="0.25">
      <c r="A887" s="22">
        <v>2026</v>
      </c>
      <c r="B887" s="28" t="s">
        <v>167</v>
      </c>
      <c r="C887" s="28" t="s">
        <v>97</v>
      </c>
      <c r="D887" s="28" t="s">
        <v>1753</v>
      </c>
      <c r="E887" s="29" t="s">
        <v>331</v>
      </c>
      <c r="F887" s="29" t="s">
        <v>335</v>
      </c>
      <c r="G887" s="25" t="s">
        <v>2672</v>
      </c>
      <c r="H887" s="26">
        <v>-0.12991</v>
      </c>
      <c r="I887" s="26"/>
      <c r="J887" s="26" t="s">
        <v>512</v>
      </c>
      <c r="K887" s="25" t="s">
        <v>513</v>
      </c>
    </row>
    <row r="888" spans="1:11" ht="25.5" x14ac:dyDescent="0.25">
      <c r="A888" s="22">
        <v>2026</v>
      </c>
      <c r="B888" s="28" t="s">
        <v>167</v>
      </c>
      <c r="C888" s="28" t="s">
        <v>97</v>
      </c>
      <c r="D888" s="28" t="s">
        <v>1753</v>
      </c>
      <c r="E888" s="29" t="s">
        <v>331</v>
      </c>
      <c r="F888" s="29" t="s">
        <v>335</v>
      </c>
      <c r="G888" s="25" t="s">
        <v>2673</v>
      </c>
      <c r="H888" s="26">
        <v>-0.12966249999999999</v>
      </c>
      <c r="I888" s="26"/>
      <c r="J888" s="26" t="s">
        <v>512</v>
      </c>
      <c r="K888" s="25" t="s">
        <v>513</v>
      </c>
    </row>
    <row r="889" spans="1:11" ht="25.5" x14ac:dyDescent="0.25">
      <c r="A889" s="22">
        <v>2026</v>
      </c>
      <c r="B889" s="28" t="s">
        <v>167</v>
      </c>
      <c r="C889" s="28" t="s">
        <v>97</v>
      </c>
      <c r="D889" s="28" t="s">
        <v>1753</v>
      </c>
      <c r="E889" s="29" t="s">
        <v>331</v>
      </c>
      <c r="F889" s="29" t="s">
        <v>335</v>
      </c>
      <c r="G889" s="25" t="s">
        <v>2674</v>
      </c>
      <c r="H889" s="26">
        <v>-0.1297825</v>
      </c>
      <c r="I889" s="26"/>
      <c r="J889" s="26" t="s">
        <v>512</v>
      </c>
      <c r="K889" s="25" t="s">
        <v>513</v>
      </c>
    </row>
    <row r="890" spans="1:11" ht="25.5" x14ac:dyDescent="0.25">
      <c r="A890" s="22">
        <v>2026</v>
      </c>
      <c r="B890" s="28" t="s">
        <v>167</v>
      </c>
      <c r="C890" s="28" t="s">
        <v>97</v>
      </c>
      <c r="D890" s="28" t="s">
        <v>1753</v>
      </c>
      <c r="E890" s="29" t="s">
        <v>331</v>
      </c>
      <c r="F890" s="29" t="s">
        <v>335</v>
      </c>
      <c r="G890" s="25" t="s">
        <v>2675</v>
      </c>
      <c r="H890" s="26">
        <v>-0.1313675</v>
      </c>
      <c r="I890" s="26"/>
      <c r="J890" s="26" t="s">
        <v>512</v>
      </c>
      <c r="K890" s="25" t="s">
        <v>513</v>
      </c>
    </row>
    <row r="891" spans="1:11" ht="25.5" x14ac:dyDescent="0.25">
      <c r="A891" s="22">
        <v>2026</v>
      </c>
      <c r="B891" s="28" t="s">
        <v>167</v>
      </c>
      <c r="C891" s="28" t="s">
        <v>97</v>
      </c>
      <c r="D891" s="28" t="s">
        <v>1753</v>
      </c>
      <c r="E891" s="29" t="s">
        <v>331</v>
      </c>
      <c r="F891" s="29" t="s">
        <v>335</v>
      </c>
      <c r="G891" s="25" t="s">
        <v>2676</v>
      </c>
      <c r="H891" s="26">
        <v>-0.13124</v>
      </c>
      <c r="I891" s="26"/>
      <c r="J891" s="26" t="s">
        <v>512</v>
      </c>
      <c r="K891" s="25" t="s">
        <v>513</v>
      </c>
    </row>
    <row r="892" spans="1:11" ht="25.5" x14ac:dyDescent="0.25">
      <c r="A892" s="22">
        <v>2026</v>
      </c>
      <c r="B892" s="28" t="s">
        <v>167</v>
      </c>
      <c r="C892" s="28" t="s">
        <v>97</v>
      </c>
      <c r="D892" s="28" t="s">
        <v>1753</v>
      </c>
      <c r="E892" s="29" t="s">
        <v>331</v>
      </c>
      <c r="F892" s="29" t="s">
        <v>335</v>
      </c>
      <c r="G892" s="25" t="s">
        <v>2677</v>
      </c>
      <c r="H892" s="26">
        <v>-0.155859</v>
      </c>
      <c r="I892" s="26"/>
      <c r="J892" s="26" t="s">
        <v>512</v>
      </c>
      <c r="K892" s="25" t="s">
        <v>513</v>
      </c>
    </row>
    <row r="893" spans="1:11" ht="25.5" x14ac:dyDescent="0.25">
      <c r="A893" s="22">
        <v>2026</v>
      </c>
      <c r="B893" s="28" t="s">
        <v>167</v>
      </c>
      <c r="C893" s="28" t="s">
        <v>97</v>
      </c>
      <c r="D893" s="28" t="s">
        <v>1753</v>
      </c>
      <c r="E893" s="29" t="s">
        <v>331</v>
      </c>
      <c r="F893" s="29" t="s">
        <v>335</v>
      </c>
      <c r="G893" s="25" t="s">
        <v>2678</v>
      </c>
      <c r="H893" s="26">
        <v>-0.13020999999999999</v>
      </c>
      <c r="I893" s="26"/>
      <c r="J893" s="26" t="s">
        <v>512</v>
      </c>
      <c r="K893" s="25" t="s">
        <v>513</v>
      </c>
    </row>
    <row r="894" spans="1:11" ht="25.5" x14ac:dyDescent="0.25">
      <c r="A894" s="22">
        <v>2026</v>
      </c>
      <c r="B894" s="28" t="s">
        <v>167</v>
      </c>
      <c r="C894" s="28" t="s">
        <v>97</v>
      </c>
      <c r="D894" s="28" t="s">
        <v>1753</v>
      </c>
      <c r="E894" s="29" t="s">
        <v>331</v>
      </c>
      <c r="F894" s="29" t="s">
        <v>335</v>
      </c>
      <c r="G894" s="25" t="s">
        <v>2679</v>
      </c>
      <c r="H894" s="26">
        <v>-0.1312875</v>
      </c>
      <c r="I894" s="26"/>
      <c r="J894" s="26" t="s">
        <v>512</v>
      </c>
      <c r="K894" s="25" t="s">
        <v>513</v>
      </c>
    </row>
    <row r="895" spans="1:11" ht="25.5" x14ac:dyDescent="0.25">
      <c r="A895" s="22">
        <v>2026</v>
      </c>
      <c r="B895" s="28" t="s">
        <v>167</v>
      </c>
      <c r="C895" s="28" t="s">
        <v>97</v>
      </c>
      <c r="D895" s="28" t="s">
        <v>1753</v>
      </c>
      <c r="E895" s="29" t="s">
        <v>331</v>
      </c>
      <c r="F895" s="29" t="s">
        <v>335</v>
      </c>
      <c r="G895" s="25" t="s">
        <v>2680</v>
      </c>
      <c r="H895" s="26">
        <v>-0.13048249999999997</v>
      </c>
      <c r="I895" s="26"/>
      <c r="J895" s="26" t="s">
        <v>512</v>
      </c>
      <c r="K895" s="25" t="s">
        <v>513</v>
      </c>
    </row>
    <row r="896" spans="1:11" ht="25.5" x14ac:dyDescent="0.25">
      <c r="A896" s="22">
        <v>2026</v>
      </c>
      <c r="B896" s="28" t="s">
        <v>167</v>
      </c>
      <c r="C896" s="28" t="s">
        <v>97</v>
      </c>
      <c r="D896" s="28" t="s">
        <v>1753</v>
      </c>
      <c r="E896" s="29" t="s">
        <v>331</v>
      </c>
      <c r="F896" s="29" t="s">
        <v>335</v>
      </c>
      <c r="G896" s="25" t="s">
        <v>2681</v>
      </c>
      <c r="H896" s="26">
        <v>-0.130385</v>
      </c>
      <c r="I896" s="26"/>
      <c r="J896" s="26" t="s">
        <v>512</v>
      </c>
      <c r="K896" s="25" t="s">
        <v>513</v>
      </c>
    </row>
    <row r="897" spans="1:11" ht="25.5" x14ac:dyDescent="0.25">
      <c r="A897" s="22">
        <v>2026</v>
      </c>
      <c r="B897" s="28" t="s">
        <v>167</v>
      </c>
      <c r="C897" s="28" t="s">
        <v>97</v>
      </c>
      <c r="D897" s="28" t="s">
        <v>1753</v>
      </c>
      <c r="E897" s="29" t="s">
        <v>331</v>
      </c>
      <c r="F897" s="29" t="s">
        <v>335</v>
      </c>
      <c r="G897" s="25" t="s">
        <v>2682</v>
      </c>
      <c r="H897" s="26">
        <v>-0.13031999999999999</v>
      </c>
      <c r="I897" s="26"/>
      <c r="J897" s="26" t="s">
        <v>512</v>
      </c>
      <c r="K897" s="25" t="s">
        <v>513</v>
      </c>
    </row>
    <row r="898" spans="1:11" ht="25.5" x14ac:dyDescent="0.25">
      <c r="A898" s="22">
        <v>2026</v>
      </c>
      <c r="B898" s="28" t="s">
        <v>167</v>
      </c>
      <c r="C898" s="28" t="s">
        <v>97</v>
      </c>
      <c r="D898" s="28" t="s">
        <v>1753</v>
      </c>
      <c r="E898" s="29" t="s">
        <v>331</v>
      </c>
      <c r="F898" s="29" t="s">
        <v>335</v>
      </c>
      <c r="G898" s="25" t="s">
        <v>2683</v>
      </c>
      <c r="H898" s="26">
        <v>-0.13025249999999999</v>
      </c>
      <c r="I898" s="26"/>
      <c r="J898" s="26" t="s">
        <v>512</v>
      </c>
      <c r="K898" s="25" t="s">
        <v>513</v>
      </c>
    </row>
    <row r="899" spans="1:11" ht="25.5" x14ac:dyDescent="0.25">
      <c r="A899" s="22">
        <v>2026</v>
      </c>
      <c r="B899" s="28" t="s">
        <v>167</v>
      </c>
      <c r="C899" s="28" t="s">
        <v>97</v>
      </c>
      <c r="D899" s="28" t="s">
        <v>1753</v>
      </c>
      <c r="E899" s="29" t="s">
        <v>331</v>
      </c>
      <c r="F899" s="29" t="s">
        <v>335</v>
      </c>
      <c r="G899" s="25" t="s">
        <v>2684</v>
      </c>
      <c r="H899" s="26">
        <v>-0.128965</v>
      </c>
      <c r="I899" s="26"/>
      <c r="J899" s="26" t="s">
        <v>512</v>
      </c>
      <c r="K899" s="25" t="s">
        <v>513</v>
      </c>
    </row>
    <row r="900" spans="1:11" ht="25.5" x14ac:dyDescent="0.25">
      <c r="A900" s="22">
        <v>2026</v>
      </c>
      <c r="B900" s="28" t="s">
        <v>167</v>
      </c>
      <c r="C900" s="28" t="s">
        <v>97</v>
      </c>
      <c r="D900" s="28" t="s">
        <v>1753</v>
      </c>
      <c r="E900" s="29" t="s">
        <v>331</v>
      </c>
      <c r="F900" s="29" t="s">
        <v>335</v>
      </c>
      <c r="G900" s="25" t="s">
        <v>2685</v>
      </c>
      <c r="H900" s="26">
        <v>-0.12973750000000001</v>
      </c>
      <c r="I900" s="26"/>
      <c r="J900" s="26" t="s">
        <v>512</v>
      </c>
      <c r="K900" s="25" t="s">
        <v>513</v>
      </c>
    </row>
    <row r="901" spans="1:11" ht="25.5" x14ac:dyDescent="0.25">
      <c r="A901" s="22">
        <v>2026</v>
      </c>
      <c r="B901" s="28" t="s">
        <v>167</v>
      </c>
      <c r="C901" s="28" t="s">
        <v>97</v>
      </c>
      <c r="D901" s="28" t="s">
        <v>216</v>
      </c>
      <c r="E901" s="29" t="s">
        <v>331</v>
      </c>
      <c r="F901" s="29" t="s">
        <v>298</v>
      </c>
      <c r="G901" s="25" t="s">
        <v>2686</v>
      </c>
      <c r="H901" s="26">
        <v>-1.7721150000000001</v>
      </c>
      <c r="I901" s="26"/>
      <c r="J901" s="26" t="s">
        <v>512</v>
      </c>
      <c r="K901" s="25" t="s">
        <v>513</v>
      </c>
    </row>
    <row r="902" spans="1:11" ht="25.5" x14ac:dyDescent="0.25">
      <c r="A902" s="22">
        <v>2026</v>
      </c>
      <c r="B902" s="28" t="s">
        <v>167</v>
      </c>
      <c r="C902" s="28" t="s">
        <v>97</v>
      </c>
      <c r="D902" s="28" t="s">
        <v>216</v>
      </c>
      <c r="E902" s="29" t="s">
        <v>331</v>
      </c>
      <c r="F902" s="29" t="s">
        <v>298</v>
      </c>
      <c r="G902" s="25" t="s">
        <v>2687</v>
      </c>
      <c r="H902" s="26">
        <v>-3.5998393961999997</v>
      </c>
      <c r="I902" s="26"/>
      <c r="J902" s="26" t="s">
        <v>512</v>
      </c>
      <c r="K902" s="25" t="s">
        <v>513</v>
      </c>
    </row>
    <row r="903" spans="1:11" ht="25.5" x14ac:dyDescent="0.25">
      <c r="A903" s="22">
        <v>2026</v>
      </c>
      <c r="B903" s="28" t="s">
        <v>167</v>
      </c>
      <c r="C903" s="28" t="s">
        <v>97</v>
      </c>
      <c r="D903" s="28" t="s">
        <v>216</v>
      </c>
      <c r="E903" s="29" t="s">
        <v>331</v>
      </c>
      <c r="F903" s="29" t="s">
        <v>298</v>
      </c>
      <c r="G903" s="25" t="s">
        <v>2688</v>
      </c>
      <c r="H903" s="26">
        <v>-4.2409850000000002</v>
      </c>
      <c r="I903" s="26"/>
      <c r="J903" s="26" t="s">
        <v>512</v>
      </c>
      <c r="K903" s="25" t="s">
        <v>513</v>
      </c>
    </row>
    <row r="904" spans="1:11" ht="25.5" x14ac:dyDescent="0.25">
      <c r="A904" s="22">
        <v>2026</v>
      </c>
      <c r="B904" s="28" t="s">
        <v>167</v>
      </c>
      <c r="C904" s="28" t="s">
        <v>97</v>
      </c>
      <c r="D904" s="28" t="s">
        <v>216</v>
      </c>
      <c r="E904" s="29" t="s">
        <v>331</v>
      </c>
      <c r="F904" s="29" t="s">
        <v>298</v>
      </c>
      <c r="G904" s="25" t="s">
        <v>2689</v>
      </c>
      <c r="H904" s="26">
        <v>-4.2406699999999997</v>
      </c>
      <c r="I904" s="26"/>
      <c r="J904" s="26" t="s">
        <v>512</v>
      </c>
      <c r="K904" s="25" t="s">
        <v>513</v>
      </c>
    </row>
    <row r="905" spans="1:11" ht="25.5" x14ac:dyDescent="0.25">
      <c r="A905" s="22">
        <v>2026</v>
      </c>
      <c r="B905" s="28" t="s">
        <v>167</v>
      </c>
      <c r="C905" s="28" t="s">
        <v>97</v>
      </c>
      <c r="D905" s="28" t="s">
        <v>216</v>
      </c>
      <c r="E905" s="29" t="s">
        <v>331</v>
      </c>
      <c r="F905" s="29" t="s">
        <v>298</v>
      </c>
      <c r="G905" s="25" t="s">
        <v>2690</v>
      </c>
      <c r="H905" s="26">
        <v>-5.4145349999999999</v>
      </c>
      <c r="I905" s="26"/>
      <c r="J905" s="26" t="s">
        <v>512</v>
      </c>
      <c r="K905" s="25" t="s">
        <v>513</v>
      </c>
    </row>
    <row r="906" spans="1:11" ht="25.5" x14ac:dyDescent="0.25">
      <c r="A906" s="22">
        <v>2026</v>
      </c>
      <c r="B906" s="28" t="s">
        <v>167</v>
      </c>
      <c r="C906" s="28" t="s">
        <v>97</v>
      </c>
      <c r="D906" s="28" t="s">
        <v>216</v>
      </c>
      <c r="E906" s="29" t="s">
        <v>331</v>
      </c>
      <c r="F906" s="29" t="s">
        <v>298</v>
      </c>
      <c r="G906" s="25" t="s">
        <v>2691</v>
      </c>
      <c r="H906" s="26">
        <v>-3.6326999999999998</v>
      </c>
      <c r="I906" s="26"/>
      <c r="J906" s="26" t="s">
        <v>512</v>
      </c>
      <c r="K906" s="25" t="s">
        <v>513</v>
      </c>
    </row>
    <row r="907" spans="1:11" ht="25.5" x14ac:dyDescent="0.25">
      <c r="A907" s="22">
        <v>2026</v>
      </c>
      <c r="B907" s="28" t="s">
        <v>167</v>
      </c>
      <c r="C907" s="28" t="s">
        <v>97</v>
      </c>
      <c r="D907" s="28" t="s">
        <v>216</v>
      </c>
      <c r="E907" s="29" t="s">
        <v>331</v>
      </c>
      <c r="F907" s="29" t="s">
        <v>298</v>
      </c>
      <c r="G907" s="25" t="s">
        <v>2692</v>
      </c>
      <c r="H907" s="26">
        <v>-5.4670500000000004</v>
      </c>
      <c r="I907" s="26"/>
      <c r="J907" s="26" t="s">
        <v>512</v>
      </c>
      <c r="K907" s="25" t="s">
        <v>513</v>
      </c>
    </row>
    <row r="908" spans="1:11" ht="25.5" x14ac:dyDescent="0.25">
      <c r="A908" s="22">
        <v>2026</v>
      </c>
      <c r="B908" s="28" t="s">
        <v>167</v>
      </c>
      <c r="C908" s="28" t="s">
        <v>97</v>
      </c>
      <c r="D908" s="28" t="s">
        <v>216</v>
      </c>
      <c r="E908" s="29" t="s">
        <v>331</v>
      </c>
      <c r="F908" s="29" t="s">
        <v>298</v>
      </c>
      <c r="G908" s="25" t="s">
        <v>2693</v>
      </c>
      <c r="H908" s="26">
        <v>-3.0367999999999999</v>
      </c>
      <c r="I908" s="26"/>
      <c r="J908" s="26" t="s">
        <v>512</v>
      </c>
      <c r="K908" s="25" t="s">
        <v>513</v>
      </c>
    </row>
    <row r="909" spans="1:11" ht="25.5" x14ac:dyDescent="0.25">
      <c r="A909" s="22">
        <v>2026</v>
      </c>
      <c r="B909" s="28" t="s">
        <v>167</v>
      </c>
      <c r="C909" s="28" t="s">
        <v>97</v>
      </c>
      <c r="D909" s="28" t="s">
        <v>216</v>
      </c>
      <c r="E909" s="29" t="s">
        <v>331</v>
      </c>
      <c r="F909" s="29" t="s">
        <v>298</v>
      </c>
      <c r="G909" s="25" t="s">
        <v>2694</v>
      </c>
      <c r="H909" s="26">
        <v>-4.0325695896000004</v>
      </c>
      <c r="I909" s="26"/>
      <c r="J909" s="26" t="s">
        <v>512</v>
      </c>
      <c r="K909" s="25" t="s">
        <v>513</v>
      </c>
    </row>
    <row r="910" spans="1:11" ht="25.5" x14ac:dyDescent="0.25">
      <c r="A910" s="22">
        <v>2026</v>
      </c>
      <c r="B910" s="28" t="s">
        <v>167</v>
      </c>
      <c r="C910" s="28" t="s">
        <v>97</v>
      </c>
      <c r="D910" s="28" t="s">
        <v>216</v>
      </c>
      <c r="E910" s="29" t="s">
        <v>331</v>
      </c>
      <c r="F910" s="29" t="s">
        <v>298</v>
      </c>
      <c r="G910" s="25" t="s">
        <v>2695</v>
      </c>
      <c r="H910" s="26">
        <v>-7.2209969999999997</v>
      </c>
      <c r="I910" s="26"/>
      <c r="J910" s="26" t="s">
        <v>512</v>
      </c>
      <c r="K910" s="25" t="s">
        <v>513</v>
      </c>
    </row>
    <row r="911" spans="1:11" ht="25.5" x14ac:dyDescent="0.25">
      <c r="A911" s="22">
        <v>2026</v>
      </c>
      <c r="B911" s="28" t="s">
        <v>167</v>
      </c>
      <c r="C911" s="28" t="s">
        <v>97</v>
      </c>
      <c r="D911" s="28" t="s">
        <v>216</v>
      </c>
      <c r="E911" s="29" t="s">
        <v>331</v>
      </c>
      <c r="F911" s="29" t="s">
        <v>298</v>
      </c>
      <c r="G911" s="25" t="s">
        <v>2696</v>
      </c>
      <c r="H911" s="26">
        <v>-2.9944500000000001</v>
      </c>
      <c r="I911" s="26"/>
      <c r="J911" s="26" t="s">
        <v>512</v>
      </c>
      <c r="K911" s="25" t="s">
        <v>513</v>
      </c>
    </row>
    <row r="912" spans="1:11" ht="25.5" x14ac:dyDescent="0.25">
      <c r="A912" s="22">
        <v>2026</v>
      </c>
      <c r="B912" s="28" t="s">
        <v>167</v>
      </c>
      <c r="C912" s="28" t="s">
        <v>97</v>
      </c>
      <c r="D912" s="28" t="s">
        <v>216</v>
      </c>
      <c r="E912" s="29" t="s">
        <v>331</v>
      </c>
      <c r="F912" s="29" t="s">
        <v>298</v>
      </c>
      <c r="G912" s="25" t="s">
        <v>2697</v>
      </c>
      <c r="H912" s="26">
        <v>-1.2937419923999998</v>
      </c>
      <c r="I912" s="26"/>
      <c r="J912" s="26" t="s">
        <v>512</v>
      </c>
      <c r="K912" s="25" t="s">
        <v>513</v>
      </c>
    </row>
    <row r="913" spans="1:11" ht="25.5" x14ac:dyDescent="0.25">
      <c r="A913" s="22">
        <v>2026</v>
      </c>
      <c r="B913" s="28" t="s">
        <v>167</v>
      </c>
      <c r="C913" s="28" t="s">
        <v>97</v>
      </c>
      <c r="D913" s="28" t="s">
        <v>216</v>
      </c>
      <c r="E913" s="29" t="s">
        <v>331</v>
      </c>
      <c r="F913" s="29" t="s">
        <v>298</v>
      </c>
      <c r="G913" s="25" t="s">
        <v>2698</v>
      </c>
      <c r="H913" s="26">
        <v>-2.7731981240000003</v>
      </c>
      <c r="I913" s="26"/>
      <c r="J913" s="26" t="s">
        <v>512</v>
      </c>
      <c r="K913" s="25" t="s">
        <v>513</v>
      </c>
    </row>
    <row r="914" spans="1:11" ht="25.5" x14ac:dyDescent="0.25">
      <c r="A914" s="22">
        <v>2026</v>
      </c>
      <c r="B914" s="28" t="s">
        <v>167</v>
      </c>
      <c r="C914" s="28" t="s">
        <v>97</v>
      </c>
      <c r="D914" s="28" t="s">
        <v>216</v>
      </c>
      <c r="E914" s="29" t="s">
        <v>331</v>
      </c>
      <c r="F914" s="29" t="s">
        <v>298</v>
      </c>
      <c r="G914" s="25" t="s">
        <v>2699</v>
      </c>
      <c r="H914" s="26">
        <v>-1.3849017386</v>
      </c>
      <c r="I914" s="26"/>
      <c r="J914" s="26" t="s">
        <v>512</v>
      </c>
      <c r="K914" s="25" t="s">
        <v>513</v>
      </c>
    </row>
    <row r="915" spans="1:11" ht="25.5" x14ac:dyDescent="0.25">
      <c r="A915" s="22">
        <v>2026</v>
      </c>
      <c r="B915" s="28" t="s">
        <v>167</v>
      </c>
      <c r="C915" s="28" t="s">
        <v>97</v>
      </c>
      <c r="D915" s="28" t="s">
        <v>542</v>
      </c>
      <c r="E915" s="29" t="s">
        <v>575</v>
      </c>
      <c r="F915" s="29" t="s">
        <v>576</v>
      </c>
      <c r="G915" s="25" t="s">
        <v>2700</v>
      </c>
      <c r="H915" s="26">
        <v>-5.559999999999999E-2</v>
      </c>
      <c r="I915" s="26"/>
      <c r="J915" s="26" t="s">
        <v>512</v>
      </c>
      <c r="K915" s="25" t="s">
        <v>513</v>
      </c>
    </row>
    <row r="916" spans="1:11" ht="25.5" x14ac:dyDescent="0.25">
      <c r="A916" s="22">
        <v>2026</v>
      </c>
      <c r="B916" s="28" t="s">
        <v>167</v>
      </c>
      <c r="C916" s="28" t="s">
        <v>97</v>
      </c>
      <c r="D916" s="28" t="s">
        <v>542</v>
      </c>
      <c r="E916" s="29" t="s">
        <v>575</v>
      </c>
      <c r="F916" s="29" t="s">
        <v>576</v>
      </c>
      <c r="G916" s="25" t="s">
        <v>2701</v>
      </c>
      <c r="H916" s="26">
        <v>-0.13750000000000001</v>
      </c>
      <c r="I916" s="26"/>
      <c r="J916" s="26" t="s">
        <v>512</v>
      </c>
      <c r="K916" s="25" t="s">
        <v>513</v>
      </c>
    </row>
    <row r="917" spans="1:11" ht="25.5" x14ac:dyDescent="0.25">
      <c r="A917" s="22">
        <v>2026</v>
      </c>
      <c r="B917" s="28" t="s">
        <v>167</v>
      </c>
      <c r="C917" s="28" t="s">
        <v>97</v>
      </c>
      <c r="D917" s="28" t="s">
        <v>542</v>
      </c>
      <c r="E917" s="29" t="s">
        <v>575</v>
      </c>
      <c r="F917" s="29" t="s">
        <v>576</v>
      </c>
      <c r="G917" s="25" t="s">
        <v>2702</v>
      </c>
      <c r="H917" s="26">
        <v>-6.8750000000000006E-2</v>
      </c>
      <c r="I917" s="26"/>
      <c r="J917" s="26" t="s">
        <v>512</v>
      </c>
      <c r="K917" s="25" t="s">
        <v>513</v>
      </c>
    </row>
    <row r="918" spans="1:11" ht="25.5" x14ac:dyDescent="0.25">
      <c r="A918" s="22">
        <v>2026</v>
      </c>
      <c r="B918" s="28" t="s">
        <v>167</v>
      </c>
      <c r="C918" s="28" t="s">
        <v>97</v>
      </c>
      <c r="D918" s="28" t="s">
        <v>542</v>
      </c>
      <c r="E918" s="29" t="s">
        <v>575</v>
      </c>
      <c r="F918" s="29" t="s">
        <v>576</v>
      </c>
      <c r="G918" s="25" t="s">
        <v>2703</v>
      </c>
      <c r="H918" s="26">
        <v>-5.4600000000000003E-2</v>
      </c>
      <c r="I918" s="26"/>
      <c r="J918" s="26" t="s">
        <v>512</v>
      </c>
      <c r="K918" s="25" t="s">
        <v>513</v>
      </c>
    </row>
    <row r="919" spans="1:11" ht="25.5" x14ac:dyDescent="0.25">
      <c r="A919" s="22">
        <v>2026</v>
      </c>
      <c r="B919" s="28" t="s">
        <v>167</v>
      </c>
      <c r="C919" s="28" t="s">
        <v>97</v>
      </c>
      <c r="D919" s="28" t="s">
        <v>542</v>
      </c>
      <c r="E919" s="29" t="s">
        <v>575</v>
      </c>
      <c r="F919" s="29" t="s">
        <v>576</v>
      </c>
      <c r="G919" s="25" t="s">
        <v>2704</v>
      </c>
      <c r="H919" s="26">
        <v>-9.4500000000000001E-2</v>
      </c>
      <c r="I919" s="26"/>
      <c r="J919" s="26" t="s">
        <v>512</v>
      </c>
      <c r="K919" s="25" t="s">
        <v>513</v>
      </c>
    </row>
    <row r="920" spans="1:11" ht="25.5" x14ac:dyDescent="0.25">
      <c r="A920" s="22">
        <v>2026</v>
      </c>
      <c r="B920" s="28" t="s">
        <v>167</v>
      </c>
      <c r="C920" s="28" t="s">
        <v>97</v>
      </c>
      <c r="D920" s="28" t="s">
        <v>542</v>
      </c>
      <c r="E920" s="29" t="s">
        <v>575</v>
      </c>
      <c r="F920" s="29" t="s">
        <v>576</v>
      </c>
      <c r="G920" s="25" t="s">
        <v>2705</v>
      </c>
      <c r="H920" s="26">
        <v>-9.5549999999999996E-2</v>
      </c>
      <c r="I920" s="26"/>
      <c r="J920" s="26" t="s">
        <v>512</v>
      </c>
      <c r="K920" s="25" t="s">
        <v>513</v>
      </c>
    </row>
    <row r="921" spans="1:11" ht="25.5" x14ac:dyDescent="0.25">
      <c r="A921" s="22">
        <v>2026</v>
      </c>
      <c r="B921" s="28" t="s">
        <v>167</v>
      </c>
      <c r="C921" s="28" t="s">
        <v>97</v>
      </c>
      <c r="D921" s="28" t="s">
        <v>542</v>
      </c>
      <c r="E921" s="29" t="s">
        <v>575</v>
      </c>
      <c r="F921" s="29" t="s">
        <v>576</v>
      </c>
      <c r="G921" s="25" t="s">
        <v>2706</v>
      </c>
      <c r="H921" s="26">
        <v>-6.6250000000000003E-2</v>
      </c>
      <c r="I921" s="26"/>
      <c r="J921" s="26" t="s">
        <v>512</v>
      </c>
      <c r="K921" s="25" t="s">
        <v>513</v>
      </c>
    </row>
    <row r="922" spans="1:11" ht="25.5" x14ac:dyDescent="0.25">
      <c r="A922" s="22">
        <v>2026</v>
      </c>
      <c r="B922" s="28" t="s">
        <v>167</v>
      </c>
      <c r="C922" s="28" t="s">
        <v>97</v>
      </c>
      <c r="D922" s="28" t="s">
        <v>542</v>
      </c>
      <c r="E922" s="29" t="s">
        <v>575</v>
      </c>
      <c r="F922" s="29" t="s">
        <v>576</v>
      </c>
      <c r="G922" s="25" t="s">
        <v>2707</v>
      </c>
      <c r="H922" s="26">
        <v>-0.13250000000000001</v>
      </c>
      <c r="I922" s="26"/>
      <c r="J922" s="26" t="s">
        <v>512</v>
      </c>
      <c r="K922" s="25" t="s">
        <v>513</v>
      </c>
    </row>
    <row r="923" spans="1:11" ht="25.5" x14ac:dyDescent="0.25">
      <c r="A923" s="22">
        <v>2026</v>
      </c>
      <c r="B923" s="28" t="s">
        <v>167</v>
      </c>
      <c r="C923" s="28" t="s">
        <v>97</v>
      </c>
      <c r="D923" s="28" t="s">
        <v>542</v>
      </c>
      <c r="E923" s="29" t="s">
        <v>575</v>
      </c>
      <c r="F923" s="29" t="s">
        <v>576</v>
      </c>
      <c r="G923" s="25" t="s">
        <v>2708</v>
      </c>
      <c r="H923" s="26">
        <v>-0.13242999999999999</v>
      </c>
      <c r="I923" s="26"/>
      <c r="J923" s="26" t="s">
        <v>512</v>
      </c>
      <c r="K923" s="25" t="s">
        <v>513</v>
      </c>
    </row>
    <row r="924" spans="1:11" ht="25.5" x14ac:dyDescent="0.25">
      <c r="A924" s="22">
        <v>2026</v>
      </c>
      <c r="B924" s="28" t="s">
        <v>167</v>
      </c>
      <c r="C924" s="28" t="s">
        <v>97</v>
      </c>
      <c r="D924" s="28" t="s">
        <v>1789</v>
      </c>
      <c r="E924" s="29" t="s">
        <v>1800</v>
      </c>
      <c r="F924" s="29" t="s">
        <v>374</v>
      </c>
      <c r="G924" s="25" t="s">
        <v>2709</v>
      </c>
      <c r="H924" s="26">
        <v>-0.51310999999999996</v>
      </c>
      <c r="I924" s="26"/>
      <c r="J924" s="26" t="s">
        <v>514</v>
      </c>
      <c r="K924" s="25" t="s">
        <v>513</v>
      </c>
    </row>
    <row r="925" spans="1:11" ht="25.5" x14ac:dyDescent="0.25">
      <c r="A925" s="22">
        <v>2026</v>
      </c>
      <c r="B925" s="28" t="s">
        <v>167</v>
      </c>
      <c r="C925" s="28" t="s">
        <v>97</v>
      </c>
      <c r="D925" s="28" t="s">
        <v>1789</v>
      </c>
      <c r="E925" s="29" t="s">
        <v>1800</v>
      </c>
      <c r="F925" s="29" t="s">
        <v>374</v>
      </c>
      <c r="G925" s="25" t="s">
        <v>2710</v>
      </c>
      <c r="H925" s="26">
        <v>-0.3947</v>
      </c>
      <c r="I925" s="26"/>
      <c r="J925" s="26" t="s">
        <v>514</v>
      </c>
      <c r="K925" s="25" t="s">
        <v>513</v>
      </c>
    </row>
    <row r="926" spans="1:11" ht="25.5" x14ac:dyDescent="0.25">
      <c r="A926" s="22">
        <v>2026</v>
      </c>
      <c r="B926" s="28" t="s">
        <v>167</v>
      </c>
      <c r="C926" s="28" t="s">
        <v>97</v>
      </c>
      <c r="D926" s="28" t="s">
        <v>1789</v>
      </c>
      <c r="E926" s="29" t="s">
        <v>1800</v>
      </c>
      <c r="F926" s="29" t="s">
        <v>374</v>
      </c>
      <c r="G926" s="25" t="s">
        <v>2711</v>
      </c>
      <c r="H926" s="26">
        <v>-0.26481749999999998</v>
      </c>
      <c r="I926" s="26"/>
      <c r="J926" s="26" t="s">
        <v>514</v>
      </c>
      <c r="K926" s="25" t="s">
        <v>513</v>
      </c>
    </row>
    <row r="927" spans="1:11" ht="25.5" x14ac:dyDescent="0.25">
      <c r="A927" s="22">
        <v>2026</v>
      </c>
      <c r="B927" s="28" t="s">
        <v>167</v>
      </c>
      <c r="C927" s="28" t="s">
        <v>97</v>
      </c>
      <c r="D927" s="28" t="s">
        <v>1789</v>
      </c>
      <c r="E927" s="29" t="s">
        <v>1800</v>
      </c>
      <c r="F927" s="29" t="s">
        <v>374</v>
      </c>
      <c r="G927" s="25" t="s">
        <v>2712</v>
      </c>
      <c r="H927" s="26">
        <v>-0.11871</v>
      </c>
      <c r="I927" s="26"/>
      <c r="J927" s="26" t="s">
        <v>514</v>
      </c>
      <c r="K927" s="25" t="s">
        <v>513</v>
      </c>
    </row>
    <row r="928" spans="1:11" ht="25.5" x14ac:dyDescent="0.25">
      <c r="A928" s="22">
        <v>2026</v>
      </c>
      <c r="B928" s="28" t="s">
        <v>167</v>
      </c>
      <c r="C928" s="28" t="s">
        <v>97</v>
      </c>
      <c r="D928" s="28" t="s">
        <v>1789</v>
      </c>
      <c r="E928" s="29" t="s">
        <v>1800</v>
      </c>
      <c r="F928" s="29" t="s">
        <v>374</v>
      </c>
      <c r="G928" s="25" t="s">
        <v>2713</v>
      </c>
      <c r="H928" s="26">
        <v>-1.1206097E-2</v>
      </c>
      <c r="I928" s="26"/>
      <c r="J928" s="26" t="s">
        <v>514</v>
      </c>
      <c r="K928" s="25" t="s">
        <v>513</v>
      </c>
    </row>
    <row r="929" spans="1:11" ht="25.5" x14ac:dyDescent="0.25">
      <c r="A929" s="22">
        <v>2026</v>
      </c>
      <c r="B929" s="28" t="s">
        <v>167</v>
      </c>
      <c r="C929" s="28" t="s">
        <v>97</v>
      </c>
      <c r="D929" s="28" t="s">
        <v>1789</v>
      </c>
      <c r="E929" s="29" t="s">
        <v>1800</v>
      </c>
      <c r="F929" s="29" t="s">
        <v>374</v>
      </c>
      <c r="G929" s="25" t="s">
        <v>2714</v>
      </c>
      <c r="H929" s="26">
        <v>-0.1835016525</v>
      </c>
      <c r="I929" s="26"/>
      <c r="J929" s="26" t="s">
        <v>514</v>
      </c>
      <c r="K929" s="25" t="s">
        <v>513</v>
      </c>
    </row>
    <row r="930" spans="1:11" ht="25.5" x14ac:dyDescent="0.25">
      <c r="A930" s="22">
        <v>2026</v>
      </c>
      <c r="B930" s="28" t="s">
        <v>167</v>
      </c>
      <c r="C930" s="28" t="s">
        <v>97</v>
      </c>
      <c r="D930" s="28" t="s">
        <v>1789</v>
      </c>
      <c r="E930" s="29" t="s">
        <v>1800</v>
      </c>
      <c r="F930" s="29" t="s">
        <v>374</v>
      </c>
      <c r="G930" s="25" t="s">
        <v>2715</v>
      </c>
      <c r="H930" s="26">
        <v>-0.33558079899999999</v>
      </c>
      <c r="I930" s="26"/>
      <c r="J930" s="26" t="s">
        <v>514</v>
      </c>
      <c r="K930" s="25" t="s">
        <v>513</v>
      </c>
    </row>
    <row r="931" spans="1:11" ht="25.5" x14ac:dyDescent="0.25">
      <c r="A931" s="22">
        <v>2026</v>
      </c>
      <c r="B931" s="28" t="s">
        <v>167</v>
      </c>
      <c r="C931" s="28" t="s">
        <v>97</v>
      </c>
      <c r="D931" s="28" t="s">
        <v>191</v>
      </c>
      <c r="E931" s="29" t="s">
        <v>643</v>
      </c>
      <c r="F931" s="29" t="s">
        <v>343</v>
      </c>
      <c r="G931" s="25" t="s">
        <v>2716</v>
      </c>
      <c r="H931" s="26">
        <v>-9.2999999999999999E-2</v>
      </c>
      <c r="I931" s="26"/>
      <c r="J931" s="26" t="s">
        <v>512</v>
      </c>
      <c r="K931" s="25" t="s">
        <v>513</v>
      </c>
    </row>
    <row r="932" spans="1:11" ht="25.5" x14ac:dyDescent="0.25">
      <c r="A932" s="22">
        <v>2026</v>
      </c>
      <c r="B932" s="28" t="s">
        <v>167</v>
      </c>
      <c r="C932" s="28" t="s">
        <v>97</v>
      </c>
      <c r="D932" s="28" t="s">
        <v>191</v>
      </c>
      <c r="E932" s="29" t="s">
        <v>643</v>
      </c>
      <c r="F932" s="29" t="s">
        <v>343</v>
      </c>
      <c r="G932" s="25" t="s">
        <v>2717</v>
      </c>
      <c r="H932" s="26">
        <v>-9.35E-2</v>
      </c>
      <c r="I932" s="26"/>
      <c r="J932" s="26" t="s">
        <v>512</v>
      </c>
      <c r="K932" s="25" t="s">
        <v>513</v>
      </c>
    </row>
    <row r="933" spans="1:11" ht="25.5" x14ac:dyDescent="0.25">
      <c r="A933" s="22">
        <v>2026</v>
      </c>
      <c r="B933" s="28" t="s">
        <v>167</v>
      </c>
      <c r="C933" s="28" t="s">
        <v>97</v>
      </c>
      <c r="D933" s="28" t="s">
        <v>191</v>
      </c>
      <c r="E933" s="29" t="s">
        <v>643</v>
      </c>
      <c r="F933" s="29" t="s">
        <v>343</v>
      </c>
      <c r="G933" s="25" t="s">
        <v>2718</v>
      </c>
      <c r="H933" s="26">
        <v>-9.5562499999999995E-2</v>
      </c>
      <c r="I933" s="26"/>
      <c r="J933" s="26" t="s">
        <v>512</v>
      </c>
      <c r="K933" s="25" t="s">
        <v>513</v>
      </c>
    </row>
    <row r="934" spans="1:11" ht="25.5" x14ac:dyDescent="0.25">
      <c r="A934" s="22">
        <v>2026</v>
      </c>
      <c r="B934" s="28" t="s">
        <v>167</v>
      </c>
      <c r="C934" s="28" t="s">
        <v>97</v>
      </c>
      <c r="D934" s="28" t="s">
        <v>191</v>
      </c>
      <c r="E934" s="29" t="s">
        <v>643</v>
      </c>
      <c r="F934" s="29" t="s">
        <v>343</v>
      </c>
      <c r="G934" s="25" t="s">
        <v>2719</v>
      </c>
      <c r="H934" s="26">
        <v>-0.191</v>
      </c>
      <c r="I934" s="26"/>
      <c r="J934" s="26" t="s">
        <v>512</v>
      </c>
      <c r="K934" s="25" t="s">
        <v>513</v>
      </c>
    </row>
    <row r="935" spans="1:11" ht="25.5" x14ac:dyDescent="0.25">
      <c r="A935" s="22">
        <v>2026</v>
      </c>
      <c r="B935" s="28" t="s">
        <v>167</v>
      </c>
      <c r="C935" s="28" t="s">
        <v>97</v>
      </c>
      <c r="D935" s="28" t="s">
        <v>191</v>
      </c>
      <c r="E935" s="29" t="s">
        <v>643</v>
      </c>
      <c r="F935" s="29" t="s">
        <v>343</v>
      </c>
      <c r="G935" s="25" t="s">
        <v>2720</v>
      </c>
      <c r="H935" s="26">
        <v>-0.19739999999999999</v>
      </c>
      <c r="I935" s="26"/>
      <c r="J935" s="26" t="s">
        <v>512</v>
      </c>
      <c r="K935" s="25" t="s">
        <v>513</v>
      </c>
    </row>
    <row r="936" spans="1:11" ht="25.5" x14ac:dyDescent="0.25">
      <c r="A936" s="22">
        <v>2026</v>
      </c>
      <c r="B936" s="28" t="s">
        <v>167</v>
      </c>
      <c r="C936" s="28" t="s">
        <v>97</v>
      </c>
      <c r="D936" s="28" t="s">
        <v>191</v>
      </c>
      <c r="E936" s="29" t="s">
        <v>643</v>
      </c>
      <c r="F936" s="29" t="s">
        <v>343</v>
      </c>
      <c r="G936" s="25" t="s">
        <v>2721</v>
      </c>
      <c r="H936" s="26">
        <v>-7.9729999999999995E-2</v>
      </c>
      <c r="I936" s="26"/>
      <c r="J936" s="26" t="s">
        <v>512</v>
      </c>
      <c r="K936" s="25" t="s">
        <v>513</v>
      </c>
    </row>
    <row r="937" spans="1:11" ht="25.5" x14ac:dyDescent="0.25">
      <c r="A937" s="22">
        <v>2026</v>
      </c>
      <c r="B937" s="28" t="s">
        <v>167</v>
      </c>
      <c r="C937" s="28" t="s">
        <v>97</v>
      </c>
      <c r="D937" s="28" t="s">
        <v>543</v>
      </c>
      <c r="E937" s="29" t="s">
        <v>578</v>
      </c>
      <c r="F937" s="29" t="s">
        <v>335</v>
      </c>
      <c r="G937" s="25" t="s">
        <v>2722</v>
      </c>
      <c r="H937" s="26">
        <v>-0.15404999999999999</v>
      </c>
      <c r="I937" s="26"/>
      <c r="J937" s="26" t="s">
        <v>512</v>
      </c>
      <c r="K937" s="25" t="s">
        <v>513</v>
      </c>
    </row>
    <row r="938" spans="1:11" ht="25.5" x14ac:dyDescent="0.25">
      <c r="A938" s="22">
        <v>2026</v>
      </c>
      <c r="B938" s="28" t="s">
        <v>167</v>
      </c>
      <c r="C938" s="28" t="s">
        <v>97</v>
      </c>
      <c r="D938" s="28" t="s">
        <v>543</v>
      </c>
      <c r="E938" s="29" t="s">
        <v>578</v>
      </c>
      <c r="F938" s="29" t="s">
        <v>335</v>
      </c>
      <c r="G938" s="25" t="s">
        <v>2723</v>
      </c>
      <c r="H938" s="26">
        <v>-0.23599999999999999</v>
      </c>
      <c r="I938" s="26"/>
      <c r="J938" s="26" t="s">
        <v>512</v>
      </c>
      <c r="K938" s="25" t="s">
        <v>513</v>
      </c>
    </row>
    <row r="939" spans="1:11" ht="25.5" x14ac:dyDescent="0.25">
      <c r="A939" s="22">
        <v>2026</v>
      </c>
      <c r="B939" s="28" t="s">
        <v>167</v>
      </c>
      <c r="C939" s="28" t="s">
        <v>97</v>
      </c>
      <c r="D939" s="28" t="s">
        <v>543</v>
      </c>
      <c r="E939" s="29" t="s">
        <v>578</v>
      </c>
      <c r="F939" s="29" t="s">
        <v>335</v>
      </c>
      <c r="G939" s="25" t="s">
        <v>2724</v>
      </c>
      <c r="H939" s="26">
        <v>-0.37440000000000001</v>
      </c>
      <c r="I939" s="26"/>
      <c r="J939" s="26" t="s">
        <v>512</v>
      </c>
      <c r="K939" s="25" t="s">
        <v>513</v>
      </c>
    </row>
    <row r="940" spans="1:11" ht="25.5" x14ac:dyDescent="0.25">
      <c r="A940" s="22">
        <v>2026</v>
      </c>
      <c r="B940" s="28" t="s">
        <v>167</v>
      </c>
      <c r="C940" s="28" t="s">
        <v>97</v>
      </c>
      <c r="D940" s="28" t="s">
        <v>534</v>
      </c>
      <c r="E940" s="29" t="s">
        <v>337</v>
      </c>
      <c r="F940" s="29" t="s">
        <v>287</v>
      </c>
      <c r="G940" s="25" t="s">
        <v>2725</v>
      </c>
      <c r="H940" s="26">
        <v>-0.2074207005</v>
      </c>
      <c r="I940" s="26"/>
      <c r="J940" s="26" t="s">
        <v>512</v>
      </c>
      <c r="K940" s="25" t="s">
        <v>526</v>
      </c>
    </row>
    <row r="941" spans="1:11" ht="25.5" x14ac:dyDescent="0.25">
      <c r="A941" s="22">
        <v>2026</v>
      </c>
      <c r="B941" s="28" t="s">
        <v>167</v>
      </c>
      <c r="C941" s="28" t="s">
        <v>97</v>
      </c>
      <c r="D941" s="28" t="s">
        <v>534</v>
      </c>
      <c r="E941" s="29" t="s">
        <v>337</v>
      </c>
      <c r="F941" s="29" t="s">
        <v>287</v>
      </c>
      <c r="G941" s="25" t="s">
        <v>2726</v>
      </c>
      <c r="H941" s="26">
        <v>-1.29339</v>
      </c>
      <c r="I941" s="26"/>
      <c r="J941" s="26" t="s">
        <v>512</v>
      </c>
      <c r="K941" s="25" t="s">
        <v>526</v>
      </c>
    </row>
    <row r="942" spans="1:11" ht="25.5" x14ac:dyDescent="0.25">
      <c r="A942" s="22">
        <v>2026</v>
      </c>
      <c r="B942" s="28" t="s">
        <v>167</v>
      </c>
      <c r="C942" s="28" t="s">
        <v>97</v>
      </c>
      <c r="D942" s="28" t="s">
        <v>534</v>
      </c>
      <c r="E942" s="29" t="s">
        <v>337</v>
      </c>
      <c r="F942" s="29" t="s">
        <v>287</v>
      </c>
      <c r="G942" s="25" t="s">
        <v>2727</v>
      </c>
      <c r="H942" s="26">
        <v>-0.35074</v>
      </c>
      <c r="I942" s="26"/>
      <c r="J942" s="26" t="s">
        <v>512</v>
      </c>
      <c r="K942" s="25" t="s">
        <v>526</v>
      </c>
    </row>
    <row r="943" spans="1:11" ht="25.5" x14ac:dyDescent="0.25">
      <c r="A943" s="22">
        <v>2026</v>
      </c>
      <c r="B943" s="28" t="s">
        <v>167</v>
      </c>
      <c r="C943" s="28" t="s">
        <v>97</v>
      </c>
      <c r="D943" s="28" t="s">
        <v>534</v>
      </c>
      <c r="E943" s="29" t="s">
        <v>337</v>
      </c>
      <c r="F943" s="29" t="s">
        <v>287</v>
      </c>
      <c r="G943" s="25" t="s">
        <v>2728</v>
      </c>
      <c r="H943" s="26">
        <v>-9.92E-3</v>
      </c>
      <c r="I943" s="26"/>
      <c r="J943" s="26" t="s">
        <v>512</v>
      </c>
      <c r="K943" s="25" t="s">
        <v>526</v>
      </c>
    </row>
    <row r="944" spans="1:11" ht="25.5" x14ac:dyDescent="0.25">
      <c r="A944" s="22">
        <v>2026</v>
      </c>
      <c r="B944" s="28" t="s">
        <v>167</v>
      </c>
      <c r="C944" s="28" t="s">
        <v>97</v>
      </c>
      <c r="D944" s="28" t="s">
        <v>534</v>
      </c>
      <c r="E944" s="29" t="s">
        <v>337</v>
      </c>
      <c r="F944" s="29" t="s">
        <v>287</v>
      </c>
      <c r="G944" s="25" t="s">
        <v>2729</v>
      </c>
      <c r="H944" s="26">
        <v>-0.99235873800000007</v>
      </c>
      <c r="I944" s="26"/>
      <c r="J944" s="26" t="s">
        <v>512</v>
      </c>
      <c r="K944" s="25" t="s">
        <v>526</v>
      </c>
    </row>
    <row r="945" spans="1:11" ht="25.5" x14ac:dyDescent="0.25">
      <c r="A945" s="22">
        <v>2026</v>
      </c>
      <c r="B945" s="28" t="s">
        <v>167</v>
      </c>
      <c r="C945" s="28" t="s">
        <v>97</v>
      </c>
      <c r="D945" s="28" t="s">
        <v>534</v>
      </c>
      <c r="E945" s="29" t="s">
        <v>337</v>
      </c>
      <c r="F945" s="29" t="s">
        <v>287</v>
      </c>
      <c r="G945" s="25" t="s">
        <v>2730</v>
      </c>
      <c r="H945" s="26">
        <v>-1.3347737447999999</v>
      </c>
      <c r="I945" s="26"/>
      <c r="J945" s="26" t="s">
        <v>512</v>
      </c>
      <c r="K945" s="25" t="s">
        <v>526</v>
      </c>
    </row>
    <row r="946" spans="1:11" ht="25.5" x14ac:dyDescent="0.25">
      <c r="A946" s="22">
        <v>2026</v>
      </c>
      <c r="B946" s="28" t="s">
        <v>167</v>
      </c>
      <c r="C946" s="28" t="s">
        <v>97</v>
      </c>
      <c r="D946" s="28" t="s">
        <v>534</v>
      </c>
      <c r="E946" s="29" t="s">
        <v>337</v>
      </c>
      <c r="F946" s="29" t="s">
        <v>287</v>
      </c>
      <c r="G946" s="25" t="s">
        <v>2731</v>
      </c>
      <c r="H946" s="26">
        <v>-1.0760274000000001</v>
      </c>
      <c r="I946" s="26"/>
      <c r="J946" s="26" t="s">
        <v>512</v>
      </c>
      <c r="K946" s="25" t="s">
        <v>526</v>
      </c>
    </row>
    <row r="947" spans="1:11" ht="25.5" x14ac:dyDescent="0.25">
      <c r="A947" s="22">
        <v>2026</v>
      </c>
      <c r="B947" s="28" t="s">
        <v>167</v>
      </c>
      <c r="C947" s="28" t="s">
        <v>97</v>
      </c>
      <c r="D947" s="28" t="s">
        <v>534</v>
      </c>
      <c r="E947" s="29" t="s">
        <v>337</v>
      </c>
      <c r="F947" s="29" t="s">
        <v>287</v>
      </c>
      <c r="G947" s="25" t="s">
        <v>2732</v>
      </c>
      <c r="H947" s="26">
        <v>-1.6830381579</v>
      </c>
      <c r="I947" s="26"/>
      <c r="J947" s="26" t="s">
        <v>512</v>
      </c>
      <c r="K947" s="25" t="s">
        <v>526</v>
      </c>
    </row>
    <row r="948" spans="1:11" ht="25.5" x14ac:dyDescent="0.25">
      <c r="A948" s="22">
        <v>2026</v>
      </c>
      <c r="B948" s="28" t="s">
        <v>167</v>
      </c>
      <c r="C948" s="28" t="s">
        <v>97</v>
      </c>
      <c r="D948" s="28" t="s">
        <v>534</v>
      </c>
      <c r="E948" s="29" t="s">
        <v>337</v>
      </c>
      <c r="F948" s="29" t="s">
        <v>287</v>
      </c>
      <c r="G948" s="25" t="s">
        <v>2733</v>
      </c>
      <c r="H948" s="26">
        <v>-0.38474999999999998</v>
      </c>
      <c r="I948" s="26"/>
      <c r="J948" s="26" t="s">
        <v>512</v>
      </c>
      <c r="K948" s="25" t="s">
        <v>526</v>
      </c>
    </row>
    <row r="949" spans="1:11" ht="25.5" x14ac:dyDescent="0.25">
      <c r="A949" s="22">
        <v>2026</v>
      </c>
      <c r="B949" s="28" t="s">
        <v>167</v>
      </c>
      <c r="C949" s="28" t="s">
        <v>97</v>
      </c>
      <c r="D949" s="28" t="s">
        <v>534</v>
      </c>
      <c r="E949" s="29" t="s">
        <v>337</v>
      </c>
      <c r="F949" s="29" t="s">
        <v>287</v>
      </c>
      <c r="G949" s="25" t="s">
        <v>2734</v>
      </c>
      <c r="H949" s="26">
        <v>-0.1861224064</v>
      </c>
      <c r="I949" s="26"/>
      <c r="J949" s="26" t="s">
        <v>512</v>
      </c>
      <c r="K949" s="25" t="s">
        <v>526</v>
      </c>
    </row>
    <row r="950" spans="1:11" ht="25.5" x14ac:dyDescent="0.25">
      <c r="A950" s="22">
        <v>2026</v>
      </c>
      <c r="B950" s="28" t="s">
        <v>167</v>
      </c>
      <c r="C950" s="28" t="s">
        <v>97</v>
      </c>
      <c r="D950" s="28" t="s">
        <v>534</v>
      </c>
      <c r="E950" s="29" t="s">
        <v>337</v>
      </c>
      <c r="F950" s="29" t="s">
        <v>287</v>
      </c>
      <c r="G950" s="25" t="s">
        <v>2735</v>
      </c>
      <c r="H950" s="26">
        <v>-0.57275319999999996</v>
      </c>
      <c r="I950" s="26"/>
      <c r="J950" s="26" t="s">
        <v>512</v>
      </c>
      <c r="K950" s="25" t="s">
        <v>526</v>
      </c>
    </row>
    <row r="951" spans="1:11" ht="25.5" x14ac:dyDescent="0.25">
      <c r="A951" s="22">
        <v>2026</v>
      </c>
      <c r="B951" s="28" t="s">
        <v>167</v>
      </c>
      <c r="C951" s="28" t="s">
        <v>97</v>
      </c>
      <c r="D951" s="28" t="s">
        <v>534</v>
      </c>
      <c r="E951" s="29" t="s">
        <v>337</v>
      </c>
      <c r="F951" s="29" t="s">
        <v>287</v>
      </c>
      <c r="G951" s="25" t="s">
        <v>2736</v>
      </c>
      <c r="H951" s="26">
        <v>-1.152415416</v>
      </c>
      <c r="I951" s="26"/>
      <c r="J951" s="26" t="s">
        <v>512</v>
      </c>
      <c r="K951" s="25" t="s">
        <v>526</v>
      </c>
    </row>
    <row r="952" spans="1:11" ht="25.5" x14ac:dyDescent="0.25">
      <c r="A952" s="22">
        <v>2026</v>
      </c>
      <c r="B952" s="28" t="s">
        <v>167</v>
      </c>
      <c r="C952" s="28" t="s">
        <v>97</v>
      </c>
      <c r="D952" s="28" t="s">
        <v>534</v>
      </c>
      <c r="E952" s="29" t="s">
        <v>337</v>
      </c>
      <c r="F952" s="29" t="s">
        <v>287</v>
      </c>
      <c r="G952" s="25" t="s">
        <v>2737</v>
      </c>
      <c r="H952" s="26">
        <v>-1.2657119999999999</v>
      </c>
      <c r="I952" s="26"/>
      <c r="J952" s="26" t="s">
        <v>512</v>
      </c>
      <c r="K952" s="25" t="s">
        <v>526</v>
      </c>
    </row>
    <row r="953" spans="1:11" ht="25.5" x14ac:dyDescent="0.25">
      <c r="A953" s="22">
        <v>2026</v>
      </c>
      <c r="B953" s="28" t="s">
        <v>167</v>
      </c>
      <c r="C953" s="28" t="s">
        <v>97</v>
      </c>
      <c r="D953" s="28" t="s">
        <v>534</v>
      </c>
      <c r="E953" s="29" t="s">
        <v>337</v>
      </c>
      <c r="F953" s="29" t="s">
        <v>287</v>
      </c>
      <c r="G953" s="25" t="s">
        <v>2738</v>
      </c>
      <c r="H953" s="26">
        <v>-0.87581479999999989</v>
      </c>
      <c r="I953" s="26"/>
      <c r="J953" s="26" t="s">
        <v>512</v>
      </c>
      <c r="K953" s="25" t="s">
        <v>526</v>
      </c>
    </row>
    <row r="954" spans="1:11" ht="25.5" x14ac:dyDescent="0.25">
      <c r="A954" s="22">
        <v>2026</v>
      </c>
      <c r="B954" s="28" t="s">
        <v>167</v>
      </c>
      <c r="C954" s="28" t="s">
        <v>97</v>
      </c>
      <c r="D954" s="28" t="s">
        <v>534</v>
      </c>
      <c r="E954" s="29" t="s">
        <v>337</v>
      </c>
      <c r="F954" s="29" t="s">
        <v>287</v>
      </c>
      <c r="G954" s="25" t="s">
        <v>2739</v>
      </c>
      <c r="H954" s="26">
        <v>-0.23989019</v>
      </c>
      <c r="I954" s="26"/>
      <c r="J954" s="26" t="s">
        <v>512</v>
      </c>
      <c r="K954" s="25" t="s">
        <v>526</v>
      </c>
    </row>
    <row r="955" spans="1:11" ht="25.5" x14ac:dyDescent="0.25">
      <c r="A955" s="22">
        <v>2026</v>
      </c>
      <c r="B955" s="28" t="s">
        <v>167</v>
      </c>
      <c r="C955" s="28" t="s">
        <v>97</v>
      </c>
      <c r="D955" s="28" t="s">
        <v>1754</v>
      </c>
      <c r="E955" s="29" t="s">
        <v>569</v>
      </c>
      <c r="F955" s="29" t="s">
        <v>474</v>
      </c>
      <c r="G955" s="25" t="s">
        <v>2740</v>
      </c>
      <c r="H955" s="26">
        <v>-0.15324085368000001</v>
      </c>
      <c r="I955" s="26"/>
      <c r="J955" s="26" t="s">
        <v>512</v>
      </c>
      <c r="K955" s="25" t="s">
        <v>513</v>
      </c>
    </row>
    <row r="956" spans="1:11" ht="25.5" x14ac:dyDescent="0.25">
      <c r="A956" s="22">
        <v>2026</v>
      </c>
      <c r="B956" s="28" t="s">
        <v>167</v>
      </c>
      <c r="C956" s="28" t="s">
        <v>97</v>
      </c>
      <c r="D956" s="28" t="s">
        <v>1754</v>
      </c>
      <c r="E956" s="29" t="s">
        <v>569</v>
      </c>
      <c r="F956" s="29" t="s">
        <v>474</v>
      </c>
      <c r="G956" s="25" t="s">
        <v>2741</v>
      </c>
      <c r="H956" s="26">
        <v>-0.20645680000000002</v>
      </c>
      <c r="I956" s="26"/>
      <c r="J956" s="26" t="s">
        <v>512</v>
      </c>
      <c r="K956" s="25" t="s">
        <v>513</v>
      </c>
    </row>
    <row r="957" spans="1:11" ht="25.5" x14ac:dyDescent="0.25">
      <c r="A957" s="22">
        <v>2026</v>
      </c>
      <c r="B957" s="28" t="s">
        <v>167</v>
      </c>
      <c r="C957" s="28" t="s">
        <v>97</v>
      </c>
      <c r="D957" s="28" t="s">
        <v>1754</v>
      </c>
      <c r="E957" s="29" t="s">
        <v>569</v>
      </c>
      <c r="F957" s="29" t="s">
        <v>474</v>
      </c>
      <c r="G957" s="25" t="s">
        <v>2742</v>
      </c>
      <c r="H957" s="26">
        <v>-0.43702113922999997</v>
      </c>
      <c r="I957" s="26"/>
      <c r="J957" s="26" t="s">
        <v>512</v>
      </c>
      <c r="K957" s="25" t="s">
        <v>513</v>
      </c>
    </row>
    <row r="958" spans="1:11" ht="25.5" x14ac:dyDescent="0.25">
      <c r="A958" s="22">
        <v>2026</v>
      </c>
      <c r="B958" s="28" t="s">
        <v>167</v>
      </c>
      <c r="C958" s="28" t="s">
        <v>97</v>
      </c>
      <c r="D958" s="28" t="s">
        <v>1754</v>
      </c>
      <c r="E958" s="29" t="s">
        <v>569</v>
      </c>
      <c r="F958" s="29" t="s">
        <v>474</v>
      </c>
      <c r="G958" s="25" t="s">
        <v>2743</v>
      </c>
      <c r="H958" s="26">
        <v>-6.1311040000000011E-2</v>
      </c>
      <c r="I958" s="26"/>
      <c r="J958" s="26" t="s">
        <v>512</v>
      </c>
      <c r="K958" s="25" t="s">
        <v>513</v>
      </c>
    </row>
    <row r="959" spans="1:11" ht="25.5" x14ac:dyDescent="0.25">
      <c r="A959" s="22">
        <v>2026</v>
      </c>
      <c r="B959" s="28" t="s">
        <v>167</v>
      </c>
      <c r="C959" s="28" t="s">
        <v>97</v>
      </c>
      <c r="D959" s="28" t="s">
        <v>1754</v>
      </c>
      <c r="E959" s="29" t="s">
        <v>569</v>
      </c>
      <c r="F959" s="29" t="s">
        <v>474</v>
      </c>
      <c r="G959" s="25" t="s">
        <v>2744</v>
      </c>
      <c r="H959" s="26">
        <v>-0.22400000000000003</v>
      </c>
      <c r="I959" s="26"/>
      <c r="J959" s="26" t="s">
        <v>512</v>
      </c>
      <c r="K959" s="25" t="s">
        <v>513</v>
      </c>
    </row>
    <row r="960" spans="1:11" ht="25.5" x14ac:dyDescent="0.25">
      <c r="A960" s="22">
        <v>2026</v>
      </c>
      <c r="B960" s="28" t="s">
        <v>167</v>
      </c>
      <c r="C960" s="28" t="s">
        <v>97</v>
      </c>
      <c r="D960" s="28" t="s">
        <v>1754</v>
      </c>
      <c r="E960" s="29" t="s">
        <v>569</v>
      </c>
      <c r="F960" s="29" t="s">
        <v>474</v>
      </c>
      <c r="G960" s="25" t="s">
        <v>2745</v>
      </c>
      <c r="H960" s="26">
        <v>-0.22599999999999998</v>
      </c>
      <c r="I960" s="26"/>
      <c r="J960" s="26" t="s">
        <v>512</v>
      </c>
      <c r="K960" s="25" t="s">
        <v>513</v>
      </c>
    </row>
    <row r="961" spans="1:11" ht="25.5" x14ac:dyDescent="0.25">
      <c r="A961" s="22">
        <v>2026</v>
      </c>
      <c r="B961" s="28" t="s">
        <v>167</v>
      </c>
      <c r="C961" s="28" t="s">
        <v>97</v>
      </c>
      <c r="D961" s="28" t="s">
        <v>1754</v>
      </c>
      <c r="E961" s="29" t="s">
        <v>569</v>
      </c>
      <c r="F961" s="29" t="s">
        <v>474</v>
      </c>
      <c r="G961" s="25" t="s">
        <v>2746</v>
      </c>
      <c r="H961" s="26">
        <v>-1.131195</v>
      </c>
      <c r="I961" s="26"/>
      <c r="J961" s="26" t="s">
        <v>512</v>
      </c>
      <c r="K961" s="25" t="s">
        <v>513</v>
      </c>
    </row>
    <row r="962" spans="1:11" ht="25.5" x14ac:dyDescent="0.25">
      <c r="A962" s="22">
        <v>2026</v>
      </c>
      <c r="B962" s="28" t="s">
        <v>167</v>
      </c>
      <c r="C962" s="28" t="s">
        <v>97</v>
      </c>
      <c r="D962" s="28" t="s">
        <v>1754</v>
      </c>
      <c r="E962" s="29" t="s">
        <v>569</v>
      </c>
      <c r="F962" s="29" t="s">
        <v>474</v>
      </c>
      <c r="G962" s="25" t="s">
        <v>2747</v>
      </c>
      <c r="H962" s="26">
        <v>-0.70043479487999993</v>
      </c>
      <c r="I962" s="26"/>
      <c r="J962" s="26" t="s">
        <v>512</v>
      </c>
      <c r="K962" s="25" t="s">
        <v>513</v>
      </c>
    </row>
    <row r="963" spans="1:11" ht="25.5" x14ac:dyDescent="0.25">
      <c r="A963" s="22">
        <v>2026</v>
      </c>
      <c r="B963" s="28" t="s">
        <v>167</v>
      </c>
      <c r="C963" s="28" t="s">
        <v>97</v>
      </c>
      <c r="D963" s="28" t="s">
        <v>1754</v>
      </c>
      <c r="E963" s="29" t="s">
        <v>569</v>
      </c>
      <c r="F963" s="29" t="s">
        <v>474</v>
      </c>
      <c r="G963" s="25" t="s">
        <v>2748</v>
      </c>
      <c r="H963" s="26">
        <v>-0.45900000000000002</v>
      </c>
      <c r="I963" s="26"/>
      <c r="J963" s="26" t="s">
        <v>512</v>
      </c>
      <c r="K963" s="25" t="s">
        <v>513</v>
      </c>
    </row>
    <row r="964" spans="1:11" ht="25.5" x14ac:dyDescent="0.25">
      <c r="A964" s="22">
        <v>2026</v>
      </c>
      <c r="B964" s="28" t="s">
        <v>167</v>
      </c>
      <c r="C964" s="28" t="s">
        <v>97</v>
      </c>
      <c r="D964" s="28" t="s">
        <v>1754</v>
      </c>
      <c r="E964" s="29" t="s">
        <v>569</v>
      </c>
      <c r="F964" s="29" t="s">
        <v>474</v>
      </c>
      <c r="G964" s="25" t="s">
        <v>2749</v>
      </c>
      <c r="H964" s="26">
        <v>-0.22454286857999997</v>
      </c>
      <c r="I964" s="26"/>
      <c r="J964" s="26" t="s">
        <v>512</v>
      </c>
      <c r="K964" s="25" t="s">
        <v>513</v>
      </c>
    </row>
    <row r="965" spans="1:11" ht="25.5" x14ac:dyDescent="0.25">
      <c r="A965" s="22">
        <v>2026</v>
      </c>
      <c r="B965" s="28" t="s">
        <v>167</v>
      </c>
      <c r="C965" s="28" t="s">
        <v>97</v>
      </c>
      <c r="D965" s="28" t="s">
        <v>1755</v>
      </c>
      <c r="E965" s="29" t="s">
        <v>923</v>
      </c>
      <c r="F965" s="29" t="s">
        <v>340</v>
      </c>
      <c r="G965" s="25" t="s">
        <v>2750</v>
      </c>
      <c r="H965" s="26">
        <v>-0.22075</v>
      </c>
      <c r="I965" s="26"/>
      <c r="J965" s="26" t="s">
        <v>512</v>
      </c>
      <c r="K965" s="25" t="s">
        <v>513</v>
      </c>
    </row>
    <row r="966" spans="1:11" ht="25.5" x14ac:dyDescent="0.25">
      <c r="A966" s="22">
        <v>2026</v>
      </c>
      <c r="B966" s="28" t="s">
        <v>167</v>
      </c>
      <c r="C966" s="28" t="s">
        <v>97</v>
      </c>
      <c r="D966" s="28" t="s">
        <v>1755</v>
      </c>
      <c r="E966" s="29" t="s">
        <v>923</v>
      </c>
      <c r="F966" s="29" t="s">
        <v>340</v>
      </c>
      <c r="G966" s="25" t="s">
        <v>2751</v>
      </c>
      <c r="H966" s="26">
        <v>-0.26700000000000002</v>
      </c>
      <c r="I966" s="26"/>
      <c r="J966" s="26" t="s">
        <v>512</v>
      </c>
      <c r="K966" s="25" t="s">
        <v>513</v>
      </c>
    </row>
    <row r="967" spans="1:11" ht="25.5" x14ac:dyDescent="0.25">
      <c r="A967" s="22">
        <v>2026</v>
      </c>
      <c r="B967" s="28" t="s">
        <v>167</v>
      </c>
      <c r="C967" s="28" t="s">
        <v>97</v>
      </c>
      <c r="D967" s="28" t="s">
        <v>1755</v>
      </c>
      <c r="E967" s="29" t="s">
        <v>923</v>
      </c>
      <c r="F967" s="29" t="s">
        <v>340</v>
      </c>
      <c r="G967" s="25" t="s">
        <v>2752</v>
      </c>
      <c r="H967" s="26">
        <v>-0.19689999999999999</v>
      </c>
      <c r="I967" s="26"/>
      <c r="J967" s="26" t="s">
        <v>512</v>
      </c>
      <c r="K967" s="25" t="s">
        <v>513</v>
      </c>
    </row>
    <row r="968" spans="1:11" ht="25.5" x14ac:dyDescent="0.25">
      <c r="A968" s="22">
        <v>2026</v>
      </c>
      <c r="B968" s="28" t="s">
        <v>167</v>
      </c>
      <c r="C968" s="28" t="s">
        <v>97</v>
      </c>
      <c r="D968" s="28" t="s">
        <v>1755</v>
      </c>
      <c r="E968" s="29" t="s">
        <v>923</v>
      </c>
      <c r="F968" s="29" t="s">
        <v>340</v>
      </c>
      <c r="G968" s="25" t="s">
        <v>2753</v>
      </c>
      <c r="H968" s="26">
        <v>-0.14319999999999999</v>
      </c>
      <c r="I968" s="26"/>
      <c r="J968" s="26" t="s">
        <v>512</v>
      </c>
      <c r="K968" s="25" t="s">
        <v>513</v>
      </c>
    </row>
    <row r="969" spans="1:11" ht="25.5" x14ac:dyDescent="0.25">
      <c r="A969" s="22">
        <v>2026</v>
      </c>
      <c r="B969" s="28" t="s">
        <v>167</v>
      </c>
      <c r="C969" s="28" t="s">
        <v>97</v>
      </c>
      <c r="D969" s="28" t="s">
        <v>1755</v>
      </c>
      <c r="E969" s="29" t="s">
        <v>923</v>
      </c>
      <c r="F969" s="29" t="s">
        <v>340</v>
      </c>
      <c r="G969" s="25" t="s">
        <v>2754</v>
      </c>
      <c r="H969" s="26">
        <v>-0.31430000000000002</v>
      </c>
      <c r="I969" s="26"/>
      <c r="J969" s="26" t="s">
        <v>512</v>
      </c>
      <c r="K969" s="25" t="s">
        <v>513</v>
      </c>
    </row>
    <row r="970" spans="1:11" ht="25.5" x14ac:dyDescent="0.25">
      <c r="A970" s="22">
        <v>2026</v>
      </c>
      <c r="B970" s="28" t="s">
        <v>167</v>
      </c>
      <c r="C970" s="28" t="s">
        <v>97</v>
      </c>
      <c r="D970" s="28" t="s">
        <v>1755</v>
      </c>
      <c r="E970" s="29" t="s">
        <v>923</v>
      </c>
      <c r="F970" s="29" t="s">
        <v>340</v>
      </c>
      <c r="G970" s="25" t="s">
        <v>2755</v>
      </c>
      <c r="H970" s="26">
        <v>-0.31743250000000001</v>
      </c>
      <c r="I970" s="26"/>
      <c r="J970" s="26" t="s">
        <v>512</v>
      </c>
      <c r="K970" s="25" t="s">
        <v>513</v>
      </c>
    </row>
    <row r="971" spans="1:11" ht="25.5" x14ac:dyDescent="0.25">
      <c r="A971" s="22">
        <v>2026</v>
      </c>
      <c r="B971" s="28" t="s">
        <v>167</v>
      </c>
      <c r="C971" s="28" t="s">
        <v>97</v>
      </c>
      <c r="D971" s="28" t="s">
        <v>1755</v>
      </c>
      <c r="E971" s="29" t="s">
        <v>923</v>
      </c>
      <c r="F971" s="29" t="s">
        <v>340</v>
      </c>
      <c r="G971" s="25" t="s">
        <v>2756</v>
      </c>
      <c r="H971" s="26">
        <v>-0.31745000000000001</v>
      </c>
      <c r="I971" s="26"/>
      <c r="J971" s="26" t="s">
        <v>512</v>
      </c>
      <c r="K971" s="25" t="s">
        <v>513</v>
      </c>
    </row>
    <row r="972" spans="1:11" ht="25.5" x14ac:dyDescent="0.25">
      <c r="A972" s="22">
        <v>2026</v>
      </c>
      <c r="B972" s="28" t="s">
        <v>167</v>
      </c>
      <c r="C972" s="28" t="s">
        <v>97</v>
      </c>
      <c r="D972" s="28" t="s">
        <v>1755</v>
      </c>
      <c r="E972" s="29" t="s">
        <v>923</v>
      </c>
      <c r="F972" s="29" t="s">
        <v>340</v>
      </c>
      <c r="G972" s="25" t="s">
        <v>2757</v>
      </c>
      <c r="H972" s="26">
        <v>-0.31771250000000001</v>
      </c>
      <c r="I972" s="26"/>
      <c r="J972" s="26" t="s">
        <v>512</v>
      </c>
      <c r="K972" s="25" t="s">
        <v>513</v>
      </c>
    </row>
    <row r="973" spans="1:11" ht="25.5" x14ac:dyDescent="0.25">
      <c r="A973" s="22">
        <v>2026</v>
      </c>
      <c r="B973" s="28" t="s">
        <v>167</v>
      </c>
      <c r="C973" s="28" t="s">
        <v>97</v>
      </c>
      <c r="D973" s="28" t="s">
        <v>1755</v>
      </c>
      <c r="E973" s="29" t="s">
        <v>923</v>
      </c>
      <c r="F973" s="29" t="s">
        <v>340</v>
      </c>
      <c r="G973" s="25" t="s">
        <v>2758</v>
      </c>
      <c r="H973" s="26">
        <v>-0.31689000000000001</v>
      </c>
      <c r="I973" s="26"/>
      <c r="J973" s="26" t="s">
        <v>512</v>
      </c>
      <c r="K973" s="25" t="s">
        <v>513</v>
      </c>
    </row>
    <row r="974" spans="1:11" ht="25.5" x14ac:dyDescent="0.25">
      <c r="A974" s="22">
        <v>2026</v>
      </c>
      <c r="B974" s="28" t="s">
        <v>167</v>
      </c>
      <c r="C974" s="28" t="s">
        <v>97</v>
      </c>
      <c r="D974" s="28" t="s">
        <v>1755</v>
      </c>
      <c r="E974" s="29" t="s">
        <v>923</v>
      </c>
      <c r="F974" s="29" t="s">
        <v>340</v>
      </c>
      <c r="G974" s="25" t="s">
        <v>2759</v>
      </c>
      <c r="H974" s="26">
        <v>-0.221688</v>
      </c>
      <c r="I974" s="26"/>
      <c r="J974" s="26" t="s">
        <v>512</v>
      </c>
      <c r="K974" s="25" t="s">
        <v>513</v>
      </c>
    </row>
    <row r="975" spans="1:11" ht="25.5" x14ac:dyDescent="0.25">
      <c r="A975" s="22">
        <v>2026</v>
      </c>
      <c r="B975" s="28" t="s">
        <v>167</v>
      </c>
      <c r="C975" s="28" t="s">
        <v>97</v>
      </c>
      <c r="D975" s="28" t="s">
        <v>1755</v>
      </c>
      <c r="E975" s="29" t="s">
        <v>923</v>
      </c>
      <c r="F975" s="29" t="s">
        <v>340</v>
      </c>
      <c r="G975" s="25" t="s">
        <v>2760</v>
      </c>
      <c r="H975" s="26">
        <v>-0.32030249999999999</v>
      </c>
      <c r="I975" s="26"/>
      <c r="J975" s="26" t="s">
        <v>512</v>
      </c>
      <c r="K975" s="25" t="s">
        <v>513</v>
      </c>
    </row>
    <row r="976" spans="1:11" ht="25.5" x14ac:dyDescent="0.25">
      <c r="A976" s="22">
        <v>2026</v>
      </c>
      <c r="B976" s="28" t="s">
        <v>167</v>
      </c>
      <c r="C976" s="28" t="s">
        <v>97</v>
      </c>
      <c r="D976" s="28" t="s">
        <v>1755</v>
      </c>
      <c r="E976" s="29" t="s">
        <v>923</v>
      </c>
      <c r="F976" s="29" t="s">
        <v>340</v>
      </c>
      <c r="G976" s="25" t="s">
        <v>2761</v>
      </c>
      <c r="H976" s="26">
        <v>-5.4780000000000002E-2</v>
      </c>
      <c r="I976" s="26"/>
      <c r="J976" s="26" t="s">
        <v>512</v>
      </c>
      <c r="K976" s="25" t="s">
        <v>513</v>
      </c>
    </row>
    <row r="977" spans="1:11" ht="25.5" x14ac:dyDescent="0.25">
      <c r="A977" s="22">
        <v>2026</v>
      </c>
      <c r="B977" s="28" t="s">
        <v>167</v>
      </c>
      <c r="C977" s="28" t="s">
        <v>97</v>
      </c>
      <c r="D977" s="28" t="s">
        <v>1755</v>
      </c>
      <c r="E977" s="29" t="s">
        <v>923</v>
      </c>
      <c r="F977" s="29" t="s">
        <v>340</v>
      </c>
      <c r="G977" s="25" t="s">
        <v>2762</v>
      </c>
      <c r="H977" s="26">
        <v>-0.31727499999999997</v>
      </c>
      <c r="I977" s="26"/>
      <c r="J977" s="26" t="s">
        <v>512</v>
      </c>
      <c r="K977" s="25" t="s">
        <v>513</v>
      </c>
    </row>
    <row r="978" spans="1:11" ht="25.5" x14ac:dyDescent="0.25">
      <c r="A978" s="22">
        <v>2026</v>
      </c>
      <c r="B978" s="28" t="s">
        <v>167</v>
      </c>
      <c r="C978" s="28" t="s">
        <v>97</v>
      </c>
      <c r="D978" s="28" t="s">
        <v>1755</v>
      </c>
      <c r="E978" s="29" t="s">
        <v>923</v>
      </c>
      <c r="F978" s="29" t="s">
        <v>340</v>
      </c>
      <c r="G978" s="25" t="s">
        <v>2763</v>
      </c>
      <c r="H978" s="26">
        <v>-0.23100000000000001</v>
      </c>
      <c r="I978" s="26"/>
      <c r="J978" s="26" t="s">
        <v>512</v>
      </c>
      <c r="K978" s="25" t="s">
        <v>513</v>
      </c>
    </row>
    <row r="979" spans="1:11" ht="25.5" x14ac:dyDescent="0.25">
      <c r="A979" s="22">
        <v>2026</v>
      </c>
      <c r="B979" s="28" t="s">
        <v>167</v>
      </c>
      <c r="C979" s="28" t="s">
        <v>97</v>
      </c>
      <c r="D979" s="28" t="s">
        <v>1755</v>
      </c>
      <c r="E979" s="29" t="s">
        <v>923</v>
      </c>
      <c r="F979" s="29" t="s">
        <v>340</v>
      </c>
      <c r="G979" s="25" t="s">
        <v>2764</v>
      </c>
      <c r="H979" s="26">
        <v>-0.32129999999999997</v>
      </c>
      <c r="I979" s="26"/>
      <c r="J979" s="26" t="s">
        <v>512</v>
      </c>
      <c r="K979" s="25" t="s">
        <v>513</v>
      </c>
    </row>
    <row r="980" spans="1:11" ht="25.5" x14ac:dyDescent="0.25">
      <c r="A980" s="22">
        <v>2026</v>
      </c>
      <c r="B980" s="28" t="s">
        <v>167</v>
      </c>
      <c r="C980" s="28" t="s">
        <v>97</v>
      </c>
      <c r="D980" s="28" t="s">
        <v>1755</v>
      </c>
      <c r="E980" s="29" t="s">
        <v>923</v>
      </c>
      <c r="F980" s="29" t="s">
        <v>340</v>
      </c>
      <c r="G980" s="25" t="s">
        <v>2765</v>
      </c>
      <c r="H980" s="26">
        <v>-0.1827</v>
      </c>
      <c r="I980" s="26"/>
      <c r="J980" s="26" t="s">
        <v>512</v>
      </c>
      <c r="K980" s="25" t="s">
        <v>513</v>
      </c>
    </row>
    <row r="981" spans="1:11" ht="25.5" x14ac:dyDescent="0.25">
      <c r="A981" s="22">
        <v>2026</v>
      </c>
      <c r="B981" s="28" t="s">
        <v>167</v>
      </c>
      <c r="C981" s="28" t="s">
        <v>97</v>
      </c>
      <c r="D981" s="28" t="s">
        <v>1755</v>
      </c>
      <c r="E981" s="29" t="s">
        <v>923</v>
      </c>
      <c r="F981" s="29" t="s">
        <v>340</v>
      </c>
      <c r="G981" s="25" t="s">
        <v>2766</v>
      </c>
      <c r="H981" s="26">
        <v>-0.22789999999999999</v>
      </c>
      <c r="I981" s="26"/>
      <c r="J981" s="26" t="s">
        <v>512</v>
      </c>
      <c r="K981" s="25" t="s">
        <v>513</v>
      </c>
    </row>
    <row r="982" spans="1:11" ht="25.5" x14ac:dyDescent="0.25">
      <c r="A982" s="22">
        <v>2026</v>
      </c>
      <c r="B982" s="28" t="s">
        <v>167</v>
      </c>
      <c r="C982" s="28" t="s">
        <v>97</v>
      </c>
      <c r="D982" s="28" t="s">
        <v>1755</v>
      </c>
      <c r="E982" s="29" t="s">
        <v>923</v>
      </c>
      <c r="F982" s="29" t="s">
        <v>340</v>
      </c>
      <c r="G982" s="25" t="s">
        <v>2767</v>
      </c>
      <c r="H982" s="26">
        <v>-0.14576</v>
      </c>
      <c r="I982" s="26"/>
      <c r="J982" s="26" t="s">
        <v>512</v>
      </c>
      <c r="K982" s="25" t="s">
        <v>513</v>
      </c>
    </row>
    <row r="983" spans="1:11" ht="25.5" x14ac:dyDescent="0.25">
      <c r="A983" s="22">
        <v>2026</v>
      </c>
      <c r="B983" s="28" t="s">
        <v>167</v>
      </c>
      <c r="C983" s="28" t="s">
        <v>97</v>
      </c>
      <c r="D983" s="28" t="s">
        <v>1755</v>
      </c>
      <c r="E983" s="29" t="s">
        <v>923</v>
      </c>
      <c r="F983" s="29" t="s">
        <v>340</v>
      </c>
      <c r="G983" s="25" t="s">
        <v>2768</v>
      </c>
      <c r="H983" s="26">
        <v>-0.31801000000000001</v>
      </c>
      <c r="I983" s="26"/>
      <c r="J983" s="26" t="s">
        <v>512</v>
      </c>
      <c r="K983" s="25" t="s">
        <v>513</v>
      </c>
    </row>
    <row r="984" spans="1:11" ht="25.5" x14ac:dyDescent="0.25">
      <c r="A984" s="22">
        <v>2026</v>
      </c>
      <c r="B984" s="28" t="s">
        <v>167</v>
      </c>
      <c r="C984" s="28" t="s">
        <v>97</v>
      </c>
      <c r="D984" s="28" t="s">
        <v>1790</v>
      </c>
      <c r="E984" s="29" t="s">
        <v>1781</v>
      </c>
      <c r="F984" s="29" t="s">
        <v>287</v>
      </c>
      <c r="G984" s="25" t="s">
        <v>2769</v>
      </c>
      <c r="H984" s="26">
        <v>-3.3360000000000001E-2</v>
      </c>
      <c r="I984" s="26"/>
      <c r="J984" s="26" t="s">
        <v>512</v>
      </c>
      <c r="K984" s="25" t="s">
        <v>513</v>
      </c>
    </row>
    <row r="985" spans="1:11" ht="25.5" x14ac:dyDescent="0.25">
      <c r="A985" s="22">
        <v>2026</v>
      </c>
      <c r="B985" s="28" t="s">
        <v>167</v>
      </c>
      <c r="C985" s="28" t="s">
        <v>97</v>
      </c>
      <c r="D985" s="28" t="s">
        <v>1790</v>
      </c>
      <c r="E985" s="29" t="s">
        <v>1781</v>
      </c>
      <c r="F985" s="29" t="s">
        <v>287</v>
      </c>
      <c r="G985" s="25" t="s">
        <v>2770</v>
      </c>
      <c r="H985" s="26">
        <v>-5.6000000000000001E-2</v>
      </c>
      <c r="I985" s="26"/>
      <c r="J985" s="26" t="s">
        <v>512</v>
      </c>
      <c r="K985" s="25" t="s">
        <v>513</v>
      </c>
    </row>
    <row r="986" spans="1:11" ht="25.5" x14ac:dyDescent="0.25">
      <c r="A986" s="22">
        <v>2026</v>
      </c>
      <c r="B986" s="28" t="s">
        <v>167</v>
      </c>
      <c r="C986" s="28" t="s">
        <v>97</v>
      </c>
      <c r="D986" s="28" t="s">
        <v>1790</v>
      </c>
      <c r="E986" s="29" t="s">
        <v>1781</v>
      </c>
      <c r="F986" s="29" t="s">
        <v>287</v>
      </c>
      <c r="G986" s="25" t="s">
        <v>2771</v>
      </c>
      <c r="H986" s="26">
        <v>-0.41907</v>
      </c>
      <c r="I986" s="26"/>
      <c r="J986" s="26" t="s">
        <v>512</v>
      </c>
      <c r="K986" s="25" t="s">
        <v>513</v>
      </c>
    </row>
    <row r="987" spans="1:11" ht="25.5" x14ac:dyDescent="0.25">
      <c r="A987" s="22">
        <v>2026</v>
      </c>
      <c r="B987" s="28" t="s">
        <v>167</v>
      </c>
      <c r="C987" s="28" t="s">
        <v>97</v>
      </c>
      <c r="D987" s="28" t="s">
        <v>1790</v>
      </c>
      <c r="E987" s="29" t="s">
        <v>1781</v>
      </c>
      <c r="F987" s="29" t="s">
        <v>287</v>
      </c>
      <c r="G987" s="25" t="s">
        <v>2772</v>
      </c>
      <c r="H987" s="26">
        <v>-0.27900000000000003</v>
      </c>
      <c r="I987" s="26"/>
      <c r="J987" s="26" t="s">
        <v>512</v>
      </c>
      <c r="K987" s="25" t="s">
        <v>513</v>
      </c>
    </row>
    <row r="988" spans="1:11" ht="25.5" x14ac:dyDescent="0.25">
      <c r="A988" s="22">
        <v>2026</v>
      </c>
      <c r="B988" s="28" t="s">
        <v>167</v>
      </c>
      <c r="C988" s="28" t="s">
        <v>97</v>
      </c>
      <c r="D988" s="28" t="s">
        <v>1790</v>
      </c>
      <c r="E988" s="29" t="s">
        <v>1781</v>
      </c>
      <c r="F988" s="29" t="s">
        <v>287</v>
      </c>
      <c r="G988" s="25" t="s">
        <v>2773</v>
      </c>
      <c r="H988" s="26">
        <v>-0.22559999999999999</v>
      </c>
      <c r="I988" s="26"/>
      <c r="J988" s="26" t="s">
        <v>512</v>
      </c>
      <c r="K988" s="25" t="s">
        <v>513</v>
      </c>
    </row>
    <row r="989" spans="1:11" ht="25.5" x14ac:dyDescent="0.25">
      <c r="A989" s="22">
        <v>2026</v>
      </c>
      <c r="B989" s="28" t="s">
        <v>167</v>
      </c>
      <c r="C989" s="28" t="s">
        <v>97</v>
      </c>
      <c r="D989" s="28" t="s">
        <v>1790</v>
      </c>
      <c r="E989" s="29" t="s">
        <v>1781</v>
      </c>
      <c r="F989" s="29" t="s">
        <v>287</v>
      </c>
      <c r="G989" s="25" t="s">
        <v>2774</v>
      </c>
      <c r="H989" s="26">
        <v>-7.0499999999999993E-2</v>
      </c>
      <c r="I989" s="26"/>
      <c r="J989" s="26" t="s">
        <v>512</v>
      </c>
      <c r="K989" s="25" t="s">
        <v>513</v>
      </c>
    </row>
    <row r="990" spans="1:11" ht="25.5" x14ac:dyDescent="0.25">
      <c r="A990" s="22">
        <v>2026</v>
      </c>
      <c r="B990" s="28" t="s">
        <v>167</v>
      </c>
      <c r="C990" s="28" t="s">
        <v>97</v>
      </c>
      <c r="D990" s="28" t="s">
        <v>1790</v>
      </c>
      <c r="E990" s="29" t="s">
        <v>1781</v>
      </c>
      <c r="F990" s="29" t="s">
        <v>287</v>
      </c>
      <c r="G990" s="25" t="s">
        <v>2775</v>
      </c>
      <c r="H990" s="26">
        <v>-2.8299999999999999E-2</v>
      </c>
      <c r="I990" s="26"/>
      <c r="J990" s="26" t="s">
        <v>512</v>
      </c>
      <c r="K990" s="25" t="s">
        <v>513</v>
      </c>
    </row>
    <row r="991" spans="1:11" ht="25.5" x14ac:dyDescent="0.25">
      <c r="A991" s="22">
        <v>2026</v>
      </c>
      <c r="B991" s="28" t="s">
        <v>167</v>
      </c>
      <c r="C991" s="28" t="s">
        <v>97</v>
      </c>
      <c r="D991" s="28" t="s">
        <v>1790</v>
      </c>
      <c r="E991" s="29" t="s">
        <v>1781</v>
      </c>
      <c r="F991" s="29" t="s">
        <v>287</v>
      </c>
      <c r="G991" s="25" t="s">
        <v>2776</v>
      </c>
      <c r="H991" s="26">
        <v>-8.6099999999999996E-2</v>
      </c>
      <c r="I991" s="26"/>
      <c r="J991" s="26" t="s">
        <v>512</v>
      </c>
      <c r="K991" s="25" t="s">
        <v>513</v>
      </c>
    </row>
    <row r="992" spans="1:11" ht="25.5" x14ac:dyDescent="0.25">
      <c r="A992" s="22">
        <v>2026</v>
      </c>
      <c r="B992" s="28" t="s">
        <v>167</v>
      </c>
      <c r="C992" s="28" t="s">
        <v>97</v>
      </c>
      <c r="D992" s="28" t="s">
        <v>1790</v>
      </c>
      <c r="E992" s="29" t="s">
        <v>1781</v>
      </c>
      <c r="F992" s="29" t="s">
        <v>287</v>
      </c>
      <c r="G992" s="25" t="s">
        <v>2777</v>
      </c>
      <c r="H992" s="26">
        <v>-0.14288000000000001</v>
      </c>
      <c r="I992" s="26"/>
      <c r="J992" s="26" t="s">
        <v>512</v>
      </c>
      <c r="K992" s="25" t="s">
        <v>513</v>
      </c>
    </row>
    <row r="993" spans="1:11" ht="25.5" x14ac:dyDescent="0.25">
      <c r="A993" s="22">
        <v>2026</v>
      </c>
      <c r="B993" s="28" t="s">
        <v>167</v>
      </c>
      <c r="C993" s="28" t="s">
        <v>97</v>
      </c>
      <c r="D993" s="28" t="s">
        <v>1790</v>
      </c>
      <c r="E993" s="29" t="s">
        <v>1781</v>
      </c>
      <c r="F993" s="29" t="s">
        <v>287</v>
      </c>
      <c r="G993" s="25" t="s">
        <v>2778</v>
      </c>
      <c r="H993" s="26">
        <v>-5.74E-2</v>
      </c>
      <c r="I993" s="26"/>
      <c r="J993" s="26" t="s">
        <v>512</v>
      </c>
      <c r="K993" s="25" t="s">
        <v>513</v>
      </c>
    </row>
    <row r="994" spans="1:11" ht="25.5" x14ac:dyDescent="0.25">
      <c r="A994" s="22">
        <v>2026</v>
      </c>
      <c r="B994" s="28" t="s">
        <v>167</v>
      </c>
      <c r="C994" s="28" t="s">
        <v>97</v>
      </c>
      <c r="D994" s="28" t="s">
        <v>182</v>
      </c>
      <c r="E994" s="29" t="s">
        <v>321</v>
      </c>
      <c r="F994" s="29" t="s">
        <v>322</v>
      </c>
      <c r="G994" s="25" t="s">
        <v>2779</v>
      </c>
      <c r="H994" s="26">
        <v>-2.4227399999999997</v>
      </c>
      <c r="I994" s="26"/>
      <c r="J994" s="26" t="s">
        <v>519</v>
      </c>
      <c r="K994" s="25" t="s">
        <v>513</v>
      </c>
    </row>
    <row r="995" spans="1:11" ht="25.5" x14ac:dyDescent="0.25">
      <c r="A995" s="22">
        <v>2026</v>
      </c>
      <c r="B995" s="28" t="s">
        <v>167</v>
      </c>
      <c r="C995" s="28" t="s">
        <v>97</v>
      </c>
      <c r="D995" s="28" t="s">
        <v>182</v>
      </c>
      <c r="E995" s="29" t="s">
        <v>321</v>
      </c>
      <c r="F995" s="29" t="s">
        <v>322</v>
      </c>
      <c r="G995" s="25" t="s">
        <v>2780</v>
      </c>
      <c r="H995" s="26">
        <v>-2.1462349999999999</v>
      </c>
      <c r="I995" s="26"/>
      <c r="J995" s="26" t="s">
        <v>519</v>
      </c>
      <c r="K995" s="25" t="s">
        <v>513</v>
      </c>
    </row>
    <row r="996" spans="1:11" ht="25.5" x14ac:dyDescent="0.25">
      <c r="A996" s="22">
        <v>2026</v>
      </c>
      <c r="B996" s="28" t="s">
        <v>167</v>
      </c>
      <c r="C996" s="28" t="s">
        <v>97</v>
      </c>
      <c r="D996" s="28" t="s">
        <v>1757</v>
      </c>
      <c r="E996" s="29" t="s">
        <v>1783</v>
      </c>
      <c r="F996" s="29" t="s">
        <v>322</v>
      </c>
      <c r="G996" s="25" t="s">
        <v>2781</v>
      </c>
      <c r="H996" s="26">
        <v>-9.6250000000000002E-2</v>
      </c>
      <c r="I996" s="26"/>
      <c r="J996" s="26" t="s">
        <v>514</v>
      </c>
      <c r="K996" s="25" t="s">
        <v>1768</v>
      </c>
    </row>
    <row r="997" spans="1:11" ht="25.5" x14ac:dyDescent="0.25">
      <c r="A997" s="22">
        <v>2026</v>
      </c>
      <c r="B997" s="28" t="s">
        <v>167</v>
      </c>
      <c r="C997" s="28" t="s">
        <v>97</v>
      </c>
      <c r="D997" s="28" t="s">
        <v>1757</v>
      </c>
      <c r="E997" s="29" t="s">
        <v>1783</v>
      </c>
      <c r="F997" s="29" t="s">
        <v>322</v>
      </c>
      <c r="G997" s="25" t="s">
        <v>2782</v>
      </c>
      <c r="H997" s="26">
        <v>-9.8315E-2</v>
      </c>
      <c r="I997" s="26"/>
      <c r="J997" s="26" t="s">
        <v>514</v>
      </c>
      <c r="K997" s="25" t="s">
        <v>1768</v>
      </c>
    </row>
    <row r="998" spans="1:11" ht="25.5" x14ac:dyDescent="0.25">
      <c r="A998" s="22">
        <v>2026</v>
      </c>
      <c r="B998" s="28" t="s">
        <v>167</v>
      </c>
      <c r="C998" s="28" t="s">
        <v>97</v>
      </c>
      <c r="D998" s="28" t="s">
        <v>531</v>
      </c>
      <c r="E998" s="29" t="s">
        <v>551</v>
      </c>
      <c r="F998" s="29" t="s">
        <v>322</v>
      </c>
      <c r="G998" s="25" t="s">
        <v>2783</v>
      </c>
      <c r="H998" s="26">
        <v>-0.47074999999999995</v>
      </c>
      <c r="I998" s="26"/>
      <c r="J998" s="26" t="s">
        <v>514</v>
      </c>
      <c r="K998" s="25" t="s">
        <v>513</v>
      </c>
    </row>
    <row r="999" spans="1:11" ht="25.5" x14ac:dyDescent="0.25">
      <c r="A999" s="22">
        <v>2026</v>
      </c>
      <c r="B999" s="28" t="s">
        <v>167</v>
      </c>
      <c r="C999" s="28" t="s">
        <v>97</v>
      </c>
      <c r="D999" s="28" t="s">
        <v>531</v>
      </c>
      <c r="E999" s="29" t="s">
        <v>551</v>
      </c>
      <c r="F999" s="29" t="s">
        <v>322</v>
      </c>
      <c r="G999" s="25" t="s">
        <v>2784</v>
      </c>
      <c r="H999" s="26">
        <v>-0.33478613229999998</v>
      </c>
      <c r="I999" s="26"/>
      <c r="J999" s="26" t="s">
        <v>514</v>
      </c>
      <c r="K999" s="25" t="s">
        <v>513</v>
      </c>
    </row>
    <row r="1000" spans="1:11" ht="25.5" x14ac:dyDescent="0.25">
      <c r="A1000" s="22">
        <v>2026</v>
      </c>
      <c r="B1000" s="28" t="s">
        <v>167</v>
      </c>
      <c r="C1000" s="28" t="s">
        <v>97</v>
      </c>
      <c r="D1000" s="28" t="s">
        <v>531</v>
      </c>
      <c r="E1000" s="29" t="s">
        <v>551</v>
      </c>
      <c r="F1000" s="29" t="s">
        <v>322</v>
      </c>
      <c r="G1000" s="25" t="s">
        <v>2785</v>
      </c>
      <c r="H1000" s="26">
        <v>-0.28520734896000005</v>
      </c>
      <c r="I1000" s="26"/>
      <c r="J1000" s="26" t="s">
        <v>514</v>
      </c>
      <c r="K1000" s="25" t="s">
        <v>513</v>
      </c>
    </row>
    <row r="1001" spans="1:11" ht="25.5" x14ac:dyDescent="0.25">
      <c r="A1001" s="22">
        <v>2026</v>
      </c>
      <c r="B1001" s="28" t="s">
        <v>167</v>
      </c>
      <c r="C1001" s="28" t="s">
        <v>97</v>
      </c>
      <c r="D1001" s="28" t="s">
        <v>531</v>
      </c>
      <c r="E1001" s="29" t="s">
        <v>551</v>
      </c>
      <c r="F1001" s="29" t="s">
        <v>322</v>
      </c>
      <c r="G1001" s="25" t="s">
        <v>2786</v>
      </c>
      <c r="H1001" s="26">
        <v>-0.71233500000000005</v>
      </c>
      <c r="I1001" s="26"/>
      <c r="J1001" s="26" t="s">
        <v>514</v>
      </c>
      <c r="K1001" s="25" t="s">
        <v>513</v>
      </c>
    </row>
    <row r="1002" spans="1:11" ht="25.5" x14ac:dyDescent="0.25">
      <c r="A1002" s="22">
        <v>2026</v>
      </c>
      <c r="B1002" s="28" t="s">
        <v>167</v>
      </c>
      <c r="C1002" s="28" t="s">
        <v>97</v>
      </c>
      <c r="D1002" s="28" t="s">
        <v>531</v>
      </c>
      <c r="E1002" s="29" t="s">
        <v>551</v>
      </c>
      <c r="F1002" s="29" t="s">
        <v>322</v>
      </c>
      <c r="G1002" s="25" t="s">
        <v>2787</v>
      </c>
      <c r="H1002" s="26">
        <v>-0.70859700000000003</v>
      </c>
      <c r="I1002" s="26"/>
      <c r="J1002" s="26" t="s">
        <v>514</v>
      </c>
      <c r="K1002" s="25" t="s">
        <v>513</v>
      </c>
    </row>
    <row r="1003" spans="1:11" ht="25.5" x14ac:dyDescent="0.25">
      <c r="A1003" s="22">
        <v>2026</v>
      </c>
      <c r="B1003" s="28" t="s">
        <v>167</v>
      </c>
      <c r="C1003" s="28" t="s">
        <v>97</v>
      </c>
      <c r="D1003" s="28" t="s">
        <v>531</v>
      </c>
      <c r="E1003" s="29" t="s">
        <v>551</v>
      </c>
      <c r="F1003" s="29" t="s">
        <v>322</v>
      </c>
      <c r="G1003" s="25" t="s">
        <v>2788</v>
      </c>
      <c r="H1003" s="26">
        <v>-0.47350000000000003</v>
      </c>
      <c r="I1003" s="26"/>
      <c r="J1003" s="26" t="s">
        <v>514</v>
      </c>
      <c r="K1003" s="25" t="s">
        <v>513</v>
      </c>
    </row>
    <row r="1004" spans="1:11" ht="25.5" x14ac:dyDescent="0.25">
      <c r="A1004" s="22">
        <v>2026</v>
      </c>
      <c r="B1004" s="28" t="s">
        <v>167</v>
      </c>
      <c r="C1004" s="28" t="s">
        <v>97</v>
      </c>
      <c r="D1004" s="28" t="s">
        <v>531</v>
      </c>
      <c r="E1004" s="29" t="s">
        <v>551</v>
      </c>
      <c r="F1004" s="29" t="s">
        <v>322</v>
      </c>
      <c r="G1004" s="25" t="s">
        <v>2789</v>
      </c>
      <c r="H1004" s="26">
        <v>-0.94899999999999995</v>
      </c>
      <c r="I1004" s="26"/>
      <c r="J1004" s="26" t="s">
        <v>514</v>
      </c>
      <c r="K1004" s="25" t="s">
        <v>513</v>
      </c>
    </row>
    <row r="1005" spans="1:11" ht="25.5" x14ac:dyDescent="0.25">
      <c r="A1005" s="22">
        <v>2026</v>
      </c>
      <c r="B1005" s="28" t="s">
        <v>167</v>
      </c>
      <c r="C1005" s="28" t="s">
        <v>97</v>
      </c>
      <c r="D1005" s="28" t="s">
        <v>531</v>
      </c>
      <c r="E1005" s="29" t="s">
        <v>551</v>
      </c>
      <c r="F1005" s="29" t="s">
        <v>322</v>
      </c>
      <c r="G1005" s="25" t="s">
        <v>2790</v>
      </c>
      <c r="H1005" s="26">
        <v>-0.28039979999999998</v>
      </c>
      <c r="I1005" s="26"/>
      <c r="J1005" s="26" t="s">
        <v>514</v>
      </c>
      <c r="K1005" s="25" t="s">
        <v>513</v>
      </c>
    </row>
    <row r="1006" spans="1:11" ht="25.5" x14ac:dyDescent="0.25">
      <c r="A1006" s="22">
        <v>2026</v>
      </c>
      <c r="B1006" s="28" t="s">
        <v>167</v>
      </c>
      <c r="C1006" s="28" t="s">
        <v>97</v>
      </c>
      <c r="D1006" s="28" t="s">
        <v>531</v>
      </c>
      <c r="E1006" s="29" t="s">
        <v>551</v>
      </c>
      <c r="F1006" s="29" t="s">
        <v>322</v>
      </c>
      <c r="G1006" s="25" t="s">
        <v>2791</v>
      </c>
      <c r="H1006" s="26">
        <v>-0.13922999999999999</v>
      </c>
      <c r="I1006" s="26"/>
      <c r="J1006" s="26" t="s">
        <v>514</v>
      </c>
      <c r="K1006" s="25" t="s">
        <v>513</v>
      </c>
    </row>
    <row r="1007" spans="1:11" ht="25.5" x14ac:dyDescent="0.25">
      <c r="A1007" s="22">
        <v>2026</v>
      </c>
      <c r="B1007" s="28" t="s">
        <v>167</v>
      </c>
      <c r="C1007" s="28" t="s">
        <v>97</v>
      </c>
      <c r="D1007" s="28" t="s">
        <v>531</v>
      </c>
      <c r="E1007" s="29" t="s">
        <v>551</v>
      </c>
      <c r="F1007" s="29" t="s">
        <v>322</v>
      </c>
      <c r="G1007" s="25" t="s">
        <v>2792</v>
      </c>
      <c r="H1007" s="26">
        <v>-0.36251023956</v>
      </c>
      <c r="I1007" s="26"/>
      <c r="J1007" s="26" t="s">
        <v>514</v>
      </c>
      <c r="K1007" s="25" t="s">
        <v>513</v>
      </c>
    </row>
    <row r="1008" spans="1:11" ht="25.5" x14ac:dyDescent="0.25">
      <c r="A1008" s="22">
        <v>2026</v>
      </c>
      <c r="B1008" s="28" t="s">
        <v>167</v>
      </c>
      <c r="C1008" s="28" t="s">
        <v>97</v>
      </c>
      <c r="D1008" s="28" t="s">
        <v>531</v>
      </c>
      <c r="E1008" s="29" t="s">
        <v>551</v>
      </c>
      <c r="F1008" s="29" t="s">
        <v>322</v>
      </c>
      <c r="G1008" s="25" t="s">
        <v>2793</v>
      </c>
      <c r="H1008" s="26">
        <v>-0.22999999999999998</v>
      </c>
      <c r="I1008" s="26"/>
      <c r="J1008" s="26" t="s">
        <v>514</v>
      </c>
      <c r="K1008" s="25" t="s">
        <v>513</v>
      </c>
    </row>
    <row r="1009" spans="1:11" ht="25.5" x14ac:dyDescent="0.25">
      <c r="A1009" s="22">
        <v>2026</v>
      </c>
      <c r="B1009" s="28" t="s">
        <v>167</v>
      </c>
      <c r="C1009" s="28" t="s">
        <v>97</v>
      </c>
      <c r="D1009" s="28" t="s">
        <v>531</v>
      </c>
      <c r="E1009" s="29" t="s">
        <v>551</v>
      </c>
      <c r="F1009" s="29" t="s">
        <v>322</v>
      </c>
      <c r="G1009" s="25" t="s">
        <v>2794</v>
      </c>
      <c r="H1009" s="26">
        <v>-0.45400000000000001</v>
      </c>
      <c r="I1009" s="26"/>
      <c r="J1009" s="26" t="s">
        <v>514</v>
      </c>
      <c r="K1009" s="25" t="s">
        <v>513</v>
      </c>
    </row>
    <row r="1010" spans="1:11" ht="25.5" x14ac:dyDescent="0.25">
      <c r="A1010" s="22">
        <v>2026</v>
      </c>
      <c r="B1010" s="28" t="s">
        <v>167</v>
      </c>
      <c r="C1010" s="28" t="s">
        <v>97</v>
      </c>
      <c r="D1010" s="28" t="s">
        <v>531</v>
      </c>
      <c r="E1010" s="29" t="s">
        <v>551</v>
      </c>
      <c r="F1010" s="29" t="s">
        <v>322</v>
      </c>
      <c r="G1010" s="25" t="s">
        <v>2795</v>
      </c>
      <c r="H1010" s="26">
        <v>-0.45350000000000001</v>
      </c>
      <c r="I1010" s="26"/>
      <c r="J1010" s="26" t="s">
        <v>514</v>
      </c>
      <c r="K1010" s="25" t="s">
        <v>513</v>
      </c>
    </row>
    <row r="1011" spans="1:11" ht="25.5" x14ac:dyDescent="0.25">
      <c r="A1011" s="22">
        <v>2026</v>
      </c>
      <c r="B1011" s="28" t="s">
        <v>167</v>
      </c>
      <c r="C1011" s="28" t="s">
        <v>97</v>
      </c>
      <c r="D1011" s="28" t="s">
        <v>531</v>
      </c>
      <c r="E1011" s="29" t="s">
        <v>551</v>
      </c>
      <c r="F1011" s="29" t="s">
        <v>322</v>
      </c>
      <c r="G1011" s="25" t="s">
        <v>2796</v>
      </c>
      <c r="H1011" s="26">
        <v>-0.17575104132</v>
      </c>
      <c r="I1011" s="26"/>
      <c r="J1011" s="26" t="s">
        <v>514</v>
      </c>
      <c r="K1011" s="25" t="s">
        <v>513</v>
      </c>
    </row>
    <row r="1012" spans="1:11" ht="25.5" x14ac:dyDescent="0.25">
      <c r="A1012" s="22">
        <v>2026</v>
      </c>
      <c r="B1012" s="28" t="s">
        <v>167</v>
      </c>
      <c r="C1012" s="28" t="s">
        <v>97</v>
      </c>
      <c r="D1012" s="28" t="s">
        <v>228</v>
      </c>
      <c r="E1012" s="29" t="s">
        <v>411</v>
      </c>
      <c r="F1012" s="29" t="s">
        <v>350</v>
      </c>
      <c r="G1012" s="25" t="s">
        <v>2797</v>
      </c>
      <c r="H1012" s="26">
        <v>-1.8873580326999999</v>
      </c>
      <c r="I1012" s="26"/>
      <c r="J1012" s="26" t="s">
        <v>512</v>
      </c>
      <c r="K1012" s="25" t="s">
        <v>513</v>
      </c>
    </row>
    <row r="1013" spans="1:11" ht="25.5" x14ac:dyDescent="0.25">
      <c r="A1013" s="22">
        <v>2026</v>
      </c>
      <c r="B1013" s="28" t="s">
        <v>167</v>
      </c>
      <c r="C1013" s="28" t="s">
        <v>97</v>
      </c>
      <c r="D1013" s="28" t="s">
        <v>228</v>
      </c>
      <c r="E1013" s="29" t="s">
        <v>411</v>
      </c>
      <c r="F1013" s="29" t="s">
        <v>350</v>
      </c>
      <c r="G1013" s="25" t="s">
        <v>2798</v>
      </c>
      <c r="H1013" s="26">
        <v>-1.6055451984000002</v>
      </c>
      <c r="I1013" s="26"/>
      <c r="J1013" s="26" t="s">
        <v>512</v>
      </c>
      <c r="K1013" s="25" t="s">
        <v>513</v>
      </c>
    </row>
    <row r="1014" spans="1:11" ht="25.5" x14ac:dyDescent="0.25">
      <c r="A1014" s="22">
        <v>2026</v>
      </c>
      <c r="B1014" s="28" t="s">
        <v>167</v>
      </c>
      <c r="C1014" s="28" t="s">
        <v>97</v>
      </c>
      <c r="D1014" s="28" t="s">
        <v>228</v>
      </c>
      <c r="E1014" s="29" t="s">
        <v>411</v>
      </c>
      <c r="F1014" s="29" t="s">
        <v>350</v>
      </c>
      <c r="G1014" s="25" t="s">
        <v>2799</v>
      </c>
      <c r="H1014" s="26">
        <v>-2.6952631856</v>
      </c>
      <c r="I1014" s="26"/>
      <c r="J1014" s="26" t="s">
        <v>512</v>
      </c>
      <c r="K1014" s="25" t="s">
        <v>513</v>
      </c>
    </row>
    <row r="1015" spans="1:11" ht="25.5" x14ac:dyDescent="0.25">
      <c r="A1015" s="22">
        <v>2026</v>
      </c>
      <c r="B1015" s="28" t="s">
        <v>167</v>
      </c>
      <c r="C1015" s="28" t="s">
        <v>97</v>
      </c>
      <c r="D1015" s="28" t="s">
        <v>228</v>
      </c>
      <c r="E1015" s="29" t="s">
        <v>411</v>
      </c>
      <c r="F1015" s="29" t="s">
        <v>350</v>
      </c>
      <c r="G1015" s="25" t="s">
        <v>2800</v>
      </c>
      <c r="H1015" s="26">
        <v>-1.70001</v>
      </c>
      <c r="I1015" s="26"/>
      <c r="J1015" s="26" t="s">
        <v>512</v>
      </c>
      <c r="K1015" s="25" t="s">
        <v>513</v>
      </c>
    </row>
    <row r="1016" spans="1:11" ht="25.5" x14ac:dyDescent="0.25">
      <c r="A1016" s="22">
        <v>2026</v>
      </c>
      <c r="B1016" s="28" t="s">
        <v>167</v>
      </c>
      <c r="C1016" s="28" t="s">
        <v>97</v>
      </c>
      <c r="D1016" s="28" t="s">
        <v>228</v>
      </c>
      <c r="E1016" s="29" t="s">
        <v>411</v>
      </c>
      <c r="F1016" s="29" t="s">
        <v>350</v>
      </c>
      <c r="G1016" s="25" t="s">
        <v>2801</v>
      </c>
      <c r="H1016" s="26">
        <v>-3.1803599999999999</v>
      </c>
      <c r="I1016" s="26"/>
      <c r="J1016" s="26" t="s">
        <v>512</v>
      </c>
      <c r="K1016" s="25" t="s">
        <v>513</v>
      </c>
    </row>
    <row r="1017" spans="1:11" ht="25.5" x14ac:dyDescent="0.25">
      <c r="A1017" s="22">
        <v>2026</v>
      </c>
      <c r="B1017" s="28" t="s">
        <v>167</v>
      </c>
      <c r="C1017" s="28" t="s">
        <v>97</v>
      </c>
      <c r="D1017" s="28" t="s">
        <v>228</v>
      </c>
      <c r="E1017" s="29" t="s">
        <v>411</v>
      </c>
      <c r="F1017" s="29" t="s">
        <v>350</v>
      </c>
      <c r="G1017" s="25" t="s">
        <v>2802</v>
      </c>
      <c r="H1017" s="26">
        <v>-0.13213996280000001</v>
      </c>
      <c r="I1017" s="26"/>
      <c r="J1017" s="26" t="s">
        <v>512</v>
      </c>
      <c r="K1017" s="25" t="s">
        <v>513</v>
      </c>
    </row>
    <row r="1018" spans="1:11" ht="25.5" x14ac:dyDescent="0.25">
      <c r="A1018" s="22">
        <v>2026</v>
      </c>
      <c r="B1018" s="28" t="s">
        <v>167</v>
      </c>
      <c r="C1018" s="28" t="s">
        <v>97</v>
      </c>
      <c r="D1018" s="28" t="s">
        <v>228</v>
      </c>
      <c r="E1018" s="29" t="s">
        <v>411</v>
      </c>
      <c r="F1018" s="29" t="s">
        <v>350</v>
      </c>
      <c r="G1018" s="25" t="s">
        <v>2803</v>
      </c>
      <c r="H1018" s="26">
        <v>-1.4738800000000001</v>
      </c>
      <c r="I1018" s="26"/>
      <c r="J1018" s="26" t="s">
        <v>512</v>
      </c>
      <c r="K1018" s="25" t="s">
        <v>513</v>
      </c>
    </row>
    <row r="1019" spans="1:11" ht="25.5" x14ac:dyDescent="0.25">
      <c r="A1019" s="22">
        <v>2026</v>
      </c>
      <c r="B1019" s="28" t="s">
        <v>167</v>
      </c>
      <c r="C1019" s="28" t="s">
        <v>97</v>
      </c>
      <c r="D1019" s="28" t="s">
        <v>228</v>
      </c>
      <c r="E1019" s="29" t="s">
        <v>411</v>
      </c>
      <c r="F1019" s="29" t="s">
        <v>350</v>
      </c>
      <c r="G1019" s="25" t="s">
        <v>2804</v>
      </c>
      <c r="H1019" s="26">
        <v>-2.1740400000000002</v>
      </c>
      <c r="I1019" s="26"/>
      <c r="J1019" s="26" t="s">
        <v>512</v>
      </c>
      <c r="K1019" s="25" t="s">
        <v>513</v>
      </c>
    </row>
    <row r="1020" spans="1:11" ht="25.5" x14ac:dyDescent="0.25">
      <c r="A1020" s="22">
        <v>2026</v>
      </c>
      <c r="B1020" s="28" t="s">
        <v>183</v>
      </c>
      <c r="C1020" s="28" t="s">
        <v>97</v>
      </c>
      <c r="D1020" s="28" t="s">
        <v>1693</v>
      </c>
      <c r="E1020" s="29" t="s">
        <v>352</v>
      </c>
      <c r="F1020" s="29" t="s">
        <v>903</v>
      </c>
      <c r="G1020" s="25" t="s">
        <v>2821</v>
      </c>
      <c r="H1020" s="26">
        <v>-0.10716525</v>
      </c>
      <c r="I1020" s="26"/>
      <c r="J1020" s="26" t="s">
        <v>512</v>
      </c>
      <c r="K1020" s="25" t="s">
        <v>513</v>
      </c>
    </row>
    <row r="1021" spans="1:11" ht="25.5" x14ac:dyDescent="0.25">
      <c r="A1021" s="22">
        <v>2026</v>
      </c>
      <c r="B1021" s="28" t="s">
        <v>183</v>
      </c>
      <c r="C1021" s="28" t="s">
        <v>97</v>
      </c>
      <c r="D1021" s="28" t="s">
        <v>1693</v>
      </c>
      <c r="E1021" s="29" t="s">
        <v>352</v>
      </c>
      <c r="F1021" s="29" t="s">
        <v>903</v>
      </c>
      <c r="G1021" s="25" t="s">
        <v>2822</v>
      </c>
      <c r="H1021" s="26">
        <v>-1.187176E-2</v>
      </c>
      <c r="I1021" s="26"/>
      <c r="J1021" s="26" t="s">
        <v>512</v>
      </c>
      <c r="K1021" s="25" t="s">
        <v>513</v>
      </c>
    </row>
    <row r="1022" spans="1:11" ht="25.5" x14ac:dyDescent="0.25">
      <c r="A1022" s="22">
        <v>2026</v>
      </c>
      <c r="B1022" s="28" t="s">
        <v>183</v>
      </c>
      <c r="C1022" s="28" t="s">
        <v>97</v>
      </c>
      <c r="D1022" s="28" t="s">
        <v>1693</v>
      </c>
      <c r="E1022" s="29" t="s">
        <v>352</v>
      </c>
      <c r="F1022" s="29" t="s">
        <v>903</v>
      </c>
      <c r="G1022" s="25" t="s">
        <v>2823</v>
      </c>
      <c r="H1022" s="26">
        <v>-0.122022724</v>
      </c>
      <c r="I1022" s="26"/>
      <c r="J1022" s="26" t="s">
        <v>512</v>
      </c>
      <c r="K1022" s="25" t="s">
        <v>513</v>
      </c>
    </row>
    <row r="1023" spans="1:11" ht="25.5" x14ac:dyDescent="0.25">
      <c r="A1023" s="22">
        <v>2026</v>
      </c>
      <c r="B1023" s="28" t="s">
        <v>183</v>
      </c>
      <c r="C1023" s="28" t="s">
        <v>97</v>
      </c>
      <c r="D1023" s="28" t="s">
        <v>1693</v>
      </c>
      <c r="E1023" s="29" t="s">
        <v>352</v>
      </c>
      <c r="F1023" s="29" t="s">
        <v>903</v>
      </c>
      <c r="G1023" s="25" t="s">
        <v>2824</v>
      </c>
      <c r="H1023" s="26">
        <v>-1.4982759999999999E-2</v>
      </c>
      <c r="I1023" s="26"/>
      <c r="J1023" s="26" t="s">
        <v>512</v>
      </c>
      <c r="K1023" s="25" t="s">
        <v>513</v>
      </c>
    </row>
    <row r="1024" spans="1:11" ht="25.5" x14ac:dyDescent="0.25">
      <c r="A1024" s="22">
        <v>2026</v>
      </c>
      <c r="B1024" s="28" t="s">
        <v>183</v>
      </c>
      <c r="C1024" s="28" t="s">
        <v>97</v>
      </c>
      <c r="D1024" s="28" t="s">
        <v>1693</v>
      </c>
      <c r="E1024" s="29" t="s">
        <v>352</v>
      </c>
      <c r="F1024" s="29" t="s">
        <v>903</v>
      </c>
      <c r="G1024" s="25" t="s">
        <v>2825</v>
      </c>
      <c r="H1024" s="26">
        <v>-0.15755082000000001</v>
      </c>
      <c r="I1024" s="26"/>
      <c r="J1024" s="26" t="s">
        <v>512</v>
      </c>
      <c r="K1024" s="25" t="s">
        <v>513</v>
      </c>
    </row>
    <row r="1025" spans="1:11" ht="25.5" x14ac:dyDescent="0.25">
      <c r="A1025" s="22">
        <v>2026</v>
      </c>
      <c r="B1025" s="28" t="s">
        <v>183</v>
      </c>
      <c r="C1025" s="28" t="s">
        <v>97</v>
      </c>
      <c r="D1025" s="28" t="s">
        <v>1693</v>
      </c>
      <c r="E1025" s="29" t="s">
        <v>352</v>
      </c>
      <c r="F1025" s="29" t="s">
        <v>903</v>
      </c>
      <c r="G1025" s="25" t="s">
        <v>2826</v>
      </c>
      <c r="H1025" s="26">
        <v>-0.14189617999999998</v>
      </c>
      <c r="I1025" s="26"/>
      <c r="J1025" s="26" t="s">
        <v>512</v>
      </c>
      <c r="K1025" s="25" t="s">
        <v>513</v>
      </c>
    </row>
    <row r="1026" spans="1:11" ht="25.5" x14ac:dyDescent="0.25">
      <c r="A1026" s="22">
        <v>2026</v>
      </c>
      <c r="B1026" s="28" t="s">
        <v>183</v>
      </c>
      <c r="C1026" s="28" t="s">
        <v>97</v>
      </c>
      <c r="D1026" s="28" t="s">
        <v>1693</v>
      </c>
      <c r="E1026" s="29" t="s">
        <v>352</v>
      </c>
      <c r="F1026" s="29" t="s">
        <v>903</v>
      </c>
      <c r="G1026" s="25" t="s">
        <v>2827</v>
      </c>
      <c r="H1026" s="26">
        <v>-9.1697607320000013E-2</v>
      </c>
      <c r="I1026" s="26"/>
      <c r="J1026" s="26" t="s">
        <v>512</v>
      </c>
      <c r="K1026" s="25" t="s">
        <v>513</v>
      </c>
    </row>
    <row r="1027" spans="1:11" ht="25.5" x14ac:dyDescent="0.25">
      <c r="A1027" s="22">
        <v>2026</v>
      </c>
      <c r="B1027" s="28" t="s">
        <v>183</v>
      </c>
      <c r="C1027" s="28" t="s">
        <v>97</v>
      </c>
      <c r="D1027" s="28" t="s">
        <v>1693</v>
      </c>
      <c r="E1027" s="29" t="s">
        <v>352</v>
      </c>
      <c r="F1027" s="29" t="s">
        <v>903</v>
      </c>
      <c r="G1027" s="25" t="s">
        <v>2828</v>
      </c>
      <c r="H1027" s="26">
        <v>-0.12972273916000002</v>
      </c>
      <c r="I1027" s="26"/>
      <c r="J1027" s="26" t="s">
        <v>512</v>
      </c>
      <c r="K1027" s="25" t="s">
        <v>513</v>
      </c>
    </row>
    <row r="1028" spans="1:11" ht="25.5" x14ac:dyDescent="0.25">
      <c r="A1028" s="22">
        <v>2026</v>
      </c>
      <c r="B1028" s="28" t="s">
        <v>183</v>
      </c>
      <c r="C1028" s="28" t="s">
        <v>97</v>
      </c>
      <c r="D1028" s="28" t="s">
        <v>1693</v>
      </c>
      <c r="E1028" s="29" t="s">
        <v>352</v>
      </c>
      <c r="F1028" s="29" t="s">
        <v>903</v>
      </c>
      <c r="G1028" s="25" t="s">
        <v>2829</v>
      </c>
      <c r="H1028" s="26">
        <v>-1.5445440000000001E-2</v>
      </c>
      <c r="I1028" s="26"/>
      <c r="J1028" s="26" t="s">
        <v>512</v>
      </c>
      <c r="K1028" s="25" t="s">
        <v>513</v>
      </c>
    </row>
    <row r="1029" spans="1:11" ht="25.5" x14ac:dyDescent="0.25">
      <c r="A1029" s="22">
        <v>2026</v>
      </c>
      <c r="B1029" s="28" t="s">
        <v>183</v>
      </c>
      <c r="C1029" s="28" t="s">
        <v>97</v>
      </c>
      <c r="D1029" s="28" t="s">
        <v>1693</v>
      </c>
      <c r="E1029" s="29" t="s">
        <v>352</v>
      </c>
      <c r="F1029" s="29" t="s">
        <v>903</v>
      </c>
      <c r="G1029" s="25" t="s">
        <v>2830</v>
      </c>
      <c r="H1029" s="26">
        <v>-0.20987203692</v>
      </c>
      <c r="I1029" s="26"/>
      <c r="J1029" s="26" t="s">
        <v>512</v>
      </c>
      <c r="K1029" s="25" t="s">
        <v>513</v>
      </c>
    </row>
    <row r="1030" spans="1:11" ht="25.5" x14ac:dyDescent="0.25">
      <c r="A1030" s="22">
        <v>2026</v>
      </c>
      <c r="B1030" s="28" t="s">
        <v>183</v>
      </c>
      <c r="C1030" s="28" t="s">
        <v>97</v>
      </c>
      <c r="D1030" s="28" t="s">
        <v>1693</v>
      </c>
      <c r="E1030" s="29" t="s">
        <v>352</v>
      </c>
      <c r="F1030" s="29" t="s">
        <v>903</v>
      </c>
      <c r="G1030" s="25" t="s">
        <v>2831</v>
      </c>
      <c r="H1030" s="26">
        <v>-8.14E-2</v>
      </c>
      <c r="I1030" s="26"/>
      <c r="J1030" s="26" t="s">
        <v>512</v>
      </c>
      <c r="K1030" s="25" t="s">
        <v>513</v>
      </c>
    </row>
    <row r="1031" spans="1:11" ht="25.5" x14ac:dyDescent="0.25">
      <c r="A1031" s="22">
        <v>2026</v>
      </c>
      <c r="B1031" s="28" t="s">
        <v>183</v>
      </c>
      <c r="C1031" s="28" t="s">
        <v>97</v>
      </c>
      <c r="D1031" s="28" t="s">
        <v>1693</v>
      </c>
      <c r="E1031" s="29" t="s">
        <v>352</v>
      </c>
      <c r="F1031" s="29" t="s">
        <v>903</v>
      </c>
      <c r="G1031" s="25" t="s">
        <v>2832</v>
      </c>
      <c r="H1031" s="26">
        <v>-0.14507844</v>
      </c>
      <c r="I1031" s="26"/>
      <c r="J1031" s="26" t="s">
        <v>512</v>
      </c>
      <c r="K1031" s="25" t="s">
        <v>513</v>
      </c>
    </row>
    <row r="1032" spans="1:11" ht="25.5" x14ac:dyDescent="0.25">
      <c r="A1032" s="22">
        <v>2026</v>
      </c>
      <c r="B1032" s="28" t="s">
        <v>183</v>
      </c>
      <c r="C1032" s="28" t="s">
        <v>97</v>
      </c>
      <c r="D1032" s="28" t="s">
        <v>1693</v>
      </c>
      <c r="E1032" s="29" t="s">
        <v>352</v>
      </c>
      <c r="F1032" s="29" t="s">
        <v>903</v>
      </c>
      <c r="G1032" s="25" t="s">
        <v>2833</v>
      </c>
      <c r="H1032" s="26">
        <v>-0.1855</v>
      </c>
      <c r="I1032" s="26"/>
      <c r="J1032" s="26" t="s">
        <v>512</v>
      </c>
      <c r="K1032" s="25" t="s">
        <v>513</v>
      </c>
    </row>
    <row r="1033" spans="1:11" ht="25.5" x14ac:dyDescent="0.25">
      <c r="A1033" s="22">
        <v>2026</v>
      </c>
      <c r="B1033" s="28" t="s">
        <v>183</v>
      </c>
      <c r="C1033" s="28" t="s">
        <v>97</v>
      </c>
      <c r="D1033" s="28" t="s">
        <v>1694</v>
      </c>
      <c r="E1033" s="29" t="s">
        <v>352</v>
      </c>
      <c r="F1033" s="29" t="s">
        <v>343</v>
      </c>
      <c r="G1033" s="25" t="s">
        <v>2834</v>
      </c>
      <c r="H1033" s="26">
        <v>-0.520347</v>
      </c>
      <c r="I1033" s="26"/>
      <c r="J1033" s="26" t="s">
        <v>512</v>
      </c>
      <c r="K1033" s="25" t="s">
        <v>513</v>
      </c>
    </row>
    <row r="1034" spans="1:11" ht="25.5" x14ac:dyDescent="0.25">
      <c r="A1034" s="22">
        <v>2026</v>
      </c>
      <c r="B1034" s="28" t="s">
        <v>183</v>
      </c>
      <c r="C1034" s="28" t="s">
        <v>97</v>
      </c>
      <c r="D1034" s="28" t="s">
        <v>1694</v>
      </c>
      <c r="E1034" s="29" t="s">
        <v>352</v>
      </c>
      <c r="F1034" s="29" t="s">
        <v>343</v>
      </c>
      <c r="G1034" s="25" t="s">
        <v>2835</v>
      </c>
      <c r="H1034" s="26">
        <v>-0.51815</v>
      </c>
      <c r="I1034" s="26"/>
      <c r="J1034" s="26" t="s">
        <v>512</v>
      </c>
      <c r="K1034" s="25" t="s">
        <v>513</v>
      </c>
    </row>
    <row r="1035" spans="1:11" ht="25.5" x14ac:dyDescent="0.25">
      <c r="A1035" s="22">
        <v>2026</v>
      </c>
      <c r="B1035" s="28" t="s">
        <v>183</v>
      </c>
      <c r="C1035" s="28" t="s">
        <v>97</v>
      </c>
      <c r="D1035" s="28" t="s">
        <v>1694</v>
      </c>
      <c r="E1035" s="29" t="s">
        <v>352</v>
      </c>
      <c r="F1035" s="29" t="s">
        <v>343</v>
      </c>
      <c r="G1035" s="25" t="s">
        <v>2836</v>
      </c>
      <c r="H1035" s="26">
        <v>-0.18704249652000002</v>
      </c>
      <c r="I1035" s="26"/>
      <c r="J1035" s="26" t="s">
        <v>512</v>
      </c>
      <c r="K1035" s="25" t="s">
        <v>513</v>
      </c>
    </row>
    <row r="1036" spans="1:11" ht="25.5" x14ac:dyDescent="0.25">
      <c r="A1036" s="22">
        <v>2026</v>
      </c>
      <c r="B1036" s="28" t="s">
        <v>183</v>
      </c>
      <c r="C1036" s="28" t="s">
        <v>97</v>
      </c>
      <c r="D1036" s="28" t="s">
        <v>1694</v>
      </c>
      <c r="E1036" s="29" t="s">
        <v>352</v>
      </c>
      <c r="F1036" s="29" t="s">
        <v>343</v>
      </c>
      <c r="G1036" s="25" t="s">
        <v>2837</v>
      </c>
      <c r="H1036" s="26">
        <v>-0.84165948519999989</v>
      </c>
      <c r="I1036" s="26"/>
      <c r="J1036" s="26" t="s">
        <v>512</v>
      </c>
      <c r="K1036" s="25" t="s">
        <v>513</v>
      </c>
    </row>
    <row r="1037" spans="1:11" ht="25.5" x14ac:dyDescent="0.25">
      <c r="A1037" s="22">
        <v>2026</v>
      </c>
      <c r="B1037" s="28" t="s">
        <v>183</v>
      </c>
      <c r="C1037" s="28" t="s">
        <v>97</v>
      </c>
      <c r="D1037" s="28" t="s">
        <v>1694</v>
      </c>
      <c r="E1037" s="29" t="s">
        <v>352</v>
      </c>
      <c r="F1037" s="29" t="s">
        <v>343</v>
      </c>
      <c r="G1037" s="25" t="s">
        <v>2838</v>
      </c>
      <c r="H1037" s="26">
        <v>-5.1725790000000001E-2</v>
      </c>
      <c r="I1037" s="26"/>
      <c r="J1037" s="26" t="s">
        <v>512</v>
      </c>
      <c r="K1037" s="25" t="s">
        <v>513</v>
      </c>
    </row>
    <row r="1038" spans="1:11" ht="25.5" x14ac:dyDescent="0.25">
      <c r="A1038" s="22">
        <v>2026</v>
      </c>
      <c r="B1038" s="28" t="s">
        <v>183</v>
      </c>
      <c r="C1038" s="28" t="s">
        <v>97</v>
      </c>
      <c r="D1038" s="28" t="s">
        <v>1694</v>
      </c>
      <c r="E1038" s="29" t="s">
        <v>352</v>
      </c>
      <c r="F1038" s="29" t="s">
        <v>343</v>
      </c>
      <c r="G1038" s="25" t="s">
        <v>2839</v>
      </c>
      <c r="H1038" s="26">
        <v>-0.36597652116000001</v>
      </c>
      <c r="I1038" s="26"/>
      <c r="J1038" s="26" t="s">
        <v>512</v>
      </c>
      <c r="K1038" s="25" t="s">
        <v>513</v>
      </c>
    </row>
    <row r="1039" spans="1:11" ht="25.5" x14ac:dyDescent="0.25">
      <c r="A1039" s="22">
        <v>2026</v>
      </c>
      <c r="B1039" s="28" t="s">
        <v>183</v>
      </c>
      <c r="C1039" s="28" t="s">
        <v>97</v>
      </c>
      <c r="D1039" s="28" t="s">
        <v>1694</v>
      </c>
      <c r="E1039" s="29" t="s">
        <v>352</v>
      </c>
      <c r="F1039" s="29" t="s">
        <v>343</v>
      </c>
      <c r="G1039" s="25" t="s">
        <v>2840</v>
      </c>
      <c r="H1039" s="26">
        <v>-9.7242529999999994E-2</v>
      </c>
      <c r="I1039" s="26"/>
      <c r="J1039" s="26" t="s">
        <v>512</v>
      </c>
      <c r="K1039" s="25" t="s">
        <v>513</v>
      </c>
    </row>
    <row r="1040" spans="1:11" ht="25.5" x14ac:dyDescent="0.25">
      <c r="A1040" s="22">
        <v>2026</v>
      </c>
      <c r="B1040" s="28" t="s">
        <v>183</v>
      </c>
      <c r="C1040" s="28" t="s">
        <v>97</v>
      </c>
      <c r="D1040" s="28" t="s">
        <v>1694</v>
      </c>
      <c r="E1040" s="29" t="s">
        <v>352</v>
      </c>
      <c r="F1040" s="29" t="s">
        <v>343</v>
      </c>
      <c r="G1040" s="25" t="s">
        <v>2841</v>
      </c>
      <c r="H1040" s="26">
        <v>-0.77199899999999999</v>
      </c>
      <c r="I1040" s="26"/>
      <c r="J1040" s="26" t="s">
        <v>512</v>
      </c>
      <c r="K1040" s="25" t="s">
        <v>513</v>
      </c>
    </row>
    <row r="1041" spans="1:11" ht="25.5" x14ac:dyDescent="0.25">
      <c r="A1041" s="22">
        <v>2026</v>
      </c>
      <c r="B1041" s="28" t="s">
        <v>183</v>
      </c>
      <c r="C1041" s="28" t="s">
        <v>97</v>
      </c>
      <c r="D1041" s="28" t="s">
        <v>1694</v>
      </c>
      <c r="E1041" s="29" t="s">
        <v>352</v>
      </c>
      <c r="F1041" s="29" t="s">
        <v>343</v>
      </c>
      <c r="G1041" s="25" t="s">
        <v>2842</v>
      </c>
      <c r="H1041" s="26">
        <v>-0.67249268675999996</v>
      </c>
      <c r="I1041" s="26"/>
      <c r="J1041" s="26" t="s">
        <v>512</v>
      </c>
      <c r="K1041" s="25" t="s">
        <v>513</v>
      </c>
    </row>
    <row r="1042" spans="1:11" ht="25.5" x14ac:dyDescent="0.25">
      <c r="A1042" s="22">
        <v>2026</v>
      </c>
      <c r="B1042" s="28" t="s">
        <v>183</v>
      </c>
      <c r="C1042" s="28" t="s">
        <v>97</v>
      </c>
      <c r="D1042" s="28" t="s">
        <v>1694</v>
      </c>
      <c r="E1042" s="29" t="s">
        <v>352</v>
      </c>
      <c r="F1042" s="29" t="s">
        <v>343</v>
      </c>
      <c r="G1042" s="25" t="s">
        <v>2843</v>
      </c>
      <c r="H1042" s="26">
        <v>-0.67156439999999995</v>
      </c>
      <c r="I1042" s="26"/>
      <c r="J1042" s="26" t="s">
        <v>512</v>
      </c>
      <c r="K1042" s="25" t="s">
        <v>513</v>
      </c>
    </row>
    <row r="1043" spans="1:11" ht="25.5" x14ac:dyDescent="0.25">
      <c r="A1043" s="22">
        <v>2026</v>
      </c>
      <c r="B1043" s="28" t="s">
        <v>183</v>
      </c>
      <c r="C1043" s="28" t="s">
        <v>97</v>
      </c>
      <c r="D1043" s="28" t="s">
        <v>1694</v>
      </c>
      <c r="E1043" s="29" t="s">
        <v>352</v>
      </c>
      <c r="F1043" s="29" t="s">
        <v>343</v>
      </c>
      <c r="G1043" s="25" t="s">
        <v>2844</v>
      </c>
      <c r="H1043" s="26">
        <v>-0.53127309161999992</v>
      </c>
      <c r="I1043" s="26"/>
      <c r="J1043" s="26" t="s">
        <v>512</v>
      </c>
      <c r="K1043" s="25" t="s">
        <v>513</v>
      </c>
    </row>
    <row r="1044" spans="1:11" ht="25.5" x14ac:dyDescent="0.25">
      <c r="A1044" s="22">
        <v>2026</v>
      </c>
      <c r="B1044" s="28" t="s">
        <v>183</v>
      </c>
      <c r="C1044" s="28" t="s">
        <v>97</v>
      </c>
      <c r="D1044" s="28" t="s">
        <v>1694</v>
      </c>
      <c r="E1044" s="29" t="s">
        <v>352</v>
      </c>
      <c r="F1044" s="29" t="s">
        <v>343</v>
      </c>
      <c r="G1044" s="25" t="s">
        <v>2845</v>
      </c>
      <c r="H1044" s="26">
        <v>-0.39743433</v>
      </c>
      <c r="I1044" s="26"/>
      <c r="J1044" s="26" t="s">
        <v>512</v>
      </c>
      <c r="K1044" s="25" t="s">
        <v>513</v>
      </c>
    </row>
    <row r="1045" spans="1:11" ht="25.5" x14ac:dyDescent="0.25">
      <c r="A1045" s="22">
        <v>2026</v>
      </c>
      <c r="B1045" s="28" t="s">
        <v>183</v>
      </c>
      <c r="C1045" s="28" t="s">
        <v>97</v>
      </c>
      <c r="D1045" s="28" t="s">
        <v>1694</v>
      </c>
      <c r="E1045" s="29" t="s">
        <v>352</v>
      </c>
      <c r="F1045" s="29" t="s">
        <v>343</v>
      </c>
      <c r="G1045" s="25" t="s">
        <v>2846</v>
      </c>
      <c r="H1045" s="26">
        <v>-0.46710000000000007</v>
      </c>
      <c r="I1045" s="26"/>
      <c r="J1045" s="26" t="s">
        <v>512</v>
      </c>
      <c r="K1045" s="25" t="s">
        <v>513</v>
      </c>
    </row>
    <row r="1046" spans="1:11" ht="25.5" x14ac:dyDescent="0.25">
      <c r="A1046" s="22">
        <v>2026</v>
      </c>
      <c r="B1046" s="28" t="s">
        <v>183</v>
      </c>
      <c r="C1046" s="28" t="s">
        <v>97</v>
      </c>
      <c r="D1046" s="28" t="s">
        <v>1694</v>
      </c>
      <c r="E1046" s="29" t="s">
        <v>352</v>
      </c>
      <c r="F1046" s="29" t="s">
        <v>343</v>
      </c>
      <c r="G1046" s="25" t="s">
        <v>2847</v>
      </c>
      <c r="H1046" s="26">
        <v>-9.1175000000000006E-2</v>
      </c>
      <c r="I1046" s="26"/>
      <c r="J1046" s="26" t="s">
        <v>512</v>
      </c>
      <c r="K1046" s="25" t="s">
        <v>513</v>
      </c>
    </row>
    <row r="1047" spans="1:11" ht="25.5" x14ac:dyDescent="0.25">
      <c r="A1047" s="22">
        <v>2026</v>
      </c>
      <c r="B1047" s="28" t="s">
        <v>183</v>
      </c>
      <c r="C1047" s="28" t="s">
        <v>97</v>
      </c>
      <c r="D1047" s="28" t="s">
        <v>1694</v>
      </c>
      <c r="E1047" s="29" t="s">
        <v>352</v>
      </c>
      <c r="F1047" s="29" t="s">
        <v>343</v>
      </c>
      <c r="G1047" s="25" t="s">
        <v>2848</v>
      </c>
      <c r="H1047" s="26">
        <v>-8.2453964879999994E-2</v>
      </c>
      <c r="I1047" s="26"/>
      <c r="J1047" s="26" t="s">
        <v>512</v>
      </c>
      <c r="K1047" s="25" t="s">
        <v>513</v>
      </c>
    </row>
    <row r="1048" spans="1:11" ht="25.5" x14ac:dyDescent="0.25">
      <c r="A1048" s="22">
        <v>2026</v>
      </c>
      <c r="B1048" s="28" t="s">
        <v>183</v>
      </c>
      <c r="C1048" s="28" t="s">
        <v>97</v>
      </c>
      <c r="D1048" s="28" t="s">
        <v>530</v>
      </c>
      <c r="E1048" s="29" t="s">
        <v>548</v>
      </c>
      <c r="F1048" s="29" t="s">
        <v>343</v>
      </c>
      <c r="G1048" s="25" t="s">
        <v>2805</v>
      </c>
      <c r="H1048" s="26">
        <v>-0.33860000000000001</v>
      </c>
      <c r="I1048" s="26"/>
      <c r="J1048" s="26" t="s">
        <v>512</v>
      </c>
      <c r="K1048" s="25" t="s">
        <v>513</v>
      </c>
    </row>
    <row r="1049" spans="1:11" ht="25.5" x14ac:dyDescent="0.25">
      <c r="A1049" s="22">
        <v>2026</v>
      </c>
      <c r="B1049" s="28" t="s">
        <v>183</v>
      </c>
      <c r="C1049" s="28" t="s">
        <v>97</v>
      </c>
      <c r="D1049" s="28" t="s">
        <v>530</v>
      </c>
      <c r="E1049" s="29" t="s">
        <v>548</v>
      </c>
      <c r="F1049" s="29" t="s">
        <v>343</v>
      </c>
      <c r="G1049" s="25" t="s">
        <v>2806</v>
      </c>
      <c r="H1049" s="26">
        <v>-0.34791980999999994</v>
      </c>
      <c r="I1049" s="26"/>
      <c r="J1049" s="26" t="s">
        <v>512</v>
      </c>
      <c r="K1049" s="25" t="s">
        <v>513</v>
      </c>
    </row>
    <row r="1050" spans="1:11" ht="25.5" x14ac:dyDescent="0.25">
      <c r="A1050" s="22">
        <v>2026</v>
      </c>
      <c r="B1050" s="28" t="s">
        <v>183</v>
      </c>
      <c r="C1050" s="28" t="s">
        <v>97</v>
      </c>
      <c r="D1050" s="28" t="s">
        <v>530</v>
      </c>
      <c r="E1050" s="29" t="s">
        <v>548</v>
      </c>
      <c r="F1050" s="29" t="s">
        <v>343</v>
      </c>
      <c r="G1050" s="25" t="s">
        <v>2807</v>
      </c>
      <c r="H1050" s="26">
        <v>-6.5848000000000004E-2</v>
      </c>
      <c r="I1050" s="26"/>
      <c r="J1050" s="26" t="s">
        <v>512</v>
      </c>
      <c r="K1050" s="25" t="s">
        <v>513</v>
      </c>
    </row>
    <row r="1051" spans="1:11" ht="25.5" x14ac:dyDescent="0.25">
      <c r="A1051" s="22">
        <v>2026</v>
      </c>
      <c r="B1051" s="28" t="s">
        <v>183</v>
      </c>
      <c r="C1051" s="28" t="s">
        <v>97</v>
      </c>
      <c r="D1051" s="28" t="s">
        <v>530</v>
      </c>
      <c r="E1051" s="29" t="s">
        <v>548</v>
      </c>
      <c r="F1051" s="29" t="s">
        <v>343</v>
      </c>
      <c r="G1051" s="25" t="s">
        <v>2808</v>
      </c>
      <c r="H1051" s="26">
        <v>-0.41539999999999999</v>
      </c>
      <c r="I1051" s="26"/>
      <c r="J1051" s="26" t="s">
        <v>512</v>
      </c>
      <c r="K1051" s="25" t="s">
        <v>513</v>
      </c>
    </row>
    <row r="1052" spans="1:11" ht="25.5" x14ac:dyDescent="0.25">
      <c r="A1052" s="22">
        <v>2026</v>
      </c>
      <c r="B1052" s="28" t="s">
        <v>183</v>
      </c>
      <c r="C1052" s="28" t="s">
        <v>97</v>
      </c>
      <c r="D1052" s="28" t="s">
        <v>530</v>
      </c>
      <c r="E1052" s="29" t="s">
        <v>548</v>
      </c>
      <c r="F1052" s="29" t="s">
        <v>343</v>
      </c>
      <c r="G1052" s="25" t="s">
        <v>2809</v>
      </c>
      <c r="H1052" s="26">
        <v>-0.29964600000000002</v>
      </c>
      <c r="I1052" s="26"/>
      <c r="J1052" s="26" t="s">
        <v>512</v>
      </c>
      <c r="K1052" s="25" t="s">
        <v>513</v>
      </c>
    </row>
    <row r="1053" spans="1:11" ht="25.5" x14ac:dyDescent="0.25">
      <c r="A1053" s="22">
        <v>2026</v>
      </c>
      <c r="B1053" s="28" t="s">
        <v>183</v>
      </c>
      <c r="C1053" s="28" t="s">
        <v>97</v>
      </c>
      <c r="D1053" s="28" t="s">
        <v>530</v>
      </c>
      <c r="E1053" s="29" t="s">
        <v>548</v>
      </c>
      <c r="F1053" s="29" t="s">
        <v>343</v>
      </c>
      <c r="G1053" s="25" t="s">
        <v>2810</v>
      </c>
      <c r="H1053" s="26">
        <v>-0.416375</v>
      </c>
      <c r="I1053" s="26"/>
      <c r="J1053" s="26" t="s">
        <v>512</v>
      </c>
      <c r="K1053" s="25" t="s">
        <v>513</v>
      </c>
    </row>
    <row r="1054" spans="1:11" ht="25.5" x14ac:dyDescent="0.25">
      <c r="A1054" s="22">
        <v>2026</v>
      </c>
      <c r="B1054" s="28" t="s">
        <v>183</v>
      </c>
      <c r="C1054" s="28" t="s">
        <v>97</v>
      </c>
      <c r="D1054" s="28" t="s">
        <v>530</v>
      </c>
      <c r="E1054" s="29" t="s">
        <v>548</v>
      </c>
      <c r="F1054" s="29" t="s">
        <v>343</v>
      </c>
      <c r="G1054" s="25" t="s">
        <v>2811</v>
      </c>
      <c r="H1054" s="26">
        <v>-0.41500799999999999</v>
      </c>
      <c r="I1054" s="26"/>
      <c r="J1054" s="26" t="s">
        <v>512</v>
      </c>
      <c r="K1054" s="25" t="s">
        <v>513</v>
      </c>
    </row>
    <row r="1055" spans="1:11" ht="25.5" x14ac:dyDescent="0.25">
      <c r="A1055" s="22">
        <v>2026</v>
      </c>
      <c r="B1055" s="28" t="s">
        <v>183</v>
      </c>
      <c r="C1055" s="28" t="s">
        <v>97</v>
      </c>
      <c r="D1055" s="28" t="s">
        <v>530</v>
      </c>
      <c r="E1055" s="29" t="s">
        <v>548</v>
      </c>
      <c r="F1055" s="29" t="s">
        <v>343</v>
      </c>
      <c r="G1055" s="25" t="s">
        <v>2812</v>
      </c>
      <c r="H1055" s="26">
        <v>-0.33340000000000009</v>
      </c>
      <c r="I1055" s="26"/>
      <c r="J1055" s="26" t="s">
        <v>512</v>
      </c>
      <c r="K1055" s="25" t="s">
        <v>513</v>
      </c>
    </row>
    <row r="1056" spans="1:11" ht="25.5" x14ac:dyDescent="0.25">
      <c r="A1056" s="22">
        <v>2026</v>
      </c>
      <c r="B1056" s="28" t="s">
        <v>183</v>
      </c>
      <c r="C1056" s="28" t="s">
        <v>97</v>
      </c>
      <c r="D1056" s="28" t="s">
        <v>530</v>
      </c>
      <c r="E1056" s="29" t="s">
        <v>548</v>
      </c>
      <c r="F1056" s="29" t="s">
        <v>343</v>
      </c>
      <c r="G1056" s="25" t="s">
        <v>2813</v>
      </c>
      <c r="H1056" s="26">
        <v>-0.24889995000000001</v>
      </c>
      <c r="I1056" s="26"/>
      <c r="J1056" s="26" t="s">
        <v>512</v>
      </c>
      <c r="K1056" s="25" t="s">
        <v>513</v>
      </c>
    </row>
    <row r="1057" spans="1:11" ht="25.5" x14ac:dyDescent="0.25">
      <c r="A1057" s="22">
        <v>2026</v>
      </c>
      <c r="B1057" s="28" t="s">
        <v>183</v>
      </c>
      <c r="C1057" s="28" t="s">
        <v>97</v>
      </c>
      <c r="D1057" s="28" t="s">
        <v>530</v>
      </c>
      <c r="E1057" s="29" t="s">
        <v>548</v>
      </c>
      <c r="F1057" s="29" t="s">
        <v>343</v>
      </c>
      <c r="G1057" s="25" t="s">
        <v>2814</v>
      </c>
      <c r="H1057" s="26">
        <v>-0.16670000000000004</v>
      </c>
      <c r="I1057" s="26"/>
      <c r="J1057" s="26" t="s">
        <v>512</v>
      </c>
      <c r="K1057" s="25" t="s">
        <v>513</v>
      </c>
    </row>
    <row r="1058" spans="1:11" ht="25.5" x14ac:dyDescent="0.25">
      <c r="A1058" s="22">
        <v>2026</v>
      </c>
      <c r="B1058" s="28" t="s">
        <v>183</v>
      </c>
      <c r="C1058" s="28" t="s">
        <v>97</v>
      </c>
      <c r="D1058" s="28" t="s">
        <v>530</v>
      </c>
      <c r="E1058" s="29" t="s">
        <v>548</v>
      </c>
      <c r="F1058" s="29" t="s">
        <v>343</v>
      </c>
      <c r="G1058" s="25" t="s">
        <v>2815</v>
      </c>
      <c r="H1058" s="26">
        <v>-8.3599999999999994E-2</v>
      </c>
      <c r="I1058" s="26"/>
      <c r="J1058" s="26" t="s">
        <v>512</v>
      </c>
      <c r="K1058" s="25" t="s">
        <v>513</v>
      </c>
    </row>
    <row r="1059" spans="1:11" ht="25.5" x14ac:dyDescent="0.25">
      <c r="A1059" s="22">
        <v>2026</v>
      </c>
      <c r="B1059" s="28" t="s">
        <v>183</v>
      </c>
      <c r="C1059" s="28" t="s">
        <v>97</v>
      </c>
      <c r="D1059" s="28" t="s">
        <v>530</v>
      </c>
      <c r="E1059" s="29" t="s">
        <v>548</v>
      </c>
      <c r="F1059" s="29" t="s">
        <v>343</v>
      </c>
      <c r="G1059" s="25" t="s">
        <v>2816</v>
      </c>
      <c r="H1059" s="26">
        <v>-0.35084994000000003</v>
      </c>
      <c r="I1059" s="26"/>
      <c r="J1059" s="26" t="s">
        <v>512</v>
      </c>
      <c r="K1059" s="25" t="s">
        <v>513</v>
      </c>
    </row>
    <row r="1060" spans="1:11" ht="25.5" x14ac:dyDescent="0.25">
      <c r="A1060" s="22">
        <v>2026</v>
      </c>
      <c r="B1060" s="28" t="s">
        <v>183</v>
      </c>
      <c r="C1060" s="28" t="s">
        <v>97</v>
      </c>
      <c r="D1060" s="28" t="s">
        <v>530</v>
      </c>
      <c r="E1060" s="29" t="s">
        <v>548</v>
      </c>
      <c r="F1060" s="29" t="s">
        <v>343</v>
      </c>
      <c r="G1060" s="25" t="s">
        <v>2817</v>
      </c>
      <c r="H1060" s="26">
        <v>-0.30091986000000004</v>
      </c>
      <c r="I1060" s="26"/>
      <c r="J1060" s="26" t="s">
        <v>512</v>
      </c>
      <c r="K1060" s="25" t="s">
        <v>513</v>
      </c>
    </row>
    <row r="1061" spans="1:11" ht="25.5" x14ac:dyDescent="0.25">
      <c r="A1061" s="22">
        <v>2026</v>
      </c>
      <c r="B1061" s="28" t="s">
        <v>183</v>
      </c>
      <c r="C1061" s="28" t="s">
        <v>97</v>
      </c>
      <c r="D1061" s="28" t="s">
        <v>530</v>
      </c>
      <c r="E1061" s="29" t="s">
        <v>548</v>
      </c>
      <c r="F1061" s="29" t="s">
        <v>343</v>
      </c>
      <c r="G1061" s="25" t="s">
        <v>2818</v>
      </c>
      <c r="H1061" s="26">
        <v>-0.16760000000000003</v>
      </c>
      <c r="I1061" s="26"/>
      <c r="J1061" s="26" t="s">
        <v>512</v>
      </c>
      <c r="K1061" s="25" t="s">
        <v>513</v>
      </c>
    </row>
    <row r="1062" spans="1:11" ht="25.5" x14ac:dyDescent="0.25">
      <c r="A1062" s="22">
        <v>2026</v>
      </c>
      <c r="B1062" s="28" t="s">
        <v>183</v>
      </c>
      <c r="C1062" s="28" t="s">
        <v>97</v>
      </c>
      <c r="D1062" s="28" t="s">
        <v>530</v>
      </c>
      <c r="E1062" s="29" t="s">
        <v>548</v>
      </c>
      <c r="F1062" s="29" t="s">
        <v>343</v>
      </c>
      <c r="G1062" s="25" t="s">
        <v>2819</v>
      </c>
      <c r="H1062" s="26">
        <v>-0.30595985999999997</v>
      </c>
      <c r="I1062" s="26"/>
      <c r="J1062" s="26" t="s">
        <v>512</v>
      </c>
      <c r="K1062" s="25" t="s">
        <v>513</v>
      </c>
    </row>
    <row r="1063" spans="1:11" ht="25.5" x14ac:dyDescent="0.25">
      <c r="A1063" s="22">
        <v>2026</v>
      </c>
      <c r="B1063" s="28" t="s">
        <v>183</v>
      </c>
      <c r="C1063" s="28" t="s">
        <v>97</v>
      </c>
      <c r="D1063" s="28" t="s">
        <v>530</v>
      </c>
      <c r="E1063" s="29" t="s">
        <v>548</v>
      </c>
      <c r="F1063" s="29" t="s">
        <v>343</v>
      </c>
      <c r="G1063" s="25" t="s">
        <v>2820</v>
      </c>
      <c r="H1063" s="26">
        <v>-0.32522565999999997</v>
      </c>
      <c r="I1063" s="26"/>
      <c r="J1063" s="26" t="s">
        <v>512</v>
      </c>
      <c r="K1063" s="25" t="s">
        <v>513</v>
      </c>
    </row>
    <row r="1064" spans="1:11" ht="25.5" x14ac:dyDescent="0.25">
      <c r="A1064" s="22">
        <v>2026</v>
      </c>
      <c r="B1064" s="28" t="s">
        <v>183</v>
      </c>
      <c r="C1064" s="28" t="s">
        <v>97</v>
      </c>
      <c r="D1064" s="28" t="s">
        <v>541</v>
      </c>
      <c r="E1064" s="29" t="s">
        <v>572</v>
      </c>
      <c r="F1064" s="29" t="s">
        <v>298</v>
      </c>
      <c r="G1064" s="25" t="s">
        <v>2849</v>
      </c>
      <c r="H1064" s="26">
        <v>-1.56999625</v>
      </c>
      <c r="I1064" s="26"/>
      <c r="J1064" s="26" t="s">
        <v>512</v>
      </c>
      <c r="K1064" s="25" t="s">
        <v>513</v>
      </c>
    </row>
    <row r="1065" spans="1:11" ht="25.5" x14ac:dyDescent="0.25">
      <c r="A1065" s="22">
        <v>2026</v>
      </c>
      <c r="B1065" s="28" t="s">
        <v>183</v>
      </c>
      <c r="C1065" s="28" t="s">
        <v>97</v>
      </c>
      <c r="D1065" s="28" t="s">
        <v>541</v>
      </c>
      <c r="E1065" s="29" t="s">
        <v>572</v>
      </c>
      <c r="F1065" s="29" t="s">
        <v>298</v>
      </c>
      <c r="G1065" s="25" t="s">
        <v>2850</v>
      </c>
      <c r="H1065" s="26">
        <v>-1.142334</v>
      </c>
      <c r="I1065" s="26"/>
      <c r="J1065" s="26" t="s">
        <v>512</v>
      </c>
      <c r="K1065" s="25" t="s">
        <v>513</v>
      </c>
    </row>
    <row r="1066" spans="1:11" ht="25.5" x14ac:dyDescent="0.25">
      <c r="A1066" s="22">
        <v>2026</v>
      </c>
      <c r="B1066" s="28" t="s">
        <v>183</v>
      </c>
      <c r="C1066" s="28" t="s">
        <v>97</v>
      </c>
      <c r="D1066" s="28" t="s">
        <v>541</v>
      </c>
      <c r="E1066" s="29" t="s">
        <v>572</v>
      </c>
      <c r="F1066" s="29" t="s">
        <v>298</v>
      </c>
      <c r="G1066" s="25" t="s">
        <v>2851</v>
      </c>
      <c r="H1066" s="26">
        <v>-3.3364984</v>
      </c>
      <c r="I1066" s="26"/>
      <c r="J1066" s="26" t="s">
        <v>512</v>
      </c>
      <c r="K1066" s="25" t="s">
        <v>513</v>
      </c>
    </row>
    <row r="1067" spans="1:11" ht="25.5" x14ac:dyDescent="0.25">
      <c r="A1067" s="22">
        <v>2026</v>
      </c>
      <c r="B1067" s="28" t="s">
        <v>183</v>
      </c>
      <c r="C1067" s="28" t="s">
        <v>97</v>
      </c>
      <c r="D1067" s="28" t="s">
        <v>541</v>
      </c>
      <c r="E1067" s="29" t="s">
        <v>572</v>
      </c>
      <c r="F1067" s="29" t="s">
        <v>298</v>
      </c>
      <c r="G1067" s="25" t="s">
        <v>2852</v>
      </c>
      <c r="H1067" s="26">
        <v>-0.88200000000000001</v>
      </c>
      <c r="I1067" s="26"/>
      <c r="J1067" s="26" t="s">
        <v>512</v>
      </c>
      <c r="K1067" s="25" t="s">
        <v>513</v>
      </c>
    </row>
    <row r="1068" spans="1:11" ht="25.5" x14ac:dyDescent="0.25">
      <c r="A1068" s="22">
        <v>2026</v>
      </c>
      <c r="B1068" s="28" t="s">
        <v>183</v>
      </c>
      <c r="C1068" s="28" t="s">
        <v>97</v>
      </c>
      <c r="D1068" s="28" t="s">
        <v>541</v>
      </c>
      <c r="E1068" s="29" t="s">
        <v>572</v>
      </c>
      <c r="F1068" s="29" t="s">
        <v>298</v>
      </c>
      <c r="G1068" s="25" t="s">
        <v>2853</v>
      </c>
      <c r="H1068" s="26">
        <v>-3.1663499400000004</v>
      </c>
      <c r="I1068" s="26"/>
      <c r="J1068" s="26" t="s">
        <v>512</v>
      </c>
      <c r="K1068" s="25" t="s">
        <v>513</v>
      </c>
    </row>
    <row r="1069" spans="1:11" ht="25.5" x14ac:dyDescent="0.25">
      <c r="A1069" s="22">
        <v>2026</v>
      </c>
      <c r="B1069" s="28" t="s">
        <v>183</v>
      </c>
      <c r="C1069" s="28" t="s">
        <v>97</v>
      </c>
      <c r="D1069" s="28" t="s">
        <v>541</v>
      </c>
      <c r="E1069" s="29" t="s">
        <v>572</v>
      </c>
      <c r="F1069" s="29" t="s">
        <v>298</v>
      </c>
      <c r="G1069" s="25" t="s">
        <v>2854</v>
      </c>
      <c r="H1069" s="26">
        <v>-0.77902848000000002</v>
      </c>
      <c r="I1069" s="26"/>
      <c r="J1069" s="26" t="s">
        <v>512</v>
      </c>
      <c r="K1069" s="25" t="s">
        <v>513</v>
      </c>
    </row>
    <row r="1070" spans="1:11" ht="25.5" x14ac:dyDescent="0.25">
      <c r="A1070" s="22">
        <v>2026</v>
      </c>
      <c r="B1070" s="28" t="s">
        <v>183</v>
      </c>
      <c r="C1070" s="28" t="s">
        <v>97</v>
      </c>
      <c r="D1070" s="28" t="s">
        <v>541</v>
      </c>
      <c r="E1070" s="29" t="s">
        <v>572</v>
      </c>
      <c r="F1070" s="29" t="s">
        <v>298</v>
      </c>
      <c r="G1070" s="25" t="s">
        <v>2855</v>
      </c>
      <c r="H1070" s="26">
        <v>-0.69849944999999991</v>
      </c>
      <c r="I1070" s="26"/>
      <c r="J1070" s="26" t="s">
        <v>512</v>
      </c>
      <c r="K1070" s="25" t="s">
        <v>513</v>
      </c>
    </row>
    <row r="1071" spans="1:11" ht="25.5" x14ac:dyDescent="0.25">
      <c r="A1071" s="22">
        <v>2026</v>
      </c>
      <c r="B1071" s="28" t="s">
        <v>183</v>
      </c>
      <c r="C1071" s="28" t="s">
        <v>97</v>
      </c>
      <c r="D1071" s="28" t="s">
        <v>1695</v>
      </c>
      <c r="E1071" s="29" t="s">
        <v>1758</v>
      </c>
      <c r="F1071" s="29" t="s">
        <v>1759</v>
      </c>
      <c r="G1071" s="25" t="s">
        <v>2856</v>
      </c>
      <c r="H1071" s="26">
        <v>-0.69860716200000006</v>
      </c>
      <c r="I1071" s="26"/>
      <c r="J1071" s="26" t="s">
        <v>512</v>
      </c>
      <c r="K1071" s="25" t="s">
        <v>513</v>
      </c>
    </row>
    <row r="1072" spans="1:11" ht="25.5" x14ac:dyDescent="0.25">
      <c r="A1072" s="22">
        <v>2026</v>
      </c>
      <c r="B1072" s="28" t="s">
        <v>183</v>
      </c>
      <c r="C1072" s="28" t="s">
        <v>97</v>
      </c>
      <c r="D1072" s="28" t="s">
        <v>1695</v>
      </c>
      <c r="E1072" s="29" t="s">
        <v>1758</v>
      </c>
      <c r="F1072" s="29" t="s">
        <v>1759</v>
      </c>
      <c r="G1072" s="25" t="s">
        <v>2857</v>
      </c>
      <c r="H1072" s="26">
        <v>-1.7869721240000001</v>
      </c>
      <c r="I1072" s="26"/>
      <c r="J1072" s="26" t="s">
        <v>512</v>
      </c>
      <c r="K1072" s="25" t="s">
        <v>513</v>
      </c>
    </row>
    <row r="1073" spans="1:11" ht="25.5" x14ac:dyDescent="0.25">
      <c r="A1073" s="22">
        <v>2026</v>
      </c>
      <c r="B1073" s="28" t="s">
        <v>183</v>
      </c>
      <c r="C1073" s="28" t="s">
        <v>97</v>
      </c>
      <c r="D1073" s="28" t="s">
        <v>1695</v>
      </c>
      <c r="E1073" s="29" t="s">
        <v>1758</v>
      </c>
      <c r="F1073" s="29" t="s">
        <v>1759</v>
      </c>
      <c r="G1073" s="25" t="s">
        <v>2858</v>
      </c>
      <c r="H1073" s="26">
        <v>-1.3296749999999999</v>
      </c>
      <c r="I1073" s="26"/>
      <c r="J1073" s="26" t="s">
        <v>512</v>
      </c>
      <c r="K1073" s="25" t="s">
        <v>513</v>
      </c>
    </row>
    <row r="1074" spans="1:11" ht="25.5" x14ac:dyDescent="0.25">
      <c r="A1074" s="22">
        <v>2026</v>
      </c>
      <c r="B1074" s="28" t="s">
        <v>183</v>
      </c>
      <c r="C1074" s="28" t="s">
        <v>97</v>
      </c>
      <c r="D1074" s="28" t="s">
        <v>1695</v>
      </c>
      <c r="E1074" s="29" t="s">
        <v>1758</v>
      </c>
      <c r="F1074" s="29" t="s">
        <v>1759</v>
      </c>
      <c r="G1074" s="25" t="s">
        <v>2859</v>
      </c>
      <c r="H1074" s="26">
        <v>-1.9584737284</v>
      </c>
      <c r="I1074" s="26"/>
      <c r="J1074" s="26" t="s">
        <v>512</v>
      </c>
      <c r="K1074" s="25" t="s">
        <v>513</v>
      </c>
    </row>
    <row r="1075" spans="1:11" ht="25.5" x14ac:dyDescent="0.25">
      <c r="A1075" s="22">
        <v>2026</v>
      </c>
      <c r="B1075" s="28" t="s">
        <v>183</v>
      </c>
      <c r="C1075" s="28" t="s">
        <v>97</v>
      </c>
      <c r="D1075" s="28" t="s">
        <v>1695</v>
      </c>
      <c r="E1075" s="29" t="s">
        <v>1758</v>
      </c>
      <c r="F1075" s="29" t="s">
        <v>1759</v>
      </c>
      <c r="G1075" s="25" t="s">
        <v>2860</v>
      </c>
      <c r="H1075" s="26">
        <v>-0.94351147710000005</v>
      </c>
      <c r="I1075" s="26"/>
      <c r="J1075" s="26" t="s">
        <v>512</v>
      </c>
      <c r="K1075" s="25" t="s">
        <v>513</v>
      </c>
    </row>
    <row r="1076" spans="1:11" ht="25.5" x14ac:dyDescent="0.25">
      <c r="A1076" s="22">
        <v>2026</v>
      </c>
      <c r="B1076" s="28" t="s">
        <v>183</v>
      </c>
      <c r="C1076" s="28" t="s">
        <v>97</v>
      </c>
      <c r="D1076" s="28" t="s">
        <v>1695</v>
      </c>
      <c r="E1076" s="29" t="s">
        <v>1758</v>
      </c>
      <c r="F1076" s="29" t="s">
        <v>1759</v>
      </c>
      <c r="G1076" s="25" t="s">
        <v>2861</v>
      </c>
      <c r="H1076" s="26">
        <v>-1.1484224999999999</v>
      </c>
      <c r="I1076" s="26"/>
      <c r="J1076" s="26" t="s">
        <v>512</v>
      </c>
      <c r="K1076" s="25" t="s">
        <v>513</v>
      </c>
    </row>
    <row r="1077" spans="1:11" ht="25.5" x14ac:dyDescent="0.25">
      <c r="A1077" s="22">
        <v>2026</v>
      </c>
      <c r="B1077" s="28" t="s">
        <v>183</v>
      </c>
      <c r="C1077" s="28" t="s">
        <v>97</v>
      </c>
      <c r="D1077" s="28" t="s">
        <v>1696</v>
      </c>
      <c r="E1077" s="29" t="s">
        <v>1760</v>
      </c>
      <c r="F1077" s="29" t="s">
        <v>343</v>
      </c>
      <c r="G1077" s="25" t="s">
        <v>2862</v>
      </c>
      <c r="H1077" s="26">
        <v>-2.7172414240000001E-2</v>
      </c>
      <c r="I1077" s="26"/>
      <c r="J1077" s="26" t="s">
        <v>512</v>
      </c>
      <c r="K1077" s="25" t="s">
        <v>513</v>
      </c>
    </row>
    <row r="1078" spans="1:11" ht="25.5" x14ac:dyDescent="0.25">
      <c r="A1078" s="22">
        <v>2026</v>
      </c>
      <c r="B1078" s="28" t="s">
        <v>183</v>
      </c>
      <c r="C1078" s="28" t="s">
        <v>97</v>
      </c>
      <c r="D1078" s="28" t="s">
        <v>1696</v>
      </c>
      <c r="E1078" s="29" t="s">
        <v>1760</v>
      </c>
      <c r="F1078" s="29" t="s">
        <v>343</v>
      </c>
      <c r="G1078" s="25" t="s">
        <v>2863</v>
      </c>
      <c r="H1078" s="26">
        <v>-1.5435000000000001E-2</v>
      </c>
      <c r="I1078" s="26"/>
      <c r="J1078" s="26" t="s">
        <v>512</v>
      </c>
      <c r="K1078" s="25" t="s">
        <v>513</v>
      </c>
    </row>
    <row r="1079" spans="1:11" ht="25.5" x14ac:dyDescent="0.25">
      <c r="A1079" s="22">
        <v>2026</v>
      </c>
      <c r="B1079" s="28" t="s">
        <v>183</v>
      </c>
      <c r="C1079" s="28" t="s">
        <v>97</v>
      </c>
      <c r="D1079" s="28" t="s">
        <v>1696</v>
      </c>
      <c r="E1079" s="29" t="s">
        <v>1760</v>
      </c>
      <c r="F1079" s="29" t="s">
        <v>343</v>
      </c>
      <c r="G1079" s="25" t="s">
        <v>2864</v>
      </c>
      <c r="H1079" s="26">
        <v>-7.1300758079999998E-2</v>
      </c>
      <c r="I1079" s="26"/>
      <c r="J1079" s="26" t="s">
        <v>512</v>
      </c>
      <c r="K1079" s="25" t="s">
        <v>513</v>
      </c>
    </row>
    <row r="1080" spans="1:11" ht="25.5" x14ac:dyDescent="0.25">
      <c r="A1080" s="22">
        <v>2026</v>
      </c>
      <c r="B1080" s="28" t="s">
        <v>183</v>
      </c>
      <c r="C1080" s="28" t="s">
        <v>97</v>
      </c>
      <c r="D1080" s="28" t="s">
        <v>1696</v>
      </c>
      <c r="E1080" s="29" t="s">
        <v>1760</v>
      </c>
      <c r="F1080" s="29" t="s">
        <v>343</v>
      </c>
      <c r="G1080" s="25" t="s">
        <v>2865</v>
      </c>
      <c r="H1080" s="26">
        <v>-7.2130079999999999E-2</v>
      </c>
      <c r="I1080" s="26"/>
      <c r="J1080" s="26" t="s">
        <v>512</v>
      </c>
      <c r="K1080" s="25" t="s">
        <v>513</v>
      </c>
    </row>
    <row r="1081" spans="1:11" ht="25.5" x14ac:dyDescent="0.25">
      <c r="A1081" s="22">
        <v>2026</v>
      </c>
      <c r="B1081" s="28" t="s">
        <v>183</v>
      </c>
      <c r="C1081" s="28" t="s">
        <v>97</v>
      </c>
      <c r="D1081" s="28" t="s">
        <v>1696</v>
      </c>
      <c r="E1081" s="29" t="s">
        <v>1760</v>
      </c>
      <c r="F1081" s="29" t="s">
        <v>343</v>
      </c>
      <c r="G1081" s="25" t="s">
        <v>2866</v>
      </c>
      <c r="H1081" s="26">
        <v>-5.2599960000000001E-2</v>
      </c>
      <c r="I1081" s="26"/>
      <c r="J1081" s="26" t="s">
        <v>512</v>
      </c>
      <c r="K1081" s="25" t="s">
        <v>513</v>
      </c>
    </row>
    <row r="1082" spans="1:11" ht="25.5" x14ac:dyDescent="0.25">
      <c r="A1082" s="22">
        <v>2026</v>
      </c>
      <c r="B1082" s="28" t="s">
        <v>183</v>
      </c>
      <c r="C1082" s="28" t="s">
        <v>97</v>
      </c>
      <c r="D1082" s="28" t="s">
        <v>1696</v>
      </c>
      <c r="E1082" s="29" t="s">
        <v>1760</v>
      </c>
      <c r="F1082" s="29" t="s">
        <v>343</v>
      </c>
      <c r="G1082" s="25" t="s">
        <v>2867</v>
      </c>
      <c r="H1082" s="26">
        <v>-2.2669979999999999E-2</v>
      </c>
      <c r="I1082" s="26"/>
      <c r="J1082" s="26" t="s">
        <v>512</v>
      </c>
      <c r="K1082" s="25" t="s">
        <v>513</v>
      </c>
    </row>
    <row r="1083" spans="1:11" ht="25.5" x14ac:dyDescent="0.25">
      <c r="A1083" s="22">
        <v>2026</v>
      </c>
      <c r="B1083" s="28" t="s">
        <v>183</v>
      </c>
      <c r="C1083" s="28" t="s">
        <v>97</v>
      </c>
      <c r="D1083" s="28" t="s">
        <v>1696</v>
      </c>
      <c r="E1083" s="29" t="s">
        <v>1760</v>
      </c>
      <c r="F1083" s="29" t="s">
        <v>343</v>
      </c>
      <c r="G1083" s="25" t="s">
        <v>2868</v>
      </c>
      <c r="H1083" s="26">
        <v>-4.442625E-2</v>
      </c>
      <c r="I1083" s="26"/>
      <c r="J1083" s="26" t="s">
        <v>512</v>
      </c>
      <c r="K1083" s="25" t="s">
        <v>513</v>
      </c>
    </row>
    <row r="1084" spans="1:11" ht="25.5" x14ac:dyDescent="0.25">
      <c r="A1084" s="22">
        <v>2026</v>
      </c>
      <c r="B1084" s="28" t="s">
        <v>183</v>
      </c>
      <c r="C1084" s="28" t="s">
        <v>97</v>
      </c>
      <c r="D1084" s="28" t="s">
        <v>1696</v>
      </c>
      <c r="E1084" s="29" t="s">
        <v>1760</v>
      </c>
      <c r="F1084" s="29" t="s">
        <v>343</v>
      </c>
      <c r="G1084" s="25" t="s">
        <v>2869</v>
      </c>
      <c r="H1084" s="26">
        <v>-4.1029999999999997E-2</v>
      </c>
      <c r="I1084" s="26"/>
      <c r="J1084" s="26" t="s">
        <v>512</v>
      </c>
      <c r="K1084" s="25" t="s">
        <v>513</v>
      </c>
    </row>
    <row r="1085" spans="1:11" ht="25.5" x14ac:dyDescent="0.25">
      <c r="A1085" s="22">
        <v>2026</v>
      </c>
      <c r="B1085" s="28" t="s">
        <v>183</v>
      </c>
      <c r="C1085" s="28" t="s">
        <v>97</v>
      </c>
      <c r="D1085" s="28" t="s">
        <v>1696</v>
      </c>
      <c r="E1085" s="29" t="s">
        <v>1760</v>
      </c>
      <c r="F1085" s="29" t="s">
        <v>343</v>
      </c>
      <c r="G1085" s="25" t="s">
        <v>2870</v>
      </c>
      <c r="H1085" s="26">
        <v>-1.8599999999999998E-2</v>
      </c>
      <c r="I1085" s="26"/>
      <c r="J1085" s="26" t="s">
        <v>512</v>
      </c>
      <c r="K1085" s="25" t="s">
        <v>513</v>
      </c>
    </row>
    <row r="1086" spans="1:11" ht="25.5" x14ac:dyDescent="0.25">
      <c r="A1086" s="22">
        <v>2026</v>
      </c>
      <c r="B1086" s="28" t="s">
        <v>183</v>
      </c>
      <c r="C1086" s="28" t="s">
        <v>97</v>
      </c>
      <c r="D1086" s="28" t="s">
        <v>1697</v>
      </c>
      <c r="E1086" s="29" t="s">
        <v>1761</v>
      </c>
      <c r="F1086" s="29" t="s">
        <v>386</v>
      </c>
      <c r="G1086" s="25" t="s">
        <v>2871</v>
      </c>
      <c r="H1086" s="26">
        <v>-6.5875000000000003E-2</v>
      </c>
      <c r="I1086" s="26"/>
      <c r="J1086" s="26" t="s">
        <v>512</v>
      </c>
      <c r="K1086" s="25" t="s">
        <v>513</v>
      </c>
    </row>
    <row r="1087" spans="1:11" ht="25.5" x14ac:dyDescent="0.25">
      <c r="A1087" s="22">
        <v>2026</v>
      </c>
      <c r="B1087" s="28" t="s">
        <v>183</v>
      </c>
      <c r="C1087" s="28" t="s">
        <v>97</v>
      </c>
      <c r="D1087" s="28" t="s">
        <v>1697</v>
      </c>
      <c r="E1087" s="29" t="s">
        <v>1761</v>
      </c>
      <c r="F1087" s="29" t="s">
        <v>386</v>
      </c>
      <c r="G1087" s="25" t="s">
        <v>2872</v>
      </c>
      <c r="H1087" s="26">
        <v>-7.8600000000000003E-2</v>
      </c>
      <c r="I1087" s="26"/>
      <c r="J1087" s="26" t="s">
        <v>512</v>
      </c>
      <c r="K1087" s="25" t="s">
        <v>513</v>
      </c>
    </row>
    <row r="1088" spans="1:11" ht="25.5" x14ac:dyDescent="0.25">
      <c r="A1088" s="22">
        <v>2026</v>
      </c>
      <c r="B1088" s="28" t="s">
        <v>183</v>
      </c>
      <c r="C1088" s="28" t="s">
        <v>97</v>
      </c>
      <c r="D1088" s="28" t="s">
        <v>1697</v>
      </c>
      <c r="E1088" s="29" t="s">
        <v>1761</v>
      </c>
      <c r="F1088" s="29" t="s">
        <v>386</v>
      </c>
      <c r="G1088" s="25" t="s">
        <v>2873</v>
      </c>
      <c r="H1088" s="26">
        <v>-5.2999999999999999E-2</v>
      </c>
      <c r="I1088" s="26"/>
      <c r="J1088" s="26" t="s">
        <v>512</v>
      </c>
      <c r="K1088" s="25" t="s">
        <v>513</v>
      </c>
    </row>
    <row r="1089" spans="1:11" ht="25.5" x14ac:dyDescent="0.25">
      <c r="A1089" s="22">
        <v>2026</v>
      </c>
      <c r="B1089" s="28" t="s">
        <v>183</v>
      </c>
      <c r="C1089" s="28" t="s">
        <v>97</v>
      </c>
      <c r="D1089" s="28" t="s">
        <v>1698</v>
      </c>
      <c r="E1089" s="29" t="s">
        <v>315</v>
      </c>
      <c r="F1089" s="29" t="s">
        <v>298</v>
      </c>
      <c r="G1089" s="25" t="s">
        <v>2874</v>
      </c>
      <c r="H1089" s="26">
        <v>-1.1310435000000001</v>
      </c>
      <c r="I1089" s="26"/>
      <c r="J1089" s="26" t="s">
        <v>512</v>
      </c>
      <c r="K1089" s="25" t="s">
        <v>513</v>
      </c>
    </row>
    <row r="1090" spans="1:11" ht="25.5" x14ac:dyDescent="0.25">
      <c r="A1090" s="22">
        <v>2026</v>
      </c>
      <c r="B1090" s="28" t="s">
        <v>183</v>
      </c>
      <c r="C1090" s="28" t="s">
        <v>97</v>
      </c>
      <c r="D1090" s="28" t="s">
        <v>1698</v>
      </c>
      <c r="E1090" s="29" t="s">
        <v>315</v>
      </c>
      <c r="F1090" s="29" t="s">
        <v>298</v>
      </c>
      <c r="G1090" s="25" t="s">
        <v>2875</v>
      </c>
      <c r="H1090" s="26">
        <v>-0.32443749999999999</v>
      </c>
      <c r="I1090" s="26"/>
      <c r="J1090" s="26" t="s">
        <v>512</v>
      </c>
      <c r="K1090" s="25" t="s">
        <v>513</v>
      </c>
    </row>
    <row r="1091" spans="1:11" ht="25.5" x14ac:dyDescent="0.25">
      <c r="A1091" s="22">
        <v>2026</v>
      </c>
      <c r="B1091" s="28" t="s">
        <v>183</v>
      </c>
      <c r="C1091" s="28" t="s">
        <v>97</v>
      </c>
      <c r="D1091" s="28" t="s">
        <v>1698</v>
      </c>
      <c r="E1091" s="29" t="s">
        <v>315</v>
      </c>
      <c r="F1091" s="29" t="s">
        <v>298</v>
      </c>
      <c r="G1091" s="25" t="s">
        <v>2876</v>
      </c>
      <c r="H1091" s="26">
        <v>-0.45850000000000002</v>
      </c>
      <c r="I1091" s="26"/>
      <c r="J1091" s="26" t="s">
        <v>512</v>
      </c>
      <c r="K1091" s="25" t="s">
        <v>513</v>
      </c>
    </row>
    <row r="1092" spans="1:11" ht="25.5" x14ac:dyDescent="0.25">
      <c r="A1092" s="22">
        <v>2026</v>
      </c>
      <c r="B1092" s="28" t="s">
        <v>183</v>
      </c>
      <c r="C1092" s="28" t="s">
        <v>97</v>
      </c>
      <c r="D1092" s="28" t="s">
        <v>1698</v>
      </c>
      <c r="E1092" s="29" t="s">
        <v>315</v>
      </c>
      <c r="F1092" s="29" t="s">
        <v>298</v>
      </c>
      <c r="G1092" s="25" t="s">
        <v>2877</v>
      </c>
      <c r="H1092" s="26">
        <v>-1.0511200000000001</v>
      </c>
      <c r="I1092" s="26"/>
      <c r="J1092" s="26" t="s">
        <v>512</v>
      </c>
      <c r="K1092" s="25" t="s">
        <v>513</v>
      </c>
    </row>
    <row r="1093" spans="1:11" ht="25.5" x14ac:dyDescent="0.25">
      <c r="A1093" s="22">
        <v>2026</v>
      </c>
      <c r="B1093" s="28" t="s">
        <v>183</v>
      </c>
      <c r="C1093" s="28" t="s">
        <v>97</v>
      </c>
      <c r="D1093" s="28" t="s">
        <v>1698</v>
      </c>
      <c r="E1093" s="29" t="s">
        <v>315</v>
      </c>
      <c r="F1093" s="29" t="s">
        <v>298</v>
      </c>
      <c r="G1093" s="25" t="s">
        <v>2878</v>
      </c>
      <c r="H1093" s="26">
        <v>-1.1275250000000001</v>
      </c>
      <c r="I1093" s="26"/>
      <c r="J1093" s="26" t="s">
        <v>512</v>
      </c>
      <c r="K1093" s="25" t="s">
        <v>513</v>
      </c>
    </row>
    <row r="1094" spans="1:11" ht="25.5" x14ac:dyDescent="0.25">
      <c r="A1094" s="22">
        <v>2026</v>
      </c>
      <c r="B1094" s="28" t="s">
        <v>183</v>
      </c>
      <c r="C1094" s="28" t="s">
        <v>97</v>
      </c>
      <c r="D1094" s="28" t="s">
        <v>1698</v>
      </c>
      <c r="E1094" s="29" t="s">
        <v>315</v>
      </c>
      <c r="F1094" s="29" t="s">
        <v>298</v>
      </c>
      <c r="G1094" s="25" t="s">
        <v>2879</v>
      </c>
      <c r="H1094" s="26">
        <v>-0.397005</v>
      </c>
      <c r="I1094" s="26"/>
      <c r="J1094" s="26" t="s">
        <v>512</v>
      </c>
      <c r="K1094" s="25" t="s">
        <v>513</v>
      </c>
    </row>
    <row r="1095" spans="1:11" ht="25.5" x14ac:dyDescent="0.25">
      <c r="A1095" s="22">
        <v>2026</v>
      </c>
      <c r="B1095" s="28" t="s">
        <v>183</v>
      </c>
      <c r="C1095" s="28" t="s">
        <v>97</v>
      </c>
      <c r="D1095" s="28" t="s">
        <v>1698</v>
      </c>
      <c r="E1095" s="29" t="s">
        <v>315</v>
      </c>
      <c r="F1095" s="29" t="s">
        <v>298</v>
      </c>
      <c r="G1095" s="25" t="s">
        <v>2880</v>
      </c>
      <c r="H1095" s="26">
        <v>-0.60075000000000001</v>
      </c>
      <c r="I1095" s="26"/>
      <c r="J1095" s="26" t="s">
        <v>512</v>
      </c>
      <c r="K1095" s="25" t="s">
        <v>513</v>
      </c>
    </row>
    <row r="1096" spans="1:11" ht="25.5" x14ac:dyDescent="0.25">
      <c r="A1096" s="22">
        <v>2026</v>
      </c>
      <c r="B1096" s="28" t="s">
        <v>183</v>
      </c>
      <c r="C1096" s="28" t="s">
        <v>97</v>
      </c>
      <c r="D1096" s="28" t="s">
        <v>1698</v>
      </c>
      <c r="E1096" s="29" t="s">
        <v>315</v>
      </c>
      <c r="F1096" s="29" t="s">
        <v>298</v>
      </c>
      <c r="G1096" s="25" t="s">
        <v>2881</v>
      </c>
      <c r="H1096" s="26">
        <v>-0.66267500000000001</v>
      </c>
      <c r="I1096" s="26"/>
      <c r="J1096" s="26" t="s">
        <v>512</v>
      </c>
      <c r="K1096" s="25" t="s">
        <v>513</v>
      </c>
    </row>
    <row r="1097" spans="1:11" ht="25.5" x14ac:dyDescent="0.25">
      <c r="A1097" s="22">
        <v>2026</v>
      </c>
      <c r="B1097" s="28" t="s">
        <v>183</v>
      </c>
      <c r="C1097" s="28" t="s">
        <v>97</v>
      </c>
      <c r="D1097" s="28" t="s">
        <v>1699</v>
      </c>
      <c r="E1097" s="29" t="s">
        <v>331</v>
      </c>
      <c r="F1097" s="29" t="s">
        <v>1762</v>
      </c>
      <c r="G1097" s="25" t="s">
        <v>2882</v>
      </c>
      <c r="H1097" s="26">
        <v>-6.8959000000000006E-2</v>
      </c>
      <c r="I1097" s="26"/>
      <c r="J1097" s="26" t="s">
        <v>512</v>
      </c>
      <c r="K1097" s="25" t="s">
        <v>513</v>
      </c>
    </row>
    <row r="1098" spans="1:11" ht="25.5" x14ac:dyDescent="0.25">
      <c r="A1098" s="22">
        <v>2026</v>
      </c>
      <c r="B1098" s="28" t="s">
        <v>183</v>
      </c>
      <c r="C1098" s="28" t="s">
        <v>97</v>
      </c>
      <c r="D1098" s="28" t="s">
        <v>1699</v>
      </c>
      <c r="E1098" s="29" t="s">
        <v>331</v>
      </c>
      <c r="F1098" s="29" t="s">
        <v>1762</v>
      </c>
      <c r="G1098" s="25" t="s">
        <v>2883</v>
      </c>
      <c r="H1098" s="26">
        <v>-9.9548800000000007E-2</v>
      </c>
      <c r="I1098" s="26"/>
      <c r="J1098" s="26" t="s">
        <v>512</v>
      </c>
      <c r="K1098" s="25" t="s">
        <v>513</v>
      </c>
    </row>
    <row r="1099" spans="1:11" ht="25.5" x14ac:dyDescent="0.25">
      <c r="A1099" s="22">
        <v>2026</v>
      </c>
      <c r="B1099" s="28" t="s">
        <v>183</v>
      </c>
      <c r="C1099" s="28" t="s">
        <v>97</v>
      </c>
      <c r="D1099" s="28" t="s">
        <v>1699</v>
      </c>
      <c r="E1099" s="29" t="s">
        <v>331</v>
      </c>
      <c r="F1099" s="29" t="s">
        <v>1762</v>
      </c>
      <c r="G1099" s="25" t="s">
        <v>2884</v>
      </c>
      <c r="H1099" s="26">
        <v>-1.3372281E-2</v>
      </c>
      <c r="I1099" s="26"/>
      <c r="J1099" s="26" t="s">
        <v>512</v>
      </c>
      <c r="K1099" s="25" t="s">
        <v>513</v>
      </c>
    </row>
    <row r="1100" spans="1:11" ht="25.5" x14ac:dyDescent="0.25">
      <c r="A1100" s="22">
        <v>2026</v>
      </c>
      <c r="B1100" s="28" t="s">
        <v>183</v>
      </c>
      <c r="C1100" s="28" t="s">
        <v>97</v>
      </c>
      <c r="D1100" s="28" t="s">
        <v>1699</v>
      </c>
      <c r="E1100" s="29" t="s">
        <v>331</v>
      </c>
      <c r="F1100" s="29" t="s">
        <v>1762</v>
      </c>
      <c r="G1100" s="25" t="s">
        <v>2885</v>
      </c>
      <c r="H1100" s="26">
        <v>-4.6800000000000001E-2</v>
      </c>
      <c r="I1100" s="26"/>
      <c r="J1100" s="26" t="s">
        <v>512</v>
      </c>
      <c r="K1100" s="25" t="s">
        <v>513</v>
      </c>
    </row>
    <row r="1101" spans="1:11" ht="25.5" x14ac:dyDescent="0.25">
      <c r="A1101" s="22">
        <v>2026</v>
      </c>
      <c r="B1101" s="28" t="s">
        <v>183</v>
      </c>
      <c r="C1101" s="28" t="s">
        <v>97</v>
      </c>
      <c r="D1101" s="28" t="s">
        <v>1699</v>
      </c>
      <c r="E1101" s="29" t="s">
        <v>331</v>
      </c>
      <c r="F1101" s="29" t="s">
        <v>1762</v>
      </c>
      <c r="G1101" s="25" t="s">
        <v>2886</v>
      </c>
      <c r="H1101" s="26">
        <v>-6.2600000000000003E-2</v>
      </c>
      <c r="I1101" s="26"/>
      <c r="J1101" s="26" t="s">
        <v>512</v>
      </c>
      <c r="K1101" s="25" t="s">
        <v>513</v>
      </c>
    </row>
    <row r="1102" spans="1:11" ht="25.5" x14ac:dyDescent="0.25">
      <c r="A1102" s="22">
        <v>2026</v>
      </c>
      <c r="B1102" s="28" t="s">
        <v>183</v>
      </c>
      <c r="C1102" s="28" t="s">
        <v>97</v>
      </c>
      <c r="D1102" s="28" t="s">
        <v>1699</v>
      </c>
      <c r="E1102" s="29" t="s">
        <v>331</v>
      </c>
      <c r="F1102" s="29" t="s">
        <v>1762</v>
      </c>
      <c r="G1102" s="25" t="s">
        <v>2887</v>
      </c>
      <c r="H1102" s="26">
        <v>-0.10193694</v>
      </c>
      <c r="I1102" s="26"/>
      <c r="J1102" s="26" t="s">
        <v>512</v>
      </c>
      <c r="K1102" s="25" t="s">
        <v>513</v>
      </c>
    </row>
    <row r="1103" spans="1:11" ht="25.5" x14ac:dyDescent="0.25">
      <c r="A1103" s="22">
        <v>2026</v>
      </c>
      <c r="B1103" s="28" t="s">
        <v>183</v>
      </c>
      <c r="C1103" s="28" t="s">
        <v>97</v>
      </c>
      <c r="D1103" s="28" t="s">
        <v>1699</v>
      </c>
      <c r="E1103" s="29" t="s">
        <v>331</v>
      </c>
      <c r="F1103" s="29" t="s">
        <v>1762</v>
      </c>
      <c r="G1103" s="25" t="s">
        <v>2888</v>
      </c>
      <c r="H1103" s="26">
        <v>-6.2426000000000009E-2</v>
      </c>
      <c r="I1103" s="26"/>
      <c r="J1103" s="26" t="s">
        <v>512</v>
      </c>
      <c r="K1103" s="25" t="s">
        <v>513</v>
      </c>
    </row>
    <row r="1104" spans="1:11" ht="25.5" x14ac:dyDescent="0.25">
      <c r="A1104" s="22">
        <v>2026</v>
      </c>
      <c r="B1104" s="28" t="s">
        <v>183</v>
      </c>
      <c r="C1104" s="28" t="s">
        <v>97</v>
      </c>
      <c r="D1104" s="28" t="s">
        <v>1699</v>
      </c>
      <c r="E1104" s="29" t="s">
        <v>331</v>
      </c>
      <c r="F1104" s="29" t="s">
        <v>1762</v>
      </c>
      <c r="G1104" s="25" t="s">
        <v>2889</v>
      </c>
      <c r="H1104" s="26">
        <v>-6.2215999999999994E-2</v>
      </c>
      <c r="I1104" s="26"/>
      <c r="J1104" s="26" t="s">
        <v>512</v>
      </c>
      <c r="K1104" s="25" t="s">
        <v>513</v>
      </c>
    </row>
    <row r="1105" spans="1:11" ht="25.5" x14ac:dyDescent="0.25">
      <c r="A1105" s="22">
        <v>2026</v>
      </c>
      <c r="B1105" s="28" t="s">
        <v>183</v>
      </c>
      <c r="C1105" s="28" t="s">
        <v>97</v>
      </c>
      <c r="D1105" s="28" t="s">
        <v>1699</v>
      </c>
      <c r="E1105" s="29" t="s">
        <v>331</v>
      </c>
      <c r="F1105" s="29" t="s">
        <v>1762</v>
      </c>
      <c r="G1105" s="25" t="s">
        <v>2890</v>
      </c>
      <c r="H1105" s="26">
        <v>-7.2079699999999997E-2</v>
      </c>
      <c r="I1105" s="26"/>
      <c r="J1105" s="26" t="s">
        <v>512</v>
      </c>
      <c r="K1105" s="25" t="s">
        <v>513</v>
      </c>
    </row>
    <row r="1106" spans="1:11" ht="25.5" x14ac:dyDescent="0.25">
      <c r="A1106" s="22">
        <v>2026</v>
      </c>
      <c r="B1106" s="28" t="s">
        <v>183</v>
      </c>
      <c r="C1106" s="28" t="s">
        <v>97</v>
      </c>
      <c r="D1106" s="28" t="s">
        <v>1699</v>
      </c>
      <c r="E1106" s="29" t="s">
        <v>331</v>
      </c>
      <c r="F1106" s="29" t="s">
        <v>1762</v>
      </c>
      <c r="G1106" s="25" t="s">
        <v>2891</v>
      </c>
      <c r="H1106" s="26">
        <v>-4.5380978100000004E-2</v>
      </c>
      <c r="I1106" s="26"/>
      <c r="J1106" s="26" t="s">
        <v>512</v>
      </c>
      <c r="K1106" s="25" t="s">
        <v>513</v>
      </c>
    </row>
    <row r="1107" spans="1:11" ht="25.5" x14ac:dyDescent="0.25">
      <c r="A1107" s="22">
        <v>2026</v>
      </c>
      <c r="B1107" s="28" t="s">
        <v>183</v>
      </c>
      <c r="C1107" s="28" t="s">
        <v>97</v>
      </c>
      <c r="D1107" s="28" t="s">
        <v>1699</v>
      </c>
      <c r="E1107" s="29" t="s">
        <v>331</v>
      </c>
      <c r="F1107" s="29" t="s">
        <v>1762</v>
      </c>
      <c r="G1107" s="25" t="s">
        <v>2892</v>
      </c>
      <c r="H1107" s="26">
        <v>-0.10809858509999999</v>
      </c>
      <c r="I1107" s="26"/>
      <c r="J1107" s="26" t="s">
        <v>512</v>
      </c>
      <c r="K1107" s="25" t="s">
        <v>513</v>
      </c>
    </row>
    <row r="1108" spans="1:11" ht="25.5" x14ac:dyDescent="0.25">
      <c r="A1108" s="22">
        <v>2026</v>
      </c>
      <c r="B1108" s="28" t="s">
        <v>183</v>
      </c>
      <c r="C1108" s="28" t="s">
        <v>97</v>
      </c>
      <c r="D1108" s="28" t="s">
        <v>1699</v>
      </c>
      <c r="E1108" s="29" t="s">
        <v>331</v>
      </c>
      <c r="F1108" s="29" t="s">
        <v>1762</v>
      </c>
      <c r="G1108" s="25" t="s">
        <v>2893</v>
      </c>
      <c r="H1108" s="26">
        <v>-6.25E-2</v>
      </c>
      <c r="I1108" s="26"/>
      <c r="J1108" s="26" t="s">
        <v>512</v>
      </c>
      <c r="K1108" s="25" t="s">
        <v>513</v>
      </c>
    </row>
    <row r="1109" spans="1:11" ht="25.5" x14ac:dyDescent="0.25">
      <c r="A1109" s="22">
        <v>2026</v>
      </c>
      <c r="B1109" s="28" t="s">
        <v>183</v>
      </c>
      <c r="C1109" s="28" t="s">
        <v>97</v>
      </c>
      <c r="D1109" s="28" t="s">
        <v>1699</v>
      </c>
      <c r="E1109" s="29" t="s">
        <v>331</v>
      </c>
      <c r="F1109" s="29" t="s">
        <v>1762</v>
      </c>
      <c r="G1109" s="25" t="s">
        <v>2894</v>
      </c>
      <c r="H1109" s="26">
        <v>-5.0996572399999995E-2</v>
      </c>
      <c r="I1109" s="26"/>
      <c r="J1109" s="26" t="s">
        <v>512</v>
      </c>
      <c r="K1109" s="25" t="s">
        <v>513</v>
      </c>
    </row>
    <row r="1110" spans="1:11" ht="25.5" x14ac:dyDescent="0.25">
      <c r="A1110" s="22">
        <v>2026</v>
      </c>
      <c r="B1110" s="28" t="s">
        <v>183</v>
      </c>
      <c r="C1110" s="28" t="s">
        <v>97</v>
      </c>
      <c r="D1110" s="28" t="s">
        <v>1700</v>
      </c>
      <c r="E1110" s="29" t="s">
        <v>331</v>
      </c>
      <c r="F1110" s="29" t="s">
        <v>483</v>
      </c>
      <c r="G1110" s="25" t="s">
        <v>1933</v>
      </c>
      <c r="H1110" s="26">
        <v>-0.15190000000000001</v>
      </c>
      <c r="I1110" s="26"/>
      <c r="J1110" s="26" t="s">
        <v>512</v>
      </c>
      <c r="K1110" s="25" t="s">
        <v>513</v>
      </c>
    </row>
    <row r="1111" spans="1:11" ht="25.5" x14ac:dyDescent="0.25">
      <c r="A1111" s="22">
        <v>2026</v>
      </c>
      <c r="B1111" s="28" t="s">
        <v>183</v>
      </c>
      <c r="C1111" s="28" t="s">
        <v>97</v>
      </c>
      <c r="D1111" s="28" t="s">
        <v>1700</v>
      </c>
      <c r="E1111" s="29" t="s">
        <v>331</v>
      </c>
      <c r="F1111" s="29" t="s">
        <v>483</v>
      </c>
      <c r="G1111" s="25" t="s">
        <v>2895</v>
      </c>
      <c r="H1111" s="26">
        <v>-0.1484</v>
      </c>
      <c r="I1111" s="26"/>
      <c r="J1111" s="26" t="s">
        <v>512</v>
      </c>
      <c r="K1111" s="25" t="s">
        <v>513</v>
      </c>
    </row>
    <row r="1112" spans="1:11" ht="25.5" x14ac:dyDescent="0.25">
      <c r="A1112" s="22">
        <v>2026</v>
      </c>
      <c r="B1112" s="28" t="s">
        <v>183</v>
      </c>
      <c r="C1112" s="28" t="s">
        <v>97</v>
      </c>
      <c r="D1112" s="28" t="s">
        <v>1700</v>
      </c>
      <c r="E1112" s="29" t="s">
        <v>331</v>
      </c>
      <c r="F1112" s="29" t="s">
        <v>483</v>
      </c>
      <c r="G1112" s="25" t="s">
        <v>2896</v>
      </c>
      <c r="H1112" s="26">
        <v>-0.14680399999999999</v>
      </c>
      <c r="I1112" s="26"/>
      <c r="J1112" s="26" t="s">
        <v>512</v>
      </c>
      <c r="K1112" s="25" t="s">
        <v>513</v>
      </c>
    </row>
    <row r="1113" spans="1:11" ht="25.5" x14ac:dyDescent="0.25">
      <c r="A1113" s="22">
        <v>2026</v>
      </c>
      <c r="B1113" s="28" t="s">
        <v>183</v>
      </c>
      <c r="C1113" s="28" t="s">
        <v>97</v>
      </c>
      <c r="D1113" s="28" t="s">
        <v>1700</v>
      </c>
      <c r="E1113" s="29" t="s">
        <v>331</v>
      </c>
      <c r="F1113" s="29" t="s">
        <v>483</v>
      </c>
      <c r="G1113" s="25" t="s">
        <v>2897</v>
      </c>
      <c r="H1113" s="26">
        <v>-0.1477</v>
      </c>
      <c r="I1113" s="26"/>
      <c r="J1113" s="26" t="s">
        <v>512</v>
      </c>
      <c r="K1113" s="25" t="s">
        <v>513</v>
      </c>
    </row>
    <row r="1114" spans="1:11" ht="25.5" x14ac:dyDescent="0.25">
      <c r="A1114" s="22">
        <v>2026</v>
      </c>
      <c r="B1114" s="28" t="s">
        <v>183</v>
      </c>
      <c r="C1114" s="28" t="s">
        <v>97</v>
      </c>
      <c r="D1114" s="28" t="s">
        <v>1700</v>
      </c>
      <c r="E1114" s="29" t="s">
        <v>331</v>
      </c>
      <c r="F1114" s="29" t="s">
        <v>483</v>
      </c>
      <c r="G1114" s="25" t="s">
        <v>2898</v>
      </c>
      <c r="H1114" s="26">
        <v>-0.14754600000000001</v>
      </c>
      <c r="I1114" s="26"/>
      <c r="J1114" s="26" t="s">
        <v>512</v>
      </c>
      <c r="K1114" s="25" t="s">
        <v>513</v>
      </c>
    </row>
    <row r="1115" spans="1:11" ht="25.5" x14ac:dyDescent="0.25">
      <c r="A1115" s="22">
        <v>2026</v>
      </c>
      <c r="B1115" s="28" t="s">
        <v>183</v>
      </c>
      <c r="C1115" s="28" t="s">
        <v>97</v>
      </c>
      <c r="D1115" s="28" t="s">
        <v>1700</v>
      </c>
      <c r="E1115" s="29" t="s">
        <v>331</v>
      </c>
      <c r="F1115" s="29" t="s">
        <v>483</v>
      </c>
      <c r="G1115" s="25" t="s">
        <v>2899</v>
      </c>
      <c r="H1115" s="26">
        <v>-0.14974400000000002</v>
      </c>
      <c r="I1115" s="26"/>
      <c r="J1115" s="26" t="s">
        <v>512</v>
      </c>
      <c r="K1115" s="25" t="s">
        <v>513</v>
      </c>
    </row>
    <row r="1116" spans="1:11" ht="25.5" x14ac:dyDescent="0.25">
      <c r="A1116" s="22">
        <v>2026</v>
      </c>
      <c r="B1116" s="28" t="s">
        <v>183</v>
      </c>
      <c r="C1116" s="28" t="s">
        <v>97</v>
      </c>
      <c r="D1116" s="28" t="s">
        <v>1700</v>
      </c>
      <c r="E1116" s="29" t="s">
        <v>331</v>
      </c>
      <c r="F1116" s="29" t="s">
        <v>483</v>
      </c>
      <c r="G1116" s="25" t="s">
        <v>2900</v>
      </c>
      <c r="H1116" s="26">
        <v>-0.14979999999999999</v>
      </c>
      <c r="I1116" s="26"/>
      <c r="J1116" s="26" t="s">
        <v>512</v>
      </c>
      <c r="K1116" s="25" t="s">
        <v>513</v>
      </c>
    </row>
    <row r="1117" spans="1:11" ht="25.5" x14ac:dyDescent="0.25">
      <c r="A1117" s="22">
        <v>2026</v>
      </c>
      <c r="B1117" s="28" t="s">
        <v>183</v>
      </c>
      <c r="C1117" s="28" t="s">
        <v>97</v>
      </c>
      <c r="D1117" s="28" t="s">
        <v>1700</v>
      </c>
      <c r="E1117" s="29" t="s">
        <v>331</v>
      </c>
      <c r="F1117" s="29" t="s">
        <v>483</v>
      </c>
      <c r="G1117" s="25" t="s">
        <v>2901</v>
      </c>
      <c r="H1117" s="26">
        <v>-0.14884800000000001</v>
      </c>
      <c r="I1117" s="26"/>
      <c r="J1117" s="26" t="s">
        <v>512</v>
      </c>
      <c r="K1117" s="25" t="s">
        <v>513</v>
      </c>
    </row>
    <row r="1118" spans="1:11" ht="25.5" x14ac:dyDescent="0.25">
      <c r="A1118" s="22">
        <v>2026</v>
      </c>
      <c r="B1118" s="28" t="s">
        <v>183</v>
      </c>
      <c r="C1118" s="28" t="s">
        <v>97</v>
      </c>
      <c r="D1118" s="28" t="s">
        <v>1700</v>
      </c>
      <c r="E1118" s="29" t="s">
        <v>331</v>
      </c>
      <c r="F1118" s="29" t="s">
        <v>483</v>
      </c>
      <c r="G1118" s="25" t="s">
        <v>2902</v>
      </c>
      <c r="H1118" s="26">
        <v>-0.14585200000000001</v>
      </c>
      <c r="I1118" s="26"/>
      <c r="J1118" s="26" t="s">
        <v>512</v>
      </c>
      <c r="K1118" s="25" t="s">
        <v>513</v>
      </c>
    </row>
    <row r="1119" spans="1:11" ht="25.5" x14ac:dyDescent="0.25">
      <c r="A1119" s="22">
        <v>2026</v>
      </c>
      <c r="B1119" s="28" t="s">
        <v>183</v>
      </c>
      <c r="C1119" s="28" t="s">
        <v>97</v>
      </c>
      <c r="D1119" s="28" t="s">
        <v>1700</v>
      </c>
      <c r="E1119" s="29" t="s">
        <v>331</v>
      </c>
      <c r="F1119" s="29" t="s">
        <v>483</v>
      </c>
      <c r="G1119" s="25" t="s">
        <v>2903</v>
      </c>
      <c r="H1119" s="26">
        <v>-0.144956</v>
      </c>
      <c r="I1119" s="26"/>
      <c r="J1119" s="26" t="s">
        <v>512</v>
      </c>
      <c r="K1119" s="25" t="s">
        <v>513</v>
      </c>
    </row>
    <row r="1120" spans="1:11" ht="25.5" x14ac:dyDescent="0.25">
      <c r="A1120" s="22">
        <v>2026</v>
      </c>
      <c r="B1120" s="28" t="s">
        <v>183</v>
      </c>
      <c r="C1120" s="28" t="s">
        <v>97</v>
      </c>
      <c r="D1120" s="28" t="s">
        <v>1700</v>
      </c>
      <c r="E1120" s="29" t="s">
        <v>331</v>
      </c>
      <c r="F1120" s="29" t="s">
        <v>483</v>
      </c>
      <c r="G1120" s="25" t="s">
        <v>2903</v>
      </c>
      <c r="H1120" s="26">
        <v>-0.144956</v>
      </c>
      <c r="I1120" s="26"/>
      <c r="J1120" s="26" t="s">
        <v>512</v>
      </c>
      <c r="K1120" s="25" t="s">
        <v>513</v>
      </c>
    </row>
    <row r="1121" spans="1:11" ht="25.5" x14ac:dyDescent="0.25">
      <c r="A1121" s="22">
        <v>2026</v>
      </c>
      <c r="B1121" s="28" t="s">
        <v>183</v>
      </c>
      <c r="C1121" s="28" t="s">
        <v>97</v>
      </c>
      <c r="D1121" s="28" t="s">
        <v>1700</v>
      </c>
      <c r="E1121" s="29" t="s">
        <v>331</v>
      </c>
      <c r="F1121" s="29" t="s">
        <v>483</v>
      </c>
      <c r="G1121" s="25" t="s">
        <v>2904</v>
      </c>
      <c r="H1121" s="26">
        <v>-0.1449</v>
      </c>
      <c r="I1121" s="26"/>
      <c r="J1121" s="26" t="s">
        <v>512</v>
      </c>
      <c r="K1121" s="25" t="s">
        <v>513</v>
      </c>
    </row>
    <row r="1122" spans="1:11" ht="25.5" x14ac:dyDescent="0.25">
      <c r="A1122" s="22">
        <v>2026</v>
      </c>
      <c r="B1122" s="28" t="s">
        <v>183</v>
      </c>
      <c r="C1122" s="28" t="s">
        <v>97</v>
      </c>
      <c r="D1122" s="28" t="s">
        <v>1700</v>
      </c>
      <c r="E1122" s="29" t="s">
        <v>331</v>
      </c>
      <c r="F1122" s="29" t="s">
        <v>483</v>
      </c>
      <c r="G1122" s="25" t="s">
        <v>2897</v>
      </c>
      <c r="H1122" s="26">
        <v>-0.1477</v>
      </c>
      <c r="I1122" s="26"/>
      <c r="J1122" s="26" t="s">
        <v>512</v>
      </c>
      <c r="K1122" s="25" t="s">
        <v>513</v>
      </c>
    </row>
    <row r="1123" spans="1:11" ht="25.5" x14ac:dyDescent="0.25">
      <c r="A1123" s="22">
        <v>2026</v>
      </c>
      <c r="B1123" s="28" t="s">
        <v>183</v>
      </c>
      <c r="C1123" s="28" t="s">
        <v>97</v>
      </c>
      <c r="D1123" s="28" t="s">
        <v>1700</v>
      </c>
      <c r="E1123" s="29" t="s">
        <v>331</v>
      </c>
      <c r="F1123" s="29" t="s">
        <v>483</v>
      </c>
      <c r="G1123" s="25" t="s">
        <v>2905</v>
      </c>
      <c r="H1123" s="26">
        <v>-0.14740600000000001</v>
      </c>
      <c r="I1123" s="26"/>
      <c r="J1123" s="26" t="s">
        <v>512</v>
      </c>
      <c r="K1123" s="25" t="s">
        <v>513</v>
      </c>
    </row>
    <row r="1124" spans="1:11" ht="25.5" x14ac:dyDescent="0.25">
      <c r="A1124" s="22">
        <v>2026</v>
      </c>
      <c r="B1124" s="28" t="s">
        <v>183</v>
      </c>
      <c r="C1124" s="28" t="s">
        <v>97</v>
      </c>
      <c r="D1124" s="28" t="s">
        <v>1700</v>
      </c>
      <c r="E1124" s="29" t="s">
        <v>331</v>
      </c>
      <c r="F1124" s="29" t="s">
        <v>483</v>
      </c>
      <c r="G1124" s="25" t="s">
        <v>2897</v>
      </c>
      <c r="H1124" s="26">
        <v>-0.1477</v>
      </c>
      <c r="I1124" s="26"/>
      <c r="J1124" s="26" t="s">
        <v>512</v>
      </c>
      <c r="K1124" s="25" t="s">
        <v>513</v>
      </c>
    </row>
    <row r="1125" spans="1:11" ht="25.5" x14ac:dyDescent="0.25">
      <c r="A1125" s="22">
        <v>2026</v>
      </c>
      <c r="B1125" s="28" t="s">
        <v>183</v>
      </c>
      <c r="C1125" s="28" t="s">
        <v>97</v>
      </c>
      <c r="D1125" s="28" t="s">
        <v>1700</v>
      </c>
      <c r="E1125" s="29" t="s">
        <v>331</v>
      </c>
      <c r="F1125" s="29" t="s">
        <v>483</v>
      </c>
      <c r="G1125" s="25" t="s">
        <v>2906</v>
      </c>
      <c r="H1125" s="26">
        <v>-0.146174</v>
      </c>
      <c r="I1125" s="26"/>
      <c r="J1125" s="26" t="s">
        <v>512</v>
      </c>
      <c r="K1125" s="25" t="s">
        <v>513</v>
      </c>
    </row>
    <row r="1126" spans="1:11" ht="25.5" x14ac:dyDescent="0.25">
      <c r="A1126" s="22">
        <v>2026</v>
      </c>
      <c r="B1126" s="28" t="s">
        <v>183</v>
      </c>
      <c r="C1126" s="28" t="s">
        <v>97</v>
      </c>
      <c r="D1126" s="28" t="s">
        <v>1700</v>
      </c>
      <c r="E1126" s="29" t="s">
        <v>331</v>
      </c>
      <c r="F1126" s="29" t="s">
        <v>483</v>
      </c>
      <c r="G1126" s="25" t="s">
        <v>2907</v>
      </c>
      <c r="H1126" s="26">
        <v>-0.14560000000000001</v>
      </c>
      <c r="I1126" s="26"/>
      <c r="J1126" s="26" t="s">
        <v>512</v>
      </c>
      <c r="K1126" s="25" t="s">
        <v>513</v>
      </c>
    </row>
    <row r="1127" spans="1:11" ht="25.5" x14ac:dyDescent="0.25">
      <c r="A1127" s="22">
        <v>2026</v>
      </c>
      <c r="B1127" s="28" t="s">
        <v>183</v>
      </c>
      <c r="C1127" s="28" t="s">
        <v>97</v>
      </c>
      <c r="D1127" s="28" t="s">
        <v>1700</v>
      </c>
      <c r="E1127" s="29" t="s">
        <v>331</v>
      </c>
      <c r="F1127" s="29" t="s">
        <v>483</v>
      </c>
      <c r="G1127" s="25" t="s">
        <v>2908</v>
      </c>
      <c r="H1127" s="26">
        <v>-0.14630000000000001</v>
      </c>
      <c r="I1127" s="26"/>
      <c r="J1127" s="26" t="s">
        <v>512</v>
      </c>
      <c r="K1127" s="25" t="s">
        <v>513</v>
      </c>
    </row>
    <row r="1128" spans="1:11" ht="25.5" x14ac:dyDescent="0.25">
      <c r="A1128" s="22">
        <v>2026</v>
      </c>
      <c r="B1128" s="28" t="s">
        <v>183</v>
      </c>
      <c r="C1128" s="28" t="s">
        <v>97</v>
      </c>
      <c r="D1128" s="28" t="s">
        <v>1700</v>
      </c>
      <c r="E1128" s="29" t="s">
        <v>331</v>
      </c>
      <c r="F1128" s="29" t="s">
        <v>483</v>
      </c>
      <c r="G1128" s="25" t="s">
        <v>2909</v>
      </c>
      <c r="H1128" s="26">
        <v>-0.146902</v>
      </c>
      <c r="I1128" s="26"/>
      <c r="J1128" s="26" t="s">
        <v>512</v>
      </c>
      <c r="K1128" s="25" t="s">
        <v>513</v>
      </c>
    </row>
    <row r="1129" spans="1:11" ht="25.5" x14ac:dyDescent="0.25">
      <c r="A1129" s="22">
        <v>2026</v>
      </c>
      <c r="B1129" s="28" t="s">
        <v>183</v>
      </c>
      <c r="C1129" s="28" t="s">
        <v>97</v>
      </c>
      <c r="D1129" s="28" t="s">
        <v>1700</v>
      </c>
      <c r="E1129" s="29" t="s">
        <v>331</v>
      </c>
      <c r="F1129" s="29" t="s">
        <v>483</v>
      </c>
      <c r="G1129" s="25" t="s">
        <v>2897</v>
      </c>
      <c r="H1129" s="26">
        <v>-0.1477</v>
      </c>
      <c r="I1129" s="26"/>
      <c r="J1129" s="26" t="s">
        <v>512</v>
      </c>
      <c r="K1129" s="25" t="s">
        <v>513</v>
      </c>
    </row>
    <row r="1130" spans="1:11" ht="25.5" x14ac:dyDescent="0.25">
      <c r="A1130" s="22">
        <v>2026</v>
      </c>
      <c r="B1130" s="28" t="s">
        <v>183</v>
      </c>
      <c r="C1130" s="28" t="s">
        <v>97</v>
      </c>
      <c r="D1130" s="28" t="s">
        <v>1701</v>
      </c>
      <c r="E1130" s="29" t="s">
        <v>331</v>
      </c>
      <c r="F1130" s="29" t="s">
        <v>566</v>
      </c>
      <c r="G1130" s="25" t="s">
        <v>2910</v>
      </c>
      <c r="H1130" s="26">
        <v>-0.53700000000000003</v>
      </c>
      <c r="I1130" s="26"/>
      <c r="J1130" s="26" t="s">
        <v>512</v>
      </c>
      <c r="K1130" s="25" t="s">
        <v>513</v>
      </c>
    </row>
    <row r="1131" spans="1:11" ht="25.5" x14ac:dyDescent="0.25">
      <c r="A1131" s="22">
        <v>2026</v>
      </c>
      <c r="B1131" s="28" t="s">
        <v>183</v>
      </c>
      <c r="C1131" s="28" t="s">
        <v>97</v>
      </c>
      <c r="D1131" s="28" t="s">
        <v>1701</v>
      </c>
      <c r="E1131" s="29" t="s">
        <v>331</v>
      </c>
      <c r="F1131" s="29" t="s">
        <v>566</v>
      </c>
      <c r="G1131" s="25" t="s">
        <v>2911</v>
      </c>
      <c r="H1131" s="26">
        <v>-0.31360000000000005</v>
      </c>
      <c r="I1131" s="26"/>
      <c r="J1131" s="26" t="s">
        <v>512</v>
      </c>
      <c r="K1131" s="25" t="s">
        <v>513</v>
      </c>
    </row>
    <row r="1132" spans="1:11" ht="25.5" x14ac:dyDescent="0.25">
      <c r="A1132" s="22">
        <v>2026</v>
      </c>
      <c r="B1132" s="28" t="s">
        <v>183</v>
      </c>
      <c r="C1132" s="28" t="s">
        <v>97</v>
      </c>
      <c r="D1132" s="28" t="s">
        <v>1701</v>
      </c>
      <c r="E1132" s="29" t="s">
        <v>331</v>
      </c>
      <c r="F1132" s="29" t="s">
        <v>566</v>
      </c>
      <c r="G1132" s="25" t="s">
        <v>2912</v>
      </c>
      <c r="H1132" s="26">
        <v>-0.18920000000000003</v>
      </c>
      <c r="I1132" s="26"/>
      <c r="J1132" s="26" t="s">
        <v>512</v>
      </c>
      <c r="K1132" s="25" t="s">
        <v>513</v>
      </c>
    </row>
    <row r="1133" spans="1:11" ht="25.5" x14ac:dyDescent="0.25">
      <c r="A1133" s="22">
        <v>2026</v>
      </c>
      <c r="B1133" s="28" t="s">
        <v>183</v>
      </c>
      <c r="C1133" s="28" t="s">
        <v>97</v>
      </c>
      <c r="D1133" s="28" t="s">
        <v>1701</v>
      </c>
      <c r="E1133" s="29" t="s">
        <v>331</v>
      </c>
      <c r="F1133" s="29" t="s">
        <v>566</v>
      </c>
      <c r="G1133" s="25" t="s">
        <v>2913</v>
      </c>
      <c r="H1133" s="26">
        <v>-0.71418750000000009</v>
      </c>
      <c r="I1133" s="26"/>
      <c r="J1133" s="26" t="s">
        <v>512</v>
      </c>
      <c r="K1133" s="25" t="s">
        <v>513</v>
      </c>
    </row>
    <row r="1134" spans="1:11" ht="25.5" x14ac:dyDescent="0.25">
      <c r="A1134" s="22">
        <v>2026</v>
      </c>
      <c r="B1134" s="28" t="s">
        <v>183</v>
      </c>
      <c r="C1134" s="28" t="s">
        <v>97</v>
      </c>
      <c r="D1134" s="28" t="s">
        <v>1701</v>
      </c>
      <c r="E1134" s="29" t="s">
        <v>331</v>
      </c>
      <c r="F1134" s="29" t="s">
        <v>566</v>
      </c>
      <c r="G1134" s="25" t="s">
        <v>2914</v>
      </c>
      <c r="H1134" s="26">
        <v>-0.47099999999999997</v>
      </c>
      <c r="I1134" s="26"/>
      <c r="J1134" s="26" t="s">
        <v>512</v>
      </c>
      <c r="K1134" s="25" t="s">
        <v>513</v>
      </c>
    </row>
    <row r="1135" spans="1:11" ht="25.5" x14ac:dyDescent="0.25">
      <c r="A1135" s="22">
        <v>2026</v>
      </c>
      <c r="B1135" s="28" t="s">
        <v>183</v>
      </c>
      <c r="C1135" s="28" t="s">
        <v>97</v>
      </c>
      <c r="D1135" s="28" t="s">
        <v>1701</v>
      </c>
      <c r="E1135" s="29" t="s">
        <v>331</v>
      </c>
      <c r="F1135" s="29" t="s">
        <v>566</v>
      </c>
      <c r="G1135" s="25" t="s">
        <v>2915</v>
      </c>
      <c r="H1135" s="26">
        <v>-0.46700000000000003</v>
      </c>
      <c r="I1135" s="26"/>
      <c r="J1135" s="26" t="s">
        <v>512</v>
      </c>
      <c r="K1135" s="25" t="s">
        <v>513</v>
      </c>
    </row>
    <row r="1136" spans="1:11" ht="25.5" x14ac:dyDescent="0.25">
      <c r="A1136" s="22">
        <v>2026</v>
      </c>
      <c r="B1136" s="28" t="s">
        <v>183</v>
      </c>
      <c r="C1136" s="28" t="s">
        <v>97</v>
      </c>
      <c r="D1136" s="28" t="s">
        <v>1701</v>
      </c>
      <c r="E1136" s="29" t="s">
        <v>331</v>
      </c>
      <c r="F1136" s="29" t="s">
        <v>566</v>
      </c>
      <c r="G1136" s="25" t="s">
        <v>2916</v>
      </c>
      <c r="H1136" s="26">
        <v>-0.70252500000000007</v>
      </c>
      <c r="I1136" s="26"/>
      <c r="J1136" s="26" t="s">
        <v>512</v>
      </c>
      <c r="K1136" s="25" t="s">
        <v>513</v>
      </c>
    </row>
    <row r="1137" spans="1:11" ht="25.5" x14ac:dyDescent="0.25">
      <c r="A1137" s="22">
        <v>2026</v>
      </c>
      <c r="B1137" s="28" t="s">
        <v>183</v>
      </c>
      <c r="C1137" s="28" t="s">
        <v>97</v>
      </c>
      <c r="D1137" s="28" t="s">
        <v>1701</v>
      </c>
      <c r="E1137" s="29" t="s">
        <v>331</v>
      </c>
      <c r="F1137" s="29" t="s">
        <v>566</v>
      </c>
      <c r="G1137" s="25" t="s">
        <v>2917</v>
      </c>
      <c r="H1137" s="26">
        <v>-0.69899999999999995</v>
      </c>
      <c r="I1137" s="26"/>
      <c r="J1137" s="26" t="s">
        <v>512</v>
      </c>
      <c r="K1137" s="25" t="s">
        <v>513</v>
      </c>
    </row>
    <row r="1138" spans="1:11" ht="25.5" x14ac:dyDescent="0.25">
      <c r="A1138" s="22">
        <v>2026</v>
      </c>
      <c r="B1138" s="28" t="s">
        <v>183</v>
      </c>
      <c r="C1138" s="28" t="s">
        <v>97</v>
      </c>
      <c r="D1138" s="28" t="s">
        <v>1701</v>
      </c>
      <c r="E1138" s="29" t="s">
        <v>331</v>
      </c>
      <c r="F1138" s="29" t="s">
        <v>566</v>
      </c>
      <c r="G1138" s="25" t="s">
        <v>2918</v>
      </c>
      <c r="H1138" s="26">
        <v>-0.46200000000000002</v>
      </c>
      <c r="I1138" s="26"/>
      <c r="J1138" s="26" t="s">
        <v>512</v>
      </c>
      <c r="K1138" s="25" t="s">
        <v>513</v>
      </c>
    </row>
    <row r="1139" spans="1:11" ht="25.5" x14ac:dyDescent="0.25">
      <c r="A1139" s="22">
        <v>2026</v>
      </c>
      <c r="B1139" s="28" t="s">
        <v>183</v>
      </c>
      <c r="C1139" s="28" t="s">
        <v>97</v>
      </c>
      <c r="D1139" s="28" t="s">
        <v>1701</v>
      </c>
      <c r="E1139" s="29" t="s">
        <v>331</v>
      </c>
      <c r="F1139" s="29" t="s">
        <v>566</v>
      </c>
      <c r="G1139" s="25" t="s">
        <v>2919</v>
      </c>
      <c r="H1139" s="26">
        <v>-0.23050000000000004</v>
      </c>
      <c r="I1139" s="26"/>
      <c r="J1139" s="26" t="s">
        <v>512</v>
      </c>
      <c r="K1139" s="25" t="s">
        <v>513</v>
      </c>
    </row>
    <row r="1140" spans="1:11" ht="25.5" x14ac:dyDescent="0.25">
      <c r="A1140" s="22">
        <v>2026</v>
      </c>
      <c r="B1140" s="28" t="s">
        <v>183</v>
      </c>
      <c r="C1140" s="28" t="s">
        <v>97</v>
      </c>
      <c r="D1140" s="28" t="s">
        <v>1701</v>
      </c>
      <c r="E1140" s="29" t="s">
        <v>331</v>
      </c>
      <c r="F1140" s="29" t="s">
        <v>566</v>
      </c>
      <c r="G1140" s="25" t="s">
        <v>2920</v>
      </c>
      <c r="H1140" s="26">
        <v>-0.45800000000000002</v>
      </c>
      <c r="I1140" s="26"/>
      <c r="J1140" s="26" t="s">
        <v>512</v>
      </c>
      <c r="K1140" s="25" t="s">
        <v>513</v>
      </c>
    </row>
    <row r="1141" spans="1:11" ht="25.5" x14ac:dyDescent="0.25">
      <c r="A1141" s="22">
        <v>2026</v>
      </c>
      <c r="B1141" s="28" t="s">
        <v>183</v>
      </c>
      <c r="C1141" s="28" t="s">
        <v>97</v>
      </c>
      <c r="D1141" s="28" t="s">
        <v>1701</v>
      </c>
      <c r="E1141" s="29" t="s">
        <v>331</v>
      </c>
      <c r="F1141" s="29" t="s">
        <v>566</v>
      </c>
      <c r="G1141" s="25" t="s">
        <v>2921</v>
      </c>
      <c r="H1141" s="26">
        <v>-0.92700000000000005</v>
      </c>
      <c r="I1141" s="26"/>
      <c r="J1141" s="26" t="s">
        <v>512</v>
      </c>
      <c r="K1141" s="25" t="s">
        <v>513</v>
      </c>
    </row>
    <row r="1142" spans="1:11" ht="25.5" x14ac:dyDescent="0.25">
      <c r="A1142" s="22">
        <v>2026</v>
      </c>
      <c r="B1142" s="28" t="s">
        <v>183</v>
      </c>
      <c r="C1142" s="28" t="s">
        <v>97</v>
      </c>
      <c r="D1142" s="28" t="s">
        <v>1701</v>
      </c>
      <c r="E1142" s="29" t="s">
        <v>331</v>
      </c>
      <c r="F1142" s="29" t="s">
        <v>566</v>
      </c>
      <c r="G1142" s="25" t="s">
        <v>2922</v>
      </c>
      <c r="H1142" s="26">
        <v>-0.94600000000000006</v>
      </c>
      <c r="I1142" s="26"/>
      <c r="J1142" s="26" t="s">
        <v>512</v>
      </c>
      <c r="K1142" s="25" t="s">
        <v>513</v>
      </c>
    </row>
    <row r="1143" spans="1:11" ht="25.5" x14ac:dyDescent="0.25">
      <c r="A1143" s="22">
        <v>2026</v>
      </c>
      <c r="B1143" s="28" t="s">
        <v>183</v>
      </c>
      <c r="C1143" s="28" t="s">
        <v>97</v>
      </c>
      <c r="D1143" s="28" t="s">
        <v>201</v>
      </c>
      <c r="E1143" s="29" t="s">
        <v>331</v>
      </c>
      <c r="F1143" s="29" t="s">
        <v>316</v>
      </c>
      <c r="G1143" s="25" t="s">
        <v>2923</v>
      </c>
      <c r="H1143" s="26">
        <v>-0.40123114560000001</v>
      </c>
      <c r="I1143" s="26"/>
      <c r="J1143" s="26" t="s">
        <v>512</v>
      </c>
      <c r="K1143" s="25" t="s">
        <v>513</v>
      </c>
    </row>
    <row r="1144" spans="1:11" ht="25.5" x14ac:dyDescent="0.25">
      <c r="A1144" s="22">
        <v>2026</v>
      </c>
      <c r="B1144" s="28" t="s">
        <v>183</v>
      </c>
      <c r="C1144" s="28" t="s">
        <v>97</v>
      </c>
      <c r="D1144" s="28" t="s">
        <v>201</v>
      </c>
      <c r="E1144" s="29" t="s">
        <v>331</v>
      </c>
      <c r="F1144" s="29" t="s">
        <v>316</v>
      </c>
      <c r="G1144" s="25" t="s">
        <v>2924</v>
      </c>
      <c r="H1144" s="26">
        <v>-5.5784E-2</v>
      </c>
      <c r="I1144" s="26"/>
      <c r="J1144" s="26" t="s">
        <v>512</v>
      </c>
      <c r="K1144" s="25" t="s">
        <v>513</v>
      </c>
    </row>
    <row r="1145" spans="1:11" ht="25.5" x14ac:dyDescent="0.25">
      <c r="A1145" s="22">
        <v>2026</v>
      </c>
      <c r="B1145" s="28" t="s">
        <v>183</v>
      </c>
      <c r="C1145" s="28" t="s">
        <v>97</v>
      </c>
      <c r="D1145" s="28" t="s">
        <v>532</v>
      </c>
      <c r="E1145" s="29" t="s">
        <v>331</v>
      </c>
      <c r="F1145" s="29" t="s">
        <v>386</v>
      </c>
      <c r="G1145" s="25" t="s">
        <v>2925</v>
      </c>
      <c r="H1145" s="26">
        <v>-0.104</v>
      </c>
      <c r="I1145" s="26"/>
      <c r="J1145" s="26" t="s">
        <v>512</v>
      </c>
      <c r="K1145" s="25" t="s">
        <v>513</v>
      </c>
    </row>
    <row r="1146" spans="1:11" ht="25.5" x14ac:dyDescent="0.25">
      <c r="A1146" s="22">
        <v>2026</v>
      </c>
      <c r="B1146" s="28" t="s">
        <v>183</v>
      </c>
      <c r="C1146" s="28" t="s">
        <v>97</v>
      </c>
      <c r="D1146" s="28" t="s">
        <v>532</v>
      </c>
      <c r="E1146" s="29" t="s">
        <v>331</v>
      </c>
      <c r="F1146" s="29" t="s">
        <v>386</v>
      </c>
      <c r="G1146" s="25" t="s">
        <v>2926</v>
      </c>
      <c r="H1146" s="26">
        <v>-0.30789083349999996</v>
      </c>
      <c r="I1146" s="26"/>
      <c r="J1146" s="26" t="s">
        <v>512</v>
      </c>
      <c r="K1146" s="25" t="s">
        <v>513</v>
      </c>
    </row>
    <row r="1147" spans="1:11" ht="25.5" x14ac:dyDescent="0.25">
      <c r="A1147" s="22">
        <v>2026</v>
      </c>
      <c r="B1147" s="28" t="s">
        <v>183</v>
      </c>
      <c r="C1147" s="28" t="s">
        <v>97</v>
      </c>
      <c r="D1147" s="28" t="s">
        <v>532</v>
      </c>
      <c r="E1147" s="29" t="s">
        <v>331</v>
      </c>
      <c r="F1147" s="29" t="s">
        <v>386</v>
      </c>
      <c r="G1147" s="25" t="s">
        <v>2927</v>
      </c>
      <c r="H1147" s="26">
        <v>-2.2782E-2</v>
      </c>
      <c r="I1147" s="26"/>
      <c r="J1147" s="26" t="s">
        <v>512</v>
      </c>
      <c r="K1147" s="25" t="s">
        <v>513</v>
      </c>
    </row>
    <row r="1148" spans="1:11" ht="25.5" x14ac:dyDescent="0.25">
      <c r="A1148" s="22">
        <v>2026</v>
      </c>
      <c r="B1148" s="28" t="s">
        <v>183</v>
      </c>
      <c r="C1148" s="28" t="s">
        <v>97</v>
      </c>
      <c r="D1148" s="28" t="s">
        <v>532</v>
      </c>
      <c r="E1148" s="29" t="s">
        <v>331</v>
      </c>
      <c r="F1148" s="29" t="s">
        <v>386</v>
      </c>
      <c r="G1148" s="25" t="s">
        <v>2928</v>
      </c>
      <c r="H1148" s="26">
        <v>-0.4</v>
      </c>
      <c r="I1148" s="26"/>
      <c r="J1148" s="26" t="s">
        <v>512</v>
      </c>
      <c r="K1148" s="25" t="s">
        <v>513</v>
      </c>
    </row>
    <row r="1149" spans="1:11" ht="25.5" x14ac:dyDescent="0.25">
      <c r="A1149" s="22">
        <v>2026</v>
      </c>
      <c r="B1149" s="28" t="s">
        <v>183</v>
      </c>
      <c r="C1149" s="28" t="s">
        <v>97</v>
      </c>
      <c r="D1149" s="28" t="s">
        <v>532</v>
      </c>
      <c r="E1149" s="29" t="s">
        <v>331</v>
      </c>
      <c r="F1149" s="29" t="s">
        <v>386</v>
      </c>
      <c r="G1149" s="25" t="s">
        <v>2929</v>
      </c>
      <c r="H1149" s="26">
        <v>-0.38886900000000002</v>
      </c>
      <c r="I1149" s="26"/>
      <c r="J1149" s="26" t="s">
        <v>512</v>
      </c>
      <c r="K1149" s="25" t="s">
        <v>513</v>
      </c>
    </row>
    <row r="1150" spans="1:11" ht="25.5" x14ac:dyDescent="0.25">
      <c r="A1150" s="22">
        <v>2026</v>
      </c>
      <c r="B1150" s="28" t="s">
        <v>183</v>
      </c>
      <c r="C1150" s="28" t="s">
        <v>97</v>
      </c>
      <c r="D1150" s="28" t="s">
        <v>532</v>
      </c>
      <c r="E1150" s="29" t="s">
        <v>331</v>
      </c>
      <c r="F1150" s="29" t="s">
        <v>386</v>
      </c>
      <c r="G1150" s="25" t="s">
        <v>2930</v>
      </c>
      <c r="H1150" s="26">
        <v>-0.49385000000000001</v>
      </c>
      <c r="I1150" s="26"/>
      <c r="J1150" s="26" t="s">
        <v>512</v>
      </c>
      <c r="K1150" s="25" t="s">
        <v>513</v>
      </c>
    </row>
    <row r="1151" spans="1:11" ht="25.5" x14ac:dyDescent="0.25">
      <c r="A1151" s="22">
        <v>2026</v>
      </c>
      <c r="B1151" s="28" t="s">
        <v>183</v>
      </c>
      <c r="C1151" s="28" t="s">
        <v>97</v>
      </c>
      <c r="D1151" s="28" t="s">
        <v>532</v>
      </c>
      <c r="E1151" s="29" t="s">
        <v>331</v>
      </c>
      <c r="F1151" s="29" t="s">
        <v>386</v>
      </c>
      <c r="G1151" s="25" t="s">
        <v>2931</v>
      </c>
      <c r="H1151" s="26">
        <v>-0.34253517</v>
      </c>
      <c r="I1151" s="26"/>
      <c r="J1151" s="26" t="s">
        <v>512</v>
      </c>
      <c r="K1151" s="25" t="s">
        <v>513</v>
      </c>
    </row>
    <row r="1152" spans="1:11" ht="25.5" x14ac:dyDescent="0.25">
      <c r="A1152" s="22">
        <v>2026</v>
      </c>
      <c r="B1152" s="28" t="s">
        <v>183</v>
      </c>
      <c r="C1152" s="28" t="s">
        <v>97</v>
      </c>
      <c r="D1152" s="28" t="s">
        <v>532</v>
      </c>
      <c r="E1152" s="29" t="s">
        <v>331</v>
      </c>
      <c r="F1152" s="29" t="s">
        <v>386</v>
      </c>
      <c r="G1152" s="25" t="s">
        <v>2932</v>
      </c>
      <c r="H1152" s="26">
        <v>-0.38042880000000001</v>
      </c>
      <c r="I1152" s="26"/>
      <c r="J1152" s="26" t="s">
        <v>512</v>
      </c>
      <c r="K1152" s="25" t="s">
        <v>513</v>
      </c>
    </row>
    <row r="1153" spans="1:11" ht="25.5" x14ac:dyDescent="0.25">
      <c r="A1153" s="22">
        <v>2026</v>
      </c>
      <c r="B1153" s="28" t="s">
        <v>183</v>
      </c>
      <c r="C1153" s="28" t="s">
        <v>97</v>
      </c>
      <c r="D1153" s="28" t="s">
        <v>532</v>
      </c>
      <c r="E1153" s="29" t="s">
        <v>331</v>
      </c>
      <c r="F1153" s="29" t="s">
        <v>386</v>
      </c>
      <c r="G1153" s="25" t="s">
        <v>2933</v>
      </c>
      <c r="H1153" s="26">
        <v>-0.32656273850000006</v>
      </c>
      <c r="I1153" s="26"/>
      <c r="J1153" s="26" t="s">
        <v>512</v>
      </c>
      <c r="K1153" s="25" t="s">
        <v>513</v>
      </c>
    </row>
    <row r="1154" spans="1:11" ht="25.5" x14ac:dyDescent="0.25">
      <c r="A1154" s="22">
        <v>2026</v>
      </c>
      <c r="B1154" s="28" t="s">
        <v>183</v>
      </c>
      <c r="C1154" s="28" t="s">
        <v>97</v>
      </c>
      <c r="D1154" s="28" t="s">
        <v>532</v>
      </c>
      <c r="E1154" s="29" t="s">
        <v>331</v>
      </c>
      <c r="F1154" s="29" t="s">
        <v>386</v>
      </c>
      <c r="G1154" s="25" t="s">
        <v>2934</v>
      </c>
      <c r="H1154" s="26">
        <v>-0.153615</v>
      </c>
      <c r="I1154" s="26"/>
      <c r="J1154" s="26" t="s">
        <v>512</v>
      </c>
      <c r="K1154" s="25" t="s">
        <v>513</v>
      </c>
    </row>
    <row r="1155" spans="1:11" ht="25.5" x14ac:dyDescent="0.25">
      <c r="A1155" s="22">
        <v>2026</v>
      </c>
      <c r="B1155" s="28" t="s">
        <v>183</v>
      </c>
      <c r="C1155" s="28" t="s">
        <v>97</v>
      </c>
      <c r="D1155" s="28" t="s">
        <v>532</v>
      </c>
      <c r="E1155" s="29" t="s">
        <v>331</v>
      </c>
      <c r="F1155" s="29" t="s">
        <v>386</v>
      </c>
      <c r="G1155" s="25" t="s">
        <v>2935</v>
      </c>
      <c r="H1155" s="26">
        <v>-0.20247999999999999</v>
      </c>
      <c r="I1155" s="26"/>
      <c r="J1155" s="26" t="s">
        <v>512</v>
      </c>
      <c r="K1155" s="25" t="s">
        <v>513</v>
      </c>
    </row>
    <row r="1156" spans="1:11" ht="25.5" x14ac:dyDescent="0.25">
      <c r="A1156" s="22">
        <v>2026</v>
      </c>
      <c r="B1156" s="28" t="s">
        <v>183</v>
      </c>
      <c r="C1156" s="28" t="s">
        <v>97</v>
      </c>
      <c r="D1156" s="28" t="s">
        <v>532</v>
      </c>
      <c r="E1156" s="29" t="s">
        <v>331</v>
      </c>
      <c r="F1156" s="29" t="s">
        <v>386</v>
      </c>
      <c r="G1156" s="25" t="s">
        <v>2936</v>
      </c>
      <c r="H1156" s="26">
        <v>-0.19726044049999999</v>
      </c>
      <c r="I1156" s="26"/>
      <c r="J1156" s="26" t="s">
        <v>512</v>
      </c>
      <c r="K1156" s="25" t="s">
        <v>513</v>
      </c>
    </row>
    <row r="1157" spans="1:11" ht="25.5" x14ac:dyDescent="0.25">
      <c r="A1157" s="22">
        <v>2026</v>
      </c>
      <c r="B1157" s="28" t="s">
        <v>183</v>
      </c>
      <c r="C1157" s="28" t="s">
        <v>97</v>
      </c>
      <c r="D1157" s="28" t="s">
        <v>532</v>
      </c>
      <c r="E1157" s="29" t="s">
        <v>331</v>
      </c>
      <c r="F1157" s="29" t="s">
        <v>386</v>
      </c>
      <c r="G1157" s="25" t="s">
        <v>2937</v>
      </c>
      <c r="H1157" s="26">
        <v>-0.133436</v>
      </c>
      <c r="I1157" s="26"/>
      <c r="J1157" s="26" t="s">
        <v>512</v>
      </c>
      <c r="K1157" s="25" t="s">
        <v>513</v>
      </c>
    </row>
    <row r="1158" spans="1:11" ht="25.5" x14ac:dyDescent="0.25">
      <c r="A1158" s="22">
        <v>2026</v>
      </c>
      <c r="B1158" s="28" t="s">
        <v>183</v>
      </c>
      <c r="C1158" s="28" t="s">
        <v>97</v>
      </c>
      <c r="D1158" s="28" t="s">
        <v>532</v>
      </c>
      <c r="E1158" s="29" t="s">
        <v>331</v>
      </c>
      <c r="F1158" s="29" t="s">
        <v>386</v>
      </c>
      <c r="G1158" s="25" t="s">
        <v>2938</v>
      </c>
      <c r="H1158" s="26">
        <v>-0.82960538999999989</v>
      </c>
      <c r="I1158" s="26"/>
      <c r="J1158" s="26" t="s">
        <v>512</v>
      </c>
      <c r="K1158" s="25" t="s">
        <v>513</v>
      </c>
    </row>
    <row r="1159" spans="1:11" ht="25.5" x14ac:dyDescent="0.25">
      <c r="A1159" s="22">
        <v>2026</v>
      </c>
      <c r="B1159" s="28" t="s">
        <v>183</v>
      </c>
      <c r="C1159" s="28" t="s">
        <v>97</v>
      </c>
      <c r="D1159" s="28" t="s">
        <v>532</v>
      </c>
      <c r="E1159" s="29" t="s">
        <v>331</v>
      </c>
      <c r="F1159" s="29" t="s">
        <v>386</v>
      </c>
      <c r="G1159" s="25" t="s">
        <v>2939</v>
      </c>
      <c r="H1159" s="26">
        <v>-0.38258523</v>
      </c>
      <c r="I1159" s="26"/>
      <c r="J1159" s="26" t="s">
        <v>512</v>
      </c>
      <c r="K1159" s="25" t="s">
        <v>513</v>
      </c>
    </row>
    <row r="1160" spans="1:11" ht="25.5" x14ac:dyDescent="0.25">
      <c r="A1160" s="22">
        <v>2026</v>
      </c>
      <c r="B1160" s="28" t="s">
        <v>183</v>
      </c>
      <c r="C1160" s="28" t="s">
        <v>97</v>
      </c>
      <c r="D1160" s="28" t="s">
        <v>532</v>
      </c>
      <c r="E1160" s="29" t="s">
        <v>331</v>
      </c>
      <c r="F1160" s="29" t="s">
        <v>386</v>
      </c>
      <c r="G1160" s="25" t="s">
        <v>2940</v>
      </c>
      <c r="H1160" s="26">
        <v>-0.24865500000000004</v>
      </c>
      <c r="I1160" s="26"/>
      <c r="J1160" s="26" t="s">
        <v>512</v>
      </c>
      <c r="K1160" s="25" t="s">
        <v>513</v>
      </c>
    </row>
    <row r="1161" spans="1:11" ht="25.5" x14ac:dyDescent="0.25">
      <c r="A1161" s="22">
        <v>2026</v>
      </c>
      <c r="B1161" s="28" t="s">
        <v>183</v>
      </c>
      <c r="C1161" s="28" t="s">
        <v>97</v>
      </c>
      <c r="D1161" s="28" t="s">
        <v>1702</v>
      </c>
      <c r="E1161" s="29" t="s">
        <v>1763</v>
      </c>
      <c r="F1161" s="29" t="s">
        <v>378</v>
      </c>
      <c r="G1161" s="25" t="s">
        <v>2941</v>
      </c>
      <c r="H1161" s="26">
        <v>-6.8418000000000007E-2</v>
      </c>
      <c r="I1161" s="26"/>
      <c r="J1161" s="26" t="s">
        <v>514</v>
      </c>
      <c r="K1161" s="25" t="s">
        <v>513</v>
      </c>
    </row>
    <row r="1162" spans="1:11" ht="25.5" x14ac:dyDescent="0.25">
      <c r="A1162" s="22">
        <v>2026</v>
      </c>
      <c r="B1162" s="28" t="s">
        <v>183</v>
      </c>
      <c r="C1162" s="28" t="s">
        <v>97</v>
      </c>
      <c r="D1162" s="28" t="s">
        <v>1702</v>
      </c>
      <c r="E1162" s="29" t="s">
        <v>1763</v>
      </c>
      <c r="F1162" s="29" t="s">
        <v>378</v>
      </c>
      <c r="G1162" s="25" t="s">
        <v>2942</v>
      </c>
      <c r="H1162" s="26">
        <v>-3.2926239999999996E-2</v>
      </c>
      <c r="I1162" s="26"/>
      <c r="J1162" s="26" t="s">
        <v>514</v>
      </c>
      <c r="K1162" s="25" t="s">
        <v>513</v>
      </c>
    </row>
    <row r="1163" spans="1:11" ht="25.5" x14ac:dyDescent="0.25">
      <c r="A1163" s="22">
        <v>2026</v>
      </c>
      <c r="B1163" s="28" t="s">
        <v>183</v>
      </c>
      <c r="C1163" s="28" t="s">
        <v>97</v>
      </c>
      <c r="D1163" s="28" t="s">
        <v>1702</v>
      </c>
      <c r="E1163" s="29" t="s">
        <v>1763</v>
      </c>
      <c r="F1163" s="29" t="s">
        <v>378</v>
      </c>
      <c r="G1163" s="25" t="s">
        <v>2943</v>
      </c>
      <c r="H1163" s="26">
        <v>-6.4876400000000001E-2</v>
      </c>
      <c r="I1163" s="26"/>
      <c r="J1163" s="26" t="s">
        <v>514</v>
      </c>
      <c r="K1163" s="25" t="s">
        <v>513</v>
      </c>
    </row>
    <row r="1164" spans="1:11" ht="25.5" x14ac:dyDescent="0.25">
      <c r="A1164" s="22">
        <v>2026</v>
      </c>
      <c r="B1164" s="28" t="s">
        <v>183</v>
      </c>
      <c r="C1164" s="28" t="s">
        <v>97</v>
      </c>
      <c r="D1164" s="28" t="s">
        <v>1702</v>
      </c>
      <c r="E1164" s="29" t="s">
        <v>1763</v>
      </c>
      <c r="F1164" s="29" t="s">
        <v>378</v>
      </c>
      <c r="G1164" s="25" t="s">
        <v>2944</v>
      </c>
      <c r="H1164" s="26">
        <v>-5.6856799999999999E-2</v>
      </c>
      <c r="I1164" s="26"/>
      <c r="J1164" s="26" t="s">
        <v>514</v>
      </c>
      <c r="K1164" s="25" t="s">
        <v>513</v>
      </c>
    </row>
    <row r="1165" spans="1:11" ht="25.5" x14ac:dyDescent="0.25">
      <c r="A1165" s="22">
        <v>2026</v>
      </c>
      <c r="B1165" s="28" t="s">
        <v>183</v>
      </c>
      <c r="C1165" s="28" t="s">
        <v>97</v>
      </c>
      <c r="D1165" s="28" t="s">
        <v>1702</v>
      </c>
      <c r="E1165" s="29" t="s">
        <v>1763</v>
      </c>
      <c r="F1165" s="29" t="s">
        <v>378</v>
      </c>
      <c r="G1165" s="25" t="s">
        <v>2945</v>
      </c>
      <c r="H1165" s="26">
        <v>-4.829E-2</v>
      </c>
      <c r="I1165" s="26"/>
      <c r="J1165" s="26" t="s">
        <v>514</v>
      </c>
      <c r="K1165" s="25" t="s">
        <v>513</v>
      </c>
    </row>
    <row r="1166" spans="1:11" ht="25.5" x14ac:dyDescent="0.25">
      <c r="A1166" s="22">
        <v>2026</v>
      </c>
      <c r="B1166" s="28" t="s">
        <v>183</v>
      </c>
      <c r="C1166" s="28" t="s">
        <v>97</v>
      </c>
      <c r="D1166" s="28" t="s">
        <v>1702</v>
      </c>
      <c r="E1166" s="29" t="s">
        <v>1763</v>
      </c>
      <c r="F1166" s="29" t="s">
        <v>378</v>
      </c>
      <c r="G1166" s="25" t="s">
        <v>2946</v>
      </c>
      <c r="H1166" s="26">
        <v>-0.11124000000000001</v>
      </c>
      <c r="I1166" s="26"/>
      <c r="J1166" s="26" t="s">
        <v>514</v>
      </c>
      <c r="K1166" s="25" t="s">
        <v>513</v>
      </c>
    </row>
    <row r="1167" spans="1:11" ht="25.5" x14ac:dyDescent="0.25">
      <c r="A1167" s="22">
        <v>2026</v>
      </c>
      <c r="B1167" s="28" t="s">
        <v>183</v>
      </c>
      <c r="C1167" s="28" t="s">
        <v>97</v>
      </c>
      <c r="D1167" s="28" t="s">
        <v>1703</v>
      </c>
      <c r="E1167" s="29" t="s">
        <v>569</v>
      </c>
      <c r="F1167" s="29" t="s">
        <v>298</v>
      </c>
      <c r="G1167" s="25" t="s">
        <v>2947</v>
      </c>
      <c r="H1167" s="26">
        <v>-0.21289273824000002</v>
      </c>
      <c r="I1167" s="26"/>
      <c r="J1167" s="26" t="s">
        <v>512</v>
      </c>
      <c r="K1167" s="25" t="s">
        <v>526</v>
      </c>
    </row>
    <row r="1168" spans="1:11" ht="25.5" x14ac:dyDescent="0.25">
      <c r="A1168" s="22">
        <v>2026</v>
      </c>
      <c r="B1168" s="28" t="s">
        <v>183</v>
      </c>
      <c r="C1168" s="28" t="s">
        <v>97</v>
      </c>
      <c r="D1168" s="28" t="s">
        <v>1703</v>
      </c>
      <c r="E1168" s="29" t="s">
        <v>569</v>
      </c>
      <c r="F1168" s="29" t="s">
        <v>298</v>
      </c>
      <c r="G1168" s="25" t="s">
        <v>2948</v>
      </c>
      <c r="H1168" s="26">
        <v>-0.26512634951999997</v>
      </c>
      <c r="I1168" s="26"/>
      <c r="J1168" s="26" t="s">
        <v>512</v>
      </c>
      <c r="K1168" s="25" t="s">
        <v>526</v>
      </c>
    </row>
    <row r="1169" spans="1:11" ht="25.5" x14ac:dyDescent="0.25">
      <c r="A1169" s="22">
        <v>2026</v>
      </c>
      <c r="B1169" s="28" t="s">
        <v>183</v>
      </c>
      <c r="C1169" s="28" t="s">
        <v>97</v>
      </c>
      <c r="D1169" s="28" t="s">
        <v>1703</v>
      </c>
      <c r="E1169" s="29" t="s">
        <v>569</v>
      </c>
      <c r="F1169" s="29" t="s">
        <v>298</v>
      </c>
      <c r="G1169" s="25" t="s">
        <v>2949</v>
      </c>
      <c r="H1169" s="26">
        <v>-0.13200000000000001</v>
      </c>
      <c r="I1169" s="26"/>
      <c r="J1169" s="26" t="s">
        <v>512</v>
      </c>
      <c r="K1169" s="25" t="s">
        <v>526</v>
      </c>
    </row>
    <row r="1170" spans="1:11" ht="25.5" x14ac:dyDescent="0.25">
      <c r="A1170" s="22">
        <v>2026</v>
      </c>
      <c r="B1170" s="28" t="s">
        <v>183</v>
      </c>
      <c r="C1170" s="28" t="s">
        <v>97</v>
      </c>
      <c r="D1170" s="28" t="s">
        <v>1703</v>
      </c>
      <c r="E1170" s="29" t="s">
        <v>569</v>
      </c>
      <c r="F1170" s="29" t="s">
        <v>298</v>
      </c>
      <c r="G1170" s="25" t="s">
        <v>2950</v>
      </c>
      <c r="H1170" s="26">
        <v>-0.16631739200000001</v>
      </c>
      <c r="I1170" s="26"/>
      <c r="J1170" s="26" t="s">
        <v>512</v>
      </c>
      <c r="K1170" s="25" t="s">
        <v>526</v>
      </c>
    </row>
    <row r="1171" spans="1:11" ht="25.5" x14ac:dyDescent="0.25">
      <c r="A1171" s="22">
        <v>2026</v>
      </c>
      <c r="B1171" s="28" t="s">
        <v>183</v>
      </c>
      <c r="C1171" s="28" t="s">
        <v>97</v>
      </c>
      <c r="D1171" s="28" t="s">
        <v>1703</v>
      </c>
      <c r="E1171" s="29" t="s">
        <v>569</v>
      </c>
      <c r="F1171" s="29" t="s">
        <v>298</v>
      </c>
      <c r="G1171" s="25" t="s">
        <v>2951</v>
      </c>
      <c r="H1171" s="26">
        <v>-0.37062644</v>
      </c>
      <c r="I1171" s="26"/>
      <c r="J1171" s="26" t="s">
        <v>512</v>
      </c>
      <c r="K1171" s="25" t="s">
        <v>526</v>
      </c>
    </row>
    <row r="1172" spans="1:11" ht="25.5" x14ac:dyDescent="0.25">
      <c r="A1172" s="22">
        <v>2026</v>
      </c>
      <c r="B1172" s="28" t="s">
        <v>183</v>
      </c>
      <c r="C1172" s="28" t="s">
        <v>97</v>
      </c>
      <c r="D1172" s="28" t="s">
        <v>1703</v>
      </c>
      <c r="E1172" s="29" t="s">
        <v>569</v>
      </c>
      <c r="F1172" s="29" t="s">
        <v>298</v>
      </c>
      <c r="G1172" s="25" t="s">
        <v>2952</v>
      </c>
      <c r="H1172" s="26">
        <v>-0.24089250309999999</v>
      </c>
      <c r="I1172" s="26"/>
      <c r="J1172" s="26" t="s">
        <v>512</v>
      </c>
      <c r="K1172" s="25" t="s">
        <v>526</v>
      </c>
    </row>
    <row r="1173" spans="1:11" ht="25.5" x14ac:dyDescent="0.25">
      <c r="A1173" s="22">
        <v>2026</v>
      </c>
      <c r="B1173" s="28" t="s">
        <v>183</v>
      </c>
      <c r="C1173" s="28" t="s">
        <v>97</v>
      </c>
      <c r="D1173" s="28" t="s">
        <v>1703</v>
      </c>
      <c r="E1173" s="29" t="s">
        <v>569</v>
      </c>
      <c r="F1173" s="29" t="s">
        <v>298</v>
      </c>
      <c r="G1173" s="25" t="s">
        <v>2953</v>
      </c>
      <c r="H1173" s="26">
        <v>-0.57478244256</v>
      </c>
      <c r="I1173" s="26"/>
      <c r="J1173" s="26" t="s">
        <v>512</v>
      </c>
      <c r="K1173" s="25" t="s">
        <v>526</v>
      </c>
    </row>
    <row r="1174" spans="1:11" ht="25.5" x14ac:dyDescent="0.25">
      <c r="A1174" s="22">
        <v>2026</v>
      </c>
      <c r="B1174" s="28" t="s">
        <v>183</v>
      </c>
      <c r="C1174" s="28" t="s">
        <v>97</v>
      </c>
      <c r="D1174" s="28" t="s">
        <v>1703</v>
      </c>
      <c r="E1174" s="29" t="s">
        <v>569</v>
      </c>
      <c r="F1174" s="29" t="s">
        <v>298</v>
      </c>
      <c r="G1174" s="25" t="s">
        <v>2954</v>
      </c>
      <c r="H1174" s="26">
        <v>-0.17124121722999999</v>
      </c>
      <c r="I1174" s="26"/>
      <c r="J1174" s="26" t="s">
        <v>512</v>
      </c>
      <c r="K1174" s="25" t="s">
        <v>526</v>
      </c>
    </row>
    <row r="1175" spans="1:11" ht="25.5" x14ac:dyDescent="0.25">
      <c r="A1175" s="22">
        <v>2026</v>
      </c>
      <c r="B1175" s="28" t="s">
        <v>183</v>
      </c>
      <c r="C1175" s="28" t="s">
        <v>97</v>
      </c>
      <c r="D1175" s="28" t="s">
        <v>1703</v>
      </c>
      <c r="E1175" s="29" t="s">
        <v>569</v>
      </c>
      <c r="F1175" s="29" t="s">
        <v>298</v>
      </c>
      <c r="G1175" s="25" t="s">
        <v>2955</v>
      </c>
      <c r="H1175" s="26">
        <v>-0.14607863200000001</v>
      </c>
      <c r="I1175" s="26"/>
      <c r="J1175" s="26" t="s">
        <v>512</v>
      </c>
      <c r="K1175" s="25" t="s">
        <v>526</v>
      </c>
    </row>
    <row r="1176" spans="1:11" ht="25.5" x14ac:dyDescent="0.25">
      <c r="A1176" s="22">
        <v>2026</v>
      </c>
      <c r="B1176" s="28" t="s">
        <v>183</v>
      </c>
      <c r="C1176" s="28" t="s">
        <v>97</v>
      </c>
      <c r="D1176" s="28" t="s">
        <v>1703</v>
      </c>
      <c r="E1176" s="29" t="s">
        <v>569</v>
      </c>
      <c r="F1176" s="29" t="s">
        <v>298</v>
      </c>
      <c r="G1176" s="25" t="s">
        <v>2956</v>
      </c>
      <c r="H1176" s="26">
        <v>-0.99386999999999992</v>
      </c>
      <c r="I1176" s="26"/>
      <c r="J1176" s="26" t="s">
        <v>512</v>
      </c>
      <c r="K1176" s="25" t="s">
        <v>526</v>
      </c>
    </row>
    <row r="1177" spans="1:11" ht="25.5" x14ac:dyDescent="0.25">
      <c r="A1177" s="22">
        <v>2026</v>
      </c>
      <c r="B1177" s="28" t="s">
        <v>183</v>
      </c>
      <c r="C1177" s="28" t="s">
        <v>97</v>
      </c>
      <c r="D1177" s="28" t="s">
        <v>1703</v>
      </c>
      <c r="E1177" s="29" t="s">
        <v>569</v>
      </c>
      <c r="F1177" s="29" t="s">
        <v>298</v>
      </c>
      <c r="G1177" s="25" t="s">
        <v>2957</v>
      </c>
      <c r="H1177" s="26">
        <v>-0.45707900000000001</v>
      </c>
      <c r="I1177" s="26"/>
      <c r="J1177" s="26" t="s">
        <v>512</v>
      </c>
      <c r="K1177" s="25" t="s">
        <v>526</v>
      </c>
    </row>
    <row r="1178" spans="1:11" ht="25.5" x14ac:dyDescent="0.25">
      <c r="A1178" s="22">
        <v>2026</v>
      </c>
      <c r="B1178" s="28" t="s">
        <v>183</v>
      </c>
      <c r="C1178" s="28" t="s">
        <v>97</v>
      </c>
      <c r="D1178" s="28" t="s">
        <v>1703</v>
      </c>
      <c r="E1178" s="29" t="s">
        <v>569</v>
      </c>
      <c r="F1178" s="29" t="s">
        <v>298</v>
      </c>
      <c r="G1178" s="25" t="s">
        <v>2958</v>
      </c>
      <c r="H1178" s="26">
        <v>-1.0131825000000001</v>
      </c>
      <c r="I1178" s="26"/>
      <c r="J1178" s="26" t="s">
        <v>512</v>
      </c>
      <c r="K1178" s="25" t="s">
        <v>526</v>
      </c>
    </row>
    <row r="1179" spans="1:11" ht="25.5" x14ac:dyDescent="0.25">
      <c r="A1179" s="22">
        <v>2026</v>
      </c>
      <c r="B1179" s="28" t="s">
        <v>183</v>
      </c>
      <c r="C1179" s="28" t="s">
        <v>97</v>
      </c>
      <c r="D1179" s="28" t="s">
        <v>1703</v>
      </c>
      <c r="E1179" s="29" t="s">
        <v>569</v>
      </c>
      <c r="F1179" s="29" t="s">
        <v>298</v>
      </c>
      <c r="G1179" s="25" t="s">
        <v>2959</v>
      </c>
      <c r="H1179" s="26">
        <v>-0.91766795365000009</v>
      </c>
      <c r="I1179" s="26"/>
      <c r="J1179" s="26" t="s">
        <v>512</v>
      </c>
      <c r="K1179" s="25" t="s">
        <v>526</v>
      </c>
    </row>
    <row r="1180" spans="1:11" ht="25.5" x14ac:dyDescent="0.25">
      <c r="A1180" s="22">
        <v>2026</v>
      </c>
      <c r="B1180" s="28" t="s">
        <v>183</v>
      </c>
      <c r="C1180" s="28" t="s">
        <v>97</v>
      </c>
      <c r="D1180" s="28" t="s">
        <v>1703</v>
      </c>
      <c r="E1180" s="29" t="s">
        <v>569</v>
      </c>
      <c r="F1180" s="29" t="s">
        <v>298</v>
      </c>
      <c r="G1180" s="25" t="s">
        <v>2960</v>
      </c>
      <c r="H1180" s="26">
        <v>-1.0156574999999999</v>
      </c>
      <c r="I1180" s="26"/>
      <c r="J1180" s="26" t="s">
        <v>512</v>
      </c>
      <c r="K1180" s="25" t="s">
        <v>526</v>
      </c>
    </row>
    <row r="1181" spans="1:11" ht="25.5" x14ac:dyDescent="0.25">
      <c r="A1181" s="22">
        <v>2026</v>
      </c>
      <c r="B1181" s="28" t="s">
        <v>183</v>
      </c>
      <c r="C1181" s="28" t="s">
        <v>97</v>
      </c>
      <c r="D1181" s="28" t="s">
        <v>1703</v>
      </c>
      <c r="E1181" s="29" t="s">
        <v>569</v>
      </c>
      <c r="F1181" s="29" t="s">
        <v>298</v>
      </c>
      <c r="G1181" s="25" t="s">
        <v>2961</v>
      </c>
      <c r="H1181" s="26">
        <v>-1.0160624999999999</v>
      </c>
      <c r="I1181" s="26"/>
      <c r="J1181" s="26" t="s">
        <v>512</v>
      </c>
      <c r="K1181" s="25" t="s">
        <v>526</v>
      </c>
    </row>
    <row r="1182" spans="1:11" ht="25.5" x14ac:dyDescent="0.25">
      <c r="A1182" s="22">
        <v>2026</v>
      </c>
      <c r="B1182" s="28" t="s">
        <v>183</v>
      </c>
      <c r="C1182" s="28" t="s">
        <v>97</v>
      </c>
      <c r="D1182" s="28" t="s">
        <v>1703</v>
      </c>
      <c r="E1182" s="29" t="s">
        <v>569</v>
      </c>
      <c r="F1182" s="29" t="s">
        <v>298</v>
      </c>
      <c r="G1182" s="25" t="s">
        <v>2962</v>
      </c>
      <c r="H1182" s="26">
        <v>-1.0251899999999998</v>
      </c>
      <c r="I1182" s="26"/>
      <c r="J1182" s="26" t="s">
        <v>512</v>
      </c>
      <c r="K1182" s="25" t="s">
        <v>526</v>
      </c>
    </row>
    <row r="1183" spans="1:11" ht="25.5" x14ac:dyDescent="0.25">
      <c r="A1183" s="22">
        <v>2026</v>
      </c>
      <c r="B1183" s="28" t="s">
        <v>183</v>
      </c>
      <c r="C1183" s="28" t="s">
        <v>97</v>
      </c>
      <c r="D1183" s="28" t="s">
        <v>1703</v>
      </c>
      <c r="E1183" s="29" t="s">
        <v>569</v>
      </c>
      <c r="F1183" s="29" t="s">
        <v>298</v>
      </c>
      <c r="G1183" s="25" t="s">
        <v>2963</v>
      </c>
      <c r="H1183" s="26">
        <v>-1.0328925</v>
      </c>
      <c r="I1183" s="26"/>
      <c r="J1183" s="26" t="s">
        <v>512</v>
      </c>
      <c r="K1183" s="25" t="s">
        <v>526</v>
      </c>
    </row>
    <row r="1184" spans="1:11" ht="25.5" x14ac:dyDescent="0.25">
      <c r="A1184" s="22">
        <v>2026</v>
      </c>
      <c r="B1184" s="28" t="s">
        <v>183</v>
      </c>
      <c r="C1184" s="28" t="s">
        <v>97</v>
      </c>
      <c r="D1184" s="28" t="s">
        <v>1703</v>
      </c>
      <c r="E1184" s="29" t="s">
        <v>569</v>
      </c>
      <c r="F1184" s="29" t="s">
        <v>298</v>
      </c>
      <c r="G1184" s="25" t="s">
        <v>2964</v>
      </c>
      <c r="H1184" s="26">
        <v>-1.0315650000000001</v>
      </c>
      <c r="I1184" s="26"/>
      <c r="J1184" s="26" t="s">
        <v>512</v>
      </c>
      <c r="K1184" s="25" t="s">
        <v>526</v>
      </c>
    </row>
    <row r="1185" spans="1:11" ht="25.5" x14ac:dyDescent="0.25">
      <c r="A1185" s="22">
        <v>2026</v>
      </c>
      <c r="B1185" s="28" t="s">
        <v>183</v>
      </c>
      <c r="C1185" s="28" t="s">
        <v>97</v>
      </c>
      <c r="D1185" s="28" t="s">
        <v>1705</v>
      </c>
      <c r="E1185" s="29" t="s">
        <v>1765</v>
      </c>
      <c r="F1185" s="29" t="s">
        <v>1766</v>
      </c>
      <c r="G1185" s="25" t="s">
        <v>2972</v>
      </c>
      <c r="H1185" s="26">
        <v>-1.0838923704000001</v>
      </c>
      <c r="I1185" s="26"/>
      <c r="J1185" s="26" t="s">
        <v>514</v>
      </c>
      <c r="K1185" s="25" t="s">
        <v>513</v>
      </c>
    </row>
    <row r="1186" spans="1:11" ht="25.5" x14ac:dyDescent="0.25">
      <c r="A1186" s="22">
        <v>2026</v>
      </c>
      <c r="B1186" s="28" t="s">
        <v>183</v>
      </c>
      <c r="C1186" s="28" t="s">
        <v>97</v>
      </c>
      <c r="D1186" s="28" t="s">
        <v>1705</v>
      </c>
      <c r="E1186" s="29" t="s">
        <v>1765</v>
      </c>
      <c r="F1186" s="29" t="s">
        <v>1766</v>
      </c>
      <c r="G1186" s="25" t="s">
        <v>2973</v>
      </c>
      <c r="H1186" s="26">
        <v>-0.14497288960000002</v>
      </c>
      <c r="I1186" s="26"/>
      <c r="J1186" s="26" t="s">
        <v>514</v>
      </c>
      <c r="K1186" s="25" t="s">
        <v>513</v>
      </c>
    </row>
    <row r="1187" spans="1:11" ht="25.5" x14ac:dyDescent="0.25">
      <c r="A1187" s="22">
        <v>2026</v>
      </c>
      <c r="B1187" s="28" t="s">
        <v>183</v>
      </c>
      <c r="C1187" s="28" t="s">
        <v>97</v>
      </c>
      <c r="D1187" s="28" t="s">
        <v>1705</v>
      </c>
      <c r="E1187" s="29" t="s">
        <v>1765</v>
      </c>
      <c r="F1187" s="29" t="s">
        <v>1766</v>
      </c>
      <c r="G1187" s="25" t="s">
        <v>2974</v>
      </c>
      <c r="H1187" s="26">
        <v>-1.0412749139999999</v>
      </c>
      <c r="I1187" s="26"/>
      <c r="J1187" s="26" t="s">
        <v>514</v>
      </c>
      <c r="K1187" s="25" t="s">
        <v>513</v>
      </c>
    </row>
    <row r="1188" spans="1:11" ht="25.5" x14ac:dyDescent="0.25">
      <c r="A1188" s="22">
        <v>2026</v>
      </c>
      <c r="B1188" s="28" t="s">
        <v>183</v>
      </c>
      <c r="C1188" s="28" t="s">
        <v>97</v>
      </c>
      <c r="D1188" s="28" t="s">
        <v>1705</v>
      </c>
      <c r="E1188" s="29" t="s">
        <v>1765</v>
      </c>
      <c r="F1188" s="29" t="s">
        <v>1766</v>
      </c>
      <c r="G1188" s="25" t="s">
        <v>2975</v>
      </c>
      <c r="H1188" s="26">
        <v>-1.6209735999999999</v>
      </c>
      <c r="I1188" s="26"/>
      <c r="J1188" s="26" t="s">
        <v>514</v>
      </c>
      <c r="K1188" s="25" t="s">
        <v>513</v>
      </c>
    </row>
    <row r="1189" spans="1:11" ht="25.5" x14ac:dyDescent="0.25">
      <c r="A1189" s="22">
        <v>2026</v>
      </c>
      <c r="B1189" s="28" t="s">
        <v>183</v>
      </c>
      <c r="C1189" s="28" t="s">
        <v>97</v>
      </c>
      <c r="D1189" s="28" t="s">
        <v>1705</v>
      </c>
      <c r="E1189" s="29" t="s">
        <v>1765</v>
      </c>
      <c r="F1189" s="29" t="s">
        <v>1766</v>
      </c>
      <c r="G1189" s="25" t="s">
        <v>2976</v>
      </c>
      <c r="H1189" s="26">
        <v>-1.8020113062000001</v>
      </c>
      <c r="I1189" s="26"/>
      <c r="J1189" s="26" t="s">
        <v>514</v>
      </c>
      <c r="K1189" s="25" t="s">
        <v>513</v>
      </c>
    </row>
    <row r="1190" spans="1:11" ht="25.5" x14ac:dyDescent="0.25">
      <c r="A1190" s="22">
        <v>2026</v>
      </c>
      <c r="B1190" s="28" t="s">
        <v>183</v>
      </c>
      <c r="C1190" s="28" t="s">
        <v>97</v>
      </c>
      <c r="D1190" s="28" t="s">
        <v>1705</v>
      </c>
      <c r="E1190" s="29" t="s">
        <v>1765</v>
      </c>
      <c r="F1190" s="29" t="s">
        <v>1766</v>
      </c>
      <c r="G1190" s="25" t="s">
        <v>2977</v>
      </c>
      <c r="H1190" s="26">
        <v>-2.3280383653999999</v>
      </c>
      <c r="I1190" s="26"/>
      <c r="J1190" s="26" t="s">
        <v>514</v>
      </c>
      <c r="K1190" s="25" t="s">
        <v>513</v>
      </c>
    </row>
    <row r="1191" spans="1:11" ht="25.5" x14ac:dyDescent="0.25">
      <c r="A1191" s="22">
        <v>2026</v>
      </c>
      <c r="B1191" s="28" t="s">
        <v>183</v>
      </c>
      <c r="C1191" s="28" t="s">
        <v>97</v>
      </c>
      <c r="D1191" s="28" t="s">
        <v>1705</v>
      </c>
      <c r="E1191" s="29" t="s">
        <v>1765</v>
      </c>
      <c r="F1191" s="29" t="s">
        <v>1766</v>
      </c>
      <c r="G1191" s="25" t="s">
        <v>2978</v>
      </c>
      <c r="H1191" s="26">
        <v>-1.8958295888000001</v>
      </c>
      <c r="I1191" s="26"/>
      <c r="J1191" s="26" t="s">
        <v>514</v>
      </c>
      <c r="K1191" s="25" t="s">
        <v>513</v>
      </c>
    </row>
    <row r="1192" spans="1:11" ht="25.5" x14ac:dyDescent="0.25">
      <c r="A1192" s="22">
        <v>2026</v>
      </c>
      <c r="B1192" s="28" t="s">
        <v>183</v>
      </c>
      <c r="C1192" s="28" t="s">
        <v>97</v>
      </c>
      <c r="D1192" s="28" t="s">
        <v>1705</v>
      </c>
      <c r="E1192" s="29" t="s">
        <v>1765</v>
      </c>
      <c r="F1192" s="29" t="s">
        <v>1766</v>
      </c>
      <c r="G1192" s="25" t="s">
        <v>2979</v>
      </c>
      <c r="H1192" s="26">
        <v>-1.5966966675000001</v>
      </c>
      <c r="I1192" s="26"/>
      <c r="J1192" s="26" t="s">
        <v>514</v>
      </c>
      <c r="K1192" s="25" t="s">
        <v>513</v>
      </c>
    </row>
    <row r="1193" spans="1:11" ht="25.5" x14ac:dyDescent="0.25">
      <c r="A1193" s="22">
        <v>2026</v>
      </c>
      <c r="B1193" s="28" t="s">
        <v>183</v>
      </c>
      <c r="C1193" s="28" t="s">
        <v>97</v>
      </c>
      <c r="D1193" s="28" t="s">
        <v>1705</v>
      </c>
      <c r="E1193" s="29" t="s">
        <v>1765</v>
      </c>
      <c r="F1193" s="29" t="s">
        <v>1766</v>
      </c>
      <c r="G1193" s="25" t="s">
        <v>2980</v>
      </c>
      <c r="H1193" s="26">
        <v>-1.4842139399999998</v>
      </c>
      <c r="I1193" s="26"/>
      <c r="J1193" s="26" t="s">
        <v>514</v>
      </c>
      <c r="K1193" s="25" t="s">
        <v>513</v>
      </c>
    </row>
    <row r="1194" spans="1:11" ht="25.5" x14ac:dyDescent="0.25">
      <c r="A1194" s="22">
        <v>2026</v>
      </c>
      <c r="B1194" s="28" t="s">
        <v>183</v>
      </c>
      <c r="C1194" s="28" t="s">
        <v>97</v>
      </c>
      <c r="D1194" s="28" t="s">
        <v>1705</v>
      </c>
      <c r="E1194" s="29" t="s">
        <v>1765</v>
      </c>
      <c r="F1194" s="29" t="s">
        <v>1766</v>
      </c>
      <c r="G1194" s="25" t="s">
        <v>2981</v>
      </c>
      <c r="H1194" s="26">
        <v>-0.38095623280000002</v>
      </c>
      <c r="I1194" s="26"/>
      <c r="J1194" s="26" t="s">
        <v>514</v>
      </c>
      <c r="K1194" s="25" t="s">
        <v>513</v>
      </c>
    </row>
    <row r="1195" spans="1:11" ht="25.5" x14ac:dyDescent="0.25">
      <c r="A1195" s="22">
        <v>2026</v>
      </c>
      <c r="B1195" s="28" t="s">
        <v>183</v>
      </c>
      <c r="C1195" s="28" t="s">
        <v>97</v>
      </c>
      <c r="D1195" s="28" t="s">
        <v>1705</v>
      </c>
      <c r="E1195" s="29" t="s">
        <v>1765</v>
      </c>
      <c r="F1195" s="29" t="s">
        <v>1766</v>
      </c>
      <c r="G1195" s="25" t="s">
        <v>2982</v>
      </c>
      <c r="H1195" s="26">
        <v>-0.78306030859999998</v>
      </c>
      <c r="I1195" s="26"/>
      <c r="J1195" s="26" t="s">
        <v>514</v>
      </c>
      <c r="K1195" s="25" t="s">
        <v>513</v>
      </c>
    </row>
    <row r="1196" spans="1:11" ht="25.5" x14ac:dyDescent="0.25">
      <c r="A1196" s="22">
        <v>2026</v>
      </c>
      <c r="B1196" s="28" t="s">
        <v>183</v>
      </c>
      <c r="C1196" s="28" t="s">
        <v>97</v>
      </c>
      <c r="D1196" s="28" t="s">
        <v>1705</v>
      </c>
      <c r="E1196" s="29" t="s">
        <v>1765</v>
      </c>
      <c r="F1196" s="29" t="s">
        <v>1766</v>
      </c>
      <c r="G1196" s="25" t="s">
        <v>2983</v>
      </c>
      <c r="H1196" s="26">
        <v>-0.96617430780000002</v>
      </c>
      <c r="I1196" s="26"/>
      <c r="J1196" s="26" t="s">
        <v>514</v>
      </c>
      <c r="K1196" s="25" t="s">
        <v>513</v>
      </c>
    </row>
    <row r="1197" spans="1:11" ht="25.5" x14ac:dyDescent="0.25">
      <c r="A1197" s="22">
        <v>2026</v>
      </c>
      <c r="B1197" s="28" t="s">
        <v>183</v>
      </c>
      <c r="C1197" s="28" t="s">
        <v>97</v>
      </c>
      <c r="D1197" s="28" t="s">
        <v>1705</v>
      </c>
      <c r="E1197" s="29" t="s">
        <v>1765</v>
      </c>
      <c r="F1197" s="29" t="s">
        <v>1766</v>
      </c>
      <c r="G1197" s="25" t="s">
        <v>2984</v>
      </c>
      <c r="H1197" s="26">
        <v>-0.44715137630000001</v>
      </c>
      <c r="I1197" s="26"/>
      <c r="J1197" s="26" t="s">
        <v>514</v>
      </c>
      <c r="K1197" s="25" t="s">
        <v>513</v>
      </c>
    </row>
    <row r="1198" spans="1:11" ht="25.5" x14ac:dyDescent="0.25">
      <c r="A1198" s="22">
        <v>2026</v>
      </c>
      <c r="B1198" s="28" t="s">
        <v>183</v>
      </c>
      <c r="C1198" s="28" t="s">
        <v>97</v>
      </c>
      <c r="D1198" s="28" t="s">
        <v>1705</v>
      </c>
      <c r="E1198" s="29" t="s">
        <v>1765</v>
      </c>
      <c r="F1198" s="29" t="s">
        <v>1766</v>
      </c>
      <c r="G1198" s="25" t="s">
        <v>2985</v>
      </c>
      <c r="H1198" s="26">
        <v>-0.9488056024999999</v>
      </c>
      <c r="I1198" s="26"/>
      <c r="J1198" s="26" t="s">
        <v>514</v>
      </c>
      <c r="K1198" s="25" t="s">
        <v>513</v>
      </c>
    </row>
    <row r="1199" spans="1:11" ht="25.5" x14ac:dyDescent="0.25">
      <c r="A1199" s="22">
        <v>2026</v>
      </c>
      <c r="B1199" s="28" t="s">
        <v>183</v>
      </c>
      <c r="C1199" s="28" t="s">
        <v>97</v>
      </c>
      <c r="D1199" s="28" t="s">
        <v>1705</v>
      </c>
      <c r="E1199" s="29" t="s">
        <v>1765</v>
      </c>
      <c r="F1199" s="29" t="s">
        <v>1766</v>
      </c>
      <c r="G1199" s="25" t="s">
        <v>2986</v>
      </c>
      <c r="H1199" s="26">
        <v>-1.2510295562</v>
      </c>
      <c r="I1199" s="26"/>
      <c r="J1199" s="26" t="s">
        <v>514</v>
      </c>
      <c r="K1199" s="25" t="s">
        <v>513</v>
      </c>
    </row>
    <row r="1200" spans="1:11" ht="25.5" x14ac:dyDescent="0.25">
      <c r="A1200" s="22">
        <v>2026</v>
      </c>
      <c r="B1200" s="28" t="s">
        <v>183</v>
      </c>
      <c r="C1200" s="28" t="s">
        <v>97</v>
      </c>
      <c r="D1200" s="28" t="s">
        <v>1705</v>
      </c>
      <c r="E1200" s="29" t="s">
        <v>1765</v>
      </c>
      <c r="F1200" s="29" t="s">
        <v>1766</v>
      </c>
      <c r="G1200" s="25" t="s">
        <v>2987</v>
      </c>
      <c r="H1200" s="26">
        <v>-4.7289319999999996E-2</v>
      </c>
      <c r="I1200" s="26"/>
      <c r="J1200" s="26" t="s">
        <v>514</v>
      </c>
      <c r="K1200" s="25" t="s">
        <v>513</v>
      </c>
    </row>
    <row r="1201" spans="1:11" ht="25.5" x14ac:dyDescent="0.25">
      <c r="A1201" s="22">
        <v>2026</v>
      </c>
      <c r="B1201" s="28" t="s">
        <v>183</v>
      </c>
      <c r="C1201" s="28" t="s">
        <v>97</v>
      </c>
      <c r="D1201" s="28" t="s">
        <v>1705</v>
      </c>
      <c r="E1201" s="29" t="s">
        <v>1765</v>
      </c>
      <c r="F1201" s="29" t="s">
        <v>1766</v>
      </c>
      <c r="G1201" s="25" t="s">
        <v>2988</v>
      </c>
      <c r="H1201" s="26">
        <v>-0.46265697009999995</v>
      </c>
      <c r="I1201" s="26"/>
      <c r="J1201" s="26" t="s">
        <v>514</v>
      </c>
      <c r="K1201" s="25" t="s">
        <v>513</v>
      </c>
    </row>
    <row r="1202" spans="1:11" ht="25.5" x14ac:dyDescent="0.25">
      <c r="A1202" s="22">
        <v>2026</v>
      </c>
      <c r="B1202" s="28" t="s">
        <v>183</v>
      </c>
      <c r="C1202" s="28" t="s">
        <v>97</v>
      </c>
      <c r="D1202" s="28" t="s">
        <v>1706</v>
      </c>
      <c r="E1202" s="29" t="s">
        <v>1765</v>
      </c>
      <c r="F1202" s="29" t="s">
        <v>1766</v>
      </c>
      <c r="G1202" s="25" t="s">
        <v>2989</v>
      </c>
      <c r="H1202" s="26">
        <v>-0.10579251645670401</v>
      </c>
      <c r="I1202" s="26"/>
      <c r="J1202" s="26" t="s">
        <v>514</v>
      </c>
      <c r="K1202" s="25" t="s">
        <v>513</v>
      </c>
    </row>
    <row r="1203" spans="1:11" ht="25.5" x14ac:dyDescent="0.25">
      <c r="A1203" s="22">
        <v>2026</v>
      </c>
      <c r="B1203" s="28" t="s">
        <v>183</v>
      </c>
      <c r="C1203" s="28" t="s">
        <v>97</v>
      </c>
      <c r="D1203" s="28" t="s">
        <v>1706</v>
      </c>
      <c r="E1203" s="29" t="s">
        <v>1765</v>
      </c>
      <c r="F1203" s="29" t="s">
        <v>1766</v>
      </c>
      <c r="G1203" s="25" t="s">
        <v>2990</v>
      </c>
      <c r="H1203" s="26">
        <v>-3.3730169255999998E-3</v>
      </c>
      <c r="I1203" s="26"/>
      <c r="J1203" s="26" t="s">
        <v>514</v>
      </c>
      <c r="K1203" s="25" t="s">
        <v>513</v>
      </c>
    </row>
    <row r="1204" spans="1:11" ht="25.5" x14ac:dyDescent="0.25">
      <c r="A1204" s="22">
        <v>2026</v>
      </c>
      <c r="B1204" s="28" t="s">
        <v>183</v>
      </c>
      <c r="C1204" s="28" t="s">
        <v>97</v>
      </c>
      <c r="D1204" s="28" t="s">
        <v>1706</v>
      </c>
      <c r="E1204" s="29" t="s">
        <v>1765</v>
      </c>
      <c r="F1204" s="29" t="s">
        <v>1766</v>
      </c>
      <c r="G1204" s="25" t="s">
        <v>2991</v>
      </c>
      <c r="H1204" s="26">
        <v>-8.7900102419999999E-4</v>
      </c>
      <c r="I1204" s="26"/>
      <c r="J1204" s="26" t="s">
        <v>514</v>
      </c>
      <c r="K1204" s="25" t="s">
        <v>513</v>
      </c>
    </row>
    <row r="1205" spans="1:11" ht="25.5" x14ac:dyDescent="0.25">
      <c r="A1205" s="22">
        <v>2026</v>
      </c>
      <c r="B1205" s="28" t="s">
        <v>183</v>
      </c>
      <c r="C1205" s="28" t="s">
        <v>97</v>
      </c>
      <c r="D1205" s="28" t="s">
        <v>1706</v>
      </c>
      <c r="E1205" s="29" t="s">
        <v>1765</v>
      </c>
      <c r="F1205" s="29" t="s">
        <v>1766</v>
      </c>
      <c r="G1205" s="25" t="s">
        <v>2992</v>
      </c>
      <c r="H1205" s="26">
        <v>-5.7882309804000005E-2</v>
      </c>
      <c r="I1205" s="26"/>
      <c r="J1205" s="26" t="s">
        <v>514</v>
      </c>
      <c r="K1205" s="25" t="s">
        <v>513</v>
      </c>
    </row>
    <row r="1206" spans="1:11" ht="25.5" x14ac:dyDescent="0.25">
      <c r="A1206" s="22">
        <v>2026</v>
      </c>
      <c r="B1206" s="28" t="s">
        <v>183</v>
      </c>
      <c r="C1206" s="28" t="s">
        <v>97</v>
      </c>
      <c r="D1206" s="28" t="s">
        <v>1706</v>
      </c>
      <c r="E1206" s="29" t="s">
        <v>1765</v>
      </c>
      <c r="F1206" s="29" t="s">
        <v>1766</v>
      </c>
      <c r="G1206" s="25" t="s">
        <v>2993</v>
      </c>
      <c r="H1206" s="26">
        <v>-3.4900710443676E-2</v>
      </c>
      <c r="I1206" s="26"/>
      <c r="J1206" s="26" t="s">
        <v>514</v>
      </c>
      <c r="K1206" s="25" t="s">
        <v>513</v>
      </c>
    </row>
    <row r="1207" spans="1:11" ht="25.5" x14ac:dyDescent="0.25">
      <c r="A1207" s="22">
        <v>2026</v>
      </c>
      <c r="B1207" s="28" t="s">
        <v>183</v>
      </c>
      <c r="C1207" s="28" t="s">
        <v>97</v>
      </c>
      <c r="D1207" s="28" t="s">
        <v>1706</v>
      </c>
      <c r="E1207" s="29" t="s">
        <v>1765</v>
      </c>
      <c r="F1207" s="29" t="s">
        <v>1766</v>
      </c>
      <c r="G1207" s="25" t="s">
        <v>2994</v>
      </c>
      <c r="H1207" s="26">
        <v>-3.2260412300736001E-2</v>
      </c>
      <c r="I1207" s="26"/>
      <c r="J1207" s="26" t="s">
        <v>514</v>
      </c>
      <c r="K1207" s="25" t="s">
        <v>513</v>
      </c>
    </row>
    <row r="1208" spans="1:11" ht="25.5" x14ac:dyDescent="0.25">
      <c r="A1208" s="22">
        <v>2026</v>
      </c>
      <c r="B1208" s="28" t="s">
        <v>183</v>
      </c>
      <c r="C1208" s="28" t="s">
        <v>97</v>
      </c>
      <c r="D1208" s="28" t="s">
        <v>1706</v>
      </c>
      <c r="E1208" s="29" t="s">
        <v>1765</v>
      </c>
      <c r="F1208" s="29" t="s">
        <v>1766</v>
      </c>
      <c r="G1208" s="25" t="s">
        <v>2995</v>
      </c>
      <c r="H1208" s="26">
        <v>-1.9537155640000001E-2</v>
      </c>
      <c r="I1208" s="26"/>
      <c r="J1208" s="26" t="s">
        <v>514</v>
      </c>
      <c r="K1208" s="25" t="s">
        <v>513</v>
      </c>
    </row>
    <row r="1209" spans="1:11" ht="25.5" x14ac:dyDescent="0.25">
      <c r="A1209" s="22">
        <v>2026</v>
      </c>
      <c r="B1209" s="28" t="s">
        <v>183</v>
      </c>
      <c r="C1209" s="28" t="s">
        <v>97</v>
      </c>
      <c r="D1209" s="28" t="s">
        <v>224</v>
      </c>
      <c r="E1209" s="29" t="s">
        <v>411</v>
      </c>
      <c r="F1209" s="29" t="s">
        <v>350</v>
      </c>
      <c r="G1209" s="25" t="s">
        <v>2996</v>
      </c>
      <c r="H1209" s="26">
        <v>-0.30631999999999998</v>
      </c>
      <c r="I1209" s="26"/>
      <c r="J1209" s="26" t="s">
        <v>512</v>
      </c>
      <c r="K1209" s="25" t="s">
        <v>513</v>
      </c>
    </row>
    <row r="1210" spans="1:11" ht="25.5" x14ac:dyDescent="0.25">
      <c r="A1210" s="22">
        <v>2026</v>
      </c>
      <c r="B1210" s="28" t="s">
        <v>183</v>
      </c>
      <c r="C1210" s="28" t="s">
        <v>97</v>
      </c>
      <c r="D1210" s="28" t="s">
        <v>224</v>
      </c>
      <c r="E1210" s="29" t="s">
        <v>411</v>
      </c>
      <c r="F1210" s="29" t="s">
        <v>350</v>
      </c>
      <c r="G1210" s="25" t="s">
        <v>2997</v>
      </c>
      <c r="H1210" s="26">
        <v>-1.1811596804</v>
      </c>
      <c r="I1210" s="26"/>
      <c r="J1210" s="26" t="s">
        <v>512</v>
      </c>
      <c r="K1210" s="25" t="s">
        <v>513</v>
      </c>
    </row>
    <row r="1211" spans="1:11" ht="25.5" x14ac:dyDescent="0.25">
      <c r="A1211" s="22">
        <v>2026</v>
      </c>
      <c r="B1211" s="28" t="s">
        <v>183</v>
      </c>
      <c r="C1211" s="28" t="s">
        <v>97</v>
      </c>
      <c r="D1211" s="28" t="s">
        <v>224</v>
      </c>
      <c r="E1211" s="29" t="s">
        <v>411</v>
      </c>
      <c r="F1211" s="29" t="s">
        <v>350</v>
      </c>
      <c r="G1211" s="25" t="s">
        <v>2998</v>
      </c>
      <c r="H1211" s="26">
        <v>-0.56409327799999998</v>
      </c>
      <c r="I1211" s="26"/>
      <c r="J1211" s="26" t="s">
        <v>512</v>
      </c>
      <c r="K1211" s="25" t="s">
        <v>513</v>
      </c>
    </row>
    <row r="1212" spans="1:11" ht="25.5" x14ac:dyDescent="0.25">
      <c r="A1212" s="22">
        <v>2026</v>
      </c>
      <c r="B1212" s="28" t="s">
        <v>183</v>
      </c>
      <c r="C1212" s="28" t="s">
        <v>97</v>
      </c>
      <c r="D1212" s="28" t="s">
        <v>224</v>
      </c>
      <c r="E1212" s="29" t="s">
        <v>411</v>
      </c>
      <c r="F1212" s="29" t="s">
        <v>350</v>
      </c>
      <c r="G1212" s="25" t="s">
        <v>2999</v>
      </c>
      <c r="H1212" s="26">
        <v>-1.8741300000000001</v>
      </c>
      <c r="I1212" s="26"/>
      <c r="J1212" s="26" t="s">
        <v>512</v>
      </c>
      <c r="K1212" s="25" t="s">
        <v>513</v>
      </c>
    </row>
    <row r="1213" spans="1:11" ht="25.5" x14ac:dyDescent="0.25">
      <c r="A1213" s="22">
        <v>2026</v>
      </c>
      <c r="B1213" s="28" t="s">
        <v>183</v>
      </c>
      <c r="C1213" s="28" t="s">
        <v>97</v>
      </c>
      <c r="D1213" s="28" t="s">
        <v>1708</v>
      </c>
      <c r="E1213" s="29" t="s">
        <v>369</v>
      </c>
      <c r="F1213" s="29" t="s">
        <v>483</v>
      </c>
      <c r="G1213" s="25" t="s">
        <v>3000</v>
      </c>
      <c r="H1213" s="26">
        <v>-0.176037</v>
      </c>
      <c r="I1213" s="26"/>
      <c r="J1213" s="26" t="s">
        <v>512</v>
      </c>
      <c r="K1213" s="25" t="s">
        <v>513</v>
      </c>
    </row>
    <row r="1214" spans="1:11" ht="25.5" x14ac:dyDescent="0.25">
      <c r="A1214" s="22">
        <v>2026</v>
      </c>
      <c r="B1214" s="28" t="s">
        <v>183</v>
      </c>
      <c r="C1214" s="28" t="s">
        <v>97</v>
      </c>
      <c r="D1214" s="28" t="s">
        <v>1708</v>
      </c>
      <c r="E1214" s="29" t="s">
        <v>369</v>
      </c>
      <c r="F1214" s="29" t="s">
        <v>483</v>
      </c>
      <c r="G1214" s="25" t="s">
        <v>3001</v>
      </c>
      <c r="H1214" s="26">
        <v>-0.117232</v>
      </c>
      <c r="I1214" s="26"/>
      <c r="J1214" s="26" t="s">
        <v>512</v>
      </c>
      <c r="K1214" s="25" t="s">
        <v>513</v>
      </c>
    </row>
    <row r="1215" spans="1:11" ht="25.5" x14ac:dyDescent="0.25">
      <c r="A1215" s="22">
        <v>2026</v>
      </c>
      <c r="B1215" s="28" t="s">
        <v>183</v>
      </c>
      <c r="C1215" s="28" t="s">
        <v>97</v>
      </c>
      <c r="D1215" s="28" t="s">
        <v>1708</v>
      </c>
      <c r="E1215" s="29" t="s">
        <v>369</v>
      </c>
      <c r="F1215" s="29" t="s">
        <v>483</v>
      </c>
      <c r="G1215" s="25" t="s">
        <v>3002</v>
      </c>
      <c r="H1215" s="26">
        <v>-5.8737999999999999E-2</v>
      </c>
      <c r="I1215" s="26"/>
      <c r="J1215" s="26" t="s">
        <v>512</v>
      </c>
      <c r="K1215" s="25" t="s">
        <v>513</v>
      </c>
    </row>
    <row r="1216" spans="1:11" ht="25.5" x14ac:dyDescent="0.25">
      <c r="A1216" s="22">
        <v>2026</v>
      </c>
      <c r="B1216" s="28" t="s">
        <v>183</v>
      </c>
      <c r="C1216" s="28" t="s">
        <v>97</v>
      </c>
      <c r="D1216" s="28" t="s">
        <v>1708</v>
      </c>
      <c r="E1216" s="29" t="s">
        <v>369</v>
      </c>
      <c r="F1216" s="29" t="s">
        <v>483</v>
      </c>
      <c r="G1216" s="25" t="s">
        <v>3003</v>
      </c>
      <c r="H1216" s="26">
        <v>-0.2397803</v>
      </c>
      <c r="I1216" s="26"/>
      <c r="J1216" s="26" t="s">
        <v>512</v>
      </c>
      <c r="K1216" s="25" t="s">
        <v>513</v>
      </c>
    </row>
    <row r="1217" spans="1:11" ht="25.5" x14ac:dyDescent="0.25">
      <c r="A1217" s="22">
        <v>2026</v>
      </c>
      <c r="B1217" s="28" t="s">
        <v>183</v>
      </c>
      <c r="C1217" s="28" t="s">
        <v>97</v>
      </c>
      <c r="D1217" s="28" t="s">
        <v>1708</v>
      </c>
      <c r="E1217" s="29" t="s">
        <v>369</v>
      </c>
      <c r="F1217" s="29" t="s">
        <v>483</v>
      </c>
      <c r="G1217" s="25" t="s">
        <v>3004</v>
      </c>
      <c r="H1217" s="26">
        <v>-8.7498000000000006E-2</v>
      </c>
      <c r="I1217" s="26"/>
      <c r="J1217" s="26" t="s">
        <v>512</v>
      </c>
      <c r="K1217" s="25" t="s">
        <v>513</v>
      </c>
    </row>
    <row r="1218" spans="1:11" ht="25.5" x14ac:dyDescent="0.25">
      <c r="A1218" s="22">
        <v>2026</v>
      </c>
      <c r="B1218" s="28" t="s">
        <v>183</v>
      </c>
      <c r="C1218" s="28" t="s">
        <v>97</v>
      </c>
      <c r="D1218" s="28" t="s">
        <v>1708</v>
      </c>
      <c r="E1218" s="29" t="s">
        <v>369</v>
      </c>
      <c r="F1218" s="29" t="s">
        <v>483</v>
      </c>
      <c r="G1218" s="25" t="s">
        <v>3005</v>
      </c>
      <c r="H1218" s="26">
        <v>-7.8236932499999995E-2</v>
      </c>
      <c r="I1218" s="26"/>
      <c r="J1218" s="26" t="s">
        <v>512</v>
      </c>
      <c r="K1218" s="25" t="s">
        <v>513</v>
      </c>
    </row>
    <row r="1219" spans="1:11" ht="25.5" x14ac:dyDescent="0.25">
      <c r="A1219" s="22">
        <v>2026</v>
      </c>
      <c r="B1219" s="28" t="s">
        <v>183</v>
      </c>
      <c r="C1219" s="28" t="s">
        <v>97</v>
      </c>
      <c r="D1219" s="28" t="s">
        <v>1708</v>
      </c>
      <c r="E1219" s="29" t="s">
        <v>369</v>
      </c>
      <c r="F1219" s="29" t="s">
        <v>483</v>
      </c>
      <c r="G1219" s="25" t="s">
        <v>3006</v>
      </c>
      <c r="H1219" s="26">
        <v>-0.21566274299999999</v>
      </c>
      <c r="I1219" s="26"/>
      <c r="J1219" s="26" t="s">
        <v>512</v>
      </c>
      <c r="K1219" s="25" t="s">
        <v>513</v>
      </c>
    </row>
    <row r="1220" spans="1:11" ht="25.5" x14ac:dyDescent="0.25">
      <c r="A1220" s="22">
        <v>2026</v>
      </c>
      <c r="B1220" s="28" t="s">
        <v>183</v>
      </c>
      <c r="C1220" s="28" t="s">
        <v>97</v>
      </c>
      <c r="D1220" s="28" t="s">
        <v>1708</v>
      </c>
      <c r="E1220" s="29" t="s">
        <v>369</v>
      </c>
      <c r="F1220" s="29" t="s">
        <v>483</v>
      </c>
      <c r="G1220" s="25" t="s">
        <v>3007</v>
      </c>
      <c r="H1220" s="26">
        <v>-4.8697995399999999E-2</v>
      </c>
      <c r="I1220" s="26"/>
      <c r="J1220" s="26" t="s">
        <v>512</v>
      </c>
      <c r="K1220" s="25" t="s">
        <v>513</v>
      </c>
    </row>
    <row r="1221" spans="1:11" ht="25.5" x14ac:dyDescent="0.25">
      <c r="A1221" s="22">
        <v>2026</v>
      </c>
      <c r="B1221" s="28" t="s">
        <v>183</v>
      </c>
      <c r="C1221" s="28" t="s">
        <v>97</v>
      </c>
      <c r="D1221" s="28" t="s">
        <v>1708</v>
      </c>
      <c r="E1221" s="29" t="s">
        <v>369</v>
      </c>
      <c r="F1221" s="29" t="s">
        <v>483</v>
      </c>
      <c r="G1221" s="25" t="s">
        <v>3008</v>
      </c>
      <c r="H1221" s="26">
        <v>-0.29609368560000004</v>
      </c>
      <c r="I1221" s="26"/>
      <c r="J1221" s="26" t="s">
        <v>512</v>
      </c>
      <c r="K1221" s="25" t="s">
        <v>513</v>
      </c>
    </row>
    <row r="1222" spans="1:11" ht="25.5" x14ac:dyDescent="0.25">
      <c r="A1222" s="22">
        <v>2026</v>
      </c>
      <c r="B1222" s="28" t="s">
        <v>183</v>
      </c>
      <c r="C1222" s="28" t="s">
        <v>97</v>
      </c>
      <c r="D1222" s="28" t="s">
        <v>1708</v>
      </c>
      <c r="E1222" s="29" t="s">
        <v>369</v>
      </c>
      <c r="F1222" s="29" t="s">
        <v>483</v>
      </c>
      <c r="G1222" s="25" t="s">
        <v>3009</v>
      </c>
      <c r="H1222" s="26">
        <v>-0.27247133940000001</v>
      </c>
      <c r="I1222" s="26"/>
      <c r="J1222" s="26" t="s">
        <v>512</v>
      </c>
      <c r="K1222" s="25" t="s">
        <v>513</v>
      </c>
    </row>
    <row r="1223" spans="1:11" ht="25.5" x14ac:dyDescent="0.25">
      <c r="A1223" s="22">
        <v>2026</v>
      </c>
      <c r="B1223" s="28" t="s">
        <v>183</v>
      </c>
      <c r="C1223" s="28" t="s">
        <v>97</v>
      </c>
      <c r="D1223" s="28" t="s">
        <v>1708</v>
      </c>
      <c r="E1223" s="29" t="s">
        <v>369</v>
      </c>
      <c r="F1223" s="29" t="s">
        <v>483</v>
      </c>
      <c r="G1223" s="25" t="s">
        <v>3010</v>
      </c>
      <c r="H1223" s="26">
        <v>-3.5606479999999996E-2</v>
      </c>
      <c r="I1223" s="26"/>
      <c r="J1223" s="26" t="s">
        <v>512</v>
      </c>
      <c r="K1223" s="25" t="s">
        <v>513</v>
      </c>
    </row>
    <row r="1224" spans="1:11" ht="25.5" x14ac:dyDescent="0.25">
      <c r="A1224" s="22">
        <v>2026</v>
      </c>
      <c r="B1224" s="28" t="s">
        <v>183</v>
      </c>
      <c r="C1224" s="28" t="s">
        <v>97</v>
      </c>
      <c r="D1224" s="28" t="s">
        <v>1708</v>
      </c>
      <c r="E1224" s="29" t="s">
        <v>369</v>
      </c>
      <c r="F1224" s="29" t="s">
        <v>483</v>
      </c>
      <c r="G1224" s="25" t="s">
        <v>3011</v>
      </c>
      <c r="H1224" s="26">
        <v>-8.9288999999999993E-2</v>
      </c>
      <c r="I1224" s="26"/>
      <c r="J1224" s="26" t="s">
        <v>512</v>
      </c>
      <c r="K1224" s="25" t="s">
        <v>513</v>
      </c>
    </row>
    <row r="1225" spans="1:11" ht="25.5" x14ac:dyDescent="0.25">
      <c r="A1225" s="22">
        <v>2026</v>
      </c>
      <c r="B1225" s="28" t="s">
        <v>183</v>
      </c>
      <c r="C1225" s="28" t="s">
        <v>97</v>
      </c>
      <c r="D1225" s="28" t="s">
        <v>1708</v>
      </c>
      <c r="E1225" s="29" t="s">
        <v>369</v>
      </c>
      <c r="F1225" s="29" t="s">
        <v>483</v>
      </c>
      <c r="G1225" s="25" t="s">
        <v>3012</v>
      </c>
      <c r="H1225" s="26">
        <v>-0.20940149999999999</v>
      </c>
      <c r="I1225" s="26"/>
      <c r="J1225" s="26" t="s">
        <v>512</v>
      </c>
      <c r="K1225" s="25" t="s">
        <v>513</v>
      </c>
    </row>
    <row r="1226" spans="1:11" ht="25.5" x14ac:dyDescent="0.25">
      <c r="A1226" s="22">
        <v>2026</v>
      </c>
      <c r="B1226" s="28" t="s">
        <v>183</v>
      </c>
      <c r="C1226" s="28" t="s">
        <v>97</v>
      </c>
      <c r="D1226" s="28" t="s">
        <v>1708</v>
      </c>
      <c r="E1226" s="29" t="s">
        <v>369</v>
      </c>
      <c r="F1226" s="29" t="s">
        <v>483</v>
      </c>
      <c r="G1226" s="25" t="s">
        <v>3013</v>
      </c>
      <c r="H1226" s="26">
        <v>-0.14416799999999999</v>
      </c>
      <c r="I1226" s="26"/>
      <c r="J1226" s="26" t="s">
        <v>512</v>
      </c>
      <c r="K1226" s="25" t="s">
        <v>513</v>
      </c>
    </row>
    <row r="1227" spans="1:11" ht="25.5" x14ac:dyDescent="0.25">
      <c r="A1227" s="22">
        <v>2026</v>
      </c>
      <c r="B1227" s="28" t="s">
        <v>183</v>
      </c>
      <c r="C1227" s="28" t="s">
        <v>97</v>
      </c>
      <c r="D1227" s="28" t="s">
        <v>1709</v>
      </c>
      <c r="E1227" s="29" t="s">
        <v>369</v>
      </c>
      <c r="F1227" s="29" t="s">
        <v>353</v>
      </c>
      <c r="G1227" s="25" t="s">
        <v>3014</v>
      </c>
      <c r="H1227" s="26">
        <v>-4.4400000000000009E-2</v>
      </c>
      <c r="I1227" s="26"/>
      <c r="J1227" s="26" t="s">
        <v>512</v>
      </c>
      <c r="K1227" s="25" t="s">
        <v>513</v>
      </c>
    </row>
    <row r="1228" spans="1:11" ht="25.5" x14ac:dyDescent="0.25">
      <c r="A1228" s="22">
        <v>2026</v>
      </c>
      <c r="B1228" s="28" t="s">
        <v>183</v>
      </c>
      <c r="C1228" s="28" t="s">
        <v>97</v>
      </c>
      <c r="D1228" s="28" t="s">
        <v>1709</v>
      </c>
      <c r="E1228" s="29" t="s">
        <v>369</v>
      </c>
      <c r="F1228" s="29" t="s">
        <v>353</v>
      </c>
      <c r="G1228" s="25" t="s">
        <v>3014</v>
      </c>
      <c r="H1228" s="26">
        <v>-4.4400000000000009E-2</v>
      </c>
      <c r="I1228" s="26"/>
      <c r="J1228" s="26" t="s">
        <v>512</v>
      </c>
      <c r="K1228" s="25" t="s">
        <v>513</v>
      </c>
    </row>
    <row r="1229" spans="1:11" ht="25.5" x14ac:dyDescent="0.25">
      <c r="A1229" s="22">
        <v>2026</v>
      </c>
      <c r="B1229" s="28" t="s">
        <v>183</v>
      </c>
      <c r="C1229" s="28" t="s">
        <v>97</v>
      </c>
      <c r="D1229" s="28" t="s">
        <v>1709</v>
      </c>
      <c r="E1229" s="29" t="s">
        <v>369</v>
      </c>
      <c r="F1229" s="29" t="s">
        <v>353</v>
      </c>
      <c r="G1229" s="25" t="s">
        <v>3015</v>
      </c>
      <c r="H1229" s="26">
        <v>-6.6600000000000006E-2</v>
      </c>
      <c r="I1229" s="26"/>
      <c r="J1229" s="26" t="s">
        <v>512</v>
      </c>
      <c r="K1229" s="25" t="s">
        <v>513</v>
      </c>
    </row>
    <row r="1230" spans="1:11" ht="25.5" x14ac:dyDescent="0.25">
      <c r="A1230" s="22">
        <v>2026</v>
      </c>
      <c r="B1230" s="28" t="s">
        <v>183</v>
      </c>
      <c r="C1230" s="28" t="s">
        <v>97</v>
      </c>
      <c r="D1230" s="28" t="s">
        <v>1709</v>
      </c>
      <c r="E1230" s="29" t="s">
        <v>369</v>
      </c>
      <c r="F1230" s="29" t="s">
        <v>353</v>
      </c>
      <c r="G1230" s="25" t="s">
        <v>3016</v>
      </c>
      <c r="H1230" s="26">
        <v>-6.1551720000000011E-2</v>
      </c>
      <c r="I1230" s="26"/>
      <c r="J1230" s="26" t="s">
        <v>512</v>
      </c>
      <c r="K1230" s="25" t="s">
        <v>513</v>
      </c>
    </row>
    <row r="1231" spans="1:11" ht="25.5" x14ac:dyDescent="0.25">
      <c r="A1231" s="22">
        <v>2026</v>
      </c>
      <c r="B1231" s="28" t="s">
        <v>183</v>
      </c>
      <c r="C1231" s="28" t="s">
        <v>97</v>
      </c>
      <c r="D1231" s="28" t="s">
        <v>1709</v>
      </c>
      <c r="E1231" s="29" t="s">
        <v>369</v>
      </c>
      <c r="F1231" s="29" t="s">
        <v>353</v>
      </c>
      <c r="G1231" s="25" t="s">
        <v>3015</v>
      </c>
      <c r="H1231" s="26">
        <v>-6.6600000000000006E-2</v>
      </c>
      <c r="I1231" s="26"/>
      <c r="J1231" s="26" t="s">
        <v>512</v>
      </c>
      <c r="K1231" s="25" t="s">
        <v>513</v>
      </c>
    </row>
    <row r="1232" spans="1:11" ht="25.5" x14ac:dyDescent="0.25">
      <c r="A1232" s="22">
        <v>2026</v>
      </c>
      <c r="B1232" s="28" t="s">
        <v>183</v>
      </c>
      <c r="C1232" s="28" t="s">
        <v>97</v>
      </c>
      <c r="D1232" s="28" t="s">
        <v>1709</v>
      </c>
      <c r="E1232" s="29" t="s">
        <v>369</v>
      </c>
      <c r="F1232" s="29" t="s">
        <v>353</v>
      </c>
      <c r="G1232" s="25" t="s">
        <v>3017</v>
      </c>
      <c r="H1232" s="26">
        <v>-2.3E-2</v>
      </c>
      <c r="I1232" s="26"/>
      <c r="J1232" s="26" t="s">
        <v>512</v>
      </c>
      <c r="K1232" s="25" t="s">
        <v>513</v>
      </c>
    </row>
    <row r="1233" spans="1:11" ht="25.5" x14ac:dyDescent="0.25">
      <c r="A1233" s="22">
        <v>2026</v>
      </c>
      <c r="B1233" s="28" t="s">
        <v>183</v>
      </c>
      <c r="C1233" s="28" t="s">
        <v>97</v>
      </c>
      <c r="D1233" s="28" t="s">
        <v>1709</v>
      </c>
      <c r="E1233" s="29" t="s">
        <v>369</v>
      </c>
      <c r="F1233" s="29" t="s">
        <v>353</v>
      </c>
      <c r="G1233" s="25" t="s">
        <v>3018</v>
      </c>
      <c r="H1233" s="26">
        <v>-3.4799999999999996E-3</v>
      </c>
      <c r="I1233" s="26"/>
      <c r="J1233" s="26" t="s">
        <v>512</v>
      </c>
      <c r="K1233" s="25" t="s">
        <v>513</v>
      </c>
    </row>
    <row r="1234" spans="1:11" ht="25.5" x14ac:dyDescent="0.25">
      <c r="A1234" s="22">
        <v>2026</v>
      </c>
      <c r="B1234" s="28" t="s">
        <v>183</v>
      </c>
      <c r="C1234" s="28" t="s">
        <v>97</v>
      </c>
      <c r="D1234" s="28" t="s">
        <v>1712</v>
      </c>
      <c r="E1234" s="29" t="s">
        <v>1712</v>
      </c>
      <c r="F1234" s="29" t="s">
        <v>325</v>
      </c>
      <c r="G1234" s="25" t="s">
        <v>3019</v>
      </c>
      <c r="H1234" s="26">
        <v>-7.244527499999999E-2</v>
      </c>
      <c r="I1234" s="26"/>
      <c r="J1234" s="26" t="s">
        <v>512</v>
      </c>
      <c r="K1234" s="25" t="s">
        <v>513</v>
      </c>
    </row>
    <row r="1235" spans="1:11" ht="25.5" x14ac:dyDescent="0.25">
      <c r="A1235" s="22">
        <v>2026</v>
      </c>
      <c r="B1235" s="28" t="s">
        <v>183</v>
      </c>
      <c r="C1235" s="28" t="s">
        <v>97</v>
      </c>
      <c r="D1235" s="28" t="s">
        <v>1712</v>
      </c>
      <c r="E1235" s="29" t="s">
        <v>1712</v>
      </c>
      <c r="F1235" s="29" t="s">
        <v>325</v>
      </c>
      <c r="G1235" s="25" t="s">
        <v>3020</v>
      </c>
      <c r="H1235" s="26">
        <v>-6.9706980000000002E-2</v>
      </c>
      <c r="I1235" s="26"/>
      <c r="J1235" s="26" t="s">
        <v>512</v>
      </c>
      <c r="K1235" s="25" t="s">
        <v>513</v>
      </c>
    </row>
    <row r="1236" spans="1:11" ht="25.5" x14ac:dyDescent="0.25">
      <c r="A1236" s="22">
        <v>2026</v>
      </c>
      <c r="B1236" s="28" t="s">
        <v>183</v>
      </c>
      <c r="C1236" s="28" t="s">
        <v>97</v>
      </c>
      <c r="D1236" s="28" t="s">
        <v>1712</v>
      </c>
      <c r="E1236" s="29" t="s">
        <v>1712</v>
      </c>
      <c r="F1236" s="29" t="s">
        <v>325</v>
      </c>
      <c r="G1236" s="25" t="s">
        <v>3021</v>
      </c>
      <c r="H1236" s="26">
        <v>-6.2692139999999993E-2</v>
      </c>
      <c r="I1236" s="26"/>
      <c r="J1236" s="26" t="s">
        <v>512</v>
      </c>
      <c r="K1236" s="25" t="s">
        <v>513</v>
      </c>
    </row>
    <row r="1237" spans="1:11" ht="25.5" x14ac:dyDescent="0.25">
      <c r="A1237" s="22">
        <v>2026</v>
      </c>
      <c r="B1237" s="28" t="s">
        <v>183</v>
      </c>
      <c r="C1237" s="28" t="s">
        <v>97</v>
      </c>
      <c r="D1237" s="28" t="s">
        <v>1712</v>
      </c>
      <c r="E1237" s="29" t="s">
        <v>1712</v>
      </c>
      <c r="F1237" s="29" t="s">
        <v>325</v>
      </c>
      <c r="G1237" s="25" t="s">
        <v>3022</v>
      </c>
      <c r="H1237" s="26">
        <v>-4.1112679999999999E-2</v>
      </c>
      <c r="I1237" s="26"/>
      <c r="J1237" s="26" t="s">
        <v>512</v>
      </c>
      <c r="K1237" s="25" t="s">
        <v>513</v>
      </c>
    </row>
    <row r="1238" spans="1:11" ht="25.5" x14ac:dyDescent="0.25">
      <c r="A1238" s="22">
        <v>2026</v>
      </c>
      <c r="B1238" s="28" t="s">
        <v>183</v>
      </c>
      <c r="C1238" s="28" t="s">
        <v>97</v>
      </c>
      <c r="D1238" s="28" t="s">
        <v>1712</v>
      </c>
      <c r="E1238" s="29" t="s">
        <v>1712</v>
      </c>
      <c r="F1238" s="29" t="s">
        <v>325</v>
      </c>
      <c r="G1238" s="25" t="s">
        <v>3023</v>
      </c>
      <c r="H1238" s="26">
        <v>-3.6811860000000002E-2</v>
      </c>
      <c r="I1238" s="26"/>
      <c r="J1238" s="26" t="s">
        <v>512</v>
      </c>
      <c r="K1238" s="25" t="s">
        <v>513</v>
      </c>
    </row>
    <row r="1239" spans="1:11" ht="25.5" x14ac:dyDescent="0.25">
      <c r="A1239" s="22">
        <v>2026</v>
      </c>
      <c r="B1239" s="28" t="s">
        <v>183</v>
      </c>
      <c r="C1239" s="28" t="s">
        <v>97</v>
      </c>
      <c r="D1239" s="28" t="s">
        <v>1712</v>
      </c>
      <c r="E1239" s="29" t="s">
        <v>1712</v>
      </c>
      <c r="F1239" s="29" t="s">
        <v>325</v>
      </c>
      <c r="G1239" s="25" t="s">
        <v>3024</v>
      </c>
      <c r="H1239" s="26">
        <v>-3.5513280000000001E-2</v>
      </c>
      <c r="I1239" s="26"/>
      <c r="J1239" s="26" t="s">
        <v>512</v>
      </c>
      <c r="K1239" s="25" t="s">
        <v>513</v>
      </c>
    </row>
    <row r="1240" spans="1:11" ht="25.5" x14ac:dyDescent="0.25">
      <c r="A1240" s="22">
        <v>2026</v>
      </c>
      <c r="B1240" s="28" t="s">
        <v>183</v>
      </c>
      <c r="C1240" s="28" t="s">
        <v>97</v>
      </c>
      <c r="D1240" s="28" t="s">
        <v>1712</v>
      </c>
      <c r="E1240" s="29" t="s">
        <v>1712</v>
      </c>
      <c r="F1240" s="29" t="s">
        <v>325</v>
      </c>
      <c r="G1240" s="25" t="s">
        <v>3025</v>
      </c>
      <c r="H1240" s="26">
        <v>-3.6629120000000001E-2</v>
      </c>
      <c r="I1240" s="26"/>
      <c r="J1240" s="26" t="s">
        <v>512</v>
      </c>
      <c r="K1240" s="25" t="s">
        <v>513</v>
      </c>
    </row>
    <row r="1241" spans="1:11" ht="25.5" x14ac:dyDescent="0.25">
      <c r="A1241" s="22">
        <v>2026</v>
      </c>
      <c r="B1241" s="28" t="s">
        <v>183</v>
      </c>
      <c r="C1241" s="28" t="s">
        <v>97</v>
      </c>
      <c r="D1241" s="28" t="s">
        <v>1712</v>
      </c>
      <c r="E1241" s="29" t="s">
        <v>1712</v>
      </c>
      <c r="F1241" s="29" t="s">
        <v>325</v>
      </c>
      <c r="G1241" s="25" t="s">
        <v>3026</v>
      </c>
      <c r="H1241" s="26">
        <v>-3.5388879999999998E-2</v>
      </c>
      <c r="I1241" s="26"/>
      <c r="J1241" s="26" t="s">
        <v>512</v>
      </c>
      <c r="K1241" s="25" t="s">
        <v>513</v>
      </c>
    </row>
    <row r="1242" spans="1:11" ht="25.5" x14ac:dyDescent="0.25">
      <c r="A1242" s="22">
        <v>2026</v>
      </c>
      <c r="B1242" s="28" t="s">
        <v>183</v>
      </c>
      <c r="C1242" s="28" t="s">
        <v>97</v>
      </c>
      <c r="D1242" s="28" t="s">
        <v>1712</v>
      </c>
      <c r="E1242" s="29" t="s">
        <v>1712</v>
      </c>
      <c r="F1242" s="29" t="s">
        <v>325</v>
      </c>
      <c r="G1242" s="25" t="s">
        <v>3027</v>
      </c>
      <c r="H1242" s="26">
        <v>-3.588123E-2</v>
      </c>
      <c r="I1242" s="26"/>
      <c r="J1242" s="26" t="s">
        <v>512</v>
      </c>
      <c r="K1242" s="25" t="s">
        <v>513</v>
      </c>
    </row>
    <row r="1243" spans="1:11" ht="25.5" x14ac:dyDescent="0.25">
      <c r="A1243" s="22">
        <v>2026</v>
      </c>
      <c r="B1243" s="28" t="s">
        <v>183</v>
      </c>
      <c r="C1243" s="28" t="s">
        <v>97</v>
      </c>
      <c r="D1243" s="28" t="s">
        <v>1712</v>
      </c>
      <c r="E1243" s="29" t="s">
        <v>1712</v>
      </c>
      <c r="F1243" s="29" t="s">
        <v>325</v>
      </c>
      <c r="G1243" s="25" t="s">
        <v>3028</v>
      </c>
      <c r="H1243" s="26">
        <v>-3.9077305E-2</v>
      </c>
      <c r="I1243" s="26"/>
      <c r="J1243" s="26" t="s">
        <v>512</v>
      </c>
      <c r="K1243" s="25" t="s">
        <v>513</v>
      </c>
    </row>
    <row r="1244" spans="1:11" ht="25.5" x14ac:dyDescent="0.25">
      <c r="A1244" s="22">
        <v>2026</v>
      </c>
      <c r="B1244" s="28" t="s">
        <v>183</v>
      </c>
      <c r="C1244" s="28" t="s">
        <v>97</v>
      </c>
      <c r="D1244" s="28" t="s">
        <v>1712</v>
      </c>
      <c r="E1244" s="29" t="s">
        <v>1712</v>
      </c>
      <c r="F1244" s="29" t="s">
        <v>325</v>
      </c>
      <c r="G1244" s="25" t="s">
        <v>3029</v>
      </c>
      <c r="H1244" s="26">
        <v>-3.7864299999999997E-2</v>
      </c>
      <c r="I1244" s="26"/>
      <c r="J1244" s="26" t="s">
        <v>512</v>
      </c>
      <c r="K1244" s="25" t="s">
        <v>513</v>
      </c>
    </row>
    <row r="1245" spans="1:11" ht="25.5" x14ac:dyDescent="0.25">
      <c r="A1245" s="22">
        <v>2026</v>
      </c>
      <c r="B1245" s="28" t="s">
        <v>183</v>
      </c>
      <c r="C1245" s="28" t="s">
        <v>97</v>
      </c>
      <c r="D1245" s="28" t="s">
        <v>1712</v>
      </c>
      <c r="E1245" s="29" t="s">
        <v>1712</v>
      </c>
      <c r="F1245" s="29" t="s">
        <v>325</v>
      </c>
      <c r="G1245" s="25" t="s">
        <v>3030</v>
      </c>
      <c r="H1245" s="26">
        <v>-3.6337799999999996E-2</v>
      </c>
      <c r="I1245" s="26"/>
      <c r="J1245" s="26" t="s">
        <v>512</v>
      </c>
      <c r="K1245" s="25" t="s">
        <v>513</v>
      </c>
    </row>
    <row r="1246" spans="1:11" ht="25.5" x14ac:dyDescent="0.25">
      <c r="A1246" s="22">
        <v>2026</v>
      </c>
      <c r="B1246" s="28" t="s">
        <v>183</v>
      </c>
      <c r="C1246" s="28" t="s">
        <v>97</v>
      </c>
      <c r="D1246" s="28" t="s">
        <v>1712</v>
      </c>
      <c r="E1246" s="29" t="s">
        <v>1712</v>
      </c>
      <c r="F1246" s="29" t="s">
        <v>325</v>
      </c>
      <c r="G1246" s="25" t="s">
        <v>3031</v>
      </c>
      <c r="H1246" s="26">
        <v>-3.5627174999999997E-2</v>
      </c>
      <c r="I1246" s="26"/>
      <c r="J1246" s="26" t="s">
        <v>512</v>
      </c>
      <c r="K1246" s="25" t="s">
        <v>513</v>
      </c>
    </row>
    <row r="1247" spans="1:11" ht="25.5" x14ac:dyDescent="0.25">
      <c r="A1247" s="22">
        <v>2026</v>
      </c>
      <c r="B1247" s="28" t="s">
        <v>183</v>
      </c>
      <c r="C1247" s="28" t="s">
        <v>97</v>
      </c>
      <c r="D1247" s="28" t="s">
        <v>1712</v>
      </c>
      <c r="E1247" s="29" t="s">
        <v>1712</v>
      </c>
      <c r="F1247" s="29" t="s">
        <v>325</v>
      </c>
      <c r="G1247" s="25" t="s">
        <v>3032</v>
      </c>
      <c r="H1247" s="26">
        <v>-2.1357000000000001E-2</v>
      </c>
      <c r="I1247" s="26"/>
      <c r="J1247" s="26" t="s">
        <v>512</v>
      </c>
      <c r="K1247" s="25" t="s">
        <v>513</v>
      </c>
    </row>
    <row r="1248" spans="1:11" ht="25.5" x14ac:dyDescent="0.25">
      <c r="A1248" s="22">
        <v>2026</v>
      </c>
      <c r="B1248" s="28" t="s">
        <v>183</v>
      </c>
      <c r="C1248" s="28" t="s">
        <v>97</v>
      </c>
      <c r="D1248" s="28" t="s">
        <v>1712</v>
      </c>
      <c r="E1248" s="29" t="s">
        <v>1712</v>
      </c>
      <c r="F1248" s="29" t="s">
        <v>325</v>
      </c>
      <c r="G1248" s="25" t="s">
        <v>3033</v>
      </c>
      <c r="H1248" s="26">
        <v>-1.6954E-2</v>
      </c>
      <c r="I1248" s="26"/>
      <c r="J1248" s="26" t="s">
        <v>512</v>
      </c>
      <c r="K1248" s="25" t="s">
        <v>513</v>
      </c>
    </row>
    <row r="1249" spans="1:11" ht="25.5" x14ac:dyDescent="0.25">
      <c r="A1249" s="22">
        <v>2026</v>
      </c>
      <c r="B1249" s="28" t="s">
        <v>183</v>
      </c>
      <c r="C1249" s="28" t="s">
        <v>97</v>
      </c>
      <c r="D1249" s="28" t="s">
        <v>250</v>
      </c>
      <c r="E1249" s="29" t="s">
        <v>463</v>
      </c>
      <c r="F1249" s="29" t="s">
        <v>325</v>
      </c>
      <c r="G1249" s="25" t="s">
        <v>3034</v>
      </c>
      <c r="H1249" s="26">
        <v>-3.3049916700000001E-2</v>
      </c>
      <c r="I1249" s="26"/>
      <c r="J1249" s="26" t="s">
        <v>512</v>
      </c>
      <c r="K1249" s="25" t="s">
        <v>513</v>
      </c>
    </row>
    <row r="1250" spans="1:11" ht="25.5" x14ac:dyDescent="0.25">
      <c r="A1250" s="22">
        <v>2026</v>
      </c>
      <c r="B1250" s="28" t="s">
        <v>183</v>
      </c>
      <c r="C1250" s="28" t="s">
        <v>97</v>
      </c>
      <c r="D1250" s="28" t="s">
        <v>250</v>
      </c>
      <c r="E1250" s="29" t="s">
        <v>463</v>
      </c>
      <c r="F1250" s="29" t="s">
        <v>325</v>
      </c>
      <c r="G1250" s="25" t="s">
        <v>3035</v>
      </c>
      <c r="H1250" s="26">
        <v>-1.3487232</v>
      </c>
      <c r="I1250" s="26"/>
      <c r="J1250" s="26" t="s">
        <v>512</v>
      </c>
      <c r="K1250" s="25" t="s">
        <v>513</v>
      </c>
    </row>
    <row r="1251" spans="1:11" ht="25.5" x14ac:dyDescent="0.25">
      <c r="A1251" s="22">
        <v>2026</v>
      </c>
      <c r="B1251" s="28" t="s">
        <v>183</v>
      </c>
      <c r="C1251" s="28" t="s">
        <v>97</v>
      </c>
      <c r="D1251" s="28" t="s">
        <v>250</v>
      </c>
      <c r="E1251" s="29" t="s">
        <v>463</v>
      </c>
      <c r="F1251" s="29" t="s">
        <v>325</v>
      </c>
      <c r="G1251" s="25" t="s">
        <v>3036</v>
      </c>
      <c r="H1251" s="26">
        <v>-0.87839281199999997</v>
      </c>
      <c r="I1251" s="26"/>
      <c r="J1251" s="26" t="s">
        <v>512</v>
      </c>
      <c r="K1251" s="25" t="s">
        <v>513</v>
      </c>
    </row>
    <row r="1252" spans="1:11" ht="25.5" x14ac:dyDescent="0.25">
      <c r="A1252" s="22">
        <v>2026</v>
      </c>
      <c r="B1252" s="28" t="s">
        <v>183</v>
      </c>
      <c r="C1252" s="28" t="s">
        <v>97</v>
      </c>
      <c r="D1252" s="28" t="s">
        <v>250</v>
      </c>
      <c r="E1252" s="29" t="s">
        <v>463</v>
      </c>
      <c r="F1252" s="29" t="s">
        <v>325</v>
      </c>
      <c r="G1252" s="25" t="s">
        <v>3037</v>
      </c>
      <c r="H1252" s="26">
        <v>-0.25800593719999998</v>
      </c>
      <c r="I1252" s="26"/>
      <c r="J1252" s="26" t="s">
        <v>512</v>
      </c>
      <c r="K1252" s="25" t="s">
        <v>513</v>
      </c>
    </row>
    <row r="1253" spans="1:11" ht="25.5" x14ac:dyDescent="0.25">
      <c r="A1253" s="22">
        <v>2026</v>
      </c>
      <c r="B1253" s="28" t="s">
        <v>183</v>
      </c>
      <c r="C1253" s="28" t="s">
        <v>97</v>
      </c>
      <c r="D1253" s="28" t="s">
        <v>250</v>
      </c>
      <c r="E1253" s="29" t="s">
        <v>463</v>
      </c>
      <c r="F1253" s="29" t="s">
        <v>325</v>
      </c>
      <c r="G1253" s="25" t="s">
        <v>3038</v>
      </c>
      <c r="H1253" s="26">
        <v>-0.5762229593999999</v>
      </c>
      <c r="I1253" s="26"/>
      <c r="J1253" s="26" t="s">
        <v>512</v>
      </c>
      <c r="K1253" s="25" t="s">
        <v>513</v>
      </c>
    </row>
    <row r="1254" spans="1:11" ht="25.5" x14ac:dyDescent="0.25">
      <c r="A1254" s="22">
        <v>2026</v>
      </c>
      <c r="B1254" s="28" t="s">
        <v>183</v>
      </c>
      <c r="C1254" s="28" t="s">
        <v>97</v>
      </c>
      <c r="D1254" s="28" t="s">
        <v>250</v>
      </c>
      <c r="E1254" s="29" t="s">
        <v>463</v>
      </c>
      <c r="F1254" s="29" t="s">
        <v>325</v>
      </c>
      <c r="G1254" s="25" t="s">
        <v>3039</v>
      </c>
      <c r="H1254" s="26">
        <v>-0.22492743309999999</v>
      </c>
      <c r="I1254" s="26"/>
      <c r="J1254" s="26" t="s">
        <v>512</v>
      </c>
      <c r="K1254" s="25" t="s">
        <v>513</v>
      </c>
    </row>
    <row r="1255" spans="1:11" ht="25.5" x14ac:dyDescent="0.25">
      <c r="A1255" s="22">
        <v>2026</v>
      </c>
      <c r="B1255" s="28" t="s">
        <v>183</v>
      </c>
      <c r="C1255" s="28" t="s">
        <v>97</v>
      </c>
      <c r="D1255" s="28" t="s">
        <v>250</v>
      </c>
      <c r="E1255" s="29" t="s">
        <v>463</v>
      </c>
      <c r="F1255" s="29" t="s">
        <v>325</v>
      </c>
      <c r="G1255" s="25" t="s">
        <v>3040</v>
      </c>
      <c r="H1255" s="26">
        <v>-0.32329640639999996</v>
      </c>
      <c r="I1255" s="26"/>
      <c r="J1255" s="26" t="s">
        <v>512</v>
      </c>
      <c r="K1255" s="25" t="s">
        <v>513</v>
      </c>
    </row>
    <row r="1256" spans="1:11" ht="25.5" x14ac:dyDescent="0.25">
      <c r="A1256" s="22">
        <v>2026</v>
      </c>
      <c r="B1256" s="28" t="s">
        <v>183</v>
      </c>
      <c r="C1256" s="28" t="s">
        <v>97</v>
      </c>
      <c r="D1256" s="28" t="s">
        <v>250</v>
      </c>
      <c r="E1256" s="29" t="s">
        <v>463</v>
      </c>
      <c r="F1256" s="29" t="s">
        <v>325</v>
      </c>
      <c r="G1256" s="25" t="s">
        <v>3041</v>
      </c>
      <c r="H1256" s="26">
        <v>-1.2457535</v>
      </c>
      <c r="I1256" s="26"/>
      <c r="J1256" s="26" t="s">
        <v>512</v>
      </c>
      <c r="K1256" s="25" t="s">
        <v>513</v>
      </c>
    </row>
    <row r="1257" spans="1:11" ht="25.5" x14ac:dyDescent="0.25">
      <c r="A1257" s="22">
        <v>2026</v>
      </c>
      <c r="B1257" s="28" t="s">
        <v>183</v>
      </c>
      <c r="C1257" s="28" t="s">
        <v>97</v>
      </c>
      <c r="D1257" s="28" t="s">
        <v>250</v>
      </c>
      <c r="E1257" s="29" t="s">
        <v>463</v>
      </c>
      <c r="F1257" s="29" t="s">
        <v>325</v>
      </c>
      <c r="G1257" s="25" t="s">
        <v>3042</v>
      </c>
      <c r="H1257" s="26">
        <v>-0.240370578</v>
      </c>
      <c r="I1257" s="26"/>
      <c r="J1257" s="26" t="s">
        <v>512</v>
      </c>
      <c r="K1257" s="25" t="s">
        <v>513</v>
      </c>
    </row>
    <row r="1258" spans="1:11" ht="25.5" x14ac:dyDescent="0.25">
      <c r="A1258" s="22">
        <v>2026</v>
      </c>
      <c r="B1258" s="28" t="s">
        <v>183</v>
      </c>
      <c r="C1258" s="28" t="s">
        <v>97</v>
      </c>
      <c r="D1258" s="28" t="s">
        <v>250</v>
      </c>
      <c r="E1258" s="29" t="s">
        <v>463</v>
      </c>
      <c r="F1258" s="29" t="s">
        <v>325</v>
      </c>
      <c r="G1258" s="25" t="s">
        <v>3043</v>
      </c>
      <c r="H1258" s="26">
        <v>-8.2037244000000009E-2</v>
      </c>
      <c r="I1258" s="26"/>
      <c r="J1258" s="26" t="s">
        <v>512</v>
      </c>
      <c r="K1258" s="25" t="s">
        <v>513</v>
      </c>
    </row>
    <row r="1259" spans="1:11" ht="25.5" x14ac:dyDescent="0.25">
      <c r="A1259" s="22">
        <v>2026</v>
      </c>
      <c r="B1259" s="28" t="s">
        <v>183</v>
      </c>
      <c r="C1259" s="28" t="s">
        <v>97</v>
      </c>
      <c r="D1259" s="28" t="s">
        <v>250</v>
      </c>
      <c r="E1259" s="29" t="s">
        <v>463</v>
      </c>
      <c r="F1259" s="29" t="s">
        <v>325</v>
      </c>
      <c r="G1259" s="25" t="s">
        <v>3044</v>
      </c>
      <c r="H1259" s="26">
        <v>-0.12170889360000001</v>
      </c>
      <c r="I1259" s="26"/>
      <c r="J1259" s="26" t="s">
        <v>512</v>
      </c>
      <c r="K1259" s="25" t="s">
        <v>513</v>
      </c>
    </row>
    <row r="1260" spans="1:11" ht="25.5" x14ac:dyDescent="0.25">
      <c r="A1260" s="22">
        <v>2026</v>
      </c>
      <c r="B1260" s="28" t="s">
        <v>183</v>
      </c>
      <c r="C1260" s="28" t="s">
        <v>97</v>
      </c>
      <c r="D1260" s="28" t="s">
        <v>250</v>
      </c>
      <c r="E1260" s="29" t="s">
        <v>463</v>
      </c>
      <c r="F1260" s="29" t="s">
        <v>325</v>
      </c>
      <c r="G1260" s="25" t="s">
        <v>3045</v>
      </c>
      <c r="H1260" s="26">
        <v>-0.37409999999999999</v>
      </c>
      <c r="I1260" s="26"/>
      <c r="J1260" s="26" t="s">
        <v>512</v>
      </c>
      <c r="K1260" s="25" t="s">
        <v>513</v>
      </c>
    </row>
    <row r="1261" spans="1:11" ht="25.5" x14ac:dyDescent="0.25">
      <c r="A1261" s="22">
        <v>2026</v>
      </c>
      <c r="B1261" s="28" t="s">
        <v>183</v>
      </c>
      <c r="C1261" s="28" t="s">
        <v>97</v>
      </c>
      <c r="D1261" s="28" t="s">
        <v>250</v>
      </c>
      <c r="E1261" s="29" t="s">
        <v>463</v>
      </c>
      <c r="F1261" s="29" t="s">
        <v>325</v>
      </c>
      <c r="G1261" s="25" t="s">
        <v>3046</v>
      </c>
      <c r="H1261" s="26">
        <v>-0.15070885830000003</v>
      </c>
      <c r="I1261" s="26"/>
      <c r="J1261" s="26" t="s">
        <v>512</v>
      </c>
      <c r="K1261" s="25" t="s">
        <v>513</v>
      </c>
    </row>
    <row r="1262" spans="1:11" ht="25.5" x14ac:dyDescent="0.25">
      <c r="A1262" s="22">
        <v>2026</v>
      </c>
      <c r="B1262" s="28" t="s">
        <v>183</v>
      </c>
      <c r="C1262" s="28" t="s">
        <v>97</v>
      </c>
      <c r="D1262" s="28" t="s">
        <v>250</v>
      </c>
      <c r="E1262" s="29" t="s">
        <v>463</v>
      </c>
      <c r="F1262" s="29" t="s">
        <v>325</v>
      </c>
      <c r="G1262" s="25" t="s">
        <v>3047</v>
      </c>
      <c r="H1262" s="26">
        <v>-5.4968561999999999E-2</v>
      </c>
      <c r="I1262" s="26"/>
      <c r="J1262" s="26" t="s">
        <v>512</v>
      </c>
      <c r="K1262" s="25" t="s">
        <v>513</v>
      </c>
    </row>
    <row r="1263" spans="1:11" ht="25.5" x14ac:dyDescent="0.25">
      <c r="A1263" s="22">
        <v>2026</v>
      </c>
      <c r="B1263" s="28" t="s">
        <v>183</v>
      </c>
      <c r="C1263" s="28" t="s">
        <v>97</v>
      </c>
      <c r="D1263" s="28" t="s">
        <v>250</v>
      </c>
      <c r="E1263" s="29" t="s">
        <v>463</v>
      </c>
      <c r="F1263" s="29" t="s">
        <v>325</v>
      </c>
      <c r="G1263" s="25" t="s">
        <v>3048</v>
      </c>
      <c r="H1263" s="26">
        <v>-0.14123706480000001</v>
      </c>
      <c r="I1263" s="26"/>
      <c r="J1263" s="26" t="s">
        <v>512</v>
      </c>
      <c r="K1263" s="25" t="s">
        <v>513</v>
      </c>
    </row>
    <row r="1264" spans="1:11" ht="25.5" x14ac:dyDescent="0.25">
      <c r="A1264" s="22">
        <v>2026</v>
      </c>
      <c r="B1264" s="28" t="s">
        <v>183</v>
      </c>
      <c r="C1264" s="28" t="s">
        <v>97</v>
      </c>
      <c r="D1264" s="28" t="s">
        <v>250</v>
      </c>
      <c r="E1264" s="29" t="s">
        <v>463</v>
      </c>
      <c r="F1264" s="29" t="s">
        <v>325</v>
      </c>
      <c r="G1264" s="25" t="s">
        <v>3049</v>
      </c>
      <c r="H1264" s="26">
        <v>-7.4074057500000012E-2</v>
      </c>
      <c r="I1264" s="26"/>
      <c r="J1264" s="26" t="s">
        <v>512</v>
      </c>
      <c r="K1264" s="25" t="s">
        <v>513</v>
      </c>
    </row>
    <row r="1265" spans="1:11" ht="25.5" x14ac:dyDescent="0.25">
      <c r="A1265" s="22">
        <v>2026</v>
      </c>
      <c r="B1265" s="28" t="s">
        <v>183</v>
      </c>
      <c r="C1265" s="28" t="s">
        <v>97</v>
      </c>
      <c r="D1265" s="28" t="s">
        <v>250</v>
      </c>
      <c r="E1265" s="29" t="s">
        <v>463</v>
      </c>
      <c r="F1265" s="29" t="s">
        <v>325</v>
      </c>
      <c r="G1265" s="25" t="s">
        <v>3050</v>
      </c>
      <c r="H1265" s="26">
        <v>-7.06293952E-2</v>
      </c>
      <c r="I1265" s="26"/>
      <c r="J1265" s="26" t="s">
        <v>512</v>
      </c>
      <c r="K1265" s="25" t="s">
        <v>513</v>
      </c>
    </row>
    <row r="1266" spans="1:11" ht="25.5" x14ac:dyDescent="0.25">
      <c r="A1266" s="22">
        <v>2026</v>
      </c>
      <c r="B1266" s="28" t="s">
        <v>183</v>
      </c>
      <c r="C1266" s="28" t="s">
        <v>97</v>
      </c>
      <c r="D1266" s="28" t="s">
        <v>250</v>
      </c>
      <c r="E1266" s="29" t="s">
        <v>463</v>
      </c>
      <c r="F1266" s="29" t="s">
        <v>325</v>
      </c>
      <c r="G1266" s="25" t="s">
        <v>3051</v>
      </c>
      <c r="H1266" s="26">
        <v>-1.7690399999999998E-2</v>
      </c>
      <c r="I1266" s="26"/>
      <c r="J1266" s="26" t="s">
        <v>512</v>
      </c>
      <c r="K1266" s="25" t="s">
        <v>513</v>
      </c>
    </row>
    <row r="1267" spans="1:11" ht="25.5" x14ac:dyDescent="0.25">
      <c r="A1267" s="22">
        <v>2026</v>
      </c>
      <c r="B1267" s="28" t="s">
        <v>183</v>
      </c>
      <c r="C1267" s="28" t="s">
        <v>97</v>
      </c>
      <c r="D1267" s="28" t="s">
        <v>250</v>
      </c>
      <c r="E1267" s="29" t="s">
        <v>463</v>
      </c>
      <c r="F1267" s="29" t="s">
        <v>325</v>
      </c>
      <c r="G1267" s="25" t="s">
        <v>3052</v>
      </c>
      <c r="H1267" s="26">
        <v>-2.9828018599999999E-2</v>
      </c>
      <c r="I1267" s="26"/>
      <c r="J1267" s="26" t="s">
        <v>512</v>
      </c>
      <c r="K1267" s="25" t="s">
        <v>513</v>
      </c>
    </row>
    <row r="1268" spans="1:11" ht="25.5" x14ac:dyDescent="0.25">
      <c r="A1268" s="22">
        <v>2026</v>
      </c>
      <c r="B1268" s="28" t="s">
        <v>183</v>
      </c>
      <c r="C1268" s="28" t="s">
        <v>97</v>
      </c>
      <c r="D1268" s="28" t="s">
        <v>250</v>
      </c>
      <c r="E1268" s="29" t="s">
        <v>463</v>
      </c>
      <c r="F1268" s="29" t="s">
        <v>325</v>
      </c>
      <c r="G1268" s="25" t="s">
        <v>3053</v>
      </c>
      <c r="H1268" s="26">
        <v>-0.11288860000000001</v>
      </c>
      <c r="I1268" s="26"/>
      <c r="J1268" s="26" t="s">
        <v>512</v>
      </c>
      <c r="K1268" s="25" t="s">
        <v>513</v>
      </c>
    </row>
    <row r="1269" spans="1:11" ht="25.5" x14ac:dyDescent="0.25">
      <c r="A1269" s="22">
        <v>2026</v>
      </c>
      <c r="B1269" s="28" t="s">
        <v>183</v>
      </c>
      <c r="C1269" s="28" t="s">
        <v>97</v>
      </c>
      <c r="D1269" s="28" t="s">
        <v>200</v>
      </c>
      <c r="E1269" s="29" t="s">
        <v>365</v>
      </c>
      <c r="F1269" s="29" t="s">
        <v>332</v>
      </c>
      <c r="G1269" s="25" t="s">
        <v>3054</v>
      </c>
      <c r="H1269" s="26">
        <v>-0.26039499999999999</v>
      </c>
      <c r="I1269" s="26"/>
      <c r="J1269" s="26" t="s">
        <v>514</v>
      </c>
      <c r="K1269" s="25" t="s">
        <v>513</v>
      </c>
    </row>
    <row r="1270" spans="1:11" ht="25.5" x14ac:dyDescent="0.25">
      <c r="A1270" s="22">
        <v>2026</v>
      </c>
      <c r="B1270" s="28" t="s">
        <v>183</v>
      </c>
      <c r="C1270" s="28" t="s">
        <v>97</v>
      </c>
      <c r="D1270" s="28" t="s">
        <v>200</v>
      </c>
      <c r="E1270" s="29" t="s">
        <v>365</v>
      </c>
      <c r="F1270" s="29" t="s">
        <v>332</v>
      </c>
      <c r="G1270" s="25" t="s">
        <v>3055</v>
      </c>
      <c r="H1270" s="26">
        <v>-0.25517000000000001</v>
      </c>
      <c r="I1270" s="26"/>
      <c r="J1270" s="26" t="s">
        <v>514</v>
      </c>
      <c r="K1270" s="25" t="s">
        <v>513</v>
      </c>
    </row>
    <row r="1271" spans="1:11" ht="25.5" x14ac:dyDescent="0.25">
      <c r="A1271" s="22">
        <v>2026</v>
      </c>
      <c r="B1271" s="28" t="s">
        <v>183</v>
      </c>
      <c r="C1271" s="28" t="s">
        <v>97</v>
      </c>
      <c r="D1271" s="28" t="s">
        <v>200</v>
      </c>
      <c r="E1271" s="29" t="s">
        <v>365</v>
      </c>
      <c r="F1271" s="29" t="s">
        <v>332</v>
      </c>
      <c r="G1271" s="25" t="s">
        <v>3056</v>
      </c>
      <c r="H1271" s="26">
        <v>-0.2472925</v>
      </c>
      <c r="I1271" s="26"/>
      <c r="J1271" s="26" t="s">
        <v>514</v>
      </c>
      <c r="K1271" s="25" t="s">
        <v>513</v>
      </c>
    </row>
    <row r="1272" spans="1:11" ht="25.5" x14ac:dyDescent="0.25">
      <c r="A1272" s="22">
        <v>2026</v>
      </c>
      <c r="B1272" s="28" t="s">
        <v>183</v>
      </c>
      <c r="C1272" s="28" t="s">
        <v>97</v>
      </c>
      <c r="D1272" s="28" t="s">
        <v>200</v>
      </c>
      <c r="E1272" s="29" t="s">
        <v>365</v>
      </c>
      <c r="F1272" s="29" t="s">
        <v>332</v>
      </c>
      <c r="G1272" s="25" t="s">
        <v>3057</v>
      </c>
      <c r="H1272" s="26">
        <v>-0.24324000000000001</v>
      </c>
      <c r="I1272" s="26"/>
      <c r="J1272" s="26" t="s">
        <v>514</v>
      </c>
      <c r="K1272" s="25" t="s">
        <v>513</v>
      </c>
    </row>
    <row r="1273" spans="1:11" ht="25.5" x14ac:dyDescent="0.25">
      <c r="A1273" s="22">
        <v>2026</v>
      </c>
      <c r="B1273" s="28" t="s">
        <v>183</v>
      </c>
      <c r="C1273" s="28" t="s">
        <v>97</v>
      </c>
      <c r="D1273" s="28" t="s">
        <v>200</v>
      </c>
      <c r="E1273" s="29" t="s">
        <v>365</v>
      </c>
      <c r="F1273" s="29" t="s">
        <v>332</v>
      </c>
      <c r="G1273" s="25" t="s">
        <v>3058</v>
      </c>
      <c r="H1273" s="26">
        <v>-0.2442425</v>
      </c>
      <c r="I1273" s="26"/>
      <c r="J1273" s="26" t="s">
        <v>514</v>
      </c>
      <c r="K1273" s="25" t="s">
        <v>513</v>
      </c>
    </row>
    <row r="1274" spans="1:11" ht="25.5" x14ac:dyDescent="0.25">
      <c r="A1274" s="22">
        <v>2026</v>
      </c>
      <c r="B1274" s="28" t="s">
        <v>183</v>
      </c>
      <c r="C1274" s="28" t="s">
        <v>97</v>
      </c>
      <c r="D1274" s="28" t="s">
        <v>200</v>
      </c>
      <c r="E1274" s="29" t="s">
        <v>365</v>
      </c>
      <c r="F1274" s="29" t="s">
        <v>332</v>
      </c>
      <c r="G1274" s="25" t="s">
        <v>3059</v>
      </c>
      <c r="H1274" s="26">
        <v>-0.24513750000000001</v>
      </c>
      <c r="I1274" s="26"/>
      <c r="J1274" s="26" t="s">
        <v>514</v>
      </c>
      <c r="K1274" s="25" t="s">
        <v>513</v>
      </c>
    </row>
    <row r="1275" spans="1:11" ht="25.5" x14ac:dyDescent="0.25">
      <c r="A1275" s="22">
        <v>2026</v>
      </c>
      <c r="B1275" s="28" t="s">
        <v>183</v>
      </c>
      <c r="C1275" s="28" t="s">
        <v>97</v>
      </c>
      <c r="D1275" s="28" t="s">
        <v>200</v>
      </c>
      <c r="E1275" s="29" t="s">
        <v>365</v>
      </c>
      <c r="F1275" s="29" t="s">
        <v>332</v>
      </c>
      <c r="G1275" s="25" t="s">
        <v>3060</v>
      </c>
      <c r="H1275" s="26">
        <v>-0.24680250000000001</v>
      </c>
      <c r="I1275" s="26"/>
      <c r="J1275" s="26" t="s">
        <v>514</v>
      </c>
      <c r="K1275" s="25" t="s">
        <v>513</v>
      </c>
    </row>
    <row r="1276" spans="1:11" ht="25.5" x14ac:dyDescent="0.25">
      <c r="A1276" s="22">
        <v>2026</v>
      </c>
      <c r="B1276" s="28" t="s">
        <v>183</v>
      </c>
      <c r="C1276" s="28" t="s">
        <v>97</v>
      </c>
      <c r="D1276" s="28" t="s">
        <v>200</v>
      </c>
      <c r="E1276" s="29" t="s">
        <v>365</v>
      </c>
      <c r="F1276" s="29" t="s">
        <v>332</v>
      </c>
      <c r="G1276" s="25" t="s">
        <v>3061</v>
      </c>
      <c r="H1276" s="26">
        <v>-0.2456525</v>
      </c>
      <c r="I1276" s="26"/>
      <c r="J1276" s="26" t="s">
        <v>514</v>
      </c>
      <c r="K1276" s="25" t="s">
        <v>513</v>
      </c>
    </row>
    <row r="1277" spans="1:11" ht="25.5" x14ac:dyDescent="0.25">
      <c r="A1277" s="22">
        <v>2026</v>
      </c>
      <c r="B1277" s="28" t="s">
        <v>183</v>
      </c>
      <c r="C1277" s="28" t="s">
        <v>97</v>
      </c>
      <c r="D1277" s="28" t="s">
        <v>200</v>
      </c>
      <c r="E1277" s="29" t="s">
        <v>365</v>
      </c>
      <c r="F1277" s="29" t="s">
        <v>332</v>
      </c>
      <c r="G1277" s="25" t="s">
        <v>3062</v>
      </c>
      <c r="H1277" s="26">
        <v>-0.24331749999999999</v>
      </c>
      <c r="I1277" s="26"/>
      <c r="J1277" s="26" t="s">
        <v>514</v>
      </c>
      <c r="K1277" s="25" t="s">
        <v>513</v>
      </c>
    </row>
    <row r="1278" spans="1:11" ht="25.5" x14ac:dyDescent="0.25">
      <c r="A1278" s="22">
        <v>2026</v>
      </c>
      <c r="B1278" s="28" t="s">
        <v>183</v>
      </c>
      <c r="C1278" s="28" t="s">
        <v>97</v>
      </c>
      <c r="D1278" s="28" t="s">
        <v>200</v>
      </c>
      <c r="E1278" s="29" t="s">
        <v>365</v>
      </c>
      <c r="F1278" s="29" t="s">
        <v>332</v>
      </c>
      <c r="G1278" s="25" t="s">
        <v>3063</v>
      </c>
      <c r="H1278" s="26">
        <v>-0.2409625</v>
      </c>
      <c r="I1278" s="26"/>
      <c r="J1278" s="26" t="s">
        <v>514</v>
      </c>
      <c r="K1278" s="25" t="s">
        <v>513</v>
      </c>
    </row>
    <row r="1279" spans="1:11" ht="25.5" x14ac:dyDescent="0.25">
      <c r="A1279" s="22">
        <v>2026</v>
      </c>
      <c r="B1279" s="28" t="s">
        <v>183</v>
      </c>
      <c r="C1279" s="28" t="s">
        <v>97</v>
      </c>
      <c r="D1279" s="28" t="s">
        <v>200</v>
      </c>
      <c r="E1279" s="29" t="s">
        <v>365</v>
      </c>
      <c r="F1279" s="29" t="s">
        <v>332</v>
      </c>
      <c r="G1279" s="25" t="s">
        <v>3064</v>
      </c>
      <c r="H1279" s="26">
        <v>-0.24255499999999999</v>
      </c>
      <c r="I1279" s="26"/>
      <c r="J1279" s="26" t="s">
        <v>514</v>
      </c>
      <c r="K1279" s="25" t="s">
        <v>513</v>
      </c>
    </row>
    <row r="1280" spans="1:11" ht="25.5" x14ac:dyDescent="0.25">
      <c r="A1280" s="22">
        <v>2026</v>
      </c>
      <c r="B1280" s="28" t="s">
        <v>183</v>
      </c>
      <c r="C1280" s="28" t="s">
        <v>97</v>
      </c>
      <c r="D1280" s="28" t="s">
        <v>200</v>
      </c>
      <c r="E1280" s="29" t="s">
        <v>365</v>
      </c>
      <c r="F1280" s="29" t="s">
        <v>332</v>
      </c>
      <c r="G1280" s="25" t="s">
        <v>3065</v>
      </c>
      <c r="H1280" s="26">
        <v>-0.2415775</v>
      </c>
      <c r="I1280" s="26"/>
      <c r="J1280" s="26" t="s">
        <v>514</v>
      </c>
      <c r="K1280" s="25" t="s">
        <v>513</v>
      </c>
    </row>
    <row r="1281" spans="1:11" ht="25.5" x14ac:dyDescent="0.25">
      <c r="A1281" s="22">
        <v>2026</v>
      </c>
      <c r="B1281" s="28" t="s">
        <v>183</v>
      </c>
      <c r="C1281" s="28" t="s">
        <v>97</v>
      </c>
      <c r="D1281" s="28" t="s">
        <v>200</v>
      </c>
      <c r="E1281" s="29" t="s">
        <v>365</v>
      </c>
      <c r="F1281" s="29" t="s">
        <v>332</v>
      </c>
      <c r="G1281" s="25" t="s">
        <v>3066</v>
      </c>
      <c r="H1281" s="26">
        <v>-0.24296000000000001</v>
      </c>
      <c r="I1281" s="26"/>
      <c r="J1281" s="26" t="s">
        <v>514</v>
      </c>
      <c r="K1281" s="25" t="s">
        <v>513</v>
      </c>
    </row>
    <row r="1282" spans="1:11" ht="25.5" x14ac:dyDescent="0.25">
      <c r="A1282" s="22">
        <v>2026</v>
      </c>
      <c r="B1282" s="28" t="s">
        <v>183</v>
      </c>
      <c r="C1282" s="28" t="s">
        <v>97</v>
      </c>
      <c r="D1282" s="28" t="s">
        <v>200</v>
      </c>
      <c r="E1282" s="29" t="s">
        <v>365</v>
      </c>
      <c r="F1282" s="29" t="s">
        <v>332</v>
      </c>
      <c r="G1282" s="25" t="s">
        <v>3067</v>
      </c>
      <c r="H1282" s="26">
        <v>-0.23975250000000001</v>
      </c>
      <c r="I1282" s="26"/>
      <c r="J1282" s="26" t="s">
        <v>514</v>
      </c>
      <c r="K1282" s="25" t="s">
        <v>513</v>
      </c>
    </row>
    <row r="1283" spans="1:11" ht="25.5" x14ac:dyDescent="0.25">
      <c r="A1283" s="22">
        <v>2026</v>
      </c>
      <c r="B1283" s="28" t="s">
        <v>183</v>
      </c>
      <c r="C1283" s="28" t="s">
        <v>97</v>
      </c>
      <c r="D1283" s="28" t="s">
        <v>200</v>
      </c>
      <c r="E1283" s="29" t="s">
        <v>365</v>
      </c>
      <c r="F1283" s="29" t="s">
        <v>332</v>
      </c>
      <c r="G1283" s="25" t="s">
        <v>3068</v>
      </c>
      <c r="H1283" s="26">
        <v>-0.2365525</v>
      </c>
      <c r="I1283" s="26"/>
      <c r="J1283" s="26" t="s">
        <v>514</v>
      </c>
      <c r="K1283" s="25" t="s">
        <v>513</v>
      </c>
    </row>
    <row r="1284" spans="1:11" ht="25.5" x14ac:dyDescent="0.25">
      <c r="A1284" s="22">
        <v>2026</v>
      </c>
      <c r="B1284" s="28" t="s">
        <v>183</v>
      </c>
      <c r="C1284" s="28" t="s">
        <v>97</v>
      </c>
      <c r="D1284" s="28" t="s">
        <v>200</v>
      </c>
      <c r="E1284" s="29" t="s">
        <v>365</v>
      </c>
      <c r="F1284" s="29" t="s">
        <v>332</v>
      </c>
      <c r="G1284" s="25" t="s">
        <v>3069</v>
      </c>
      <c r="H1284" s="26">
        <v>-0.23316999999999999</v>
      </c>
      <c r="I1284" s="26"/>
      <c r="J1284" s="26" t="s">
        <v>514</v>
      </c>
      <c r="K1284" s="25" t="s">
        <v>513</v>
      </c>
    </row>
    <row r="1285" spans="1:11" ht="25.5" x14ac:dyDescent="0.25">
      <c r="A1285" s="22">
        <v>2026</v>
      </c>
      <c r="B1285" s="28" t="s">
        <v>183</v>
      </c>
      <c r="C1285" s="28" t="s">
        <v>97</v>
      </c>
      <c r="D1285" s="28" t="s">
        <v>200</v>
      </c>
      <c r="E1285" s="29" t="s">
        <v>365</v>
      </c>
      <c r="F1285" s="29" t="s">
        <v>332</v>
      </c>
      <c r="G1285" s="25" t="s">
        <v>3070</v>
      </c>
      <c r="H1285" s="26">
        <v>-0.23076749999999999</v>
      </c>
      <c r="I1285" s="26"/>
      <c r="J1285" s="26" t="s">
        <v>514</v>
      </c>
      <c r="K1285" s="25" t="s">
        <v>513</v>
      </c>
    </row>
    <row r="1286" spans="1:11" ht="25.5" x14ac:dyDescent="0.25">
      <c r="A1286" s="22">
        <v>2026</v>
      </c>
      <c r="B1286" s="28" t="s">
        <v>183</v>
      </c>
      <c r="C1286" s="28" t="s">
        <v>97</v>
      </c>
      <c r="D1286" s="28" t="s">
        <v>200</v>
      </c>
      <c r="E1286" s="29" t="s">
        <v>365</v>
      </c>
      <c r="F1286" s="29" t="s">
        <v>332</v>
      </c>
      <c r="G1286" s="25" t="s">
        <v>3071</v>
      </c>
      <c r="H1286" s="26">
        <v>-0.2341125</v>
      </c>
      <c r="I1286" s="26"/>
      <c r="J1286" s="26" t="s">
        <v>514</v>
      </c>
      <c r="K1286" s="25" t="s">
        <v>513</v>
      </c>
    </row>
    <row r="1287" spans="1:11" ht="25.5" x14ac:dyDescent="0.25">
      <c r="A1287" s="22">
        <v>2026</v>
      </c>
      <c r="B1287" s="28" t="s">
        <v>183</v>
      </c>
      <c r="C1287" s="28" t="s">
        <v>97</v>
      </c>
      <c r="D1287" s="28" t="s">
        <v>200</v>
      </c>
      <c r="E1287" s="29" t="s">
        <v>365</v>
      </c>
      <c r="F1287" s="29" t="s">
        <v>332</v>
      </c>
      <c r="G1287" s="25" t="s">
        <v>3072</v>
      </c>
      <c r="H1287" s="26">
        <v>-0.2356125</v>
      </c>
      <c r="I1287" s="26"/>
      <c r="J1287" s="26" t="s">
        <v>514</v>
      </c>
      <c r="K1287" s="25" t="s">
        <v>513</v>
      </c>
    </row>
    <row r="1288" spans="1:11" ht="25.5" x14ac:dyDescent="0.25">
      <c r="A1288" s="22">
        <v>2026</v>
      </c>
      <c r="B1288" s="28" t="s">
        <v>183</v>
      </c>
      <c r="C1288" s="28" t="s">
        <v>97</v>
      </c>
      <c r="D1288" s="28" t="s">
        <v>200</v>
      </c>
      <c r="E1288" s="29" t="s">
        <v>365</v>
      </c>
      <c r="F1288" s="29" t="s">
        <v>332</v>
      </c>
      <c r="G1288" s="25" t="s">
        <v>3073</v>
      </c>
      <c r="H1288" s="26">
        <v>-9.2319999999999999E-2</v>
      </c>
      <c r="I1288" s="26"/>
      <c r="J1288" s="26" t="s">
        <v>514</v>
      </c>
      <c r="K1288" s="25" t="s">
        <v>513</v>
      </c>
    </row>
    <row r="1289" spans="1:11" ht="25.5" x14ac:dyDescent="0.25">
      <c r="A1289" s="22">
        <v>2026</v>
      </c>
      <c r="B1289" s="28" t="s">
        <v>183</v>
      </c>
      <c r="C1289" s="28" t="s">
        <v>97</v>
      </c>
      <c r="D1289" s="28" t="s">
        <v>210</v>
      </c>
      <c r="E1289" s="29" t="s">
        <v>392</v>
      </c>
      <c r="F1289" s="29" t="s">
        <v>343</v>
      </c>
      <c r="G1289" s="25" t="s">
        <v>3074</v>
      </c>
      <c r="H1289" s="26">
        <v>-6.8199999999999997E-2</v>
      </c>
      <c r="I1289" s="26"/>
      <c r="J1289" s="26" t="s">
        <v>514</v>
      </c>
      <c r="K1289" s="25" t="s">
        <v>522</v>
      </c>
    </row>
    <row r="1290" spans="1:11" ht="25.5" x14ac:dyDescent="0.25">
      <c r="A1290" s="22">
        <v>2026</v>
      </c>
      <c r="B1290" s="28" t="s">
        <v>183</v>
      </c>
      <c r="C1290" s="28" t="s">
        <v>97</v>
      </c>
      <c r="D1290" s="28" t="s">
        <v>210</v>
      </c>
      <c r="E1290" s="29" t="s">
        <v>392</v>
      </c>
      <c r="F1290" s="29" t="s">
        <v>343</v>
      </c>
      <c r="G1290" s="25" t="s">
        <v>3075</v>
      </c>
      <c r="H1290" s="26">
        <v>-9.2999999999999999E-2</v>
      </c>
      <c r="I1290" s="26"/>
      <c r="J1290" s="26" t="s">
        <v>514</v>
      </c>
      <c r="K1290" s="25" t="s">
        <v>522</v>
      </c>
    </row>
    <row r="1291" spans="1:11" ht="25.5" x14ac:dyDescent="0.25">
      <c r="A1291" s="22">
        <v>2026</v>
      </c>
      <c r="B1291" s="28" t="s">
        <v>183</v>
      </c>
      <c r="C1291" s="28" t="s">
        <v>97</v>
      </c>
      <c r="D1291" s="28" t="s">
        <v>210</v>
      </c>
      <c r="E1291" s="29" t="s">
        <v>392</v>
      </c>
      <c r="F1291" s="29" t="s">
        <v>343</v>
      </c>
      <c r="G1291" s="25" t="s">
        <v>3076</v>
      </c>
      <c r="H1291" s="26">
        <v>-3.4720000000000001E-2</v>
      </c>
      <c r="I1291" s="26"/>
      <c r="J1291" s="26" t="s">
        <v>514</v>
      </c>
      <c r="K1291" s="25" t="s">
        <v>522</v>
      </c>
    </row>
    <row r="1292" spans="1:11" ht="25.5" x14ac:dyDescent="0.25">
      <c r="A1292" s="22">
        <v>2026</v>
      </c>
      <c r="B1292" s="28" t="s">
        <v>183</v>
      </c>
      <c r="C1292" s="28" t="s">
        <v>97</v>
      </c>
      <c r="D1292" s="28" t="s">
        <v>210</v>
      </c>
      <c r="E1292" s="29" t="s">
        <v>392</v>
      </c>
      <c r="F1292" s="29" t="s">
        <v>343</v>
      </c>
      <c r="G1292" s="25" t="s">
        <v>3077</v>
      </c>
      <c r="H1292" s="26">
        <v>-7.4399999999999994E-2</v>
      </c>
      <c r="I1292" s="26"/>
      <c r="J1292" s="26" t="s">
        <v>514</v>
      </c>
      <c r="K1292" s="25" t="s">
        <v>522</v>
      </c>
    </row>
    <row r="1293" spans="1:11" ht="25.5" x14ac:dyDescent="0.25">
      <c r="A1293" s="22">
        <v>2026</v>
      </c>
      <c r="B1293" s="28" t="s">
        <v>183</v>
      </c>
      <c r="C1293" s="28" t="s">
        <v>97</v>
      </c>
      <c r="D1293" s="28" t="s">
        <v>210</v>
      </c>
      <c r="E1293" s="29" t="s">
        <v>392</v>
      </c>
      <c r="F1293" s="29" t="s">
        <v>343</v>
      </c>
      <c r="G1293" s="25" t="s">
        <v>3075</v>
      </c>
      <c r="H1293" s="26">
        <v>-9.2999999999999999E-2</v>
      </c>
      <c r="I1293" s="26"/>
      <c r="J1293" s="26" t="s">
        <v>514</v>
      </c>
      <c r="K1293" s="25" t="s">
        <v>522</v>
      </c>
    </row>
    <row r="1294" spans="1:11" ht="25.5" x14ac:dyDescent="0.25">
      <c r="A1294" s="22">
        <v>2026</v>
      </c>
      <c r="B1294" s="28" t="s">
        <v>183</v>
      </c>
      <c r="C1294" s="28" t="s">
        <v>97</v>
      </c>
      <c r="D1294" s="28" t="s">
        <v>210</v>
      </c>
      <c r="E1294" s="29" t="s">
        <v>392</v>
      </c>
      <c r="F1294" s="29" t="s">
        <v>343</v>
      </c>
      <c r="G1294" s="25" t="s">
        <v>3078</v>
      </c>
      <c r="H1294" s="26">
        <v>-3.1E-2</v>
      </c>
      <c r="I1294" s="26"/>
      <c r="J1294" s="26" t="s">
        <v>514</v>
      </c>
      <c r="K1294" s="25" t="s">
        <v>522</v>
      </c>
    </row>
    <row r="1295" spans="1:11" ht="25.5" x14ac:dyDescent="0.25">
      <c r="A1295" s="22">
        <v>2026</v>
      </c>
      <c r="B1295" s="28" t="s">
        <v>183</v>
      </c>
      <c r="C1295" s="28" t="s">
        <v>97</v>
      </c>
      <c r="D1295" s="28" t="s">
        <v>210</v>
      </c>
      <c r="E1295" s="29" t="s">
        <v>392</v>
      </c>
      <c r="F1295" s="29" t="s">
        <v>343</v>
      </c>
      <c r="G1295" s="25" t="s">
        <v>3079</v>
      </c>
      <c r="H1295" s="26">
        <v>-3.0472500000000003E-2</v>
      </c>
      <c r="I1295" s="26"/>
      <c r="J1295" s="26" t="s">
        <v>514</v>
      </c>
      <c r="K1295" s="25" t="s">
        <v>522</v>
      </c>
    </row>
    <row r="1296" spans="1:11" ht="25.5" x14ac:dyDescent="0.25">
      <c r="A1296" s="22">
        <v>2026</v>
      </c>
      <c r="B1296" s="28" t="s">
        <v>183</v>
      </c>
      <c r="C1296" s="28" t="s">
        <v>97</v>
      </c>
      <c r="D1296" s="28" t="s">
        <v>210</v>
      </c>
      <c r="E1296" s="29" t="s">
        <v>392</v>
      </c>
      <c r="F1296" s="29" t="s">
        <v>343</v>
      </c>
      <c r="G1296" s="25" t="s">
        <v>3080</v>
      </c>
      <c r="H1296" s="26">
        <v>-2.8024E-2</v>
      </c>
      <c r="I1296" s="26"/>
      <c r="J1296" s="26" t="s">
        <v>514</v>
      </c>
      <c r="K1296" s="25" t="s">
        <v>522</v>
      </c>
    </row>
    <row r="1297" spans="1:11" ht="25.5" x14ac:dyDescent="0.25">
      <c r="A1297" s="22">
        <v>2026</v>
      </c>
      <c r="B1297" s="28" t="s">
        <v>183</v>
      </c>
      <c r="C1297" s="28" t="s">
        <v>97</v>
      </c>
      <c r="D1297" s="28" t="s">
        <v>210</v>
      </c>
      <c r="E1297" s="29" t="s">
        <v>392</v>
      </c>
      <c r="F1297" s="29" t="s">
        <v>343</v>
      </c>
      <c r="G1297" s="25" t="s">
        <v>3081</v>
      </c>
      <c r="H1297" s="26">
        <v>-3.0499999999999999E-2</v>
      </c>
      <c r="I1297" s="26"/>
      <c r="J1297" s="26" t="s">
        <v>514</v>
      </c>
      <c r="K1297" s="25" t="s">
        <v>522</v>
      </c>
    </row>
    <row r="1298" spans="1:11" ht="25.5" x14ac:dyDescent="0.25">
      <c r="A1298" s="22">
        <v>2026</v>
      </c>
      <c r="B1298" s="28" t="s">
        <v>183</v>
      </c>
      <c r="C1298" s="28" t="s">
        <v>97</v>
      </c>
      <c r="D1298" s="28" t="s">
        <v>210</v>
      </c>
      <c r="E1298" s="29" t="s">
        <v>392</v>
      </c>
      <c r="F1298" s="29" t="s">
        <v>343</v>
      </c>
      <c r="G1298" s="25" t="s">
        <v>3082</v>
      </c>
      <c r="H1298" s="26">
        <v>-2.46E-2</v>
      </c>
      <c r="I1298" s="26"/>
      <c r="J1298" s="26" t="s">
        <v>514</v>
      </c>
      <c r="K1298" s="25" t="s">
        <v>522</v>
      </c>
    </row>
    <row r="1299" spans="1:11" ht="25.5" x14ac:dyDescent="0.25">
      <c r="A1299" s="22">
        <v>2026</v>
      </c>
      <c r="B1299" s="28" t="s">
        <v>183</v>
      </c>
      <c r="C1299" s="28" t="s">
        <v>97</v>
      </c>
      <c r="D1299" s="28" t="s">
        <v>210</v>
      </c>
      <c r="E1299" s="29" t="s">
        <v>392</v>
      </c>
      <c r="F1299" s="29" t="s">
        <v>343</v>
      </c>
      <c r="G1299" s="25" t="s">
        <v>3083</v>
      </c>
      <c r="H1299" s="26">
        <v>-3.075E-2</v>
      </c>
      <c r="I1299" s="26"/>
      <c r="J1299" s="26" t="s">
        <v>514</v>
      </c>
      <c r="K1299" s="25" t="s">
        <v>522</v>
      </c>
    </row>
    <row r="1300" spans="1:11" ht="25.5" x14ac:dyDescent="0.25">
      <c r="A1300" s="22">
        <v>2026</v>
      </c>
      <c r="B1300" s="28" t="s">
        <v>183</v>
      </c>
      <c r="C1300" s="28" t="s">
        <v>97</v>
      </c>
      <c r="D1300" s="28" t="s">
        <v>210</v>
      </c>
      <c r="E1300" s="29" t="s">
        <v>392</v>
      </c>
      <c r="F1300" s="29" t="s">
        <v>343</v>
      </c>
      <c r="G1300" s="25" t="s">
        <v>3084</v>
      </c>
      <c r="H1300" s="26">
        <v>-2.5250000000000002E-2</v>
      </c>
      <c r="I1300" s="26"/>
      <c r="J1300" s="26" t="s">
        <v>514</v>
      </c>
      <c r="K1300" s="25" t="s">
        <v>522</v>
      </c>
    </row>
    <row r="1301" spans="1:11" ht="25.5" x14ac:dyDescent="0.25">
      <c r="A1301" s="22">
        <v>2026</v>
      </c>
      <c r="B1301" s="28" t="s">
        <v>183</v>
      </c>
      <c r="C1301" s="28" t="s">
        <v>97</v>
      </c>
      <c r="D1301" s="28" t="s">
        <v>198</v>
      </c>
      <c r="E1301" s="29" t="s">
        <v>923</v>
      </c>
      <c r="F1301" s="29" t="s">
        <v>350</v>
      </c>
      <c r="G1301" s="25" t="s">
        <v>2965</v>
      </c>
      <c r="H1301" s="26">
        <v>-0.10551983400000001</v>
      </c>
      <c r="I1301" s="26"/>
      <c r="J1301" s="26" t="s">
        <v>512</v>
      </c>
      <c r="K1301" s="25" t="s">
        <v>513</v>
      </c>
    </row>
    <row r="1302" spans="1:11" ht="25.5" x14ac:dyDescent="0.25">
      <c r="A1302" s="22">
        <v>2026</v>
      </c>
      <c r="B1302" s="28" t="s">
        <v>183</v>
      </c>
      <c r="C1302" s="28" t="s">
        <v>97</v>
      </c>
      <c r="D1302" s="28" t="s">
        <v>198</v>
      </c>
      <c r="E1302" s="29" t="s">
        <v>923</v>
      </c>
      <c r="F1302" s="29" t="s">
        <v>350</v>
      </c>
      <c r="G1302" s="25" t="s">
        <v>2966</v>
      </c>
      <c r="H1302" s="26">
        <v>-0.20378399999999999</v>
      </c>
      <c r="I1302" s="26"/>
      <c r="J1302" s="26" t="s">
        <v>512</v>
      </c>
      <c r="K1302" s="25" t="s">
        <v>513</v>
      </c>
    </row>
    <row r="1303" spans="1:11" ht="25.5" x14ac:dyDescent="0.25">
      <c r="A1303" s="22">
        <v>2026</v>
      </c>
      <c r="B1303" s="28" t="s">
        <v>183</v>
      </c>
      <c r="C1303" s="28" t="s">
        <v>97</v>
      </c>
      <c r="D1303" s="28" t="s">
        <v>198</v>
      </c>
      <c r="E1303" s="29" t="s">
        <v>923</v>
      </c>
      <c r="F1303" s="29" t="s">
        <v>350</v>
      </c>
      <c r="G1303" s="25" t="s">
        <v>2967</v>
      </c>
      <c r="H1303" s="26">
        <v>-5.7112000000000003E-2</v>
      </c>
      <c r="I1303" s="26"/>
      <c r="J1303" s="26" t="s">
        <v>512</v>
      </c>
      <c r="K1303" s="25" t="s">
        <v>513</v>
      </c>
    </row>
    <row r="1304" spans="1:11" ht="25.5" x14ac:dyDescent="0.25">
      <c r="A1304" s="22">
        <v>2026</v>
      </c>
      <c r="B1304" s="28" t="s">
        <v>183</v>
      </c>
      <c r="C1304" s="28" t="s">
        <v>97</v>
      </c>
      <c r="D1304" s="28" t="s">
        <v>198</v>
      </c>
      <c r="E1304" s="29" t="s">
        <v>923</v>
      </c>
      <c r="F1304" s="29" t="s">
        <v>350</v>
      </c>
      <c r="G1304" s="25" t="s">
        <v>2968</v>
      </c>
      <c r="H1304" s="26">
        <v>-0.16380228040000003</v>
      </c>
      <c r="I1304" s="26"/>
      <c r="J1304" s="26" t="s">
        <v>512</v>
      </c>
      <c r="K1304" s="25" t="s">
        <v>513</v>
      </c>
    </row>
    <row r="1305" spans="1:11" ht="25.5" x14ac:dyDescent="0.25">
      <c r="A1305" s="22">
        <v>2026</v>
      </c>
      <c r="B1305" s="28" t="s">
        <v>183</v>
      </c>
      <c r="C1305" s="28" t="s">
        <v>97</v>
      </c>
      <c r="D1305" s="28" t="s">
        <v>198</v>
      </c>
      <c r="E1305" s="29" t="s">
        <v>923</v>
      </c>
      <c r="F1305" s="29" t="s">
        <v>350</v>
      </c>
      <c r="G1305" s="25" t="s">
        <v>2969</v>
      </c>
      <c r="H1305" s="26">
        <v>-0.20885999999999999</v>
      </c>
      <c r="I1305" s="26"/>
      <c r="J1305" s="26" t="s">
        <v>512</v>
      </c>
      <c r="K1305" s="25" t="s">
        <v>513</v>
      </c>
    </row>
    <row r="1306" spans="1:11" ht="25.5" x14ac:dyDescent="0.25">
      <c r="A1306" s="22">
        <v>2026</v>
      </c>
      <c r="B1306" s="28" t="s">
        <v>183</v>
      </c>
      <c r="C1306" s="28" t="s">
        <v>97</v>
      </c>
      <c r="D1306" s="28" t="s">
        <v>198</v>
      </c>
      <c r="E1306" s="29" t="s">
        <v>923</v>
      </c>
      <c r="F1306" s="29" t="s">
        <v>350</v>
      </c>
      <c r="G1306" s="25" t="s">
        <v>2970</v>
      </c>
      <c r="H1306" s="26">
        <v>-5.0602949999999994E-2</v>
      </c>
      <c r="I1306" s="26"/>
      <c r="J1306" s="26" t="s">
        <v>512</v>
      </c>
      <c r="K1306" s="25" t="s">
        <v>513</v>
      </c>
    </row>
    <row r="1307" spans="1:11" ht="25.5" x14ac:dyDescent="0.25">
      <c r="A1307" s="22">
        <v>2026</v>
      </c>
      <c r="B1307" s="28" t="s">
        <v>183</v>
      </c>
      <c r="C1307" s="28" t="s">
        <v>97</v>
      </c>
      <c r="D1307" s="28" t="s">
        <v>198</v>
      </c>
      <c r="E1307" s="29" t="s">
        <v>923</v>
      </c>
      <c r="F1307" s="29" t="s">
        <v>350</v>
      </c>
      <c r="G1307" s="25" t="s">
        <v>2971</v>
      </c>
      <c r="H1307" s="26">
        <v>-3.4766360000000003E-2</v>
      </c>
      <c r="I1307" s="26"/>
      <c r="J1307" s="26" t="s">
        <v>512</v>
      </c>
      <c r="K1307" s="25" t="s">
        <v>513</v>
      </c>
    </row>
    <row r="1308" spans="1:11" ht="25.5" x14ac:dyDescent="0.25">
      <c r="A1308" s="22">
        <v>2026</v>
      </c>
      <c r="B1308" s="28" t="s">
        <v>183</v>
      </c>
      <c r="C1308" s="28" t="s">
        <v>97</v>
      </c>
      <c r="D1308" s="28" t="s">
        <v>1714</v>
      </c>
      <c r="E1308" s="29" t="s">
        <v>923</v>
      </c>
      <c r="F1308" s="29" t="s">
        <v>353</v>
      </c>
      <c r="G1308" s="25" t="s">
        <v>3085</v>
      </c>
      <c r="H1308" s="26">
        <v>-0.27300000000000002</v>
      </c>
      <c r="I1308" s="26"/>
      <c r="J1308" s="26" t="s">
        <v>512</v>
      </c>
      <c r="K1308" s="25" t="s">
        <v>513</v>
      </c>
    </row>
    <row r="1309" spans="1:11" ht="25.5" x14ac:dyDescent="0.25">
      <c r="A1309" s="22">
        <v>2026</v>
      </c>
      <c r="B1309" s="28" t="s">
        <v>183</v>
      </c>
      <c r="C1309" s="28" t="s">
        <v>97</v>
      </c>
      <c r="D1309" s="28" t="s">
        <v>1714</v>
      </c>
      <c r="E1309" s="29" t="s">
        <v>923</v>
      </c>
      <c r="F1309" s="29" t="s">
        <v>353</v>
      </c>
      <c r="G1309" s="25" t="s">
        <v>3086</v>
      </c>
      <c r="H1309" s="26">
        <v>-0.36899999999999999</v>
      </c>
      <c r="I1309" s="26"/>
      <c r="J1309" s="26" t="s">
        <v>512</v>
      </c>
      <c r="K1309" s="25" t="s">
        <v>513</v>
      </c>
    </row>
    <row r="1310" spans="1:11" ht="25.5" x14ac:dyDescent="0.25">
      <c r="A1310" s="22">
        <v>2026</v>
      </c>
      <c r="B1310" s="28" t="s">
        <v>183</v>
      </c>
      <c r="C1310" s="28" t="s">
        <v>97</v>
      </c>
      <c r="D1310" s="28" t="s">
        <v>1714</v>
      </c>
      <c r="E1310" s="29" t="s">
        <v>923</v>
      </c>
      <c r="F1310" s="29" t="s">
        <v>353</v>
      </c>
      <c r="G1310" s="25" t="s">
        <v>3087</v>
      </c>
      <c r="H1310" s="26">
        <v>-0.27637499999999998</v>
      </c>
      <c r="I1310" s="26"/>
      <c r="J1310" s="26" t="s">
        <v>512</v>
      </c>
      <c r="K1310" s="25" t="s">
        <v>513</v>
      </c>
    </row>
    <row r="1311" spans="1:11" ht="25.5" x14ac:dyDescent="0.25">
      <c r="A1311" s="22">
        <v>2026</v>
      </c>
      <c r="B1311" s="28" t="s">
        <v>183</v>
      </c>
      <c r="C1311" s="28" t="s">
        <v>97</v>
      </c>
      <c r="D1311" s="28" t="s">
        <v>1715</v>
      </c>
      <c r="E1311" s="29" t="s">
        <v>352</v>
      </c>
      <c r="F1311" s="29" t="s">
        <v>353</v>
      </c>
      <c r="G1311" s="25" t="s">
        <v>3088</v>
      </c>
      <c r="H1311" s="26">
        <v>-0.308</v>
      </c>
      <c r="I1311" s="26"/>
      <c r="J1311" s="26" t="s">
        <v>512</v>
      </c>
      <c r="K1311" s="25" t="s">
        <v>513</v>
      </c>
    </row>
    <row r="1312" spans="1:11" ht="25.5" x14ac:dyDescent="0.25">
      <c r="A1312" s="22">
        <v>2026</v>
      </c>
      <c r="B1312" s="28" t="s">
        <v>183</v>
      </c>
      <c r="C1312" s="28" t="s">
        <v>97</v>
      </c>
      <c r="D1312" s="28" t="s">
        <v>1715</v>
      </c>
      <c r="E1312" s="29" t="s">
        <v>352</v>
      </c>
      <c r="F1312" s="29" t="s">
        <v>353</v>
      </c>
      <c r="G1312" s="25" t="s">
        <v>3089</v>
      </c>
      <c r="H1312" s="26">
        <v>-0.12719533999999999</v>
      </c>
      <c r="I1312" s="26"/>
      <c r="J1312" s="26" t="s">
        <v>512</v>
      </c>
      <c r="K1312" s="25" t="s">
        <v>513</v>
      </c>
    </row>
    <row r="1313" spans="1:11" ht="25.5" x14ac:dyDescent="0.25">
      <c r="A1313" s="22">
        <v>2026</v>
      </c>
      <c r="B1313" s="28" t="s">
        <v>183</v>
      </c>
      <c r="C1313" s="28" t="s">
        <v>97</v>
      </c>
      <c r="D1313" s="28" t="s">
        <v>1715</v>
      </c>
      <c r="E1313" s="29" t="s">
        <v>352</v>
      </c>
      <c r="F1313" s="29" t="s">
        <v>353</v>
      </c>
      <c r="G1313" s="25" t="s">
        <v>3090</v>
      </c>
      <c r="H1313" s="26">
        <v>-6.6647099999999999E-3</v>
      </c>
      <c r="I1313" s="26"/>
      <c r="J1313" s="26" t="s">
        <v>512</v>
      </c>
      <c r="K1313" s="25" t="s">
        <v>513</v>
      </c>
    </row>
    <row r="1314" spans="1:11" ht="25.5" x14ac:dyDescent="0.25">
      <c r="A1314" s="22">
        <v>2026</v>
      </c>
      <c r="B1314" s="28" t="s">
        <v>183</v>
      </c>
      <c r="C1314" s="28" t="s">
        <v>97</v>
      </c>
      <c r="D1314" s="28" t="s">
        <v>1715</v>
      </c>
      <c r="E1314" s="29" t="s">
        <v>352</v>
      </c>
      <c r="F1314" s="29" t="s">
        <v>353</v>
      </c>
      <c r="G1314" s="25" t="s">
        <v>3091</v>
      </c>
      <c r="H1314" s="26">
        <v>-0.12164519999999999</v>
      </c>
      <c r="I1314" s="26"/>
      <c r="J1314" s="26" t="s">
        <v>512</v>
      </c>
      <c r="K1314" s="25" t="s">
        <v>513</v>
      </c>
    </row>
    <row r="1315" spans="1:11" ht="25.5" x14ac:dyDescent="0.25">
      <c r="A1315" s="22">
        <v>2026</v>
      </c>
      <c r="B1315" s="28" t="s">
        <v>183</v>
      </c>
      <c r="C1315" s="28" t="s">
        <v>97</v>
      </c>
      <c r="D1315" s="28" t="s">
        <v>1715</v>
      </c>
      <c r="E1315" s="29" t="s">
        <v>352</v>
      </c>
      <c r="F1315" s="29" t="s">
        <v>353</v>
      </c>
      <c r="G1315" s="25" t="s">
        <v>3092</v>
      </c>
      <c r="H1315" s="26">
        <v>-0.15310047967000001</v>
      </c>
      <c r="I1315" s="26"/>
      <c r="J1315" s="26" t="s">
        <v>512</v>
      </c>
      <c r="K1315" s="25" t="s">
        <v>513</v>
      </c>
    </row>
    <row r="1316" spans="1:11" ht="25.5" x14ac:dyDescent="0.25">
      <c r="A1316" s="22">
        <v>2026</v>
      </c>
      <c r="B1316" s="28" t="s">
        <v>183</v>
      </c>
      <c r="C1316" s="28" t="s">
        <v>97</v>
      </c>
      <c r="D1316" s="28" t="s">
        <v>1715</v>
      </c>
      <c r="E1316" s="29" t="s">
        <v>352</v>
      </c>
      <c r="F1316" s="29" t="s">
        <v>353</v>
      </c>
      <c r="G1316" s="25" t="s">
        <v>3093</v>
      </c>
      <c r="H1316" s="26">
        <v>-0.17208227322</v>
      </c>
      <c r="I1316" s="26"/>
      <c r="J1316" s="26" t="s">
        <v>512</v>
      </c>
      <c r="K1316" s="25" t="s">
        <v>513</v>
      </c>
    </row>
    <row r="1317" spans="1:11" ht="25.5" x14ac:dyDescent="0.25">
      <c r="A1317" s="22">
        <v>2026</v>
      </c>
      <c r="B1317" s="28" t="s">
        <v>183</v>
      </c>
      <c r="C1317" s="28" t="s">
        <v>97</v>
      </c>
      <c r="D1317" s="28" t="s">
        <v>1715</v>
      </c>
      <c r="E1317" s="29" t="s">
        <v>352</v>
      </c>
      <c r="F1317" s="29" t="s">
        <v>353</v>
      </c>
      <c r="G1317" s="25" t="s">
        <v>3094</v>
      </c>
      <c r="H1317" s="26">
        <v>-0.27752132300000004</v>
      </c>
      <c r="I1317" s="26"/>
      <c r="J1317" s="26" t="s">
        <v>512</v>
      </c>
      <c r="K1317" s="25" t="s">
        <v>513</v>
      </c>
    </row>
    <row r="1318" spans="1:11" ht="25.5" x14ac:dyDescent="0.25">
      <c r="A1318" s="22">
        <v>2026</v>
      </c>
      <c r="B1318" s="28" t="s">
        <v>183</v>
      </c>
      <c r="C1318" s="28" t="s">
        <v>97</v>
      </c>
      <c r="D1318" s="28" t="s">
        <v>1716</v>
      </c>
      <c r="E1318" s="29" t="s">
        <v>446</v>
      </c>
      <c r="F1318" s="29" t="s">
        <v>353</v>
      </c>
      <c r="G1318" s="25" t="s">
        <v>3095</v>
      </c>
      <c r="H1318" s="26">
        <v>-0.56420000000000003</v>
      </c>
      <c r="I1318" s="26"/>
      <c r="J1318" s="26" t="s">
        <v>512</v>
      </c>
      <c r="K1318" s="25" t="s">
        <v>513</v>
      </c>
    </row>
    <row r="1319" spans="1:11" ht="25.5" x14ac:dyDescent="0.25">
      <c r="A1319" s="22">
        <v>2026</v>
      </c>
      <c r="B1319" s="28" t="s">
        <v>183</v>
      </c>
      <c r="C1319" s="28" t="s">
        <v>97</v>
      </c>
      <c r="D1319" s="28" t="s">
        <v>1716</v>
      </c>
      <c r="E1319" s="29" t="s">
        <v>446</v>
      </c>
      <c r="F1319" s="29" t="s">
        <v>353</v>
      </c>
      <c r="G1319" s="25" t="s">
        <v>3096</v>
      </c>
      <c r="H1319" s="26">
        <v>-0.67574999999999996</v>
      </c>
      <c r="I1319" s="26"/>
      <c r="J1319" s="26" t="s">
        <v>512</v>
      </c>
      <c r="K1319" s="25" t="s">
        <v>513</v>
      </c>
    </row>
    <row r="1320" spans="1:11" ht="25.5" x14ac:dyDescent="0.25">
      <c r="A1320" s="22">
        <v>2026</v>
      </c>
      <c r="B1320" s="28" t="s">
        <v>183</v>
      </c>
      <c r="C1320" s="28" t="s">
        <v>97</v>
      </c>
      <c r="D1320" s="28" t="s">
        <v>1716</v>
      </c>
      <c r="E1320" s="29" t="s">
        <v>446</v>
      </c>
      <c r="F1320" s="29" t="s">
        <v>353</v>
      </c>
      <c r="G1320" s="25" t="s">
        <v>3097</v>
      </c>
      <c r="H1320" s="26">
        <v>-0.68426699999999996</v>
      </c>
      <c r="I1320" s="26"/>
      <c r="J1320" s="26" t="s">
        <v>512</v>
      </c>
      <c r="K1320" s="25" t="s">
        <v>513</v>
      </c>
    </row>
    <row r="1321" spans="1:11" ht="25.5" x14ac:dyDescent="0.25">
      <c r="A1321" s="22">
        <v>2026</v>
      </c>
      <c r="B1321" s="28" t="s">
        <v>183</v>
      </c>
      <c r="C1321" s="28" t="s">
        <v>97</v>
      </c>
      <c r="D1321" s="28" t="s">
        <v>1716</v>
      </c>
      <c r="E1321" s="29" t="s">
        <v>446</v>
      </c>
      <c r="F1321" s="29" t="s">
        <v>353</v>
      </c>
      <c r="G1321" s="25" t="s">
        <v>3098</v>
      </c>
      <c r="H1321" s="26">
        <v>-0.68082450000000005</v>
      </c>
      <c r="I1321" s="26"/>
      <c r="J1321" s="26" t="s">
        <v>512</v>
      </c>
      <c r="K1321" s="25" t="s">
        <v>513</v>
      </c>
    </row>
    <row r="1322" spans="1:11" ht="25.5" x14ac:dyDescent="0.25">
      <c r="A1322" s="22">
        <v>2026</v>
      </c>
      <c r="B1322" s="28" t="s">
        <v>183</v>
      </c>
      <c r="C1322" s="28" t="s">
        <v>97</v>
      </c>
      <c r="D1322" s="28" t="s">
        <v>1716</v>
      </c>
      <c r="E1322" s="29" t="s">
        <v>446</v>
      </c>
      <c r="F1322" s="29" t="s">
        <v>353</v>
      </c>
      <c r="G1322" s="25" t="s">
        <v>3099</v>
      </c>
      <c r="H1322" s="26">
        <v>-0.44055</v>
      </c>
      <c r="I1322" s="26"/>
      <c r="J1322" s="26" t="s">
        <v>512</v>
      </c>
      <c r="K1322" s="25" t="s">
        <v>513</v>
      </c>
    </row>
    <row r="1323" spans="1:11" ht="25.5" x14ac:dyDescent="0.25">
      <c r="A1323" s="22">
        <v>2026</v>
      </c>
      <c r="B1323" s="28" t="s">
        <v>183</v>
      </c>
      <c r="C1323" s="28" t="s">
        <v>97</v>
      </c>
      <c r="D1323" s="28" t="s">
        <v>1716</v>
      </c>
      <c r="E1323" s="29" t="s">
        <v>446</v>
      </c>
      <c r="F1323" s="29" t="s">
        <v>353</v>
      </c>
      <c r="G1323" s="25" t="s">
        <v>3100</v>
      </c>
      <c r="H1323" s="26">
        <v>-0.67172949999999998</v>
      </c>
      <c r="I1323" s="26"/>
      <c r="J1323" s="26" t="s">
        <v>512</v>
      </c>
      <c r="K1323" s="25" t="s">
        <v>513</v>
      </c>
    </row>
    <row r="1324" spans="1:11" ht="25.5" x14ac:dyDescent="0.25">
      <c r="A1324" s="22">
        <v>2026</v>
      </c>
      <c r="B1324" s="28" t="s">
        <v>183</v>
      </c>
      <c r="C1324" s="28" t="s">
        <v>97</v>
      </c>
      <c r="D1324" s="28" t="s">
        <v>1716</v>
      </c>
      <c r="E1324" s="29" t="s">
        <v>446</v>
      </c>
      <c r="F1324" s="29" t="s">
        <v>353</v>
      </c>
      <c r="G1324" s="25" t="s">
        <v>3101</v>
      </c>
      <c r="H1324" s="26">
        <v>-0.6695875</v>
      </c>
      <c r="I1324" s="26"/>
      <c r="J1324" s="26" t="s">
        <v>512</v>
      </c>
      <c r="K1324" s="25" t="s">
        <v>513</v>
      </c>
    </row>
    <row r="1325" spans="1:11" ht="25.5" x14ac:dyDescent="0.25">
      <c r="A1325" s="22">
        <v>2026</v>
      </c>
      <c r="B1325" s="28" t="s">
        <v>183</v>
      </c>
      <c r="C1325" s="28" t="s">
        <v>97</v>
      </c>
      <c r="D1325" s="28" t="s">
        <v>1716</v>
      </c>
      <c r="E1325" s="29" t="s">
        <v>446</v>
      </c>
      <c r="F1325" s="29" t="s">
        <v>353</v>
      </c>
      <c r="G1325" s="25" t="s">
        <v>3102</v>
      </c>
      <c r="H1325" s="26">
        <v>-0.67149999999999999</v>
      </c>
      <c r="I1325" s="26"/>
      <c r="J1325" s="26" t="s">
        <v>512</v>
      </c>
      <c r="K1325" s="25" t="s">
        <v>513</v>
      </c>
    </row>
    <row r="1326" spans="1:11" ht="25.5" x14ac:dyDescent="0.25">
      <c r="A1326" s="22">
        <v>2026</v>
      </c>
      <c r="B1326" s="28" t="s">
        <v>183</v>
      </c>
      <c r="C1326" s="28" t="s">
        <v>97</v>
      </c>
      <c r="D1326" s="28" t="s">
        <v>1716</v>
      </c>
      <c r="E1326" s="29" t="s">
        <v>446</v>
      </c>
      <c r="F1326" s="29" t="s">
        <v>353</v>
      </c>
      <c r="G1326" s="25" t="s">
        <v>3103</v>
      </c>
      <c r="H1326" s="26">
        <v>-0.66725000000000001</v>
      </c>
      <c r="I1326" s="26"/>
      <c r="J1326" s="26" t="s">
        <v>512</v>
      </c>
      <c r="K1326" s="25" t="s">
        <v>513</v>
      </c>
    </row>
    <row r="1327" spans="1:11" ht="25.5" x14ac:dyDescent="0.25">
      <c r="A1327" s="22">
        <v>2026</v>
      </c>
      <c r="B1327" s="28" t="s">
        <v>183</v>
      </c>
      <c r="C1327" s="28" t="s">
        <v>97</v>
      </c>
      <c r="D1327" s="28" t="s">
        <v>1716</v>
      </c>
      <c r="E1327" s="29" t="s">
        <v>446</v>
      </c>
      <c r="F1327" s="29" t="s">
        <v>353</v>
      </c>
      <c r="G1327" s="25" t="s">
        <v>3104</v>
      </c>
      <c r="H1327" s="26">
        <v>-0.67235</v>
      </c>
      <c r="I1327" s="26"/>
      <c r="J1327" s="26" t="s">
        <v>512</v>
      </c>
      <c r="K1327" s="25" t="s">
        <v>513</v>
      </c>
    </row>
    <row r="1328" spans="1:11" ht="25.5" x14ac:dyDescent="0.25">
      <c r="A1328" s="22">
        <v>2026</v>
      </c>
      <c r="B1328" s="28" t="s">
        <v>183</v>
      </c>
      <c r="C1328" s="28" t="s">
        <v>97</v>
      </c>
      <c r="D1328" s="28" t="s">
        <v>1716</v>
      </c>
      <c r="E1328" s="29" t="s">
        <v>446</v>
      </c>
      <c r="F1328" s="29" t="s">
        <v>353</v>
      </c>
      <c r="G1328" s="25" t="s">
        <v>3105</v>
      </c>
      <c r="H1328" s="26">
        <v>-0.67320000000000002</v>
      </c>
      <c r="I1328" s="26"/>
      <c r="J1328" s="26" t="s">
        <v>512</v>
      </c>
      <c r="K1328" s="25" t="s">
        <v>513</v>
      </c>
    </row>
    <row r="1329" spans="1:11" ht="25.5" x14ac:dyDescent="0.25">
      <c r="A1329" s="22">
        <v>2026</v>
      </c>
      <c r="B1329" s="28" t="s">
        <v>183</v>
      </c>
      <c r="C1329" s="28" t="s">
        <v>97</v>
      </c>
      <c r="D1329" s="28" t="s">
        <v>1716</v>
      </c>
      <c r="E1329" s="29" t="s">
        <v>446</v>
      </c>
      <c r="F1329" s="29" t="s">
        <v>353</v>
      </c>
      <c r="G1329" s="25" t="s">
        <v>3106</v>
      </c>
      <c r="H1329" s="26">
        <v>-0.67999149999999997</v>
      </c>
      <c r="I1329" s="26"/>
      <c r="J1329" s="26" t="s">
        <v>512</v>
      </c>
      <c r="K1329" s="25" t="s">
        <v>513</v>
      </c>
    </row>
    <row r="1330" spans="1:11" ht="25.5" x14ac:dyDescent="0.25">
      <c r="A1330" s="22">
        <v>2026</v>
      </c>
      <c r="B1330" s="28" t="s">
        <v>183</v>
      </c>
      <c r="C1330" s="28" t="s">
        <v>97</v>
      </c>
      <c r="D1330" s="28" t="s">
        <v>1716</v>
      </c>
      <c r="E1330" s="29" t="s">
        <v>446</v>
      </c>
      <c r="F1330" s="29" t="s">
        <v>353</v>
      </c>
      <c r="G1330" s="25" t="s">
        <v>3107</v>
      </c>
      <c r="H1330" s="26">
        <v>-0.48659999999999992</v>
      </c>
      <c r="I1330" s="26"/>
      <c r="J1330" s="26" t="s">
        <v>512</v>
      </c>
      <c r="K1330" s="25" t="s">
        <v>513</v>
      </c>
    </row>
    <row r="1331" spans="1:11" ht="25.5" x14ac:dyDescent="0.25">
      <c r="A1331" s="22">
        <v>2026</v>
      </c>
      <c r="B1331" s="28" t="s">
        <v>183</v>
      </c>
      <c r="C1331" s="28" t="s">
        <v>97</v>
      </c>
      <c r="D1331" s="28" t="s">
        <v>1716</v>
      </c>
      <c r="E1331" s="29" t="s">
        <v>446</v>
      </c>
      <c r="F1331" s="29" t="s">
        <v>353</v>
      </c>
      <c r="G1331" s="25" t="s">
        <v>3108</v>
      </c>
      <c r="H1331" s="26">
        <v>-0.68930749999999996</v>
      </c>
      <c r="I1331" s="26"/>
      <c r="J1331" s="26" t="s">
        <v>512</v>
      </c>
      <c r="K1331" s="25" t="s">
        <v>513</v>
      </c>
    </row>
    <row r="1332" spans="1:11" ht="25.5" x14ac:dyDescent="0.25">
      <c r="A1332" s="22">
        <v>2026</v>
      </c>
      <c r="B1332" s="28" t="s">
        <v>183</v>
      </c>
      <c r="C1332" s="28" t="s">
        <v>97</v>
      </c>
      <c r="D1332" s="28" t="s">
        <v>1716</v>
      </c>
      <c r="E1332" s="29" t="s">
        <v>446</v>
      </c>
      <c r="F1332" s="29" t="s">
        <v>353</v>
      </c>
      <c r="G1332" s="25" t="s">
        <v>3109</v>
      </c>
      <c r="H1332" s="26">
        <v>-0.69445000000000001</v>
      </c>
      <c r="I1332" s="26"/>
      <c r="J1332" s="26" t="s">
        <v>512</v>
      </c>
      <c r="K1332" s="25" t="s">
        <v>513</v>
      </c>
    </row>
    <row r="1333" spans="1:11" ht="25.5" x14ac:dyDescent="0.25">
      <c r="A1333" s="22">
        <v>2026</v>
      </c>
      <c r="B1333" s="28" t="s">
        <v>183</v>
      </c>
      <c r="C1333" s="28" t="s">
        <v>97</v>
      </c>
      <c r="D1333" s="28" t="s">
        <v>1716</v>
      </c>
      <c r="E1333" s="29" t="s">
        <v>446</v>
      </c>
      <c r="F1333" s="29" t="s">
        <v>353</v>
      </c>
      <c r="G1333" s="25" t="s">
        <v>3110</v>
      </c>
      <c r="H1333" s="26">
        <v>-0.20275000000000001</v>
      </c>
      <c r="I1333" s="26"/>
      <c r="J1333" s="26" t="s">
        <v>512</v>
      </c>
      <c r="K1333" s="25" t="s">
        <v>513</v>
      </c>
    </row>
    <row r="1334" spans="1:11" ht="25.5" x14ac:dyDescent="0.25">
      <c r="A1334" s="22">
        <v>2026</v>
      </c>
      <c r="B1334" s="28" t="s">
        <v>183</v>
      </c>
      <c r="C1334" s="28" t="s">
        <v>97</v>
      </c>
      <c r="D1334" s="28" t="s">
        <v>1716</v>
      </c>
      <c r="E1334" s="29" t="s">
        <v>446</v>
      </c>
      <c r="F1334" s="29" t="s">
        <v>353</v>
      </c>
      <c r="G1334" s="25" t="s">
        <v>3111</v>
      </c>
      <c r="H1334" s="26">
        <v>-0.69245250000000003</v>
      </c>
      <c r="I1334" s="26"/>
      <c r="J1334" s="26" t="s">
        <v>512</v>
      </c>
      <c r="K1334" s="25" t="s">
        <v>513</v>
      </c>
    </row>
    <row r="1335" spans="1:11" ht="25.5" x14ac:dyDescent="0.25">
      <c r="A1335" s="22">
        <v>2026</v>
      </c>
      <c r="B1335" s="28" t="s">
        <v>183</v>
      </c>
      <c r="C1335" s="28" t="s">
        <v>97</v>
      </c>
      <c r="D1335" s="28" t="s">
        <v>1716</v>
      </c>
      <c r="E1335" s="29" t="s">
        <v>446</v>
      </c>
      <c r="F1335" s="29" t="s">
        <v>353</v>
      </c>
      <c r="G1335" s="25" t="s">
        <v>3112</v>
      </c>
      <c r="H1335" s="26">
        <v>-0.69522349999999999</v>
      </c>
      <c r="I1335" s="26"/>
      <c r="J1335" s="26" t="s">
        <v>512</v>
      </c>
      <c r="K1335" s="25" t="s">
        <v>513</v>
      </c>
    </row>
    <row r="1336" spans="1:11" ht="25.5" x14ac:dyDescent="0.25">
      <c r="A1336" s="22">
        <v>2026</v>
      </c>
      <c r="B1336" s="28" t="s">
        <v>183</v>
      </c>
      <c r="C1336" s="28" t="s">
        <v>97</v>
      </c>
      <c r="D1336" s="28" t="s">
        <v>1716</v>
      </c>
      <c r="E1336" s="29" t="s">
        <v>446</v>
      </c>
      <c r="F1336" s="29" t="s">
        <v>353</v>
      </c>
      <c r="G1336" s="25" t="s">
        <v>3113</v>
      </c>
      <c r="H1336" s="26">
        <v>-0.70258450000000017</v>
      </c>
      <c r="I1336" s="26"/>
      <c r="J1336" s="26" t="s">
        <v>512</v>
      </c>
      <c r="K1336" s="25" t="s">
        <v>513</v>
      </c>
    </row>
    <row r="1337" spans="1:11" ht="25.5" x14ac:dyDescent="0.25">
      <c r="A1337" s="22">
        <v>2026</v>
      </c>
      <c r="B1337" s="28" t="s">
        <v>183</v>
      </c>
      <c r="C1337" s="28" t="s">
        <v>97</v>
      </c>
      <c r="D1337" s="28" t="s">
        <v>1716</v>
      </c>
      <c r="E1337" s="29" t="s">
        <v>446</v>
      </c>
      <c r="F1337" s="29" t="s">
        <v>353</v>
      </c>
      <c r="G1337" s="25" t="s">
        <v>3114</v>
      </c>
      <c r="H1337" s="26">
        <v>-0.71153500000000003</v>
      </c>
      <c r="I1337" s="26"/>
      <c r="J1337" s="26" t="s">
        <v>512</v>
      </c>
      <c r="K1337" s="25" t="s">
        <v>513</v>
      </c>
    </row>
    <row r="1338" spans="1:11" ht="25.5" x14ac:dyDescent="0.25">
      <c r="A1338" s="22">
        <v>2026</v>
      </c>
      <c r="B1338" s="28" t="s">
        <v>183</v>
      </c>
      <c r="C1338" s="28" t="s">
        <v>97</v>
      </c>
      <c r="D1338" s="28" t="s">
        <v>229</v>
      </c>
      <c r="E1338" s="29" t="s">
        <v>923</v>
      </c>
      <c r="F1338" s="29" t="s">
        <v>298</v>
      </c>
      <c r="G1338" s="25" t="s">
        <v>3115</v>
      </c>
      <c r="H1338" s="26">
        <v>-0.50159999999999993</v>
      </c>
      <c r="I1338" s="26"/>
      <c r="J1338" s="26" t="s">
        <v>512</v>
      </c>
      <c r="K1338" s="25" t="s">
        <v>526</v>
      </c>
    </row>
    <row r="1339" spans="1:11" ht="25.5" x14ac:dyDescent="0.25">
      <c r="A1339" s="22">
        <v>2026</v>
      </c>
      <c r="B1339" s="28" t="s">
        <v>183</v>
      </c>
      <c r="C1339" s="28" t="s">
        <v>97</v>
      </c>
      <c r="D1339" s="28" t="s">
        <v>229</v>
      </c>
      <c r="E1339" s="29" t="s">
        <v>923</v>
      </c>
      <c r="F1339" s="29" t="s">
        <v>298</v>
      </c>
      <c r="G1339" s="25" t="s">
        <v>3116</v>
      </c>
      <c r="H1339" s="26">
        <v>-0.63364500000000001</v>
      </c>
      <c r="I1339" s="26"/>
      <c r="J1339" s="26" t="s">
        <v>512</v>
      </c>
      <c r="K1339" s="25" t="s">
        <v>526</v>
      </c>
    </row>
    <row r="1340" spans="1:11" ht="25.5" x14ac:dyDescent="0.25">
      <c r="A1340" s="22">
        <v>2026</v>
      </c>
      <c r="B1340" s="28" t="s">
        <v>183</v>
      </c>
      <c r="C1340" s="28" t="s">
        <v>97</v>
      </c>
      <c r="D1340" s="28" t="s">
        <v>229</v>
      </c>
      <c r="E1340" s="29" t="s">
        <v>923</v>
      </c>
      <c r="F1340" s="29" t="s">
        <v>298</v>
      </c>
      <c r="G1340" s="25" t="s">
        <v>3117</v>
      </c>
      <c r="H1340" s="26">
        <v>-0.37740000000000001</v>
      </c>
      <c r="I1340" s="26"/>
      <c r="J1340" s="26" t="s">
        <v>512</v>
      </c>
      <c r="K1340" s="25" t="s">
        <v>526</v>
      </c>
    </row>
    <row r="1341" spans="1:11" ht="25.5" x14ac:dyDescent="0.25">
      <c r="A1341" s="22">
        <v>2026</v>
      </c>
      <c r="B1341" s="28" t="s">
        <v>183</v>
      </c>
      <c r="C1341" s="28" t="s">
        <v>97</v>
      </c>
      <c r="D1341" s="28" t="s">
        <v>229</v>
      </c>
      <c r="E1341" s="29" t="s">
        <v>923</v>
      </c>
      <c r="F1341" s="29" t="s">
        <v>298</v>
      </c>
      <c r="G1341" s="25" t="s">
        <v>3118</v>
      </c>
      <c r="H1341" s="26">
        <v>-0.12716620000000001</v>
      </c>
      <c r="I1341" s="26"/>
      <c r="J1341" s="26" t="s">
        <v>512</v>
      </c>
      <c r="K1341" s="25" t="s">
        <v>526</v>
      </c>
    </row>
    <row r="1342" spans="1:11" ht="25.5" x14ac:dyDescent="0.25">
      <c r="A1342" s="22">
        <v>2026</v>
      </c>
      <c r="B1342" s="28" t="s">
        <v>183</v>
      </c>
      <c r="C1342" s="28" t="s">
        <v>97</v>
      </c>
      <c r="D1342" s="28" t="s">
        <v>229</v>
      </c>
      <c r="E1342" s="29" t="s">
        <v>923</v>
      </c>
      <c r="F1342" s="29" t="s">
        <v>298</v>
      </c>
      <c r="G1342" s="25" t="s">
        <v>3119</v>
      </c>
      <c r="H1342" s="26">
        <v>-3.1850000000000003E-2</v>
      </c>
      <c r="I1342" s="26"/>
      <c r="J1342" s="26" t="s">
        <v>512</v>
      </c>
      <c r="K1342" s="25" t="s">
        <v>526</v>
      </c>
    </row>
    <row r="1343" spans="1:11" ht="25.5" x14ac:dyDescent="0.25">
      <c r="A1343" s="22">
        <v>2026</v>
      </c>
      <c r="B1343" s="28" t="s">
        <v>183</v>
      </c>
      <c r="C1343" s="28" t="s">
        <v>97</v>
      </c>
      <c r="D1343" s="28" t="s">
        <v>204</v>
      </c>
      <c r="E1343" s="29" t="s">
        <v>371</v>
      </c>
      <c r="F1343" s="29" t="s">
        <v>301</v>
      </c>
      <c r="G1343" s="25" t="s">
        <v>3120</v>
      </c>
      <c r="H1343" s="26">
        <v>-3.6392609830499897E-2</v>
      </c>
      <c r="I1343" s="26"/>
      <c r="J1343" s="26" t="s">
        <v>514</v>
      </c>
      <c r="K1343" s="25" t="s">
        <v>515</v>
      </c>
    </row>
    <row r="1344" spans="1:11" ht="25.5" x14ac:dyDescent="0.25">
      <c r="A1344" s="22">
        <v>2026</v>
      </c>
      <c r="B1344" s="28" t="s">
        <v>183</v>
      </c>
      <c r="C1344" s="28" t="s">
        <v>97</v>
      </c>
      <c r="D1344" s="28" t="s">
        <v>204</v>
      </c>
      <c r="E1344" s="29" t="s">
        <v>371</v>
      </c>
      <c r="F1344" s="29" t="s">
        <v>301</v>
      </c>
      <c r="G1344" s="25" t="s">
        <v>3121</v>
      </c>
      <c r="H1344" s="26">
        <v>-3.6911606516400006E-2</v>
      </c>
      <c r="I1344" s="26"/>
      <c r="J1344" s="26" t="s">
        <v>514</v>
      </c>
      <c r="K1344" s="25" t="s">
        <v>515</v>
      </c>
    </row>
    <row r="1345" spans="1:11" ht="25.5" x14ac:dyDescent="0.25">
      <c r="A1345" s="22">
        <v>2026</v>
      </c>
      <c r="B1345" s="28" t="s">
        <v>183</v>
      </c>
      <c r="C1345" s="28" t="s">
        <v>97</v>
      </c>
      <c r="D1345" s="28" t="s">
        <v>204</v>
      </c>
      <c r="E1345" s="29" t="s">
        <v>371</v>
      </c>
      <c r="F1345" s="29" t="s">
        <v>301</v>
      </c>
      <c r="G1345" s="25" t="s">
        <v>3122</v>
      </c>
      <c r="H1345" s="26">
        <v>-3.8369271372600003E-2</v>
      </c>
      <c r="I1345" s="26"/>
      <c r="J1345" s="26" t="s">
        <v>514</v>
      </c>
      <c r="K1345" s="25" t="s">
        <v>515</v>
      </c>
    </row>
    <row r="1346" spans="1:11" ht="25.5" x14ac:dyDescent="0.25">
      <c r="A1346" s="22">
        <v>2026</v>
      </c>
      <c r="B1346" s="28" t="s">
        <v>183</v>
      </c>
      <c r="C1346" s="28" t="s">
        <v>97</v>
      </c>
      <c r="D1346" s="28" t="s">
        <v>1718</v>
      </c>
      <c r="E1346" s="29" t="s">
        <v>1084</v>
      </c>
      <c r="F1346" s="29" t="s">
        <v>1762</v>
      </c>
      <c r="G1346" s="25" t="s">
        <v>3123</v>
      </c>
      <c r="H1346" s="26">
        <v>-2.682643348</v>
      </c>
      <c r="I1346" s="26"/>
      <c r="J1346" s="26" t="s">
        <v>512</v>
      </c>
      <c r="K1346" s="25" t="s">
        <v>513</v>
      </c>
    </row>
    <row r="1347" spans="1:11" ht="25.5" x14ac:dyDescent="0.25">
      <c r="A1347" s="22">
        <v>2026</v>
      </c>
      <c r="B1347" s="28" t="s">
        <v>183</v>
      </c>
      <c r="C1347" s="28" t="s">
        <v>97</v>
      </c>
      <c r="D1347" s="28" t="s">
        <v>1718</v>
      </c>
      <c r="E1347" s="29" t="s">
        <v>1084</v>
      </c>
      <c r="F1347" s="29" t="s">
        <v>1762</v>
      </c>
      <c r="G1347" s="25" t="s">
        <v>3124</v>
      </c>
      <c r="H1347" s="26">
        <v>-1.3940431668</v>
      </c>
      <c r="I1347" s="26"/>
      <c r="J1347" s="26" t="s">
        <v>512</v>
      </c>
      <c r="K1347" s="25" t="s">
        <v>513</v>
      </c>
    </row>
    <row r="1348" spans="1:11" ht="25.5" x14ac:dyDescent="0.25">
      <c r="A1348" s="22">
        <v>2026</v>
      </c>
      <c r="B1348" s="28" t="s">
        <v>183</v>
      </c>
      <c r="C1348" s="28" t="s">
        <v>97</v>
      </c>
      <c r="D1348" s="28" t="s">
        <v>1718</v>
      </c>
      <c r="E1348" s="29" t="s">
        <v>1084</v>
      </c>
      <c r="F1348" s="29" t="s">
        <v>1762</v>
      </c>
      <c r="G1348" s="25" t="s">
        <v>3125</v>
      </c>
      <c r="H1348" s="26">
        <v>-0.82939563839999997</v>
      </c>
      <c r="I1348" s="26"/>
      <c r="J1348" s="26" t="s">
        <v>512</v>
      </c>
      <c r="K1348" s="25" t="s">
        <v>513</v>
      </c>
    </row>
    <row r="1349" spans="1:11" ht="25.5" x14ac:dyDescent="0.25">
      <c r="A1349" s="22">
        <v>2026</v>
      </c>
      <c r="B1349" s="28" t="s">
        <v>183</v>
      </c>
      <c r="C1349" s="28" t="s">
        <v>97</v>
      </c>
      <c r="D1349" s="28" t="s">
        <v>1718</v>
      </c>
      <c r="E1349" s="29" t="s">
        <v>1084</v>
      </c>
      <c r="F1349" s="29" t="s">
        <v>1762</v>
      </c>
      <c r="G1349" s="25" t="s">
        <v>3126</v>
      </c>
      <c r="H1349" s="26">
        <v>-1.467199084</v>
      </c>
      <c r="I1349" s="26"/>
      <c r="J1349" s="26" t="s">
        <v>512</v>
      </c>
      <c r="K1349" s="25" t="s">
        <v>513</v>
      </c>
    </row>
    <row r="1350" spans="1:11" ht="25.5" x14ac:dyDescent="0.25">
      <c r="A1350" s="22">
        <v>2026</v>
      </c>
      <c r="B1350" s="28" t="s">
        <v>183</v>
      </c>
      <c r="C1350" s="28" t="s">
        <v>97</v>
      </c>
      <c r="D1350" s="28" t="s">
        <v>1718</v>
      </c>
      <c r="E1350" s="29" t="s">
        <v>1084</v>
      </c>
      <c r="F1350" s="29" t="s">
        <v>1762</v>
      </c>
      <c r="G1350" s="25" t="s">
        <v>3127</v>
      </c>
      <c r="H1350" s="26">
        <v>-0.89459999999999995</v>
      </c>
      <c r="I1350" s="26"/>
      <c r="J1350" s="26" t="s">
        <v>512</v>
      </c>
      <c r="K1350" s="25" t="s">
        <v>513</v>
      </c>
    </row>
    <row r="1351" spans="1:11" ht="25.5" x14ac:dyDescent="0.25">
      <c r="A1351" s="22">
        <v>2026</v>
      </c>
      <c r="B1351" s="28" t="s">
        <v>183</v>
      </c>
      <c r="C1351" s="28" t="s">
        <v>97</v>
      </c>
      <c r="D1351" s="28" t="s">
        <v>1718</v>
      </c>
      <c r="E1351" s="29" t="s">
        <v>1084</v>
      </c>
      <c r="F1351" s="29" t="s">
        <v>1762</v>
      </c>
      <c r="G1351" s="25" t="s">
        <v>3128</v>
      </c>
      <c r="H1351" s="26">
        <v>-7.9500000000000001E-2</v>
      </c>
      <c r="I1351" s="26"/>
      <c r="J1351" s="26" t="s">
        <v>512</v>
      </c>
      <c r="K1351" s="25" t="s">
        <v>513</v>
      </c>
    </row>
    <row r="1352" spans="1:11" ht="25.5" x14ac:dyDescent="0.25">
      <c r="A1352" s="22">
        <v>2026</v>
      </c>
      <c r="B1352" s="28" t="s">
        <v>183</v>
      </c>
      <c r="C1352" s="28" t="s">
        <v>97</v>
      </c>
      <c r="D1352" s="28" t="s">
        <v>1718</v>
      </c>
      <c r="E1352" s="29" t="s">
        <v>1084</v>
      </c>
      <c r="F1352" s="29" t="s">
        <v>1762</v>
      </c>
      <c r="G1352" s="25" t="s">
        <v>3129</v>
      </c>
      <c r="H1352" s="26">
        <v>-1.8185465199999999</v>
      </c>
      <c r="I1352" s="26"/>
      <c r="J1352" s="26" t="s">
        <v>512</v>
      </c>
      <c r="K1352" s="25" t="s">
        <v>513</v>
      </c>
    </row>
    <row r="1353" spans="1:11" ht="25.5" x14ac:dyDescent="0.25">
      <c r="A1353" s="22">
        <v>2026</v>
      </c>
      <c r="B1353" s="28" t="s">
        <v>183</v>
      </c>
      <c r="C1353" s="28" t="s">
        <v>97</v>
      </c>
      <c r="D1353" s="28" t="s">
        <v>1718</v>
      </c>
      <c r="E1353" s="29" t="s">
        <v>1084</v>
      </c>
      <c r="F1353" s="29" t="s">
        <v>1762</v>
      </c>
      <c r="G1353" s="25" t="s">
        <v>3130</v>
      </c>
      <c r="H1353" s="26">
        <v>-0.89068777200000004</v>
      </c>
      <c r="I1353" s="26"/>
      <c r="J1353" s="26" t="s">
        <v>512</v>
      </c>
      <c r="K1353" s="25" t="s">
        <v>513</v>
      </c>
    </row>
    <row r="1354" spans="1:11" ht="25.5" x14ac:dyDescent="0.25">
      <c r="A1354" s="22">
        <v>2026</v>
      </c>
      <c r="B1354" s="28" t="s">
        <v>183</v>
      </c>
      <c r="C1354" s="28" t="s">
        <v>97</v>
      </c>
      <c r="D1354" s="28" t="s">
        <v>1718</v>
      </c>
      <c r="E1354" s="29" t="s">
        <v>1084</v>
      </c>
      <c r="F1354" s="29" t="s">
        <v>1762</v>
      </c>
      <c r="G1354" s="25" t="s">
        <v>3131</v>
      </c>
      <c r="H1354" s="26">
        <v>-1.0853174309999998</v>
      </c>
      <c r="I1354" s="26"/>
      <c r="J1354" s="26" t="s">
        <v>512</v>
      </c>
      <c r="K1354" s="25" t="s">
        <v>513</v>
      </c>
    </row>
    <row r="1355" spans="1:11" ht="25.5" x14ac:dyDescent="0.25">
      <c r="A1355" s="22">
        <v>2026</v>
      </c>
      <c r="B1355" s="28" t="s">
        <v>183</v>
      </c>
      <c r="C1355" s="28" t="s">
        <v>97</v>
      </c>
      <c r="D1355" s="28" t="s">
        <v>1718</v>
      </c>
      <c r="E1355" s="29" t="s">
        <v>1084</v>
      </c>
      <c r="F1355" s="29" t="s">
        <v>1762</v>
      </c>
      <c r="G1355" s="25" t="s">
        <v>3132</v>
      </c>
      <c r="H1355" s="26">
        <v>-1.1333944636</v>
      </c>
      <c r="I1355" s="26"/>
      <c r="J1355" s="26" t="s">
        <v>512</v>
      </c>
      <c r="K1355" s="25" t="s">
        <v>513</v>
      </c>
    </row>
    <row r="1356" spans="1:11" ht="25.5" x14ac:dyDescent="0.25">
      <c r="A1356" s="22">
        <v>2026</v>
      </c>
      <c r="B1356" s="28" t="s">
        <v>183</v>
      </c>
      <c r="C1356" s="28" t="s">
        <v>97</v>
      </c>
      <c r="D1356" s="28" t="s">
        <v>1718</v>
      </c>
      <c r="E1356" s="29" t="s">
        <v>1084</v>
      </c>
      <c r="F1356" s="29" t="s">
        <v>1762</v>
      </c>
      <c r="G1356" s="25" t="s">
        <v>3133</v>
      </c>
      <c r="H1356" s="26">
        <v>-1.91316</v>
      </c>
      <c r="I1356" s="26"/>
      <c r="J1356" s="26" t="s">
        <v>512</v>
      </c>
      <c r="K1356" s="25" t="s">
        <v>513</v>
      </c>
    </row>
    <row r="1357" spans="1:11" ht="25.5" x14ac:dyDescent="0.25">
      <c r="A1357" s="22">
        <v>2026</v>
      </c>
      <c r="B1357" s="28" t="s">
        <v>183</v>
      </c>
      <c r="C1357" s="28" t="s">
        <v>97</v>
      </c>
      <c r="D1357" s="28" t="s">
        <v>1718</v>
      </c>
      <c r="E1357" s="29" t="s">
        <v>1084</v>
      </c>
      <c r="F1357" s="29" t="s">
        <v>1762</v>
      </c>
      <c r="G1357" s="25" t="s">
        <v>3134</v>
      </c>
      <c r="H1357" s="26">
        <v>-0.67689677999999998</v>
      </c>
      <c r="I1357" s="26"/>
      <c r="J1357" s="26" t="s">
        <v>512</v>
      </c>
      <c r="K1357" s="25" t="s">
        <v>513</v>
      </c>
    </row>
    <row r="1358" spans="1:11" ht="25.5" x14ac:dyDescent="0.25">
      <c r="A1358" s="22">
        <v>2026</v>
      </c>
      <c r="B1358" s="28" t="s">
        <v>183</v>
      </c>
      <c r="C1358" s="28" t="s">
        <v>97</v>
      </c>
      <c r="D1358" s="28" t="s">
        <v>1718</v>
      </c>
      <c r="E1358" s="29" t="s">
        <v>1084</v>
      </c>
      <c r="F1358" s="29" t="s">
        <v>1762</v>
      </c>
      <c r="G1358" s="25" t="s">
        <v>3135</v>
      </c>
      <c r="H1358" s="26">
        <v>-0.69209799999999999</v>
      </c>
      <c r="I1358" s="26"/>
      <c r="J1358" s="26" t="s">
        <v>512</v>
      </c>
      <c r="K1358" s="25" t="s">
        <v>513</v>
      </c>
    </row>
    <row r="1359" spans="1:11" ht="25.5" x14ac:dyDescent="0.25">
      <c r="A1359" s="22">
        <v>2026</v>
      </c>
      <c r="B1359" s="28" t="s">
        <v>183</v>
      </c>
      <c r="C1359" s="28" t="s">
        <v>97</v>
      </c>
      <c r="D1359" s="28" t="s">
        <v>1718</v>
      </c>
      <c r="E1359" s="29" t="s">
        <v>1084</v>
      </c>
      <c r="F1359" s="29" t="s">
        <v>1762</v>
      </c>
      <c r="G1359" s="25" t="s">
        <v>3136</v>
      </c>
      <c r="H1359" s="26">
        <v>-0.66775499999999999</v>
      </c>
      <c r="I1359" s="26"/>
      <c r="J1359" s="26" t="s">
        <v>512</v>
      </c>
      <c r="K1359" s="25" t="s">
        <v>513</v>
      </c>
    </row>
    <row r="1360" spans="1:11" ht="25.5" x14ac:dyDescent="0.25">
      <c r="A1360" s="22">
        <v>2026</v>
      </c>
      <c r="B1360" s="28" t="s">
        <v>183</v>
      </c>
      <c r="C1360" s="28" t="s">
        <v>97</v>
      </c>
      <c r="D1360" s="28" t="s">
        <v>1719</v>
      </c>
      <c r="E1360" s="29" t="s">
        <v>1084</v>
      </c>
      <c r="F1360" s="29" t="s">
        <v>287</v>
      </c>
      <c r="G1360" s="25" t="s">
        <v>3137</v>
      </c>
      <c r="H1360" s="26">
        <v>-1.6770882696</v>
      </c>
      <c r="I1360" s="26"/>
      <c r="J1360" s="26" t="s">
        <v>514</v>
      </c>
      <c r="K1360" s="25" t="s">
        <v>513</v>
      </c>
    </row>
    <row r="1361" spans="1:11" ht="25.5" x14ac:dyDescent="0.25">
      <c r="A1361" s="22">
        <v>2026</v>
      </c>
      <c r="B1361" s="28" t="s">
        <v>183</v>
      </c>
      <c r="C1361" s="28" t="s">
        <v>97</v>
      </c>
      <c r="D1361" s="28" t="s">
        <v>1719</v>
      </c>
      <c r="E1361" s="29" t="s">
        <v>1084</v>
      </c>
      <c r="F1361" s="29" t="s">
        <v>287</v>
      </c>
      <c r="G1361" s="25" t="s">
        <v>3138</v>
      </c>
      <c r="H1361" s="26">
        <v>-0.25155081350000003</v>
      </c>
      <c r="I1361" s="26"/>
      <c r="J1361" s="26" t="s">
        <v>514</v>
      </c>
      <c r="K1361" s="25" t="s">
        <v>513</v>
      </c>
    </row>
    <row r="1362" spans="1:11" ht="25.5" x14ac:dyDescent="0.25">
      <c r="A1362" s="22">
        <v>2026</v>
      </c>
      <c r="B1362" s="28" t="s">
        <v>183</v>
      </c>
      <c r="C1362" s="28" t="s">
        <v>97</v>
      </c>
      <c r="D1362" s="28" t="s">
        <v>1719</v>
      </c>
      <c r="E1362" s="29" t="s">
        <v>1084</v>
      </c>
      <c r="F1362" s="29" t="s">
        <v>287</v>
      </c>
      <c r="G1362" s="25" t="s">
        <v>3139</v>
      </c>
      <c r="H1362" s="26">
        <v>-0.34983293239999996</v>
      </c>
      <c r="I1362" s="26"/>
      <c r="J1362" s="26" t="s">
        <v>514</v>
      </c>
      <c r="K1362" s="25" t="s">
        <v>513</v>
      </c>
    </row>
    <row r="1363" spans="1:11" ht="25.5" x14ac:dyDescent="0.25">
      <c r="A1363" s="22">
        <v>2026</v>
      </c>
      <c r="B1363" s="28" t="s">
        <v>183</v>
      </c>
      <c r="C1363" s="28" t="s">
        <v>97</v>
      </c>
      <c r="D1363" s="28" t="s">
        <v>1719</v>
      </c>
      <c r="E1363" s="29" t="s">
        <v>1084</v>
      </c>
      <c r="F1363" s="29" t="s">
        <v>287</v>
      </c>
      <c r="G1363" s="25" t="s">
        <v>3140</v>
      </c>
      <c r="H1363" s="26">
        <v>-0.31483967059999995</v>
      </c>
      <c r="I1363" s="26"/>
      <c r="J1363" s="26" t="s">
        <v>514</v>
      </c>
      <c r="K1363" s="25" t="s">
        <v>513</v>
      </c>
    </row>
    <row r="1364" spans="1:11" ht="25.5" x14ac:dyDescent="0.25">
      <c r="A1364" s="22">
        <v>2026</v>
      </c>
      <c r="B1364" s="28" t="s">
        <v>183</v>
      </c>
      <c r="C1364" s="28" t="s">
        <v>97</v>
      </c>
      <c r="D1364" s="28" t="s">
        <v>1719</v>
      </c>
      <c r="E1364" s="29" t="s">
        <v>1084</v>
      </c>
      <c r="F1364" s="29" t="s">
        <v>287</v>
      </c>
      <c r="G1364" s="25" t="s">
        <v>3141</v>
      </c>
      <c r="H1364" s="26">
        <v>-0.86519999999999997</v>
      </c>
      <c r="I1364" s="26"/>
      <c r="J1364" s="26" t="s">
        <v>514</v>
      </c>
      <c r="K1364" s="25" t="s">
        <v>513</v>
      </c>
    </row>
    <row r="1365" spans="1:11" ht="25.5" x14ac:dyDescent="0.25">
      <c r="A1365" s="22">
        <v>2026</v>
      </c>
      <c r="B1365" s="28" t="s">
        <v>183</v>
      </c>
      <c r="C1365" s="28" t="s">
        <v>97</v>
      </c>
      <c r="D1365" s="28" t="s">
        <v>1719</v>
      </c>
      <c r="E1365" s="29" t="s">
        <v>1084</v>
      </c>
      <c r="F1365" s="29" t="s">
        <v>287</v>
      </c>
      <c r="G1365" s="25" t="s">
        <v>3142</v>
      </c>
      <c r="H1365" s="26">
        <v>-0.9375</v>
      </c>
      <c r="I1365" s="26"/>
      <c r="J1365" s="26" t="s">
        <v>514</v>
      </c>
      <c r="K1365" s="25" t="s">
        <v>513</v>
      </c>
    </row>
    <row r="1366" spans="1:11" ht="25.5" x14ac:dyDescent="0.25">
      <c r="A1366" s="22">
        <v>2026</v>
      </c>
      <c r="B1366" s="28" t="s">
        <v>183</v>
      </c>
      <c r="C1366" s="28" t="s">
        <v>97</v>
      </c>
      <c r="D1366" s="28" t="s">
        <v>1719</v>
      </c>
      <c r="E1366" s="29" t="s">
        <v>1084</v>
      </c>
      <c r="F1366" s="29" t="s">
        <v>287</v>
      </c>
      <c r="G1366" s="25" t="s">
        <v>3143</v>
      </c>
      <c r="H1366" s="26">
        <v>-0.17247654000000001</v>
      </c>
      <c r="I1366" s="26"/>
      <c r="J1366" s="26" t="s">
        <v>514</v>
      </c>
      <c r="K1366" s="25" t="s">
        <v>513</v>
      </c>
    </row>
    <row r="1367" spans="1:11" ht="25.5" x14ac:dyDescent="0.25">
      <c r="A1367" s="22">
        <v>2026</v>
      </c>
      <c r="B1367" s="28" t="s">
        <v>183</v>
      </c>
      <c r="C1367" s="28" t="s">
        <v>97</v>
      </c>
      <c r="D1367" s="28" t="s">
        <v>1719</v>
      </c>
      <c r="E1367" s="29" t="s">
        <v>1084</v>
      </c>
      <c r="F1367" s="29" t="s">
        <v>287</v>
      </c>
      <c r="G1367" s="25" t="s">
        <v>3144</v>
      </c>
      <c r="H1367" s="26">
        <v>-1.7787380471999998</v>
      </c>
      <c r="I1367" s="26"/>
      <c r="J1367" s="26" t="s">
        <v>514</v>
      </c>
      <c r="K1367" s="25" t="s">
        <v>513</v>
      </c>
    </row>
    <row r="1368" spans="1:11" ht="25.5" x14ac:dyDescent="0.25">
      <c r="A1368" s="22">
        <v>2026</v>
      </c>
      <c r="B1368" s="28" t="s">
        <v>183</v>
      </c>
      <c r="C1368" s="28" t="s">
        <v>97</v>
      </c>
      <c r="D1368" s="28" t="s">
        <v>1719</v>
      </c>
      <c r="E1368" s="29" t="s">
        <v>1084</v>
      </c>
      <c r="F1368" s="29" t="s">
        <v>287</v>
      </c>
      <c r="G1368" s="25" t="s">
        <v>3145</v>
      </c>
      <c r="H1368" s="26">
        <v>-1.1227615073999999</v>
      </c>
      <c r="I1368" s="26"/>
      <c r="J1368" s="26" t="s">
        <v>514</v>
      </c>
      <c r="K1368" s="25" t="s">
        <v>513</v>
      </c>
    </row>
    <row r="1369" spans="1:11" ht="25.5" x14ac:dyDescent="0.25">
      <c r="A1369" s="22">
        <v>2026</v>
      </c>
      <c r="B1369" s="28" t="s">
        <v>183</v>
      </c>
      <c r="C1369" s="28" t="s">
        <v>97</v>
      </c>
      <c r="D1369" s="28" t="s">
        <v>1721</v>
      </c>
      <c r="E1369" s="29" t="s">
        <v>411</v>
      </c>
      <c r="F1369" s="29" t="s">
        <v>353</v>
      </c>
      <c r="G1369" s="25" t="s">
        <v>3146</v>
      </c>
      <c r="H1369" s="26">
        <v>-2.6130300000000002</v>
      </c>
      <c r="I1369" s="26"/>
      <c r="J1369" s="26" t="s">
        <v>512</v>
      </c>
      <c r="K1369" s="25" t="s">
        <v>513</v>
      </c>
    </row>
    <row r="1370" spans="1:11" ht="25.5" x14ac:dyDescent="0.25">
      <c r="A1370" s="22">
        <v>2026</v>
      </c>
      <c r="B1370" s="28" t="s">
        <v>183</v>
      </c>
      <c r="C1370" s="28" t="s">
        <v>97</v>
      </c>
      <c r="D1370" s="28" t="s">
        <v>1721</v>
      </c>
      <c r="E1370" s="29" t="s">
        <v>411</v>
      </c>
      <c r="F1370" s="29" t="s">
        <v>353</v>
      </c>
      <c r="G1370" s="25" t="s">
        <v>3147</v>
      </c>
      <c r="H1370" s="26">
        <v>-1.842975</v>
      </c>
      <c r="I1370" s="26"/>
      <c r="J1370" s="26" t="s">
        <v>512</v>
      </c>
      <c r="K1370" s="25" t="s">
        <v>513</v>
      </c>
    </row>
    <row r="1371" spans="1:11" ht="25.5" x14ac:dyDescent="0.25">
      <c r="A1371" s="22">
        <v>2026</v>
      </c>
      <c r="B1371" s="28" t="s">
        <v>183</v>
      </c>
      <c r="C1371" s="28" t="s">
        <v>97</v>
      </c>
      <c r="D1371" s="28" t="s">
        <v>1721</v>
      </c>
      <c r="E1371" s="29" t="s">
        <v>411</v>
      </c>
      <c r="F1371" s="29" t="s">
        <v>353</v>
      </c>
      <c r="G1371" s="25" t="s">
        <v>3148</v>
      </c>
      <c r="H1371" s="26">
        <v>-2.57138</v>
      </c>
      <c r="I1371" s="26"/>
      <c r="J1371" s="26" t="s">
        <v>512</v>
      </c>
      <c r="K1371" s="25" t="s">
        <v>513</v>
      </c>
    </row>
    <row r="1372" spans="1:11" ht="25.5" x14ac:dyDescent="0.25">
      <c r="A1372" s="22">
        <v>2026</v>
      </c>
      <c r="B1372" s="28" t="s">
        <v>183</v>
      </c>
      <c r="C1372" s="28" t="s">
        <v>97</v>
      </c>
      <c r="D1372" s="28" t="s">
        <v>1721</v>
      </c>
      <c r="E1372" s="29" t="s">
        <v>411</v>
      </c>
      <c r="F1372" s="29" t="s">
        <v>353</v>
      </c>
      <c r="G1372" s="25" t="s">
        <v>3149</v>
      </c>
      <c r="H1372" s="26">
        <v>-2.5890900000000001</v>
      </c>
      <c r="I1372" s="26"/>
      <c r="J1372" s="26" t="s">
        <v>512</v>
      </c>
      <c r="K1372" s="25" t="s">
        <v>513</v>
      </c>
    </row>
    <row r="1373" spans="1:11" ht="25.5" x14ac:dyDescent="0.25">
      <c r="A1373" s="22">
        <v>2026</v>
      </c>
      <c r="B1373" s="28" t="s">
        <v>183</v>
      </c>
      <c r="C1373" s="28" t="s">
        <v>97</v>
      </c>
      <c r="D1373" s="28" t="s">
        <v>1721</v>
      </c>
      <c r="E1373" s="29" t="s">
        <v>411</v>
      </c>
      <c r="F1373" s="29" t="s">
        <v>353</v>
      </c>
      <c r="G1373" s="25" t="s">
        <v>3150</v>
      </c>
      <c r="H1373" s="26">
        <v>-2.5698050000000001</v>
      </c>
      <c r="I1373" s="26"/>
      <c r="J1373" s="26" t="s">
        <v>512</v>
      </c>
      <c r="K1373" s="25" t="s">
        <v>513</v>
      </c>
    </row>
    <row r="1374" spans="1:11" ht="25.5" x14ac:dyDescent="0.25">
      <c r="A1374" s="22">
        <v>2026</v>
      </c>
      <c r="B1374" s="28" t="s">
        <v>183</v>
      </c>
      <c r="C1374" s="28" t="s">
        <v>97</v>
      </c>
      <c r="D1374" s="28" t="s">
        <v>1721</v>
      </c>
      <c r="E1374" s="29" t="s">
        <v>411</v>
      </c>
      <c r="F1374" s="29" t="s">
        <v>353</v>
      </c>
      <c r="G1374" s="25" t="s">
        <v>3151</v>
      </c>
      <c r="H1374" s="26">
        <v>-2.0101627727999998</v>
      </c>
      <c r="I1374" s="26"/>
      <c r="J1374" s="26" t="s">
        <v>512</v>
      </c>
      <c r="K1374" s="25" t="s">
        <v>513</v>
      </c>
    </row>
    <row r="1375" spans="1:11" ht="25.5" x14ac:dyDescent="0.25">
      <c r="A1375" s="22">
        <v>2026</v>
      </c>
      <c r="B1375" s="28" t="s">
        <v>183</v>
      </c>
      <c r="C1375" s="28" t="s">
        <v>97</v>
      </c>
      <c r="D1375" s="28" t="s">
        <v>1721</v>
      </c>
      <c r="E1375" s="29" t="s">
        <v>411</v>
      </c>
      <c r="F1375" s="29" t="s">
        <v>353</v>
      </c>
      <c r="G1375" s="25" t="s">
        <v>3152</v>
      </c>
      <c r="H1375" s="26">
        <v>-2.6598250000000001</v>
      </c>
      <c r="I1375" s="26"/>
      <c r="J1375" s="26" t="s">
        <v>512</v>
      </c>
      <c r="K1375" s="25" t="s">
        <v>513</v>
      </c>
    </row>
    <row r="1376" spans="1:11" ht="25.5" x14ac:dyDescent="0.25">
      <c r="A1376" s="22">
        <v>2026</v>
      </c>
      <c r="B1376" s="28" t="s">
        <v>183</v>
      </c>
      <c r="C1376" s="28" t="s">
        <v>97</v>
      </c>
      <c r="D1376" s="28" t="s">
        <v>1721</v>
      </c>
      <c r="E1376" s="29" t="s">
        <v>411</v>
      </c>
      <c r="F1376" s="29" t="s">
        <v>353</v>
      </c>
      <c r="G1376" s="25" t="s">
        <v>3153</v>
      </c>
      <c r="H1376" s="26">
        <v>-0.59140530989999995</v>
      </c>
      <c r="I1376" s="26"/>
      <c r="J1376" s="26" t="s">
        <v>512</v>
      </c>
      <c r="K1376" s="25" t="s">
        <v>513</v>
      </c>
    </row>
    <row r="1377" spans="1:11" ht="25.5" x14ac:dyDescent="0.25">
      <c r="A1377" s="22">
        <v>2026</v>
      </c>
      <c r="B1377" s="28" t="s">
        <v>183</v>
      </c>
      <c r="C1377" s="28" t="s">
        <v>97</v>
      </c>
      <c r="D1377" s="28" t="s">
        <v>1721</v>
      </c>
      <c r="E1377" s="29" t="s">
        <v>411</v>
      </c>
      <c r="F1377" s="29" t="s">
        <v>353</v>
      </c>
      <c r="G1377" s="25" t="s">
        <v>3154</v>
      </c>
      <c r="H1377" s="26">
        <v>-0.46328979840000001</v>
      </c>
      <c r="I1377" s="26"/>
      <c r="J1377" s="26" t="s">
        <v>512</v>
      </c>
      <c r="K1377" s="25" t="s">
        <v>513</v>
      </c>
    </row>
    <row r="1378" spans="1:11" ht="25.5" x14ac:dyDescent="0.25">
      <c r="A1378" s="22">
        <v>2026</v>
      </c>
      <c r="B1378" s="28" t="s">
        <v>183</v>
      </c>
      <c r="C1378" s="28" t="s">
        <v>97</v>
      </c>
      <c r="D1378" s="28" t="s">
        <v>1721</v>
      </c>
      <c r="E1378" s="29" t="s">
        <v>411</v>
      </c>
      <c r="F1378" s="29" t="s">
        <v>353</v>
      </c>
      <c r="G1378" s="25" t="s">
        <v>3155</v>
      </c>
      <c r="H1378" s="26">
        <v>-0.20834608960000001</v>
      </c>
      <c r="I1378" s="26"/>
      <c r="J1378" s="26" t="s">
        <v>512</v>
      </c>
      <c r="K1378" s="25" t="s">
        <v>513</v>
      </c>
    </row>
    <row r="1379" spans="1:11" ht="25.5" x14ac:dyDescent="0.25">
      <c r="A1379" s="22">
        <v>2026</v>
      </c>
      <c r="B1379" s="28" t="s">
        <v>183</v>
      </c>
      <c r="C1379" s="28" t="s">
        <v>97</v>
      </c>
      <c r="D1379" s="28" t="s">
        <v>1721</v>
      </c>
      <c r="E1379" s="29" t="s">
        <v>411</v>
      </c>
      <c r="F1379" s="29" t="s">
        <v>353</v>
      </c>
      <c r="G1379" s="25" t="s">
        <v>3156</v>
      </c>
      <c r="H1379" s="26">
        <v>-0.85664291579999996</v>
      </c>
      <c r="I1379" s="26"/>
      <c r="J1379" s="26" t="s">
        <v>512</v>
      </c>
      <c r="K1379" s="25" t="s">
        <v>513</v>
      </c>
    </row>
    <row r="1380" spans="1:11" ht="25.5" x14ac:dyDescent="0.25">
      <c r="A1380" s="22">
        <v>2026</v>
      </c>
      <c r="B1380" s="28" t="s">
        <v>183</v>
      </c>
      <c r="C1380" s="28" t="s">
        <v>97</v>
      </c>
      <c r="D1380" s="28" t="s">
        <v>1721</v>
      </c>
      <c r="E1380" s="29" t="s">
        <v>411</v>
      </c>
      <c r="F1380" s="29" t="s">
        <v>353</v>
      </c>
      <c r="G1380" s="25" t="s">
        <v>3157</v>
      </c>
      <c r="H1380" s="26">
        <v>-0.96388546320000001</v>
      </c>
      <c r="I1380" s="26"/>
      <c r="J1380" s="26" t="s">
        <v>512</v>
      </c>
      <c r="K1380" s="25" t="s">
        <v>513</v>
      </c>
    </row>
    <row r="1381" spans="1:11" ht="25.5" x14ac:dyDescent="0.25">
      <c r="A1381" s="22">
        <v>2026</v>
      </c>
      <c r="B1381" s="28" t="s">
        <v>183</v>
      </c>
      <c r="C1381" s="28" t="s">
        <v>97</v>
      </c>
      <c r="D1381" s="28" t="s">
        <v>1721</v>
      </c>
      <c r="E1381" s="29" t="s">
        <v>411</v>
      </c>
      <c r="F1381" s="29" t="s">
        <v>353</v>
      </c>
      <c r="G1381" s="25" t="s">
        <v>3158</v>
      </c>
      <c r="H1381" s="26">
        <v>-1.0930820000000001</v>
      </c>
      <c r="I1381" s="26"/>
      <c r="J1381" s="26" t="s">
        <v>512</v>
      </c>
      <c r="K1381" s="25" t="s">
        <v>513</v>
      </c>
    </row>
    <row r="1382" spans="1:11" ht="25.5" x14ac:dyDescent="0.25">
      <c r="A1382" s="22">
        <v>2026</v>
      </c>
      <c r="B1382" s="28" t="s">
        <v>183</v>
      </c>
      <c r="C1382" s="28" t="s">
        <v>97</v>
      </c>
      <c r="D1382" s="28" t="s">
        <v>1721</v>
      </c>
      <c r="E1382" s="29" t="s">
        <v>411</v>
      </c>
      <c r="F1382" s="29" t="s">
        <v>353</v>
      </c>
      <c r="G1382" s="25" t="s">
        <v>3159</v>
      </c>
      <c r="H1382" s="26">
        <v>-1.4480850000000001</v>
      </c>
      <c r="I1382" s="26"/>
      <c r="J1382" s="26" t="s">
        <v>512</v>
      </c>
      <c r="K1382" s="25" t="s">
        <v>513</v>
      </c>
    </row>
    <row r="1383" spans="1:11" ht="25.5" x14ac:dyDescent="0.25">
      <c r="A1383" s="22">
        <v>2026</v>
      </c>
      <c r="B1383" s="28" t="s">
        <v>183</v>
      </c>
      <c r="C1383" s="28" t="s">
        <v>97</v>
      </c>
      <c r="D1383" s="28" t="s">
        <v>1721</v>
      </c>
      <c r="E1383" s="29" t="s">
        <v>411</v>
      </c>
      <c r="F1383" s="29" t="s">
        <v>353</v>
      </c>
      <c r="G1383" s="25" t="s">
        <v>3160</v>
      </c>
      <c r="H1383" s="26">
        <v>-0.19425000000000001</v>
      </c>
      <c r="I1383" s="26"/>
      <c r="J1383" s="26" t="s">
        <v>512</v>
      </c>
      <c r="K1383" s="25" t="s">
        <v>513</v>
      </c>
    </row>
    <row r="1384" spans="1:11" ht="25.5" x14ac:dyDescent="0.25">
      <c r="A1384" s="22">
        <v>2026</v>
      </c>
      <c r="B1384" s="28" t="s">
        <v>183</v>
      </c>
      <c r="C1384" s="28" t="s">
        <v>97</v>
      </c>
      <c r="D1384" s="28" t="s">
        <v>1721</v>
      </c>
      <c r="E1384" s="29" t="s">
        <v>411</v>
      </c>
      <c r="F1384" s="29" t="s">
        <v>353</v>
      </c>
      <c r="G1384" s="25" t="s">
        <v>3161</v>
      </c>
      <c r="H1384" s="26">
        <v>-0.6597914399999999</v>
      </c>
      <c r="I1384" s="26"/>
      <c r="J1384" s="26" t="s">
        <v>512</v>
      </c>
      <c r="K1384" s="25" t="s">
        <v>513</v>
      </c>
    </row>
    <row r="1385" spans="1:11" ht="25.5" x14ac:dyDescent="0.25">
      <c r="A1385" s="22">
        <v>2026</v>
      </c>
      <c r="B1385" s="28" t="s">
        <v>183</v>
      </c>
      <c r="C1385" s="28" t="s">
        <v>97</v>
      </c>
      <c r="D1385" s="28" t="s">
        <v>1722</v>
      </c>
      <c r="E1385" s="29" t="s">
        <v>640</v>
      </c>
      <c r="F1385" s="29" t="s">
        <v>282</v>
      </c>
      <c r="G1385" s="25" t="s">
        <v>3162</v>
      </c>
      <c r="H1385" s="26">
        <v>-2.7251951999999999E-2</v>
      </c>
      <c r="I1385" s="26"/>
      <c r="J1385" s="26" t="s">
        <v>521</v>
      </c>
      <c r="K1385" s="25" t="s">
        <v>513</v>
      </c>
    </row>
    <row r="1386" spans="1:11" ht="25.5" x14ac:dyDescent="0.25">
      <c r="A1386" s="22">
        <v>2026</v>
      </c>
      <c r="B1386" s="28" t="s">
        <v>183</v>
      </c>
      <c r="C1386" s="28" t="s">
        <v>97</v>
      </c>
      <c r="D1386" s="28" t="s">
        <v>1722</v>
      </c>
      <c r="E1386" s="29" t="s">
        <v>640</v>
      </c>
      <c r="F1386" s="29" t="s">
        <v>282</v>
      </c>
      <c r="G1386" s="25" t="s">
        <v>3163</v>
      </c>
      <c r="H1386" s="26">
        <v>-2.1536728200000001E-2</v>
      </c>
      <c r="I1386" s="26"/>
      <c r="J1386" s="26" t="s">
        <v>521</v>
      </c>
      <c r="K1386" s="25" t="s">
        <v>513</v>
      </c>
    </row>
    <row r="1387" spans="1:11" ht="25.5" x14ac:dyDescent="0.25">
      <c r="A1387" s="22">
        <v>2026</v>
      </c>
      <c r="B1387" s="28" t="s">
        <v>183</v>
      </c>
      <c r="C1387" s="28" t="s">
        <v>97</v>
      </c>
      <c r="D1387" s="28" t="s">
        <v>1722</v>
      </c>
      <c r="E1387" s="29" t="s">
        <v>640</v>
      </c>
      <c r="F1387" s="29" t="s">
        <v>282</v>
      </c>
      <c r="G1387" s="25" t="s">
        <v>3164</v>
      </c>
      <c r="H1387" s="26">
        <v>-2.7463702E-2</v>
      </c>
      <c r="I1387" s="26"/>
      <c r="J1387" s="26" t="s">
        <v>521</v>
      </c>
      <c r="K1387" s="25" t="s">
        <v>513</v>
      </c>
    </row>
    <row r="1388" spans="1:11" ht="25.5" x14ac:dyDescent="0.25">
      <c r="A1388" s="22">
        <v>2026</v>
      </c>
      <c r="B1388" s="28" t="s">
        <v>183</v>
      </c>
      <c r="C1388" s="28" t="s">
        <v>97</v>
      </c>
      <c r="D1388" s="28" t="s">
        <v>1722</v>
      </c>
      <c r="E1388" s="29" t="s">
        <v>640</v>
      </c>
      <c r="F1388" s="29" t="s">
        <v>282</v>
      </c>
      <c r="G1388" s="25" t="s">
        <v>3165</v>
      </c>
      <c r="H1388" s="26">
        <v>-2.6258253000000002E-2</v>
      </c>
      <c r="I1388" s="26"/>
      <c r="J1388" s="26" t="s">
        <v>521</v>
      </c>
      <c r="K1388" s="25" t="s">
        <v>513</v>
      </c>
    </row>
    <row r="1389" spans="1:11" ht="25.5" x14ac:dyDescent="0.25">
      <c r="A1389" s="22">
        <v>2026</v>
      </c>
      <c r="B1389" s="28" t="s">
        <v>183</v>
      </c>
      <c r="C1389" s="28" t="s">
        <v>97</v>
      </c>
      <c r="D1389" s="28" t="s">
        <v>1722</v>
      </c>
      <c r="E1389" s="29" t="s">
        <v>640</v>
      </c>
      <c r="F1389" s="29" t="s">
        <v>282</v>
      </c>
      <c r="G1389" s="25" t="s">
        <v>3166</v>
      </c>
      <c r="H1389" s="26">
        <v>-3.99322488E-2</v>
      </c>
      <c r="I1389" s="26"/>
      <c r="J1389" s="26" t="s">
        <v>521</v>
      </c>
      <c r="K1389" s="25" t="s">
        <v>513</v>
      </c>
    </row>
    <row r="1390" spans="1:11" ht="25.5" x14ac:dyDescent="0.25">
      <c r="A1390" s="22">
        <v>2026</v>
      </c>
      <c r="B1390" s="28" t="s">
        <v>183</v>
      </c>
      <c r="C1390" s="28" t="s">
        <v>97</v>
      </c>
      <c r="D1390" s="28" t="s">
        <v>1722</v>
      </c>
      <c r="E1390" s="29" t="s">
        <v>640</v>
      </c>
      <c r="F1390" s="29" t="s">
        <v>282</v>
      </c>
      <c r="G1390" s="25" t="s">
        <v>3167</v>
      </c>
      <c r="H1390" s="26">
        <v>-2.63171128E-2</v>
      </c>
      <c r="I1390" s="26"/>
      <c r="J1390" s="26" t="s">
        <v>521</v>
      </c>
      <c r="K1390" s="25" t="s">
        <v>513</v>
      </c>
    </row>
    <row r="1391" spans="1:11" ht="25.5" x14ac:dyDescent="0.25">
      <c r="A1391" s="22">
        <v>2026</v>
      </c>
      <c r="B1391" s="28" t="s">
        <v>183</v>
      </c>
      <c r="C1391" s="28" t="s">
        <v>97</v>
      </c>
      <c r="D1391" s="28" t="s">
        <v>1722</v>
      </c>
      <c r="E1391" s="29" t="s">
        <v>640</v>
      </c>
      <c r="F1391" s="29" t="s">
        <v>282</v>
      </c>
      <c r="G1391" s="25" t="s">
        <v>3168</v>
      </c>
      <c r="H1391" s="26">
        <v>-2.7699431199999999E-2</v>
      </c>
      <c r="I1391" s="26"/>
      <c r="J1391" s="26" t="s">
        <v>521</v>
      </c>
      <c r="K1391" s="25" t="s">
        <v>513</v>
      </c>
    </row>
    <row r="1392" spans="1:11" ht="25.5" x14ac:dyDescent="0.25">
      <c r="A1392" s="22">
        <v>2026</v>
      </c>
      <c r="B1392" s="28" t="s">
        <v>183</v>
      </c>
      <c r="C1392" s="28" t="s">
        <v>97</v>
      </c>
      <c r="D1392" s="28" t="s">
        <v>1722</v>
      </c>
      <c r="E1392" s="29" t="s">
        <v>640</v>
      </c>
      <c r="F1392" s="29" t="s">
        <v>282</v>
      </c>
      <c r="G1392" s="25" t="s">
        <v>3169</v>
      </c>
      <c r="H1392" s="26">
        <v>-2.7816093600000001E-2</v>
      </c>
      <c r="I1392" s="26"/>
      <c r="J1392" s="26" t="s">
        <v>521</v>
      </c>
      <c r="K1392" s="25" t="s">
        <v>513</v>
      </c>
    </row>
    <row r="1393" spans="1:11" ht="25.5" x14ac:dyDescent="0.25">
      <c r="A1393" s="22">
        <v>2026</v>
      </c>
      <c r="B1393" s="28" t="s">
        <v>183</v>
      </c>
      <c r="C1393" s="28" t="s">
        <v>97</v>
      </c>
      <c r="D1393" s="28" t="s">
        <v>1722</v>
      </c>
      <c r="E1393" s="29" t="s">
        <v>640</v>
      </c>
      <c r="F1393" s="29" t="s">
        <v>282</v>
      </c>
      <c r="G1393" s="25" t="s">
        <v>3170</v>
      </c>
      <c r="H1393" s="26">
        <v>-2.7127327200000002E-2</v>
      </c>
      <c r="I1393" s="26"/>
      <c r="J1393" s="26" t="s">
        <v>521</v>
      </c>
      <c r="K1393" s="25" t="s">
        <v>513</v>
      </c>
    </row>
    <row r="1394" spans="1:11" ht="25.5" x14ac:dyDescent="0.25">
      <c r="A1394" s="22">
        <v>2026</v>
      </c>
      <c r="B1394" s="28" t="s">
        <v>183</v>
      </c>
      <c r="C1394" s="28" t="s">
        <v>97</v>
      </c>
      <c r="D1394" s="28" t="s">
        <v>1722</v>
      </c>
      <c r="E1394" s="29" t="s">
        <v>640</v>
      </c>
      <c r="F1394" s="29" t="s">
        <v>282</v>
      </c>
      <c r="G1394" s="25" t="s">
        <v>3171</v>
      </c>
      <c r="H1394" s="26">
        <v>-3.8685812399999998E-2</v>
      </c>
      <c r="I1394" s="26"/>
      <c r="J1394" s="26" t="s">
        <v>521</v>
      </c>
      <c r="K1394" s="25" t="s">
        <v>513</v>
      </c>
    </row>
    <row r="1395" spans="1:11" ht="25.5" x14ac:dyDescent="0.25">
      <c r="A1395" s="22">
        <v>2026</v>
      </c>
      <c r="B1395" s="28" t="s">
        <v>183</v>
      </c>
      <c r="C1395" s="28" t="s">
        <v>97</v>
      </c>
      <c r="D1395" s="28" t="s">
        <v>1722</v>
      </c>
      <c r="E1395" s="29" t="s">
        <v>640</v>
      </c>
      <c r="F1395" s="29" t="s">
        <v>282</v>
      </c>
      <c r="G1395" s="25" t="s">
        <v>3172</v>
      </c>
      <c r="H1395" s="26">
        <v>-2.7966554100000002E-2</v>
      </c>
      <c r="I1395" s="26"/>
      <c r="J1395" s="26" t="s">
        <v>521</v>
      </c>
      <c r="K1395" s="25" t="s">
        <v>513</v>
      </c>
    </row>
    <row r="1396" spans="1:11" ht="25.5" x14ac:dyDescent="0.25">
      <c r="A1396" s="22">
        <v>2026</v>
      </c>
      <c r="B1396" s="28" t="s">
        <v>183</v>
      </c>
      <c r="C1396" s="28" t="s">
        <v>97</v>
      </c>
      <c r="D1396" s="28" t="s">
        <v>1722</v>
      </c>
      <c r="E1396" s="29" t="s">
        <v>640</v>
      </c>
      <c r="F1396" s="29" t="s">
        <v>282</v>
      </c>
      <c r="G1396" s="25" t="s">
        <v>3173</v>
      </c>
      <c r="H1396" s="26">
        <v>-2.8349497800000002E-2</v>
      </c>
      <c r="I1396" s="26"/>
      <c r="J1396" s="26" t="s">
        <v>521</v>
      </c>
      <c r="K1396" s="25" t="s">
        <v>513</v>
      </c>
    </row>
    <row r="1397" spans="1:11" ht="25.5" x14ac:dyDescent="0.25">
      <c r="A1397" s="22">
        <v>2026</v>
      </c>
      <c r="B1397" s="28" t="s">
        <v>183</v>
      </c>
      <c r="C1397" s="28" t="s">
        <v>97</v>
      </c>
      <c r="D1397" s="28" t="s">
        <v>1722</v>
      </c>
      <c r="E1397" s="29" t="s">
        <v>640</v>
      </c>
      <c r="F1397" s="29" t="s">
        <v>282</v>
      </c>
      <c r="G1397" s="25" t="s">
        <v>3174</v>
      </c>
      <c r="H1397" s="26">
        <v>-2.822974E-2</v>
      </c>
      <c r="I1397" s="26"/>
      <c r="J1397" s="26" t="s">
        <v>521</v>
      </c>
      <c r="K1397" s="25" t="s">
        <v>513</v>
      </c>
    </row>
    <row r="1398" spans="1:11" ht="25.5" x14ac:dyDescent="0.25">
      <c r="A1398" s="22">
        <v>2026</v>
      </c>
      <c r="B1398" s="28" t="s">
        <v>183</v>
      </c>
      <c r="C1398" s="28" t="s">
        <v>97</v>
      </c>
      <c r="D1398" s="28" t="s">
        <v>1722</v>
      </c>
      <c r="E1398" s="29" t="s">
        <v>640</v>
      </c>
      <c r="F1398" s="29" t="s">
        <v>282</v>
      </c>
      <c r="G1398" s="25" t="s">
        <v>3175</v>
      </c>
      <c r="H1398" s="26">
        <v>-2.7974013200000002E-2</v>
      </c>
      <c r="I1398" s="26"/>
      <c r="J1398" s="26" t="s">
        <v>521</v>
      </c>
      <c r="K1398" s="25" t="s">
        <v>513</v>
      </c>
    </row>
    <row r="1399" spans="1:11" ht="25.5" x14ac:dyDescent="0.25">
      <c r="A1399" s="22">
        <v>2026</v>
      </c>
      <c r="B1399" s="28" t="s">
        <v>183</v>
      </c>
      <c r="C1399" s="28" t="s">
        <v>97</v>
      </c>
      <c r="D1399" s="28" t="s">
        <v>1722</v>
      </c>
      <c r="E1399" s="29" t="s">
        <v>640</v>
      </c>
      <c r="F1399" s="29" t="s">
        <v>282</v>
      </c>
      <c r="G1399" s="25" t="s">
        <v>3176</v>
      </c>
      <c r="H1399" s="26">
        <v>-2.2695799999999999E-2</v>
      </c>
      <c r="I1399" s="26"/>
      <c r="J1399" s="26" t="s">
        <v>521</v>
      </c>
      <c r="K1399" s="25" t="s">
        <v>513</v>
      </c>
    </row>
    <row r="1400" spans="1:11" ht="25.5" x14ac:dyDescent="0.25">
      <c r="A1400" s="22">
        <v>2026</v>
      </c>
      <c r="B1400" s="28" t="s">
        <v>183</v>
      </c>
      <c r="C1400" s="28" t="s">
        <v>97</v>
      </c>
      <c r="D1400" s="28" t="s">
        <v>1722</v>
      </c>
      <c r="E1400" s="29" t="s">
        <v>640</v>
      </c>
      <c r="F1400" s="29" t="s">
        <v>282</v>
      </c>
      <c r="G1400" s="25" t="s">
        <v>3177</v>
      </c>
      <c r="H1400" s="26">
        <v>-2.5806999599999998E-2</v>
      </c>
      <c r="I1400" s="26"/>
      <c r="J1400" s="26" t="s">
        <v>521</v>
      </c>
      <c r="K1400" s="25" t="s">
        <v>513</v>
      </c>
    </row>
    <row r="1401" spans="1:11" ht="25.5" x14ac:dyDescent="0.25">
      <c r="A1401" s="22">
        <v>2026</v>
      </c>
      <c r="B1401" s="28" t="s">
        <v>183</v>
      </c>
      <c r="C1401" s="28" t="s">
        <v>97</v>
      </c>
      <c r="D1401" s="28" t="s">
        <v>1722</v>
      </c>
      <c r="E1401" s="29" t="s">
        <v>640</v>
      </c>
      <c r="F1401" s="29" t="s">
        <v>282</v>
      </c>
      <c r="G1401" s="25" t="s">
        <v>3178</v>
      </c>
      <c r="H1401" s="26">
        <v>-2.7878744099999998E-2</v>
      </c>
      <c r="I1401" s="26"/>
      <c r="J1401" s="26" t="s">
        <v>521</v>
      </c>
      <c r="K1401" s="25" t="s">
        <v>513</v>
      </c>
    </row>
    <row r="1402" spans="1:11" ht="25.5" x14ac:dyDescent="0.25">
      <c r="A1402" s="22">
        <v>2026</v>
      </c>
      <c r="B1402" s="28" t="s">
        <v>183</v>
      </c>
      <c r="C1402" s="28" t="s">
        <v>97</v>
      </c>
      <c r="D1402" s="28" t="s">
        <v>1722</v>
      </c>
      <c r="E1402" s="29" t="s">
        <v>640</v>
      </c>
      <c r="F1402" s="29" t="s">
        <v>282</v>
      </c>
      <c r="G1402" s="25" t="s">
        <v>3179</v>
      </c>
      <c r="H1402" s="26">
        <v>-2.6501315399999999E-2</v>
      </c>
      <c r="I1402" s="26"/>
      <c r="J1402" s="26" t="s">
        <v>521</v>
      </c>
      <c r="K1402" s="25" t="s">
        <v>513</v>
      </c>
    </row>
    <row r="1403" spans="1:11" ht="25.5" x14ac:dyDescent="0.25">
      <c r="A1403" s="22">
        <v>2026</v>
      </c>
      <c r="B1403" s="28" t="s">
        <v>183</v>
      </c>
      <c r="C1403" s="28" t="s">
        <v>97</v>
      </c>
      <c r="D1403" s="28" t="s">
        <v>1722</v>
      </c>
      <c r="E1403" s="29" t="s">
        <v>640</v>
      </c>
      <c r="F1403" s="29" t="s">
        <v>282</v>
      </c>
      <c r="G1403" s="25" t="s">
        <v>3180</v>
      </c>
      <c r="H1403" s="26">
        <v>-2.83185E-2</v>
      </c>
      <c r="I1403" s="26"/>
      <c r="J1403" s="26" t="s">
        <v>521</v>
      </c>
      <c r="K1403" s="25" t="s">
        <v>513</v>
      </c>
    </row>
    <row r="1404" spans="1:11" ht="25.5" x14ac:dyDescent="0.25">
      <c r="A1404" s="22">
        <v>2026</v>
      </c>
      <c r="B1404" s="28" t="s">
        <v>183</v>
      </c>
      <c r="C1404" s="28" t="s">
        <v>97</v>
      </c>
      <c r="D1404" s="28" t="s">
        <v>1722</v>
      </c>
      <c r="E1404" s="29" t="s">
        <v>640</v>
      </c>
      <c r="F1404" s="29" t="s">
        <v>282</v>
      </c>
      <c r="G1404" s="25" t="s">
        <v>3181</v>
      </c>
      <c r="H1404" s="26">
        <v>-3.9970222899999998E-2</v>
      </c>
      <c r="I1404" s="26"/>
      <c r="J1404" s="26" t="s">
        <v>521</v>
      </c>
      <c r="K1404" s="25" t="s">
        <v>513</v>
      </c>
    </row>
    <row r="1405" spans="1:11" ht="25.5" x14ac:dyDescent="0.25">
      <c r="A1405" s="22">
        <v>2026</v>
      </c>
      <c r="B1405" s="28" t="s">
        <v>183</v>
      </c>
      <c r="C1405" s="28" t="s">
        <v>97</v>
      </c>
      <c r="D1405" s="28" t="s">
        <v>189</v>
      </c>
      <c r="E1405" s="29" t="s">
        <v>337</v>
      </c>
      <c r="F1405" s="29" t="s">
        <v>298</v>
      </c>
      <c r="G1405" s="25" t="s">
        <v>3182</v>
      </c>
      <c r="H1405" s="26">
        <v>-0.24244286700000001</v>
      </c>
      <c r="I1405" s="26"/>
      <c r="J1405" s="26" t="s">
        <v>512</v>
      </c>
      <c r="K1405" s="25" t="s">
        <v>513</v>
      </c>
    </row>
    <row r="1406" spans="1:11" ht="25.5" x14ac:dyDescent="0.25">
      <c r="A1406" s="22">
        <v>2026</v>
      </c>
      <c r="B1406" s="28" t="s">
        <v>183</v>
      </c>
      <c r="C1406" s="28" t="s">
        <v>97</v>
      </c>
      <c r="D1406" s="28" t="s">
        <v>189</v>
      </c>
      <c r="E1406" s="29" t="s">
        <v>337</v>
      </c>
      <c r="F1406" s="29" t="s">
        <v>298</v>
      </c>
      <c r="G1406" s="25" t="s">
        <v>3183</v>
      </c>
      <c r="H1406" s="26">
        <v>-2.0011170000000002E-2</v>
      </c>
      <c r="I1406" s="26"/>
      <c r="J1406" s="26" t="s">
        <v>512</v>
      </c>
      <c r="K1406" s="25" t="s">
        <v>513</v>
      </c>
    </row>
    <row r="1407" spans="1:11" ht="25.5" x14ac:dyDescent="0.25">
      <c r="A1407" s="22">
        <v>2026</v>
      </c>
      <c r="B1407" s="28" t="s">
        <v>183</v>
      </c>
      <c r="C1407" s="28" t="s">
        <v>97</v>
      </c>
      <c r="D1407" s="28" t="s">
        <v>189</v>
      </c>
      <c r="E1407" s="29" t="s">
        <v>337</v>
      </c>
      <c r="F1407" s="29" t="s">
        <v>298</v>
      </c>
      <c r="G1407" s="25" t="s">
        <v>3184</v>
      </c>
      <c r="H1407" s="26">
        <v>-0.101799</v>
      </c>
      <c r="I1407" s="26"/>
      <c r="J1407" s="26" t="s">
        <v>512</v>
      </c>
      <c r="K1407" s="25" t="s">
        <v>513</v>
      </c>
    </row>
    <row r="1408" spans="1:11" ht="25.5" x14ac:dyDescent="0.25">
      <c r="A1408" s="22">
        <v>2026</v>
      </c>
      <c r="B1408" s="28" t="s">
        <v>183</v>
      </c>
      <c r="C1408" s="28" t="s">
        <v>97</v>
      </c>
      <c r="D1408" s="28" t="s">
        <v>189</v>
      </c>
      <c r="E1408" s="29" t="s">
        <v>337</v>
      </c>
      <c r="F1408" s="29" t="s">
        <v>298</v>
      </c>
      <c r="G1408" s="25" t="s">
        <v>3185</v>
      </c>
      <c r="H1408" s="26">
        <v>-1.3708799999999998E-2</v>
      </c>
      <c r="I1408" s="26"/>
      <c r="J1408" s="26" t="s">
        <v>512</v>
      </c>
      <c r="K1408" s="25" t="s">
        <v>513</v>
      </c>
    </row>
    <row r="1409" spans="1:11" ht="25.5" x14ac:dyDescent="0.25">
      <c r="A1409" s="22">
        <v>2026</v>
      </c>
      <c r="B1409" s="28" t="s">
        <v>183</v>
      </c>
      <c r="C1409" s="28" t="s">
        <v>97</v>
      </c>
      <c r="D1409" s="28" t="s">
        <v>189</v>
      </c>
      <c r="E1409" s="29" t="s">
        <v>337</v>
      </c>
      <c r="F1409" s="29" t="s">
        <v>298</v>
      </c>
      <c r="G1409" s="25" t="s">
        <v>3186</v>
      </c>
      <c r="H1409" s="26">
        <v>-6.8570000000000006E-2</v>
      </c>
      <c r="I1409" s="26"/>
      <c r="J1409" s="26" t="s">
        <v>512</v>
      </c>
      <c r="K1409" s="25" t="s">
        <v>513</v>
      </c>
    </row>
    <row r="1410" spans="1:11" ht="25.5" x14ac:dyDescent="0.25">
      <c r="A1410" s="22">
        <v>2026</v>
      </c>
      <c r="B1410" s="28" t="s">
        <v>183</v>
      </c>
      <c r="C1410" s="28" t="s">
        <v>97</v>
      </c>
      <c r="D1410" s="28" t="s">
        <v>189</v>
      </c>
      <c r="E1410" s="29" t="s">
        <v>337</v>
      </c>
      <c r="F1410" s="29" t="s">
        <v>298</v>
      </c>
      <c r="G1410" s="25" t="s">
        <v>3187</v>
      </c>
      <c r="H1410" s="26">
        <v>-6.88E-2</v>
      </c>
      <c r="I1410" s="26"/>
      <c r="J1410" s="26" t="s">
        <v>512</v>
      </c>
      <c r="K1410" s="25" t="s">
        <v>513</v>
      </c>
    </row>
    <row r="1411" spans="1:11" ht="25.5" x14ac:dyDescent="0.25">
      <c r="A1411" s="22">
        <v>2026</v>
      </c>
      <c r="B1411" s="28" t="s">
        <v>183</v>
      </c>
      <c r="C1411" s="28" t="s">
        <v>97</v>
      </c>
      <c r="D1411" s="28" t="s">
        <v>189</v>
      </c>
      <c r="E1411" s="29" t="s">
        <v>337</v>
      </c>
      <c r="F1411" s="29" t="s">
        <v>298</v>
      </c>
      <c r="G1411" s="25" t="s">
        <v>3188</v>
      </c>
      <c r="H1411" s="26">
        <v>-0.11392626829999999</v>
      </c>
      <c r="I1411" s="26"/>
      <c r="J1411" s="26" t="s">
        <v>512</v>
      </c>
      <c r="K1411" s="25" t="s">
        <v>513</v>
      </c>
    </row>
    <row r="1412" spans="1:11" ht="25.5" x14ac:dyDescent="0.25">
      <c r="A1412" s="22">
        <v>2026</v>
      </c>
      <c r="B1412" s="28" t="s">
        <v>183</v>
      </c>
      <c r="C1412" s="28" t="s">
        <v>97</v>
      </c>
      <c r="D1412" s="28" t="s">
        <v>1723</v>
      </c>
      <c r="E1412" s="29" t="s">
        <v>437</v>
      </c>
      <c r="F1412" s="29" t="s">
        <v>374</v>
      </c>
      <c r="G1412" s="25" t="s">
        <v>3189</v>
      </c>
      <c r="H1412" s="26">
        <v>-0.1326402679</v>
      </c>
      <c r="I1412" s="26"/>
      <c r="J1412" s="26" t="s">
        <v>521</v>
      </c>
      <c r="K1412" s="25" t="s">
        <v>513</v>
      </c>
    </row>
    <row r="1413" spans="1:11" ht="25.5" x14ac:dyDescent="0.25">
      <c r="A1413" s="22">
        <v>2026</v>
      </c>
      <c r="B1413" s="28" t="s">
        <v>183</v>
      </c>
      <c r="C1413" s="28" t="s">
        <v>97</v>
      </c>
      <c r="D1413" s="28" t="s">
        <v>1723</v>
      </c>
      <c r="E1413" s="29" t="s">
        <v>437</v>
      </c>
      <c r="F1413" s="29" t="s">
        <v>374</v>
      </c>
      <c r="G1413" s="25" t="s">
        <v>3190</v>
      </c>
      <c r="H1413" s="26">
        <v>-0.1350209003</v>
      </c>
      <c r="I1413" s="26"/>
      <c r="J1413" s="26" t="s">
        <v>521</v>
      </c>
      <c r="K1413" s="25" t="s">
        <v>513</v>
      </c>
    </row>
    <row r="1414" spans="1:11" ht="25.5" x14ac:dyDescent="0.25">
      <c r="A1414" s="22">
        <v>2026</v>
      </c>
      <c r="B1414" s="28" t="s">
        <v>183</v>
      </c>
      <c r="C1414" s="28" t="s">
        <v>97</v>
      </c>
      <c r="D1414" s="28" t="s">
        <v>1723</v>
      </c>
      <c r="E1414" s="29" t="s">
        <v>437</v>
      </c>
      <c r="F1414" s="29" t="s">
        <v>374</v>
      </c>
      <c r="G1414" s="25" t="s">
        <v>3191</v>
      </c>
      <c r="H1414" s="26">
        <v>-0.12816229300000001</v>
      </c>
      <c r="I1414" s="26"/>
      <c r="J1414" s="26" t="s">
        <v>521</v>
      </c>
      <c r="K1414" s="25" t="s">
        <v>513</v>
      </c>
    </row>
    <row r="1415" spans="1:11" ht="25.5" x14ac:dyDescent="0.25">
      <c r="A1415" s="22">
        <v>2026</v>
      </c>
      <c r="B1415" s="28" t="s">
        <v>183</v>
      </c>
      <c r="C1415" s="28" t="s">
        <v>97</v>
      </c>
      <c r="D1415" s="28" t="s">
        <v>1723</v>
      </c>
      <c r="E1415" s="29" t="s">
        <v>437</v>
      </c>
      <c r="F1415" s="29" t="s">
        <v>374</v>
      </c>
      <c r="G1415" s="25" t="s">
        <v>3192</v>
      </c>
      <c r="H1415" s="26">
        <v>-0.12036531189999999</v>
      </c>
      <c r="I1415" s="26"/>
      <c r="J1415" s="26" t="s">
        <v>521</v>
      </c>
      <c r="K1415" s="25" t="s">
        <v>513</v>
      </c>
    </row>
    <row r="1416" spans="1:11" ht="25.5" x14ac:dyDescent="0.25">
      <c r="A1416" s="22">
        <v>2026</v>
      </c>
      <c r="B1416" s="28" t="s">
        <v>183</v>
      </c>
      <c r="C1416" s="28" t="s">
        <v>97</v>
      </c>
      <c r="D1416" s="28" t="s">
        <v>1723</v>
      </c>
      <c r="E1416" s="29" t="s">
        <v>437</v>
      </c>
      <c r="F1416" s="29" t="s">
        <v>374</v>
      </c>
      <c r="G1416" s="25" t="s">
        <v>3193</v>
      </c>
      <c r="H1416" s="26">
        <v>-6.2319226500000005E-2</v>
      </c>
      <c r="I1416" s="26"/>
      <c r="J1416" s="26" t="s">
        <v>521</v>
      </c>
      <c r="K1416" s="25" t="s">
        <v>513</v>
      </c>
    </row>
    <row r="1417" spans="1:11" ht="25.5" x14ac:dyDescent="0.25">
      <c r="A1417" s="22">
        <v>2026</v>
      </c>
      <c r="B1417" s="28" t="s">
        <v>183</v>
      </c>
      <c r="C1417" s="28" t="s">
        <v>97</v>
      </c>
      <c r="D1417" s="28" t="s">
        <v>1723</v>
      </c>
      <c r="E1417" s="29" t="s">
        <v>437</v>
      </c>
      <c r="F1417" s="29" t="s">
        <v>374</v>
      </c>
      <c r="G1417" s="25" t="s">
        <v>3194</v>
      </c>
      <c r="H1417" s="26">
        <v>-0.1686743114</v>
      </c>
      <c r="I1417" s="26"/>
      <c r="J1417" s="26" t="s">
        <v>521</v>
      </c>
      <c r="K1417" s="25" t="s">
        <v>513</v>
      </c>
    </row>
    <row r="1418" spans="1:11" ht="25.5" x14ac:dyDescent="0.25">
      <c r="A1418" s="22">
        <v>2026</v>
      </c>
      <c r="B1418" s="28" t="s">
        <v>183</v>
      </c>
      <c r="C1418" s="28" t="s">
        <v>97</v>
      </c>
      <c r="D1418" s="28" t="s">
        <v>1723</v>
      </c>
      <c r="E1418" s="29" t="s">
        <v>437</v>
      </c>
      <c r="F1418" s="29" t="s">
        <v>374</v>
      </c>
      <c r="G1418" s="25" t="s">
        <v>3195</v>
      </c>
      <c r="H1418" s="26">
        <v>-0.15732493559999999</v>
      </c>
      <c r="I1418" s="26"/>
      <c r="J1418" s="26" t="s">
        <v>521</v>
      </c>
      <c r="K1418" s="25" t="s">
        <v>513</v>
      </c>
    </row>
    <row r="1419" spans="1:11" ht="25.5" x14ac:dyDescent="0.25">
      <c r="A1419" s="22">
        <v>2026</v>
      </c>
      <c r="B1419" s="28" t="s">
        <v>183</v>
      </c>
      <c r="C1419" s="28" t="s">
        <v>97</v>
      </c>
      <c r="D1419" s="28" t="s">
        <v>1723</v>
      </c>
      <c r="E1419" s="29" t="s">
        <v>437</v>
      </c>
      <c r="F1419" s="29" t="s">
        <v>374</v>
      </c>
      <c r="G1419" s="25" t="s">
        <v>3196</v>
      </c>
      <c r="H1419" s="26">
        <v>-2.3758365199999999E-2</v>
      </c>
      <c r="I1419" s="26"/>
      <c r="J1419" s="26" t="s">
        <v>521</v>
      </c>
      <c r="K1419" s="25" t="s">
        <v>513</v>
      </c>
    </row>
    <row r="1420" spans="1:11" ht="25.5" x14ac:dyDescent="0.25">
      <c r="A1420" s="22">
        <v>2026</v>
      </c>
      <c r="B1420" s="28" t="s">
        <v>183</v>
      </c>
      <c r="C1420" s="28" t="s">
        <v>97</v>
      </c>
      <c r="D1420" s="28" t="s">
        <v>1723</v>
      </c>
      <c r="E1420" s="29" t="s">
        <v>437</v>
      </c>
      <c r="F1420" s="29" t="s">
        <v>374</v>
      </c>
      <c r="G1420" s="25" t="s">
        <v>3197</v>
      </c>
      <c r="H1420" s="26">
        <v>-6.6206672999999994E-2</v>
      </c>
      <c r="I1420" s="26"/>
      <c r="J1420" s="26" t="s">
        <v>521</v>
      </c>
      <c r="K1420" s="25" t="s">
        <v>513</v>
      </c>
    </row>
    <row r="1421" spans="1:11" ht="25.5" x14ac:dyDescent="0.25">
      <c r="A1421" s="22">
        <v>2026</v>
      </c>
      <c r="B1421" s="28" t="s">
        <v>183</v>
      </c>
      <c r="C1421" s="28" t="s">
        <v>97</v>
      </c>
      <c r="D1421" s="28" t="s">
        <v>1723</v>
      </c>
      <c r="E1421" s="29" t="s">
        <v>437</v>
      </c>
      <c r="F1421" s="29" t="s">
        <v>374</v>
      </c>
      <c r="G1421" s="25" t="s">
        <v>3198</v>
      </c>
      <c r="H1421" s="26">
        <v>-0.25840511999999999</v>
      </c>
      <c r="I1421" s="26"/>
      <c r="J1421" s="26" t="s">
        <v>521</v>
      </c>
      <c r="K1421" s="25" t="s">
        <v>513</v>
      </c>
    </row>
    <row r="1422" spans="1:11" ht="25.5" x14ac:dyDescent="0.25">
      <c r="A1422" s="22">
        <v>2026</v>
      </c>
      <c r="B1422" s="28" t="s">
        <v>183</v>
      </c>
      <c r="C1422" s="28" t="s">
        <v>97</v>
      </c>
      <c r="D1422" s="28" t="s">
        <v>1723</v>
      </c>
      <c r="E1422" s="29" t="s">
        <v>437</v>
      </c>
      <c r="F1422" s="29" t="s">
        <v>374</v>
      </c>
      <c r="G1422" s="25" t="s">
        <v>3199</v>
      </c>
      <c r="H1422" s="26">
        <v>-4.2082508000000005E-2</v>
      </c>
      <c r="I1422" s="26"/>
      <c r="J1422" s="26" t="s">
        <v>521</v>
      </c>
      <c r="K1422" s="25" t="s">
        <v>513</v>
      </c>
    </row>
    <row r="1423" spans="1:11" ht="25.5" x14ac:dyDescent="0.25">
      <c r="A1423" s="22">
        <v>2026</v>
      </c>
      <c r="B1423" s="28" t="s">
        <v>183</v>
      </c>
      <c r="C1423" s="28" t="s">
        <v>97</v>
      </c>
      <c r="D1423" s="28" t="s">
        <v>1723</v>
      </c>
      <c r="E1423" s="29" t="s">
        <v>437</v>
      </c>
      <c r="F1423" s="29" t="s">
        <v>374</v>
      </c>
      <c r="G1423" s="25" t="s">
        <v>3200</v>
      </c>
      <c r="H1423" s="26">
        <v>-2.7200299000000001E-2</v>
      </c>
      <c r="I1423" s="26"/>
      <c r="J1423" s="26" t="s">
        <v>521</v>
      </c>
      <c r="K1423" s="25" t="s">
        <v>513</v>
      </c>
    </row>
    <row r="1424" spans="1:11" ht="25.5" x14ac:dyDescent="0.25">
      <c r="A1424" s="22">
        <v>2026</v>
      </c>
      <c r="B1424" s="28" t="s">
        <v>183</v>
      </c>
      <c r="C1424" s="28" t="s">
        <v>97</v>
      </c>
      <c r="D1424" s="28" t="s">
        <v>1785</v>
      </c>
      <c r="E1424" s="29" t="s">
        <v>1769</v>
      </c>
      <c r="F1424" s="29" t="s">
        <v>282</v>
      </c>
      <c r="G1424" s="25" t="s">
        <v>3201</v>
      </c>
      <c r="H1424" s="26">
        <v>-4.8985000000000001E-2</v>
      </c>
      <c r="I1424" s="26"/>
      <c r="J1424" s="26" t="s">
        <v>512</v>
      </c>
      <c r="K1424" s="25" t="s">
        <v>513</v>
      </c>
    </row>
    <row r="1425" spans="1:11" ht="25.5" x14ac:dyDescent="0.25">
      <c r="A1425" s="22">
        <v>2026</v>
      </c>
      <c r="B1425" s="28" t="s">
        <v>183</v>
      </c>
      <c r="C1425" s="28" t="s">
        <v>97</v>
      </c>
      <c r="D1425" s="28" t="s">
        <v>1785</v>
      </c>
      <c r="E1425" s="29" t="s">
        <v>1769</v>
      </c>
      <c r="F1425" s="29" t="s">
        <v>282</v>
      </c>
      <c r="G1425" s="25" t="s">
        <v>3202</v>
      </c>
      <c r="H1425" s="26">
        <v>-4.9050000000000003E-2</v>
      </c>
      <c r="I1425" s="26"/>
      <c r="J1425" s="26" t="s">
        <v>512</v>
      </c>
      <c r="K1425" s="25" t="s">
        <v>513</v>
      </c>
    </row>
    <row r="1426" spans="1:11" ht="25.5" x14ac:dyDescent="0.25">
      <c r="A1426" s="22">
        <v>2026</v>
      </c>
      <c r="B1426" s="28" t="s">
        <v>183</v>
      </c>
      <c r="C1426" s="28" t="s">
        <v>97</v>
      </c>
      <c r="D1426" s="28" t="s">
        <v>1785</v>
      </c>
      <c r="E1426" s="29" t="s">
        <v>1769</v>
      </c>
      <c r="F1426" s="29" t="s">
        <v>282</v>
      </c>
      <c r="G1426" s="25" t="s">
        <v>3203</v>
      </c>
      <c r="H1426" s="26">
        <v>-4.9044999999999998E-2</v>
      </c>
      <c r="I1426" s="26"/>
      <c r="J1426" s="26" t="s">
        <v>512</v>
      </c>
      <c r="K1426" s="25" t="s">
        <v>513</v>
      </c>
    </row>
    <row r="1427" spans="1:11" ht="25.5" x14ac:dyDescent="0.25">
      <c r="A1427" s="22">
        <v>2026</v>
      </c>
      <c r="B1427" s="28" t="s">
        <v>183</v>
      </c>
      <c r="C1427" s="28" t="s">
        <v>97</v>
      </c>
      <c r="D1427" s="28" t="s">
        <v>1785</v>
      </c>
      <c r="E1427" s="29" t="s">
        <v>1769</v>
      </c>
      <c r="F1427" s="29" t="s">
        <v>282</v>
      </c>
      <c r="G1427" s="25" t="s">
        <v>3204</v>
      </c>
      <c r="H1427" s="26">
        <v>-4.897E-2</v>
      </c>
      <c r="I1427" s="26"/>
      <c r="J1427" s="26" t="s">
        <v>512</v>
      </c>
      <c r="K1427" s="25" t="s">
        <v>513</v>
      </c>
    </row>
    <row r="1428" spans="1:11" ht="25.5" x14ac:dyDescent="0.25">
      <c r="A1428" s="22">
        <v>2026</v>
      </c>
      <c r="B1428" s="28" t="s">
        <v>183</v>
      </c>
      <c r="C1428" s="28" t="s">
        <v>97</v>
      </c>
      <c r="D1428" s="28" t="s">
        <v>1785</v>
      </c>
      <c r="E1428" s="29" t="s">
        <v>1769</v>
      </c>
      <c r="F1428" s="29" t="s">
        <v>282</v>
      </c>
      <c r="G1428" s="25" t="s">
        <v>3205</v>
      </c>
      <c r="H1428" s="26">
        <v>-5.2047760199999994E-2</v>
      </c>
      <c r="I1428" s="26"/>
      <c r="J1428" s="26" t="s">
        <v>512</v>
      </c>
      <c r="K1428" s="25" t="s">
        <v>513</v>
      </c>
    </row>
    <row r="1429" spans="1:11" ht="25.5" x14ac:dyDescent="0.25">
      <c r="A1429" s="22">
        <v>2026</v>
      </c>
      <c r="B1429" s="28" t="s">
        <v>183</v>
      </c>
      <c r="C1429" s="28" t="s">
        <v>97</v>
      </c>
      <c r="D1429" s="28" t="s">
        <v>1785</v>
      </c>
      <c r="E1429" s="29" t="s">
        <v>1769</v>
      </c>
      <c r="F1429" s="29" t="s">
        <v>282</v>
      </c>
      <c r="G1429" s="25" t="s">
        <v>3206</v>
      </c>
      <c r="H1429" s="26">
        <v>-4.9274999999999999E-2</v>
      </c>
      <c r="I1429" s="26"/>
      <c r="J1429" s="26" t="s">
        <v>512</v>
      </c>
      <c r="K1429" s="25" t="s">
        <v>513</v>
      </c>
    </row>
    <row r="1430" spans="1:11" ht="25.5" x14ac:dyDescent="0.25">
      <c r="A1430" s="22">
        <v>2026</v>
      </c>
      <c r="B1430" s="28" t="s">
        <v>183</v>
      </c>
      <c r="C1430" s="28" t="s">
        <v>97</v>
      </c>
      <c r="D1430" s="28" t="s">
        <v>1785</v>
      </c>
      <c r="E1430" s="29" t="s">
        <v>1769</v>
      </c>
      <c r="F1430" s="29" t="s">
        <v>282</v>
      </c>
      <c r="G1430" s="25" t="s">
        <v>3207</v>
      </c>
      <c r="H1430" s="26">
        <v>-4.9259999999999998E-2</v>
      </c>
      <c r="I1430" s="26"/>
      <c r="J1430" s="26" t="s">
        <v>512</v>
      </c>
      <c r="K1430" s="25" t="s">
        <v>513</v>
      </c>
    </row>
    <row r="1431" spans="1:11" ht="25.5" x14ac:dyDescent="0.25">
      <c r="A1431" s="22">
        <v>2026</v>
      </c>
      <c r="B1431" s="28" t="s">
        <v>183</v>
      </c>
      <c r="C1431" s="28" t="s">
        <v>97</v>
      </c>
      <c r="D1431" s="28" t="s">
        <v>1785</v>
      </c>
      <c r="E1431" s="29" t="s">
        <v>1769</v>
      </c>
      <c r="F1431" s="29" t="s">
        <v>282</v>
      </c>
      <c r="G1431" s="25" t="s">
        <v>3208</v>
      </c>
      <c r="H1431" s="26">
        <v>-4.9325000000000001E-2</v>
      </c>
      <c r="I1431" s="26"/>
      <c r="J1431" s="26" t="s">
        <v>512</v>
      </c>
      <c r="K1431" s="25" t="s">
        <v>513</v>
      </c>
    </row>
    <row r="1432" spans="1:11" ht="25.5" x14ac:dyDescent="0.25">
      <c r="A1432" s="22">
        <v>2026</v>
      </c>
      <c r="B1432" s="28" t="s">
        <v>183</v>
      </c>
      <c r="C1432" s="28" t="s">
        <v>97</v>
      </c>
      <c r="D1432" s="28" t="s">
        <v>1785</v>
      </c>
      <c r="E1432" s="29" t="s">
        <v>1769</v>
      </c>
      <c r="F1432" s="29" t="s">
        <v>282</v>
      </c>
      <c r="G1432" s="25" t="s">
        <v>3209</v>
      </c>
      <c r="H1432" s="26">
        <v>-4.8215000000000001E-2</v>
      </c>
      <c r="I1432" s="26"/>
      <c r="J1432" s="26" t="s">
        <v>512</v>
      </c>
      <c r="K1432" s="25" t="s">
        <v>513</v>
      </c>
    </row>
    <row r="1433" spans="1:11" ht="25.5" x14ac:dyDescent="0.25">
      <c r="A1433" s="22">
        <v>2026</v>
      </c>
      <c r="B1433" s="28" t="s">
        <v>183</v>
      </c>
      <c r="C1433" s="28" t="s">
        <v>97</v>
      </c>
      <c r="D1433" s="28" t="s">
        <v>1785</v>
      </c>
      <c r="E1433" s="29" t="s">
        <v>1769</v>
      </c>
      <c r="F1433" s="29" t="s">
        <v>282</v>
      </c>
      <c r="G1433" s="25" t="s">
        <v>3210</v>
      </c>
      <c r="H1433" s="26">
        <v>-4.9153679400000004E-2</v>
      </c>
      <c r="I1433" s="26"/>
      <c r="J1433" s="26" t="s">
        <v>512</v>
      </c>
      <c r="K1433" s="25" t="s">
        <v>513</v>
      </c>
    </row>
    <row r="1434" spans="1:11" ht="25.5" x14ac:dyDescent="0.25">
      <c r="A1434" s="22">
        <v>2026</v>
      </c>
      <c r="B1434" s="28" t="s">
        <v>183</v>
      </c>
      <c r="C1434" s="28" t="s">
        <v>97</v>
      </c>
      <c r="D1434" s="28" t="s">
        <v>1785</v>
      </c>
      <c r="E1434" s="29" t="s">
        <v>1769</v>
      </c>
      <c r="F1434" s="29" t="s">
        <v>282</v>
      </c>
      <c r="G1434" s="25" t="s">
        <v>3211</v>
      </c>
      <c r="H1434" s="26">
        <v>-3.8204599999999998E-2</v>
      </c>
      <c r="I1434" s="26"/>
      <c r="J1434" s="26" t="s">
        <v>512</v>
      </c>
      <c r="K1434" s="25" t="s">
        <v>513</v>
      </c>
    </row>
    <row r="1435" spans="1:11" ht="25.5" x14ac:dyDescent="0.25">
      <c r="A1435" s="22">
        <v>2026</v>
      </c>
      <c r="B1435" s="28" t="s">
        <v>183</v>
      </c>
      <c r="C1435" s="28" t="s">
        <v>97</v>
      </c>
      <c r="D1435" s="28" t="s">
        <v>1725</v>
      </c>
      <c r="E1435" s="29" t="s">
        <v>1772</v>
      </c>
      <c r="F1435" s="29" t="s">
        <v>325</v>
      </c>
      <c r="G1435" s="25" t="s">
        <v>3212</v>
      </c>
      <c r="H1435" s="26">
        <v>-0.11</v>
      </c>
      <c r="I1435" s="26"/>
      <c r="J1435" s="26" t="s">
        <v>1773</v>
      </c>
      <c r="K1435" s="25" t="s">
        <v>513</v>
      </c>
    </row>
    <row r="1436" spans="1:11" ht="25.5" x14ac:dyDescent="0.25">
      <c r="A1436" s="22">
        <v>2026</v>
      </c>
      <c r="B1436" s="28" t="s">
        <v>183</v>
      </c>
      <c r="C1436" s="28" t="s">
        <v>97</v>
      </c>
      <c r="D1436" s="28" t="s">
        <v>1725</v>
      </c>
      <c r="E1436" s="29" t="s">
        <v>1772</v>
      </c>
      <c r="F1436" s="29" t="s">
        <v>325</v>
      </c>
      <c r="G1436" s="25" t="s">
        <v>3213</v>
      </c>
      <c r="H1436" s="26">
        <v>-0.24740100000000001</v>
      </c>
      <c r="I1436" s="26"/>
      <c r="J1436" s="26" t="s">
        <v>1773</v>
      </c>
      <c r="K1436" s="25" t="s">
        <v>513</v>
      </c>
    </row>
    <row r="1437" spans="1:11" ht="25.5" x14ac:dyDescent="0.25">
      <c r="A1437" s="22">
        <v>2026</v>
      </c>
      <c r="B1437" s="28" t="s">
        <v>183</v>
      </c>
      <c r="C1437" s="28" t="s">
        <v>97</v>
      </c>
      <c r="D1437" s="28" t="s">
        <v>1725</v>
      </c>
      <c r="E1437" s="29" t="s">
        <v>1772</v>
      </c>
      <c r="F1437" s="29" t="s">
        <v>325</v>
      </c>
      <c r="G1437" s="25" t="s">
        <v>3214</v>
      </c>
      <c r="H1437" s="26">
        <v>-0.10960000000000002</v>
      </c>
      <c r="I1437" s="26"/>
      <c r="J1437" s="26" t="s">
        <v>1773</v>
      </c>
      <c r="K1437" s="25" t="s">
        <v>513</v>
      </c>
    </row>
    <row r="1438" spans="1:11" ht="25.5" x14ac:dyDescent="0.25">
      <c r="A1438" s="22">
        <v>2026</v>
      </c>
      <c r="B1438" s="28" t="s">
        <v>183</v>
      </c>
      <c r="C1438" s="28" t="s">
        <v>97</v>
      </c>
      <c r="D1438" s="28" t="s">
        <v>1725</v>
      </c>
      <c r="E1438" s="29" t="s">
        <v>1772</v>
      </c>
      <c r="F1438" s="29" t="s">
        <v>325</v>
      </c>
      <c r="G1438" s="25" t="s">
        <v>3215</v>
      </c>
      <c r="H1438" s="26">
        <v>-0.4446</v>
      </c>
      <c r="I1438" s="26"/>
      <c r="J1438" s="26" t="s">
        <v>1773</v>
      </c>
      <c r="K1438" s="25" t="s">
        <v>513</v>
      </c>
    </row>
    <row r="1439" spans="1:11" ht="25.5" x14ac:dyDescent="0.25">
      <c r="A1439" s="22">
        <v>2026</v>
      </c>
      <c r="B1439" s="28" t="s">
        <v>183</v>
      </c>
      <c r="C1439" s="28" t="s">
        <v>97</v>
      </c>
      <c r="D1439" s="28" t="s">
        <v>1725</v>
      </c>
      <c r="E1439" s="29" t="s">
        <v>1772</v>
      </c>
      <c r="F1439" s="29" t="s">
        <v>325</v>
      </c>
      <c r="G1439" s="25" t="s">
        <v>3216</v>
      </c>
      <c r="H1439" s="26">
        <v>-0.27700000000000002</v>
      </c>
      <c r="I1439" s="26"/>
      <c r="J1439" s="26" t="s">
        <v>1773</v>
      </c>
      <c r="K1439" s="25" t="s">
        <v>513</v>
      </c>
    </row>
    <row r="1440" spans="1:11" ht="25.5" x14ac:dyDescent="0.25">
      <c r="A1440" s="22">
        <v>2026</v>
      </c>
      <c r="B1440" s="28" t="s">
        <v>183</v>
      </c>
      <c r="C1440" s="28" t="s">
        <v>97</v>
      </c>
      <c r="D1440" s="28" t="s">
        <v>1725</v>
      </c>
      <c r="E1440" s="29" t="s">
        <v>1772</v>
      </c>
      <c r="F1440" s="29" t="s">
        <v>325</v>
      </c>
      <c r="G1440" s="25" t="s">
        <v>3217</v>
      </c>
      <c r="H1440" s="26">
        <v>-0.231462</v>
      </c>
      <c r="I1440" s="26"/>
      <c r="J1440" s="26" t="s">
        <v>1773</v>
      </c>
      <c r="K1440" s="25" t="s">
        <v>513</v>
      </c>
    </row>
    <row r="1441" spans="1:11" ht="25.5" x14ac:dyDescent="0.25">
      <c r="A1441" s="22">
        <v>2026</v>
      </c>
      <c r="B1441" s="28" t="s">
        <v>183</v>
      </c>
      <c r="C1441" s="28" t="s">
        <v>97</v>
      </c>
      <c r="D1441" s="28" t="s">
        <v>1725</v>
      </c>
      <c r="E1441" s="29" t="s">
        <v>1772</v>
      </c>
      <c r="F1441" s="29" t="s">
        <v>325</v>
      </c>
      <c r="G1441" s="25" t="s">
        <v>3218</v>
      </c>
      <c r="H1441" s="26">
        <v>-0.13725000000000001</v>
      </c>
      <c r="I1441" s="26"/>
      <c r="J1441" s="26" t="s">
        <v>1773</v>
      </c>
      <c r="K1441" s="25" t="s">
        <v>513</v>
      </c>
    </row>
    <row r="1442" spans="1:11" ht="25.5" x14ac:dyDescent="0.25">
      <c r="A1442" s="22">
        <v>2026</v>
      </c>
      <c r="B1442" s="28" t="s">
        <v>183</v>
      </c>
      <c r="C1442" s="28" t="s">
        <v>97</v>
      </c>
      <c r="D1442" s="28" t="s">
        <v>1725</v>
      </c>
      <c r="E1442" s="29" t="s">
        <v>1772</v>
      </c>
      <c r="F1442" s="29" t="s">
        <v>325</v>
      </c>
      <c r="G1442" s="25" t="s">
        <v>3219</v>
      </c>
      <c r="H1442" s="26">
        <v>-0.1656</v>
      </c>
      <c r="I1442" s="26"/>
      <c r="J1442" s="26" t="s">
        <v>1773</v>
      </c>
      <c r="K1442" s="25" t="s">
        <v>513</v>
      </c>
    </row>
    <row r="1443" spans="1:11" ht="25.5" x14ac:dyDescent="0.25">
      <c r="A1443" s="22">
        <v>2026</v>
      </c>
      <c r="B1443" s="28" t="s">
        <v>183</v>
      </c>
      <c r="C1443" s="28" t="s">
        <v>97</v>
      </c>
      <c r="D1443" s="28" t="s">
        <v>1725</v>
      </c>
      <c r="E1443" s="29" t="s">
        <v>1772</v>
      </c>
      <c r="F1443" s="29" t="s">
        <v>325</v>
      </c>
      <c r="G1443" s="25" t="s">
        <v>3220</v>
      </c>
      <c r="H1443" s="26">
        <v>-4.2000000000000003E-2</v>
      </c>
      <c r="I1443" s="26"/>
      <c r="J1443" s="26" t="s">
        <v>1773</v>
      </c>
      <c r="K1443" s="25" t="s">
        <v>513</v>
      </c>
    </row>
    <row r="1444" spans="1:11" ht="25.5" x14ac:dyDescent="0.25">
      <c r="A1444" s="22">
        <v>2026</v>
      </c>
      <c r="B1444" s="28" t="s">
        <v>183</v>
      </c>
      <c r="C1444" s="28" t="s">
        <v>97</v>
      </c>
      <c r="D1444" s="28" t="s">
        <v>1725</v>
      </c>
      <c r="E1444" s="29" t="s">
        <v>1772</v>
      </c>
      <c r="F1444" s="29" t="s">
        <v>325</v>
      </c>
      <c r="G1444" s="25" t="s">
        <v>3221</v>
      </c>
      <c r="H1444" s="26">
        <v>-2.8199999999999999E-2</v>
      </c>
      <c r="I1444" s="26"/>
      <c r="J1444" s="26" t="s">
        <v>1773</v>
      </c>
      <c r="K1444" s="25" t="s">
        <v>513</v>
      </c>
    </row>
    <row r="1445" spans="1:11" ht="25.5" x14ac:dyDescent="0.25">
      <c r="A1445" s="22">
        <v>2026</v>
      </c>
      <c r="B1445" s="28" t="s">
        <v>183</v>
      </c>
      <c r="C1445" s="28" t="s">
        <v>97</v>
      </c>
      <c r="D1445" s="28" t="s">
        <v>1786</v>
      </c>
      <c r="E1445" s="29" t="s">
        <v>1772</v>
      </c>
      <c r="F1445" s="29" t="s">
        <v>325</v>
      </c>
      <c r="G1445" s="25" t="s">
        <v>3222</v>
      </c>
      <c r="H1445" s="26">
        <v>-0.13128307</v>
      </c>
      <c r="I1445" s="26"/>
      <c r="J1445" s="26" t="s">
        <v>1773</v>
      </c>
      <c r="K1445" s="25" t="s">
        <v>513</v>
      </c>
    </row>
    <row r="1446" spans="1:11" ht="25.5" x14ac:dyDescent="0.25">
      <c r="A1446" s="22">
        <v>2026</v>
      </c>
      <c r="B1446" s="28" t="s">
        <v>183</v>
      </c>
      <c r="C1446" s="28" t="s">
        <v>97</v>
      </c>
      <c r="D1446" s="28" t="s">
        <v>1786</v>
      </c>
      <c r="E1446" s="29" t="s">
        <v>1772</v>
      </c>
      <c r="F1446" s="29" t="s">
        <v>325</v>
      </c>
      <c r="G1446" s="25" t="s">
        <v>3223</v>
      </c>
      <c r="H1446" s="26">
        <v>-9.8699999999999996E-2</v>
      </c>
      <c r="I1446" s="26"/>
      <c r="J1446" s="26" t="s">
        <v>1773</v>
      </c>
      <c r="K1446" s="25" t="s">
        <v>513</v>
      </c>
    </row>
    <row r="1447" spans="1:11" ht="25.5" x14ac:dyDescent="0.25">
      <c r="A1447" s="22">
        <v>2026</v>
      </c>
      <c r="B1447" s="28" t="s">
        <v>183</v>
      </c>
      <c r="C1447" s="28" t="s">
        <v>97</v>
      </c>
      <c r="D1447" s="28" t="s">
        <v>1786</v>
      </c>
      <c r="E1447" s="29" t="s">
        <v>1772</v>
      </c>
      <c r="F1447" s="29" t="s">
        <v>325</v>
      </c>
      <c r="G1447" s="25" t="s">
        <v>3224</v>
      </c>
      <c r="H1447" s="26">
        <v>-0.19176000000000001</v>
      </c>
      <c r="I1447" s="26"/>
      <c r="J1447" s="26" t="s">
        <v>1773</v>
      </c>
      <c r="K1447" s="25" t="s">
        <v>513</v>
      </c>
    </row>
    <row r="1448" spans="1:11" ht="25.5" x14ac:dyDescent="0.25">
      <c r="A1448" s="22">
        <v>2026</v>
      </c>
      <c r="B1448" s="28" t="s">
        <v>183</v>
      </c>
      <c r="C1448" s="28" t="s">
        <v>97</v>
      </c>
      <c r="D1448" s="28" t="s">
        <v>272</v>
      </c>
      <c r="E1448" s="29" t="s">
        <v>500</v>
      </c>
      <c r="F1448" s="29" t="s">
        <v>284</v>
      </c>
      <c r="G1448" s="25" t="s">
        <v>3225</v>
      </c>
      <c r="H1448" s="26">
        <v>-0.159</v>
      </c>
      <c r="I1448" s="26"/>
      <c r="J1448" s="26" t="s">
        <v>514</v>
      </c>
      <c r="K1448" s="25" t="s">
        <v>513</v>
      </c>
    </row>
    <row r="1449" spans="1:11" ht="25.5" x14ac:dyDescent="0.25">
      <c r="A1449" s="22">
        <v>2026</v>
      </c>
      <c r="B1449" s="28" t="s">
        <v>183</v>
      </c>
      <c r="C1449" s="28" t="s">
        <v>97</v>
      </c>
      <c r="D1449" s="28" t="s">
        <v>272</v>
      </c>
      <c r="E1449" s="29" t="s">
        <v>500</v>
      </c>
      <c r="F1449" s="29" t="s">
        <v>284</v>
      </c>
      <c r="G1449" s="25" t="s">
        <v>3226</v>
      </c>
      <c r="H1449" s="26">
        <v>-0.36497492500000001</v>
      </c>
      <c r="I1449" s="26"/>
      <c r="J1449" s="26" t="s">
        <v>514</v>
      </c>
      <c r="K1449" s="25" t="s">
        <v>513</v>
      </c>
    </row>
    <row r="1450" spans="1:11" ht="25.5" x14ac:dyDescent="0.25">
      <c r="A1450" s="22">
        <v>2026</v>
      </c>
      <c r="B1450" s="28" t="s">
        <v>183</v>
      </c>
      <c r="C1450" s="28" t="s">
        <v>97</v>
      </c>
      <c r="D1450" s="28" t="s">
        <v>272</v>
      </c>
      <c r="E1450" s="29" t="s">
        <v>500</v>
      </c>
      <c r="F1450" s="29" t="s">
        <v>284</v>
      </c>
      <c r="G1450" s="25" t="s">
        <v>3227</v>
      </c>
      <c r="H1450" s="26">
        <v>-0.35742494499999999</v>
      </c>
      <c r="I1450" s="26"/>
      <c r="J1450" s="26" t="s">
        <v>514</v>
      </c>
      <c r="K1450" s="25" t="s">
        <v>513</v>
      </c>
    </row>
    <row r="1451" spans="1:11" ht="25.5" x14ac:dyDescent="0.25">
      <c r="A1451" s="22">
        <v>2026</v>
      </c>
      <c r="B1451" s="28" t="s">
        <v>183</v>
      </c>
      <c r="C1451" s="28" t="s">
        <v>97</v>
      </c>
      <c r="D1451" s="28" t="s">
        <v>272</v>
      </c>
      <c r="E1451" s="29" t="s">
        <v>500</v>
      </c>
      <c r="F1451" s="29" t="s">
        <v>284</v>
      </c>
      <c r="G1451" s="25" t="s">
        <v>3228</v>
      </c>
      <c r="H1451" s="26">
        <v>-0.30499999999999999</v>
      </c>
      <c r="I1451" s="26"/>
      <c r="J1451" s="26" t="s">
        <v>514</v>
      </c>
      <c r="K1451" s="25" t="s">
        <v>513</v>
      </c>
    </row>
    <row r="1452" spans="1:11" ht="25.5" x14ac:dyDescent="0.25">
      <c r="A1452" s="22">
        <v>2026</v>
      </c>
      <c r="B1452" s="28" t="s">
        <v>183</v>
      </c>
      <c r="C1452" s="28" t="s">
        <v>97</v>
      </c>
      <c r="D1452" s="28" t="s">
        <v>272</v>
      </c>
      <c r="E1452" s="29" t="s">
        <v>500</v>
      </c>
      <c r="F1452" s="29" t="s">
        <v>284</v>
      </c>
      <c r="G1452" s="25" t="s">
        <v>3229</v>
      </c>
      <c r="H1452" s="26">
        <v>-0.307</v>
      </c>
      <c r="I1452" s="26"/>
      <c r="J1452" s="26" t="s">
        <v>514</v>
      </c>
      <c r="K1452" s="25" t="s">
        <v>513</v>
      </c>
    </row>
    <row r="1453" spans="1:11" ht="25.5" x14ac:dyDescent="0.25">
      <c r="A1453" s="22">
        <v>2026</v>
      </c>
      <c r="B1453" s="28" t="s">
        <v>183</v>
      </c>
      <c r="C1453" s="28" t="s">
        <v>97</v>
      </c>
      <c r="D1453" s="28" t="s">
        <v>272</v>
      </c>
      <c r="E1453" s="29" t="s">
        <v>500</v>
      </c>
      <c r="F1453" s="29" t="s">
        <v>284</v>
      </c>
      <c r="G1453" s="25" t="s">
        <v>3230</v>
      </c>
      <c r="H1453" s="26">
        <v>-0.13927500000000001</v>
      </c>
      <c r="I1453" s="26"/>
      <c r="J1453" s="26" t="s">
        <v>514</v>
      </c>
      <c r="K1453" s="25" t="s">
        <v>513</v>
      </c>
    </row>
    <row r="1454" spans="1:11" ht="25.5" x14ac:dyDescent="0.25">
      <c r="A1454" s="22">
        <v>2026</v>
      </c>
      <c r="B1454" s="28" t="s">
        <v>183</v>
      </c>
      <c r="C1454" s="28" t="s">
        <v>97</v>
      </c>
      <c r="D1454" s="28" t="s">
        <v>272</v>
      </c>
      <c r="E1454" s="29" t="s">
        <v>500</v>
      </c>
      <c r="F1454" s="29" t="s">
        <v>284</v>
      </c>
      <c r="G1454" s="25" t="s">
        <v>3231</v>
      </c>
      <c r="H1454" s="26">
        <v>-0.3582302</v>
      </c>
      <c r="I1454" s="26"/>
      <c r="J1454" s="26" t="s">
        <v>514</v>
      </c>
      <c r="K1454" s="25" t="s">
        <v>513</v>
      </c>
    </row>
    <row r="1455" spans="1:11" ht="25.5" x14ac:dyDescent="0.25">
      <c r="A1455" s="22">
        <v>2026</v>
      </c>
      <c r="B1455" s="28" t="s">
        <v>183</v>
      </c>
      <c r="C1455" s="28" t="s">
        <v>97</v>
      </c>
      <c r="D1455" s="28" t="s">
        <v>272</v>
      </c>
      <c r="E1455" s="29" t="s">
        <v>500</v>
      </c>
      <c r="F1455" s="29" t="s">
        <v>284</v>
      </c>
      <c r="G1455" s="25" t="s">
        <v>3232</v>
      </c>
      <c r="H1455" s="26">
        <v>-0.52928994660000006</v>
      </c>
      <c r="I1455" s="26"/>
      <c r="J1455" s="26" t="s">
        <v>514</v>
      </c>
      <c r="K1455" s="25" t="s">
        <v>513</v>
      </c>
    </row>
    <row r="1456" spans="1:11" ht="25.5" x14ac:dyDescent="0.25">
      <c r="A1456" s="22">
        <v>2026</v>
      </c>
      <c r="B1456" s="28" t="s">
        <v>183</v>
      </c>
      <c r="C1456" s="28" t="s">
        <v>97</v>
      </c>
      <c r="D1456" s="28" t="s">
        <v>272</v>
      </c>
      <c r="E1456" s="29" t="s">
        <v>500</v>
      </c>
      <c r="F1456" s="29" t="s">
        <v>284</v>
      </c>
      <c r="G1456" s="25" t="s">
        <v>3233</v>
      </c>
      <c r="H1456" s="26">
        <v>-7.7124999999999999E-2</v>
      </c>
      <c r="I1456" s="26"/>
      <c r="J1456" s="26" t="s">
        <v>514</v>
      </c>
      <c r="K1456" s="25" t="s">
        <v>513</v>
      </c>
    </row>
    <row r="1457" spans="1:11" ht="25.5" x14ac:dyDescent="0.25">
      <c r="A1457" s="22">
        <v>2026</v>
      </c>
      <c r="B1457" s="28" t="s">
        <v>183</v>
      </c>
      <c r="C1457" s="28" t="s">
        <v>97</v>
      </c>
      <c r="D1457" s="28" t="s">
        <v>272</v>
      </c>
      <c r="E1457" s="29" t="s">
        <v>500</v>
      </c>
      <c r="F1457" s="29" t="s">
        <v>284</v>
      </c>
      <c r="G1457" s="25" t="s">
        <v>3234</v>
      </c>
      <c r="H1457" s="26">
        <v>-0.15607799999999999</v>
      </c>
      <c r="I1457" s="26"/>
      <c r="J1457" s="26" t="s">
        <v>514</v>
      </c>
      <c r="K1457" s="25" t="s">
        <v>513</v>
      </c>
    </row>
    <row r="1458" spans="1:11" ht="25.5" x14ac:dyDescent="0.25">
      <c r="A1458" s="22">
        <v>2026</v>
      </c>
      <c r="B1458" s="28" t="s">
        <v>183</v>
      </c>
      <c r="C1458" s="28" t="s">
        <v>97</v>
      </c>
      <c r="D1458" s="28" t="s">
        <v>272</v>
      </c>
      <c r="E1458" s="29" t="s">
        <v>500</v>
      </c>
      <c r="F1458" s="29" t="s">
        <v>284</v>
      </c>
      <c r="G1458" s="25" t="s">
        <v>3235</v>
      </c>
      <c r="H1458" s="26">
        <v>-0.62609760000000003</v>
      </c>
      <c r="I1458" s="26"/>
      <c r="J1458" s="26" t="s">
        <v>514</v>
      </c>
      <c r="K1458" s="25" t="s">
        <v>513</v>
      </c>
    </row>
    <row r="1459" spans="1:11" ht="25.5" x14ac:dyDescent="0.25">
      <c r="A1459" s="22">
        <v>2026</v>
      </c>
      <c r="B1459" s="28" t="s">
        <v>183</v>
      </c>
      <c r="C1459" s="28" t="s">
        <v>97</v>
      </c>
      <c r="D1459" s="28" t="s">
        <v>272</v>
      </c>
      <c r="E1459" s="29" t="s">
        <v>500</v>
      </c>
      <c r="F1459" s="29" t="s">
        <v>284</v>
      </c>
      <c r="G1459" s="25" t="s">
        <v>3236</v>
      </c>
      <c r="H1459" s="26">
        <v>-0.43370613999999996</v>
      </c>
      <c r="I1459" s="26"/>
      <c r="J1459" s="26" t="s">
        <v>514</v>
      </c>
      <c r="K1459" s="25" t="s">
        <v>513</v>
      </c>
    </row>
    <row r="1460" spans="1:11" ht="25.5" x14ac:dyDescent="0.25">
      <c r="A1460" s="22">
        <v>2026</v>
      </c>
      <c r="B1460" s="28" t="s">
        <v>183</v>
      </c>
      <c r="C1460" s="28" t="s">
        <v>97</v>
      </c>
      <c r="D1460" s="28" t="s">
        <v>272</v>
      </c>
      <c r="E1460" s="29" t="s">
        <v>500</v>
      </c>
      <c r="F1460" s="29" t="s">
        <v>284</v>
      </c>
      <c r="G1460" s="25" t="s">
        <v>3237</v>
      </c>
      <c r="H1460" s="26">
        <v>-0.46271594999999993</v>
      </c>
      <c r="I1460" s="26"/>
      <c r="J1460" s="26" t="s">
        <v>514</v>
      </c>
      <c r="K1460" s="25" t="s">
        <v>513</v>
      </c>
    </row>
    <row r="1461" spans="1:11" ht="25.5" x14ac:dyDescent="0.25">
      <c r="A1461" s="22">
        <v>2026</v>
      </c>
      <c r="B1461" s="28" t="s">
        <v>183</v>
      </c>
      <c r="C1461" s="28" t="s">
        <v>97</v>
      </c>
      <c r="D1461" s="28" t="s">
        <v>272</v>
      </c>
      <c r="E1461" s="29" t="s">
        <v>500</v>
      </c>
      <c r="F1461" s="29" t="s">
        <v>284</v>
      </c>
      <c r="G1461" s="25" t="s">
        <v>3238</v>
      </c>
      <c r="H1461" s="26">
        <v>-0.46875</v>
      </c>
      <c r="I1461" s="26"/>
      <c r="J1461" s="26" t="s">
        <v>514</v>
      </c>
      <c r="K1461" s="25" t="s">
        <v>513</v>
      </c>
    </row>
    <row r="1462" spans="1:11" ht="25.5" x14ac:dyDescent="0.25">
      <c r="A1462" s="22">
        <v>2026</v>
      </c>
      <c r="B1462" s="28" t="s">
        <v>183</v>
      </c>
      <c r="C1462" s="28" t="s">
        <v>97</v>
      </c>
      <c r="D1462" s="28" t="s">
        <v>272</v>
      </c>
      <c r="E1462" s="29" t="s">
        <v>500</v>
      </c>
      <c r="F1462" s="29" t="s">
        <v>284</v>
      </c>
      <c r="G1462" s="25" t="s">
        <v>3239</v>
      </c>
      <c r="H1462" s="26">
        <v>-1.5037149999999999</v>
      </c>
      <c r="I1462" s="26"/>
      <c r="J1462" s="26" t="s">
        <v>514</v>
      </c>
      <c r="K1462" s="25" t="s">
        <v>513</v>
      </c>
    </row>
    <row r="1463" spans="1:11" ht="25.5" x14ac:dyDescent="0.25">
      <c r="A1463" s="22">
        <v>2026</v>
      </c>
      <c r="B1463" s="28" t="s">
        <v>183</v>
      </c>
      <c r="C1463" s="28" t="s">
        <v>97</v>
      </c>
      <c r="D1463" s="28" t="s">
        <v>272</v>
      </c>
      <c r="E1463" s="29" t="s">
        <v>500</v>
      </c>
      <c r="F1463" s="29" t="s">
        <v>284</v>
      </c>
      <c r="G1463" s="25" t="s">
        <v>3240</v>
      </c>
      <c r="H1463" s="26">
        <v>-1.08335001</v>
      </c>
      <c r="I1463" s="26"/>
      <c r="J1463" s="26" t="s">
        <v>514</v>
      </c>
      <c r="K1463" s="25" t="s">
        <v>513</v>
      </c>
    </row>
    <row r="1464" spans="1:11" ht="25.5" x14ac:dyDescent="0.25">
      <c r="A1464" s="22">
        <v>2026</v>
      </c>
      <c r="B1464" s="28" t="s">
        <v>183</v>
      </c>
      <c r="C1464" s="28" t="s">
        <v>97</v>
      </c>
      <c r="D1464" s="28" t="s">
        <v>272</v>
      </c>
      <c r="E1464" s="29" t="s">
        <v>500</v>
      </c>
      <c r="F1464" s="29" t="s">
        <v>284</v>
      </c>
      <c r="G1464" s="25" t="s">
        <v>3241</v>
      </c>
      <c r="H1464" s="26">
        <v>-0.60081799999999996</v>
      </c>
      <c r="I1464" s="26"/>
      <c r="J1464" s="26" t="s">
        <v>514</v>
      </c>
      <c r="K1464" s="25" t="s">
        <v>513</v>
      </c>
    </row>
    <row r="1465" spans="1:11" ht="25.5" x14ac:dyDescent="0.25">
      <c r="A1465" s="22">
        <v>2026</v>
      </c>
      <c r="B1465" s="28" t="s">
        <v>183</v>
      </c>
      <c r="C1465" s="28" t="s">
        <v>97</v>
      </c>
      <c r="D1465" s="28" t="s">
        <v>272</v>
      </c>
      <c r="E1465" s="29" t="s">
        <v>500</v>
      </c>
      <c r="F1465" s="29" t="s">
        <v>284</v>
      </c>
      <c r="G1465" s="25" t="s">
        <v>3242</v>
      </c>
      <c r="H1465" s="26">
        <v>-0.67731232499999994</v>
      </c>
      <c r="I1465" s="26"/>
      <c r="J1465" s="26" t="s">
        <v>514</v>
      </c>
      <c r="K1465" s="25" t="s">
        <v>513</v>
      </c>
    </row>
    <row r="1466" spans="1:11" ht="25.5" x14ac:dyDescent="0.25">
      <c r="A1466" s="22">
        <v>2026</v>
      </c>
      <c r="B1466" s="28" t="s">
        <v>183</v>
      </c>
      <c r="C1466" s="28" t="s">
        <v>97</v>
      </c>
      <c r="D1466" s="28" t="s">
        <v>1726</v>
      </c>
      <c r="E1466" s="29" t="s">
        <v>569</v>
      </c>
      <c r="F1466" s="29" t="s">
        <v>343</v>
      </c>
      <c r="G1466" s="25" t="s">
        <v>3243</v>
      </c>
      <c r="H1466" s="26">
        <v>-1.2365999999999999</v>
      </c>
      <c r="I1466" s="26"/>
      <c r="J1466" s="26" t="s">
        <v>512</v>
      </c>
      <c r="K1466" s="25" t="s">
        <v>513</v>
      </c>
    </row>
    <row r="1467" spans="1:11" ht="25.5" x14ac:dyDescent="0.25">
      <c r="A1467" s="22">
        <v>2026</v>
      </c>
      <c r="B1467" s="28" t="s">
        <v>183</v>
      </c>
      <c r="C1467" s="28" t="s">
        <v>97</v>
      </c>
      <c r="D1467" s="28" t="s">
        <v>1726</v>
      </c>
      <c r="E1467" s="29" t="s">
        <v>569</v>
      </c>
      <c r="F1467" s="29" t="s">
        <v>343</v>
      </c>
      <c r="G1467" s="25" t="s">
        <v>3244</v>
      </c>
      <c r="H1467" s="26">
        <v>-0.50988002524000009</v>
      </c>
      <c r="I1467" s="26"/>
      <c r="J1467" s="26" t="s">
        <v>512</v>
      </c>
      <c r="K1467" s="25" t="s">
        <v>513</v>
      </c>
    </row>
    <row r="1468" spans="1:11" ht="25.5" x14ac:dyDescent="0.25">
      <c r="A1468" s="22">
        <v>2026</v>
      </c>
      <c r="B1468" s="28" t="s">
        <v>183</v>
      </c>
      <c r="C1468" s="28" t="s">
        <v>97</v>
      </c>
      <c r="D1468" s="28" t="s">
        <v>1726</v>
      </c>
      <c r="E1468" s="29" t="s">
        <v>569</v>
      </c>
      <c r="F1468" s="29" t="s">
        <v>343</v>
      </c>
      <c r="G1468" s="25" t="s">
        <v>3245</v>
      </c>
      <c r="H1468" s="26">
        <v>-0.62539408240999994</v>
      </c>
      <c r="I1468" s="26"/>
      <c r="J1468" s="26" t="s">
        <v>512</v>
      </c>
      <c r="K1468" s="25" t="s">
        <v>513</v>
      </c>
    </row>
    <row r="1469" spans="1:11" ht="25.5" x14ac:dyDescent="0.25">
      <c r="A1469" s="22">
        <v>2026</v>
      </c>
      <c r="B1469" s="28" t="s">
        <v>183</v>
      </c>
      <c r="C1469" s="28" t="s">
        <v>97</v>
      </c>
      <c r="D1469" s="28" t="s">
        <v>1726</v>
      </c>
      <c r="E1469" s="29" t="s">
        <v>569</v>
      </c>
      <c r="F1469" s="29" t="s">
        <v>343</v>
      </c>
      <c r="G1469" s="25" t="s">
        <v>3246</v>
      </c>
      <c r="H1469" s="26">
        <v>-0.46350000000000002</v>
      </c>
      <c r="I1469" s="26"/>
      <c r="J1469" s="26" t="s">
        <v>512</v>
      </c>
      <c r="K1469" s="25" t="s">
        <v>513</v>
      </c>
    </row>
    <row r="1470" spans="1:11" ht="25.5" x14ac:dyDescent="0.25">
      <c r="A1470" s="22">
        <v>2026</v>
      </c>
      <c r="B1470" s="28" t="s">
        <v>183</v>
      </c>
      <c r="C1470" s="28" t="s">
        <v>97</v>
      </c>
      <c r="D1470" s="28" t="s">
        <v>1791</v>
      </c>
      <c r="E1470" s="29" t="s">
        <v>1801</v>
      </c>
      <c r="F1470" s="29" t="s">
        <v>284</v>
      </c>
      <c r="G1470" s="25" t="s">
        <v>3247</v>
      </c>
      <c r="H1470" s="26">
        <v>-0.84450000000000003</v>
      </c>
      <c r="I1470" s="26"/>
      <c r="J1470" s="26" t="s">
        <v>512</v>
      </c>
      <c r="K1470" s="25" t="s">
        <v>513</v>
      </c>
    </row>
    <row r="1471" spans="1:11" ht="25.5" x14ac:dyDescent="0.25">
      <c r="A1471" s="22">
        <v>2026</v>
      </c>
      <c r="B1471" s="28" t="s">
        <v>183</v>
      </c>
      <c r="C1471" s="28" t="s">
        <v>97</v>
      </c>
      <c r="D1471" s="28" t="s">
        <v>1791</v>
      </c>
      <c r="E1471" s="29" t="s">
        <v>1801</v>
      </c>
      <c r="F1471" s="29" t="s">
        <v>284</v>
      </c>
      <c r="G1471" s="25" t="s">
        <v>3248</v>
      </c>
      <c r="H1471" s="26">
        <v>-0.45700000000000002</v>
      </c>
      <c r="I1471" s="26"/>
      <c r="J1471" s="26" t="s">
        <v>512</v>
      </c>
      <c r="K1471" s="25" t="s">
        <v>513</v>
      </c>
    </row>
    <row r="1472" spans="1:11" ht="25.5" x14ac:dyDescent="0.25">
      <c r="A1472" s="22">
        <v>2026</v>
      </c>
      <c r="B1472" s="28" t="s">
        <v>183</v>
      </c>
      <c r="C1472" s="28" t="s">
        <v>97</v>
      </c>
      <c r="D1472" s="28" t="s">
        <v>1791</v>
      </c>
      <c r="E1472" s="29" t="s">
        <v>1801</v>
      </c>
      <c r="F1472" s="29" t="s">
        <v>284</v>
      </c>
      <c r="G1472" s="25" t="s">
        <v>3249</v>
      </c>
      <c r="H1472" s="26">
        <v>-0.46300000000000002</v>
      </c>
      <c r="I1472" s="26"/>
      <c r="J1472" s="26" t="s">
        <v>512</v>
      </c>
      <c r="K1472" s="25" t="s">
        <v>513</v>
      </c>
    </row>
    <row r="1473" spans="1:11" ht="25.5" x14ac:dyDescent="0.25">
      <c r="A1473" s="22">
        <v>2026</v>
      </c>
      <c r="B1473" s="28" t="s">
        <v>183</v>
      </c>
      <c r="C1473" s="28" t="s">
        <v>97</v>
      </c>
      <c r="D1473" s="28" t="s">
        <v>1791</v>
      </c>
      <c r="E1473" s="29" t="s">
        <v>1801</v>
      </c>
      <c r="F1473" s="29" t="s">
        <v>284</v>
      </c>
      <c r="G1473" s="25" t="s">
        <v>3250</v>
      </c>
      <c r="H1473" s="26">
        <v>-0.89993800000000002</v>
      </c>
      <c r="I1473" s="26"/>
      <c r="J1473" s="26" t="s">
        <v>512</v>
      </c>
      <c r="K1473" s="25" t="s">
        <v>513</v>
      </c>
    </row>
    <row r="1474" spans="1:11" ht="25.5" x14ac:dyDescent="0.25">
      <c r="A1474" s="22">
        <v>2026</v>
      </c>
      <c r="B1474" s="28" t="s">
        <v>183</v>
      </c>
      <c r="C1474" s="28" t="s">
        <v>97</v>
      </c>
      <c r="D1474" s="28" t="s">
        <v>1791</v>
      </c>
      <c r="E1474" s="29" t="s">
        <v>1801</v>
      </c>
      <c r="F1474" s="29" t="s">
        <v>284</v>
      </c>
      <c r="G1474" s="25" t="s">
        <v>3251</v>
      </c>
      <c r="H1474" s="26">
        <v>-0.87723799999999996</v>
      </c>
      <c r="I1474" s="26"/>
      <c r="J1474" s="26" t="s">
        <v>512</v>
      </c>
      <c r="K1474" s="25" t="s">
        <v>513</v>
      </c>
    </row>
    <row r="1475" spans="1:11" ht="25.5" x14ac:dyDescent="0.25">
      <c r="A1475" s="22">
        <v>2026</v>
      </c>
      <c r="B1475" s="28" t="s">
        <v>183</v>
      </c>
      <c r="C1475" s="28" t="s">
        <v>97</v>
      </c>
      <c r="D1475" s="28" t="s">
        <v>1791</v>
      </c>
      <c r="E1475" s="29" t="s">
        <v>1801</v>
      </c>
      <c r="F1475" s="29" t="s">
        <v>284</v>
      </c>
      <c r="G1475" s="25" t="s">
        <v>3252</v>
      </c>
      <c r="H1475" s="26">
        <v>-0.76800325000000003</v>
      </c>
      <c r="I1475" s="26"/>
      <c r="J1475" s="26" t="s">
        <v>512</v>
      </c>
      <c r="K1475" s="25" t="s">
        <v>513</v>
      </c>
    </row>
    <row r="1476" spans="1:11" ht="25.5" x14ac:dyDescent="0.25">
      <c r="A1476" s="22">
        <v>2026</v>
      </c>
      <c r="B1476" s="28" t="s">
        <v>183</v>
      </c>
      <c r="C1476" s="28" t="s">
        <v>97</v>
      </c>
      <c r="D1476" s="28" t="s">
        <v>1791</v>
      </c>
      <c r="E1476" s="29" t="s">
        <v>1801</v>
      </c>
      <c r="F1476" s="29" t="s">
        <v>284</v>
      </c>
      <c r="G1476" s="25" t="s">
        <v>3253</v>
      </c>
      <c r="H1476" s="26">
        <v>-0.43386599999999997</v>
      </c>
      <c r="I1476" s="26"/>
      <c r="J1476" s="26" t="s">
        <v>512</v>
      </c>
      <c r="K1476" s="25" t="s">
        <v>513</v>
      </c>
    </row>
    <row r="1477" spans="1:11" ht="25.5" x14ac:dyDescent="0.25">
      <c r="A1477" s="22">
        <v>2026</v>
      </c>
      <c r="B1477" s="28" t="s">
        <v>183</v>
      </c>
      <c r="C1477" s="28" t="s">
        <v>97</v>
      </c>
      <c r="D1477" s="28" t="s">
        <v>1791</v>
      </c>
      <c r="E1477" s="29" t="s">
        <v>1801</v>
      </c>
      <c r="F1477" s="29" t="s">
        <v>284</v>
      </c>
      <c r="G1477" s="25" t="s">
        <v>3254</v>
      </c>
      <c r="H1477" s="26">
        <v>-0.81127199999999999</v>
      </c>
      <c r="I1477" s="26"/>
      <c r="J1477" s="26" t="s">
        <v>512</v>
      </c>
      <c r="K1477" s="25" t="s">
        <v>513</v>
      </c>
    </row>
    <row r="1478" spans="1:11" ht="25.5" x14ac:dyDescent="0.25">
      <c r="A1478" s="22">
        <v>2026</v>
      </c>
      <c r="B1478" s="28" t="s">
        <v>183</v>
      </c>
      <c r="C1478" s="28" t="s">
        <v>97</v>
      </c>
      <c r="D1478" s="28" t="s">
        <v>1791</v>
      </c>
      <c r="E1478" s="29" t="s">
        <v>1801</v>
      </c>
      <c r="F1478" s="29" t="s">
        <v>284</v>
      </c>
      <c r="G1478" s="25" t="s">
        <v>3255</v>
      </c>
      <c r="H1478" s="26">
        <v>-0.42118</v>
      </c>
      <c r="I1478" s="26"/>
      <c r="J1478" s="26" t="s">
        <v>512</v>
      </c>
      <c r="K1478" s="25" t="s">
        <v>513</v>
      </c>
    </row>
    <row r="1479" spans="1:11" ht="25.5" x14ac:dyDescent="0.25">
      <c r="A1479" s="22">
        <v>2026</v>
      </c>
      <c r="B1479" s="28" t="s">
        <v>183</v>
      </c>
      <c r="C1479" s="28" t="s">
        <v>97</v>
      </c>
      <c r="D1479" s="28" t="s">
        <v>1791</v>
      </c>
      <c r="E1479" s="29" t="s">
        <v>1801</v>
      </c>
      <c r="F1479" s="29" t="s">
        <v>284</v>
      </c>
      <c r="G1479" s="25" t="s">
        <v>3256</v>
      </c>
      <c r="H1479" s="26">
        <v>-1.2222029999999999</v>
      </c>
      <c r="I1479" s="26"/>
      <c r="J1479" s="26" t="s">
        <v>512</v>
      </c>
      <c r="K1479" s="25" t="s">
        <v>513</v>
      </c>
    </row>
    <row r="1480" spans="1:11" ht="25.5" x14ac:dyDescent="0.25">
      <c r="A1480" s="22">
        <v>2026</v>
      </c>
      <c r="B1480" s="28" t="s">
        <v>183</v>
      </c>
      <c r="C1480" s="28" t="s">
        <v>97</v>
      </c>
      <c r="D1480" s="28" t="s">
        <v>535</v>
      </c>
      <c r="E1480" s="29" t="s">
        <v>558</v>
      </c>
      <c r="F1480" s="29" t="s">
        <v>374</v>
      </c>
      <c r="G1480" s="25" t="s">
        <v>3257</v>
      </c>
      <c r="H1480" s="26">
        <v>-0.20694275000000001</v>
      </c>
      <c r="I1480" s="26"/>
      <c r="J1480" s="26" t="s">
        <v>512</v>
      </c>
      <c r="K1480" s="25" t="s">
        <v>513</v>
      </c>
    </row>
    <row r="1481" spans="1:11" ht="25.5" x14ac:dyDescent="0.25">
      <c r="A1481" s="22">
        <v>2026</v>
      </c>
      <c r="B1481" s="28" t="s">
        <v>183</v>
      </c>
      <c r="C1481" s="28" t="s">
        <v>97</v>
      </c>
      <c r="D1481" s="28" t="s">
        <v>535</v>
      </c>
      <c r="E1481" s="29" t="s">
        <v>558</v>
      </c>
      <c r="F1481" s="29" t="s">
        <v>374</v>
      </c>
      <c r="G1481" s="25" t="s">
        <v>3258</v>
      </c>
      <c r="H1481" s="26">
        <v>-0.17632500000000001</v>
      </c>
      <c r="I1481" s="26"/>
      <c r="J1481" s="26" t="s">
        <v>512</v>
      </c>
      <c r="K1481" s="25" t="s">
        <v>513</v>
      </c>
    </row>
    <row r="1482" spans="1:11" ht="25.5" x14ac:dyDescent="0.25">
      <c r="A1482" s="22">
        <v>2026</v>
      </c>
      <c r="B1482" s="28" t="s">
        <v>183</v>
      </c>
      <c r="C1482" s="28" t="s">
        <v>97</v>
      </c>
      <c r="D1482" s="28" t="s">
        <v>535</v>
      </c>
      <c r="E1482" s="29" t="s">
        <v>558</v>
      </c>
      <c r="F1482" s="29" t="s">
        <v>374</v>
      </c>
      <c r="G1482" s="25" t="s">
        <v>3259</v>
      </c>
      <c r="H1482" s="26">
        <v>-0.17808450000000001</v>
      </c>
      <c r="I1482" s="26"/>
      <c r="J1482" s="26" t="s">
        <v>512</v>
      </c>
      <c r="K1482" s="25" t="s">
        <v>513</v>
      </c>
    </row>
    <row r="1483" spans="1:11" ht="25.5" x14ac:dyDescent="0.25">
      <c r="A1483" s="22">
        <v>2026</v>
      </c>
      <c r="B1483" s="28" t="s">
        <v>183</v>
      </c>
      <c r="C1483" s="28" t="s">
        <v>97</v>
      </c>
      <c r="D1483" s="28" t="s">
        <v>535</v>
      </c>
      <c r="E1483" s="29" t="s">
        <v>558</v>
      </c>
      <c r="F1483" s="29" t="s">
        <v>374</v>
      </c>
      <c r="G1483" s="25" t="s">
        <v>3260</v>
      </c>
      <c r="H1483" s="26">
        <v>-0.20611499999999999</v>
      </c>
      <c r="I1483" s="26"/>
      <c r="J1483" s="26" t="s">
        <v>512</v>
      </c>
      <c r="K1483" s="25" t="s">
        <v>513</v>
      </c>
    </row>
    <row r="1484" spans="1:11" ht="25.5" x14ac:dyDescent="0.25">
      <c r="A1484" s="22">
        <v>2026</v>
      </c>
      <c r="B1484" s="28" t="s">
        <v>183</v>
      </c>
      <c r="C1484" s="28" t="s">
        <v>97</v>
      </c>
      <c r="D1484" s="28" t="s">
        <v>535</v>
      </c>
      <c r="E1484" s="29" t="s">
        <v>558</v>
      </c>
      <c r="F1484" s="29" t="s">
        <v>374</v>
      </c>
      <c r="G1484" s="25" t="s">
        <v>3261</v>
      </c>
      <c r="H1484" s="26">
        <v>-0.22932</v>
      </c>
      <c r="I1484" s="26"/>
      <c r="J1484" s="26" t="s">
        <v>512</v>
      </c>
      <c r="K1484" s="25" t="s">
        <v>513</v>
      </c>
    </row>
    <row r="1485" spans="1:11" ht="25.5" x14ac:dyDescent="0.25">
      <c r="A1485" s="22">
        <v>2026</v>
      </c>
      <c r="B1485" s="28" t="s">
        <v>183</v>
      </c>
      <c r="C1485" s="28" t="s">
        <v>97</v>
      </c>
      <c r="D1485" s="28" t="s">
        <v>535</v>
      </c>
      <c r="E1485" s="29" t="s">
        <v>558</v>
      </c>
      <c r="F1485" s="29" t="s">
        <v>374</v>
      </c>
      <c r="G1485" s="25" t="s">
        <v>3262</v>
      </c>
      <c r="H1485" s="26">
        <v>-0.1925946</v>
      </c>
      <c r="I1485" s="26"/>
      <c r="J1485" s="26" t="s">
        <v>512</v>
      </c>
      <c r="K1485" s="25" t="s">
        <v>513</v>
      </c>
    </row>
    <row r="1486" spans="1:11" ht="25.5" x14ac:dyDescent="0.25">
      <c r="A1486" s="22">
        <v>2026</v>
      </c>
      <c r="B1486" s="28" t="s">
        <v>183</v>
      </c>
      <c r="C1486" s="28" t="s">
        <v>97</v>
      </c>
      <c r="D1486" s="28" t="s">
        <v>535</v>
      </c>
      <c r="E1486" s="29" t="s">
        <v>558</v>
      </c>
      <c r="F1486" s="29" t="s">
        <v>374</v>
      </c>
      <c r="G1486" s="25" t="s">
        <v>3263</v>
      </c>
      <c r="H1486" s="26">
        <v>-0.17604</v>
      </c>
      <c r="I1486" s="26"/>
      <c r="J1486" s="26" t="s">
        <v>512</v>
      </c>
      <c r="K1486" s="25" t="s">
        <v>513</v>
      </c>
    </row>
    <row r="1487" spans="1:11" ht="25.5" x14ac:dyDescent="0.25">
      <c r="A1487" s="22">
        <v>2026</v>
      </c>
      <c r="B1487" s="28" t="s">
        <v>183</v>
      </c>
      <c r="C1487" s="28" t="s">
        <v>97</v>
      </c>
      <c r="D1487" s="28" t="s">
        <v>535</v>
      </c>
      <c r="E1487" s="29" t="s">
        <v>558</v>
      </c>
      <c r="F1487" s="29" t="s">
        <v>374</v>
      </c>
      <c r="G1487" s="25" t="s">
        <v>3264</v>
      </c>
      <c r="H1487" s="26">
        <v>-0.1949805</v>
      </c>
      <c r="I1487" s="26"/>
      <c r="J1487" s="26" t="s">
        <v>512</v>
      </c>
      <c r="K1487" s="25" t="s">
        <v>513</v>
      </c>
    </row>
    <row r="1488" spans="1:11" ht="25.5" x14ac:dyDescent="0.25">
      <c r="A1488" s="22">
        <v>2026</v>
      </c>
      <c r="B1488" s="28" t="s">
        <v>183</v>
      </c>
      <c r="C1488" s="28" t="s">
        <v>97</v>
      </c>
      <c r="D1488" s="28" t="s">
        <v>535</v>
      </c>
      <c r="E1488" s="29" t="s">
        <v>558</v>
      </c>
      <c r="F1488" s="29" t="s">
        <v>374</v>
      </c>
      <c r="G1488" s="25" t="s">
        <v>3265</v>
      </c>
      <c r="H1488" s="26">
        <v>-0.20690249999999996</v>
      </c>
      <c r="I1488" s="26"/>
      <c r="J1488" s="26" t="s">
        <v>512</v>
      </c>
      <c r="K1488" s="25" t="s">
        <v>513</v>
      </c>
    </row>
    <row r="1489" spans="1:11" ht="25.5" x14ac:dyDescent="0.25">
      <c r="A1489" s="22">
        <v>2026</v>
      </c>
      <c r="B1489" s="28" t="s">
        <v>183</v>
      </c>
      <c r="C1489" s="28" t="s">
        <v>97</v>
      </c>
      <c r="D1489" s="28" t="s">
        <v>535</v>
      </c>
      <c r="E1489" s="29" t="s">
        <v>558</v>
      </c>
      <c r="F1489" s="29" t="s">
        <v>374</v>
      </c>
      <c r="G1489" s="25" t="s">
        <v>3266</v>
      </c>
      <c r="H1489" s="26">
        <v>-0.23004150000000001</v>
      </c>
      <c r="I1489" s="26"/>
      <c r="J1489" s="26" t="s">
        <v>512</v>
      </c>
      <c r="K1489" s="25" t="s">
        <v>513</v>
      </c>
    </row>
    <row r="1490" spans="1:11" ht="25.5" x14ac:dyDescent="0.25">
      <c r="A1490" s="22">
        <v>2026</v>
      </c>
      <c r="B1490" s="28" t="s">
        <v>183</v>
      </c>
      <c r="C1490" s="28" t="s">
        <v>97</v>
      </c>
      <c r="D1490" s="28" t="s">
        <v>535</v>
      </c>
      <c r="E1490" s="29" t="s">
        <v>558</v>
      </c>
      <c r="F1490" s="29" t="s">
        <v>374</v>
      </c>
      <c r="G1490" s="25" t="s">
        <v>3267</v>
      </c>
      <c r="H1490" s="26">
        <v>-0.30149999999999999</v>
      </c>
      <c r="I1490" s="26"/>
      <c r="J1490" s="26" t="s">
        <v>512</v>
      </c>
      <c r="K1490" s="25" t="s">
        <v>513</v>
      </c>
    </row>
    <row r="1491" spans="1:11" ht="25.5" x14ac:dyDescent="0.25">
      <c r="A1491" s="22">
        <v>2026</v>
      </c>
      <c r="B1491" s="28" t="s">
        <v>183</v>
      </c>
      <c r="C1491" s="28" t="s">
        <v>97</v>
      </c>
      <c r="D1491" s="28" t="s">
        <v>535</v>
      </c>
      <c r="E1491" s="29" t="s">
        <v>558</v>
      </c>
      <c r="F1491" s="29" t="s">
        <v>374</v>
      </c>
      <c r="G1491" s="25" t="s">
        <v>3268</v>
      </c>
      <c r="H1491" s="26">
        <v>-0.33108900000000002</v>
      </c>
      <c r="I1491" s="26"/>
      <c r="J1491" s="26" t="s">
        <v>512</v>
      </c>
      <c r="K1491" s="25" t="s">
        <v>513</v>
      </c>
    </row>
    <row r="1492" spans="1:11" ht="25.5" x14ac:dyDescent="0.25">
      <c r="A1492" s="22">
        <v>2026</v>
      </c>
      <c r="B1492" s="28" t="s">
        <v>183</v>
      </c>
      <c r="C1492" s="28" t="s">
        <v>97</v>
      </c>
      <c r="D1492" s="28" t="s">
        <v>535</v>
      </c>
      <c r="E1492" s="29" t="s">
        <v>558</v>
      </c>
      <c r="F1492" s="29" t="s">
        <v>374</v>
      </c>
      <c r="G1492" s="25" t="s">
        <v>3269</v>
      </c>
      <c r="H1492" s="26">
        <v>-0.36293999999999998</v>
      </c>
      <c r="I1492" s="26"/>
      <c r="J1492" s="26" t="s">
        <v>512</v>
      </c>
      <c r="K1492" s="25" t="s">
        <v>513</v>
      </c>
    </row>
    <row r="1493" spans="1:11" ht="25.5" x14ac:dyDescent="0.25">
      <c r="A1493" s="22">
        <v>2026</v>
      </c>
      <c r="B1493" s="28" t="s">
        <v>183</v>
      </c>
      <c r="C1493" s="28" t="s">
        <v>97</v>
      </c>
      <c r="D1493" s="28" t="s">
        <v>535</v>
      </c>
      <c r="E1493" s="29" t="s">
        <v>558</v>
      </c>
      <c r="F1493" s="29" t="s">
        <v>374</v>
      </c>
      <c r="G1493" s="25" t="s">
        <v>3270</v>
      </c>
      <c r="H1493" s="26">
        <v>-0.30249999999999999</v>
      </c>
      <c r="I1493" s="26"/>
      <c r="J1493" s="26" t="s">
        <v>512</v>
      </c>
      <c r="K1493" s="25" t="s">
        <v>513</v>
      </c>
    </row>
    <row r="1494" spans="1:11" ht="25.5" x14ac:dyDescent="0.25">
      <c r="A1494" s="22">
        <v>2026</v>
      </c>
      <c r="B1494" s="28" t="s">
        <v>183</v>
      </c>
      <c r="C1494" s="28" t="s">
        <v>97</v>
      </c>
      <c r="D1494" s="28" t="s">
        <v>535</v>
      </c>
      <c r="E1494" s="29" t="s">
        <v>558</v>
      </c>
      <c r="F1494" s="29" t="s">
        <v>374</v>
      </c>
      <c r="G1494" s="25" t="s">
        <v>3271</v>
      </c>
      <c r="H1494" s="26">
        <v>-0.18210000000000001</v>
      </c>
      <c r="I1494" s="26"/>
      <c r="J1494" s="26" t="s">
        <v>512</v>
      </c>
      <c r="K1494" s="25" t="s">
        <v>513</v>
      </c>
    </row>
    <row r="1495" spans="1:11" ht="25.5" x14ac:dyDescent="0.25">
      <c r="A1495" s="22">
        <v>2026</v>
      </c>
      <c r="B1495" s="28" t="s">
        <v>183</v>
      </c>
      <c r="C1495" s="28" t="s">
        <v>97</v>
      </c>
      <c r="D1495" s="28" t="s">
        <v>535</v>
      </c>
      <c r="E1495" s="29" t="s">
        <v>558</v>
      </c>
      <c r="F1495" s="29" t="s">
        <v>374</v>
      </c>
      <c r="G1495" s="25" t="s">
        <v>3272</v>
      </c>
      <c r="H1495" s="26">
        <v>-0.1511875</v>
      </c>
      <c r="I1495" s="26"/>
      <c r="J1495" s="26" t="s">
        <v>512</v>
      </c>
      <c r="K1495" s="25" t="s">
        <v>513</v>
      </c>
    </row>
    <row r="1496" spans="1:11" ht="25.5" x14ac:dyDescent="0.25">
      <c r="A1496" s="22">
        <v>2026</v>
      </c>
      <c r="B1496" s="28" t="s">
        <v>183</v>
      </c>
      <c r="C1496" s="28" t="s">
        <v>97</v>
      </c>
      <c r="D1496" s="28" t="s">
        <v>535</v>
      </c>
      <c r="E1496" s="29" t="s">
        <v>558</v>
      </c>
      <c r="F1496" s="29" t="s">
        <v>374</v>
      </c>
      <c r="G1496" s="25" t="s">
        <v>3273</v>
      </c>
      <c r="H1496" s="26">
        <v>-0.18329999999999999</v>
      </c>
      <c r="I1496" s="26"/>
      <c r="J1496" s="26" t="s">
        <v>512</v>
      </c>
      <c r="K1496" s="25" t="s">
        <v>513</v>
      </c>
    </row>
    <row r="1497" spans="1:11" ht="25.5" x14ac:dyDescent="0.25">
      <c r="A1497" s="22">
        <v>2026</v>
      </c>
      <c r="B1497" s="28" t="s">
        <v>183</v>
      </c>
      <c r="C1497" s="28" t="s">
        <v>97</v>
      </c>
      <c r="D1497" s="28" t="s">
        <v>535</v>
      </c>
      <c r="E1497" s="29" t="s">
        <v>558</v>
      </c>
      <c r="F1497" s="29" t="s">
        <v>374</v>
      </c>
      <c r="G1497" s="25" t="s">
        <v>3274</v>
      </c>
      <c r="H1497" s="26">
        <v>-0.17959700000000001</v>
      </c>
      <c r="I1497" s="26"/>
      <c r="J1497" s="26" t="s">
        <v>512</v>
      </c>
      <c r="K1497" s="25" t="s">
        <v>513</v>
      </c>
    </row>
    <row r="1498" spans="1:11" ht="25.5" x14ac:dyDescent="0.25">
      <c r="A1498" s="22">
        <v>2026</v>
      </c>
      <c r="B1498" s="28" t="s">
        <v>183</v>
      </c>
      <c r="C1498" s="28" t="s">
        <v>97</v>
      </c>
      <c r="D1498" s="28" t="s">
        <v>533</v>
      </c>
      <c r="E1498" s="29" t="s">
        <v>554</v>
      </c>
      <c r="F1498" s="29" t="s">
        <v>284</v>
      </c>
      <c r="G1498" s="25" t="s">
        <v>3275</v>
      </c>
      <c r="H1498" s="26">
        <v>-6.132E-2</v>
      </c>
      <c r="I1498" s="26"/>
      <c r="J1498" s="26" t="s">
        <v>512</v>
      </c>
      <c r="K1498" s="25" t="s">
        <v>513</v>
      </c>
    </row>
    <row r="1499" spans="1:11" ht="25.5" x14ac:dyDescent="0.25">
      <c r="A1499" s="22">
        <v>2026</v>
      </c>
      <c r="B1499" s="28" t="s">
        <v>183</v>
      </c>
      <c r="C1499" s="28" t="s">
        <v>97</v>
      </c>
      <c r="D1499" s="28" t="s">
        <v>533</v>
      </c>
      <c r="E1499" s="29" t="s">
        <v>554</v>
      </c>
      <c r="F1499" s="29" t="s">
        <v>284</v>
      </c>
      <c r="G1499" s="25" t="s">
        <v>3276</v>
      </c>
      <c r="H1499" s="26">
        <v>-0.23325000000000001</v>
      </c>
      <c r="I1499" s="26"/>
      <c r="J1499" s="26" t="s">
        <v>512</v>
      </c>
      <c r="K1499" s="25" t="s">
        <v>513</v>
      </c>
    </row>
    <row r="1500" spans="1:11" ht="25.5" x14ac:dyDescent="0.25">
      <c r="A1500" s="22">
        <v>2026</v>
      </c>
      <c r="B1500" s="28" t="s">
        <v>183</v>
      </c>
      <c r="C1500" s="28" t="s">
        <v>97</v>
      </c>
      <c r="D1500" s="28" t="s">
        <v>533</v>
      </c>
      <c r="E1500" s="29" t="s">
        <v>554</v>
      </c>
      <c r="F1500" s="29" t="s">
        <v>284</v>
      </c>
      <c r="G1500" s="25" t="s">
        <v>3277</v>
      </c>
      <c r="H1500" s="26">
        <v>-3.5808</v>
      </c>
      <c r="I1500" s="26"/>
      <c r="J1500" s="26" t="s">
        <v>512</v>
      </c>
      <c r="K1500" s="25" t="s">
        <v>513</v>
      </c>
    </row>
    <row r="1501" spans="1:11" ht="25.5" x14ac:dyDescent="0.25">
      <c r="A1501" s="22">
        <v>2026</v>
      </c>
      <c r="B1501" s="28" t="s">
        <v>183</v>
      </c>
      <c r="C1501" s="28" t="s">
        <v>97</v>
      </c>
      <c r="D1501" s="28" t="s">
        <v>533</v>
      </c>
      <c r="E1501" s="29" t="s">
        <v>554</v>
      </c>
      <c r="F1501" s="29" t="s">
        <v>284</v>
      </c>
      <c r="G1501" s="25" t="s">
        <v>3278</v>
      </c>
      <c r="H1501" s="26">
        <v>-0.22320000000000001</v>
      </c>
      <c r="I1501" s="26"/>
      <c r="J1501" s="26" t="s">
        <v>512</v>
      </c>
      <c r="K1501" s="25" t="s">
        <v>513</v>
      </c>
    </row>
    <row r="1502" spans="1:11" ht="25.5" x14ac:dyDescent="0.25">
      <c r="A1502" s="22">
        <v>2026</v>
      </c>
      <c r="B1502" s="28" t="s">
        <v>183</v>
      </c>
      <c r="C1502" s="28" t="s">
        <v>97</v>
      </c>
      <c r="D1502" s="28" t="s">
        <v>533</v>
      </c>
      <c r="E1502" s="29" t="s">
        <v>554</v>
      </c>
      <c r="F1502" s="29" t="s">
        <v>284</v>
      </c>
      <c r="G1502" s="25" t="s">
        <v>3279</v>
      </c>
      <c r="H1502" s="26">
        <v>-0.74399999999999999</v>
      </c>
      <c r="I1502" s="26"/>
      <c r="J1502" s="26" t="s">
        <v>512</v>
      </c>
      <c r="K1502" s="25" t="s">
        <v>513</v>
      </c>
    </row>
    <row r="1503" spans="1:11" ht="25.5" x14ac:dyDescent="0.25">
      <c r="A1503" s="22">
        <v>2026</v>
      </c>
      <c r="B1503" s="28" t="s">
        <v>183</v>
      </c>
      <c r="C1503" s="28" t="s">
        <v>97</v>
      </c>
      <c r="D1503" s="28" t="s">
        <v>533</v>
      </c>
      <c r="E1503" s="29" t="s">
        <v>554</v>
      </c>
      <c r="F1503" s="29" t="s">
        <v>284</v>
      </c>
      <c r="G1503" s="25" t="s">
        <v>3280</v>
      </c>
      <c r="H1503" s="26">
        <v>-0.22334999999999999</v>
      </c>
      <c r="I1503" s="26"/>
      <c r="J1503" s="26" t="s">
        <v>512</v>
      </c>
      <c r="K1503" s="25" t="s">
        <v>513</v>
      </c>
    </row>
    <row r="1504" spans="1:11" ht="25.5" x14ac:dyDescent="0.25">
      <c r="A1504" s="22">
        <v>2026</v>
      </c>
      <c r="B1504" s="28" t="s">
        <v>183</v>
      </c>
      <c r="C1504" s="28" t="s">
        <v>97</v>
      </c>
      <c r="D1504" s="28" t="s">
        <v>533</v>
      </c>
      <c r="E1504" s="29" t="s">
        <v>554</v>
      </c>
      <c r="F1504" s="29" t="s">
        <v>284</v>
      </c>
      <c r="G1504" s="25" t="s">
        <v>3281</v>
      </c>
      <c r="H1504" s="26">
        <v>-0.22305</v>
      </c>
      <c r="I1504" s="26"/>
      <c r="J1504" s="26" t="s">
        <v>512</v>
      </c>
      <c r="K1504" s="25" t="s">
        <v>513</v>
      </c>
    </row>
    <row r="1505" spans="1:11" ht="25.5" x14ac:dyDescent="0.25">
      <c r="A1505" s="22">
        <v>2026</v>
      </c>
      <c r="B1505" s="28" t="s">
        <v>183</v>
      </c>
      <c r="C1505" s="28" t="s">
        <v>97</v>
      </c>
      <c r="D1505" s="28" t="s">
        <v>533</v>
      </c>
      <c r="E1505" s="29" t="s">
        <v>554</v>
      </c>
      <c r="F1505" s="29" t="s">
        <v>284</v>
      </c>
      <c r="G1505" s="25" t="s">
        <v>3282</v>
      </c>
      <c r="H1505" s="26">
        <v>-0.2235</v>
      </c>
      <c r="I1505" s="26"/>
      <c r="J1505" s="26" t="s">
        <v>512</v>
      </c>
      <c r="K1505" s="25" t="s">
        <v>513</v>
      </c>
    </row>
    <row r="1506" spans="1:11" ht="25.5" x14ac:dyDescent="0.25">
      <c r="A1506" s="22">
        <v>2026</v>
      </c>
      <c r="B1506" s="28" t="s">
        <v>183</v>
      </c>
      <c r="C1506" s="28" t="s">
        <v>97</v>
      </c>
      <c r="D1506" s="28" t="s">
        <v>533</v>
      </c>
      <c r="E1506" s="29" t="s">
        <v>554</v>
      </c>
      <c r="F1506" s="29" t="s">
        <v>284</v>
      </c>
      <c r="G1506" s="25" t="s">
        <v>3283</v>
      </c>
      <c r="H1506" s="26">
        <v>-0.22184999999999999</v>
      </c>
      <c r="I1506" s="26"/>
      <c r="J1506" s="26" t="s">
        <v>512</v>
      </c>
      <c r="K1506" s="25" t="s">
        <v>513</v>
      </c>
    </row>
    <row r="1507" spans="1:11" ht="25.5" x14ac:dyDescent="0.25">
      <c r="A1507" s="22">
        <v>2026</v>
      </c>
      <c r="B1507" s="28" t="s">
        <v>183</v>
      </c>
      <c r="C1507" s="28" t="s">
        <v>97</v>
      </c>
      <c r="D1507" s="28" t="s">
        <v>533</v>
      </c>
      <c r="E1507" s="29" t="s">
        <v>554</v>
      </c>
      <c r="F1507" s="29" t="s">
        <v>284</v>
      </c>
      <c r="G1507" s="25" t="s">
        <v>3284</v>
      </c>
      <c r="H1507" s="26">
        <v>-0.22214999999999999</v>
      </c>
      <c r="I1507" s="26"/>
      <c r="J1507" s="26" t="s">
        <v>512</v>
      </c>
      <c r="K1507" s="25" t="s">
        <v>513</v>
      </c>
    </row>
    <row r="1508" spans="1:11" ht="25.5" x14ac:dyDescent="0.25">
      <c r="A1508" s="22">
        <v>2026</v>
      </c>
      <c r="B1508" s="28" t="s">
        <v>183</v>
      </c>
      <c r="C1508" s="28" t="s">
        <v>97</v>
      </c>
      <c r="D1508" s="28" t="s">
        <v>533</v>
      </c>
      <c r="E1508" s="29" t="s">
        <v>554</v>
      </c>
      <c r="F1508" s="29" t="s">
        <v>284</v>
      </c>
      <c r="G1508" s="25" t="s">
        <v>3285</v>
      </c>
      <c r="H1508" s="26">
        <v>-0.22275</v>
      </c>
      <c r="I1508" s="26"/>
      <c r="J1508" s="26" t="s">
        <v>512</v>
      </c>
      <c r="K1508" s="25" t="s">
        <v>513</v>
      </c>
    </row>
    <row r="1509" spans="1:11" ht="25.5" x14ac:dyDescent="0.25">
      <c r="A1509" s="22">
        <v>2026</v>
      </c>
      <c r="B1509" s="28" t="s">
        <v>183</v>
      </c>
      <c r="C1509" s="28" t="s">
        <v>97</v>
      </c>
      <c r="D1509" s="28" t="s">
        <v>533</v>
      </c>
      <c r="E1509" s="29" t="s">
        <v>554</v>
      </c>
      <c r="F1509" s="29" t="s">
        <v>284</v>
      </c>
      <c r="G1509" s="25" t="s">
        <v>3285</v>
      </c>
      <c r="H1509" s="26">
        <v>-0.22275</v>
      </c>
      <c r="I1509" s="26"/>
      <c r="J1509" s="26" t="s">
        <v>512</v>
      </c>
      <c r="K1509" s="25" t="s">
        <v>513</v>
      </c>
    </row>
    <row r="1510" spans="1:11" ht="25.5" x14ac:dyDescent="0.25">
      <c r="A1510" s="22">
        <v>2026</v>
      </c>
      <c r="B1510" s="28" t="s">
        <v>183</v>
      </c>
      <c r="C1510" s="28" t="s">
        <v>97</v>
      </c>
      <c r="D1510" s="28" t="s">
        <v>533</v>
      </c>
      <c r="E1510" s="29" t="s">
        <v>554</v>
      </c>
      <c r="F1510" s="29" t="s">
        <v>284</v>
      </c>
      <c r="G1510" s="25" t="s">
        <v>3280</v>
      </c>
      <c r="H1510" s="26">
        <v>-0.22334999999999999</v>
      </c>
      <c r="I1510" s="26"/>
      <c r="J1510" s="26" t="s">
        <v>512</v>
      </c>
      <c r="K1510" s="25" t="s">
        <v>513</v>
      </c>
    </row>
    <row r="1511" spans="1:11" ht="25.5" x14ac:dyDescent="0.25">
      <c r="A1511" s="22">
        <v>2026</v>
      </c>
      <c r="B1511" s="28" t="s">
        <v>183</v>
      </c>
      <c r="C1511" s="28" t="s">
        <v>97</v>
      </c>
      <c r="D1511" s="28" t="s">
        <v>533</v>
      </c>
      <c r="E1511" s="29" t="s">
        <v>554</v>
      </c>
      <c r="F1511" s="29" t="s">
        <v>284</v>
      </c>
      <c r="G1511" s="25" t="s">
        <v>3282</v>
      </c>
      <c r="H1511" s="26">
        <v>-0.2235</v>
      </c>
      <c r="I1511" s="26"/>
      <c r="J1511" s="26" t="s">
        <v>512</v>
      </c>
      <c r="K1511" s="25" t="s">
        <v>513</v>
      </c>
    </row>
    <row r="1512" spans="1:11" ht="25.5" x14ac:dyDescent="0.25">
      <c r="A1512" s="22">
        <v>2026</v>
      </c>
      <c r="B1512" s="28" t="s">
        <v>183</v>
      </c>
      <c r="C1512" s="28" t="s">
        <v>97</v>
      </c>
      <c r="D1512" s="28" t="s">
        <v>533</v>
      </c>
      <c r="E1512" s="29" t="s">
        <v>554</v>
      </c>
      <c r="F1512" s="29" t="s">
        <v>284</v>
      </c>
      <c r="G1512" s="25" t="s">
        <v>3286</v>
      </c>
      <c r="H1512" s="26">
        <v>-0.12576000000000001</v>
      </c>
      <c r="I1512" s="26"/>
      <c r="J1512" s="26" t="s">
        <v>512</v>
      </c>
      <c r="K1512" s="25" t="s">
        <v>513</v>
      </c>
    </row>
    <row r="1513" spans="1:11" ht="25.5" x14ac:dyDescent="0.25">
      <c r="A1513" s="22">
        <v>2026</v>
      </c>
      <c r="B1513" s="28" t="s">
        <v>183</v>
      </c>
      <c r="C1513" s="28" t="s">
        <v>97</v>
      </c>
      <c r="D1513" s="28" t="s">
        <v>533</v>
      </c>
      <c r="E1513" s="29" t="s">
        <v>554</v>
      </c>
      <c r="F1513" s="29" t="s">
        <v>284</v>
      </c>
      <c r="G1513" s="25" t="s">
        <v>3287</v>
      </c>
      <c r="H1513" s="26">
        <v>-0.22664999999999999</v>
      </c>
      <c r="I1513" s="26"/>
      <c r="J1513" s="26" t="s">
        <v>512</v>
      </c>
      <c r="K1513" s="25" t="s">
        <v>513</v>
      </c>
    </row>
    <row r="1514" spans="1:11" ht="25.5" x14ac:dyDescent="0.25">
      <c r="A1514" s="22">
        <v>2026</v>
      </c>
      <c r="B1514" s="28" t="s">
        <v>183</v>
      </c>
      <c r="C1514" s="28" t="s">
        <v>97</v>
      </c>
      <c r="D1514" s="28" t="s">
        <v>533</v>
      </c>
      <c r="E1514" s="29" t="s">
        <v>554</v>
      </c>
      <c r="F1514" s="29" t="s">
        <v>284</v>
      </c>
      <c r="G1514" s="25" t="s">
        <v>3288</v>
      </c>
      <c r="H1514" s="26">
        <v>-0.22514999999999999</v>
      </c>
      <c r="I1514" s="26"/>
      <c r="J1514" s="26" t="s">
        <v>512</v>
      </c>
      <c r="K1514" s="25" t="s">
        <v>513</v>
      </c>
    </row>
    <row r="1515" spans="1:11" ht="25.5" x14ac:dyDescent="0.25">
      <c r="A1515" s="22">
        <v>2026</v>
      </c>
      <c r="B1515" s="28" t="s">
        <v>183</v>
      </c>
      <c r="C1515" s="28" t="s">
        <v>97</v>
      </c>
      <c r="D1515" s="28" t="s">
        <v>533</v>
      </c>
      <c r="E1515" s="29" t="s">
        <v>554</v>
      </c>
      <c r="F1515" s="29" t="s">
        <v>284</v>
      </c>
      <c r="G1515" s="25" t="s">
        <v>3289</v>
      </c>
      <c r="H1515" s="26">
        <v>-0.22500000000000001</v>
      </c>
      <c r="I1515" s="26"/>
      <c r="J1515" s="26" t="s">
        <v>512</v>
      </c>
      <c r="K1515" s="25" t="s">
        <v>513</v>
      </c>
    </row>
    <row r="1516" spans="1:11" ht="25.5" x14ac:dyDescent="0.25">
      <c r="A1516" s="22">
        <v>2026</v>
      </c>
      <c r="B1516" s="28" t="s">
        <v>183</v>
      </c>
      <c r="C1516" s="28" t="s">
        <v>97</v>
      </c>
      <c r="D1516" s="28" t="s">
        <v>533</v>
      </c>
      <c r="E1516" s="29" t="s">
        <v>554</v>
      </c>
      <c r="F1516" s="29" t="s">
        <v>284</v>
      </c>
      <c r="G1516" s="25" t="s">
        <v>3289</v>
      </c>
      <c r="H1516" s="26">
        <v>-0.22500000000000001</v>
      </c>
      <c r="I1516" s="26"/>
      <c r="J1516" s="26" t="s">
        <v>512</v>
      </c>
      <c r="K1516" s="25" t="s">
        <v>513</v>
      </c>
    </row>
    <row r="1517" spans="1:11" ht="25.5" x14ac:dyDescent="0.25">
      <c r="A1517" s="22">
        <v>2026</v>
      </c>
      <c r="B1517" s="28" t="s">
        <v>183</v>
      </c>
      <c r="C1517" s="28" t="s">
        <v>97</v>
      </c>
      <c r="D1517" s="28" t="s">
        <v>533</v>
      </c>
      <c r="E1517" s="29" t="s">
        <v>554</v>
      </c>
      <c r="F1517" s="29" t="s">
        <v>284</v>
      </c>
      <c r="G1517" s="25" t="s">
        <v>3290</v>
      </c>
      <c r="H1517" s="26">
        <v>-0.44579999999999997</v>
      </c>
      <c r="I1517" s="26"/>
      <c r="J1517" s="26" t="s">
        <v>512</v>
      </c>
      <c r="K1517" s="25" t="s">
        <v>513</v>
      </c>
    </row>
    <row r="1518" spans="1:11" ht="25.5" x14ac:dyDescent="0.25">
      <c r="A1518" s="22">
        <v>2026</v>
      </c>
      <c r="B1518" s="28" t="s">
        <v>183</v>
      </c>
      <c r="C1518" s="28" t="s">
        <v>97</v>
      </c>
      <c r="D1518" s="28" t="s">
        <v>1727</v>
      </c>
      <c r="E1518" s="29" t="s">
        <v>305</v>
      </c>
      <c r="F1518" s="29" t="s">
        <v>903</v>
      </c>
      <c r="G1518" s="25" t="s">
        <v>3291</v>
      </c>
      <c r="H1518" s="26">
        <v>-4.0250000000000001E-2</v>
      </c>
      <c r="I1518" s="26"/>
      <c r="J1518" s="26" t="s">
        <v>514</v>
      </c>
      <c r="K1518" s="25" t="s">
        <v>513</v>
      </c>
    </row>
    <row r="1519" spans="1:11" ht="25.5" x14ac:dyDescent="0.25">
      <c r="A1519" s="22">
        <v>2026</v>
      </c>
      <c r="B1519" s="28" t="s">
        <v>183</v>
      </c>
      <c r="C1519" s="28" t="s">
        <v>97</v>
      </c>
      <c r="D1519" s="28" t="s">
        <v>1727</v>
      </c>
      <c r="E1519" s="29" t="s">
        <v>305</v>
      </c>
      <c r="F1519" s="29" t="s">
        <v>903</v>
      </c>
      <c r="G1519" s="25" t="s">
        <v>3292</v>
      </c>
      <c r="H1519" s="26">
        <v>-7.4980000000000005E-2</v>
      </c>
      <c r="I1519" s="26"/>
      <c r="J1519" s="26" t="s">
        <v>514</v>
      </c>
      <c r="K1519" s="25" t="s">
        <v>513</v>
      </c>
    </row>
    <row r="1520" spans="1:11" ht="25.5" x14ac:dyDescent="0.25">
      <c r="A1520" s="22">
        <v>2026</v>
      </c>
      <c r="B1520" s="28" t="s">
        <v>183</v>
      </c>
      <c r="C1520" s="28" t="s">
        <v>97</v>
      </c>
      <c r="D1520" s="28" t="s">
        <v>1727</v>
      </c>
      <c r="E1520" s="29" t="s">
        <v>305</v>
      </c>
      <c r="F1520" s="29" t="s">
        <v>903</v>
      </c>
      <c r="G1520" s="25" t="s">
        <v>3293</v>
      </c>
      <c r="H1520" s="26">
        <v>-0.11235000000000001</v>
      </c>
      <c r="I1520" s="26"/>
      <c r="J1520" s="26" t="s">
        <v>514</v>
      </c>
      <c r="K1520" s="25" t="s">
        <v>513</v>
      </c>
    </row>
    <row r="1521" spans="1:11" ht="25.5" x14ac:dyDescent="0.25">
      <c r="A1521" s="22">
        <v>2026</v>
      </c>
      <c r="B1521" s="28" t="s">
        <v>183</v>
      </c>
      <c r="C1521" s="28" t="s">
        <v>97</v>
      </c>
      <c r="D1521" s="28" t="s">
        <v>1727</v>
      </c>
      <c r="E1521" s="29" t="s">
        <v>305</v>
      </c>
      <c r="F1521" s="29" t="s">
        <v>903</v>
      </c>
      <c r="G1521" s="25" t="s">
        <v>3294</v>
      </c>
      <c r="H1521" s="26">
        <v>-5.9249999999999997E-2</v>
      </c>
      <c r="I1521" s="26"/>
      <c r="J1521" s="26" t="s">
        <v>514</v>
      </c>
      <c r="K1521" s="25" t="s">
        <v>513</v>
      </c>
    </row>
    <row r="1522" spans="1:11" ht="25.5" x14ac:dyDescent="0.25">
      <c r="A1522" s="22">
        <v>2026</v>
      </c>
      <c r="B1522" s="28" t="s">
        <v>183</v>
      </c>
      <c r="C1522" s="28" t="s">
        <v>97</v>
      </c>
      <c r="D1522" s="28" t="s">
        <v>1727</v>
      </c>
      <c r="E1522" s="29" t="s">
        <v>305</v>
      </c>
      <c r="F1522" s="29" t="s">
        <v>903</v>
      </c>
      <c r="G1522" s="25" t="s">
        <v>3291</v>
      </c>
      <c r="H1522" s="26">
        <v>-4.0250000000000001E-2</v>
      </c>
      <c r="I1522" s="26"/>
      <c r="J1522" s="26" t="s">
        <v>514</v>
      </c>
      <c r="K1522" s="25" t="s">
        <v>513</v>
      </c>
    </row>
    <row r="1523" spans="1:11" ht="25.5" x14ac:dyDescent="0.25">
      <c r="A1523" s="22">
        <v>2026</v>
      </c>
      <c r="B1523" s="28" t="s">
        <v>183</v>
      </c>
      <c r="C1523" s="28" t="s">
        <v>97</v>
      </c>
      <c r="D1523" s="28" t="s">
        <v>1727</v>
      </c>
      <c r="E1523" s="29" t="s">
        <v>305</v>
      </c>
      <c r="F1523" s="29" t="s">
        <v>903</v>
      </c>
      <c r="G1523" s="25" t="s">
        <v>3295</v>
      </c>
      <c r="H1523" s="26">
        <v>-9.5352000000000006E-2</v>
      </c>
      <c r="I1523" s="26"/>
      <c r="J1523" s="26" t="s">
        <v>514</v>
      </c>
      <c r="K1523" s="25" t="s">
        <v>513</v>
      </c>
    </row>
    <row r="1524" spans="1:11" ht="25.5" x14ac:dyDescent="0.25">
      <c r="A1524" s="22">
        <v>2026</v>
      </c>
      <c r="B1524" s="28" t="s">
        <v>183</v>
      </c>
      <c r="C1524" s="28" t="s">
        <v>97</v>
      </c>
      <c r="D1524" s="28" t="s">
        <v>1727</v>
      </c>
      <c r="E1524" s="29" t="s">
        <v>305</v>
      </c>
      <c r="F1524" s="29" t="s">
        <v>903</v>
      </c>
      <c r="G1524" s="25" t="s">
        <v>3296</v>
      </c>
      <c r="H1524" s="26">
        <v>-6.2799999999999995E-2</v>
      </c>
      <c r="I1524" s="26"/>
      <c r="J1524" s="26" t="s">
        <v>514</v>
      </c>
      <c r="K1524" s="25" t="s">
        <v>513</v>
      </c>
    </row>
    <row r="1525" spans="1:11" ht="25.5" x14ac:dyDescent="0.25">
      <c r="A1525" s="22">
        <v>2026</v>
      </c>
      <c r="B1525" s="28" t="s">
        <v>183</v>
      </c>
      <c r="C1525" s="28" t="s">
        <v>97</v>
      </c>
      <c r="D1525" s="28" t="s">
        <v>1727</v>
      </c>
      <c r="E1525" s="29" t="s">
        <v>305</v>
      </c>
      <c r="F1525" s="29" t="s">
        <v>903</v>
      </c>
      <c r="G1525" s="25" t="s">
        <v>3297</v>
      </c>
      <c r="H1525" s="26">
        <v>-7.775E-2</v>
      </c>
      <c r="I1525" s="26"/>
      <c r="J1525" s="26" t="s">
        <v>514</v>
      </c>
      <c r="K1525" s="25" t="s">
        <v>513</v>
      </c>
    </row>
    <row r="1526" spans="1:11" ht="25.5" x14ac:dyDescent="0.25">
      <c r="A1526" s="22">
        <v>2026</v>
      </c>
      <c r="B1526" s="28" t="s">
        <v>183</v>
      </c>
      <c r="C1526" s="28" t="s">
        <v>97</v>
      </c>
      <c r="D1526" s="28" t="s">
        <v>1727</v>
      </c>
      <c r="E1526" s="29" t="s">
        <v>305</v>
      </c>
      <c r="F1526" s="29" t="s">
        <v>903</v>
      </c>
      <c r="G1526" s="25" t="s">
        <v>3298</v>
      </c>
      <c r="H1526" s="26">
        <v>-5.7224199999999996E-2</v>
      </c>
      <c r="I1526" s="26"/>
      <c r="J1526" s="26" t="s">
        <v>514</v>
      </c>
      <c r="K1526" s="25" t="s">
        <v>513</v>
      </c>
    </row>
    <row r="1527" spans="1:11" ht="25.5" x14ac:dyDescent="0.25">
      <c r="A1527" s="22">
        <v>2026</v>
      </c>
      <c r="B1527" s="28" t="s">
        <v>183</v>
      </c>
      <c r="C1527" s="28" t="s">
        <v>97</v>
      </c>
      <c r="D1527" s="28" t="s">
        <v>1728</v>
      </c>
      <c r="E1527" s="29" t="s">
        <v>1775</v>
      </c>
      <c r="F1527" s="29" t="s">
        <v>374</v>
      </c>
      <c r="G1527" s="25" t="s">
        <v>2343</v>
      </c>
      <c r="H1527" s="26">
        <v>-0.3175</v>
      </c>
      <c r="I1527" s="26"/>
      <c r="J1527" s="26" t="s">
        <v>514</v>
      </c>
      <c r="K1527" s="25" t="s">
        <v>513</v>
      </c>
    </row>
    <row r="1528" spans="1:11" ht="25.5" x14ac:dyDescent="0.25">
      <c r="A1528" s="22">
        <v>2026</v>
      </c>
      <c r="B1528" s="28" t="s">
        <v>183</v>
      </c>
      <c r="C1528" s="28" t="s">
        <v>97</v>
      </c>
      <c r="D1528" s="28" t="s">
        <v>1728</v>
      </c>
      <c r="E1528" s="29" t="s">
        <v>1775</v>
      </c>
      <c r="F1528" s="29" t="s">
        <v>374</v>
      </c>
      <c r="G1528" s="25" t="s">
        <v>2349</v>
      </c>
      <c r="H1528" s="26">
        <v>-0.32050000000000001</v>
      </c>
      <c r="I1528" s="26"/>
      <c r="J1528" s="26" t="s">
        <v>514</v>
      </c>
      <c r="K1528" s="25" t="s">
        <v>513</v>
      </c>
    </row>
    <row r="1529" spans="1:11" ht="25.5" x14ac:dyDescent="0.25">
      <c r="A1529" s="22">
        <v>2026</v>
      </c>
      <c r="B1529" s="28" t="s">
        <v>183</v>
      </c>
      <c r="C1529" s="28" t="s">
        <v>97</v>
      </c>
      <c r="D1529" s="28" t="s">
        <v>1728</v>
      </c>
      <c r="E1529" s="29" t="s">
        <v>1775</v>
      </c>
      <c r="F1529" s="29" t="s">
        <v>374</v>
      </c>
      <c r="G1529" s="25" t="s">
        <v>3299</v>
      </c>
      <c r="H1529" s="26">
        <v>-0.32274999999999998</v>
      </c>
      <c r="I1529" s="26"/>
      <c r="J1529" s="26" t="s">
        <v>514</v>
      </c>
      <c r="K1529" s="25" t="s">
        <v>513</v>
      </c>
    </row>
    <row r="1530" spans="1:11" ht="25.5" x14ac:dyDescent="0.25">
      <c r="A1530" s="22">
        <v>2026</v>
      </c>
      <c r="B1530" s="28" t="s">
        <v>183</v>
      </c>
      <c r="C1530" s="28" t="s">
        <v>97</v>
      </c>
      <c r="D1530" s="28" t="s">
        <v>1728</v>
      </c>
      <c r="E1530" s="29" t="s">
        <v>1775</v>
      </c>
      <c r="F1530" s="29" t="s">
        <v>374</v>
      </c>
      <c r="G1530" s="25" t="s">
        <v>3300</v>
      </c>
      <c r="H1530" s="26">
        <v>-0.32100000000000001</v>
      </c>
      <c r="I1530" s="26"/>
      <c r="J1530" s="26" t="s">
        <v>514</v>
      </c>
      <c r="K1530" s="25" t="s">
        <v>513</v>
      </c>
    </row>
    <row r="1531" spans="1:11" ht="25.5" x14ac:dyDescent="0.25">
      <c r="A1531" s="22">
        <v>2026</v>
      </c>
      <c r="B1531" s="28" t="s">
        <v>183</v>
      </c>
      <c r="C1531" s="28" t="s">
        <v>97</v>
      </c>
      <c r="D1531" s="28" t="s">
        <v>1728</v>
      </c>
      <c r="E1531" s="29" t="s">
        <v>1775</v>
      </c>
      <c r="F1531" s="29" t="s">
        <v>374</v>
      </c>
      <c r="G1531" s="25" t="s">
        <v>2349</v>
      </c>
      <c r="H1531" s="26">
        <v>-0.32050000000000001</v>
      </c>
      <c r="I1531" s="26"/>
      <c r="J1531" s="26" t="s">
        <v>514</v>
      </c>
      <c r="K1531" s="25" t="s">
        <v>513</v>
      </c>
    </row>
    <row r="1532" spans="1:11" ht="25.5" x14ac:dyDescent="0.25">
      <c r="A1532" s="22">
        <v>2026</v>
      </c>
      <c r="B1532" s="28" t="s">
        <v>183</v>
      </c>
      <c r="C1532" s="28" t="s">
        <v>97</v>
      </c>
      <c r="D1532" s="28" t="s">
        <v>1728</v>
      </c>
      <c r="E1532" s="29" t="s">
        <v>1775</v>
      </c>
      <c r="F1532" s="29" t="s">
        <v>374</v>
      </c>
      <c r="G1532" s="25" t="s">
        <v>2352</v>
      </c>
      <c r="H1532" s="26">
        <v>-0.31874999999999998</v>
      </c>
      <c r="I1532" s="26"/>
      <c r="J1532" s="26" t="s">
        <v>514</v>
      </c>
      <c r="K1532" s="25" t="s">
        <v>513</v>
      </c>
    </row>
    <row r="1533" spans="1:11" ht="25.5" x14ac:dyDescent="0.25">
      <c r="A1533" s="22">
        <v>2026</v>
      </c>
      <c r="B1533" s="28" t="s">
        <v>183</v>
      </c>
      <c r="C1533" s="28" t="s">
        <v>97</v>
      </c>
      <c r="D1533" s="28" t="s">
        <v>1728</v>
      </c>
      <c r="E1533" s="29" t="s">
        <v>1775</v>
      </c>
      <c r="F1533" s="29" t="s">
        <v>374</v>
      </c>
      <c r="G1533" s="25" t="s">
        <v>2353</v>
      </c>
      <c r="H1533" s="26">
        <v>-0.32</v>
      </c>
      <c r="I1533" s="26"/>
      <c r="J1533" s="26" t="s">
        <v>514</v>
      </c>
      <c r="K1533" s="25" t="s">
        <v>513</v>
      </c>
    </row>
    <row r="1534" spans="1:11" ht="25.5" x14ac:dyDescent="0.25">
      <c r="A1534" s="22">
        <v>2026</v>
      </c>
      <c r="B1534" s="28" t="s">
        <v>183</v>
      </c>
      <c r="C1534" s="28" t="s">
        <v>97</v>
      </c>
      <c r="D1534" s="28" t="s">
        <v>1728</v>
      </c>
      <c r="E1534" s="29" t="s">
        <v>1775</v>
      </c>
      <c r="F1534" s="29" t="s">
        <v>374</v>
      </c>
      <c r="G1534" s="25" t="s">
        <v>2344</v>
      </c>
      <c r="H1534" s="26">
        <v>-0.31824999999999998</v>
      </c>
      <c r="I1534" s="26"/>
      <c r="J1534" s="26" t="s">
        <v>514</v>
      </c>
      <c r="K1534" s="25" t="s">
        <v>513</v>
      </c>
    </row>
    <row r="1535" spans="1:11" ht="25.5" x14ac:dyDescent="0.25">
      <c r="A1535" s="22">
        <v>2026</v>
      </c>
      <c r="B1535" s="28" t="s">
        <v>183</v>
      </c>
      <c r="C1535" s="28" t="s">
        <v>97</v>
      </c>
      <c r="D1535" s="28" t="s">
        <v>1728</v>
      </c>
      <c r="E1535" s="29" t="s">
        <v>1775</v>
      </c>
      <c r="F1535" s="29" t="s">
        <v>374</v>
      </c>
      <c r="G1535" s="25" t="s">
        <v>3301</v>
      </c>
      <c r="H1535" s="26">
        <v>-0.317</v>
      </c>
      <c r="I1535" s="26"/>
      <c r="J1535" s="26" t="s">
        <v>514</v>
      </c>
      <c r="K1535" s="25" t="s">
        <v>513</v>
      </c>
    </row>
    <row r="1536" spans="1:11" ht="25.5" x14ac:dyDescent="0.25">
      <c r="A1536" s="22">
        <v>2026</v>
      </c>
      <c r="B1536" s="28" t="s">
        <v>183</v>
      </c>
      <c r="C1536" s="28" t="s">
        <v>97</v>
      </c>
      <c r="D1536" s="28" t="s">
        <v>1728</v>
      </c>
      <c r="E1536" s="29" t="s">
        <v>1775</v>
      </c>
      <c r="F1536" s="29" t="s">
        <v>374</v>
      </c>
      <c r="G1536" s="25" t="s">
        <v>2353</v>
      </c>
      <c r="H1536" s="26">
        <v>-0.32</v>
      </c>
      <c r="I1536" s="26"/>
      <c r="J1536" s="26" t="s">
        <v>514</v>
      </c>
      <c r="K1536" s="25" t="s">
        <v>513</v>
      </c>
    </row>
    <row r="1537" spans="1:11" ht="25.5" x14ac:dyDescent="0.25">
      <c r="A1537" s="22">
        <v>2026</v>
      </c>
      <c r="B1537" s="28" t="s">
        <v>183</v>
      </c>
      <c r="C1537" s="28" t="s">
        <v>97</v>
      </c>
      <c r="D1537" s="28" t="s">
        <v>1728</v>
      </c>
      <c r="E1537" s="29" t="s">
        <v>1775</v>
      </c>
      <c r="F1537" s="29" t="s">
        <v>374</v>
      </c>
      <c r="G1537" s="25" t="s">
        <v>3302</v>
      </c>
      <c r="H1537" s="26">
        <v>-0.32650000000000001</v>
      </c>
      <c r="I1537" s="26"/>
      <c r="J1537" s="26" t="s">
        <v>514</v>
      </c>
      <c r="K1537" s="25" t="s">
        <v>513</v>
      </c>
    </row>
    <row r="1538" spans="1:11" ht="25.5" x14ac:dyDescent="0.25">
      <c r="A1538" s="22">
        <v>2026</v>
      </c>
      <c r="B1538" s="28" t="s">
        <v>183</v>
      </c>
      <c r="C1538" s="28" t="s">
        <v>97</v>
      </c>
      <c r="D1538" s="28" t="s">
        <v>1728</v>
      </c>
      <c r="E1538" s="29" t="s">
        <v>1775</v>
      </c>
      <c r="F1538" s="29" t="s">
        <v>374</v>
      </c>
      <c r="G1538" s="25" t="s">
        <v>3303</v>
      </c>
      <c r="H1538" s="26">
        <v>-0.32724999999999999</v>
      </c>
      <c r="I1538" s="26"/>
      <c r="J1538" s="26" t="s">
        <v>514</v>
      </c>
      <c r="K1538" s="25" t="s">
        <v>513</v>
      </c>
    </row>
    <row r="1539" spans="1:11" ht="25.5" x14ac:dyDescent="0.25">
      <c r="A1539" s="22">
        <v>2026</v>
      </c>
      <c r="B1539" s="28" t="s">
        <v>183</v>
      </c>
      <c r="C1539" s="28" t="s">
        <v>97</v>
      </c>
      <c r="D1539" s="28" t="s">
        <v>1728</v>
      </c>
      <c r="E1539" s="29" t="s">
        <v>1775</v>
      </c>
      <c r="F1539" s="29" t="s">
        <v>374</v>
      </c>
      <c r="G1539" s="25" t="s">
        <v>3299</v>
      </c>
      <c r="H1539" s="26">
        <v>-0.32274999999999998</v>
      </c>
      <c r="I1539" s="26"/>
      <c r="J1539" s="26" t="s">
        <v>514</v>
      </c>
      <c r="K1539" s="25" t="s">
        <v>513</v>
      </c>
    </row>
    <row r="1540" spans="1:11" ht="25.5" x14ac:dyDescent="0.25">
      <c r="A1540" s="22">
        <v>2026</v>
      </c>
      <c r="B1540" s="28" t="s">
        <v>183</v>
      </c>
      <c r="C1540" s="28" t="s">
        <v>97</v>
      </c>
      <c r="D1540" s="28" t="s">
        <v>1728</v>
      </c>
      <c r="E1540" s="29" t="s">
        <v>1775</v>
      </c>
      <c r="F1540" s="29" t="s">
        <v>374</v>
      </c>
      <c r="G1540" s="25" t="s">
        <v>2350</v>
      </c>
      <c r="H1540" s="26">
        <v>-0.32200000000000001</v>
      </c>
      <c r="I1540" s="26"/>
      <c r="J1540" s="26" t="s">
        <v>514</v>
      </c>
      <c r="K1540" s="25" t="s">
        <v>513</v>
      </c>
    </row>
    <row r="1541" spans="1:11" ht="25.5" x14ac:dyDescent="0.25">
      <c r="A1541" s="22">
        <v>2026</v>
      </c>
      <c r="B1541" s="28" t="s">
        <v>183</v>
      </c>
      <c r="C1541" s="28" t="s">
        <v>97</v>
      </c>
      <c r="D1541" s="28" t="s">
        <v>1728</v>
      </c>
      <c r="E1541" s="29" t="s">
        <v>1775</v>
      </c>
      <c r="F1541" s="29" t="s">
        <v>374</v>
      </c>
      <c r="G1541" s="25" t="s">
        <v>3299</v>
      </c>
      <c r="H1541" s="26">
        <v>-0.32274999999999998</v>
      </c>
      <c r="I1541" s="26"/>
      <c r="J1541" s="26" t="s">
        <v>514</v>
      </c>
      <c r="K1541" s="25" t="s">
        <v>513</v>
      </c>
    </row>
    <row r="1542" spans="1:11" ht="25.5" x14ac:dyDescent="0.25">
      <c r="A1542" s="22">
        <v>2026</v>
      </c>
      <c r="B1542" s="28" t="s">
        <v>183</v>
      </c>
      <c r="C1542" s="28" t="s">
        <v>97</v>
      </c>
      <c r="D1542" s="28" t="s">
        <v>1728</v>
      </c>
      <c r="E1542" s="29" t="s">
        <v>1775</v>
      </c>
      <c r="F1542" s="29" t="s">
        <v>374</v>
      </c>
      <c r="G1542" s="25" t="s">
        <v>3304</v>
      </c>
      <c r="H1542" s="26">
        <v>-0.32600000000000001</v>
      </c>
      <c r="I1542" s="26"/>
      <c r="J1542" s="26" t="s">
        <v>514</v>
      </c>
      <c r="K1542" s="25" t="s">
        <v>513</v>
      </c>
    </row>
    <row r="1543" spans="1:11" ht="25.5" x14ac:dyDescent="0.25">
      <c r="A1543" s="22">
        <v>2026</v>
      </c>
      <c r="B1543" s="28" t="s">
        <v>183</v>
      </c>
      <c r="C1543" s="28" t="s">
        <v>97</v>
      </c>
      <c r="D1543" s="28" t="s">
        <v>1728</v>
      </c>
      <c r="E1543" s="29" t="s">
        <v>1775</v>
      </c>
      <c r="F1543" s="29" t="s">
        <v>374</v>
      </c>
      <c r="G1543" s="25" t="s">
        <v>3305</v>
      </c>
      <c r="H1543" s="26">
        <v>-0.32750000000000001</v>
      </c>
      <c r="I1543" s="26"/>
      <c r="J1543" s="26" t="s">
        <v>514</v>
      </c>
      <c r="K1543" s="25" t="s">
        <v>513</v>
      </c>
    </row>
    <row r="1544" spans="1:11" ht="25.5" x14ac:dyDescent="0.25">
      <c r="A1544" s="22">
        <v>2026</v>
      </c>
      <c r="B1544" s="28" t="s">
        <v>183</v>
      </c>
      <c r="C1544" s="28" t="s">
        <v>97</v>
      </c>
      <c r="D1544" s="28" t="s">
        <v>1728</v>
      </c>
      <c r="E1544" s="29" t="s">
        <v>1775</v>
      </c>
      <c r="F1544" s="29" t="s">
        <v>374</v>
      </c>
      <c r="G1544" s="25" t="s">
        <v>3306</v>
      </c>
      <c r="H1544" s="26">
        <v>-0.32824999999999999</v>
      </c>
      <c r="I1544" s="26"/>
      <c r="J1544" s="26" t="s">
        <v>514</v>
      </c>
      <c r="K1544" s="25" t="s">
        <v>513</v>
      </c>
    </row>
    <row r="1545" spans="1:11" ht="25.5" x14ac:dyDescent="0.25">
      <c r="A1545" s="22">
        <v>2026</v>
      </c>
      <c r="B1545" s="28" t="s">
        <v>183</v>
      </c>
      <c r="C1545" s="28" t="s">
        <v>97</v>
      </c>
      <c r="D1545" s="28" t="s">
        <v>1728</v>
      </c>
      <c r="E1545" s="29" t="s">
        <v>1775</v>
      </c>
      <c r="F1545" s="29" t="s">
        <v>374</v>
      </c>
      <c r="G1545" s="25" t="s">
        <v>3307</v>
      </c>
      <c r="H1545" s="26">
        <v>-0.33324999999999999</v>
      </c>
      <c r="I1545" s="26"/>
      <c r="J1545" s="26" t="s">
        <v>514</v>
      </c>
      <c r="K1545" s="25" t="s">
        <v>513</v>
      </c>
    </row>
    <row r="1546" spans="1:11" ht="25.5" x14ac:dyDescent="0.25">
      <c r="A1546" s="22">
        <v>2026</v>
      </c>
      <c r="B1546" s="28" t="s">
        <v>183</v>
      </c>
      <c r="C1546" s="28" t="s">
        <v>97</v>
      </c>
      <c r="D1546" s="28" t="s">
        <v>1729</v>
      </c>
      <c r="E1546" s="29" t="s">
        <v>334</v>
      </c>
      <c r="F1546" s="29" t="s">
        <v>937</v>
      </c>
      <c r="G1546" s="25" t="s">
        <v>3308</v>
      </c>
      <c r="H1546" s="26">
        <v>-0.32850000000000001</v>
      </c>
      <c r="I1546" s="26"/>
      <c r="J1546" s="26" t="s">
        <v>512</v>
      </c>
      <c r="K1546" s="25" t="s">
        <v>513</v>
      </c>
    </row>
    <row r="1547" spans="1:11" ht="25.5" x14ac:dyDescent="0.25">
      <c r="A1547" s="22">
        <v>2026</v>
      </c>
      <c r="B1547" s="28" t="s">
        <v>183</v>
      </c>
      <c r="C1547" s="28" t="s">
        <v>97</v>
      </c>
      <c r="D1547" s="28" t="s">
        <v>1729</v>
      </c>
      <c r="E1547" s="29" t="s">
        <v>334</v>
      </c>
      <c r="F1547" s="29" t="s">
        <v>937</v>
      </c>
      <c r="G1547" s="25" t="s">
        <v>3309</v>
      </c>
      <c r="H1547" s="26">
        <v>-0.33</v>
      </c>
      <c r="I1547" s="26"/>
      <c r="J1547" s="26" t="s">
        <v>512</v>
      </c>
      <c r="K1547" s="25" t="s">
        <v>513</v>
      </c>
    </row>
    <row r="1548" spans="1:11" ht="25.5" x14ac:dyDescent="0.25">
      <c r="A1548" s="22">
        <v>2026</v>
      </c>
      <c r="B1548" s="28" t="s">
        <v>183</v>
      </c>
      <c r="C1548" s="28" t="s">
        <v>97</v>
      </c>
      <c r="D1548" s="28" t="s">
        <v>1729</v>
      </c>
      <c r="E1548" s="29" t="s">
        <v>334</v>
      </c>
      <c r="F1548" s="29" t="s">
        <v>937</v>
      </c>
      <c r="G1548" s="25" t="s">
        <v>3310</v>
      </c>
      <c r="H1548" s="26">
        <v>-0.221</v>
      </c>
      <c r="I1548" s="26"/>
      <c r="J1548" s="26" t="s">
        <v>512</v>
      </c>
      <c r="K1548" s="25" t="s">
        <v>513</v>
      </c>
    </row>
    <row r="1549" spans="1:11" ht="25.5" x14ac:dyDescent="0.25">
      <c r="A1549" s="22">
        <v>2026</v>
      </c>
      <c r="B1549" s="28" t="s">
        <v>183</v>
      </c>
      <c r="C1549" s="28" t="s">
        <v>97</v>
      </c>
      <c r="D1549" s="28" t="s">
        <v>1729</v>
      </c>
      <c r="E1549" s="29" t="s">
        <v>334</v>
      </c>
      <c r="F1549" s="29" t="s">
        <v>937</v>
      </c>
      <c r="G1549" s="25" t="s">
        <v>3311</v>
      </c>
      <c r="H1549" s="26">
        <v>-0.2225</v>
      </c>
      <c r="I1549" s="26"/>
      <c r="J1549" s="26" t="s">
        <v>512</v>
      </c>
      <c r="K1549" s="25" t="s">
        <v>513</v>
      </c>
    </row>
    <row r="1550" spans="1:11" ht="25.5" x14ac:dyDescent="0.25">
      <c r="A1550" s="22">
        <v>2026</v>
      </c>
      <c r="B1550" s="28" t="s">
        <v>183</v>
      </c>
      <c r="C1550" s="28" t="s">
        <v>97</v>
      </c>
      <c r="D1550" s="28" t="s">
        <v>1729</v>
      </c>
      <c r="E1550" s="29" t="s">
        <v>334</v>
      </c>
      <c r="F1550" s="29" t="s">
        <v>937</v>
      </c>
      <c r="G1550" s="25" t="s">
        <v>3312</v>
      </c>
      <c r="H1550" s="26">
        <v>-0.22500000000000001</v>
      </c>
      <c r="I1550" s="26"/>
      <c r="J1550" s="26" t="s">
        <v>512</v>
      </c>
      <c r="K1550" s="25" t="s">
        <v>513</v>
      </c>
    </row>
    <row r="1551" spans="1:11" ht="25.5" x14ac:dyDescent="0.25">
      <c r="A1551" s="22">
        <v>2026</v>
      </c>
      <c r="B1551" s="28" t="s">
        <v>183</v>
      </c>
      <c r="C1551" s="28" t="s">
        <v>97</v>
      </c>
      <c r="D1551" s="28" t="s">
        <v>1729</v>
      </c>
      <c r="E1551" s="29" t="s">
        <v>334</v>
      </c>
      <c r="F1551" s="29" t="s">
        <v>937</v>
      </c>
      <c r="G1551" s="25" t="s">
        <v>3313</v>
      </c>
      <c r="H1551" s="26">
        <v>-0.34125</v>
      </c>
      <c r="I1551" s="26"/>
      <c r="J1551" s="26" t="s">
        <v>512</v>
      </c>
      <c r="K1551" s="25" t="s">
        <v>513</v>
      </c>
    </row>
    <row r="1552" spans="1:11" ht="25.5" x14ac:dyDescent="0.25">
      <c r="A1552" s="22">
        <v>2026</v>
      </c>
      <c r="B1552" s="28" t="s">
        <v>183</v>
      </c>
      <c r="C1552" s="28" t="s">
        <v>97</v>
      </c>
      <c r="D1552" s="28" t="s">
        <v>1729</v>
      </c>
      <c r="E1552" s="29" t="s">
        <v>334</v>
      </c>
      <c r="F1552" s="29" t="s">
        <v>937</v>
      </c>
      <c r="G1552" s="25" t="s">
        <v>3314</v>
      </c>
      <c r="H1552" s="26">
        <v>-0.34499999999999997</v>
      </c>
      <c r="I1552" s="26"/>
      <c r="J1552" s="26" t="s">
        <v>512</v>
      </c>
      <c r="K1552" s="25" t="s">
        <v>513</v>
      </c>
    </row>
    <row r="1553" spans="1:11" ht="25.5" x14ac:dyDescent="0.25">
      <c r="A1553" s="22">
        <v>2026</v>
      </c>
      <c r="B1553" s="28" t="s">
        <v>183</v>
      </c>
      <c r="C1553" s="28" t="s">
        <v>97</v>
      </c>
      <c r="D1553" s="28" t="s">
        <v>1729</v>
      </c>
      <c r="E1553" s="29" t="s">
        <v>334</v>
      </c>
      <c r="F1553" s="29" t="s">
        <v>937</v>
      </c>
      <c r="G1553" s="25" t="s">
        <v>3315</v>
      </c>
      <c r="H1553" s="26">
        <v>-0.34649999999999997</v>
      </c>
      <c r="I1553" s="26"/>
      <c r="J1553" s="26" t="s">
        <v>512</v>
      </c>
      <c r="K1553" s="25" t="s">
        <v>513</v>
      </c>
    </row>
    <row r="1554" spans="1:11" ht="25.5" x14ac:dyDescent="0.25">
      <c r="A1554" s="22">
        <v>2026</v>
      </c>
      <c r="B1554" s="28" t="s">
        <v>183</v>
      </c>
      <c r="C1554" s="28" t="s">
        <v>97</v>
      </c>
      <c r="D1554" s="28" t="s">
        <v>1730</v>
      </c>
      <c r="E1554" s="29" t="s">
        <v>309</v>
      </c>
      <c r="F1554" s="29" t="s">
        <v>1274</v>
      </c>
      <c r="G1554" s="25" t="s">
        <v>3316</v>
      </c>
      <c r="H1554" s="26">
        <v>-0.35086455750000001</v>
      </c>
      <c r="I1554" s="26"/>
      <c r="J1554" s="26" t="s">
        <v>512</v>
      </c>
      <c r="K1554" s="25" t="s">
        <v>513</v>
      </c>
    </row>
    <row r="1555" spans="1:11" ht="25.5" x14ac:dyDescent="0.25">
      <c r="A1555" s="22">
        <v>2026</v>
      </c>
      <c r="B1555" s="28" t="s">
        <v>183</v>
      </c>
      <c r="C1555" s="28" t="s">
        <v>97</v>
      </c>
      <c r="D1555" s="28" t="s">
        <v>1730</v>
      </c>
      <c r="E1555" s="29" t="s">
        <v>309</v>
      </c>
      <c r="F1555" s="29" t="s">
        <v>1274</v>
      </c>
      <c r="G1555" s="25" t="s">
        <v>3317</v>
      </c>
      <c r="H1555" s="26">
        <v>-0.336399</v>
      </c>
      <c r="I1555" s="26"/>
      <c r="J1555" s="26" t="s">
        <v>512</v>
      </c>
      <c r="K1555" s="25" t="s">
        <v>513</v>
      </c>
    </row>
    <row r="1556" spans="1:11" ht="25.5" x14ac:dyDescent="0.25">
      <c r="A1556" s="22">
        <v>2026</v>
      </c>
      <c r="B1556" s="28" t="s">
        <v>183</v>
      </c>
      <c r="C1556" s="28" t="s">
        <v>97</v>
      </c>
      <c r="D1556" s="28" t="s">
        <v>1730</v>
      </c>
      <c r="E1556" s="29" t="s">
        <v>309</v>
      </c>
      <c r="F1556" s="29" t="s">
        <v>1274</v>
      </c>
      <c r="G1556" s="25" t="s">
        <v>3318</v>
      </c>
      <c r="H1556" s="26">
        <v>-0.56067500000000003</v>
      </c>
      <c r="I1556" s="26"/>
      <c r="J1556" s="26" t="s">
        <v>512</v>
      </c>
      <c r="K1556" s="25" t="s">
        <v>513</v>
      </c>
    </row>
    <row r="1557" spans="1:11" ht="25.5" x14ac:dyDescent="0.25">
      <c r="A1557" s="22">
        <v>2026</v>
      </c>
      <c r="B1557" s="28" t="s">
        <v>183</v>
      </c>
      <c r="C1557" s="28" t="s">
        <v>97</v>
      </c>
      <c r="D1557" s="28" t="s">
        <v>1730</v>
      </c>
      <c r="E1557" s="29" t="s">
        <v>309</v>
      </c>
      <c r="F1557" s="29" t="s">
        <v>1274</v>
      </c>
      <c r="G1557" s="25" t="s">
        <v>3319</v>
      </c>
      <c r="H1557" s="26">
        <v>-0.59327859999999999</v>
      </c>
      <c r="I1557" s="26"/>
      <c r="J1557" s="26" t="s">
        <v>512</v>
      </c>
      <c r="K1557" s="25" t="s">
        <v>513</v>
      </c>
    </row>
    <row r="1558" spans="1:11" ht="25.5" x14ac:dyDescent="0.25">
      <c r="A1558" s="22">
        <v>2026</v>
      </c>
      <c r="B1558" s="28" t="s">
        <v>183</v>
      </c>
      <c r="C1558" s="28" t="s">
        <v>97</v>
      </c>
      <c r="D1558" s="28" t="s">
        <v>1730</v>
      </c>
      <c r="E1558" s="29" t="s">
        <v>309</v>
      </c>
      <c r="F1558" s="29" t="s">
        <v>1274</v>
      </c>
      <c r="G1558" s="25" t="s">
        <v>3320</v>
      </c>
      <c r="H1558" s="26">
        <v>-0.35467468919999995</v>
      </c>
      <c r="I1558" s="26"/>
      <c r="J1558" s="26" t="s">
        <v>512</v>
      </c>
      <c r="K1558" s="25" t="s">
        <v>513</v>
      </c>
    </row>
    <row r="1559" spans="1:11" ht="25.5" x14ac:dyDescent="0.25">
      <c r="A1559" s="22">
        <v>2026</v>
      </c>
      <c r="B1559" s="28" t="s">
        <v>183</v>
      </c>
      <c r="C1559" s="28" t="s">
        <v>97</v>
      </c>
      <c r="D1559" s="28" t="s">
        <v>1730</v>
      </c>
      <c r="E1559" s="29" t="s">
        <v>309</v>
      </c>
      <c r="F1559" s="29" t="s">
        <v>1274</v>
      </c>
      <c r="G1559" s="25" t="s">
        <v>3321</v>
      </c>
      <c r="H1559" s="26">
        <v>-0.30572320000000003</v>
      </c>
      <c r="I1559" s="26"/>
      <c r="J1559" s="26" t="s">
        <v>512</v>
      </c>
      <c r="K1559" s="25" t="s">
        <v>513</v>
      </c>
    </row>
    <row r="1560" spans="1:11" ht="25.5" x14ac:dyDescent="0.25">
      <c r="A1560" s="22">
        <v>2026</v>
      </c>
      <c r="B1560" s="28" t="s">
        <v>183</v>
      </c>
      <c r="C1560" s="28" t="s">
        <v>97</v>
      </c>
      <c r="D1560" s="28" t="s">
        <v>1730</v>
      </c>
      <c r="E1560" s="29" t="s">
        <v>309</v>
      </c>
      <c r="F1560" s="29" t="s">
        <v>1274</v>
      </c>
      <c r="G1560" s="25" t="s">
        <v>3322</v>
      </c>
      <c r="H1560" s="26">
        <v>-0.45000800000000002</v>
      </c>
      <c r="I1560" s="26"/>
      <c r="J1560" s="26" t="s">
        <v>512</v>
      </c>
      <c r="K1560" s="25" t="s">
        <v>513</v>
      </c>
    </row>
    <row r="1561" spans="1:11" ht="25.5" x14ac:dyDescent="0.25">
      <c r="A1561" s="22">
        <v>2026</v>
      </c>
      <c r="B1561" s="28" t="s">
        <v>183</v>
      </c>
      <c r="C1561" s="28" t="s">
        <v>97</v>
      </c>
      <c r="D1561" s="28" t="s">
        <v>1730</v>
      </c>
      <c r="E1561" s="29" t="s">
        <v>309</v>
      </c>
      <c r="F1561" s="29" t="s">
        <v>1274</v>
      </c>
      <c r="G1561" s="25" t="s">
        <v>3323</v>
      </c>
      <c r="H1561" s="26">
        <v>-0.55976000000000004</v>
      </c>
      <c r="I1561" s="26"/>
      <c r="J1561" s="26" t="s">
        <v>512</v>
      </c>
      <c r="K1561" s="25" t="s">
        <v>513</v>
      </c>
    </row>
    <row r="1562" spans="1:11" ht="25.5" x14ac:dyDescent="0.25">
      <c r="A1562" s="22">
        <v>2026</v>
      </c>
      <c r="B1562" s="28" t="s">
        <v>183</v>
      </c>
      <c r="C1562" s="28" t="s">
        <v>97</v>
      </c>
      <c r="D1562" s="28" t="s">
        <v>1730</v>
      </c>
      <c r="E1562" s="29" t="s">
        <v>309</v>
      </c>
      <c r="F1562" s="29" t="s">
        <v>1274</v>
      </c>
      <c r="G1562" s="25" t="s">
        <v>3324</v>
      </c>
      <c r="H1562" s="26">
        <v>-0.67144800000000004</v>
      </c>
      <c r="I1562" s="26"/>
      <c r="J1562" s="26" t="s">
        <v>512</v>
      </c>
      <c r="K1562" s="25" t="s">
        <v>513</v>
      </c>
    </row>
    <row r="1563" spans="1:11" ht="25.5" x14ac:dyDescent="0.25">
      <c r="A1563" s="22">
        <v>2026</v>
      </c>
      <c r="B1563" s="28" t="s">
        <v>183</v>
      </c>
      <c r="C1563" s="28" t="s">
        <v>97</v>
      </c>
      <c r="D1563" s="28" t="s">
        <v>1730</v>
      </c>
      <c r="E1563" s="29" t="s">
        <v>309</v>
      </c>
      <c r="F1563" s="29" t="s">
        <v>1274</v>
      </c>
      <c r="G1563" s="25" t="s">
        <v>3325</v>
      </c>
      <c r="H1563" s="26">
        <v>-0.67679400000000001</v>
      </c>
      <c r="I1563" s="26"/>
      <c r="J1563" s="26" t="s">
        <v>512</v>
      </c>
      <c r="K1563" s="25" t="s">
        <v>513</v>
      </c>
    </row>
    <row r="1564" spans="1:11" ht="25.5" x14ac:dyDescent="0.25">
      <c r="A1564" s="22">
        <v>2026</v>
      </c>
      <c r="B1564" s="28" t="s">
        <v>183</v>
      </c>
      <c r="C1564" s="28" t="s">
        <v>97</v>
      </c>
      <c r="D1564" s="28" t="s">
        <v>1730</v>
      </c>
      <c r="E1564" s="29" t="s">
        <v>309</v>
      </c>
      <c r="F1564" s="29" t="s">
        <v>1274</v>
      </c>
      <c r="G1564" s="25" t="s">
        <v>3326</v>
      </c>
      <c r="H1564" s="26">
        <v>-0.56484999999999996</v>
      </c>
      <c r="I1564" s="26"/>
      <c r="J1564" s="26" t="s">
        <v>512</v>
      </c>
      <c r="K1564" s="25" t="s">
        <v>513</v>
      </c>
    </row>
    <row r="1565" spans="1:11" ht="25.5" x14ac:dyDescent="0.25">
      <c r="A1565" s="22">
        <v>2026</v>
      </c>
      <c r="B1565" s="28" t="s">
        <v>183</v>
      </c>
      <c r="C1565" s="28" t="s">
        <v>97</v>
      </c>
      <c r="D1565" s="28" t="s">
        <v>1730</v>
      </c>
      <c r="E1565" s="29" t="s">
        <v>309</v>
      </c>
      <c r="F1565" s="29" t="s">
        <v>1274</v>
      </c>
      <c r="G1565" s="25" t="s">
        <v>3327</v>
      </c>
      <c r="H1565" s="26">
        <v>-0.56267</v>
      </c>
      <c r="I1565" s="26"/>
      <c r="J1565" s="26" t="s">
        <v>512</v>
      </c>
      <c r="K1565" s="25" t="s">
        <v>513</v>
      </c>
    </row>
    <row r="1566" spans="1:11" ht="25.5" x14ac:dyDescent="0.25">
      <c r="A1566" s="22">
        <v>2026</v>
      </c>
      <c r="B1566" s="28" t="s">
        <v>183</v>
      </c>
      <c r="C1566" s="28" t="s">
        <v>97</v>
      </c>
      <c r="D1566" s="28" t="s">
        <v>1731</v>
      </c>
      <c r="E1566" s="29" t="s">
        <v>309</v>
      </c>
      <c r="F1566" s="29" t="s">
        <v>1762</v>
      </c>
      <c r="G1566" s="25" t="s">
        <v>3328</v>
      </c>
      <c r="H1566" s="26">
        <v>-0.15360438499999998</v>
      </c>
      <c r="I1566" s="26"/>
      <c r="J1566" s="26" t="s">
        <v>512</v>
      </c>
      <c r="K1566" s="25" t="s">
        <v>513</v>
      </c>
    </row>
    <row r="1567" spans="1:11" ht="25.5" x14ac:dyDescent="0.25">
      <c r="A1567" s="22">
        <v>2026</v>
      </c>
      <c r="B1567" s="28" t="s">
        <v>183</v>
      </c>
      <c r="C1567" s="28" t="s">
        <v>97</v>
      </c>
      <c r="D1567" s="28" t="s">
        <v>1731</v>
      </c>
      <c r="E1567" s="29" t="s">
        <v>309</v>
      </c>
      <c r="F1567" s="29" t="s">
        <v>1762</v>
      </c>
      <c r="G1567" s="25" t="s">
        <v>3329</v>
      </c>
      <c r="H1567" s="26">
        <v>-0.21490370350000002</v>
      </c>
      <c r="I1567" s="26"/>
      <c r="J1567" s="26" t="s">
        <v>512</v>
      </c>
      <c r="K1567" s="25" t="s">
        <v>513</v>
      </c>
    </row>
    <row r="1568" spans="1:11" ht="25.5" x14ac:dyDescent="0.25">
      <c r="A1568" s="22">
        <v>2026</v>
      </c>
      <c r="B1568" s="28" t="s">
        <v>183</v>
      </c>
      <c r="C1568" s="28" t="s">
        <v>97</v>
      </c>
      <c r="D1568" s="28" t="s">
        <v>1732</v>
      </c>
      <c r="E1568" s="29" t="s">
        <v>309</v>
      </c>
      <c r="F1568" s="29" t="s">
        <v>287</v>
      </c>
      <c r="G1568" s="25" t="s">
        <v>3330</v>
      </c>
      <c r="H1568" s="26">
        <v>-1.10175</v>
      </c>
      <c r="I1568" s="26"/>
      <c r="J1568" s="26" t="s">
        <v>512</v>
      </c>
      <c r="K1568" s="25" t="s">
        <v>513</v>
      </c>
    </row>
    <row r="1569" spans="1:11" ht="25.5" x14ac:dyDescent="0.25">
      <c r="A1569" s="22">
        <v>2026</v>
      </c>
      <c r="B1569" s="28" t="s">
        <v>183</v>
      </c>
      <c r="C1569" s="28" t="s">
        <v>97</v>
      </c>
      <c r="D1569" s="28" t="s">
        <v>1732</v>
      </c>
      <c r="E1569" s="29" t="s">
        <v>309</v>
      </c>
      <c r="F1569" s="29" t="s">
        <v>287</v>
      </c>
      <c r="G1569" s="25" t="s">
        <v>3331</v>
      </c>
      <c r="H1569" s="26">
        <v>-0.58304</v>
      </c>
      <c r="I1569" s="26"/>
      <c r="J1569" s="26" t="s">
        <v>512</v>
      </c>
      <c r="K1569" s="25" t="s">
        <v>513</v>
      </c>
    </row>
    <row r="1570" spans="1:11" ht="25.5" x14ac:dyDescent="0.25">
      <c r="A1570" s="22">
        <v>2026</v>
      </c>
      <c r="B1570" s="28" t="s">
        <v>183</v>
      </c>
      <c r="C1570" s="28" t="s">
        <v>97</v>
      </c>
      <c r="D1570" s="28" t="s">
        <v>1732</v>
      </c>
      <c r="E1570" s="29" t="s">
        <v>309</v>
      </c>
      <c r="F1570" s="29" t="s">
        <v>287</v>
      </c>
      <c r="G1570" s="25" t="s">
        <v>3332</v>
      </c>
      <c r="H1570" s="26">
        <v>-1.0860000000000001</v>
      </c>
      <c r="I1570" s="26"/>
      <c r="J1570" s="26" t="s">
        <v>512</v>
      </c>
      <c r="K1570" s="25" t="s">
        <v>513</v>
      </c>
    </row>
    <row r="1571" spans="1:11" ht="25.5" x14ac:dyDescent="0.25">
      <c r="A1571" s="22">
        <v>2026</v>
      </c>
      <c r="B1571" s="28" t="s">
        <v>183</v>
      </c>
      <c r="C1571" s="28" t="s">
        <v>97</v>
      </c>
      <c r="D1571" s="28" t="s">
        <v>1732</v>
      </c>
      <c r="E1571" s="29" t="s">
        <v>309</v>
      </c>
      <c r="F1571" s="29" t="s">
        <v>287</v>
      </c>
      <c r="G1571" s="25" t="s">
        <v>3333</v>
      </c>
      <c r="H1571" s="26">
        <v>-0.94763500000000001</v>
      </c>
      <c r="I1571" s="26"/>
      <c r="J1571" s="26" t="s">
        <v>512</v>
      </c>
      <c r="K1571" s="25" t="s">
        <v>513</v>
      </c>
    </row>
    <row r="1572" spans="1:11" ht="25.5" x14ac:dyDescent="0.25">
      <c r="A1572" s="22">
        <v>2026</v>
      </c>
      <c r="B1572" s="28" t="s">
        <v>183</v>
      </c>
      <c r="C1572" s="28" t="s">
        <v>97</v>
      </c>
      <c r="D1572" s="28" t="s">
        <v>1732</v>
      </c>
      <c r="E1572" s="29" t="s">
        <v>309</v>
      </c>
      <c r="F1572" s="29" t="s">
        <v>287</v>
      </c>
      <c r="G1572" s="25" t="s">
        <v>3334</v>
      </c>
      <c r="H1572" s="26">
        <v>-1.1025</v>
      </c>
      <c r="I1572" s="26"/>
      <c r="J1572" s="26" t="s">
        <v>512</v>
      </c>
      <c r="K1572" s="25" t="s">
        <v>513</v>
      </c>
    </row>
    <row r="1573" spans="1:11" ht="25.5" x14ac:dyDescent="0.25">
      <c r="A1573" s="22">
        <v>2026</v>
      </c>
      <c r="B1573" s="28" t="s">
        <v>183</v>
      </c>
      <c r="C1573" s="28" t="s">
        <v>97</v>
      </c>
      <c r="D1573" s="28" t="s">
        <v>1732</v>
      </c>
      <c r="E1573" s="29" t="s">
        <v>309</v>
      </c>
      <c r="F1573" s="29" t="s">
        <v>287</v>
      </c>
      <c r="G1573" s="25" t="s">
        <v>3335</v>
      </c>
      <c r="H1573" s="26">
        <v>-1.3248</v>
      </c>
      <c r="I1573" s="26"/>
      <c r="J1573" s="26" t="s">
        <v>512</v>
      </c>
      <c r="K1573" s="25" t="s">
        <v>513</v>
      </c>
    </row>
    <row r="1574" spans="1:11" ht="25.5" x14ac:dyDescent="0.25">
      <c r="A1574" s="22">
        <v>2026</v>
      </c>
      <c r="B1574" s="28" t="s">
        <v>183</v>
      </c>
      <c r="C1574" s="28" t="s">
        <v>97</v>
      </c>
      <c r="D1574" s="28" t="s">
        <v>1732</v>
      </c>
      <c r="E1574" s="29" t="s">
        <v>309</v>
      </c>
      <c r="F1574" s="29" t="s">
        <v>287</v>
      </c>
      <c r="G1574" s="25" t="s">
        <v>3336</v>
      </c>
      <c r="H1574" s="26">
        <v>-1.8525</v>
      </c>
      <c r="I1574" s="26"/>
      <c r="J1574" s="26" t="s">
        <v>512</v>
      </c>
      <c r="K1574" s="25" t="s">
        <v>513</v>
      </c>
    </row>
    <row r="1575" spans="1:11" ht="25.5" x14ac:dyDescent="0.25">
      <c r="A1575" s="22">
        <v>2026</v>
      </c>
      <c r="B1575" s="28" t="s">
        <v>183</v>
      </c>
      <c r="C1575" s="28" t="s">
        <v>97</v>
      </c>
      <c r="D1575" s="28" t="s">
        <v>1732</v>
      </c>
      <c r="E1575" s="29" t="s">
        <v>309</v>
      </c>
      <c r="F1575" s="29" t="s">
        <v>287</v>
      </c>
      <c r="G1575" s="25" t="s">
        <v>3337</v>
      </c>
      <c r="H1575" s="26">
        <v>-1.1001000000000001</v>
      </c>
      <c r="I1575" s="26"/>
      <c r="J1575" s="26" t="s">
        <v>512</v>
      </c>
      <c r="K1575" s="25" t="s">
        <v>513</v>
      </c>
    </row>
    <row r="1576" spans="1:11" ht="25.5" x14ac:dyDescent="0.25">
      <c r="A1576" s="22">
        <v>2026</v>
      </c>
      <c r="B1576" s="28" t="s">
        <v>183</v>
      </c>
      <c r="C1576" s="28" t="s">
        <v>97</v>
      </c>
      <c r="D1576" s="28" t="s">
        <v>1732</v>
      </c>
      <c r="E1576" s="29" t="s">
        <v>309</v>
      </c>
      <c r="F1576" s="29" t="s">
        <v>287</v>
      </c>
      <c r="G1576" s="25" t="s">
        <v>3338</v>
      </c>
      <c r="H1576" s="26">
        <v>-1.10805</v>
      </c>
      <c r="I1576" s="26"/>
      <c r="J1576" s="26" t="s">
        <v>512</v>
      </c>
      <c r="K1576" s="25" t="s">
        <v>513</v>
      </c>
    </row>
    <row r="1577" spans="1:11" ht="25.5" x14ac:dyDescent="0.25">
      <c r="A1577" s="22">
        <v>2026</v>
      </c>
      <c r="B1577" s="28" t="s">
        <v>183</v>
      </c>
      <c r="C1577" s="28" t="s">
        <v>97</v>
      </c>
      <c r="D1577" s="28" t="s">
        <v>1732</v>
      </c>
      <c r="E1577" s="29" t="s">
        <v>309</v>
      </c>
      <c r="F1577" s="29" t="s">
        <v>287</v>
      </c>
      <c r="G1577" s="25" t="s">
        <v>3339</v>
      </c>
      <c r="H1577" s="26">
        <v>-0.52991385719999995</v>
      </c>
      <c r="I1577" s="26"/>
      <c r="J1577" s="26" t="s">
        <v>512</v>
      </c>
      <c r="K1577" s="25" t="s">
        <v>513</v>
      </c>
    </row>
    <row r="1578" spans="1:11" ht="25.5" x14ac:dyDescent="0.25">
      <c r="A1578" s="22">
        <v>2026</v>
      </c>
      <c r="B1578" s="28" t="s">
        <v>183</v>
      </c>
      <c r="C1578" s="28" t="s">
        <v>97</v>
      </c>
      <c r="D1578" s="28" t="s">
        <v>1732</v>
      </c>
      <c r="E1578" s="29" t="s">
        <v>309</v>
      </c>
      <c r="F1578" s="29" t="s">
        <v>287</v>
      </c>
      <c r="G1578" s="25" t="s">
        <v>3340</v>
      </c>
      <c r="H1578" s="26">
        <v>-1.4974000000000001</v>
      </c>
      <c r="I1578" s="26"/>
      <c r="J1578" s="26" t="s">
        <v>512</v>
      </c>
      <c r="K1578" s="25" t="s">
        <v>513</v>
      </c>
    </row>
    <row r="1579" spans="1:11" ht="25.5" x14ac:dyDescent="0.25">
      <c r="A1579" s="22">
        <v>2026</v>
      </c>
      <c r="B1579" s="28" t="s">
        <v>183</v>
      </c>
      <c r="C1579" s="28" t="s">
        <v>97</v>
      </c>
      <c r="D1579" s="28" t="s">
        <v>1732</v>
      </c>
      <c r="E1579" s="29" t="s">
        <v>309</v>
      </c>
      <c r="F1579" s="29" t="s">
        <v>287</v>
      </c>
      <c r="G1579" s="25" t="s">
        <v>3341</v>
      </c>
      <c r="H1579" s="26">
        <v>-0.74660000000000004</v>
      </c>
      <c r="I1579" s="26"/>
      <c r="J1579" s="26" t="s">
        <v>512</v>
      </c>
      <c r="K1579" s="25" t="s">
        <v>513</v>
      </c>
    </row>
    <row r="1580" spans="1:11" ht="25.5" x14ac:dyDescent="0.25">
      <c r="A1580" s="22">
        <v>2026</v>
      </c>
      <c r="B1580" s="28" t="s">
        <v>183</v>
      </c>
      <c r="C1580" s="28" t="s">
        <v>97</v>
      </c>
      <c r="D1580" s="28" t="s">
        <v>1732</v>
      </c>
      <c r="E1580" s="29" t="s">
        <v>309</v>
      </c>
      <c r="F1580" s="29" t="s">
        <v>287</v>
      </c>
      <c r="G1580" s="25" t="s">
        <v>3342</v>
      </c>
      <c r="H1580" s="26">
        <v>-0.75255000000000005</v>
      </c>
      <c r="I1580" s="26"/>
      <c r="J1580" s="26" t="s">
        <v>512</v>
      </c>
      <c r="K1580" s="25" t="s">
        <v>513</v>
      </c>
    </row>
    <row r="1581" spans="1:11" ht="25.5" x14ac:dyDescent="0.25">
      <c r="A1581" s="22">
        <v>2026</v>
      </c>
      <c r="B1581" s="28" t="s">
        <v>183</v>
      </c>
      <c r="C1581" s="28" t="s">
        <v>97</v>
      </c>
      <c r="D1581" s="28" t="s">
        <v>1732</v>
      </c>
      <c r="E1581" s="29" t="s">
        <v>309</v>
      </c>
      <c r="F1581" s="29" t="s">
        <v>287</v>
      </c>
      <c r="G1581" s="25" t="s">
        <v>3343</v>
      </c>
      <c r="H1581" s="26">
        <v>-1.129875</v>
      </c>
      <c r="I1581" s="26"/>
      <c r="J1581" s="26" t="s">
        <v>512</v>
      </c>
      <c r="K1581" s="25" t="s">
        <v>513</v>
      </c>
    </row>
    <row r="1582" spans="1:11" ht="25.5" x14ac:dyDescent="0.25">
      <c r="A1582" s="22">
        <v>2026</v>
      </c>
      <c r="B1582" s="28" t="s">
        <v>183</v>
      </c>
      <c r="C1582" s="28" t="s">
        <v>97</v>
      </c>
      <c r="D1582" s="28" t="s">
        <v>1732</v>
      </c>
      <c r="E1582" s="29" t="s">
        <v>309</v>
      </c>
      <c r="F1582" s="29" t="s">
        <v>287</v>
      </c>
      <c r="G1582" s="25" t="s">
        <v>3344</v>
      </c>
      <c r="H1582" s="26">
        <v>-0.90836380150000007</v>
      </c>
      <c r="I1582" s="26"/>
      <c r="J1582" s="26" t="s">
        <v>512</v>
      </c>
      <c r="K1582" s="25" t="s">
        <v>513</v>
      </c>
    </row>
    <row r="1583" spans="1:11" ht="25.5" x14ac:dyDescent="0.25">
      <c r="A1583" s="22">
        <v>2026</v>
      </c>
      <c r="B1583" s="28" t="s">
        <v>183</v>
      </c>
      <c r="C1583" s="28" t="s">
        <v>97</v>
      </c>
      <c r="D1583" s="28" t="s">
        <v>1732</v>
      </c>
      <c r="E1583" s="29" t="s">
        <v>309</v>
      </c>
      <c r="F1583" s="29" t="s">
        <v>287</v>
      </c>
      <c r="G1583" s="25" t="s">
        <v>3345</v>
      </c>
      <c r="H1583" s="26">
        <v>-1.151475</v>
      </c>
      <c r="I1583" s="26"/>
      <c r="J1583" s="26" t="s">
        <v>512</v>
      </c>
      <c r="K1583" s="25" t="s">
        <v>513</v>
      </c>
    </row>
    <row r="1584" spans="1:11" ht="25.5" x14ac:dyDescent="0.25">
      <c r="A1584" s="22">
        <v>2026</v>
      </c>
      <c r="B1584" s="28" t="s">
        <v>183</v>
      </c>
      <c r="C1584" s="28" t="s">
        <v>97</v>
      </c>
      <c r="D1584" s="28" t="s">
        <v>1732</v>
      </c>
      <c r="E1584" s="29" t="s">
        <v>309</v>
      </c>
      <c r="F1584" s="29" t="s">
        <v>287</v>
      </c>
      <c r="G1584" s="25" t="s">
        <v>3346</v>
      </c>
      <c r="H1584" s="26">
        <v>-0.78769500000000003</v>
      </c>
      <c r="I1584" s="26"/>
      <c r="J1584" s="26" t="s">
        <v>512</v>
      </c>
      <c r="K1584" s="25" t="s">
        <v>513</v>
      </c>
    </row>
    <row r="1585" spans="1:11" ht="25.5" x14ac:dyDescent="0.25">
      <c r="A1585" s="22">
        <v>2026</v>
      </c>
      <c r="B1585" s="28" t="s">
        <v>183</v>
      </c>
      <c r="C1585" s="28" t="s">
        <v>97</v>
      </c>
      <c r="D1585" s="28" t="s">
        <v>1732</v>
      </c>
      <c r="E1585" s="29" t="s">
        <v>309</v>
      </c>
      <c r="F1585" s="29" t="s">
        <v>287</v>
      </c>
      <c r="G1585" s="25" t="s">
        <v>3347</v>
      </c>
      <c r="H1585" s="26">
        <v>-0.1080353421</v>
      </c>
      <c r="I1585" s="26"/>
      <c r="J1585" s="26" t="s">
        <v>512</v>
      </c>
      <c r="K1585" s="25" t="s">
        <v>513</v>
      </c>
    </row>
    <row r="1586" spans="1:11" ht="25.5" x14ac:dyDescent="0.25">
      <c r="A1586" s="22">
        <v>2026</v>
      </c>
      <c r="B1586" s="28" t="s">
        <v>183</v>
      </c>
      <c r="C1586" s="28" t="s">
        <v>97</v>
      </c>
      <c r="D1586" s="28" t="s">
        <v>1787</v>
      </c>
      <c r="E1586" s="29" t="s">
        <v>309</v>
      </c>
      <c r="F1586" s="29" t="s">
        <v>335</v>
      </c>
      <c r="G1586" s="25" t="s">
        <v>3348</v>
      </c>
      <c r="H1586" s="26">
        <v>-1.435125</v>
      </c>
      <c r="I1586" s="26"/>
      <c r="J1586" s="26" t="s">
        <v>512</v>
      </c>
      <c r="K1586" s="25" t="s">
        <v>513</v>
      </c>
    </row>
    <row r="1587" spans="1:11" ht="25.5" x14ac:dyDescent="0.25">
      <c r="A1587" s="22">
        <v>2026</v>
      </c>
      <c r="B1587" s="28" t="s">
        <v>183</v>
      </c>
      <c r="C1587" s="28" t="s">
        <v>97</v>
      </c>
      <c r="D1587" s="28" t="s">
        <v>1787</v>
      </c>
      <c r="E1587" s="29" t="s">
        <v>309</v>
      </c>
      <c r="F1587" s="29" t="s">
        <v>335</v>
      </c>
      <c r="G1587" s="25" t="s">
        <v>3349</v>
      </c>
      <c r="H1587" s="26">
        <v>-1.4412750000000001</v>
      </c>
      <c r="I1587" s="26"/>
      <c r="J1587" s="26" t="s">
        <v>512</v>
      </c>
      <c r="K1587" s="25" t="s">
        <v>513</v>
      </c>
    </row>
    <row r="1588" spans="1:11" ht="25.5" x14ac:dyDescent="0.25">
      <c r="A1588" s="22">
        <v>2026</v>
      </c>
      <c r="B1588" s="28" t="s">
        <v>183</v>
      </c>
      <c r="C1588" s="28" t="s">
        <v>97</v>
      </c>
      <c r="D1588" s="28" t="s">
        <v>1787</v>
      </c>
      <c r="E1588" s="29" t="s">
        <v>309</v>
      </c>
      <c r="F1588" s="29" t="s">
        <v>335</v>
      </c>
      <c r="G1588" s="25" t="s">
        <v>3350</v>
      </c>
      <c r="H1588" s="26">
        <v>-2.8943500000000002</v>
      </c>
      <c r="I1588" s="26"/>
      <c r="J1588" s="26" t="s">
        <v>512</v>
      </c>
      <c r="K1588" s="25" t="s">
        <v>513</v>
      </c>
    </row>
    <row r="1589" spans="1:11" ht="25.5" x14ac:dyDescent="0.25">
      <c r="A1589" s="22">
        <v>2026</v>
      </c>
      <c r="B1589" s="28" t="s">
        <v>183</v>
      </c>
      <c r="C1589" s="28" t="s">
        <v>97</v>
      </c>
      <c r="D1589" s="28" t="s">
        <v>1787</v>
      </c>
      <c r="E1589" s="29" t="s">
        <v>309</v>
      </c>
      <c r="F1589" s="29" t="s">
        <v>335</v>
      </c>
      <c r="G1589" s="25" t="s">
        <v>3351</v>
      </c>
      <c r="H1589" s="26">
        <v>-1.4560249999999999</v>
      </c>
      <c r="I1589" s="26"/>
      <c r="J1589" s="26" t="s">
        <v>512</v>
      </c>
      <c r="K1589" s="25" t="s">
        <v>513</v>
      </c>
    </row>
    <row r="1590" spans="1:11" ht="25.5" x14ac:dyDescent="0.25">
      <c r="A1590" s="22">
        <v>2026</v>
      </c>
      <c r="B1590" s="28" t="s">
        <v>183</v>
      </c>
      <c r="C1590" s="28" t="s">
        <v>97</v>
      </c>
      <c r="D1590" s="28" t="s">
        <v>1787</v>
      </c>
      <c r="E1590" s="29" t="s">
        <v>309</v>
      </c>
      <c r="F1590" s="29" t="s">
        <v>335</v>
      </c>
      <c r="G1590" s="25" t="s">
        <v>3352</v>
      </c>
      <c r="H1590" s="26">
        <v>-1.7435400000000001</v>
      </c>
      <c r="I1590" s="26"/>
      <c r="J1590" s="26" t="s">
        <v>512</v>
      </c>
      <c r="K1590" s="25" t="s">
        <v>513</v>
      </c>
    </row>
    <row r="1591" spans="1:11" ht="25.5" x14ac:dyDescent="0.25">
      <c r="A1591" s="22">
        <v>2026</v>
      </c>
      <c r="B1591" s="28" t="s">
        <v>183</v>
      </c>
      <c r="C1591" s="28" t="s">
        <v>97</v>
      </c>
      <c r="D1591" s="28" t="s">
        <v>1787</v>
      </c>
      <c r="E1591" s="29" t="s">
        <v>309</v>
      </c>
      <c r="F1591" s="29" t="s">
        <v>335</v>
      </c>
      <c r="G1591" s="25" t="s">
        <v>3353</v>
      </c>
      <c r="H1591" s="26">
        <v>-2.0248200000000001</v>
      </c>
      <c r="I1591" s="26"/>
      <c r="J1591" s="26" t="s">
        <v>512</v>
      </c>
      <c r="K1591" s="25" t="s">
        <v>513</v>
      </c>
    </row>
    <row r="1592" spans="1:11" ht="25.5" x14ac:dyDescent="0.25">
      <c r="A1592" s="22">
        <v>2026</v>
      </c>
      <c r="B1592" s="28" t="s">
        <v>183</v>
      </c>
      <c r="C1592" s="28" t="s">
        <v>97</v>
      </c>
      <c r="D1592" s="28" t="s">
        <v>1787</v>
      </c>
      <c r="E1592" s="29" t="s">
        <v>309</v>
      </c>
      <c r="F1592" s="29" t="s">
        <v>335</v>
      </c>
      <c r="G1592" s="25" t="s">
        <v>3354</v>
      </c>
      <c r="H1592" s="26">
        <v>-8.37315E-2</v>
      </c>
      <c r="I1592" s="26"/>
      <c r="J1592" s="26" t="s">
        <v>512</v>
      </c>
      <c r="K1592" s="25" t="s">
        <v>513</v>
      </c>
    </row>
    <row r="1593" spans="1:11" ht="25.5" x14ac:dyDescent="0.25">
      <c r="A1593" s="22">
        <v>2026</v>
      </c>
      <c r="B1593" s="28" t="s">
        <v>183</v>
      </c>
      <c r="C1593" s="28" t="s">
        <v>97</v>
      </c>
      <c r="D1593" s="28" t="s">
        <v>1787</v>
      </c>
      <c r="E1593" s="29" t="s">
        <v>309</v>
      </c>
      <c r="F1593" s="29" t="s">
        <v>335</v>
      </c>
      <c r="G1593" s="25" t="s">
        <v>3355</v>
      </c>
      <c r="H1593" s="26">
        <v>-1.4395</v>
      </c>
      <c r="I1593" s="26"/>
      <c r="J1593" s="26" t="s">
        <v>512</v>
      </c>
      <c r="K1593" s="25" t="s">
        <v>513</v>
      </c>
    </row>
    <row r="1594" spans="1:11" ht="25.5" x14ac:dyDescent="0.25">
      <c r="A1594" s="22">
        <v>2026</v>
      </c>
      <c r="B1594" s="28" t="s">
        <v>183</v>
      </c>
      <c r="C1594" s="28" t="s">
        <v>97</v>
      </c>
      <c r="D1594" s="28" t="s">
        <v>1787</v>
      </c>
      <c r="E1594" s="29" t="s">
        <v>309</v>
      </c>
      <c r="F1594" s="29" t="s">
        <v>335</v>
      </c>
      <c r="G1594" s="25" t="s">
        <v>3356</v>
      </c>
      <c r="H1594" s="26">
        <v>-1.4607250000000001</v>
      </c>
      <c r="I1594" s="26"/>
      <c r="J1594" s="26" t="s">
        <v>512</v>
      </c>
      <c r="K1594" s="25" t="s">
        <v>513</v>
      </c>
    </row>
    <row r="1595" spans="1:11" ht="25.5" x14ac:dyDescent="0.25">
      <c r="A1595" s="22">
        <v>2026</v>
      </c>
      <c r="B1595" s="28" t="s">
        <v>183</v>
      </c>
      <c r="C1595" s="28" t="s">
        <v>97</v>
      </c>
      <c r="D1595" s="28" t="s">
        <v>1787</v>
      </c>
      <c r="E1595" s="29" t="s">
        <v>309</v>
      </c>
      <c r="F1595" s="29" t="s">
        <v>335</v>
      </c>
      <c r="G1595" s="25" t="s">
        <v>3357</v>
      </c>
      <c r="H1595" s="26">
        <v>-1.459975</v>
      </c>
      <c r="I1595" s="26"/>
      <c r="J1595" s="26" t="s">
        <v>512</v>
      </c>
      <c r="K1595" s="25" t="s">
        <v>513</v>
      </c>
    </row>
    <row r="1596" spans="1:11" ht="25.5" x14ac:dyDescent="0.25">
      <c r="A1596" s="22">
        <v>2026</v>
      </c>
      <c r="B1596" s="28" t="s">
        <v>183</v>
      </c>
      <c r="C1596" s="28" t="s">
        <v>97</v>
      </c>
      <c r="D1596" s="28" t="s">
        <v>1787</v>
      </c>
      <c r="E1596" s="29" t="s">
        <v>309</v>
      </c>
      <c r="F1596" s="29" t="s">
        <v>335</v>
      </c>
      <c r="G1596" s="25" t="s">
        <v>3358</v>
      </c>
      <c r="H1596" s="26">
        <v>-1.4634750000000001</v>
      </c>
      <c r="I1596" s="26"/>
      <c r="J1596" s="26" t="s">
        <v>512</v>
      </c>
      <c r="K1596" s="25" t="s">
        <v>513</v>
      </c>
    </row>
    <row r="1597" spans="1:11" ht="25.5" x14ac:dyDescent="0.25">
      <c r="A1597" s="22">
        <v>2026</v>
      </c>
      <c r="B1597" s="28" t="s">
        <v>183</v>
      </c>
      <c r="C1597" s="28" t="s">
        <v>97</v>
      </c>
      <c r="D1597" s="28" t="s">
        <v>1787</v>
      </c>
      <c r="E1597" s="29" t="s">
        <v>309</v>
      </c>
      <c r="F1597" s="29" t="s">
        <v>335</v>
      </c>
      <c r="G1597" s="25" t="s">
        <v>3359</v>
      </c>
      <c r="H1597" s="26">
        <v>-1.0159975000000001</v>
      </c>
      <c r="I1597" s="26"/>
      <c r="J1597" s="26" t="s">
        <v>512</v>
      </c>
      <c r="K1597" s="25" t="s">
        <v>513</v>
      </c>
    </row>
    <row r="1598" spans="1:11" ht="25.5" x14ac:dyDescent="0.25">
      <c r="A1598" s="22">
        <v>2026</v>
      </c>
      <c r="B1598" s="28" t="s">
        <v>183</v>
      </c>
      <c r="C1598" s="28" t="s">
        <v>97</v>
      </c>
      <c r="D1598" s="28" t="s">
        <v>1787</v>
      </c>
      <c r="E1598" s="29" t="s">
        <v>309</v>
      </c>
      <c r="F1598" s="29" t="s">
        <v>335</v>
      </c>
      <c r="G1598" s="25" t="s">
        <v>3360</v>
      </c>
      <c r="H1598" s="26">
        <v>-1.4554499999999999</v>
      </c>
      <c r="I1598" s="26"/>
      <c r="J1598" s="26" t="s">
        <v>512</v>
      </c>
      <c r="K1598" s="25" t="s">
        <v>513</v>
      </c>
    </row>
    <row r="1599" spans="1:11" ht="25.5" x14ac:dyDescent="0.25">
      <c r="A1599" s="22">
        <v>2026</v>
      </c>
      <c r="B1599" s="28" t="s">
        <v>183</v>
      </c>
      <c r="C1599" s="28" t="s">
        <v>97</v>
      </c>
      <c r="D1599" s="28" t="s">
        <v>1787</v>
      </c>
      <c r="E1599" s="29" t="s">
        <v>309</v>
      </c>
      <c r="F1599" s="29" t="s">
        <v>335</v>
      </c>
      <c r="G1599" s="25" t="s">
        <v>3361</v>
      </c>
      <c r="H1599" s="26">
        <v>-2.0520149999999999</v>
      </c>
      <c r="I1599" s="26"/>
      <c r="J1599" s="26" t="s">
        <v>512</v>
      </c>
      <c r="K1599" s="25" t="s">
        <v>513</v>
      </c>
    </row>
    <row r="1600" spans="1:11" ht="25.5" x14ac:dyDescent="0.25">
      <c r="A1600" s="22">
        <v>2026</v>
      </c>
      <c r="B1600" s="28" t="s">
        <v>183</v>
      </c>
      <c r="C1600" s="28" t="s">
        <v>97</v>
      </c>
      <c r="D1600" s="28" t="s">
        <v>1734</v>
      </c>
      <c r="E1600" s="29" t="s">
        <v>309</v>
      </c>
      <c r="F1600" s="29" t="s">
        <v>903</v>
      </c>
      <c r="G1600" s="25" t="s">
        <v>3362</v>
      </c>
      <c r="H1600" s="26">
        <v>-6.4272696869999993E-2</v>
      </c>
      <c r="I1600" s="26"/>
      <c r="J1600" s="26" t="s">
        <v>512</v>
      </c>
      <c r="K1600" s="25" t="s">
        <v>513</v>
      </c>
    </row>
    <row r="1601" spans="1:11" ht="25.5" x14ac:dyDescent="0.25">
      <c r="A1601" s="22">
        <v>2026</v>
      </c>
      <c r="B1601" s="28" t="s">
        <v>183</v>
      </c>
      <c r="C1601" s="28" t="s">
        <v>97</v>
      </c>
      <c r="D1601" s="28" t="s">
        <v>1734</v>
      </c>
      <c r="E1601" s="29" t="s">
        <v>309</v>
      </c>
      <c r="F1601" s="29" t="s">
        <v>903</v>
      </c>
      <c r="G1601" s="25" t="s">
        <v>3363</v>
      </c>
      <c r="H1601" s="26">
        <v>-0.43109999999999998</v>
      </c>
      <c r="I1601" s="26"/>
      <c r="J1601" s="26" t="s">
        <v>512</v>
      </c>
      <c r="K1601" s="25" t="s">
        <v>513</v>
      </c>
    </row>
    <row r="1602" spans="1:11" ht="25.5" x14ac:dyDescent="0.25">
      <c r="A1602" s="22">
        <v>2026</v>
      </c>
      <c r="B1602" s="28" t="s">
        <v>183</v>
      </c>
      <c r="C1602" s="28" t="s">
        <v>97</v>
      </c>
      <c r="D1602" s="28" t="s">
        <v>1734</v>
      </c>
      <c r="E1602" s="29" t="s">
        <v>309</v>
      </c>
      <c r="F1602" s="29" t="s">
        <v>903</v>
      </c>
      <c r="G1602" s="25" t="s">
        <v>3364</v>
      </c>
      <c r="H1602" s="26">
        <v>-0.24162499999999998</v>
      </c>
      <c r="I1602" s="26"/>
      <c r="J1602" s="26" t="s">
        <v>512</v>
      </c>
      <c r="K1602" s="25" t="s">
        <v>513</v>
      </c>
    </row>
    <row r="1603" spans="1:11" ht="25.5" x14ac:dyDescent="0.25">
      <c r="A1603" s="22">
        <v>2026</v>
      </c>
      <c r="B1603" s="28" t="s">
        <v>183</v>
      </c>
      <c r="C1603" s="28" t="s">
        <v>97</v>
      </c>
      <c r="D1603" s="28" t="s">
        <v>1735</v>
      </c>
      <c r="E1603" s="29" t="s">
        <v>309</v>
      </c>
      <c r="F1603" s="29" t="s">
        <v>566</v>
      </c>
      <c r="G1603" s="25" t="s">
        <v>3365</v>
      </c>
      <c r="H1603" s="26">
        <v>-0.80977900000000003</v>
      </c>
      <c r="I1603" s="26"/>
      <c r="J1603" s="26" t="s">
        <v>512</v>
      </c>
      <c r="K1603" s="25" t="s">
        <v>513</v>
      </c>
    </row>
    <row r="1604" spans="1:11" ht="25.5" x14ac:dyDescent="0.25">
      <c r="A1604" s="22">
        <v>2026</v>
      </c>
      <c r="B1604" s="28" t="s">
        <v>183</v>
      </c>
      <c r="C1604" s="28" t="s">
        <v>97</v>
      </c>
      <c r="D1604" s="28" t="s">
        <v>1735</v>
      </c>
      <c r="E1604" s="29" t="s">
        <v>309</v>
      </c>
      <c r="F1604" s="29" t="s">
        <v>566</v>
      </c>
      <c r="G1604" s="25" t="s">
        <v>3366</v>
      </c>
      <c r="H1604" s="26">
        <v>-0.20674999999999999</v>
      </c>
      <c r="I1604" s="26"/>
      <c r="J1604" s="26" t="s">
        <v>512</v>
      </c>
      <c r="K1604" s="25" t="s">
        <v>513</v>
      </c>
    </row>
    <row r="1605" spans="1:11" ht="25.5" x14ac:dyDescent="0.25">
      <c r="A1605" s="22">
        <v>2026</v>
      </c>
      <c r="B1605" s="28" t="s">
        <v>183</v>
      </c>
      <c r="C1605" s="28" t="s">
        <v>97</v>
      </c>
      <c r="D1605" s="28" t="s">
        <v>1735</v>
      </c>
      <c r="E1605" s="29" t="s">
        <v>309</v>
      </c>
      <c r="F1605" s="29" t="s">
        <v>566</v>
      </c>
      <c r="G1605" s="25" t="s">
        <v>3367</v>
      </c>
      <c r="H1605" s="26">
        <v>-0.41949999999999998</v>
      </c>
      <c r="I1605" s="26"/>
      <c r="J1605" s="26" t="s">
        <v>512</v>
      </c>
      <c r="K1605" s="25" t="s">
        <v>513</v>
      </c>
    </row>
    <row r="1606" spans="1:11" ht="25.5" x14ac:dyDescent="0.25">
      <c r="A1606" s="22">
        <v>2026</v>
      </c>
      <c r="B1606" s="28" t="s">
        <v>183</v>
      </c>
      <c r="C1606" s="28" t="s">
        <v>97</v>
      </c>
      <c r="D1606" s="28" t="s">
        <v>538</v>
      </c>
      <c r="E1606" s="29" t="s">
        <v>309</v>
      </c>
      <c r="F1606" s="29" t="s">
        <v>564</v>
      </c>
      <c r="G1606" s="25" t="s">
        <v>3368</v>
      </c>
      <c r="H1606" s="26">
        <v>-0.1656</v>
      </c>
      <c r="I1606" s="26"/>
      <c r="J1606" s="26" t="s">
        <v>512</v>
      </c>
      <c r="K1606" s="25" t="s">
        <v>513</v>
      </c>
    </row>
    <row r="1607" spans="1:11" ht="25.5" x14ac:dyDescent="0.25">
      <c r="A1607" s="22">
        <v>2026</v>
      </c>
      <c r="B1607" s="28" t="s">
        <v>183</v>
      </c>
      <c r="C1607" s="28" t="s">
        <v>97</v>
      </c>
      <c r="D1607" s="28" t="s">
        <v>538</v>
      </c>
      <c r="E1607" s="29" t="s">
        <v>309</v>
      </c>
      <c r="F1607" s="29" t="s">
        <v>564</v>
      </c>
      <c r="G1607" s="25" t="s">
        <v>3369</v>
      </c>
      <c r="H1607" s="26">
        <v>-0.1646</v>
      </c>
      <c r="I1607" s="26"/>
      <c r="J1607" s="26" t="s">
        <v>512</v>
      </c>
      <c r="K1607" s="25" t="s">
        <v>513</v>
      </c>
    </row>
    <row r="1608" spans="1:11" ht="25.5" x14ac:dyDescent="0.25">
      <c r="A1608" s="22">
        <v>2026</v>
      </c>
      <c r="B1608" s="28" t="s">
        <v>183</v>
      </c>
      <c r="C1608" s="28" t="s">
        <v>97</v>
      </c>
      <c r="D1608" s="28" t="s">
        <v>538</v>
      </c>
      <c r="E1608" s="29" t="s">
        <v>309</v>
      </c>
      <c r="F1608" s="29" t="s">
        <v>564</v>
      </c>
      <c r="G1608" s="25" t="s">
        <v>3370</v>
      </c>
      <c r="H1608" s="26">
        <v>-0.10174999999999999</v>
      </c>
      <c r="I1608" s="26"/>
      <c r="J1608" s="26" t="s">
        <v>512</v>
      </c>
      <c r="K1608" s="25" t="s">
        <v>513</v>
      </c>
    </row>
    <row r="1609" spans="1:11" ht="25.5" x14ac:dyDescent="0.25">
      <c r="A1609" s="22">
        <v>2026</v>
      </c>
      <c r="B1609" s="28" t="s">
        <v>183</v>
      </c>
      <c r="C1609" s="28" t="s">
        <v>97</v>
      </c>
      <c r="D1609" s="28" t="s">
        <v>538</v>
      </c>
      <c r="E1609" s="29" t="s">
        <v>309</v>
      </c>
      <c r="F1609" s="29" t="s">
        <v>564</v>
      </c>
      <c r="G1609" s="25" t="s">
        <v>3371</v>
      </c>
      <c r="H1609" s="26">
        <v>-6.3339900000000005E-2</v>
      </c>
      <c r="I1609" s="26"/>
      <c r="J1609" s="26" t="s">
        <v>512</v>
      </c>
      <c r="K1609" s="25" t="s">
        <v>513</v>
      </c>
    </row>
    <row r="1610" spans="1:11" ht="25.5" x14ac:dyDescent="0.25">
      <c r="A1610" s="22">
        <v>2026</v>
      </c>
      <c r="B1610" s="28" t="s">
        <v>183</v>
      </c>
      <c r="C1610" s="28" t="s">
        <v>97</v>
      </c>
      <c r="D1610" s="28" t="s">
        <v>538</v>
      </c>
      <c r="E1610" s="29" t="s">
        <v>309</v>
      </c>
      <c r="F1610" s="29" t="s">
        <v>564</v>
      </c>
      <c r="G1610" s="25" t="s">
        <v>3372</v>
      </c>
      <c r="H1610" s="26">
        <v>-4.2200000000000001E-2</v>
      </c>
      <c r="I1610" s="26"/>
      <c r="J1610" s="26" t="s">
        <v>512</v>
      </c>
      <c r="K1610" s="25" t="s">
        <v>513</v>
      </c>
    </row>
    <row r="1611" spans="1:11" ht="25.5" x14ac:dyDescent="0.25">
      <c r="A1611" s="22">
        <v>2026</v>
      </c>
      <c r="B1611" s="28" t="s">
        <v>183</v>
      </c>
      <c r="C1611" s="28" t="s">
        <v>97</v>
      </c>
      <c r="D1611" s="28" t="s">
        <v>538</v>
      </c>
      <c r="E1611" s="29" t="s">
        <v>309</v>
      </c>
      <c r="F1611" s="29" t="s">
        <v>564</v>
      </c>
      <c r="G1611" s="25" t="s">
        <v>3373</v>
      </c>
      <c r="H1611" s="26">
        <v>-6.3474900000000001E-2</v>
      </c>
      <c r="I1611" s="26"/>
      <c r="J1611" s="26" t="s">
        <v>512</v>
      </c>
      <c r="K1611" s="25" t="s">
        <v>513</v>
      </c>
    </row>
    <row r="1612" spans="1:11" ht="25.5" x14ac:dyDescent="0.25">
      <c r="A1612" s="22">
        <v>2026</v>
      </c>
      <c r="B1612" s="28" t="s">
        <v>183</v>
      </c>
      <c r="C1612" s="28" t="s">
        <v>97</v>
      </c>
      <c r="D1612" s="28" t="s">
        <v>538</v>
      </c>
      <c r="E1612" s="29" t="s">
        <v>309</v>
      </c>
      <c r="F1612" s="29" t="s">
        <v>564</v>
      </c>
      <c r="G1612" s="25" t="s">
        <v>3374</v>
      </c>
      <c r="H1612" s="26">
        <v>-6.3267750000000011E-2</v>
      </c>
      <c r="I1612" s="26"/>
      <c r="J1612" s="26" t="s">
        <v>512</v>
      </c>
      <c r="K1612" s="25" t="s">
        <v>513</v>
      </c>
    </row>
    <row r="1613" spans="1:11" ht="25.5" x14ac:dyDescent="0.25">
      <c r="A1613" s="22">
        <v>2026</v>
      </c>
      <c r="B1613" s="28" t="s">
        <v>183</v>
      </c>
      <c r="C1613" s="28" t="s">
        <v>97</v>
      </c>
      <c r="D1613" s="28" t="s">
        <v>538</v>
      </c>
      <c r="E1613" s="29" t="s">
        <v>309</v>
      </c>
      <c r="F1613" s="29" t="s">
        <v>564</v>
      </c>
      <c r="G1613" s="25" t="s">
        <v>3375</v>
      </c>
      <c r="H1613" s="26">
        <v>-4.1783000000000001E-2</v>
      </c>
      <c r="I1613" s="26"/>
      <c r="J1613" s="26" t="s">
        <v>512</v>
      </c>
      <c r="K1613" s="25" t="s">
        <v>513</v>
      </c>
    </row>
    <row r="1614" spans="1:11" ht="25.5" x14ac:dyDescent="0.25">
      <c r="A1614" s="22">
        <v>2026</v>
      </c>
      <c r="B1614" s="28" t="s">
        <v>183</v>
      </c>
      <c r="C1614" s="28" t="s">
        <v>97</v>
      </c>
      <c r="D1614" s="28" t="s">
        <v>538</v>
      </c>
      <c r="E1614" s="29" t="s">
        <v>309</v>
      </c>
      <c r="F1614" s="29" t="s">
        <v>564</v>
      </c>
      <c r="G1614" s="25" t="s">
        <v>3376</v>
      </c>
      <c r="H1614" s="26">
        <v>-0.10475000000000001</v>
      </c>
      <c r="I1614" s="26"/>
      <c r="J1614" s="26" t="s">
        <v>512</v>
      </c>
      <c r="K1614" s="25" t="s">
        <v>513</v>
      </c>
    </row>
    <row r="1615" spans="1:11" ht="25.5" x14ac:dyDescent="0.25">
      <c r="A1615" s="22">
        <v>2026</v>
      </c>
      <c r="B1615" s="28" t="s">
        <v>183</v>
      </c>
      <c r="C1615" s="28" t="s">
        <v>97</v>
      </c>
      <c r="D1615" s="28" t="s">
        <v>538</v>
      </c>
      <c r="E1615" s="29" t="s">
        <v>309</v>
      </c>
      <c r="F1615" s="29" t="s">
        <v>564</v>
      </c>
      <c r="G1615" s="25" t="s">
        <v>3377</v>
      </c>
      <c r="H1615" s="26">
        <v>-0.1239</v>
      </c>
      <c r="I1615" s="26"/>
      <c r="J1615" s="26" t="s">
        <v>512</v>
      </c>
      <c r="K1615" s="25" t="s">
        <v>513</v>
      </c>
    </row>
    <row r="1616" spans="1:11" ht="25.5" x14ac:dyDescent="0.25">
      <c r="A1616" s="22">
        <v>2026</v>
      </c>
      <c r="B1616" s="28" t="s">
        <v>183</v>
      </c>
      <c r="C1616" s="28" t="s">
        <v>97</v>
      </c>
      <c r="D1616" s="28" t="s">
        <v>538</v>
      </c>
      <c r="E1616" s="29" t="s">
        <v>309</v>
      </c>
      <c r="F1616" s="29" t="s">
        <v>564</v>
      </c>
      <c r="G1616" s="25" t="s">
        <v>3378</v>
      </c>
      <c r="H1616" s="26">
        <v>-0.16477280000000002</v>
      </c>
      <c r="I1616" s="26"/>
      <c r="J1616" s="26" t="s">
        <v>512</v>
      </c>
      <c r="K1616" s="25" t="s">
        <v>513</v>
      </c>
    </row>
    <row r="1617" spans="1:11" ht="25.5" x14ac:dyDescent="0.25">
      <c r="A1617" s="22">
        <v>2026</v>
      </c>
      <c r="B1617" s="28" t="s">
        <v>183</v>
      </c>
      <c r="C1617" s="28" t="s">
        <v>97</v>
      </c>
      <c r="D1617" s="28" t="s">
        <v>538</v>
      </c>
      <c r="E1617" s="29" t="s">
        <v>309</v>
      </c>
      <c r="F1617" s="29" t="s">
        <v>564</v>
      </c>
      <c r="G1617" s="25" t="s">
        <v>3379</v>
      </c>
      <c r="H1617" s="26">
        <v>-6.1874999999999999E-2</v>
      </c>
      <c r="I1617" s="26"/>
      <c r="J1617" s="26" t="s">
        <v>512</v>
      </c>
      <c r="K1617" s="25" t="s">
        <v>513</v>
      </c>
    </row>
    <row r="1618" spans="1:11" ht="25.5" x14ac:dyDescent="0.25">
      <c r="A1618" s="22">
        <v>2026</v>
      </c>
      <c r="B1618" s="28" t="s">
        <v>183</v>
      </c>
      <c r="C1618" s="28" t="s">
        <v>97</v>
      </c>
      <c r="D1618" s="28" t="s">
        <v>538</v>
      </c>
      <c r="E1618" s="29" t="s">
        <v>309</v>
      </c>
      <c r="F1618" s="29" t="s">
        <v>564</v>
      </c>
      <c r="G1618" s="25" t="s">
        <v>3380</v>
      </c>
      <c r="H1618" s="26">
        <v>-8.3354999999999999E-2</v>
      </c>
      <c r="I1618" s="26"/>
      <c r="J1618" s="26" t="s">
        <v>512</v>
      </c>
      <c r="K1618" s="25" t="s">
        <v>513</v>
      </c>
    </row>
    <row r="1619" spans="1:11" ht="25.5" x14ac:dyDescent="0.25">
      <c r="A1619" s="22">
        <v>2026</v>
      </c>
      <c r="B1619" s="28" t="s">
        <v>183</v>
      </c>
      <c r="C1619" s="28" t="s">
        <v>97</v>
      </c>
      <c r="D1619" s="28" t="s">
        <v>1738</v>
      </c>
      <c r="E1619" s="29" t="s">
        <v>309</v>
      </c>
      <c r="F1619" s="29" t="s">
        <v>386</v>
      </c>
      <c r="G1619" s="25" t="s">
        <v>3381</v>
      </c>
      <c r="H1619" s="26">
        <v>-1.33525</v>
      </c>
      <c r="I1619" s="26"/>
      <c r="J1619" s="26" t="s">
        <v>512</v>
      </c>
      <c r="K1619" s="25" t="s">
        <v>513</v>
      </c>
    </row>
    <row r="1620" spans="1:11" ht="25.5" x14ac:dyDescent="0.25">
      <c r="A1620" s="22">
        <v>2026</v>
      </c>
      <c r="B1620" s="28" t="s">
        <v>183</v>
      </c>
      <c r="C1620" s="28" t="s">
        <v>97</v>
      </c>
      <c r="D1620" s="28" t="s">
        <v>1738</v>
      </c>
      <c r="E1620" s="29" t="s">
        <v>309</v>
      </c>
      <c r="F1620" s="29" t="s">
        <v>386</v>
      </c>
      <c r="G1620" s="25" t="s">
        <v>3382</v>
      </c>
      <c r="H1620" s="26">
        <v>-0.53776000000000002</v>
      </c>
      <c r="I1620" s="26"/>
      <c r="J1620" s="26" t="s">
        <v>512</v>
      </c>
      <c r="K1620" s="25" t="s">
        <v>513</v>
      </c>
    </row>
    <row r="1621" spans="1:11" ht="25.5" x14ac:dyDescent="0.25">
      <c r="A1621" s="22">
        <v>2026</v>
      </c>
      <c r="B1621" s="28" t="s">
        <v>183</v>
      </c>
      <c r="C1621" s="28" t="s">
        <v>97</v>
      </c>
      <c r="D1621" s="28" t="s">
        <v>1738</v>
      </c>
      <c r="E1621" s="29" t="s">
        <v>309</v>
      </c>
      <c r="F1621" s="29" t="s">
        <v>386</v>
      </c>
      <c r="G1621" s="25" t="s">
        <v>3383</v>
      </c>
      <c r="H1621" s="26">
        <v>-0.43988208000000001</v>
      </c>
      <c r="I1621" s="26"/>
      <c r="J1621" s="26" t="s">
        <v>512</v>
      </c>
      <c r="K1621" s="25" t="s">
        <v>513</v>
      </c>
    </row>
    <row r="1622" spans="1:11" ht="25.5" x14ac:dyDescent="0.25">
      <c r="A1622" s="22">
        <v>2026</v>
      </c>
      <c r="B1622" s="28" t="s">
        <v>183</v>
      </c>
      <c r="C1622" s="28" t="s">
        <v>97</v>
      </c>
      <c r="D1622" s="28" t="s">
        <v>1738</v>
      </c>
      <c r="E1622" s="29" t="s">
        <v>309</v>
      </c>
      <c r="F1622" s="29" t="s">
        <v>386</v>
      </c>
      <c r="G1622" s="25" t="s">
        <v>3384</v>
      </c>
      <c r="H1622" s="26">
        <v>-0.53200000000000003</v>
      </c>
      <c r="I1622" s="26"/>
      <c r="J1622" s="26" t="s">
        <v>512</v>
      </c>
      <c r="K1622" s="25" t="s">
        <v>513</v>
      </c>
    </row>
    <row r="1623" spans="1:11" ht="25.5" x14ac:dyDescent="0.25">
      <c r="A1623" s="22">
        <v>2026</v>
      </c>
      <c r="B1623" s="28" t="s">
        <v>183</v>
      </c>
      <c r="C1623" s="28" t="s">
        <v>97</v>
      </c>
      <c r="D1623" s="28" t="s">
        <v>1738</v>
      </c>
      <c r="E1623" s="29" t="s">
        <v>309</v>
      </c>
      <c r="F1623" s="29" t="s">
        <v>386</v>
      </c>
      <c r="G1623" s="25" t="s">
        <v>3385</v>
      </c>
      <c r="H1623" s="26">
        <v>-0.40075499999999997</v>
      </c>
      <c r="I1623" s="26"/>
      <c r="J1623" s="26" t="s">
        <v>512</v>
      </c>
      <c r="K1623" s="25" t="s">
        <v>513</v>
      </c>
    </row>
    <row r="1624" spans="1:11" ht="25.5" x14ac:dyDescent="0.25">
      <c r="A1624" s="22">
        <v>2026</v>
      </c>
      <c r="B1624" s="28" t="s">
        <v>183</v>
      </c>
      <c r="C1624" s="28" t="s">
        <v>97</v>
      </c>
      <c r="D1624" s="28" t="s">
        <v>1738</v>
      </c>
      <c r="E1624" s="29" t="s">
        <v>309</v>
      </c>
      <c r="F1624" s="29" t="s">
        <v>386</v>
      </c>
      <c r="G1624" s="25" t="s">
        <v>3386</v>
      </c>
      <c r="H1624" s="26">
        <v>-1.0065490400000001</v>
      </c>
      <c r="I1624" s="26"/>
      <c r="J1624" s="26" t="s">
        <v>512</v>
      </c>
      <c r="K1624" s="25" t="s">
        <v>513</v>
      </c>
    </row>
    <row r="1625" spans="1:11" ht="25.5" x14ac:dyDescent="0.25">
      <c r="A1625" s="22">
        <v>2026</v>
      </c>
      <c r="B1625" s="28" t="s">
        <v>183</v>
      </c>
      <c r="C1625" s="28" t="s">
        <v>97</v>
      </c>
      <c r="D1625" s="28" t="s">
        <v>1738</v>
      </c>
      <c r="E1625" s="29" t="s">
        <v>309</v>
      </c>
      <c r="F1625" s="29" t="s">
        <v>386</v>
      </c>
      <c r="G1625" s="25" t="s">
        <v>3387</v>
      </c>
      <c r="H1625" s="26">
        <v>-0.40050000000000002</v>
      </c>
      <c r="I1625" s="26"/>
      <c r="J1625" s="26" t="s">
        <v>512</v>
      </c>
      <c r="K1625" s="25" t="s">
        <v>513</v>
      </c>
    </row>
    <row r="1626" spans="1:11" ht="25.5" x14ac:dyDescent="0.25">
      <c r="A1626" s="22">
        <v>2026</v>
      </c>
      <c r="B1626" s="28" t="s">
        <v>183</v>
      </c>
      <c r="C1626" s="28" t="s">
        <v>97</v>
      </c>
      <c r="D1626" s="28" t="s">
        <v>1738</v>
      </c>
      <c r="E1626" s="29" t="s">
        <v>309</v>
      </c>
      <c r="F1626" s="29" t="s">
        <v>386</v>
      </c>
      <c r="G1626" s="25" t="s">
        <v>3388</v>
      </c>
      <c r="H1626" s="26">
        <v>-1.0595000000000001</v>
      </c>
      <c r="I1626" s="26"/>
      <c r="J1626" s="26" t="s">
        <v>512</v>
      </c>
      <c r="K1626" s="25" t="s">
        <v>513</v>
      </c>
    </row>
    <row r="1627" spans="1:11" ht="25.5" x14ac:dyDescent="0.25">
      <c r="A1627" s="22">
        <v>2026</v>
      </c>
      <c r="B1627" s="28" t="s">
        <v>183</v>
      </c>
      <c r="C1627" s="28" t="s">
        <v>97</v>
      </c>
      <c r="D1627" s="28" t="s">
        <v>1738</v>
      </c>
      <c r="E1627" s="29" t="s">
        <v>309</v>
      </c>
      <c r="F1627" s="29" t="s">
        <v>386</v>
      </c>
      <c r="G1627" s="25" t="s">
        <v>3389</v>
      </c>
      <c r="H1627" s="26">
        <v>-1.5952500000000001</v>
      </c>
      <c r="I1627" s="26"/>
      <c r="J1627" s="26" t="s">
        <v>512</v>
      </c>
      <c r="K1627" s="25" t="s">
        <v>513</v>
      </c>
    </row>
    <row r="1628" spans="1:11" ht="25.5" x14ac:dyDescent="0.25">
      <c r="A1628" s="22">
        <v>2026</v>
      </c>
      <c r="B1628" s="28" t="s">
        <v>183</v>
      </c>
      <c r="C1628" s="28" t="s">
        <v>97</v>
      </c>
      <c r="D1628" s="28" t="s">
        <v>1738</v>
      </c>
      <c r="E1628" s="29" t="s">
        <v>309</v>
      </c>
      <c r="F1628" s="29" t="s">
        <v>386</v>
      </c>
      <c r="G1628" s="25" t="s">
        <v>3390</v>
      </c>
      <c r="H1628" s="26">
        <v>-1.32745</v>
      </c>
      <c r="I1628" s="26"/>
      <c r="J1628" s="26" t="s">
        <v>512</v>
      </c>
      <c r="K1628" s="25" t="s">
        <v>513</v>
      </c>
    </row>
    <row r="1629" spans="1:11" ht="25.5" x14ac:dyDescent="0.25">
      <c r="A1629" s="22">
        <v>2026</v>
      </c>
      <c r="B1629" s="28" t="s">
        <v>183</v>
      </c>
      <c r="C1629" s="28" t="s">
        <v>97</v>
      </c>
      <c r="D1629" s="28" t="s">
        <v>1738</v>
      </c>
      <c r="E1629" s="29" t="s">
        <v>309</v>
      </c>
      <c r="F1629" s="29" t="s">
        <v>386</v>
      </c>
      <c r="G1629" s="25" t="s">
        <v>3391</v>
      </c>
      <c r="H1629" s="26">
        <v>-1.1271119999999999</v>
      </c>
      <c r="I1629" s="26"/>
      <c r="J1629" s="26" t="s">
        <v>512</v>
      </c>
      <c r="K1629" s="25" t="s">
        <v>513</v>
      </c>
    </row>
    <row r="1630" spans="1:11" ht="25.5" x14ac:dyDescent="0.25">
      <c r="A1630" s="22">
        <v>2026</v>
      </c>
      <c r="B1630" s="28" t="s">
        <v>183</v>
      </c>
      <c r="C1630" s="28" t="s">
        <v>97</v>
      </c>
      <c r="D1630" s="28" t="s">
        <v>1738</v>
      </c>
      <c r="E1630" s="29" t="s">
        <v>309</v>
      </c>
      <c r="F1630" s="29" t="s">
        <v>386</v>
      </c>
      <c r="G1630" s="25" t="s">
        <v>3392</v>
      </c>
      <c r="H1630" s="26">
        <v>-1.3376999999999999</v>
      </c>
      <c r="I1630" s="26"/>
      <c r="J1630" s="26" t="s">
        <v>512</v>
      </c>
      <c r="K1630" s="25" t="s">
        <v>513</v>
      </c>
    </row>
    <row r="1631" spans="1:11" ht="25.5" x14ac:dyDescent="0.25">
      <c r="A1631" s="22">
        <v>2026</v>
      </c>
      <c r="B1631" s="28" t="s">
        <v>183</v>
      </c>
      <c r="C1631" s="28" t="s">
        <v>97</v>
      </c>
      <c r="D1631" s="28" t="s">
        <v>1738</v>
      </c>
      <c r="E1631" s="29" t="s">
        <v>309</v>
      </c>
      <c r="F1631" s="29" t="s">
        <v>386</v>
      </c>
      <c r="G1631" s="25" t="s">
        <v>3393</v>
      </c>
      <c r="H1631" s="26">
        <v>-0.75846127679999997</v>
      </c>
      <c r="I1631" s="26"/>
      <c r="J1631" s="26" t="s">
        <v>512</v>
      </c>
      <c r="K1631" s="25" t="s">
        <v>513</v>
      </c>
    </row>
    <row r="1632" spans="1:11" ht="25.5" x14ac:dyDescent="0.25">
      <c r="A1632" s="22">
        <v>2026</v>
      </c>
      <c r="B1632" s="28" t="s">
        <v>183</v>
      </c>
      <c r="C1632" s="28" t="s">
        <v>97</v>
      </c>
      <c r="D1632" s="28" t="s">
        <v>1738</v>
      </c>
      <c r="E1632" s="29" t="s">
        <v>309</v>
      </c>
      <c r="F1632" s="29" t="s">
        <v>386</v>
      </c>
      <c r="G1632" s="25" t="s">
        <v>3394</v>
      </c>
      <c r="H1632" s="26">
        <v>-1.3342499999999999</v>
      </c>
      <c r="I1632" s="26"/>
      <c r="J1632" s="26" t="s">
        <v>512</v>
      </c>
      <c r="K1632" s="25" t="s">
        <v>513</v>
      </c>
    </row>
    <row r="1633" spans="1:11" ht="25.5" x14ac:dyDescent="0.25">
      <c r="A1633" s="22">
        <v>2026</v>
      </c>
      <c r="B1633" s="28" t="s">
        <v>183</v>
      </c>
      <c r="C1633" s="28" t="s">
        <v>97</v>
      </c>
      <c r="D1633" s="28" t="s">
        <v>1738</v>
      </c>
      <c r="E1633" s="29" t="s">
        <v>309</v>
      </c>
      <c r="F1633" s="29" t="s">
        <v>386</v>
      </c>
      <c r="G1633" s="25" t="s">
        <v>3395</v>
      </c>
      <c r="H1633" s="26">
        <v>-1.3463499999999999</v>
      </c>
      <c r="I1633" s="26"/>
      <c r="J1633" s="26" t="s">
        <v>512</v>
      </c>
      <c r="K1633" s="25" t="s">
        <v>513</v>
      </c>
    </row>
    <row r="1634" spans="1:11" ht="25.5" x14ac:dyDescent="0.25">
      <c r="A1634" s="22">
        <v>2026</v>
      </c>
      <c r="B1634" s="28" t="s">
        <v>183</v>
      </c>
      <c r="C1634" s="28" t="s">
        <v>97</v>
      </c>
      <c r="D1634" s="28" t="s">
        <v>1738</v>
      </c>
      <c r="E1634" s="29" t="s">
        <v>309</v>
      </c>
      <c r="F1634" s="29" t="s">
        <v>386</v>
      </c>
      <c r="G1634" s="25" t="s">
        <v>3396</v>
      </c>
      <c r="H1634" s="26">
        <v>-1.347</v>
      </c>
      <c r="I1634" s="26"/>
      <c r="J1634" s="26" t="s">
        <v>512</v>
      </c>
      <c r="K1634" s="25" t="s">
        <v>513</v>
      </c>
    </row>
    <row r="1635" spans="1:11" ht="25.5" x14ac:dyDescent="0.25">
      <c r="A1635" s="22">
        <v>2026</v>
      </c>
      <c r="B1635" s="28" t="s">
        <v>183</v>
      </c>
      <c r="C1635" s="28" t="s">
        <v>97</v>
      </c>
      <c r="D1635" s="28" t="s">
        <v>537</v>
      </c>
      <c r="E1635" s="29" t="s">
        <v>561</v>
      </c>
      <c r="F1635" s="29" t="s">
        <v>298</v>
      </c>
      <c r="G1635" s="25" t="s">
        <v>3397</v>
      </c>
      <c r="H1635" s="26">
        <v>-1.2256</v>
      </c>
      <c r="I1635" s="26"/>
      <c r="J1635" s="26" t="s">
        <v>512</v>
      </c>
      <c r="K1635" s="25" t="s">
        <v>513</v>
      </c>
    </row>
    <row r="1636" spans="1:11" ht="25.5" x14ac:dyDescent="0.25">
      <c r="A1636" s="22">
        <v>2026</v>
      </c>
      <c r="B1636" s="28" t="s">
        <v>183</v>
      </c>
      <c r="C1636" s="28" t="s">
        <v>97</v>
      </c>
      <c r="D1636" s="28" t="s">
        <v>537</v>
      </c>
      <c r="E1636" s="29" t="s">
        <v>561</v>
      </c>
      <c r="F1636" s="29" t="s">
        <v>298</v>
      </c>
      <c r="G1636" s="25" t="s">
        <v>3398</v>
      </c>
      <c r="H1636" s="26">
        <v>-1.6260749999999999</v>
      </c>
      <c r="I1636" s="26"/>
      <c r="J1636" s="26" t="s">
        <v>512</v>
      </c>
      <c r="K1636" s="25" t="s">
        <v>513</v>
      </c>
    </row>
    <row r="1637" spans="1:11" ht="25.5" x14ac:dyDescent="0.25">
      <c r="A1637" s="22">
        <v>2026</v>
      </c>
      <c r="B1637" s="28" t="s">
        <v>183</v>
      </c>
      <c r="C1637" s="28" t="s">
        <v>97</v>
      </c>
      <c r="D1637" s="28" t="s">
        <v>537</v>
      </c>
      <c r="E1637" s="29" t="s">
        <v>561</v>
      </c>
      <c r="F1637" s="29" t="s">
        <v>298</v>
      </c>
      <c r="G1637" s="25" t="s">
        <v>3399</v>
      </c>
      <c r="H1637" s="26">
        <v>-1.2824646800000001</v>
      </c>
      <c r="I1637" s="26"/>
      <c r="J1637" s="26" t="s">
        <v>512</v>
      </c>
      <c r="K1637" s="25" t="s">
        <v>513</v>
      </c>
    </row>
    <row r="1638" spans="1:11" ht="25.5" x14ac:dyDescent="0.25">
      <c r="A1638" s="22">
        <v>2026</v>
      </c>
      <c r="B1638" s="28" t="s">
        <v>183</v>
      </c>
      <c r="C1638" s="28" t="s">
        <v>97</v>
      </c>
      <c r="D1638" s="28" t="s">
        <v>537</v>
      </c>
      <c r="E1638" s="29" t="s">
        <v>561</v>
      </c>
      <c r="F1638" s="29" t="s">
        <v>298</v>
      </c>
      <c r="G1638" s="25" t="s">
        <v>3400</v>
      </c>
      <c r="H1638" s="26">
        <v>-1.113</v>
      </c>
      <c r="I1638" s="26"/>
      <c r="J1638" s="26" t="s">
        <v>512</v>
      </c>
      <c r="K1638" s="25" t="s">
        <v>513</v>
      </c>
    </row>
    <row r="1639" spans="1:11" ht="25.5" x14ac:dyDescent="0.25">
      <c r="A1639" s="22">
        <v>2026</v>
      </c>
      <c r="B1639" s="28" t="s">
        <v>183</v>
      </c>
      <c r="C1639" s="28" t="s">
        <v>97</v>
      </c>
      <c r="D1639" s="28" t="s">
        <v>537</v>
      </c>
      <c r="E1639" s="29" t="s">
        <v>561</v>
      </c>
      <c r="F1639" s="29" t="s">
        <v>298</v>
      </c>
      <c r="G1639" s="25" t="s">
        <v>3401</v>
      </c>
      <c r="H1639" s="26">
        <v>-1.2985</v>
      </c>
      <c r="I1639" s="26"/>
      <c r="J1639" s="26" t="s">
        <v>512</v>
      </c>
      <c r="K1639" s="25" t="s">
        <v>513</v>
      </c>
    </row>
    <row r="1640" spans="1:11" ht="25.5" x14ac:dyDescent="0.25">
      <c r="A1640" s="22">
        <v>2026</v>
      </c>
      <c r="B1640" s="28" t="s">
        <v>183</v>
      </c>
      <c r="C1640" s="28" t="s">
        <v>97</v>
      </c>
      <c r="D1640" s="28" t="s">
        <v>537</v>
      </c>
      <c r="E1640" s="29" t="s">
        <v>561</v>
      </c>
      <c r="F1640" s="29" t="s">
        <v>298</v>
      </c>
      <c r="G1640" s="25" t="s">
        <v>3402</v>
      </c>
      <c r="H1640" s="26">
        <v>-0.91874999999999996</v>
      </c>
      <c r="I1640" s="26"/>
      <c r="J1640" s="26" t="s">
        <v>512</v>
      </c>
      <c r="K1640" s="25" t="s">
        <v>513</v>
      </c>
    </row>
    <row r="1641" spans="1:11" ht="25.5" x14ac:dyDescent="0.25">
      <c r="A1641" s="22">
        <v>2026</v>
      </c>
      <c r="B1641" s="28" t="s">
        <v>183</v>
      </c>
      <c r="C1641" s="28" t="s">
        <v>97</v>
      </c>
      <c r="D1641" s="28" t="s">
        <v>537</v>
      </c>
      <c r="E1641" s="29" t="s">
        <v>561</v>
      </c>
      <c r="F1641" s="29" t="s">
        <v>298</v>
      </c>
      <c r="G1641" s="25" t="s">
        <v>3403</v>
      </c>
      <c r="H1641" s="26">
        <v>-0.14660000000000001</v>
      </c>
      <c r="I1641" s="26"/>
      <c r="J1641" s="26" t="s">
        <v>512</v>
      </c>
      <c r="K1641" s="25" t="s">
        <v>513</v>
      </c>
    </row>
    <row r="1642" spans="1:11" ht="25.5" x14ac:dyDescent="0.25">
      <c r="A1642" s="22">
        <v>2026</v>
      </c>
      <c r="B1642" s="28" t="s">
        <v>183</v>
      </c>
      <c r="C1642" s="28" t="s">
        <v>97</v>
      </c>
      <c r="D1642" s="28" t="s">
        <v>537</v>
      </c>
      <c r="E1642" s="29" t="s">
        <v>561</v>
      </c>
      <c r="F1642" s="29" t="s">
        <v>298</v>
      </c>
      <c r="G1642" s="25" t="s">
        <v>3404</v>
      </c>
      <c r="H1642" s="26">
        <v>-0.841225</v>
      </c>
      <c r="I1642" s="26"/>
      <c r="J1642" s="26" t="s">
        <v>512</v>
      </c>
      <c r="K1642" s="25" t="s">
        <v>513</v>
      </c>
    </row>
    <row r="1643" spans="1:11" ht="25.5" x14ac:dyDescent="0.25">
      <c r="A1643" s="22">
        <v>2026</v>
      </c>
      <c r="B1643" s="28" t="s">
        <v>183</v>
      </c>
      <c r="C1643" s="28" t="s">
        <v>97</v>
      </c>
      <c r="D1643" s="28" t="s">
        <v>537</v>
      </c>
      <c r="E1643" s="29" t="s">
        <v>561</v>
      </c>
      <c r="F1643" s="29" t="s">
        <v>298</v>
      </c>
      <c r="G1643" s="25" t="s">
        <v>3405</v>
      </c>
      <c r="H1643" s="26">
        <v>-0.44369999999999998</v>
      </c>
      <c r="I1643" s="26"/>
      <c r="J1643" s="26" t="s">
        <v>512</v>
      </c>
      <c r="K1643" s="25" t="s">
        <v>513</v>
      </c>
    </row>
    <row r="1644" spans="1:11" ht="25.5" x14ac:dyDescent="0.25">
      <c r="A1644" s="22">
        <v>2026</v>
      </c>
      <c r="B1644" s="28" t="s">
        <v>183</v>
      </c>
      <c r="C1644" s="28" t="s">
        <v>97</v>
      </c>
      <c r="D1644" s="28" t="s">
        <v>537</v>
      </c>
      <c r="E1644" s="29" t="s">
        <v>561</v>
      </c>
      <c r="F1644" s="29" t="s">
        <v>298</v>
      </c>
      <c r="G1644" s="25" t="s">
        <v>3406</v>
      </c>
      <c r="H1644" s="26">
        <v>-0.74199999999999999</v>
      </c>
      <c r="I1644" s="26"/>
      <c r="J1644" s="26" t="s">
        <v>512</v>
      </c>
      <c r="K1644" s="25" t="s">
        <v>513</v>
      </c>
    </row>
    <row r="1645" spans="1:11" ht="25.5" x14ac:dyDescent="0.25">
      <c r="A1645" s="22">
        <v>2026</v>
      </c>
      <c r="B1645" s="28" t="s">
        <v>183</v>
      </c>
      <c r="C1645" s="28" t="s">
        <v>97</v>
      </c>
      <c r="D1645" s="28" t="s">
        <v>537</v>
      </c>
      <c r="E1645" s="29" t="s">
        <v>561</v>
      </c>
      <c r="F1645" s="29" t="s">
        <v>298</v>
      </c>
      <c r="G1645" s="25" t="s">
        <v>3407</v>
      </c>
      <c r="H1645" s="26">
        <v>-0.5131</v>
      </c>
      <c r="I1645" s="26"/>
      <c r="J1645" s="26" t="s">
        <v>512</v>
      </c>
      <c r="K1645" s="25" t="s">
        <v>513</v>
      </c>
    </row>
    <row r="1646" spans="1:11" ht="25.5" x14ac:dyDescent="0.25">
      <c r="A1646" s="22">
        <v>2026</v>
      </c>
      <c r="B1646" s="28" t="s">
        <v>183</v>
      </c>
      <c r="C1646" s="28" t="s">
        <v>97</v>
      </c>
      <c r="D1646" s="28" t="s">
        <v>537</v>
      </c>
      <c r="E1646" s="29" t="s">
        <v>561</v>
      </c>
      <c r="F1646" s="29" t="s">
        <v>298</v>
      </c>
      <c r="G1646" s="25" t="s">
        <v>3408</v>
      </c>
      <c r="H1646" s="26">
        <v>-0.18587500000000001</v>
      </c>
      <c r="I1646" s="26"/>
      <c r="J1646" s="26" t="s">
        <v>512</v>
      </c>
      <c r="K1646" s="25" t="s">
        <v>513</v>
      </c>
    </row>
    <row r="1647" spans="1:11" ht="25.5" x14ac:dyDescent="0.25">
      <c r="A1647" s="22">
        <v>2026</v>
      </c>
      <c r="B1647" s="28" t="s">
        <v>183</v>
      </c>
      <c r="C1647" s="28" t="s">
        <v>97</v>
      </c>
      <c r="D1647" s="28" t="s">
        <v>537</v>
      </c>
      <c r="E1647" s="29" t="s">
        <v>561</v>
      </c>
      <c r="F1647" s="29" t="s">
        <v>298</v>
      </c>
      <c r="G1647" s="25" t="s">
        <v>3409</v>
      </c>
      <c r="H1647" s="26">
        <v>-0.9710493</v>
      </c>
      <c r="I1647" s="26"/>
      <c r="J1647" s="26" t="s">
        <v>512</v>
      </c>
      <c r="K1647" s="25" t="s">
        <v>513</v>
      </c>
    </row>
    <row r="1648" spans="1:11" ht="25.5" x14ac:dyDescent="0.25">
      <c r="A1648" s="22">
        <v>2026</v>
      </c>
      <c r="B1648" s="28" t="s">
        <v>183</v>
      </c>
      <c r="C1648" s="28" t="s">
        <v>97</v>
      </c>
      <c r="D1648" s="28" t="s">
        <v>537</v>
      </c>
      <c r="E1648" s="29" t="s">
        <v>561</v>
      </c>
      <c r="F1648" s="29" t="s">
        <v>298</v>
      </c>
      <c r="G1648" s="25" t="s">
        <v>3410</v>
      </c>
      <c r="H1648" s="26">
        <v>-0.9375</v>
      </c>
      <c r="I1648" s="26"/>
      <c r="J1648" s="26" t="s">
        <v>512</v>
      </c>
      <c r="K1648" s="25" t="s">
        <v>513</v>
      </c>
    </row>
    <row r="1649" spans="1:11" ht="25.5" x14ac:dyDescent="0.25">
      <c r="A1649" s="22">
        <v>2026</v>
      </c>
      <c r="B1649" s="28" t="s">
        <v>183</v>
      </c>
      <c r="C1649" s="28" t="s">
        <v>97</v>
      </c>
      <c r="D1649" s="28" t="s">
        <v>1788</v>
      </c>
      <c r="E1649" s="29" t="s">
        <v>1798</v>
      </c>
      <c r="F1649" s="29" t="s">
        <v>325</v>
      </c>
      <c r="G1649" s="25" t="s">
        <v>3411</v>
      </c>
      <c r="H1649" s="26">
        <v>-0.312</v>
      </c>
      <c r="I1649" s="26"/>
      <c r="J1649" s="26" t="s">
        <v>512</v>
      </c>
      <c r="K1649" s="25" t="s">
        <v>513</v>
      </c>
    </row>
    <row r="1650" spans="1:11" ht="25.5" x14ac:dyDescent="0.25">
      <c r="A1650" s="22">
        <v>2026</v>
      </c>
      <c r="B1650" s="28" t="s">
        <v>183</v>
      </c>
      <c r="C1650" s="28" t="s">
        <v>97</v>
      </c>
      <c r="D1650" s="28" t="s">
        <v>1788</v>
      </c>
      <c r="E1650" s="29" t="s">
        <v>1798</v>
      </c>
      <c r="F1650" s="29" t="s">
        <v>325</v>
      </c>
      <c r="G1650" s="25" t="s">
        <v>3412</v>
      </c>
      <c r="H1650" s="26">
        <v>-0.39</v>
      </c>
      <c r="I1650" s="26"/>
      <c r="J1650" s="26" t="s">
        <v>512</v>
      </c>
      <c r="K1650" s="25" t="s">
        <v>513</v>
      </c>
    </row>
    <row r="1651" spans="1:11" ht="25.5" x14ac:dyDescent="0.25">
      <c r="A1651" s="22">
        <v>2026</v>
      </c>
      <c r="B1651" s="28" t="s">
        <v>183</v>
      </c>
      <c r="C1651" s="28" t="s">
        <v>97</v>
      </c>
      <c r="D1651" s="28" t="s">
        <v>768</v>
      </c>
      <c r="E1651" s="29" t="s">
        <v>768</v>
      </c>
      <c r="F1651" s="29" t="s">
        <v>332</v>
      </c>
      <c r="G1651" s="25" t="s">
        <v>3413</v>
      </c>
      <c r="H1651" s="26">
        <v>-0.14862449999999999</v>
      </c>
      <c r="I1651" s="26"/>
      <c r="J1651" s="26" t="s">
        <v>512</v>
      </c>
      <c r="K1651" s="25" t="s">
        <v>513</v>
      </c>
    </row>
    <row r="1652" spans="1:11" ht="25.5" x14ac:dyDescent="0.25">
      <c r="A1652" s="22">
        <v>2026</v>
      </c>
      <c r="B1652" s="28" t="s">
        <v>183</v>
      </c>
      <c r="C1652" s="28" t="s">
        <v>97</v>
      </c>
      <c r="D1652" s="28" t="s">
        <v>768</v>
      </c>
      <c r="E1652" s="29" t="s">
        <v>768</v>
      </c>
      <c r="F1652" s="29" t="s">
        <v>332</v>
      </c>
      <c r="G1652" s="25" t="s">
        <v>3414</v>
      </c>
      <c r="H1652" s="26">
        <v>-0.14901209999999998</v>
      </c>
      <c r="I1652" s="26"/>
      <c r="J1652" s="26" t="s">
        <v>512</v>
      </c>
      <c r="K1652" s="25" t="s">
        <v>513</v>
      </c>
    </row>
    <row r="1653" spans="1:11" ht="25.5" x14ac:dyDescent="0.25">
      <c r="A1653" s="22">
        <v>2026</v>
      </c>
      <c r="B1653" s="28" t="s">
        <v>183</v>
      </c>
      <c r="C1653" s="28" t="s">
        <v>97</v>
      </c>
      <c r="D1653" s="28" t="s">
        <v>768</v>
      </c>
      <c r="E1653" s="29" t="s">
        <v>768</v>
      </c>
      <c r="F1653" s="29" t="s">
        <v>332</v>
      </c>
      <c r="G1653" s="25" t="s">
        <v>3415</v>
      </c>
      <c r="H1653" s="26">
        <v>-0.13839299999999999</v>
      </c>
      <c r="I1653" s="26"/>
      <c r="J1653" s="26" t="s">
        <v>512</v>
      </c>
      <c r="K1653" s="25" t="s">
        <v>513</v>
      </c>
    </row>
    <row r="1654" spans="1:11" ht="25.5" x14ac:dyDescent="0.25">
      <c r="A1654" s="22">
        <v>2026</v>
      </c>
      <c r="B1654" s="28" t="s">
        <v>183</v>
      </c>
      <c r="C1654" s="28" t="s">
        <v>97</v>
      </c>
      <c r="D1654" s="28" t="s">
        <v>768</v>
      </c>
      <c r="E1654" s="29" t="s">
        <v>768</v>
      </c>
      <c r="F1654" s="29" t="s">
        <v>332</v>
      </c>
      <c r="G1654" s="25" t="s">
        <v>3416</v>
      </c>
      <c r="H1654" s="26">
        <v>-0.13697429999999999</v>
      </c>
      <c r="I1654" s="26"/>
      <c r="J1654" s="26" t="s">
        <v>512</v>
      </c>
      <c r="K1654" s="25" t="s">
        <v>513</v>
      </c>
    </row>
    <row r="1655" spans="1:11" ht="25.5" x14ac:dyDescent="0.25">
      <c r="A1655" s="22">
        <v>2026</v>
      </c>
      <c r="B1655" s="28" t="s">
        <v>183</v>
      </c>
      <c r="C1655" s="28" t="s">
        <v>97</v>
      </c>
      <c r="D1655" s="28" t="s">
        <v>768</v>
      </c>
      <c r="E1655" s="29" t="s">
        <v>768</v>
      </c>
      <c r="F1655" s="29" t="s">
        <v>332</v>
      </c>
      <c r="G1655" s="25" t="s">
        <v>3417</v>
      </c>
      <c r="H1655" s="26">
        <v>-0.13959269999999999</v>
      </c>
      <c r="I1655" s="26"/>
      <c r="J1655" s="26" t="s">
        <v>512</v>
      </c>
      <c r="K1655" s="25" t="s">
        <v>513</v>
      </c>
    </row>
    <row r="1656" spans="1:11" ht="25.5" x14ac:dyDescent="0.25">
      <c r="A1656" s="22">
        <v>2026</v>
      </c>
      <c r="B1656" s="28" t="s">
        <v>183</v>
      </c>
      <c r="C1656" s="28" t="s">
        <v>97</v>
      </c>
      <c r="D1656" s="28" t="s">
        <v>768</v>
      </c>
      <c r="E1656" s="29" t="s">
        <v>768</v>
      </c>
      <c r="F1656" s="29" t="s">
        <v>332</v>
      </c>
      <c r="G1656" s="25" t="s">
        <v>3418</v>
      </c>
      <c r="H1656" s="26">
        <v>-0.14102129999999999</v>
      </c>
      <c r="I1656" s="26"/>
      <c r="J1656" s="26" t="s">
        <v>512</v>
      </c>
      <c r="K1656" s="25" t="s">
        <v>513</v>
      </c>
    </row>
    <row r="1657" spans="1:11" ht="25.5" x14ac:dyDescent="0.25">
      <c r="A1657" s="22">
        <v>2026</v>
      </c>
      <c r="B1657" s="28" t="s">
        <v>183</v>
      </c>
      <c r="C1657" s="28" t="s">
        <v>97</v>
      </c>
      <c r="D1657" s="28" t="s">
        <v>768</v>
      </c>
      <c r="E1657" s="29" t="s">
        <v>768</v>
      </c>
      <c r="F1657" s="29" t="s">
        <v>332</v>
      </c>
      <c r="G1657" s="25" t="s">
        <v>3419</v>
      </c>
      <c r="H1657" s="26">
        <v>-0.14213069999999997</v>
      </c>
      <c r="I1657" s="26"/>
      <c r="J1657" s="26" t="s">
        <v>512</v>
      </c>
      <c r="K1657" s="25" t="s">
        <v>513</v>
      </c>
    </row>
    <row r="1658" spans="1:11" ht="25.5" x14ac:dyDescent="0.25">
      <c r="A1658" s="22">
        <v>2026</v>
      </c>
      <c r="B1658" s="28" t="s">
        <v>183</v>
      </c>
      <c r="C1658" s="28" t="s">
        <v>97</v>
      </c>
      <c r="D1658" s="28" t="s">
        <v>768</v>
      </c>
      <c r="E1658" s="29" t="s">
        <v>768</v>
      </c>
      <c r="F1658" s="29" t="s">
        <v>332</v>
      </c>
      <c r="G1658" s="25" t="s">
        <v>3420</v>
      </c>
      <c r="H1658" s="26">
        <v>-0.14099339999999999</v>
      </c>
      <c r="I1658" s="26"/>
      <c r="J1658" s="26" t="s">
        <v>512</v>
      </c>
      <c r="K1658" s="25" t="s">
        <v>513</v>
      </c>
    </row>
    <row r="1659" spans="1:11" ht="25.5" x14ac:dyDescent="0.25">
      <c r="A1659" s="22">
        <v>2026</v>
      </c>
      <c r="B1659" s="28" t="s">
        <v>183</v>
      </c>
      <c r="C1659" s="28" t="s">
        <v>97</v>
      </c>
      <c r="D1659" s="28" t="s">
        <v>768</v>
      </c>
      <c r="E1659" s="29" t="s">
        <v>768</v>
      </c>
      <c r="F1659" s="29" t="s">
        <v>332</v>
      </c>
      <c r="G1659" s="25" t="s">
        <v>3421</v>
      </c>
      <c r="H1659" s="26">
        <v>-0.11935224999999999</v>
      </c>
      <c r="I1659" s="26"/>
      <c r="J1659" s="26" t="s">
        <v>512</v>
      </c>
      <c r="K1659" s="25" t="s">
        <v>513</v>
      </c>
    </row>
    <row r="1660" spans="1:11" ht="25.5" x14ac:dyDescent="0.25">
      <c r="A1660" s="22">
        <v>2026</v>
      </c>
      <c r="B1660" s="28" t="s">
        <v>183</v>
      </c>
      <c r="C1660" s="28" t="s">
        <v>97</v>
      </c>
      <c r="D1660" s="28" t="s">
        <v>768</v>
      </c>
      <c r="E1660" s="29" t="s">
        <v>768</v>
      </c>
      <c r="F1660" s="29" t="s">
        <v>332</v>
      </c>
      <c r="G1660" s="25" t="s">
        <v>3422</v>
      </c>
      <c r="H1660" s="26">
        <v>-0.14338020000000001</v>
      </c>
      <c r="I1660" s="26"/>
      <c r="J1660" s="26" t="s">
        <v>512</v>
      </c>
      <c r="K1660" s="25" t="s">
        <v>513</v>
      </c>
    </row>
    <row r="1661" spans="1:11" ht="25.5" x14ac:dyDescent="0.25">
      <c r="A1661" s="22">
        <v>2026</v>
      </c>
      <c r="B1661" s="28" t="s">
        <v>183</v>
      </c>
      <c r="C1661" s="28" t="s">
        <v>97</v>
      </c>
      <c r="D1661" s="28" t="s">
        <v>768</v>
      </c>
      <c r="E1661" s="29" t="s">
        <v>768</v>
      </c>
      <c r="F1661" s="29" t="s">
        <v>332</v>
      </c>
      <c r="G1661" s="25" t="s">
        <v>3423</v>
      </c>
      <c r="H1661" s="26">
        <v>-7.2932999999999998E-2</v>
      </c>
      <c r="I1661" s="26"/>
      <c r="J1661" s="26" t="s">
        <v>512</v>
      </c>
      <c r="K1661" s="25" t="s">
        <v>513</v>
      </c>
    </row>
    <row r="1662" spans="1:11" ht="25.5" x14ac:dyDescent="0.25">
      <c r="A1662" s="22">
        <v>2026</v>
      </c>
      <c r="B1662" s="28" t="s">
        <v>183</v>
      </c>
      <c r="C1662" s="28" t="s">
        <v>97</v>
      </c>
      <c r="D1662" s="28" t="s">
        <v>768</v>
      </c>
      <c r="E1662" s="29" t="s">
        <v>768</v>
      </c>
      <c r="F1662" s="29" t="s">
        <v>332</v>
      </c>
      <c r="G1662" s="25" t="s">
        <v>3424</v>
      </c>
      <c r="H1662" s="26">
        <v>-9.5678599999999989E-2</v>
      </c>
      <c r="I1662" s="26"/>
      <c r="J1662" s="26" t="s">
        <v>512</v>
      </c>
      <c r="K1662" s="25" t="s">
        <v>513</v>
      </c>
    </row>
    <row r="1663" spans="1:11" ht="25.5" x14ac:dyDescent="0.25">
      <c r="A1663" s="22">
        <v>2026</v>
      </c>
      <c r="B1663" s="28" t="s">
        <v>183</v>
      </c>
      <c r="C1663" s="28" t="s">
        <v>97</v>
      </c>
      <c r="D1663" s="28" t="s">
        <v>768</v>
      </c>
      <c r="E1663" s="29" t="s">
        <v>768</v>
      </c>
      <c r="F1663" s="29" t="s">
        <v>332</v>
      </c>
      <c r="G1663" s="25" t="s">
        <v>3425</v>
      </c>
      <c r="H1663" s="26">
        <v>-7.3620000000000005E-2</v>
      </c>
      <c r="I1663" s="26"/>
      <c r="J1663" s="26" t="s">
        <v>512</v>
      </c>
      <c r="K1663" s="25" t="s">
        <v>513</v>
      </c>
    </row>
    <row r="1664" spans="1:11" ht="25.5" x14ac:dyDescent="0.25">
      <c r="A1664" s="22">
        <v>2026</v>
      </c>
      <c r="B1664" s="28" t="s">
        <v>183</v>
      </c>
      <c r="C1664" s="28" t="s">
        <v>97</v>
      </c>
      <c r="D1664" s="28" t="s">
        <v>768</v>
      </c>
      <c r="E1664" s="29" t="s">
        <v>768</v>
      </c>
      <c r="F1664" s="29" t="s">
        <v>332</v>
      </c>
      <c r="G1664" s="25" t="s">
        <v>3426</v>
      </c>
      <c r="H1664" s="26">
        <v>-0.11969099999999999</v>
      </c>
      <c r="I1664" s="26"/>
      <c r="J1664" s="26" t="s">
        <v>512</v>
      </c>
      <c r="K1664" s="25" t="s">
        <v>513</v>
      </c>
    </row>
    <row r="1665" spans="1:11" ht="25.5" x14ac:dyDescent="0.25">
      <c r="A1665" s="22">
        <v>2026</v>
      </c>
      <c r="B1665" s="28" t="s">
        <v>183</v>
      </c>
      <c r="C1665" s="28" t="s">
        <v>97</v>
      </c>
      <c r="D1665" s="28" t="s">
        <v>768</v>
      </c>
      <c r="E1665" s="29" t="s">
        <v>768</v>
      </c>
      <c r="F1665" s="29" t="s">
        <v>332</v>
      </c>
      <c r="G1665" s="25" t="s">
        <v>3427</v>
      </c>
      <c r="H1665" s="26">
        <v>-9.5125000000000001E-2</v>
      </c>
      <c r="I1665" s="26"/>
      <c r="J1665" s="26" t="s">
        <v>512</v>
      </c>
      <c r="K1665" s="25" t="s">
        <v>513</v>
      </c>
    </row>
    <row r="1666" spans="1:11" ht="25.5" x14ac:dyDescent="0.25">
      <c r="A1666" s="22">
        <v>2026</v>
      </c>
      <c r="B1666" s="28" t="s">
        <v>183</v>
      </c>
      <c r="C1666" s="28" t="s">
        <v>97</v>
      </c>
      <c r="D1666" s="28" t="s">
        <v>768</v>
      </c>
      <c r="E1666" s="29" t="s">
        <v>768</v>
      </c>
      <c r="F1666" s="29" t="s">
        <v>332</v>
      </c>
      <c r="G1666" s="25" t="s">
        <v>3428</v>
      </c>
      <c r="H1666" s="26">
        <v>-0.11623024999999999</v>
      </c>
      <c r="I1666" s="26"/>
      <c r="J1666" s="26" t="s">
        <v>512</v>
      </c>
      <c r="K1666" s="25" t="s">
        <v>513</v>
      </c>
    </row>
    <row r="1667" spans="1:11" ht="25.5" x14ac:dyDescent="0.25">
      <c r="A1667" s="22">
        <v>2026</v>
      </c>
      <c r="B1667" s="28" t="s">
        <v>183</v>
      </c>
      <c r="C1667" s="28" t="s">
        <v>97</v>
      </c>
      <c r="D1667" s="28" t="s">
        <v>768</v>
      </c>
      <c r="E1667" s="29" t="s">
        <v>768</v>
      </c>
      <c r="F1667" s="29" t="s">
        <v>332</v>
      </c>
      <c r="G1667" s="25" t="s">
        <v>3429</v>
      </c>
      <c r="H1667" s="26">
        <v>-0.11194750000000001</v>
      </c>
      <c r="I1667" s="26"/>
      <c r="J1667" s="26" t="s">
        <v>512</v>
      </c>
      <c r="K1667" s="25" t="s">
        <v>513</v>
      </c>
    </row>
    <row r="1668" spans="1:11" ht="25.5" x14ac:dyDescent="0.25">
      <c r="A1668" s="22">
        <v>2026</v>
      </c>
      <c r="B1668" s="28" t="s">
        <v>183</v>
      </c>
      <c r="C1668" s="28" t="s">
        <v>97</v>
      </c>
      <c r="D1668" s="28" t="s">
        <v>768</v>
      </c>
      <c r="E1668" s="29" t="s">
        <v>768</v>
      </c>
      <c r="F1668" s="29" t="s">
        <v>332</v>
      </c>
      <c r="G1668" s="25" t="s">
        <v>3430</v>
      </c>
      <c r="H1668" s="26">
        <v>-4.1143134200000001E-2</v>
      </c>
      <c r="I1668" s="26"/>
      <c r="J1668" s="26" t="s">
        <v>512</v>
      </c>
      <c r="K1668" s="25" t="s">
        <v>513</v>
      </c>
    </row>
    <row r="1669" spans="1:11" ht="25.5" x14ac:dyDescent="0.25">
      <c r="A1669" s="22">
        <v>2026</v>
      </c>
      <c r="B1669" s="28" t="s">
        <v>183</v>
      </c>
      <c r="C1669" s="28" t="s">
        <v>97</v>
      </c>
      <c r="D1669" s="28" t="s">
        <v>768</v>
      </c>
      <c r="E1669" s="29" t="s">
        <v>768</v>
      </c>
      <c r="F1669" s="29" t="s">
        <v>332</v>
      </c>
      <c r="G1669" s="25" t="s">
        <v>3431</v>
      </c>
      <c r="H1669" s="26">
        <v>-9.337659999999999E-2</v>
      </c>
      <c r="I1669" s="26"/>
      <c r="J1669" s="26" t="s">
        <v>512</v>
      </c>
      <c r="K1669" s="25" t="s">
        <v>513</v>
      </c>
    </row>
    <row r="1670" spans="1:11" ht="25.5" x14ac:dyDescent="0.25">
      <c r="A1670" s="22">
        <v>2026</v>
      </c>
      <c r="B1670" s="28" t="s">
        <v>183</v>
      </c>
      <c r="C1670" s="28" t="s">
        <v>97</v>
      </c>
      <c r="D1670" s="28" t="s">
        <v>768</v>
      </c>
      <c r="E1670" s="29" t="s">
        <v>768</v>
      </c>
      <c r="F1670" s="29" t="s">
        <v>332</v>
      </c>
      <c r="G1670" s="25" t="s">
        <v>3432</v>
      </c>
      <c r="H1670" s="26">
        <v>-9.2357600000000012E-2</v>
      </c>
      <c r="I1670" s="26"/>
      <c r="J1670" s="26" t="s">
        <v>512</v>
      </c>
      <c r="K1670" s="25" t="s">
        <v>513</v>
      </c>
    </row>
    <row r="1671" spans="1:11" ht="25.5" x14ac:dyDescent="0.25">
      <c r="A1671" s="22">
        <v>2026</v>
      </c>
      <c r="B1671" s="28" t="s">
        <v>183</v>
      </c>
      <c r="C1671" s="28" t="s">
        <v>97</v>
      </c>
      <c r="D1671" s="28" t="s">
        <v>1739</v>
      </c>
      <c r="E1671" s="29" t="s">
        <v>331</v>
      </c>
      <c r="F1671" s="29" t="s">
        <v>298</v>
      </c>
      <c r="G1671" s="25" t="s">
        <v>3433</v>
      </c>
      <c r="H1671" s="26">
        <v>-3.0188199999999998</v>
      </c>
      <c r="I1671" s="26"/>
      <c r="J1671" s="26" t="s">
        <v>512</v>
      </c>
      <c r="K1671" s="25" t="s">
        <v>513</v>
      </c>
    </row>
    <row r="1672" spans="1:11" ht="25.5" x14ac:dyDescent="0.25">
      <c r="A1672" s="22">
        <v>2026</v>
      </c>
      <c r="B1672" s="28" t="s">
        <v>183</v>
      </c>
      <c r="C1672" s="28" t="s">
        <v>97</v>
      </c>
      <c r="D1672" s="28" t="s">
        <v>1739</v>
      </c>
      <c r="E1672" s="29" t="s">
        <v>331</v>
      </c>
      <c r="F1672" s="29" t="s">
        <v>298</v>
      </c>
      <c r="G1672" s="25" t="s">
        <v>3434</v>
      </c>
      <c r="H1672" s="26">
        <v>-0.74460000000000004</v>
      </c>
      <c r="I1672" s="26"/>
      <c r="J1672" s="26" t="s">
        <v>512</v>
      </c>
      <c r="K1672" s="25" t="s">
        <v>513</v>
      </c>
    </row>
    <row r="1673" spans="1:11" ht="25.5" x14ac:dyDescent="0.25">
      <c r="A1673" s="22">
        <v>2026</v>
      </c>
      <c r="B1673" s="28" t="s">
        <v>183</v>
      </c>
      <c r="C1673" s="28" t="s">
        <v>97</v>
      </c>
      <c r="D1673" s="28" t="s">
        <v>1739</v>
      </c>
      <c r="E1673" s="29" t="s">
        <v>331</v>
      </c>
      <c r="F1673" s="29" t="s">
        <v>298</v>
      </c>
      <c r="G1673" s="25" t="s">
        <v>3435</v>
      </c>
      <c r="H1673" s="26">
        <v>-1.806864</v>
      </c>
      <c r="I1673" s="26"/>
      <c r="J1673" s="26" t="s">
        <v>512</v>
      </c>
      <c r="K1673" s="25" t="s">
        <v>513</v>
      </c>
    </row>
    <row r="1674" spans="1:11" ht="25.5" x14ac:dyDescent="0.25">
      <c r="A1674" s="22">
        <v>2026</v>
      </c>
      <c r="B1674" s="28" t="s">
        <v>183</v>
      </c>
      <c r="C1674" s="28" t="s">
        <v>97</v>
      </c>
      <c r="D1674" s="28" t="s">
        <v>1739</v>
      </c>
      <c r="E1674" s="29" t="s">
        <v>331</v>
      </c>
      <c r="F1674" s="29" t="s">
        <v>298</v>
      </c>
      <c r="G1674" s="25" t="s">
        <v>3436</v>
      </c>
      <c r="H1674" s="26">
        <v>-2.9352200000000002</v>
      </c>
      <c r="I1674" s="26"/>
      <c r="J1674" s="26" t="s">
        <v>512</v>
      </c>
      <c r="K1674" s="25" t="s">
        <v>513</v>
      </c>
    </row>
    <row r="1675" spans="1:11" ht="25.5" x14ac:dyDescent="0.25">
      <c r="A1675" s="22">
        <v>2026</v>
      </c>
      <c r="B1675" s="28" t="s">
        <v>183</v>
      </c>
      <c r="C1675" s="28" t="s">
        <v>97</v>
      </c>
      <c r="D1675" s="28" t="s">
        <v>1739</v>
      </c>
      <c r="E1675" s="29" t="s">
        <v>331</v>
      </c>
      <c r="F1675" s="29" t="s">
        <v>298</v>
      </c>
      <c r="G1675" s="25" t="s">
        <v>3437</v>
      </c>
      <c r="H1675" s="26">
        <v>-1.47892</v>
      </c>
      <c r="I1675" s="26"/>
      <c r="J1675" s="26" t="s">
        <v>512</v>
      </c>
      <c r="K1675" s="25" t="s">
        <v>513</v>
      </c>
    </row>
    <row r="1676" spans="1:11" ht="25.5" x14ac:dyDescent="0.25">
      <c r="A1676" s="22">
        <v>2026</v>
      </c>
      <c r="B1676" s="28" t="s">
        <v>183</v>
      </c>
      <c r="C1676" s="28" t="s">
        <v>97</v>
      </c>
      <c r="D1676" s="28" t="s">
        <v>1739</v>
      </c>
      <c r="E1676" s="29" t="s">
        <v>331</v>
      </c>
      <c r="F1676" s="29" t="s">
        <v>298</v>
      </c>
      <c r="G1676" s="25" t="s">
        <v>3438</v>
      </c>
      <c r="H1676" s="26">
        <v>-1.057763</v>
      </c>
      <c r="I1676" s="26"/>
      <c r="J1676" s="26" t="s">
        <v>512</v>
      </c>
      <c r="K1676" s="25" t="s">
        <v>513</v>
      </c>
    </row>
    <row r="1677" spans="1:11" ht="25.5" x14ac:dyDescent="0.25">
      <c r="A1677" s="22">
        <v>2026</v>
      </c>
      <c r="B1677" s="28" t="s">
        <v>183</v>
      </c>
      <c r="C1677" s="28" t="s">
        <v>97</v>
      </c>
      <c r="D1677" s="28" t="s">
        <v>1739</v>
      </c>
      <c r="E1677" s="29" t="s">
        <v>331</v>
      </c>
      <c r="F1677" s="29" t="s">
        <v>298</v>
      </c>
      <c r="G1677" s="25" t="s">
        <v>3439</v>
      </c>
      <c r="H1677" s="26">
        <v>-2.4945689999999998</v>
      </c>
      <c r="I1677" s="26"/>
      <c r="J1677" s="26" t="s">
        <v>512</v>
      </c>
      <c r="K1677" s="25" t="s">
        <v>513</v>
      </c>
    </row>
    <row r="1678" spans="1:11" ht="25.5" x14ac:dyDescent="0.25">
      <c r="A1678" s="22">
        <v>2026</v>
      </c>
      <c r="B1678" s="28" t="s">
        <v>183</v>
      </c>
      <c r="C1678" s="28" t="s">
        <v>97</v>
      </c>
      <c r="D1678" s="28" t="s">
        <v>1739</v>
      </c>
      <c r="E1678" s="29" t="s">
        <v>331</v>
      </c>
      <c r="F1678" s="29" t="s">
        <v>298</v>
      </c>
      <c r="G1678" s="25" t="s">
        <v>3440</v>
      </c>
      <c r="H1678" s="26">
        <v>-0.60795200000000005</v>
      </c>
      <c r="I1678" s="26"/>
      <c r="J1678" s="26" t="s">
        <v>512</v>
      </c>
      <c r="K1678" s="25" t="s">
        <v>513</v>
      </c>
    </row>
    <row r="1679" spans="1:11" ht="25.5" x14ac:dyDescent="0.25">
      <c r="A1679" s="22">
        <v>2026</v>
      </c>
      <c r="B1679" s="28" t="s">
        <v>183</v>
      </c>
      <c r="C1679" s="28" t="s">
        <v>97</v>
      </c>
      <c r="D1679" s="28" t="s">
        <v>1739</v>
      </c>
      <c r="E1679" s="29" t="s">
        <v>331</v>
      </c>
      <c r="F1679" s="29" t="s">
        <v>298</v>
      </c>
      <c r="G1679" s="25" t="s">
        <v>3441</v>
      </c>
      <c r="H1679" s="26">
        <v>-2.4713864999999999</v>
      </c>
      <c r="I1679" s="26"/>
      <c r="J1679" s="26" t="s">
        <v>512</v>
      </c>
      <c r="K1679" s="25" t="s">
        <v>513</v>
      </c>
    </row>
    <row r="1680" spans="1:11" ht="25.5" x14ac:dyDescent="0.25">
      <c r="A1680" s="22">
        <v>2026</v>
      </c>
      <c r="B1680" s="28" t="s">
        <v>183</v>
      </c>
      <c r="C1680" s="28" t="s">
        <v>97</v>
      </c>
      <c r="D1680" s="28" t="s">
        <v>1739</v>
      </c>
      <c r="E1680" s="29" t="s">
        <v>331</v>
      </c>
      <c r="F1680" s="29" t="s">
        <v>298</v>
      </c>
      <c r="G1680" s="25" t="s">
        <v>3442</v>
      </c>
      <c r="H1680" s="26">
        <v>-3.0501200000000002</v>
      </c>
      <c r="I1680" s="26"/>
      <c r="J1680" s="26" t="s">
        <v>512</v>
      </c>
      <c r="K1680" s="25" t="s">
        <v>513</v>
      </c>
    </row>
    <row r="1681" spans="1:11" ht="25.5" x14ac:dyDescent="0.25">
      <c r="A1681" s="22">
        <v>2026</v>
      </c>
      <c r="B1681" s="28" t="s">
        <v>183</v>
      </c>
      <c r="C1681" s="28" t="s">
        <v>97</v>
      </c>
      <c r="D1681" s="28" t="s">
        <v>254</v>
      </c>
      <c r="E1681" s="29" t="s">
        <v>473</v>
      </c>
      <c r="F1681" s="29" t="s">
        <v>474</v>
      </c>
      <c r="G1681" s="25" t="s">
        <v>3443</v>
      </c>
      <c r="H1681" s="26">
        <v>-4.7619661999999993E-2</v>
      </c>
      <c r="I1681" s="26"/>
      <c r="J1681" s="26" t="s">
        <v>512</v>
      </c>
      <c r="K1681" s="25" t="s">
        <v>513</v>
      </c>
    </row>
    <row r="1682" spans="1:11" ht="25.5" x14ac:dyDescent="0.25">
      <c r="A1682" s="22">
        <v>2026</v>
      </c>
      <c r="B1682" s="28" t="s">
        <v>183</v>
      </c>
      <c r="C1682" s="28" t="s">
        <v>97</v>
      </c>
      <c r="D1682" s="28" t="s">
        <v>254</v>
      </c>
      <c r="E1682" s="29" t="s">
        <v>473</v>
      </c>
      <c r="F1682" s="29" t="s">
        <v>474</v>
      </c>
      <c r="G1682" s="25" t="s">
        <v>3444</v>
      </c>
      <c r="H1682" s="26">
        <v>-0.1156906744</v>
      </c>
      <c r="I1682" s="26"/>
      <c r="J1682" s="26" t="s">
        <v>512</v>
      </c>
      <c r="K1682" s="25" t="s">
        <v>513</v>
      </c>
    </row>
    <row r="1683" spans="1:11" ht="25.5" x14ac:dyDescent="0.25">
      <c r="A1683" s="22">
        <v>2026</v>
      </c>
      <c r="B1683" s="28" t="s">
        <v>183</v>
      </c>
      <c r="C1683" s="28" t="s">
        <v>97</v>
      </c>
      <c r="D1683" s="28" t="s">
        <v>254</v>
      </c>
      <c r="E1683" s="29" t="s">
        <v>473</v>
      </c>
      <c r="F1683" s="29" t="s">
        <v>474</v>
      </c>
      <c r="G1683" s="25" t="s">
        <v>3445</v>
      </c>
      <c r="H1683" s="26">
        <v>-3.4437486400000002E-2</v>
      </c>
      <c r="I1683" s="26"/>
      <c r="J1683" s="26" t="s">
        <v>512</v>
      </c>
      <c r="K1683" s="25" t="s">
        <v>513</v>
      </c>
    </row>
    <row r="1684" spans="1:11" ht="25.5" x14ac:dyDescent="0.25">
      <c r="A1684" s="22">
        <v>2026</v>
      </c>
      <c r="B1684" s="28" t="s">
        <v>183</v>
      </c>
      <c r="C1684" s="28" t="s">
        <v>97</v>
      </c>
      <c r="D1684" s="28" t="s">
        <v>254</v>
      </c>
      <c r="E1684" s="29" t="s">
        <v>473</v>
      </c>
      <c r="F1684" s="29" t="s">
        <v>474</v>
      </c>
      <c r="G1684" s="25" t="s">
        <v>3446</v>
      </c>
      <c r="H1684" s="26">
        <v>-0.2207066157</v>
      </c>
      <c r="I1684" s="26"/>
      <c r="J1684" s="26" t="s">
        <v>512</v>
      </c>
      <c r="K1684" s="25" t="s">
        <v>513</v>
      </c>
    </row>
    <row r="1685" spans="1:11" ht="25.5" x14ac:dyDescent="0.25">
      <c r="A1685" s="22">
        <v>2026</v>
      </c>
      <c r="B1685" s="28" t="s">
        <v>183</v>
      </c>
      <c r="C1685" s="28" t="s">
        <v>97</v>
      </c>
      <c r="D1685" s="28" t="s">
        <v>254</v>
      </c>
      <c r="E1685" s="29" t="s">
        <v>473</v>
      </c>
      <c r="F1685" s="29" t="s">
        <v>474</v>
      </c>
      <c r="G1685" s="25" t="s">
        <v>3447</v>
      </c>
      <c r="H1685" s="26">
        <v>-0.170487152</v>
      </c>
      <c r="I1685" s="26"/>
      <c r="J1685" s="26" t="s">
        <v>512</v>
      </c>
      <c r="K1685" s="25" t="s">
        <v>513</v>
      </c>
    </row>
    <row r="1686" spans="1:11" ht="25.5" x14ac:dyDescent="0.25">
      <c r="A1686" s="22">
        <v>2026</v>
      </c>
      <c r="B1686" s="28" t="s">
        <v>183</v>
      </c>
      <c r="C1686" s="28" t="s">
        <v>97</v>
      </c>
      <c r="D1686" s="28" t="s">
        <v>254</v>
      </c>
      <c r="E1686" s="29" t="s">
        <v>473</v>
      </c>
      <c r="F1686" s="29" t="s">
        <v>474</v>
      </c>
      <c r="G1686" s="25" t="s">
        <v>3448</v>
      </c>
      <c r="H1686" s="26">
        <v>-8.049560285E-2</v>
      </c>
      <c r="I1686" s="26"/>
      <c r="J1686" s="26" t="s">
        <v>512</v>
      </c>
      <c r="K1686" s="25" t="s">
        <v>513</v>
      </c>
    </row>
    <row r="1687" spans="1:11" ht="25.5" x14ac:dyDescent="0.25">
      <c r="A1687" s="22">
        <v>2026</v>
      </c>
      <c r="B1687" s="28" t="s">
        <v>183</v>
      </c>
      <c r="C1687" s="28" t="s">
        <v>97</v>
      </c>
      <c r="D1687" s="28" t="s">
        <v>254</v>
      </c>
      <c r="E1687" s="29" t="s">
        <v>473</v>
      </c>
      <c r="F1687" s="29" t="s">
        <v>474</v>
      </c>
      <c r="G1687" s="25" t="s">
        <v>3449</v>
      </c>
      <c r="H1687" s="26">
        <v>-0.18062707736999997</v>
      </c>
      <c r="I1687" s="26"/>
      <c r="J1687" s="26" t="s">
        <v>512</v>
      </c>
      <c r="K1687" s="25" t="s">
        <v>513</v>
      </c>
    </row>
    <row r="1688" spans="1:11" ht="25.5" x14ac:dyDescent="0.25">
      <c r="A1688" s="22">
        <v>2026</v>
      </c>
      <c r="B1688" s="28" t="s">
        <v>183</v>
      </c>
      <c r="C1688" s="28" t="s">
        <v>97</v>
      </c>
      <c r="D1688" s="28" t="s">
        <v>254</v>
      </c>
      <c r="E1688" s="29" t="s">
        <v>473</v>
      </c>
      <c r="F1688" s="29" t="s">
        <v>474</v>
      </c>
      <c r="G1688" s="25" t="s">
        <v>3450</v>
      </c>
      <c r="H1688" s="26">
        <v>-5.0523211200000001E-2</v>
      </c>
      <c r="I1688" s="26"/>
      <c r="J1688" s="26" t="s">
        <v>512</v>
      </c>
      <c r="K1688" s="25" t="s">
        <v>513</v>
      </c>
    </row>
    <row r="1689" spans="1:11" ht="25.5" x14ac:dyDescent="0.25">
      <c r="A1689" s="22">
        <v>2026</v>
      </c>
      <c r="B1689" s="28" t="s">
        <v>183</v>
      </c>
      <c r="C1689" s="28" t="s">
        <v>97</v>
      </c>
      <c r="D1689" s="28" t="s">
        <v>254</v>
      </c>
      <c r="E1689" s="29" t="s">
        <v>473</v>
      </c>
      <c r="F1689" s="29" t="s">
        <v>474</v>
      </c>
      <c r="G1689" s="25" t="s">
        <v>3451</v>
      </c>
      <c r="H1689" s="26">
        <v>-0.32901999999999998</v>
      </c>
      <c r="I1689" s="26"/>
      <c r="J1689" s="26" t="s">
        <v>512</v>
      </c>
      <c r="K1689" s="25" t="s">
        <v>513</v>
      </c>
    </row>
    <row r="1690" spans="1:11" ht="25.5" x14ac:dyDescent="0.25">
      <c r="A1690" s="22">
        <v>2026</v>
      </c>
      <c r="B1690" s="28" t="s">
        <v>183</v>
      </c>
      <c r="C1690" s="28" t="s">
        <v>97</v>
      </c>
      <c r="D1690" s="28" t="s">
        <v>254</v>
      </c>
      <c r="E1690" s="29" t="s">
        <v>473</v>
      </c>
      <c r="F1690" s="29" t="s">
        <v>474</v>
      </c>
      <c r="G1690" s="25" t="s">
        <v>3452</v>
      </c>
      <c r="H1690" s="26">
        <v>-0.26300800000000002</v>
      </c>
      <c r="I1690" s="26"/>
      <c r="J1690" s="26" t="s">
        <v>512</v>
      </c>
      <c r="K1690" s="25" t="s">
        <v>513</v>
      </c>
    </row>
    <row r="1691" spans="1:11" ht="25.5" x14ac:dyDescent="0.25">
      <c r="A1691" s="22">
        <v>2026</v>
      </c>
      <c r="B1691" s="28" t="s">
        <v>183</v>
      </c>
      <c r="C1691" s="28" t="s">
        <v>97</v>
      </c>
      <c r="D1691" s="28" t="s">
        <v>254</v>
      </c>
      <c r="E1691" s="29" t="s">
        <v>473</v>
      </c>
      <c r="F1691" s="29" t="s">
        <v>474</v>
      </c>
      <c r="G1691" s="25" t="s">
        <v>3453</v>
      </c>
      <c r="H1691" s="26">
        <v>-0.20506250000000001</v>
      </c>
      <c r="I1691" s="26"/>
      <c r="J1691" s="26" t="s">
        <v>512</v>
      </c>
      <c r="K1691" s="25" t="s">
        <v>513</v>
      </c>
    </row>
    <row r="1692" spans="1:11" ht="25.5" x14ac:dyDescent="0.25">
      <c r="A1692" s="22">
        <v>2026</v>
      </c>
      <c r="B1692" s="28" t="s">
        <v>183</v>
      </c>
      <c r="C1692" s="28" t="s">
        <v>97</v>
      </c>
      <c r="D1692" s="28" t="s">
        <v>254</v>
      </c>
      <c r="E1692" s="29" t="s">
        <v>473</v>
      </c>
      <c r="F1692" s="29" t="s">
        <v>474</v>
      </c>
      <c r="G1692" s="25" t="s">
        <v>3454</v>
      </c>
      <c r="H1692" s="26">
        <v>-0.33110000000000001</v>
      </c>
      <c r="I1692" s="26"/>
      <c r="J1692" s="26" t="s">
        <v>512</v>
      </c>
      <c r="K1692" s="25" t="s">
        <v>513</v>
      </c>
    </row>
    <row r="1693" spans="1:11" ht="25.5" x14ac:dyDescent="0.25">
      <c r="A1693" s="22">
        <v>2026</v>
      </c>
      <c r="B1693" s="28" t="s">
        <v>183</v>
      </c>
      <c r="C1693" s="28" t="s">
        <v>97</v>
      </c>
      <c r="D1693" s="28" t="s">
        <v>254</v>
      </c>
      <c r="E1693" s="29" t="s">
        <v>473</v>
      </c>
      <c r="F1693" s="29" t="s">
        <v>474</v>
      </c>
      <c r="G1693" s="25" t="s">
        <v>3455</v>
      </c>
      <c r="H1693" s="26">
        <v>-0.10591510680000001</v>
      </c>
      <c r="I1693" s="26"/>
      <c r="J1693" s="26" t="s">
        <v>512</v>
      </c>
      <c r="K1693" s="25" t="s">
        <v>513</v>
      </c>
    </row>
    <row r="1694" spans="1:11" ht="25.5" x14ac:dyDescent="0.25">
      <c r="A1694" s="22">
        <v>2026</v>
      </c>
      <c r="B1694" s="28" t="s">
        <v>183</v>
      </c>
      <c r="C1694" s="28" t="s">
        <v>97</v>
      </c>
      <c r="D1694" s="28" t="s">
        <v>254</v>
      </c>
      <c r="E1694" s="29" t="s">
        <v>473</v>
      </c>
      <c r="F1694" s="29" t="s">
        <v>474</v>
      </c>
      <c r="G1694" s="25" t="s">
        <v>3456</v>
      </c>
      <c r="H1694" s="26">
        <v>-5.0051999999999999E-2</v>
      </c>
      <c r="I1694" s="26"/>
      <c r="J1694" s="26" t="s">
        <v>512</v>
      </c>
      <c r="K1694" s="25" t="s">
        <v>513</v>
      </c>
    </row>
    <row r="1695" spans="1:11" ht="25.5" x14ac:dyDescent="0.25">
      <c r="A1695" s="22">
        <v>2026</v>
      </c>
      <c r="B1695" s="28" t="s">
        <v>183</v>
      </c>
      <c r="C1695" s="28" t="s">
        <v>97</v>
      </c>
      <c r="D1695" s="28" t="s">
        <v>254</v>
      </c>
      <c r="E1695" s="29" t="s">
        <v>473</v>
      </c>
      <c r="F1695" s="29" t="s">
        <v>474</v>
      </c>
      <c r="G1695" s="25" t="s">
        <v>3457</v>
      </c>
      <c r="H1695" s="26">
        <v>-0.30512614900000001</v>
      </c>
      <c r="I1695" s="26"/>
      <c r="J1695" s="26" t="s">
        <v>512</v>
      </c>
      <c r="K1695" s="25" t="s">
        <v>513</v>
      </c>
    </row>
    <row r="1696" spans="1:11" ht="25.5" x14ac:dyDescent="0.25">
      <c r="A1696" s="22">
        <v>2026</v>
      </c>
      <c r="B1696" s="28" t="s">
        <v>183</v>
      </c>
      <c r="C1696" s="28" t="s">
        <v>97</v>
      </c>
      <c r="D1696" s="28" t="s">
        <v>254</v>
      </c>
      <c r="E1696" s="29" t="s">
        <v>473</v>
      </c>
      <c r="F1696" s="29" t="s">
        <v>474</v>
      </c>
      <c r="G1696" s="25" t="s">
        <v>3458</v>
      </c>
      <c r="H1696" s="26">
        <v>-8.9781031999999997E-2</v>
      </c>
      <c r="I1696" s="26"/>
      <c r="J1696" s="26" t="s">
        <v>512</v>
      </c>
      <c r="K1696" s="25" t="s">
        <v>513</v>
      </c>
    </row>
    <row r="1697" spans="1:11" ht="25.5" x14ac:dyDescent="0.25">
      <c r="A1697" s="22">
        <v>2026</v>
      </c>
      <c r="B1697" s="28" t="s">
        <v>183</v>
      </c>
      <c r="C1697" s="28" t="s">
        <v>97</v>
      </c>
      <c r="D1697" s="28" t="s">
        <v>254</v>
      </c>
      <c r="E1697" s="29" t="s">
        <v>473</v>
      </c>
      <c r="F1697" s="29" t="s">
        <v>474</v>
      </c>
      <c r="G1697" s="25" t="s">
        <v>3459</v>
      </c>
      <c r="H1697" s="26">
        <v>-6.1525906200000001E-2</v>
      </c>
      <c r="I1697" s="26"/>
      <c r="J1697" s="26" t="s">
        <v>512</v>
      </c>
      <c r="K1697" s="25" t="s">
        <v>513</v>
      </c>
    </row>
    <row r="1698" spans="1:11" ht="25.5" x14ac:dyDescent="0.25">
      <c r="A1698" s="22">
        <v>2026</v>
      </c>
      <c r="B1698" s="28" t="s">
        <v>183</v>
      </c>
      <c r="C1698" s="28" t="s">
        <v>97</v>
      </c>
      <c r="D1698" s="28" t="s">
        <v>254</v>
      </c>
      <c r="E1698" s="29" t="s">
        <v>473</v>
      </c>
      <c r="F1698" s="29" t="s">
        <v>474</v>
      </c>
      <c r="G1698" s="25" t="s">
        <v>3460</v>
      </c>
      <c r="H1698" s="26">
        <v>-0.190339644</v>
      </c>
      <c r="I1698" s="26"/>
      <c r="J1698" s="26" t="s">
        <v>512</v>
      </c>
      <c r="K1698" s="25" t="s">
        <v>513</v>
      </c>
    </row>
    <row r="1699" spans="1:11" ht="25.5" x14ac:dyDescent="0.25">
      <c r="A1699" s="22">
        <v>2026</v>
      </c>
      <c r="B1699" s="28" t="s">
        <v>183</v>
      </c>
      <c r="C1699" s="28" t="s">
        <v>97</v>
      </c>
      <c r="D1699" s="28" t="s">
        <v>254</v>
      </c>
      <c r="E1699" s="29" t="s">
        <v>473</v>
      </c>
      <c r="F1699" s="29" t="s">
        <v>474</v>
      </c>
      <c r="G1699" s="25" t="s">
        <v>3461</v>
      </c>
      <c r="H1699" s="26">
        <v>-3.8622722999999998E-2</v>
      </c>
      <c r="I1699" s="26"/>
      <c r="J1699" s="26" t="s">
        <v>512</v>
      </c>
      <c r="K1699" s="25" t="s">
        <v>513</v>
      </c>
    </row>
    <row r="1700" spans="1:11" ht="25.5" x14ac:dyDescent="0.25">
      <c r="A1700" s="22">
        <v>2026</v>
      </c>
      <c r="B1700" s="28" t="s">
        <v>183</v>
      </c>
      <c r="C1700" s="28" t="s">
        <v>97</v>
      </c>
      <c r="D1700" s="28" t="s">
        <v>195</v>
      </c>
      <c r="E1700" s="29" t="s">
        <v>1760</v>
      </c>
      <c r="F1700" s="29" t="s">
        <v>353</v>
      </c>
      <c r="G1700" s="25" t="s">
        <v>3462</v>
      </c>
      <c r="H1700" s="26">
        <v>-0.93300000000000005</v>
      </c>
      <c r="I1700" s="26"/>
      <c r="J1700" s="26" t="s">
        <v>512</v>
      </c>
      <c r="K1700" s="25" t="s">
        <v>513</v>
      </c>
    </row>
    <row r="1701" spans="1:11" ht="25.5" x14ac:dyDescent="0.25">
      <c r="A1701" s="22">
        <v>2026</v>
      </c>
      <c r="B1701" s="28" t="s">
        <v>183</v>
      </c>
      <c r="C1701" s="28" t="s">
        <v>97</v>
      </c>
      <c r="D1701" s="28" t="s">
        <v>195</v>
      </c>
      <c r="E1701" s="29" t="s">
        <v>1760</v>
      </c>
      <c r="F1701" s="29" t="s">
        <v>353</v>
      </c>
      <c r="G1701" s="25" t="s">
        <v>3463</v>
      </c>
      <c r="H1701" s="26">
        <v>-0.19530000000000003</v>
      </c>
      <c r="I1701" s="26"/>
      <c r="J1701" s="26" t="s">
        <v>512</v>
      </c>
      <c r="K1701" s="25" t="s">
        <v>513</v>
      </c>
    </row>
    <row r="1702" spans="1:11" ht="25.5" x14ac:dyDescent="0.25">
      <c r="A1702" s="22">
        <v>2026</v>
      </c>
      <c r="B1702" s="28" t="s">
        <v>183</v>
      </c>
      <c r="C1702" s="28" t="s">
        <v>97</v>
      </c>
      <c r="D1702" s="28" t="s">
        <v>195</v>
      </c>
      <c r="E1702" s="29" t="s">
        <v>1760</v>
      </c>
      <c r="F1702" s="29" t="s">
        <v>353</v>
      </c>
      <c r="G1702" s="25" t="s">
        <v>3464</v>
      </c>
      <c r="H1702" s="26">
        <v>-0.10252</v>
      </c>
      <c r="I1702" s="26"/>
      <c r="J1702" s="26" t="s">
        <v>512</v>
      </c>
      <c r="K1702" s="25" t="s">
        <v>513</v>
      </c>
    </row>
    <row r="1703" spans="1:11" ht="25.5" x14ac:dyDescent="0.25">
      <c r="A1703" s="22">
        <v>2026</v>
      </c>
      <c r="B1703" s="28" t="s">
        <v>183</v>
      </c>
      <c r="C1703" s="28" t="s">
        <v>97</v>
      </c>
      <c r="D1703" s="28" t="s">
        <v>195</v>
      </c>
      <c r="E1703" s="29" t="s">
        <v>1760</v>
      </c>
      <c r="F1703" s="29" t="s">
        <v>353</v>
      </c>
      <c r="G1703" s="25" t="s">
        <v>3465</v>
      </c>
      <c r="H1703" s="26">
        <v>-0.234875</v>
      </c>
      <c r="I1703" s="26"/>
      <c r="J1703" s="26" t="s">
        <v>512</v>
      </c>
      <c r="K1703" s="25" t="s">
        <v>513</v>
      </c>
    </row>
    <row r="1704" spans="1:11" ht="25.5" x14ac:dyDescent="0.25">
      <c r="A1704" s="22">
        <v>2026</v>
      </c>
      <c r="B1704" s="28" t="s">
        <v>183</v>
      </c>
      <c r="C1704" s="28" t="s">
        <v>97</v>
      </c>
      <c r="D1704" s="28" t="s">
        <v>195</v>
      </c>
      <c r="E1704" s="29" t="s">
        <v>1760</v>
      </c>
      <c r="F1704" s="29" t="s">
        <v>353</v>
      </c>
      <c r="G1704" s="25" t="s">
        <v>3466</v>
      </c>
      <c r="H1704" s="26">
        <v>-0.74280000000000002</v>
      </c>
      <c r="I1704" s="26"/>
      <c r="J1704" s="26" t="s">
        <v>512</v>
      </c>
      <c r="K1704" s="25" t="s">
        <v>513</v>
      </c>
    </row>
    <row r="1705" spans="1:11" ht="25.5" x14ac:dyDescent="0.25">
      <c r="A1705" s="22">
        <v>2026</v>
      </c>
      <c r="B1705" s="28" t="s">
        <v>183</v>
      </c>
      <c r="C1705" s="28" t="s">
        <v>97</v>
      </c>
      <c r="D1705" s="28" t="s">
        <v>195</v>
      </c>
      <c r="E1705" s="29" t="s">
        <v>1760</v>
      </c>
      <c r="F1705" s="29" t="s">
        <v>353</v>
      </c>
      <c r="G1705" s="25" t="s">
        <v>3467</v>
      </c>
      <c r="H1705" s="26">
        <v>-0.935083</v>
      </c>
      <c r="I1705" s="26"/>
      <c r="J1705" s="26" t="s">
        <v>512</v>
      </c>
      <c r="K1705" s="25" t="s">
        <v>513</v>
      </c>
    </row>
    <row r="1706" spans="1:11" ht="25.5" x14ac:dyDescent="0.25">
      <c r="A1706" s="22">
        <v>2026</v>
      </c>
      <c r="B1706" s="28" t="s">
        <v>183</v>
      </c>
      <c r="C1706" s="28" t="s">
        <v>97</v>
      </c>
      <c r="D1706" s="28" t="s">
        <v>195</v>
      </c>
      <c r="E1706" s="29" t="s">
        <v>1760</v>
      </c>
      <c r="F1706" s="29" t="s">
        <v>353</v>
      </c>
      <c r="G1706" s="25" t="s">
        <v>3468</v>
      </c>
      <c r="H1706" s="26">
        <v>-0.28560000000000002</v>
      </c>
      <c r="I1706" s="26"/>
      <c r="J1706" s="26" t="s">
        <v>512</v>
      </c>
      <c r="K1706" s="25" t="s">
        <v>513</v>
      </c>
    </row>
    <row r="1707" spans="1:11" ht="38.25" x14ac:dyDescent="0.25">
      <c r="A1707" s="22">
        <v>2026</v>
      </c>
      <c r="B1707" s="28" t="s">
        <v>183</v>
      </c>
      <c r="C1707" s="28" t="s">
        <v>97</v>
      </c>
      <c r="D1707" s="28" t="s">
        <v>244</v>
      </c>
      <c r="E1707" s="29" t="s">
        <v>448</v>
      </c>
      <c r="F1707" s="29" t="s">
        <v>284</v>
      </c>
      <c r="G1707" s="25" t="s">
        <v>3469</v>
      </c>
      <c r="H1707" s="26">
        <v>-5.7942374999999997E-2</v>
      </c>
      <c r="I1707" s="26"/>
      <c r="J1707" s="26" t="s">
        <v>514</v>
      </c>
      <c r="K1707" s="25" t="s">
        <v>528</v>
      </c>
    </row>
    <row r="1708" spans="1:11" ht="38.25" x14ac:dyDescent="0.25">
      <c r="A1708" s="22">
        <v>2026</v>
      </c>
      <c r="B1708" s="28" t="s">
        <v>183</v>
      </c>
      <c r="C1708" s="28" t="s">
        <v>97</v>
      </c>
      <c r="D1708" s="28" t="s">
        <v>244</v>
      </c>
      <c r="E1708" s="29" t="s">
        <v>448</v>
      </c>
      <c r="F1708" s="29" t="s">
        <v>284</v>
      </c>
      <c r="G1708" s="25" t="s">
        <v>3470</v>
      </c>
      <c r="H1708" s="26">
        <v>-0.46650000000000003</v>
      </c>
      <c r="I1708" s="26"/>
      <c r="J1708" s="26" t="s">
        <v>514</v>
      </c>
      <c r="K1708" s="25" t="s">
        <v>528</v>
      </c>
    </row>
    <row r="1709" spans="1:11" ht="38.25" x14ac:dyDescent="0.25">
      <c r="A1709" s="22">
        <v>2026</v>
      </c>
      <c r="B1709" s="28" t="s">
        <v>183</v>
      </c>
      <c r="C1709" s="28" t="s">
        <v>97</v>
      </c>
      <c r="D1709" s="28" t="s">
        <v>244</v>
      </c>
      <c r="E1709" s="29" t="s">
        <v>448</v>
      </c>
      <c r="F1709" s="29" t="s">
        <v>284</v>
      </c>
      <c r="G1709" s="25" t="s">
        <v>3471</v>
      </c>
      <c r="H1709" s="26">
        <v>-0.68625000000000003</v>
      </c>
      <c r="I1709" s="26"/>
      <c r="J1709" s="26" t="s">
        <v>514</v>
      </c>
      <c r="K1709" s="25" t="s">
        <v>528</v>
      </c>
    </row>
    <row r="1710" spans="1:11" ht="38.25" x14ac:dyDescent="0.25">
      <c r="A1710" s="22">
        <v>2026</v>
      </c>
      <c r="B1710" s="28" t="s">
        <v>183</v>
      </c>
      <c r="C1710" s="28" t="s">
        <v>97</v>
      </c>
      <c r="D1710" s="28" t="s">
        <v>244</v>
      </c>
      <c r="E1710" s="29" t="s">
        <v>448</v>
      </c>
      <c r="F1710" s="29" t="s">
        <v>284</v>
      </c>
      <c r="G1710" s="25" t="s">
        <v>3472</v>
      </c>
      <c r="H1710" s="26">
        <v>-0.21953</v>
      </c>
      <c r="I1710" s="26"/>
      <c r="J1710" s="26" t="s">
        <v>514</v>
      </c>
      <c r="K1710" s="25" t="s">
        <v>528</v>
      </c>
    </row>
    <row r="1711" spans="1:11" ht="38.25" x14ac:dyDescent="0.25">
      <c r="A1711" s="22">
        <v>2026</v>
      </c>
      <c r="B1711" s="28" t="s">
        <v>183</v>
      </c>
      <c r="C1711" s="28" t="s">
        <v>97</v>
      </c>
      <c r="D1711" s="28" t="s">
        <v>244</v>
      </c>
      <c r="E1711" s="29" t="s">
        <v>448</v>
      </c>
      <c r="F1711" s="29" t="s">
        <v>284</v>
      </c>
      <c r="G1711" s="25" t="s">
        <v>3473</v>
      </c>
      <c r="H1711" s="26">
        <v>-0.41838320000000001</v>
      </c>
      <c r="I1711" s="26"/>
      <c r="J1711" s="26" t="s">
        <v>514</v>
      </c>
      <c r="K1711" s="25" t="s">
        <v>528</v>
      </c>
    </row>
    <row r="1712" spans="1:11" ht="38.25" x14ac:dyDescent="0.25">
      <c r="A1712" s="22">
        <v>2026</v>
      </c>
      <c r="B1712" s="28" t="s">
        <v>183</v>
      </c>
      <c r="C1712" s="28" t="s">
        <v>97</v>
      </c>
      <c r="D1712" s="28" t="s">
        <v>244</v>
      </c>
      <c r="E1712" s="29" t="s">
        <v>448</v>
      </c>
      <c r="F1712" s="29" t="s">
        <v>284</v>
      </c>
      <c r="G1712" s="25" t="s">
        <v>3474</v>
      </c>
      <c r="H1712" s="26">
        <v>-0.13500000000000001</v>
      </c>
      <c r="I1712" s="26"/>
      <c r="J1712" s="26" t="s">
        <v>514</v>
      </c>
      <c r="K1712" s="25" t="s">
        <v>528</v>
      </c>
    </row>
    <row r="1713" spans="1:11" ht="38.25" x14ac:dyDescent="0.25">
      <c r="A1713" s="22">
        <v>2026</v>
      </c>
      <c r="B1713" s="28" t="s">
        <v>183</v>
      </c>
      <c r="C1713" s="28" t="s">
        <v>97</v>
      </c>
      <c r="D1713" s="28" t="s">
        <v>244</v>
      </c>
      <c r="E1713" s="29" t="s">
        <v>448</v>
      </c>
      <c r="F1713" s="29" t="s">
        <v>284</v>
      </c>
      <c r="G1713" s="25" t="s">
        <v>3475</v>
      </c>
      <c r="H1713" s="26">
        <v>-0.14929999999999999</v>
      </c>
      <c r="I1713" s="26"/>
      <c r="J1713" s="26" t="s">
        <v>514</v>
      </c>
      <c r="K1713" s="25" t="s">
        <v>528</v>
      </c>
    </row>
    <row r="1714" spans="1:11" ht="38.25" x14ac:dyDescent="0.25">
      <c r="A1714" s="22">
        <v>2026</v>
      </c>
      <c r="B1714" s="28" t="s">
        <v>183</v>
      </c>
      <c r="C1714" s="28" t="s">
        <v>97</v>
      </c>
      <c r="D1714" s="28" t="s">
        <v>244</v>
      </c>
      <c r="E1714" s="29" t="s">
        <v>448</v>
      </c>
      <c r="F1714" s="29" t="s">
        <v>284</v>
      </c>
      <c r="G1714" s="25" t="s">
        <v>3476</v>
      </c>
      <c r="H1714" s="26">
        <v>-0.19881098</v>
      </c>
      <c r="I1714" s="26"/>
      <c r="J1714" s="26" t="s">
        <v>514</v>
      </c>
      <c r="K1714" s="25" t="s">
        <v>528</v>
      </c>
    </row>
    <row r="1715" spans="1:11" ht="38.25" x14ac:dyDescent="0.25">
      <c r="A1715" s="22">
        <v>2026</v>
      </c>
      <c r="B1715" s="28" t="s">
        <v>183</v>
      </c>
      <c r="C1715" s="28" t="s">
        <v>97</v>
      </c>
      <c r="D1715" s="28" t="s">
        <v>244</v>
      </c>
      <c r="E1715" s="29" t="s">
        <v>448</v>
      </c>
      <c r="F1715" s="29" t="s">
        <v>284</v>
      </c>
      <c r="G1715" s="25" t="s">
        <v>3477</v>
      </c>
      <c r="H1715" s="26">
        <v>-0.23023051999999999</v>
      </c>
      <c r="I1715" s="26"/>
      <c r="J1715" s="26" t="s">
        <v>514</v>
      </c>
      <c r="K1715" s="25" t="s">
        <v>528</v>
      </c>
    </row>
    <row r="1716" spans="1:11" ht="38.25" x14ac:dyDescent="0.25">
      <c r="A1716" s="22">
        <v>2026</v>
      </c>
      <c r="B1716" s="28" t="s">
        <v>183</v>
      </c>
      <c r="C1716" s="28" t="s">
        <v>97</v>
      </c>
      <c r="D1716" s="28" t="s">
        <v>244</v>
      </c>
      <c r="E1716" s="29" t="s">
        <v>448</v>
      </c>
      <c r="F1716" s="29" t="s">
        <v>284</v>
      </c>
      <c r="G1716" s="25" t="s">
        <v>3478</v>
      </c>
      <c r="H1716" s="26">
        <v>-0.10212984</v>
      </c>
      <c r="I1716" s="26"/>
      <c r="J1716" s="26" t="s">
        <v>514</v>
      </c>
      <c r="K1716" s="25" t="s">
        <v>528</v>
      </c>
    </row>
    <row r="1717" spans="1:11" ht="38.25" x14ac:dyDescent="0.25">
      <c r="A1717" s="22">
        <v>2026</v>
      </c>
      <c r="B1717" s="28" t="s">
        <v>183</v>
      </c>
      <c r="C1717" s="28" t="s">
        <v>97</v>
      </c>
      <c r="D1717" s="28" t="s">
        <v>244</v>
      </c>
      <c r="E1717" s="29" t="s">
        <v>448</v>
      </c>
      <c r="F1717" s="29" t="s">
        <v>284</v>
      </c>
      <c r="G1717" s="25" t="s">
        <v>3479</v>
      </c>
      <c r="H1717" s="26">
        <v>-0.26923049999999998</v>
      </c>
      <c r="I1717" s="26"/>
      <c r="J1717" s="26" t="s">
        <v>514</v>
      </c>
      <c r="K1717" s="25" t="s">
        <v>528</v>
      </c>
    </row>
    <row r="1718" spans="1:11" ht="38.25" x14ac:dyDescent="0.25">
      <c r="A1718" s="22">
        <v>2026</v>
      </c>
      <c r="B1718" s="28" t="s">
        <v>183</v>
      </c>
      <c r="C1718" s="28" t="s">
        <v>97</v>
      </c>
      <c r="D1718" s="28" t="s">
        <v>244</v>
      </c>
      <c r="E1718" s="29" t="s">
        <v>448</v>
      </c>
      <c r="F1718" s="29" t="s">
        <v>284</v>
      </c>
      <c r="G1718" s="25" t="s">
        <v>3480</v>
      </c>
      <c r="H1718" s="26">
        <v>-0.25105080000000002</v>
      </c>
      <c r="I1718" s="26"/>
      <c r="J1718" s="26" t="s">
        <v>514</v>
      </c>
      <c r="K1718" s="25" t="s">
        <v>528</v>
      </c>
    </row>
    <row r="1719" spans="1:11" ht="38.25" x14ac:dyDescent="0.25">
      <c r="A1719" s="22">
        <v>2026</v>
      </c>
      <c r="B1719" s="28" t="s">
        <v>183</v>
      </c>
      <c r="C1719" s="28" t="s">
        <v>97</v>
      </c>
      <c r="D1719" s="28" t="s">
        <v>244</v>
      </c>
      <c r="E1719" s="29" t="s">
        <v>448</v>
      </c>
      <c r="F1719" s="29" t="s">
        <v>284</v>
      </c>
      <c r="G1719" s="25" t="s">
        <v>3481</v>
      </c>
      <c r="H1719" s="26">
        <v>-2.2630999999999998E-2</v>
      </c>
      <c r="I1719" s="26"/>
      <c r="J1719" s="26" t="s">
        <v>514</v>
      </c>
      <c r="K1719" s="25" t="s">
        <v>528</v>
      </c>
    </row>
    <row r="1720" spans="1:11" ht="38.25" x14ac:dyDescent="0.25">
      <c r="A1720" s="22">
        <v>2026</v>
      </c>
      <c r="B1720" s="28" t="s">
        <v>183</v>
      </c>
      <c r="C1720" s="28" t="s">
        <v>97</v>
      </c>
      <c r="D1720" s="28" t="s">
        <v>244</v>
      </c>
      <c r="E1720" s="29" t="s">
        <v>448</v>
      </c>
      <c r="F1720" s="29" t="s">
        <v>284</v>
      </c>
      <c r="G1720" s="25" t="s">
        <v>3482</v>
      </c>
      <c r="H1720" s="26">
        <v>-0.28847101499999994</v>
      </c>
      <c r="I1720" s="26"/>
      <c r="J1720" s="26" t="s">
        <v>514</v>
      </c>
      <c r="K1720" s="25" t="s">
        <v>528</v>
      </c>
    </row>
    <row r="1721" spans="1:11" ht="38.25" x14ac:dyDescent="0.25">
      <c r="A1721" s="22">
        <v>2026</v>
      </c>
      <c r="B1721" s="28" t="s">
        <v>183</v>
      </c>
      <c r="C1721" s="28" t="s">
        <v>97</v>
      </c>
      <c r="D1721" s="28" t="s">
        <v>244</v>
      </c>
      <c r="E1721" s="29" t="s">
        <v>448</v>
      </c>
      <c r="F1721" s="29" t="s">
        <v>284</v>
      </c>
      <c r="G1721" s="25" t="s">
        <v>3483</v>
      </c>
      <c r="H1721" s="26">
        <v>-0.29599999999999999</v>
      </c>
      <c r="I1721" s="26"/>
      <c r="J1721" s="26" t="s">
        <v>514</v>
      </c>
      <c r="K1721" s="25" t="s">
        <v>528</v>
      </c>
    </row>
    <row r="1722" spans="1:11" ht="38.25" x14ac:dyDescent="0.25">
      <c r="A1722" s="22">
        <v>2026</v>
      </c>
      <c r="B1722" s="28" t="s">
        <v>183</v>
      </c>
      <c r="C1722" s="28" t="s">
        <v>97</v>
      </c>
      <c r="D1722" s="28" t="s">
        <v>244</v>
      </c>
      <c r="E1722" s="29" t="s">
        <v>448</v>
      </c>
      <c r="F1722" s="29" t="s">
        <v>284</v>
      </c>
      <c r="G1722" s="25" t="s">
        <v>3484</v>
      </c>
      <c r="H1722" s="26">
        <v>-0.38295600000000002</v>
      </c>
      <c r="I1722" s="26"/>
      <c r="J1722" s="26" t="s">
        <v>514</v>
      </c>
      <c r="K1722" s="25" t="s">
        <v>528</v>
      </c>
    </row>
    <row r="1723" spans="1:11" ht="38.25" x14ac:dyDescent="0.25">
      <c r="A1723" s="22">
        <v>2026</v>
      </c>
      <c r="B1723" s="28" t="s">
        <v>183</v>
      </c>
      <c r="C1723" s="28" t="s">
        <v>97</v>
      </c>
      <c r="D1723" s="28" t="s">
        <v>244</v>
      </c>
      <c r="E1723" s="29" t="s">
        <v>448</v>
      </c>
      <c r="F1723" s="29" t="s">
        <v>284</v>
      </c>
      <c r="G1723" s="25" t="s">
        <v>3485</v>
      </c>
      <c r="H1723" s="26">
        <v>-0.42767055999999998</v>
      </c>
      <c r="I1723" s="26"/>
      <c r="J1723" s="26" t="s">
        <v>514</v>
      </c>
      <c r="K1723" s="25" t="s">
        <v>528</v>
      </c>
    </row>
    <row r="1724" spans="1:11" ht="38.25" x14ac:dyDescent="0.25">
      <c r="A1724" s="22">
        <v>2026</v>
      </c>
      <c r="B1724" s="28" t="s">
        <v>183</v>
      </c>
      <c r="C1724" s="28" t="s">
        <v>97</v>
      </c>
      <c r="D1724" s="28" t="s">
        <v>244</v>
      </c>
      <c r="E1724" s="29" t="s">
        <v>448</v>
      </c>
      <c r="F1724" s="29" t="s">
        <v>284</v>
      </c>
      <c r="G1724" s="25" t="s">
        <v>3486</v>
      </c>
      <c r="H1724" s="26">
        <v>-0.12373636</v>
      </c>
      <c r="I1724" s="26"/>
      <c r="J1724" s="26" t="s">
        <v>514</v>
      </c>
      <c r="K1724" s="25" t="s">
        <v>528</v>
      </c>
    </row>
    <row r="1725" spans="1:11" ht="38.25" x14ac:dyDescent="0.25">
      <c r="A1725" s="22">
        <v>2026</v>
      </c>
      <c r="B1725" s="28" t="s">
        <v>183</v>
      </c>
      <c r="C1725" s="28" t="s">
        <v>97</v>
      </c>
      <c r="D1725" s="28" t="s">
        <v>244</v>
      </c>
      <c r="E1725" s="29" t="s">
        <v>448</v>
      </c>
      <c r="F1725" s="29" t="s">
        <v>284</v>
      </c>
      <c r="G1725" s="25" t="s">
        <v>3487</v>
      </c>
      <c r="H1725" s="26">
        <v>-0.14349999999999999</v>
      </c>
      <c r="I1725" s="26"/>
      <c r="J1725" s="26" t="s">
        <v>514</v>
      </c>
      <c r="K1725" s="25" t="s">
        <v>528</v>
      </c>
    </row>
    <row r="1726" spans="1:11" ht="38.25" x14ac:dyDescent="0.25">
      <c r="A1726" s="22">
        <v>2026</v>
      </c>
      <c r="B1726" s="28" t="s">
        <v>183</v>
      </c>
      <c r="C1726" s="28" t="s">
        <v>97</v>
      </c>
      <c r="D1726" s="28" t="s">
        <v>244</v>
      </c>
      <c r="E1726" s="29" t="s">
        <v>448</v>
      </c>
      <c r="F1726" s="29" t="s">
        <v>284</v>
      </c>
      <c r="G1726" s="25" t="s">
        <v>3488</v>
      </c>
      <c r="H1726" s="26">
        <v>-8.7457580000000007E-2</v>
      </c>
      <c r="I1726" s="26"/>
      <c r="J1726" s="26" t="s">
        <v>514</v>
      </c>
      <c r="K1726" s="25" t="s">
        <v>528</v>
      </c>
    </row>
    <row r="1727" spans="1:11" ht="25.5" x14ac:dyDescent="0.25">
      <c r="A1727" s="22">
        <v>2026</v>
      </c>
      <c r="B1727" s="28" t="s">
        <v>183</v>
      </c>
      <c r="C1727" s="28" t="s">
        <v>97</v>
      </c>
      <c r="D1727" s="28" t="s">
        <v>1741</v>
      </c>
      <c r="E1727" s="29" t="s">
        <v>985</v>
      </c>
      <c r="F1727" s="29" t="s">
        <v>340</v>
      </c>
      <c r="G1727" s="25" t="s">
        <v>3489</v>
      </c>
      <c r="H1727" s="26">
        <v>-0.25175009999999998</v>
      </c>
      <c r="I1727" s="26"/>
      <c r="J1727" s="26" t="s">
        <v>512</v>
      </c>
      <c r="K1727" s="25" t="s">
        <v>513</v>
      </c>
    </row>
    <row r="1728" spans="1:11" ht="25.5" x14ac:dyDescent="0.25">
      <c r="A1728" s="22">
        <v>2026</v>
      </c>
      <c r="B1728" s="28" t="s">
        <v>183</v>
      </c>
      <c r="C1728" s="28" t="s">
        <v>97</v>
      </c>
      <c r="D1728" s="28" t="s">
        <v>1741</v>
      </c>
      <c r="E1728" s="29" t="s">
        <v>985</v>
      </c>
      <c r="F1728" s="29" t="s">
        <v>340</v>
      </c>
      <c r="G1728" s="25" t="s">
        <v>3490</v>
      </c>
      <c r="H1728" s="26">
        <v>-1.728</v>
      </c>
      <c r="I1728" s="26"/>
      <c r="J1728" s="26" t="s">
        <v>512</v>
      </c>
      <c r="K1728" s="25" t="s">
        <v>513</v>
      </c>
    </row>
    <row r="1729" spans="1:11" ht="25.5" x14ac:dyDescent="0.25">
      <c r="A1729" s="22">
        <v>2026</v>
      </c>
      <c r="B1729" s="28" t="s">
        <v>183</v>
      </c>
      <c r="C1729" s="28" t="s">
        <v>97</v>
      </c>
      <c r="D1729" s="28" t="s">
        <v>1741</v>
      </c>
      <c r="E1729" s="29" t="s">
        <v>985</v>
      </c>
      <c r="F1729" s="29" t="s">
        <v>340</v>
      </c>
      <c r="G1729" s="25" t="s">
        <v>3491</v>
      </c>
      <c r="H1729" s="26">
        <v>-0.71970000000000001</v>
      </c>
      <c r="I1729" s="26"/>
      <c r="J1729" s="26" t="s">
        <v>512</v>
      </c>
      <c r="K1729" s="25" t="s">
        <v>513</v>
      </c>
    </row>
    <row r="1730" spans="1:11" ht="25.5" x14ac:dyDescent="0.25">
      <c r="A1730" s="22">
        <v>2026</v>
      </c>
      <c r="B1730" s="28" t="s">
        <v>183</v>
      </c>
      <c r="C1730" s="28" t="s">
        <v>97</v>
      </c>
      <c r="D1730" s="28" t="s">
        <v>1741</v>
      </c>
      <c r="E1730" s="29" t="s">
        <v>985</v>
      </c>
      <c r="F1730" s="29" t="s">
        <v>340</v>
      </c>
      <c r="G1730" s="25" t="s">
        <v>3492</v>
      </c>
      <c r="H1730" s="26">
        <v>-0.45</v>
      </c>
      <c r="I1730" s="26"/>
      <c r="J1730" s="26" t="s">
        <v>512</v>
      </c>
      <c r="K1730" s="25" t="s">
        <v>513</v>
      </c>
    </row>
    <row r="1731" spans="1:11" ht="25.5" x14ac:dyDescent="0.25">
      <c r="A1731" s="22">
        <v>2026</v>
      </c>
      <c r="B1731" s="28" t="s">
        <v>183</v>
      </c>
      <c r="C1731" s="28" t="s">
        <v>97</v>
      </c>
      <c r="D1731" s="28" t="s">
        <v>1741</v>
      </c>
      <c r="E1731" s="29" t="s">
        <v>985</v>
      </c>
      <c r="F1731" s="29" t="s">
        <v>340</v>
      </c>
      <c r="G1731" s="25" t="s">
        <v>3493</v>
      </c>
      <c r="H1731" s="26">
        <v>-0.36</v>
      </c>
      <c r="I1731" s="26"/>
      <c r="J1731" s="26" t="s">
        <v>512</v>
      </c>
      <c r="K1731" s="25" t="s">
        <v>513</v>
      </c>
    </row>
    <row r="1732" spans="1:11" ht="25.5" x14ac:dyDescent="0.25">
      <c r="A1732" s="22">
        <v>2026</v>
      </c>
      <c r="B1732" s="28" t="s">
        <v>183</v>
      </c>
      <c r="C1732" s="28" t="s">
        <v>97</v>
      </c>
      <c r="D1732" s="28" t="s">
        <v>1742</v>
      </c>
      <c r="E1732" s="29" t="s">
        <v>1742</v>
      </c>
      <c r="F1732" s="29" t="s">
        <v>284</v>
      </c>
      <c r="G1732" s="25" t="s">
        <v>3494</v>
      </c>
      <c r="H1732" s="26">
        <v>-0.254</v>
      </c>
      <c r="I1732" s="26"/>
      <c r="J1732" s="26" t="s">
        <v>1773</v>
      </c>
      <c r="K1732" s="25" t="s">
        <v>513</v>
      </c>
    </row>
    <row r="1733" spans="1:11" ht="25.5" x14ac:dyDescent="0.25">
      <c r="A1733" s="22">
        <v>2026</v>
      </c>
      <c r="B1733" s="28" t="s">
        <v>183</v>
      </c>
      <c r="C1733" s="28" t="s">
        <v>97</v>
      </c>
      <c r="D1733" s="28" t="s">
        <v>1742</v>
      </c>
      <c r="E1733" s="29" t="s">
        <v>1742</v>
      </c>
      <c r="F1733" s="29" t="s">
        <v>284</v>
      </c>
      <c r="G1733" s="25" t="s">
        <v>3495</v>
      </c>
      <c r="H1733" s="26">
        <v>-0.26500000000000001</v>
      </c>
      <c r="I1733" s="26"/>
      <c r="J1733" s="26" t="s">
        <v>1773</v>
      </c>
      <c r="K1733" s="25" t="s">
        <v>513</v>
      </c>
    </row>
    <row r="1734" spans="1:11" ht="25.5" x14ac:dyDescent="0.25">
      <c r="A1734" s="22">
        <v>2026</v>
      </c>
      <c r="B1734" s="28" t="s">
        <v>183</v>
      </c>
      <c r="C1734" s="28" t="s">
        <v>97</v>
      </c>
      <c r="D1734" s="28" t="s">
        <v>1742</v>
      </c>
      <c r="E1734" s="29" t="s">
        <v>1742</v>
      </c>
      <c r="F1734" s="29" t="s">
        <v>284</v>
      </c>
      <c r="G1734" s="25" t="s">
        <v>3496</v>
      </c>
      <c r="H1734" s="26">
        <v>-0.27100000000000002</v>
      </c>
      <c r="I1734" s="26"/>
      <c r="J1734" s="26" t="s">
        <v>1773</v>
      </c>
      <c r="K1734" s="25" t="s">
        <v>513</v>
      </c>
    </row>
    <row r="1735" spans="1:11" ht="25.5" x14ac:dyDescent="0.25">
      <c r="A1735" s="22">
        <v>2026</v>
      </c>
      <c r="B1735" s="28" t="s">
        <v>183</v>
      </c>
      <c r="C1735" s="28" t="s">
        <v>97</v>
      </c>
      <c r="D1735" s="28" t="s">
        <v>1742</v>
      </c>
      <c r="E1735" s="29" t="s">
        <v>1742</v>
      </c>
      <c r="F1735" s="29" t="s">
        <v>284</v>
      </c>
      <c r="G1735" s="25" t="s">
        <v>3497</v>
      </c>
      <c r="H1735" s="26">
        <v>-0.51500000000000001</v>
      </c>
      <c r="I1735" s="26"/>
      <c r="J1735" s="26" t="s">
        <v>1773</v>
      </c>
      <c r="K1735" s="25" t="s">
        <v>513</v>
      </c>
    </row>
    <row r="1736" spans="1:11" ht="25.5" x14ac:dyDescent="0.25">
      <c r="A1736" s="22">
        <v>2026</v>
      </c>
      <c r="B1736" s="28" t="s">
        <v>183</v>
      </c>
      <c r="C1736" s="28" t="s">
        <v>97</v>
      </c>
      <c r="D1736" s="28" t="s">
        <v>1743</v>
      </c>
      <c r="E1736" s="29" t="s">
        <v>331</v>
      </c>
      <c r="F1736" s="29" t="s">
        <v>494</v>
      </c>
      <c r="G1736" s="25" t="s">
        <v>3498</v>
      </c>
      <c r="H1736" s="26">
        <v>-0.54654332579999998</v>
      </c>
      <c r="I1736" s="26"/>
      <c r="J1736" s="26" t="s">
        <v>512</v>
      </c>
      <c r="K1736" s="25" t="s">
        <v>513</v>
      </c>
    </row>
    <row r="1737" spans="1:11" ht="25.5" x14ac:dyDescent="0.25">
      <c r="A1737" s="22">
        <v>2026</v>
      </c>
      <c r="B1737" s="28" t="s">
        <v>183</v>
      </c>
      <c r="C1737" s="28" t="s">
        <v>97</v>
      </c>
      <c r="D1737" s="28" t="s">
        <v>545</v>
      </c>
      <c r="E1737" s="29" t="s">
        <v>583</v>
      </c>
      <c r="F1737" s="29" t="s">
        <v>284</v>
      </c>
      <c r="G1737" s="25" t="s">
        <v>3499</v>
      </c>
      <c r="H1737" s="26">
        <v>-0.13421060730000001</v>
      </c>
      <c r="I1737" s="26"/>
      <c r="J1737" s="26" t="s">
        <v>512</v>
      </c>
      <c r="K1737" s="25" t="s">
        <v>513</v>
      </c>
    </row>
    <row r="1738" spans="1:11" ht="25.5" x14ac:dyDescent="0.25">
      <c r="A1738" s="22">
        <v>2026</v>
      </c>
      <c r="B1738" s="28" t="s">
        <v>183</v>
      </c>
      <c r="C1738" s="28" t="s">
        <v>97</v>
      </c>
      <c r="D1738" s="28" t="s">
        <v>545</v>
      </c>
      <c r="E1738" s="29" t="s">
        <v>583</v>
      </c>
      <c r="F1738" s="29" t="s">
        <v>284</v>
      </c>
      <c r="G1738" s="25" t="s">
        <v>3500</v>
      </c>
      <c r="H1738" s="26">
        <v>-0.49144940000000004</v>
      </c>
      <c r="I1738" s="26"/>
      <c r="J1738" s="26" t="s">
        <v>512</v>
      </c>
      <c r="K1738" s="25" t="s">
        <v>513</v>
      </c>
    </row>
    <row r="1739" spans="1:11" ht="25.5" x14ac:dyDescent="0.25">
      <c r="A1739" s="22">
        <v>2026</v>
      </c>
      <c r="B1739" s="28" t="s">
        <v>183</v>
      </c>
      <c r="C1739" s="28" t="s">
        <v>97</v>
      </c>
      <c r="D1739" s="28" t="s">
        <v>545</v>
      </c>
      <c r="E1739" s="29" t="s">
        <v>583</v>
      </c>
      <c r="F1739" s="29" t="s">
        <v>284</v>
      </c>
      <c r="G1739" s="25" t="s">
        <v>3501</v>
      </c>
      <c r="H1739" s="26">
        <v>-0.14396354047999999</v>
      </c>
      <c r="I1739" s="26"/>
      <c r="J1739" s="26" t="s">
        <v>512</v>
      </c>
      <c r="K1739" s="25" t="s">
        <v>513</v>
      </c>
    </row>
    <row r="1740" spans="1:11" ht="25.5" x14ac:dyDescent="0.25">
      <c r="A1740" s="22">
        <v>2026</v>
      </c>
      <c r="B1740" s="28" t="s">
        <v>183</v>
      </c>
      <c r="C1740" s="28" t="s">
        <v>97</v>
      </c>
      <c r="D1740" s="28" t="s">
        <v>545</v>
      </c>
      <c r="E1740" s="29" t="s">
        <v>583</v>
      </c>
      <c r="F1740" s="29" t="s">
        <v>284</v>
      </c>
      <c r="G1740" s="25" t="s">
        <v>3502</v>
      </c>
      <c r="H1740" s="26">
        <v>-0.41934865000000004</v>
      </c>
      <c r="I1740" s="26"/>
      <c r="J1740" s="26" t="s">
        <v>512</v>
      </c>
      <c r="K1740" s="25" t="s">
        <v>513</v>
      </c>
    </row>
    <row r="1741" spans="1:11" ht="25.5" x14ac:dyDescent="0.25">
      <c r="A1741" s="22">
        <v>2026</v>
      </c>
      <c r="B1741" s="28" t="s">
        <v>183</v>
      </c>
      <c r="C1741" s="28" t="s">
        <v>97</v>
      </c>
      <c r="D1741" s="28" t="s">
        <v>545</v>
      </c>
      <c r="E1741" s="29" t="s">
        <v>583</v>
      </c>
      <c r="F1741" s="29" t="s">
        <v>284</v>
      </c>
      <c r="G1741" s="25" t="s">
        <v>3503</v>
      </c>
      <c r="H1741" s="26">
        <v>-0.50067861086999998</v>
      </c>
      <c r="I1741" s="26"/>
      <c r="J1741" s="26" t="s">
        <v>512</v>
      </c>
      <c r="K1741" s="25" t="s">
        <v>513</v>
      </c>
    </row>
    <row r="1742" spans="1:11" ht="25.5" x14ac:dyDescent="0.25">
      <c r="A1742" s="22">
        <v>2026</v>
      </c>
      <c r="B1742" s="28" t="s">
        <v>183</v>
      </c>
      <c r="C1742" s="28" t="s">
        <v>97</v>
      </c>
      <c r="D1742" s="28" t="s">
        <v>545</v>
      </c>
      <c r="E1742" s="29" t="s">
        <v>583</v>
      </c>
      <c r="F1742" s="29" t="s">
        <v>284</v>
      </c>
      <c r="G1742" s="25" t="s">
        <v>3504</v>
      </c>
      <c r="H1742" s="26">
        <v>-0.54454950000000002</v>
      </c>
      <c r="I1742" s="26"/>
      <c r="J1742" s="26" t="s">
        <v>512</v>
      </c>
      <c r="K1742" s="25" t="s">
        <v>513</v>
      </c>
    </row>
    <row r="1743" spans="1:11" ht="25.5" x14ac:dyDescent="0.25">
      <c r="A1743" s="22">
        <v>2026</v>
      </c>
      <c r="B1743" s="28" t="s">
        <v>183</v>
      </c>
      <c r="C1743" s="28" t="s">
        <v>97</v>
      </c>
      <c r="D1743" s="28" t="s">
        <v>545</v>
      </c>
      <c r="E1743" s="29" t="s">
        <v>583</v>
      </c>
      <c r="F1743" s="29" t="s">
        <v>284</v>
      </c>
      <c r="G1743" s="25" t="s">
        <v>3505</v>
      </c>
      <c r="H1743" s="26">
        <v>-0.54557100000000003</v>
      </c>
      <c r="I1743" s="26"/>
      <c r="J1743" s="26" t="s">
        <v>512</v>
      </c>
      <c r="K1743" s="25" t="s">
        <v>513</v>
      </c>
    </row>
    <row r="1744" spans="1:11" ht="25.5" x14ac:dyDescent="0.25">
      <c r="A1744" s="22">
        <v>2026</v>
      </c>
      <c r="B1744" s="28" t="s">
        <v>183</v>
      </c>
      <c r="C1744" s="28" t="s">
        <v>97</v>
      </c>
      <c r="D1744" s="28" t="s">
        <v>545</v>
      </c>
      <c r="E1744" s="29" t="s">
        <v>583</v>
      </c>
      <c r="F1744" s="29" t="s">
        <v>284</v>
      </c>
      <c r="G1744" s="25" t="s">
        <v>3506</v>
      </c>
      <c r="H1744" s="26">
        <v>-0.49707218534999997</v>
      </c>
      <c r="I1744" s="26"/>
      <c r="J1744" s="26" t="s">
        <v>512</v>
      </c>
      <c r="K1744" s="25" t="s">
        <v>513</v>
      </c>
    </row>
    <row r="1745" spans="1:11" ht="25.5" x14ac:dyDescent="0.25">
      <c r="A1745" s="22">
        <v>2026</v>
      </c>
      <c r="B1745" s="28" t="s">
        <v>183</v>
      </c>
      <c r="C1745" s="28" t="s">
        <v>97</v>
      </c>
      <c r="D1745" s="28" t="s">
        <v>545</v>
      </c>
      <c r="E1745" s="29" t="s">
        <v>583</v>
      </c>
      <c r="F1745" s="29" t="s">
        <v>284</v>
      </c>
      <c r="G1745" s="25" t="s">
        <v>3507</v>
      </c>
      <c r="H1745" s="26">
        <v>-0.52489896908</v>
      </c>
      <c r="I1745" s="26"/>
      <c r="J1745" s="26" t="s">
        <v>512</v>
      </c>
      <c r="K1745" s="25" t="s">
        <v>513</v>
      </c>
    </row>
    <row r="1746" spans="1:11" ht="25.5" x14ac:dyDescent="0.25">
      <c r="A1746" s="22">
        <v>2026</v>
      </c>
      <c r="B1746" s="28" t="s">
        <v>183</v>
      </c>
      <c r="C1746" s="28" t="s">
        <v>97</v>
      </c>
      <c r="D1746" s="28" t="s">
        <v>545</v>
      </c>
      <c r="E1746" s="29" t="s">
        <v>583</v>
      </c>
      <c r="F1746" s="29" t="s">
        <v>284</v>
      </c>
      <c r="G1746" s="25" t="s">
        <v>3508</v>
      </c>
      <c r="H1746" s="26">
        <v>-0.55251600000000001</v>
      </c>
      <c r="I1746" s="26"/>
      <c r="J1746" s="26" t="s">
        <v>512</v>
      </c>
      <c r="K1746" s="25" t="s">
        <v>513</v>
      </c>
    </row>
    <row r="1747" spans="1:11" ht="25.5" x14ac:dyDescent="0.25">
      <c r="A1747" s="22">
        <v>2026</v>
      </c>
      <c r="B1747" s="28" t="s">
        <v>183</v>
      </c>
      <c r="C1747" s="28" t="s">
        <v>97</v>
      </c>
      <c r="D1747" s="28" t="s">
        <v>545</v>
      </c>
      <c r="E1747" s="29" t="s">
        <v>583</v>
      </c>
      <c r="F1747" s="29" t="s">
        <v>284</v>
      </c>
      <c r="G1747" s="25" t="s">
        <v>3509</v>
      </c>
      <c r="H1747" s="26">
        <v>-0.36814878100000004</v>
      </c>
      <c r="I1747" s="26"/>
      <c r="J1747" s="26" t="s">
        <v>512</v>
      </c>
      <c r="K1747" s="25" t="s">
        <v>513</v>
      </c>
    </row>
    <row r="1748" spans="1:11" ht="25.5" x14ac:dyDescent="0.25">
      <c r="A1748" s="22">
        <v>2026</v>
      </c>
      <c r="B1748" s="28" t="s">
        <v>183</v>
      </c>
      <c r="C1748" s="28" t="s">
        <v>97</v>
      </c>
      <c r="D1748" s="28" t="s">
        <v>545</v>
      </c>
      <c r="E1748" s="29" t="s">
        <v>583</v>
      </c>
      <c r="F1748" s="29" t="s">
        <v>284</v>
      </c>
      <c r="G1748" s="25" t="s">
        <v>3510</v>
      </c>
      <c r="H1748" s="26">
        <v>-0.12577440550000002</v>
      </c>
      <c r="I1748" s="26"/>
      <c r="J1748" s="26" t="s">
        <v>512</v>
      </c>
      <c r="K1748" s="25" t="s">
        <v>513</v>
      </c>
    </row>
    <row r="1749" spans="1:11" ht="25.5" x14ac:dyDescent="0.25">
      <c r="A1749" s="22">
        <v>2026</v>
      </c>
      <c r="B1749" s="28" t="s">
        <v>183</v>
      </c>
      <c r="C1749" s="28" t="s">
        <v>97</v>
      </c>
      <c r="D1749" s="28" t="s">
        <v>545</v>
      </c>
      <c r="E1749" s="29" t="s">
        <v>583</v>
      </c>
      <c r="F1749" s="29" t="s">
        <v>284</v>
      </c>
      <c r="G1749" s="25" t="s">
        <v>3511</v>
      </c>
      <c r="H1749" s="26">
        <v>-0.14759812961000002</v>
      </c>
      <c r="I1749" s="26"/>
      <c r="J1749" s="26" t="s">
        <v>512</v>
      </c>
      <c r="K1749" s="25" t="s">
        <v>513</v>
      </c>
    </row>
    <row r="1750" spans="1:11" ht="25.5" x14ac:dyDescent="0.25">
      <c r="A1750" s="22">
        <v>2026</v>
      </c>
      <c r="B1750" s="28" t="s">
        <v>183</v>
      </c>
      <c r="C1750" s="28" t="s">
        <v>97</v>
      </c>
      <c r="D1750" s="28" t="s">
        <v>545</v>
      </c>
      <c r="E1750" s="29" t="s">
        <v>583</v>
      </c>
      <c r="F1750" s="29" t="s">
        <v>284</v>
      </c>
      <c r="G1750" s="25" t="s">
        <v>3512</v>
      </c>
      <c r="H1750" s="26">
        <v>-0.51875459999999995</v>
      </c>
      <c r="I1750" s="26"/>
      <c r="J1750" s="26" t="s">
        <v>512</v>
      </c>
      <c r="K1750" s="25" t="s">
        <v>513</v>
      </c>
    </row>
    <row r="1751" spans="1:11" ht="25.5" x14ac:dyDescent="0.25">
      <c r="A1751" s="22">
        <v>2026</v>
      </c>
      <c r="B1751" s="28" t="s">
        <v>183</v>
      </c>
      <c r="C1751" s="28" t="s">
        <v>97</v>
      </c>
      <c r="D1751" s="28" t="s">
        <v>545</v>
      </c>
      <c r="E1751" s="29" t="s">
        <v>583</v>
      </c>
      <c r="F1751" s="29" t="s">
        <v>284</v>
      </c>
      <c r="G1751" s="25" t="s">
        <v>3513</v>
      </c>
      <c r="H1751" s="26">
        <v>-0.42637451507999996</v>
      </c>
      <c r="I1751" s="26"/>
      <c r="J1751" s="26" t="s">
        <v>512</v>
      </c>
      <c r="K1751" s="25" t="s">
        <v>513</v>
      </c>
    </row>
    <row r="1752" spans="1:11" ht="25.5" x14ac:dyDescent="0.25">
      <c r="A1752" s="22">
        <v>2026</v>
      </c>
      <c r="B1752" s="28" t="s">
        <v>183</v>
      </c>
      <c r="C1752" s="28" t="s">
        <v>97</v>
      </c>
      <c r="D1752" s="28" t="s">
        <v>545</v>
      </c>
      <c r="E1752" s="29" t="s">
        <v>583</v>
      </c>
      <c r="F1752" s="29" t="s">
        <v>284</v>
      </c>
      <c r="G1752" s="25" t="s">
        <v>3514</v>
      </c>
      <c r="H1752" s="26">
        <v>-0.54937499999999995</v>
      </c>
      <c r="I1752" s="26"/>
      <c r="J1752" s="26" t="s">
        <v>512</v>
      </c>
      <c r="K1752" s="25" t="s">
        <v>513</v>
      </c>
    </row>
    <row r="1753" spans="1:11" ht="25.5" x14ac:dyDescent="0.25">
      <c r="A1753" s="22">
        <v>2026</v>
      </c>
      <c r="B1753" s="28" t="s">
        <v>183</v>
      </c>
      <c r="C1753" s="28" t="s">
        <v>97</v>
      </c>
      <c r="D1753" s="28" t="s">
        <v>545</v>
      </c>
      <c r="E1753" s="29" t="s">
        <v>583</v>
      </c>
      <c r="F1753" s="29" t="s">
        <v>284</v>
      </c>
      <c r="G1753" s="25" t="s">
        <v>3515</v>
      </c>
      <c r="H1753" s="26">
        <v>-4.1340120000000001E-2</v>
      </c>
      <c r="I1753" s="26"/>
      <c r="J1753" s="26" t="s">
        <v>512</v>
      </c>
      <c r="K1753" s="25" t="s">
        <v>513</v>
      </c>
    </row>
    <row r="1754" spans="1:11" ht="25.5" x14ac:dyDescent="0.25">
      <c r="A1754" s="22">
        <v>2026</v>
      </c>
      <c r="B1754" s="28" t="s">
        <v>183</v>
      </c>
      <c r="C1754" s="28" t="s">
        <v>97</v>
      </c>
      <c r="D1754" s="28" t="s">
        <v>545</v>
      </c>
      <c r="E1754" s="29" t="s">
        <v>583</v>
      </c>
      <c r="F1754" s="29" t="s">
        <v>284</v>
      </c>
      <c r="G1754" s="25" t="s">
        <v>3516</v>
      </c>
      <c r="H1754" s="26">
        <v>-0.53519700000000003</v>
      </c>
      <c r="I1754" s="26"/>
      <c r="J1754" s="26" t="s">
        <v>512</v>
      </c>
      <c r="K1754" s="25" t="s">
        <v>513</v>
      </c>
    </row>
    <row r="1755" spans="1:11" ht="25.5" x14ac:dyDescent="0.25">
      <c r="A1755" s="22">
        <v>2026</v>
      </c>
      <c r="B1755" s="28" t="s">
        <v>183</v>
      </c>
      <c r="C1755" s="28" t="s">
        <v>97</v>
      </c>
      <c r="D1755" s="28" t="s">
        <v>545</v>
      </c>
      <c r="E1755" s="29" t="s">
        <v>583</v>
      </c>
      <c r="F1755" s="29" t="s">
        <v>284</v>
      </c>
      <c r="G1755" s="25" t="s">
        <v>3517</v>
      </c>
      <c r="H1755" s="26">
        <v>-0.44532483974999998</v>
      </c>
      <c r="I1755" s="26"/>
      <c r="J1755" s="26" t="s">
        <v>512</v>
      </c>
      <c r="K1755" s="25" t="s">
        <v>513</v>
      </c>
    </row>
    <row r="1756" spans="1:11" ht="25.5" x14ac:dyDescent="0.25">
      <c r="A1756" s="22">
        <v>2026</v>
      </c>
      <c r="B1756" s="28" t="s">
        <v>183</v>
      </c>
      <c r="C1756" s="28" t="s">
        <v>97</v>
      </c>
      <c r="D1756" s="28" t="s">
        <v>545</v>
      </c>
      <c r="E1756" s="29" t="s">
        <v>583</v>
      </c>
      <c r="F1756" s="29" t="s">
        <v>284</v>
      </c>
      <c r="G1756" s="25" t="s">
        <v>3518</v>
      </c>
      <c r="H1756" s="26">
        <v>-0.30735618749999999</v>
      </c>
      <c r="I1756" s="26"/>
      <c r="J1756" s="26" t="s">
        <v>512</v>
      </c>
      <c r="K1756" s="25" t="s">
        <v>513</v>
      </c>
    </row>
    <row r="1757" spans="1:11" ht="25.5" x14ac:dyDescent="0.25">
      <c r="A1757" s="22">
        <v>2026</v>
      </c>
      <c r="B1757" s="28" t="s">
        <v>183</v>
      </c>
      <c r="C1757" s="28" t="s">
        <v>97</v>
      </c>
      <c r="D1757" s="28" t="s">
        <v>1744</v>
      </c>
      <c r="E1757" s="29" t="s">
        <v>1776</v>
      </c>
      <c r="F1757" s="29" t="s">
        <v>284</v>
      </c>
      <c r="G1757" s="25" t="s">
        <v>3519</v>
      </c>
      <c r="H1757" s="26">
        <v>-0.77304929577464698</v>
      </c>
      <c r="I1757" s="26"/>
      <c r="J1757" s="26" t="s">
        <v>514</v>
      </c>
      <c r="K1757" s="25" t="s">
        <v>513</v>
      </c>
    </row>
    <row r="1758" spans="1:11" ht="25.5" x14ac:dyDescent="0.25">
      <c r="A1758" s="22">
        <v>2026</v>
      </c>
      <c r="B1758" s="28" t="s">
        <v>183</v>
      </c>
      <c r="C1758" s="28" t="s">
        <v>97</v>
      </c>
      <c r="D1758" s="28" t="s">
        <v>1744</v>
      </c>
      <c r="E1758" s="29" t="s">
        <v>1776</v>
      </c>
      <c r="F1758" s="29" t="s">
        <v>284</v>
      </c>
      <c r="G1758" s="25" t="s">
        <v>3520</v>
      </c>
      <c r="H1758" s="26">
        <v>-1.7190142543082039</v>
      </c>
      <c r="I1758" s="26"/>
      <c r="J1758" s="26" t="s">
        <v>514</v>
      </c>
      <c r="K1758" s="25" t="s">
        <v>513</v>
      </c>
    </row>
    <row r="1759" spans="1:11" ht="25.5" x14ac:dyDescent="0.25">
      <c r="A1759" s="22">
        <v>2026</v>
      </c>
      <c r="B1759" s="28" t="s">
        <v>183</v>
      </c>
      <c r="C1759" s="28" t="s">
        <v>97</v>
      </c>
      <c r="D1759" s="28" t="s">
        <v>1744</v>
      </c>
      <c r="E1759" s="29" t="s">
        <v>1776</v>
      </c>
      <c r="F1759" s="29" t="s">
        <v>284</v>
      </c>
      <c r="G1759" s="25" t="s">
        <v>3521</v>
      </c>
      <c r="H1759" s="26">
        <v>-0.43061906286690144</v>
      </c>
      <c r="I1759" s="26"/>
      <c r="J1759" s="26" t="s">
        <v>514</v>
      </c>
      <c r="K1759" s="25" t="s">
        <v>513</v>
      </c>
    </row>
    <row r="1760" spans="1:11" ht="25.5" x14ac:dyDescent="0.25">
      <c r="A1760" s="22">
        <v>2026</v>
      </c>
      <c r="B1760" s="28" t="s">
        <v>183</v>
      </c>
      <c r="C1760" s="28" t="s">
        <v>97</v>
      </c>
      <c r="D1760" s="28" t="s">
        <v>1744</v>
      </c>
      <c r="E1760" s="29" t="s">
        <v>1776</v>
      </c>
      <c r="F1760" s="29" t="s">
        <v>284</v>
      </c>
      <c r="G1760" s="25" t="s">
        <v>3522</v>
      </c>
      <c r="H1760" s="26">
        <v>-0.16237387239954321</v>
      </c>
      <c r="I1760" s="26"/>
      <c r="J1760" s="26" t="s">
        <v>514</v>
      </c>
      <c r="K1760" s="25" t="s">
        <v>513</v>
      </c>
    </row>
    <row r="1761" spans="1:11" ht="25.5" x14ac:dyDescent="0.25">
      <c r="A1761" s="22">
        <v>2026</v>
      </c>
      <c r="B1761" s="28" t="s">
        <v>183</v>
      </c>
      <c r="C1761" s="28" t="s">
        <v>97</v>
      </c>
      <c r="D1761" s="28" t="s">
        <v>1745</v>
      </c>
      <c r="E1761" s="29" t="s">
        <v>1777</v>
      </c>
      <c r="F1761" s="29" t="s">
        <v>284</v>
      </c>
      <c r="G1761" s="25" t="s">
        <v>3523</v>
      </c>
      <c r="H1761" s="26">
        <v>-0.40105000000000002</v>
      </c>
      <c r="I1761" s="26"/>
      <c r="J1761" s="26" t="s">
        <v>512</v>
      </c>
      <c r="K1761" s="25" t="s">
        <v>513</v>
      </c>
    </row>
    <row r="1762" spans="1:11" ht="25.5" x14ac:dyDescent="0.25">
      <c r="A1762" s="22">
        <v>2026</v>
      </c>
      <c r="B1762" s="28" t="s">
        <v>183</v>
      </c>
      <c r="C1762" s="28" t="s">
        <v>97</v>
      </c>
      <c r="D1762" s="28" t="s">
        <v>1745</v>
      </c>
      <c r="E1762" s="29" t="s">
        <v>1777</v>
      </c>
      <c r="F1762" s="29" t="s">
        <v>284</v>
      </c>
      <c r="G1762" s="25" t="s">
        <v>3524</v>
      </c>
      <c r="H1762" s="26">
        <v>-0.61921000000000004</v>
      </c>
      <c r="I1762" s="26"/>
      <c r="J1762" s="26" t="s">
        <v>512</v>
      </c>
      <c r="K1762" s="25" t="s">
        <v>513</v>
      </c>
    </row>
    <row r="1763" spans="1:11" ht="25.5" x14ac:dyDescent="0.25">
      <c r="A1763" s="22">
        <v>2026</v>
      </c>
      <c r="B1763" s="28" t="s">
        <v>183</v>
      </c>
      <c r="C1763" s="28" t="s">
        <v>97</v>
      </c>
      <c r="D1763" s="28" t="s">
        <v>1745</v>
      </c>
      <c r="E1763" s="29" t="s">
        <v>1777</v>
      </c>
      <c r="F1763" s="29" t="s">
        <v>284</v>
      </c>
      <c r="G1763" s="25" t="s">
        <v>3525</v>
      </c>
      <c r="H1763" s="26">
        <v>-0.852904</v>
      </c>
      <c r="I1763" s="26"/>
      <c r="J1763" s="26" t="s">
        <v>512</v>
      </c>
      <c r="K1763" s="25" t="s">
        <v>513</v>
      </c>
    </row>
    <row r="1764" spans="1:11" ht="25.5" x14ac:dyDescent="0.25">
      <c r="A1764" s="22">
        <v>2026</v>
      </c>
      <c r="B1764" s="28" t="s">
        <v>183</v>
      </c>
      <c r="C1764" s="28" t="s">
        <v>97</v>
      </c>
      <c r="D1764" s="28" t="s">
        <v>1745</v>
      </c>
      <c r="E1764" s="29" t="s">
        <v>1777</v>
      </c>
      <c r="F1764" s="29" t="s">
        <v>284</v>
      </c>
      <c r="G1764" s="25" t="s">
        <v>3526</v>
      </c>
      <c r="H1764" s="26">
        <v>-0.92549999999999999</v>
      </c>
      <c r="I1764" s="26"/>
      <c r="J1764" s="26" t="s">
        <v>512</v>
      </c>
      <c r="K1764" s="25" t="s">
        <v>513</v>
      </c>
    </row>
    <row r="1765" spans="1:11" ht="25.5" x14ac:dyDescent="0.25">
      <c r="A1765" s="22">
        <v>2026</v>
      </c>
      <c r="B1765" s="28" t="s">
        <v>183</v>
      </c>
      <c r="C1765" s="28" t="s">
        <v>97</v>
      </c>
      <c r="D1765" s="28" t="s">
        <v>1745</v>
      </c>
      <c r="E1765" s="29" t="s">
        <v>1777</v>
      </c>
      <c r="F1765" s="29" t="s">
        <v>284</v>
      </c>
      <c r="G1765" s="25" t="s">
        <v>3527</v>
      </c>
      <c r="H1765" s="26">
        <v>-0.91769999999999996</v>
      </c>
      <c r="I1765" s="26"/>
      <c r="J1765" s="26" t="s">
        <v>512</v>
      </c>
      <c r="K1765" s="25" t="s">
        <v>513</v>
      </c>
    </row>
    <row r="1766" spans="1:11" ht="25.5" x14ac:dyDescent="0.25">
      <c r="A1766" s="22">
        <v>2026</v>
      </c>
      <c r="B1766" s="28" t="s">
        <v>183</v>
      </c>
      <c r="C1766" s="28" t="s">
        <v>97</v>
      </c>
      <c r="D1766" s="28" t="s">
        <v>1745</v>
      </c>
      <c r="E1766" s="29" t="s">
        <v>1777</v>
      </c>
      <c r="F1766" s="29" t="s">
        <v>284</v>
      </c>
      <c r="G1766" s="25" t="s">
        <v>3528</v>
      </c>
      <c r="H1766" s="26">
        <v>-0.15175</v>
      </c>
      <c r="I1766" s="26"/>
      <c r="J1766" s="26" t="s">
        <v>512</v>
      </c>
      <c r="K1766" s="25" t="s">
        <v>513</v>
      </c>
    </row>
    <row r="1767" spans="1:11" ht="25.5" x14ac:dyDescent="0.25">
      <c r="A1767" s="22">
        <v>2026</v>
      </c>
      <c r="B1767" s="28" t="s">
        <v>183</v>
      </c>
      <c r="C1767" s="28" t="s">
        <v>97</v>
      </c>
      <c r="D1767" s="28" t="s">
        <v>1745</v>
      </c>
      <c r="E1767" s="29" t="s">
        <v>1777</v>
      </c>
      <c r="F1767" s="29" t="s">
        <v>284</v>
      </c>
      <c r="G1767" s="25" t="s">
        <v>3529</v>
      </c>
      <c r="H1767" s="26">
        <v>-0.21245</v>
      </c>
      <c r="I1767" s="26"/>
      <c r="J1767" s="26" t="s">
        <v>512</v>
      </c>
      <c r="K1767" s="25" t="s">
        <v>513</v>
      </c>
    </row>
    <row r="1768" spans="1:11" ht="25.5" x14ac:dyDescent="0.25">
      <c r="A1768" s="22">
        <v>2026</v>
      </c>
      <c r="B1768" s="28" t="s">
        <v>183</v>
      </c>
      <c r="C1768" s="28" t="s">
        <v>97</v>
      </c>
      <c r="D1768" s="28" t="s">
        <v>1745</v>
      </c>
      <c r="E1768" s="29" t="s">
        <v>1777</v>
      </c>
      <c r="F1768" s="29" t="s">
        <v>284</v>
      </c>
      <c r="G1768" s="25" t="s">
        <v>3530</v>
      </c>
      <c r="H1768" s="26">
        <v>-0.45524999999999999</v>
      </c>
      <c r="I1768" s="26"/>
      <c r="J1768" s="26" t="s">
        <v>512</v>
      </c>
      <c r="K1768" s="25" t="s">
        <v>513</v>
      </c>
    </row>
    <row r="1769" spans="1:11" ht="25.5" x14ac:dyDescent="0.25">
      <c r="A1769" s="22">
        <v>2026</v>
      </c>
      <c r="B1769" s="28" t="s">
        <v>183</v>
      </c>
      <c r="C1769" s="28" t="s">
        <v>97</v>
      </c>
      <c r="D1769" s="28" t="s">
        <v>1745</v>
      </c>
      <c r="E1769" s="29" t="s">
        <v>1777</v>
      </c>
      <c r="F1769" s="29" t="s">
        <v>284</v>
      </c>
      <c r="G1769" s="25" t="s">
        <v>3531</v>
      </c>
      <c r="H1769" s="26">
        <v>-0.18210000000000001</v>
      </c>
      <c r="I1769" s="26"/>
      <c r="J1769" s="26" t="s">
        <v>512</v>
      </c>
      <c r="K1769" s="25" t="s">
        <v>513</v>
      </c>
    </row>
    <row r="1770" spans="1:11" ht="25.5" x14ac:dyDescent="0.25">
      <c r="A1770" s="22">
        <v>2026</v>
      </c>
      <c r="B1770" s="28" t="s">
        <v>183</v>
      </c>
      <c r="C1770" s="28" t="s">
        <v>97</v>
      </c>
      <c r="D1770" s="28" t="s">
        <v>1745</v>
      </c>
      <c r="E1770" s="29" t="s">
        <v>1777</v>
      </c>
      <c r="F1770" s="29" t="s">
        <v>284</v>
      </c>
      <c r="G1770" s="25" t="s">
        <v>3532</v>
      </c>
      <c r="H1770" s="26">
        <v>-0.60599999999999998</v>
      </c>
      <c r="I1770" s="26"/>
      <c r="J1770" s="26" t="s">
        <v>512</v>
      </c>
      <c r="K1770" s="25" t="s">
        <v>513</v>
      </c>
    </row>
    <row r="1771" spans="1:11" ht="25.5" x14ac:dyDescent="0.25">
      <c r="A1771" s="22">
        <v>2026</v>
      </c>
      <c r="B1771" s="28" t="s">
        <v>183</v>
      </c>
      <c r="C1771" s="28" t="s">
        <v>97</v>
      </c>
      <c r="D1771" s="28" t="s">
        <v>1746</v>
      </c>
      <c r="E1771" s="29" t="s">
        <v>1778</v>
      </c>
      <c r="F1771" s="29" t="s">
        <v>1274</v>
      </c>
      <c r="G1771" s="25" t="s">
        <v>3533</v>
      </c>
      <c r="H1771" s="26">
        <v>-0.83116923759999994</v>
      </c>
      <c r="I1771" s="26"/>
      <c r="J1771" s="26" t="s">
        <v>514</v>
      </c>
      <c r="K1771" s="25" t="s">
        <v>513</v>
      </c>
    </row>
    <row r="1772" spans="1:11" ht="25.5" x14ac:dyDescent="0.25">
      <c r="A1772" s="22">
        <v>2026</v>
      </c>
      <c r="B1772" s="28" t="s">
        <v>183</v>
      </c>
      <c r="C1772" s="28" t="s">
        <v>97</v>
      </c>
      <c r="D1772" s="28" t="s">
        <v>1746</v>
      </c>
      <c r="E1772" s="29" t="s">
        <v>1778</v>
      </c>
      <c r="F1772" s="29" t="s">
        <v>1274</v>
      </c>
      <c r="G1772" s="25" t="s">
        <v>3534</v>
      </c>
      <c r="H1772" s="26">
        <v>-0.83969121280000003</v>
      </c>
      <c r="I1772" s="26"/>
      <c r="J1772" s="26" t="s">
        <v>514</v>
      </c>
      <c r="K1772" s="25" t="s">
        <v>513</v>
      </c>
    </row>
    <row r="1773" spans="1:11" ht="25.5" x14ac:dyDescent="0.25">
      <c r="A1773" s="22">
        <v>2026</v>
      </c>
      <c r="B1773" s="28" t="s">
        <v>183</v>
      </c>
      <c r="C1773" s="28" t="s">
        <v>97</v>
      </c>
      <c r="D1773" s="28" t="s">
        <v>1746</v>
      </c>
      <c r="E1773" s="29" t="s">
        <v>1778</v>
      </c>
      <c r="F1773" s="29" t="s">
        <v>1274</v>
      </c>
      <c r="G1773" s="25" t="s">
        <v>3535</v>
      </c>
      <c r="H1773" s="26">
        <v>-0.81256479199999998</v>
      </c>
      <c r="I1773" s="26"/>
      <c r="J1773" s="26" t="s">
        <v>514</v>
      </c>
      <c r="K1773" s="25" t="s">
        <v>513</v>
      </c>
    </row>
    <row r="1774" spans="1:11" ht="25.5" x14ac:dyDescent="0.25">
      <c r="A1774" s="22">
        <v>2026</v>
      </c>
      <c r="B1774" s="28" t="s">
        <v>183</v>
      </c>
      <c r="C1774" s="28" t="s">
        <v>97</v>
      </c>
      <c r="D1774" s="28" t="s">
        <v>1746</v>
      </c>
      <c r="E1774" s="29" t="s">
        <v>1778</v>
      </c>
      <c r="F1774" s="29" t="s">
        <v>1274</v>
      </c>
      <c r="G1774" s="25" t="s">
        <v>3536</v>
      </c>
      <c r="H1774" s="26">
        <v>-0.82655993400000005</v>
      </c>
      <c r="I1774" s="26"/>
      <c r="J1774" s="26" t="s">
        <v>514</v>
      </c>
      <c r="K1774" s="25" t="s">
        <v>513</v>
      </c>
    </row>
    <row r="1775" spans="1:11" ht="25.5" x14ac:dyDescent="0.25">
      <c r="A1775" s="22">
        <v>2026</v>
      </c>
      <c r="B1775" s="28" t="s">
        <v>183</v>
      </c>
      <c r="C1775" s="28" t="s">
        <v>97</v>
      </c>
      <c r="D1775" s="28" t="s">
        <v>1746</v>
      </c>
      <c r="E1775" s="29" t="s">
        <v>1778</v>
      </c>
      <c r="F1775" s="29" t="s">
        <v>1274</v>
      </c>
      <c r="G1775" s="25" t="s">
        <v>3537</v>
      </c>
      <c r="H1775" s="26">
        <v>-0.84644059500000013</v>
      </c>
      <c r="I1775" s="26"/>
      <c r="J1775" s="26" t="s">
        <v>514</v>
      </c>
      <c r="K1775" s="25" t="s">
        <v>513</v>
      </c>
    </row>
    <row r="1776" spans="1:11" ht="25.5" x14ac:dyDescent="0.25">
      <c r="A1776" s="22">
        <v>2026</v>
      </c>
      <c r="B1776" s="28" t="s">
        <v>183</v>
      </c>
      <c r="C1776" s="28" t="s">
        <v>97</v>
      </c>
      <c r="D1776" s="28" t="s">
        <v>1746</v>
      </c>
      <c r="E1776" s="29" t="s">
        <v>1778</v>
      </c>
      <c r="F1776" s="29" t="s">
        <v>1274</v>
      </c>
      <c r="G1776" s="25" t="s">
        <v>3538</v>
      </c>
      <c r="H1776" s="26">
        <v>-0.8511683335000001</v>
      </c>
      <c r="I1776" s="26"/>
      <c r="J1776" s="26" t="s">
        <v>514</v>
      </c>
      <c r="K1776" s="25" t="s">
        <v>513</v>
      </c>
    </row>
    <row r="1777" spans="1:11" ht="25.5" x14ac:dyDescent="0.25">
      <c r="A1777" s="22">
        <v>2026</v>
      </c>
      <c r="B1777" s="28" t="s">
        <v>183</v>
      </c>
      <c r="C1777" s="28" t="s">
        <v>97</v>
      </c>
      <c r="D1777" s="28" t="s">
        <v>1746</v>
      </c>
      <c r="E1777" s="29" t="s">
        <v>1778</v>
      </c>
      <c r="F1777" s="29" t="s">
        <v>1274</v>
      </c>
      <c r="G1777" s="25" t="s">
        <v>3539</v>
      </c>
      <c r="H1777" s="26">
        <v>-0.85272056839999999</v>
      </c>
      <c r="I1777" s="26"/>
      <c r="J1777" s="26" t="s">
        <v>514</v>
      </c>
      <c r="K1777" s="25" t="s">
        <v>513</v>
      </c>
    </row>
    <row r="1778" spans="1:11" ht="25.5" x14ac:dyDescent="0.25">
      <c r="A1778" s="22">
        <v>2026</v>
      </c>
      <c r="B1778" s="28" t="s">
        <v>183</v>
      </c>
      <c r="C1778" s="28" t="s">
        <v>97</v>
      </c>
      <c r="D1778" s="28" t="s">
        <v>1746</v>
      </c>
      <c r="E1778" s="29" t="s">
        <v>1778</v>
      </c>
      <c r="F1778" s="29" t="s">
        <v>1274</v>
      </c>
      <c r="G1778" s="25" t="s">
        <v>3540</v>
      </c>
      <c r="H1778" s="26">
        <v>-0.84752551219999994</v>
      </c>
      <c r="I1778" s="26"/>
      <c r="J1778" s="26" t="s">
        <v>514</v>
      </c>
      <c r="K1778" s="25" t="s">
        <v>513</v>
      </c>
    </row>
    <row r="1779" spans="1:11" ht="25.5" x14ac:dyDescent="0.25">
      <c r="A1779" s="22">
        <v>2026</v>
      </c>
      <c r="B1779" s="28" t="s">
        <v>183</v>
      </c>
      <c r="C1779" s="28" t="s">
        <v>97</v>
      </c>
      <c r="D1779" s="28" t="s">
        <v>1746</v>
      </c>
      <c r="E1779" s="29" t="s">
        <v>1778</v>
      </c>
      <c r="F1779" s="29" t="s">
        <v>1274</v>
      </c>
      <c r="G1779" s="25" t="s">
        <v>3541</v>
      </c>
      <c r="H1779" s="26">
        <v>-0.83223089670000006</v>
      </c>
      <c r="I1779" s="26"/>
      <c r="J1779" s="26" t="s">
        <v>514</v>
      </c>
      <c r="K1779" s="25" t="s">
        <v>513</v>
      </c>
    </row>
    <row r="1780" spans="1:11" ht="25.5" x14ac:dyDescent="0.25">
      <c r="A1780" s="22">
        <v>2026</v>
      </c>
      <c r="B1780" s="28" t="s">
        <v>183</v>
      </c>
      <c r="C1780" s="28" t="s">
        <v>97</v>
      </c>
      <c r="D1780" s="28" t="s">
        <v>1746</v>
      </c>
      <c r="E1780" s="29" t="s">
        <v>1778</v>
      </c>
      <c r="F1780" s="29" t="s">
        <v>1274</v>
      </c>
      <c r="G1780" s="25" t="s">
        <v>3542</v>
      </c>
      <c r="H1780" s="26">
        <v>-0.84940024399999992</v>
      </c>
      <c r="I1780" s="26"/>
      <c r="J1780" s="26" t="s">
        <v>514</v>
      </c>
      <c r="K1780" s="25" t="s">
        <v>513</v>
      </c>
    </row>
    <row r="1781" spans="1:11" ht="25.5" x14ac:dyDescent="0.25">
      <c r="A1781" s="22">
        <v>2026</v>
      </c>
      <c r="B1781" s="28" t="s">
        <v>183</v>
      </c>
      <c r="C1781" s="28" t="s">
        <v>97</v>
      </c>
      <c r="D1781" s="28" t="s">
        <v>1746</v>
      </c>
      <c r="E1781" s="29" t="s">
        <v>1778</v>
      </c>
      <c r="F1781" s="29" t="s">
        <v>1274</v>
      </c>
      <c r="G1781" s="25" t="s">
        <v>3543</v>
      </c>
      <c r="H1781" s="26">
        <v>-0.82194376980000006</v>
      </c>
      <c r="I1781" s="26"/>
      <c r="J1781" s="26" t="s">
        <v>514</v>
      </c>
      <c r="K1781" s="25" t="s">
        <v>513</v>
      </c>
    </row>
    <row r="1782" spans="1:11" ht="25.5" x14ac:dyDescent="0.25">
      <c r="A1782" s="22">
        <v>2026</v>
      </c>
      <c r="B1782" s="28" t="s">
        <v>183</v>
      </c>
      <c r="C1782" s="28" t="s">
        <v>97</v>
      </c>
      <c r="D1782" s="28" t="s">
        <v>1746</v>
      </c>
      <c r="E1782" s="29" t="s">
        <v>1778</v>
      </c>
      <c r="F1782" s="29" t="s">
        <v>1274</v>
      </c>
      <c r="G1782" s="25" t="s">
        <v>3544</v>
      </c>
      <c r="H1782" s="26">
        <v>-0.82502007909999997</v>
      </c>
      <c r="I1782" s="26"/>
      <c r="J1782" s="26" t="s">
        <v>514</v>
      </c>
      <c r="K1782" s="25" t="s">
        <v>513</v>
      </c>
    </row>
    <row r="1783" spans="1:11" ht="25.5" x14ac:dyDescent="0.25">
      <c r="A1783" s="22">
        <v>2026</v>
      </c>
      <c r="B1783" s="28" t="s">
        <v>183</v>
      </c>
      <c r="C1783" s="28" t="s">
        <v>97</v>
      </c>
      <c r="D1783" s="28" t="s">
        <v>1746</v>
      </c>
      <c r="E1783" s="29" t="s">
        <v>1778</v>
      </c>
      <c r="F1783" s="29" t="s">
        <v>1274</v>
      </c>
      <c r="G1783" s="25" t="s">
        <v>3545</v>
      </c>
      <c r="H1783" s="26">
        <v>-0.81901030200000002</v>
      </c>
      <c r="I1783" s="26"/>
      <c r="J1783" s="26" t="s">
        <v>514</v>
      </c>
      <c r="K1783" s="25" t="s">
        <v>513</v>
      </c>
    </row>
    <row r="1784" spans="1:11" ht="25.5" x14ac:dyDescent="0.25">
      <c r="A1784" s="22">
        <v>2026</v>
      </c>
      <c r="B1784" s="28" t="s">
        <v>183</v>
      </c>
      <c r="C1784" s="28" t="s">
        <v>97</v>
      </c>
      <c r="D1784" s="28" t="s">
        <v>1746</v>
      </c>
      <c r="E1784" s="29" t="s">
        <v>1778</v>
      </c>
      <c r="F1784" s="29" t="s">
        <v>1274</v>
      </c>
      <c r="G1784" s="25" t="s">
        <v>3546</v>
      </c>
      <c r="H1784" s="26">
        <v>-1.0730850000000001</v>
      </c>
      <c r="I1784" s="26"/>
      <c r="J1784" s="26" t="s">
        <v>514</v>
      </c>
      <c r="K1784" s="25" t="s">
        <v>513</v>
      </c>
    </row>
    <row r="1785" spans="1:11" ht="25.5" x14ac:dyDescent="0.25">
      <c r="A1785" s="22">
        <v>2026</v>
      </c>
      <c r="B1785" s="28" t="s">
        <v>183</v>
      </c>
      <c r="C1785" s="28" t="s">
        <v>97</v>
      </c>
      <c r="D1785" s="28" t="s">
        <v>1746</v>
      </c>
      <c r="E1785" s="29" t="s">
        <v>1778</v>
      </c>
      <c r="F1785" s="29" t="s">
        <v>1274</v>
      </c>
      <c r="G1785" s="25" t="s">
        <v>3547</v>
      </c>
      <c r="H1785" s="26">
        <v>-1.0766458999999999</v>
      </c>
      <c r="I1785" s="26"/>
      <c r="J1785" s="26" t="s">
        <v>514</v>
      </c>
      <c r="K1785" s="25" t="s">
        <v>513</v>
      </c>
    </row>
    <row r="1786" spans="1:11" ht="25.5" x14ac:dyDescent="0.25">
      <c r="A1786" s="22">
        <v>2026</v>
      </c>
      <c r="B1786" s="28" t="s">
        <v>183</v>
      </c>
      <c r="C1786" s="28" t="s">
        <v>97</v>
      </c>
      <c r="D1786" s="28" t="s">
        <v>1746</v>
      </c>
      <c r="E1786" s="29" t="s">
        <v>1778</v>
      </c>
      <c r="F1786" s="29" t="s">
        <v>1274</v>
      </c>
      <c r="G1786" s="25" t="s">
        <v>3548</v>
      </c>
      <c r="H1786" s="26">
        <v>-1.0759837467999998</v>
      </c>
      <c r="I1786" s="26"/>
      <c r="J1786" s="26" t="s">
        <v>514</v>
      </c>
      <c r="K1786" s="25" t="s">
        <v>513</v>
      </c>
    </row>
    <row r="1787" spans="1:11" ht="25.5" x14ac:dyDescent="0.25">
      <c r="A1787" s="22">
        <v>2026</v>
      </c>
      <c r="B1787" s="28" t="s">
        <v>183</v>
      </c>
      <c r="C1787" s="28" t="s">
        <v>97</v>
      </c>
      <c r="D1787" s="28" t="s">
        <v>1746</v>
      </c>
      <c r="E1787" s="29" t="s">
        <v>1778</v>
      </c>
      <c r="F1787" s="29" t="s">
        <v>1274</v>
      </c>
      <c r="G1787" s="25" t="s">
        <v>3549</v>
      </c>
      <c r="H1787" s="26">
        <v>-1.0411776560000001</v>
      </c>
      <c r="I1787" s="26"/>
      <c r="J1787" s="26" t="s">
        <v>514</v>
      </c>
      <c r="K1787" s="25" t="s">
        <v>513</v>
      </c>
    </row>
    <row r="1788" spans="1:11" ht="25.5" x14ac:dyDescent="0.25">
      <c r="A1788" s="22">
        <v>2026</v>
      </c>
      <c r="B1788" s="28" t="s">
        <v>183</v>
      </c>
      <c r="C1788" s="28" t="s">
        <v>97</v>
      </c>
      <c r="D1788" s="28" t="s">
        <v>1746</v>
      </c>
      <c r="E1788" s="29" t="s">
        <v>1778</v>
      </c>
      <c r="F1788" s="29" t="s">
        <v>1274</v>
      </c>
      <c r="G1788" s="25" t="s">
        <v>3550</v>
      </c>
      <c r="H1788" s="26">
        <v>-1.0476577055</v>
      </c>
      <c r="I1788" s="26"/>
      <c r="J1788" s="26" t="s">
        <v>514</v>
      </c>
      <c r="K1788" s="25" t="s">
        <v>513</v>
      </c>
    </row>
    <row r="1789" spans="1:11" ht="25.5" x14ac:dyDescent="0.25">
      <c r="A1789" s="22">
        <v>2026</v>
      </c>
      <c r="B1789" s="28" t="s">
        <v>183</v>
      </c>
      <c r="C1789" s="28" t="s">
        <v>97</v>
      </c>
      <c r="D1789" s="28" t="s">
        <v>1746</v>
      </c>
      <c r="E1789" s="29" t="s">
        <v>1778</v>
      </c>
      <c r="F1789" s="29" t="s">
        <v>1274</v>
      </c>
      <c r="G1789" s="25" t="s">
        <v>3551</v>
      </c>
      <c r="H1789" s="26">
        <v>-1.0562180326000001</v>
      </c>
      <c r="I1789" s="26"/>
      <c r="J1789" s="26" t="s">
        <v>514</v>
      </c>
      <c r="K1789" s="25" t="s">
        <v>513</v>
      </c>
    </row>
    <row r="1790" spans="1:11" ht="25.5" x14ac:dyDescent="0.25">
      <c r="A1790" s="22">
        <v>2026</v>
      </c>
      <c r="B1790" s="28" t="s">
        <v>183</v>
      </c>
      <c r="C1790" s="28" t="s">
        <v>97</v>
      </c>
      <c r="D1790" s="28" t="s">
        <v>1746</v>
      </c>
      <c r="E1790" s="29" t="s">
        <v>1778</v>
      </c>
      <c r="F1790" s="29" t="s">
        <v>1274</v>
      </c>
      <c r="G1790" s="25" t="s">
        <v>3552</v>
      </c>
      <c r="H1790" s="26">
        <v>-1.0445415629999999</v>
      </c>
      <c r="I1790" s="26"/>
      <c r="J1790" s="26" t="s">
        <v>514</v>
      </c>
      <c r="K1790" s="25" t="s">
        <v>513</v>
      </c>
    </row>
    <row r="1791" spans="1:11" ht="25.5" x14ac:dyDescent="0.25">
      <c r="A1791" s="22">
        <v>2026</v>
      </c>
      <c r="B1791" s="28" t="s">
        <v>183</v>
      </c>
      <c r="C1791" s="28" t="s">
        <v>97</v>
      </c>
      <c r="D1791" s="28" t="s">
        <v>1748</v>
      </c>
      <c r="E1791" s="29" t="s">
        <v>415</v>
      </c>
      <c r="F1791" s="29" t="s">
        <v>1759</v>
      </c>
      <c r="G1791" s="25" t="s">
        <v>3553</v>
      </c>
      <c r="H1791" s="26">
        <v>-0.44353272059999999</v>
      </c>
      <c r="I1791" s="26"/>
      <c r="J1791" s="26" t="s">
        <v>512</v>
      </c>
      <c r="K1791" s="25" t="s">
        <v>513</v>
      </c>
    </row>
    <row r="1792" spans="1:11" ht="25.5" x14ac:dyDescent="0.25">
      <c r="A1792" s="22">
        <v>2026</v>
      </c>
      <c r="B1792" s="28" t="s">
        <v>183</v>
      </c>
      <c r="C1792" s="28" t="s">
        <v>97</v>
      </c>
      <c r="D1792" s="28" t="s">
        <v>1748</v>
      </c>
      <c r="E1792" s="29" t="s">
        <v>415</v>
      </c>
      <c r="F1792" s="29" t="s">
        <v>1759</v>
      </c>
      <c r="G1792" s="25" t="s">
        <v>3554</v>
      </c>
      <c r="H1792" s="26">
        <v>-1.4356042275000001</v>
      </c>
      <c r="I1792" s="26"/>
      <c r="J1792" s="26" t="s">
        <v>512</v>
      </c>
      <c r="K1792" s="25" t="s">
        <v>513</v>
      </c>
    </row>
    <row r="1793" spans="1:11" ht="25.5" x14ac:dyDescent="0.25">
      <c r="A1793" s="22">
        <v>2026</v>
      </c>
      <c r="B1793" s="28" t="s">
        <v>183</v>
      </c>
      <c r="C1793" s="28" t="s">
        <v>97</v>
      </c>
      <c r="D1793" s="28" t="s">
        <v>1748</v>
      </c>
      <c r="E1793" s="29" t="s">
        <v>415</v>
      </c>
      <c r="F1793" s="29" t="s">
        <v>1759</v>
      </c>
      <c r="G1793" s="25" t="s">
        <v>3555</v>
      </c>
      <c r="H1793" s="26">
        <v>-0.48</v>
      </c>
      <c r="I1793" s="26"/>
      <c r="J1793" s="26" t="s">
        <v>512</v>
      </c>
      <c r="K1793" s="25" t="s">
        <v>513</v>
      </c>
    </row>
    <row r="1794" spans="1:11" ht="25.5" x14ac:dyDescent="0.25">
      <c r="A1794" s="22">
        <v>2026</v>
      </c>
      <c r="B1794" s="28" t="s">
        <v>183</v>
      </c>
      <c r="C1794" s="28" t="s">
        <v>97</v>
      </c>
      <c r="D1794" s="28" t="s">
        <v>1748</v>
      </c>
      <c r="E1794" s="29" t="s">
        <v>415</v>
      </c>
      <c r="F1794" s="29" t="s">
        <v>1759</v>
      </c>
      <c r="G1794" s="25" t="s">
        <v>3556</v>
      </c>
      <c r="H1794" s="26">
        <v>-1.5811587791999999</v>
      </c>
      <c r="I1794" s="26"/>
      <c r="J1794" s="26" t="s">
        <v>512</v>
      </c>
      <c r="K1794" s="25" t="s">
        <v>513</v>
      </c>
    </row>
    <row r="1795" spans="1:11" ht="25.5" x14ac:dyDescent="0.25">
      <c r="A1795" s="22">
        <v>2026</v>
      </c>
      <c r="B1795" s="28" t="s">
        <v>183</v>
      </c>
      <c r="C1795" s="28" t="s">
        <v>97</v>
      </c>
      <c r="D1795" s="28" t="s">
        <v>536</v>
      </c>
      <c r="E1795" s="29" t="s">
        <v>558</v>
      </c>
      <c r="F1795" s="29" t="s">
        <v>282</v>
      </c>
      <c r="G1795" s="25" t="s">
        <v>3557</v>
      </c>
      <c r="H1795" s="26">
        <v>-4.9961199999999997E-2</v>
      </c>
      <c r="I1795" s="26"/>
      <c r="J1795" s="26" t="s">
        <v>514</v>
      </c>
      <c r="K1795" s="25" t="s">
        <v>513</v>
      </c>
    </row>
    <row r="1796" spans="1:11" ht="25.5" x14ac:dyDescent="0.25">
      <c r="A1796" s="22">
        <v>2026</v>
      </c>
      <c r="B1796" s="28" t="s">
        <v>183</v>
      </c>
      <c r="C1796" s="28" t="s">
        <v>97</v>
      </c>
      <c r="D1796" s="28" t="s">
        <v>536</v>
      </c>
      <c r="E1796" s="29" t="s">
        <v>558</v>
      </c>
      <c r="F1796" s="29" t="s">
        <v>282</v>
      </c>
      <c r="G1796" s="25" t="s">
        <v>3558</v>
      </c>
      <c r="H1796" s="26">
        <v>-4.969875E-2</v>
      </c>
      <c r="I1796" s="26"/>
      <c r="J1796" s="26" t="s">
        <v>514</v>
      </c>
      <c r="K1796" s="25" t="s">
        <v>513</v>
      </c>
    </row>
    <row r="1797" spans="1:11" ht="25.5" x14ac:dyDescent="0.25">
      <c r="A1797" s="22">
        <v>2026</v>
      </c>
      <c r="B1797" s="28" t="s">
        <v>183</v>
      </c>
      <c r="C1797" s="28" t="s">
        <v>97</v>
      </c>
      <c r="D1797" s="28" t="s">
        <v>536</v>
      </c>
      <c r="E1797" s="29" t="s">
        <v>558</v>
      </c>
      <c r="F1797" s="29" t="s">
        <v>282</v>
      </c>
      <c r="G1797" s="25" t="s">
        <v>3559</v>
      </c>
      <c r="H1797" s="26">
        <v>-4.971325E-2</v>
      </c>
      <c r="I1797" s="26"/>
      <c r="J1797" s="26" t="s">
        <v>514</v>
      </c>
      <c r="K1797" s="25" t="s">
        <v>513</v>
      </c>
    </row>
    <row r="1798" spans="1:11" ht="25.5" x14ac:dyDescent="0.25">
      <c r="A1798" s="22">
        <v>2026</v>
      </c>
      <c r="B1798" s="28" t="s">
        <v>183</v>
      </c>
      <c r="C1798" s="28" t="s">
        <v>97</v>
      </c>
      <c r="D1798" s="28" t="s">
        <v>536</v>
      </c>
      <c r="E1798" s="29" t="s">
        <v>558</v>
      </c>
      <c r="F1798" s="29" t="s">
        <v>282</v>
      </c>
      <c r="G1798" s="25" t="s">
        <v>3560</v>
      </c>
      <c r="H1798" s="26">
        <v>-4.9611750000000003E-2</v>
      </c>
      <c r="I1798" s="26"/>
      <c r="J1798" s="26" t="s">
        <v>514</v>
      </c>
      <c r="K1798" s="25" t="s">
        <v>513</v>
      </c>
    </row>
    <row r="1799" spans="1:11" ht="25.5" x14ac:dyDescent="0.25">
      <c r="A1799" s="22">
        <v>2026</v>
      </c>
      <c r="B1799" s="28" t="s">
        <v>183</v>
      </c>
      <c r="C1799" s="28" t="s">
        <v>97</v>
      </c>
      <c r="D1799" s="28" t="s">
        <v>536</v>
      </c>
      <c r="E1799" s="29" t="s">
        <v>558</v>
      </c>
      <c r="F1799" s="29" t="s">
        <v>282</v>
      </c>
      <c r="G1799" s="25" t="s">
        <v>3561</v>
      </c>
      <c r="H1799" s="26">
        <v>-4.9863300000000006E-2</v>
      </c>
      <c r="I1799" s="26"/>
      <c r="J1799" s="26" t="s">
        <v>514</v>
      </c>
      <c r="K1799" s="25" t="s">
        <v>513</v>
      </c>
    </row>
    <row r="1800" spans="1:11" ht="25.5" x14ac:dyDescent="0.25">
      <c r="A1800" s="22">
        <v>2026</v>
      </c>
      <c r="B1800" s="28" t="s">
        <v>183</v>
      </c>
      <c r="C1800" s="28" t="s">
        <v>97</v>
      </c>
      <c r="D1800" s="28" t="s">
        <v>536</v>
      </c>
      <c r="E1800" s="29" t="s">
        <v>558</v>
      </c>
      <c r="F1800" s="29" t="s">
        <v>282</v>
      </c>
      <c r="G1800" s="25" t="s">
        <v>3562</v>
      </c>
      <c r="H1800" s="26">
        <v>-4.9877499999999998E-2</v>
      </c>
      <c r="I1800" s="26"/>
      <c r="J1800" s="26" t="s">
        <v>514</v>
      </c>
      <c r="K1800" s="25" t="s">
        <v>513</v>
      </c>
    </row>
    <row r="1801" spans="1:11" ht="25.5" x14ac:dyDescent="0.25">
      <c r="A1801" s="22">
        <v>2026</v>
      </c>
      <c r="B1801" s="28" t="s">
        <v>183</v>
      </c>
      <c r="C1801" s="28" t="s">
        <v>97</v>
      </c>
      <c r="D1801" s="28" t="s">
        <v>536</v>
      </c>
      <c r="E1801" s="29" t="s">
        <v>558</v>
      </c>
      <c r="F1801" s="29" t="s">
        <v>282</v>
      </c>
      <c r="G1801" s="25" t="s">
        <v>3563</v>
      </c>
      <c r="H1801" s="26">
        <v>-4.9461999999999999E-2</v>
      </c>
      <c r="I1801" s="26"/>
      <c r="J1801" s="26" t="s">
        <v>514</v>
      </c>
      <c r="K1801" s="25" t="s">
        <v>513</v>
      </c>
    </row>
    <row r="1802" spans="1:11" ht="25.5" x14ac:dyDescent="0.25">
      <c r="A1802" s="22">
        <v>2026</v>
      </c>
      <c r="B1802" s="28" t="s">
        <v>183</v>
      </c>
      <c r="C1802" s="28" t="s">
        <v>97</v>
      </c>
      <c r="D1802" s="28" t="s">
        <v>536</v>
      </c>
      <c r="E1802" s="29" t="s">
        <v>558</v>
      </c>
      <c r="F1802" s="29" t="s">
        <v>282</v>
      </c>
      <c r="G1802" s="25" t="s">
        <v>3564</v>
      </c>
      <c r="H1802" s="26">
        <v>-4.9510999999999999E-2</v>
      </c>
      <c r="I1802" s="26"/>
      <c r="J1802" s="26" t="s">
        <v>514</v>
      </c>
      <c r="K1802" s="25" t="s">
        <v>513</v>
      </c>
    </row>
    <row r="1803" spans="1:11" ht="25.5" x14ac:dyDescent="0.25">
      <c r="A1803" s="22">
        <v>2026</v>
      </c>
      <c r="B1803" s="28" t="s">
        <v>183</v>
      </c>
      <c r="C1803" s="28" t="s">
        <v>97</v>
      </c>
      <c r="D1803" s="28" t="s">
        <v>536</v>
      </c>
      <c r="E1803" s="29" t="s">
        <v>558</v>
      </c>
      <c r="F1803" s="29" t="s">
        <v>282</v>
      </c>
      <c r="G1803" s="25" t="s">
        <v>2621</v>
      </c>
      <c r="H1803" s="26">
        <v>-4.9759200000000003E-2</v>
      </c>
      <c r="I1803" s="26"/>
      <c r="J1803" s="26" t="s">
        <v>514</v>
      </c>
      <c r="K1803" s="25" t="s">
        <v>513</v>
      </c>
    </row>
    <row r="1804" spans="1:11" ht="25.5" x14ac:dyDescent="0.25">
      <c r="A1804" s="22">
        <v>2026</v>
      </c>
      <c r="B1804" s="28" t="s">
        <v>183</v>
      </c>
      <c r="C1804" s="28" t="s">
        <v>97</v>
      </c>
      <c r="D1804" s="28" t="s">
        <v>536</v>
      </c>
      <c r="E1804" s="29" t="s">
        <v>558</v>
      </c>
      <c r="F1804" s="29" t="s">
        <v>282</v>
      </c>
      <c r="G1804" s="25" t="s">
        <v>3565</v>
      </c>
      <c r="H1804" s="26">
        <v>-4.9615200000000005E-2</v>
      </c>
      <c r="I1804" s="26"/>
      <c r="J1804" s="26" t="s">
        <v>514</v>
      </c>
      <c r="K1804" s="25" t="s">
        <v>513</v>
      </c>
    </row>
    <row r="1805" spans="1:11" ht="25.5" x14ac:dyDescent="0.25">
      <c r="A1805" s="22">
        <v>2026</v>
      </c>
      <c r="B1805" s="28" t="s">
        <v>183</v>
      </c>
      <c r="C1805" s="28" t="s">
        <v>97</v>
      </c>
      <c r="D1805" s="28" t="s">
        <v>536</v>
      </c>
      <c r="E1805" s="29" t="s">
        <v>558</v>
      </c>
      <c r="F1805" s="29" t="s">
        <v>282</v>
      </c>
      <c r="G1805" s="25" t="s">
        <v>3566</v>
      </c>
      <c r="H1805" s="26">
        <v>-4.9972200000000001E-2</v>
      </c>
      <c r="I1805" s="26"/>
      <c r="J1805" s="26" t="s">
        <v>514</v>
      </c>
      <c r="K1805" s="25" t="s">
        <v>513</v>
      </c>
    </row>
    <row r="1806" spans="1:11" ht="25.5" x14ac:dyDescent="0.25">
      <c r="A1806" s="22">
        <v>2026</v>
      </c>
      <c r="B1806" s="28" t="s">
        <v>183</v>
      </c>
      <c r="C1806" s="28" t="s">
        <v>97</v>
      </c>
      <c r="D1806" s="28" t="s">
        <v>536</v>
      </c>
      <c r="E1806" s="29" t="s">
        <v>558</v>
      </c>
      <c r="F1806" s="29" t="s">
        <v>282</v>
      </c>
      <c r="G1806" s="25" t="s">
        <v>3567</v>
      </c>
      <c r="H1806" s="26">
        <v>-4.96915E-2</v>
      </c>
      <c r="I1806" s="26"/>
      <c r="J1806" s="26" t="s">
        <v>514</v>
      </c>
      <c r="K1806" s="25" t="s">
        <v>513</v>
      </c>
    </row>
    <row r="1807" spans="1:11" ht="25.5" x14ac:dyDescent="0.25">
      <c r="A1807" s="22">
        <v>2026</v>
      </c>
      <c r="B1807" s="28" t="s">
        <v>183</v>
      </c>
      <c r="C1807" s="28" t="s">
        <v>97</v>
      </c>
      <c r="D1807" s="28" t="s">
        <v>536</v>
      </c>
      <c r="E1807" s="29" t="s">
        <v>558</v>
      </c>
      <c r="F1807" s="29" t="s">
        <v>282</v>
      </c>
      <c r="G1807" s="25" t="s">
        <v>3568</v>
      </c>
      <c r="H1807" s="26">
        <v>-4.9635000000000006E-2</v>
      </c>
      <c r="I1807" s="26"/>
      <c r="J1807" s="26" t="s">
        <v>514</v>
      </c>
      <c r="K1807" s="25" t="s">
        <v>513</v>
      </c>
    </row>
    <row r="1808" spans="1:11" ht="25.5" x14ac:dyDescent="0.25">
      <c r="A1808" s="22">
        <v>2026</v>
      </c>
      <c r="B1808" s="28" t="s">
        <v>183</v>
      </c>
      <c r="C1808" s="28" t="s">
        <v>97</v>
      </c>
      <c r="D1808" s="28" t="s">
        <v>536</v>
      </c>
      <c r="E1808" s="29" t="s">
        <v>558</v>
      </c>
      <c r="F1808" s="29" t="s">
        <v>282</v>
      </c>
      <c r="G1808" s="25" t="s">
        <v>3569</v>
      </c>
      <c r="H1808" s="26">
        <v>-4.9795199999999998E-2</v>
      </c>
      <c r="I1808" s="26"/>
      <c r="J1808" s="26" t="s">
        <v>514</v>
      </c>
      <c r="K1808" s="25" t="s">
        <v>513</v>
      </c>
    </row>
    <row r="1809" spans="1:11" ht="25.5" x14ac:dyDescent="0.25">
      <c r="A1809" s="22">
        <v>2026</v>
      </c>
      <c r="B1809" s="28" t="s">
        <v>183</v>
      </c>
      <c r="C1809" s="28" t="s">
        <v>97</v>
      </c>
      <c r="D1809" s="28" t="s">
        <v>536</v>
      </c>
      <c r="E1809" s="29" t="s">
        <v>558</v>
      </c>
      <c r="F1809" s="29" t="s">
        <v>282</v>
      </c>
      <c r="G1809" s="25" t="s">
        <v>3570</v>
      </c>
      <c r="H1809" s="26">
        <v>-4.9734300000000002E-2</v>
      </c>
      <c r="I1809" s="26"/>
      <c r="J1809" s="26" t="s">
        <v>514</v>
      </c>
      <c r="K1809" s="25" t="s">
        <v>513</v>
      </c>
    </row>
    <row r="1810" spans="1:11" ht="25.5" x14ac:dyDescent="0.25">
      <c r="A1810" s="22">
        <v>2026</v>
      </c>
      <c r="B1810" s="28" t="s">
        <v>183</v>
      </c>
      <c r="C1810" s="28" t="s">
        <v>97</v>
      </c>
      <c r="D1810" s="28" t="s">
        <v>536</v>
      </c>
      <c r="E1810" s="29" t="s">
        <v>558</v>
      </c>
      <c r="F1810" s="29" t="s">
        <v>282</v>
      </c>
      <c r="G1810" s="25" t="s">
        <v>3571</v>
      </c>
      <c r="H1810" s="26">
        <v>-4.9857499999999999E-2</v>
      </c>
      <c r="I1810" s="26"/>
      <c r="J1810" s="26" t="s">
        <v>514</v>
      </c>
      <c r="K1810" s="25" t="s">
        <v>513</v>
      </c>
    </row>
    <row r="1811" spans="1:11" ht="25.5" x14ac:dyDescent="0.25">
      <c r="A1811" s="22">
        <v>2026</v>
      </c>
      <c r="B1811" s="28" t="s">
        <v>183</v>
      </c>
      <c r="C1811" s="28" t="s">
        <v>97</v>
      </c>
      <c r="D1811" s="28" t="s">
        <v>536</v>
      </c>
      <c r="E1811" s="29" t="s">
        <v>558</v>
      </c>
      <c r="F1811" s="29" t="s">
        <v>282</v>
      </c>
      <c r="G1811" s="25" t="s">
        <v>3572</v>
      </c>
      <c r="H1811" s="26">
        <v>-4.9896000000000003E-2</v>
      </c>
      <c r="I1811" s="26"/>
      <c r="J1811" s="26" t="s">
        <v>514</v>
      </c>
      <c r="K1811" s="25" t="s">
        <v>513</v>
      </c>
    </row>
    <row r="1812" spans="1:11" ht="25.5" x14ac:dyDescent="0.25">
      <c r="A1812" s="22">
        <v>2026</v>
      </c>
      <c r="B1812" s="28" t="s">
        <v>183</v>
      </c>
      <c r="C1812" s="28" t="s">
        <v>97</v>
      </c>
      <c r="D1812" s="28" t="s">
        <v>536</v>
      </c>
      <c r="E1812" s="29" t="s">
        <v>558</v>
      </c>
      <c r="F1812" s="29" t="s">
        <v>282</v>
      </c>
      <c r="G1812" s="25" t="s">
        <v>3573</v>
      </c>
      <c r="H1812" s="26">
        <v>-4.9877999999999999E-2</v>
      </c>
      <c r="I1812" s="26"/>
      <c r="J1812" s="26" t="s">
        <v>514</v>
      </c>
      <c r="K1812" s="25" t="s">
        <v>513</v>
      </c>
    </row>
    <row r="1813" spans="1:11" ht="25.5" x14ac:dyDescent="0.25">
      <c r="A1813" s="22">
        <v>2026</v>
      </c>
      <c r="B1813" s="28" t="s">
        <v>183</v>
      </c>
      <c r="C1813" s="28" t="s">
        <v>97</v>
      </c>
      <c r="D1813" s="28" t="s">
        <v>536</v>
      </c>
      <c r="E1813" s="29" t="s">
        <v>558</v>
      </c>
      <c r="F1813" s="29" t="s">
        <v>282</v>
      </c>
      <c r="G1813" s="25" t="s">
        <v>3574</v>
      </c>
      <c r="H1813" s="26">
        <v>-4.9483599999999996E-2</v>
      </c>
      <c r="I1813" s="26"/>
      <c r="J1813" s="26" t="s">
        <v>514</v>
      </c>
      <c r="K1813" s="25" t="s">
        <v>513</v>
      </c>
    </row>
    <row r="1814" spans="1:11" ht="25.5" x14ac:dyDescent="0.25">
      <c r="A1814" s="22">
        <v>2026</v>
      </c>
      <c r="B1814" s="28" t="s">
        <v>183</v>
      </c>
      <c r="C1814" s="28" t="s">
        <v>97</v>
      </c>
      <c r="D1814" s="28" t="s">
        <v>536</v>
      </c>
      <c r="E1814" s="29" t="s">
        <v>558</v>
      </c>
      <c r="F1814" s="29" t="s">
        <v>282</v>
      </c>
      <c r="G1814" s="25" t="s">
        <v>3575</v>
      </c>
      <c r="H1814" s="26">
        <v>-0.49943959999999998</v>
      </c>
      <c r="I1814" s="26"/>
      <c r="J1814" s="26" t="s">
        <v>514</v>
      </c>
      <c r="K1814" s="25" t="s">
        <v>513</v>
      </c>
    </row>
    <row r="1815" spans="1:11" ht="25.5" x14ac:dyDescent="0.25">
      <c r="A1815" s="22">
        <v>2026</v>
      </c>
      <c r="B1815" s="28" t="s">
        <v>183</v>
      </c>
      <c r="C1815" s="28" t="s">
        <v>97</v>
      </c>
      <c r="D1815" s="28" t="s">
        <v>255</v>
      </c>
      <c r="E1815" s="29" t="s">
        <v>255</v>
      </c>
      <c r="F1815" s="29" t="s">
        <v>325</v>
      </c>
      <c r="G1815" s="25" t="s">
        <v>2645</v>
      </c>
      <c r="H1815" s="26">
        <v>-0.44</v>
      </c>
      <c r="I1815" s="26"/>
      <c r="J1815" s="26" t="s">
        <v>512</v>
      </c>
      <c r="K1815" s="25" t="s">
        <v>513</v>
      </c>
    </row>
    <row r="1816" spans="1:11" ht="25.5" x14ac:dyDescent="0.25">
      <c r="A1816" s="22">
        <v>2026</v>
      </c>
      <c r="B1816" s="28" t="s">
        <v>183</v>
      </c>
      <c r="C1816" s="28" t="s">
        <v>97</v>
      </c>
      <c r="D1816" s="28" t="s">
        <v>255</v>
      </c>
      <c r="E1816" s="29" t="s">
        <v>255</v>
      </c>
      <c r="F1816" s="29" t="s">
        <v>325</v>
      </c>
      <c r="G1816" s="25" t="s">
        <v>3576</v>
      </c>
      <c r="H1816" s="26">
        <v>-0.44240000000000002</v>
      </c>
      <c r="I1816" s="26"/>
      <c r="J1816" s="26" t="s">
        <v>512</v>
      </c>
      <c r="K1816" s="25" t="s">
        <v>513</v>
      </c>
    </row>
    <row r="1817" spans="1:11" ht="25.5" x14ac:dyDescent="0.25">
      <c r="A1817" s="22">
        <v>2026</v>
      </c>
      <c r="B1817" s="28" t="s">
        <v>183</v>
      </c>
      <c r="C1817" s="28" t="s">
        <v>97</v>
      </c>
      <c r="D1817" s="28" t="s">
        <v>255</v>
      </c>
      <c r="E1817" s="29" t="s">
        <v>255</v>
      </c>
      <c r="F1817" s="29" t="s">
        <v>325</v>
      </c>
      <c r="G1817" s="25" t="s">
        <v>3577</v>
      </c>
      <c r="H1817" s="26">
        <v>-0.441</v>
      </c>
      <c r="I1817" s="26"/>
      <c r="J1817" s="26" t="s">
        <v>512</v>
      </c>
      <c r="K1817" s="25" t="s">
        <v>513</v>
      </c>
    </row>
    <row r="1818" spans="1:11" ht="25.5" x14ac:dyDescent="0.25">
      <c r="A1818" s="22">
        <v>2026</v>
      </c>
      <c r="B1818" s="28" t="s">
        <v>183</v>
      </c>
      <c r="C1818" s="28" t="s">
        <v>97</v>
      </c>
      <c r="D1818" s="28" t="s">
        <v>255</v>
      </c>
      <c r="E1818" s="29" t="s">
        <v>255</v>
      </c>
      <c r="F1818" s="29" t="s">
        <v>325</v>
      </c>
      <c r="G1818" s="25" t="s">
        <v>3578</v>
      </c>
      <c r="H1818" s="26">
        <v>-0.43919999999999998</v>
      </c>
      <c r="I1818" s="26"/>
      <c r="J1818" s="26" t="s">
        <v>512</v>
      </c>
      <c r="K1818" s="25" t="s">
        <v>513</v>
      </c>
    </row>
    <row r="1819" spans="1:11" ht="25.5" x14ac:dyDescent="0.25">
      <c r="A1819" s="22">
        <v>2026</v>
      </c>
      <c r="B1819" s="28" t="s">
        <v>183</v>
      </c>
      <c r="C1819" s="28" t="s">
        <v>97</v>
      </c>
      <c r="D1819" s="28" t="s">
        <v>255</v>
      </c>
      <c r="E1819" s="29" t="s">
        <v>255</v>
      </c>
      <c r="F1819" s="29" t="s">
        <v>325</v>
      </c>
      <c r="G1819" s="25" t="s">
        <v>3579</v>
      </c>
      <c r="H1819" s="26">
        <v>-0.43940000000000001</v>
      </c>
      <c r="I1819" s="26"/>
      <c r="J1819" s="26" t="s">
        <v>512</v>
      </c>
      <c r="K1819" s="25" t="s">
        <v>513</v>
      </c>
    </row>
    <row r="1820" spans="1:11" ht="25.5" x14ac:dyDescent="0.25">
      <c r="A1820" s="22">
        <v>2026</v>
      </c>
      <c r="B1820" s="28" t="s">
        <v>183</v>
      </c>
      <c r="C1820" s="28" t="s">
        <v>97</v>
      </c>
      <c r="D1820" s="28" t="s">
        <v>255</v>
      </c>
      <c r="E1820" s="29" t="s">
        <v>255</v>
      </c>
      <c r="F1820" s="29" t="s">
        <v>325</v>
      </c>
      <c r="G1820" s="25" t="s">
        <v>3580</v>
      </c>
      <c r="H1820" s="26">
        <v>-0.43740000000000001</v>
      </c>
      <c r="I1820" s="26"/>
      <c r="J1820" s="26" t="s">
        <v>512</v>
      </c>
      <c r="K1820" s="25" t="s">
        <v>513</v>
      </c>
    </row>
    <row r="1821" spans="1:11" ht="25.5" x14ac:dyDescent="0.25">
      <c r="A1821" s="22">
        <v>2026</v>
      </c>
      <c r="B1821" s="28" t="s">
        <v>183</v>
      </c>
      <c r="C1821" s="28" t="s">
        <v>97</v>
      </c>
      <c r="D1821" s="28" t="s">
        <v>255</v>
      </c>
      <c r="E1821" s="29" t="s">
        <v>255</v>
      </c>
      <c r="F1821" s="29" t="s">
        <v>325</v>
      </c>
      <c r="G1821" s="25" t="s">
        <v>3581</v>
      </c>
      <c r="H1821" s="26">
        <v>-0.32984999999999998</v>
      </c>
      <c r="I1821" s="26"/>
      <c r="J1821" s="26" t="s">
        <v>512</v>
      </c>
      <c r="K1821" s="25" t="s">
        <v>513</v>
      </c>
    </row>
    <row r="1822" spans="1:11" ht="25.5" x14ac:dyDescent="0.25">
      <c r="A1822" s="22">
        <v>2026</v>
      </c>
      <c r="B1822" s="28" t="s">
        <v>183</v>
      </c>
      <c r="C1822" s="28" t="s">
        <v>97</v>
      </c>
      <c r="D1822" s="28" t="s">
        <v>255</v>
      </c>
      <c r="E1822" s="29" t="s">
        <v>255</v>
      </c>
      <c r="F1822" s="29" t="s">
        <v>325</v>
      </c>
      <c r="G1822" s="25" t="s">
        <v>3582</v>
      </c>
      <c r="H1822" s="26">
        <v>-0.44319999999999998</v>
      </c>
      <c r="I1822" s="26"/>
      <c r="J1822" s="26" t="s">
        <v>512</v>
      </c>
      <c r="K1822" s="25" t="s">
        <v>513</v>
      </c>
    </row>
    <row r="1823" spans="1:11" ht="25.5" x14ac:dyDescent="0.25">
      <c r="A1823" s="22">
        <v>2026</v>
      </c>
      <c r="B1823" s="28" t="s">
        <v>183</v>
      </c>
      <c r="C1823" s="28" t="s">
        <v>97</v>
      </c>
      <c r="D1823" s="28" t="s">
        <v>255</v>
      </c>
      <c r="E1823" s="29" t="s">
        <v>255</v>
      </c>
      <c r="F1823" s="29" t="s">
        <v>325</v>
      </c>
      <c r="G1823" s="25" t="s">
        <v>3583</v>
      </c>
      <c r="H1823" s="26">
        <v>-0.46367999999999993</v>
      </c>
      <c r="I1823" s="26"/>
      <c r="J1823" s="26" t="s">
        <v>512</v>
      </c>
      <c r="K1823" s="25" t="s">
        <v>513</v>
      </c>
    </row>
    <row r="1824" spans="1:11" ht="25.5" x14ac:dyDescent="0.25">
      <c r="A1824" s="22">
        <v>2026</v>
      </c>
      <c r="B1824" s="28" t="s">
        <v>183</v>
      </c>
      <c r="C1824" s="28" t="s">
        <v>97</v>
      </c>
      <c r="D1824" s="28" t="s">
        <v>255</v>
      </c>
      <c r="E1824" s="29" t="s">
        <v>255</v>
      </c>
      <c r="F1824" s="29" t="s">
        <v>325</v>
      </c>
      <c r="G1824" s="25" t="s">
        <v>3584</v>
      </c>
      <c r="H1824" s="26">
        <v>-0.43780000000000002</v>
      </c>
      <c r="I1824" s="26"/>
      <c r="J1824" s="26" t="s">
        <v>512</v>
      </c>
      <c r="K1824" s="25" t="s">
        <v>513</v>
      </c>
    </row>
    <row r="1825" spans="1:11" ht="25.5" x14ac:dyDescent="0.25">
      <c r="A1825" s="22">
        <v>2026</v>
      </c>
      <c r="B1825" s="28" t="s">
        <v>183</v>
      </c>
      <c r="C1825" s="28" t="s">
        <v>97</v>
      </c>
      <c r="D1825" s="28" t="s">
        <v>255</v>
      </c>
      <c r="E1825" s="29" t="s">
        <v>255</v>
      </c>
      <c r="F1825" s="29" t="s">
        <v>325</v>
      </c>
      <c r="G1825" s="25" t="s">
        <v>3585</v>
      </c>
      <c r="H1825" s="26">
        <v>-0.43640000000000001</v>
      </c>
      <c r="I1825" s="26"/>
      <c r="J1825" s="26" t="s">
        <v>512</v>
      </c>
      <c r="K1825" s="25" t="s">
        <v>513</v>
      </c>
    </row>
    <row r="1826" spans="1:11" ht="25.5" x14ac:dyDescent="0.25">
      <c r="A1826" s="22">
        <v>2026</v>
      </c>
      <c r="B1826" s="28" t="s">
        <v>183</v>
      </c>
      <c r="C1826" s="28" t="s">
        <v>97</v>
      </c>
      <c r="D1826" s="28" t="s">
        <v>255</v>
      </c>
      <c r="E1826" s="29" t="s">
        <v>255</v>
      </c>
      <c r="F1826" s="29" t="s">
        <v>325</v>
      </c>
      <c r="G1826" s="25" t="s">
        <v>3586</v>
      </c>
      <c r="H1826" s="26">
        <v>-0.26268000000000002</v>
      </c>
      <c r="I1826" s="26"/>
      <c r="J1826" s="26" t="s">
        <v>512</v>
      </c>
      <c r="K1826" s="25" t="s">
        <v>513</v>
      </c>
    </row>
    <row r="1827" spans="1:11" ht="25.5" x14ac:dyDescent="0.25">
      <c r="A1827" s="22">
        <v>2026</v>
      </c>
      <c r="B1827" s="28" t="s">
        <v>183</v>
      </c>
      <c r="C1827" s="28" t="s">
        <v>97</v>
      </c>
      <c r="D1827" s="28" t="s">
        <v>255</v>
      </c>
      <c r="E1827" s="29" t="s">
        <v>255</v>
      </c>
      <c r="F1827" s="29" t="s">
        <v>325</v>
      </c>
      <c r="G1827" s="25" t="s">
        <v>3587</v>
      </c>
      <c r="H1827" s="26">
        <v>-0.44259999999999999</v>
      </c>
      <c r="I1827" s="26"/>
      <c r="J1827" s="26" t="s">
        <v>512</v>
      </c>
      <c r="K1827" s="25" t="s">
        <v>513</v>
      </c>
    </row>
    <row r="1828" spans="1:11" ht="25.5" x14ac:dyDescent="0.25">
      <c r="A1828" s="22">
        <v>2026</v>
      </c>
      <c r="B1828" s="28" t="s">
        <v>183</v>
      </c>
      <c r="C1828" s="28" t="s">
        <v>97</v>
      </c>
      <c r="D1828" s="28" t="s">
        <v>255</v>
      </c>
      <c r="E1828" s="29" t="s">
        <v>255</v>
      </c>
      <c r="F1828" s="29" t="s">
        <v>325</v>
      </c>
      <c r="G1828" s="25" t="s">
        <v>3588</v>
      </c>
      <c r="H1828" s="26">
        <v>-0.52991999999999995</v>
      </c>
      <c r="I1828" s="26"/>
      <c r="J1828" s="26" t="s">
        <v>512</v>
      </c>
      <c r="K1828" s="25" t="s">
        <v>513</v>
      </c>
    </row>
    <row r="1829" spans="1:11" ht="25.5" x14ac:dyDescent="0.25">
      <c r="A1829" s="22">
        <v>2026</v>
      </c>
      <c r="B1829" s="28" t="s">
        <v>183</v>
      </c>
      <c r="C1829" s="28" t="s">
        <v>97</v>
      </c>
      <c r="D1829" s="28" t="s">
        <v>255</v>
      </c>
      <c r="E1829" s="29" t="s">
        <v>255</v>
      </c>
      <c r="F1829" s="29" t="s">
        <v>325</v>
      </c>
      <c r="G1829" s="25" t="s">
        <v>3576</v>
      </c>
      <c r="H1829" s="26">
        <v>-0.44240000000000002</v>
      </c>
      <c r="I1829" s="26"/>
      <c r="J1829" s="26" t="s">
        <v>512</v>
      </c>
      <c r="K1829" s="25" t="s">
        <v>513</v>
      </c>
    </row>
    <row r="1830" spans="1:11" ht="25.5" x14ac:dyDescent="0.25">
      <c r="A1830" s="22">
        <v>2026</v>
      </c>
      <c r="B1830" s="28" t="s">
        <v>183</v>
      </c>
      <c r="C1830" s="28" t="s">
        <v>97</v>
      </c>
      <c r="D1830" s="28" t="s">
        <v>255</v>
      </c>
      <c r="E1830" s="29" t="s">
        <v>255</v>
      </c>
      <c r="F1830" s="29" t="s">
        <v>325</v>
      </c>
      <c r="G1830" s="25" t="s">
        <v>3589</v>
      </c>
      <c r="H1830" s="26">
        <v>-0.43840000000000007</v>
      </c>
      <c r="I1830" s="26"/>
      <c r="J1830" s="26" t="s">
        <v>512</v>
      </c>
      <c r="K1830" s="25" t="s">
        <v>513</v>
      </c>
    </row>
    <row r="1831" spans="1:11" ht="25.5" x14ac:dyDescent="0.25">
      <c r="A1831" s="22">
        <v>2026</v>
      </c>
      <c r="B1831" s="28" t="s">
        <v>183</v>
      </c>
      <c r="C1831" s="28" t="s">
        <v>97</v>
      </c>
      <c r="D1831" s="28" t="s">
        <v>255</v>
      </c>
      <c r="E1831" s="29" t="s">
        <v>255</v>
      </c>
      <c r="F1831" s="29" t="s">
        <v>325</v>
      </c>
      <c r="G1831" s="25" t="s">
        <v>3590</v>
      </c>
      <c r="H1831" s="26">
        <v>-0.43319999999999997</v>
      </c>
      <c r="I1831" s="26"/>
      <c r="J1831" s="26" t="s">
        <v>512</v>
      </c>
      <c r="K1831" s="25" t="s">
        <v>513</v>
      </c>
    </row>
    <row r="1832" spans="1:11" ht="25.5" x14ac:dyDescent="0.25">
      <c r="A1832" s="22">
        <v>2026</v>
      </c>
      <c r="B1832" s="28" t="s">
        <v>183</v>
      </c>
      <c r="C1832" s="28" t="s">
        <v>97</v>
      </c>
      <c r="D1832" s="28" t="s">
        <v>255</v>
      </c>
      <c r="E1832" s="29" t="s">
        <v>255</v>
      </c>
      <c r="F1832" s="29" t="s">
        <v>325</v>
      </c>
      <c r="G1832" s="25" t="s">
        <v>3591</v>
      </c>
      <c r="H1832" s="26">
        <v>-0.51983999999999997</v>
      </c>
      <c r="I1832" s="26"/>
      <c r="J1832" s="26" t="s">
        <v>512</v>
      </c>
      <c r="K1832" s="25" t="s">
        <v>513</v>
      </c>
    </row>
    <row r="1833" spans="1:11" ht="25.5" x14ac:dyDescent="0.25">
      <c r="A1833" s="22">
        <v>2026</v>
      </c>
      <c r="B1833" s="28" t="s">
        <v>183</v>
      </c>
      <c r="C1833" s="28" t="s">
        <v>97</v>
      </c>
      <c r="D1833" s="28" t="s">
        <v>255</v>
      </c>
      <c r="E1833" s="29" t="s">
        <v>255</v>
      </c>
      <c r="F1833" s="29" t="s">
        <v>325</v>
      </c>
      <c r="G1833" s="25" t="s">
        <v>3592</v>
      </c>
      <c r="H1833" s="26">
        <v>-0.43719999999999998</v>
      </c>
      <c r="I1833" s="26"/>
      <c r="J1833" s="26" t="s">
        <v>512</v>
      </c>
      <c r="K1833" s="25" t="s">
        <v>513</v>
      </c>
    </row>
    <row r="1834" spans="1:11" ht="25.5" x14ac:dyDescent="0.25">
      <c r="A1834" s="22">
        <v>2026</v>
      </c>
      <c r="B1834" s="28" t="s">
        <v>183</v>
      </c>
      <c r="C1834" s="28" t="s">
        <v>97</v>
      </c>
      <c r="D1834" s="28" t="s">
        <v>255</v>
      </c>
      <c r="E1834" s="29" t="s">
        <v>255</v>
      </c>
      <c r="F1834" s="29" t="s">
        <v>325</v>
      </c>
      <c r="G1834" s="25" t="s">
        <v>3593</v>
      </c>
      <c r="H1834" s="26">
        <v>-0.3276</v>
      </c>
      <c r="I1834" s="26"/>
      <c r="J1834" s="26" t="s">
        <v>512</v>
      </c>
      <c r="K1834" s="25" t="s">
        <v>513</v>
      </c>
    </row>
    <row r="1835" spans="1:11" ht="25.5" x14ac:dyDescent="0.25">
      <c r="A1835" s="22">
        <v>2026</v>
      </c>
      <c r="B1835" s="28" t="s">
        <v>183</v>
      </c>
      <c r="C1835" s="28" t="s">
        <v>97</v>
      </c>
      <c r="D1835" s="28" t="s">
        <v>243</v>
      </c>
      <c r="E1835" s="29" t="s">
        <v>1799</v>
      </c>
      <c r="F1835" s="29" t="s">
        <v>343</v>
      </c>
      <c r="G1835" s="25" t="s">
        <v>3594</v>
      </c>
      <c r="H1835" s="26">
        <v>-0.14624329999999999</v>
      </c>
      <c r="I1835" s="26"/>
      <c r="J1835" s="26" t="s">
        <v>514</v>
      </c>
      <c r="K1835" s="25" t="s">
        <v>513</v>
      </c>
    </row>
    <row r="1836" spans="1:11" ht="25.5" x14ac:dyDescent="0.25">
      <c r="A1836" s="22">
        <v>2026</v>
      </c>
      <c r="B1836" s="28" t="s">
        <v>183</v>
      </c>
      <c r="C1836" s="28" t="s">
        <v>97</v>
      </c>
      <c r="D1836" s="28" t="s">
        <v>243</v>
      </c>
      <c r="E1836" s="29" t="s">
        <v>1799</v>
      </c>
      <c r="F1836" s="29" t="s">
        <v>343</v>
      </c>
      <c r="G1836" s="25" t="s">
        <v>3595</v>
      </c>
      <c r="H1836" s="26">
        <v>-6.25E-2</v>
      </c>
      <c r="I1836" s="26"/>
      <c r="J1836" s="26" t="s">
        <v>514</v>
      </c>
      <c r="K1836" s="25" t="s">
        <v>513</v>
      </c>
    </row>
    <row r="1837" spans="1:11" ht="25.5" x14ac:dyDescent="0.25">
      <c r="A1837" s="22">
        <v>2026</v>
      </c>
      <c r="B1837" s="28" t="s">
        <v>183</v>
      </c>
      <c r="C1837" s="28" t="s">
        <v>97</v>
      </c>
      <c r="D1837" s="28" t="s">
        <v>243</v>
      </c>
      <c r="E1837" s="29" t="s">
        <v>1799</v>
      </c>
      <c r="F1837" s="29" t="s">
        <v>343</v>
      </c>
      <c r="G1837" s="25" t="s">
        <v>3596</v>
      </c>
      <c r="H1837" s="26">
        <v>-5.6250000000000001E-2</v>
      </c>
      <c r="I1837" s="26"/>
      <c r="J1837" s="26" t="s">
        <v>514</v>
      </c>
      <c r="K1837" s="25" t="s">
        <v>513</v>
      </c>
    </row>
    <row r="1838" spans="1:11" ht="25.5" x14ac:dyDescent="0.25">
      <c r="A1838" s="22">
        <v>2026</v>
      </c>
      <c r="B1838" s="28" t="s">
        <v>183</v>
      </c>
      <c r="C1838" s="28" t="s">
        <v>97</v>
      </c>
      <c r="D1838" s="28" t="s">
        <v>235</v>
      </c>
      <c r="E1838" s="29" t="s">
        <v>430</v>
      </c>
      <c r="F1838" s="29" t="s">
        <v>431</v>
      </c>
      <c r="G1838" s="25" t="s">
        <v>3597</v>
      </c>
      <c r="H1838" s="26">
        <v>-0.1133014</v>
      </c>
      <c r="I1838" s="26"/>
      <c r="J1838" s="26" t="s">
        <v>512</v>
      </c>
      <c r="K1838" s="25" t="s">
        <v>513</v>
      </c>
    </row>
    <row r="1839" spans="1:11" ht="25.5" x14ac:dyDescent="0.25">
      <c r="A1839" s="22">
        <v>2026</v>
      </c>
      <c r="B1839" s="28" t="s">
        <v>183</v>
      </c>
      <c r="C1839" s="28" t="s">
        <v>97</v>
      </c>
      <c r="D1839" s="28" t="s">
        <v>1265</v>
      </c>
      <c r="E1839" s="29" t="s">
        <v>1266</v>
      </c>
      <c r="F1839" s="29" t="s">
        <v>325</v>
      </c>
      <c r="G1839" s="25" t="s">
        <v>3598</v>
      </c>
      <c r="H1839" s="26">
        <v>-0.76375000000000004</v>
      </c>
      <c r="I1839" s="26"/>
      <c r="J1839" s="26" t="s">
        <v>514</v>
      </c>
      <c r="K1839" s="25" t="s">
        <v>513</v>
      </c>
    </row>
    <row r="1840" spans="1:11" ht="25.5" x14ac:dyDescent="0.25">
      <c r="A1840" s="22">
        <v>2026</v>
      </c>
      <c r="B1840" s="28" t="s">
        <v>183</v>
      </c>
      <c r="C1840" s="28" t="s">
        <v>97</v>
      </c>
      <c r="D1840" s="28" t="s">
        <v>1750</v>
      </c>
      <c r="E1840" s="29" t="s">
        <v>485</v>
      </c>
      <c r="F1840" s="29" t="s">
        <v>494</v>
      </c>
      <c r="G1840" s="25" t="s">
        <v>3599</v>
      </c>
      <c r="H1840" s="26">
        <v>-0.70299999999999996</v>
      </c>
      <c r="I1840" s="26"/>
      <c r="J1840" s="26" t="s">
        <v>512</v>
      </c>
      <c r="K1840" s="25" t="s">
        <v>513</v>
      </c>
    </row>
    <row r="1841" spans="1:11" ht="25.5" x14ac:dyDescent="0.25">
      <c r="A1841" s="22">
        <v>2026</v>
      </c>
      <c r="B1841" s="28" t="s">
        <v>183</v>
      </c>
      <c r="C1841" s="28" t="s">
        <v>97</v>
      </c>
      <c r="D1841" s="28" t="s">
        <v>1750</v>
      </c>
      <c r="E1841" s="29" t="s">
        <v>485</v>
      </c>
      <c r="F1841" s="29" t="s">
        <v>494</v>
      </c>
      <c r="G1841" s="25" t="s">
        <v>3600</v>
      </c>
      <c r="H1841" s="26">
        <v>-0.70150999999999997</v>
      </c>
      <c r="I1841" s="26"/>
      <c r="J1841" s="26" t="s">
        <v>512</v>
      </c>
      <c r="K1841" s="25" t="s">
        <v>513</v>
      </c>
    </row>
    <row r="1842" spans="1:11" ht="25.5" x14ac:dyDescent="0.25">
      <c r="A1842" s="22">
        <v>2026</v>
      </c>
      <c r="B1842" s="28" t="s">
        <v>183</v>
      </c>
      <c r="C1842" s="28" t="s">
        <v>97</v>
      </c>
      <c r="D1842" s="28" t="s">
        <v>1750</v>
      </c>
      <c r="E1842" s="29" t="s">
        <v>485</v>
      </c>
      <c r="F1842" s="29" t="s">
        <v>494</v>
      </c>
      <c r="G1842" s="25" t="s">
        <v>3601</v>
      </c>
      <c r="H1842" s="26">
        <v>-0.353213</v>
      </c>
      <c r="I1842" s="26"/>
      <c r="J1842" s="26" t="s">
        <v>512</v>
      </c>
      <c r="K1842" s="25" t="s">
        <v>513</v>
      </c>
    </row>
    <row r="1843" spans="1:11" ht="25.5" x14ac:dyDescent="0.25">
      <c r="A1843" s="22">
        <v>2026</v>
      </c>
      <c r="B1843" s="28" t="s">
        <v>183</v>
      </c>
      <c r="C1843" s="28" t="s">
        <v>97</v>
      </c>
      <c r="D1843" s="28" t="s">
        <v>1750</v>
      </c>
      <c r="E1843" s="29" t="s">
        <v>485</v>
      </c>
      <c r="F1843" s="29" t="s">
        <v>494</v>
      </c>
      <c r="G1843" s="25" t="s">
        <v>3602</v>
      </c>
      <c r="H1843" s="26">
        <v>-0.35572500000000001</v>
      </c>
      <c r="I1843" s="26"/>
      <c r="J1843" s="26" t="s">
        <v>512</v>
      </c>
      <c r="K1843" s="25" t="s">
        <v>513</v>
      </c>
    </row>
    <row r="1844" spans="1:11" ht="25.5" x14ac:dyDescent="0.25">
      <c r="A1844" s="22">
        <v>2026</v>
      </c>
      <c r="B1844" s="28" t="s">
        <v>183</v>
      </c>
      <c r="C1844" s="28" t="s">
        <v>97</v>
      </c>
      <c r="D1844" s="28" t="s">
        <v>1750</v>
      </c>
      <c r="E1844" s="29" t="s">
        <v>485</v>
      </c>
      <c r="F1844" s="29" t="s">
        <v>494</v>
      </c>
      <c r="G1844" s="25" t="s">
        <v>3603</v>
      </c>
      <c r="H1844" s="26">
        <v>-1.0803450000000001</v>
      </c>
      <c r="I1844" s="26"/>
      <c r="J1844" s="26" t="s">
        <v>512</v>
      </c>
      <c r="K1844" s="25" t="s">
        <v>513</v>
      </c>
    </row>
    <row r="1845" spans="1:11" ht="25.5" x14ac:dyDescent="0.25">
      <c r="A1845" s="22">
        <v>2026</v>
      </c>
      <c r="B1845" s="28" t="s">
        <v>183</v>
      </c>
      <c r="C1845" s="28" t="s">
        <v>97</v>
      </c>
      <c r="D1845" s="28" t="s">
        <v>1750</v>
      </c>
      <c r="E1845" s="29" t="s">
        <v>485</v>
      </c>
      <c r="F1845" s="29" t="s">
        <v>494</v>
      </c>
      <c r="G1845" s="25" t="s">
        <v>3604</v>
      </c>
      <c r="H1845" s="26">
        <v>-1.0693005</v>
      </c>
      <c r="I1845" s="26"/>
      <c r="J1845" s="26" t="s">
        <v>512</v>
      </c>
      <c r="K1845" s="25" t="s">
        <v>513</v>
      </c>
    </row>
    <row r="1846" spans="1:11" ht="25.5" x14ac:dyDescent="0.25">
      <c r="A1846" s="22">
        <v>2026</v>
      </c>
      <c r="B1846" s="28" t="s">
        <v>183</v>
      </c>
      <c r="C1846" s="28" t="s">
        <v>97</v>
      </c>
      <c r="D1846" s="28" t="s">
        <v>1750</v>
      </c>
      <c r="E1846" s="29" t="s">
        <v>485</v>
      </c>
      <c r="F1846" s="29" t="s">
        <v>494</v>
      </c>
      <c r="G1846" s="25" t="s">
        <v>3605</v>
      </c>
      <c r="H1846" s="26">
        <v>-0.71692699999999998</v>
      </c>
      <c r="I1846" s="26"/>
      <c r="J1846" s="26" t="s">
        <v>512</v>
      </c>
      <c r="K1846" s="25" t="s">
        <v>513</v>
      </c>
    </row>
    <row r="1847" spans="1:11" ht="25.5" x14ac:dyDescent="0.25">
      <c r="A1847" s="22">
        <v>2026</v>
      </c>
      <c r="B1847" s="28" t="s">
        <v>183</v>
      </c>
      <c r="C1847" s="28" t="s">
        <v>97</v>
      </c>
      <c r="D1847" s="28" t="s">
        <v>1750</v>
      </c>
      <c r="E1847" s="29" t="s">
        <v>485</v>
      </c>
      <c r="F1847" s="29" t="s">
        <v>494</v>
      </c>
      <c r="G1847" s="25" t="s">
        <v>3606</v>
      </c>
      <c r="H1847" s="26">
        <v>-0.35925000000000001</v>
      </c>
      <c r="I1847" s="26"/>
      <c r="J1847" s="26" t="s">
        <v>512</v>
      </c>
      <c r="K1847" s="25" t="s">
        <v>513</v>
      </c>
    </row>
    <row r="1848" spans="1:11" ht="25.5" x14ac:dyDescent="0.25">
      <c r="A1848" s="22">
        <v>2026</v>
      </c>
      <c r="B1848" s="28" t="s">
        <v>183</v>
      </c>
      <c r="C1848" s="28" t="s">
        <v>97</v>
      </c>
      <c r="D1848" s="28" t="s">
        <v>1750</v>
      </c>
      <c r="E1848" s="29" t="s">
        <v>485</v>
      </c>
      <c r="F1848" s="29" t="s">
        <v>494</v>
      </c>
      <c r="G1848" s="25" t="s">
        <v>3607</v>
      </c>
      <c r="H1848" s="26">
        <v>-0.72599999999999998</v>
      </c>
      <c r="I1848" s="26"/>
      <c r="J1848" s="26" t="s">
        <v>512</v>
      </c>
      <c r="K1848" s="25" t="s">
        <v>513</v>
      </c>
    </row>
    <row r="1849" spans="1:11" ht="25.5" x14ac:dyDescent="0.25">
      <c r="A1849" s="22">
        <v>2026</v>
      </c>
      <c r="B1849" s="28" t="s">
        <v>183</v>
      </c>
      <c r="C1849" s="28" t="s">
        <v>97</v>
      </c>
      <c r="D1849" s="28" t="s">
        <v>1750</v>
      </c>
      <c r="E1849" s="29" t="s">
        <v>485</v>
      </c>
      <c r="F1849" s="29" t="s">
        <v>494</v>
      </c>
      <c r="G1849" s="25" t="s">
        <v>3608</v>
      </c>
      <c r="H1849" s="26">
        <v>-0.73719999999999997</v>
      </c>
      <c r="I1849" s="26"/>
      <c r="J1849" s="26" t="s">
        <v>512</v>
      </c>
      <c r="K1849" s="25" t="s">
        <v>513</v>
      </c>
    </row>
    <row r="1850" spans="1:11" ht="25.5" x14ac:dyDescent="0.25">
      <c r="A1850" s="22">
        <v>2026</v>
      </c>
      <c r="B1850" s="28" t="s">
        <v>183</v>
      </c>
      <c r="C1850" s="28" t="s">
        <v>97</v>
      </c>
      <c r="D1850" s="28" t="s">
        <v>1750</v>
      </c>
      <c r="E1850" s="29" t="s">
        <v>485</v>
      </c>
      <c r="F1850" s="29" t="s">
        <v>494</v>
      </c>
      <c r="G1850" s="25" t="s">
        <v>3609</v>
      </c>
      <c r="H1850" s="26">
        <v>-0.377</v>
      </c>
      <c r="I1850" s="26"/>
      <c r="J1850" s="26" t="s">
        <v>512</v>
      </c>
      <c r="K1850" s="25" t="s">
        <v>513</v>
      </c>
    </row>
    <row r="1851" spans="1:11" ht="25.5" x14ac:dyDescent="0.25">
      <c r="A1851" s="22">
        <v>2026</v>
      </c>
      <c r="B1851" s="28" t="s">
        <v>183</v>
      </c>
      <c r="C1851" s="28" t="s">
        <v>97</v>
      </c>
      <c r="D1851" s="28" t="s">
        <v>1750</v>
      </c>
      <c r="E1851" s="29" t="s">
        <v>485</v>
      </c>
      <c r="F1851" s="29" t="s">
        <v>494</v>
      </c>
      <c r="G1851" s="25" t="s">
        <v>3610</v>
      </c>
      <c r="H1851" s="26">
        <v>-1.5155000000000001</v>
      </c>
      <c r="I1851" s="26"/>
      <c r="J1851" s="26" t="s">
        <v>512</v>
      </c>
      <c r="K1851" s="25" t="s">
        <v>513</v>
      </c>
    </row>
    <row r="1852" spans="1:11" ht="25.5" x14ac:dyDescent="0.25">
      <c r="A1852" s="22">
        <v>2026</v>
      </c>
      <c r="B1852" s="28" t="s">
        <v>183</v>
      </c>
      <c r="C1852" s="28" t="s">
        <v>97</v>
      </c>
      <c r="D1852" s="28" t="s">
        <v>265</v>
      </c>
      <c r="E1852" s="29" t="s">
        <v>485</v>
      </c>
      <c r="F1852" s="29" t="s">
        <v>325</v>
      </c>
      <c r="G1852" s="25" t="s">
        <v>3611</v>
      </c>
      <c r="H1852" s="26">
        <v>-2.52E-2</v>
      </c>
      <c r="I1852" s="26"/>
      <c r="J1852" s="26" t="s">
        <v>512</v>
      </c>
      <c r="K1852" s="25" t="s">
        <v>513</v>
      </c>
    </row>
    <row r="1853" spans="1:11" ht="25.5" x14ac:dyDescent="0.25">
      <c r="A1853" s="22">
        <v>2026</v>
      </c>
      <c r="B1853" s="28" t="s">
        <v>183</v>
      </c>
      <c r="C1853" s="28" t="s">
        <v>97</v>
      </c>
      <c r="D1853" s="28" t="s">
        <v>265</v>
      </c>
      <c r="E1853" s="29" t="s">
        <v>485</v>
      </c>
      <c r="F1853" s="29" t="s">
        <v>325</v>
      </c>
      <c r="G1853" s="25" t="s">
        <v>3611</v>
      </c>
      <c r="H1853" s="26">
        <v>-2.52E-2</v>
      </c>
      <c r="I1853" s="26"/>
      <c r="J1853" s="26" t="s">
        <v>512</v>
      </c>
      <c r="K1853" s="25" t="s">
        <v>513</v>
      </c>
    </row>
    <row r="1854" spans="1:11" ht="25.5" x14ac:dyDescent="0.25">
      <c r="A1854" s="22">
        <v>2026</v>
      </c>
      <c r="B1854" s="28" t="s">
        <v>183</v>
      </c>
      <c r="C1854" s="28" t="s">
        <v>97</v>
      </c>
      <c r="D1854" s="28" t="s">
        <v>265</v>
      </c>
      <c r="E1854" s="29" t="s">
        <v>485</v>
      </c>
      <c r="F1854" s="29" t="s">
        <v>325</v>
      </c>
      <c r="G1854" s="25" t="s">
        <v>3611</v>
      </c>
      <c r="H1854" s="26">
        <v>-2.52E-2</v>
      </c>
      <c r="I1854" s="26"/>
      <c r="J1854" s="26" t="s">
        <v>512</v>
      </c>
      <c r="K1854" s="25" t="s">
        <v>513</v>
      </c>
    </row>
    <row r="1855" spans="1:11" ht="25.5" x14ac:dyDescent="0.25">
      <c r="A1855" s="22">
        <v>2026</v>
      </c>
      <c r="B1855" s="28" t="s">
        <v>183</v>
      </c>
      <c r="C1855" s="28" t="s">
        <v>97</v>
      </c>
      <c r="D1855" s="28" t="s">
        <v>1751</v>
      </c>
      <c r="E1855" s="29" t="s">
        <v>485</v>
      </c>
      <c r="F1855" s="29" t="s">
        <v>353</v>
      </c>
      <c r="G1855" s="25" t="s">
        <v>3612</v>
      </c>
      <c r="H1855" s="26">
        <v>-7.0999999999999994E-2</v>
      </c>
      <c r="I1855" s="26"/>
      <c r="J1855" s="26" t="s">
        <v>512</v>
      </c>
      <c r="K1855" s="25" t="s">
        <v>513</v>
      </c>
    </row>
    <row r="1856" spans="1:11" ht="25.5" x14ac:dyDescent="0.25">
      <c r="A1856" s="22">
        <v>2026</v>
      </c>
      <c r="B1856" s="28" t="s">
        <v>183</v>
      </c>
      <c r="C1856" s="28" t="s">
        <v>97</v>
      </c>
      <c r="D1856" s="28" t="s">
        <v>1751</v>
      </c>
      <c r="E1856" s="29" t="s">
        <v>485</v>
      </c>
      <c r="F1856" s="29" t="s">
        <v>353</v>
      </c>
      <c r="G1856" s="25" t="s">
        <v>3613</v>
      </c>
      <c r="H1856" s="26">
        <v>-1.7850000000000001E-2</v>
      </c>
      <c r="I1856" s="26"/>
      <c r="J1856" s="26" t="s">
        <v>512</v>
      </c>
      <c r="K1856" s="25" t="s">
        <v>513</v>
      </c>
    </row>
    <row r="1857" spans="1:11" ht="25.5" x14ac:dyDescent="0.25">
      <c r="A1857" s="22">
        <v>2026</v>
      </c>
      <c r="B1857" s="28" t="s">
        <v>183</v>
      </c>
      <c r="C1857" s="28" t="s">
        <v>97</v>
      </c>
      <c r="D1857" s="28" t="s">
        <v>1751</v>
      </c>
      <c r="E1857" s="29" t="s">
        <v>485</v>
      </c>
      <c r="F1857" s="29" t="s">
        <v>353</v>
      </c>
      <c r="G1857" s="25" t="s">
        <v>3614</v>
      </c>
      <c r="H1857" s="26">
        <v>-1.78E-2</v>
      </c>
      <c r="I1857" s="26"/>
      <c r="J1857" s="26" t="s">
        <v>512</v>
      </c>
      <c r="K1857" s="25" t="s">
        <v>513</v>
      </c>
    </row>
    <row r="1858" spans="1:11" ht="25.5" x14ac:dyDescent="0.25">
      <c r="A1858" s="22">
        <v>2026</v>
      </c>
      <c r="B1858" s="28" t="s">
        <v>183</v>
      </c>
      <c r="C1858" s="28" t="s">
        <v>97</v>
      </c>
      <c r="D1858" s="28" t="s">
        <v>1751</v>
      </c>
      <c r="E1858" s="29" t="s">
        <v>485</v>
      </c>
      <c r="F1858" s="29" t="s">
        <v>353</v>
      </c>
      <c r="G1858" s="25" t="s">
        <v>3615</v>
      </c>
      <c r="H1858" s="26">
        <v>-0.12723159921999999</v>
      </c>
      <c r="I1858" s="26"/>
      <c r="J1858" s="26" t="s">
        <v>512</v>
      </c>
      <c r="K1858" s="25" t="s">
        <v>513</v>
      </c>
    </row>
    <row r="1859" spans="1:11" ht="25.5" x14ac:dyDescent="0.25">
      <c r="A1859" s="22">
        <v>2026</v>
      </c>
      <c r="B1859" s="28" t="s">
        <v>183</v>
      </c>
      <c r="C1859" s="28" t="s">
        <v>97</v>
      </c>
      <c r="D1859" s="28" t="s">
        <v>1751</v>
      </c>
      <c r="E1859" s="29" t="s">
        <v>485</v>
      </c>
      <c r="F1859" s="29" t="s">
        <v>353</v>
      </c>
      <c r="G1859" s="25" t="s">
        <v>3616</v>
      </c>
      <c r="H1859" s="26">
        <v>-0.1071</v>
      </c>
      <c r="I1859" s="26"/>
      <c r="J1859" s="26" t="s">
        <v>512</v>
      </c>
      <c r="K1859" s="25" t="s">
        <v>513</v>
      </c>
    </row>
    <row r="1860" spans="1:11" ht="25.5" x14ac:dyDescent="0.25">
      <c r="A1860" s="22">
        <v>2026</v>
      </c>
      <c r="B1860" s="28" t="s">
        <v>183</v>
      </c>
      <c r="C1860" s="28" t="s">
        <v>97</v>
      </c>
      <c r="D1860" s="28" t="s">
        <v>1751</v>
      </c>
      <c r="E1860" s="29" t="s">
        <v>485</v>
      </c>
      <c r="F1860" s="29" t="s">
        <v>353</v>
      </c>
      <c r="G1860" s="25" t="s">
        <v>3617</v>
      </c>
      <c r="H1860" s="26">
        <v>-0.1078998</v>
      </c>
      <c r="I1860" s="26"/>
      <c r="J1860" s="26" t="s">
        <v>512</v>
      </c>
      <c r="K1860" s="25" t="s">
        <v>513</v>
      </c>
    </row>
    <row r="1861" spans="1:11" ht="25.5" x14ac:dyDescent="0.25">
      <c r="A1861" s="22">
        <v>2026</v>
      </c>
      <c r="B1861" s="28" t="s">
        <v>183</v>
      </c>
      <c r="C1861" s="28" t="s">
        <v>97</v>
      </c>
      <c r="D1861" s="28" t="s">
        <v>1751</v>
      </c>
      <c r="E1861" s="29" t="s">
        <v>485</v>
      </c>
      <c r="F1861" s="29" t="s">
        <v>353</v>
      </c>
      <c r="G1861" s="25" t="s">
        <v>3618</v>
      </c>
      <c r="H1861" s="26">
        <v>-0.10179660816000001</v>
      </c>
      <c r="I1861" s="26"/>
      <c r="J1861" s="26" t="s">
        <v>512</v>
      </c>
      <c r="K1861" s="25" t="s">
        <v>513</v>
      </c>
    </row>
    <row r="1862" spans="1:11" ht="25.5" x14ac:dyDescent="0.25">
      <c r="A1862" s="22">
        <v>2026</v>
      </c>
      <c r="B1862" s="28" t="s">
        <v>183</v>
      </c>
      <c r="C1862" s="28" t="s">
        <v>97</v>
      </c>
      <c r="D1862" s="28" t="s">
        <v>1751</v>
      </c>
      <c r="E1862" s="29" t="s">
        <v>485</v>
      </c>
      <c r="F1862" s="29" t="s">
        <v>353</v>
      </c>
      <c r="G1862" s="25" t="s">
        <v>3619</v>
      </c>
      <c r="H1862" s="26">
        <v>-3.5799999999999998E-2</v>
      </c>
      <c r="I1862" s="26"/>
      <c r="J1862" s="26" t="s">
        <v>512</v>
      </c>
      <c r="K1862" s="25" t="s">
        <v>513</v>
      </c>
    </row>
    <row r="1863" spans="1:11" ht="25.5" x14ac:dyDescent="0.25">
      <c r="A1863" s="22">
        <v>2026</v>
      </c>
      <c r="B1863" s="28" t="s">
        <v>183</v>
      </c>
      <c r="C1863" s="28" t="s">
        <v>97</v>
      </c>
      <c r="D1863" s="28" t="s">
        <v>1751</v>
      </c>
      <c r="E1863" s="29" t="s">
        <v>485</v>
      </c>
      <c r="F1863" s="29" t="s">
        <v>353</v>
      </c>
      <c r="G1863" s="25" t="s">
        <v>3620</v>
      </c>
      <c r="H1863" s="26">
        <v>-7.1800000000000003E-2</v>
      </c>
      <c r="I1863" s="26"/>
      <c r="J1863" s="26" t="s">
        <v>512</v>
      </c>
      <c r="K1863" s="25" t="s">
        <v>513</v>
      </c>
    </row>
    <row r="1864" spans="1:11" ht="25.5" x14ac:dyDescent="0.25">
      <c r="A1864" s="22">
        <v>2026</v>
      </c>
      <c r="B1864" s="28" t="s">
        <v>183</v>
      </c>
      <c r="C1864" s="28" t="s">
        <v>97</v>
      </c>
      <c r="D1864" s="28" t="s">
        <v>1751</v>
      </c>
      <c r="E1864" s="29" t="s">
        <v>485</v>
      </c>
      <c r="F1864" s="29" t="s">
        <v>353</v>
      </c>
      <c r="G1864" s="25" t="s">
        <v>3621</v>
      </c>
      <c r="H1864" s="26">
        <v>-0.1447272</v>
      </c>
      <c r="I1864" s="26"/>
      <c r="J1864" s="26" t="s">
        <v>512</v>
      </c>
      <c r="K1864" s="25" t="s">
        <v>513</v>
      </c>
    </row>
    <row r="1865" spans="1:11" ht="25.5" x14ac:dyDescent="0.25">
      <c r="A1865" s="22">
        <v>2026</v>
      </c>
      <c r="B1865" s="28" t="s">
        <v>183</v>
      </c>
      <c r="C1865" s="28" t="s">
        <v>97</v>
      </c>
      <c r="D1865" s="28" t="s">
        <v>1751</v>
      </c>
      <c r="E1865" s="29" t="s">
        <v>485</v>
      </c>
      <c r="F1865" s="29" t="s">
        <v>353</v>
      </c>
      <c r="G1865" s="25" t="s">
        <v>3622</v>
      </c>
      <c r="H1865" s="26">
        <v>-8.9899999999999994E-2</v>
      </c>
      <c r="I1865" s="26"/>
      <c r="J1865" s="26" t="s">
        <v>512</v>
      </c>
      <c r="K1865" s="25" t="s">
        <v>513</v>
      </c>
    </row>
    <row r="1866" spans="1:11" ht="25.5" x14ac:dyDescent="0.25">
      <c r="A1866" s="22">
        <v>2026</v>
      </c>
      <c r="B1866" s="28" t="s">
        <v>183</v>
      </c>
      <c r="C1866" s="28" t="s">
        <v>97</v>
      </c>
      <c r="D1866" s="28" t="s">
        <v>1751</v>
      </c>
      <c r="E1866" s="29" t="s">
        <v>485</v>
      </c>
      <c r="F1866" s="29" t="s">
        <v>353</v>
      </c>
      <c r="G1866" s="25" t="s">
        <v>3623</v>
      </c>
      <c r="H1866" s="26">
        <v>-7.1999999999999995E-2</v>
      </c>
      <c r="I1866" s="26"/>
      <c r="J1866" s="26" t="s">
        <v>512</v>
      </c>
      <c r="K1866" s="25" t="s">
        <v>513</v>
      </c>
    </row>
    <row r="1867" spans="1:11" ht="25.5" x14ac:dyDescent="0.25">
      <c r="A1867" s="22">
        <v>2026</v>
      </c>
      <c r="B1867" s="28" t="s">
        <v>183</v>
      </c>
      <c r="C1867" s="28" t="s">
        <v>97</v>
      </c>
      <c r="D1867" s="28" t="s">
        <v>1751</v>
      </c>
      <c r="E1867" s="29" t="s">
        <v>485</v>
      </c>
      <c r="F1867" s="29" t="s">
        <v>353</v>
      </c>
      <c r="G1867" s="25" t="s">
        <v>3624</v>
      </c>
      <c r="H1867" s="26">
        <v>-4.6265760000000003E-2</v>
      </c>
      <c r="I1867" s="26"/>
      <c r="J1867" s="26" t="s">
        <v>512</v>
      </c>
      <c r="K1867" s="25" t="s">
        <v>513</v>
      </c>
    </row>
    <row r="1868" spans="1:11" ht="25.5" x14ac:dyDescent="0.25">
      <c r="A1868" s="22">
        <v>2026</v>
      </c>
      <c r="B1868" s="28" t="s">
        <v>183</v>
      </c>
      <c r="C1868" s="28" t="s">
        <v>97</v>
      </c>
      <c r="D1868" s="28" t="s">
        <v>1751</v>
      </c>
      <c r="E1868" s="29" t="s">
        <v>485</v>
      </c>
      <c r="F1868" s="29" t="s">
        <v>353</v>
      </c>
      <c r="G1868" s="25" t="s">
        <v>3625</v>
      </c>
      <c r="H1868" s="26">
        <v>-3.8050290000000001E-2</v>
      </c>
      <c r="I1868" s="26"/>
      <c r="J1868" s="26" t="s">
        <v>512</v>
      </c>
      <c r="K1868" s="25" t="s">
        <v>513</v>
      </c>
    </row>
    <row r="1869" spans="1:11" ht="25.5" x14ac:dyDescent="0.25">
      <c r="A1869" s="22">
        <v>2026</v>
      </c>
      <c r="B1869" s="28" t="s">
        <v>183</v>
      </c>
      <c r="C1869" s="28" t="s">
        <v>97</v>
      </c>
      <c r="D1869" s="28" t="s">
        <v>1751</v>
      </c>
      <c r="E1869" s="29" t="s">
        <v>485</v>
      </c>
      <c r="F1869" s="29" t="s">
        <v>353</v>
      </c>
      <c r="G1869" s="25" t="s">
        <v>3626</v>
      </c>
      <c r="H1869" s="26">
        <v>-0.18266499999999999</v>
      </c>
      <c r="I1869" s="26"/>
      <c r="J1869" s="26" t="s">
        <v>512</v>
      </c>
      <c r="K1869" s="25" t="s">
        <v>513</v>
      </c>
    </row>
    <row r="1870" spans="1:11" ht="25.5" x14ac:dyDescent="0.25">
      <c r="A1870" s="22">
        <v>2026</v>
      </c>
      <c r="B1870" s="28" t="s">
        <v>183</v>
      </c>
      <c r="C1870" s="28" t="s">
        <v>97</v>
      </c>
      <c r="D1870" s="28" t="s">
        <v>1751</v>
      </c>
      <c r="E1870" s="29" t="s">
        <v>485</v>
      </c>
      <c r="F1870" s="29" t="s">
        <v>353</v>
      </c>
      <c r="G1870" s="25" t="s">
        <v>3627</v>
      </c>
      <c r="H1870" s="26">
        <v>-0.22042980000000001</v>
      </c>
      <c r="I1870" s="26"/>
      <c r="J1870" s="26" t="s">
        <v>512</v>
      </c>
      <c r="K1870" s="25" t="s">
        <v>513</v>
      </c>
    </row>
    <row r="1871" spans="1:11" ht="25.5" x14ac:dyDescent="0.25">
      <c r="A1871" s="22">
        <v>2026</v>
      </c>
      <c r="B1871" s="28" t="s">
        <v>183</v>
      </c>
      <c r="C1871" s="28" t="s">
        <v>97</v>
      </c>
      <c r="D1871" s="28" t="s">
        <v>1751</v>
      </c>
      <c r="E1871" s="29" t="s">
        <v>485</v>
      </c>
      <c r="F1871" s="29" t="s">
        <v>353</v>
      </c>
      <c r="G1871" s="25" t="s">
        <v>3628</v>
      </c>
      <c r="H1871" s="26">
        <v>-0.1370702</v>
      </c>
      <c r="I1871" s="26"/>
      <c r="J1871" s="26" t="s">
        <v>512</v>
      </c>
      <c r="K1871" s="25" t="s">
        <v>513</v>
      </c>
    </row>
    <row r="1872" spans="1:11" ht="25.5" x14ac:dyDescent="0.25">
      <c r="A1872" s="22">
        <v>2026</v>
      </c>
      <c r="B1872" s="28" t="s">
        <v>183</v>
      </c>
      <c r="C1872" s="28" t="s">
        <v>97</v>
      </c>
      <c r="D1872" s="28" t="s">
        <v>1752</v>
      </c>
      <c r="E1872" s="29" t="s">
        <v>485</v>
      </c>
      <c r="F1872" s="29" t="s">
        <v>937</v>
      </c>
      <c r="G1872" s="25" t="s">
        <v>3629</v>
      </c>
      <c r="H1872" s="26">
        <v>-0.91</v>
      </c>
      <c r="I1872" s="26"/>
      <c r="J1872" s="26" t="s">
        <v>512</v>
      </c>
      <c r="K1872" s="25" t="s">
        <v>513</v>
      </c>
    </row>
    <row r="1873" spans="1:11" ht="25.5" x14ac:dyDescent="0.25">
      <c r="A1873" s="22">
        <v>2026</v>
      </c>
      <c r="B1873" s="28" t="s">
        <v>183</v>
      </c>
      <c r="C1873" s="28" t="s">
        <v>97</v>
      </c>
      <c r="D1873" s="28" t="s">
        <v>1752</v>
      </c>
      <c r="E1873" s="29" t="s">
        <v>485</v>
      </c>
      <c r="F1873" s="29" t="s">
        <v>937</v>
      </c>
      <c r="G1873" s="25" t="s">
        <v>3630</v>
      </c>
      <c r="H1873" s="26">
        <v>-0.18468999999999999</v>
      </c>
      <c r="I1873" s="26"/>
      <c r="J1873" s="26" t="s">
        <v>512</v>
      </c>
      <c r="K1873" s="25" t="s">
        <v>513</v>
      </c>
    </row>
    <row r="1874" spans="1:11" ht="25.5" x14ac:dyDescent="0.25">
      <c r="A1874" s="22">
        <v>2026</v>
      </c>
      <c r="B1874" s="28" t="s">
        <v>183</v>
      </c>
      <c r="C1874" s="28" t="s">
        <v>97</v>
      </c>
      <c r="D1874" s="28" t="s">
        <v>1753</v>
      </c>
      <c r="E1874" s="29" t="s">
        <v>331</v>
      </c>
      <c r="F1874" s="29" t="s">
        <v>335</v>
      </c>
      <c r="G1874" s="25" t="s">
        <v>3631</v>
      </c>
      <c r="H1874" s="26">
        <v>-0.1307275</v>
      </c>
      <c r="I1874" s="26"/>
      <c r="J1874" s="26" t="s">
        <v>512</v>
      </c>
      <c r="K1874" s="25" t="s">
        <v>513</v>
      </c>
    </row>
    <row r="1875" spans="1:11" ht="25.5" x14ac:dyDescent="0.25">
      <c r="A1875" s="22">
        <v>2026</v>
      </c>
      <c r="B1875" s="28" t="s">
        <v>183</v>
      </c>
      <c r="C1875" s="28" t="s">
        <v>97</v>
      </c>
      <c r="D1875" s="28" t="s">
        <v>1753</v>
      </c>
      <c r="E1875" s="29" t="s">
        <v>331</v>
      </c>
      <c r="F1875" s="29" t="s">
        <v>335</v>
      </c>
      <c r="G1875" s="25" t="s">
        <v>3632</v>
      </c>
      <c r="H1875" s="26">
        <v>-0.12984000000000001</v>
      </c>
      <c r="I1875" s="26"/>
      <c r="J1875" s="26" t="s">
        <v>512</v>
      </c>
      <c r="K1875" s="25" t="s">
        <v>513</v>
      </c>
    </row>
    <row r="1876" spans="1:11" ht="25.5" x14ac:dyDescent="0.25">
      <c r="A1876" s="22">
        <v>2026</v>
      </c>
      <c r="B1876" s="28" t="s">
        <v>183</v>
      </c>
      <c r="C1876" s="28" t="s">
        <v>97</v>
      </c>
      <c r="D1876" s="28" t="s">
        <v>1753</v>
      </c>
      <c r="E1876" s="29" t="s">
        <v>331</v>
      </c>
      <c r="F1876" s="29" t="s">
        <v>335</v>
      </c>
      <c r="G1876" s="25" t="s">
        <v>3633</v>
      </c>
      <c r="H1876" s="26">
        <v>-0.13006999999999999</v>
      </c>
      <c r="I1876" s="26"/>
      <c r="J1876" s="26" t="s">
        <v>512</v>
      </c>
      <c r="K1876" s="25" t="s">
        <v>513</v>
      </c>
    </row>
    <row r="1877" spans="1:11" ht="25.5" x14ac:dyDescent="0.25">
      <c r="A1877" s="22">
        <v>2026</v>
      </c>
      <c r="B1877" s="28" t="s">
        <v>183</v>
      </c>
      <c r="C1877" s="28" t="s">
        <v>97</v>
      </c>
      <c r="D1877" s="28" t="s">
        <v>1753</v>
      </c>
      <c r="E1877" s="29" t="s">
        <v>331</v>
      </c>
      <c r="F1877" s="29" t="s">
        <v>335</v>
      </c>
      <c r="G1877" s="25" t="s">
        <v>3634</v>
      </c>
      <c r="H1877" s="26">
        <v>-0.13091749999999999</v>
      </c>
      <c r="I1877" s="26"/>
      <c r="J1877" s="26" t="s">
        <v>512</v>
      </c>
      <c r="K1877" s="25" t="s">
        <v>513</v>
      </c>
    </row>
    <row r="1878" spans="1:11" ht="25.5" x14ac:dyDescent="0.25">
      <c r="A1878" s="22">
        <v>2026</v>
      </c>
      <c r="B1878" s="28" t="s">
        <v>183</v>
      </c>
      <c r="C1878" s="28" t="s">
        <v>97</v>
      </c>
      <c r="D1878" s="28" t="s">
        <v>1753</v>
      </c>
      <c r="E1878" s="29" t="s">
        <v>331</v>
      </c>
      <c r="F1878" s="29" t="s">
        <v>335</v>
      </c>
      <c r="G1878" s="25" t="s">
        <v>3635</v>
      </c>
      <c r="H1878" s="26">
        <v>-0.13081999999999999</v>
      </c>
      <c r="I1878" s="26"/>
      <c r="J1878" s="26" t="s">
        <v>512</v>
      </c>
      <c r="K1878" s="25" t="s">
        <v>513</v>
      </c>
    </row>
    <row r="1879" spans="1:11" ht="25.5" x14ac:dyDescent="0.25">
      <c r="A1879" s="22">
        <v>2026</v>
      </c>
      <c r="B1879" s="28" t="s">
        <v>183</v>
      </c>
      <c r="C1879" s="28" t="s">
        <v>97</v>
      </c>
      <c r="D1879" s="28" t="s">
        <v>1753</v>
      </c>
      <c r="E1879" s="29" t="s">
        <v>331</v>
      </c>
      <c r="F1879" s="29" t="s">
        <v>335</v>
      </c>
      <c r="G1879" s="25" t="s">
        <v>3636</v>
      </c>
      <c r="H1879" s="26">
        <v>-0.13166</v>
      </c>
      <c r="I1879" s="26"/>
      <c r="J1879" s="26" t="s">
        <v>512</v>
      </c>
      <c r="K1879" s="25" t="s">
        <v>513</v>
      </c>
    </row>
    <row r="1880" spans="1:11" ht="25.5" x14ac:dyDescent="0.25">
      <c r="A1880" s="22">
        <v>2026</v>
      </c>
      <c r="B1880" s="28" t="s">
        <v>183</v>
      </c>
      <c r="C1880" s="28" t="s">
        <v>97</v>
      </c>
      <c r="D1880" s="28" t="s">
        <v>1753</v>
      </c>
      <c r="E1880" s="29" t="s">
        <v>331</v>
      </c>
      <c r="F1880" s="29" t="s">
        <v>335</v>
      </c>
      <c r="G1880" s="25" t="s">
        <v>3637</v>
      </c>
      <c r="H1880" s="26">
        <v>-0.13125500000000001</v>
      </c>
      <c r="I1880" s="26"/>
      <c r="J1880" s="26" t="s">
        <v>512</v>
      </c>
      <c r="K1880" s="25" t="s">
        <v>513</v>
      </c>
    </row>
    <row r="1881" spans="1:11" ht="25.5" x14ac:dyDescent="0.25">
      <c r="A1881" s="22">
        <v>2026</v>
      </c>
      <c r="B1881" s="28" t="s">
        <v>183</v>
      </c>
      <c r="C1881" s="28" t="s">
        <v>97</v>
      </c>
      <c r="D1881" s="28" t="s">
        <v>1753</v>
      </c>
      <c r="E1881" s="29" t="s">
        <v>331</v>
      </c>
      <c r="F1881" s="29" t="s">
        <v>335</v>
      </c>
      <c r="G1881" s="25" t="s">
        <v>3638</v>
      </c>
      <c r="H1881" s="26">
        <v>-0.130965</v>
      </c>
      <c r="I1881" s="26"/>
      <c r="J1881" s="26" t="s">
        <v>512</v>
      </c>
      <c r="K1881" s="25" t="s">
        <v>513</v>
      </c>
    </row>
    <row r="1882" spans="1:11" ht="25.5" x14ac:dyDescent="0.25">
      <c r="A1882" s="22">
        <v>2026</v>
      </c>
      <c r="B1882" s="28" t="s">
        <v>183</v>
      </c>
      <c r="C1882" s="28" t="s">
        <v>97</v>
      </c>
      <c r="D1882" s="28" t="s">
        <v>1753</v>
      </c>
      <c r="E1882" s="29" t="s">
        <v>331</v>
      </c>
      <c r="F1882" s="29" t="s">
        <v>335</v>
      </c>
      <c r="G1882" s="25" t="s">
        <v>3639</v>
      </c>
      <c r="H1882" s="26">
        <v>-0.13048000000000001</v>
      </c>
      <c r="I1882" s="26"/>
      <c r="J1882" s="26" t="s">
        <v>512</v>
      </c>
      <c r="K1882" s="25" t="s">
        <v>513</v>
      </c>
    </row>
    <row r="1883" spans="1:11" ht="25.5" x14ac:dyDescent="0.25">
      <c r="A1883" s="22">
        <v>2026</v>
      </c>
      <c r="B1883" s="28" t="s">
        <v>183</v>
      </c>
      <c r="C1883" s="28" t="s">
        <v>97</v>
      </c>
      <c r="D1883" s="28" t="s">
        <v>1753</v>
      </c>
      <c r="E1883" s="29" t="s">
        <v>331</v>
      </c>
      <c r="F1883" s="29" t="s">
        <v>335</v>
      </c>
      <c r="G1883" s="25" t="s">
        <v>3640</v>
      </c>
      <c r="H1883" s="26">
        <v>-0.12997500000000001</v>
      </c>
      <c r="I1883" s="26"/>
      <c r="J1883" s="26" t="s">
        <v>512</v>
      </c>
      <c r="K1883" s="25" t="s">
        <v>513</v>
      </c>
    </row>
    <row r="1884" spans="1:11" ht="25.5" x14ac:dyDescent="0.25">
      <c r="A1884" s="22">
        <v>2026</v>
      </c>
      <c r="B1884" s="28" t="s">
        <v>183</v>
      </c>
      <c r="C1884" s="28" t="s">
        <v>97</v>
      </c>
      <c r="D1884" s="28" t="s">
        <v>1753</v>
      </c>
      <c r="E1884" s="29" t="s">
        <v>331</v>
      </c>
      <c r="F1884" s="29" t="s">
        <v>335</v>
      </c>
      <c r="G1884" s="25" t="s">
        <v>3641</v>
      </c>
      <c r="H1884" s="26">
        <v>-0.15593099999999999</v>
      </c>
      <c r="I1884" s="26"/>
      <c r="J1884" s="26" t="s">
        <v>512</v>
      </c>
      <c r="K1884" s="25" t="s">
        <v>513</v>
      </c>
    </row>
    <row r="1885" spans="1:11" ht="25.5" x14ac:dyDescent="0.25">
      <c r="A1885" s="22">
        <v>2026</v>
      </c>
      <c r="B1885" s="28" t="s">
        <v>183</v>
      </c>
      <c r="C1885" s="28" t="s">
        <v>97</v>
      </c>
      <c r="D1885" s="28" t="s">
        <v>1753</v>
      </c>
      <c r="E1885" s="29" t="s">
        <v>331</v>
      </c>
      <c r="F1885" s="29" t="s">
        <v>335</v>
      </c>
      <c r="G1885" s="25" t="s">
        <v>3642</v>
      </c>
      <c r="H1885" s="26">
        <v>-0.13049749999999999</v>
      </c>
      <c r="I1885" s="26"/>
      <c r="J1885" s="26" t="s">
        <v>512</v>
      </c>
      <c r="K1885" s="25" t="s">
        <v>513</v>
      </c>
    </row>
    <row r="1886" spans="1:11" ht="25.5" x14ac:dyDescent="0.25">
      <c r="A1886" s="22">
        <v>2026</v>
      </c>
      <c r="B1886" s="28" t="s">
        <v>183</v>
      </c>
      <c r="C1886" s="28" t="s">
        <v>97</v>
      </c>
      <c r="D1886" s="28" t="s">
        <v>1753</v>
      </c>
      <c r="E1886" s="29" t="s">
        <v>331</v>
      </c>
      <c r="F1886" s="29" t="s">
        <v>335</v>
      </c>
      <c r="G1886" s="25" t="s">
        <v>3643</v>
      </c>
      <c r="H1886" s="26">
        <v>-0.13155749999999999</v>
      </c>
      <c r="I1886" s="26"/>
      <c r="J1886" s="26" t="s">
        <v>512</v>
      </c>
      <c r="K1886" s="25" t="s">
        <v>513</v>
      </c>
    </row>
    <row r="1887" spans="1:11" ht="25.5" x14ac:dyDescent="0.25">
      <c r="A1887" s="22">
        <v>2026</v>
      </c>
      <c r="B1887" s="28" t="s">
        <v>183</v>
      </c>
      <c r="C1887" s="28" t="s">
        <v>97</v>
      </c>
      <c r="D1887" s="28" t="s">
        <v>1753</v>
      </c>
      <c r="E1887" s="29" t="s">
        <v>331</v>
      </c>
      <c r="F1887" s="29" t="s">
        <v>335</v>
      </c>
      <c r="G1887" s="25" t="s">
        <v>3644</v>
      </c>
      <c r="H1887" s="26">
        <v>-0.13102750000000002</v>
      </c>
      <c r="I1887" s="26"/>
      <c r="J1887" s="26" t="s">
        <v>512</v>
      </c>
      <c r="K1887" s="25" t="s">
        <v>513</v>
      </c>
    </row>
    <row r="1888" spans="1:11" ht="25.5" x14ac:dyDescent="0.25">
      <c r="A1888" s="22">
        <v>2026</v>
      </c>
      <c r="B1888" s="28" t="s">
        <v>183</v>
      </c>
      <c r="C1888" s="28" t="s">
        <v>97</v>
      </c>
      <c r="D1888" s="28" t="s">
        <v>1753</v>
      </c>
      <c r="E1888" s="29" t="s">
        <v>331</v>
      </c>
      <c r="F1888" s="29" t="s">
        <v>335</v>
      </c>
      <c r="G1888" s="25" t="s">
        <v>3645</v>
      </c>
      <c r="H1888" s="26">
        <v>-0.13152749999999999</v>
      </c>
      <c r="I1888" s="26"/>
      <c r="J1888" s="26" t="s">
        <v>512</v>
      </c>
      <c r="K1888" s="25" t="s">
        <v>513</v>
      </c>
    </row>
    <row r="1889" spans="1:11" ht="25.5" x14ac:dyDescent="0.25">
      <c r="A1889" s="22">
        <v>2026</v>
      </c>
      <c r="B1889" s="28" t="s">
        <v>183</v>
      </c>
      <c r="C1889" s="28" t="s">
        <v>97</v>
      </c>
      <c r="D1889" s="28" t="s">
        <v>1753</v>
      </c>
      <c r="E1889" s="29" t="s">
        <v>331</v>
      </c>
      <c r="F1889" s="29" t="s">
        <v>335</v>
      </c>
      <c r="G1889" s="25" t="s">
        <v>3646</v>
      </c>
      <c r="H1889" s="26">
        <v>-0.52449999999999997</v>
      </c>
      <c r="I1889" s="26"/>
      <c r="J1889" s="26" t="s">
        <v>512</v>
      </c>
      <c r="K1889" s="25" t="s">
        <v>513</v>
      </c>
    </row>
    <row r="1890" spans="1:11" ht="25.5" x14ac:dyDescent="0.25">
      <c r="A1890" s="22">
        <v>2026</v>
      </c>
      <c r="B1890" s="28" t="s">
        <v>183</v>
      </c>
      <c r="C1890" s="28" t="s">
        <v>97</v>
      </c>
      <c r="D1890" s="28" t="s">
        <v>1753</v>
      </c>
      <c r="E1890" s="29" t="s">
        <v>331</v>
      </c>
      <c r="F1890" s="29" t="s">
        <v>335</v>
      </c>
      <c r="G1890" s="25" t="s">
        <v>3647</v>
      </c>
      <c r="H1890" s="26">
        <v>-0.39519749999999998</v>
      </c>
      <c r="I1890" s="26"/>
      <c r="J1890" s="26" t="s">
        <v>512</v>
      </c>
      <c r="K1890" s="25" t="s">
        <v>513</v>
      </c>
    </row>
    <row r="1891" spans="1:11" ht="25.5" x14ac:dyDescent="0.25">
      <c r="A1891" s="22">
        <v>2026</v>
      </c>
      <c r="B1891" s="28" t="s">
        <v>183</v>
      </c>
      <c r="C1891" s="28" t="s">
        <v>97</v>
      </c>
      <c r="D1891" s="28" t="s">
        <v>1753</v>
      </c>
      <c r="E1891" s="29" t="s">
        <v>331</v>
      </c>
      <c r="F1891" s="29" t="s">
        <v>335</v>
      </c>
      <c r="G1891" s="25" t="s">
        <v>3648</v>
      </c>
      <c r="H1891" s="26">
        <v>-0.39713999999999999</v>
      </c>
      <c r="I1891" s="26"/>
      <c r="J1891" s="26" t="s">
        <v>512</v>
      </c>
      <c r="K1891" s="25" t="s">
        <v>513</v>
      </c>
    </row>
    <row r="1892" spans="1:11" ht="25.5" x14ac:dyDescent="0.25">
      <c r="A1892" s="22">
        <v>2026</v>
      </c>
      <c r="B1892" s="28" t="s">
        <v>183</v>
      </c>
      <c r="C1892" s="28" t="s">
        <v>97</v>
      </c>
      <c r="D1892" s="28" t="s">
        <v>1753</v>
      </c>
      <c r="E1892" s="29" t="s">
        <v>331</v>
      </c>
      <c r="F1892" s="29" t="s">
        <v>335</v>
      </c>
      <c r="G1892" s="25" t="s">
        <v>3649</v>
      </c>
      <c r="H1892" s="26">
        <v>-0.39617999999999998</v>
      </c>
      <c r="I1892" s="26"/>
      <c r="J1892" s="26" t="s">
        <v>512</v>
      </c>
      <c r="K1892" s="25" t="s">
        <v>513</v>
      </c>
    </row>
    <row r="1893" spans="1:11" ht="25.5" x14ac:dyDescent="0.25">
      <c r="A1893" s="22">
        <v>2026</v>
      </c>
      <c r="B1893" s="28" t="s">
        <v>183</v>
      </c>
      <c r="C1893" s="28" t="s">
        <v>97</v>
      </c>
      <c r="D1893" s="28" t="s">
        <v>1753</v>
      </c>
      <c r="E1893" s="29" t="s">
        <v>331</v>
      </c>
      <c r="F1893" s="29" t="s">
        <v>335</v>
      </c>
      <c r="G1893" s="25" t="s">
        <v>3650</v>
      </c>
      <c r="H1893" s="26">
        <v>-0.26612000000000002</v>
      </c>
      <c r="I1893" s="26"/>
      <c r="J1893" s="26" t="s">
        <v>512</v>
      </c>
      <c r="K1893" s="25" t="s">
        <v>513</v>
      </c>
    </row>
    <row r="1894" spans="1:11" ht="25.5" x14ac:dyDescent="0.25">
      <c r="A1894" s="22">
        <v>2026</v>
      </c>
      <c r="B1894" s="28" t="s">
        <v>183</v>
      </c>
      <c r="C1894" s="28" t="s">
        <v>97</v>
      </c>
      <c r="D1894" s="28" t="s">
        <v>216</v>
      </c>
      <c r="E1894" s="29" t="s">
        <v>331</v>
      </c>
      <c r="F1894" s="29" t="s">
        <v>298</v>
      </c>
      <c r="G1894" s="25" t="s">
        <v>3651</v>
      </c>
      <c r="H1894" s="26">
        <v>-4.8611599999999999</v>
      </c>
      <c r="I1894" s="26"/>
      <c r="J1894" s="26" t="s">
        <v>512</v>
      </c>
      <c r="K1894" s="25" t="s">
        <v>513</v>
      </c>
    </row>
    <row r="1895" spans="1:11" ht="25.5" x14ac:dyDescent="0.25">
      <c r="A1895" s="22">
        <v>2026</v>
      </c>
      <c r="B1895" s="28" t="s">
        <v>183</v>
      </c>
      <c r="C1895" s="28" t="s">
        <v>97</v>
      </c>
      <c r="D1895" s="28" t="s">
        <v>216</v>
      </c>
      <c r="E1895" s="29" t="s">
        <v>331</v>
      </c>
      <c r="F1895" s="29" t="s">
        <v>298</v>
      </c>
      <c r="G1895" s="25" t="s">
        <v>3652</v>
      </c>
      <c r="H1895" s="26">
        <v>-2.8132917340000003</v>
      </c>
      <c r="I1895" s="26"/>
      <c r="J1895" s="26" t="s">
        <v>512</v>
      </c>
      <c r="K1895" s="25" t="s">
        <v>513</v>
      </c>
    </row>
    <row r="1896" spans="1:11" ht="25.5" x14ac:dyDescent="0.25">
      <c r="A1896" s="22">
        <v>2026</v>
      </c>
      <c r="B1896" s="28" t="s">
        <v>183</v>
      </c>
      <c r="C1896" s="28" t="s">
        <v>97</v>
      </c>
      <c r="D1896" s="28" t="s">
        <v>216</v>
      </c>
      <c r="E1896" s="29" t="s">
        <v>331</v>
      </c>
      <c r="F1896" s="29" t="s">
        <v>298</v>
      </c>
      <c r="G1896" s="25" t="s">
        <v>3653</v>
      </c>
      <c r="H1896" s="26">
        <v>-1.3215282536999999</v>
      </c>
      <c r="I1896" s="26"/>
      <c r="J1896" s="26" t="s">
        <v>512</v>
      </c>
      <c r="K1896" s="25" t="s">
        <v>513</v>
      </c>
    </row>
    <row r="1897" spans="1:11" ht="25.5" x14ac:dyDescent="0.25">
      <c r="A1897" s="22">
        <v>2026</v>
      </c>
      <c r="B1897" s="28" t="s">
        <v>183</v>
      </c>
      <c r="C1897" s="28" t="s">
        <v>97</v>
      </c>
      <c r="D1897" s="28" t="s">
        <v>216</v>
      </c>
      <c r="E1897" s="29" t="s">
        <v>331</v>
      </c>
      <c r="F1897" s="29" t="s">
        <v>298</v>
      </c>
      <c r="G1897" s="25" t="s">
        <v>3654</v>
      </c>
      <c r="H1897" s="26">
        <v>-5.4931259627999998</v>
      </c>
      <c r="I1897" s="26"/>
      <c r="J1897" s="26" t="s">
        <v>512</v>
      </c>
      <c r="K1897" s="25" t="s">
        <v>513</v>
      </c>
    </row>
    <row r="1898" spans="1:11" ht="25.5" x14ac:dyDescent="0.25">
      <c r="A1898" s="22">
        <v>2026</v>
      </c>
      <c r="B1898" s="28" t="s">
        <v>183</v>
      </c>
      <c r="C1898" s="28" t="s">
        <v>97</v>
      </c>
      <c r="D1898" s="28" t="s">
        <v>216</v>
      </c>
      <c r="E1898" s="29" t="s">
        <v>331</v>
      </c>
      <c r="F1898" s="29" t="s">
        <v>298</v>
      </c>
      <c r="G1898" s="25" t="s">
        <v>3655</v>
      </c>
      <c r="H1898" s="26">
        <v>-2.2518906047999998</v>
      </c>
      <c r="I1898" s="26"/>
      <c r="J1898" s="26" t="s">
        <v>512</v>
      </c>
      <c r="K1898" s="25" t="s">
        <v>513</v>
      </c>
    </row>
    <row r="1899" spans="1:11" ht="25.5" x14ac:dyDescent="0.25">
      <c r="A1899" s="22">
        <v>2026</v>
      </c>
      <c r="B1899" s="28" t="s">
        <v>183</v>
      </c>
      <c r="C1899" s="28" t="s">
        <v>97</v>
      </c>
      <c r="D1899" s="28" t="s">
        <v>216</v>
      </c>
      <c r="E1899" s="29" t="s">
        <v>331</v>
      </c>
      <c r="F1899" s="29" t="s">
        <v>298</v>
      </c>
      <c r="G1899" s="25" t="s">
        <v>3656</v>
      </c>
      <c r="H1899" s="26">
        <v>-4.0892780000000002</v>
      </c>
      <c r="I1899" s="26"/>
      <c r="J1899" s="26" t="s">
        <v>512</v>
      </c>
      <c r="K1899" s="25" t="s">
        <v>513</v>
      </c>
    </row>
    <row r="1900" spans="1:11" ht="25.5" x14ac:dyDescent="0.25">
      <c r="A1900" s="22">
        <v>2026</v>
      </c>
      <c r="B1900" s="28" t="s">
        <v>183</v>
      </c>
      <c r="C1900" s="28" t="s">
        <v>97</v>
      </c>
      <c r="D1900" s="28" t="s">
        <v>216</v>
      </c>
      <c r="E1900" s="29" t="s">
        <v>331</v>
      </c>
      <c r="F1900" s="29" t="s">
        <v>298</v>
      </c>
      <c r="G1900" s="25" t="s">
        <v>3657</v>
      </c>
      <c r="H1900" s="26">
        <v>-3.9559298491000003</v>
      </c>
      <c r="I1900" s="26"/>
      <c r="J1900" s="26" t="s">
        <v>512</v>
      </c>
      <c r="K1900" s="25" t="s">
        <v>513</v>
      </c>
    </row>
    <row r="1901" spans="1:11" ht="25.5" x14ac:dyDescent="0.25">
      <c r="A1901" s="22">
        <v>2026</v>
      </c>
      <c r="B1901" s="28" t="s">
        <v>183</v>
      </c>
      <c r="C1901" s="28" t="s">
        <v>97</v>
      </c>
      <c r="D1901" s="28" t="s">
        <v>216</v>
      </c>
      <c r="E1901" s="29" t="s">
        <v>331</v>
      </c>
      <c r="F1901" s="29" t="s">
        <v>298</v>
      </c>
      <c r="G1901" s="25" t="s">
        <v>3658</v>
      </c>
      <c r="H1901" s="26">
        <v>-4.3278549999999996</v>
      </c>
      <c r="I1901" s="26"/>
      <c r="J1901" s="26" t="s">
        <v>512</v>
      </c>
      <c r="K1901" s="25" t="s">
        <v>513</v>
      </c>
    </row>
    <row r="1902" spans="1:11" ht="25.5" x14ac:dyDescent="0.25">
      <c r="A1902" s="22">
        <v>2026</v>
      </c>
      <c r="B1902" s="28" t="s">
        <v>183</v>
      </c>
      <c r="C1902" s="28" t="s">
        <v>97</v>
      </c>
      <c r="D1902" s="28" t="s">
        <v>216</v>
      </c>
      <c r="E1902" s="29" t="s">
        <v>331</v>
      </c>
      <c r="F1902" s="29" t="s">
        <v>298</v>
      </c>
      <c r="G1902" s="25" t="s">
        <v>3659</v>
      </c>
      <c r="H1902" s="26">
        <v>-4.1047778244000002</v>
      </c>
      <c r="I1902" s="26"/>
      <c r="J1902" s="26" t="s">
        <v>512</v>
      </c>
      <c r="K1902" s="25" t="s">
        <v>513</v>
      </c>
    </row>
    <row r="1903" spans="1:11" ht="25.5" x14ac:dyDescent="0.25">
      <c r="A1903" s="22">
        <v>2026</v>
      </c>
      <c r="B1903" s="28" t="s">
        <v>183</v>
      </c>
      <c r="C1903" s="28" t="s">
        <v>97</v>
      </c>
      <c r="D1903" s="28" t="s">
        <v>216</v>
      </c>
      <c r="E1903" s="29" t="s">
        <v>331</v>
      </c>
      <c r="F1903" s="29" t="s">
        <v>298</v>
      </c>
      <c r="G1903" s="25" t="s">
        <v>3660</v>
      </c>
      <c r="H1903" s="26">
        <v>-2.3659065674999997</v>
      </c>
      <c r="I1903" s="26"/>
      <c r="J1903" s="26" t="s">
        <v>512</v>
      </c>
      <c r="K1903" s="25" t="s">
        <v>513</v>
      </c>
    </row>
    <row r="1904" spans="1:11" ht="25.5" x14ac:dyDescent="0.25">
      <c r="A1904" s="22">
        <v>2026</v>
      </c>
      <c r="B1904" s="28" t="s">
        <v>183</v>
      </c>
      <c r="C1904" s="28" t="s">
        <v>97</v>
      </c>
      <c r="D1904" s="28" t="s">
        <v>216</v>
      </c>
      <c r="E1904" s="29" t="s">
        <v>331</v>
      </c>
      <c r="F1904" s="29" t="s">
        <v>298</v>
      </c>
      <c r="G1904" s="25" t="s">
        <v>3661</v>
      </c>
      <c r="H1904" s="26">
        <v>-1.5267532500000001</v>
      </c>
      <c r="I1904" s="26"/>
      <c r="J1904" s="26" t="s">
        <v>512</v>
      </c>
      <c r="K1904" s="25" t="s">
        <v>513</v>
      </c>
    </row>
    <row r="1905" spans="1:11" ht="25.5" x14ac:dyDescent="0.25">
      <c r="A1905" s="22">
        <v>2026</v>
      </c>
      <c r="B1905" s="28" t="s">
        <v>183</v>
      </c>
      <c r="C1905" s="28" t="s">
        <v>97</v>
      </c>
      <c r="D1905" s="28" t="s">
        <v>542</v>
      </c>
      <c r="E1905" s="29" t="s">
        <v>575</v>
      </c>
      <c r="F1905" s="29" t="s">
        <v>576</v>
      </c>
      <c r="G1905" s="25" t="s">
        <v>2301</v>
      </c>
      <c r="H1905" s="26">
        <v>-9.5200000000000007E-2</v>
      </c>
      <c r="I1905" s="26"/>
      <c r="J1905" s="26" t="s">
        <v>512</v>
      </c>
      <c r="K1905" s="25" t="s">
        <v>513</v>
      </c>
    </row>
    <row r="1906" spans="1:11" ht="25.5" x14ac:dyDescent="0.25">
      <c r="A1906" s="22">
        <v>2026</v>
      </c>
      <c r="B1906" s="28" t="s">
        <v>183</v>
      </c>
      <c r="C1906" s="28" t="s">
        <v>97</v>
      </c>
      <c r="D1906" s="28" t="s">
        <v>542</v>
      </c>
      <c r="E1906" s="29" t="s">
        <v>575</v>
      </c>
      <c r="F1906" s="29" t="s">
        <v>576</v>
      </c>
      <c r="G1906" s="25" t="s">
        <v>3662</v>
      </c>
      <c r="H1906" s="26">
        <v>-0.13650000000000001</v>
      </c>
      <c r="I1906" s="26"/>
      <c r="J1906" s="26" t="s">
        <v>512</v>
      </c>
      <c r="K1906" s="25" t="s">
        <v>513</v>
      </c>
    </row>
    <row r="1907" spans="1:11" ht="25.5" x14ac:dyDescent="0.25">
      <c r="A1907" s="22">
        <v>2026</v>
      </c>
      <c r="B1907" s="28" t="s">
        <v>183</v>
      </c>
      <c r="C1907" s="28" t="s">
        <v>97</v>
      </c>
      <c r="D1907" s="28" t="s">
        <v>542</v>
      </c>
      <c r="E1907" s="29" t="s">
        <v>575</v>
      </c>
      <c r="F1907" s="29" t="s">
        <v>576</v>
      </c>
      <c r="G1907" s="25" t="s">
        <v>2702</v>
      </c>
      <c r="H1907" s="26">
        <v>-6.8750000000000006E-2</v>
      </c>
      <c r="I1907" s="26"/>
      <c r="J1907" s="26" t="s">
        <v>512</v>
      </c>
      <c r="K1907" s="25" t="s">
        <v>513</v>
      </c>
    </row>
    <row r="1908" spans="1:11" ht="25.5" x14ac:dyDescent="0.25">
      <c r="A1908" s="22">
        <v>2026</v>
      </c>
      <c r="B1908" s="28" t="s">
        <v>183</v>
      </c>
      <c r="C1908" s="28" t="s">
        <v>97</v>
      </c>
      <c r="D1908" s="28" t="s">
        <v>542</v>
      </c>
      <c r="E1908" s="29" t="s">
        <v>575</v>
      </c>
      <c r="F1908" s="29" t="s">
        <v>576</v>
      </c>
      <c r="G1908" s="25" t="s">
        <v>2702</v>
      </c>
      <c r="H1908" s="26">
        <v>-6.8750000000000006E-2</v>
      </c>
      <c r="I1908" s="26"/>
      <c r="J1908" s="26" t="s">
        <v>512</v>
      </c>
      <c r="K1908" s="25" t="s">
        <v>513</v>
      </c>
    </row>
    <row r="1909" spans="1:11" ht="25.5" x14ac:dyDescent="0.25">
      <c r="A1909" s="22">
        <v>2026</v>
      </c>
      <c r="B1909" s="28" t="s">
        <v>183</v>
      </c>
      <c r="C1909" s="28" t="s">
        <v>97</v>
      </c>
      <c r="D1909" s="28" t="s">
        <v>542</v>
      </c>
      <c r="E1909" s="29" t="s">
        <v>575</v>
      </c>
      <c r="F1909" s="29" t="s">
        <v>576</v>
      </c>
      <c r="G1909" s="25" t="s">
        <v>3663</v>
      </c>
      <c r="H1909" s="26">
        <v>-0.1668</v>
      </c>
      <c r="I1909" s="26"/>
      <c r="J1909" s="26" t="s">
        <v>512</v>
      </c>
      <c r="K1909" s="25" t="s">
        <v>513</v>
      </c>
    </row>
    <row r="1910" spans="1:11" ht="25.5" x14ac:dyDescent="0.25">
      <c r="A1910" s="22">
        <v>2026</v>
      </c>
      <c r="B1910" s="28" t="s">
        <v>183</v>
      </c>
      <c r="C1910" s="28" t="s">
        <v>97</v>
      </c>
      <c r="D1910" s="28" t="s">
        <v>542</v>
      </c>
      <c r="E1910" s="29" t="s">
        <v>575</v>
      </c>
      <c r="F1910" s="29" t="s">
        <v>576</v>
      </c>
      <c r="G1910" s="25" t="s">
        <v>3664</v>
      </c>
      <c r="H1910" s="26">
        <v>-6.9250000000000006E-2</v>
      </c>
      <c r="I1910" s="26"/>
      <c r="J1910" s="26" t="s">
        <v>512</v>
      </c>
      <c r="K1910" s="25" t="s">
        <v>513</v>
      </c>
    </row>
    <row r="1911" spans="1:11" ht="25.5" x14ac:dyDescent="0.25">
      <c r="A1911" s="22">
        <v>2026</v>
      </c>
      <c r="B1911" s="28" t="s">
        <v>183</v>
      </c>
      <c r="C1911" s="28" t="s">
        <v>97</v>
      </c>
      <c r="D1911" s="28" t="s">
        <v>542</v>
      </c>
      <c r="E1911" s="29" t="s">
        <v>575</v>
      </c>
      <c r="F1911" s="29" t="s">
        <v>576</v>
      </c>
      <c r="G1911" s="25" t="s">
        <v>3665</v>
      </c>
      <c r="H1911" s="26">
        <v>-8.3400000000000002E-2</v>
      </c>
      <c r="I1911" s="26"/>
      <c r="J1911" s="26" t="s">
        <v>512</v>
      </c>
      <c r="K1911" s="25" t="s">
        <v>513</v>
      </c>
    </row>
    <row r="1912" spans="1:11" ht="25.5" x14ac:dyDescent="0.25">
      <c r="A1912" s="22">
        <v>2026</v>
      </c>
      <c r="B1912" s="28" t="s">
        <v>183</v>
      </c>
      <c r="C1912" s="28" t="s">
        <v>97</v>
      </c>
      <c r="D1912" s="28" t="s">
        <v>542</v>
      </c>
      <c r="E1912" s="29" t="s">
        <v>575</v>
      </c>
      <c r="F1912" s="29" t="s">
        <v>576</v>
      </c>
      <c r="G1912" s="25" t="s">
        <v>3223</v>
      </c>
      <c r="H1912" s="26">
        <v>-9.8699999999999996E-2</v>
      </c>
      <c r="I1912" s="26"/>
      <c r="J1912" s="26" t="s">
        <v>512</v>
      </c>
      <c r="K1912" s="25" t="s">
        <v>513</v>
      </c>
    </row>
    <row r="1913" spans="1:11" ht="25.5" x14ac:dyDescent="0.25">
      <c r="A1913" s="22">
        <v>2026</v>
      </c>
      <c r="B1913" s="28" t="s">
        <v>183</v>
      </c>
      <c r="C1913" s="28" t="s">
        <v>97</v>
      </c>
      <c r="D1913" s="28" t="s">
        <v>542</v>
      </c>
      <c r="E1913" s="29" t="s">
        <v>575</v>
      </c>
      <c r="F1913" s="29" t="s">
        <v>576</v>
      </c>
      <c r="G1913" s="25" t="s">
        <v>3666</v>
      </c>
      <c r="H1913" s="26">
        <v>-9.9049999999999999E-2</v>
      </c>
      <c r="I1913" s="26"/>
      <c r="J1913" s="26" t="s">
        <v>512</v>
      </c>
      <c r="K1913" s="25" t="s">
        <v>513</v>
      </c>
    </row>
    <row r="1914" spans="1:11" ht="25.5" x14ac:dyDescent="0.25">
      <c r="A1914" s="22">
        <v>2026</v>
      </c>
      <c r="B1914" s="28" t="s">
        <v>183</v>
      </c>
      <c r="C1914" s="28" t="s">
        <v>97</v>
      </c>
      <c r="D1914" s="28" t="s">
        <v>542</v>
      </c>
      <c r="E1914" s="29" t="s">
        <v>575</v>
      </c>
      <c r="F1914" s="29" t="s">
        <v>576</v>
      </c>
      <c r="G1914" s="25" t="s">
        <v>3667</v>
      </c>
      <c r="H1914" s="26">
        <v>-5.7000000000000002E-2</v>
      </c>
      <c r="I1914" s="26"/>
      <c r="J1914" s="26" t="s">
        <v>512</v>
      </c>
      <c r="K1914" s="25" t="s">
        <v>513</v>
      </c>
    </row>
    <row r="1915" spans="1:11" ht="25.5" x14ac:dyDescent="0.25">
      <c r="A1915" s="22">
        <v>2026</v>
      </c>
      <c r="B1915" s="28" t="s">
        <v>183</v>
      </c>
      <c r="C1915" s="28" t="s">
        <v>97</v>
      </c>
      <c r="D1915" s="28" t="s">
        <v>1789</v>
      </c>
      <c r="E1915" s="29" t="s">
        <v>1800</v>
      </c>
      <c r="F1915" s="29" t="s">
        <v>374</v>
      </c>
      <c r="G1915" s="25" t="s">
        <v>3668</v>
      </c>
      <c r="H1915" s="26">
        <v>-0.25500800000000001</v>
      </c>
      <c r="I1915" s="26"/>
      <c r="J1915" s="26" t="s">
        <v>514</v>
      </c>
      <c r="K1915" s="25" t="s">
        <v>513</v>
      </c>
    </row>
    <row r="1916" spans="1:11" ht="25.5" x14ac:dyDescent="0.25">
      <c r="A1916" s="22">
        <v>2026</v>
      </c>
      <c r="B1916" s="28" t="s">
        <v>183</v>
      </c>
      <c r="C1916" s="28" t="s">
        <v>97</v>
      </c>
      <c r="D1916" s="28" t="s">
        <v>1789</v>
      </c>
      <c r="E1916" s="29" t="s">
        <v>1800</v>
      </c>
      <c r="F1916" s="29" t="s">
        <v>374</v>
      </c>
      <c r="G1916" s="25" t="s">
        <v>3669</v>
      </c>
      <c r="H1916" s="26">
        <v>-0.19847026400000001</v>
      </c>
      <c r="I1916" s="26"/>
      <c r="J1916" s="26" t="s">
        <v>514</v>
      </c>
      <c r="K1916" s="25" t="s">
        <v>513</v>
      </c>
    </row>
    <row r="1917" spans="1:11" ht="25.5" x14ac:dyDescent="0.25">
      <c r="A1917" s="22">
        <v>2026</v>
      </c>
      <c r="B1917" s="28" t="s">
        <v>183</v>
      </c>
      <c r="C1917" s="28" t="s">
        <v>97</v>
      </c>
      <c r="D1917" s="28" t="s">
        <v>1789</v>
      </c>
      <c r="E1917" s="29" t="s">
        <v>1800</v>
      </c>
      <c r="F1917" s="29" t="s">
        <v>374</v>
      </c>
      <c r="G1917" s="25" t="s">
        <v>3670</v>
      </c>
      <c r="H1917" s="26">
        <v>-0.2178285318</v>
      </c>
      <c r="I1917" s="26"/>
      <c r="J1917" s="26" t="s">
        <v>514</v>
      </c>
      <c r="K1917" s="25" t="s">
        <v>513</v>
      </c>
    </row>
    <row r="1918" spans="1:11" ht="25.5" x14ac:dyDescent="0.25">
      <c r="A1918" s="22">
        <v>2026</v>
      </c>
      <c r="B1918" s="28" t="s">
        <v>183</v>
      </c>
      <c r="C1918" s="28" t="s">
        <v>97</v>
      </c>
      <c r="D1918" s="28" t="s">
        <v>1789</v>
      </c>
      <c r="E1918" s="29" t="s">
        <v>1800</v>
      </c>
      <c r="F1918" s="29" t="s">
        <v>374</v>
      </c>
      <c r="G1918" s="25" t="s">
        <v>3671</v>
      </c>
      <c r="H1918" s="26">
        <v>-0.38836831799999999</v>
      </c>
      <c r="I1918" s="26"/>
      <c r="J1918" s="26" t="s">
        <v>514</v>
      </c>
      <c r="K1918" s="25" t="s">
        <v>513</v>
      </c>
    </row>
    <row r="1919" spans="1:11" ht="25.5" x14ac:dyDescent="0.25">
      <c r="A1919" s="22">
        <v>2026</v>
      </c>
      <c r="B1919" s="28" t="s">
        <v>183</v>
      </c>
      <c r="C1919" s="28" t="s">
        <v>97</v>
      </c>
      <c r="D1919" s="28" t="s">
        <v>1789</v>
      </c>
      <c r="E1919" s="29" t="s">
        <v>1800</v>
      </c>
      <c r="F1919" s="29" t="s">
        <v>374</v>
      </c>
      <c r="G1919" s="25" t="s">
        <v>3672</v>
      </c>
      <c r="H1919" s="26">
        <v>-0.168126</v>
      </c>
      <c r="I1919" s="26"/>
      <c r="J1919" s="26" t="s">
        <v>514</v>
      </c>
      <c r="K1919" s="25" t="s">
        <v>513</v>
      </c>
    </row>
    <row r="1920" spans="1:11" ht="25.5" x14ac:dyDescent="0.25">
      <c r="A1920" s="22">
        <v>2026</v>
      </c>
      <c r="B1920" s="28" t="s">
        <v>183</v>
      </c>
      <c r="C1920" s="28" t="s">
        <v>97</v>
      </c>
      <c r="D1920" s="28" t="s">
        <v>1789</v>
      </c>
      <c r="E1920" s="29" t="s">
        <v>1800</v>
      </c>
      <c r="F1920" s="29" t="s">
        <v>374</v>
      </c>
      <c r="G1920" s="25" t="s">
        <v>3673</v>
      </c>
      <c r="H1920" s="26">
        <v>-0.39915</v>
      </c>
      <c r="I1920" s="26"/>
      <c r="J1920" s="26" t="s">
        <v>514</v>
      </c>
      <c r="K1920" s="25" t="s">
        <v>513</v>
      </c>
    </row>
    <row r="1921" spans="1:11" ht="25.5" x14ac:dyDescent="0.25">
      <c r="A1921" s="22">
        <v>2026</v>
      </c>
      <c r="B1921" s="28" t="s">
        <v>183</v>
      </c>
      <c r="C1921" s="28" t="s">
        <v>97</v>
      </c>
      <c r="D1921" s="28" t="s">
        <v>1789</v>
      </c>
      <c r="E1921" s="29" t="s">
        <v>1800</v>
      </c>
      <c r="F1921" s="29" t="s">
        <v>374</v>
      </c>
      <c r="G1921" s="25" t="s">
        <v>3674</v>
      </c>
      <c r="H1921" s="26">
        <v>-0.35111999999999999</v>
      </c>
      <c r="I1921" s="26"/>
      <c r="J1921" s="26" t="s">
        <v>514</v>
      </c>
      <c r="K1921" s="25" t="s">
        <v>513</v>
      </c>
    </row>
    <row r="1922" spans="1:11" ht="25.5" x14ac:dyDescent="0.25">
      <c r="A1922" s="22">
        <v>2026</v>
      </c>
      <c r="B1922" s="28" t="s">
        <v>183</v>
      </c>
      <c r="C1922" s="28" t="s">
        <v>97</v>
      </c>
      <c r="D1922" s="28" t="s">
        <v>1789</v>
      </c>
      <c r="E1922" s="29" t="s">
        <v>1800</v>
      </c>
      <c r="F1922" s="29" t="s">
        <v>374</v>
      </c>
      <c r="G1922" s="25" t="s">
        <v>3675</v>
      </c>
      <c r="H1922" s="26">
        <v>-0.31888</v>
      </c>
      <c r="I1922" s="26"/>
      <c r="J1922" s="26" t="s">
        <v>514</v>
      </c>
      <c r="K1922" s="25" t="s">
        <v>513</v>
      </c>
    </row>
    <row r="1923" spans="1:11" ht="25.5" x14ac:dyDescent="0.25">
      <c r="A1923" s="22">
        <v>2026</v>
      </c>
      <c r="B1923" s="28" t="s">
        <v>183</v>
      </c>
      <c r="C1923" s="28" t="s">
        <v>97</v>
      </c>
      <c r="D1923" s="28" t="s">
        <v>1789</v>
      </c>
      <c r="E1923" s="29" t="s">
        <v>1800</v>
      </c>
      <c r="F1923" s="29" t="s">
        <v>374</v>
      </c>
      <c r="G1923" s="25" t="s">
        <v>3676</v>
      </c>
      <c r="H1923" s="26">
        <v>-0.39810000000000001</v>
      </c>
      <c r="I1923" s="26"/>
      <c r="J1923" s="26" t="s">
        <v>514</v>
      </c>
      <c r="K1923" s="25" t="s">
        <v>513</v>
      </c>
    </row>
    <row r="1924" spans="1:11" ht="25.5" x14ac:dyDescent="0.25">
      <c r="A1924" s="22">
        <v>2026</v>
      </c>
      <c r="B1924" s="28" t="s">
        <v>183</v>
      </c>
      <c r="C1924" s="28" t="s">
        <v>97</v>
      </c>
      <c r="D1924" s="28" t="s">
        <v>1789</v>
      </c>
      <c r="E1924" s="29" t="s">
        <v>1800</v>
      </c>
      <c r="F1924" s="29" t="s">
        <v>374</v>
      </c>
      <c r="G1924" s="25" t="s">
        <v>3677</v>
      </c>
      <c r="H1924" s="26">
        <v>-0.1117291653</v>
      </c>
      <c r="I1924" s="26"/>
      <c r="J1924" s="26" t="s">
        <v>514</v>
      </c>
      <c r="K1924" s="25" t="s">
        <v>513</v>
      </c>
    </row>
    <row r="1925" spans="1:11" ht="25.5" x14ac:dyDescent="0.25">
      <c r="A1925" s="22">
        <v>2026</v>
      </c>
      <c r="B1925" s="28" t="s">
        <v>183</v>
      </c>
      <c r="C1925" s="28" t="s">
        <v>97</v>
      </c>
      <c r="D1925" s="28" t="s">
        <v>1789</v>
      </c>
      <c r="E1925" s="29" t="s">
        <v>1800</v>
      </c>
      <c r="F1925" s="29" t="s">
        <v>374</v>
      </c>
      <c r="G1925" s="25" t="s">
        <v>3678</v>
      </c>
      <c r="H1925" s="26">
        <v>-0.216837</v>
      </c>
      <c r="I1925" s="26"/>
      <c r="J1925" s="26" t="s">
        <v>514</v>
      </c>
      <c r="K1925" s="25" t="s">
        <v>513</v>
      </c>
    </row>
    <row r="1926" spans="1:11" ht="25.5" x14ac:dyDescent="0.25">
      <c r="A1926" s="22">
        <v>2026</v>
      </c>
      <c r="B1926" s="28" t="s">
        <v>183</v>
      </c>
      <c r="C1926" s="28" t="s">
        <v>97</v>
      </c>
      <c r="D1926" s="28" t="s">
        <v>191</v>
      </c>
      <c r="E1926" s="29" t="s">
        <v>643</v>
      </c>
      <c r="F1926" s="29" t="s">
        <v>343</v>
      </c>
      <c r="G1926" s="25" t="s">
        <v>3679</v>
      </c>
      <c r="H1926" s="26">
        <v>-7.8399999999999997E-2</v>
      </c>
      <c r="I1926" s="26"/>
      <c r="J1926" s="26" t="s">
        <v>512</v>
      </c>
      <c r="K1926" s="25" t="s">
        <v>513</v>
      </c>
    </row>
    <row r="1927" spans="1:11" ht="25.5" x14ac:dyDescent="0.25">
      <c r="A1927" s="22">
        <v>2026</v>
      </c>
      <c r="B1927" s="28" t="s">
        <v>183</v>
      </c>
      <c r="C1927" s="28" t="s">
        <v>97</v>
      </c>
      <c r="D1927" s="28" t="s">
        <v>191</v>
      </c>
      <c r="E1927" s="29" t="s">
        <v>643</v>
      </c>
      <c r="F1927" s="29" t="s">
        <v>343</v>
      </c>
      <c r="G1927" s="25" t="s">
        <v>3680</v>
      </c>
      <c r="H1927" s="26">
        <v>-0.13917819999999997</v>
      </c>
      <c r="I1927" s="26"/>
      <c r="J1927" s="26" t="s">
        <v>512</v>
      </c>
      <c r="K1927" s="25" t="s">
        <v>513</v>
      </c>
    </row>
    <row r="1928" spans="1:11" ht="25.5" x14ac:dyDescent="0.25">
      <c r="A1928" s="22">
        <v>2026</v>
      </c>
      <c r="B1928" s="28" t="s">
        <v>183</v>
      </c>
      <c r="C1928" s="28" t="s">
        <v>97</v>
      </c>
      <c r="D1928" s="28" t="s">
        <v>191</v>
      </c>
      <c r="E1928" s="29" t="s">
        <v>643</v>
      </c>
      <c r="F1928" s="29" t="s">
        <v>343</v>
      </c>
      <c r="G1928" s="25" t="s">
        <v>3681</v>
      </c>
      <c r="H1928" s="26">
        <v>-9.6625000000000003E-2</v>
      </c>
      <c r="I1928" s="26"/>
      <c r="J1928" s="26" t="s">
        <v>512</v>
      </c>
      <c r="K1928" s="25" t="s">
        <v>513</v>
      </c>
    </row>
    <row r="1929" spans="1:11" ht="25.5" x14ac:dyDescent="0.25">
      <c r="A1929" s="22">
        <v>2026</v>
      </c>
      <c r="B1929" s="28" t="s">
        <v>183</v>
      </c>
      <c r="C1929" s="28" t="s">
        <v>97</v>
      </c>
      <c r="D1929" s="28" t="s">
        <v>191</v>
      </c>
      <c r="E1929" s="29" t="s">
        <v>643</v>
      </c>
      <c r="F1929" s="29" t="s">
        <v>343</v>
      </c>
      <c r="G1929" s="25" t="s">
        <v>3682</v>
      </c>
      <c r="H1929" s="26">
        <v>-9.5500000000000002E-2</v>
      </c>
      <c r="I1929" s="26"/>
      <c r="J1929" s="26" t="s">
        <v>512</v>
      </c>
      <c r="K1929" s="25" t="s">
        <v>513</v>
      </c>
    </row>
    <row r="1930" spans="1:11" ht="25.5" x14ac:dyDescent="0.25">
      <c r="A1930" s="22">
        <v>2026</v>
      </c>
      <c r="B1930" s="28" t="s">
        <v>183</v>
      </c>
      <c r="C1930" s="28" t="s">
        <v>97</v>
      </c>
      <c r="D1930" s="28" t="s">
        <v>543</v>
      </c>
      <c r="E1930" s="29" t="s">
        <v>578</v>
      </c>
      <c r="F1930" s="29" t="s">
        <v>335</v>
      </c>
      <c r="G1930" s="25" t="s">
        <v>3683</v>
      </c>
      <c r="H1930" s="26">
        <v>-0.29499999999999998</v>
      </c>
      <c r="I1930" s="26"/>
      <c r="J1930" s="26" t="s">
        <v>512</v>
      </c>
      <c r="K1930" s="25" t="s">
        <v>513</v>
      </c>
    </row>
    <row r="1931" spans="1:11" ht="25.5" x14ac:dyDescent="0.25">
      <c r="A1931" s="22">
        <v>2026</v>
      </c>
      <c r="B1931" s="28" t="s">
        <v>183</v>
      </c>
      <c r="C1931" s="28" t="s">
        <v>97</v>
      </c>
      <c r="D1931" s="28" t="s">
        <v>543</v>
      </c>
      <c r="E1931" s="29" t="s">
        <v>578</v>
      </c>
      <c r="F1931" s="29" t="s">
        <v>335</v>
      </c>
      <c r="G1931" s="25" t="s">
        <v>3684</v>
      </c>
      <c r="H1931" s="26">
        <v>-0.1868496</v>
      </c>
      <c r="I1931" s="26"/>
      <c r="J1931" s="26" t="s">
        <v>512</v>
      </c>
      <c r="K1931" s="25" t="s">
        <v>513</v>
      </c>
    </row>
    <row r="1932" spans="1:11" ht="25.5" x14ac:dyDescent="0.25">
      <c r="A1932" s="22">
        <v>2026</v>
      </c>
      <c r="B1932" s="28" t="s">
        <v>183</v>
      </c>
      <c r="C1932" s="28" t="s">
        <v>97</v>
      </c>
      <c r="D1932" s="28" t="s">
        <v>543</v>
      </c>
      <c r="E1932" s="29" t="s">
        <v>578</v>
      </c>
      <c r="F1932" s="29" t="s">
        <v>335</v>
      </c>
      <c r="G1932" s="25" t="s">
        <v>3685</v>
      </c>
      <c r="H1932" s="26">
        <v>-0.42659999999999998</v>
      </c>
      <c r="I1932" s="26"/>
      <c r="J1932" s="26" t="s">
        <v>512</v>
      </c>
      <c r="K1932" s="25" t="s">
        <v>513</v>
      </c>
    </row>
    <row r="1933" spans="1:11" ht="25.5" x14ac:dyDescent="0.25">
      <c r="A1933" s="22">
        <v>2026</v>
      </c>
      <c r="B1933" s="28" t="s">
        <v>183</v>
      </c>
      <c r="C1933" s="28" t="s">
        <v>97</v>
      </c>
      <c r="D1933" s="28" t="s">
        <v>543</v>
      </c>
      <c r="E1933" s="29" t="s">
        <v>578</v>
      </c>
      <c r="F1933" s="29" t="s">
        <v>335</v>
      </c>
      <c r="G1933" s="25" t="s">
        <v>3686</v>
      </c>
      <c r="H1933" s="26">
        <v>-0.11799999999999999</v>
      </c>
      <c r="I1933" s="26"/>
      <c r="J1933" s="26" t="s">
        <v>512</v>
      </c>
      <c r="K1933" s="25" t="s">
        <v>513</v>
      </c>
    </row>
    <row r="1934" spans="1:11" ht="25.5" x14ac:dyDescent="0.25">
      <c r="A1934" s="22">
        <v>2026</v>
      </c>
      <c r="B1934" s="28" t="s">
        <v>183</v>
      </c>
      <c r="C1934" s="28" t="s">
        <v>97</v>
      </c>
      <c r="D1934" s="28" t="s">
        <v>543</v>
      </c>
      <c r="E1934" s="29" t="s">
        <v>578</v>
      </c>
      <c r="F1934" s="29" t="s">
        <v>335</v>
      </c>
      <c r="G1934" s="25" t="s">
        <v>3687</v>
      </c>
      <c r="H1934" s="26">
        <v>-0.20144999999999999</v>
      </c>
      <c r="I1934" s="26"/>
      <c r="J1934" s="26" t="s">
        <v>512</v>
      </c>
      <c r="K1934" s="25" t="s">
        <v>513</v>
      </c>
    </row>
    <row r="1935" spans="1:11" ht="25.5" x14ac:dyDescent="0.25">
      <c r="A1935" s="22">
        <v>2026</v>
      </c>
      <c r="B1935" s="28" t="s">
        <v>183</v>
      </c>
      <c r="C1935" s="28" t="s">
        <v>97</v>
      </c>
      <c r="D1935" s="28" t="s">
        <v>543</v>
      </c>
      <c r="E1935" s="29" t="s">
        <v>578</v>
      </c>
      <c r="F1935" s="29" t="s">
        <v>335</v>
      </c>
      <c r="G1935" s="25" t="s">
        <v>3688</v>
      </c>
      <c r="H1935" s="26">
        <v>-0.26015000000000005</v>
      </c>
      <c r="I1935" s="26"/>
      <c r="J1935" s="26" t="s">
        <v>512</v>
      </c>
      <c r="K1935" s="25" t="s">
        <v>513</v>
      </c>
    </row>
    <row r="1936" spans="1:11" ht="25.5" x14ac:dyDescent="0.25">
      <c r="A1936" s="22">
        <v>2026</v>
      </c>
      <c r="B1936" s="28" t="s">
        <v>183</v>
      </c>
      <c r="C1936" s="28" t="s">
        <v>97</v>
      </c>
      <c r="D1936" s="28" t="s">
        <v>543</v>
      </c>
      <c r="E1936" s="29" t="s">
        <v>578</v>
      </c>
      <c r="F1936" s="29" t="s">
        <v>335</v>
      </c>
      <c r="G1936" s="25" t="s">
        <v>3689</v>
      </c>
      <c r="H1936" s="26">
        <v>-0.14280000000000001</v>
      </c>
      <c r="I1936" s="26"/>
      <c r="J1936" s="26" t="s">
        <v>512</v>
      </c>
      <c r="K1936" s="25" t="s">
        <v>513</v>
      </c>
    </row>
    <row r="1937" spans="1:11" ht="25.5" x14ac:dyDescent="0.25">
      <c r="A1937" s="22">
        <v>2026</v>
      </c>
      <c r="B1937" s="28" t="s">
        <v>183</v>
      </c>
      <c r="C1937" s="28" t="s">
        <v>97</v>
      </c>
      <c r="D1937" s="28" t="s">
        <v>543</v>
      </c>
      <c r="E1937" s="29" t="s">
        <v>578</v>
      </c>
      <c r="F1937" s="29" t="s">
        <v>335</v>
      </c>
      <c r="G1937" s="25" t="s">
        <v>3690</v>
      </c>
      <c r="H1937" s="26">
        <v>-0.11899999999999999</v>
      </c>
      <c r="I1937" s="26"/>
      <c r="J1937" s="26" t="s">
        <v>512</v>
      </c>
      <c r="K1937" s="25" t="s">
        <v>513</v>
      </c>
    </row>
    <row r="1938" spans="1:11" ht="25.5" x14ac:dyDescent="0.25">
      <c r="A1938" s="22">
        <v>2026</v>
      </c>
      <c r="B1938" s="28" t="s">
        <v>183</v>
      </c>
      <c r="C1938" s="28" t="s">
        <v>97</v>
      </c>
      <c r="D1938" s="28" t="s">
        <v>534</v>
      </c>
      <c r="E1938" s="29" t="s">
        <v>337</v>
      </c>
      <c r="F1938" s="29" t="s">
        <v>287</v>
      </c>
      <c r="G1938" s="25" t="s">
        <v>3691</v>
      </c>
      <c r="H1938" s="26">
        <v>-0.77138765189999992</v>
      </c>
      <c r="I1938" s="26"/>
      <c r="J1938" s="26" t="s">
        <v>512</v>
      </c>
      <c r="K1938" s="25" t="s">
        <v>526</v>
      </c>
    </row>
    <row r="1939" spans="1:11" ht="25.5" x14ac:dyDescent="0.25">
      <c r="A1939" s="22">
        <v>2026</v>
      </c>
      <c r="B1939" s="28" t="s">
        <v>183</v>
      </c>
      <c r="C1939" s="28" t="s">
        <v>97</v>
      </c>
      <c r="D1939" s="28" t="s">
        <v>534</v>
      </c>
      <c r="E1939" s="29" t="s">
        <v>337</v>
      </c>
      <c r="F1939" s="29" t="s">
        <v>287</v>
      </c>
      <c r="G1939" s="25" t="s">
        <v>3692</v>
      </c>
      <c r="H1939" s="26">
        <v>-0.65649999999999997</v>
      </c>
      <c r="I1939" s="26"/>
      <c r="J1939" s="26" t="s">
        <v>512</v>
      </c>
      <c r="K1939" s="25" t="s">
        <v>526</v>
      </c>
    </row>
    <row r="1940" spans="1:11" ht="25.5" x14ac:dyDescent="0.25">
      <c r="A1940" s="22">
        <v>2026</v>
      </c>
      <c r="B1940" s="28" t="s">
        <v>183</v>
      </c>
      <c r="C1940" s="28" t="s">
        <v>97</v>
      </c>
      <c r="D1940" s="28" t="s">
        <v>534</v>
      </c>
      <c r="E1940" s="29" t="s">
        <v>337</v>
      </c>
      <c r="F1940" s="29" t="s">
        <v>287</v>
      </c>
      <c r="G1940" s="25" t="s">
        <v>3693</v>
      </c>
      <c r="H1940" s="26">
        <v>-1.5705</v>
      </c>
      <c r="I1940" s="26"/>
      <c r="J1940" s="26" t="s">
        <v>512</v>
      </c>
      <c r="K1940" s="25" t="s">
        <v>526</v>
      </c>
    </row>
    <row r="1941" spans="1:11" ht="25.5" x14ac:dyDescent="0.25">
      <c r="A1941" s="22">
        <v>2026</v>
      </c>
      <c r="B1941" s="28" t="s">
        <v>183</v>
      </c>
      <c r="C1941" s="28" t="s">
        <v>97</v>
      </c>
      <c r="D1941" s="28" t="s">
        <v>534</v>
      </c>
      <c r="E1941" s="29" t="s">
        <v>337</v>
      </c>
      <c r="F1941" s="29" t="s">
        <v>287</v>
      </c>
      <c r="G1941" s="25" t="s">
        <v>3694</v>
      </c>
      <c r="H1941" s="26">
        <v>-0.62861120000000004</v>
      </c>
      <c r="I1941" s="26"/>
      <c r="J1941" s="26" t="s">
        <v>512</v>
      </c>
      <c r="K1941" s="25" t="s">
        <v>526</v>
      </c>
    </row>
    <row r="1942" spans="1:11" ht="25.5" x14ac:dyDescent="0.25">
      <c r="A1942" s="22">
        <v>2026</v>
      </c>
      <c r="B1942" s="28" t="s">
        <v>183</v>
      </c>
      <c r="C1942" s="28" t="s">
        <v>97</v>
      </c>
      <c r="D1942" s="28" t="s">
        <v>534</v>
      </c>
      <c r="E1942" s="29" t="s">
        <v>337</v>
      </c>
      <c r="F1942" s="29" t="s">
        <v>287</v>
      </c>
      <c r="G1942" s="25" t="s">
        <v>3695</v>
      </c>
      <c r="H1942" s="26">
        <v>-0.43490519999999999</v>
      </c>
      <c r="I1942" s="26"/>
      <c r="J1942" s="26" t="s">
        <v>512</v>
      </c>
      <c r="K1942" s="25" t="s">
        <v>526</v>
      </c>
    </row>
    <row r="1943" spans="1:11" ht="25.5" x14ac:dyDescent="0.25">
      <c r="A1943" s="22">
        <v>2026</v>
      </c>
      <c r="B1943" s="28" t="s">
        <v>183</v>
      </c>
      <c r="C1943" s="28" t="s">
        <v>97</v>
      </c>
      <c r="D1943" s="28" t="s">
        <v>534</v>
      </c>
      <c r="E1943" s="29" t="s">
        <v>337</v>
      </c>
      <c r="F1943" s="29" t="s">
        <v>287</v>
      </c>
      <c r="G1943" s="25" t="s">
        <v>3696</v>
      </c>
      <c r="H1943" s="26">
        <v>-2.6949999999999998</v>
      </c>
      <c r="I1943" s="26"/>
      <c r="J1943" s="26" t="s">
        <v>512</v>
      </c>
      <c r="K1943" s="25" t="s">
        <v>526</v>
      </c>
    </row>
    <row r="1944" spans="1:11" ht="25.5" x14ac:dyDescent="0.25">
      <c r="A1944" s="22">
        <v>2026</v>
      </c>
      <c r="B1944" s="28" t="s">
        <v>183</v>
      </c>
      <c r="C1944" s="28" t="s">
        <v>97</v>
      </c>
      <c r="D1944" s="28" t="s">
        <v>534</v>
      </c>
      <c r="E1944" s="29" t="s">
        <v>337</v>
      </c>
      <c r="F1944" s="29" t="s">
        <v>287</v>
      </c>
      <c r="G1944" s="25" t="s">
        <v>3697</v>
      </c>
      <c r="H1944" s="26">
        <v>-0.53576000000000001</v>
      </c>
      <c r="I1944" s="26"/>
      <c r="J1944" s="26" t="s">
        <v>512</v>
      </c>
      <c r="K1944" s="25" t="s">
        <v>526</v>
      </c>
    </row>
    <row r="1945" spans="1:11" ht="25.5" x14ac:dyDescent="0.25">
      <c r="A1945" s="22">
        <v>2026</v>
      </c>
      <c r="B1945" s="28" t="s">
        <v>183</v>
      </c>
      <c r="C1945" s="28" t="s">
        <v>97</v>
      </c>
      <c r="D1945" s="28" t="s">
        <v>534</v>
      </c>
      <c r="E1945" s="29" t="s">
        <v>337</v>
      </c>
      <c r="F1945" s="29" t="s">
        <v>287</v>
      </c>
      <c r="G1945" s="25" t="s">
        <v>3698</v>
      </c>
      <c r="H1945" s="26">
        <v>-0.13500000000000001</v>
      </c>
      <c r="I1945" s="26"/>
      <c r="J1945" s="26" t="s">
        <v>512</v>
      </c>
      <c r="K1945" s="25" t="s">
        <v>526</v>
      </c>
    </row>
    <row r="1946" spans="1:11" ht="25.5" x14ac:dyDescent="0.25">
      <c r="A1946" s="22">
        <v>2026</v>
      </c>
      <c r="B1946" s="28" t="s">
        <v>183</v>
      </c>
      <c r="C1946" s="28" t="s">
        <v>97</v>
      </c>
      <c r="D1946" s="28" t="s">
        <v>534</v>
      </c>
      <c r="E1946" s="29" t="s">
        <v>337</v>
      </c>
      <c r="F1946" s="29" t="s">
        <v>287</v>
      </c>
      <c r="G1946" s="25" t="s">
        <v>3699</v>
      </c>
      <c r="H1946" s="26">
        <v>-0.33470902500000005</v>
      </c>
      <c r="I1946" s="26"/>
      <c r="J1946" s="26" t="s">
        <v>512</v>
      </c>
      <c r="K1946" s="25" t="s">
        <v>526</v>
      </c>
    </row>
    <row r="1947" spans="1:11" ht="25.5" x14ac:dyDescent="0.25">
      <c r="A1947" s="22">
        <v>2026</v>
      </c>
      <c r="B1947" s="28" t="s">
        <v>183</v>
      </c>
      <c r="C1947" s="28" t="s">
        <v>97</v>
      </c>
      <c r="D1947" s="28" t="s">
        <v>534</v>
      </c>
      <c r="E1947" s="29" t="s">
        <v>337</v>
      </c>
      <c r="F1947" s="29" t="s">
        <v>287</v>
      </c>
      <c r="G1947" s="25" t="s">
        <v>3700</v>
      </c>
      <c r="H1947" s="26">
        <v>-1.0077013959999999</v>
      </c>
      <c r="I1947" s="26"/>
      <c r="J1947" s="26" t="s">
        <v>512</v>
      </c>
      <c r="K1947" s="25" t="s">
        <v>526</v>
      </c>
    </row>
    <row r="1948" spans="1:11" ht="25.5" x14ac:dyDescent="0.25">
      <c r="A1948" s="22">
        <v>2026</v>
      </c>
      <c r="B1948" s="28" t="s">
        <v>183</v>
      </c>
      <c r="C1948" s="28" t="s">
        <v>97</v>
      </c>
      <c r="D1948" s="28" t="s">
        <v>534</v>
      </c>
      <c r="E1948" s="29" t="s">
        <v>337</v>
      </c>
      <c r="F1948" s="29" t="s">
        <v>287</v>
      </c>
      <c r="G1948" s="25" t="s">
        <v>3701</v>
      </c>
      <c r="H1948" s="26">
        <v>-1.0178717924</v>
      </c>
      <c r="I1948" s="26"/>
      <c r="J1948" s="26" t="s">
        <v>512</v>
      </c>
      <c r="K1948" s="25" t="s">
        <v>526</v>
      </c>
    </row>
    <row r="1949" spans="1:11" ht="25.5" x14ac:dyDescent="0.25">
      <c r="A1949" s="22">
        <v>2026</v>
      </c>
      <c r="B1949" s="28" t="s">
        <v>183</v>
      </c>
      <c r="C1949" s="28" t="s">
        <v>97</v>
      </c>
      <c r="D1949" s="28" t="s">
        <v>1754</v>
      </c>
      <c r="E1949" s="29" t="s">
        <v>569</v>
      </c>
      <c r="F1949" s="29" t="s">
        <v>474</v>
      </c>
      <c r="G1949" s="25" t="s">
        <v>3702</v>
      </c>
      <c r="H1949" s="26">
        <v>-0.45101847680000001</v>
      </c>
      <c r="I1949" s="26"/>
      <c r="J1949" s="26" t="s">
        <v>512</v>
      </c>
      <c r="K1949" s="25" t="s">
        <v>513</v>
      </c>
    </row>
    <row r="1950" spans="1:11" ht="25.5" x14ac:dyDescent="0.25">
      <c r="A1950" s="22">
        <v>2026</v>
      </c>
      <c r="B1950" s="28" t="s">
        <v>183</v>
      </c>
      <c r="C1950" s="28" t="s">
        <v>97</v>
      </c>
      <c r="D1950" s="28" t="s">
        <v>1754</v>
      </c>
      <c r="E1950" s="29" t="s">
        <v>569</v>
      </c>
      <c r="F1950" s="29" t="s">
        <v>474</v>
      </c>
      <c r="G1950" s="25" t="s">
        <v>3703</v>
      </c>
      <c r="H1950" s="26">
        <v>-0.23395584</v>
      </c>
      <c r="I1950" s="26"/>
      <c r="J1950" s="26" t="s">
        <v>512</v>
      </c>
      <c r="K1950" s="25" t="s">
        <v>513</v>
      </c>
    </row>
    <row r="1951" spans="1:11" ht="25.5" x14ac:dyDescent="0.25">
      <c r="A1951" s="22">
        <v>2026</v>
      </c>
      <c r="B1951" s="28" t="s">
        <v>183</v>
      </c>
      <c r="C1951" s="28" t="s">
        <v>97</v>
      </c>
      <c r="D1951" s="28" t="s">
        <v>1754</v>
      </c>
      <c r="E1951" s="29" t="s">
        <v>569</v>
      </c>
      <c r="F1951" s="29" t="s">
        <v>474</v>
      </c>
      <c r="G1951" s="25" t="s">
        <v>3704</v>
      </c>
      <c r="H1951" s="26">
        <v>-8.1004110000000004E-2</v>
      </c>
      <c r="I1951" s="26"/>
      <c r="J1951" s="26" t="s">
        <v>512</v>
      </c>
      <c r="K1951" s="25" t="s">
        <v>513</v>
      </c>
    </row>
    <row r="1952" spans="1:11" ht="25.5" x14ac:dyDescent="0.25">
      <c r="A1952" s="22">
        <v>2026</v>
      </c>
      <c r="B1952" s="28" t="s">
        <v>183</v>
      </c>
      <c r="C1952" s="28" t="s">
        <v>97</v>
      </c>
      <c r="D1952" s="28" t="s">
        <v>1754</v>
      </c>
      <c r="E1952" s="29" t="s">
        <v>569</v>
      </c>
      <c r="F1952" s="29" t="s">
        <v>474</v>
      </c>
      <c r="G1952" s="25" t="s">
        <v>3705</v>
      </c>
      <c r="H1952" s="26">
        <v>-0.58207918999999997</v>
      </c>
      <c r="I1952" s="26"/>
      <c r="J1952" s="26" t="s">
        <v>512</v>
      </c>
      <c r="K1952" s="25" t="s">
        <v>513</v>
      </c>
    </row>
    <row r="1953" spans="1:11" ht="25.5" x14ac:dyDescent="0.25">
      <c r="A1953" s="22">
        <v>2026</v>
      </c>
      <c r="B1953" s="28" t="s">
        <v>183</v>
      </c>
      <c r="C1953" s="28" t="s">
        <v>97</v>
      </c>
      <c r="D1953" s="28" t="s">
        <v>1754</v>
      </c>
      <c r="E1953" s="29" t="s">
        <v>569</v>
      </c>
      <c r="F1953" s="29" t="s">
        <v>474</v>
      </c>
      <c r="G1953" s="25" t="s">
        <v>3706</v>
      </c>
      <c r="H1953" s="26">
        <v>-0.166875</v>
      </c>
      <c r="I1953" s="26"/>
      <c r="J1953" s="26" t="s">
        <v>512</v>
      </c>
      <c r="K1953" s="25" t="s">
        <v>513</v>
      </c>
    </row>
    <row r="1954" spans="1:11" ht="25.5" x14ac:dyDescent="0.25">
      <c r="A1954" s="22">
        <v>2026</v>
      </c>
      <c r="B1954" s="28" t="s">
        <v>183</v>
      </c>
      <c r="C1954" s="28" t="s">
        <v>97</v>
      </c>
      <c r="D1954" s="28" t="s">
        <v>1754</v>
      </c>
      <c r="E1954" s="29" t="s">
        <v>569</v>
      </c>
      <c r="F1954" s="29" t="s">
        <v>474</v>
      </c>
      <c r="G1954" s="25" t="s">
        <v>3707</v>
      </c>
      <c r="H1954" s="26">
        <v>-5.6125000000000001E-2</v>
      </c>
      <c r="I1954" s="26"/>
      <c r="J1954" s="26" t="s">
        <v>512</v>
      </c>
      <c r="K1954" s="25" t="s">
        <v>513</v>
      </c>
    </row>
    <row r="1955" spans="1:11" ht="25.5" x14ac:dyDescent="0.25">
      <c r="A1955" s="22">
        <v>2026</v>
      </c>
      <c r="B1955" s="28" t="s">
        <v>183</v>
      </c>
      <c r="C1955" s="28" t="s">
        <v>97</v>
      </c>
      <c r="D1955" s="28" t="s">
        <v>1755</v>
      </c>
      <c r="E1955" s="29" t="s">
        <v>923</v>
      </c>
      <c r="F1955" s="29" t="s">
        <v>340</v>
      </c>
      <c r="G1955" s="25" t="s">
        <v>3708</v>
      </c>
      <c r="H1955" s="26">
        <v>-9.1200000000000003E-2</v>
      </c>
      <c r="I1955" s="26"/>
      <c r="J1955" s="26" t="s">
        <v>512</v>
      </c>
      <c r="K1955" s="25" t="s">
        <v>513</v>
      </c>
    </row>
    <row r="1956" spans="1:11" ht="25.5" x14ac:dyDescent="0.25">
      <c r="A1956" s="22">
        <v>2026</v>
      </c>
      <c r="B1956" s="28" t="s">
        <v>183</v>
      </c>
      <c r="C1956" s="28" t="s">
        <v>97</v>
      </c>
      <c r="D1956" s="28" t="s">
        <v>1755</v>
      </c>
      <c r="E1956" s="29" t="s">
        <v>923</v>
      </c>
      <c r="F1956" s="29" t="s">
        <v>340</v>
      </c>
      <c r="G1956" s="25" t="s">
        <v>3709</v>
      </c>
      <c r="H1956" s="26">
        <v>-0.31850000000000001</v>
      </c>
      <c r="I1956" s="26"/>
      <c r="J1956" s="26" t="s">
        <v>512</v>
      </c>
      <c r="K1956" s="25" t="s">
        <v>513</v>
      </c>
    </row>
    <row r="1957" spans="1:11" ht="25.5" x14ac:dyDescent="0.25">
      <c r="A1957" s="22">
        <v>2026</v>
      </c>
      <c r="B1957" s="28" t="s">
        <v>183</v>
      </c>
      <c r="C1957" s="28" t="s">
        <v>97</v>
      </c>
      <c r="D1957" s="28" t="s">
        <v>1755</v>
      </c>
      <c r="E1957" s="29" t="s">
        <v>923</v>
      </c>
      <c r="F1957" s="29" t="s">
        <v>340</v>
      </c>
      <c r="G1957" s="25" t="s">
        <v>3710</v>
      </c>
      <c r="H1957" s="26">
        <v>-0.23699999999999999</v>
      </c>
      <c r="I1957" s="26"/>
      <c r="J1957" s="26" t="s">
        <v>512</v>
      </c>
      <c r="K1957" s="25" t="s">
        <v>513</v>
      </c>
    </row>
    <row r="1958" spans="1:11" ht="25.5" x14ac:dyDescent="0.25">
      <c r="A1958" s="22">
        <v>2026</v>
      </c>
      <c r="B1958" s="28" t="s">
        <v>183</v>
      </c>
      <c r="C1958" s="28" t="s">
        <v>97</v>
      </c>
      <c r="D1958" s="28" t="s">
        <v>1755</v>
      </c>
      <c r="E1958" s="29" t="s">
        <v>923</v>
      </c>
      <c r="F1958" s="29" t="s">
        <v>340</v>
      </c>
      <c r="G1958" s="25" t="s">
        <v>3711</v>
      </c>
      <c r="H1958" s="26">
        <v>-0.19120000000000001</v>
      </c>
      <c r="I1958" s="26"/>
      <c r="J1958" s="26" t="s">
        <v>512</v>
      </c>
      <c r="K1958" s="25" t="s">
        <v>513</v>
      </c>
    </row>
    <row r="1959" spans="1:11" ht="25.5" x14ac:dyDescent="0.25">
      <c r="A1959" s="22">
        <v>2026</v>
      </c>
      <c r="B1959" s="28" t="s">
        <v>183</v>
      </c>
      <c r="C1959" s="28" t="s">
        <v>97</v>
      </c>
      <c r="D1959" s="28" t="s">
        <v>1790</v>
      </c>
      <c r="E1959" s="29" t="s">
        <v>1781</v>
      </c>
      <c r="F1959" s="29" t="s">
        <v>287</v>
      </c>
      <c r="G1959" s="25" t="s">
        <v>3712</v>
      </c>
      <c r="H1959" s="26">
        <v>-5.8000000000000003E-2</v>
      </c>
      <c r="I1959" s="26"/>
      <c r="J1959" s="26" t="s">
        <v>512</v>
      </c>
      <c r="K1959" s="25" t="s">
        <v>513</v>
      </c>
    </row>
    <row r="1960" spans="1:11" ht="25.5" x14ac:dyDescent="0.25">
      <c r="A1960" s="22">
        <v>2026</v>
      </c>
      <c r="B1960" s="28" t="s">
        <v>183</v>
      </c>
      <c r="C1960" s="28" t="s">
        <v>97</v>
      </c>
      <c r="D1960" s="28" t="s">
        <v>1790</v>
      </c>
      <c r="E1960" s="29" t="s">
        <v>1781</v>
      </c>
      <c r="F1960" s="29" t="s">
        <v>287</v>
      </c>
      <c r="G1960" s="25" t="s">
        <v>3713</v>
      </c>
      <c r="H1960" s="26">
        <v>-0.11619999999999998</v>
      </c>
      <c r="I1960" s="26"/>
      <c r="J1960" s="26" t="s">
        <v>512</v>
      </c>
      <c r="K1960" s="25" t="s">
        <v>513</v>
      </c>
    </row>
    <row r="1961" spans="1:11" ht="25.5" x14ac:dyDescent="0.25">
      <c r="A1961" s="22">
        <v>2026</v>
      </c>
      <c r="B1961" s="28" t="s">
        <v>183</v>
      </c>
      <c r="C1961" s="28" t="s">
        <v>97</v>
      </c>
      <c r="D1961" s="28" t="s">
        <v>1790</v>
      </c>
      <c r="E1961" s="29" t="s">
        <v>1781</v>
      </c>
      <c r="F1961" s="29" t="s">
        <v>287</v>
      </c>
      <c r="G1961" s="25" t="s">
        <v>3714</v>
      </c>
      <c r="H1961" s="26">
        <v>-5.7931999999999997E-2</v>
      </c>
      <c r="I1961" s="26"/>
      <c r="J1961" s="26" t="s">
        <v>512</v>
      </c>
      <c r="K1961" s="25" t="s">
        <v>513</v>
      </c>
    </row>
    <row r="1962" spans="1:11" ht="25.5" x14ac:dyDescent="0.25">
      <c r="A1962" s="22">
        <v>2026</v>
      </c>
      <c r="B1962" s="28" t="s">
        <v>183</v>
      </c>
      <c r="C1962" s="28" t="s">
        <v>97</v>
      </c>
      <c r="D1962" s="28" t="s">
        <v>1790</v>
      </c>
      <c r="E1962" s="29" t="s">
        <v>1781</v>
      </c>
      <c r="F1962" s="29" t="s">
        <v>287</v>
      </c>
      <c r="G1962" s="25" t="s">
        <v>3715</v>
      </c>
      <c r="H1962" s="26">
        <v>-0.146125</v>
      </c>
      <c r="I1962" s="26"/>
      <c r="J1962" s="26" t="s">
        <v>512</v>
      </c>
      <c r="K1962" s="25" t="s">
        <v>513</v>
      </c>
    </row>
    <row r="1963" spans="1:11" ht="25.5" x14ac:dyDescent="0.25">
      <c r="A1963" s="22">
        <v>2026</v>
      </c>
      <c r="B1963" s="28" t="s">
        <v>183</v>
      </c>
      <c r="C1963" s="28" t="s">
        <v>97</v>
      </c>
      <c r="D1963" s="28" t="s">
        <v>1790</v>
      </c>
      <c r="E1963" s="29" t="s">
        <v>1781</v>
      </c>
      <c r="F1963" s="29" t="s">
        <v>287</v>
      </c>
      <c r="G1963" s="25" t="s">
        <v>3716</v>
      </c>
      <c r="H1963" s="26">
        <v>-0.29099999999999998</v>
      </c>
      <c r="I1963" s="26"/>
      <c r="J1963" s="26" t="s">
        <v>512</v>
      </c>
      <c r="K1963" s="25" t="s">
        <v>513</v>
      </c>
    </row>
    <row r="1964" spans="1:11" ht="25.5" x14ac:dyDescent="0.25">
      <c r="A1964" s="22">
        <v>2026</v>
      </c>
      <c r="B1964" s="28" t="s">
        <v>183</v>
      </c>
      <c r="C1964" s="28" t="s">
        <v>97</v>
      </c>
      <c r="D1964" s="28" t="s">
        <v>1790</v>
      </c>
      <c r="E1964" s="29" t="s">
        <v>1781</v>
      </c>
      <c r="F1964" s="29" t="s">
        <v>287</v>
      </c>
      <c r="G1964" s="25" t="s">
        <v>3717</v>
      </c>
      <c r="H1964" s="26">
        <v>-0.11600000000000001</v>
      </c>
      <c r="I1964" s="26"/>
      <c r="J1964" s="26" t="s">
        <v>512</v>
      </c>
      <c r="K1964" s="25" t="s">
        <v>513</v>
      </c>
    </row>
    <row r="1965" spans="1:11" ht="25.5" x14ac:dyDescent="0.25">
      <c r="A1965" s="22">
        <v>2026</v>
      </c>
      <c r="B1965" s="28" t="s">
        <v>183</v>
      </c>
      <c r="C1965" s="28" t="s">
        <v>97</v>
      </c>
      <c r="D1965" s="28" t="s">
        <v>1790</v>
      </c>
      <c r="E1965" s="29" t="s">
        <v>1781</v>
      </c>
      <c r="F1965" s="29" t="s">
        <v>287</v>
      </c>
      <c r="G1965" s="25" t="s">
        <v>3718</v>
      </c>
      <c r="H1965" s="26">
        <v>-1.1242099999999999</v>
      </c>
      <c r="I1965" s="26"/>
      <c r="J1965" s="26" t="s">
        <v>512</v>
      </c>
      <c r="K1965" s="25" t="s">
        <v>513</v>
      </c>
    </row>
    <row r="1966" spans="1:11" ht="25.5" x14ac:dyDescent="0.25">
      <c r="A1966" s="22">
        <v>2026</v>
      </c>
      <c r="B1966" s="28" t="s">
        <v>183</v>
      </c>
      <c r="C1966" s="28" t="s">
        <v>97</v>
      </c>
      <c r="D1966" s="28" t="s">
        <v>1790</v>
      </c>
      <c r="E1966" s="29" t="s">
        <v>1781</v>
      </c>
      <c r="F1966" s="29" t="s">
        <v>287</v>
      </c>
      <c r="G1966" s="25" t="s">
        <v>3719</v>
      </c>
      <c r="H1966" s="26">
        <v>-4.3799999999999999E-2</v>
      </c>
      <c r="I1966" s="26"/>
      <c r="J1966" s="26" t="s">
        <v>512</v>
      </c>
      <c r="K1966" s="25" t="s">
        <v>513</v>
      </c>
    </row>
    <row r="1967" spans="1:11" ht="25.5" x14ac:dyDescent="0.25">
      <c r="A1967" s="22">
        <v>2026</v>
      </c>
      <c r="B1967" s="28" t="s">
        <v>183</v>
      </c>
      <c r="C1967" s="28" t="s">
        <v>97</v>
      </c>
      <c r="D1967" s="28" t="s">
        <v>182</v>
      </c>
      <c r="E1967" s="29" t="s">
        <v>321</v>
      </c>
      <c r="F1967" s="29" t="s">
        <v>322</v>
      </c>
      <c r="G1967" s="25" t="s">
        <v>3720</v>
      </c>
      <c r="H1967" s="26">
        <v>-0.82153688140000003</v>
      </c>
      <c r="I1967" s="26"/>
      <c r="J1967" s="26" t="s">
        <v>519</v>
      </c>
      <c r="K1967" s="25" t="s">
        <v>513</v>
      </c>
    </row>
    <row r="1968" spans="1:11" ht="25.5" x14ac:dyDescent="0.25">
      <c r="A1968" s="22">
        <v>2026</v>
      </c>
      <c r="B1968" s="28" t="s">
        <v>183</v>
      </c>
      <c r="C1968" s="28" t="s">
        <v>97</v>
      </c>
      <c r="D1968" s="28" t="s">
        <v>182</v>
      </c>
      <c r="E1968" s="29" t="s">
        <v>321</v>
      </c>
      <c r="F1968" s="29" t="s">
        <v>322</v>
      </c>
      <c r="G1968" s="25" t="s">
        <v>3721</v>
      </c>
      <c r="H1968" s="26">
        <v>-1.8652036500000002</v>
      </c>
      <c r="I1968" s="26"/>
      <c r="J1968" s="26" t="s">
        <v>519</v>
      </c>
      <c r="K1968" s="25" t="s">
        <v>513</v>
      </c>
    </row>
    <row r="1969" spans="1:11" ht="25.5" x14ac:dyDescent="0.25">
      <c r="A1969" s="22">
        <v>2026</v>
      </c>
      <c r="B1969" s="28" t="s">
        <v>183</v>
      </c>
      <c r="C1969" s="28" t="s">
        <v>97</v>
      </c>
      <c r="D1969" s="28" t="s">
        <v>182</v>
      </c>
      <c r="E1969" s="29" t="s">
        <v>321</v>
      </c>
      <c r="F1969" s="29" t="s">
        <v>322</v>
      </c>
      <c r="G1969" s="25" t="s">
        <v>3722</v>
      </c>
      <c r="H1969" s="26">
        <v>-2.0059999999999998</v>
      </c>
      <c r="I1969" s="26"/>
      <c r="J1969" s="26" t="s">
        <v>519</v>
      </c>
      <c r="K1969" s="25" t="s">
        <v>513</v>
      </c>
    </row>
    <row r="1970" spans="1:11" ht="25.5" x14ac:dyDescent="0.25">
      <c r="A1970" s="22">
        <v>2026</v>
      </c>
      <c r="B1970" s="28" t="s">
        <v>183</v>
      </c>
      <c r="C1970" s="28" t="s">
        <v>97</v>
      </c>
      <c r="D1970" s="28" t="s">
        <v>182</v>
      </c>
      <c r="E1970" s="29" t="s">
        <v>321</v>
      </c>
      <c r="F1970" s="29" t="s">
        <v>322</v>
      </c>
      <c r="G1970" s="25" t="s">
        <v>3723</v>
      </c>
      <c r="H1970" s="26">
        <v>-1.8854519999999997</v>
      </c>
      <c r="I1970" s="26"/>
      <c r="J1970" s="26" t="s">
        <v>519</v>
      </c>
      <c r="K1970" s="25" t="s">
        <v>513</v>
      </c>
    </row>
    <row r="1971" spans="1:11" ht="25.5" x14ac:dyDescent="0.25">
      <c r="A1971" s="22">
        <v>2026</v>
      </c>
      <c r="B1971" s="28" t="s">
        <v>183</v>
      </c>
      <c r="C1971" s="28" t="s">
        <v>97</v>
      </c>
      <c r="D1971" s="28" t="s">
        <v>182</v>
      </c>
      <c r="E1971" s="29" t="s">
        <v>321</v>
      </c>
      <c r="F1971" s="29" t="s">
        <v>322</v>
      </c>
      <c r="G1971" s="25" t="s">
        <v>3724</v>
      </c>
      <c r="H1971" s="26">
        <v>-0.4</v>
      </c>
      <c r="I1971" s="26"/>
      <c r="J1971" s="26" t="s">
        <v>519</v>
      </c>
      <c r="K1971" s="25" t="s">
        <v>513</v>
      </c>
    </row>
    <row r="1972" spans="1:11" ht="25.5" x14ac:dyDescent="0.25">
      <c r="A1972" s="22">
        <v>2026</v>
      </c>
      <c r="B1972" s="28" t="s">
        <v>183</v>
      </c>
      <c r="C1972" s="28" t="s">
        <v>97</v>
      </c>
      <c r="D1972" s="28" t="s">
        <v>182</v>
      </c>
      <c r="E1972" s="29" t="s">
        <v>321</v>
      </c>
      <c r="F1972" s="29" t="s">
        <v>322</v>
      </c>
      <c r="G1972" s="25" t="s">
        <v>3725</v>
      </c>
      <c r="H1972" s="26">
        <v>-1.8242549999999997</v>
      </c>
      <c r="I1972" s="26"/>
      <c r="J1972" s="26" t="s">
        <v>519</v>
      </c>
      <c r="K1972" s="25" t="s">
        <v>513</v>
      </c>
    </row>
    <row r="1973" spans="1:11" ht="25.5" x14ac:dyDescent="0.25">
      <c r="A1973" s="22">
        <v>2026</v>
      </c>
      <c r="B1973" s="28" t="s">
        <v>183</v>
      </c>
      <c r="C1973" s="28" t="s">
        <v>97</v>
      </c>
      <c r="D1973" s="28" t="s">
        <v>182</v>
      </c>
      <c r="E1973" s="29" t="s">
        <v>321</v>
      </c>
      <c r="F1973" s="29" t="s">
        <v>322</v>
      </c>
      <c r="G1973" s="25" t="s">
        <v>3726</v>
      </c>
      <c r="H1973" s="26">
        <v>-2.5624137941999998</v>
      </c>
      <c r="I1973" s="26"/>
      <c r="J1973" s="26" t="s">
        <v>519</v>
      </c>
      <c r="K1973" s="25" t="s">
        <v>513</v>
      </c>
    </row>
    <row r="1974" spans="1:11" ht="25.5" x14ac:dyDescent="0.25">
      <c r="A1974" s="22">
        <v>2026</v>
      </c>
      <c r="B1974" s="28" t="s">
        <v>183</v>
      </c>
      <c r="C1974" s="28" t="s">
        <v>97</v>
      </c>
      <c r="D1974" s="28" t="s">
        <v>182</v>
      </c>
      <c r="E1974" s="29" t="s">
        <v>321</v>
      </c>
      <c r="F1974" s="29" t="s">
        <v>322</v>
      </c>
      <c r="G1974" s="25" t="s">
        <v>3727</v>
      </c>
      <c r="H1974" s="26">
        <v>-1.7093579999999997</v>
      </c>
      <c r="I1974" s="26"/>
      <c r="J1974" s="26" t="s">
        <v>519</v>
      </c>
      <c r="K1974" s="25" t="s">
        <v>513</v>
      </c>
    </row>
    <row r="1975" spans="1:11" ht="25.5" x14ac:dyDescent="0.25">
      <c r="A1975" s="22">
        <v>2026</v>
      </c>
      <c r="B1975" s="28" t="s">
        <v>183</v>
      </c>
      <c r="C1975" s="28" t="s">
        <v>97</v>
      </c>
      <c r="D1975" s="28" t="s">
        <v>182</v>
      </c>
      <c r="E1975" s="29" t="s">
        <v>321</v>
      </c>
      <c r="F1975" s="29" t="s">
        <v>322</v>
      </c>
      <c r="G1975" s="25" t="s">
        <v>3728</v>
      </c>
      <c r="H1975" s="26">
        <v>-0.8125</v>
      </c>
      <c r="I1975" s="26"/>
      <c r="J1975" s="26" t="s">
        <v>519</v>
      </c>
      <c r="K1975" s="25" t="s">
        <v>513</v>
      </c>
    </row>
    <row r="1976" spans="1:11" ht="25.5" x14ac:dyDescent="0.25">
      <c r="A1976" s="22">
        <v>2026</v>
      </c>
      <c r="B1976" s="28" t="s">
        <v>183</v>
      </c>
      <c r="C1976" s="28" t="s">
        <v>97</v>
      </c>
      <c r="D1976" s="28" t="s">
        <v>182</v>
      </c>
      <c r="E1976" s="29" t="s">
        <v>321</v>
      </c>
      <c r="F1976" s="29" t="s">
        <v>322</v>
      </c>
      <c r="G1976" s="25" t="s">
        <v>3729</v>
      </c>
      <c r="H1976" s="26">
        <v>-1.0177499999999999</v>
      </c>
      <c r="I1976" s="26"/>
      <c r="J1976" s="26" t="s">
        <v>519</v>
      </c>
      <c r="K1976" s="25" t="s">
        <v>513</v>
      </c>
    </row>
    <row r="1977" spans="1:11" ht="25.5" x14ac:dyDescent="0.25">
      <c r="A1977" s="22">
        <v>2026</v>
      </c>
      <c r="B1977" s="28" t="s">
        <v>183</v>
      </c>
      <c r="C1977" s="28" t="s">
        <v>97</v>
      </c>
      <c r="D1977" s="28" t="s">
        <v>182</v>
      </c>
      <c r="E1977" s="29" t="s">
        <v>321</v>
      </c>
      <c r="F1977" s="29" t="s">
        <v>322</v>
      </c>
      <c r="G1977" s="25" t="s">
        <v>3730</v>
      </c>
      <c r="H1977" s="26">
        <v>-1.0175000000000001</v>
      </c>
      <c r="I1977" s="26"/>
      <c r="J1977" s="26" t="s">
        <v>519</v>
      </c>
      <c r="K1977" s="25" t="s">
        <v>513</v>
      </c>
    </row>
    <row r="1978" spans="1:11" ht="25.5" x14ac:dyDescent="0.25">
      <c r="A1978" s="22">
        <v>2026</v>
      </c>
      <c r="B1978" s="28" t="s">
        <v>183</v>
      </c>
      <c r="C1978" s="28" t="s">
        <v>97</v>
      </c>
      <c r="D1978" s="28" t="s">
        <v>182</v>
      </c>
      <c r="E1978" s="29" t="s">
        <v>321</v>
      </c>
      <c r="F1978" s="29" t="s">
        <v>322</v>
      </c>
      <c r="G1978" s="25" t="s">
        <v>3730</v>
      </c>
      <c r="H1978" s="26">
        <v>-1.0175000000000001</v>
      </c>
      <c r="I1978" s="26"/>
      <c r="J1978" s="26" t="s">
        <v>519</v>
      </c>
      <c r="K1978" s="25" t="s">
        <v>513</v>
      </c>
    </row>
    <row r="1979" spans="1:11" ht="25.5" x14ac:dyDescent="0.25">
      <c r="A1979" s="22">
        <v>2026</v>
      </c>
      <c r="B1979" s="28" t="s">
        <v>183</v>
      </c>
      <c r="C1979" s="28" t="s">
        <v>97</v>
      </c>
      <c r="D1979" s="28" t="s">
        <v>182</v>
      </c>
      <c r="E1979" s="29" t="s">
        <v>321</v>
      </c>
      <c r="F1979" s="29" t="s">
        <v>322</v>
      </c>
      <c r="G1979" s="25" t="s">
        <v>3731</v>
      </c>
      <c r="H1979" s="26">
        <v>-0.61289705999999999</v>
      </c>
      <c r="I1979" s="26"/>
      <c r="J1979" s="26" t="s">
        <v>519</v>
      </c>
      <c r="K1979" s="25" t="s">
        <v>513</v>
      </c>
    </row>
    <row r="1980" spans="1:11" ht="25.5" x14ac:dyDescent="0.25">
      <c r="A1980" s="22">
        <v>2026</v>
      </c>
      <c r="B1980" s="28" t="s">
        <v>183</v>
      </c>
      <c r="C1980" s="28" t="s">
        <v>97</v>
      </c>
      <c r="D1980" s="28" t="s">
        <v>182</v>
      </c>
      <c r="E1980" s="29" t="s">
        <v>321</v>
      </c>
      <c r="F1980" s="29" t="s">
        <v>322</v>
      </c>
      <c r="G1980" s="25" t="s">
        <v>3732</v>
      </c>
      <c r="H1980" s="26">
        <v>-1.7363751623999999</v>
      </c>
      <c r="I1980" s="26"/>
      <c r="J1980" s="26" t="s">
        <v>519</v>
      </c>
      <c r="K1980" s="25" t="s">
        <v>513</v>
      </c>
    </row>
    <row r="1981" spans="1:11" ht="25.5" x14ac:dyDescent="0.25">
      <c r="A1981" s="22">
        <v>2026</v>
      </c>
      <c r="B1981" s="28" t="s">
        <v>183</v>
      </c>
      <c r="C1981" s="28" t="s">
        <v>97</v>
      </c>
      <c r="D1981" s="28" t="s">
        <v>182</v>
      </c>
      <c r="E1981" s="29" t="s">
        <v>321</v>
      </c>
      <c r="F1981" s="29" t="s">
        <v>322</v>
      </c>
      <c r="G1981" s="25" t="s">
        <v>3733</v>
      </c>
      <c r="H1981" s="26">
        <v>-2.4750899999999998</v>
      </c>
      <c r="I1981" s="26"/>
      <c r="J1981" s="26" t="s">
        <v>519</v>
      </c>
      <c r="K1981" s="25" t="s">
        <v>513</v>
      </c>
    </row>
    <row r="1982" spans="1:11" ht="25.5" x14ac:dyDescent="0.25">
      <c r="A1982" s="22">
        <v>2026</v>
      </c>
      <c r="B1982" s="28" t="s">
        <v>183</v>
      </c>
      <c r="C1982" s="28" t="s">
        <v>97</v>
      </c>
      <c r="D1982" s="28" t="s">
        <v>182</v>
      </c>
      <c r="E1982" s="29" t="s">
        <v>321</v>
      </c>
      <c r="F1982" s="29" t="s">
        <v>322</v>
      </c>
      <c r="G1982" s="25" t="s">
        <v>3734</v>
      </c>
      <c r="H1982" s="26">
        <v>-1.8603662009999999</v>
      </c>
      <c r="I1982" s="26"/>
      <c r="J1982" s="26" t="s">
        <v>519</v>
      </c>
      <c r="K1982" s="25" t="s">
        <v>513</v>
      </c>
    </row>
    <row r="1983" spans="1:11" ht="25.5" x14ac:dyDescent="0.25">
      <c r="A1983" s="22">
        <v>2026</v>
      </c>
      <c r="B1983" s="28" t="s">
        <v>183</v>
      </c>
      <c r="C1983" s="28" t="s">
        <v>97</v>
      </c>
      <c r="D1983" s="28" t="s">
        <v>182</v>
      </c>
      <c r="E1983" s="29" t="s">
        <v>321</v>
      </c>
      <c r="F1983" s="29" t="s">
        <v>322</v>
      </c>
      <c r="G1983" s="25" t="s">
        <v>3735</v>
      </c>
      <c r="H1983" s="26">
        <v>-0.5605054398</v>
      </c>
      <c r="I1983" s="26"/>
      <c r="J1983" s="26" t="s">
        <v>519</v>
      </c>
      <c r="K1983" s="25" t="s">
        <v>513</v>
      </c>
    </row>
    <row r="1984" spans="1:11" ht="25.5" x14ac:dyDescent="0.25">
      <c r="A1984" s="22">
        <v>2026</v>
      </c>
      <c r="B1984" s="28" t="s">
        <v>183</v>
      </c>
      <c r="C1984" s="28" t="s">
        <v>97</v>
      </c>
      <c r="D1984" s="28" t="s">
        <v>1757</v>
      </c>
      <c r="E1984" s="29" t="s">
        <v>1783</v>
      </c>
      <c r="F1984" s="29" t="s">
        <v>322</v>
      </c>
      <c r="G1984" s="25" t="s">
        <v>3736</v>
      </c>
      <c r="H1984" s="26">
        <v>-0.1182</v>
      </c>
      <c r="I1984" s="26"/>
      <c r="J1984" s="26" t="s">
        <v>514</v>
      </c>
      <c r="K1984" s="25" t="s">
        <v>1768</v>
      </c>
    </row>
    <row r="1985" spans="1:11" ht="25.5" x14ac:dyDescent="0.25">
      <c r="A1985" s="22">
        <v>2026</v>
      </c>
      <c r="B1985" s="28" t="s">
        <v>183</v>
      </c>
      <c r="C1985" s="28" t="s">
        <v>97</v>
      </c>
      <c r="D1985" s="28" t="s">
        <v>531</v>
      </c>
      <c r="E1985" s="29" t="s">
        <v>551</v>
      </c>
      <c r="F1985" s="29" t="s">
        <v>322</v>
      </c>
      <c r="G1985" s="25" t="s">
        <v>3737</v>
      </c>
      <c r="H1985" s="26">
        <v>-0.36708725242000001</v>
      </c>
      <c r="I1985" s="26"/>
      <c r="J1985" s="26" t="s">
        <v>514</v>
      </c>
      <c r="K1985" s="25" t="s">
        <v>513</v>
      </c>
    </row>
    <row r="1986" spans="1:11" ht="25.5" x14ac:dyDescent="0.25">
      <c r="A1986" s="22">
        <v>2026</v>
      </c>
      <c r="B1986" s="28" t="s">
        <v>183</v>
      </c>
      <c r="C1986" s="28" t="s">
        <v>97</v>
      </c>
      <c r="D1986" s="28" t="s">
        <v>531</v>
      </c>
      <c r="E1986" s="29" t="s">
        <v>551</v>
      </c>
      <c r="F1986" s="29" t="s">
        <v>322</v>
      </c>
      <c r="G1986" s="25" t="s">
        <v>3738</v>
      </c>
      <c r="H1986" s="26">
        <v>-0.27608700000000003</v>
      </c>
      <c r="I1986" s="26"/>
      <c r="J1986" s="26" t="s">
        <v>514</v>
      </c>
      <c r="K1986" s="25" t="s">
        <v>513</v>
      </c>
    </row>
    <row r="1987" spans="1:11" ht="25.5" x14ac:dyDescent="0.25">
      <c r="A1987" s="22">
        <v>2026</v>
      </c>
      <c r="B1987" s="28" t="s">
        <v>183</v>
      </c>
      <c r="C1987" s="28" t="s">
        <v>97</v>
      </c>
      <c r="D1987" s="28" t="s">
        <v>531</v>
      </c>
      <c r="E1987" s="29" t="s">
        <v>551</v>
      </c>
      <c r="F1987" s="29" t="s">
        <v>322</v>
      </c>
      <c r="G1987" s="25" t="s">
        <v>3739</v>
      </c>
      <c r="H1987" s="26">
        <v>-0.57186124999999999</v>
      </c>
      <c r="I1987" s="26"/>
      <c r="J1987" s="26" t="s">
        <v>514</v>
      </c>
      <c r="K1987" s="25" t="s">
        <v>513</v>
      </c>
    </row>
    <row r="1988" spans="1:11" ht="25.5" x14ac:dyDescent="0.25">
      <c r="A1988" s="22">
        <v>2026</v>
      </c>
      <c r="B1988" s="28" t="s">
        <v>183</v>
      </c>
      <c r="C1988" s="28" t="s">
        <v>97</v>
      </c>
      <c r="D1988" s="28" t="s">
        <v>531</v>
      </c>
      <c r="E1988" s="29" t="s">
        <v>551</v>
      </c>
      <c r="F1988" s="29" t="s">
        <v>322</v>
      </c>
      <c r="G1988" s="25" t="s">
        <v>3740</v>
      </c>
      <c r="H1988" s="26">
        <v>-0.5727875</v>
      </c>
      <c r="I1988" s="26"/>
      <c r="J1988" s="26" t="s">
        <v>514</v>
      </c>
      <c r="K1988" s="25" t="s">
        <v>513</v>
      </c>
    </row>
    <row r="1989" spans="1:11" ht="25.5" x14ac:dyDescent="0.25">
      <c r="A1989" s="22">
        <v>2026</v>
      </c>
      <c r="B1989" s="28" t="s">
        <v>183</v>
      </c>
      <c r="C1989" s="28" t="s">
        <v>97</v>
      </c>
      <c r="D1989" s="28" t="s">
        <v>531</v>
      </c>
      <c r="E1989" s="29" t="s">
        <v>551</v>
      </c>
      <c r="F1989" s="29" t="s">
        <v>322</v>
      </c>
      <c r="G1989" s="25" t="s">
        <v>3741</v>
      </c>
      <c r="H1989" s="26">
        <v>-0.51135728000000003</v>
      </c>
      <c r="I1989" s="26"/>
      <c r="J1989" s="26" t="s">
        <v>514</v>
      </c>
      <c r="K1989" s="25" t="s">
        <v>513</v>
      </c>
    </row>
    <row r="1990" spans="1:11" ht="25.5" x14ac:dyDescent="0.25">
      <c r="A1990" s="22">
        <v>2026</v>
      </c>
      <c r="B1990" s="28" t="s">
        <v>183</v>
      </c>
      <c r="C1990" s="28" t="s">
        <v>97</v>
      </c>
      <c r="D1990" s="28" t="s">
        <v>531</v>
      </c>
      <c r="E1990" s="29" t="s">
        <v>551</v>
      </c>
      <c r="F1990" s="29" t="s">
        <v>322</v>
      </c>
      <c r="G1990" s="25" t="s">
        <v>3742</v>
      </c>
      <c r="H1990" s="26">
        <v>-0.57240124999999997</v>
      </c>
      <c r="I1990" s="26"/>
      <c r="J1990" s="26" t="s">
        <v>514</v>
      </c>
      <c r="K1990" s="25" t="s">
        <v>513</v>
      </c>
    </row>
    <row r="1991" spans="1:11" ht="25.5" x14ac:dyDescent="0.25">
      <c r="A1991" s="22">
        <v>2026</v>
      </c>
      <c r="B1991" s="28" t="s">
        <v>183</v>
      </c>
      <c r="C1991" s="28" t="s">
        <v>97</v>
      </c>
      <c r="D1991" s="28" t="s">
        <v>531</v>
      </c>
      <c r="E1991" s="29" t="s">
        <v>551</v>
      </c>
      <c r="F1991" s="29" t="s">
        <v>322</v>
      </c>
      <c r="G1991" s="25" t="s">
        <v>3743</v>
      </c>
      <c r="H1991" s="26">
        <v>-0.57536624999999997</v>
      </c>
      <c r="I1991" s="26"/>
      <c r="J1991" s="26" t="s">
        <v>514</v>
      </c>
      <c r="K1991" s="25" t="s">
        <v>513</v>
      </c>
    </row>
    <row r="1992" spans="1:11" ht="25.5" x14ac:dyDescent="0.25">
      <c r="A1992" s="22">
        <v>2026</v>
      </c>
      <c r="B1992" s="28" t="s">
        <v>183</v>
      </c>
      <c r="C1992" s="28" t="s">
        <v>97</v>
      </c>
      <c r="D1992" s="28" t="s">
        <v>531</v>
      </c>
      <c r="E1992" s="29" t="s">
        <v>551</v>
      </c>
      <c r="F1992" s="29" t="s">
        <v>322</v>
      </c>
      <c r="G1992" s="25" t="s">
        <v>3744</v>
      </c>
      <c r="H1992" s="26">
        <v>-2.0030488499999999</v>
      </c>
      <c r="I1992" s="26"/>
      <c r="J1992" s="26" t="s">
        <v>514</v>
      </c>
      <c r="K1992" s="25" t="s">
        <v>513</v>
      </c>
    </row>
    <row r="1993" spans="1:11" ht="25.5" x14ac:dyDescent="0.25">
      <c r="A1993" s="22">
        <v>2026</v>
      </c>
      <c r="B1993" s="28" t="s">
        <v>183</v>
      </c>
      <c r="C1993" s="28" t="s">
        <v>97</v>
      </c>
      <c r="D1993" s="28" t="s">
        <v>531</v>
      </c>
      <c r="E1993" s="29" t="s">
        <v>551</v>
      </c>
      <c r="F1993" s="29" t="s">
        <v>322</v>
      </c>
      <c r="G1993" s="25" t="s">
        <v>3745</v>
      </c>
      <c r="H1993" s="26">
        <v>-0.2329975</v>
      </c>
      <c r="I1993" s="26"/>
      <c r="J1993" s="26" t="s">
        <v>514</v>
      </c>
      <c r="K1993" s="25" t="s">
        <v>513</v>
      </c>
    </row>
    <row r="1994" spans="1:11" ht="25.5" x14ac:dyDescent="0.25">
      <c r="A1994" s="22">
        <v>2026</v>
      </c>
      <c r="B1994" s="28" t="s">
        <v>183</v>
      </c>
      <c r="C1994" s="28" t="s">
        <v>97</v>
      </c>
      <c r="D1994" s="28" t="s">
        <v>531</v>
      </c>
      <c r="E1994" s="29" t="s">
        <v>551</v>
      </c>
      <c r="F1994" s="29" t="s">
        <v>322</v>
      </c>
      <c r="G1994" s="25" t="s">
        <v>3746</v>
      </c>
      <c r="H1994" s="26">
        <v>-0.33555922039999997</v>
      </c>
      <c r="I1994" s="26"/>
      <c r="J1994" s="26" t="s">
        <v>514</v>
      </c>
      <c r="K1994" s="25" t="s">
        <v>513</v>
      </c>
    </row>
    <row r="1995" spans="1:11" ht="25.5" x14ac:dyDescent="0.25">
      <c r="A1995" s="22">
        <v>2026</v>
      </c>
      <c r="B1995" s="28" t="s">
        <v>183</v>
      </c>
      <c r="C1995" s="28" t="s">
        <v>97</v>
      </c>
      <c r="D1995" s="28" t="s">
        <v>531</v>
      </c>
      <c r="E1995" s="29" t="s">
        <v>551</v>
      </c>
      <c r="F1995" s="29" t="s">
        <v>322</v>
      </c>
      <c r="G1995" s="25" t="s">
        <v>3747</v>
      </c>
      <c r="H1995" s="26">
        <v>-0.25974959999999997</v>
      </c>
      <c r="I1995" s="26"/>
      <c r="J1995" s="26" t="s">
        <v>514</v>
      </c>
      <c r="K1995" s="25" t="s">
        <v>513</v>
      </c>
    </row>
    <row r="1996" spans="1:11" ht="25.5" x14ac:dyDescent="0.25">
      <c r="A1996" s="22">
        <v>2026</v>
      </c>
      <c r="B1996" s="28" t="s">
        <v>183</v>
      </c>
      <c r="C1996" s="28" t="s">
        <v>97</v>
      </c>
      <c r="D1996" s="28" t="s">
        <v>531</v>
      </c>
      <c r="E1996" s="29" t="s">
        <v>551</v>
      </c>
      <c r="F1996" s="29" t="s">
        <v>322</v>
      </c>
      <c r="G1996" s="25" t="s">
        <v>3748</v>
      </c>
      <c r="H1996" s="26">
        <v>-0.36450631839999997</v>
      </c>
      <c r="I1996" s="26"/>
      <c r="J1996" s="26" t="s">
        <v>514</v>
      </c>
      <c r="K1996" s="25" t="s">
        <v>513</v>
      </c>
    </row>
    <row r="1997" spans="1:11" ht="25.5" x14ac:dyDescent="0.25">
      <c r="A1997" s="22">
        <v>2026</v>
      </c>
      <c r="B1997" s="28" t="s">
        <v>183</v>
      </c>
      <c r="C1997" s="28" t="s">
        <v>97</v>
      </c>
      <c r="D1997" s="28" t="s">
        <v>531</v>
      </c>
      <c r="E1997" s="29" t="s">
        <v>551</v>
      </c>
      <c r="F1997" s="29" t="s">
        <v>322</v>
      </c>
      <c r="G1997" s="25" t="s">
        <v>3749</v>
      </c>
      <c r="H1997" s="26">
        <v>-0.19628599999999999</v>
      </c>
      <c r="I1997" s="26"/>
      <c r="J1997" s="26" t="s">
        <v>514</v>
      </c>
      <c r="K1997" s="25" t="s">
        <v>513</v>
      </c>
    </row>
    <row r="1998" spans="1:11" ht="25.5" x14ac:dyDescent="0.25">
      <c r="A1998" s="22">
        <v>2026</v>
      </c>
      <c r="B1998" s="28" t="s">
        <v>183</v>
      </c>
      <c r="C1998" s="28" t="s">
        <v>97</v>
      </c>
      <c r="D1998" s="28" t="s">
        <v>531</v>
      </c>
      <c r="E1998" s="29" t="s">
        <v>551</v>
      </c>
      <c r="F1998" s="29" t="s">
        <v>322</v>
      </c>
      <c r="G1998" s="25" t="s">
        <v>3750</v>
      </c>
      <c r="H1998" s="26">
        <v>-0.25636780000000003</v>
      </c>
      <c r="I1998" s="26"/>
      <c r="J1998" s="26" t="s">
        <v>514</v>
      </c>
      <c r="K1998" s="25" t="s">
        <v>513</v>
      </c>
    </row>
    <row r="1999" spans="1:11" ht="25.5" x14ac:dyDescent="0.25">
      <c r="A1999" s="22">
        <v>2026</v>
      </c>
      <c r="B1999" s="28" t="s">
        <v>183</v>
      </c>
      <c r="C1999" s="28" t="s">
        <v>97</v>
      </c>
      <c r="D1999" s="28" t="s">
        <v>531</v>
      </c>
      <c r="E1999" s="29" t="s">
        <v>551</v>
      </c>
      <c r="F1999" s="29" t="s">
        <v>322</v>
      </c>
      <c r="G1999" s="25" t="s">
        <v>3751</v>
      </c>
      <c r="H1999" s="26">
        <v>-0.12363399999999999</v>
      </c>
      <c r="I1999" s="26"/>
      <c r="J1999" s="26" t="s">
        <v>514</v>
      </c>
      <c r="K1999" s="25" t="s">
        <v>513</v>
      </c>
    </row>
    <row r="2000" spans="1:11" ht="25.5" x14ac:dyDescent="0.25">
      <c r="A2000" s="22">
        <v>2026</v>
      </c>
      <c r="B2000" s="28" t="s">
        <v>183</v>
      </c>
      <c r="C2000" s="28" t="s">
        <v>97</v>
      </c>
      <c r="D2000" s="28" t="s">
        <v>228</v>
      </c>
      <c r="E2000" s="29" t="s">
        <v>411</v>
      </c>
      <c r="F2000" s="29" t="s">
        <v>350</v>
      </c>
      <c r="G2000" s="25" t="s">
        <v>3752</v>
      </c>
      <c r="H2000" s="26">
        <v>-1.2700800000000001</v>
      </c>
      <c r="I2000" s="26"/>
      <c r="J2000" s="26" t="s">
        <v>512</v>
      </c>
      <c r="K2000" s="25" t="s">
        <v>513</v>
      </c>
    </row>
    <row r="2001" spans="1:11" ht="25.5" x14ac:dyDescent="0.25">
      <c r="A2001" s="22">
        <v>2026</v>
      </c>
      <c r="B2001" s="28" t="s">
        <v>183</v>
      </c>
      <c r="C2001" s="28" t="s">
        <v>97</v>
      </c>
      <c r="D2001" s="28" t="s">
        <v>228</v>
      </c>
      <c r="E2001" s="29" t="s">
        <v>411</v>
      </c>
      <c r="F2001" s="29" t="s">
        <v>350</v>
      </c>
      <c r="G2001" s="25" t="s">
        <v>3753</v>
      </c>
      <c r="H2001" s="26">
        <v>-0.71946177750000007</v>
      </c>
      <c r="I2001" s="26"/>
      <c r="J2001" s="26" t="s">
        <v>512</v>
      </c>
      <c r="K2001" s="25" t="s">
        <v>513</v>
      </c>
    </row>
    <row r="2002" spans="1:11" ht="25.5" x14ac:dyDescent="0.25">
      <c r="A2002" s="22">
        <v>2026</v>
      </c>
      <c r="B2002" s="28" t="s">
        <v>183</v>
      </c>
      <c r="C2002" s="28" t="s">
        <v>97</v>
      </c>
      <c r="D2002" s="28" t="s">
        <v>228</v>
      </c>
      <c r="E2002" s="29" t="s">
        <v>411</v>
      </c>
      <c r="F2002" s="29" t="s">
        <v>350</v>
      </c>
      <c r="G2002" s="25" t="s">
        <v>3754</v>
      </c>
      <c r="H2002" s="26">
        <v>-2.1263399999999999</v>
      </c>
      <c r="I2002" s="26"/>
      <c r="J2002" s="26" t="s">
        <v>512</v>
      </c>
      <c r="K2002" s="25" t="s">
        <v>513</v>
      </c>
    </row>
    <row r="2003" spans="1:11" ht="25.5" x14ac:dyDescent="0.25">
      <c r="A2003" s="22">
        <v>2026</v>
      </c>
      <c r="B2003" s="28" t="s">
        <v>183</v>
      </c>
      <c r="C2003" s="28" t="s">
        <v>97</v>
      </c>
      <c r="D2003" s="28" t="s">
        <v>228</v>
      </c>
      <c r="E2003" s="29" t="s">
        <v>411</v>
      </c>
      <c r="F2003" s="29" t="s">
        <v>350</v>
      </c>
      <c r="G2003" s="25" t="s">
        <v>3755</v>
      </c>
      <c r="H2003" s="26">
        <v>-2.9925099999999998</v>
      </c>
      <c r="I2003" s="26"/>
      <c r="J2003" s="26" t="s">
        <v>512</v>
      </c>
      <c r="K2003" s="25" t="s">
        <v>513</v>
      </c>
    </row>
    <row r="2004" spans="1:11" ht="25.5" x14ac:dyDescent="0.25">
      <c r="A2004" s="22">
        <v>2026</v>
      </c>
      <c r="B2004" s="28" t="s">
        <v>183</v>
      </c>
      <c r="C2004" s="28" t="s">
        <v>97</v>
      </c>
      <c r="D2004" s="28" t="s">
        <v>228</v>
      </c>
      <c r="E2004" s="29" t="s">
        <v>411</v>
      </c>
      <c r="F2004" s="29" t="s">
        <v>350</v>
      </c>
      <c r="G2004" s="25" t="s">
        <v>3756</v>
      </c>
      <c r="H2004" s="26">
        <v>-2.6569707999999999</v>
      </c>
      <c r="I2004" s="26"/>
      <c r="J2004" s="26" t="s">
        <v>512</v>
      </c>
      <c r="K2004" s="25" t="s">
        <v>513</v>
      </c>
    </row>
    <row r="2005" spans="1:11" ht="25.5" x14ac:dyDescent="0.25">
      <c r="A2005" s="22">
        <v>2026</v>
      </c>
      <c r="B2005" s="28" t="s">
        <v>183</v>
      </c>
      <c r="C2005" s="28" t="s">
        <v>97</v>
      </c>
      <c r="D2005" s="28" t="s">
        <v>228</v>
      </c>
      <c r="E2005" s="29" t="s">
        <v>411</v>
      </c>
      <c r="F2005" s="29" t="s">
        <v>350</v>
      </c>
      <c r="G2005" s="25" t="s">
        <v>3757</v>
      </c>
      <c r="H2005" s="26">
        <v>-2.9671669999999999</v>
      </c>
      <c r="I2005" s="26"/>
      <c r="J2005" s="26" t="s">
        <v>512</v>
      </c>
      <c r="K2005" s="25" t="s">
        <v>513</v>
      </c>
    </row>
    <row r="2006" spans="1:11" ht="25.5" x14ac:dyDescent="0.25">
      <c r="A2006" s="22">
        <v>2026</v>
      </c>
      <c r="B2006" s="28" t="s">
        <v>183</v>
      </c>
      <c r="C2006" s="28" t="s">
        <v>97</v>
      </c>
      <c r="D2006" s="28" t="s">
        <v>228</v>
      </c>
      <c r="E2006" s="29" t="s">
        <v>411</v>
      </c>
      <c r="F2006" s="29" t="s">
        <v>350</v>
      </c>
      <c r="G2006" s="25" t="s">
        <v>3758</v>
      </c>
      <c r="H2006" s="26">
        <v>-4.9084750000000001</v>
      </c>
      <c r="I2006" s="26"/>
      <c r="J2006" s="26" t="s">
        <v>512</v>
      </c>
      <c r="K2006" s="25" t="s">
        <v>513</v>
      </c>
    </row>
    <row r="2007" spans="1:11" ht="25.5" x14ac:dyDescent="0.25">
      <c r="A2007" s="22">
        <v>2026</v>
      </c>
      <c r="B2007" s="28" t="s">
        <v>183</v>
      </c>
      <c r="C2007" s="28" t="s">
        <v>97</v>
      </c>
      <c r="D2007" s="28" t="s">
        <v>228</v>
      </c>
      <c r="E2007" s="29" t="s">
        <v>411</v>
      </c>
      <c r="F2007" s="29" t="s">
        <v>350</v>
      </c>
      <c r="G2007" s="25" t="s">
        <v>3759</v>
      </c>
      <c r="H2007" s="26">
        <v>-3.4893802800000002</v>
      </c>
      <c r="I2007" s="26"/>
      <c r="J2007" s="26" t="s">
        <v>512</v>
      </c>
      <c r="K2007" s="25" t="s">
        <v>513</v>
      </c>
    </row>
    <row r="2008" spans="1:11" ht="25.5" x14ac:dyDescent="0.25">
      <c r="A2008" s="22">
        <v>2026</v>
      </c>
      <c r="B2008" s="28" t="s">
        <v>192</v>
      </c>
      <c r="C2008" s="28" t="s">
        <v>97</v>
      </c>
      <c r="D2008" s="28" t="s">
        <v>1692</v>
      </c>
      <c r="E2008" s="29" t="s">
        <v>352</v>
      </c>
      <c r="F2008" s="29" t="s">
        <v>576</v>
      </c>
      <c r="G2008" s="25" t="s">
        <v>3780</v>
      </c>
      <c r="H2008" s="26">
        <v>-0.25749945000000002</v>
      </c>
      <c r="I2008" s="26"/>
      <c r="J2008" s="26" t="s">
        <v>512</v>
      </c>
      <c r="K2008" s="25" t="s">
        <v>513</v>
      </c>
    </row>
    <row r="2009" spans="1:11" ht="25.5" x14ac:dyDescent="0.25">
      <c r="A2009" s="22">
        <v>2026</v>
      </c>
      <c r="B2009" s="28" t="s">
        <v>192</v>
      </c>
      <c r="C2009" s="28" t="s">
        <v>97</v>
      </c>
      <c r="D2009" s="28" t="s">
        <v>1692</v>
      </c>
      <c r="E2009" s="29" t="s">
        <v>352</v>
      </c>
      <c r="F2009" s="29" t="s">
        <v>576</v>
      </c>
      <c r="G2009" s="25" t="s">
        <v>3781</v>
      </c>
      <c r="H2009" s="26">
        <v>-0.30075000000000002</v>
      </c>
      <c r="I2009" s="26"/>
      <c r="J2009" s="26" t="s">
        <v>512</v>
      </c>
      <c r="K2009" s="25" t="s">
        <v>513</v>
      </c>
    </row>
    <row r="2010" spans="1:11" ht="25.5" x14ac:dyDescent="0.25">
      <c r="A2010" s="22">
        <v>2026</v>
      </c>
      <c r="B2010" s="28" t="s">
        <v>192</v>
      </c>
      <c r="C2010" s="28" t="s">
        <v>97</v>
      </c>
      <c r="D2010" s="28" t="s">
        <v>1692</v>
      </c>
      <c r="E2010" s="29" t="s">
        <v>352</v>
      </c>
      <c r="F2010" s="29" t="s">
        <v>576</v>
      </c>
      <c r="G2010" s="25" t="s">
        <v>2564</v>
      </c>
      <c r="H2010" s="26">
        <v>-0.192</v>
      </c>
      <c r="I2010" s="26"/>
      <c r="J2010" s="26" t="s">
        <v>512</v>
      </c>
      <c r="K2010" s="25" t="s">
        <v>513</v>
      </c>
    </row>
    <row r="2011" spans="1:11" ht="25.5" x14ac:dyDescent="0.25">
      <c r="A2011" s="22">
        <v>2026</v>
      </c>
      <c r="B2011" s="28" t="s">
        <v>192</v>
      </c>
      <c r="C2011" s="28" t="s">
        <v>97</v>
      </c>
      <c r="D2011" s="28" t="s">
        <v>1692</v>
      </c>
      <c r="E2011" s="29" t="s">
        <v>352</v>
      </c>
      <c r="F2011" s="29" t="s">
        <v>576</v>
      </c>
      <c r="G2011" s="25" t="s">
        <v>3782</v>
      </c>
      <c r="H2011" s="26">
        <v>-0.28499999999999998</v>
      </c>
      <c r="I2011" s="26"/>
      <c r="J2011" s="26" t="s">
        <v>512</v>
      </c>
      <c r="K2011" s="25" t="s">
        <v>513</v>
      </c>
    </row>
    <row r="2012" spans="1:11" ht="25.5" x14ac:dyDescent="0.25">
      <c r="A2012" s="22">
        <v>2026</v>
      </c>
      <c r="B2012" s="28" t="s">
        <v>192</v>
      </c>
      <c r="C2012" s="28" t="s">
        <v>97</v>
      </c>
      <c r="D2012" s="28" t="s">
        <v>1692</v>
      </c>
      <c r="E2012" s="29" t="s">
        <v>352</v>
      </c>
      <c r="F2012" s="29" t="s">
        <v>576</v>
      </c>
      <c r="G2012" s="25" t="s">
        <v>3783</v>
      </c>
      <c r="H2012" s="26">
        <v>-0.379</v>
      </c>
      <c r="I2012" s="26"/>
      <c r="J2012" s="26" t="s">
        <v>512</v>
      </c>
      <c r="K2012" s="25" t="s">
        <v>513</v>
      </c>
    </row>
    <row r="2013" spans="1:11" ht="25.5" x14ac:dyDescent="0.25">
      <c r="A2013" s="22">
        <v>2026</v>
      </c>
      <c r="B2013" s="28" t="s">
        <v>192</v>
      </c>
      <c r="C2013" s="28" t="s">
        <v>97</v>
      </c>
      <c r="D2013" s="28" t="s">
        <v>1692</v>
      </c>
      <c r="E2013" s="29" t="s">
        <v>352</v>
      </c>
      <c r="F2013" s="29" t="s">
        <v>576</v>
      </c>
      <c r="G2013" s="25" t="s">
        <v>3784</v>
      </c>
      <c r="H2013" s="26">
        <v>-0.90239999999999998</v>
      </c>
      <c r="I2013" s="26"/>
      <c r="J2013" s="26" t="s">
        <v>512</v>
      </c>
      <c r="K2013" s="25" t="s">
        <v>513</v>
      </c>
    </row>
    <row r="2014" spans="1:11" ht="25.5" x14ac:dyDescent="0.25">
      <c r="A2014" s="22">
        <v>2026</v>
      </c>
      <c r="B2014" s="28" t="s">
        <v>192</v>
      </c>
      <c r="C2014" s="28" t="s">
        <v>97</v>
      </c>
      <c r="D2014" s="28" t="s">
        <v>1692</v>
      </c>
      <c r="E2014" s="29" t="s">
        <v>352</v>
      </c>
      <c r="F2014" s="29" t="s">
        <v>576</v>
      </c>
      <c r="G2014" s="25" t="s">
        <v>3785</v>
      </c>
      <c r="H2014" s="26">
        <v>-0.5625</v>
      </c>
      <c r="I2014" s="26"/>
      <c r="J2014" s="26" t="s">
        <v>512</v>
      </c>
      <c r="K2014" s="25" t="s">
        <v>513</v>
      </c>
    </row>
    <row r="2015" spans="1:11" ht="25.5" x14ac:dyDescent="0.25">
      <c r="A2015" s="22">
        <v>2026</v>
      </c>
      <c r="B2015" s="28" t="s">
        <v>192</v>
      </c>
      <c r="C2015" s="28" t="s">
        <v>97</v>
      </c>
      <c r="D2015" s="28" t="s">
        <v>1692</v>
      </c>
      <c r="E2015" s="29" t="s">
        <v>352</v>
      </c>
      <c r="F2015" s="29" t="s">
        <v>576</v>
      </c>
      <c r="G2015" s="25" t="s">
        <v>3786</v>
      </c>
      <c r="H2015" s="26">
        <v>-0.18425</v>
      </c>
      <c r="I2015" s="26"/>
      <c r="J2015" s="26" t="s">
        <v>512</v>
      </c>
      <c r="K2015" s="25" t="s">
        <v>513</v>
      </c>
    </row>
    <row r="2016" spans="1:11" ht="25.5" x14ac:dyDescent="0.25">
      <c r="A2016" s="22">
        <v>2026</v>
      </c>
      <c r="B2016" s="28" t="s">
        <v>192</v>
      </c>
      <c r="C2016" s="28" t="s">
        <v>97</v>
      </c>
      <c r="D2016" s="28" t="s">
        <v>1692</v>
      </c>
      <c r="E2016" s="29" t="s">
        <v>352</v>
      </c>
      <c r="F2016" s="29" t="s">
        <v>576</v>
      </c>
      <c r="G2016" s="25" t="s">
        <v>3787</v>
      </c>
      <c r="H2016" s="26">
        <v>-0.3357</v>
      </c>
      <c r="I2016" s="26"/>
      <c r="J2016" s="26" t="s">
        <v>512</v>
      </c>
      <c r="K2016" s="25" t="s">
        <v>513</v>
      </c>
    </row>
    <row r="2017" spans="1:11" ht="25.5" x14ac:dyDescent="0.25">
      <c r="A2017" s="22">
        <v>2026</v>
      </c>
      <c r="B2017" s="28" t="s">
        <v>192</v>
      </c>
      <c r="C2017" s="28" t="s">
        <v>97</v>
      </c>
      <c r="D2017" s="28" t="s">
        <v>1693</v>
      </c>
      <c r="E2017" s="29" t="s">
        <v>352</v>
      </c>
      <c r="F2017" s="29" t="s">
        <v>903</v>
      </c>
      <c r="G2017" s="25" t="s">
        <v>3788</v>
      </c>
      <c r="H2017" s="26">
        <v>-6.6141835999999996E-2</v>
      </c>
      <c r="I2017" s="26"/>
      <c r="J2017" s="26" t="s">
        <v>512</v>
      </c>
      <c r="K2017" s="25" t="s">
        <v>513</v>
      </c>
    </row>
    <row r="2018" spans="1:11" ht="25.5" x14ac:dyDescent="0.25">
      <c r="A2018" s="22">
        <v>2026</v>
      </c>
      <c r="B2018" s="28" t="s">
        <v>192</v>
      </c>
      <c r="C2018" s="28" t="s">
        <v>97</v>
      </c>
      <c r="D2018" s="28" t="s">
        <v>1693</v>
      </c>
      <c r="E2018" s="29" t="s">
        <v>352</v>
      </c>
      <c r="F2018" s="29" t="s">
        <v>903</v>
      </c>
      <c r="G2018" s="25" t="s">
        <v>3789</v>
      </c>
      <c r="H2018" s="26">
        <v>-4.2356065999999998E-2</v>
      </c>
      <c r="I2018" s="26"/>
      <c r="J2018" s="26" t="s">
        <v>512</v>
      </c>
      <c r="K2018" s="25" t="s">
        <v>513</v>
      </c>
    </row>
    <row r="2019" spans="1:11" ht="25.5" x14ac:dyDescent="0.25">
      <c r="A2019" s="22">
        <v>2026</v>
      </c>
      <c r="B2019" s="28" t="s">
        <v>192</v>
      </c>
      <c r="C2019" s="28" t="s">
        <v>97</v>
      </c>
      <c r="D2019" s="28" t="s">
        <v>1693</v>
      </c>
      <c r="E2019" s="29" t="s">
        <v>352</v>
      </c>
      <c r="F2019" s="29" t="s">
        <v>903</v>
      </c>
      <c r="G2019" s="25" t="s">
        <v>3790</v>
      </c>
      <c r="H2019" s="26">
        <v>-4.1545140000000001E-2</v>
      </c>
      <c r="I2019" s="26"/>
      <c r="J2019" s="26" t="s">
        <v>512</v>
      </c>
      <c r="K2019" s="25" t="s">
        <v>513</v>
      </c>
    </row>
    <row r="2020" spans="1:11" ht="25.5" x14ac:dyDescent="0.25">
      <c r="A2020" s="22">
        <v>2026</v>
      </c>
      <c r="B2020" s="28" t="s">
        <v>192</v>
      </c>
      <c r="C2020" s="28" t="s">
        <v>97</v>
      </c>
      <c r="D2020" s="28" t="s">
        <v>1693</v>
      </c>
      <c r="E2020" s="29" t="s">
        <v>352</v>
      </c>
      <c r="F2020" s="29" t="s">
        <v>903</v>
      </c>
      <c r="G2020" s="25" t="s">
        <v>3791</v>
      </c>
      <c r="H2020" s="26">
        <v>-7.3702755000000009E-2</v>
      </c>
      <c r="I2020" s="26"/>
      <c r="J2020" s="26" t="s">
        <v>512</v>
      </c>
      <c r="K2020" s="25" t="s">
        <v>513</v>
      </c>
    </row>
    <row r="2021" spans="1:11" ht="25.5" x14ac:dyDescent="0.25">
      <c r="A2021" s="22">
        <v>2026</v>
      </c>
      <c r="B2021" s="28" t="s">
        <v>192</v>
      </c>
      <c r="C2021" s="28" t="s">
        <v>97</v>
      </c>
      <c r="D2021" s="28" t="s">
        <v>1693</v>
      </c>
      <c r="E2021" s="29" t="s">
        <v>352</v>
      </c>
      <c r="F2021" s="29" t="s">
        <v>903</v>
      </c>
      <c r="G2021" s="25" t="s">
        <v>3792</v>
      </c>
      <c r="H2021" s="26">
        <v>-0.13728259806000001</v>
      </c>
      <c r="I2021" s="26"/>
      <c r="J2021" s="26" t="s">
        <v>512</v>
      </c>
      <c r="K2021" s="25" t="s">
        <v>513</v>
      </c>
    </row>
    <row r="2022" spans="1:11" ht="25.5" x14ac:dyDescent="0.25">
      <c r="A2022" s="22">
        <v>2026</v>
      </c>
      <c r="B2022" s="28" t="s">
        <v>192</v>
      </c>
      <c r="C2022" s="28" t="s">
        <v>97</v>
      </c>
      <c r="D2022" s="28" t="s">
        <v>1693</v>
      </c>
      <c r="E2022" s="29" t="s">
        <v>352</v>
      </c>
      <c r="F2022" s="29" t="s">
        <v>903</v>
      </c>
      <c r="G2022" s="25" t="s">
        <v>3793</v>
      </c>
      <c r="H2022" s="26">
        <v>-0.21218371899000002</v>
      </c>
      <c r="I2022" s="26"/>
      <c r="J2022" s="26" t="s">
        <v>512</v>
      </c>
      <c r="K2022" s="25" t="s">
        <v>513</v>
      </c>
    </row>
    <row r="2023" spans="1:11" ht="25.5" x14ac:dyDescent="0.25">
      <c r="A2023" s="22">
        <v>2026</v>
      </c>
      <c r="B2023" s="28" t="s">
        <v>192</v>
      </c>
      <c r="C2023" s="28" t="s">
        <v>97</v>
      </c>
      <c r="D2023" s="28" t="s">
        <v>1693</v>
      </c>
      <c r="E2023" s="29" t="s">
        <v>352</v>
      </c>
      <c r="F2023" s="29" t="s">
        <v>903</v>
      </c>
      <c r="G2023" s="25" t="s">
        <v>3794</v>
      </c>
      <c r="H2023" s="26">
        <v>-0.25408875205999998</v>
      </c>
      <c r="I2023" s="26"/>
      <c r="J2023" s="26" t="s">
        <v>512</v>
      </c>
      <c r="K2023" s="25" t="s">
        <v>513</v>
      </c>
    </row>
    <row r="2024" spans="1:11" ht="25.5" x14ac:dyDescent="0.25">
      <c r="A2024" s="22">
        <v>2026</v>
      </c>
      <c r="B2024" s="28" t="s">
        <v>192</v>
      </c>
      <c r="C2024" s="28" t="s">
        <v>97</v>
      </c>
      <c r="D2024" s="28" t="s">
        <v>1693</v>
      </c>
      <c r="E2024" s="29" t="s">
        <v>352</v>
      </c>
      <c r="F2024" s="29" t="s">
        <v>903</v>
      </c>
      <c r="G2024" s="25" t="s">
        <v>3795</v>
      </c>
      <c r="H2024" s="26">
        <v>-0.17874186028999997</v>
      </c>
      <c r="I2024" s="26"/>
      <c r="J2024" s="26" t="s">
        <v>512</v>
      </c>
      <c r="K2024" s="25" t="s">
        <v>513</v>
      </c>
    </row>
    <row r="2025" spans="1:11" ht="25.5" x14ac:dyDescent="0.25">
      <c r="A2025" s="22">
        <v>2026</v>
      </c>
      <c r="B2025" s="28" t="s">
        <v>192</v>
      </c>
      <c r="C2025" s="28" t="s">
        <v>97</v>
      </c>
      <c r="D2025" s="28" t="s">
        <v>1693</v>
      </c>
      <c r="E2025" s="29" t="s">
        <v>352</v>
      </c>
      <c r="F2025" s="29" t="s">
        <v>903</v>
      </c>
      <c r="G2025" s="25" t="s">
        <v>3796</v>
      </c>
      <c r="H2025" s="26">
        <v>-0.15842261999999999</v>
      </c>
      <c r="I2025" s="26"/>
      <c r="J2025" s="26" t="s">
        <v>512</v>
      </c>
      <c r="K2025" s="25" t="s">
        <v>513</v>
      </c>
    </row>
    <row r="2026" spans="1:11" ht="25.5" x14ac:dyDescent="0.25">
      <c r="A2026" s="22">
        <v>2026</v>
      </c>
      <c r="B2026" s="28" t="s">
        <v>192</v>
      </c>
      <c r="C2026" s="28" t="s">
        <v>97</v>
      </c>
      <c r="D2026" s="28" t="s">
        <v>1693</v>
      </c>
      <c r="E2026" s="29" t="s">
        <v>352</v>
      </c>
      <c r="F2026" s="29" t="s">
        <v>903</v>
      </c>
      <c r="G2026" s="25" t="s">
        <v>3797</v>
      </c>
      <c r="H2026" s="26">
        <v>-0.20370614499999998</v>
      </c>
      <c r="I2026" s="26"/>
      <c r="J2026" s="26" t="s">
        <v>512</v>
      </c>
      <c r="K2026" s="25" t="s">
        <v>513</v>
      </c>
    </row>
    <row r="2027" spans="1:11" ht="25.5" x14ac:dyDescent="0.25">
      <c r="A2027" s="22">
        <v>2026</v>
      </c>
      <c r="B2027" s="28" t="s">
        <v>192</v>
      </c>
      <c r="C2027" s="28" t="s">
        <v>97</v>
      </c>
      <c r="D2027" s="28" t="s">
        <v>1693</v>
      </c>
      <c r="E2027" s="29" t="s">
        <v>352</v>
      </c>
      <c r="F2027" s="29" t="s">
        <v>903</v>
      </c>
      <c r="G2027" s="25" t="s">
        <v>3798</v>
      </c>
      <c r="H2027" s="26">
        <v>-4.6402510000000001E-2</v>
      </c>
      <c r="I2027" s="26"/>
      <c r="J2027" s="26" t="s">
        <v>512</v>
      </c>
      <c r="K2027" s="25" t="s">
        <v>513</v>
      </c>
    </row>
    <row r="2028" spans="1:11" ht="25.5" x14ac:dyDescent="0.25">
      <c r="A2028" s="22">
        <v>2026</v>
      </c>
      <c r="B2028" s="28" t="s">
        <v>192</v>
      </c>
      <c r="C2028" s="28" t="s">
        <v>97</v>
      </c>
      <c r="D2028" s="28" t="s">
        <v>1693</v>
      </c>
      <c r="E2028" s="29" t="s">
        <v>352</v>
      </c>
      <c r="F2028" s="29" t="s">
        <v>903</v>
      </c>
      <c r="G2028" s="25" t="s">
        <v>3799</v>
      </c>
      <c r="H2028" s="26">
        <v>-6.1019793280000005E-2</v>
      </c>
      <c r="I2028" s="26"/>
      <c r="J2028" s="26" t="s">
        <v>512</v>
      </c>
      <c r="K2028" s="25" t="s">
        <v>513</v>
      </c>
    </row>
    <row r="2029" spans="1:11" ht="25.5" x14ac:dyDescent="0.25">
      <c r="A2029" s="22">
        <v>2026</v>
      </c>
      <c r="B2029" s="28" t="s">
        <v>192</v>
      </c>
      <c r="C2029" s="28" t="s">
        <v>97</v>
      </c>
      <c r="D2029" s="28" t="s">
        <v>1693</v>
      </c>
      <c r="E2029" s="29" t="s">
        <v>352</v>
      </c>
      <c r="F2029" s="29" t="s">
        <v>903</v>
      </c>
      <c r="G2029" s="25" t="s">
        <v>3800</v>
      </c>
      <c r="H2029" s="26">
        <v>-8.4069718279999997E-2</v>
      </c>
      <c r="I2029" s="26"/>
      <c r="J2029" s="26" t="s">
        <v>512</v>
      </c>
      <c r="K2029" s="25" t="s">
        <v>513</v>
      </c>
    </row>
    <row r="2030" spans="1:11" ht="25.5" x14ac:dyDescent="0.25">
      <c r="A2030" s="22">
        <v>2026</v>
      </c>
      <c r="B2030" s="28" t="s">
        <v>192</v>
      </c>
      <c r="C2030" s="28" t="s">
        <v>97</v>
      </c>
      <c r="D2030" s="28" t="s">
        <v>1693</v>
      </c>
      <c r="E2030" s="29" t="s">
        <v>352</v>
      </c>
      <c r="F2030" s="29" t="s">
        <v>903</v>
      </c>
      <c r="G2030" s="25" t="s">
        <v>3801</v>
      </c>
      <c r="H2030" s="26">
        <v>-9.6160665000000006E-2</v>
      </c>
      <c r="I2030" s="26"/>
      <c r="J2030" s="26" t="s">
        <v>512</v>
      </c>
      <c r="K2030" s="25" t="s">
        <v>513</v>
      </c>
    </row>
    <row r="2031" spans="1:11" ht="25.5" x14ac:dyDescent="0.25">
      <c r="A2031" s="22">
        <v>2026</v>
      </c>
      <c r="B2031" s="28" t="s">
        <v>192</v>
      </c>
      <c r="C2031" s="28" t="s">
        <v>97</v>
      </c>
      <c r="D2031" s="28" t="s">
        <v>1693</v>
      </c>
      <c r="E2031" s="29" t="s">
        <v>352</v>
      </c>
      <c r="F2031" s="29" t="s">
        <v>903</v>
      </c>
      <c r="G2031" s="25" t="s">
        <v>3802</v>
      </c>
      <c r="H2031" s="26">
        <v>-2.6475160000000001E-2</v>
      </c>
      <c r="I2031" s="26"/>
      <c r="J2031" s="26" t="s">
        <v>512</v>
      </c>
      <c r="K2031" s="25" t="s">
        <v>513</v>
      </c>
    </row>
    <row r="2032" spans="1:11" ht="25.5" x14ac:dyDescent="0.25">
      <c r="A2032" s="22">
        <v>2026</v>
      </c>
      <c r="B2032" s="28" t="s">
        <v>192</v>
      </c>
      <c r="C2032" s="28" t="s">
        <v>97</v>
      </c>
      <c r="D2032" s="28" t="s">
        <v>1693</v>
      </c>
      <c r="E2032" s="29" t="s">
        <v>352</v>
      </c>
      <c r="F2032" s="29" t="s">
        <v>903</v>
      </c>
      <c r="G2032" s="25" t="s">
        <v>3803</v>
      </c>
      <c r="H2032" s="26">
        <v>-0.14498861999999998</v>
      </c>
      <c r="I2032" s="26"/>
      <c r="J2032" s="26" t="s">
        <v>512</v>
      </c>
      <c r="K2032" s="25" t="s">
        <v>513</v>
      </c>
    </row>
    <row r="2033" spans="1:11" ht="25.5" x14ac:dyDescent="0.25">
      <c r="A2033" s="22">
        <v>2026</v>
      </c>
      <c r="B2033" s="28" t="s">
        <v>192</v>
      </c>
      <c r="C2033" s="28" t="s">
        <v>97</v>
      </c>
      <c r="D2033" s="28" t="s">
        <v>1694</v>
      </c>
      <c r="E2033" s="29" t="s">
        <v>352</v>
      </c>
      <c r="F2033" s="29" t="s">
        <v>343</v>
      </c>
      <c r="G2033" s="25" t="s">
        <v>3804</v>
      </c>
      <c r="H2033" s="26">
        <v>-1.1731730149999999</v>
      </c>
      <c r="I2033" s="26"/>
      <c r="J2033" s="26" t="s">
        <v>512</v>
      </c>
      <c r="K2033" s="25" t="s">
        <v>513</v>
      </c>
    </row>
    <row r="2034" spans="1:11" ht="25.5" x14ac:dyDescent="0.25">
      <c r="A2034" s="22">
        <v>2026</v>
      </c>
      <c r="B2034" s="28" t="s">
        <v>192</v>
      </c>
      <c r="C2034" s="28" t="s">
        <v>97</v>
      </c>
      <c r="D2034" s="28" t="s">
        <v>1694</v>
      </c>
      <c r="E2034" s="29" t="s">
        <v>352</v>
      </c>
      <c r="F2034" s="29" t="s">
        <v>343</v>
      </c>
      <c r="G2034" s="25" t="s">
        <v>3805</v>
      </c>
      <c r="H2034" s="26">
        <v>-0.70712104500000006</v>
      </c>
      <c r="I2034" s="26"/>
      <c r="J2034" s="26" t="s">
        <v>512</v>
      </c>
      <c r="K2034" s="25" t="s">
        <v>513</v>
      </c>
    </row>
    <row r="2035" spans="1:11" ht="25.5" x14ac:dyDescent="0.25">
      <c r="A2035" s="22">
        <v>2026</v>
      </c>
      <c r="B2035" s="28" t="s">
        <v>192</v>
      </c>
      <c r="C2035" s="28" t="s">
        <v>97</v>
      </c>
      <c r="D2035" s="28" t="s">
        <v>1694</v>
      </c>
      <c r="E2035" s="29" t="s">
        <v>352</v>
      </c>
      <c r="F2035" s="29" t="s">
        <v>343</v>
      </c>
      <c r="G2035" s="25" t="s">
        <v>3806</v>
      </c>
      <c r="H2035" s="26">
        <v>-0.54829686963999991</v>
      </c>
      <c r="I2035" s="26"/>
      <c r="J2035" s="26" t="s">
        <v>512</v>
      </c>
      <c r="K2035" s="25" t="s">
        <v>513</v>
      </c>
    </row>
    <row r="2036" spans="1:11" ht="25.5" x14ac:dyDescent="0.25">
      <c r="A2036" s="22">
        <v>2026</v>
      </c>
      <c r="B2036" s="28" t="s">
        <v>192</v>
      </c>
      <c r="C2036" s="28" t="s">
        <v>97</v>
      </c>
      <c r="D2036" s="28" t="s">
        <v>1694</v>
      </c>
      <c r="E2036" s="29" t="s">
        <v>352</v>
      </c>
      <c r="F2036" s="29" t="s">
        <v>343</v>
      </c>
      <c r="G2036" s="25" t="s">
        <v>3807</v>
      </c>
      <c r="H2036" s="26">
        <v>-0.48911399999999999</v>
      </c>
      <c r="I2036" s="26"/>
      <c r="J2036" s="26" t="s">
        <v>512</v>
      </c>
      <c r="K2036" s="25" t="s">
        <v>513</v>
      </c>
    </row>
    <row r="2037" spans="1:11" ht="25.5" x14ac:dyDescent="0.25">
      <c r="A2037" s="22">
        <v>2026</v>
      </c>
      <c r="B2037" s="28" t="s">
        <v>192</v>
      </c>
      <c r="C2037" s="28" t="s">
        <v>97</v>
      </c>
      <c r="D2037" s="28" t="s">
        <v>1694</v>
      </c>
      <c r="E2037" s="29" t="s">
        <v>352</v>
      </c>
      <c r="F2037" s="29" t="s">
        <v>343</v>
      </c>
      <c r="G2037" s="25" t="s">
        <v>3808</v>
      </c>
      <c r="H2037" s="26">
        <v>-0.38388927499999997</v>
      </c>
      <c r="I2037" s="26"/>
      <c r="J2037" s="26" t="s">
        <v>512</v>
      </c>
      <c r="K2037" s="25" t="s">
        <v>513</v>
      </c>
    </row>
    <row r="2038" spans="1:11" ht="25.5" x14ac:dyDescent="0.25">
      <c r="A2038" s="22">
        <v>2026</v>
      </c>
      <c r="B2038" s="28" t="s">
        <v>192</v>
      </c>
      <c r="C2038" s="28" t="s">
        <v>97</v>
      </c>
      <c r="D2038" s="28" t="s">
        <v>1694</v>
      </c>
      <c r="E2038" s="29" t="s">
        <v>352</v>
      </c>
      <c r="F2038" s="29" t="s">
        <v>343</v>
      </c>
      <c r="G2038" s="25" t="s">
        <v>3809</v>
      </c>
      <c r="H2038" s="26">
        <v>-0.49250100000000008</v>
      </c>
      <c r="I2038" s="26"/>
      <c r="J2038" s="26" t="s">
        <v>512</v>
      </c>
      <c r="K2038" s="25" t="s">
        <v>513</v>
      </c>
    </row>
    <row r="2039" spans="1:11" ht="25.5" x14ac:dyDescent="0.25">
      <c r="A2039" s="22">
        <v>2026</v>
      </c>
      <c r="B2039" s="28" t="s">
        <v>192</v>
      </c>
      <c r="C2039" s="28" t="s">
        <v>97</v>
      </c>
      <c r="D2039" s="28" t="s">
        <v>1694</v>
      </c>
      <c r="E2039" s="29" t="s">
        <v>352</v>
      </c>
      <c r="F2039" s="29" t="s">
        <v>343</v>
      </c>
      <c r="G2039" s="25" t="s">
        <v>3810</v>
      </c>
      <c r="H2039" s="26">
        <v>-0.24525</v>
      </c>
      <c r="I2039" s="26"/>
      <c r="J2039" s="26" t="s">
        <v>512</v>
      </c>
      <c r="K2039" s="25" t="s">
        <v>513</v>
      </c>
    </row>
    <row r="2040" spans="1:11" ht="25.5" x14ac:dyDescent="0.25">
      <c r="A2040" s="22">
        <v>2026</v>
      </c>
      <c r="B2040" s="28" t="s">
        <v>192</v>
      </c>
      <c r="C2040" s="28" t="s">
        <v>97</v>
      </c>
      <c r="D2040" s="28" t="s">
        <v>1694</v>
      </c>
      <c r="E2040" s="29" t="s">
        <v>352</v>
      </c>
      <c r="F2040" s="29" t="s">
        <v>343</v>
      </c>
      <c r="G2040" s="25" t="s">
        <v>3811</v>
      </c>
      <c r="H2040" s="26">
        <v>-0.24734291439</v>
      </c>
      <c r="I2040" s="26"/>
      <c r="J2040" s="26" t="s">
        <v>512</v>
      </c>
      <c r="K2040" s="25" t="s">
        <v>513</v>
      </c>
    </row>
    <row r="2041" spans="1:11" ht="25.5" x14ac:dyDescent="0.25">
      <c r="A2041" s="22">
        <v>2026</v>
      </c>
      <c r="B2041" s="28" t="s">
        <v>192</v>
      </c>
      <c r="C2041" s="28" t="s">
        <v>97</v>
      </c>
      <c r="D2041" s="28" t="s">
        <v>1694</v>
      </c>
      <c r="E2041" s="29" t="s">
        <v>352</v>
      </c>
      <c r="F2041" s="29" t="s">
        <v>343</v>
      </c>
      <c r="G2041" s="25" t="s">
        <v>3812</v>
      </c>
      <c r="H2041" s="26">
        <v>-0.21615030000000002</v>
      </c>
      <c r="I2041" s="26"/>
      <c r="J2041" s="26" t="s">
        <v>512</v>
      </c>
      <c r="K2041" s="25" t="s">
        <v>513</v>
      </c>
    </row>
    <row r="2042" spans="1:11" ht="25.5" x14ac:dyDescent="0.25">
      <c r="A2042" s="22">
        <v>2026</v>
      </c>
      <c r="B2042" s="28" t="s">
        <v>192</v>
      </c>
      <c r="C2042" s="28" t="s">
        <v>97</v>
      </c>
      <c r="D2042" s="28" t="s">
        <v>1694</v>
      </c>
      <c r="E2042" s="29" t="s">
        <v>352</v>
      </c>
      <c r="F2042" s="29" t="s">
        <v>343</v>
      </c>
      <c r="G2042" s="25" t="s">
        <v>3813</v>
      </c>
      <c r="H2042" s="26">
        <v>-0.26368048000000005</v>
      </c>
      <c r="I2042" s="26"/>
      <c r="J2042" s="26" t="s">
        <v>512</v>
      </c>
      <c r="K2042" s="25" t="s">
        <v>513</v>
      </c>
    </row>
    <row r="2043" spans="1:11" ht="25.5" x14ac:dyDescent="0.25">
      <c r="A2043" s="22">
        <v>2026</v>
      </c>
      <c r="B2043" s="28" t="s">
        <v>192</v>
      </c>
      <c r="C2043" s="28" t="s">
        <v>97</v>
      </c>
      <c r="D2043" s="28" t="s">
        <v>1694</v>
      </c>
      <c r="E2043" s="29" t="s">
        <v>352</v>
      </c>
      <c r="F2043" s="29" t="s">
        <v>343</v>
      </c>
      <c r="G2043" s="25" t="s">
        <v>3814</v>
      </c>
      <c r="H2043" s="26">
        <v>-0.18163079999999998</v>
      </c>
      <c r="I2043" s="26"/>
      <c r="J2043" s="26" t="s">
        <v>512</v>
      </c>
      <c r="K2043" s="25" t="s">
        <v>513</v>
      </c>
    </row>
    <row r="2044" spans="1:11" ht="25.5" x14ac:dyDescent="0.25">
      <c r="A2044" s="22">
        <v>2026</v>
      </c>
      <c r="B2044" s="28" t="s">
        <v>192</v>
      </c>
      <c r="C2044" s="28" t="s">
        <v>97</v>
      </c>
      <c r="D2044" s="28" t="s">
        <v>1694</v>
      </c>
      <c r="E2044" s="29" t="s">
        <v>352</v>
      </c>
      <c r="F2044" s="29" t="s">
        <v>343</v>
      </c>
      <c r="G2044" s="25" t="s">
        <v>3815</v>
      </c>
      <c r="H2044" s="26">
        <v>-0.57215125</v>
      </c>
      <c r="I2044" s="26"/>
      <c r="J2044" s="26" t="s">
        <v>512</v>
      </c>
      <c r="K2044" s="25" t="s">
        <v>513</v>
      </c>
    </row>
    <row r="2045" spans="1:11" ht="25.5" x14ac:dyDescent="0.25">
      <c r="A2045" s="22">
        <v>2026</v>
      </c>
      <c r="B2045" s="28" t="s">
        <v>192</v>
      </c>
      <c r="C2045" s="28" t="s">
        <v>97</v>
      </c>
      <c r="D2045" s="28" t="s">
        <v>1694</v>
      </c>
      <c r="E2045" s="29" t="s">
        <v>352</v>
      </c>
      <c r="F2045" s="29" t="s">
        <v>343</v>
      </c>
      <c r="G2045" s="25" t="s">
        <v>3816</v>
      </c>
      <c r="H2045" s="26">
        <v>-0.19677500000000001</v>
      </c>
      <c r="I2045" s="26"/>
      <c r="J2045" s="26" t="s">
        <v>512</v>
      </c>
      <c r="K2045" s="25" t="s">
        <v>513</v>
      </c>
    </row>
    <row r="2046" spans="1:11" ht="25.5" x14ac:dyDescent="0.25">
      <c r="A2046" s="22">
        <v>2026</v>
      </c>
      <c r="B2046" s="28" t="s">
        <v>192</v>
      </c>
      <c r="C2046" s="28" t="s">
        <v>97</v>
      </c>
      <c r="D2046" s="28" t="s">
        <v>1694</v>
      </c>
      <c r="E2046" s="29" t="s">
        <v>352</v>
      </c>
      <c r="F2046" s="29" t="s">
        <v>343</v>
      </c>
      <c r="G2046" s="25" t="s">
        <v>3817</v>
      </c>
      <c r="H2046" s="26">
        <v>-0.17424375</v>
      </c>
      <c r="I2046" s="26"/>
      <c r="J2046" s="26" t="s">
        <v>512</v>
      </c>
      <c r="K2046" s="25" t="s">
        <v>513</v>
      </c>
    </row>
    <row r="2047" spans="1:11" ht="25.5" x14ac:dyDescent="0.25">
      <c r="A2047" s="22">
        <v>2026</v>
      </c>
      <c r="B2047" s="28" t="s">
        <v>192</v>
      </c>
      <c r="C2047" s="28" t="s">
        <v>97</v>
      </c>
      <c r="D2047" s="28" t="s">
        <v>1694</v>
      </c>
      <c r="E2047" s="29" t="s">
        <v>352</v>
      </c>
      <c r="F2047" s="29" t="s">
        <v>343</v>
      </c>
      <c r="G2047" s="25" t="s">
        <v>3818</v>
      </c>
      <c r="H2047" s="26">
        <v>-0.455654</v>
      </c>
      <c r="I2047" s="26"/>
      <c r="J2047" s="26" t="s">
        <v>512</v>
      </c>
      <c r="K2047" s="25" t="s">
        <v>513</v>
      </c>
    </row>
    <row r="2048" spans="1:11" ht="25.5" x14ac:dyDescent="0.25">
      <c r="A2048" s="22">
        <v>2026</v>
      </c>
      <c r="B2048" s="28" t="s">
        <v>192</v>
      </c>
      <c r="C2048" s="28" t="s">
        <v>97</v>
      </c>
      <c r="D2048" s="28" t="s">
        <v>1694</v>
      </c>
      <c r="E2048" s="29" t="s">
        <v>352</v>
      </c>
      <c r="F2048" s="29" t="s">
        <v>343</v>
      </c>
      <c r="G2048" s="25" t="s">
        <v>3819</v>
      </c>
      <c r="H2048" s="26">
        <v>-0.22774894000000001</v>
      </c>
      <c r="I2048" s="26"/>
      <c r="J2048" s="26" t="s">
        <v>512</v>
      </c>
      <c r="K2048" s="25" t="s">
        <v>513</v>
      </c>
    </row>
    <row r="2049" spans="1:11" ht="25.5" x14ac:dyDescent="0.25">
      <c r="A2049" s="22">
        <v>2026</v>
      </c>
      <c r="B2049" s="28" t="s">
        <v>192</v>
      </c>
      <c r="C2049" s="28" t="s">
        <v>97</v>
      </c>
      <c r="D2049" s="28" t="s">
        <v>530</v>
      </c>
      <c r="E2049" s="29" t="s">
        <v>548</v>
      </c>
      <c r="F2049" s="29" t="s">
        <v>343</v>
      </c>
      <c r="G2049" s="25" t="s">
        <v>3760</v>
      </c>
      <c r="H2049" s="26">
        <v>-0.16839999999999999</v>
      </c>
      <c r="I2049" s="26"/>
      <c r="J2049" s="26" t="s">
        <v>512</v>
      </c>
      <c r="K2049" s="25" t="s">
        <v>513</v>
      </c>
    </row>
    <row r="2050" spans="1:11" ht="25.5" x14ac:dyDescent="0.25">
      <c r="A2050" s="22">
        <v>2026</v>
      </c>
      <c r="B2050" s="28" t="s">
        <v>192</v>
      </c>
      <c r="C2050" s="28" t="s">
        <v>97</v>
      </c>
      <c r="D2050" s="28" t="s">
        <v>530</v>
      </c>
      <c r="E2050" s="29" t="s">
        <v>548</v>
      </c>
      <c r="F2050" s="29" t="s">
        <v>343</v>
      </c>
      <c r="G2050" s="25" t="s">
        <v>3761</v>
      </c>
      <c r="H2050" s="26">
        <v>-0.41120000000000001</v>
      </c>
      <c r="I2050" s="26"/>
      <c r="J2050" s="26" t="s">
        <v>512</v>
      </c>
      <c r="K2050" s="25" t="s">
        <v>513</v>
      </c>
    </row>
    <row r="2051" spans="1:11" ht="25.5" x14ac:dyDescent="0.25">
      <c r="A2051" s="22">
        <v>2026</v>
      </c>
      <c r="B2051" s="28" t="s">
        <v>192</v>
      </c>
      <c r="C2051" s="28" t="s">
        <v>97</v>
      </c>
      <c r="D2051" s="28" t="s">
        <v>530</v>
      </c>
      <c r="E2051" s="29" t="s">
        <v>548</v>
      </c>
      <c r="F2051" s="29" t="s">
        <v>343</v>
      </c>
      <c r="G2051" s="25" t="s">
        <v>3762</v>
      </c>
      <c r="H2051" s="26">
        <v>-0.81649999999999989</v>
      </c>
      <c r="I2051" s="26"/>
      <c r="J2051" s="26" t="s">
        <v>512</v>
      </c>
      <c r="K2051" s="25" t="s">
        <v>513</v>
      </c>
    </row>
    <row r="2052" spans="1:11" ht="25.5" x14ac:dyDescent="0.25">
      <c r="A2052" s="22">
        <v>2026</v>
      </c>
      <c r="B2052" s="28" t="s">
        <v>192</v>
      </c>
      <c r="C2052" s="28" t="s">
        <v>97</v>
      </c>
      <c r="D2052" s="28" t="s">
        <v>530</v>
      </c>
      <c r="E2052" s="29" t="s">
        <v>548</v>
      </c>
      <c r="F2052" s="29" t="s">
        <v>343</v>
      </c>
      <c r="G2052" s="25" t="s">
        <v>3763</v>
      </c>
      <c r="H2052" s="26">
        <v>-0.40509299999999998</v>
      </c>
      <c r="I2052" s="26"/>
      <c r="J2052" s="26" t="s">
        <v>512</v>
      </c>
      <c r="K2052" s="25" t="s">
        <v>513</v>
      </c>
    </row>
    <row r="2053" spans="1:11" ht="25.5" x14ac:dyDescent="0.25">
      <c r="A2053" s="22">
        <v>2026</v>
      </c>
      <c r="B2053" s="28" t="s">
        <v>192</v>
      </c>
      <c r="C2053" s="28" t="s">
        <v>97</v>
      </c>
      <c r="D2053" s="28" t="s">
        <v>530</v>
      </c>
      <c r="E2053" s="29" t="s">
        <v>548</v>
      </c>
      <c r="F2053" s="29" t="s">
        <v>343</v>
      </c>
      <c r="G2053" s="25" t="s">
        <v>3764</v>
      </c>
      <c r="H2053" s="26">
        <v>-0.40212599999999998</v>
      </c>
      <c r="I2053" s="26"/>
      <c r="J2053" s="26" t="s">
        <v>512</v>
      </c>
      <c r="K2053" s="25" t="s">
        <v>513</v>
      </c>
    </row>
    <row r="2054" spans="1:11" ht="25.5" x14ac:dyDescent="0.25">
      <c r="A2054" s="22">
        <v>2026</v>
      </c>
      <c r="B2054" s="28" t="s">
        <v>192</v>
      </c>
      <c r="C2054" s="28" t="s">
        <v>97</v>
      </c>
      <c r="D2054" s="28" t="s">
        <v>530</v>
      </c>
      <c r="E2054" s="29" t="s">
        <v>548</v>
      </c>
      <c r="F2054" s="29" t="s">
        <v>343</v>
      </c>
      <c r="G2054" s="25" t="s">
        <v>3765</v>
      </c>
      <c r="H2054" s="26">
        <v>-0.1574266</v>
      </c>
      <c r="I2054" s="26"/>
      <c r="J2054" s="26" t="s">
        <v>512</v>
      </c>
      <c r="K2054" s="25" t="s">
        <v>513</v>
      </c>
    </row>
    <row r="2055" spans="1:11" ht="25.5" x14ac:dyDescent="0.25">
      <c r="A2055" s="22">
        <v>2026</v>
      </c>
      <c r="B2055" s="28" t="s">
        <v>192</v>
      </c>
      <c r="C2055" s="28" t="s">
        <v>97</v>
      </c>
      <c r="D2055" s="28" t="s">
        <v>530</v>
      </c>
      <c r="E2055" s="29" t="s">
        <v>548</v>
      </c>
      <c r="F2055" s="29" t="s">
        <v>343</v>
      </c>
      <c r="G2055" s="25" t="s">
        <v>3766</v>
      </c>
      <c r="H2055" s="26">
        <v>-0.87809974999999996</v>
      </c>
      <c r="I2055" s="26"/>
      <c r="J2055" s="26" t="s">
        <v>512</v>
      </c>
      <c r="K2055" s="25" t="s">
        <v>513</v>
      </c>
    </row>
    <row r="2056" spans="1:11" ht="25.5" x14ac:dyDescent="0.25">
      <c r="A2056" s="22">
        <v>2026</v>
      </c>
      <c r="B2056" s="28" t="s">
        <v>192</v>
      </c>
      <c r="C2056" s="28" t="s">
        <v>97</v>
      </c>
      <c r="D2056" s="28" t="s">
        <v>530</v>
      </c>
      <c r="E2056" s="29" t="s">
        <v>548</v>
      </c>
      <c r="F2056" s="29" t="s">
        <v>343</v>
      </c>
      <c r="G2056" s="25" t="s">
        <v>3767</v>
      </c>
      <c r="H2056" s="26">
        <v>-7.8975000000000004E-2</v>
      </c>
      <c r="I2056" s="26"/>
      <c r="J2056" s="26" t="s">
        <v>512</v>
      </c>
      <c r="K2056" s="25" t="s">
        <v>513</v>
      </c>
    </row>
    <row r="2057" spans="1:11" ht="25.5" x14ac:dyDescent="0.25">
      <c r="A2057" s="22">
        <v>2026</v>
      </c>
      <c r="B2057" s="28" t="s">
        <v>192</v>
      </c>
      <c r="C2057" s="28" t="s">
        <v>97</v>
      </c>
      <c r="D2057" s="28" t="s">
        <v>530</v>
      </c>
      <c r="E2057" s="29" t="s">
        <v>548</v>
      </c>
      <c r="F2057" s="29" t="s">
        <v>343</v>
      </c>
      <c r="G2057" s="25" t="s">
        <v>3768</v>
      </c>
      <c r="H2057" s="26">
        <v>-0.23802000000000001</v>
      </c>
      <c r="I2057" s="26"/>
      <c r="J2057" s="26" t="s">
        <v>512</v>
      </c>
      <c r="K2057" s="25" t="s">
        <v>513</v>
      </c>
    </row>
    <row r="2058" spans="1:11" ht="25.5" x14ac:dyDescent="0.25">
      <c r="A2058" s="22">
        <v>2026</v>
      </c>
      <c r="B2058" s="28" t="s">
        <v>192</v>
      </c>
      <c r="C2058" s="28" t="s">
        <v>97</v>
      </c>
      <c r="D2058" s="28" t="s">
        <v>530</v>
      </c>
      <c r="E2058" s="29" t="s">
        <v>548</v>
      </c>
      <c r="F2058" s="29" t="s">
        <v>343</v>
      </c>
      <c r="G2058" s="25" t="s">
        <v>3769</v>
      </c>
      <c r="H2058" s="26">
        <v>-0.26715992999999999</v>
      </c>
      <c r="I2058" s="26"/>
      <c r="J2058" s="26" t="s">
        <v>512</v>
      </c>
      <c r="K2058" s="25" t="s">
        <v>513</v>
      </c>
    </row>
    <row r="2059" spans="1:11" ht="25.5" x14ac:dyDescent="0.25">
      <c r="A2059" s="22">
        <v>2026</v>
      </c>
      <c r="B2059" s="28" t="s">
        <v>192</v>
      </c>
      <c r="C2059" s="28" t="s">
        <v>97</v>
      </c>
      <c r="D2059" s="28" t="s">
        <v>530</v>
      </c>
      <c r="E2059" s="29" t="s">
        <v>548</v>
      </c>
      <c r="F2059" s="29" t="s">
        <v>343</v>
      </c>
      <c r="G2059" s="25" t="s">
        <v>3770</v>
      </c>
      <c r="H2059" s="26">
        <v>-0.23317169999999998</v>
      </c>
      <c r="I2059" s="26"/>
      <c r="J2059" s="26" t="s">
        <v>512</v>
      </c>
      <c r="K2059" s="25" t="s">
        <v>513</v>
      </c>
    </row>
    <row r="2060" spans="1:11" ht="25.5" x14ac:dyDescent="0.25">
      <c r="A2060" s="22">
        <v>2026</v>
      </c>
      <c r="B2060" s="28" t="s">
        <v>192</v>
      </c>
      <c r="C2060" s="28" t="s">
        <v>97</v>
      </c>
      <c r="D2060" s="28" t="s">
        <v>530</v>
      </c>
      <c r="E2060" s="29" t="s">
        <v>548</v>
      </c>
      <c r="F2060" s="29" t="s">
        <v>343</v>
      </c>
      <c r="G2060" s="25" t="s">
        <v>3771</v>
      </c>
      <c r="H2060" s="26">
        <v>-0.38719999999999999</v>
      </c>
      <c r="I2060" s="26"/>
      <c r="J2060" s="26" t="s">
        <v>512</v>
      </c>
      <c r="K2060" s="25" t="s">
        <v>513</v>
      </c>
    </row>
    <row r="2061" spans="1:11" ht="25.5" x14ac:dyDescent="0.25">
      <c r="A2061" s="22">
        <v>2026</v>
      </c>
      <c r="B2061" s="28" t="s">
        <v>192</v>
      </c>
      <c r="C2061" s="28" t="s">
        <v>97</v>
      </c>
      <c r="D2061" s="28" t="s">
        <v>530</v>
      </c>
      <c r="E2061" s="29" t="s">
        <v>548</v>
      </c>
      <c r="F2061" s="29" t="s">
        <v>343</v>
      </c>
      <c r="G2061" s="25" t="s">
        <v>3772</v>
      </c>
      <c r="H2061" s="26">
        <v>-0.38426500000000002</v>
      </c>
      <c r="I2061" s="26"/>
      <c r="J2061" s="26" t="s">
        <v>512</v>
      </c>
      <c r="K2061" s="25" t="s">
        <v>513</v>
      </c>
    </row>
    <row r="2062" spans="1:11" ht="25.5" x14ac:dyDescent="0.25">
      <c r="A2062" s="22">
        <v>2026</v>
      </c>
      <c r="B2062" s="28" t="s">
        <v>192</v>
      </c>
      <c r="C2062" s="28" t="s">
        <v>97</v>
      </c>
      <c r="D2062" s="28" t="s">
        <v>530</v>
      </c>
      <c r="E2062" s="29" t="s">
        <v>548</v>
      </c>
      <c r="F2062" s="29" t="s">
        <v>343</v>
      </c>
      <c r="G2062" s="25" t="s">
        <v>3773</v>
      </c>
      <c r="H2062" s="26">
        <v>-0.37380275000000002</v>
      </c>
      <c r="I2062" s="26"/>
      <c r="J2062" s="26" t="s">
        <v>512</v>
      </c>
      <c r="K2062" s="25" t="s">
        <v>513</v>
      </c>
    </row>
    <row r="2063" spans="1:11" ht="25.5" x14ac:dyDescent="0.25">
      <c r="A2063" s="22">
        <v>2026</v>
      </c>
      <c r="B2063" s="28" t="s">
        <v>192</v>
      </c>
      <c r="C2063" s="28" t="s">
        <v>97</v>
      </c>
      <c r="D2063" s="28" t="s">
        <v>530</v>
      </c>
      <c r="E2063" s="29" t="s">
        <v>548</v>
      </c>
      <c r="F2063" s="29" t="s">
        <v>343</v>
      </c>
      <c r="G2063" s="25" t="s">
        <v>3774</v>
      </c>
      <c r="H2063" s="26">
        <v>-0.37032175000000001</v>
      </c>
      <c r="I2063" s="26"/>
      <c r="J2063" s="26" t="s">
        <v>512</v>
      </c>
      <c r="K2063" s="25" t="s">
        <v>513</v>
      </c>
    </row>
    <row r="2064" spans="1:11" ht="25.5" x14ac:dyDescent="0.25">
      <c r="A2064" s="22">
        <v>2026</v>
      </c>
      <c r="B2064" s="28" t="s">
        <v>192</v>
      </c>
      <c r="C2064" s="28" t="s">
        <v>97</v>
      </c>
      <c r="D2064" s="28" t="s">
        <v>530</v>
      </c>
      <c r="E2064" s="29" t="s">
        <v>548</v>
      </c>
      <c r="F2064" s="29" t="s">
        <v>343</v>
      </c>
      <c r="G2064" s="25" t="s">
        <v>3775</v>
      </c>
      <c r="H2064" s="26">
        <v>-0.24887485000000001</v>
      </c>
      <c r="I2064" s="26"/>
      <c r="J2064" s="26" t="s">
        <v>512</v>
      </c>
      <c r="K2064" s="25" t="s">
        <v>513</v>
      </c>
    </row>
    <row r="2065" spans="1:11" ht="25.5" x14ac:dyDescent="0.25">
      <c r="A2065" s="22">
        <v>2026</v>
      </c>
      <c r="B2065" s="28" t="s">
        <v>192</v>
      </c>
      <c r="C2065" s="28" t="s">
        <v>97</v>
      </c>
      <c r="D2065" s="28" t="s">
        <v>530</v>
      </c>
      <c r="E2065" s="29" t="s">
        <v>548</v>
      </c>
      <c r="F2065" s="29" t="s">
        <v>343</v>
      </c>
      <c r="G2065" s="25" t="s">
        <v>3776</v>
      </c>
      <c r="H2065" s="26">
        <v>-0.36349999999999999</v>
      </c>
      <c r="I2065" s="26"/>
      <c r="J2065" s="26" t="s">
        <v>512</v>
      </c>
      <c r="K2065" s="25" t="s">
        <v>513</v>
      </c>
    </row>
    <row r="2066" spans="1:11" ht="25.5" x14ac:dyDescent="0.25">
      <c r="A2066" s="22">
        <v>2026</v>
      </c>
      <c r="B2066" s="28" t="s">
        <v>192</v>
      </c>
      <c r="C2066" s="28" t="s">
        <v>97</v>
      </c>
      <c r="D2066" s="28" t="s">
        <v>530</v>
      </c>
      <c r="E2066" s="29" t="s">
        <v>548</v>
      </c>
      <c r="F2066" s="29" t="s">
        <v>343</v>
      </c>
      <c r="G2066" s="25" t="s">
        <v>3777</v>
      </c>
      <c r="H2066" s="26">
        <v>-0.36620000000000003</v>
      </c>
      <c r="I2066" s="26"/>
      <c r="J2066" s="26" t="s">
        <v>512</v>
      </c>
      <c r="K2066" s="25" t="s">
        <v>513</v>
      </c>
    </row>
    <row r="2067" spans="1:11" ht="25.5" x14ac:dyDescent="0.25">
      <c r="A2067" s="22">
        <v>2026</v>
      </c>
      <c r="B2067" s="28" t="s">
        <v>192</v>
      </c>
      <c r="C2067" s="28" t="s">
        <v>97</v>
      </c>
      <c r="D2067" s="28" t="s">
        <v>530</v>
      </c>
      <c r="E2067" s="29" t="s">
        <v>548</v>
      </c>
      <c r="F2067" s="29" t="s">
        <v>343</v>
      </c>
      <c r="G2067" s="25" t="s">
        <v>3778</v>
      </c>
      <c r="H2067" s="26">
        <v>-0.36131999999999997</v>
      </c>
      <c r="I2067" s="26"/>
      <c r="J2067" s="26" t="s">
        <v>512</v>
      </c>
      <c r="K2067" s="25" t="s">
        <v>513</v>
      </c>
    </row>
    <row r="2068" spans="1:11" ht="25.5" x14ac:dyDescent="0.25">
      <c r="A2068" s="22">
        <v>2026</v>
      </c>
      <c r="B2068" s="28" t="s">
        <v>192</v>
      </c>
      <c r="C2068" s="28" t="s">
        <v>97</v>
      </c>
      <c r="D2068" s="28" t="s">
        <v>530</v>
      </c>
      <c r="E2068" s="29" t="s">
        <v>548</v>
      </c>
      <c r="F2068" s="29" t="s">
        <v>343</v>
      </c>
      <c r="G2068" s="25" t="s">
        <v>3779</v>
      </c>
      <c r="H2068" s="26">
        <v>-0.21309989999999998</v>
      </c>
      <c r="I2068" s="26"/>
      <c r="J2068" s="26" t="s">
        <v>512</v>
      </c>
      <c r="K2068" s="25" t="s">
        <v>513</v>
      </c>
    </row>
    <row r="2069" spans="1:11" ht="25.5" x14ac:dyDescent="0.25">
      <c r="A2069" s="22">
        <v>2026</v>
      </c>
      <c r="B2069" s="28" t="s">
        <v>192</v>
      </c>
      <c r="C2069" s="28" t="s">
        <v>97</v>
      </c>
      <c r="D2069" s="28" t="s">
        <v>541</v>
      </c>
      <c r="E2069" s="29" t="s">
        <v>572</v>
      </c>
      <c r="F2069" s="29" t="s">
        <v>298</v>
      </c>
      <c r="G2069" s="25" t="s">
        <v>3820</v>
      </c>
      <c r="H2069" s="26">
        <v>-3.1943975</v>
      </c>
      <c r="I2069" s="26"/>
      <c r="J2069" s="26" t="s">
        <v>512</v>
      </c>
      <c r="K2069" s="25" t="s">
        <v>513</v>
      </c>
    </row>
    <row r="2070" spans="1:11" ht="25.5" x14ac:dyDescent="0.25">
      <c r="A2070" s="22">
        <v>2026</v>
      </c>
      <c r="B2070" s="28" t="s">
        <v>192</v>
      </c>
      <c r="C2070" s="28" t="s">
        <v>97</v>
      </c>
      <c r="D2070" s="28" t="s">
        <v>541</v>
      </c>
      <c r="E2070" s="29" t="s">
        <v>572</v>
      </c>
      <c r="F2070" s="29" t="s">
        <v>298</v>
      </c>
      <c r="G2070" s="25" t="s">
        <v>3821</v>
      </c>
      <c r="H2070" s="26">
        <v>-1.863</v>
      </c>
      <c r="I2070" s="26"/>
      <c r="J2070" s="26" t="s">
        <v>512</v>
      </c>
      <c r="K2070" s="25" t="s">
        <v>513</v>
      </c>
    </row>
    <row r="2071" spans="1:11" ht="25.5" x14ac:dyDescent="0.25">
      <c r="A2071" s="22">
        <v>2026</v>
      </c>
      <c r="B2071" s="28" t="s">
        <v>192</v>
      </c>
      <c r="C2071" s="28" t="s">
        <v>97</v>
      </c>
      <c r="D2071" s="28" t="s">
        <v>541</v>
      </c>
      <c r="E2071" s="29" t="s">
        <v>572</v>
      </c>
      <c r="F2071" s="29" t="s">
        <v>298</v>
      </c>
      <c r="G2071" s="25" t="s">
        <v>3822</v>
      </c>
      <c r="H2071" s="26">
        <v>-3.1524350000000001</v>
      </c>
      <c r="I2071" s="26"/>
      <c r="J2071" s="26" t="s">
        <v>512</v>
      </c>
      <c r="K2071" s="25" t="s">
        <v>513</v>
      </c>
    </row>
    <row r="2072" spans="1:11" ht="25.5" x14ac:dyDescent="0.25">
      <c r="A2072" s="22">
        <v>2026</v>
      </c>
      <c r="B2072" s="28" t="s">
        <v>192</v>
      </c>
      <c r="C2072" s="28" t="s">
        <v>97</v>
      </c>
      <c r="D2072" s="28" t="s">
        <v>541</v>
      </c>
      <c r="E2072" s="29" t="s">
        <v>572</v>
      </c>
      <c r="F2072" s="29" t="s">
        <v>298</v>
      </c>
      <c r="G2072" s="25" t="s">
        <v>3823</v>
      </c>
      <c r="H2072" s="26">
        <v>-3.1471550000000001</v>
      </c>
      <c r="I2072" s="26"/>
      <c r="J2072" s="26" t="s">
        <v>512</v>
      </c>
      <c r="K2072" s="25" t="s">
        <v>513</v>
      </c>
    </row>
    <row r="2073" spans="1:11" ht="25.5" x14ac:dyDescent="0.25">
      <c r="A2073" s="22">
        <v>2026</v>
      </c>
      <c r="B2073" s="28" t="s">
        <v>192</v>
      </c>
      <c r="C2073" s="28" t="s">
        <v>97</v>
      </c>
      <c r="D2073" s="28" t="s">
        <v>541</v>
      </c>
      <c r="E2073" s="29" t="s">
        <v>572</v>
      </c>
      <c r="F2073" s="29" t="s">
        <v>298</v>
      </c>
      <c r="G2073" s="25" t="s">
        <v>3824</v>
      </c>
      <c r="H2073" s="26">
        <v>-3.0911724999999999</v>
      </c>
      <c r="I2073" s="26"/>
      <c r="J2073" s="26" t="s">
        <v>512</v>
      </c>
      <c r="K2073" s="25" t="s">
        <v>513</v>
      </c>
    </row>
    <row r="2074" spans="1:11" ht="25.5" x14ac:dyDescent="0.25">
      <c r="A2074" s="22">
        <v>2026</v>
      </c>
      <c r="B2074" s="28" t="s">
        <v>192</v>
      </c>
      <c r="C2074" s="28" t="s">
        <v>97</v>
      </c>
      <c r="D2074" s="28" t="s">
        <v>541</v>
      </c>
      <c r="E2074" s="29" t="s">
        <v>572</v>
      </c>
      <c r="F2074" s="29" t="s">
        <v>298</v>
      </c>
      <c r="G2074" s="25" t="s">
        <v>3825</v>
      </c>
      <c r="H2074" s="26">
        <v>-2.456</v>
      </c>
      <c r="I2074" s="26"/>
      <c r="J2074" s="26" t="s">
        <v>512</v>
      </c>
      <c r="K2074" s="25" t="s">
        <v>513</v>
      </c>
    </row>
    <row r="2075" spans="1:11" ht="25.5" x14ac:dyDescent="0.25">
      <c r="A2075" s="22">
        <v>2026</v>
      </c>
      <c r="B2075" s="28" t="s">
        <v>192</v>
      </c>
      <c r="C2075" s="28" t="s">
        <v>97</v>
      </c>
      <c r="D2075" s="28" t="s">
        <v>541</v>
      </c>
      <c r="E2075" s="29" t="s">
        <v>572</v>
      </c>
      <c r="F2075" s="29" t="s">
        <v>298</v>
      </c>
      <c r="G2075" s="25" t="s">
        <v>3826</v>
      </c>
      <c r="H2075" s="26">
        <v>-1.62615552</v>
      </c>
      <c r="I2075" s="26"/>
      <c r="J2075" s="26" t="s">
        <v>512</v>
      </c>
      <c r="K2075" s="25" t="s">
        <v>513</v>
      </c>
    </row>
    <row r="2076" spans="1:11" ht="25.5" x14ac:dyDescent="0.25">
      <c r="A2076" s="22">
        <v>2026</v>
      </c>
      <c r="B2076" s="28" t="s">
        <v>192</v>
      </c>
      <c r="C2076" s="28" t="s">
        <v>97</v>
      </c>
      <c r="D2076" s="28" t="s">
        <v>541</v>
      </c>
      <c r="E2076" s="29" t="s">
        <v>572</v>
      </c>
      <c r="F2076" s="29" t="s">
        <v>298</v>
      </c>
      <c r="G2076" s="25" t="s">
        <v>3827</v>
      </c>
      <c r="H2076" s="26">
        <v>-3.0721750000000001</v>
      </c>
      <c r="I2076" s="26"/>
      <c r="J2076" s="26" t="s">
        <v>512</v>
      </c>
      <c r="K2076" s="25" t="s">
        <v>513</v>
      </c>
    </row>
    <row r="2077" spans="1:11" ht="25.5" x14ac:dyDescent="0.25">
      <c r="A2077" s="22">
        <v>2026</v>
      </c>
      <c r="B2077" s="28" t="s">
        <v>192</v>
      </c>
      <c r="C2077" s="28" t="s">
        <v>97</v>
      </c>
      <c r="D2077" s="28" t="s">
        <v>541</v>
      </c>
      <c r="E2077" s="29" t="s">
        <v>572</v>
      </c>
      <c r="F2077" s="29" t="s">
        <v>298</v>
      </c>
      <c r="G2077" s="25" t="s">
        <v>3828</v>
      </c>
      <c r="H2077" s="26">
        <v>-0.67759999999999998</v>
      </c>
      <c r="I2077" s="26"/>
      <c r="J2077" s="26" t="s">
        <v>512</v>
      </c>
      <c r="K2077" s="25" t="s">
        <v>513</v>
      </c>
    </row>
    <row r="2078" spans="1:11" ht="25.5" x14ac:dyDescent="0.25">
      <c r="A2078" s="22">
        <v>2026</v>
      </c>
      <c r="B2078" s="28" t="s">
        <v>192</v>
      </c>
      <c r="C2078" s="28" t="s">
        <v>97</v>
      </c>
      <c r="D2078" s="28" t="s">
        <v>541</v>
      </c>
      <c r="E2078" s="29" t="s">
        <v>572</v>
      </c>
      <c r="F2078" s="29" t="s">
        <v>298</v>
      </c>
      <c r="G2078" s="25" t="s">
        <v>3829</v>
      </c>
      <c r="H2078" s="26">
        <v>-0.372</v>
      </c>
      <c r="I2078" s="26"/>
      <c r="J2078" s="26" t="s">
        <v>512</v>
      </c>
      <c r="K2078" s="25" t="s">
        <v>513</v>
      </c>
    </row>
    <row r="2079" spans="1:11" ht="25.5" x14ac:dyDescent="0.25">
      <c r="A2079" s="22">
        <v>2026</v>
      </c>
      <c r="B2079" s="28" t="s">
        <v>192</v>
      </c>
      <c r="C2079" s="28" t="s">
        <v>97</v>
      </c>
      <c r="D2079" s="28" t="s">
        <v>541</v>
      </c>
      <c r="E2079" s="29" t="s">
        <v>572</v>
      </c>
      <c r="F2079" s="29" t="s">
        <v>298</v>
      </c>
      <c r="G2079" s="25" t="s">
        <v>3830</v>
      </c>
      <c r="H2079" s="26">
        <v>-0.73919999999999997</v>
      </c>
      <c r="I2079" s="26"/>
      <c r="J2079" s="26" t="s">
        <v>512</v>
      </c>
      <c r="K2079" s="25" t="s">
        <v>513</v>
      </c>
    </row>
    <row r="2080" spans="1:11" ht="25.5" x14ac:dyDescent="0.25">
      <c r="A2080" s="22">
        <v>2026</v>
      </c>
      <c r="B2080" s="28" t="s">
        <v>192</v>
      </c>
      <c r="C2080" s="28" t="s">
        <v>97</v>
      </c>
      <c r="D2080" s="28" t="s">
        <v>541</v>
      </c>
      <c r="E2080" s="29" t="s">
        <v>572</v>
      </c>
      <c r="F2080" s="29" t="s">
        <v>298</v>
      </c>
      <c r="G2080" s="25" t="s">
        <v>3831</v>
      </c>
      <c r="H2080" s="26">
        <v>-1.2682687500000001</v>
      </c>
      <c r="I2080" s="26"/>
      <c r="J2080" s="26" t="s">
        <v>512</v>
      </c>
      <c r="K2080" s="25" t="s">
        <v>513</v>
      </c>
    </row>
    <row r="2081" spans="1:11" ht="25.5" x14ac:dyDescent="0.25">
      <c r="A2081" s="22">
        <v>2026</v>
      </c>
      <c r="B2081" s="28" t="s">
        <v>192</v>
      </c>
      <c r="C2081" s="28" t="s">
        <v>97</v>
      </c>
      <c r="D2081" s="28" t="s">
        <v>541</v>
      </c>
      <c r="E2081" s="29" t="s">
        <v>572</v>
      </c>
      <c r="F2081" s="29" t="s">
        <v>298</v>
      </c>
      <c r="G2081" s="25" t="s">
        <v>3832</v>
      </c>
      <c r="H2081" s="26">
        <v>-1.5667743000000001</v>
      </c>
      <c r="I2081" s="26"/>
      <c r="J2081" s="26" t="s">
        <v>512</v>
      </c>
      <c r="K2081" s="25" t="s">
        <v>513</v>
      </c>
    </row>
    <row r="2082" spans="1:11" ht="25.5" x14ac:dyDescent="0.25">
      <c r="A2082" s="22">
        <v>2026</v>
      </c>
      <c r="B2082" s="28" t="s">
        <v>192</v>
      </c>
      <c r="C2082" s="28" t="s">
        <v>97</v>
      </c>
      <c r="D2082" s="28" t="s">
        <v>541</v>
      </c>
      <c r="E2082" s="29" t="s">
        <v>572</v>
      </c>
      <c r="F2082" s="29" t="s">
        <v>298</v>
      </c>
      <c r="G2082" s="25" t="s">
        <v>3833</v>
      </c>
      <c r="H2082" s="26">
        <v>-1.1879999999999999</v>
      </c>
      <c r="I2082" s="26"/>
      <c r="J2082" s="26" t="s">
        <v>512</v>
      </c>
      <c r="K2082" s="25" t="s">
        <v>513</v>
      </c>
    </row>
    <row r="2083" spans="1:11" ht="25.5" x14ac:dyDescent="0.25">
      <c r="A2083" s="22">
        <v>2026</v>
      </c>
      <c r="B2083" s="28" t="s">
        <v>192</v>
      </c>
      <c r="C2083" s="28" t="s">
        <v>97</v>
      </c>
      <c r="D2083" s="28" t="s">
        <v>541</v>
      </c>
      <c r="E2083" s="29" t="s">
        <v>572</v>
      </c>
      <c r="F2083" s="29" t="s">
        <v>298</v>
      </c>
      <c r="G2083" s="25" t="s">
        <v>3834</v>
      </c>
      <c r="H2083" s="26">
        <v>-0.59599999999999997</v>
      </c>
      <c r="I2083" s="26"/>
      <c r="J2083" s="26" t="s">
        <v>512</v>
      </c>
      <c r="K2083" s="25" t="s">
        <v>513</v>
      </c>
    </row>
    <row r="2084" spans="1:11" ht="25.5" x14ac:dyDescent="0.25">
      <c r="A2084" s="22">
        <v>2026</v>
      </c>
      <c r="B2084" s="28" t="s">
        <v>192</v>
      </c>
      <c r="C2084" s="28" t="s">
        <v>97</v>
      </c>
      <c r="D2084" s="28" t="s">
        <v>1695</v>
      </c>
      <c r="E2084" s="29" t="s">
        <v>1758</v>
      </c>
      <c r="F2084" s="29" t="s">
        <v>1759</v>
      </c>
      <c r="G2084" s="25" t="s">
        <v>3835</v>
      </c>
      <c r="H2084" s="26">
        <v>-0.75978406560000011</v>
      </c>
      <c r="I2084" s="26"/>
      <c r="J2084" s="26" t="s">
        <v>512</v>
      </c>
      <c r="K2084" s="25" t="s">
        <v>513</v>
      </c>
    </row>
    <row r="2085" spans="1:11" ht="25.5" x14ac:dyDescent="0.25">
      <c r="A2085" s="22">
        <v>2026</v>
      </c>
      <c r="B2085" s="28" t="s">
        <v>192</v>
      </c>
      <c r="C2085" s="28" t="s">
        <v>97</v>
      </c>
      <c r="D2085" s="28" t="s">
        <v>1695</v>
      </c>
      <c r="E2085" s="29" t="s">
        <v>1758</v>
      </c>
      <c r="F2085" s="29" t="s">
        <v>1759</v>
      </c>
      <c r="G2085" s="25" t="s">
        <v>3836</v>
      </c>
      <c r="H2085" s="26">
        <v>-2.6091000000000002</v>
      </c>
      <c r="I2085" s="26"/>
      <c r="J2085" s="26" t="s">
        <v>512</v>
      </c>
      <c r="K2085" s="25" t="s">
        <v>513</v>
      </c>
    </row>
    <row r="2086" spans="1:11" ht="25.5" x14ac:dyDescent="0.25">
      <c r="A2086" s="22">
        <v>2026</v>
      </c>
      <c r="B2086" s="28" t="s">
        <v>192</v>
      </c>
      <c r="C2086" s="28" t="s">
        <v>97</v>
      </c>
      <c r="D2086" s="28" t="s">
        <v>1695</v>
      </c>
      <c r="E2086" s="29" t="s">
        <v>1758</v>
      </c>
      <c r="F2086" s="29" t="s">
        <v>1759</v>
      </c>
      <c r="G2086" s="25" t="s">
        <v>3837</v>
      </c>
      <c r="H2086" s="26">
        <v>-2.5699000000000001</v>
      </c>
      <c r="I2086" s="26"/>
      <c r="J2086" s="26" t="s">
        <v>512</v>
      </c>
      <c r="K2086" s="25" t="s">
        <v>513</v>
      </c>
    </row>
    <row r="2087" spans="1:11" ht="25.5" x14ac:dyDescent="0.25">
      <c r="A2087" s="22">
        <v>2026</v>
      </c>
      <c r="B2087" s="28" t="s">
        <v>192</v>
      </c>
      <c r="C2087" s="28" t="s">
        <v>97</v>
      </c>
      <c r="D2087" s="28" t="s">
        <v>1695</v>
      </c>
      <c r="E2087" s="29" t="s">
        <v>1758</v>
      </c>
      <c r="F2087" s="29" t="s">
        <v>1759</v>
      </c>
      <c r="G2087" s="25" t="s">
        <v>3838</v>
      </c>
      <c r="H2087" s="26">
        <v>-2.6758999999999999</v>
      </c>
      <c r="I2087" s="26"/>
      <c r="J2087" s="26" t="s">
        <v>512</v>
      </c>
      <c r="K2087" s="25" t="s">
        <v>513</v>
      </c>
    </row>
    <row r="2088" spans="1:11" ht="25.5" x14ac:dyDescent="0.25">
      <c r="A2088" s="22">
        <v>2026</v>
      </c>
      <c r="B2088" s="28" t="s">
        <v>192</v>
      </c>
      <c r="C2088" s="28" t="s">
        <v>97</v>
      </c>
      <c r="D2088" s="28" t="s">
        <v>1695</v>
      </c>
      <c r="E2088" s="29" t="s">
        <v>1758</v>
      </c>
      <c r="F2088" s="29" t="s">
        <v>1759</v>
      </c>
      <c r="G2088" s="25" t="s">
        <v>3839</v>
      </c>
      <c r="H2088" s="26">
        <v>-2.6316950625</v>
      </c>
      <c r="I2088" s="26"/>
      <c r="J2088" s="26" t="s">
        <v>512</v>
      </c>
      <c r="K2088" s="25" t="s">
        <v>513</v>
      </c>
    </row>
    <row r="2089" spans="1:11" ht="25.5" x14ac:dyDescent="0.25">
      <c r="A2089" s="22">
        <v>2026</v>
      </c>
      <c r="B2089" s="28" t="s">
        <v>192</v>
      </c>
      <c r="C2089" s="28" t="s">
        <v>97</v>
      </c>
      <c r="D2089" s="28" t="s">
        <v>1695</v>
      </c>
      <c r="E2089" s="29" t="s">
        <v>1758</v>
      </c>
      <c r="F2089" s="29" t="s">
        <v>1759</v>
      </c>
      <c r="G2089" s="25" t="s">
        <v>3840</v>
      </c>
      <c r="H2089" s="26">
        <v>-1.3313754168</v>
      </c>
      <c r="I2089" s="26"/>
      <c r="J2089" s="26" t="s">
        <v>512</v>
      </c>
      <c r="K2089" s="25" t="s">
        <v>513</v>
      </c>
    </row>
    <row r="2090" spans="1:11" ht="25.5" x14ac:dyDescent="0.25">
      <c r="A2090" s="22">
        <v>2026</v>
      </c>
      <c r="B2090" s="28" t="s">
        <v>192</v>
      </c>
      <c r="C2090" s="28" t="s">
        <v>97</v>
      </c>
      <c r="D2090" s="28" t="s">
        <v>1695</v>
      </c>
      <c r="E2090" s="29" t="s">
        <v>1758</v>
      </c>
      <c r="F2090" s="29" t="s">
        <v>1759</v>
      </c>
      <c r="G2090" s="25" t="s">
        <v>3841</v>
      </c>
      <c r="H2090" s="26">
        <v>-2.6964000000000001</v>
      </c>
      <c r="I2090" s="26"/>
      <c r="J2090" s="26" t="s">
        <v>512</v>
      </c>
      <c r="K2090" s="25" t="s">
        <v>513</v>
      </c>
    </row>
    <row r="2091" spans="1:11" ht="25.5" x14ac:dyDescent="0.25">
      <c r="A2091" s="22">
        <v>2026</v>
      </c>
      <c r="B2091" s="28" t="s">
        <v>192</v>
      </c>
      <c r="C2091" s="28" t="s">
        <v>97</v>
      </c>
      <c r="D2091" s="28" t="s">
        <v>1695</v>
      </c>
      <c r="E2091" s="29" t="s">
        <v>1758</v>
      </c>
      <c r="F2091" s="29" t="s">
        <v>1759</v>
      </c>
      <c r="G2091" s="25" t="s">
        <v>3842</v>
      </c>
      <c r="H2091" s="26">
        <v>-3.4650850000000002</v>
      </c>
      <c r="I2091" s="26"/>
      <c r="J2091" s="26" t="s">
        <v>512</v>
      </c>
      <c r="K2091" s="25" t="s">
        <v>513</v>
      </c>
    </row>
    <row r="2092" spans="1:11" ht="25.5" x14ac:dyDescent="0.25">
      <c r="A2092" s="22">
        <v>2026</v>
      </c>
      <c r="B2092" s="28" t="s">
        <v>192</v>
      </c>
      <c r="C2092" s="28" t="s">
        <v>97</v>
      </c>
      <c r="D2092" s="28" t="s">
        <v>1695</v>
      </c>
      <c r="E2092" s="29" t="s">
        <v>1758</v>
      </c>
      <c r="F2092" s="29" t="s">
        <v>1759</v>
      </c>
      <c r="G2092" s="25" t="s">
        <v>3843</v>
      </c>
      <c r="H2092" s="26">
        <v>-4.3932900000000004</v>
      </c>
      <c r="I2092" s="26"/>
      <c r="J2092" s="26" t="s">
        <v>512</v>
      </c>
      <c r="K2092" s="25" t="s">
        <v>513</v>
      </c>
    </row>
    <row r="2093" spans="1:11" ht="25.5" x14ac:dyDescent="0.25">
      <c r="A2093" s="22">
        <v>2026</v>
      </c>
      <c r="B2093" s="28" t="s">
        <v>192</v>
      </c>
      <c r="C2093" s="28" t="s">
        <v>97</v>
      </c>
      <c r="D2093" s="28" t="s">
        <v>1695</v>
      </c>
      <c r="E2093" s="29" t="s">
        <v>1758</v>
      </c>
      <c r="F2093" s="29" t="s">
        <v>1759</v>
      </c>
      <c r="G2093" s="25" t="s">
        <v>3844</v>
      </c>
      <c r="H2093" s="26">
        <v>-2.6779000000000002</v>
      </c>
      <c r="I2093" s="26"/>
      <c r="J2093" s="26" t="s">
        <v>512</v>
      </c>
      <c r="K2093" s="25" t="s">
        <v>513</v>
      </c>
    </row>
    <row r="2094" spans="1:11" ht="25.5" x14ac:dyDescent="0.25">
      <c r="A2094" s="22">
        <v>2026</v>
      </c>
      <c r="B2094" s="28" t="s">
        <v>192</v>
      </c>
      <c r="C2094" s="28" t="s">
        <v>97</v>
      </c>
      <c r="D2094" s="28" t="s">
        <v>1695</v>
      </c>
      <c r="E2094" s="29" t="s">
        <v>1758</v>
      </c>
      <c r="F2094" s="29" t="s">
        <v>1759</v>
      </c>
      <c r="G2094" s="25" t="s">
        <v>3845</v>
      </c>
      <c r="H2094" s="26">
        <v>-2.64975</v>
      </c>
      <c r="I2094" s="26"/>
      <c r="J2094" s="26" t="s">
        <v>512</v>
      </c>
      <c r="K2094" s="25" t="s">
        <v>513</v>
      </c>
    </row>
    <row r="2095" spans="1:11" ht="25.5" x14ac:dyDescent="0.25">
      <c r="A2095" s="22">
        <v>2026</v>
      </c>
      <c r="B2095" s="28" t="s">
        <v>192</v>
      </c>
      <c r="C2095" s="28" t="s">
        <v>97</v>
      </c>
      <c r="D2095" s="28" t="s">
        <v>1695</v>
      </c>
      <c r="E2095" s="29" t="s">
        <v>1758</v>
      </c>
      <c r="F2095" s="29" t="s">
        <v>1759</v>
      </c>
      <c r="G2095" s="25" t="s">
        <v>3846</v>
      </c>
      <c r="H2095" s="26">
        <v>-2.617</v>
      </c>
      <c r="I2095" s="26"/>
      <c r="J2095" s="26" t="s">
        <v>512</v>
      </c>
      <c r="K2095" s="25" t="s">
        <v>513</v>
      </c>
    </row>
    <row r="2096" spans="1:11" ht="25.5" x14ac:dyDescent="0.25">
      <c r="A2096" s="22">
        <v>2026</v>
      </c>
      <c r="B2096" s="28" t="s">
        <v>192</v>
      </c>
      <c r="C2096" s="28" t="s">
        <v>97</v>
      </c>
      <c r="D2096" s="28" t="s">
        <v>1695</v>
      </c>
      <c r="E2096" s="29" t="s">
        <v>1758</v>
      </c>
      <c r="F2096" s="29" t="s">
        <v>1759</v>
      </c>
      <c r="G2096" s="25" t="s">
        <v>3847</v>
      </c>
      <c r="H2096" s="26">
        <v>-0.39568052160000006</v>
      </c>
      <c r="I2096" s="26"/>
      <c r="J2096" s="26" t="s">
        <v>512</v>
      </c>
      <c r="K2096" s="25" t="s">
        <v>513</v>
      </c>
    </row>
    <row r="2097" spans="1:11" ht="25.5" x14ac:dyDescent="0.25">
      <c r="A2097" s="22">
        <v>2026</v>
      </c>
      <c r="B2097" s="28" t="s">
        <v>192</v>
      </c>
      <c r="C2097" s="28" t="s">
        <v>97</v>
      </c>
      <c r="D2097" s="28" t="s">
        <v>1696</v>
      </c>
      <c r="E2097" s="29" t="s">
        <v>1760</v>
      </c>
      <c r="F2097" s="29" t="s">
        <v>343</v>
      </c>
      <c r="G2097" s="25" t="s">
        <v>3848</v>
      </c>
      <c r="H2097" s="26">
        <v>-3.9318856550000003E-2</v>
      </c>
      <c r="I2097" s="26"/>
      <c r="J2097" s="26" t="s">
        <v>512</v>
      </c>
      <c r="K2097" s="25" t="s">
        <v>513</v>
      </c>
    </row>
    <row r="2098" spans="1:11" ht="25.5" x14ac:dyDescent="0.25">
      <c r="A2098" s="22">
        <v>2026</v>
      </c>
      <c r="B2098" s="28" t="s">
        <v>192</v>
      </c>
      <c r="C2098" s="28" t="s">
        <v>97</v>
      </c>
      <c r="D2098" s="28" t="s">
        <v>1696</v>
      </c>
      <c r="E2098" s="29" t="s">
        <v>1760</v>
      </c>
      <c r="F2098" s="29" t="s">
        <v>343</v>
      </c>
      <c r="G2098" s="25" t="s">
        <v>3849</v>
      </c>
      <c r="H2098" s="26">
        <v>-3.8730010000000002E-2</v>
      </c>
      <c r="I2098" s="26"/>
      <c r="J2098" s="26" t="s">
        <v>512</v>
      </c>
      <c r="K2098" s="25" t="s">
        <v>513</v>
      </c>
    </row>
    <row r="2099" spans="1:11" ht="25.5" x14ac:dyDescent="0.25">
      <c r="A2099" s="22">
        <v>2026</v>
      </c>
      <c r="B2099" s="28" t="s">
        <v>192</v>
      </c>
      <c r="C2099" s="28" t="s">
        <v>97</v>
      </c>
      <c r="D2099" s="28" t="s">
        <v>1696</v>
      </c>
      <c r="E2099" s="29" t="s">
        <v>1760</v>
      </c>
      <c r="F2099" s="29" t="s">
        <v>343</v>
      </c>
      <c r="G2099" s="25" t="s">
        <v>3850</v>
      </c>
      <c r="H2099" s="26">
        <v>-2.1000000000000001E-2</v>
      </c>
      <c r="I2099" s="26"/>
      <c r="J2099" s="26" t="s">
        <v>512</v>
      </c>
      <c r="K2099" s="25" t="s">
        <v>513</v>
      </c>
    </row>
    <row r="2100" spans="1:11" ht="25.5" x14ac:dyDescent="0.25">
      <c r="A2100" s="22">
        <v>2026</v>
      </c>
      <c r="B2100" s="28" t="s">
        <v>192</v>
      </c>
      <c r="C2100" s="28" t="s">
        <v>97</v>
      </c>
      <c r="D2100" s="28" t="s">
        <v>1696</v>
      </c>
      <c r="E2100" s="29" t="s">
        <v>1760</v>
      </c>
      <c r="F2100" s="29" t="s">
        <v>343</v>
      </c>
      <c r="G2100" s="25" t="s">
        <v>3851</v>
      </c>
      <c r="H2100" s="26">
        <v>-3.5349999999999999E-2</v>
      </c>
      <c r="I2100" s="26"/>
      <c r="J2100" s="26" t="s">
        <v>512</v>
      </c>
      <c r="K2100" s="25" t="s">
        <v>513</v>
      </c>
    </row>
    <row r="2101" spans="1:11" ht="25.5" x14ac:dyDescent="0.25">
      <c r="A2101" s="22">
        <v>2026</v>
      </c>
      <c r="B2101" s="28" t="s">
        <v>192</v>
      </c>
      <c r="C2101" s="28" t="s">
        <v>97</v>
      </c>
      <c r="D2101" s="28" t="s">
        <v>1696</v>
      </c>
      <c r="E2101" s="29" t="s">
        <v>1760</v>
      </c>
      <c r="F2101" s="29" t="s">
        <v>343</v>
      </c>
      <c r="G2101" s="25" t="s">
        <v>3852</v>
      </c>
      <c r="H2101" s="26">
        <v>-5.5670080000000004E-2</v>
      </c>
      <c r="I2101" s="26"/>
      <c r="J2101" s="26" t="s">
        <v>512</v>
      </c>
      <c r="K2101" s="25" t="s">
        <v>513</v>
      </c>
    </row>
    <row r="2102" spans="1:11" ht="25.5" x14ac:dyDescent="0.25">
      <c r="A2102" s="22">
        <v>2026</v>
      </c>
      <c r="B2102" s="28" t="s">
        <v>192</v>
      </c>
      <c r="C2102" s="28" t="s">
        <v>97</v>
      </c>
      <c r="D2102" s="28" t="s">
        <v>1696</v>
      </c>
      <c r="E2102" s="29" t="s">
        <v>1760</v>
      </c>
      <c r="F2102" s="29" t="s">
        <v>343</v>
      </c>
      <c r="G2102" s="25" t="s">
        <v>3853</v>
      </c>
      <c r="H2102" s="26">
        <v>-3.8474860720000004E-2</v>
      </c>
      <c r="I2102" s="26"/>
      <c r="J2102" s="26" t="s">
        <v>512</v>
      </c>
      <c r="K2102" s="25" t="s">
        <v>513</v>
      </c>
    </row>
    <row r="2103" spans="1:11" ht="25.5" x14ac:dyDescent="0.25">
      <c r="A2103" s="22">
        <v>2026</v>
      </c>
      <c r="B2103" s="28" t="s">
        <v>192</v>
      </c>
      <c r="C2103" s="28" t="s">
        <v>97</v>
      </c>
      <c r="D2103" s="28" t="s">
        <v>1696</v>
      </c>
      <c r="E2103" s="29" t="s">
        <v>1760</v>
      </c>
      <c r="F2103" s="29" t="s">
        <v>343</v>
      </c>
      <c r="G2103" s="25" t="s">
        <v>3854</v>
      </c>
      <c r="H2103" s="26">
        <v>-4.0580039999999998E-2</v>
      </c>
      <c r="I2103" s="26"/>
      <c r="J2103" s="26" t="s">
        <v>512</v>
      </c>
      <c r="K2103" s="25" t="s">
        <v>513</v>
      </c>
    </row>
    <row r="2104" spans="1:11" ht="25.5" x14ac:dyDescent="0.25">
      <c r="A2104" s="22">
        <v>2026</v>
      </c>
      <c r="B2104" s="28" t="s">
        <v>192</v>
      </c>
      <c r="C2104" s="28" t="s">
        <v>97</v>
      </c>
      <c r="D2104" s="28" t="s">
        <v>1696</v>
      </c>
      <c r="E2104" s="29" t="s">
        <v>1760</v>
      </c>
      <c r="F2104" s="29" t="s">
        <v>343</v>
      </c>
      <c r="G2104" s="25" t="s">
        <v>3855</v>
      </c>
      <c r="H2104" s="26">
        <v>-1.9316936699999999E-2</v>
      </c>
      <c r="I2104" s="26"/>
      <c r="J2104" s="26" t="s">
        <v>512</v>
      </c>
      <c r="K2104" s="25" t="s">
        <v>513</v>
      </c>
    </row>
    <row r="2105" spans="1:11" ht="25.5" x14ac:dyDescent="0.25">
      <c r="A2105" s="22">
        <v>2026</v>
      </c>
      <c r="B2105" s="28" t="s">
        <v>192</v>
      </c>
      <c r="C2105" s="28" t="s">
        <v>97</v>
      </c>
      <c r="D2105" s="28" t="s">
        <v>1696</v>
      </c>
      <c r="E2105" s="29" t="s">
        <v>1760</v>
      </c>
      <c r="F2105" s="29" t="s">
        <v>343</v>
      </c>
      <c r="G2105" s="25" t="s">
        <v>3856</v>
      </c>
      <c r="H2105" s="26">
        <v>-2.3060030000000002E-2</v>
      </c>
      <c r="I2105" s="26"/>
      <c r="J2105" s="26" t="s">
        <v>512</v>
      </c>
      <c r="K2105" s="25" t="s">
        <v>513</v>
      </c>
    </row>
    <row r="2106" spans="1:11" ht="25.5" x14ac:dyDescent="0.25">
      <c r="A2106" s="22">
        <v>2026</v>
      </c>
      <c r="B2106" s="28" t="s">
        <v>192</v>
      </c>
      <c r="C2106" s="28" t="s">
        <v>97</v>
      </c>
      <c r="D2106" s="28" t="s">
        <v>1696</v>
      </c>
      <c r="E2106" s="29" t="s">
        <v>1760</v>
      </c>
      <c r="F2106" s="29" t="s">
        <v>343</v>
      </c>
      <c r="G2106" s="25" t="s">
        <v>3857</v>
      </c>
      <c r="H2106" s="26">
        <v>-3.72695792E-2</v>
      </c>
      <c r="I2106" s="26"/>
      <c r="J2106" s="26" t="s">
        <v>512</v>
      </c>
      <c r="K2106" s="25" t="s">
        <v>513</v>
      </c>
    </row>
    <row r="2107" spans="1:11" ht="25.5" x14ac:dyDescent="0.25">
      <c r="A2107" s="22">
        <v>2026</v>
      </c>
      <c r="B2107" s="28" t="s">
        <v>192</v>
      </c>
      <c r="C2107" s="28" t="s">
        <v>97</v>
      </c>
      <c r="D2107" s="28" t="s">
        <v>1697</v>
      </c>
      <c r="E2107" s="29" t="s">
        <v>1761</v>
      </c>
      <c r="F2107" s="29" t="s">
        <v>386</v>
      </c>
      <c r="G2107" s="25" t="s">
        <v>3858</v>
      </c>
      <c r="H2107" s="26">
        <v>-5.1227799999999997E-2</v>
      </c>
      <c r="I2107" s="26"/>
      <c r="J2107" s="26" t="s">
        <v>512</v>
      </c>
      <c r="K2107" s="25" t="s">
        <v>513</v>
      </c>
    </row>
    <row r="2108" spans="1:11" ht="25.5" x14ac:dyDescent="0.25">
      <c r="A2108" s="22">
        <v>2026</v>
      </c>
      <c r="B2108" s="28" t="s">
        <v>192</v>
      </c>
      <c r="C2108" s="28" t="s">
        <v>97</v>
      </c>
      <c r="D2108" s="28" t="s">
        <v>1697</v>
      </c>
      <c r="E2108" s="29" t="s">
        <v>1761</v>
      </c>
      <c r="F2108" s="29" t="s">
        <v>386</v>
      </c>
      <c r="G2108" s="25" t="s">
        <v>3859</v>
      </c>
      <c r="H2108" s="26">
        <v>-3.1315000000000003E-2</v>
      </c>
      <c r="I2108" s="26"/>
      <c r="J2108" s="26" t="s">
        <v>512</v>
      </c>
      <c r="K2108" s="25" t="s">
        <v>513</v>
      </c>
    </row>
    <row r="2109" spans="1:11" ht="25.5" x14ac:dyDescent="0.25">
      <c r="A2109" s="22">
        <v>2026</v>
      </c>
      <c r="B2109" s="28" t="s">
        <v>192</v>
      </c>
      <c r="C2109" s="28" t="s">
        <v>97</v>
      </c>
      <c r="D2109" s="28" t="s">
        <v>1697</v>
      </c>
      <c r="E2109" s="29" t="s">
        <v>1761</v>
      </c>
      <c r="F2109" s="29" t="s">
        <v>386</v>
      </c>
      <c r="G2109" s="25" t="s">
        <v>3860</v>
      </c>
      <c r="H2109" s="26">
        <v>-7.5300000000000006E-2</v>
      </c>
      <c r="I2109" s="26"/>
      <c r="J2109" s="26" t="s">
        <v>512</v>
      </c>
      <c r="K2109" s="25" t="s">
        <v>513</v>
      </c>
    </row>
    <row r="2110" spans="1:11" ht="25.5" x14ac:dyDescent="0.25">
      <c r="A2110" s="22">
        <v>2026</v>
      </c>
      <c r="B2110" s="28" t="s">
        <v>192</v>
      </c>
      <c r="C2110" s="28" t="s">
        <v>97</v>
      </c>
      <c r="D2110" s="28" t="s">
        <v>1697</v>
      </c>
      <c r="E2110" s="29" t="s">
        <v>1761</v>
      </c>
      <c r="F2110" s="29" t="s">
        <v>386</v>
      </c>
      <c r="G2110" s="25" t="s">
        <v>3861</v>
      </c>
      <c r="H2110" s="26">
        <v>-0.05</v>
      </c>
      <c r="I2110" s="26"/>
      <c r="J2110" s="26" t="s">
        <v>512</v>
      </c>
      <c r="K2110" s="25" t="s">
        <v>513</v>
      </c>
    </row>
    <row r="2111" spans="1:11" ht="25.5" x14ac:dyDescent="0.25">
      <c r="A2111" s="22">
        <v>2026</v>
      </c>
      <c r="B2111" s="28" t="s">
        <v>192</v>
      </c>
      <c r="C2111" s="28" t="s">
        <v>97</v>
      </c>
      <c r="D2111" s="28" t="s">
        <v>1697</v>
      </c>
      <c r="E2111" s="29" t="s">
        <v>1761</v>
      </c>
      <c r="F2111" s="29" t="s">
        <v>386</v>
      </c>
      <c r="G2111" s="25" t="s">
        <v>3862</v>
      </c>
      <c r="H2111" s="26">
        <v>-0.20995000000000003</v>
      </c>
      <c r="I2111" s="26"/>
      <c r="J2111" s="26" t="s">
        <v>512</v>
      </c>
      <c r="K2111" s="25" t="s">
        <v>513</v>
      </c>
    </row>
    <row r="2112" spans="1:11" ht="25.5" x14ac:dyDescent="0.25">
      <c r="A2112" s="22">
        <v>2026</v>
      </c>
      <c r="B2112" s="28" t="s">
        <v>192</v>
      </c>
      <c r="C2112" s="28" t="s">
        <v>97</v>
      </c>
      <c r="D2112" s="28" t="s">
        <v>1697</v>
      </c>
      <c r="E2112" s="29" t="s">
        <v>1761</v>
      </c>
      <c r="F2112" s="29" t="s">
        <v>386</v>
      </c>
      <c r="G2112" s="25" t="s">
        <v>3863</v>
      </c>
      <c r="H2112" s="26">
        <v>-0.14709419999999998</v>
      </c>
      <c r="I2112" s="26"/>
      <c r="J2112" s="26" t="s">
        <v>512</v>
      </c>
      <c r="K2112" s="25" t="s">
        <v>513</v>
      </c>
    </row>
    <row r="2113" spans="1:11" ht="25.5" x14ac:dyDescent="0.25">
      <c r="A2113" s="22">
        <v>2026</v>
      </c>
      <c r="B2113" s="28" t="s">
        <v>192</v>
      </c>
      <c r="C2113" s="28" t="s">
        <v>97</v>
      </c>
      <c r="D2113" s="28" t="s">
        <v>1697</v>
      </c>
      <c r="E2113" s="29" t="s">
        <v>1761</v>
      </c>
      <c r="F2113" s="29" t="s">
        <v>386</v>
      </c>
      <c r="G2113" s="25" t="s">
        <v>3864</v>
      </c>
      <c r="H2113" s="26">
        <v>-4.8599999999999997E-2</v>
      </c>
      <c r="I2113" s="26"/>
      <c r="J2113" s="26" t="s">
        <v>512</v>
      </c>
      <c r="K2113" s="25" t="s">
        <v>513</v>
      </c>
    </row>
    <row r="2114" spans="1:11" ht="25.5" x14ac:dyDescent="0.25">
      <c r="A2114" s="22">
        <v>2026</v>
      </c>
      <c r="B2114" s="28" t="s">
        <v>192</v>
      </c>
      <c r="C2114" s="28" t="s">
        <v>97</v>
      </c>
      <c r="D2114" s="28" t="s">
        <v>1697</v>
      </c>
      <c r="E2114" s="29" t="s">
        <v>1761</v>
      </c>
      <c r="F2114" s="29" t="s">
        <v>386</v>
      </c>
      <c r="G2114" s="25" t="s">
        <v>3865</v>
      </c>
      <c r="H2114" s="26">
        <v>-4.8379600000000002E-2</v>
      </c>
      <c r="I2114" s="26"/>
      <c r="J2114" s="26" t="s">
        <v>512</v>
      </c>
      <c r="K2114" s="25" t="s">
        <v>513</v>
      </c>
    </row>
    <row r="2115" spans="1:11" ht="25.5" x14ac:dyDescent="0.25">
      <c r="A2115" s="22">
        <v>2026</v>
      </c>
      <c r="B2115" s="28" t="s">
        <v>192</v>
      </c>
      <c r="C2115" s="28" t="s">
        <v>97</v>
      </c>
      <c r="D2115" s="28" t="s">
        <v>1697</v>
      </c>
      <c r="E2115" s="29" t="s">
        <v>1761</v>
      </c>
      <c r="F2115" s="29" t="s">
        <v>386</v>
      </c>
      <c r="G2115" s="25" t="s">
        <v>3861</v>
      </c>
      <c r="H2115" s="26">
        <v>-0.05</v>
      </c>
      <c r="I2115" s="26"/>
      <c r="J2115" s="26" t="s">
        <v>512</v>
      </c>
      <c r="K2115" s="25" t="s">
        <v>513</v>
      </c>
    </row>
    <row r="2116" spans="1:11" ht="25.5" x14ac:dyDescent="0.25">
      <c r="A2116" s="22">
        <v>2026</v>
      </c>
      <c r="B2116" s="28" t="s">
        <v>192</v>
      </c>
      <c r="C2116" s="28" t="s">
        <v>97</v>
      </c>
      <c r="D2116" s="28" t="s">
        <v>1697</v>
      </c>
      <c r="E2116" s="29" t="s">
        <v>1761</v>
      </c>
      <c r="F2116" s="29" t="s">
        <v>386</v>
      </c>
      <c r="G2116" s="25" t="s">
        <v>3866</v>
      </c>
      <c r="H2116" s="26">
        <v>-4.8276599999999996E-2</v>
      </c>
      <c r="I2116" s="26"/>
      <c r="J2116" s="26" t="s">
        <v>512</v>
      </c>
      <c r="K2116" s="25" t="s">
        <v>513</v>
      </c>
    </row>
    <row r="2117" spans="1:11" ht="25.5" x14ac:dyDescent="0.25">
      <c r="A2117" s="22">
        <v>2026</v>
      </c>
      <c r="B2117" s="28" t="s">
        <v>192</v>
      </c>
      <c r="C2117" s="28" t="s">
        <v>97</v>
      </c>
      <c r="D2117" s="28" t="s">
        <v>1697</v>
      </c>
      <c r="E2117" s="29" t="s">
        <v>1761</v>
      </c>
      <c r="F2117" s="29" t="s">
        <v>386</v>
      </c>
      <c r="G2117" s="25" t="s">
        <v>3867</v>
      </c>
      <c r="H2117" s="26">
        <v>-4.6800000000000001E-2</v>
      </c>
      <c r="I2117" s="26"/>
      <c r="J2117" s="26" t="s">
        <v>512</v>
      </c>
      <c r="K2117" s="25" t="s">
        <v>513</v>
      </c>
    </row>
    <row r="2118" spans="1:11" ht="25.5" x14ac:dyDescent="0.25">
      <c r="A2118" s="22">
        <v>2026</v>
      </c>
      <c r="B2118" s="28" t="s">
        <v>192</v>
      </c>
      <c r="C2118" s="28" t="s">
        <v>97</v>
      </c>
      <c r="D2118" s="28" t="s">
        <v>1697</v>
      </c>
      <c r="E2118" s="29" t="s">
        <v>1761</v>
      </c>
      <c r="F2118" s="29" t="s">
        <v>386</v>
      </c>
      <c r="G2118" s="25" t="s">
        <v>3868</v>
      </c>
      <c r="H2118" s="26">
        <v>-4.68224E-2</v>
      </c>
      <c r="I2118" s="26"/>
      <c r="J2118" s="26" t="s">
        <v>512</v>
      </c>
      <c r="K2118" s="25" t="s">
        <v>513</v>
      </c>
    </row>
    <row r="2119" spans="1:11" ht="25.5" x14ac:dyDescent="0.25">
      <c r="A2119" s="22">
        <v>2026</v>
      </c>
      <c r="B2119" s="28" t="s">
        <v>192</v>
      </c>
      <c r="C2119" s="28" t="s">
        <v>97</v>
      </c>
      <c r="D2119" s="28" t="s">
        <v>1697</v>
      </c>
      <c r="E2119" s="29" t="s">
        <v>1761</v>
      </c>
      <c r="F2119" s="29" t="s">
        <v>386</v>
      </c>
      <c r="G2119" s="25" t="s">
        <v>3869</v>
      </c>
      <c r="H2119" s="26">
        <v>-0.115022</v>
      </c>
      <c r="I2119" s="26"/>
      <c r="J2119" s="26" t="s">
        <v>512</v>
      </c>
      <c r="K2119" s="25" t="s">
        <v>513</v>
      </c>
    </row>
    <row r="2120" spans="1:11" ht="25.5" x14ac:dyDescent="0.25">
      <c r="A2120" s="22">
        <v>2026</v>
      </c>
      <c r="B2120" s="28" t="s">
        <v>192</v>
      </c>
      <c r="C2120" s="28" t="s">
        <v>97</v>
      </c>
      <c r="D2120" s="28" t="s">
        <v>1698</v>
      </c>
      <c r="E2120" s="29" t="s">
        <v>315</v>
      </c>
      <c r="F2120" s="29" t="s">
        <v>298</v>
      </c>
      <c r="G2120" s="25" t="s">
        <v>3870</v>
      </c>
      <c r="H2120" s="26">
        <v>-0.60277499999999995</v>
      </c>
      <c r="I2120" s="26"/>
      <c r="J2120" s="26" t="s">
        <v>512</v>
      </c>
      <c r="K2120" s="25" t="s">
        <v>513</v>
      </c>
    </row>
    <row r="2121" spans="1:11" ht="25.5" x14ac:dyDescent="0.25">
      <c r="A2121" s="22">
        <v>2026</v>
      </c>
      <c r="B2121" s="28" t="s">
        <v>192</v>
      </c>
      <c r="C2121" s="28" t="s">
        <v>97</v>
      </c>
      <c r="D2121" s="28" t="s">
        <v>1698</v>
      </c>
      <c r="E2121" s="29" t="s">
        <v>315</v>
      </c>
      <c r="F2121" s="29" t="s">
        <v>298</v>
      </c>
      <c r="G2121" s="25" t="s">
        <v>3871</v>
      </c>
      <c r="H2121" s="26">
        <v>-0.37495499999999998</v>
      </c>
      <c r="I2121" s="26"/>
      <c r="J2121" s="26" t="s">
        <v>512</v>
      </c>
      <c r="K2121" s="25" t="s">
        <v>513</v>
      </c>
    </row>
    <row r="2122" spans="1:11" ht="25.5" x14ac:dyDescent="0.25">
      <c r="A2122" s="22">
        <v>2026</v>
      </c>
      <c r="B2122" s="28" t="s">
        <v>192</v>
      </c>
      <c r="C2122" s="28" t="s">
        <v>97</v>
      </c>
      <c r="D2122" s="28" t="s">
        <v>1698</v>
      </c>
      <c r="E2122" s="29" t="s">
        <v>315</v>
      </c>
      <c r="F2122" s="29" t="s">
        <v>298</v>
      </c>
      <c r="G2122" s="25" t="s">
        <v>3872</v>
      </c>
      <c r="H2122" s="26">
        <v>-0.189495</v>
      </c>
      <c r="I2122" s="26"/>
      <c r="J2122" s="26" t="s">
        <v>512</v>
      </c>
      <c r="K2122" s="25" t="s">
        <v>513</v>
      </c>
    </row>
    <row r="2123" spans="1:11" ht="25.5" x14ac:dyDescent="0.25">
      <c r="A2123" s="22">
        <v>2026</v>
      </c>
      <c r="B2123" s="28" t="s">
        <v>192</v>
      </c>
      <c r="C2123" s="28" t="s">
        <v>97</v>
      </c>
      <c r="D2123" s="28" t="s">
        <v>1698</v>
      </c>
      <c r="E2123" s="29" t="s">
        <v>315</v>
      </c>
      <c r="F2123" s="29" t="s">
        <v>298</v>
      </c>
      <c r="G2123" s="25" t="s">
        <v>3873</v>
      </c>
      <c r="H2123" s="26">
        <v>-1.0650500000000001</v>
      </c>
      <c r="I2123" s="26"/>
      <c r="J2123" s="26" t="s">
        <v>512</v>
      </c>
      <c r="K2123" s="25" t="s">
        <v>513</v>
      </c>
    </row>
    <row r="2124" spans="1:11" ht="25.5" x14ac:dyDescent="0.25">
      <c r="A2124" s="22">
        <v>2026</v>
      </c>
      <c r="B2124" s="28" t="s">
        <v>192</v>
      </c>
      <c r="C2124" s="28" t="s">
        <v>97</v>
      </c>
      <c r="D2124" s="28" t="s">
        <v>1698</v>
      </c>
      <c r="E2124" s="29" t="s">
        <v>315</v>
      </c>
      <c r="F2124" s="29" t="s">
        <v>298</v>
      </c>
      <c r="G2124" s="25" t="s">
        <v>3874</v>
      </c>
      <c r="H2124" s="26">
        <v>-0.62497499999999995</v>
      </c>
      <c r="I2124" s="26"/>
      <c r="J2124" s="26" t="s">
        <v>512</v>
      </c>
      <c r="K2124" s="25" t="s">
        <v>513</v>
      </c>
    </row>
    <row r="2125" spans="1:11" ht="25.5" x14ac:dyDescent="0.25">
      <c r="A2125" s="22">
        <v>2026</v>
      </c>
      <c r="B2125" s="28" t="s">
        <v>192</v>
      </c>
      <c r="C2125" s="28" t="s">
        <v>97</v>
      </c>
      <c r="D2125" s="28" t="s">
        <v>1698</v>
      </c>
      <c r="E2125" s="29" t="s">
        <v>315</v>
      </c>
      <c r="F2125" s="29" t="s">
        <v>298</v>
      </c>
      <c r="G2125" s="25" t="s">
        <v>3875</v>
      </c>
      <c r="H2125" s="26">
        <v>-0.62250000000000005</v>
      </c>
      <c r="I2125" s="26"/>
      <c r="J2125" s="26" t="s">
        <v>512</v>
      </c>
      <c r="K2125" s="25" t="s">
        <v>513</v>
      </c>
    </row>
    <row r="2126" spans="1:11" ht="25.5" x14ac:dyDescent="0.25">
      <c r="A2126" s="22">
        <v>2026</v>
      </c>
      <c r="B2126" s="28" t="s">
        <v>192</v>
      </c>
      <c r="C2126" s="28" t="s">
        <v>97</v>
      </c>
      <c r="D2126" s="28" t="s">
        <v>1698</v>
      </c>
      <c r="E2126" s="29" t="s">
        <v>315</v>
      </c>
      <c r="F2126" s="29" t="s">
        <v>298</v>
      </c>
      <c r="G2126" s="25" t="s">
        <v>3876</v>
      </c>
      <c r="H2126" s="26">
        <v>-0.2495</v>
      </c>
      <c r="I2126" s="26"/>
      <c r="J2126" s="26" t="s">
        <v>512</v>
      </c>
      <c r="K2126" s="25" t="s">
        <v>513</v>
      </c>
    </row>
    <row r="2127" spans="1:11" ht="25.5" x14ac:dyDescent="0.25">
      <c r="A2127" s="22">
        <v>2026</v>
      </c>
      <c r="B2127" s="28" t="s">
        <v>192</v>
      </c>
      <c r="C2127" s="28" t="s">
        <v>97</v>
      </c>
      <c r="D2127" s="28" t="s">
        <v>1698</v>
      </c>
      <c r="E2127" s="29" t="s">
        <v>315</v>
      </c>
      <c r="F2127" s="29" t="s">
        <v>298</v>
      </c>
      <c r="G2127" s="25" t="s">
        <v>3877</v>
      </c>
      <c r="H2127" s="26">
        <v>-1.2526999999999999</v>
      </c>
      <c r="I2127" s="26"/>
      <c r="J2127" s="26" t="s">
        <v>512</v>
      </c>
      <c r="K2127" s="25" t="s">
        <v>513</v>
      </c>
    </row>
    <row r="2128" spans="1:11" ht="25.5" x14ac:dyDescent="0.25">
      <c r="A2128" s="22">
        <v>2026</v>
      </c>
      <c r="B2128" s="28" t="s">
        <v>192</v>
      </c>
      <c r="C2128" s="28" t="s">
        <v>97</v>
      </c>
      <c r="D2128" s="28" t="s">
        <v>1698</v>
      </c>
      <c r="E2128" s="29" t="s">
        <v>315</v>
      </c>
      <c r="F2128" s="29" t="s">
        <v>298</v>
      </c>
      <c r="G2128" s="25" t="s">
        <v>3878</v>
      </c>
      <c r="H2128" s="26">
        <v>-0.24448</v>
      </c>
      <c r="I2128" s="26"/>
      <c r="J2128" s="26" t="s">
        <v>512</v>
      </c>
      <c r="K2128" s="25" t="s">
        <v>513</v>
      </c>
    </row>
    <row r="2129" spans="1:11" ht="25.5" x14ac:dyDescent="0.25">
      <c r="A2129" s="22">
        <v>2026</v>
      </c>
      <c r="B2129" s="28" t="s">
        <v>192</v>
      </c>
      <c r="C2129" s="28" t="s">
        <v>97</v>
      </c>
      <c r="D2129" s="28" t="s">
        <v>1698</v>
      </c>
      <c r="E2129" s="29" t="s">
        <v>315</v>
      </c>
      <c r="F2129" s="29" t="s">
        <v>298</v>
      </c>
      <c r="G2129" s="25" t="s">
        <v>3879</v>
      </c>
      <c r="H2129" s="26">
        <v>-0.85270500000000005</v>
      </c>
      <c r="I2129" s="26"/>
      <c r="J2129" s="26" t="s">
        <v>512</v>
      </c>
      <c r="K2129" s="25" t="s">
        <v>513</v>
      </c>
    </row>
    <row r="2130" spans="1:11" ht="25.5" x14ac:dyDescent="0.25">
      <c r="A2130" s="22">
        <v>2026</v>
      </c>
      <c r="B2130" s="28" t="s">
        <v>192</v>
      </c>
      <c r="C2130" s="28" t="s">
        <v>97</v>
      </c>
      <c r="D2130" s="28" t="s">
        <v>1698</v>
      </c>
      <c r="E2130" s="29" t="s">
        <v>315</v>
      </c>
      <c r="F2130" s="29" t="s">
        <v>298</v>
      </c>
      <c r="G2130" s="25" t="s">
        <v>3880</v>
      </c>
      <c r="H2130" s="26">
        <v>-0.12175</v>
      </c>
      <c r="I2130" s="26"/>
      <c r="J2130" s="26" t="s">
        <v>512</v>
      </c>
      <c r="K2130" s="25" t="s">
        <v>513</v>
      </c>
    </row>
    <row r="2131" spans="1:11" ht="25.5" x14ac:dyDescent="0.25">
      <c r="A2131" s="22">
        <v>2026</v>
      </c>
      <c r="B2131" s="28" t="s">
        <v>192</v>
      </c>
      <c r="C2131" s="28" t="s">
        <v>97</v>
      </c>
      <c r="D2131" s="28" t="s">
        <v>1698</v>
      </c>
      <c r="E2131" s="29" t="s">
        <v>315</v>
      </c>
      <c r="F2131" s="29" t="s">
        <v>298</v>
      </c>
      <c r="G2131" s="25" t="s">
        <v>3881</v>
      </c>
      <c r="H2131" s="26">
        <v>-0.84241499999999991</v>
      </c>
      <c r="I2131" s="26"/>
      <c r="J2131" s="26" t="s">
        <v>512</v>
      </c>
      <c r="K2131" s="25" t="s">
        <v>513</v>
      </c>
    </row>
    <row r="2132" spans="1:11" ht="25.5" x14ac:dyDescent="0.25">
      <c r="A2132" s="22">
        <v>2026</v>
      </c>
      <c r="B2132" s="28" t="s">
        <v>192</v>
      </c>
      <c r="C2132" s="28" t="s">
        <v>97</v>
      </c>
      <c r="D2132" s="28" t="s">
        <v>1699</v>
      </c>
      <c r="E2132" s="29" t="s">
        <v>331</v>
      </c>
      <c r="F2132" s="29" t="s">
        <v>1762</v>
      </c>
      <c r="G2132" s="25" t="s">
        <v>3882</v>
      </c>
      <c r="H2132" s="26">
        <v>-4.5749999999999999E-2</v>
      </c>
      <c r="I2132" s="26"/>
      <c r="J2132" s="26" t="s">
        <v>512</v>
      </c>
      <c r="K2132" s="25" t="s">
        <v>513</v>
      </c>
    </row>
    <row r="2133" spans="1:11" ht="25.5" x14ac:dyDescent="0.25">
      <c r="A2133" s="22">
        <v>2026</v>
      </c>
      <c r="B2133" s="28" t="s">
        <v>192</v>
      </c>
      <c r="C2133" s="28" t="s">
        <v>97</v>
      </c>
      <c r="D2133" s="28" t="s">
        <v>1699</v>
      </c>
      <c r="E2133" s="29" t="s">
        <v>331</v>
      </c>
      <c r="F2133" s="29" t="s">
        <v>1762</v>
      </c>
      <c r="G2133" s="25" t="s">
        <v>3883</v>
      </c>
      <c r="H2133" s="26">
        <v>-0.14799999999999999</v>
      </c>
      <c r="I2133" s="26"/>
      <c r="J2133" s="26" t="s">
        <v>512</v>
      </c>
      <c r="K2133" s="25" t="s">
        <v>513</v>
      </c>
    </row>
    <row r="2134" spans="1:11" ht="25.5" x14ac:dyDescent="0.25">
      <c r="A2134" s="22">
        <v>2026</v>
      </c>
      <c r="B2134" s="28" t="s">
        <v>192</v>
      </c>
      <c r="C2134" s="28" t="s">
        <v>97</v>
      </c>
      <c r="D2134" s="28" t="s">
        <v>1699</v>
      </c>
      <c r="E2134" s="29" t="s">
        <v>331</v>
      </c>
      <c r="F2134" s="29" t="s">
        <v>1762</v>
      </c>
      <c r="G2134" s="25" t="s">
        <v>3884</v>
      </c>
      <c r="H2134" s="26">
        <v>-5.6904629999999998E-2</v>
      </c>
      <c r="I2134" s="26"/>
      <c r="J2134" s="26" t="s">
        <v>512</v>
      </c>
      <c r="K2134" s="25" t="s">
        <v>513</v>
      </c>
    </row>
    <row r="2135" spans="1:11" ht="25.5" x14ac:dyDescent="0.25">
      <c r="A2135" s="22">
        <v>2026</v>
      </c>
      <c r="B2135" s="28" t="s">
        <v>192</v>
      </c>
      <c r="C2135" s="28" t="s">
        <v>97</v>
      </c>
      <c r="D2135" s="28" t="s">
        <v>1699</v>
      </c>
      <c r="E2135" s="29" t="s">
        <v>331</v>
      </c>
      <c r="F2135" s="29" t="s">
        <v>1762</v>
      </c>
      <c r="G2135" s="25" t="s">
        <v>3885</v>
      </c>
      <c r="H2135" s="26">
        <v>-0.12121211999999999</v>
      </c>
      <c r="I2135" s="26"/>
      <c r="J2135" s="26" t="s">
        <v>512</v>
      </c>
      <c r="K2135" s="25" t="s">
        <v>513</v>
      </c>
    </row>
    <row r="2136" spans="1:11" ht="25.5" x14ac:dyDescent="0.25">
      <c r="A2136" s="22">
        <v>2026</v>
      </c>
      <c r="B2136" s="28" t="s">
        <v>192</v>
      </c>
      <c r="C2136" s="28" t="s">
        <v>97</v>
      </c>
      <c r="D2136" s="28" t="s">
        <v>1699</v>
      </c>
      <c r="E2136" s="29" t="s">
        <v>331</v>
      </c>
      <c r="F2136" s="29" t="s">
        <v>1762</v>
      </c>
      <c r="G2136" s="25" t="s">
        <v>3886</v>
      </c>
      <c r="H2136" s="26">
        <v>-0.1225338856</v>
      </c>
      <c r="I2136" s="26"/>
      <c r="J2136" s="26" t="s">
        <v>512</v>
      </c>
      <c r="K2136" s="25" t="s">
        <v>513</v>
      </c>
    </row>
    <row r="2137" spans="1:11" ht="25.5" x14ac:dyDescent="0.25">
      <c r="A2137" s="22">
        <v>2026</v>
      </c>
      <c r="B2137" s="28" t="s">
        <v>192</v>
      </c>
      <c r="C2137" s="28" t="s">
        <v>97</v>
      </c>
      <c r="D2137" s="28" t="s">
        <v>1699</v>
      </c>
      <c r="E2137" s="29" t="s">
        <v>331</v>
      </c>
      <c r="F2137" s="29" t="s">
        <v>1762</v>
      </c>
      <c r="G2137" s="25" t="s">
        <v>3887</v>
      </c>
      <c r="H2137" s="26">
        <v>-8.8299000000000002E-2</v>
      </c>
      <c r="I2137" s="26"/>
      <c r="J2137" s="26" t="s">
        <v>512</v>
      </c>
      <c r="K2137" s="25" t="s">
        <v>513</v>
      </c>
    </row>
    <row r="2138" spans="1:11" ht="25.5" x14ac:dyDescent="0.25">
      <c r="A2138" s="22">
        <v>2026</v>
      </c>
      <c r="B2138" s="28" t="s">
        <v>192</v>
      </c>
      <c r="C2138" s="28" t="s">
        <v>97</v>
      </c>
      <c r="D2138" s="28" t="s">
        <v>1699</v>
      </c>
      <c r="E2138" s="29" t="s">
        <v>331</v>
      </c>
      <c r="F2138" s="29" t="s">
        <v>1762</v>
      </c>
      <c r="G2138" s="25" t="s">
        <v>3888</v>
      </c>
      <c r="H2138" s="26">
        <v>-1.1358960760000001</v>
      </c>
      <c r="I2138" s="26"/>
      <c r="J2138" s="26" t="s">
        <v>512</v>
      </c>
      <c r="K2138" s="25" t="s">
        <v>513</v>
      </c>
    </row>
    <row r="2139" spans="1:11" ht="25.5" x14ac:dyDescent="0.25">
      <c r="A2139" s="22">
        <v>2026</v>
      </c>
      <c r="B2139" s="28" t="s">
        <v>192</v>
      </c>
      <c r="C2139" s="28" t="s">
        <v>97</v>
      </c>
      <c r="D2139" s="28" t="s">
        <v>1699</v>
      </c>
      <c r="E2139" s="29" t="s">
        <v>331</v>
      </c>
      <c r="F2139" s="29" t="s">
        <v>1762</v>
      </c>
      <c r="G2139" s="25" t="s">
        <v>3889</v>
      </c>
      <c r="H2139" s="26">
        <v>-0.395335983</v>
      </c>
      <c r="I2139" s="26"/>
      <c r="J2139" s="26" t="s">
        <v>512</v>
      </c>
      <c r="K2139" s="25" t="s">
        <v>513</v>
      </c>
    </row>
    <row r="2140" spans="1:11" ht="25.5" x14ac:dyDescent="0.25">
      <c r="A2140" s="22">
        <v>2026</v>
      </c>
      <c r="B2140" s="28" t="s">
        <v>192</v>
      </c>
      <c r="C2140" s="28" t="s">
        <v>97</v>
      </c>
      <c r="D2140" s="28" t="s">
        <v>1699</v>
      </c>
      <c r="E2140" s="29" t="s">
        <v>331</v>
      </c>
      <c r="F2140" s="29" t="s">
        <v>1762</v>
      </c>
      <c r="G2140" s="25" t="s">
        <v>3890</v>
      </c>
      <c r="H2140" s="26">
        <v>-0.32096246080000002</v>
      </c>
      <c r="I2140" s="26"/>
      <c r="J2140" s="26" t="s">
        <v>512</v>
      </c>
      <c r="K2140" s="25" t="s">
        <v>513</v>
      </c>
    </row>
    <row r="2141" spans="1:11" ht="25.5" x14ac:dyDescent="0.25">
      <c r="A2141" s="22">
        <v>2026</v>
      </c>
      <c r="B2141" s="28" t="s">
        <v>192</v>
      </c>
      <c r="C2141" s="28" t="s">
        <v>97</v>
      </c>
      <c r="D2141" s="28" t="s">
        <v>1699</v>
      </c>
      <c r="E2141" s="29" t="s">
        <v>331</v>
      </c>
      <c r="F2141" s="29" t="s">
        <v>1762</v>
      </c>
      <c r="G2141" s="25" t="s">
        <v>3891</v>
      </c>
      <c r="H2141" s="26">
        <v>-7.269039599999999E-2</v>
      </c>
      <c r="I2141" s="26"/>
      <c r="J2141" s="26" t="s">
        <v>512</v>
      </c>
      <c r="K2141" s="25" t="s">
        <v>513</v>
      </c>
    </row>
    <row r="2142" spans="1:11" ht="25.5" x14ac:dyDescent="0.25">
      <c r="A2142" s="22">
        <v>2026</v>
      </c>
      <c r="B2142" s="28" t="s">
        <v>192</v>
      </c>
      <c r="C2142" s="28" t="s">
        <v>97</v>
      </c>
      <c r="D2142" s="28" t="s">
        <v>1699</v>
      </c>
      <c r="E2142" s="29" t="s">
        <v>331</v>
      </c>
      <c r="F2142" s="29" t="s">
        <v>1762</v>
      </c>
      <c r="G2142" s="25" t="s">
        <v>3892</v>
      </c>
      <c r="H2142" s="26">
        <v>-8.9979893699999994E-2</v>
      </c>
      <c r="I2142" s="26"/>
      <c r="J2142" s="26" t="s">
        <v>512</v>
      </c>
      <c r="K2142" s="25" t="s">
        <v>513</v>
      </c>
    </row>
    <row r="2143" spans="1:11" ht="25.5" x14ac:dyDescent="0.25">
      <c r="A2143" s="22">
        <v>2026</v>
      </c>
      <c r="B2143" s="28" t="s">
        <v>192</v>
      </c>
      <c r="C2143" s="28" t="s">
        <v>97</v>
      </c>
      <c r="D2143" s="28" t="s">
        <v>1699</v>
      </c>
      <c r="E2143" s="29" t="s">
        <v>331</v>
      </c>
      <c r="F2143" s="29" t="s">
        <v>1762</v>
      </c>
      <c r="G2143" s="25" t="s">
        <v>3893</v>
      </c>
      <c r="H2143" s="26">
        <v>-0.77070000000000005</v>
      </c>
      <c r="I2143" s="26"/>
      <c r="J2143" s="26" t="s">
        <v>512</v>
      </c>
      <c r="K2143" s="25" t="s">
        <v>513</v>
      </c>
    </row>
    <row r="2144" spans="1:11" ht="25.5" x14ac:dyDescent="0.25">
      <c r="A2144" s="22">
        <v>2026</v>
      </c>
      <c r="B2144" s="28" t="s">
        <v>192</v>
      </c>
      <c r="C2144" s="28" t="s">
        <v>97</v>
      </c>
      <c r="D2144" s="28" t="s">
        <v>1699</v>
      </c>
      <c r="E2144" s="29" t="s">
        <v>331</v>
      </c>
      <c r="F2144" s="29" t="s">
        <v>1762</v>
      </c>
      <c r="G2144" s="25" t="s">
        <v>3894</v>
      </c>
      <c r="H2144" s="26">
        <v>-0.81260201160000001</v>
      </c>
      <c r="I2144" s="26"/>
      <c r="J2144" s="26" t="s">
        <v>512</v>
      </c>
      <c r="K2144" s="25" t="s">
        <v>513</v>
      </c>
    </row>
    <row r="2145" spans="1:11" ht="25.5" x14ac:dyDescent="0.25">
      <c r="A2145" s="22">
        <v>2026</v>
      </c>
      <c r="B2145" s="28" t="s">
        <v>192</v>
      </c>
      <c r="C2145" s="28" t="s">
        <v>97</v>
      </c>
      <c r="D2145" s="28" t="s">
        <v>1699</v>
      </c>
      <c r="E2145" s="29" t="s">
        <v>331</v>
      </c>
      <c r="F2145" s="29" t="s">
        <v>1762</v>
      </c>
      <c r="G2145" s="25" t="s">
        <v>3895</v>
      </c>
      <c r="H2145" s="26">
        <v>-0.24429672959999998</v>
      </c>
      <c r="I2145" s="26"/>
      <c r="J2145" s="26" t="s">
        <v>512</v>
      </c>
      <c r="K2145" s="25" t="s">
        <v>513</v>
      </c>
    </row>
    <row r="2146" spans="1:11" ht="25.5" x14ac:dyDescent="0.25">
      <c r="A2146" s="22">
        <v>2026</v>
      </c>
      <c r="B2146" s="28" t="s">
        <v>192</v>
      </c>
      <c r="C2146" s="28" t="s">
        <v>97</v>
      </c>
      <c r="D2146" s="28" t="s">
        <v>1699</v>
      </c>
      <c r="E2146" s="29" t="s">
        <v>331</v>
      </c>
      <c r="F2146" s="29" t="s">
        <v>1762</v>
      </c>
      <c r="G2146" s="25" t="s">
        <v>3896</v>
      </c>
      <c r="H2146" s="26">
        <v>-5.6366009999999998E-3</v>
      </c>
      <c r="I2146" s="26"/>
      <c r="J2146" s="26" t="s">
        <v>512</v>
      </c>
      <c r="K2146" s="25" t="s">
        <v>513</v>
      </c>
    </row>
    <row r="2147" spans="1:11" ht="25.5" x14ac:dyDescent="0.25">
      <c r="A2147" s="22">
        <v>2026</v>
      </c>
      <c r="B2147" s="28" t="s">
        <v>192</v>
      </c>
      <c r="C2147" s="28" t="s">
        <v>97</v>
      </c>
      <c r="D2147" s="28" t="s">
        <v>1699</v>
      </c>
      <c r="E2147" s="29" t="s">
        <v>331</v>
      </c>
      <c r="F2147" s="29" t="s">
        <v>1762</v>
      </c>
      <c r="G2147" s="25" t="s">
        <v>3897</v>
      </c>
      <c r="H2147" s="26">
        <v>-6.8965388799999999E-2</v>
      </c>
      <c r="I2147" s="26"/>
      <c r="J2147" s="26" t="s">
        <v>512</v>
      </c>
      <c r="K2147" s="25" t="s">
        <v>513</v>
      </c>
    </row>
    <row r="2148" spans="1:11" ht="25.5" x14ac:dyDescent="0.25">
      <c r="A2148" s="22">
        <v>2026</v>
      </c>
      <c r="B2148" s="28" t="s">
        <v>192</v>
      </c>
      <c r="C2148" s="28" t="s">
        <v>97</v>
      </c>
      <c r="D2148" s="28" t="s">
        <v>1699</v>
      </c>
      <c r="E2148" s="29" t="s">
        <v>331</v>
      </c>
      <c r="F2148" s="29" t="s">
        <v>1762</v>
      </c>
      <c r="G2148" s="25" t="s">
        <v>3898</v>
      </c>
      <c r="H2148" s="26">
        <v>-0.29354999999999998</v>
      </c>
      <c r="I2148" s="26"/>
      <c r="J2148" s="26" t="s">
        <v>512</v>
      </c>
      <c r="K2148" s="25" t="s">
        <v>513</v>
      </c>
    </row>
    <row r="2149" spans="1:11" ht="25.5" x14ac:dyDescent="0.25">
      <c r="A2149" s="22">
        <v>2026</v>
      </c>
      <c r="B2149" s="28" t="s">
        <v>192</v>
      </c>
      <c r="C2149" s="28" t="s">
        <v>97</v>
      </c>
      <c r="D2149" s="28" t="s">
        <v>1699</v>
      </c>
      <c r="E2149" s="29" t="s">
        <v>331</v>
      </c>
      <c r="F2149" s="29" t="s">
        <v>1762</v>
      </c>
      <c r="G2149" s="25" t="s">
        <v>3899</v>
      </c>
      <c r="H2149" s="26">
        <v>-0.23778485999999999</v>
      </c>
      <c r="I2149" s="26"/>
      <c r="J2149" s="26" t="s">
        <v>512</v>
      </c>
      <c r="K2149" s="25" t="s">
        <v>513</v>
      </c>
    </row>
    <row r="2150" spans="1:11" ht="25.5" x14ac:dyDescent="0.25">
      <c r="A2150" s="22">
        <v>2026</v>
      </c>
      <c r="B2150" s="28" t="s">
        <v>192</v>
      </c>
      <c r="C2150" s="28" t="s">
        <v>97</v>
      </c>
      <c r="D2150" s="28" t="s">
        <v>1699</v>
      </c>
      <c r="E2150" s="29" t="s">
        <v>331</v>
      </c>
      <c r="F2150" s="29" t="s">
        <v>1762</v>
      </c>
      <c r="G2150" s="25" t="s">
        <v>3900</v>
      </c>
      <c r="H2150" s="26">
        <v>-0.14869413680000002</v>
      </c>
      <c r="I2150" s="26"/>
      <c r="J2150" s="26" t="s">
        <v>512</v>
      </c>
      <c r="K2150" s="25" t="s">
        <v>513</v>
      </c>
    </row>
    <row r="2151" spans="1:11" ht="25.5" x14ac:dyDescent="0.25">
      <c r="A2151" s="22">
        <v>2026</v>
      </c>
      <c r="B2151" s="28" t="s">
        <v>192</v>
      </c>
      <c r="C2151" s="28" t="s">
        <v>97</v>
      </c>
      <c r="D2151" s="28" t="s">
        <v>1699</v>
      </c>
      <c r="E2151" s="29" t="s">
        <v>331</v>
      </c>
      <c r="F2151" s="29" t="s">
        <v>1762</v>
      </c>
      <c r="G2151" s="25" t="s">
        <v>3901</v>
      </c>
      <c r="H2151" s="26">
        <v>-7.4106679999999994E-2</v>
      </c>
      <c r="I2151" s="26"/>
      <c r="J2151" s="26" t="s">
        <v>512</v>
      </c>
      <c r="K2151" s="25" t="s">
        <v>513</v>
      </c>
    </row>
    <row r="2152" spans="1:11" ht="25.5" x14ac:dyDescent="0.25">
      <c r="A2152" s="22">
        <v>2026</v>
      </c>
      <c r="B2152" s="28" t="s">
        <v>192</v>
      </c>
      <c r="C2152" s="28" t="s">
        <v>97</v>
      </c>
      <c r="D2152" s="28" t="s">
        <v>1699</v>
      </c>
      <c r="E2152" s="29" t="s">
        <v>331</v>
      </c>
      <c r="F2152" s="29" t="s">
        <v>1762</v>
      </c>
      <c r="G2152" s="25" t="s">
        <v>3902</v>
      </c>
      <c r="H2152" s="26">
        <v>-0.176598</v>
      </c>
      <c r="I2152" s="26"/>
      <c r="J2152" s="26" t="s">
        <v>512</v>
      </c>
      <c r="K2152" s="25" t="s">
        <v>513</v>
      </c>
    </row>
    <row r="2153" spans="1:11" ht="25.5" x14ac:dyDescent="0.25">
      <c r="A2153" s="22">
        <v>2026</v>
      </c>
      <c r="B2153" s="28" t="s">
        <v>192</v>
      </c>
      <c r="C2153" s="28" t="s">
        <v>97</v>
      </c>
      <c r="D2153" s="28" t="s">
        <v>1699</v>
      </c>
      <c r="E2153" s="29" t="s">
        <v>331</v>
      </c>
      <c r="F2153" s="29" t="s">
        <v>1762</v>
      </c>
      <c r="G2153" s="25" t="s">
        <v>3903</v>
      </c>
      <c r="H2153" s="26">
        <v>-0.14749999999999999</v>
      </c>
      <c r="I2153" s="26"/>
      <c r="J2153" s="26" t="s">
        <v>512</v>
      </c>
      <c r="K2153" s="25" t="s">
        <v>513</v>
      </c>
    </row>
    <row r="2154" spans="1:11" ht="25.5" x14ac:dyDescent="0.25">
      <c r="A2154" s="22">
        <v>2026</v>
      </c>
      <c r="B2154" s="28" t="s">
        <v>192</v>
      </c>
      <c r="C2154" s="28" t="s">
        <v>97</v>
      </c>
      <c r="D2154" s="28" t="s">
        <v>1700</v>
      </c>
      <c r="E2154" s="29" t="s">
        <v>331</v>
      </c>
      <c r="F2154" s="29" t="s">
        <v>483</v>
      </c>
      <c r="G2154" s="25" t="s">
        <v>3904</v>
      </c>
      <c r="H2154" s="26">
        <v>-0.144704</v>
      </c>
      <c r="I2154" s="26"/>
      <c r="J2154" s="26" t="s">
        <v>512</v>
      </c>
      <c r="K2154" s="25" t="s">
        <v>513</v>
      </c>
    </row>
    <row r="2155" spans="1:11" ht="25.5" x14ac:dyDescent="0.25">
      <c r="A2155" s="22">
        <v>2026</v>
      </c>
      <c r="B2155" s="28" t="s">
        <v>192</v>
      </c>
      <c r="C2155" s="28" t="s">
        <v>97</v>
      </c>
      <c r="D2155" s="28" t="s">
        <v>1700</v>
      </c>
      <c r="E2155" s="29" t="s">
        <v>331</v>
      </c>
      <c r="F2155" s="29" t="s">
        <v>483</v>
      </c>
      <c r="G2155" s="25" t="s">
        <v>3905</v>
      </c>
      <c r="H2155" s="26">
        <v>-0.14069999999999996</v>
      </c>
      <c r="I2155" s="26"/>
      <c r="J2155" s="26" t="s">
        <v>512</v>
      </c>
      <c r="K2155" s="25" t="s">
        <v>513</v>
      </c>
    </row>
    <row r="2156" spans="1:11" ht="25.5" x14ac:dyDescent="0.25">
      <c r="A2156" s="22">
        <v>2026</v>
      </c>
      <c r="B2156" s="28" t="s">
        <v>192</v>
      </c>
      <c r="C2156" s="28" t="s">
        <v>97</v>
      </c>
      <c r="D2156" s="28" t="s">
        <v>1700</v>
      </c>
      <c r="E2156" s="29" t="s">
        <v>331</v>
      </c>
      <c r="F2156" s="29" t="s">
        <v>483</v>
      </c>
      <c r="G2156" s="25" t="s">
        <v>3906</v>
      </c>
      <c r="H2156" s="26">
        <v>-0.143402</v>
      </c>
      <c r="I2156" s="26"/>
      <c r="J2156" s="26" t="s">
        <v>512</v>
      </c>
      <c r="K2156" s="25" t="s">
        <v>513</v>
      </c>
    </row>
    <row r="2157" spans="1:11" ht="25.5" x14ac:dyDescent="0.25">
      <c r="A2157" s="22">
        <v>2026</v>
      </c>
      <c r="B2157" s="28" t="s">
        <v>192</v>
      </c>
      <c r="C2157" s="28" t="s">
        <v>97</v>
      </c>
      <c r="D2157" s="28" t="s">
        <v>1700</v>
      </c>
      <c r="E2157" s="29" t="s">
        <v>331</v>
      </c>
      <c r="F2157" s="29" t="s">
        <v>483</v>
      </c>
      <c r="G2157" s="25" t="s">
        <v>3907</v>
      </c>
      <c r="H2157" s="26">
        <v>-0.1421</v>
      </c>
      <c r="I2157" s="26"/>
      <c r="J2157" s="26" t="s">
        <v>512</v>
      </c>
      <c r="K2157" s="25" t="s">
        <v>513</v>
      </c>
    </row>
    <row r="2158" spans="1:11" ht="25.5" x14ac:dyDescent="0.25">
      <c r="A2158" s="22">
        <v>2026</v>
      </c>
      <c r="B2158" s="28" t="s">
        <v>192</v>
      </c>
      <c r="C2158" s="28" t="s">
        <v>97</v>
      </c>
      <c r="D2158" s="28" t="s">
        <v>1700</v>
      </c>
      <c r="E2158" s="29" t="s">
        <v>331</v>
      </c>
      <c r="F2158" s="29" t="s">
        <v>483</v>
      </c>
      <c r="G2158" s="25" t="s">
        <v>3908</v>
      </c>
      <c r="H2158" s="26">
        <v>-0.13944000000000001</v>
      </c>
      <c r="I2158" s="26"/>
      <c r="J2158" s="26" t="s">
        <v>512</v>
      </c>
      <c r="K2158" s="25" t="s">
        <v>513</v>
      </c>
    </row>
    <row r="2159" spans="1:11" ht="25.5" x14ac:dyDescent="0.25">
      <c r="A2159" s="22">
        <v>2026</v>
      </c>
      <c r="B2159" s="28" t="s">
        <v>192</v>
      </c>
      <c r="C2159" s="28" t="s">
        <v>97</v>
      </c>
      <c r="D2159" s="28" t="s">
        <v>1700</v>
      </c>
      <c r="E2159" s="29" t="s">
        <v>331</v>
      </c>
      <c r="F2159" s="29" t="s">
        <v>483</v>
      </c>
      <c r="G2159" s="25" t="s">
        <v>3909</v>
      </c>
      <c r="H2159" s="26">
        <v>-0.13832</v>
      </c>
      <c r="I2159" s="26"/>
      <c r="J2159" s="26" t="s">
        <v>512</v>
      </c>
      <c r="K2159" s="25" t="s">
        <v>513</v>
      </c>
    </row>
    <row r="2160" spans="1:11" ht="25.5" x14ac:dyDescent="0.25">
      <c r="A2160" s="22">
        <v>2026</v>
      </c>
      <c r="B2160" s="28" t="s">
        <v>192</v>
      </c>
      <c r="C2160" s="28" t="s">
        <v>97</v>
      </c>
      <c r="D2160" s="28" t="s">
        <v>1700</v>
      </c>
      <c r="E2160" s="29" t="s">
        <v>331</v>
      </c>
      <c r="F2160" s="29" t="s">
        <v>483</v>
      </c>
      <c r="G2160" s="25" t="s">
        <v>3910</v>
      </c>
      <c r="H2160" s="26">
        <v>-0.14239399999999997</v>
      </c>
      <c r="I2160" s="26"/>
      <c r="J2160" s="26" t="s">
        <v>512</v>
      </c>
      <c r="K2160" s="25" t="s">
        <v>513</v>
      </c>
    </row>
    <row r="2161" spans="1:11" ht="25.5" x14ac:dyDescent="0.25">
      <c r="A2161" s="22">
        <v>2026</v>
      </c>
      <c r="B2161" s="28" t="s">
        <v>192</v>
      </c>
      <c r="C2161" s="28" t="s">
        <v>97</v>
      </c>
      <c r="D2161" s="28" t="s">
        <v>1700</v>
      </c>
      <c r="E2161" s="29" t="s">
        <v>331</v>
      </c>
      <c r="F2161" s="29" t="s">
        <v>483</v>
      </c>
      <c r="G2161" s="25" t="s">
        <v>3905</v>
      </c>
      <c r="H2161" s="26">
        <v>-0.14069999999999996</v>
      </c>
      <c r="I2161" s="26"/>
      <c r="J2161" s="26" t="s">
        <v>512</v>
      </c>
      <c r="K2161" s="25" t="s">
        <v>513</v>
      </c>
    </row>
    <row r="2162" spans="1:11" ht="25.5" x14ac:dyDescent="0.25">
      <c r="A2162" s="22">
        <v>2026</v>
      </c>
      <c r="B2162" s="28" t="s">
        <v>192</v>
      </c>
      <c r="C2162" s="28" t="s">
        <v>97</v>
      </c>
      <c r="D2162" s="28" t="s">
        <v>1700</v>
      </c>
      <c r="E2162" s="29" t="s">
        <v>331</v>
      </c>
      <c r="F2162" s="29" t="s">
        <v>483</v>
      </c>
      <c r="G2162" s="25" t="s">
        <v>3909</v>
      </c>
      <c r="H2162" s="26">
        <v>-0.13832</v>
      </c>
      <c r="I2162" s="26"/>
      <c r="J2162" s="26" t="s">
        <v>512</v>
      </c>
      <c r="K2162" s="25" t="s">
        <v>513</v>
      </c>
    </row>
    <row r="2163" spans="1:11" ht="25.5" x14ac:dyDescent="0.25">
      <c r="A2163" s="22">
        <v>2026</v>
      </c>
      <c r="B2163" s="28" t="s">
        <v>192</v>
      </c>
      <c r="C2163" s="28" t="s">
        <v>97</v>
      </c>
      <c r="D2163" s="28" t="s">
        <v>1700</v>
      </c>
      <c r="E2163" s="29" t="s">
        <v>331</v>
      </c>
      <c r="F2163" s="29" t="s">
        <v>483</v>
      </c>
      <c r="G2163" s="25" t="s">
        <v>3911</v>
      </c>
      <c r="H2163" s="26">
        <v>-0.13883799999999999</v>
      </c>
      <c r="I2163" s="26"/>
      <c r="J2163" s="26" t="s">
        <v>512</v>
      </c>
      <c r="K2163" s="25" t="s">
        <v>513</v>
      </c>
    </row>
    <row r="2164" spans="1:11" ht="25.5" x14ac:dyDescent="0.25">
      <c r="A2164" s="22">
        <v>2026</v>
      </c>
      <c r="B2164" s="28" t="s">
        <v>192</v>
      </c>
      <c r="C2164" s="28" t="s">
        <v>97</v>
      </c>
      <c r="D2164" s="28" t="s">
        <v>1700</v>
      </c>
      <c r="E2164" s="29" t="s">
        <v>331</v>
      </c>
      <c r="F2164" s="29" t="s">
        <v>483</v>
      </c>
      <c r="G2164" s="25" t="s">
        <v>3912</v>
      </c>
      <c r="H2164" s="26">
        <v>-0.1386</v>
      </c>
      <c r="I2164" s="26"/>
      <c r="J2164" s="26" t="s">
        <v>512</v>
      </c>
      <c r="K2164" s="25" t="s">
        <v>513</v>
      </c>
    </row>
    <row r="2165" spans="1:11" ht="25.5" x14ac:dyDescent="0.25">
      <c r="A2165" s="22">
        <v>2026</v>
      </c>
      <c r="B2165" s="28" t="s">
        <v>192</v>
      </c>
      <c r="C2165" s="28" t="s">
        <v>97</v>
      </c>
      <c r="D2165" s="28" t="s">
        <v>1700</v>
      </c>
      <c r="E2165" s="29" t="s">
        <v>331</v>
      </c>
      <c r="F2165" s="29" t="s">
        <v>483</v>
      </c>
      <c r="G2165" s="25" t="s">
        <v>3913</v>
      </c>
      <c r="H2165" s="26">
        <v>-0.138544</v>
      </c>
      <c r="I2165" s="26"/>
      <c r="J2165" s="26" t="s">
        <v>512</v>
      </c>
      <c r="K2165" s="25" t="s">
        <v>513</v>
      </c>
    </row>
    <row r="2166" spans="1:11" ht="25.5" x14ac:dyDescent="0.25">
      <c r="A2166" s="22">
        <v>2026</v>
      </c>
      <c r="B2166" s="28" t="s">
        <v>192</v>
      </c>
      <c r="C2166" s="28" t="s">
        <v>97</v>
      </c>
      <c r="D2166" s="28" t="s">
        <v>1700</v>
      </c>
      <c r="E2166" s="29" t="s">
        <v>331</v>
      </c>
      <c r="F2166" s="29" t="s">
        <v>483</v>
      </c>
      <c r="G2166" s="25" t="s">
        <v>3914</v>
      </c>
      <c r="H2166" s="26">
        <v>-0.13804</v>
      </c>
      <c r="I2166" s="26"/>
      <c r="J2166" s="26" t="s">
        <v>512</v>
      </c>
      <c r="K2166" s="25" t="s">
        <v>513</v>
      </c>
    </row>
    <row r="2167" spans="1:11" ht="25.5" x14ac:dyDescent="0.25">
      <c r="A2167" s="22">
        <v>2026</v>
      </c>
      <c r="B2167" s="28" t="s">
        <v>192</v>
      </c>
      <c r="C2167" s="28" t="s">
        <v>97</v>
      </c>
      <c r="D2167" s="28" t="s">
        <v>1700</v>
      </c>
      <c r="E2167" s="29" t="s">
        <v>331</v>
      </c>
      <c r="F2167" s="29" t="s">
        <v>483</v>
      </c>
      <c r="G2167" s="25" t="s">
        <v>3915</v>
      </c>
      <c r="H2167" s="26">
        <v>-0.13383999999999999</v>
      </c>
      <c r="I2167" s="26"/>
      <c r="J2167" s="26" t="s">
        <v>512</v>
      </c>
      <c r="K2167" s="25" t="s">
        <v>513</v>
      </c>
    </row>
    <row r="2168" spans="1:11" ht="25.5" x14ac:dyDescent="0.25">
      <c r="A2168" s="22">
        <v>2026</v>
      </c>
      <c r="B2168" s="28" t="s">
        <v>192</v>
      </c>
      <c r="C2168" s="28" t="s">
        <v>97</v>
      </c>
      <c r="D2168" s="28" t="s">
        <v>1700</v>
      </c>
      <c r="E2168" s="29" t="s">
        <v>331</v>
      </c>
      <c r="F2168" s="29" t="s">
        <v>483</v>
      </c>
      <c r="G2168" s="25" t="s">
        <v>3916</v>
      </c>
      <c r="H2168" s="26">
        <v>-0.13244</v>
      </c>
      <c r="I2168" s="26"/>
      <c r="J2168" s="26" t="s">
        <v>512</v>
      </c>
      <c r="K2168" s="25" t="s">
        <v>513</v>
      </c>
    </row>
    <row r="2169" spans="1:11" ht="25.5" x14ac:dyDescent="0.25">
      <c r="A2169" s="22">
        <v>2026</v>
      </c>
      <c r="B2169" s="28" t="s">
        <v>192</v>
      </c>
      <c r="C2169" s="28" t="s">
        <v>97</v>
      </c>
      <c r="D2169" s="28" t="s">
        <v>1700</v>
      </c>
      <c r="E2169" s="29" t="s">
        <v>331</v>
      </c>
      <c r="F2169" s="29" t="s">
        <v>483</v>
      </c>
      <c r="G2169" s="25" t="s">
        <v>3917</v>
      </c>
      <c r="H2169" s="26">
        <v>-0.13347600000000001</v>
      </c>
      <c r="I2169" s="26"/>
      <c r="J2169" s="26" t="s">
        <v>512</v>
      </c>
      <c r="K2169" s="25" t="s">
        <v>513</v>
      </c>
    </row>
    <row r="2170" spans="1:11" ht="25.5" x14ac:dyDescent="0.25">
      <c r="A2170" s="22">
        <v>2026</v>
      </c>
      <c r="B2170" s="28" t="s">
        <v>192</v>
      </c>
      <c r="C2170" s="28" t="s">
        <v>97</v>
      </c>
      <c r="D2170" s="28" t="s">
        <v>1700</v>
      </c>
      <c r="E2170" s="29" t="s">
        <v>331</v>
      </c>
      <c r="F2170" s="29" t="s">
        <v>483</v>
      </c>
      <c r="G2170" s="25" t="s">
        <v>3916</v>
      </c>
      <c r="H2170" s="26">
        <v>-0.13244</v>
      </c>
      <c r="I2170" s="26"/>
      <c r="J2170" s="26" t="s">
        <v>512</v>
      </c>
      <c r="K2170" s="25" t="s">
        <v>513</v>
      </c>
    </row>
    <row r="2171" spans="1:11" ht="25.5" x14ac:dyDescent="0.25">
      <c r="A2171" s="22">
        <v>2026</v>
      </c>
      <c r="B2171" s="28" t="s">
        <v>192</v>
      </c>
      <c r="C2171" s="28" t="s">
        <v>97</v>
      </c>
      <c r="D2171" s="28" t="s">
        <v>1700</v>
      </c>
      <c r="E2171" s="29" t="s">
        <v>331</v>
      </c>
      <c r="F2171" s="29" t="s">
        <v>483</v>
      </c>
      <c r="G2171" s="25" t="s">
        <v>3918</v>
      </c>
      <c r="H2171" s="26">
        <v>-0.133798</v>
      </c>
      <c r="I2171" s="26"/>
      <c r="J2171" s="26" t="s">
        <v>512</v>
      </c>
      <c r="K2171" s="25" t="s">
        <v>513</v>
      </c>
    </row>
    <row r="2172" spans="1:11" ht="25.5" x14ac:dyDescent="0.25">
      <c r="A2172" s="22">
        <v>2026</v>
      </c>
      <c r="B2172" s="28" t="s">
        <v>192</v>
      </c>
      <c r="C2172" s="28" t="s">
        <v>97</v>
      </c>
      <c r="D2172" s="28" t="s">
        <v>1700</v>
      </c>
      <c r="E2172" s="29" t="s">
        <v>331</v>
      </c>
      <c r="F2172" s="29" t="s">
        <v>483</v>
      </c>
      <c r="G2172" s="25" t="s">
        <v>3919</v>
      </c>
      <c r="H2172" s="26">
        <v>-0.13300000000000001</v>
      </c>
      <c r="I2172" s="26"/>
      <c r="J2172" s="26" t="s">
        <v>512</v>
      </c>
      <c r="K2172" s="25" t="s">
        <v>513</v>
      </c>
    </row>
    <row r="2173" spans="1:11" ht="25.5" x14ac:dyDescent="0.25">
      <c r="A2173" s="22">
        <v>2026</v>
      </c>
      <c r="B2173" s="28" t="s">
        <v>192</v>
      </c>
      <c r="C2173" s="28" t="s">
        <v>97</v>
      </c>
      <c r="D2173" s="28" t="s">
        <v>1700</v>
      </c>
      <c r="E2173" s="29" t="s">
        <v>331</v>
      </c>
      <c r="F2173" s="29" t="s">
        <v>483</v>
      </c>
      <c r="G2173" s="25" t="s">
        <v>3920</v>
      </c>
      <c r="H2173" s="26">
        <v>-0.13131999999999999</v>
      </c>
      <c r="I2173" s="26"/>
      <c r="J2173" s="26" t="s">
        <v>512</v>
      </c>
      <c r="K2173" s="25" t="s">
        <v>513</v>
      </c>
    </row>
    <row r="2174" spans="1:11" ht="25.5" x14ac:dyDescent="0.25">
      <c r="A2174" s="22">
        <v>2026</v>
      </c>
      <c r="B2174" s="28" t="s">
        <v>192</v>
      </c>
      <c r="C2174" s="28" t="s">
        <v>97</v>
      </c>
      <c r="D2174" s="28" t="s">
        <v>1700</v>
      </c>
      <c r="E2174" s="29" t="s">
        <v>331</v>
      </c>
      <c r="F2174" s="29" t="s">
        <v>483</v>
      </c>
      <c r="G2174" s="25" t="s">
        <v>3921</v>
      </c>
      <c r="H2174" s="26">
        <v>-0.12992000000000001</v>
      </c>
      <c r="I2174" s="26"/>
      <c r="J2174" s="26" t="s">
        <v>512</v>
      </c>
      <c r="K2174" s="25" t="s">
        <v>513</v>
      </c>
    </row>
    <row r="2175" spans="1:11" ht="25.5" x14ac:dyDescent="0.25">
      <c r="A2175" s="22">
        <v>2026</v>
      </c>
      <c r="B2175" s="28" t="s">
        <v>192</v>
      </c>
      <c r="C2175" s="28" t="s">
        <v>97</v>
      </c>
      <c r="D2175" s="28" t="s">
        <v>1700</v>
      </c>
      <c r="E2175" s="29" t="s">
        <v>331</v>
      </c>
      <c r="F2175" s="29" t="s">
        <v>483</v>
      </c>
      <c r="G2175" s="25" t="s">
        <v>3920</v>
      </c>
      <c r="H2175" s="26">
        <v>-0.13131999999999999</v>
      </c>
      <c r="I2175" s="26"/>
      <c r="J2175" s="26" t="s">
        <v>512</v>
      </c>
      <c r="K2175" s="25" t="s">
        <v>513</v>
      </c>
    </row>
    <row r="2176" spans="1:11" ht="25.5" x14ac:dyDescent="0.25">
      <c r="A2176" s="22">
        <v>2026</v>
      </c>
      <c r="B2176" s="28" t="s">
        <v>192</v>
      </c>
      <c r="C2176" s="28" t="s">
        <v>97</v>
      </c>
      <c r="D2176" s="28" t="s">
        <v>1701</v>
      </c>
      <c r="E2176" s="29" t="s">
        <v>331</v>
      </c>
      <c r="F2176" s="29" t="s">
        <v>566</v>
      </c>
      <c r="G2176" s="25" t="s">
        <v>3922</v>
      </c>
      <c r="H2176" s="26">
        <v>-0.45850000000000002</v>
      </c>
      <c r="I2176" s="26"/>
      <c r="J2176" s="26" t="s">
        <v>512</v>
      </c>
      <c r="K2176" s="25" t="s">
        <v>513</v>
      </c>
    </row>
    <row r="2177" spans="1:11" ht="25.5" x14ac:dyDescent="0.25">
      <c r="A2177" s="22">
        <v>2026</v>
      </c>
      <c r="B2177" s="28" t="s">
        <v>192</v>
      </c>
      <c r="C2177" s="28" t="s">
        <v>97</v>
      </c>
      <c r="D2177" s="28" t="s">
        <v>1701</v>
      </c>
      <c r="E2177" s="29" t="s">
        <v>331</v>
      </c>
      <c r="F2177" s="29" t="s">
        <v>566</v>
      </c>
      <c r="G2177" s="25" t="s">
        <v>3923</v>
      </c>
      <c r="H2177" s="26">
        <v>-0.874</v>
      </c>
      <c r="I2177" s="26"/>
      <c r="J2177" s="26" t="s">
        <v>512</v>
      </c>
      <c r="K2177" s="25" t="s">
        <v>513</v>
      </c>
    </row>
    <row r="2178" spans="1:11" ht="25.5" x14ac:dyDescent="0.25">
      <c r="A2178" s="22">
        <v>2026</v>
      </c>
      <c r="B2178" s="28" t="s">
        <v>192</v>
      </c>
      <c r="C2178" s="28" t="s">
        <v>97</v>
      </c>
      <c r="D2178" s="28" t="s">
        <v>1701</v>
      </c>
      <c r="E2178" s="29" t="s">
        <v>331</v>
      </c>
      <c r="F2178" s="29" t="s">
        <v>566</v>
      </c>
      <c r="G2178" s="25" t="s">
        <v>3924</v>
      </c>
      <c r="H2178" s="26">
        <v>-0.86</v>
      </c>
      <c r="I2178" s="26"/>
      <c r="J2178" s="26" t="s">
        <v>512</v>
      </c>
      <c r="K2178" s="25" t="s">
        <v>513</v>
      </c>
    </row>
    <row r="2179" spans="1:11" ht="25.5" x14ac:dyDescent="0.25">
      <c r="A2179" s="22">
        <v>2026</v>
      </c>
      <c r="B2179" s="28" t="s">
        <v>192</v>
      </c>
      <c r="C2179" s="28" t="s">
        <v>97</v>
      </c>
      <c r="D2179" s="28" t="s">
        <v>1701</v>
      </c>
      <c r="E2179" s="29" t="s">
        <v>331</v>
      </c>
      <c r="F2179" s="29" t="s">
        <v>566</v>
      </c>
      <c r="G2179" s="25" t="s">
        <v>3925</v>
      </c>
      <c r="H2179" s="26">
        <v>-1.7189800000000002</v>
      </c>
      <c r="I2179" s="26"/>
      <c r="J2179" s="26" t="s">
        <v>512</v>
      </c>
      <c r="K2179" s="25" t="s">
        <v>513</v>
      </c>
    </row>
    <row r="2180" spans="1:11" ht="25.5" x14ac:dyDescent="0.25">
      <c r="A2180" s="22">
        <v>2026</v>
      </c>
      <c r="B2180" s="28" t="s">
        <v>192</v>
      </c>
      <c r="C2180" s="28" t="s">
        <v>97</v>
      </c>
      <c r="D2180" s="28" t="s">
        <v>1701</v>
      </c>
      <c r="E2180" s="29" t="s">
        <v>331</v>
      </c>
      <c r="F2180" s="29" t="s">
        <v>566</v>
      </c>
      <c r="G2180" s="25" t="s">
        <v>3926</v>
      </c>
      <c r="H2180" s="26">
        <v>-1.0765</v>
      </c>
      <c r="I2180" s="26"/>
      <c r="J2180" s="26" t="s">
        <v>512</v>
      </c>
      <c r="K2180" s="25" t="s">
        <v>513</v>
      </c>
    </row>
    <row r="2181" spans="1:11" ht="25.5" x14ac:dyDescent="0.25">
      <c r="A2181" s="22">
        <v>2026</v>
      </c>
      <c r="B2181" s="28" t="s">
        <v>192</v>
      </c>
      <c r="C2181" s="28" t="s">
        <v>97</v>
      </c>
      <c r="D2181" s="28" t="s">
        <v>1701</v>
      </c>
      <c r="E2181" s="29" t="s">
        <v>331</v>
      </c>
      <c r="F2181" s="29" t="s">
        <v>566</v>
      </c>
      <c r="G2181" s="25" t="s">
        <v>3927</v>
      </c>
      <c r="H2181" s="26">
        <v>-0.44000000000000006</v>
      </c>
      <c r="I2181" s="26"/>
      <c r="J2181" s="26" t="s">
        <v>512</v>
      </c>
      <c r="K2181" s="25" t="s">
        <v>513</v>
      </c>
    </row>
    <row r="2182" spans="1:11" ht="25.5" x14ac:dyDescent="0.25">
      <c r="A2182" s="22">
        <v>2026</v>
      </c>
      <c r="B2182" s="28" t="s">
        <v>192</v>
      </c>
      <c r="C2182" s="28" t="s">
        <v>97</v>
      </c>
      <c r="D2182" s="28" t="s">
        <v>1701</v>
      </c>
      <c r="E2182" s="29" t="s">
        <v>331</v>
      </c>
      <c r="F2182" s="29" t="s">
        <v>566</v>
      </c>
      <c r="G2182" s="25" t="s">
        <v>3928</v>
      </c>
      <c r="H2182" s="26">
        <v>-1.7368600000000001</v>
      </c>
      <c r="I2182" s="26"/>
      <c r="J2182" s="26" t="s">
        <v>512</v>
      </c>
      <c r="K2182" s="25" t="s">
        <v>513</v>
      </c>
    </row>
    <row r="2183" spans="1:11" ht="25.5" x14ac:dyDescent="0.25">
      <c r="A2183" s="22">
        <v>2026</v>
      </c>
      <c r="B2183" s="28" t="s">
        <v>192</v>
      </c>
      <c r="C2183" s="28" t="s">
        <v>97</v>
      </c>
      <c r="D2183" s="28" t="s">
        <v>1701</v>
      </c>
      <c r="E2183" s="29" t="s">
        <v>331</v>
      </c>
      <c r="F2183" s="29" t="s">
        <v>566</v>
      </c>
      <c r="G2183" s="25" t="s">
        <v>3929</v>
      </c>
      <c r="H2183" s="26">
        <v>-1.7254400000000001</v>
      </c>
      <c r="I2183" s="26"/>
      <c r="J2183" s="26" t="s">
        <v>512</v>
      </c>
      <c r="K2183" s="25" t="s">
        <v>513</v>
      </c>
    </row>
    <row r="2184" spans="1:11" ht="25.5" x14ac:dyDescent="0.25">
      <c r="A2184" s="22">
        <v>2026</v>
      </c>
      <c r="B2184" s="28" t="s">
        <v>192</v>
      </c>
      <c r="C2184" s="28" t="s">
        <v>97</v>
      </c>
      <c r="D2184" s="28" t="s">
        <v>1701</v>
      </c>
      <c r="E2184" s="29" t="s">
        <v>331</v>
      </c>
      <c r="F2184" s="29" t="s">
        <v>566</v>
      </c>
      <c r="G2184" s="25" t="s">
        <v>3930</v>
      </c>
      <c r="H2184" s="26">
        <v>-0.65159999999999996</v>
      </c>
      <c r="I2184" s="26"/>
      <c r="J2184" s="26" t="s">
        <v>512</v>
      </c>
      <c r="K2184" s="25" t="s">
        <v>513</v>
      </c>
    </row>
    <row r="2185" spans="1:11" ht="25.5" x14ac:dyDescent="0.25">
      <c r="A2185" s="22">
        <v>2026</v>
      </c>
      <c r="B2185" s="28" t="s">
        <v>192</v>
      </c>
      <c r="C2185" s="28" t="s">
        <v>97</v>
      </c>
      <c r="D2185" s="28" t="s">
        <v>1701</v>
      </c>
      <c r="E2185" s="29" t="s">
        <v>331</v>
      </c>
      <c r="F2185" s="29" t="s">
        <v>566</v>
      </c>
      <c r="G2185" s="25" t="s">
        <v>3931</v>
      </c>
      <c r="H2185" s="26">
        <v>-0.86799999999999999</v>
      </c>
      <c r="I2185" s="26"/>
      <c r="J2185" s="26" t="s">
        <v>512</v>
      </c>
      <c r="K2185" s="25" t="s">
        <v>513</v>
      </c>
    </row>
    <row r="2186" spans="1:11" ht="25.5" x14ac:dyDescent="0.25">
      <c r="A2186" s="22">
        <v>2026</v>
      </c>
      <c r="B2186" s="28" t="s">
        <v>192</v>
      </c>
      <c r="C2186" s="28" t="s">
        <v>97</v>
      </c>
      <c r="D2186" s="28" t="s">
        <v>1701</v>
      </c>
      <c r="E2186" s="29" t="s">
        <v>331</v>
      </c>
      <c r="F2186" s="29" t="s">
        <v>566</v>
      </c>
      <c r="G2186" s="25" t="s">
        <v>3932</v>
      </c>
      <c r="H2186" s="26">
        <v>-0.69557599999999986</v>
      </c>
      <c r="I2186" s="26"/>
      <c r="J2186" s="26" t="s">
        <v>512</v>
      </c>
      <c r="K2186" s="25" t="s">
        <v>513</v>
      </c>
    </row>
    <row r="2187" spans="1:11" ht="25.5" x14ac:dyDescent="0.25">
      <c r="A2187" s="22">
        <v>2026</v>
      </c>
      <c r="B2187" s="28" t="s">
        <v>192</v>
      </c>
      <c r="C2187" s="28" t="s">
        <v>97</v>
      </c>
      <c r="D2187" s="28" t="s">
        <v>1701</v>
      </c>
      <c r="E2187" s="29" t="s">
        <v>331</v>
      </c>
      <c r="F2187" s="29" t="s">
        <v>566</v>
      </c>
      <c r="G2187" s="25" t="s">
        <v>3933</v>
      </c>
      <c r="H2187" s="26">
        <v>-1.7395399999999999</v>
      </c>
      <c r="I2187" s="26"/>
      <c r="J2187" s="26" t="s">
        <v>512</v>
      </c>
      <c r="K2187" s="25" t="s">
        <v>513</v>
      </c>
    </row>
    <row r="2188" spans="1:11" ht="25.5" x14ac:dyDescent="0.25">
      <c r="A2188" s="22">
        <v>2026</v>
      </c>
      <c r="B2188" s="28" t="s">
        <v>192</v>
      </c>
      <c r="C2188" s="28" t="s">
        <v>97</v>
      </c>
      <c r="D2188" s="28" t="s">
        <v>1701</v>
      </c>
      <c r="E2188" s="29" t="s">
        <v>331</v>
      </c>
      <c r="F2188" s="29" t="s">
        <v>566</v>
      </c>
      <c r="G2188" s="25" t="s">
        <v>3934</v>
      </c>
      <c r="H2188" s="26">
        <v>-0.84600000000000009</v>
      </c>
      <c r="I2188" s="26"/>
      <c r="J2188" s="26" t="s">
        <v>512</v>
      </c>
      <c r="K2188" s="25" t="s">
        <v>513</v>
      </c>
    </row>
    <row r="2189" spans="1:11" ht="25.5" x14ac:dyDescent="0.25">
      <c r="A2189" s="22">
        <v>2026</v>
      </c>
      <c r="B2189" s="28" t="s">
        <v>192</v>
      </c>
      <c r="C2189" s="28" t="s">
        <v>97</v>
      </c>
      <c r="D2189" s="28" t="s">
        <v>1701</v>
      </c>
      <c r="E2189" s="29" t="s">
        <v>331</v>
      </c>
      <c r="F2189" s="29" t="s">
        <v>566</v>
      </c>
      <c r="G2189" s="25" t="s">
        <v>3935</v>
      </c>
      <c r="H2189" s="26">
        <v>-0.83394999999999986</v>
      </c>
      <c r="I2189" s="26"/>
      <c r="J2189" s="26" t="s">
        <v>512</v>
      </c>
      <c r="K2189" s="25" t="s">
        <v>513</v>
      </c>
    </row>
    <row r="2190" spans="1:11" ht="25.5" x14ac:dyDescent="0.25">
      <c r="A2190" s="22">
        <v>2026</v>
      </c>
      <c r="B2190" s="28" t="s">
        <v>192</v>
      </c>
      <c r="C2190" s="28" t="s">
        <v>97</v>
      </c>
      <c r="D2190" s="28" t="s">
        <v>1701</v>
      </c>
      <c r="E2190" s="29" t="s">
        <v>331</v>
      </c>
      <c r="F2190" s="29" t="s">
        <v>566</v>
      </c>
      <c r="G2190" s="25" t="s">
        <v>3936</v>
      </c>
      <c r="H2190" s="26">
        <v>-0.83699999999999986</v>
      </c>
      <c r="I2190" s="26"/>
      <c r="J2190" s="26" t="s">
        <v>512</v>
      </c>
      <c r="K2190" s="25" t="s">
        <v>513</v>
      </c>
    </row>
    <row r="2191" spans="1:11" ht="25.5" x14ac:dyDescent="0.25">
      <c r="A2191" s="22">
        <v>2026</v>
      </c>
      <c r="B2191" s="28" t="s">
        <v>192</v>
      </c>
      <c r="C2191" s="28" t="s">
        <v>97</v>
      </c>
      <c r="D2191" s="28" t="s">
        <v>1701</v>
      </c>
      <c r="E2191" s="29" t="s">
        <v>331</v>
      </c>
      <c r="F2191" s="29" t="s">
        <v>566</v>
      </c>
      <c r="G2191" s="25" t="s">
        <v>3937</v>
      </c>
      <c r="H2191" s="26">
        <v>-1.7027999999999999</v>
      </c>
      <c r="I2191" s="26"/>
      <c r="J2191" s="26" t="s">
        <v>512</v>
      </c>
      <c r="K2191" s="25" t="s">
        <v>513</v>
      </c>
    </row>
    <row r="2192" spans="1:11" ht="25.5" x14ac:dyDescent="0.25">
      <c r="A2192" s="22">
        <v>2026</v>
      </c>
      <c r="B2192" s="28" t="s">
        <v>192</v>
      </c>
      <c r="C2192" s="28" t="s">
        <v>97</v>
      </c>
      <c r="D2192" s="28" t="s">
        <v>1701</v>
      </c>
      <c r="E2192" s="29" t="s">
        <v>331</v>
      </c>
      <c r="F2192" s="29" t="s">
        <v>566</v>
      </c>
      <c r="G2192" s="25" t="s">
        <v>3938</v>
      </c>
      <c r="H2192" s="26">
        <v>-1.6853400000000001</v>
      </c>
      <c r="I2192" s="26"/>
      <c r="J2192" s="26" t="s">
        <v>512</v>
      </c>
      <c r="K2192" s="25" t="s">
        <v>513</v>
      </c>
    </row>
    <row r="2193" spans="1:11" ht="25.5" x14ac:dyDescent="0.25">
      <c r="A2193" s="22">
        <v>2026</v>
      </c>
      <c r="B2193" s="28" t="s">
        <v>192</v>
      </c>
      <c r="C2193" s="28" t="s">
        <v>97</v>
      </c>
      <c r="D2193" s="28" t="s">
        <v>1701</v>
      </c>
      <c r="E2193" s="29" t="s">
        <v>331</v>
      </c>
      <c r="F2193" s="29" t="s">
        <v>566</v>
      </c>
      <c r="G2193" s="25" t="s">
        <v>3939</v>
      </c>
      <c r="H2193" s="26">
        <v>-1.6677999999999999</v>
      </c>
      <c r="I2193" s="26"/>
      <c r="J2193" s="26" t="s">
        <v>512</v>
      </c>
      <c r="K2193" s="25" t="s">
        <v>513</v>
      </c>
    </row>
    <row r="2194" spans="1:11" ht="25.5" x14ac:dyDescent="0.25">
      <c r="A2194" s="22">
        <v>2026</v>
      </c>
      <c r="B2194" s="28" t="s">
        <v>192</v>
      </c>
      <c r="C2194" s="28" t="s">
        <v>97</v>
      </c>
      <c r="D2194" s="28" t="s">
        <v>1701</v>
      </c>
      <c r="E2194" s="29" t="s">
        <v>331</v>
      </c>
      <c r="F2194" s="29" t="s">
        <v>566</v>
      </c>
      <c r="G2194" s="25" t="s">
        <v>3940</v>
      </c>
      <c r="H2194" s="26">
        <v>-1.6689599999999998</v>
      </c>
      <c r="I2194" s="26"/>
      <c r="J2194" s="26" t="s">
        <v>512</v>
      </c>
      <c r="K2194" s="25" t="s">
        <v>513</v>
      </c>
    </row>
    <row r="2195" spans="1:11" ht="25.5" x14ac:dyDescent="0.25">
      <c r="A2195" s="22">
        <v>2026</v>
      </c>
      <c r="B2195" s="28" t="s">
        <v>192</v>
      </c>
      <c r="C2195" s="28" t="s">
        <v>97</v>
      </c>
      <c r="D2195" s="28" t="s">
        <v>1701</v>
      </c>
      <c r="E2195" s="29" t="s">
        <v>331</v>
      </c>
      <c r="F2195" s="29" t="s">
        <v>566</v>
      </c>
      <c r="G2195" s="25" t="s">
        <v>3941</v>
      </c>
      <c r="H2195" s="26">
        <v>-1.6757599999999999</v>
      </c>
      <c r="I2195" s="26"/>
      <c r="J2195" s="26" t="s">
        <v>512</v>
      </c>
      <c r="K2195" s="25" t="s">
        <v>513</v>
      </c>
    </row>
    <row r="2196" spans="1:11" ht="25.5" x14ac:dyDescent="0.25">
      <c r="A2196" s="22">
        <v>2026</v>
      </c>
      <c r="B2196" s="28" t="s">
        <v>192</v>
      </c>
      <c r="C2196" s="28" t="s">
        <v>97</v>
      </c>
      <c r="D2196" s="28" t="s">
        <v>201</v>
      </c>
      <c r="E2196" s="29" t="s">
        <v>331</v>
      </c>
      <c r="F2196" s="29" t="s">
        <v>316</v>
      </c>
      <c r="G2196" s="25" t="s">
        <v>3942</v>
      </c>
      <c r="H2196" s="26">
        <v>-0.61824493080000009</v>
      </c>
      <c r="I2196" s="26"/>
      <c r="J2196" s="26" t="s">
        <v>512</v>
      </c>
      <c r="K2196" s="25" t="s">
        <v>513</v>
      </c>
    </row>
    <row r="2197" spans="1:11" ht="25.5" x14ac:dyDescent="0.25">
      <c r="A2197" s="22">
        <v>2026</v>
      </c>
      <c r="B2197" s="28" t="s">
        <v>192</v>
      </c>
      <c r="C2197" s="28" t="s">
        <v>97</v>
      </c>
      <c r="D2197" s="28" t="s">
        <v>201</v>
      </c>
      <c r="E2197" s="29" t="s">
        <v>331</v>
      </c>
      <c r="F2197" s="29" t="s">
        <v>316</v>
      </c>
      <c r="G2197" s="25" t="s">
        <v>3943</v>
      </c>
      <c r="H2197" s="26">
        <v>-1.087275</v>
      </c>
      <c r="I2197" s="26"/>
      <c r="J2197" s="26" t="s">
        <v>512</v>
      </c>
      <c r="K2197" s="25" t="s">
        <v>513</v>
      </c>
    </row>
    <row r="2198" spans="1:11" ht="25.5" x14ac:dyDescent="0.25">
      <c r="A2198" s="22">
        <v>2026</v>
      </c>
      <c r="B2198" s="28" t="s">
        <v>192</v>
      </c>
      <c r="C2198" s="28" t="s">
        <v>97</v>
      </c>
      <c r="D2198" s="28" t="s">
        <v>201</v>
      </c>
      <c r="E2198" s="29" t="s">
        <v>331</v>
      </c>
      <c r="F2198" s="29" t="s">
        <v>316</v>
      </c>
      <c r="G2198" s="25" t="s">
        <v>3944</v>
      </c>
      <c r="H2198" s="26">
        <v>-0.26748828120000001</v>
      </c>
      <c r="I2198" s="26"/>
      <c r="J2198" s="26" t="s">
        <v>512</v>
      </c>
      <c r="K2198" s="25" t="s">
        <v>513</v>
      </c>
    </row>
    <row r="2199" spans="1:11" ht="25.5" x14ac:dyDescent="0.25">
      <c r="A2199" s="22">
        <v>2026</v>
      </c>
      <c r="B2199" s="28" t="s">
        <v>192</v>
      </c>
      <c r="C2199" s="28" t="s">
        <v>97</v>
      </c>
      <c r="D2199" s="28" t="s">
        <v>201</v>
      </c>
      <c r="E2199" s="29" t="s">
        <v>331</v>
      </c>
      <c r="F2199" s="29" t="s">
        <v>316</v>
      </c>
      <c r="G2199" s="25" t="s">
        <v>3945</v>
      </c>
      <c r="H2199" s="26">
        <v>-0.42607012620000001</v>
      </c>
      <c r="I2199" s="26"/>
      <c r="J2199" s="26" t="s">
        <v>512</v>
      </c>
      <c r="K2199" s="25" t="s">
        <v>513</v>
      </c>
    </row>
    <row r="2200" spans="1:11" ht="25.5" x14ac:dyDescent="0.25">
      <c r="A2200" s="22">
        <v>2026</v>
      </c>
      <c r="B2200" s="28" t="s">
        <v>192</v>
      </c>
      <c r="C2200" s="28" t="s">
        <v>97</v>
      </c>
      <c r="D2200" s="28" t="s">
        <v>201</v>
      </c>
      <c r="E2200" s="29" t="s">
        <v>331</v>
      </c>
      <c r="F2200" s="29" t="s">
        <v>316</v>
      </c>
      <c r="G2200" s="25" t="s">
        <v>3946</v>
      </c>
      <c r="H2200" s="26">
        <v>-1.156085</v>
      </c>
      <c r="I2200" s="26"/>
      <c r="J2200" s="26" t="s">
        <v>512</v>
      </c>
      <c r="K2200" s="25" t="s">
        <v>513</v>
      </c>
    </row>
    <row r="2201" spans="1:11" ht="25.5" x14ac:dyDescent="0.25">
      <c r="A2201" s="22">
        <v>2026</v>
      </c>
      <c r="B2201" s="28" t="s">
        <v>192</v>
      </c>
      <c r="C2201" s="28" t="s">
        <v>97</v>
      </c>
      <c r="D2201" s="28" t="s">
        <v>201</v>
      </c>
      <c r="E2201" s="29" t="s">
        <v>331</v>
      </c>
      <c r="F2201" s="29" t="s">
        <v>316</v>
      </c>
      <c r="G2201" s="25" t="s">
        <v>3947</v>
      </c>
      <c r="H2201" s="26">
        <v>-1.07968</v>
      </c>
      <c r="I2201" s="26"/>
      <c r="J2201" s="26" t="s">
        <v>512</v>
      </c>
      <c r="K2201" s="25" t="s">
        <v>513</v>
      </c>
    </row>
    <row r="2202" spans="1:11" ht="25.5" x14ac:dyDescent="0.25">
      <c r="A2202" s="22">
        <v>2026</v>
      </c>
      <c r="B2202" s="28" t="s">
        <v>192</v>
      </c>
      <c r="C2202" s="28" t="s">
        <v>97</v>
      </c>
      <c r="D2202" s="28" t="s">
        <v>201</v>
      </c>
      <c r="E2202" s="29" t="s">
        <v>331</v>
      </c>
      <c r="F2202" s="29" t="s">
        <v>316</v>
      </c>
      <c r="G2202" s="25" t="s">
        <v>3948</v>
      </c>
      <c r="H2202" s="26">
        <v>-0.35377500000000001</v>
      </c>
      <c r="I2202" s="26"/>
      <c r="J2202" s="26" t="s">
        <v>512</v>
      </c>
      <c r="K2202" s="25" t="s">
        <v>513</v>
      </c>
    </row>
    <row r="2203" spans="1:11" ht="25.5" x14ac:dyDescent="0.25">
      <c r="A2203" s="22">
        <v>2026</v>
      </c>
      <c r="B2203" s="28" t="s">
        <v>192</v>
      </c>
      <c r="C2203" s="28" t="s">
        <v>97</v>
      </c>
      <c r="D2203" s="28" t="s">
        <v>532</v>
      </c>
      <c r="E2203" s="29" t="s">
        <v>331</v>
      </c>
      <c r="F2203" s="29" t="s">
        <v>386</v>
      </c>
      <c r="G2203" s="25" t="s">
        <v>3949</v>
      </c>
      <c r="H2203" s="26">
        <v>-0.25122399999999995</v>
      </c>
      <c r="I2203" s="26"/>
      <c r="J2203" s="26" t="s">
        <v>512</v>
      </c>
      <c r="K2203" s="25" t="s">
        <v>513</v>
      </c>
    </row>
    <row r="2204" spans="1:11" ht="25.5" x14ac:dyDescent="0.25">
      <c r="A2204" s="22">
        <v>2026</v>
      </c>
      <c r="B2204" s="28" t="s">
        <v>192</v>
      </c>
      <c r="C2204" s="28" t="s">
        <v>97</v>
      </c>
      <c r="D2204" s="28" t="s">
        <v>532</v>
      </c>
      <c r="E2204" s="29" t="s">
        <v>331</v>
      </c>
      <c r="F2204" s="29" t="s">
        <v>386</v>
      </c>
      <c r="G2204" s="25" t="s">
        <v>3950</v>
      </c>
      <c r="H2204" s="26">
        <v>-0.29875248630000001</v>
      </c>
      <c r="I2204" s="26"/>
      <c r="J2204" s="26" t="s">
        <v>512</v>
      </c>
      <c r="K2204" s="25" t="s">
        <v>513</v>
      </c>
    </row>
    <row r="2205" spans="1:11" ht="25.5" x14ac:dyDescent="0.25">
      <c r="A2205" s="22">
        <v>2026</v>
      </c>
      <c r="B2205" s="28" t="s">
        <v>192</v>
      </c>
      <c r="C2205" s="28" t="s">
        <v>97</v>
      </c>
      <c r="D2205" s="28" t="s">
        <v>532</v>
      </c>
      <c r="E2205" s="29" t="s">
        <v>331</v>
      </c>
      <c r="F2205" s="29" t="s">
        <v>386</v>
      </c>
      <c r="G2205" s="25" t="s">
        <v>3951</v>
      </c>
      <c r="H2205" s="26">
        <v>-0.28067720000000002</v>
      </c>
      <c r="I2205" s="26"/>
      <c r="J2205" s="26" t="s">
        <v>512</v>
      </c>
      <c r="K2205" s="25" t="s">
        <v>513</v>
      </c>
    </row>
    <row r="2206" spans="1:11" ht="25.5" x14ac:dyDescent="0.25">
      <c r="A2206" s="22">
        <v>2026</v>
      </c>
      <c r="B2206" s="28" t="s">
        <v>192</v>
      </c>
      <c r="C2206" s="28" t="s">
        <v>97</v>
      </c>
      <c r="D2206" s="28" t="s">
        <v>532</v>
      </c>
      <c r="E2206" s="29" t="s">
        <v>331</v>
      </c>
      <c r="F2206" s="29" t="s">
        <v>386</v>
      </c>
      <c r="G2206" s="25" t="s">
        <v>3952</v>
      </c>
      <c r="H2206" s="26">
        <v>-0.2321480655</v>
      </c>
      <c r="I2206" s="26"/>
      <c r="J2206" s="26" t="s">
        <v>512</v>
      </c>
      <c r="K2206" s="25" t="s">
        <v>513</v>
      </c>
    </row>
    <row r="2207" spans="1:11" ht="25.5" x14ac:dyDescent="0.25">
      <c r="A2207" s="22">
        <v>2026</v>
      </c>
      <c r="B2207" s="28" t="s">
        <v>192</v>
      </c>
      <c r="C2207" s="28" t="s">
        <v>97</v>
      </c>
      <c r="D2207" s="28" t="s">
        <v>532</v>
      </c>
      <c r="E2207" s="29" t="s">
        <v>331</v>
      </c>
      <c r="F2207" s="29" t="s">
        <v>386</v>
      </c>
      <c r="G2207" s="25" t="s">
        <v>3953</v>
      </c>
      <c r="H2207" s="26">
        <v>-0.24352360000000001</v>
      </c>
      <c r="I2207" s="26"/>
      <c r="J2207" s="26" t="s">
        <v>512</v>
      </c>
      <c r="K2207" s="25" t="s">
        <v>513</v>
      </c>
    </row>
    <row r="2208" spans="1:11" ht="25.5" x14ac:dyDescent="0.25">
      <c r="A2208" s="22">
        <v>2026</v>
      </c>
      <c r="B2208" s="28" t="s">
        <v>192</v>
      </c>
      <c r="C2208" s="28" t="s">
        <v>97</v>
      </c>
      <c r="D2208" s="28" t="s">
        <v>532</v>
      </c>
      <c r="E2208" s="29" t="s">
        <v>331</v>
      </c>
      <c r="F2208" s="29" t="s">
        <v>386</v>
      </c>
      <c r="G2208" s="25" t="s">
        <v>3954</v>
      </c>
      <c r="H2208" s="26">
        <v>-0.252525</v>
      </c>
      <c r="I2208" s="26"/>
      <c r="J2208" s="26" t="s">
        <v>512</v>
      </c>
      <c r="K2208" s="25" t="s">
        <v>513</v>
      </c>
    </row>
    <row r="2209" spans="1:11" ht="25.5" x14ac:dyDescent="0.25">
      <c r="A2209" s="22">
        <v>2026</v>
      </c>
      <c r="B2209" s="28" t="s">
        <v>192</v>
      </c>
      <c r="C2209" s="28" t="s">
        <v>97</v>
      </c>
      <c r="D2209" s="28" t="s">
        <v>532</v>
      </c>
      <c r="E2209" s="29" t="s">
        <v>331</v>
      </c>
      <c r="F2209" s="29" t="s">
        <v>386</v>
      </c>
      <c r="G2209" s="25" t="s">
        <v>3955</v>
      </c>
      <c r="H2209" s="26">
        <v>-0.26453790000000005</v>
      </c>
      <c r="I2209" s="26"/>
      <c r="J2209" s="26" t="s">
        <v>512</v>
      </c>
      <c r="K2209" s="25" t="s">
        <v>513</v>
      </c>
    </row>
    <row r="2210" spans="1:11" ht="25.5" x14ac:dyDescent="0.25">
      <c r="A2210" s="22">
        <v>2026</v>
      </c>
      <c r="B2210" s="28" t="s">
        <v>192</v>
      </c>
      <c r="C2210" s="28" t="s">
        <v>97</v>
      </c>
      <c r="D2210" s="28" t="s">
        <v>532</v>
      </c>
      <c r="E2210" s="29" t="s">
        <v>331</v>
      </c>
      <c r="F2210" s="29" t="s">
        <v>386</v>
      </c>
      <c r="G2210" s="25" t="s">
        <v>3956</v>
      </c>
      <c r="H2210" s="26">
        <v>-0.16854054500000001</v>
      </c>
      <c r="I2210" s="26"/>
      <c r="J2210" s="26" t="s">
        <v>512</v>
      </c>
      <c r="K2210" s="25" t="s">
        <v>513</v>
      </c>
    </row>
    <row r="2211" spans="1:11" ht="25.5" x14ac:dyDescent="0.25">
      <c r="A2211" s="22">
        <v>2026</v>
      </c>
      <c r="B2211" s="28" t="s">
        <v>192</v>
      </c>
      <c r="C2211" s="28" t="s">
        <v>97</v>
      </c>
      <c r="D2211" s="28" t="s">
        <v>532</v>
      </c>
      <c r="E2211" s="29" t="s">
        <v>331</v>
      </c>
      <c r="F2211" s="29" t="s">
        <v>386</v>
      </c>
      <c r="G2211" s="25" t="s">
        <v>3957</v>
      </c>
      <c r="H2211" s="26">
        <v>-0.42832692</v>
      </c>
      <c r="I2211" s="26"/>
      <c r="J2211" s="26" t="s">
        <v>512</v>
      </c>
      <c r="K2211" s="25" t="s">
        <v>513</v>
      </c>
    </row>
    <row r="2212" spans="1:11" ht="25.5" x14ac:dyDescent="0.25">
      <c r="A2212" s="22">
        <v>2026</v>
      </c>
      <c r="B2212" s="28" t="s">
        <v>192</v>
      </c>
      <c r="C2212" s="28" t="s">
        <v>97</v>
      </c>
      <c r="D2212" s="28" t="s">
        <v>532</v>
      </c>
      <c r="E2212" s="29" t="s">
        <v>331</v>
      </c>
      <c r="F2212" s="29" t="s">
        <v>386</v>
      </c>
      <c r="G2212" s="25" t="s">
        <v>3958</v>
      </c>
      <c r="H2212" s="26">
        <v>-4.8000000000000001E-2</v>
      </c>
      <c r="I2212" s="26"/>
      <c r="J2212" s="26" t="s">
        <v>512</v>
      </c>
      <c r="K2212" s="25" t="s">
        <v>513</v>
      </c>
    </row>
    <row r="2213" spans="1:11" ht="25.5" x14ac:dyDescent="0.25">
      <c r="A2213" s="22">
        <v>2026</v>
      </c>
      <c r="B2213" s="28" t="s">
        <v>192</v>
      </c>
      <c r="C2213" s="28" t="s">
        <v>97</v>
      </c>
      <c r="D2213" s="28" t="s">
        <v>532</v>
      </c>
      <c r="E2213" s="29" t="s">
        <v>331</v>
      </c>
      <c r="F2213" s="29" t="s">
        <v>386</v>
      </c>
      <c r="G2213" s="25" t="s">
        <v>3959</v>
      </c>
      <c r="H2213" s="26">
        <v>-0.14673050000000001</v>
      </c>
      <c r="I2213" s="26"/>
      <c r="J2213" s="26" t="s">
        <v>512</v>
      </c>
      <c r="K2213" s="25" t="s">
        <v>513</v>
      </c>
    </row>
    <row r="2214" spans="1:11" ht="25.5" x14ac:dyDescent="0.25">
      <c r="A2214" s="22">
        <v>2026</v>
      </c>
      <c r="B2214" s="28" t="s">
        <v>192</v>
      </c>
      <c r="C2214" s="28" t="s">
        <v>97</v>
      </c>
      <c r="D2214" s="28" t="s">
        <v>532</v>
      </c>
      <c r="E2214" s="29" t="s">
        <v>331</v>
      </c>
      <c r="F2214" s="29" t="s">
        <v>386</v>
      </c>
      <c r="G2214" s="25" t="s">
        <v>3960</v>
      </c>
      <c r="H2214" s="26">
        <v>-0.209286</v>
      </c>
      <c r="I2214" s="26"/>
      <c r="J2214" s="26" t="s">
        <v>512</v>
      </c>
      <c r="K2214" s="25" t="s">
        <v>513</v>
      </c>
    </row>
    <row r="2215" spans="1:11" ht="25.5" x14ac:dyDescent="0.25">
      <c r="A2215" s="22">
        <v>2026</v>
      </c>
      <c r="B2215" s="28" t="s">
        <v>192</v>
      </c>
      <c r="C2215" s="28" t="s">
        <v>97</v>
      </c>
      <c r="D2215" s="28" t="s">
        <v>532</v>
      </c>
      <c r="E2215" s="29" t="s">
        <v>331</v>
      </c>
      <c r="F2215" s="29" t="s">
        <v>386</v>
      </c>
      <c r="G2215" s="25" t="s">
        <v>3961</v>
      </c>
      <c r="H2215" s="26">
        <v>-0.46600000000000003</v>
      </c>
      <c r="I2215" s="26"/>
      <c r="J2215" s="26" t="s">
        <v>512</v>
      </c>
      <c r="K2215" s="25" t="s">
        <v>513</v>
      </c>
    </row>
    <row r="2216" spans="1:11" ht="25.5" x14ac:dyDescent="0.25">
      <c r="A2216" s="22">
        <v>2026</v>
      </c>
      <c r="B2216" s="28" t="s">
        <v>192</v>
      </c>
      <c r="C2216" s="28" t="s">
        <v>97</v>
      </c>
      <c r="D2216" s="28" t="s">
        <v>532</v>
      </c>
      <c r="E2216" s="29" t="s">
        <v>331</v>
      </c>
      <c r="F2216" s="29" t="s">
        <v>386</v>
      </c>
      <c r="G2216" s="25" t="s">
        <v>3962</v>
      </c>
      <c r="H2216" s="26">
        <v>-0.377</v>
      </c>
      <c r="I2216" s="26"/>
      <c r="J2216" s="26" t="s">
        <v>512</v>
      </c>
      <c r="K2216" s="25" t="s">
        <v>513</v>
      </c>
    </row>
    <row r="2217" spans="1:11" ht="25.5" x14ac:dyDescent="0.25">
      <c r="A2217" s="22">
        <v>2026</v>
      </c>
      <c r="B2217" s="28" t="s">
        <v>192</v>
      </c>
      <c r="C2217" s="28" t="s">
        <v>97</v>
      </c>
      <c r="D2217" s="28" t="s">
        <v>532</v>
      </c>
      <c r="E2217" s="29" t="s">
        <v>331</v>
      </c>
      <c r="F2217" s="29" t="s">
        <v>386</v>
      </c>
      <c r="G2217" s="25" t="s">
        <v>3963</v>
      </c>
      <c r="H2217" s="26">
        <v>-0.19725300000000001</v>
      </c>
      <c r="I2217" s="26"/>
      <c r="J2217" s="26" t="s">
        <v>512</v>
      </c>
      <c r="K2217" s="25" t="s">
        <v>513</v>
      </c>
    </row>
    <row r="2218" spans="1:11" ht="25.5" x14ac:dyDescent="0.25">
      <c r="A2218" s="22">
        <v>2026</v>
      </c>
      <c r="B2218" s="28" t="s">
        <v>192</v>
      </c>
      <c r="C2218" s="28" t="s">
        <v>97</v>
      </c>
      <c r="D2218" s="28" t="s">
        <v>532</v>
      </c>
      <c r="E2218" s="29" t="s">
        <v>331</v>
      </c>
      <c r="F2218" s="29" t="s">
        <v>386</v>
      </c>
      <c r="G2218" s="25" t="s">
        <v>3964</v>
      </c>
      <c r="H2218" s="26">
        <v>-0.26119142550000002</v>
      </c>
      <c r="I2218" s="26"/>
      <c r="J2218" s="26" t="s">
        <v>512</v>
      </c>
      <c r="K2218" s="25" t="s">
        <v>513</v>
      </c>
    </row>
    <row r="2219" spans="1:11" ht="25.5" x14ac:dyDescent="0.25">
      <c r="A2219" s="22">
        <v>2026</v>
      </c>
      <c r="B2219" s="28" t="s">
        <v>192</v>
      </c>
      <c r="C2219" s="28" t="s">
        <v>97</v>
      </c>
      <c r="D2219" s="28" t="s">
        <v>532</v>
      </c>
      <c r="E2219" s="29" t="s">
        <v>331</v>
      </c>
      <c r="F2219" s="29" t="s">
        <v>386</v>
      </c>
      <c r="G2219" s="25" t="s">
        <v>3965</v>
      </c>
      <c r="H2219" s="26">
        <v>-0.36762</v>
      </c>
      <c r="I2219" s="26"/>
      <c r="J2219" s="26" t="s">
        <v>512</v>
      </c>
      <c r="K2219" s="25" t="s">
        <v>513</v>
      </c>
    </row>
    <row r="2220" spans="1:11" ht="25.5" x14ac:dyDescent="0.25">
      <c r="A2220" s="22">
        <v>2026</v>
      </c>
      <c r="B2220" s="28" t="s">
        <v>192</v>
      </c>
      <c r="C2220" s="28" t="s">
        <v>97</v>
      </c>
      <c r="D2220" s="28" t="s">
        <v>532</v>
      </c>
      <c r="E2220" s="29" t="s">
        <v>331</v>
      </c>
      <c r="F2220" s="29" t="s">
        <v>386</v>
      </c>
      <c r="G2220" s="25" t="s">
        <v>3966</v>
      </c>
      <c r="H2220" s="26">
        <v>-0.30690000000000001</v>
      </c>
      <c r="I2220" s="26"/>
      <c r="J2220" s="26" t="s">
        <v>512</v>
      </c>
      <c r="K2220" s="25" t="s">
        <v>513</v>
      </c>
    </row>
    <row r="2221" spans="1:11" ht="25.5" x14ac:dyDescent="0.25">
      <c r="A2221" s="22">
        <v>2026</v>
      </c>
      <c r="B2221" s="28" t="s">
        <v>192</v>
      </c>
      <c r="C2221" s="28" t="s">
        <v>97</v>
      </c>
      <c r="D2221" s="28" t="s">
        <v>1702</v>
      </c>
      <c r="E2221" s="29" t="s">
        <v>1763</v>
      </c>
      <c r="F2221" s="29" t="s">
        <v>378</v>
      </c>
      <c r="G2221" s="25" t="s">
        <v>3967</v>
      </c>
      <c r="H2221" s="26">
        <v>-0.11588</v>
      </c>
      <c r="I2221" s="26"/>
      <c r="J2221" s="26" t="s">
        <v>514</v>
      </c>
      <c r="K2221" s="25" t="s">
        <v>513</v>
      </c>
    </row>
    <row r="2222" spans="1:11" ht="25.5" x14ac:dyDescent="0.25">
      <c r="A2222" s="22">
        <v>2026</v>
      </c>
      <c r="B2222" s="28" t="s">
        <v>192</v>
      </c>
      <c r="C2222" s="28" t="s">
        <v>97</v>
      </c>
      <c r="D2222" s="28" t="s">
        <v>1702</v>
      </c>
      <c r="E2222" s="29" t="s">
        <v>1763</v>
      </c>
      <c r="F2222" s="29" t="s">
        <v>378</v>
      </c>
      <c r="G2222" s="25" t="s">
        <v>3968</v>
      </c>
      <c r="H2222" s="26">
        <v>-4.9527399999999992E-2</v>
      </c>
      <c r="I2222" s="26"/>
      <c r="J2222" s="26" t="s">
        <v>514</v>
      </c>
      <c r="K2222" s="25" t="s">
        <v>513</v>
      </c>
    </row>
    <row r="2223" spans="1:11" ht="25.5" x14ac:dyDescent="0.25">
      <c r="A2223" s="22">
        <v>2026</v>
      </c>
      <c r="B2223" s="28" t="s">
        <v>192</v>
      </c>
      <c r="C2223" s="28" t="s">
        <v>97</v>
      </c>
      <c r="D2223" s="28" t="s">
        <v>1702</v>
      </c>
      <c r="E2223" s="29" t="s">
        <v>1763</v>
      </c>
      <c r="F2223" s="29" t="s">
        <v>378</v>
      </c>
      <c r="G2223" s="25" t="s">
        <v>3969</v>
      </c>
      <c r="H2223" s="26">
        <v>-6.2266987439999998E-2</v>
      </c>
      <c r="I2223" s="26"/>
      <c r="J2223" s="26" t="s">
        <v>514</v>
      </c>
      <c r="K2223" s="25" t="s">
        <v>513</v>
      </c>
    </row>
    <row r="2224" spans="1:11" ht="25.5" x14ac:dyDescent="0.25">
      <c r="A2224" s="22">
        <v>2026</v>
      </c>
      <c r="B2224" s="28" t="s">
        <v>192</v>
      </c>
      <c r="C2224" s="28" t="s">
        <v>97</v>
      </c>
      <c r="D2224" s="28" t="s">
        <v>1702</v>
      </c>
      <c r="E2224" s="29" t="s">
        <v>1763</v>
      </c>
      <c r="F2224" s="29" t="s">
        <v>378</v>
      </c>
      <c r="G2224" s="25" t="s">
        <v>3970</v>
      </c>
      <c r="H2224" s="26">
        <v>-7.4200750000000008E-3</v>
      </c>
      <c r="I2224" s="26"/>
      <c r="J2224" s="26" t="s">
        <v>514</v>
      </c>
      <c r="K2224" s="25" t="s">
        <v>513</v>
      </c>
    </row>
    <row r="2225" spans="1:11" ht="25.5" x14ac:dyDescent="0.25">
      <c r="A2225" s="22">
        <v>2026</v>
      </c>
      <c r="B2225" s="28" t="s">
        <v>192</v>
      </c>
      <c r="C2225" s="28" t="s">
        <v>97</v>
      </c>
      <c r="D2225" s="28" t="s">
        <v>1702</v>
      </c>
      <c r="E2225" s="29" t="s">
        <v>1763</v>
      </c>
      <c r="F2225" s="29" t="s">
        <v>378</v>
      </c>
      <c r="G2225" s="25" t="s">
        <v>3971</v>
      </c>
      <c r="H2225" s="26">
        <v>-0.11170752819999999</v>
      </c>
      <c r="I2225" s="26"/>
      <c r="J2225" s="26" t="s">
        <v>514</v>
      </c>
      <c r="K2225" s="25" t="s">
        <v>513</v>
      </c>
    </row>
    <row r="2226" spans="1:11" ht="25.5" x14ac:dyDescent="0.25">
      <c r="A2226" s="22">
        <v>2026</v>
      </c>
      <c r="B2226" s="28" t="s">
        <v>192</v>
      </c>
      <c r="C2226" s="28" t="s">
        <v>97</v>
      </c>
      <c r="D2226" s="28" t="s">
        <v>1702</v>
      </c>
      <c r="E2226" s="29" t="s">
        <v>1763</v>
      </c>
      <c r="F2226" s="29" t="s">
        <v>378</v>
      </c>
      <c r="G2226" s="25" t="s">
        <v>3972</v>
      </c>
      <c r="H2226" s="26">
        <v>-6.9031110600000001E-2</v>
      </c>
      <c r="I2226" s="26"/>
      <c r="J2226" s="26" t="s">
        <v>514</v>
      </c>
      <c r="K2226" s="25" t="s">
        <v>513</v>
      </c>
    </row>
    <row r="2227" spans="1:11" ht="25.5" x14ac:dyDescent="0.25">
      <c r="A2227" s="22">
        <v>2026</v>
      </c>
      <c r="B2227" s="28" t="s">
        <v>192</v>
      </c>
      <c r="C2227" s="28" t="s">
        <v>97</v>
      </c>
      <c r="D2227" s="28" t="s">
        <v>1702</v>
      </c>
      <c r="E2227" s="29" t="s">
        <v>1763</v>
      </c>
      <c r="F2227" s="29" t="s">
        <v>378</v>
      </c>
      <c r="G2227" s="25" t="s">
        <v>3973</v>
      </c>
      <c r="H2227" s="26">
        <v>-5.1999999999999998E-2</v>
      </c>
      <c r="I2227" s="26"/>
      <c r="J2227" s="26" t="s">
        <v>514</v>
      </c>
      <c r="K2227" s="25" t="s">
        <v>513</v>
      </c>
    </row>
    <row r="2228" spans="1:11" ht="25.5" x14ac:dyDescent="0.25">
      <c r="A2228" s="22">
        <v>2026</v>
      </c>
      <c r="B2228" s="28" t="s">
        <v>192</v>
      </c>
      <c r="C2228" s="28" t="s">
        <v>97</v>
      </c>
      <c r="D2228" s="28" t="s">
        <v>1702</v>
      </c>
      <c r="E2228" s="29" t="s">
        <v>1763</v>
      </c>
      <c r="F2228" s="29" t="s">
        <v>378</v>
      </c>
      <c r="G2228" s="25" t="s">
        <v>3974</v>
      </c>
      <c r="H2228" s="26">
        <v>-1.5907500000000001E-2</v>
      </c>
      <c r="I2228" s="26"/>
      <c r="J2228" s="26" t="s">
        <v>514</v>
      </c>
      <c r="K2228" s="25" t="s">
        <v>513</v>
      </c>
    </row>
    <row r="2229" spans="1:11" ht="25.5" x14ac:dyDescent="0.25">
      <c r="A2229" s="22">
        <v>2026</v>
      </c>
      <c r="B2229" s="28" t="s">
        <v>192</v>
      </c>
      <c r="C2229" s="28" t="s">
        <v>97</v>
      </c>
      <c r="D2229" s="28" t="s">
        <v>1703</v>
      </c>
      <c r="E2229" s="29" t="s">
        <v>569</v>
      </c>
      <c r="F2229" s="29" t="s">
        <v>298</v>
      </c>
      <c r="G2229" s="25" t="s">
        <v>3975</v>
      </c>
      <c r="H2229" s="26">
        <v>-0.68001500000000004</v>
      </c>
      <c r="I2229" s="26"/>
      <c r="J2229" s="26" t="s">
        <v>512</v>
      </c>
      <c r="K2229" s="25" t="s">
        <v>526</v>
      </c>
    </row>
    <row r="2230" spans="1:11" ht="25.5" x14ac:dyDescent="0.25">
      <c r="A2230" s="22">
        <v>2026</v>
      </c>
      <c r="B2230" s="28" t="s">
        <v>192</v>
      </c>
      <c r="C2230" s="28" t="s">
        <v>97</v>
      </c>
      <c r="D2230" s="28" t="s">
        <v>1703</v>
      </c>
      <c r="E2230" s="29" t="s">
        <v>569</v>
      </c>
      <c r="F2230" s="29" t="s">
        <v>298</v>
      </c>
      <c r="G2230" s="25" t="s">
        <v>3976</v>
      </c>
      <c r="H2230" s="26">
        <v>-0.66559000000000001</v>
      </c>
      <c r="I2230" s="26"/>
      <c r="J2230" s="26" t="s">
        <v>512</v>
      </c>
      <c r="K2230" s="25" t="s">
        <v>526</v>
      </c>
    </row>
    <row r="2231" spans="1:11" ht="25.5" x14ac:dyDescent="0.25">
      <c r="A2231" s="22">
        <v>2026</v>
      </c>
      <c r="B2231" s="28" t="s">
        <v>192</v>
      </c>
      <c r="C2231" s="28" t="s">
        <v>97</v>
      </c>
      <c r="D2231" s="28" t="s">
        <v>1703</v>
      </c>
      <c r="E2231" s="29" t="s">
        <v>569</v>
      </c>
      <c r="F2231" s="29" t="s">
        <v>298</v>
      </c>
      <c r="G2231" s="25" t="s">
        <v>3977</v>
      </c>
      <c r="H2231" s="26">
        <v>-0.67395499999999997</v>
      </c>
      <c r="I2231" s="26"/>
      <c r="J2231" s="26" t="s">
        <v>512</v>
      </c>
      <c r="K2231" s="25" t="s">
        <v>526</v>
      </c>
    </row>
    <row r="2232" spans="1:11" ht="25.5" x14ac:dyDescent="0.25">
      <c r="A2232" s="22">
        <v>2026</v>
      </c>
      <c r="B2232" s="28" t="s">
        <v>192</v>
      </c>
      <c r="C2232" s="28" t="s">
        <v>97</v>
      </c>
      <c r="D2232" s="28" t="s">
        <v>1703</v>
      </c>
      <c r="E2232" s="29" t="s">
        <v>569</v>
      </c>
      <c r="F2232" s="29" t="s">
        <v>298</v>
      </c>
      <c r="G2232" s="25" t="s">
        <v>3978</v>
      </c>
      <c r="H2232" s="26">
        <v>-0.67117000000000004</v>
      </c>
      <c r="I2232" s="26"/>
      <c r="J2232" s="26" t="s">
        <v>512</v>
      </c>
      <c r="K2232" s="25" t="s">
        <v>526</v>
      </c>
    </row>
    <row r="2233" spans="1:11" ht="25.5" x14ac:dyDescent="0.25">
      <c r="A2233" s="22">
        <v>2026</v>
      </c>
      <c r="B2233" s="28" t="s">
        <v>192</v>
      </c>
      <c r="C2233" s="28" t="s">
        <v>97</v>
      </c>
      <c r="D2233" s="28" t="s">
        <v>1703</v>
      </c>
      <c r="E2233" s="29" t="s">
        <v>569</v>
      </c>
      <c r="F2233" s="29" t="s">
        <v>298</v>
      </c>
      <c r="G2233" s="25" t="s">
        <v>3979</v>
      </c>
      <c r="H2233" s="26">
        <v>-0.59494499999999995</v>
      </c>
      <c r="I2233" s="26"/>
      <c r="J2233" s="26" t="s">
        <v>512</v>
      </c>
      <c r="K2233" s="25" t="s">
        <v>526</v>
      </c>
    </row>
    <row r="2234" spans="1:11" ht="25.5" x14ac:dyDescent="0.25">
      <c r="A2234" s="22">
        <v>2026</v>
      </c>
      <c r="B2234" s="28" t="s">
        <v>192</v>
      </c>
      <c r="C2234" s="28" t="s">
        <v>97</v>
      </c>
      <c r="D2234" s="28" t="s">
        <v>1703</v>
      </c>
      <c r="E2234" s="29" t="s">
        <v>569</v>
      </c>
      <c r="F2234" s="29" t="s">
        <v>298</v>
      </c>
      <c r="G2234" s="25" t="s">
        <v>3980</v>
      </c>
      <c r="H2234" s="26">
        <v>-0.43686726894000005</v>
      </c>
      <c r="I2234" s="26"/>
      <c r="J2234" s="26" t="s">
        <v>512</v>
      </c>
      <c r="K2234" s="25" t="s">
        <v>526</v>
      </c>
    </row>
    <row r="2235" spans="1:11" ht="25.5" x14ac:dyDescent="0.25">
      <c r="A2235" s="22">
        <v>2026</v>
      </c>
      <c r="B2235" s="28" t="s">
        <v>192</v>
      </c>
      <c r="C2235" s="28" t="s">
        <v>97</v>
      </c>
      <c r="D2235" s="28" t="s">
        <v>1703</v>
      </c>
      <c r="E2235" s="29" t="s">
        <v>569</v>
      </c>
      <c r="F2235" s="29" t="s">
        <v>298</v>
      </c>
      <c r="G2235" s="25" t="s">
        <v>3981</v>
      </c>
      <c r="H2235" s="26">
        <v>-0.51904063086999996</v>
      </c>
      <c r="I2235" s="26"/>
      <c r="J2235" s="26" t="s">
        <v>512</v>
      </c>
      <c r="K2235" s="25" t="s">
        <v>526</v>
      </c>
    </row>
    <row r="2236" spans="1:11" ht="25.5" x14ac:dyDescent="0.25">
      <c r="A2236" s="22">
        <v>2026</v>
      </c>
      <c r="B2236" s="28" t="s">
        <v>192</v>
      </c>
      <c r="C2236" s="28" t="s">
        <v>97</v>
      </c>
      <c r="D2236" s="28" t="s">
        <v>1703</v>
      </c>
      <c r="E2236" s="29" t="s">
        <v>569</v>
      </c>
      <c r="F2236" s="29" t="s">
        <v>298</v>
      </c>
      <c r="G2236" s="25" t="s">
        <v>3982</v>
      </c>
      <c r="H2236" s="26">
        <v>-0.26529932648999999</v>
      </c>
      <c r="I2236" s="26"/>
      <c r="J2236" s="26" t="s">
        <v>512</v>
      </c>
      <c r="K2236" s="25" t="s">
        <v>526</v>
      </c>
    </row>
    <row r="2237" spans="1:11" ht="25.5" x14ac:dyDescent="0.25">
      <c r="A2237" s="22">
        <v>2026</v>
      </c>
      <c r="B2237" s="28" t="s">
        <v>192</v>
      </c>
      <c r="C2237" s="28" t="s">
        <v>97</v>
      </c>
      <c r="D2237" s="28" t="s">
        <v>1703</v>
      </c>
      <c r="E2237" s="29" t="s">
        <v>569</v>
      </c>
      <c r="F2237" s="29" t="s">
        <v>298</v>
      </c>
      <c r="G2237" s="25" t="s">
        <v>3983</v>
      </c>
      <c r="H2237" s="26">
        <v>-0.56819770000000003</v>
      </c>
      <c r="I2237" s="26"/>
      <c r="J2237" s="26" t="s">
        <v>512</v>
      </c>
      <c r="K2237" s="25" t="s">
        <v>526</v>
      </c>
    </row>
    <row r="2238" spans="1:11" ht="25.5" x14ac:dyDescent="0.25">
      <c r="A2238" s="22">
        <v>2026</v>
      </c>
      <c r="B2238" s="28" t="s">
        <v>192</v>
      </c>
      <c r="C2238" s="28" t="s">
        <v>97</v>
      </c>
      <c r="D2238" s="28" t="s">
        <v>1703</v>
      </c>
      <c r="E2238" s="29" t="s">
        <v>569</v>
      </c>
      <c r="F2238" s="29" t="s">
        <v>298</v>
      </c>
      <c r="G2238" s="25" t="s">
        <v>3984</v>
      </c>
      <c r="H2238" s="26">
        <v>-6.59E-2</v>
      </c>
      <c r="I2238" s="26"/>
      <c r="J2238" s="26" t="s">
        <v>512</v>
      </c>
      <c r="K2238" s="25" t="s">
        <v>526</v>
      </c>
    </row>
    <row r="2239" spans="1:11" ht="25.5" x14ac:dyDescent="0.25">
      <c r="A2239" s="22">
        <v>2026</v>
      </c>
      <c r="B2239" s="28" t="s">
        <v>192</v>
      </c>
      <c r="C2239" s="28" t="s">
        <v>97</v>
      </c>
      <c r="D2239" s="28" t="s">
        <v>1703</v>
      </c>
      <c r="E2239" s="29" t="s">
        <v>569</v>
      </c>
      <c r="F2239" s="29" t="s">
        <v>298</v>
      </c>
      <c r="G2239" s="25" t="s">
        <v>3985</v>
      </c>
      <c r="H2239" s="26">
        <v>-0.65976000000000001</v>
      </c>
      <c r="I2239" s="26"/>
      <c r="J2239" s="26" t="s">
        <v>512</v>
      </c>
      <c r="K2239" s="25" t="s">
        <v>526</v>
      </c>
    </row>
    <row r="2240" spans="1:11" ht="25.5" x14ac:dyDescent="0.25">
      <c r="A2240" s="22">
        <v>2026</v>
      </c>
      <c r="B2240" s="28" t="s">
        <v>192</v>
      </c>
      <c r="C2240" s="28" t="s">
        <v>97</v>
      </c>
      <c r="D2240" s="28" t="s">
        <v>1703</v>
      </c>
      <c r="E2240" s="29" t="s">
        <v>569</v>
      </c>
      <c r="F2240" s="29" t="s">
        <v>298</v>
      </c>
      <c r="G2240" s="25" t="s">
        <v>3986</v>
      </c>
      <c r="H2240" s="26">
        <v>-0.52912000000000003</v>
      </c>
      <c r="I2240" s="26"/>
      <c r="J2240" s="26" t="s">
        <v>512</v>
      </c>
      <c r="K2240" s="25" t="s">
        <v>526</v>
      </c>
    </row>
    <row r="2241" spans="1:11" ht="25.5" x14ac:dyDescent="0.25">
      <c r="A2241" s="22">
        <v>2026</v>
      </c>
      <c r="B2241" s="28" t="s">
        <v>192</v>
      </c>
      <c r="C2241" s="28" t="s">
        <v>97</v>
      </c>
      <c r="D2241" s="28" t="s">
        <v>1703</v>
      </c>
      <c r="E2241" s="29" t="s">
        <v>569</v>
      </c>
      <c r="F2241" s="29" t="s">
        <v>298</v>
      </c>
      <c r="G2241" s="25" t="s">
        <v>3987</v>
      </c>
      <c r="H2241" s="26">
        <v>-1.24513520285</v>
      </c>
      <c r="I2241" s="26"/>
      <c r="J2241" s="26" t="s">
        <v>512</v>
      </c>
      <c r="K2241" s="25" t="s">
        <v>526</v>
      </c>
    </row>
    <row r="2242" spans="1:11" ht="25.5" x14ac:dyDescent="0.25">
      <c r="A2242" s="22">
        <v>2026</v>
      </c>
      <c r="B2242" s="28" t="s">
        <v>192</v>
      </c>
      <c r="C2242" s="28" t="s">
        <v>97</v>
      </c>
      <c r="D2242" s="28" t="s">
        <v>1703</v>
      </c>
      <c r="E2242" s="29" t="s">
        <v>569</v>
      </c>
      <c r="F2242" s="29" t="s">
        <v>298</v>
      </c>
      <c r="G2242" s="25" t="s">
        <v>3988</v>
      </c>
      <c r="H2242" s="26">
        <v>-0.95575799598</v>
      </c>
      <c r="I2242" s="26"/>
      <c r="J2242" s="26" t="s">
        <v>512</v>
      </c>
      <c r="K2242" s="25" t="s">
        <v>526</v>
      </c>
    </row>
    <row r="2243" spans="1:11" ht="25.5" x14ac:dyDescent="0.25">
      <c r="A2243" s="22">
        <v>2026</v>
      </c>
      <c r="B2243" s="28" t="s">
        <v>192</v>
      </c>
      <c r="C2243" s="28" t="s">
        <v>97</v>
      </c>
      <c r="D2243" s="28" t="s">
        <v>1703</v>
      </c>
      <c r="E2243" s="29" t="s">
        <v>569</v>
      </c>
      <c r="F2243" s="29" t="s">
        <v>298</v>
      </c>
      <c r="G2243" s="25" t="s">
        <v>3989</v>
      </c>
      <c r="H2243" s="26">
        <v>-0.74503211025000005</v>
      </c>
      <c r="I2243" s="26"/>
      <c r="J2243" s="26" t="s">
        <v>512</v>
      </c>
      <c r="K2243" s="25" t="s">
        <v>526</v>
      </c>
    </row>
    <row r="2244" spans="1:11" ht="25.5" x14ac:dyDescent="0.25">
      <c r="A2244" s="22">
        <v>2026</v>
      </c>
      <c r="B2244" s="28" t="s">
        <v>192</v>
      </c>
      <c r="C2244" s="28" t="s">
        <v>97</v>
      </c>
      <c r="D2244" s="28" t="s">
        <v>1703</v>
      </c>
      <c r="E2244" s="29" t="s">
        <v>569</v>
      </c>
      <c r="F2244" s="29" t="s">
        <v>298</v>
      </c>
      <c r="G2244" s="25" t="s">
        <v>3990</v>
      </c>
      <c r="H2244" s="26">
        <v>-0.98757890000000004</v>
      </c>
      <c r="I2244" s="26"/>
      <c r="J2244" s="26" t="s">
        <v>512</v>
      </c>
      <c r="K2244" s="25" t="s">
        <v>526</v>
      </c>
    </row>
    <row r="2245" spans="1:11" ht="25.5" x14ac:dyDescent="0.25">
      <c r="A2245" s="22">
        <v>2026</v>
      </c>
      <c r="B2245" s="28" t="s">
        <v>192</v>
      </c>
      <c r="C2245" s="28" t="s">
        <v>97</v>
      </c>
      <c r="D2245" s="28" t="s">
        <v>1703</v>
      </c>
      <c r="E2245" s="29" t="s">
        <v>569</v>
      </c>
      <c r="F2245" s="29" t="s">
        <v>298</v>
      </c>
      <c r="G2245" s="25" t="s">
        <v>3991</v>
      </c>
      <c r="H2245" s="26">
        <v>-0.94323310884</v>
      </c>
      <c r="I2245" s="26"/>
      <c r="J2245" s="26" t="s">
        <v>512</v>
      </c>
      <c r="K2245" s="25" t="s">
        <v>526</v>
      </c>
    </row>
    <row r="2246" spans="1:11" ht="25.5" x14ac:dyDescent="0.25">
      <c r="A2246" s="22">
        <v>2026</v>
      </c>
      <c r="B2246" s="28" t="s">
        <v>192</v>
      </c>
      <c r="C2246" s="28" t="s">
        <v>97</v>
      </c>
      <c r="D2246" s="28" t="s">
        <v>1703</v>
      </c>
      <c r="E2246" s="29" t="s">
        <v>569</v>
      </c>
      <c r="F2246" s="29" t="s">
        <v>298</v>
      </c>
      <c r="G2246" s="25" t="s">
        <v>3992</v>
      </c>
      <c r="H2246" s="26">
        <v>-0.87480000000000002</v>
      </c>
      <c r="I2246" s="26"/>
      <c r="J2246" s="26" t="s">
        <v>512</v>
      </c>
      <c r="K2246" s="25" t="s">
        <v>526</v>
      </c>
    </row>
    <row r="2247" spans="1:11" ht="25.5" x14ac:dyDescent="0.25">
      <c r="A2247" s="22">
        <v>2026</v>
      </c>
      <c r="B2247" s="28" t="s">
        <v>192</v>
      </c>
      <c r="C2247" s="28" t="s">
        <v>97</v>
      </c>
      <c r="D2247" s="28" t="s">
        <v>1703</v>
      </c>
      <c r="E2247" s="29" t="s">
        <v>569</v>
      </c>
      <c r="F2247" s="29" t="s">
        <v>298</v>
      </c>
      <c r="G2247" s="25" t="s">
        <v>3993</v>
      </c>
      <c r="H2247" s="26">
        <v>-1.28983</v>
      </c>
      <c r="I2247" s="26"/>
      <c r="J2247" s="26" t="s">
        <v>512</v>
      </c>
      <c r="K2247" s="25" t="s">
        <v>526</v>
      </c>
    </row>
    <row r="2248" spans="1:11" ht="25.5" x14ac:dyDescent="0.25">
      <c r="A2248" s="22">
        <v>2026</v>
      </c>
      <c r="B2248" s="28" t="s">
        <v>192</v>
      </c>
      <c r="C2248" s="28" t="s">
        <v>97</v>
      </c>
      <c r="D2248" s="28" t="s">
        <v>1703</v>
      </c>
      <c r="E2248" s="29" t="s">
        <v>569</v>
      </c>
      <c r="F2248" s="29" t="s">
        <v>298</v>
      </c>
      <c r="G2248" s="25" t="s">
        <v>3994</v>
      </c>
      <c r="H2248" s="26">
        <v>-1.1709944000000001</v>
      </c>
      <c r="I2248" s="26"/>
      <c r="J2248" s="26" t="s">
        <v>512</v>
      </c>
      <c r="K2248" s="25" t="s">
        <v>526</v>
      </c>
    </row>
    <row r="2249" spans="1:11" ht="25.5" x14ac:dyDescent="0.25">
      <c r="A2249" s="22">
        <v>2026</v>
      </c>
      <c r="B2249" s="28" t="s">
        <v>192</v>
      </c>
      <c r="C2249" s="28" t="s">
        <v>97</v>
      </c>
      <c r="D2249" s="28" t="s">
        <v>1703</v>
      </c>
      <c r="E2249" s="29" t="s">
        <v>569</v>
      </c>
      <c r="F2249" s="29" t="s">
        <v>298</v>
      </c>
      <c r="G2249" s="25" t="s">
        <v>3995</v>
      </c>
      <c r="H2249" s="26">
        <v>-0.98648001056000012</v>
      </c>
      <c r="I2249" s="26"/>
      <c r="J2249" s="26" t="s">
        <v>512</v>
      </c>
      <c r="K2249" s="25" t="s">
        <v>526</v>
      </c>
    </row>
    <row r="2250" spans="1:11" ht="25.5" x14ac:dyDescent="0.25">
      <c r="A2250" s="22">
        <v>2026</v>
      </c>
      <c r="B2250" s="28" t="s">
        <v>192</v>
      </c>
      <c r="C2250" s="28" t="s">
        <v>97</v>
      </c>
      <c r="D2250" s="28" t="s">
        <v>1703</v>
      </c>
      <c r="E2250" s="29" t="s">
        <v>569</v>
      </c>
      <c r="F2250" s="29" t="s">
        <v>298</v>
      </c>
      <c r="G2250" s="25" t="s">
        <v>3996</v>
      </c>
      <c r="H2250" s="26">
        <v>-1.1017474337200002</v>
      </c>
      <c r="I2250" s="26"/>
      <c r="J2250" s="26" t="s">
        <v>512</v>
      </c>
      <c r="K2250" s="25" t="s">
        <v>526</v>
      </c>
    </row>
    <row r="2251" spans="1:11" ht="25.5" x14ac:dyDescent="0.25">
      <c r="A2251" s="22">
        <v>2026</v>
      </c>
      <c r="B2251" s="28" t="s">
        <v>192</v>
      </c>
      <c r="C2251" s="28" t="s">
        <v>97</v>
      </c>
      <c r="D2251" s="28" t="s">
        <v>1705</v>
      </c>
      <c r="E2251" s="29" t="s">
        <v>1765</v>
      </c>
      <c r="F2251" s="29" t="s">
        <v>1766</v>
      </c>
      <c r="G2251" s="25" t="s">
        <v>4001</v>
      </c>
      <c r="H2251" s="26">
        <v>-0.20631024000000003</v>
      </c>
      <c r="I2251" s="26"/>
      <c r="J2251" s="26" t="s">
        <v>514</v>
      </c>
      <c r="K2251" s="25" t="s">
        <v>513</v>
      </c>
    </row>
    <row r="2252" spans="1:11" ht="25.5" x14ac:dyDescent="0.25">
      <c r="A2252" s="22">
        <v>2026</v>
      </c>
      <c r="B2252" s="28" t="s">
        <v>192</v>
      </c>
      <c r="C2252" s="28" t="s">
        <v>97</v>
      </c>
      <c r="D2252" s="28" t="s">
        <v>1705</v>
      </c>
      <c r="E2252" s="29" t="s">
        <v>1765</v>
      </c>
      <c r="F2252" s="29" t="s">
        <v>1766</v>
      </c>
      <c r="G2252" s="25" t="s">
        <v>4002</v>
      </c>
      <c r="H2252" s="26">
        <v>-0.25884600000000002</v>
      </c>
      <c r="I2252" s="26"/>
      <c r="J2252" s="26" t="s">
        <v>514</v>
      </c>
      <c r="K2252" s="25" t="s">
        <v>513</v>
      </c>
    </row>
    <row r="2253" spans="1:11" ht="25.5" x14ac:dyDescent="0.25">
      <c r="A2253" s="22">
        <v>2026</v>
      </c>
      <c r="B2253" s="28" t="s">
        <v>192</v>
      </c>
      <c r="C2253" s="28" t="s">
        <v>97</v>
      </c>
      <c r="D2253" s="28" t="s">
        <v>1705</v>
      </c>
      <c r="E2253" s="29" t="s">
        <v>1765</v>
      </c>
      <c r="F2253" s="29" t="s">
        <v>1766</v>
      </c>
      <c r="G2253" s="25" t="s">
        <v>4003</v>
      </c>
      <c r="H2253" s="26">
        <v>-3.1134576399999999E-2</v>
      </c>
      <c r="I2253" s="26"/>
      <c r="J2253" s="26" t="s">
        <v>514</v>
      </c>
      <c r="K2253" s="25" t="s">
        <v>513</v>
      </c>
    </row>
    <row r="2254" spans="1:11" ht="25.5" x14ac:dyDescent="0.25">
      <c r="A2254" s="22">
        <v>2026</v>
      </c>
      <c r="B2254" s="28" t="s">
        <v>192</v>
      </c>
      <c r="C2254" s="28" t="s">
        <v>97</v>
      </c>
      <c r="D2254" s="28" t="s">
        <v>1705</v>
      </c>
      <c r="E2254" s="29" t="s">
        <v>1765</v>
      </c>
      <c r="F2254" s="29" t="s">
        <v>1766</v>
      </c>
      <c r="G2254" s="25" t="s">
        <v>4004</v>
      </c>
      <c r="H2254" s="26">
        <v>-0.15138437190000001</v>
      </c>
      <c r="I2254" s="26"/>
      <c r="J2254" s="26" t="s">
        <v>514</v>
      </c>
      <c r="K2254" s="25" t="s">
        <v>513</v>
      </c>
    </row>
    <row r="2255" spans="1:11" ht="25.5" x14ac:dyDescent="0.25">
      <c r="A2255" s="22">
        <v>2026</v>
      </c>
      <c r="B2255" s="28" t="s">
        <v>192</v>
      </c>
      <c r="C2255" s="28" t="s">
        <v>97</v>
      </c>
      <c r="D2255" s="28" t="s">
        <v>1705</v>
      </c>
      <c r="E2255" s="29" t="s">
        <v>1765</v>
      </c>
      <c r="F2255" s="29" t="s">
        <v>1766</v>
      </c>
      <c r="G2255" s="25" t="s">
        <v>4005</v>
      </c>
      <c r="H2255" s="26">
        <v>-2.2389E-4</v>
      </c>
      <c r="I2255" s="26"/>
      <c r="J2255" s="26" t="s">
        <v>514</v>
      </c>
      <c r="K2255" s="25" t="s">
        <v>513</v>
      </c>
    </row>
    <row r="2256" spans="1:11" ht="25.5" x14ac:dyDescent="0.25">
      <c r="A2256" s="22">
        <v>2026</v>
      </c>
      <c r="B2256" s="28" t="s">
        <v>192</v>
      </c>
      <c r="C2256" s="28" t="s">
        <v>97</v>
      </c>
      <c r="D2256" s="28" t="s">
        <v>1705</v>
      </c>
      <c r="E2256" s="29" t="s">
        <v>1765</v>
      </c>
      <c r="F2256" s="29" t="s">
        <v>1766</v>
      </c>
      <c r="G2256" s="25" t="s">
        <v>4006</v>
      </c>
      <c r="H2256" s="26">
        <v>-0.21948999999999999</v>
      </c>
      <c r="I2256" s="26"/>
      <c r="J2256" s="26" t="s">
        <v>514</v>
      </c>
      <c r="K2256" s="25" t="s">
        <v>513</v>
      </c>
    </row>
    <row r="2257" spans="1:11" ht="25.5" x14ac:dyDescent="0.25">
      <c r="A2257" s="22">
        <v>2026</v>
      </c>
      <c r="B2257" s="28" t="s">
        <v>192</v>
      </c>
      <c r="C2257" s="28" t="s">
        <v>97</v>
      </c>
      <c r="D2257" s="28" t="s">
        <v>1705</v>
      </c>
      <c r="E2257" s="29" t="s">
        <v>1765</v>
      </c>
      <c r="F2257" s="29" t="s">
        <v>1766</v>
      </c>
      <c r="G2257" s="25" t="s">
        <v>4007</v>
      </c>
      <c r="H2257" s="26">
        <v>-1.9717960000000003E-2</v>
      </c>
      <c r="I2257" s="26"/>
      <c r="J2257" s="26" t="s">
        <v>514</v>
      </c>
      <c r="K2257" s="25" t="s">
        <v>513</v>
      </c>
    </row>
    <row r="2258" spans="1:11" ht="25.5" x14ac:dyDescent="0.25">
      <c r="A2258" s="22">
        <v>2026</v>
      </c>
      <c r="B2258" s="28" t="s">
        <v>192</v>
      </c>
      <c r="C2258" s="28" t="s">
        <v>97</v>
      </c>
      <c r="D2258" s="28" t="s">
        <v>1705</v>
      </c>
      <c r="E2258" s="29" t="s">
        <v>1765</v>
      </c>
      <c r="F2258" s="29" t="s">
        <v>1766</v>
      </c>
      <c r="G2258" s="25" t="s">
        <v>4008</v>
      </c>
      <c r="H2258" s="26">
        <v>-1.5810320000000003E-2</v>
      </c>
      <c r="I2258" s="26"/>
      <c r="J2258" s="26" t="s">
        <v>514</v>
      </c>
      <c r="K2258" s="25" t="s">
        <v>513</v>
      </c>
    </row>
    <row r="2259" spans="1:11" ht="25.5" x14ac:dyDescent="0.25">
      <c r="A2259" s="22">
        <v>2026</v>
      </c>
      <c r="B2259" s="28" t="s">
        <v>192</v>
      </c>
      <c r="C2259" s="28" t="s">
        <v>97</v>
      </c>
      <c r="D2259" s="28" t="s">
        <v>1705</v>
      </c>
      <c r="E2259" s="29" t="s">
        <v>1765</v>
      </c>
      <c r="F2259" s="29" t="s">
        <v>1766</v>
      </c>
      <c r="G2259" s="25" t="s">
        <v>4009</v>
      </c>
      <c r="H2259" s="26">
        <v>-0.10636758000000002</v>
      </c>
      <c r="I2259" s="26"/>
      <c r="J2259" s="26" t="s">
        <v>514</v>
      </c>
      <c r="K2259" s="25" t="s">
        <v>513</v>
      </c>
    </row>
    <row r="2260" spans="1:11" ht="25.5" x14ac:dyDescent="0.25">
      <c r="A2260" s="22">
        <v>2026</v>
      </c>
      <c r="B2260" s="28" t="s">
        <v>192</v>
      </c>
      <c r="C2260" s="28" t="s">
        <v>97</v>
      </c>
      <c r="D2260" s="28" t="s">
        <v>1705</v>
      </c>
      <c r="E2260" s="29" t="s">
        <v>1765</v>
      </c>
      <c r="F2260" s="29" t="s">
        <v>1766</v>
      </c>
      <c r="G2260" s="25" t="s">
        <v>4010</v>
      </c>
      <c r="H2260" s="26">
        <v>-0.21292974000000001</v>
      </c>
      <c r="I2260" s="26"/>
      <c r="J2260" s="26" t="s">
        <v>514</v>
      </c>
      <c r="K2260" s="25" t="s">
        <v>513</v>
      </c>
    </row>
    <row r="2261" spans="1:11" ht="25.5" x14ac:dyDescent="0.25">
      <c r="A2261" s="22">
        <v>2026</v>
      </c>
      <c r="B2261" s="28" t="s">
        <v>192</v>
      </c>
      <c r="C2261" s="28" t="s">
        <v>97</v>
      </c>
      <c r="D2261" s="28" t="s">
        <v>1705</v>
      </c>
      <c r="E2261" s="29" t="s">
        <v>1765</v>
      </c>
      <c r="F2261" s="29" t="s">
        <v>1766</v>
      </c>
      <c r="G2261" s="25" t="s">
        <v>4011</v>
      </c>
      <c r="H2261" s="26">
        <v>-0.59208799999999995</v>
      </c>
      <c r="I2261" s="26"/>
      <c r="J2261" s="26" t="s">
        <v>514</v>
      </c>
      <c r="K2261" s="25" t="s">
        <v>513</v>
      </c>
    </row>
    <row r="2262" spans="1:11" ht="25.5" x14ac:dyDescent="0.25">
      <c r="A2262" s="22">
        <v>2026</v>
      </c>
      <c r="B2262" s="28" t="s">
        <v>192</v>
      </c>
      <c r="C2262" s="28" t="s">
        <v>97</v>
      </c>
      <c r="D2262" s="28" t="s">
        <v>1705</v>
      </c>
      <c r="E2262" s="29" t="s">
        <v>1765</v>
      </c>
      <c r="F2262" s="29" t="s">
        <v>1766</v>
      </c>
      <c r="G2262" s="25" t="s">
        <v>4012</v>
      </c>
      <c r="H2262" s="26">
        <v>-0.61074855000000006</v>
      </c>
      <c r="I2262" s="26"/>
      <c r="J2262" s="26" t="s">
        <v>514</v>
      </c>
      <c r="K2262" s="25" t="s">
        <v>513</v>
      </c>
    </row>
    <row r="2263" spans="1:11" ht="25.5" x14ac:dyDescent="0.25">
      <c r="A2263" s="22">
        <v>2026</v>
      </c>
      <c r="B2263" s="28" t="s">
        <v>192</v>
      </c>
      <c r="C2263" s="28" t="s">
        <v>97</v>
      </c>
      <c r="D2263" s="28" t="s">
        <v>1705</v>
      </c>
      <c r="E2263" s="29" t="s">
        <v>1765</v>
      </c>
      <c r="F2263" s="29" t="s">
        <v>1766</v>
      </c>
      <c r="G2263" s="25" t="s">
        <v>4013</v>
      </c>
      <c r="H2263" s="26">
        <v>-0.87400247720000013</v>
      </c>
      <c r="I2263" s="26"/>
      <c r="J2263" s="26" t="s">
        <v>514</v>
      </c>
      <c r="K2263" s="25" t="s">
        <v>513</v>
      </c>
    </row>
    <row r="2264" spans="1:11" ht="25.5" x14ac:dyDescent="0.25">
      <c r="A2264" s="22">
        <v>2026</v>
      </c>
      <c r="B2264" s="28" t="s">
        <v>192</v>
      </c>
      <c r="C2264" s="28" t="s">
        <v>97</v>
      </c>
      <c r="D2264" s="28" t="s">
        <v>1705</v>
      </c>
      <c r="E2264" s="29" t="s">
        <v>1765</v>
      </c>
      <c r="F2264" s="29" t="s">
        <v>1766</v>
      </c>
      <c r="G2264" s="25" t="s">
        <v>4014</v>
      </c>
      <c r="H2264" s="26">
        <v>-0.49260162000000002</v>
      </c>
      <c r="I2264" s="26"/>
      <c r="J2264" s="26" t="s">
        <v>514</v>
      </c>
      <c r="K2264" s="25" t="s">
        <v>513</v>
      </c>
    </row>
    <row r="2265" spans="1:11" ht="25.5" x14ac:dyDescent="0.25">
      <c r="A2265" s="22">
        <v>2026</v>
      </c>
      <c r="B2265" s="28" t="s">
        <v>192</v>
      </c>
      <c r="C2265" s="28" t="s">
        <v>97</v>
      </c>
      <c r="D2265" s="28" t="s">
        <v>1706</v>
      </c>
      <c r="E2265" s="29" t="s">
        <v>1765</v>
      </c>
      <c r="F2265" s="29" t="s">
        <v>1766</v>
      </c>
      <c r="G2265" s="25" t="s">
        <v>4015</v>
      </c>
      <c r="H2265" s="26">
        <v>-1.5584743328E-2</v>
      </c>
      <c r="I2265" s="26"/>
      <c r="J2265" s="26" t="s">
        <v>514</v>
      </c>
      <c r="K2265" s="25" t="s">
        <v>513</v>
      </c>
    </row>
    <row r="2266" spans="1:11" ht="25.5" x14ac:dyDescent="0.25">
      <c r="A2266" s="22">
        <v>2026</v>
      </c>
      <c r="B2266" s="28" t="s">
        <v>192</v>
      </c>
      <c r="C2266" s="28" t="s">
        <v>97</v>
      </c>
      <c r="D2266" s="28" t="s">
        <v>1706</v>
      </c>
      <c r="E2266" s="29" t="s">
        <v>1765</v>
      </c>
      <c r="F2266" s="29" t="s">
        <v>1766</v>
      </c>
      <c r="G2266" s="25" t="s">
        <v>4016</v>
      </c>
      <c r="H2266" s="26">
        <v>-1.6309189295999999E-3</v>
      </c>
      <c r="I2266" s="26"/>
      <c r="J2266" s="26" t="s">
        <v>514</v>
      </c>
      <c r="K2266" s="25" t="s">
        <v>513</v>
      </c>
    </row>
    <row r="2267" spans="1:11" ht="25.5" x14ac:dyDescent="0.25">
      <c r="A2267" s="22">
        <v>2026</v>
      </c>
      <c r="B2267" s="28" t="s">
        <v>192</v>
      </c>
      <c r="C2267" s="28" t="s">
        <v>97</v>
      </c>
      <c r="D2267" s="28" t="s">
        <v>1706</v>
      </c>
      <c r="E2267" s="29" t="s">
        <v>1765</v>
      </c>
      <c r="F2267" s="29" t="s">
        <v>1766</v>
      </c>
      <c r="G2267" s="25" t="s">
        <v>4017</v>
      </c>
      <c r="H2267" s="26">
        <v>-4.7628186000000003E-2</v>
      </c>
      <c r="I2267" s="26"/>
      <c r="J2267" s="26" t="s">
        <v>514</v>
      </c>
      <c r="K2267" s="25" t="s">
        <v>513</v>
      </c>
    </row>
    <row r="2268" spans="1:11" ht="25.5" x14ac:dyDescent="0.25">
      <c r="A2268" s="22">
        <v>2026</v>
      </c>
      <c r="B2268" s="28" t="s">
        <v>192</v>
      </c>
      <c r="C2268" s="28" t="s">
        <v>97</v>
      </c>
      <c r="D2268" s="28" t="s">
        <v>224</v>
      </c>
      <c r="E2268" s="29" t="s">
        <v>411</v>
      </c>
      <c r="F2268" s="29" t="s">
        <v>350</v>
      </c>
      <c r="G2268" s="25" t="s">
        <v>4018</v>
      </c>
      <c r="H2268" s="26">
        <v>-1.4296800000000001</v>
      </c>
      <c r="I2268" s="26"/>
      <c r="J2268" s="26" t="s">
        <v>512</v>
      </c>
      <c r="K2268" s="25" t="s">
        <v>513</v>
      </c>
    </row>
    <row r="2269" spans="1:11" ht="25.5" x14ac:dyDescent="0.25">
      <c r="A2269" s="22">
        <v>2026</v>
      </c>
      <c r="B2269" s="28" t="s">
        <v>192</v>
      </c>
      <c r="C2269" s="28" t="s">
        <v>97</v>
      </c>
      <c r="D2269" s="28" t="s">
        <v>224</v>
      </c>
      <c r="E2269" s="29" t="s">
        <v>411</v>
      </c>
      <c r="F2269" s="29" t="s">
        <v>350</v>
      </c>
      <c r="G2269" s="25" t="s">
        <v>4019</v>
      </c>
      <c r="H2269" s="26">
        <v>-1.5549249999999999</v>
      </c>
      <c r="I2269" s="26"/>
      <c r="J2269" s="26" t="s">
        <v>512</v>
      </c>
      <c r="K2269" s="25" t="s">
        <v>513</v>
      </c>
    </row>
    <row r="2270" spans="1:11" ht="25.5" x14ac:dyDescent="0.25">
      <c r="A2270" s="22">
        <v>2026</v>
      </c>
      <c r="B2270" s="28" t="s">
        <v>192</v>
      </c>
      <c r="C2270" s="28" t="s">
        <v>97</v>
      </c>
      <c r="D2270" s="28" t="s">
        <v>224</v>
      </c>
      <c r="E2270" s="29" t="s">
        <v>411</v>
      </c>
      <c r="F2270" s="29" t="s">
        <v>350</v>
      </c>
      <c r="G2270" s="25" t="s">
        <v>4020</v>
      </c>
      <c r="H2270" s="26">
        <v>-1.20777</v>
      </c>
      <c r="I2270" s="26"/>
      <c r="J2270" s="26" t="s">
        <v>512</v>
      </c>
      <c r="K2270" s="25" t="s">
        <v>513</v>
      </c>
    </row>
    <row r="2271" spans="1:11" ht="25.5" x14ac:dyDescent="0.25">
      <c r="A2271" s="22">
        <v>2026</v>
      </c>
      <c r="B2271" s="28" t="s">
        <v>192</v>
      </c>
      <c r="C2271" s="28" t="s">
        <v>97</v>
      </c>
      <c r="D2271" s="28" t="s">
        <v>224</v>
      </c>
      <c r="E2271" s="29" t="s">
        <v>411</v>
      </c>
      <c r="F2271" s="29" t="s">
        <v>350</v>
      </c>
      <c r="G2271" s="25" t="s">
        <v>4021</v>
      </c>
      <c r="H2271" s="26">
        <v>-1.9314720000000001</v>
      </c>
      <c r="I2271" s="26"/>
      <c r="J2271" s="26" t="s">
        <v>512</v>
      </c>
      <c r="K2271" s="25" t="s">
        <v>513</v>
      </c>
    </row>
    <row r="2272" spans="1:11" ht="25.5" x14ac:dyDescent="0.25">
      <c r="A2272" s="22">
        <v>2026</v>
      </c>
      <c r="B2272" s="28" t="s">
        <v>192</v>
      </c>
      <c r="C2272" s="28" t="s">
        <v>97</v>
      </c>
      <c r="D2272" s="28" t="s">
        <v>1707</v>
      </c>
      <c r="E2272" s="29" t="s">
        <v>369</v>
      </c>
      <c r="F2272" s="29" t="s">
        <v>378</v>
      </c>
      <c r="G2272" s="25" t="s">
        <v>4022</v>
      </c>
      <c r="H2272" s="26">
        <v>-0.2227806</v>
      </c>
      <c r="I2272" s="26"/>
      <c r="J2272" s="26" t="s">
        <v>512</v>
      </c>
      <c r="K2272" s="25" t="s">
        <v>513</v>
      </c>
    </row>
    <row r="2273" spans="1:11" ht="25.5" x14ac:dyDescent="0.25">
      <c r="A2273" s="22">
        <v>2026</v>
      </c>
      <c r="B2273" s="28" t="s">
        <v>192</v>
      </c>
      <c r="C2273" s="28" t="s">
        <v>97</v>
      </c>
      <c r="D2273" s="28" t="s">
        <v>1707</v>
      </c>
      <c r="E2273" s="29" t="s">
        <v>369</v>
      </c>
      <c r="F2273" s="29" t="s">
        <v>378</v>
      </c>
      <c r="G2273" s="25" t="s">
        <v>4023</v>
      </c>
      <c r="H2273" s="26">
        <v>-2.2862500000000001E-2</v>
      </c>
      <c r="I2273" s="26"/>
      <c r="J2273" s="26" t="s">
        <v>512</v>
      </c>
      <c r="K2273" s="25" t="s">
        <v>513</v>
      </c>
    </row>
    <row r="2274" spans="1:11" ht="25.5" x14ac:dyDescent="0.25">
      <c r="A2274" s="22">
        <v>2026</v>
      </c>
      <c r="B2274" s="28" t="s">
        <v>192</v>
      </c>
      <c r="C2274" s="28" t="s">
        <v>97</v>
      </c>
      <c r="D2274" s="28" t="s">
        <v>1707</v>
      </c>
      <c r="E2274" s="29" t="s">
        <v>369</v>
      </c>
      <c r="F2274" s="29" t="s">
        <v>378</v>
      </c>
      <c r="G2274" s="25" t="s">
        <v>4024</v>
      </c>
      <c r="H2274" s="26">
        <v>-5.0467999999999999E-2</v>
      </c>
      <c r="I2274" s="26"/>
      <c r="J2274" s="26" t="s">
        <v>512</v>
      </c>
      <c r="K2274" s="25" t="s">
        <v>513</v>
      </c>
    </row>
    <row r="2275" spans="1:11" ht="25.5" x14ac:dyDescent="0.25">
      <c r="A2275" s="22">
        <v>2026</v>
      </c>
      <c r="B2275" s="28" t="s">
        <v>192</v>
      </c>
      <c r="C2275" s="28" t="s">
        <v>97</v>
      </c>
      <c r="D2275" s="28" t="s">
        <v>1707</v>
      </c>
      <c r="E2275" s="29" t="s">
        <v>369</v>
      </c>
      <c r="F2275" s="29" t="s">
        <v>378</v>
      </c>
      <c r="G2275" s="25" t="s">
        <v>4025</v>
      </c>
      <c r="H2275" s="26">
        <v>-6.4371999999999999E-2</v>
      </c>
      <c r="I2275" s="26"/>
      <c r="J2275" s="26" t="s">
        <v>512</v>
      </c>
      <c r="K2275" s="25" t="s">
        <v>513</v>
      </c>
    </row>
    <row r="2276" spans="1:11" ht="25.5" x14ac:dyDescent="0.25">
      <c r="A2276" s="22">
        <v>2026</v>
      </c>
      <c r="B2276" s="28" t="s">
        <v>192</v>
      </c>
      <c r="C2276" s="28" t="s">
        <v>97</v>
      </c>
      <c r="D2276" s="28" t="s">
        <v>1707</v>
      </c>
      <c r="E2276" s="29" t="s">
        <v>369</v>
      </c>
      <c r="F2276" s="29" t="s">
        <v>378</v>
      </c>
      <c r="G2276" s="25" t="s">
        <v>4026</v>
      </c>
      <c r="H2276" s="26">
        <v>-2.41852E-2</v>
      </c>
      <c r="I2276" s="26"/>
      <c r="J2276" s="26" t="s">
        <v>512</v>
      </c>
      <c r="K2276" s="25" t="s">
        <v>513</v>
      </c>
    </row>
    <row r="2277" spans="1:11" ht="25.5" x14ac:dyDescent="0.25">
      <c r="A2277" s="22">
        <v>2026</v>
      </c>
      <c r="B2277" s="28" t="s">
        <v>192</v>
      </c>
      <c r="C2277" s="28" t="s">
        <v>97</v>
      </c>
      <c r="D2277" s="28" t="s">
        <v>1707</v>
      </c>
      <c r="E2277" s="29" t="s">
        <v>369</v>
      </c>
      <c r="F2277" s="29" t="s">
        <v>378</v>
      </c>
      <c r="G2277" s="25" t="s">
        <v>4027</v>
      </c>
      <c r="H2277" s="26">
        <v>-0.18987100000000001</v>
      </c>
      <c r="I2277" s="26"/>
      <c r="J2277" s="26" t="s">
        <v>512</v>
      </c>
      <c r="K2277" s="25" t="s">
        <v>513</v>
      </c>
    </row>
    <row r="2278" spans="1:11" ht="25.5" x14ac:dyDescent="0.25">
      <c r="A2278" s="22">
        <v>2026</v>
      </c>
      <c r="B2278" s="28" t="s">
        <v>192</v>
      </c>
      <c r="C2278" s="28" t="s">
        <v>97</v>
      </c>
      <c r="D2278" s="28" t="s">
        <v>1707</v>
      </c>
      <c r="E2278" s="29" t="s">
        <v>369</v>
      </c>
      <c r="F2278" s="29" t="s">
        <v>378</v>
      </c>
      <c r="G2278" s="25" t="s">
        <v>4028</v>
      </c>
      <c r="H2278" s="26">
        <v>-9.2499999999999995E-3</v>
      </c>
      <c r="I2278" s="26"/>
      <c r="J2278" s="26" t="s">
        <v>512</v>
      </c>
      <c r="K2278" s="25" t="s">
        <v>513</v>
      </c>
    </row>
    <row r="2279" spans="1:11" ht="25.5" x14ac:dyDescent="0.25">
      <c r="A2279" s="22">
        <v>2026</v>
      </c>
      <c r="B2279" s="28" t="s">
        <v>192</v>
      </c>
      <c r="C2279" s="28" t="s">
        <v>97</v>
      </c>
      <c r="D2279" s="28" t="s">
        <v>1707</v>
      </c>
      <c r="E2279" s="29" t="s">
        <v>369</v>
      </c>
      <c r="F2279" s="29" t="s">
        <v>378</v>
      </c>
      <c r="G2279" s="25" t="s">
        <v>4029</v>
      </c>
      <c r="H2279" s="26">
        <v>-0.32005050000000002</v>
      </c>
      <c r="I2279" s="26"/>
      <c r="J2279" s="26" t="s">
        <v>512</v>
      </c>
      <c r="K2279" s="25" t="s">
        <v>513</v>
      </c>
    </row>
    <row r="2280" spans="1:11" ht="25.5" x14ac:dyDescent="0.25">
      <c r="A2280" s="22">
        <v>2026</v>
      </c>
      <c r="B2280" s="28" t="s">
        <v>192</v>
      </c>
      <c r="C2280" s="28" t="s">
        <v>97</v>
      </c>
      <c r="D2280" s="28" t="s">
        <v>1707</v>
      </c>
      <c r="E2280" s="29" t="s">
        <v>369</v>
      </c>
      <c r="F2280" s="29" t="s">
        <v>378</v>
      </c>
      <c r="G2280" s="25" t="s">
        <v>4030</v>
      </c>
      <c r="H2280" s="26">
        <v>-0.24898822439999999</v>
      </c>
      <c r="I2280" s="26"/>
      <c r="J2280" s="26" t="s">
        <v>512</v>
      </c>
      <c r="K2280" s="25" t="s">
        <v>513</v>
      </c>
    </row>
    <row r="2281" spans="1:11" ht="25.5" x14ac:dyDescent="0.25">
      <c r="A2281" s="22">
        <v>2026</v>
      </c>
      <c r="B2281" s="28" t="s">
        <v>192</v>
      </c>
      <c r="C2281" s="28" t="s">
        <v>97</v>
      </c>
      <c r="D2281" s="28" t="s">
        <v>1707</v>
      </c>
      <c r="E2281" s="29" t="s">
        <v>369</v>
      </c>
      <c r="F2281" s="29" t="s">
        <v>378</v>
      </c>
      <c r="G2281" s="25" t="s">
        <v>4031</v>
      </c>
      <c r="H2281" s="26">
        <v>-8.39944626E-2</v>
      </c>
      <c r="I2281" s="26"/>
      <c r="J2281" s="26" t="s">
        <v>512</v>
      </c>
      <c r="K2281" s="25" t="s">
        <v>513</v>
      </c>
    </row>
    <row r="2282" spans="1:11" ht="25.5" x14ac:dyDescent="0.25">
      <c r="A2282" s="22">
        <v>2026</v>
      </c>
      <c r="B2282" s="28" t="s">
        <v>192</v>
      </c>
      <c r="C2282" s="28" t="s">
        <v>97</v>
      </c>
      <c r="D2282" s="28" t="s">
        <v>1707</v>
      </c>
      <c r="E2282" s="29" t="s">
        <v>369</v>
      </c>
      <c r="F2282" s="29" t="s">
        <v>378</v>
      </c>
      <c r="G2282" s="25" t="s">
        <v>4032</v>
      </c>
      <c r="H2282" s="26">
        <v>-8.2020400000000007E-2</v>
      </c>
      <c r="I2282" s="26"/>
      <c r="J2282" s="26" t="s">
        <v>512</v>
      </c>
      <c r="K2282" s="25" t="s">
        <v>513</v>
      </c>
    </row>
    <row r="2283" spans="1:11" ht="25.5" x14ac:dyDescent="0.25">
      <c r="A2283" s="22">
        <v>2026</v>
      </c>
      <c r="B2283" s="28" t="s">
        <v>192</v>
      </c>
      <c r="C2283" s="28" t="s">
        <v>97</v>
      </c>
      <c r="D2283" s="28" t="s">
        <v>1707</v>
      </c>
      <c r="E2283" s="29" t="s">
        <v>369</v>
      </c>
      <c r="F2283" s="29" t="s">
        <v>378</v>
      </c>
      <c r="G2283" s="25" t="s">
        <v>4033</v>
      </c>
      <c r="H2283" s="26">
        <v>-9.2189999999999994E-2</v>
      </c>
      <c r="I2283" s="26"/>
      <c r="J2283" s="26" t="s">
        <v>512</v>
      </c>
      <c r="K2283" s="25" t="s">
        <v>513</v>
      </c>
    </row>
    <row r="2284" spans="1:11" ht="25.5" x14ac:dyDescent="0.25">
      <c r="A2284" s="22">
        <v>2026</v>
      </c>
      <c r="B2284" s="28" t="s">
        <v>192</v>
      </c>
      <c r="C2284" s="28" t="s">
        <v>97</v>
      </c>
      <c r="D2284" s="28" t="s">
        <v>1708</v>
      </c>
      <c r="E2284" s="29" t="s">
        <v>369</v>
      </c>
      <c r="F2284" s="29" t="s">
        <v>483</v>
      </c>
      <c r="G2284" s="25" t="s">
        <v>4034</v>
      </c>
      <c r="H2284" s="26">
        <v>-0.236119144</v>
      </c>
      <c r="I2284" s="26"/>
      <c r="J2284" s="26" t="s">
        <v>512</v>
      </c>
      <c r="K2284" s="25" t="s">
        <v>513</v>
      </c>
    </row>
    <row r="2285" spans="1:11" ht="25.5" x14ac:dyDescent="0.25">
      <c r="A2285" s="22">
        <v>2026</v>
      </c>
      <c r="B2285" s="28" t="s">
        <v>192</v>
      </c>
      <c r="C2285" s="28" t="s">
        <v>97</v>
      </c>
      <c r="D2285" s="28" t="s">
        <v>1708</v>
      </c>
      <c r="E2285" s="29" t="s">
        <v>369</v>
      </c>
      <c r="F2285" s="29" t="s">
        <v>483</v>
      </c>
      <c r="G2285" s="25" t="s">
        <v>4035</v>
      </c>
      <c r="H2285" s="26">
        <v>-0.11819800000000001</v>
      </c>
      <c r="I2285" s="26"/>
      <c r="J2285" s="26" t="s">
        <v>512</v>
      </c>
      <c r="K2285" s="25" t="s">
        <v>513</v>
      </c>
    </row>
    <row r="2286" spans="1:11" ht="25.5" x14ac:dyDescent="0.25">
      <c r="A2286" s="22">
        <v>2026</v>
      </c>
      <c r="B2286" s="28" t="s">
        <v>192</v>
      </c>
      <c r="C2286" s="28" t="s">
        <v>97</v>
      </c>
      <c r="D2286" s="28" t="s">
        <v>1708</v>
      </c>
      <c r="E2286" s="29" t="s">
        <v>369</v>
      </c>
      <c r="F2286" s="29" t="s">
        <v>483</v>
      </c>
      <c r="G2286" s="25" t="s">
        <v>4036</v>
      </c>
      <c r="H2286" s="26">
        <v>-0.1322739423</v>
      </c>
      <c r="I2286" s="26"/>
      <c r="J2286" s="26" t="s">
        <v>512</v>
      </c>
      <c r="K2286" s="25" t="s">
        <v>513</v>
      </c>
    </row>
    <row r="2287" spans="1:11" ht="25.5" x14ac:dyDescent="0.25">
      <c r="A2287" s="22">
        <v>2026</v>
      </c>
      <c r="B2287" s="28" t="s">
        <v>192</v>
      </c>
      <c r="C2287" s="28" t="s">
        <v>97</v>
      </c>
      <c r="D2287" s="28" t="s">
        <v>1708</v>
      </c>
      <c r="E2287" s="29" t="s">
        <v>369</v>
      </c>
      <c r="F2287" s="29" t="s">
        <v>483</v>
      </c>
      <c r="G2287" s="25" t="s">
        <v>4037</v>
      </c>
      <c r="H2287" s="26">
        <v>-0.115138</v>
      </c>
      <c r="I2287" s="26"/>
      <c r="J2287" s="26" t="s">
        <v>512</v>
      </c>
      <c r="K2287" s="25" t="s">
        <v>513</v>
      </c>
    </row>
    <row r="2288" spans="1:11" ht="25.5" x14ac:dyDescent="0.25">
      <c r="A2288" s="22">
        <v>2026</v>
      </c>
      <c r="B2288" s="28" t="s">
        <v>192</v>
      </c>
      <c r="C2288" s="28" t="s">
        <v>97</v>
      </c>
      <c r="D2288" s="28" t="s">
        <v>1708</v>
      </c>
      <c r="E2288" s="29" t="s">
        <v>369</v>
      </c>
      <c r="F2288" s="29" t="s">
        <v>483</v>
      </c>
      <c r="G2288" s="25" t="s">
        <v>4038</v>
      </c>
      <c r="H2288" s="26">
        <v>-9.2019054399999994E-2</v>
      </c>
      <c r="I2288" s="26"/>
      <c r="J2288" s="26" t="s">
        <v>512</v>
      </c>
      <c r="K2288" s="25" t="s">
        <v>513</v>
      </c>
    </row>
    <row r="2289" spans="1:11" ht="25.5" x14ac:dyDescent="0.25">
      <c r="A2289" s="22">
        <v>2026</v>
      </c>
      <c r="B2289" s="28" t="s">
        <v>192</v>
      </c>
      <c r="C2289" s="28" t="s">
        <v>97</v>
      </c>
      <c r="D2289" s="28" t="s">
        <v>1708</v>
      </c>
      <c r="E2289" s="29" t="s">
        <v>369</v>
      </c>
      <c r="F2289" s="29" t="s">
        <v>483</v>
      </c>
      <c r="G2289" s="25" t="s">
        <v>4039</v>
      </c>
      <c r="H2289" s="26">
        <v>-8.8776165800000001E-2</v>
      </c>
      <c r="I2289" s="26"/>
      <c r="J2289" s="26" t="s">
        <v>512</v>
      </c>
      <c r="K2289" s="25" t="s">
        <v>513</v>
      </c>
    </row>
    <row r="2290" spans="1:11" ht="25.5" x14ac:dyDescent="0.25">
      <c r="A2290" s="22">
        <v>2026</v>
      </c>
      <c r="B2290" s="28" t="s">
        <v>192</v>
      </c>
      <c r="C2290" s="28" t="s">
        <v>97</v>
      </c>
      <c r="D2290" s="28" t="s">
        <v>1708</v>
      </c>
      <c r="E2290" s="29" t="s">
        <v>369</v>
      </c>
      <c r="F2290" s="29" t="s">
        <v>483</v>
      </c>
      <c r="G2290" s="25" t="s">
        <v>4040</v>
      </c>
      <c r="H2290" s="26">
        <v>-8.2042500000000004E-2</v>
      </c>
      <c r="I2290" s="26"/>
      <c r="J2290" s="26" t="s">
        <v>512</v>
      </c>
      <c r="K2290" s="25" t="s">
        <v>513</v>
      </c>
    </row>
    <row r="2291" spans="1:11" ht="25.5" x14ac:dyDescent="0.25">
      <c r="A2291" s="22">
        <v>2026</v>
      </c>
      <c r="B2291" s="28" t="s">
        <v>192</v>
      </c>
      <c r="C2291" s="28" t="s">
        <v>97</v>
      </c>
      <c r="D2291" s="28" t="s">
        <v>1708</v>
      </c>
      <c r="E2291" s="29" t="s">
        <v>369</v>
      </c>
      <c r="F2291" s="29" t="s">
        <v>483</v>
      </c>
      <c r="G2291" s="25" t="s">
        <v>4041</v>
      </c>
      <c r="H2291" s="26">
        <v>-7.6906901999999999E-2</v>
      </c>
      <c r="I2291" s="26"/>
      <c r="J2291" s="26" t="s">
        <v>512</v>
      </c>
      <c r="K2291" s="25" t="s">
        <v>513</v>
      </c>
    </row>
    <row r="2292" spans="1:11" ht="25.5" x14ac:dyDescent="0.25">
      <c r="A2292" s="22">
        <v>2026</v>
      </c>
      <c r="B2292" s="28" t="s">
        <v>192</v>
      </c>
      <c r="C2292" s="28" t="s">
        <v>97</v>
      </c>
      <c r="D2292" s="28" t="s">
        <v>1708</v>
      </c>
      <c r="E2292" s="29" t="s">
        <v>369</v>
      </c>
      <c r="F2292" s="29" t="s">
        <v>483</v>
      </c>
      <c r="G2292" s="25" t="s">
        <v>4042</v>
      </c>
      <c r="H2292" s="26">
        <v>-9.4803815E-2</v>
      </c>
      <c r="I2292" s="26"/>
      <c r="J2292" s="26" t="s">
        <v>512</v>
      </c>
      <c r="K2292" s="25" t="s">
        <v>513</v>
      </c>
    </row>
    <row r="2293" spans="1:11" ht="25.5" x14ac:dyDescent="0.25">
      <c r="A2293" s="22">
        <v>2026</v>
      </c>
      <c r="B2293" s="28" t="s">
        <v>192</v>
      </c>
      <c r="C2293" s="28" t="s">
        <v>97</v>
      </c>
      <c r="D2293" s="28" t="s">
        <v>1708</v>
      </c>
      <c r="E2293" s="29" t="s">
        <v>369</v>
      </c>
      <c r="F2293" s="29" t="s">
        <v>483</v>
      </c>
      <c r="G2293" s="25" t="s">
        <v>4043</v>
      </c>
      <c r="H2293" s="26">
        <v>-9.6451250000000002E-2</v>
      </c>
      <c r="I2293" s="26"/>
      <c r="J2293" s="26" t="s">
        <v>512</v>
      </c>
      <c r="K2293" s="25" t="s">
        <v>513</v>
      </c>
    </row>
    <row r="2294" spans="1:11" ht="25.5" x14ac:dyDescent="0.25">
      <c r="A2294" s="22">
        <v>2026</v>
      </c>
      <c r="B2294" s="28" t="s">
        <v>192</v>
      </c>
      <c r="C2294" s="28" t="s">
        <v>97</v>
      </c>
      <c r="D2294" s="28" t="s">
        <v>1708</v>
      </c>
      <c r="E2294" s="29" t="s">
        <v>369</v>
      </c>
      <c r="F2294" s="29" t="s">
        <v>483</v>
      </c>
      <c r="G2294" s="25" t="s">
        <v>4044</v>
      </c>
      <c r="H2294" s="26">
        <v>-0.13805999999999999</v>
      </c>
      <c r="I2294" s="26"/>
      <c r="J2294" s="26" t="s">
        <v>512</v>
      </c>
      <c r="K2294" s="25" t="s">
        <v>513</v>
      </c>
    </row>
    <row r="2295" spans="1:11" ht="25.5" x14ac:dyDescent="0.25">
      <c r="A2295" s="22">
        <v>2026</v>
      </c>
      <c r="B2295" s="28" t="s">
        <v>192</v>
      </c>
      <c r="C2295" s="28" t="s">
        <v>97</v>
      </c>
      <c r="D2295" s="28" t="s">
        <v>1708</v>
      </c>
      <c r="E2295" s="29" t="s">
        <v>369</v>
      </c>
      <c r="F2295" s="29" t="s">
        <v>483</v>
      </c>
      <c r="G2295" s="25" t="s">
        <v>4045</v>
      </c>
      <c r="H2295" s="26">
        <v>-0.13663249999999999</v>
      </c>
      <c r="I2295" s="26"/>
      <c r="J2295" s="26" t="s">
        <v>512</v>
      </c>
      <c r="K2295" s="25" t="s">
        <v>513</v>
      </c>
    </row>
    <row r="2296" spans="1:11" ht="25.5" x14ac:dyDescent="0.25">
      <c r="A2296" s="22">
        <v>2026</v>
      </c>
      <c r="B2296" s="28" t="s">
        <v>192</v>
      </c>
      <c r="C2296" s="28" t="s">
        <v>97</v>
      </c>
      <c r="D2296" s="28" t="s">
        <v>1708</v>
      </c>
      <c r="E2296" s="29" t="s">
        <v>369</v>
      </c>
      <c r="F2296" s="29" t="s">
        <v>483</v>
      </c>
      <c r="G2296" s="25" t="s">
        <v>4046</v>
      </c>
      <c r="H2296" s="26">
        <v>-0.136855</v>
      </c>
      <c r="I2296" s="26"/>
      <c r="J2296" s="26" t="s">
        <v>512</v>
      </c>
      <c r="K2296" s="25" t="s">
        <v>513</v>
      </c>
    </row>
    <row r="2297" spans="1:11" ht="25.5" x14ac:dyDescent="0.25">
      <c r="A2297" s="22">
        <v>2026</v>
      </c>
      <c r="B2297" s="28" t="s">
        <v>192</v>
      </c>
      <c r="C2297" s="28" t="s">
        <v>97</v>
      </c>
      <c r="D2297" s="28" t="s">
        <v>1708</v>
      </c>
      <c r="E2297" s="29" t="s">
        <v>369</v>
      </c>
      <c r="F2297" s="29" t="s">
        <v>483</v>
      </c>
      <c r="G2297" s="25" t="s">
        <v>4047</v>
      </c>
      <c r="H2297" s="26">
        <v>-0.10657140000000001</v>
      </c>
      <c r="I2297" s="26"/>
      <c r="J2297" s="26" t="s">
        <v>512</v>
      </c>
      <c r="K2297" s="25" t="s">
        <v>513</v>
      </c>
    </row>
    <row r="2298" spans="1:11" ht="25.5" x14ac:dyDescent="0.25">
      <c r="A2298" s="22">
        <v>2026</v>
      </c>
      <c r="B2298" s="28" t="s">
        <v>192</v>
      </c>
      <c r="C2298" s="28" t="s">
        <v>97</v>
      </c>
      <c r="D2298" s="28" t="s">
        <v>1708</v>
      </c>
      <c r="E2298" s="29" t="s">
        <v>369</v>
      </c>
      <c r="F2298" s="29" t="s">
        <v>483</v>
      </c>
      <c r="G2298" s="25" t="s">
        <v>4048</v>
      </c>
      <c r="H2298" s="26">
        <v>-0.133045</v>
      </c>
      <c r="I2298" s="26"/>
      <c r="J2298" s="26" t="s">
        <v>512</v>
      </c>
      <c r="K2298" s="25" t="s">
        <v>513</v>
      </c>
    </row>
    <row r="2299" spans="1:11" ht="25.5" x14ac:dyDescent="0.25">
      <c r="A2299" s="22">
        <v>2026</v>
      </c>
      <c r="B2299" s="28" t="s">
        <v>192</v>
      </c>
      <c r="C2299" s="28" t="s">
        <v>97</v>
      </c>
      <c r="D2299" s="28" t="s">
        <v>1708</v>
      </c>
      <c r="E2299" s="29" t="s">
        <v>369</v>
      </c>
      <c r="F2299" s="29" t="s">
        <v>483</v>
      </c>
      <c r="G2299" s="25" t="s">
        <v>4049</v>
      </c>
      <c r="H2299" s="26">
        <v>-0.10571999999999998</v>
      </c>
      <c r="I2299" s="26"/>
      <c r="J2299" s="26" t="s">
        <v>512</v>
      </c>
      <c r="K2299" s="25" t="s">
        <v>513</v>
      </c>
    </row>
    <row r="2300" spans="1:11" ht="25.5" x14ac:dyDescent="0.25">
      <c r="A2300" s="22">
        <v>2026</v>
      </c>
      <c r="B2300" s="28" t="s">
        <v>192</v>
      </c>
      <c r="C2300" s="28" t="s">
        <v>97</v>
      </c>
      <c r="D2300" s="28" t="s">
        <v>1708</v>
      </c>
      <c r="E2300" s="29" t="s">
        <v>369</v>
      </c>
      <c r="F2300" s="29" t="s">
        <v>483</v>
      </c>
      <c r="G2300" s="25" t="s">
        <v>4050</v>
      </c>
      <c r="H2300" s="26">
        <v>-0.18400900000000001</v>
      </c>
      <c r="I2300" s="26"/>
      <c r="J2300" s="26" t="s">
        <v>512</v>
      </c>
      <c r="K2300" s="25" t="s">
        <v>513</v>
      </c>
    </row>
    <row r="2301" spans="1:11" ht="25.5" x14ac:dyDescent="0.25">
      <c r="A2301" s="22">
        <v>2026</v>
      </c>
      <c r="B2301" s="28" t="s">
        <v>192</v>
      </c>
      <c r="C2301" s="28" t="s">
        <v>97</v>
      </c>
      <c r="D2301" s="28" t="s">
        <v>1708</v>
      </c>
      <c r="E2301" s="29" t="s">
        <v>369</v>
      </c>
      <c r="F2301" s="29" t="s">
        <v>483</v>
      </c>
      <c r="G2301" s="25" t="s">
        <v>4051</v>
      </c>
      <c r="H2301" s="26">
        <v>-5.3129999999999997E-2</v>
      </c>
      <c r="I2301" s="26"/>
      <c r="J2301" s="26" t="s">
        <v>512</v>
      </c>
      <c r="K2301" s="25" t="s">
        <v>513</v>
      </c>
    </row>
    <row r="2302" spans="1:11" ht="25.5" x14ac:dyDescent="0.25">
      <c r="A2302" s="22">
        <v>2026</v>
      </c>
      <c r="B2302" s="28" t="s">
        <v>192</v>
      </c>
      <c r="C2302" s="28" t="s">
        <v>97</v>
      </c>
      <c r="D2302" s="28" t="s">
        <v>1708</v>
      </c>
      <c r="E2302" s="29" t="s">
        <v>369</v>
      </c>
      <c r="F2302" s="29" t="s">
        <v>483</v>
      </c>
      <c r="G2302" s="25" t="s">
        <v>4052</v>
      </c>
      <c r="H2302" s="26">
        <v>-0.13168750000000001</v>
      </c>
      <c r="I2302" s="26"/>
      <c r="J2302" s="26" t="s">
        <v>512</v>
      </c>
      <c r="K2302" s="25" t="s">
        <v>513</v>
      </c>
    </row>
    <row r="2303" spans="1:11" ht="25.5" x14ac:dyDescent="0.25">
      <c r="A2303" s="22">
        <v>2026</v>
      </c>
      <c r="B2303" s="28" t="s">
        <v>192</v>
      </c>
      <c r="C2303" s="28" t="s">
        <v>97</v>
      </c>
      <c r="D2303" s="28" t="s">
        <v>1708</v>
      </c>
      <c r="E2303" s="29" t="s">
        <v>369</v>
      </c>
      <c r="F2303" s="29" t="s">
        <v>483</v>
      </c>
      <c r="G2303" s="25" t="s">
        <v>4053</v>
      </c>
      <c r="H2303" s="26">
        <v>-0.1287925</v>
      </c>
      <c r="I2303" s="26"/>
      <c r="J2303" s="26" t="s">
        <v>512</v>
      </c>
      <c r="K2303" s="25" t="s">
        <v>513</v>
      </c>
    </row>
    <row r="2304" spans="1:11" ht="25.5" x14ac:dyDescent="0.25">
      <c r="A2304" s="22">
        <v>2026</v>
      </c>
      <c r="B2304" s="28" t="s">
        <v>192</v>
      </c>
      <c r="C2304" s="28" t="s">
        <v>97</v>
      </c>
      <c r="D2304" s="28" t="s">
        <v>1663</v>
      </c>
      <c r="E2304" s="29" t="s">
        <v>369</v>
      </c>
      <c r="F2304" s="29" t="s">
        <v>378</v>
      </c>
      <c r="G2304" s="25" t="s">
        <v>4054</v>
      </c>
      <c r="H2304" s="26">
        <v>-0.29263800000000001</v>
      </c>
      <c r="I2304" s="26"/>
      <c r="J2304" s="26" t="s">
        <v>512</v>
      </c>
      <c r="K2304" s="25" t="s">
        <v>513</v>
      </c>
    </row>
    <row r="2305" spans="1:11" ht="25.5" x14ac:dyDescent="0.25">
      <c r="A2305" s="22">
        <v>2026</v>
      </c>
      <c r="B2305" s="28" t="s">
        <v>192</v>
      </c>
      <c r="C2305" s="28" t="s">
        <v>97</v>
      </c>
      <c r="D2305" s="28" t="s">
        <v>1663</v>
      </c>
      <c r="E2305" s="29" t="s">
        <v>369</v>
      </c>
      <c r="F2305" s="29" t="s">
        <v>378</v>
      </c>
      <c r="G2305" s="25" t="s">
        <v>4055</v>
      </c>
      <c r="H2305" s="26">
        <v>-0.62141100000000005</v>
      </c>
      <c r="I2305" s="26"/>
      <c r="J2305" s="26" t="s">
        <v>512</v>
      </c>
      <c r="K2305" s="25" t="s">
        <v>513</v>
      </c>
    </row>
    <row r="2306" spans="1:11" ht="25.5" x14ac:dyDescent="0.25">
      <c r="A2306" s="22">
        <v>2026</v>
      </c>
      <c r="B2306" s="28" t="s">
        <v>192</v>
      </c>
      <c r="C2306" s="28" t="s">
        <v>97</v>
      </c>
      <c r="D2306" s="28" t="s">
        <v>1663</v>
      </c>
      <c r="E2306" s="29" t="s">
        <v>369</v>
      </c>
      <c r="F2306" s="29" t="s">
        <v>378</v>
      </c>
      <c r="G2306" s="25" t="s">
        <v>4056</v>
      </c>
      <c r="H2306" s="26">
        <v>-0.52726799999999996</v>
      </c>
      <c r="I2306" s="26"/>
      <c r="J2306" s="26" t="s">
        <v>512</v>
      </c>
      <c r="K2306" s="25" t="s">
        <v>513</v>
      </c>
    </row>
    <row r="2307" spans="1:11" ht="25.5" x14ac:dyDescent="0.25">
      <c r="A2307" s="22">
        <v>2026</v>
      </c>
      <c r="B2307" s="28" t="s">
        <v>192</v>
      </c>
      <c r="C2307" s="28" t="s">
        <v>97</v>
      </c>
      <c r="D2307" s="28" t="s">
        <v>1710</v>
      </c>
      <c r="E2307" s="29" t="s">
        <v>1767</v>
      </c>
      <c r="F2307" s="29" t="s">
        <v>564</v>
      </c>
      <c r="G2307" s="25" t="s">
        <v>4057</v>
      </c>
      <c r="H2307" s="26">
        <v>-8.6917999999999995E-2</v>
      </c>
      <c r="I2307" s="26"/>
      <c r="J2307" s="26" t="s">
        <v>512</v>
      </c>
      <c r="K2307" s="25" t="s">
        <v>513</v>
      </c>
    </row>
    <row r="2308" spans="1:11" ht="25.5" x14ac:dyDescent="0.25">
      <c r="A2308" s="22">
        <v>2026</v>
      </c>
      <c r="B2308" s="28" t="s">
        <v>192</v>
      </c>
      <c r="C2308" s="28" t="s">
        <v>97</v>
      </c>
      <c r="D2308" s="28" t="s">
        <v>1710</v>
      </c>
      <c r="E2308" s="29" t="s">
        <v>1767</v>
      </c>
      <c r="F2308" s="29" t="s">
        <v>564</v>
      </c>
      <c r="G2308" s="25" t="s">
        <v>4058</v>
      </c>
      <c r="H2308" s="26">
        <v>-0.13241</v>
      </c>
      <c r="I2308" s="26"/>
      <c r="J2308" s="26" t="s">
        <v>512</v>
      </c>
      <c r="K2308" s="25" t="s">
        <v>513</v>
      </c>
    </row>
    <row r="2309" spans="1:11" ht="25.5" x14ac:dyDescent="0.25">
      <c r="A2309" s="22">
        <v>2026</v>
      </c>
      <c r="B2309" s="28" t="s">
        <v>192</v>
      </c>
      <c r="C2309" s="28" t="s">
        <v>97</v>
      </c>
      <c r="D2309" s="28" t="s">
        <v>1711</v>
      </c>
      <c r="E2309" s="29" t="s">
        <v>1758</v>
      </c>
      <c r="F2309" s="29" t="s">
        <v>298</v>
      </c>
      <c r="G2309" s="25" t="s">
        <v>4059</v>
      </c>
      <c r="H2309" s="26">
        <v>-2.4174000000000001E-2</v>
      </c>
      <c r="I2309" s="26"/>
      <c r="J2309" s="26" t="s">
        <v>512</v>
      </c>
      <c r="K2309" s="25" t="s">
        <v>513</v>
      </c>
    </row>
    <row r="2310" spans="1:11" ht="25.5" x14ac:dyDescent="0.25">
      <c r="A2310" s="22">
        <v>2026</v>
      </c>
      <c r="B2310" s="28" t="s">
        <v>192</v>
      </c>
      <c r="C2310" s="28" t="s">
        <v>97</v>
      </c>
      <c r="D2310" s="28" t="s">
        <v>1711</v>
      </c>
      <c r="E2310" s="29" t="s">
        <v>1758</v>
      </c>
      <c r="F2310" s="29" t="s">
        <v>298</v>
      </c>
      <c r="G2310" s="25" t="s">
        <v>4060</v>
      </c>
      <c r="H2310" s="26">
        <v>-3.9955680099999995E-2</v>
      </c>
      <c r="I2310" s="26"/>
      <c r="J2310" s="26" t="s">
        <v>512</v>
      </c>
      <c r="K2310" s="25" t="s">
        <v>513</v>
      </c>
    </row>
    <row r="2311" spans="1:11" ht="25.5" x14ac:dyDescent="0.25">
      <c r="A2311" s="22">
        <v>2026</v>
      </c>
      <c r="B2311" s="28" t="s">
        <v>192</v>
      </c>
      <c r="C2311" s="28" t="s">
        <v>97</v>
      </c>
      <c r="D2311" s="28" t="s">
        <v>1711</v>
      </c>
      <c r="E2311" s="29" t="s">
        <v>1758</v>
      </c>
      <c r="F2311" s="29" t="s">
        <v>298</v>
      </c>
      <c r="G2311" s="25" t="s">
        <v>4061</v>
      </c>
      <c r="H2311" s="26">
        <v>-8.3719799999999997E-2</v>
      </c>
      <c r="I2311" s="26"/>
      <c r="J2311" s="26" t="s">
        <v>512</v>
      </c>
      <c r="K2311" s="25" t="s">
        <v>513</v>
      </c>
    </row>
    <row r="2312" spans="1:11" ht="25.5" x14ac:dyDescent="0.25">
      <c r="A2312" s="22">
        <v>2026</v>
      </c>
      <c r="B2312" s="28" t="s">
        <v>192</v>
      </c>
      <c r="C2312" s="28" t="s">
        <v>97</v>
      </c>
      <c r="D2312" s="28" t="s">
        <v>1711</v>
      </c>
      <c r="E2312" s="29" t="s">
        <v>1758</v>
      </c>
      <c r="F2312" s="29" t="s">
        <v>298</v>
      </c>
      <c r="G2312" s="25" t="s">
        <v>4062</v>
      </c>
      <c r="H2312" s="26">
        <v>-4.884985E-2</v>
      </c>
      <c r="I2312" s="26"/>
      <c r="J2312" s="26" t="s">
        <v>512</v>
      </c>
      <c r="K2312" s="25" t="s">
        <v>513</v>
      </c>
    </row>
    <row r="2313" spans="1:11" ht="25.5" x14ac:dyDescent="0.25">
      <c r="A2313" s="22">
        <v>2026</v>
      </c>
      <c r="B2313" s="28" t="s">
        <v>192</v>
      </c>
      <c r="C2313" s="28" t="s">
        <v>97</v>
      </c>
      <c r="D2313" s="28" t="s">
        <v>1711</v>
      </c>
      <c r="E2313" s="29" t="s">
        <v>1758</v>
      </c>
      <c r="F2313" s="29" t="s">
        <v>298</v>
      </c>
      <c r="G2313" s="25" t="s">
        <v>4063</v>
      </c>
      <c r="H2313" s="26">
        <v>-7.7200199999999997E-2</v>
      </c>
      <c r="I2313" s="26"/>
      <c r="J2313" s="26" t="s">
        <v>512</v>
      </c>
      <c r="K2313" s="25" t="s">
        <v>513</v>
      </c>
    </row>
    <row r="2314" spans="1:11" ht="25.5" x14ac:dyDescent="0.25">
      <c r="A2314" s="22">
        <v>2026</v>
      </c>
      <c r="B2314" s="28" t="s">
        <v>192</v>
      </c>
      <c r="C2314" s="28" t="s">
        <v>97</v>
      </c>
      <c r="D2314" s="28" t="s">
        <v>1711</v>
      </c>
      <c r="E2314" s="29" t="s">
        <v>1758</v>
      </c>
      <c r="F2314" s="29" t="s">
        <v>298</v>
      </c>
      <c r="G2314" s="25" t="s">
        <v>4064</v>
      </c>
      <c r="H2314" s="26">
        <v>-9.5486299999999996E-2</v>
      </c>
      <c r="I2314" s="26"/>
      <c r="J2314" s="26" t="s">
        <v>512</v>
      </c>
      <c r="K2314" s="25" t="s">
        <v>513</v>
      </c>
    </row>
    <row r="2315" spans="1:11" ht="25.5" x14ac:dyDescent="0.25">
      <c r="A2315" s="22">
        <v>2026</v>
      </c>
      <c r="B2315" s="28" t="s">
        <v>192</v>
      </c>
      <c r="C2315" s="28" t="s">
        <v>97</v>
      </c>
      <c r="D2315" s="28" t="s">
        <v>1711</v>
      </c>
      <c r="E2315" s="29" t="s">
        <v>1758</v>
      </c>
      <c r="F2315" s="29" t="s">
        <v>298</v>
      </c>
      <c r="G2315" s="25" t="s">
        <v>4065</v>
      </c>
      <c r="H2315" s="26">
        <v>-9.5619999999999997E-2</v>
      </c>
      <c r="I2315" s="26"/>
      <c r="J2315" s="26" t="s">
        <v>512</v>
      </c>
      <c r="K2315" s="25" t="s">
        <v>513</v>
      </c>
    </row>
    <row r="2316" spans="1:11" ht="25.5" x14ac:dyDescent="0.25">
      <c r="A2316" s="22">
        <v>2026</v>
      </c>
      <c r="B2316" s="28" t="s">
        <v>192</v>
      </c>
      <c r="C2316" s="28" t="s">
        <v>97</v>
      </c>
      <c r="D2316" s="28" t="s">
        <v>1711</v>
      </c>
      <c r="E2316" s="29" t="s">
        <v>1758</v>
      </c>
      <c r="F2316" s="29" t="s">
        <v>298</v>
      </c>
      <c r="G2316" s="25" t="s">
        <v>4066</v>
      </c>
      <c r="H2316" s="26">
        <v>-0.207345</v>
      </c>
      <c r="I2316" s="26"/>
      <c r="J2316" s="26" t="s">
        <v>512</v>
      </c>
      <c r="K2316" s="25" t="s">
        <v>513</v>
      </c>
    </row>
    <row r="2317" spans="1:11" ht="25.5" x14ac:dyDescent="0.25">
      <c r="A2317" s="22">
        <v>2026</v>
      </c>
      <c r="B2317" s="28" t="s">
        <v>192</v>
      </c>
      <c r="C2317" s="28" t="s">
        <v>97</v>
      </c>
      <c r="D2317" s="28" t="s">
        <v>1712</v>
      </c>
      <c r="E2317" s="29" t="s">
        <v>1712</v>
      </c>
      <c r="F2317" s="29" t="s">
        <v>325</v>
      </c>
      <c r="G2317" s="25" t="s">
        <v>4067</v>
      </c>
      <c r="H2317" s="26">
        <v>-0.36600300000000002</v>
      </c>
      <c r="I2317" s="26"/>
      <c r="J2317" s="26" t="s">
        <v>512</v>
      </c>
      <c r="K2317" s="25" t="s">
        <v>513</v>
      </c>
    </row>
    <row r="2318" spans="1:11" ht="25.5" x14ac:dyDescent="0.25">
      <c r="A2318" s="22">
        <v>2026</v>
      </c>
      <c r="B2318" s="28" t="s">
        <v>192</v>
      </c>
      <c r="C2318" s="28" t="s">
        <v>97</v>
      </c>
      <c r="D2318" s="28" t="s">
        <v>1712</v>
      </c>
      <c r="E2318" s="29" t="s">
        <v>1712</v>
      </c>
      <c r="F2318" s="29" t="s">
        <v>325</v>
      </c>
      <c r="G2318" s="25" t="s">
        <v>4068</v>
      </c>
      <c r="H2318" s="26">
        <v>-0.34548649999999997</v>
      </c>
      <c r="I2318" s="26"/>
      <c r="J2318" s="26" t="s">
        <v>512</v>
      </c>
      <c r="K2318" s="25" t="s">
        <v>513</v>
      </c>
    </row>
    <row r="2319" spans="1:11" ht="25.5" x14ac:dyDescent="0.25">
      <c r="A2319" s="22">
        <v>2026</v>
      </c>
      <c r="B2319" s="28" t="s">
        <v>192</v>
      </c>
      <c r="C2319" s="28" t="s">
        <v>97</v>
      </c>
      <c r="D2319" s="28" t="s">
        <v>1712</v>
      </c>
      <c r="E2319" s="29" t="s">
        <v>1712</v>
      </c>
      <c r="F2319" s="29" t="s">
        <v>325</v>
      </c>
      <c r="G2319" s="25" t="s">
        <v>4069</v>
      </c>
      <c r="H2319" s="26">
        <v>-0.383525</v>
      </c>
      <c r="I2319" s="26"/>
      <c r="J2319" s="26" t="s">
        <v>512</v>
      </c>
      <c r="K2319" s="25" t="s">
        <v>513</v>
      </c>
    </row>
    <row r="2320" spans="1:11" ht="25.5" x14ac:dyDescent="0.25">
      <c r="A2320" s="22">
        <v>2026</v>
      </c>
      <c r="B2320" s="28" t="s">
        <v>192</v>
      </c>
      <c r="C2320" s="28" t="s">
        <v>97</v>
      </c>
      <c r="D2320" s="28" t="s">
        <v>1712</v>
      </c>
      <c r="E2320" s="29" t="s">
        <v>1712</v>
      </c>
      <c r="F2320" s="29" t="s">
        <v>325</v>
      </c>
      <c r="G2320" s="25" t="s">
        <v>4070</v>
      </c>
      <c r="H2320" s="26">
        <v>-0.20091600000000001</v>
      </c>
      <c r="I2320" s="26"/>
      <c r="J2320" s="26" t="s">
        <v>512</v>
      </c>
      <c r="K2320" s="25" t="s">
        <v>513</v>
      </c>
    </row>
    <row r="2321" spans="1:11" ht="25.5" x14ac:dyDescent="0.25">
      <c r="A2321" s="22">
        <v>2026</v>
      </c>
      <c r="B2321" s="28" t="s">
        <v>192</v>
      </c>
      <c r="C2321" s="28" t="s">
        <v>97</v>
      </c>
      <c r="D2321" s="28" t="s">
        <v>1712</v>
      </c>
      <c r="E2321" s="29" t="s">
        <v>1712</v>
      </c>
      <c r="F2321" s="29" t="s">
        <v>325</v>
      </c>
      <c r="G2321" s="25" t="s">
        <v>4071</v>
      </c>
      <c r="H2321" s="26">
        <v>-0.1348</v>
      </c>
      <c r="I2321" s="26"/>
      <c r="J2321" s="26" t="s">
        <v>512</v>
      </c>
      <c r="K2321" s="25" t="s">
        <v>513</v>
      </c>
    </row>
    <row r="2322" spans="1:11" ht="25.5" x14ac:dyDescent="0.25">
      <c r="A2322" s="22">
        <v>2026</v>
      </c>
      <c r="B2322" s="28" t="s">
        <v>192</v>
      </c>
      <c r="C2322" s="28" t="s">
        <v>97</v>
      </c>
      <c r="D2322" s="28" t="s">
        <v>1712</v>
      </c>
      <c r="E2322" s="29" t="s">
        <v>1712</v>
      </c>
      <c r="F2322" s="29" t="s">
        <v>325</v>
      </c>
      <c r="G2322" s="25" t="s">
        <v>4072</v>
      </c>
      <c r="H2322" s="26">
        <v>-0.1002</v>
      </c>
      <c r="I2322" s="26"/>
      <c r="J2322" s="26" t="s">
        <v>512</v>
      </c>
      <c r="K2322" s="25" t="s">
        <v>513</v>
      </c>
    </row>
    <row r="2323" spans="1:11" ht="25.5" x14ac:dyDescent="0.25">
      <c r="A2323" s="22">
        <v>2026</v>
      </c>
      <c r="B2323" s="28" t="s">
        <v>192</v>
      </c>
      <c r="C2323" s="28" t="s">
        <v>97</v>
      </c>
      <c r="D2323" s="28" t="s">
        <v>1712</v>
      </c>
      <c r="E2323" s="29" t="s">
        <v>1712</v>
      </c>
      <c r="F2323" s="29" t="s">
        <v>325</v>
      </c>
      <c r="G2323" s="25" t="s">
        <v>4073</v>
      </c>
      <c r="H2323" s="26">
        <v>-0.35921944919999999</v>
      </c>
      <c r="I2323" s="26"/>
      <c r="J2323" s="26" t="s">
        <v>512</v>
      </c>
      <c r="K2323" s="25" t="s">
        <v>513</v>
      </c>
    </row>
    <row r="2324" spans="1:11" ht="25.5" x14ac:dyDescent="0.25">
      <c r="A2324" s="22">
        <v>2026</v>
      </c>
      <c r="B2324" s="28" t="s">
        <v>192</v>
      </c>
      <c r="C2324" s="28" t="s">
        <v>97</v>
      </c>
      <c r="D2324" s="28" t="s">
        <v>1712</v>
      </c>
      <c r="E2324" s="29" t="s">
        <v>1712</v>
      </c>
      <c r="F2324" s="29" t="s">
        <v>325</v>
      </c>
      <c r="G2324" s="25" t="s">
        <v>4074</v>
      </c>
      <c r="H2324" s="26">
        <v>-0.29990699999999998</v>
      </c>
      <c r="I2324" s="26"/>
      <c r="J2324" s="26" t="s">
        <v>512</v>
      </c>
      <c r="K2324" s="25" t="s">
        <v>513</v>
      </c>
    </row>
    <row r="2325" spans="1:11" ht="25.5" x14ac:dyDescent="0.25">
      <c r="A2325" s="22">
        <v>2026</v>
      </c>
      <c r="B2325" s="28" t="s">
        <v>192</v>
      </c>
      <c r="C2325" s="28" t="s">
        <v>97</v>
      </c>
      <c r="D2325" s="28" t="s">
        <v>1712</v>
      </c>
      <c r="E2325" s="29" t="s">
        <v>1712</v>
      </c>
      <c r="F2325" s="29" t="s">
        <v>325</v>
      </c>
      <c r="G2325" s="25" t="s">
        <v>4075</v>
      </c>
      <c r="H2325" s="26">
        <v>-0.53687886370000004</v>
      </c>
      <c r="I2325" s="26"/>
      <c r="J2325" s="26" t="s">
        <v>512</v>
      </c>
      <c r="K2325" s="25" t="s">
        <v>513</v>
      </c>
    </row>
    <row r="2326" spans="1:11" ht="25.5" x14ac:dyDescent="0.25">
      <c r="A2326" s="22">
        <v>2026</v>
      </c>
      <c r="B2326" s="28" t="s">
        <v>192</v>
      </c>
      <c r="C2326" s="28" t="s">
        <v>97</v>
      </c>
      <c r="D2326" s="28" t="s">
        <v>1712</v>
      </c>
      <c r="E2326" s="29" t="s">
        <v>1712</v>
      </c>
      <c r="F2326" s="29" t="s">
        <v>325</v>
      </c>
      <c r="G2326" s="25" t="s">
        <v>4076</v>
      </c>
      <c r="H2326" s="26">
        <v>-0.43439499999999998</v>
      </c>
      <c r="I2326" s="26"/>
      <c r="J2326" s="26" t="s">
        <v>512</v>
      </c>
      <c r="K2326" s="25" t="s">
        <v>513</v>
      </c>
    </row>
    <row r="2327" spans="1:11" ht="25.5" x14ac:dyDescent="0.25">
      <c r="A2327" s="22">
        <v>2026</v>
      </c>
      <c r="B2327" s="28" t="s">
        <v>192</v>
      </c>
      <c r="C2327" s="28" t="s">
        <v>97</v>
      </c>
      <c r="D2327" s="28" t="s">
        <v>1712</v>
      </c>
      <c r="E2327" s="29" t="s">
        <v>1712</v>
      </c>
      <c r="F2327" s="29" t="s">
        <v>325</v>
      </c>
      <c r="G2327" s="25" t="s">
        <v>4077</v>
      </c>
      <c r="H2327" s="26">
        <v>-0.301203</v>
      </c>
      <c r="I2327" s="26"/>
      <c r="J2327" s="26" t="s">
        <v>512</v>
      </c>
      <c r="K2327" s="25" t="s">
        <v>513</v>
      </c>
    </row>
    <row r="2328" spans="1:11" ht="25.5" x14ac:dyDescent="0.25">
      <c r="A2328" s="22">
        <v>2026</v>
      </c>
      <c r="B2328" s="28" t="s">
        <v>192</v>
      </c>
      <c r="C2328" s="28" t="s">
        <v>97</v>
      </c>
      <c r="D2328" s="28" t="s">
        <v>1712</v>
      </c>
      <c r="E2328" s="29" t="s">
        <v>1712</v>
      </c>
      <c r="F2328" s="29" t="s">
        <v>325</v>
      </c>
      <c r="G2328" s="25" t="s">
        <v>4078</v>
      </c>
      <c r="H2328" s="26">
        <v>-0.36690499999999998</v>
      </c>
      <c r="I2328" s="26"/>
      <c r="J2328" s="26" t="s">
        <v>512</v>
      </c>
      <c r="K2328" s="25" t="s">
        <v>513</v>
      </c>
    </row>
    <row r="2329" spans="1:11" ht="25.5" x14ac:dyDescent="0.25">
      <c r="A2329" s="22">
        <v>2026</v>
      </c>
      <c r="B2329" s="28" t="s">
        <v>192</v>
      </c>
      <c r="C2329" s="28" t="s">
        <v>97</v>
      </c>
      <c r="D2329" s="28" t="s">
        <v>1712</v>
      </c>
      <c r="E2329" s="29" t="s">
        <v>1712</v>
      </c>
      <c r="F2329" s="29" t="s">
        <v>325</v>
      </c>
      <c r="G2329" s="25" t="s">
        <v>4079</v>
      </c>
      <c r="H2329" s="26">
        <v>-0.21579999999999999</v>
      </c>
      <c r="I2329" s="26"/>
      <c r="J2329" s="26" t="s">
        <v>512</v>
      </c>
      <c r="K2329" s="25" t="s">
        <v>513</v>
      </c>
    </row>
    <row r="2330" spans="1:11" ht="25.5" x14ac:dyDescent="0.25">
      <c r="A2330" s="22">
        <v>2026</v>
      </c>
      <c r="B2330" s="28" t="s">
        <v>192</v>
      </c>
      <c r="C2330" s="28" t="s">
        <v>97</v>
      </c>
      <c r="D2330" s="28" t="s">
        <v>1712</v>
      </c>
      <c r="E2330" s="29" t="s">
        <v>1712</v>
      </c>
      <c r="F2330" s="29" t="s">
        <v>325</v>
      </c>
      <c r="G2330" s="25" t="s">
        <v>4080</v>
      </c>
      <c r="H2330" s="26">
        <v>-0.23856066850000002</v>
      </c>
      <c r="I2330" s="26"/>
      <c r="J2330" s="26" t="s">
        <v>512</v>
      </c>
      <c r="K2330" s="25" t="s">
        <v>513</v>
      </c>
    </row>
    <row r="2331" spans="1:11" ht="25.5" x14ac:dyDescent="0.25">
      <c r="A2331" s="22">
        <v>2026</v>
      </c>
      <c r="B2331" s="28" t="s">
        <v>192</v>
      </c>
      <c r="C2331" s="28" t="s">
        <v>97</v>
      </c>
      <c r="D2331" s="28" t="s">
        <v>1712</v>
      </c>
      <c r="E2331" s="29" t="s">
        <v>1712</v>
      </c>
      <c r="F2331" s="29" t="s">
        <v>325</v>
      </c>
      <c r="G2331" s="25" t="s">
        <v>4081</v>
      </c>
      <c r="H2331" s="26">
        <v>-0.2130505</v>
      </c>
      <c r="I2331" s="26"/>
      <c r="J2331" s="26" t="s">
        <v>512</v>
      </c>
      <c r="K2331" s="25" t="s">
        <v>513</v>
      </c>
    </row>
    <row r="2332" spans="1:11" ht="25.5" x14ac:dyDescent="0.25">
      <c r="A2332" s="22">
        <v>2026</v>
      </c>
      <c r="B2332" s="28" t="s">
        <v>192</v>
      </c>
      <c r="C2332" s="28" t="s">
        <v>97</v>
      </c>
      <c r="D2332" s="28" t="s">
        <v>1712</v>
      </c>
      <c r="E2332" s="29" t="s">
        <v>1712</v>
      </c>
      <c r="F2332" s="29" t="s">
        <v>325</v>
      </c>
      <c r="G2332" s="25" t="s">
        <v>4082</v>
      </c>
      <c r="H2332" s="26">
        <v>-9.8849999999999993E-2</v>
      </c>
      <c r="I2332" s="26"/>
      <c r="J2332" s="26" t="s">
        <v>512</v>
      </c>
      <c r="K2332" s="25" t="s">
        <v>513</v>
      </c>
    </row>
    <row r="2333" spans="1:11" ht="25.5" x14ac:dyDescent="0.25">
      <c r="A2333" s="22">
        <v>2026</v>
      </c>
      <c r="B2333" s="28" t="s">
        <v>192</v>
      </c>
      <c r="C2333" s="28" t="s">
        <v>97</v>
      </c>
      <c r="D2333" s="28" t="s">
        <v>1712</v>
      </c>
      <c r="E2333" s="29" t="s">
        <v>1712</v>
      </c>
      <c r="F2333" s="29" t="s">
        <v>325</v>
      </c>
      <c r="G2333" s="25" t="s">
        <v>4083</v>
      </c>
      <c r="H2333" s="26">
        <v>-0.40399320480000001</v>
      </c>
      <c r="I2333" s="26"/>
      <c r="J2333" s="26" t="s">
        <v>512</v>
      </c>
      <c r="K2333" s="25" t="s">
        <v>513</v>
      </c>
    </row>
    <row r="2334" spans="1:11" ht="25.5" x14ac:dyDescent="0.25">
      <c r="A2334" s="22">
        <v>2026</v>
      </c>
      <c r="B2334" s="28" t="s">
        <v>192</v>
      </c>
      <c r="C2334" s="28" t="s">
        <v>97</v>
      </c>
      <c r="D2334" s="28" t="s">
        <v>250</v>
      </c>
      <c r="E2334" s="29" t="s">
        <v>463</v>
      </c>
      <c r="F2334" s="29" t="s">
        <v>325</v>
      </c>
      <c r="G2334" s="25" t="s">
        <v>4084</v>
      </c>
      <c r="H2334" s="26">
        <v>-0.19744536000000001</v>
      </c>
      <c r="I2334" s="26"/>
      <c r="J2334" s="26" t="s">
        <v>512</v>
      </c>
      <c r="K2334" s="25" t="s">
        <v>513</v>
      </c>
    </row>
    <row r="2335" spans="1:11" ht="25.5" x14ac:dyDescent="0.25">
      <c r="A2335" s="22">
        <v>2026</v>
      </c>
      <c r="B2335" s="28" t="s">
        <v>192</v>
      </c>
      <c r="C2335" s="28" t="s">
        <v>97</v>
      </c>
      <c r="D2335" s="28" t="s">
        <v>250</v>
      </c>
      <c r="E2335" s="29" t="s">
        <v>463</v>
      </c>
      <c r="F2335" s="29" t="s">
        <v>325</v>
      </c>
      <c r="G2335" s="25" t="s">
        <v>4085</v>
      </c>
      <c r="H2335" s="26">
        <v>-0.448743</v>
      </c>
      <c r="I2335" s="26"/>
      <c r="J2335" s="26" t="s">
        <v>512</v>
      </c>
      <c r="K2335" s="25" t="s">
        <v>513</v>
      </c>
    </row>
    <row r="2336" spans="1:11" ht="25.5" x14ac:dyDescent="0.25">
      <c r="A2336" s="22">
        <v>2026</v>
      </c>
      <c r="B2336" s="28" t="s">
        <v>192</v>
      </c>
      <c r="C2336" s="28" t="s">
        <v>97</v>
      </c>
      <c r="D2336" s="28" t="s">
        <v>250</v>
      </c>
      <c r="E2336" s="29" t="s">
        <v>463</v>
      </c>
      <c r="F2336" s="29" t="s">
        <v>325</v>
      </c>
      <c r="G2336" s="25" t="s">
        <v>4086</v>
      </c>
      <c r="H2336" s="26">
        <v>-0.15392400000000001</v>
      </c>
      <c r="I2336" s="26"/>
      <c r="J2336" s="26" t="s">
        <v>512</v>
      </c>
      <c r="K2336" s="25" t="s">
        <v>513</v>
      </c>
    </row>
    <row r="2337" spans="1:11" ht="25.5" x14ac:dyDescent="0.25">
      <c r="A2337" s="22">
        <v>2026</v>
      </c>
      <c r="B2337" s="28" t="s">
        <v>192</v>
      </c>
      <c r="C2337" s="28" t="s">
        <v>97</v>
      </c>
      <c r="D2337" s="28" t="s">
        <v>250</v>
      </c>
      <c r="E2337" s="29" t="s">
        <v>463</v>
      </c>
      <c r="F2337" s="29" t="s">
        <v>325</v>
      </c>
      <c r="G2337" s="25" t="s">
        <v>4087</v>
      </c>
      <c r="H2337" s="26">
        <v>-0.16422570079999999</v>
      </c>
      <c r="I2337" s="26"/>
      <c r="J2337" s="26" t="s">
        <v>512</v>
      </c>
      <c r="K2337" s="25" t="s">
        <v>513</v>
      </c>
    </row>
    <row r="2338" spans="1:11" ht="25.5" x14ac:dyDescent="0.25">
      <c r="A2338" s="22">
        <v>2026</v>
      </c>
      <c r="B2338" s="28" t="s">
        <v>192</v>
      </c>
      <c r="C2338" s="28" t="s">
        <v>97</v>
      </c>
      <c r="D2338" s="28" t="s">
        <v>250</v>
      </c>
      <c r="E2338" s="29" t="s">
        <v>463</v>
      </c>
      <c r="F2338" s="29" t="s">
        <v>325</v>
      </c>
      <c r="G2338" s="25" t="s">
        <v>4088</v>
      </c>
      <c r="H2338" s="26">
        <v>-0.15908408100000002</v>
      </c>
      <c r="I2338" s="26"/>
      <c r="J2338" s="26" t="s">
        <v>512</v>
      </c>
      <c r="K2338" s="25" t="s">
        <v>513</v>
      </c>
    </row>
    <row r="2339" spans="1:11" ht="25.5" x14ac:dyDescent="0.25">
      <c r="A2339" s="22">
        <v>2026</v>
      </c>
      <c r="B2339" s="28" t="s">
        <v>192</v>
      </c>
      <c r="C2339" s="28" t="s">
        <v>97</v>
      </c>
      <c r="D2339" s="28" t="s">
        <v>250</v>
      </c>
      <c r="E2339" s="29" t="s">
        <v>463</v>
      </c>
      <c r="F2339" s="29" t="s">
        <v>325</v>
      </c>
      <c r="G2339" s="25" t="s">
        <v>4089</v>
      </c>
      <c r="H2339" s="26">
        <v>-0.209640784</v>
      </c>
      <c r="I2339" s="26"/>
      <c r="J2339" s="26" t="s">
        <v>512</v>
      </c>
      <c r="K2339" s="25" t="s">
        <v>513</v>
      </c>
    </row>
    <row r="2340" spans="1:11" ht="25.5" x14ac:dyDescent="0.25">
      <c r="A2340" s="22">
        <v>2026</v>
      </c>
      <c r="B2340" s="28" t="s">
        <v>192</v>
      </c>
      <c r="C2340" s="28" t="s">
        <v>97</v>
      </c>
      <c r="D2340" s="28" t="s">
        <v>250</v>
      </c>
      <c r="E2340" s="29" t="s">
        <v>463</v>
      </c>
      <c r="F2340" s="29" t="s">
        <v>325</v>
      </c>
      <c r="G2340" s="25" t="s">
        <v>4090</v>
      </c>
      <c r="H2340" s="26">
        <v>-0.51240786670000005</v>
      </c>
      <c r="I2340" s="26"/>
      <c r="J2340" s="26" t="s">
        <v>512</v>
      </c>
      <c r="K2340" s="25" t="s">
        <v>513</v>
      </c>
    </row>
    <row r="2341" spans="1:11" ht="25.5" x14ac:dyDescent="0.25">
      <c r="A2341" s="22">
        <v>2026</v>
      </c>
      <c r="B2341" s="28" t="s">
        <v>192</v>
      </c>
      <c r="C2341" s="28" t="s">
        <v>97</v>
      </c>
      <c r="D2341" s="28" t="s">
        <v>250</v>
      </c>
      <c r="E2341" s="29" t="s">
        <v>463</v>
      </c>
      <c r="F2341" s="29" t="s">
        <v>325</v>
      </c>
      <c r="G2341" s="25" t="s">
        <v>4091</v>
      </c>
      <c r="H2341" s="26">
        <v>-0.2025063966</v>
      </c>
      <c r="I2341" s="26"/>
      <c r="J2341" s="26" t="s">
        <v>512</v>
      </c>
      <c r="K2341" s="25" t="s">
        <v>513</v>
      </c>
    </row>
    <row r="2342" spans="1:11" ht="25.5" x14ac:dyDescent="0.25">
      <c r="A2342" s="22">
        <v>2026</v>
      </c>
      <c r="B2342" s="28" t="s">
        <v>192</v>
      </c>
      <c r="C2342" s="28" t="s">
        <v>97</v>
      </c>
      <c r="D2342" s="28" t="s">
        <v>250</v>
      </c>
      <c r="E2342" s="29" t="s">
        <v>463</v>
      </c>
      <c r="F2342" s="29" t="s">
        <v>325</v>
      </c>
      <c r="G2342" s="25" t="s">
        <v>4092</v>
      </c>
      <c r="H2342" s="26">
        <v>-1.0188336</v>
      </c>
      <c r="I2342" s="26"/>
      <c r="J2342" s="26" t="s">
        <v>512</v>
      </c>
      <c r="K2342" s="25" t="s">
        <v>513</v>
      </c>
    </row>
    <row r="2343" spans="1:11" ht="25.5" x14ac:dyDescent="0.25">
      <c r="A2343" s="22">
        <v>2026</v>
      </c>
      <c r="B2343" s="28" t="s">
        <v>192</v>
      </c>
      <c r="C2343" s="28" t="s">
        <v>97</v>
      </c>
      <c r="D2343" s="28" t="s">
        <v>250</v>
      </c>
      <c r="E2343" s="29" t="s">
        <v>463</v>
      </c>
      <c r="F2343" s="29" t="s">
        <v>325</v>
      </c>
      <c r="G2343" s="25" t="s">
        <v>4093</v>
      </c>
      <c r="H2343" s="26">
        <v>-0.18219494999999999</v>
      </c>
      <c r="I2343" s="26"/>
      <c r="J2343" s="26" t="s">
        <v>512</v>
      </c>
      <c r="K2343" s="25" t="s">
        <v>513</v>
      </c>
    </row>
    <row r="2344" spans="1:11" ht="25.5" x14ac:dyDescent="0.25">
      <c r="A2344" s="22">
        <v>2026</v>
      </c>
      <c r="B2344" s="28" t="s">
        <v>192</v>
      </c>
      <c r="C2344" s="28" t="s">
        <v>97</v>
      </c>
      <c r="D2344" s="28" t="s">
        <v>250</v>
      </c>
      <c r="E2344" s="29" t="s">
        <v>463</v>
      </c>
      <c r="F2344" s="29" t="s">
        <v>325</v>
      </c>
      <c r="G2344" s="25" t="s">
        <v>4094</v>
      </c>
      <c r="H2344" s="26">
        <v>-1.3064883602999999</v>
      </c>
      <c r="I2344" s="26"/>
      <c r="J2344" s="26" t="s">
        <v>512</v>
      </c>
      <c r="K2344" s="25" t="s">
        <v>513</v>
      </c>
    </row>
    <row r="2345" spans="1:11" ht="25.5" x14ac:dyDescent="0.25">
      <c r="A2345" s="22">
        <v>2026</v>
      </c>
      <c r="B2345" s="28" t="s">
        <v>192</v>
      </c>
      <c r="C2345" s="28" t="s">
        <v>97</v>
      </c>
      <c r="D2345" s="28" t="s">
        <v>250</v>
      </c>
      <c r="E2345" s="29" t="s">
        <v>463</v>
      </c>
      <c r="F2345" s="29" t="s">
        <v>325</v>
      </c>
      <c r="G2345" s="25" t="s">
        <v>4095</v>
      </c>
      <c r="H2345" s="26">
        <v>-5.0001391199999995E-2</v>
      </c>
      <c r="I2345" s="26"/>
      <c r="J2345" s="26" t="s">
        <v>512</v>
      </c>
      <c r="K2345" s="25" t="s">
        <v>513</v>
      </c>
    </row>
    <row r="2346" spans="1:11" ht="25.5" x14ac:dyDescent="0.25">
      <c r="A2346" s="22">
        <v>2026</v>
      </c>
      <c r="B2346" s="28" t="s">
        <v>192</v>
      </c>
      <c r="C2346" s="28" t="s">
        <v>97</v>
      </c>
      <c r="D2346" s="28" t="s">
        <v>250</v>
      </c>
      <c r="E2346" s="29" t="s">
        <v>463</v>
      </c>
      <c r="F2346" s="29" t="s">
        <v>325</v>
      </c>
      <c r="G2346" s="25" t="s">
        <v>4096</v>
      </c>
      <c r="H2346" s="26">
        <v>-1.5089999999999998E-4</v>
      </c>
      <c r="I2346" s="26"/>
      <c r="J2346" s="26" t="s">
        <v>512</v>
      </c>
      <c r="K2346" s="25" t="s">
        <v>513</v>
      </c>
    </row>
    <row r="2347" spans="1:11" ht="25.5" x14ac:dyDescent="0.25">
      <c r="A2347" s="22">
        <v>2026</v>
      </c>
      <c r="B2347" s="28" t="s">
        <v>192</v>
      </c>
      <c r="C2347" s="28" t="s">
        <v>97</v>
      </c>
      <c r="D2347" s="28" t="s">
        <v>250</v>
      </c>
      <c r="E2347" s="29" t="s">
        <v>463</v>
      </c>
      <c r="F2347" s="29" t="s">
        <v>325</v>
      </c>
      <c r="G2347" s="25" t="s">
        <v>4097</v>
      </c>
      <c r="H2347" s="26">
        <v>-5.0099999999999998E-5</v>
      </c>
      <c r="I2347" s="26"/>
      <c r="J2347" s="26" t="s">
        <v>512</v>
      </c>
      <c r="K2347" s="25" t="s">
        <v>513</v>
      </c>
    </row>
    <row r="2348" spans="1:11" ht="25.5" x14ac:dyDescent="0.25">
      <c r="A2348" s="22">
        <v>2026</v>
      </c>
      <c r="B2348" s="28" t="s">
        <v>192</v>
      </c>
      <c r="C2348" s="28" t="s">
        <v>97</v>
      </c>
      <c r="D2348" s="28" t="s">
        <v>250</v>
      </c>
      <c r="E2348" s="29" t="s">
        <v>463</v>
      </c>
      <c r="F2348" s="29" t="s">
        <v>325</v>
      </c>
      <c r="G2348" s="25" t="s">
        <v>4098</v>
      </c>
      <c r="H2348" s="26">
        <v>-0.64712820000000004</v>
      </c>
      <c r="I2348" s="26"/>
      <c r="J2348" s="26" t="s">
        <v>512</v>
      </c>
      <c r="K2348" s="25" t="s">
        <v>513</v>
      </c>
    </row>
    <row r="2349" spans="1:11" ht="25.5" x14ac:dyDescent="0.25">
      <c r="A2349" s="22">
        <v>2026</v>
      </c>
      <c r="B2349" s="28" t="s">
        <v>192</v>
      </c>
      <c r="C2349" s="28" t="s">
        <v>97</v>
      </c>
      <c r="D2349" s="28" t="s">
        <v>250</v>
      </c>
      <c r="E2349" s="29" t="s">
        <v>463</v>
      </c>
      <c r="F2349" s="29" t="s">
        <v>325</v>
      </c>
      <c r="G2349" s="25" t="s">
        <v>4099</v>
      </c>
      <c r="H2349" s="26">
        <v>-2.4750599999999998E-2</v>
      </c>
      <c r="I2349" s="26"/>
      <c r="J2349" s="26" t="s">
        <v>512</v>
      </c>
      <c r="K2349" s="25" t="s">
        <v>513</v>
      </c>
    </row>
    <row r="2350" spans="1:11" ht="25.5" x14ac:dyDescent="0.25">
      <c r="A2350" s="22">
        <v>2026</v>
      </c>
      <c r="B2350" s="28" t="s">
        <v>192</v>
      </c>
      <c r="C2350" s="28" t="s">
        <v>97</v>
      </c>
      <c r="D2350" s="28" t="s">
        <v>250</v>
      </c>
      <c r="E2350" s="29" t="s">
        <v>463</v>
      </c>
      <c r="F2350" s="29" t="s">
        <v>325</v>
      </c>
      <c r="G2350" s="25" t="s">
        <v>4100</v>
      </c>
      <c r="H2350" s="26">
        <v>-0.3075</v>
      </c>
      <c r="I2350" s="26"/>
      <c r="J2350" s="26" t="s">
        <v>512</v>
      </c>
      <c r="K2350" s="25" t="s">
        <v>513</v>
      </c>
    </row>
    <row r="2351" spans="1:11" ht="25.5" x14ac:dyDescent="0.25">
      <c r="A2351" s="22">
        <v>2026</v>
      </c>
      <c r="B2351" s="28" t="s">
        <v>192</v>
      </c>
      <c r="C2351" s="28" t="s">
        <v>97</v>
      </c>
      <c r="D2351" s="28" t="s">
        <v>250</v>
      </c>
      <c r="E2351" s="29" t="s">
        <v>463</v>
      </c>
      <c r="F2351" s="29" t="s">
        <v>325</v>
      </c>
      <c r="G2351" s="25" t="s">
        <v>4101</v>
      </c>
      <c r="H2351" s="26">
        <v>-2.0798969399999999E-2</v>
      </c>
      <c r="I2351" s="26"/>
      <c r="J2351" s="26" t="s">
        <v>512</v>
      </c>
      <c r="K2351" s="25" t="s">
        <v>513</v>
      </c>
    </row>
    <row r="2352" spans="1:11" ht="25.5" x14ac:dyDescent="0.25">
      <c r="A2352" s="22">
        <v>2026</v>
      </c>
      <c r="B2352" s="28" t="s">
        <v>192</v>
      </c>
      <c r="C2352" s="28" t="s">
        <v>97</v>
      </c>
      <c r="D2352" s="28" t="s">
        <v>250</v>
      </c>
      <c r="E2352" s="29" t="s">
        <v>463</v>
      </c>
      <c r="F2352" s="29" t="s">
        <v>325</v>
      </c>
      <c r="G2352" s="25" t="s">
        <v>4102</v>
      </c>
      <c r="H2352" s="26">
        <v>-1.0092074579999999</v>
      </c>
      <c r="I2352" s="26"/>
      <c r="J2352" s="26" t="s">
        <v>512</v>
      </c>
      <c r="K2352" s="25" t="s">
        <v>513</v>
      </c>
    </row>
    <row r="2353" spans="1:11" ht="25.5" x14ac:dyDescent="0.25">
      <c r="A2353" s="22">
        <v>2026</v>
      </c>
      <c r="B2353" s="28" t="s">
        <v>192</v>
      </c>
      <c r="C2353" s="28" t="s">
        <v>97</v>
      </c>
      <c r="D2353" s="28" t="s">
        <v>250</v>
      </c>
      <c r="E2353" s="29" t="s">
        <v>463</v>
      </c>
      <c r="F2353" s="29" t="s">
        <v>325</v>
      </c>
      <c r="G2353" s="25" t="s">
        <v>4103</v>
      </c>
      <c r="H2353" s="26">
        <v>-0.38162953779999997</v>
      </c>
      <c r="I2353" s="26"/>
      <c r="J2353" s="26" t="s">
        <v>512</v>
      </c>
      <c r="K2353" s="25" t="s">
        <v>513</v>
      </c>
    </row>
    <row r="2354" spans="1:11" ht="25.5" x14ac:dyDescent="0.25">
      <c r="A2354" s="22">
        <v>2026</v>
      </c>
      <c r="B2354" s="28" t="s">
        <v>192</v>
      </c>
      <c r="C2354" s="28" t="s">
        <v>97</v>
      </c>
      <c r="D2354" s="28" t="s">
        <v>200</v>
      </c>
      <c r="E2354" s="29" t="s">
        <v>365</v>
      </c>
      <c r="F2354" s="29" t="s">
        <v>332</v>
      </c>
      <c r="G2354" s="25" t="s">
        <v>4104</v>
      </c>
      <c r="H2354" s="26">
        <v>-4.3610000000000003E-2</v>
      </c>
      <c r="I2354" s="26"/>
      <c r="J2354" s="26" t="s">
        <v>514</v>
      </c>
      <c r="K2354" s="25" t="s">
        <v>513</v>
      </c>
    </row>
    <row r="2355" spans="1:11" ht="25.5" x14ac:dyDescent="0.25">
      <c r="A2355" s="22">
        <v>2026</v>
      </c>
      <c r="B2355" s="28" t="s">
        <v>192</v>
      </c>
      <c r="C2355" s="28" t="s">
        <v>97</v>
      </c>
      <c r="D2355" s="28" t="s">
        <v>200</v>
      </c>
      <c r="E2355" s="29" t="s">
        <v>365</v>
      </c>
      <c r="F2355" s="29" t="s">
        <v>332</v>
      </c>
      <c r="G2355" s="25" t="s">
        <v>4105</v>
      </c>
      <c r="H2355" s="26">
        <v>-8.8200000000000001E-2</v>
      </c>
      <c r="I2355" s="26"/>
      <c r="J2355" s="26" t="s">
        <v>514</v>
      </c>
      <c r="K2355" s="25" t="s">
        <v>513</v>
      </c>
    </row>
    <row r="2356" spans="1:11" ht="25.5" x14ac:dyDescent="0.25">
      <c r="A2356" s="22">
        <v>2026</v>
      </c>
      <c r="B2356" s="28" t="s">
        <v>192</v>
      </c>
      <c r="C2356" s="28" t="s">
        <v>97</v>
      </c>
      <c r="D2356" s="28" t="s">
        <v>200</v>
      </c>
      <c r="E2356" s="29" t="s">
        <v>365</v>
      </c>
      <c r="F2356" s="29" t="s">
        <v>332</v>
      </c>
      <c r="G2356" s="25" t="s">
        <v>4106</v>
      </c>
      <c r="H2356" s="26">
        <v>-8.7999999999999995E-2</v>
      </c>
      <c r="I2356" s="26"/>
      <c r="J2356" s="26" t="s">
        <v>514</v>
      </c>
      <c r="K2356" s="25" t="s">
        <v>513</v>
      </c>
    </row>
    <row r="2357" spans="1:11" ht="25.5" x14ac:dyDescent="0.25">
      <c r="A2357" s="22">
        <v>2026</v>
      </c>
      <c r="B2357" s="28" t="s">
        <v>192</v>
      </c>
      <c r="C2357" s="28" t="s">
        <v>97</v>
      </c>
      <c r="D2357" s="28" t="s">
        <v>200</v>
      </c>
      <c r="E2357" s="29" t="s">
        <v>365</v>
      </c>
      <c r="F2357" s="29" t="s">
        <v>332</v>
      </c>
      <c r="G2357" s="25" t="s">
        <v>4107</v>
      </c>
      <c r="H2357" s="26">
        <v>-0.21732499999999999</v>
      </c>
      <c r="I2357" s="26"/>
      <c r="J2357" s="26" t="s">
        <v>514</v>
      </c>
      <c r="K2357" s="25" t="s">
        <v>513</v>
      </c>
    </row>
    <row r="2358" spans="1:11" ht="25.5" x14ac:dyDescent="0.25">
      <c r="A2358" s="22">
        <v>2026</v>
      </c>
      <c r="B2358" s="28" t="s">
        <v>192</v>
      </c>
      <c r="C2358" s="28" t="s">
        <v>97</v>
      </c>
      <c r="D2358" s="28" t="s">
        <v>200</v>
      </c>
      <c r="E2358" s="29" t="s">
        <v>365</v>
      </c>
      <c r="F2358" s="29" t="s">
        <v>332</v>
      </c>
      <c r="G2358" s="25" t="s">
        <v>4108</v>
      </c>
      <c r="H2358" s="26">
        <v>-8.6150000000000004E-2</v>
      </c>
      <c r="I2358" s="26"/>
      <c r="J2358" s="26" t="s">
        <v>514</v>
      </c>
      <c r="K2358" s="25" t="s">
        <v>513</v>
      </c>
    </row>
    <row r="2359" spans="1:11" ht="25.5" x14ac:dyDescent="0.25">
      <c r="A2359" s="22">
        <v>2026</v>
      </c>
      <c r="B2359" s="28" t="s">
        <v>192</v>
      </c>
      <c r="C2359" s="28" t="s">
        <v>97</v>
      </c>
      <c r="D2359" s="28" t="s">
        <v>200</v>
      </c>
      <c r="E2359" s="29" t="s">
        <v>365</v>
      </c>
      <c r="F2359" s="29" t="s">
        <v>332</v>
      </c>
      <c r="G2359" s="25" t="s">
        <v>4109</v>
      </c>
      <c r="H2359" s="26">
        <v>-8.9149999999999993E-2</v>
      </c>
      <c r="I2359" s="26"/>
      <c r="J2359" s="26" t="s">
        <v>514</v>
      </c>
      <c r="K2359" s="25" t="s">
        <v>513</v>
      </c>
    </row>
    <row r="2360" spans="1:11" ht="25.5" x14ac:dyDescent="0.25">
      <c r="A2360" s="22">
        <v>2026</v>
      </c>
      <c r="B2360" s="28" t="s">
        <v>192</v>
      </c>
      <c r="C2360" s="28" t="s">
        <v>97</v>
      </c>
      <c r="D2360" s="28" t="s">
        <v>200</v>
      </c>
      <c r="E2360" s="29" t="s">
        <v>365</v>
      </c>
      <c r="F2360" s="29" t="s">
        <v>332</v>
      </c>
      <c r="G2360" s="25" t="s">
        <v>4110</v>
      </c>
      <c r="H2360" s="26">
        <v>-8.8900000000000007E-2</v>
      </c>
      <c r="I2360" s="26"/>
      <c r="J2360" s="26" t="s">
        <v>514</v>
      </c>
      <c r="K2360" s="25" t="s">
        <v>513</v>
      </c>
    </row>
    <row r="2361" spans="1:11" ht="25.5" x14ac:dyDescent="0.25">
      <c r="A2361" s="22">
        <v>2026</v>
      </c>
      <c r="B2361" s="28" t="s">
        <v>192</v>
      </c>
      <c r="C2361" s="28" t="s">
        <v>97</v>
      </c>
      <c r="D2361" s="28" t="s">
        <v>200</v>
      </c>
      <c r="E2361" s="29" t="s">
        <v>365</v>
      </c>
      <c r="F2361" s="29" t="s">
        <v>332</v>
      </c>
      <c r="G2361" s="25" t="s">
        <v>4111</v>
      </c>
      <c r="H2361" s="26">
        <v>-8.6999999999999994E-2</v>
      </c>
      <c r="I2361" s="26"/>
      <c r="J2361" s="26" t="s">
        <v>514</v>
      </c>
      <c r="K2361" s="25" t="s">
        <v>513</v>
      </c>
    </row>
    <row r="2362" spans="1:11" ht="25.5" x14ac:dyDescent="0.25">
      <c r="A2362" s="22">
        <v>2026</v>
      </c>
      <c r="B2362" s="28" t="s">
        <v>192</v>
      </c>
      <c r="C2362" s="28" t="s">
        <v>97</v>
      </c>
      <c r="D2362" s="28" t="s">
        <v>200</v>
      </c>
      <c r="E2362" s="29" t="s">
        <v>365</v>
      </c>
      <c r="F2362" s="29" t="s">
        <v>332</v>
      </c>
      <c r="G2362" s="25" t="s">
        <v>4112</v>
      </c>
      <c r="H2362" s="26">
        <v>-8.7120000000000003E-2</v>
      </c>
      <c r="I2362" s="26"/>
      <c r="J2362" s="26" t="s">
        <v>514</v>
      </c>
      <c r="K2362" s="25" t="s">
        <v>513</v>
      </c>
    </row>
    <row r="2363" spans="1:11" ht="25.5" x14ac:dyDescent="0.25">
      <c r="A2363" s="22">
        <v>2026</v>
      </c>
      <c r="B2363" s="28" t="s">
        <v>192</v>
      </c>
      <c r="C2363" s="28" t="s">
        <v>97</v>
      </c>
      <c r="D2363" s="28" t="s">
        <v>200</v>
      </c>
      <c r="E2363" s="29" t="s">
        <v>365</v>
      </c>
      <c r="F2363" s="29" t="s">
        <v>332</v>
      </c>
      <c r="G2363" s="25" t="s">
        <v>4113</v>
      </c>
      <c r="H2363" s="26">
        <v>-8.6175000000000002E-2</v>
      </c>
      <c r="I2363" s="26"/>
      <c r="J2363" s="26" t="s">
        <v>514</v>
      </c>
      <c r="K2363" s="25" t="s">
        <v>513</v>
      </c>
    </row>
    <row r="2364" spans="1:11" ht="25.5" x14ac:dyDescent="0.25">
      <c r="A2364" s="22">
        <v>2026</v>
      </c>
      <c r="B2364" s="28" t="s">
        <v>192</v>
      </c>
      <c r="C2364" s="28" t="s">
        <v>97</v>
      </c>
      <c r="D2364" s="28" t="s">
        <v>200</v>
      </c>
      <c r="E2364" s="29" t="s">
        <v>365</v>
      </c>
      <c r="F2364" s="29" t="s">
        <v>332</v>
      </c>
      <c r="G2364" s="25" t="s">
        <v>4114</v>
      </c>
      <c r="H2364" s="26">
        <v>-0.218</v>
      </c>
      <c r="I2364" s="26"/>
      <c r="J2364" s="26" t="s">
        <v>514</v>
      </c>
      <c r="K2364" s="25" t="s">
        <v>513</v>
      </c>
    </row>
    <row r="2365" spans="1:11" ht="25.5" x14ac:dyDescent="0.25">
      <c r="A2365" s="22">
        <v>2026</v>
      </c>
      <c r="B2365" s="28" t="s">
        <v>192</v>
      </c>
      <c r="C2365" s="28" t="s">
        <v>97</v>
      </c>
      <c r="D2365" s="28" t="s">
        <v>200</v>
      </c>
      <c r="E2365" s="29" t="s">
        <v>365</v>
      </c>
      <c r="F2365" s="29" t="s">
        <v>332</v>
      </c>
      <c r="G2365" s="25" t="s">
        <v>4115</v>
      </c>
      <c r="H2365" s="26">
        <v>-5.9399899999999999E-2</v>
      </c>
      <c r="I2365" s="26"/>
      <c r="J2365" s="26" t="s">
        <v>514</v>
      </c>
      <c r="K2365" s="25" t="s">
        <v>513</v>
      </c>
    </row>
    <row r="2366" spans="1:11" ht="25.5" x14ac:dyDescent="0.25">
      <c r="A2366" s="22">
        <v>2026</v>
      </c>
      <c r="B2366" s="28" t="s">
        <v>192</v>
      </c>
      <c r="C2366" s="28" t="s">
        <v>97</v>
      </c>
      <c r="D2366" s="28" t="s">
        <v>200</v>
      </c>
      <c r="E2366" s="29" t="s">
        <v>365</v>
      </c>
      <c r="F2366" s="29" t="s">
        <v>332</v>
      </c>
      <c r="G2366" s="25" t="s">
        <v>4116</v>
      </c>
      <c r="H2366" s="26">
        <v>-6.7327999999999999E-2</v>
      </c>
      <c r="I2366" s="26"/>
      <c r="J2366" s="26" t="s">
        <v>514</v>
      </c>
      <c r="K2366" s="25" t="s">
        <v>513</v>
      </c>
    </row>
    <row r="2367" spans="1:11" ht="25.5" x14ac:dyDescent="0.25">
      <c r="A2367" s="22">
        <v>2026</v>
      </c>
      <c r="B2367" s="28" t="s">
        <v>192</v>
      </c>
      <c r="C2367" s="28" t="s">
        <v>97</v>
      </c>
      <c r="D2367" s="28" t="s">
        <v>200</v>
      </c>
      <c r="E2367" s="29" t="s">
        <v>365</v>
      </c>
      <c r="F2367" s="29" t="s">
        <v>332</v>
      </c>
      <c r="G2367" s="25" t="s">
        <v>4117</v>
      </c>
      <c r="H2367" s="26">
        <v>-8.3030000000000007E-2</v>
      </c>
      <c r="I2367" s="26"/>
      <c r="J2367" s="26" t="s">
        <v>514</v>
      </c>
      <c r="K2367" s="25" t="s">
        <v>513</v>
      </c>
    </row>
    <row r="2368" spans="1:11" ht="25.5" x14ac:dyDescent="0.25">
      <c r="A2368" s="22">
        <v>2026</v>
      </c>
      <c r="B2368" s="28" t="s">
        <v>192</v>
      </c>
      <c r="C2368" s="28" t="s">
        <v>97</v>
      </c>
      <c r="D2368" s="28" t="s">
        <v>200</v>
      </c>
      <c r="E2368" s="29" t="s">
        <v>365</v>
      </c>
      <c r="F2368" s="29" t="s">
        <v>332</v>
      </c>
      <c r="G2368" s="25" t="s">
        <v>4118</v>
      </c>
      <c r="H2368" s="26">
        <v>-8.1670000000000006E-2</v>
      </c>
      <c r="I2368" s="26"/>
      <c r="J2368" s="26" t="s">
        <v>514</v>
      </c>
      <c r="K2368" s="25" t="s">
        <v>513</v>
      </c>
    </row>
    <row r="2369" spans="1:11" ht="25.5" x14ac:dyDescent="0.25">
      <c r="A2369" s="22">
        <v>2026</v>
      </c>
      <c r="B2369" s="28" t="s">
        <v>192</v>
      </c>
      <c r="C2369" s="28" t="s">
        <v>97</v>
      </c>
      <c r="D2369" s="28" t="s">
        <v>200</v>
      </c>
      <c r="E2369" s="29" t="s">
        <v>365</v>
      </c>
      <c r="F2369" s="29" t="s">
        <v>332</v>
      </c>
      <c r="G2369" s="25" t="s">
        <v>4119</v>
      </c>
      <c r="H2369" s="26">
        <v>-8.3129999999999996E-2</v>
      </c>
      <c r="I2369" s="26"/>
      <c r="J2369" s="26" t="s">
        <v>514</v>
      </c>
      <c r="K2369" s="25" t="s">
        <v>513</v>
      </c>
    </row>
    <row r="2370" spans="1:11" ht="25.5" x14ac:dyDescent="0.25">
      <c r="A2370" s="22">
        <v>2026</v>
      </c>
      <c r="B2370" s="28" t="s">
        <v>192</v>
      </c>
      <c r="C2370" s="28" t="s">
        <v>97</v>
      </c>
      <c r="D2370" s="28" t="s">
        <v>200</v>
      </c>
      <c r="E2370" s="29" t="s">
        <v>365</v>
      </c>
      <c r="F2370" s="29" t="s">
        <v>332</v>
      </c>
      <c r="G2370" s="25" t="s">
        <v>4120</v>
      </c>
      <c r="H2370" s="26">
        <v>-0.164716</v>
      </c>
      <c r="I2370" s="26"/>
      <c r="J2370" s="26" t="s">
        <v>514</v>
      </c>
      <c r="K2370" s="25" t="s">
        <v>513</v>
      </c>
    </row>
    <row r="2371" spans="1:11" ht="25.5" x14ac:dyDescent="0.25">
      <c r="A2371" s="22">
        <v>2026</v>
      </c>
      <c r="B2371" s="28" t="s">
        <v>192</v>
      </c>
      <c r="C2371" s="28" t="s">
        <v>97</v>
      </c>
      <c r="D2371" s="28" t="s">
        <v>200</v>
      </c>
      <c r="E2371" s="29" t="s">
        <v>365</v>
      </c>
      <c r="F2371" s="29" t="s">
        <v>332</v>
      </c>
      <c r="G2371" s="25" t="s">
        <v>4121</v>
      </c>
      <c r="H2371" s="26">
        <v>-0.16284999999999999</v>
      </c>
      <c r="I2371" s="26"/>
      <c r="J2371" s="26" t="s">
        <v>514</v>
      </c>
      <c r="K2371" s="25" t="s">
        <v>513</v>
      </c>
    </row>
    <row r="2372" spans="1:11" ht="25.5" x14ac:dyDescent="0.25">
      <c r="A2372" s="22">
        <v>2026</v>
      </c>
      <c r="B2372" s="28" t="s">
        <v>192</v>
      </c>
      <c r="C2372" s="28" t="s">
        <v>97</v>
      </c>
      <c r="D2372" s="28" t="s">
        <v>200</v>
      </c>
      <c r="E2372" s="29" t="s">
        <v>365</v>
      </c>
      <c r="F2372" s="29" t="s">
        <v>332</v>
      </c>
      <c r="G2372" s="25" t="s">
        <v>4122</v>
      </c>
      <c r="H2372" s="26">
        <v>-8.1500000000000003E-2</v>
      </c>
      <c r="I2372" s="26"/>
      <c r="J2372" s="26" t="s">
        <v>514</v>
      </c>
      <c r="K2372" s="25" t="s">
        <v>513</v>
      </c>
    </row>
    <row r="2373" spans="1:11" ht="25.5" x14ac:dyDescent="0.25">
      <c r="A2373" s="22">
        <v>2026</v>
      </c>
      <c r="B2373" s="28" t="s">
        <v>192</v>
      </c>
      <c r="C2373" s="28" t="s">
        <v>97</v>
      </c>
      <c r="D2373" s="28" t="s">
        <v>1001</v>
      </c>
      <c r="E2373" s="29" t="s">
        <v>491</v>
      </c>
      <c r="F2373" s="29" t="s">
        <v>378</v>
      </c>
      <c r="G2373" s="25" t="s">
        <v>4123</v>
      </c>
      <c r="H2373" s="26">
        <v>-0.55651179169999998</v>
      </c>
      <c r="I2373" s="26"/>
      <c r="J2373" s="26" t="s">
        <v>512</v>
      </c>
      <c r="K2373" s="25" t="s">
        <v>513</v>
      </c>
    </row>
    <row r="2374" spans="1:11" ht="25.5" x14ac:dyDescent="0.25">
      <c r="A2374" s="22">
        <v>2026</v>
      </c>
      <c r="B2374" s="28" t="s">
        <v>192</v>
      </c>
      <c r="C2374" s="28" t="s">
        <v>97</v>
      </c>
      <c r="D2374" s="28" t="s">
        <v>1001</v>
      </c>
      <c r="E2374" s="29" t="s">
        <v>491</v>
      </c>
      <c r="F2374" s="29" t="s">
        <v>378</v>
      </c>
      <c r="G2374" s="25" t="s">
        <v>4124</v>
      </c>
      <c r="H2374" s="26">
        <v>-0.31945499999999999</v>
      </c>
      <c r="I2374" s="26"/>
      <c r="J2374" s="26" t="s">
        <v>512</v>
      </c>
      <c r="K2374" s="25" t="s">
        <v>513</v>
      </c>
    </row>
    <row r="2375" spans="1:11" ht="25.5" x14ac:dyDescent="0.25">
      <c r="A2375" s="22">
        <v>2026</v>
      </c>
      <c r="B2375" s="28" t="s">
        <v>192</v>
      </c>
      <c r="C2375" s="28" t="s">
        <v>97</v>
      </c>
      <c r="D2375" s="28" t="s">
        <v>1001</v>
      </c>
      <c r="E2375" s="29" t="s">
        <v>491</v>
      </c>
      <c r="F2375" s="29" t="s">
        <v>378</v>
      </c>
      <c r="G2375" s="25" t="s">
        <v>4125</v>
      </c>
      <c r="H2375" s="26">
        <v>-0.17652472499999999</v>
      </c>
      <c r="I2375" s="26"/>
      <c r="J2375" s="26" t="s">
        <v>512</v>
      </c>
      <c r="K2375" s="25" t="s">
        <v>513</v>
      </c>
    </row>
    <row r="2376" spans="1:11" ht="25.5" x14ac:dyDescent="0.25">
      <c r="A2376" s="22">
        <v>2026</v>
      </c>
      <c r="B2376" s="28" t="s">
        <v>192</v>
      </c>
      <c r="C2376" s="28" t="s">
        <v>97</v>
      </c>
      <c r="D2376" s="28" t="s">
        <v>1001</v>
      </c>
      <c r="E2376" s="29" t="s">
        <v>491</v>
      </c>
      <c r="F2376" s="29" t="s">
        <v>378</v>
      </c>
      <c r="G2376" s="25" t="s">
        <v>4126</v>
      </c>
      <c r="H2376" s="26">
        <v>-0.89670429504000004</v>
      </c>
      <c r="I2376" s="26"/>
      <c r="J2376" s="26" t="s">
        <v>512</v>
      </c>
      <c r="K2376" s="25" t="s">
        <v>513</v>
      </c>
    </row>
    <row r="2377" spans="1:11" ht="25.5" x14ac:dyDescent="0.25">
      <c r="A2377" s="22">
        <v>2026</v>
      </c>
      <c r="B2377" s="28" t="s">
        <v>192</v>
      </c>
      <c r="C2377" s="28" t="s">
        <v>97</v>
      </c>
      <c r="D2377" s="28" t="s">
        <v>1001</v>
      </c>
      <c r="E2377" s="29" t="s">
        <v>491</v>
      </c>
      <c r="F2377" s="29" t="s">
        <v>378</v>
      </c>
      <c r="G2377" s="25" t="s">
        <v>4127</v>
      </c>
      <c r="H2377" s="26">
        <v>-0.1135721301</v>
      </c>
      <c r="I2377" s="26"/>
      <c r="J2377" s="26" t="s">
        <v>512</v>
      </c>
      <c r="K2377" s="25" t="s">
        <v>513</v>
      </c>
    </row>
    <row r="2378" spans="1:11" ht="25.5" x14ac:dyDescent="0.25">
      <c r="A2378" s="22">
        <v>2026</v>
      </c>
      <c r="B2378" s="28" t="s">
        <v>192</v>
      </c>
      <c r="C2378" s="28" t="s">
        <v>97</v>
      </c>
      <c r="D2378" s="28" t="s">
        <v>1001</v>
      </c>
      <c r="E2378" s="29" t="s">
        <v>491</v>
      </c>
      <c r="F2378" s="29" t="s">
        <v>378</v>
      </c>
      <c r="G2378" s="25" t="s">
        <v>4128</v>
      </c>
      <c r="H2378" s="26">
        <v>-6.7727999999999997E-2</v>
      </c>
      <c r="I2378" s="26"/>
      <c r="J2378" s="26" t="s">
        <v>512</v>
      </c>
      <c r="K2378" s="25" t="s">
        <v>513</v>
      </c>
    </row>
    <row r="2379" spans="1:11" ht="25.5" x14ac:dyDescent="0.25">
      <c r="A2379" s="22">
        <v>2026</v>
      </c>
      <c r="B2379" s="28" t="s">
        <v>192</v>
      </c>
      <c r="C2379" s="28" t="s">
        <v>97</v>
      </c>
      <c r="D2379" s="28" t="s">
        <v>1001</v>
      </c>
      <c r="E2379" s="29" t="s">
        <v>491</v>
      </c>
      <c r="F2379" s="29" t="s">
        <v>378</v>
      </c>
      <c r="G2379" s="25" t="s">
        <v>4129</v>
      </c>
      <c r="H2379" s="26">
        <v>-0.155190832</v>
      </c>
      <c r="I2379" s="26"/>
      <c r="J2379" s="26" t="s">
        <v>512</v>
      </c>
      <c r="K2379" s="25" t="s">
        <v>513</v>
      </c>
    </row>
    <row r="2380" spans="1:11" ht="25.5" x14ac:dyDescent="0.25">
      <c r="A2380" s="22">
        <v>2026</v>
      </c>
      <c r="B2380" s="28" t="s">
        <v>192</v>
      </c>
      <c r="C2380" s="28" t="s">
        <v>97</v>
      </c>
      <c r="D2380" s="28" t="s">
        <v>198</v>
      </c>
      <c r="E2380" s="29" t="s">
        <v>923</v>
      </c>
      <c r="F2380" s="29" t="s">
        <v>350</v>
      </c>
      <c r="G2380" s="25" t="s">
        <v>3997</v>
      </c>
      <c r="H2380" s="26">
        <v>-5.9838417599999999E-2</v>
      </c>
      <c r="I2380" s="26"/>
      <c r="J2380" s="26" t="s">
        <v>512</v>
      </c>
      <c r="K2380" s="25" t="s">
        <v>513</v>
      </c>
    </row>
    <row r="2381" spans="1:11" ht="25.5" x14ac:dyDescent="0.25">
      <c r="A2381" s="22">
        <v>2026</v>
      </c>
      <c r="B2381" s="28" t="s">
        <v>192</v>
      </c>
      <c r="C2381" s="28" t="s">
        <v>97</v>
      </c>
      <c r="D2381" s="28" t="s">
        <v>198</v>
      </c>
      <c r="E2381" s="29" t="s">
        <v>923</v>
      </c>
      <c r="F2381" s="29" t="s">
        <v>350</v>
      </c>
      <c r="G2381" s="25" t="s">
        <v>3998</v>
      </c>
      <c r="H2381" s="26">
        <v>-2.1329999999999998E-2</v>
      </c>
      <c r="I2381" s="26"/>
      <c r="J2381" s="26" t="s">
        <v>512</v>
      </c>
      <c r="K2381" s="25" t="s">
        <v>513</v>
      </c>
    </row>
    <row r="2382" spans="1:11" ht="25.5" x14ac:dyDescent="0.25">
      <c r="A2382" s="22">
        <v>2026</v>
      </c>
      <c r="B2382" s="28" t="s">
        <v>192</v>
      </c>
      <c r="C2382" s="28" t="s">
        <v>97</v>
      </c>
      <c r="D2382" s="28" t="s">
        <v>198</v>
      </c>
      <c r="E2382" s="29" t="s">
        <v>923</v>
      </c>
      <c r="F2382" s="29" t="s">
        <v>350</v>
      </c>
      <c r="G2382" s="25" t="s">
        <v>3999</v>
      </c>
      <c r="H2382" s="26">
        <v>-3.8366999999999998E-2</v>
      </c>
      <c r="I2382" s="26"/>
      <c r="J2382" s="26" t="s">
        <v>512</v>
      </c>
      <c r="K2382" s="25" t="s">
        <v>513</v>
      </c>
    </row>
    <row r="2383" spans="1:11" ht="25.5" x14ac:dyDescent="0.25">
      <c r="A2383" s="22">
        <v>2026</v>
      </c>
      <c r="B2383" s="28" t="s">
        <v>192</v>
      </c>
      <c r="C2383" s="28" t="s">
        <v>97</v>
      </c>
      <c r="D2383" s="28" t="s">
        <v>198</v>
      </c>
      <c r="E2383" s="29" t="s">
        <v>923</v>
      </c>
      <c r="F2383" s="29" t="s">
        <v>350</v>
      </c>
      <c r="G2383" s="25" t="s">
        <v>4000</v>
      </c>
      <c r="H2383" s="26">
        <v>-6.4964999999999995E-2</v>
      </c>
      <c r="I2383" s="26"/>
      <c r="J2383" s="26" t="s">
        <v>512</v>
      </c>
      <c r="K2383" s="25" t="s">
        <v>513</v>
      </c>
    </row>
    <row r="2384" spans="1:11" ht="25.5" x14ac:dyDescent="0.25">
      <c r="A2384" s="22">
        <v>2026</v>
      </c>
      <c r="B2384" s="28" t="s">
        <v>192</v>
      </c>
      <c r="C2384" s="28" t="s">
        <v>97</v>
      </c>
      <c r="D2384" s="28" t="s">
        <v>1714</v>
      </c>
      <c r="E2384" s="29" t="s">
        <v>923</v>
      </c>
      <c r="F2384" s="29" t="s">
        <v>353</v>
      </c>
      <c r="G2384" s="25" t="s">
        <v>4130</v>
      </c>
      <c r="H2384" s="26">
        <v>-0.2848</v>
      </c>
      <c r="I2384" s="26"/>
      <c r="J2384" s="26" t="s">
        <v>512</v>
      </c>
      <c r="K2384" s="25" t="s">
        <v>513</v>
      </c>
    </row>
    <row r="2385" spans="1:11" ht="25.5" x14ac:dyDescent="0.25">
      <c r="A2385" s="22">
        <v>2026</v>
      </c>
      <c r="B2385" s="28" t="s">
        <v>192</v>
      </c>
      <c r="C2385" s="28" t="s">
        <v>97</v>
      </c>
      <c r="D2385" s="28" t="s">
        <v>1714</v>
      </c>
      <c r="E2385" s="29" t="s">
        <v>923</v>
      </c>
      <c r="F2385" s="29" t="s">
        <v>353</v>
      </c>
      <c r="G2385" s="25" t="s">
        <v>4131</v>
      </c>
      <c r="H2385" s="26">
        <v>-0.25800000000000001</v>
      </c>
      <c r="I2385" s="26"/>
      <c r="J2385" s="26" t="s">
        <v>512</v>
      </c>
      <c r="K2385" s="25" t="s">
        <v>513</v>
      </c>
    </row>
    <row r="2386" spans="1:11" ht="25.5" x14ac:dyDescent="0.25">
      <c r="A2386" s="22">
        <v>2026</v>
      </c>
      <c r="B2386" s="28" t="s">
        <v>192</v>
      </c>
      <c r="C2386" s="28" t="s">
        <v>97</v>
      </c>
      <c r="D2386" s="28" t="s">
        <v>1714</v>
      </c>
      <c r="E2386" s="29" t="s">
        <v>923</v>
      </c>
      <c r="F2386" s="29" t="s">
        <v>353</v>
      </c>
      <c r="G2386" s="25" t="s">
        <v>4132</v>
      </c>
      <c r="H2386" s="26">
        <v>-0.25124999999999997</v>
      </c>
      <c r="I2386" s="26"/>
      <c r="J2386" s="26" t="s">
        <v>512</v>
      </c>
      <c r="K2386" s="25" t="s">
        <v>513</v>
      </c>
    </row>
    <row r="2387" spans="1:11" ht="25.5" x14ac:dyDescent="0.25">
      <c r="A2387" s="22">
        <v>2026</v>
      </c>
      <c r="B2387" s="28" t="s">
        <v>192</v>
      </c>
      <c r="C2387" s="28" t="s">
        <v>97</v>
      </c>
      <c r="D2387" s="28" t="s">
        <v>1714</v>
      </c>
      <c r="E2387" s="29" t="s">
        <v>923</v>
      </c>
      <c r="F2387" s="29" t="s">
        <v>353</v>
      </c>
      <c r="G2387" s="25" t="s">
        <v>4133</v>
      </c>
      <c r="H2387" s="26">
        <v>-0.16400000000000001</v>
      </c>
      <c r="I2387" s="26"/>
      <c r="J2387" s="26" t="s">
        <v>512</v>
      </c>
      <c r="K2387" s="25" t="s">
        <v>513</v>
      </c>
    </row>
    <row r="2388" spans="1:11" ht="25.5" x14ac:dyDescent="0.25">
      <c r="A2388" s="22">
        <v>2026</v>
      </c>
      <c r="B2388" s="28" t="s">
        <v>192</v>
      </c>
      <c r="C2388" s="28" t="s">
        <v>97</v>
      </c>
      <c r="D2388" s="28" t="s">
        <v>1792</v>
      </c>
      <c r="E2388" s="29" t="s">
        <v>1802</v>
      </c>
      <c r="F2388" s="29" t="s">
        <v>503</v>
      </c>
      <c r="G2388" s="25" t="s">
        <v>4134</v>
      </c>
      <c r="H2388" s="26">
        <v>-7.85E-2</v>
      </c>
      <c r="I2388" s="26"/>
      <c r="J2388" s="26" t="s">
        <v>512</v>
      </c>
      <c r="K2388" s="25" t="s">
        <v>513</v>
      </c>
    </row>
    <row r="2389" spans="1:11" ht="25.5" x14ac:dyDescent="0.25">
      <c r="A2389" s="22">
        <v>2026</v>
      </c>
      <c r="B2389" s="28" t="s">
        <v>192</v>
      </c>
      <c r="C2389" s="28" t="s">
        <v>97</v>
      </c>
      <c r="D2389" s="28" t="s">
        <v>1792</v>
      </c>
      <c r="E2389" s="29" t="s">
        <v>1802</v>
      </c>
      <c r="F2389" s="29" t="s">
        <v>503</v>
      </c>
      <c r="G2389" s="25" t="s">
        <v>4135</v>
      </c>
      <c r="H2389" s="26">
        <v>-7.9100000000000004E-2</v>
      </c>
      <c r="I2389" s="26"/>
      <c r="J2389" s="26" t="s">
        <v>512</v>
      </c>
      <c r="K2389" s="25" t="s">
        <v>513</v>
      </c>
    </row>
    <row r="2390" spans="1:11" ht="25.5" x14ac:dyDescent="0.25">
      <c r="A2390" s="22">
        <v>2026</v>
      </c>
      <c r="B2390" s="28" t="s">
        <v>192</v>
      </c>
      <c r="C2390" s="28" t="s">
        <v>97</v>
      </c>
      <c r="D2390" s="28" t="s">
        <v>1715</v>
      </c>
      <c r="E2390" s="29" t="s">
        <v>352</v>
      </c>
      <c r="F2390" s="29" t="s">
        <v>353</v>
      </c>
      <c r="G2390" s="25" t="s">
        <v>4136</v>
      </c>
      <c r="H2390" s="26">
        <v>-6.0374160000000003E-2</v>
      </c>
      <c r="I2390" s="26"/>
      <c r="J2390" s="26" t="s">
        <v>512</v>
      </c>
      <c r="K2390" s="25" t="s">
        <v>513</v>
      </c>
    </row>
    <row r="2391" spans="1:11" ht="25.5" x14ac:dyDescent="0.25">
      <c r="A2391" s="22">
        <v>2026</v>
      </c>
      <c r="B2391" s="28" t="s">
        <v>192</v>
      </c>
      <c r="C2391" s="28" t="s">
        <v>97</v>
      </c>
      <c r="D2391" s="28" t="s">
        <v>1715</v>
      </c>
      <c r="E2391" s="29" t="s">
        <v>352</v>
      </c>
      <c r="F2391" s="29" t="s">
        <v>353</v>
      </c>
      <c r="G2391" s="25" t="s">
        <v>4137</v>
      </c>
      <c r="H2391" s="26">
        <v>-0.56959454999999992</v>
      </c>
      <c r="I2391" s="26"/>
      <c r="J2391" s="26" t="s">
        <v>512</v>
      </c>
      <c r="K2391" s="25" t="s">
        <v>513</v>
      </c>
    </row>
    <row r="2392" spans="1:11" ht="25.5" x14ac:dyDescent="0.25">
      <c r="A2392" s="22">
        <v>2026</v>
      </c>
      <c r="B2392" s="28" t="s">
        <v>192</v>
      </c>
      <c r="C2392" s="28" t="s">
        <v>97</v>
      </c>
      <c r="D2392" s="28" t="s">
        <v>1715</v>
      </c>
      <c r="E2392" s="29" t="s">
        <v>352</v>
      </c>
      <c r="F2392" s="29" t="s">
        <v>353</v>
      </c>
      <c r="G2392" s="25" t="s">
        <v>4138</v>
      </c>
      <c r="H2392" s="26">
        <v>-0.34508855000000005</v>
      </c>
      <c r="I2392" s="26"/>
      <c r="J2392" s="26" t="s">
        <v>512</v>
      </c>
      <c r="K2392" s="25" t="s">
        <v>513</v>
      </c>
    </row>
    <row r="2393" spans="1:11" ht="25.5" x14ac:dyDescent="0.25">
      <c r="A2393" s="22">
        <v>2026</v>
      </c>
      <c r="B2393" s="28" t="s">
        <v>192</v>
      </c>
      <c r="C2393" s="28" t="s">
        <v>97</v>
      </c>
      <c r="D2393" s="28" t="s">
        <v>1715</v>
      </c>
      <c r="E2393" s="29" t="s">
        <v>352</v>
      </c>
      <c r="F2393" s="29" t="s">
        <v>353</v>
      </c>
      <c r="G2393" s="25" t="s">
        <v>4139</v>
      </c>
      <c r="H2393" s="26">
        <v>-4.5150000000000003E-2</v>
      </c>
      <c r="I2393" s="26"/>
      <c r="J2393" s="26" t="s">
        <v>512</v>
      </c>
      <c r="K2393" s="25" t="s">
        <v>513</v>
      </c>
    </row>
    <row r="2394" spans="1:11" ht="25.5" x14ac:dyDescent="0.25">
      <c r="A2394" s="22">
        <v>2026</v>
      </c>
      <c r="B2394" s="28" t="s">
        <v>192</v>
      </c>
      <c r="C2394" s="28" t="s">
        <v>97</v>
      </c>
      <c r="D2394" s="28" t="s">
        <v>1715</v>
      </c>
      <c r="E2394" s="29" t="s">
        <v>352</v>
      </c>
      <c r="F2394" s="29" t="s">
        <v>353</v>
      </c>
      <c r="G2394" s="25" t="s">
        <v>4140</v>
      </c>
      <c r="H2394" s="26">
        <v>-0.23718101967999999</v>
      </c>
      <c r="I2394" s="26"/>
      <c r="J2394" s="26" t="s">
        <v>512</v>
      </c>
      <c r="K2394" s="25" t="s">
        <v>513</v>
      </c>
    </row>
    <row r="2395" spans="1:11" ht="25.5" x14ac:dyDescent="0.25">
      <c r="A2395" s="22">
        <v>2026</v>
      </c>
      <c r="B2395" s="28" t="s">
        <v>192</v>
      </c>
      <c r="C2395" s="28" t="s">
        <v>97</v>
      </c>
      <c r="D2395" s="28" t="s">
        <v>1715</v>
      </c>
      <c r="E2395" s="29" t="s">
        <v>352</v>
      </c>
      <c r="F2395" s="29" t="s">
        <v>353</v>
      </c>
      <c r="G2395" s="25" t="s">
        <v>4141</v>
      </c>
      <c r="H2395" s="26">
        <v>-9.4315200000000002E-2</v>
      </c>
      <c r="I2395" s="26"/>
      <c r="J2395" s="26" t="s">
        <v>512</v>
      </c>
      <c r="K2395" s="25" t="s">
        <v>513</v>
      </c>
    </row>
    <row r="2396" spans="1:11" ht="25.5" x14ac:dyDescent="0.25">
      <c r="A2396" s="22">
        <v>2026</v>
      </c>
      <c r="B2396" s="28" t="s">
        <v>192</v>
      </c>
      <c r="C2396" s="28" t="s">
        <v>97</v>
      </c>
      <c r="D2396" s="28" t="s">
        <v>1715</v>
      </c>
      <c r="E2396" s="29" t="s">
        <v>352</v>
      </c>
      <c r="F2396" s="29" t="s">
        <v>353</v>
      </c>
      <c r="G2396" s="25" t="s">
        <v>4142</v>
      </c>
      <c r="H2396" s="26">
        <v>-4.8138E-2</v>
      </c>
      <c r="I2396" s="26"/>
      <c r="J2396" s="26" t="s">
        <v>512</v>
      </c>
      <c r="K2396" s="25" t="s">
        <v>513</v>
      </c>
    </row>
    <row r="2397" spans="1:11" ht="25.5" x14ac:dyDescent="0.25">
      <c r="A2397" s="22">
        <v>2026</v>
      </c>
      <c r="B2397" s="28" t="s">
        <v>192</v>
      </c>
      <c r="C2397" s="28" t="s">
        <v>97</v>
      </c>
      <c r="D2397" s="28" t="s">
        <v>1715</v>
      </c>
      <c r="E2397" s="29" t="s">
        <v>352</v>
      </c>
      <c r="F2397" s="29" t="s">
        <v>353</v>
      </c>
      <c r="G2397" s="25" t="s">
        <v>4143</v>
      </c>
      <c r="H2397" s="26">
        <v>-0.77408458609999997</v>
      </c>
      <c r="I2397" s="26"/>
      <c r="J2397" s="26" t="s">
        <v>512</v>
      </c>
      <c r="K2397" s="25" t="s">
        <v>513</v>
      </c>
    </row>
    <row r="2398" spans="1:11" ht="25.5" x14ac:dyDescent="0.25">
      <c r="A2398" s="22">
        <v>2026</v>
      </c>
      <c r="B2398" s="28" t="s">
        <v>192</v>
      </c>
      <c r="C2398" s="28" t="s">
        <v>97</v>
      </c>
      <c r="D2398" s="28" t="s">
        <v>1715</v>
      </c>
      <c r="E2398" s="29" t="s">
        <v>352</v>
      </c>
      <c r="F2398" s="29" t="s">
        <v>353</v>
      </c>
      <c r="G2398" s="25" t="s">
        <v>4144</v>
      </c>
      <c r="H2398" s="26">
        <v>-0.25776210096000002</v>
      </c>
      <c r="I2398" s="26"/>
      <c r="J2398" s="26" t="s">
        <v>512</v>
      </c>
      <c r="K2398" s="25" t="s">
        <v>513</v>
      </c>
    </row>
    <row r="2399" spans="1:11" ht="25.5" x14ac:dyDescent="0.25">
      <c r="A2399" s="22">
        <v>2026</v>
      </c>
      <c r="B2399" s="28" t="s">
        <v>192</v>
      </c>
      <c r="C2399" s="28" t="s">
        <v>97</v>
      </c>
      <c r="D2399" s="28" t="s">
        <v>1715</v>
      </c>
      <c r="E2399" s="29" t="s">
        <v>352</v>
      </c>
      <c r="F2399" s="29" t="s">
        <v>353</v>
      </c>
      <c r="G2399" s="25" t="s">
        <v>4145</v>
      </c>
      <c r="H2399" s="26">
        <v>-0.47274975000000002</v>
      </c>
      <c r="I2399" s="26"/>
      <c r="J2399" s="26" t="s">
        <v>512</v>
      </c>
      <c r="K2399" s="25" t="s">
        <v>513</v>
      </c>
    </row>
    <row r="2400" spans="1:11" ht="25.5" x14ac:dyDescent="0.25">
      <c r="A2400" s="22">
        <v>2026</v>
      </c>
      <c r="B2400" s="28" t="s">
        <v>192</v>
      </c>
      <c r="C2400" s="28" t="s">
        <v>97</v>
      </c>
      <c r="D2400" s="28" t="s">
        <v>1285</v>
      </c>
      <c r="E2400" s="29" t="s">
        <v>398</v>
      </c>
      <c r="F2400" s="29" t="s">
        <v>1286</v>
      </c>
      <c r="G2400" s="25" t="s">
        <v>4146</v>
      </c>
      <c r="H2400" s="26">
        <v>-4.1823378000000001E-2</v>
      </c>
      <c r="I2400" s="26"/>
      <c r="J2400" s="26" t="s">
        <v>512</v>
      </c>
      <c r="K2400" s="25" t="s">
        <v>513</v>
      </c>
    </row>
    <row r="2401" spans="1:11" ht="25.5" x14ac:dyDescent="0.25">
      <c r="A2401" s="22">
        <v>2026</v>
      </c>
      <c r="B2401" s="28" t="s">
        <v>192</v>
      </c>
      <c r="C2401" s="28" t="s">
        <v>97</v>
      </c>
      <c r="D2401" s="28" t="s">
        <v>1285</v>
      </c>
      <c r="E2401" s="29" t="s">
        <v>398</v>
      </c>
      <c r="F2401" s="29" t="s">
        <v>1286</v>
      </c>
      <c r="G2401" s="25" t="s">
        <v>4147</v>
      </c>
      <c r="H2401" s="26">
        <v>-8.8822163300000007E-2</v>
      </c>
      <c r="I2401" s="26"/>
      <c r="J2401" s="26" t="s">
        <v>512</v>
      </c>
      <c r="K2401" s="25" t="s">
        <v>513</v>
      </c>
    </row>
    <row r="2402" spans="1:11" ht="25.5" x14ac:dyDescent="0.25">
      <c r="A2402" s="22">
        <v>2026</v>
      </c>
      <c r="B2402" s="28" t="s">
        <v>192</v>
      </c>
      <c r="C2402" s="28" t="s">
        <v>97</v>
      </c>
      <c r="D2402" s="28" t="s">
        <v>1285</v>
      </c>
      <c r="E2402" s="29" t="s">
        <v>398</v>
      </c>
      <c r="F2402" s="29" t="s">
        <v>1286</v>
      </c>
      <c r="G2402" s="25" t="s">
        <v>4148</v>
      </c>
      <c r="H2402" s="26">
        <v>-1.25</v>
      </c>
      <c r="I2402" s="26"/>
      <c r="J2402" s="26" t="s">
        <v>512</v>
      </c>
      <c r="K2402" s="25" t="s">
        <v>513</v>
      </c>
    </row>
    <row r="2403" spans="1:11" ht="25.5" x14ac:dyDescent="0.25">
      <c r="A2403" s="22">
        <v>2026</v>
      </c>
      <c r="B2403" s="28" t="s">
        <v>192</v>
      </c>
      <c r="C2403" s="28" t="s">
        <v>97</v>
      </c>
      <c r="D2403" s="28" t="s">
        <v>1285</v>
      </c>
      <c r="E2403" s="29" t="s">
        <v>398</v>
      </c>
      <c r="F2403" s="29" t="s">
        <v>1286</v>
      </c>
      <c r="G2403" s="25" t="s">
        <v>4149</v>
      </c>
      <c r="H2403" s="26">
        <v>-7.7733928110000003E-2</v>
      </c>
      <c r="I2403" s="26"/>
      <c r="J2403" s="26" t="s">
        <v>512</v>
      </c>
      <c r="K2403" s="25" t="s">
        <v>513</v>
      </c>
    </row>
    <row r="2404" spans="1:11" ht="25.5" x14ac:dyDescent="0.25">
      <c r="A2404" s="22">
        <v>2026</v>
      </c>
      <c r="B2404" s="28" t="s">
        <v>192</v>
      </c>
      <c r="C2404" s="28" t="s">
        <v>97</v>
      </c>
      <c r="D2404" s="28" t="s">
        <v>1716</v>
      </c>
      <c r="E2404" s="29" t="s">
        <v>446</v>
      </c>
      <c r="F2404" s="29" t="s">
        <v>353</v>
      </c>
      <c r="G2404" s="25" t="s">
        <v>4150</v>
      </c>
      <c r="H2404" s="26">
        <v>-0.69314100000000001</v>
      </c>
      <c r="I2404" s="26"/>
      <c r="J2404" s="26" t="s">
        <v>512</v>
      </c>
      <c r="K2404" s="25" t="s">
        <v>513</v>
      </c>
    </row>
    <row r="2405" spans="1:11" ht="25.5" x14ac:dyDescent="0.25">
      <c r="A2405" s="22">
        <v>2026</v>
      </c>
      <c r="B2405" s="28" t="s">
        <v>192</v>
      </c>
      <c r="C2405" s="28" t="s">
        <v>97</v>
      </c>
      <c r="D2405" s="28" t="s">
        <v>1716</v>
      </c>
      <c r="E2405" s="29" t="s">
        <v>446</v>
      </c>
      <c r="F2405" s="29" t="s">
        <v>353</v>
      </c>
      <c r="G2405" s="25" t="s">
        <v>4151</v>
      </c>
      <c r="H2405" s="26">
        <v>-0.67882699999999996</v>
      </c>
      <c r="I2405" s="26"/>
      <c r="J2405" s="26" t="s">
        <v>512</v>
      </c>
      <c r="K2405" s="25" t="s">
        <v>513</v>
      </c>
    </row>
    <row r="2406" spans="1:11" ht="25.5" x14ac:dyDescent="0.25">
      <c r="A2406" s="22">
        <v>2026</v>
      </c>
      <c r="B2406" s="28" t="s">
        <v>192</v>
      </c>
      <c r="C2406" s="28" t="s">
        <v>97</v>
      </c>
      <c r="D2406" s="28" t="s">
        <v>1716</v>
      </c>
      <c r="E2406" s="29" t="s">
        <v>446</v>
      </c>
      <c r="F2406" s="29" t="s">
        <v>353</v>
      </c>
      <c r="G2406" s="25" t="s">
        <v>4152</v>
      </c>
      <c r="H2406" s="26">
        <v>-1.1955</v>
      </c>
      <c r="I2406" s="26"/>
      <c r="J2406" s="26" t="s">
        <v>512</v>
      </c>
      <c r="K2406" s="25" t="s">
        <v>513</v>
      </c>
    </row>
    <row r="2407" spans="1:11" ht="25.5" x14ac:dyDescent="0.25">
      <c r="A2407" s="22">
        <v>2026</v>
      </c>
      <c r="B2407" s="28" t="s">
        <v>192</v>
      </c>
      <c r="C2407" s="28" t="s">
        <v>97</v>
      </c>
      <c r="D2407" s="28" t="s">
        <v>1716</v>
      </c>
      <c r="E2407" s="29" t="s">
        <v>446</v>
      </c>
      <c r="F2407" s="29" t="s">
        <v>353</v>
      </c>
      <c r="G2407" s="25" t="s">
        <v>4153</v>
      </c>
      <c r="H2407" s="26">
        <v>-1.1894400000000001</v>
      </c>
      <c r="I2407" s="26"/>
      <c r="J2407" s="26" t="s">
        <v>512</v>
      </c>
      <c r="K2407" s="25" t="s">
        <v>513</v>
      </c>
    </row>
    <row r="2408" spans="1:11" ht="25.5" x14ac:dyDescent="0.25">
      <c r="A2408" s="22">
        <v>2026</v>
      </c>
      <c r="B2408" s="28" t="s">
        <v>192</v>
      </c>
      <c r="C2408" s="28" t="s">
        <v>97</v>
      </c>
      <c r="D2408" s="28" t="s">
        <v>1716</v>
      </c>
      <c r="E2408" s="29" t="s">
        <v>446</v>
      </c>
      <c r="F2408" s="29" t="s">
        <v>353</v>
      </c>
      <c r="G2408" s="25" t="s">
        <v>4154</v>
      </c>
      <c r="H2408" s="26">
        <v>-1.1798550000000001</v>
      </c>
      <c r="I2408" s="26"/>
      <c r="J2408" s="26" t="s">
        <v>512</v>
      </c>
      <c r="K2408" s="25" t="s">
        <v>513</v>
      </c>
    </row>
    <row r="2409" spans="1:11" ht="25.5" x14ac:dyDescent="0.25">
      <c r="A2409" s="22">
        <v>2026</v>
      </c>
      <c r="B2409" s="28" t="s">
        <v>192</v>
      </c>
      <c r="C2409" s="28" t="s">
        <v>97</v>
      </c>
      <c r="D2409" s="28" t="s">
        <v>1716</v>
      </c>
      <c r="E2409" s="29" t="s">
        <v>446</v>
      </c>
      <c r="F2409" s="29" t="s">
        <v>353</v>
      </c>
      <c r="G2409" s="25" t="s">
        <v>4155</v>
      </c>
      <c r="H2409" s="26">
        <v>-0.67512099999999997</v>
      </c>
      <c r="I2409" s="26"/>
      <c r="J2409" s="26" t="s">
        <v>512</v>
      </c>
      <c r="K2409" s="25" t="s">
        <v>513</v>
      </c>
    </row>
    <row r="2410" spans="1:11" ht="25.5" x14ac:dyDescent="0.25">
      <c r="A2410" s="22">
        <v>2026</v>
      </c>
      <c r="B2410" s="28" t="s">
        <v>192</v>
      </c>
      <c r="C2410" s="28" t="s">
        <v>97</v>
      </c>
      <c r="D2410" s="28" t="s">
        <v>1716</v>
      </c>
      <c r="E2410" s="29" t="s">
        <v>446</v>
      </c>
      <c r="F2410" s="29" t="s">
        <v>353</v>
      </c>
      <c r="G2410" s="25" t="s">
        <v>4156</v>
      </c>
      <c r="H2410" s="26">
        <v>-0.39329999999999998</v>
      </c>
      <c r="I2410" s="26"/>
      <c r="J2410" s="26" t="s">
        <v>512</v>
      </c>
      <c r="K2410" s="25" t="s">
        <v>513</v>
      </c>
    </row>
    <row r="2411" spans="1:11" ht="25.5" x14ac:dyDescent="0.25">
      <c r="A2411" s="22">
        <v>2026</v>
      </c>
      <c r="B2411" s="28" t="s">
        <v>192</v>
      </c>
      <c r="C2411" s="28" t="s">
        <v>97</v>
      </c>
      <c r="D2411" s="28" t="s">
        <v>1716</v>
      </c>
      <c r="E2411" s="29" t="s">
        <v>446</v>
      </c>
      <c r="F2411" s="29" t="s">
        <v>353</v>
      </c>
      <c r="G2411" s="25" t="s">
        <v>4157</v>
      </c>
      <c r="H2411" s="26">
        <v>-0.67059049999999998</v>
      </c>
      <c r="I2411" s="26"/>
      <c r="J2411" s="26" t="s">
        <v>512</v>
      </c>
      <c r="K2411" s="25" t="s">
        <v>513</v>
      </c>
    </row>
    <row r="2412" spans="1:11" ht="25.5" x14ac:dyDescent="0.25">
      <c r="A2412" s="22">
        <v>2026</v>
      </c>
      <c r="B2412" s="28" t="s">
        <v>192</v>
      </c>
      <c r="C2412" s="28" t="s">
        <v>97</v>
      </c>
      <c r="D2412" s="28" t="s">
        <v>1716</v>
      </c>
      <c r="E2412" s="29" t="s">
        <v>446</v>
      </c>
      <c r="F2412" s="29" t="s">
        <v>353</v>
      </c>
      <c r="G2412" s="25" t="s">
        <v>4158</v>
      </c>
      <c r="H2412" s="26">
        <v>-0.98750000000000004</v>
      </c>
      <c r="I2412" s="26"/>
      <c r="J2412" s="26" t="s">
        <v>512</v>
      </c>
      <c r="K2412" s="25" t="s">
        <v>513</v>
      </c>
    </row>
    <row r="2413" spans="1:11" ht="25.5" x14ac:dyDescent="0.25">
      <c r="A2413" s="22">
        <v>2026</v>
      </c>
      <c r="B2413" s="28" t="s">
        <v>192</v>
      </c>
      <c r="C2413" s="28" t="s">
        <v>97</v>
      </c>
      <c r="D2413" s="28" t="s">
        <v>1716</v>
      </c>
      <c r="E2413" s="29" t="s">
        <v>446</v>
      </c>
      <c r="F2413" s="29" t="s">
        <v>353</v>
      </c>
      <c r="G2413" s="25" t="s">
        <v>4159</v>
      </c>
      <c r="H2413" s="26">
        <v>-0.67264749999999995</v>
      </c>
      <c r="I2413" s="26"/>
      <c r="J2413" s="26" t="s">
        <v>512</v>
      </c>
      <c r="K2413" s="25" t="s">
        <v>513</v>
      </c>
    </row>
    <row r="2414" spans="1:11" ht="25.5" x14ac:dyDescent="0.25">
      <c r="A2414" s="22">
        <v>2026</v>
      </c>
      <c r="B2414" s="28" t="s">
        <v>192</v>
      </c>
      <c r="C2414" s="28" t="s">
        <v>97</v>
      </c>
      <c r="D2414" s="28" t="s">
        <v>1716</v>
      </c>
      <c r="E2414" s="29" t="s">
        <v>446</v>
      </c>
      <c r="F2414" s="29" t="s">
        <v>353</v>
      </c>
      <c r="G2414" s="25" t="s">
        <v>4160</v>
      </c>
      <c r="H2414" s="26">
        <v>-3.1640000000000001</v>
      </c>
      <c r="I2414" s="26"/>
      <c r="J2414" s="26" t="s">
        <v>512</v>
      </c>
      <c r="K2414" s="25" t="s">
        <v>513</v>
      </c>
    </row>
    <row r="2415" spans="1:11" ht="25.5" x14ac:dyDescent="0.25">
      <c r="A2415" s="22">
        <v>2026</v>
      </c>
      <c r="B2415" s="28" t="s">
        <v>192</v>
      </c>
      <c r="C2415" s="28" t="s">
        <v>97</v>
      </c>
      <c r="D2415" s="28" t="s">
        <v>1716</v>
      </c>
      <c r="E2415" s="29" t="s">
        <v>446</v>
      </c>
      <c r="F2415" s="29" t="s">
        <v>353</v>
      </c>
      <c r="G2415" s="25" t="s">
        <v>4161</v>
      </c>
      <c r="H2415" s="26">
        <v>-0.669987</v>
      </c>
      <c r="I2415" s="26"/>
      <c r="J2415" s="26" t="s">
        <v>512</v>
      </c>
      <c r="K2415" s="25" t="s">
        <v>513</v>
      </c>
    </row>
    <row r="2416" spans="1:11" ht="25.5" x14ac:dyDescent="0.25">
      <c r="A2416" s="22">
        <v>2026</v>
      </c>
      <c r="B2416" s="28" t="s">
        <v>192</v>
      </c>
      <c r="C2416" s="28" t="s">
        <v>97</v>
      </c>
      <c r="D2416" s="28" t="s">
        <v>1716</v>
      </c>
      <c r="E2416" s="29" t="s">
        <v>446</v>
      </c>
      <c r="F2416" s="29" t="s">
        <v>353</v>
      </c>
      <c r="G2416" s="25" t="s">
        <v>4162</v>
      </c>
      <c r="H2416" s="26">
        <v>-0.65479750000000003</v>
      </c>
      <c r="I2416" s="26"/>
      <c r="J2416" s="26" t="s">
        <v>512</v>
      </c>
      <c r="K2416" s="25" t="s">
        <v>513</v>
      </c>
    </row>
    <row r="2417" spans="1:11" ht="25.5" x14ac:dyDescent="0.25">
      <c r="A2417" s="22">
        <v>2026</v>
      </c>
      <c r="B2417" s="28" t="s">
        <v>192</v>
      </c>
      <c r="C2417" s="28" t="s">
        <v>97</v>
      </c>
      <c r="D2417" s="28" t="s">
        <v>1716</v>
      </c>
      <c r="E2417" s="29" t="s">
        <v>446</v>
      </c>
      <c r="F2417" s="29" t="s">
        <v>353</v>
      </c>
      <c r="G2417" s="25" t="s">
        <v>4163</v>
      </c>
      <c r="H2417" s="26">
        <v>-0.95328749999999995</v>
      </c>
      <c r="I2417" s="26"/>
      <c r="J2417" s="26" t="s">
        <v>512</v>
      </c>
      <c r="K2417" s="25" t="s">
        <v>513</v>
      </c>
    </row>
    <row r="2418" spans="1:11" ht="25.5" x14ac:dyDescent="0.25">
      <c r="A2418" s="22">
        <v>2026</v>
      </c>
      <c r="B2418" s="28" t="s">
        <v>192</v>
      </c>
      <c r="C2418" s="28" t="s">
        <v>97</v>
      </c>
      <c r="D2418" s="28" t="s">
        <v>1716</v>
      </c>
      <c r="E2418" s="29" t="s">
        <v>446</v>
      </c>
      <c r="F2418" s="29" t="s">
        <v>353</v>
      </c>
      <c r="G2418" s="25" t="s">
        <v>4164</v>
      </c>
      <c r="H2418" s="26">
        <v>-0.95148750000000004</v>
      </c>
      <c r="I2418" s="26"/>
      <c r="J2418" s="26" t="s">
        <v>512</v>
      </c>
      <c r="K2418" s="25" t="s">
        <v>513</v>
      </c>
    </row>
    <row r="2419" spans="1:11" ht="25.5" x14ac:dyDescent="0.25">
      <c r="A2419" s="22">
        <v>2026</v>
      </c>
      <c r="B2419" s="28" t="s">
        <v>192</v>
      </c>
      <c r="C2419" s="28" t="s">
        <v>97</v>
      </c>
      <c r="D2419" s="28" t="s">
        <v>1716</v>
      </c>
      <c r="E2419" s="29" t="s">
        <v>446</v>
      </c>
      <c r="F2419" s="29" t="s">
        <v>353</v>
      </c>
      <c r="G2419" s="25" t="s">
        <v>4165</v>
      </c>
      <c r="H2419" s="26">
        <v>-0.64600000000000002</v>
      </c>
      <c r="I2419" s="26"/>
      <c r="J2419" s="26" t="s">
        <v>512</v>
      </c>
      <c r="K2419" s="25" t="s">
        <v>513</v>
      </c>
    </row>
    <row r="2420" spans="1:11" ht="25.5" x14ac:dyDescent="0.25">
      <c r="A2420" s="22">
        <v>2026</v>
      </c>
      <c r="B2420" s="28" t="s">
        <v>192</v>
      </c>
      <c r="C2420" s="28" t="s">
        <v>97</v>
      </c>
      <c r="D2420" s="28" t="s">
        <v>1716</v>
      </c>
      <c r="E2420" s="29" t="s">
        <v>446</v>
      </c>
      <c r="F2420" s="29" t="s">
        <v>353</v>
      </c>
      <c r="G2420" s="25" t="s">
        <v>4166</v>
      </c>
      <c r="H2420" s="26">
        <v>-0.65563899999999997</v>
      </c>
      <c r="I2420" s="26"/>
      <c r="J2420" s="26" t="s">
        <v>512</v>
      </c>
      <c r="K2420" s="25" t="s">
        <v>513</v>
      </c>
    </row>
    <row r="2421" spans="1:11" ht="25.5" x14ac:dyDescent="0.25">
      <c r="A2421" s="22">
        <v>2026</v>
      </c>
      <c r="B2421" s="28" t="s">
        <v>192</v>
      </c>
      <c r="C2421" s="28" t="s">
        <v>97</v>
      </c>
      <c r="D2421" s="28" t="s">
        <v>1716</v>
      </c>
      <c r="E2421" s="29" t="s">
        <v>446</v>
      </c>
      <c r="F2421" s="29" t="s">
        <v>353</v>
      </c>
      <c r="G2421" s="25" t="s">
        <v>4167</v>
      </c>
      <c r="H2421" s="26">
        <v>-0.65042849999999997</v>
      </c>
      <c r="I2421" s="26"/>
      <c r="J2421" s="26" t="s">
        <v>512</v>
      </c>
      <c r="K2421" s="25" t="s">
        <v>513</v>
      </c>
    </row>
    <row r="2422" spans="1:11" ht="25.5" x14ac:dyDescent="0.25">
      <c r="A2422" s="22">
        <v>2026</v>
      </c>
      <c r="B2422" s="28" t="s">
        <v>192</v>
      </c>
      <c r="C2422" s="28" t="s">
        <v>97</v>
      </c>
      <c r="D2422" s="28" t="s">
        <v>1716</v>
      </c>
      <c r="E2422" s="29" t="s">
        <v>446</v>
      </c>
      <c r="F2422" s="29" t="s">
        <v>353</v>
      </c>
      <c r="G2422" s="25" t="s">
        <v>4168</v>
      </c>
      <c r="H2422" s="26">
        <v>-0.6467735</v>
      </c>
      <c r="I2422" s="26"/>
      <c r="J2422" s="26" t="s">
        <v>512</v>
      </c>
      <c r="K2422" s="25" t="s">
        <v>513</v>
      </c>
    </row>
    <row r="2423" spans="1:11" ht="25.5" x14ac:dyDescent="0.25">
      <c r="A2423" s="22">
        <v>2026</v>
      </c>
      <c r="B2423" s="28" t="s">
        <v>192</v>
      </c>
      <c r="C2423" s="28" t="s">
        <v>97</v>
      </c>
      <c r="D2423" s="28" t="s">
        <v>1716</v>
      </c>
      <c r="E2423" s="29" t="s">
        <v>446</v>
      </c>
      <c r="F2423" s="29" t="s">
        <v>353</v>
      </c>
      <c r="G2423" s="25" t="s">
        <v>4169</v>
      </c>
      <c r="H2423" s="26">
        <v>-0.65195000000000003</v>
      </c>
      <c r="I2423" s="26"/>
      <c r="J2423" s="26" t="s">
        <v>512</v>
      </c>
      <c r="K2423" s="25" t="s">
        <v>513</v>
      </c>
    </row>
    <row r="2424" spans="1:11" ht="25.5" x14ac:dyDescent="0.25">
      <c r="A2424" s="22">
        <v>2026</v>
      </c>
      <c r="B2424" s="28" t="s">
        <v>192</v>
      </c>
      <c r="C2424" s="28" t="s">
        <v>97</v>
      </c>
      <c r="D2424" s="28" t="s">
        <v>1716</v>
      </c>
      <c r="E2424" s="29" t="s">
        <v>446</v>
      </c>
      <c r="F2424" s="29" t="s">
        <v>353</v>
      </c>
      <c r="G2424" s="25" t="s">
        <v>4170</v>
      </c>
      <c r="H2424" s="26">
        <v>-0.65729649999999995</v>
      </c>
      <c r="I2424" s="26"/>
      <c r="J2424" s="26" t="s">
        <v>512</v>
      </c>
      <c r="K2424" s="25" t="s">
        <v>513</v>
      </c>
    </row>
    <row r="2425" spans="1:11" ht="25.5" x14ac:dyDescent="0.25">
      <c r="A2425" s="22">
        <v>2026</v>
      </c>
      <c r="B2425" s="28" t="s">
        <v>192</v>
      </c>
      <c r="C2425" s="28" t="s">
        <v>97</v>
      </c>
      <c r="D2425" s="28" t="s">
        <v>229</v>
      </c>
      <c r="E2425" s="29" t="s">
        <v>923</v>
      </c>
      <c r="F2425" s="29" t="s">
        <v>298</v>
      </c>
      <c r="G2425" s="25" t="s">
        <v>4171</v>
      </c>
      <c r="H2425" s="26">
        <v>-0.63376449999999995</v>
      </c>
      <c r="I2425" s="26"/>
      <c r="J2425" s="26" t="s">
        <v>512</v>
      </c>
      <c r="K2425" s="25" t="s">
        <v>526</v>
      </c>
    </row>
    <row r="2426" spans="1:11" ht="25.5" x14ac:dyDescent="0.25">
      <c r="A2426" s="22">
        <v>2026</v>
      </c>
      <c r="B2426" s="28" t="s">
        <v>192</v>
      </c>
      <c r="C2426" s="28" t="s">
        <v>97</v>
      </c>
      <c r="D2426" s="28" t="s">
        <v>229</v>
      </c>
      <c r="E2426" s="29" t="s">
        <v>923</v>
      </c>
      <c r="F2426" s="29" t="s">
        <v>298</v>
      </c>
      <c r="G2426" s="25" t="s">
        <v>4172</v>
      </c>
      <c r="H2426" s="26">
        <v>-0.62036999999999998</v>
      </c>
      <c r="I2426" s="26"/>
      <c r="J2426" s="26" t="s">
        <v>512</v>
      </c>
      <c r="K2426" s="25" t="s">
        <v>526</v>
      </c>
    </row>
    <row r="2427" spans="1:11" ht="25.5" x14ac:dyDescent="0.25">
      <c r="A2427" s="22">
        <v>2026</v>
      </c>
      <c r="B2427" s="28" t="s">
        <v>192</v>
      </c>
      <c r="C2427" s="28" t="s">
        <v>97</v>
      </c>
      <c r="D2427" s="28" t="s">
        <v>229</v>
      </c>
      <c r="E2427" s="29" t="s">
        <v>923</v>
      </c>
      <c r="F2427" s="29" t="s">
        <v>298</v>
      </c>
      <c r="G2427" s="25" t="s">
        <v>4173</v>
      </c>
      <c r="H2427" s="26">
        <v>-0.43774989999999997</v>
      </c>
      <c r="I2427" s="26"/>
      <c r="J2427" s="26" t="s">
        <v>512</v>
      </c>
      <c r="K2427" s="25" t="s">
        <v>526</v>
      </c>
    </row>
    <row r="2428" spans="1:11" ht="25.5" x14ac:dyDescent="0.25">
      <c r="A2428" s="22">
        <v>2026</v>
      </c>
      <c r="B2428" s="28" t="s">
        <v>192</v>
      </c>
      <c r="C2428" s="28" t="s">
        <v>97</v>
      </c>
      <c r="D2428" s="28" t="s">
        <v>229</v>
      </c>
      <c r="E2428" s="29" t="s">
        <v>923</v>
      </c>
      <c r="F2428" s="29" t="s">
        <v>298</v>
      </c>
      <c r="G2428" s="25" t="s">
        <v>4174</v>
      </c>
      <c r="H2428" s="26">
        <v>-0.62306550000000005</v>
      </c>
      <c r="I2428" s="26"/>
      <c r="J2428" s="26" t="s">
        <v>512</v>
      </c>
      <c r="K2428" s="25" t="s">
        <v>526</v>
      </c>
    </row>
    <row r="2429" spans="1:11" ht="25.5" x14ac:dyDescent="0.25">
      <c r="A2429" s="22">
        <v>2026</v>
      </c>
      <c r="B2429" s="28" t="s">
        <v>192</v>
      </c>
      <c r="C2429" s="28" t="s">
        <v>97</v>
      </c>
      <c r="D2429" s="28" t="s">
        <v>229</v>
      </c>
      <c r="E2429" s="29" t="s">
        <v>923</v>
      </c>
      <c r="F2429" s="29" t="s">
        <v>298</v>
      </c>
      <c r="G2429" s="25" t="s">
        <v>4175</v>
      </c>
      <c r="H2429" s="26">
        <v>-0.61039699999999997</v>
      </c>
      <c r="I2429" s="26"/>
      <c r="J2429" s="26" t="s">
        <v>512</v>
      </c>
      <c r="K2429" s="25" t="s">
        <v>526</v>
      </c>
    </row>
    <row r="2430" spans="1:11" ht="25.5" x14ac:dyDescent="0.25">
      <c r="A2430" s="22">
        <v>2026</v>
      </c>
      <c r="B2430" s="28" t="s">
        <v>192</v>
      </c>
      <c r="C2430" s="28" t="s">
        <v>97</v>
      </c>
      <c r="D2430" s="28" t="s">
        <v>229</v>
      </c>
      <c r="E2430" s="29" t="s">
        <v>923</v>
      </c>
      <c r="F2430" s="29" t="s">
        <v>298</v>
      </c>
      <c r="G2430" s="25" t="s">
        <v>4176</v>
      </c>
      <c r="H2430" s="26">
        <v>-0.84560000000000002</v>
      </c>
      <c r="I2430" s="26"/>
      <c r="J2430" s="26" t="s">
        <v>512</v>
      </c>
      <c r="K2430" s="25" t="s">
        <v>526</v>
      </c>
    </row>
    <row r="2431" spans="1:11" ht="25.5" x14ac:dyDescent="0.25">
      <c r="A2431" s="22">
        <v>2026</v>
      </c>
      <c r="B2431" s="28" t="s">
        <v>192</v>
      </c>
      <c r="C2431" s="28" t="s">
        <v>97</v>
      </c>
      <c r="D2431" s="28" t="s">
        <v>229</v>
      </c>
      <c r="E2431" s="29" t="s">
        <v>923</v>
      </c>
      <c r="F2431" s="29" t="s">
        <v>298</v>
      </c>
      <c r="G2431" s="25" t="s">
        <v>4177</v>
      </c>
      <c r="H2431" s="26">
        <v>-0.98608080000000009</v>
      </c>
      <c r="I2431" s="26"/>
      <c r="J2431" s="26" t="s">
        <v>512</v>
      </c>
      <c r="K2431" s="25" t="s">
        <v>526</v>
      </c>
    </row>
    <row r="2432" spans="1:11" ht="25.5" x14ac:dyDescent="0.25">
      <c r="A2432" s="22">
        <v>2026</v>
      </c>
      <c r="B2432" s="28" t="s">
        <v>192</v>
      </c>
      <c r="C2432" s="28" t="s">
        <v>97</v>
      </c>
      <c r="D2432" s="28" t="s">
        <v>229</v>
      </c>
      <c r="E2432" s="29" t="s">
        <v>923</v>
      </c>
      <c r="F2432" s="29" t="s">
        <v>298</v>
      </c>
      <c r="G2432" s="25" t="s">
        <v>4178</v>
      </c>
      <c r="H2432" s="26">
        <v>-0.98550000000000004</v>
      </c>
      <c r="I2432" s="26"/>
      <c r="J2432" s="26" t="s">
        <v>512</v>
      </c>
      <c r="K2432" s="25" t="s">
        <v>526</v>
      </c>
    </row>
    <row r="2433" spans="1:11" ht="25.5" x14ac:dyDescent="0.25">
      <c r="A2433" s="22">
        <v>2026</v>
      </c>
      <c r="B2433" s="28" t="s">
        <v>192</v>
      </c>
      <c r="C2433" s="28" t="s">
        <v>97</v>
      </c>
      <c r="D2433" s="28" t="s">
        <v>229</v>
      </c>
      <c r="E2433" s="29" t="s">
        <v>923</v>
      </c>
      <c r="F2433" s="29" t="s">
        <v>298</v>
      </c>
      <c r="G2433" s="25" t="s">
        <v>4179</v>
      </c>
      <c r="H2433" s="26">
        <v>-1.1309123834000001</v>
      </c>
      <c r="I2433" s="26"/>
      <c r="J2433" s="26" t="s">
        <v>512</v>
      </c>
      <c r="K2433" s="25" t="s">
        <v>526</v>
      </c>
    </row>
    <row r="2434" spans="1:11" ht="25.5" x14ac:dyDescent="0.25">
      <c r="A2434" s="22">
        <v>2026</v>
      </c>
      <c r="B2434" s="28" t="s">
        <v>192</v>
      </c>
      <c r="C2434" s="28" t="s">
        <v>97</v>
      </c>
      <c r="D2434" s="28" t="s">
        <v>229</v>
      </c>
      <c r="E2434" s="29" t="s">
        <v>923</v>
      </c>
      <c r="F2434" s="29" t="s">
        <v>298</v>
      </c>
      <c r="G2434" s="25" t="s">
        <v>4180</v>
      </c>
      <c r="H2434" s="26">
        <v>-1.2238500000000001</v>
      </c>
      <c r="I2434" s="26"/>
      <c r="J2434" s="26" t="s">
        <v>512</v>
      </c>
      <c r="K2434" s="25" t="s">
        <v>526</v>
      </c>
    </row>
    <row r="2435" spans="1:11" ht="25.5" x14ac:dyDescent="0.25">
      <c r="A2435" s="22">
        <v>2026</v>
      </c>
      <c r="B2435" s="28" t="s">
        <v>192</v>
      </c>
      <c r="C2435" s="28" t="s">
        <v>97</v>
      </c>
      <c r="D2435" s="28" t="s">
        <v>229</v>
      </c>
      <c r="E2435" s="29" t="s">
        <v>923</v>
      </c>
      <c r="F2435" s="29" t="s">
        <v>298</v>
      </c>
      <c r="G2435" s="25" t="s">
        <v>4181</v>
      </c>
      <c r="H2435" s="26">
        <v>-1.2313419999999999</v>
      </c>
      <c r="I2435" s="26"/>
      <c r="J2435" s="26" t="s">
        <v>512</v>
      </c>
      <c r="K2435" s="25" t="s">
        <v>526</v>
      </c>
    </row>
    <row r="2436" spans="1:11" ht="25.5" x14ac:dyDescent="0.25">
      <c r="A2436" s="22">
        <v>2026</v>
      </c>
      <c r="B2436" s="28" t="s">
        <v>192</v>
      </c>
      <c r="C2436" s="28" t="s">
        <v>97</v>
      </c>
      <c r="D2436" s="28" t="s">
        <v>229</v>
      </c>
      <c r="E2436" s="29" t="s">
        <v>923</v>
      </c>
      <c r="F2436" s="29" t="s">
        <v>298</v>
      </c>
      <c r="G2436" s="25" t="s">
        <v>4182</v>
      </c>
      <c r="H2436" s="26">
        <v>-1.0531992999999999</v>
      </c>
      <c r="I2436" s="26"/>
      <c r="J2436" s="26" t="s">
        <v>512</v>
      </c>
      <c r="K2436" s="25" t="s">
        <v>526</v>
      </c>
    </row>
    <row r="2437" spans="1:11" ht="25.5" x14ac:dyDescent="0.25">
      <c r="A2437" s="22">
        <v>2026</v>
      </c>
      <c r="B2437" s="28" t="s">
        <v>192</v>
      </c>
      <c r="C2437" s="28" t="s">
        <v>97</v>
      </c>
      <c r="D2437" s="28" t="s">
        <v>229</v>
      </c>
      <c r="E2437" s="29" t="s">
        <v>923</v>
      </c>
      <c r="F2437" s="29" t="s">
        <v>298</v>
      </c>
      <c r="G2437" s="25" t="s">
        <v>4183</v>
      </c>
      <c r="H2437" s="26">
        <v>-0.91895851493999992</v>
      </c>
      <c r="I2437" s="26"/>
      <c r="J2437" s="26" t="s">
        <v>512</v>
      </c>
      <c r="K2437" s="25" t="s">
        <v>526</v>
      </c>
    </row>
    <row r="2438" spans="1:11" ht="25.5" x14ac:dyDescent="0.25">
      <c r="A2438" s="22">
        <v>2026</v>
      </c>
      <c r="B2438" s="28" t="s">
        <v>192</v>
      </c>
      <c r="C2438" s="28" t="s">
        <v>97</v>
      </c>
      <c r="D2438" s="28" t="s">
        <v>229</v>
      </c>
      <c r="E2438" s="29" t="s">
        <v>923</v>
      </c>
      <c r="F2438" s="29" t="s">
        <v>298</v>
      </c>
      <c r="G2438" s="25" t="s">
        <v>4184</v>
      </c>
      <c r="H2438" s="26">
        <v>-0.84630000000000005</v>
      </c>
      <c r="I2438" s="26"/>
      <c r="J2438" s="26" t="s">
        <v>512</v>
      </c>
      <c r="K2438" s="25" t="s">
        <v>526</v>
      </c>
    </row>
    <row r="2439" spans="1:11" ht="25.5" x14ac:dyDescent="0.25">
      <c r="A2439" s="22">
        <v>2026</v>
      </c>
      <c r="B2439" s="28" t="s">
        <v>192</v>
      </c>
      <c r="C2439" s="28" t="s">
        <v>97</v>
      </c>
      <c r="D2439" s="28" t="s">
        <v>229</v>
      </c>
      <c r="E2439" s="29" t="s">
        <v>923</v>
      </c>
      <c r="F2439" s="29" t="s">
        <v>298</v>
      </c>
      <c r="G2439" s="25" t="s">
        <v>4185</v>
      </c>
      <c r="H2439" s="26">
        <v>-0.75328855728999999</v>
      </c>
      <c r="I2439" s="26"/>
      <c r="J2439" s="26" t="s">
        <v>512</v>
      </c>
      <c r="K2439" s="25" t="s">
        <v>526</v>
      </c>
    </row>
    <row r="2440" spans="1:11" ht="25.5" x14ac:dyDescent="0.25">
      <c r="A2440" s="22">
        <v>2026</v>
      </c>
      <c r="B2440" s="28" t="s">
        <v>192</v>
      </c>
      <c r="C2440" s="28" t="s">
        <v>97</v>
      </c>
      <c r="D2440" s="28" t="s">
        <v>229</v>
      </c>
      <c r="E2440" s="29" t="s">
        <v>923</v>
      </c>
      <c r="F2440" s="29" t="s">
        <v>298</v>
      </c>
      <c r="G2440" s="25" t="s">
        <v>4186</v>
      </c>
      <c r="H2440" s="26">
        <v>-0.97040000000000015</v>
      </c>
      <c r="I2440" s="26"/>
      <c r="J2440" s="26" t="s">
        <v>512</v>
      </c>
      <c r="K2440" s="25" t="s">
        <v>526</v>
      </c>
    </row>
    <row r="2441" spans="1:11" ht="25.5" x14ac:dyDescent="0.25">
      <c r="A2441" s="22">
        <v>2026</v>
      </c>
      <c r="B2441" s="28" t="s">
        <v>192</v>
      </c>
      <c r="C2441" s="28" t="s">
        <v>97</v>
      </c>
      <c r="D2441" s="28" t="s">
        <v>229</v>
      </c>
      <c r="E2441" s="29" t="s">
        <v>923</v>
      </c>
      <c r="F2441" s="29" t="s">
        <v>298</v>
      </c>
      <c r="G2441" s="25" t="s">
        <v>4187</v>
      </c>
      <c r="H2441" s="26">
        <v>-0.33628094621999999</v>
      </c>
      <c r="I2441" s="26"/>
      <c r="J2441" s="26" t="s">
        <v>512</v>
      </c>
      <c r="K2441" s="25" t="s">
        <v>526</v>
      </c>
    </row>
    <row r="2442" spans="1:11" ht="25.5" x14ac:dyDescent="0.25">
      <c r="A2442" s="22">
        <v>2026</v>
      </c>
      <c r="B2442" s="28" t="s">
        <v>192</v>
      </c>
      <c r="C2442" s="28" t="s">
        <v>97</v>
      </c>
      <c r="D2442" s="28" t="s">
        <v>229</v>
      </c>
      <c r="E2442" s="29" t="s">
        <v>923</v>
      </c>
      <c r="F2442" s="29" t="s">
        <v>298</v>
      </c>
      <c r="G2442" s="25" t="s">
        <v>4188</v>
      </c>
      <c r="H2442" s="26">
        <v>-0.79219984999999993</v>
      </c>
      <c r="I2442" s="26"/>
      <c r="J2442" s="26" t="s">
        <v>512</v>
      </c>
      <c r="K2442" s="25" t="s">
        <v>526</v>
      </c>
    </row>
    <row r="2443" spans="1:11" ht="25.5" x14ac:dyDescent="0.25">
      <c r="A2443" s="22">
        <v>2026</v>
      </c>
      <c r="B2443" s="28" t="s">
        <v>192</v>
      </c>
      <c r="C2443" s="28" t="s">
        <v>97</v>
      </c>
      <c r="D2443" s="28" t="s">
        <v>229</v>
      </c>
      <c r="E2443" s="29" t="s">
        <v>923</v>
      </c>
      <c r="F2443" s="29" t="s">
        <v>298</v>
      </c>
      <c r="G2443" s="25" t="s">
        <v>4189</v>
      </c>
      <c r="H2443" s="26">
        <v>-0.60316282521999998</v>
      </c>
      <c r="I2443" s="26"/>
      <c r="J2443" s="26" t="s">
        <v>512</v>
      </c>
      <c r="K2443" s="25" t="s">
        <v>526</v>
      </c>
    </row>
    <row r="2444" spans="1:11" ht="25.5" x14ac:dyDescent="0.25">
      <c r="A2444" s="22">
        <v>2026</v>
      </c>
      <c r="B2444" s="28" t="s">
        <v>192</v>
      </c>
      <c r="C2444" s="28" t="s">
        <v>97</v>
      </c>
      <c r="D2444" s="28" t="s">
        <v>229</v>
      </c>
      <c r="E2444" s="29" t="s">
        <v>923</v>
      </c>
      <c r="F2444" s="29" t="s">
        <v>298</v>
      </c>
      <c r="G2444" s="25" t="s">
        <v>4190</v>
      </c>
      <c r="H2444" s="26">
        <v>-0.71919959999999994</v>
      </c>
      <c r="I2444" s="26"/>
      <c r="J2444" s="26" t="s">
        <v>512</v>
      </c>
      <c r="K2444" s="25" t="s">
        <v>526</v>
      </c>
    </row>
    <row r="2445" spans="1:11" ht="25.5" x14ac:dyDescent="0.25">
      <c r="A2445" s="22">
        <v>2026</v>
      </c>
      <c r="B2445" s="28" t="s">
        <v>192</v>
      </c>
      <c r="C2445" s="28" t="s">
        <v>97</v>
      </c>
      <c r="D2445" s="28" t="s">
        <v>229</v>
      </c>
      <c r="E2445" s="29" t="s">
        <v>923</v>
      </c>
      <c r="F2445" s="29" t="s">
        <v>298</v>
      </c>
      <c r="G2445" s="25" t="s">
        <v>4191</v>
      </c>
      <c r="H2445" s="26">
        <v>-0.84813060047</v>
      </c>
      <c r="I2445" s="26"/>
      <c r="J2445" s="26" t="s">
        <v>512</v>
      </c>
      <c r="K2445" s="25" t="s">
        <v>526</v>
      </c>
    </row>
    <row r="2446" spans="1:11" ht="25.5" x14ac:dyDescent="0.25">
      <c r="A2446" s="22">
        <v>2026</v>
      </c>
      <c r="B2446" s="28" t="s">
        <v>192</v>
      </c>
      <c r="C2446" s="28" t="s">
        <v>97</v>
      </c>
      <c r="D2446" s="28" t="s">
        <v>204</v>
      </c>
      <c r="E2446" s="29" t="s">
        <v>371</v>
      </c>
      <c r="F2446" s="29" t="s">
        <v>301</v>
      </c>
      <c r="G2446" s="25" t="s">
        <v>4192</v>
      </c>
      <c r="H2446" s="26">
        <v>-3.5430166643999901E-2</v>
      </c>
      <c r="I2446" s="26"/>
      <c r="J2446" s="26" t="s">
        <v>514</v>
      </c>
      <c r="K2446" s="25" t="s">
        <v>515</v>
      </c>
    </row>
    <row r="2447" spans="1:11" ht="25.5" x14ac:dyDescent="0.25">
      <c r="A2447" s="22">
        <v>2026</v>
      </c>
      <c r="B2447" s="28" t="s">
        <v>192</v>
      </c>
      <c r="C2447" s="28" t="s">
        <v>97</v>
      </c>
      <c r="D2447" s="28" t="s">
        <v>204</v>
      </c>
      <c r="E2447" s="29" t="s">
        <v>371</v>
      </c>
      <c r="F2447" s="29" t="s">
        <v>301</v>
      </c>
      <c r="G2447" s="25" t="s">
        <v>4193</v>
      </c>
      <c r="H2447" s="26">
        <v>-3.6329790023999893E-2</v>
      </c>
      <c r="I2447" s="26"/>
      <c r="J2447" s="26" t="s">
        <v>514</v>
      </c>
      <c r="K2447" s="25" t="s">
        <v>515</v>
      </c>
    </row>
    <row r="2448" spans="1:11" ht="25.5" x14ac:dyDescent="0.25">
      <c r="A2448" s="22">
        <v>2026</v>
      </c>
      <c r="B2448" s="28" t="s">
        <v>192</v>
      </c>
      <c r="C2448" s="28" t="s">
        <v>97</v>
      </c>
      <c r="D2448" s="28" t="s">
        <v>204</v>
      </c>
      <c r="E2448" s="29" t="s">
        <v>371</v>
      </c>
      <c r="F2448" s="29" t="s">
        <v>301</v>
      </c>
      <c r="G2448" s="25" t="s">
        <v>4194</v>
      </c>
      <c r="H2448" s="26">
        <v>-3.5404500437999996E-2</v>
      </c>
      <c r="I2448" s="26"/>
      <c r="J2448" s="26" t="s">
        <v>514</v>
      </c>
      <c r="K2448" s="25" t="s">
        <v>515</v>
      </c>
    </row>
    <row r="2449" spans="1:11" ht="25.5" x14ac:dyDescent="0.25">
      <c r="A2449" s="22">
        <v>2026</v>
      </c>
      <c r="B2449" s="28" t="s">
        <v>192</v>
      </c>
      <c r="C2449" s="28" t="s">
        <v>97</v>
      </c>
      <c r="D2449" s="28" t="s">
        <v>204</v>
      </c>
      <c r="E2449" s="29" t="s">
        <v>371</v>
      </c>
      <c r="F2449" s="29" t="s">
        <v>301</v>
      </c>
      <c r="G2449" s="25" t="s">
        <v>4195</v>
      </c>
      <c r="H2449" s="26">
        <v>-3.6847838021999896E-2</v>
      </c>
      <c r="I2449" s="26"/>
      <c r="J2449" s="26" t="s">
        <v>514</v>
      </c>
      <c r="K2449" s="25" t="s">
        <v>515</v>
      </c>
    </row>
    <row r="2450" spans="1:11" ht="25.5" x14ac:dyDescent="0.25">
      <c r="A2450" s="22">
        <v>2026</v>
      </c>
      <c r="B2450" s="28" t="s">
        <v>192</v>
      </c>
      <c r="C2450" s="28" t="s">
        <v>97</v>
      </c>
      <c r="D2450" s="28" t="s">
        <v>204</v>
      </c>
      <c r="E2450" s="29" t="s">
        <v>371</v>
      </c>
      <c r="F2450" s="29" t="s">
        <v>301</v>
      </c>
      <c r="G2450" s="25" t="s">
        <v>4196</v>
      </c>
      <c r="H2450" s="26">
        <v>-3.6315831186E-2</v>
      </c>
      <c r="I2450" s="26"/>
      <c r="J2450" s="26" t="s">
        <v>514</v>
      </c>
      <c r="K2450" s="25" t="s">
        <v>515</v>
      </c>
    </row>
    <row r="2451" spans="1:11" ht="25.5" x14ac:dyDescent="0.25">
      <c r="A2451" s="22">
        <v>2026</v>
      </c>
      <c r="B2451" s="28" t="s">
        <v>192</v>
      </c>
      <c r="C2451" s="28" t="s">
        <v>97</v>
      </c>
      <c r="D2451" s="28" t="s">
        <v>204</v>
      </c>
      <c r="E2451" s="29" t="s">
        <v>371</v>
      </c>
      <c r="F2451" s="29" t="s">
        <v>301</v>
      </c>
      <c r="G2451" s="25" t="s">
        <v>4197</v>
      </c>
      <c r="H2451" s="26">
        <v>-3.6623108610000003E-2</v>
      </c>
      <c r="I2451" s="26"/>
      <c r="J2451" s="26" t="s">
        <v>514</v>
      </c>
      <c r="K2451" s="25" t="s">
        <v>515</v>
      </c>
    </row>
    <row r="2452" spans="1:11" ht="25.5" x14ac:dyDescent="0.25">
      <c r="A2452" s="22">
        <v>2026</v>
      </c>
      <c r="B2452" s="28" t="s">
        <v>192</v>
      </c>
      <c r="C2452" s="28" t="s">
        <v>97</v>
      </c>
      <c r="D2452" s="28" t="s">
        <v>204</v>
      </c>
      <c r="E2452" s="29" t="s">
        <v>371</v>
      </c>
      <c r="F2452" s="29" t="s">
        <v>301</v>
      </c>
      <c r="G2452" s="25" t="s">
        <v>4198</v>
      </c>
      <c r="H2452" s="26">
        <v>-3.789568116E-2</v>
      </c>
      <c r="I2452" s="26"/>
      <c r="J2452" s="26" t="s">
        <v>514</v>
      </c>
      <c r="K2452" s="25" t="s">
        <v>515</v>
      </c>
    </row>
    <row r="2453" spans="1:11" ht="25.5" x14ac:dyDescent="0.25">
      <c r="A2453" s="22">
        <v>2026</v>
      </c>
      <c r="B2453" s="28" t="s">
        <v>192</v>
      </c>
      <c r="C2453" s="28" t="s">
        <v>97</v>
      </c>
      <c r="D2453" s="28" t="s">
        <v>204</v>
      </c>
      <c r="E2453" s="29" t="s">
        <v>371</v>
      </c>
      <c r="F2453" s="29" t="s">
        <v>301</v>
      </c>
      <c r="G2453" s="25" t="s">
        <v>4199</v>
      </c>
      <c r="H2453" s="26">
        <v>-3.9154267349999883E-2</v>
      </c>
      <c r="I2453" s="26"/>
      <c r="J2453" s="26" t="s">
        <v>514</v>
      </c>
      <c r="K2453" s="25" t="s">
        <v>515</v>
      </c>
    </row>
    <row r="2454" spans="1:11" ht="25.5" x14ac:dyDescent="0.25">
      <c r="A2454" s="22">
        <v>2026</v>
      </c>
      <c r="B2454" s="28" t="s">
        <v>192</v>
      </c>
      <c r="C2454" s="28" t="s">
        <v>97</v>
      </c>
      <c r="D2454" s="28" t="s">
        <v>204</v>
      </c>
      <c r="E2454" s="29" t="s">
        <v>371</v>
      </c>
      <c r="F2454" s="29" t="s">
        <v>301</v>
      </c>
      <c r="G2454" s="25" t="s">
        <v>4200</v>
      </c>
      <c r="H2454" s="26">
        <v>-4.3364673752399878E-2</v>
      </c>
      <c r="I2454" s="26"/>
      <c r="J2454" s="26" t="s">
        <v>514</v>
      </c>
      <c r="K2454" s="25" t="s">
        <v>515</v>
      </c>
    </row>
    <row r="2455" spans="1:11" ht="25.5" x14ac:dyDescent="0.25">
      <c r="A2455" s="22">
        <v>2026</v>
      </c>
      <c r="B2455" s="28" t="s">
        <v>192</v>
      </c>
      <c r="C2455" s="28" t="s">
        <v>97</v>
      </c>
      <c r="D2455" s="28" t="s">
        <v>204</v>
      </c>
      <c r="E2455" s="29" t="s">
        <v>371</v>
      </c>
      <c r="F2455" s="29" t="s">
        <v>301</v>
      </c>
      <c r="G2455" s="25" t="s">
        <v>4201</v>
      </c>
      <c r="H2455" s="26">
        <v>-4.8831015869999855E-2</v>
      </c>
      <c r="I2455" s="26"/>
      <c r="J2455" s="26" t="s">
        <v>514</v>
      </c>
      <c r="K2455" s="25" t="s">
        <v>515</v>
      </c>
    </row>
    <row r="2456" spans="1:11" ht="25.5" x14ac:dyDescent="0.25">
      <c r="A2456" s="22">
        <v>2026</v>
      </c>
      <c r="B2456" s="28" t="s">
        <v>192</v>
      </c>
      <c r="C2456" s="28" t="s">
        <v>97</v>
      </c>
      <c r="D2456" s="28" t="s">
        <v>204</v>
      </c>
      <c r="E2456" s="29" t="s">
        <v>371</v>
      </c>
      <c r="F2456" s="29" t="s">
        <v>301</v>
      </c>
      <c r="G2456" s="25" t="s">
        <v>4202</v>
      </c>
      <c r="H2456" s="26">
        <v>-4.7226056908800003E-2</v>
      </c>
      <c r="I2456" s="26"/>
      <c r="J2456" s="26" t="s">
        <v>514</v>
      </c>
      <c r="K2456" s="25" t="s">
        <v>515</v>
      </c>
    </row>
    <row r="2457" spans="1:11" ht="25.5" x14ac:dyDescent="0.25">
      <c r="A2457" s="22">
        <v>2026</v>
      </c>
      <c r="B2457" s="28" t="s">
        <v>192</v>
      </c>
      <c r="C2457" s="28" t="s">
        <v>97</v>
      </c>
      <c r="D2457" s="28" t="s">
        <v>204</v>
      </c>
      <c r="E2457" s="29" t="s">
        <v>371</v>
      </c>
      <c r="F2457" s="29" t="s">
        <v>301</v>
      </c>
      <c r="G2457" s="25" t="s">
        <v>4203</v>
      </c>
      <c r="H2457" s="26">
        <v>-3.3343898129499901E-2</v>
      </c>
      <c r="I2457" s="26"/>
      <c r="J2457" s="26" t="s">
        <v>514</v>
      </c>
      <c r="K2457" s="25" t="s">
        <v>515</v>
      </c>
    </row>
    <row r="2458" spans="1:11" ht="25.5" x14ac:dyDescent="0.25">
      <c r="A2458" s="22">
        <v>2026</v>
      </c>
      <c r="B2458" s="28" t="s">
        <v>192</v>
      </c>
      <c r="C2458" s="28" t="s">
        <v>97</v>
      </c>
      <c r="D2458" s="28" t="s">
        <v>204</v>
      </c>
      <c r="E2458" s="29" t="s">
        <v>371</v>
      </c>
      <c r="F2458" s="29" t="s">
        <v>301</v>
      </c>
      <c r="G2458" s="25" t="s">
        <v>4204</v>
      </c>
      <c r="H2458" s="26">
        <v>-3.1445181709199903E-2</v>
      </c>
      <c r="I2458" s="26"/>
      <c r="J2458" s="26" t="s">
        <v>514</v>
      </c>
      <c r="K2458" s="25" t="s">
        <v>515</v>
      </c>
    </row>
    <row r="2459" spans="1:11" ht="25.5" x14ac:dyDescent="0.25">
      <c r="A2459" s="22">
        <v>2026</v>
      </c>
      <c r="B2459" s="28" t="s">
        <v>192</v>
      </c>
      <c r="C2459" s="28" t="s">
        <v>97</v>
      </c>
      <c r="D2459" s="28" t="s">
        <v>204</v>
      </c>
      <c r="E2459" s="29" t="s">
        <v>371</v>
      </c>
      <c r="F2459" s="29" t="s">
        <v>301</v>
      </c>
      <c r="G2459" s="25" t="s">
        <v>4205</v>
      </c>
      <c r="H2459" s="26">
        <v>-3.2473478016E-2</v>
      </c>
      <c r="I2459" s="26"/>
      <c r="J2459" s="26" t="s">
        <v>514</v>
      </c>
      <c r="K2459" s="25" t="s">
        <v>515</v>
      </c>
    </row>
    <row r="2460" spans="1:11" ht="25.5" x14ac:dyDescent="0.25">
      <c r="A2460" s="22">
        <v>2026</v>
      </c>
      <c r="B2460" s="28" t="s">
        <v>192</v>
      </c>
      <c r="C2460" s="28" t="s">
        <v>97</v>
      </c>
      <c r="D2460" s="28" t="s">
        <v>204</v>
      </c>
      <c r="E2460" s="29" t="s">
        <v>371</v>
      </c>
      <c r="F2460" s="29" t="s">
        <v>301</v>
      </c>
      <c r="G2460" s="25" t="s">
        <v>4206</v>
      </c>
      <c r="H2460" s="26">
        <v>-3.2484091782799894E-2</v>
      </c>
      <c r="I2460" s="26"/>
      <c r="J2460" s="26" t="s">
        <v>514</v>
      </c>
      <c r="K2460" s="25" t="s">
        <v>515</v>
      </c>
    </row>
    <row r="2461" spans="1:11" ht="25.5" x14ac:dyDescent="0.25">
      <c r="A2461" s="22">
        <v>2026</v>
      </c>
      <c r="B2461" s="28" t="s">
        <v>192</v>
      </c>
      <c r="C2461" s="28" t="s">
        <v>97</v>
      </c>
      <c r="D2461" s="28" t="s">
        <v>204</v>
      </c>
      <c r="E2461" s="29" t="s">
        <v>371</v>
      </c>
      <c r="F2461" s="29" t="s">
        <v>301</v>
      </c>
      <c r="G2461" s="25" t="s">
        <v>4207</v>
      </c>
      <c r="H2461" s="26">
        <v>-1.5929418000000001E-2</v>
      </c>
      <c r="I2461" s="26"/>
      <c r="J2461" s="26" t="s">
        <v>514</v>
      </c>
      <c r="K2461" s="25" t="s">
        <v>515</v>
      </c>
    </row>
    <row r="2462" spans="1:11" ht="25.5" x14ac:dyDescent="0.25">
      <c r="A2462" s="22">
        <v>2026</v>
      </c>
      <c r="B2462" s="28" t="s">
        <v>192</v>
      </c>
      <c r="C2462" s="28" t="s">
        <v>97</v>
      </c>
      <c r="D2462" s="28" t="s">
        <v>204</v>
      </c>
      <c r="E2462" s="29" t="s">
        <v>371</v>
      </c>
      <c r="F2462" s="29" t="s">
        <v>301</v>
      </c>
      <c r="G2462" s="25" t="s">
        <v>4208</v>
      </c>
      <c r="H2462" s="26">
        <v>-1.5728580000000002E-2</v>
      </c>
      <c r="I2462" s="26"/>
      <c r="J2462" s="26" t="s">
        <v>514</v>
      </c>
      <c r="K2462" s="25" t="s">
        <v>515</v>
      </c>
    </row>
    <row r="2463" spans="1:11" ht="25.5" x14ac:dyDescent="0.25">
      <c r="A2463" s="22">
        <v>2026</v>
      </c>
      <c r="B2463" s="28" t="s">
        <v>192</v>
      </c>
      <c r="C2463" s="28" t="s">
        <v>97</v>
      </c>
      <c r="D2463" s="28" t="s">
        <v>204</v>
      </c>
      <c r="E2463" s="29" t="s">
        <v>371</v>
      </c>
      <c r="F2463" s="29" t="s">
        <v>301</v>
      </c>
      <c r="G2463" s="25" t="s">
        <v>4209</v>
      </c>
      <c r="H2463" s="26">
        <v>-1.583844099999995E-2</v>
      </c>
      <c r="I2463" s="26"/>
      <c r="J2463" s="26" t="s">
        <v>514</v>
      </c>
      <c r="K2463" s="25" t="s">
        <v>515</v>
      </c>
    </row>
    <row r="2464" spans="1:11" ht="25.5" x14ac:dyDescent="0.25">
      <c r="A2464" s="22">
        <v>2026</v>
      </c>
      <c r="B2464" s="28" t="s">
        <v>192</v>
      </c>
      <c r="C2464" s="28" t="s">
        <v>97</v>
      </c>
      <c r="D2464" s="28" t="s">
        <v>204</v>
      </c>
      <c r="E2464" s="29" t="s">
        <v>371</v>
      </c>
      <c r="F2464" s="29" t="s">
        <v>301</v>
      </c>
      <c r="G2464" s="25" t="s">
        <v>4210</v>
      </c>
      <c r="H2464" s="26">
        <v>-1.617604099999995E-2</v>
      </c>
      <c r="I2464" s="26"/>
      <c r="J2464" s="26" t="s">
        <v>514</v>
      </c>
      <c r="K2464" s="25" t="s">
        <v>515</v>
      </c>
    </row>
    <row r="2465" spans="1:11" ht="25.5" x14ac:dyDescent="0.25">
      <c r="A2465" s="22">
        <v>2026</v>
      </c>
      <c r="B2465" s="28" t="s">
        <v>192</v>
      </c>
      <c r="C2465" s="28" t="s">
        <v>97</v>
      </c>
      <c r="D2465" s="28" t="s">
        <v>204</v>
      </c>
      <c r="E2465" s="29" t="s">
        <v>371</v>
      </c>
      <c r="F2465" s="29" t="s">
        <v>301</v>
      </c>
      <c r="G2465" s="25" t="s">
        <v>4211</v>
      </c>
      <c r="H2465" s="26">
        <v>-1.6114299999999998E-2</v>
      </c>
      <c r="I2465" s="26"/>
      <c r="J2465" s="26" t="s">
        <v>514</v>
      </c>
      <c r="K2465" s="25" t="s">
        <v>515</v>
      </c>
    </row>
    <row r="2466" spans="1:11" ht="25.5" x14ac:dyDescent="0.25">
      <c r="A2466" s="22">
        <v>2026</v>
      </c>
      <c r="B2466" s="28" t="s">
        <v>192</v>
      </c>
      <c r="C2466" s="28" t="s">
        <v>97</v>
      </c>
      <c r="D2466" s="28" t="s">
        <v>1717</v>
      </c>
      <c r="E2466" s="29" t="s">
        <v>1084</v>
      </c>
      <c r="F2466" s="29" t="s">
        <v>576</v>
      </c>
      <c r="G2466" s="25" t="s">
        <v>4212</v>
      </c>
      <c r="H2466" s="26">
        <v>-0.1188887552</v>
      </c>
      <c r="I2466" s="26"/>
      <c r="J2466" s="26" t="s">
        <v>512</v>
      </c>
      <c r="K2466" s="25" t="s">
        <v>513</v>
      </c>
    </row>
    <row r="2467" spans="1:11" ht="25.5" x14ac:dyDescent="0.25">
      <c r="A2467" s="22">
        <v>2026</v>
      </c>
      <c r="B2467" s="28" t="s">
        <v>192</v>
      </c>
      <c r="C2467" s="28" t="s">
        <v>97</v>
      </c>
      <c r="D2467" s="28" t="s">
        <v>1717</v>
      </c>
      <c r="E2467" s="29" t="s">
        <v>1084</v>
      </c>
      <c r="F2467" s="29" t="s">
        <v>576</v>
      </c>
      <c r="G2467" s="25" t="s">
        <v>4213</v>
      </c>
      <c r="H2467" s="26">
        <v>-0.19725382800000002</v>
      </c>
      <c r="I2467" s="26"/>
      <c r="J2467" s="26" t="s">
        <v>512</v>
      </c>
      <c r="K2467" s="25" t="s">
        <v>513</v>
      </c>
    </row>
    <row r="2468" spans="1:11" ht="25.5" x14ac:dyDescent="0.25">
      <c r="A2468" s="22">
        <v>2026</v>
      </c>
      <c r="B2468" s="28" t="s">
        <v>192</v>
      </c>
      <c r="C2468" s="28" t="s">
        <v>97</v>
      </c>
      <c r="D2468" s="28" t="s">
        <v>1717</v>
      </c>
      <c r="E2468" s="29" t="s">
        <v>1084</v>
      </c>
      <c r="F2468" s="29" t="s">
        <v>576</v>
      </c>
      <c r="G2468" s="25" t="s">
        <v>4214</v>
      </c>
      <c r="H2468" s="26">
        <v>-6.2361719999999995E-2</v>
      </c>
      <c r="I2468" s="26"/>
      <c r="J2468" s="26" t="s">
        <v>512</v>
      </c>
      <c r="K2468" s="25" t="s">
        <v>513</v>
      </c>
    </row>
    <row r="2469" spans="1:11" ht="25.5" x14ac:dyDescent="0.25">
      <c r="A2469" s="22">
        <v>2026</v>
      </c>
      <c r="B2469" s="28" t="s">
        <v>192</v>
      </c>
      <c r="C2469" s="28" t="s">
        <v>97</v>
      </c>
      <c r="D2469" s="28" t="s">
        <v>1717</v>
      </c>
      <c r="E2469" s="29" t="s">
        <v>1084</v>
      </c>
      <c r="F2469" s="29" t="s">
        <v>576</v>
      </c>
      <c r="G2469" s="25" t="s">
        <v>4215</v>
      </c>
      <c r="H2469" s="26">
        <v>-0.124</v>
      </c>
      <c r="I2469" s="26"/>
      <c r="J2469" s="26" t="s">
        <v>512</v>
      </c>
      <c r="K2469" s="25" t="s">
        <v>513</v>
      </c>
    </row>
    <row r="2470" spans="1:11" ht="25.5" x14ac:dyDescent="0.25">
      <c r="A2470" s="22">
        <v>2026</v>
      </c>
      <c r="B2470" s="28" t="s">
        <v>192</v>
      </c>
      <c r="C2470" s="28" t="s">
        <v>97</v>
      </c>
      <c r="D2470" s="28" t="s">
        <v>1717</v>
      </c>
      <c r="E2470" s="29" t="s">
        <v>1084</v>
      </c>
      <c r="F2470" s="29" t="s">
        <v>576</v>
      </c>
      <c r="G2470" s="25" t="s">
        <v>4216</v>
      </c>
      <c r="H2470" s="26">
        <v>-0.16304176000000001</v>
      </c>
      <c r="I2470" s="26"/>
      <c r="J2470" s="26" t="s">
        <v>512</v>
      </c>
      <c r="K2470" s="25" t="s">
        <v>513</v>
      </c>
    </row>
    <row r="2471" spans="1:11" ht="25.5" x14ac:dyDescent="0.25">
      <c r="A2471" s="22">
        <v>2026</v>
      </c>
      <c r="B2471" s="28" t="s">
        <v>192</v>
      </c>
      <c r="C2471" s="28" t="s">
        <v>97</v>
      </c>
      <c r="D2471" s="28" t="s">
        <v>1717</v>
      </c>
      <c r="E2471" s="29" t="s">
        <v>1084</v>
      </c>
      <c r="F2471" s="29" t="s">
        <v>576</v>
      </c>
      <c r="G2471" s="25" t="s">
        <v>4217</v>
      </c>
      <c r="H2471" s="26">
        <v>-0.113426448</v>
      </c>
      <c r="I2471" s="26"/>
      <c r="J2471" s="26" t="s">
        <v>512</v>
      </c>
      <c r="K2471" s="25" t="s">
        <v>513</v>
      </c>
    </row>
    <row r="2472" spans="1:11" ht="25.5" x14ac:dyDescent="0.25">
      <c r="A2472" s="22">
        <v>2026</v>
      </c>
      <c r="B2472" s="28" t="s">
        <v>192</v>
      </c>
      <c r="C2472" s="28" t="s">
        <v>97</v>
      </c>
      <c r="D2472" s="28" t="s">
        <v>1717</v>
      </c>
      <c r="E2472" s="29" t="s">
        <v>1084</v>
      </c>
      <c r="F2472" s="29" t="s">
        <v>576</v>
      </c>
      <c r="G2472" s="25" t="s">
        <v>4218</v>
      </c>
      <c r="H2472" s="26">
        <v>-7.612708E-2</v>
      </c>
      <c r="I2472" s="26"/>
      <c r="J2472" s="26" t="s">
        <v>512</v>
      </c>
      <c r="K2472" s="25" t="s">
        <v>513</v>
      </c>
    </row>
    <row r="2473" spans="1:11" ht="25.5" x14ac:dyDescent="0.25">
      <c r="A2473" s="22">
        <v>2026</v>
      </c>
      <c r="B2473" s="28" t="s">
        <v>192</v>
      </c>
      <c r="C2473" s="28" t="s">
        <v>97</v>
      </c>
      <c r="D2473" s="28" t="s">
        <v>1718</v>
      </c>
      <c r="E2473" s="29" t="s">
        <v>1084</v>
      </c>
      <c r="F2473" s="29" t="s">
        <v>1762</v>
      </c>
      <c r="G2473" s="25" t="s">
        <v>4219</v>
      </c>
      <c r="H2473" s="26">
        <v>-0.53647199999999995</v>
      </c>
      <c r="I2473" s="26"/>
      <c r="J2473" s="26" t="s">
        <v>512</v>
      </c>
      <c r="K2473" s="25" t="s">
        <v>513</v>
      </c>
    </row>
    <row r="2474" spans="1:11" ht="25.5" x14ac:dyDescent="0.25">
      <c r="A2474" s="22">
        <v>2026</v>
      </c>
      <c r="B2474" s="28" t="s">
        <v>192</v>
      </c>
      <c r="C2474" s="28" t="s">
        <v>97</v>
      </c>
      <c r="D2474" s="28" t="s">
        <v>1718</v>
      </c>
      <c r="E2474" s="29" t="s">
        <v>1084</v>
      </c>
      <c r="F2474" s="29" t="s">
        <v>1762</v>
      </c>
      <c r="G2474" s="25" t="s">
        <v>4220</v>
      </c>
      <c r="H2474" s="26">
        <v>-0.74607500000000004</v>
      </c>
      <c r="I2474" s="26"/>
      <c r="J2474" s="26" t="s">
        <v>512</v>
      </c>
      <c r="K2474" s="25" t="s">
        <v>513</v>
      </c>
    </row>
    <row r="2475" spans="1:11" ht="25.5" x14ac:dyDescent="0.25">
      <c r="A2475" s="22">
        <v>2026</v>
      </c>
      <c r="B2475" s="28" t="s">
        <v>192</v>
      </c>
      <c r="C2475" s="28" t="s">
        <v>97</v>
      </c>
      <c r="D2475" s="28" t="s">
        <v>1718</v>
      </c>
      <c r="E2475" s="29" t="s">
        <v>1084</v>
      </c>
      <c r="F2475" s="29" t="s">
        <v>1762</v>
      </c>
      <c r="G2475" s="25" t="s">
        <v>4221</v>
      </c>
      <c r="H2475" s="26">
        <v>-0.88073999999999997</v>
      </c>
      <c r="I2475" s="26"/>
      <c r="J2475" s="26" t="s">
        <v>512</v>
      </c>
      <c r="K2475" s="25" t="s">
        <v>513</v>
      </c>
    </row>
    <row r="2476" spans="1:11" ht="25.5" x14ac:dyDescent="0.25">
      <c r="A2476" s="22">
        <v>2026</v>
      </c>
      <c r="B2476" s="28" t="s">
        <v>192</v>
      </c>
      <c r="C2476" s="28" t="s">
        <v>97</v>
      </c>
      <c r="D2476" s="28" t="s">
        <v>1718</v>
      </c>
      <c r="E2476" s="29" t="s">
        <v>1084</v>
      </c>
      <c r="F2476" s="29" t="s">
        <v>1762</v>
      </c>
      <c r="G2476" s="25" t="s">
        <v>4222</v>
      </c>
      <c r="H2476" s="26">
        <v>-2.5775489999999999</v>
      </c>
      <c r="I2476" s="26"/>
      <c r="J2476" s="26" t="s">
        <v>512</v>
      </c>
      <c r="K2476" s="25" t="s">
        <v>513</v>
      </c>
    </row>
    <row r="2477" spans="1:11" ht="25.5" x14ac:dyDescent="0.25">
      <c r="A2477" s="22">
        <v>2026</v>
      </c>
      <c r="B2477" s="28" t="s">
        <v>192</v>
      </c>
      <c r="C2477" s="28" t="s">
        <v>97</v>
      </c>
      <c r="D2477" s="28" t="s">
        <v>1718</v>
      </c>
      <c r="E2477" s="29" t="s">
        <v>1084</v>
      </c>
      <c r="F2477" s="29" t="s">
        <v>1762</v>
      </c>
      <c r="G2477" s="25" t="s">
        <v>4223</v>
      </c>
      <c r="H2477" s="26">
        <v>-1.1008125</v>
      </c>
      <c r="I2477" s="26"/>
      <c r="J2477" s="26" t="s">
        <v>512</v>
      </c>
      <c r="K2477" s="25" t="s">
        <v>513</v>
      </c>
    </row>
    <row r="2478" spans="1:11" ht="25.5" x14ac:dyDescent="0.25">
      <c r="A2478" s="22">
        <v>2026</v>
      </c>
      <c r="B2478" s="28" t="s">
        <v>192</v>
      </c>
      <c r="C2478" s="28" t="s">
        <v>97</v>
      </c>
      <c r="D2478" s="28" t="s">
        <v>1718</v>
      </c>
      <c r="E2478" s="29" t="s">
        <v>1084</v>
      </c>
      <c r="F2478" s="29" t="s">
        <v>1762</v>
      </c>
      <c r="G2478" s="25" t="s">
        <v>4224</v>
      </c>
      <c r="H2478" s="26">
        <v>-1.2637213668</v>
      </c>
      <c r="I2478" s="26"/>
      <c r="J2478" s="26" t="s">
        <v>512</v>
      </c>
      <c r="K2478" s="25" t="s">
        <v>513</v>
      </c>
    </row>
    <row r="2479" spans="1:11" ht="25.5" x14ac:dyDescent="0.25">
      <c r="A2479" s="22">
        <v>2026</v>
      </c>
      <c r="B2479" s="28" t="s">
        <v>192</v>
      </c>
      <c r="C2479" s="28" t="s">
        <v>97</v>
      </c>
      <c r="D2479" s="28" t="s">
        <v>1718</v>
      </c>
      <c r="E2479" s="29" t="s">
        <v>1084</v>
      </c>
      <c r="F2479" s="29" t="s">
        <v>1762</v>
      </c>
      <c r="G2479" s="25" t="s">
        <v>4225</v>
      </c>
      <c r="H2479" s="26">
        <v>-1.0495011029999999</v>
      </c>
      <c r="I2479" s="26"/>
      <c r="J2479" s="26" t="s">
        <v>512</v>
      </c>
      <c r="K2479" s="25" t="s">
        <v>513</v>
      </c>
    </row>
    <row r="2480" spans="1:11" ht="25.5" x14ac:dyDescent="0.25">
      <c r="A2480" s="22">
        <v>2026</v>
      </c>
      <c r="B2480" s="28" t="s">
        <v>192</v>
      </c>
      <c r="C2480" s="28" t="s">
        <v>97</v>
      </c>
      <c r="D2480" s="28" t="s">
        <v>1718</v>
      </c>
      <c r="E2480" s="29" t="s">
        <v>1084</v>
      </c>
      <c r="F2480" s="29" t="s">
        <v>1762</v>
      </c>
      <c r="G2480" s="25" t="s">
        <v>4226</v>
      </c>
      <c r="H2480" s="26">
        <v>-1.88209944</v>
      </c>
      <c r="I2480" s="26"/>
      <c r="J2480" s="26" t="s">
        <v>512</v>
      </c>
      <c r="K2480" s="25" t="s">
        <v>513</v>
      </c>
    </row>
    <row r="2481" spans="1:11" ht="25.5" x14ac:dyDescent="0.25">
      <c r="A2481" s="22">
        <v>2026</v>
      </c>
      <c r="B2481" s="28" t="s">
        <v>192</v>
      </c>
      <c r="C2481" s="28" t="s">
        <v>97</v>
      </c>
      <c r="D2481" s="28" t="s">
        <v>1718</v>
      </c>
      <c r="E2481" s="29" t="s">
        <v>1084</v>
      </c>
      <c r="F2481" s="29" t="s">
        <v>1762</v>
      </c>
      <c r="G2481" s="25" t="s">
        <v>4227</v>
      </c>
      <c r="H2481" s="26">
        <v>-1.9300404200000001</v>
      </c>
      <c r="I2481" s="26"/>
      <c r="J2481" s="26" t="s">
        <v>512</v>
      </c>
      <c r="K2481" s="25" t="s">
        <v>513</v>
      </c>
    </row>
    <row r="2482" spans="1:11" ht="25.5" x14ac:dyDescent="0.25">
      <c r="A2482" s="22">
        <v>2026</v>
      </c>
      <c r="B2482" s="28" t="s">
        <v>192</v>
      </c>
      <c r="C2482" s="28" t="s">
        <v>97</v>
      </c>
      <c r="D2482" s="28" t="s">
        <v>1718</v>
      </c>
      <c r="E2482" s="29" t="s">
        <v>1084</v>
      </c>
      <c r="F2482" s="29" t="s">
        <v>1762</v>
      </c>
      <c r="G2482" s="25" t="s">
        <v>4228</v>
      </c>
      <c r="H2482" s="26">
        <v>-1.7460948218000001</v>
      </c>
      <c r="I2482" s="26"/>
      <c r="J2482" s="26" t="s">
        <v>512</v>
      </c>
      <c r="K2482" s="25" t="s">
        <v>513</v>
      </c>
    </row>
    <row r="2483" spans="1:11" ht="25.5" x14ac:dyDescent="0.25">
      <c r="A2483" s="22">
        <v>2026</v>
      </c>
      <c r="B2483" s="28" t="s">
        <v>192</v>
      </c>
      <c r="C2483" s="28" t="s">
        <v>97</v>
      </c>
      <c r="D2483" s="28" t="s">
        <v>1718</v>
      </c>
      <c r="E2483" s="29" t="s">
        <v>1084</v>
      </c>
      <c r="F2483" s="29" t="s">
        <v>1762</v>
      </c>
      <c r="G2483" s="25" t="s">
        <v>4229</v>
      </c>
      <c r="H2483" s="26">
        <v>-1.0533003278000002</v>
      </c>
      <c r="I2483" s="26"/>
      <c r="J2483" s="26" t="s">
        <v>512</v>
      </c>
      <c r="K2483" s="25" t="s">
        <v>513</v>
      </c>
    </row>
    <row r="2484" spans="1:11" ht="25.5" x14ac:dyDescent="0.25">
      <c r="A2484" s="22">
        <v>2026</v>
      </c>
      <c r="B2484" s="28" t="s">
        <v>192</v>
      </c>
      <c r="C2484" s="28" t="s">
        <v>97</v>
      </c>
      <c r="D2484" s="28" t="s">
        <v>1718</v>
      </c>
      <c r="E2484" s="29" t="s">
        <v>1084</v>
      </c>
      <c r="F2484" s="29" t="s">
        <v>1762</v>
      </c>
      <c r="G2484" s="25" t="s">
        <v>4230</v>
      </c>
      <c r="H2484" s="26">
        <v>-1.20696</v>
      </c>
      <c r="I2484" s="26"/>
      <c r="J2484" s="26" t="s">
        <v>512</v>
      </c>
      <c r="K2484" s="25" t="s">
        <v>513</v>
      </c>
    </row>
    <row r="2485" spans="1:11" ht="25.5" x14ac:dyDescent="0.25">
      <c r="A2485" s="22">
        <v>2026</v>
      </c>
      <c r="B2485" s="28" t="s">
        <v>192</v>
      </c>
      <c r="C2485" s="28" t="s">
        <v>97</v>
      </c>
      <c r="D2485" s="28" t="s">
        <v>1718</v>
      </c>
      <c r="E2485" s="29" t="s">
        <v>1084</v>
      </c>
      <c r="F2485" s="29" t="s">
        <v>1762</v>
      </c>
      <c r="G2485" s="25" t="s">
        <v>4231</v>
      </c>
      <c r="H2485" s="26">
        <v>-1.1940866000000001</v>
      </c>
      <c r="I2485" s="26"/>
      <c r="J2485" s="26" t="s">
        <v>512</v>
      </c>
      <c r="K2485" s="25" t="s">
        <v>513</v>
      </c>
    </row>
    <row r="2486" spans="1:11" ht="25.5" x14ac:dyDescent="0.25">
      <c r="A2486" s="22">
        <v>2026</v>
      </c>
      <c r="B2486" s="28" t="s">
        <v>192</v>
      </c>
      <c r="C2486" s="28" t="s">
        <v>97</v>
      </c>
      <c r="D2486" s="28" t="s">
        <v>1718</v>
      </c>
      <c r="E2486" s="29" t="s">
        <v>1084</v>
      </c>
      <c r="F2486" s="29" t="s">
        <v>1762</v>
      </c>
      <c r="G2486" s="25" t="s">
        <v>4232</v>
      </c>
      <c r="H2486" s="26">
        <v>-1.3055687421</v>
      </c>
      <c r="I2486" s="26"/>
      <c r="J2486" s="26" t="s">
        <v>512</v>
      </c>
      <c r="K2486" s="25" t="s">
        <v>513</v>
      </c>
    </row>
    <row r="2487" spans="1:11" ht="25.5" x14ac:dyDescent="0.25">
      <c r="A2487" s="22">
        <v>2026</v>
      </c>
      <c r="B2487" s="28" t="s">
        <v>192</v>
      </c>
      <c r="C2487" s="28" t="s">
        <v>97</v>
      </c>
      <c r="D2487" s="28" t="s">
        <v>1718</v>
      </c>
      <c r="E2487" s="29" t="s">
        <v>1084</v>
      </c>
      <c r="F2487" s="29" t="s">
        <v>1762</v>
      </c>
      <c r="G2487" s="25" t="s">
        <v>4233</v>
      </c>
      <c r="H2487" s="26">
        <v>-1.0411338699999999</v>
      </c>
      <c r="I2487" s="26"/>
      <c r="J2487" s="26" t="s">
        <v>512</v>
      </c>
      <c r="K2487" s="25" t="s">
        <v>513</v>
      </c>
    </row>
    <row r="2488" spans="1:11" ht="25.5" x14ac:dyDescent="0.25">
      <c r="A2488" s="22">
        <v>2026</v>
      </c>
      <c r="B2488" s="28" t="s">
        <v>192</v>
      </c>
      <c r="C2488" s="28" t="s">
        <v>97</v>
      </c>
      <c r="D2488" s="28" t="s">
        <v>1718</v>
      </c>
      <c r="E2488" s="29" t="s">
        <v>1084</v>
      </c>
      <c r="F2488" s="29" t="s">
        <v>1762</v>
      </c>
      <c r="G2488" s="25" t="s">
        <v>4234</v>
      </c>
      <c r="H2488" s="26">
        <v>-0.72168136979999997</v>
      </c>
      <c r="I2488" s="26"/>
      <c r="J2488" s="26" t="s">
        <v>512</v>
      </c>
      <c r="K2488" s="25" t="s">
        <v>513</v>
      </c>
    </row>
    <row r="2489" spans="1:11" ht="25.5" x14ac:dyDescent="0.25">
      <c r="A2489" s="22">
        <v>2026</v>
      </c>
      <c r="B2489" s="28" t="s">
        <v>192</v>
      </c>
      <c r="C2489" s="28" t="s">
        <v>97</v>
      </c>
      <c r="D2489" s="28" t="s">
        <v>1718</v>
      </c>
      <c r="E2489" s="29" t="s">
        <v>1084</v>
      </c>
      <c r="F2489" s="29" t="s">
        <v>1762</v>
      </c>
      <c r="G2489" s="25" t="s">
        <v>4235</v>
      </c>
      <c r="H2489" s="26">
        <v>-0.91605292950000006</v>
      </c>
      <c r="I2489" s="26"/>
      <c r="J2489" s="26" t="s">
        <v>512</v>
      </c>
      <c r="K2489" s="25" t="s">
        <v>513</v>
      </c>
    </row>
    <row r="2490" spans="1:11" ht="25.5" x14ac:dyDescent="0.25">
      <c r="A2490" s="22">
        <v>2026</v>
      </c>
      <c r="B2490" s="28" t="s">
        <v>192</v>
      </c>
      <c r="C2490" s="28" t="s">
        <v>97</v>
      </c>
      <c r="D2490" s="28" t="s">
        <v>1718</v>
      </c>
      <c r="E2490" s="29" t="s">
        <v>1084</v>
      </c>
      <c r="F2490" s="29" t="s">
        <v>1762</v>
      </c>
      <c r="G2490" s="25" t="s">
        <v>4236</v>
      </c>
      <c r="H2490" s="26">
        <v>-0.70198740599999998</v>
      </c>
      <c r="I2490" s="26"/>
      <c r="J2490" s="26" t="s">
        <v>512</v>
      </c>
      <c r="K2490" s="25" t="s">
        <v>513</v>
      </c>
    </row>
    <row r="2491" spans="1:11" ht="25.5" x14ac:dyDescent="0.25">
      <c r="A2491" s="22">
        <v>2026</v>
      </c>
      <c r="B2491" s="28" t="s">
        <v>192</v>
      </c>
      <c r="C2491" s="28" t="s">
        <v>97</v>
      </c>
      <c r="D2491" s="28" t="s">
        <v>1718</v>
      </c>
      <c r="E2491" s="29" t="s">
        <v>1084</v>
      </c>
      <c r="F2491" s="29" t="s">
        <v>1762</v>
      </c>
      <c r="G2491" s="25" t="s">
        <v>4237</v>
      </c>
      <c r="H2491" s="26">
        <v>-0.52048561999999998</v>
      </c>
      <c r="I2491" s="26"/>
      <c r="J2491" s="26" t="s">
        <v>512</v>
      </c>
      <c r="K2491" s="25" t="s">
        <v>513</v>
      </c>
    </row>
    <row r="2492" spans="1:11" ht="25.5" x14ac:dyDescent="0.25">
      <c r="A2492" s="22">
        <v>2026</v>
      </c>
      <c r="B2492" s="28" t="s">
        <v>192</v>
      </c>
      <c r="C2492" s="28" t="s">
        <v>97</v>
      </c>
      <c r="D2492" s="28" t="s">
        <v>1718</v>
      </c>
      <c r="E2492" s="29" t="s">
        <v>1084</v>
      </c>
      <c r="F2492" s="29" t="s">
        <v>1762</v>
      </c>
      <c r="G2492" s="25" t="s">
        <v>4238</v>
      </c>
      <c r="H2492" s="26">
        <v>-0.99691198710000006</v>
      </c>
      <c r="I2492" s="26"/>
      <c r="J2492" s="26" t="s">
        <v>512</v>
      </c>
      <c r="K2492" s="25" t="s">
        <v>513</v>
      </c>
    </row>
    <row r="2493" spans="1:11" ht="25.5" x14ac:dyDescent="0.25">
      <c r="A2493" s="22">
        <v>2026</v>
      </c>
      <c r="B2493" s="28" t="s">
        <v>192</v>
      </c>
      <c r="C2493" s="28" t="s">
        <v>97</v>
      </c>
      <c r="D2493" s="28" t="s">
        <v>1718</v>
      </c>
      <c r="E2493" s="29" t="s">
        <v>1084</v>
      </c>
      <c r="F2493" s="29" t="s">
        <v>1762</v>
      </c>
      <c r="G2493" s="25" t="s">
        <v>4239</v>
      </c>
      <c r="H2493" s="26">
        <v>-1.0814362456</v>
      </c>
      <c r="I2493" s="26"/>
      <c r="J2493" s="26" t="s">
        <v>512</v>
      </c>
      <c r="K2493" s="25" t="s">
        <v>513</v>
      </c>
    </row>
    <row r="2494" spans="1:11" ht="25.5" x14ac:dyDescent="0.25">
      <c r="A2494" s="22">
        <v>2026</v>
      </c>
      <c r="B2494" s="28" t="s">
        <v>192</v>
      </c>
      <c r="C2494" s="28" t="s">
        <v>97</v>
      </c>
      <c r="D2494" s="28" t="s">
        <v>1719</v>
      </c>
      <c r="E2494" s="29" t="s">
        <v>1084</v>
      </c>
      <c r="F2494" s="29" t="s">
        <v>287</v>
      </c>
      <c r="G2494" s="25" t="s">
        <v>4240</v>
      </c>
      <c r="H2494" s="26">
        <v>-1.5197618576</v>
      </c>
      <c r="I2494" s="26"/>
      <c r="J2494" s="26" t="s">
        <v>514</v>
      </c>
      <c r="K2494" s="25" t="s">
        <v>513</v>
      </c>
    </row>
    <row r="2495" spans="1:11" ht="25.5" x14ac:dyDescent="0.25">
      <c r="A2495" s="22">
        <v>2026</v>
      </c>
      <c r="B2495" s="28" t="s">
        <v>192</v>
      </c>
      <c r="C2495" s="28" t="s">
        <v>97</v>
      </c>
      <c r="D2495" s="28" t="s">
        <v>1719</v>
      </c>
      <c r="E2495" s="29" t="s">
        <v>1084</v>
      </c>
      <c r="F2495" s="29" t="s">
        <v>287</v>
      </c>
      <c r="G2495" s="25" t="s">
        <v>4241</v>
      </c>
      <c r="H2495" s="26">
        <v>-0.45847396800000001</v>
      </c>
      <c r="I2495" s="26"/>
      <c r="J2495" s="26" t="s">
        <v>514</v>
      </c>
      <c r="K2495" s="25" t="s">
        <v>513</v>
      </c>
    </row>
    <row r="2496" spans="1:11" ht="25.5" x14ac:dyDescent="0.25">
      <c r="A2496" s="22">
        <v>2026</v>
      </c>
      <c r="B2496" s="28" t="s">
        <v>192</v>
      </c>
      <c r="C2496" s="28" t="s">
        <v>97</v>
      </c>
      <c r="D2496" s="28" t="s">
        <v>1719</v>
      </c>
      <c r="E2496" s="29" t="s">
        <v>1084</v>
      </c>
      <c r="F2496" s="29" t="s">
        <v>287</v>
      </c>
      <c r="G2496" s="25" t="s">
        <v>4242</v>
      </c>
      <c r="H2496" s="26">
        <v>-1.4963249999999999</v>
      </c>
      <c r="I2496" s="26"/>
      <c r="J2496" s="26" t="s">
        <v>514</v>
      </c>
      <c r="K2496" s="25" t="s">
        <v>513</v>
      </c>
    </row>
    <row r="2497" spans="1:11" ht="25.5" x14ac:dyDescent="0.25">
      <c r="A2497" s="22">
        <v>2026</v>
      </c>
      <c r="B2497" s="28" t="s">
        <v>192</v>
      </c>
      <c r="C2497" s="28" t="s">
        <v>97</v>
      </c>
      <c r="D2497" s="28" t="s">
        <v>1719</v>
      </c>
      <c r="E2497" s="29" t="s">
        <v>1084</v>
      </c>
      <c r="F2497" s="29" t="s">
        <v>287</v>
      </c>
      <c r="G2497" s="25" t="s">
        <v>4243</v>
      </c>
      <c r="H2497" s="26">
        <v>-0.91592499149999995</v>
      </c>
      <c r="I2497" s="26"/>
      <c r="J2497" s="26" t="s">
        <v>514</v>
      </c>
      <c r="K2497" s="25" t="s">
        <v>513</v>
      </c>
    </row>
    <row r="2498" spans="1:11" ht="25.5" x14ac:dyDescent="0.25">
      <c r="A2498" s="22">
        <v>2026</v>
      </c>
      <c r="B2498" s="28" t="s">
        <v>192</v>
      </c>
      <c r="C2498" s="28" t="s">
        <v>97</v>
      </c>
      <c r="D2498" s="28" t="s">
        <v>1719</v>
      </c>
      <c r="E2498" s="29" t="s">
        <v>1084</v>
      </c>
      <c r="F2498" s="29" t="s">
        <v>287</v>
      </c>
      <c r="G2498" s="25" t="s">
        <v>4244</v>
      </c>
      <c r="H2498" s="26">
        <v>-0.62579963630000002</v>
      </c>
      <c r="I2498" s="26"/>
      <c r="J2498" s="26" t="s">
        <v>514</v>
      </c>
      <c r="K2498" s="25" t="s">
        <v>513</v>
      </c>
    </row>
    <row r="2499" spans="1:11" ht="25.5" x14ac:dyDescent="0.25">
      <c r="A2499" s="22">
        <v>2026</v>
      </c>
      <c r="B2499" s="28" t="s">
        <v>192</v>
      </c>
      <c r="C2499" s="28" t="s">
        <v>97</v>
      </c>
      <c r="D2499" s="28" t="s">
        <v>1719</v>
      </c>
      <c r="E2499" s="29" t="s">
        <v>1084</v>
      </c>
      <c r="F2499" s="29" t="s">
        <v>287</v>
      </c>
      <c r="G2499" s="25" t="s">
        <v>4245</v>
      </c>
      <c r="H2499" s="26">
        <v>-1.0051138784</v>
      </c>
      <c r="I2499" s="26"/>
      <c r="J2499" s="26" t="s">
        <v>514</v>
      </c>
      <c r="K2499" s="25" t="s">
        <v>513</v>
      </c>
    </row>
    <row r="2500" spans="1:11" ht="25.5" x14ac:dyDescent="0.25">
      <c r="A2500" s="22">
        <v>2026</v>
      </c>
      <c r="B2500" s="28" t="s">
        <v>192</v>
      </c>
      <c r="C2500" s="28" t="s">
        <v>97</v>
      </c>
      <c r="D2500" s="28" t="s">
        <v>1719</v>
      </c>
      <c r="E2500" s="29" t="s">
        <v>1084</v>
      </c>
      <c r="F2500" s="29" t="s">
        <v>287</v>
      </c>
      <c r="G2500" s="25" t="s">
        <v>4246</v>
      </c>
      <c r="H2500" s="26">
        <v>-0.6216315</v>
      </c>
      <c r="I2500" s="26"/>
      <c r="J2500" s="26" t="s">
        <v>514</v>
      </c>
      <c r="K2500" s="25" t="s">
        <v>513</v>
      </c>
    </row>
    <row r="2501" spans="1:11" ht="25.5" x14ac:dyDescent="0.25">
      <c r="A2501" s="22">
        <v>2026</v>
      </c>
      <c r="B2501" s="28" t="s">
        <v>192</v>
      </c>
      <c r="C2501" s="28" t="s">
        <v>97</v>
      </c>
      <c r="D2501" s="28" t="s">
        <v>1719</v>
      </c>
      <c r="E2501" s="29" t="s">
        <v>1084</v>
      </c>
      <c r="F2501" s="29" t="s">
        <v>287</v>
      </c>
      <c r="G2501" s="25" t="s">
        <v>4247</v>
      </c>
      <c r="H2501" s="26">
        <v>-1.0374417256999999</v>
      </c>
      <c r="I2501" s="26"/>
      <c r="J2501" s="26" t="s">
        <v>514</v>
      </c>
      <c r="K2501" s="25" t="s">
        <v>513</v>
      </c>
    </row>
    <row r="2502" spans="1:11" ht="25.5" x14ac:dyDescent="0.25">
      <c r="A2502" s="22">
        <v>2026</v>
      </c>
      <c r="B2502" s="28" t="s">
        <v>192</v>
      </c>
      <c r="C2502" s="28" t="s">
        <v>97</v>
      </c>
      <c r="D2502" s="28" t="s">
        <v>1719</v>
      </c>
      <c r="E2502" s="29" t="s">
        <v>1084</v>
      </c>
      <c r="F2502" s="29" t="s">
        <v>287</v>
      </c>
      <c r="G2502" s="25" t="s">
        <v>4248</v>
      </c>
      <c r="H2502" s="26">
        <v>-0.70426406699999999</v>
      </c>
      <c r="I2502" s="26"/>
      <c r="J2502" s="26" t="s">
        <v>514</v>
      </c>
      <c r="K2502" s="25" t="s">
        <v>513</v>
      </c>
    </row>
    <row r="2503" spans="1:11" ht="25.5" x14ac:dyDescent="0.25">
      <c r="A2503" s="22">
        <v>2026</v>
      </c>
      <c r="B2503" s="28" t="s">
        <v>192</v>
      </c>
      <c r="C2503" s="28" t="s">
        <v>97</v>
      </c>
      <c r="D2503" s="28" t="s">
        <v>1719</v>
      </c>
      <c r="E2503" s="29" t="s">
        <v>1084</v>
      </c>
      <c r="F2503" s="29" t="s">
        <v>287</v>
      </c>
      <c r="G2503" s="25" t="s">
        <v>4249</v>
      </c>
      <c r="H2503" s="26">
        <v>-0.55481054939999996</v>
      </c>
      <c r="I2503" s="26"/>
      <c r="J2503" s="26" t="s">
        <v>514</v>
      </c>
      <c r="K2503" s="25" t="s">
        <v>513</v>
      </c>
    </row>
    <row r="2504" spans="1:11" ht="25.5" x14ac:dyDescent="0.25">
      <c r="A2504" s="22">
        <v>2026</v>
      </c>
      <c r="B2504" s="28" t="s">
        <v>192</v>
      </c>
      <c r="C2504" s="28" t="s">
        <v>97</v>
      </c>
      <c r="D2504" s="28" t="s">
        <v>1719</v>
      </c>
      <c r="E2504" s="29" t="s">
        <v>1084</v>
      </c>
      <c r="F2504" s="29" t="s">
        <v>287</v>
      </c>
      <c r="G2504" s="25" t="s">
        <v>4250</v>
      </c>
      <c r="H2504" s="26">
        <v>-8.3633519999999989E-2</v>
      </c>
      <c r="I2504" s="26"/>
      <c r="J2504" s="26" t="s">
        <v>514</v>
      </c>
      <c r="K2504" s="25" t="s">
        <v>513</v>
      </c>
    </row>
    <row r="2505" spans="1:11" ht="25.5" x14ac:dyDescent="0.25">
      <c r="A2505" s="22">
        <v>2026</v>
      </c>
      <c r="B2505" s="28" t="s">
        <v>192</v>
      </c>
      <c r="C2505" s="28" t="s">
        <v>97</v>
      </c>
      <c r="D2505" s="28" t="s">
        <v>1719</v>
      </c>
      <c r="E2505" s="29" t="s">
        <v>1084</v>
      </c>
      <c r="F2505" s="29" t="s">
        <v>287</v>
      </c>
      <c r="G2505" s="25" t="s">
        <v>4251</v>
      </c>
      <c r="H2505" s="26">
        <v>-1.1238446015999999</v>
      </c>
      <c r="I2505" s="26"/>
      <c r="J2505" s="26" t="s">
        <v>514</v>
      </c>
      <c r="K2505" s="25" t="s">
        <v>513</v>
      </c>
    </row>
    <row r="2506" spans="1:11" ht="25.5" x14ac:dyDescent="0.25">
      <c r="A2506" s="22">
        <v>2026</v>
      </c>
      <c r="B2506" s="28" t="s">
        <v>192</v>
      </c>
      <c r="C2506" s="28" t="s">
        <v>97</v>
      </c>
      <c r="D2506" s="28" t="s">
        <v>1719</v>
      </c>
      <c r="E2506" s="29" t="s">
        <v>1084</v>
      </c>
      <c r="F2506" s="29" t="s">
        <v>287</v>
      </c>
      <c r="G2506" s="25" t="s">
        <v>4252</v>
      </c>
      <c r="H2506" s="26">
        <v>-0.60206049719999999</v>
      </c>
      <c r="I2506" s="26"/>
      <c r="J2506" s="26" t="s">
        <v>514</v>
      </c>
      <c r="K2506" s="25" t="s">
        <v>513</v>
      </c>
    </row>
    <row r="2507" spans="1:11" ht="25.5" x14ac:dyDescent="0.25">
      <c r="A2507" s="22">
        <v>2026</v>
      </c>
      <c r="B2507" s="28" t="s">
        <v>192</v>
      </c>
      <c r="C2507" s="28" t="s">
        <v>97</v>
      </c>
      <c r="D2507" s="28" t="s">
        <v>1719</v>
      </c>
      <c r="E2507" s="29" t="s">
        <v>1084</v>
      </c>
      <c r="F2507" s="29" t="s">
        <v>287</v>
      </c>
      <c r="G2507" s="25" t="s">
        <v>4253</v>
      </c>
      <c r="H2507" s="26">
        <v>-0.72212862899999997</v>
      </c>
      <c r="I2507" s="26"/>
      <c r="J2507" s="26" t="s">
        <v>514</v>
      </c>
      <c r="K2507" s="25" t="s">
        <v>513</v>
      </c>
    </row>
    <row r="2508" spans="1:11" ht="25.5" x14ac:dyDescent="0.25">
      <c r="A2508" s="22">
        <v>2026</v>
      </c>
      <c r="B2508" s="28" t="s">
        <v>192</v>
      </c>
      <c r="C2508" s="28" t="s">
        <v>97</v>
      </c>
      <c r="D2508" s="28" t="s">
        <v>1719</v>
      </c>
      <c r="E2508" s="29" t="s">
        <v>1084</v>
      </c>
      <c r="F2508" s="29" t="s">
        <v>287</v>
      </c>
      <c r="G2508" s="25" t="s">
        <v>4254</v>
      </c>
      <c r="H2508" s="26">
        <v>-0.51453756900000003</v>
      </c>
      <c r="I2508" s="26"/>
      <c r="J2508" s="26" t="s">
        <v>514</v>
      </c>
      <c r="K2508" s="25" t="s">
        <v>513</v>
      </c>
    </row>
    <row r="2509" spans="1:11" ht="25.5" x14ac:dyDescent="0.25">
      <c r="A2509" s="22">
        <v>2026</v>
      </c>
      <c r="B2509" s="28" t="s">
        <v>192</v>
      </c>
      <c r="C2509" s="28" t="s">
        <v>97</v>
      </c>
      <c r="D2509" s="28" t="s">
        <v>1719</v>
      </c>
      <c r="E2509" s="29" t="s">
        <v>1084</v>
      </c>
      <c r="F2509" s="29" t="s">
        <v>287</v>
      </c>
      <c r="G2509" s="25" t="s">
        <v>4255</v>
      </c>
      <c r="H2509" s="26">
        <v>-0.6953491248</v>
      </c>
      <c r="I2509" s="26"/>
      <c r="J2509" s="26" t="s">
        <v>514</v>
      </c>
      <c r="K2509" s="25" t="s">
        <v>513</v>
      </c>
    </row>
    <row r="2510" spans="1:11" ht="25.5" x14ac:dyDescent="0.25">
      <c r="A2510" s="22">
        <v>2026</v>
      </c>
      <c r="B2510" s="28" t="s">
        <v>192</v>
      </c>
      <c r="C2510" s="28" t="s">
        <v>97</v>
      </c>
      <c r="D2510" s="28" t="s">
        <v>1720</v>
      </c>
      <c r="E2510" s="29" t="s">
        <v>1084</v>
      </c>
      <c r="F2510" s="29" t="s">
        <v>483</v>
      </c>
      <c r="G2510" s="25" t="s">
        <v>4256</v>
      </c>
      <c r="H2510" s="26">
        <v>-2.0753499999999998</v>
      </c>
      <c r="I2510" s="26"/>
      <c r="J2510" s="26" t="s">
        <v>512</v>
      </c>
      <c r="K2510" s="25" t="s">
        <v>513</v>
      </c>
    </row>
    <row r="2511" spans="1:11" ht="25.5" x14ac:dyDescent="0.25">
      <c r="A2511" s="22">
        <v>2026</v>
      </c>
      <c r="B2511" s="28" t="s">
        <v>192</v>
      </c>
      <c r="C2511" s="28" t="s">
        <v>97</v>
      </c>
      <c r="D2511" s="28" t="s">
        <v>1720</v>
      </c>
      <c r="E2511" s="29" t="s">
        <v>1084</v>
      </c>
      <c r="F2511" s="29" t="s">
        <v>483</v>
      </c>
      <c r="G2511" s="25" t="s">
        <v>4257</v>
      </c>
      <c r="H2511" s="26">
        <v>-2.0606499999999999</v>
      </c>
      <c r="I2511" s="26"/>
      <c r="J2511" s="26" t="s">
        <v>512</v>
      </c>
      <c r="K2511" s="25" t="s">
        <v>513</v>
      </c>
    </row>
    <row r="2512" spans="1:11" ht="25.5" x14ac:dyDescent="0.25">
      <c r="A2512" s="22">
        <v>2026</v>
      </c>
      <c r="B2512" s="28" t="s">
        <v>192</v>
      </c>
      <c r="C2512" s="28" t="s">
        <v>97</v>
      </c>
      <c r="D2512" s="28" t="s">
        <v>1720</v>
      </c>
      <c r="E2512" s="29" t="s">
        <v>1084</v>
      </c>
      <c r="F2512" s="29" t="s">
        <v>483</v>
      </c>
      <c r="G2512" s="25" t="s">
        <v>4258</v>
      </c>
      <c r="H2512" s="26">
        <v>-3.0277500000000002</v>
      </c>
      <c r="I2512" s="26"/>
      <c r="J2512" s="26" t="s">
        <v>512</v>
      </c>
      <c r="K2512" s="25" t="s">
        <v>513</v>
      </c>
    </row>
    <row r="2513" spans="1:11" ht="25.5" x14ac:dyDescent="0.25">
      <c r="A2513" s="22">
        <v>2026</v>
      </c>
      <c r="B2513" s="28" t="s">
        <v>192</v>
      </c>
      <c r="C2513" s="28" t="s">
        <v>97</v>
      </c>
      <c r="D2513" s="28" t="s">
        <v>1720</v>
      </c>
      <c r="E2513" s="29" t="s">
        <v>1084</v>
      </c>
      <c r="F2513" s="29" t="s">
        <v>483</v>
      </c>
      <c r="G2513" s="25" t="s">
        <v>4259</v>
      </c>
      <c r="H2513" s="26">
        <v>-1.9120857000000002</v>
      </c>
      <c r="I2513" s="26"/>
      <c r="J2513" s="26" t="s">
        <v>512</v>
      </c>
      <c r="K2513" s="25" t="s">
        <v>513</v>
      </c>
    </row>
    <row r="2514" spans="1:11" ht="25.5" x14ac:dyDescent="0.25">
      <c r="A2514" s="22">
        <v>2026</v>
      </c>
      <c r="B2514" s="28" t="s">
        <v>192</v>
      </c>
      <c r="C2514" s="28" t="s">
        <v>97</v>
      </c>
      <c r="D2514" s="28" t="s">
        <v>1720</v>
      </c>
      <c r="E2514" s="29" t="s">
        <v>1084</v>
      </c>
      <c r="F2514" s="29" t="s">
        <v>483</v>
      </c>
      <c r="G2514" s="25" t="s">
        <v>4260</v>
      </c>
      <c r="H2514" s="26">
        <v>-0.89002367999999998</v>
      </c>
      <c r="I2514" s="26"/>
      <c r="J2514" s="26" t="s">
        <v>512</v>
      </c>
      <c r="K2514" s="25" t="s">
        <v>513</v>
      </c>
    </row>
    <row r="2515" spans="1:11" ht="25.5" x14ac:dyDescent="0.25">
      <c r="A2515" s="22">
        <v>2026</v>
      </c>
      <c r="B2515" s="28" t="s">
        <v>192</v>
      </c>
      <c r="C2515" s="28" t="s">
        <v>97</v>
      </c>
      <c r="D2515" s="28" t="s">
        <v>1720</v>
      </c>
      <c r="E2515" s="29" t="s">
        <v>1084</v>
      </c>
      <c r="F2515" s="29" t="s">
        <v>483</v>
      </c>
      <c r="G2515" s="25" t="s">
        <v>4261</v>
      </c>
      <c r="H2515" s="26">
        <v>-1.0188656</v>
      </c>
      <c r="I2515" s="26"/>
      <c r="J2515" s="26" t="s">
        <v>512</v>
      </c>
      <c r="K2515" s="25" t="s">
        <v>513</v>
      </c>
    </row>
    <row r="2516" spans="1:11" ht="25.5" x14ac:dyDescent="0.25">
      <c r="A2516" s="22">
        <v>2026</v>
      </c>
      <c r="B2516" s="28" t="s">
        <v>192</v>
      </c>
      <c r="C2516" s="28" t="s">
        <v>97</v>
      </c>
      <c r="D2516" s="28" t="s">
        <v>1720</v>
      </c>
      <c r="E2516" s="29" t="s">
        <v>1084</v>
      </c>
      <c r="F2516" s="29" t="s">
        <v>483</v>
      </c>
      <c r="G2516" s="25" t="s">
        <v>4262</v>
      </c>
      <c r="H2516" s="26">
        <v>-0.95335000000000003</v>
      </c>
      <c r="I2516" s="26"/>
      <c r="J2516" s="26" t="s">
        <v>512</v>
      </c>
      <c r="K2516" s="25" t="s">
        <v>513</v>
      </c>
    </row>
    <row r="2517" spans="1:11" ht="25.5" x14ac:dyDescent="0.25">
      <c r="A2517" s="22">
        <v>2026</v>
      </c>
      <c r="B2517" s="28" t="s">
        <v>192</v>
      </c>
      <c r="C2517" s="28" t="s">
        <v>97</v>
      </c>
      <c r="D2517" s="28" t="s">
        <v>1720</v>
      </c>
      <c r="E2517" s="29" t="s">
        <v>1084</v>
      </c>
      <c r="F2517" s="29" t="s">
        <v>483</v>
      </c>
      <c r="G2517" s="25" t="s">
        <v>4263</v>
      </c>
      <c r="H2517" s="26">
        <v>-1.1219399999999999</v>
      </c>
      <c r="I2517" s="26"/>
      <c r="J2517" s="26" t="s">
        <v>512</v>
      </c>
      <c r="K2517" s="25" t="s">
        <v>513</v>
      </c>
    </row>
    <row r="2518" spans="1:11" ht="25.5" x14ac:dyDescent="0.25">
      <c r="A2518" s="22">
        <v>2026</v>
      </c>
      <c r="B2518" s="28" t="s">
        <v>192</v>
      </c>
      <c r="C2518" s="28" t="s">
        <v>97</v>
      </c>
      <c r="D2518" s="28" t="s">
        <v>1720</v>
      </c>
      <c r="E2518" s="29" t="s">
        <v>1084</v>
      </c>
      <c r="F2518" s="29" t="s">
        <v>483</v>
      </c>
      <c r="G2518" s="25" t="s">
        <v>4264</v>
      </c>
      <c r="H2518" s="26">
        <v>-1.5165599999999999</v>
      </c>
      <c r="I2518" s="26"/>
      <c r="J2518" s="26" t="s">
        <v>512</v>
      </c>
      <c r="K2518" s="25" t="s">
        <v>513</v>
      </c>
    </row>
    <row r="2519" spans="1:11" ht="25.5" x14ac:dyDescent="0.25">
      <c r="A2519" s="22">
        <v>2026</v>
      </c>
      <c r="B2519" s="28" t="s">
        <v>192</v>
      </c>
      <c r="C2519" s="28" t="s">
        <v>97</v>
      </c>
      <c r="D2519" s="28" t="s">
        <v>1721</v>
      </c>
      <c r="E2519" s="29" t="s">
        <v>411</v>
      </c>
      <c r="F2519" s="29" t="s">
        <v>353</v>
      </c>
      <c r="G2519" s="25" t="s">
        <v>4265</v>
      </c>
      <c r="H2519" s="26">
        <v>-0.53964572160000002</v>
      </c>
      <c r="I2519" s="26"/>
      <c r="J2519" s="26" t="s">
        <v>512</v>
      </c>
      <c r="K2519" s="25" t="s">
        <v>513</v>
      </c>
    </row>
    <row r="2520" spans="1:11" ht="25.5" x14ac:dyDescent="0.25">
      <c r="A2520" s="22">
        <v>2026</v>
      </c>
      <c r="B2520" s="28" t="s">
        <v>192</v>
      </c>
      <c r="C2520" s="28" t="s">
        <v>97</v>
      </c>
      <c r="D2520" s="28" t="s">
        <v>1721</v>
      </c>
      <c r="E2520" s="29" t="s">
        <v>411</v>
      </c>
      <c r="F2520" s="29" t="s">
        <v>353</v>
      </c>
      <c r="G2520" s="25" t="s">
        <v>4266</v>
      </c>
      <c r="H2520" s="26">
        <v>-1.9066000000000001</v>
      </c>
      <c r="I2520" s="26"/>
      <c r="J2520" s="26" t="s">
        <v>512</v>
      </c>
      <c r="K2520" s="25" t="s">
        <v>513</v>
      </c>
    </row>
    <row r="2521" spans="1:11" ht="25.5" x14ac:dyDescent="0.25">
      <c r="A2521" s="22">
        <v>2026</v>
      </c>
      <c r="B2521" s="28" t="s">
        <v>192</v>
      </c>
      <c r="C2521" s="28" t="s">
        <v>97</v>
      </c>
      <c r="D2521" s="28" t="s">
        <v>1721</v>
      </c>
      <c r="E2521" s="29" t="s">
        <v>411</v>
      </c>
      <c r="F2521" s="29" t="s">
        <v>353</v>
      </c>
      <c r="G2521" s="25" t="s">
        <v>4267</v>
      </c>
      <c r="H2521" s="26">
        <v>-0.32981311200000002</v>
      </c>
      <c r="I2521" s="26"/>
      <c r="J2521" s="26" t="s">
        <v>512</v>
      </c>
      <c r="K2521" s="25" t="s">
        <v>513</v>
      </c>
    </row>
    <row r="2522" spans="1:11" ht="25.5" x14ac:dyDescent="0.25">
      <c r="A2522" s="22">
        <v>2026</v>
      </c>
      <c r="B2522" s="28" t="s">
        <v>192</v>
      </c>
      <c r="C2522" s="28" t="s">
        <v>97</v>
      </c>
      <c r="D2522" s="28" t="s">
        <v>1721</v>
      </c>
      <c r="E2522" s="29" t="s">
        <v>411</v>
      </c>
      <c r="F2522" s="29" t="s">
        <v>353</v>
      </c>
      <c r="G2522" s="25" t="s">
        <v>4268</v>
      </c>
      <c r="H2522" s="26">
        <v>-0.60272732519999994</v>
      </c>
      <c r="I2522" s="26"/>
      <c r="J2522" s="26" t="s">
        <v>512</v>
      </c>
      <c r="K2522" s="25" t="s">
        <v>513</v>
      </c>
    </row>
    <row r="2523" spans="1:11" ht="25.5" x14ac:dyDescent="0.25">
      <c r="A2523" s="22">
        <v>2026</v>
      </c>
      <c r="B2523" s="28" t="s">
        <v>192</v>
      </c>
      <c r="C2523" s="28" t="s">
        <v>97</v>
      </c>
      <c r="D2523" s="28" t="s">
        <v>1721</v>
      </c>
      <c r="E2523" s="29" t="s">
        <v>411</v>
      </c>
      <c r="F2523" s="29" t="s">
        <v>353</v>
      </c>
      <c r="G2523" s="25" t="s">
        <v>4269</v>
      </c>
      <c r="H2523" s="26">
        <v>-0.30823900800000004</v>
      </c>
      <c r="I2523" s="26"/>
      <c r="J2523" s="26" t="s">
        <v>512</v>
      </c>
      <c r="K2523" s="25" t="s">
        <v>513</v>
      </c>
    </row>
    <row r="2524" spans="1:11" ht="25.5" x14ac:dyDescent="0.25">
      <c r="A2524" s="22">
        <v>2026</v>
      </c>
      <c r="B2524" s="28" t="s">
        <v>192</v>
      </c>
      <c r="C2524" s="28" t="s">
        <v>97</v>
      </c>
      <c r="D2524" s="28" t="s">
        <v>1721</v>
      </c>
      <c r="E2524" s="29" t="s">
        <v>411</v>
      </c>
      <c r="F2524" s="29" t="s">
        <v>353</v>
      </c>
      <c r="G2524" s="25" t="s">
        <v>4270</v>
      </c>
      <c r="H2524" s="26">
        <v>-0.82541490780000004</v>
      </c>
      <c r="I2524" s="26"/>
      <c r="J2524" s="26" t="s">
        <v>512</v>
      </c>
      <c r="K2524" s="25" t="s">
        <v>513</v>
      </c>
    </row>
    <row r="2525" spans="1:11" ht="25.5" x14ac:dyDescent="0.25">
      <c r="A2525" s="22">
        <v>2026</v>
      </c>
      <c r="B2525" s="28" t="s">
        <v>192</v>
      </c>
      <c r="C2525" s="28" t="s">
        <v>97</v>
      </c>
      <c r="D2525" s="28" t="s">
        <v>1721</v>
      </c>
      <c r="E2525" s="29" t="s">
        <v>411</v>
      </c>
      <c r="F2525" s="29" t="s">
        <v>353</v>
      </c>
      <c r="G2525" s="25" t="s">
        <v>4271</v>
      </c>
      <c r="H2525" s="26">
        <v>-1.8805499999999999</v>
      </c>
      <c r="I2525" s="26"/>
      <c r="J2525" s="26" t="s">
        <v>512</v>
      </c>
      <c r="K2525" s="25" t="s">
        <v>513</v>
      </c>
    </row>
    <row r="2526" spans="1:11" ht="25.5" x14ac:dyDescent="0.25">
      <c r="A2526" s="22">
        <v>2026</v>
      </c>
      <c r="B2526" s="28" t="s">
        <v>192</v>
      </c>
      <c r="C2526" s="28" t="s">
        <v>97</v>
      </c>
      <c r="D2526" s="28" t="s">
        <v>1721</v>
      </c>
      <c r="E2526" s="29" t="s">
        <v>411</v>
      </c>
      <c r="F2526" s="29" t="s">
        <v>353</v>
      </c>
      <c r="G2526" s="25" t="s">
        <v>4272</v>
      </c>
      <c r="H2526" s="26">
        <v>-0.94942499999999996</v>
      </c>
      <c r="I2526" s="26"/>
      <c r="J2526" s="26" t="s">
        <v>512</v>
      </c>
      <c r="K2526" s="25" t="s">
        <v>513</v>
      </c>
    </row>
    <row r="2527" spans="1:11" ht="25.5" x14ac:dyDescent="0.25">
      <c r="A2527" s="22">
        <v>2026</v>
      </c>
      <c r="B2527" s="28" t="s">
        <v>192</v>
      </c>
      <c r="C2527" s="28" t="s">
        <v>97</v>
      </c>
      <c r="D2527" s="28" t="s">
        <v>1721</v>
      </c>
      <c r="E2527" s="29" t="s">
        <v>411</v>
      </c>
      <c r="F2527" s="29" t="s">
        <v>353</v>
      </c>
      <c r="G2527" s="25" t="s">
        <v>4273</v>
      </c>
      <c r="H2527" s="26">
        <v>-0.98984849879999992</v>
      </c>
      <c r="I2527" s="26"/>
      <c r="J2527" s="26" t="s">
        <v>512</v>
      </c>
      <c r="K2527" s="25" t="s">
        <v>513</v>
      </c>
    </row>
    <row r="2528" spans="1:11" ht="25.5" x14ac:dyDescent="0.25">
      <c r="A2528" s="22">
        <v>2026</v>
      </c>
      <c r="B2528" s="28" t="s">
        <v>192</v>
      </c>
      <c r="C2528" s="28" t="s">
        <v>97</v>
      </c>
      <c r="D2528" s="28" t="s">
        <v>1721</v>
      </c>
      <c r="E2528" s="29" t="s">
        <v>411</v>
      </c>
      <c r="F2528" s="29" t="s">
        <v>353</v>
      </c>
      <c r="G2528" s="25" t="s">
        <v>4274</v>
      </c>
      <c r="H2528" s="26">
        <v>-2.1764399999999999</v>
      </c>
      <c r="I2528" s="26"/>
      <c r="J2528" s="26" t="s">
        <v>512</v>
      </c>
      <c r="K2528" s="25" t="s">
        <v>513</v>
      </c>
    </row>
    <row r="2529" spans="1:11" ht="25.5" x14ac:dyDescent="0.25">
      <c r="A2529" s="22">
        <v>2026</v>
      </c>
      <c r="B2529" s="28" t="s">
        <v>192</v>
      </c>
      <c r="C2529" s="28" t="s">
        <v>97</v>
      </c>
      <c r="D2529" s="28" t="s">
        <v>1721</v>
      </c>
      <c r="E2529" s="29" t="s">
        <v>411</v>
      </c>
      <c r="F2529" s="29" t="s">
        <v>353</v>
      </c>
      <c r="G2529" s="25" t="s">
        <v>4275</v>
      </c>
      <c r="H2529" s="26">
        <v>-1.8062499999999999</v>
      </c>
      <c r="I2529" s="26"/>
      <c r="J2529" s="26" t="s">
        <v>512</v>
      </c>
      <c r="K2529" s="25" t="s">
        <v>513</v>
      </c>
    </row>
    <row r="2530" spans="1:11" ht="25.5" x14ac:dyDescent="0.25">
      <c r="A2530" s="22">
        <v>2026</v>
      </c>
      <c r="B2530" s="28" t="s">
        <v>192</v>
      </c>
      <c r="C2530" s="28" t="s">
        <v>97</v>
      </c>
      <c r="D2530" s="28" t="s">
        <v>1721</v>
      </c>
      <c r="E2530" s="29" t="s">
        <v>411</v>
      </c>
      <c r="F2530" s="29" t="s">
        <v>353</v>
      </c>
      <c r="G2530" s="25" t="s">
        <v>4276</v>
      </c>
      <c r="H2530" s="26">
        <v>-1.224377571</v>
      </c>
      <c r="I2530" s="26"/>
      <c r="J2530" s="26" t="s">
        <v>512</v>
      </c>
      <c r="K2530" s="25" t="s">
        <v>513</v>
      </c>
    </row>
    <row r="2531" spans="1:11" ht="25.5" x14ac:dyDescent="0.25">
      <c r="A2531" s="22">
        <v>2026</v>
      </c>
      <c r="B2531" s="28" t="s">
        <v>192</v>
      </c>
      <c r="C2531" s="28" t="s">
        <v>97</v>
      </c>
      <c r="D2531" s="28" t="s">
        <v>1721</v>
      </c>
      <c r="E2531" s="29" t="s">
        <v>411</v>
      </c>
      <c r="F2531" s="29" t="s">
        <v>353</v>
      </c>
      <c r="G2531" s="25" t="s">
        <v>4277</v>
      </c>
      <c r="H2531" s="26">
        <v>-1.4298</v>
      </c>
      <c r="I2531" s="26"/>
      <c r="J2531" s="26" t="s">
        <v>512</v>
      </c>
      <c r="K2531" s="25" t="s">
        <v>513</v>
      </c>
    </row>
    <row r="2532" spans="1:11" ht="25.5" x14ac:dyDescent="0.25">
      <c r="A2532" s="22">
        <v>2026</v>
      </c>
      <c r="B2532" s="28" t="s">
        <v>192</v>
      </c>
      <c r="C2532" s="28" t="s">
        <v>97</v>
      </c>
      <c r="D2532" s="28" t="s">
        <v>1721</v>
      </c>
      <c r="E2532" s="29" t="s">
        <v>411</v>
      </c>
      <c r="F2532" s="29" t="s">
        <v>353</v>
      </c>
      <c r="G2532" s="25" t="s">
        <v>4278</v>
      </c>
      <c r="H2532" s="26">
        <v>-0.90209583360000001</v>
      </c>
      <c r="I2532" s="26"/>
      <c r="J2532" s="26" t="s">
        <v>512</v>
      </c>
      <c r="K2532" s="25" t="s">
        <v>513</v>
      </c>
    </row>
    <row r="2533" spans="1:11" ht="25.5" x14ac:dyDescent="0.25">
      <c r="A2533" s="22">
        <v>2026</v>
      </c>
      <c r="B2533" s="28" t="s">
        <v>192</v>
      </c>
      <c r="C2533" s="28" t="s">
        <v>97</v>
      </c>
      <c r="D2533" s="28" t="s">
        <v>1721</v>
      </c>
      <c r="E2533" s="29" t="s">
        <v>411</v>
      </c>
      <c r="F2533" s="29" t="s">
        <v>353</v>
      </c>
      <c r="G2533" s="25" t="s">
        <v>4279</v>
      </c>
      <c r="H2533" s="26">
        <v>-2.1366900000000002</v>
      </c>
      <c r="I2533" s="26"/>
      <c r="J2533" s="26" t="s">
        <v>512</v>
      </c>
      <c r="K2533" s="25" t="s">
        <v>513</v>
      </c>
    </row>
    <row r="2534" spans="1:11" ht="25.5" x14ac:dyDescent="0.25">
      <c r="A2534" s="22">
        <v>2026</v>
      </c>
      <c r="B2534" s="28" t="s">
        <v>192</v>
      </c>
      <c r="C2534" s="28" t="s">
        <v>97</v>
      </c>
      <c r="D2534" s="28" t="s">
        <v>1721</v>
      </c>
      <c r="E2534" s="29" t="s">
        <v>411</v>
      </c>
      <c r="F2534" s="29" t="s">
        <v>353</v>
      </c>
      <c r="G2534" s="25" t="s">
        <v>4280</v>
      </c>
      <c r="H2534" s="26">
        <v>-1.812125</v>
      </c>
      <c r="I2534" s="26"/>
      <c r="J2534" s="26" t="s">
        <v>512</v>
      </c>
      <c r="K2534" s="25" t="s">
        <v>513</v>
      </c>
    </row>
    <row r="2535" spans="1:11" ht="25.5" x14ac:dyDescent="0.25">
      <c r="A2535" s="22">
        <v>2026</v>
      </c>
      <c r="B2535" s="28" t="s">
        <v>192</v>
      </c>
      <c r="C2535" s="28" t="s">
        <v>97</v>
      </c>
      <c r="D2535" s="28" t="s">
        <v>1721</v>
      </c>
      <c r="E2535" s="29" t="s">
        <v>411</v>
      </c>
      <c r="F2535" s="29" t="s">
        <v>353</v>
      </c>
      <c r="G2535" s="25" t="s">
        <v>4281</v>
      </c>
      <c r="H2535" s="26">
        <v>-1.9047642859</v>
      </c>
      <c r="I2535" s="26"/>
      <c r="J2535" s="26" t="s">
        <v>512</v>
      </c>
      <c r="K2535" s="25" t="s">
        <v>513</v>
      </c>
    </row>
    <row r="2536" spans="1:11" ht="25.5" x14ac:dyDescent="0.25">
      <c r="A2536" s="22">
        <v>2026</v>
      </c>
      <c r="B2536" s="28" t="s">
        <v>192</v>
      </c>
      <c r="C2536" s="28" t="s">
        <v>97</v>
      </c>
      <c r="D2536" s="28" t="s">
        <v>1722</v>
      </c>
      <c r="E2536" s="29" t="s">
        <v>640</v>
      </c>
      <c r="F2536" s="29" t="s">
        <v>282</v>
      </c>
      <c r="G2536" s="25" t="s">
        <v>4282</v>
      </c>
      <c r="H2536" s="26">
        <v>-2.6321516400000002E-2</v>
      </c>
      <c r="I2536" s="26"/>
      <c r="J2536" s="26" t="s">
        <v>521</v>
      </c>
      <c r="K2536" s="25" t="s">
        <v>513</v>
      </c>
    </row>
    <row r="2537" spans="1:11" ht="25.5" x14ac:dyDescent="0.25">
      <c r="A2537" s="22">
        <v>2026</v>
      </c>
      <c r="B2537" s="28" t="s">
        <v>192</v>
      </c>
      <c r="C2537" s="28" t="s">
        <v>97</v>
      </c>
      <c r="D2537" s="28" t="s">
        <v>1722</v>
      </c>
      <c r="E2537" s="29" t="s">
        <v>640</v>
      </c>
      <c r="F2537" s="29" t="s">
        <v>282</v>
      </c>
      <c r="G2537" s="25" t="s">
        <v>4283</v>
      </c>
      <c r="H2537" s="26">
        <v>-3.1925296800000003E-2</v>
      </c>
      <c r="I2537" s="26"/>
      <c r="J2537" s="26" t="s">
        <v>521</v>
      </c>
      <c r="K2537" s="25" t="s">
        <v>513</v>
      </c>
    </row>
    <row r="2538" spans="1:11" ht="25.5" x14ac:dyDescent="0.25">
      <c r="A2538" s="22">
        <v>2026</v>
      </c>
      <c r="B2538" s="28" t="s">
        <v>192</v>
      </c>
      <c r="C2538" s="28" t="s">
        <v>97</v>
      </c>
      <c r="D2538" s="28" t="s">
        <v>1722</v>
      </c>
      <c r="E2538" s="29" t="s">
        <v>640</v>
      </c>
      <c r="F2538" s="29" t="s">
        <v>282</v>
      </c>
      <c r="G2538" s="25" t="s">
        <v>4284</v>
      </c>
      <c r="H2538" s="26">
        <v>-3.0599855999999998E-2</v>
      </c>
      <c r="I2538" s="26"/>
      <c r="J2538" s="26" t="s">
        <v>521</v>
      </c>
      <c r="K2538" s="25" t="s">
        <v>513</v>
      </c>
    </row>
    <row r="2539" spans="1:11" ht="25.5" x14ac:dyDescent="0.25">
      <c r="A2539" s="22">
        <v>2026</v>
      </c>
      <c r="B2539" s="28" t="s">
        <v>192</v>
      </c>
      <c r="C2539" s="28" t="s">
        <v>97</v>
      </c>
      <c r="D2539" s="28" t="s">
        <v>1722</v>
      </c>
      <c r="E2539" s="29" t="s">
        <v>640</v>
      </c>
      <c r="F2539" s="29" t="s">
        <v>282</v>
      </c>
      <c r="G2539" s="25" t="s">
        <v>4285</v>
      </c>
      <c r="H2539" s="26">
        <v>-3.1504991599999997E-2</v>
      </c>
      <c r="I2539" s="26"/>
      <c r="J2539" s="26" t="s">
        <v>521</v>
      </c>
      <c r="K2539" s="25" t="s">
        <v>513</v>
      </c>
    </row>
    <row r="2540" spans="1:11" ht="25.5" x14ac:dyDescent="0.25">
      <c r="A2540" s="22">
        <v>2026</v>
      </c>
      <c r="B2540" s="28" t="s">
        <v>192</v>
      </c>
      <c r="C2540" s="28" t="s">
        <v>97</v>
      </c>
      <c r="D2540" s="28" t="s">
        <v>1722</v>
      </c>
      <c r="E2540" s="29" t="s">
        <v>640</v>
      </c>
      <c r="F2540" s="29" t="s">
        <v>282</v>
      </c>
      <c r="G2540" s="25" t="s">
        <v>4286</v>
      </c>
      <c r="H2540" s="26">
        <v>-2.7601617300000002E-2</v>
      </c>
      <c r="I2540" s="26"/>
      <c r="J2540" s="26" t="s">
        <v>521</v>
      </c>
      <c r="K2540" s="25" t="s">
        <v>513</v>
      </c>
    </row>
    <row r="2541" spans="1:11" ht="25.5" x14ac:dyDescent="0.25">
      <c r="A2541" s="22">
        <v>2026</v>
      </c>
      <c r="B2541" s="28" t="s">
        <v>192</v>
      </c>
      <c r="C2541" s="28" t="s">
        <v>97</v>
      </c>
      <c r="D2541" s="28" t="s">
        <v>1722</v>
      </c>
      <c r="E2541" s="29" t="s">
        <v>640</v>
      </c>
      <c r="F2541" s="29" t="s">
        <v>282</v>
      </c>
      <c r="G2541" s="25" t="s">
        <v>4287</v>
      </c>
      <c r="H2541" s="26">
        <v>-2.7726849000000001E-2</v>
      </c>
      <c r="I2541" s="26"/>
      <c r="J2541" s="26" t="s">
        <v>521</v>
      </c>
      <c r="K2541" s="25" t="s">
        <v>513</v>
      </c>
    </row>
    <row r="2542" spans="1:11" ht="25.5" x14ac:dyDescent="0.25">
      <c r="A2542" s="22">
        <v>2026</v>
      </c>
      <c r="B2542" s="28" t="s">
        <v>192</v>
      </c>
      <c r="C2542" s="28" t="s">
        <v>97</v>
      </c>
      <c r="D2542" s="28" t="s">
        <v>1722</v>
      </c>
      <c r="E2542" s="29" t="s">
        <v>640</v>
      </c>
      <c r="F2542" s="29" t="s">
        <v>282</v>
      </c>
      <c r="G2542" s="25" t="s">
        <v>4288</v>
      </c>
      <c r="H2542" s="26">
        <v>-2.8908383199999999E-2</v>
      </c>
      <c r="I2542" s="26"/>
      <c r="J2542" s="26" t="s">
        <v>521</v>
      </c>
      <c r="K2542" s="25" t="s">
        <v>513</v>
      </c>
    </row>
    <row r="2543" spans="1:11" ht="25.5" x14ac:dyDescent="0.25">
      <c r="A2543" s="22">
        <v>2026</v>
      </c>
      <c r="B2543" s="28" t="s">
        <v>192</v>
      </c>
      <c r="C2543" s="28" t="s">
        <v>97</v>
      </c>
      <c r="D2543" s="28" t="s">
        <v>1722</v>
      </c>
      <c r="E2543" s="29" t="s">
        <v>640</v>
      </c>
      <c r="F2543" s="29" t="s">
        <v>282</v>
      </c>
      <c r="G2543" s="25" t="s">
        <v>4289</v>
      </c>
      <c r="H2543" s="26">
        <v>-2.4521923800000001E-2</v>
      </c>
      <c r="I2543" s="26"/>
      <c r="J2543" s="26" t="s">
        <v>521</v>
      </c>
      <c r="K2543" s="25" t="s">
        <v>513</v>
      </c>
    </row>
    <row r="2544" spans="1:11" ht="25.5" x14ac:dyDescent="0.25">
      <c r="A2544" s="22">
        <v>2026</v>
      </c>
      <c r="B2544" s="28" t="s">
        <v>192</v>
      </c>
      <c r="C2544" s="28" t="s">
        <v>97</v>
      </c>
      <c r="D2544" s="28" t="s">
        <v>1722</v>
      </c>
      <c r="E2544" s="29" t="s">
        <v>640</v>
      </c>
      <c r="F2544" s="29" t="s">
        <v>282</v>
      </c>
      <c r="G2544" s="25" t="s">
        <v>4290</v>
      </c>
      <c r="H2544" s="26">
        <v>-2.7996563699999998E-2</v>
      </c>
      <c r="I2544" s="26"/>
      <c r="J2544" s="26" t="s">
        <v>521</v>
      </c>
      <c r="K2544" s="25" t="s">
        <v>513</v>
      </c>
    </row>
    <row r="2545" spans="1:11" ht="25.5" x14ac:dyDescent="0.25">
      <c r="A2545" s="22">
        <v>2026</v>
      </c>
      <c r="B2545" s="28" t="s">
        <v>192</v>
      </c>
      <c r="C2545" s="28" t="s">
        <v>97</v>
      </c>
      <c r="D2545" s="28" t="s">
        <v>1722</v>
      </c>
      <c r="E2545" s="29" t="s">
        <v>640</v>
      </c>
      <c r="F2545" s="29" t="s">
        <v>282</v>
      </c>
      <c r="G2545" s="25" t="s">
        <v>4291</v>
      </c>
      <c r="H2545" s="26">
        <v>-3.69376519E-2</v>
      </c>
      <c r="I2545" s="26"/>
      <c r="J2545" s="26" t="s">
        <v>521</v>
      </c>
      <c r="K2545" s="25" t="s">
        <v>513</v>
      </c>
    </row>
    <row r="2546" spans="1:11" ht="25.5" x14ac:dyDescent="0.25">
      <c r="A2546" s="22">
        <v>2026</v>
      </c>
      <c r="B2546" s="28" t="s">
        <v>192</v>
      </c>
      <c r="C2546" s="28" t="s">
        <v>97</v>
      </c>
      <c r="D2546" s="28" t="s">
        <v>1722</v>
      </c>
      <c r="E2546" s="29" t="s">
        <v>640</v>
      </c>
      <c r="F2546" s="29" t="s">
        <v>282</v>
      </c>
      <c r="G2546" s="25" t="s">
        <v>4292</v>
      </c>
      <c r="H2546" s="26">
        <v>-1.5584999999999998E-2</v>
      </c>
      <c r="I2546" s="26"/>
      <c r="J2546" s="26" t="s">
        <v>521</v>
      </c>
      <c r="K2546" s="25" t="s">
        <v>513</v>
      </c>
    </row>
    <row r="2547" spans="1:11" ht="25.5" x14ac:dyDescent="0.25">
      <c r="A2547" s="22">
        <v>2026</v>
      </c>
      <c r="B2547" s="28" t="s">
        <v>192</v>
      </c>
      <c r="C2547" s="28" t="s">
        <v>97</v>
      </c>
      <c r="D2547" s="28" t="s">
        <v>1722</v>
      </c>
      <c r="E2547" s="29" t="s">
        <v>640</v>
      </c>
      <c r="F2547" s="29" t="s">
        <v>282</v>
      </c>
      <c r="G2547" s="25" t="s">
        <v>4293</v>
      </c>
      <c r="H2547" s="26">
        <v>-3.7189318200000002E-2</v>
      </c>
      <c r="I2547" s="26"/>
      <c r="J2547" s="26" t="s">
        <v>521</v>
      </c>
      <c r="K2547" s="25" t="s">
        <v>513</v>
      </c>
    </row>
    <row r="2548" spans="1:11" ht="25.5" x14ac:dyDescent="0.25">
      <c r="A2548" s="22">
        <v>2026</v>
      </c>
      <c r="B2548" s="28" t="s">
        <v>192</v>
      </c>
      <c r="C2548" s="28" t="s">
        <v>97</v>
      </c>
      <c r="D2548" s="28" t="s">
        <v>1722</v>
      </c>
      <c r="E2548" s="29" t="s">
        <v>640</v>
      </c>
      <c r="F2548" s="29" t="s">
        <v>282</v>
      </c>
      <c r="G2548" s="25" t="s">
        <v>4294</v>
      </c>
      <c r="H2548" s="26">
        <v>-3.0305343000000005E-2</v>
      </c>
      <c r="I2548" s="26"/>
      <c r="J2548" s="26" t="s">
        <v>521</v>
      </c>
      <c r="K2548" s="25" t="s">
        <v>513</v>
      </c>
    </row>
    <row r="2549" spans="1:11" ht="25.5" x14ac:dyDescent="0.25">
      <c r="A2549" s="22">
        <v>2026</v>
      </c>
      <c r="B2549" s="28" t="s">
        <v>192</v>
      </c>
      <c r="C2549" s="28" t="s">
        <v>97</v>
      </c>
      <c r="D2549" s="28" t="s">
        <v>1722</v>
      </c>
      <c r="E2549" s="29" t="s">
        <v>640</v>
      </c>
      <c r="F2549" s="29" t="s">
        <v>282</v>
      </c>
      <c r="G2549" s="25" t="s">
        <v>4295</v>
      </c>
      <c r="H2549" s="26">
        <v>-2.8489787999999999E-2</v>
      </c>
      <c r="I2549" s="26"/>
      <c r="J2549" s="26" t="s">
        <v>521</v>
      </c>
      <c r="K2549" s="25" t="s">
        <v>513</v>
      </c>
    </row>
    <row r="2550" spans="1:11" ht="25.5" x14ac:dyDescent="0.25">
      <c r="A2550" s="22">
        <v>2026</v>
      </c>
      <c r="B2550" s="28" t="s">
        <v>192</v>
      </c>
      <c r="C2550" s="28" t="s">
        <v>97</v>
      </c>
      <c r="D2550" s="28" t="s">
        <v>1722</v>
      </c>
      <c r="E2550" s="29" t="s">
        <v>640</v>
      </c>
      <c r="F2550" s="29" t="s">
        <v>282</v>
      </c>
      <c r="G2550" s="25" t="s">
        <v>4296</v>
      </c>
      <c r="H2550" s="26">
        <v>-3.18967192E-2</v>
      </c>
      <c r="I2550" s="26"/>
      <c r="J2550" s="26" t="s">
        <v>521</v>
      </c>
      <c r="K2550" s="25" t="s">
        <v>513</v>
      </c>
    </row>
    <row r="2551" spans="1:11" ht="25.5" x14ac:dyDescent="0.25">
      <c r="A2551" s="22">
        <v>2026</v>
      </c>
      <c r="B2551" s="28" t="s">
        <v>192</v>
      </c>
      <c r="C2551" s="28" t="s">
        <v>97</v>
      </c>
      <c r="D2551" s="28" t="s">
        <v>1722</v>
      </c>
      <c r="E2551" s="29" t="s">
        <v>640</v>
      </c>
      <c r="F2551" s="29" t="s">
        <v>282</v>
      </c>
      <c r="G2551" s="25" t="s">
        <v>4297</v>
      </c>
      <c r="H2551" s="26">
        <v>-2.7803140600000002E-2</v>
      </c>
      <c r="I2551" s="26"/>
      <c r="J2551" s="26" t="s">
        <v>521</v>
      </c>
      <c r="K2551" s="25" t="s">
        <v>513</v>
      </c>
    </row>
    <row r="2552" spans="1:11" ht="25.5" x14ac:dyDescent="0.25">
      <c r="A2552" s="22">
        <v>2026</v>
      </c>
      <c r="B2552" s="28" t="s">
        <v>192</v>
      </c>
      <c r="C2552" s="28" t="s">
        <v>97</v>
      </c>
      <c r="D2552" s="28" t="s">
        <v>1722</v>
      </c>
      <c r="E2552" s="29" t="s">
        <v>640</v>
      </c>
      <c r="F2552" s="29" t="s">
        <v>282</v>
      </c>
      <c r="G2552" s="25" t="s">
        <v>4298</v>
      </c>
      <c r="H2552" s="26">
        <v>-2.33071488E-2</v>
      </c>
      <c r="I2552" s="26"/>
      <c r="J2552" s="26" t="s">
        <v>521</v>
      </c>
      <c r="K2552" s="25" t="s">
        <v>513</v>
      </c>
    </row>
    <row r="2553" spans="1:11" ht="25.5" x14ac:dyDescent="0.25">
      <c r="A2553" s="22">
        <v>2026</v>
      </c>
      <c r="B2553" s="28" t="s">
        <v>192</v>
      </c>
      <c r="C2553" s="28" t="s">
        <v>97</v>
      </c>
      <c r="D2553" s="28" t="s">
        <v>1722</v>
      </c>
      <c r="E2553" s="29" t="s">
        <v>640</v>
      </c>
      <c r="F2553" s="29" t="s">
        <v>282</v>
      </c>
      <c r="G2553" s="25" t="s">
        <v>4299</v>
      </c>
      <c r="H2553" s="26">
        <v>-3.0764999999999997E-2</v>
      </c>
      <c r="I2553" s="26"/>
      <c r="J2553" s="26" t="s">
        <v>521</v>
      </c>
      <c r="K2553" s="25" t="s">
        <v>513</v>
      </c>
    </row>
    <row r="2554" spans="1:11" ht="25.5" x14ac:dyDescent="0.25">
      <c r="A2554" s="22">
        <v>2026</v>
      </c>
      <c r="B2554" s="28" t="s">
        <v>192</v>
      </c>
      <c r="C2554" s="28" t="s">
        <v>97</v>
      </c>
      <c r="D2554" s="28" t="s">
        <v>1722</v>
      </c>
      <c r="E2554" s="29" t="s">
        <v>640</v>
      </c>
      <c r="F2554" s="29" t="s">
        <v>282</v>
      </c>
      <c r="G2554" s="25" t="s">
        <v>4300</v>
      </c>
      <c r="H2554" s="26">
        <v>-2.7411703599999997E-2</v>
      </c>
      <c r="I2554" s="26"/>
      <c r="J2554" s="26" t="s">
        <v>521</v>
      </c>
      <c r="K2554" s="25" t="s">
        <v>513</v>
      </c>
    </row>
    <row r="2555" spans="1:11" ht="25.5" x14ac:dyDescent="0.25">
      <c r="A2555" s="22">
        <v>2026</v>
      </c>
      <c r="B2555" s="28" t="s">
        <v>192</v>
      </c>
      <c r="C2555" s="28" t="s">
        <v>97</v>
      </c>
      <c r="D2555" s="28" t="s">
        <v>1722</v>
      </c>
      <c r="E2555" s="29" t="s">
        <v>640</v>
      </c>
      <c r="F2555" s="29" t="s">
        <v>282</v>
      </c>
      <c r="G2555" s="25" t="s">
        <v>4301</v>
      </c>
      <c r="H2555" s="26">
        <v>-3.82095E-2</v>
      </c>
      <c r="I2555" s="26"/>
      <c r="J2555" s="26" t="s">
        <v>521</v>
      </c>
      <c r="K2555" s="25" t="s">
        <v>513</v>
      </c>
    </row>
    <row r="2556" spans="1:11" ht="25.5" x14ac:dyDescent="0.25">
      <c r="A2556" s="22">
        <v>2026</v>
      </c>
      <c r="B2556" s="28" t="s">
        <v>192</v>
      </c>
      <c r="C2556" s="28" t="s">
        <v>97</v>
      </c>
      <c r="D2556" s="28" t="s">
        <v>1722</v>
      </c>
      <c r="E2556" s="29" t="s">
        <v>640</v>
      </c>
      <c r="F2556" s="29" t="s">
        <v>282</v>
      </c>
      <c r="G2556" s="25" t="s">
        <v>4302</v>
      </c>
      <c r="H2556" s="26">
        <v>-2.67610216E-2</v>
      </c>
      <c r="I2556" s="26"/>
      <c r="J2556" s="26" t="s">
        <v>521</v>
      </c>
      <c r="K2556" s="25" t="s">
        <v>513</v>
      </c>
    </row>
    <row r="2557" spans="1:11" ht="25.5" x14ac:dyDescent="0.25">
      <c r="A2557" s="22">
        <v>2026</v>
      </c>
      <c r="B2557" s="28" t="s">
        <v>192</v>
      </c>
      <c r="C2557" s="28" t="s">
        <v>97</v>
      </c>
      <c r="D2557" s="28" t="s">
        <v>1722</v>
      </c>
      <c r="E2557" s="29" t="s">
        <v>640</v>
      </c>
      <c r="F2557" s="29" t="s">
        <v>282</v>
      </c>
      <c r="G2557" s="25" t="s">
        <v>4303</v>
      </c>
      <c r="H2557" s="26">
        <v>-3.3036557699999997E-2</v>
      </c>
      <c r="I2557" s="26"/>
      <c r="J2557" s="26" t="s">
        <v>521</v>
      </c>
      <c r="K2557" s="25" t="s">
        <v>513</v>
      </c>
    </row>
    <row r="2558" spans="1:11" ht="25.5" x14ac:dyDescent="0.25">
      <c r="A2558" s="22">
        <v>2026</v>
      </c>
      <c r="B2558" s="28" t="s">
        <v>192</v>
      </c>
      <c r="C2558" s="28" t="s">
        <v>97</v>
      </c>
      <c r="D2558" s="28" t="s">
        <v>1723</v>
      </c>
      <c r="E2558" s="29" t="s">
        <v>437</v>
      </c>
      <c r="F2558" s="29" t="s">
        <v>374</v>
      </c>
      <c r="G2558" s="25" t="s">
        <v>4304</v>
      </c>
      <c r="H2558" s="26">
        <v>-0.25409026880000002</v>
      </c>
      <c r="I2558" s="26"/>
      <c r="J2558" s="26" t="s">
        <v>521</v>
      </c>
      <c r="K2558" s="25" t="s">
        <v>513</v>
      </c>
    </row>
    <row r="2559" spans="1:11" ht="25.5" x14ac:dyDescent="0.25">
      <c r="A2559" s="22">
        <v>2026</v>
      </c>
      <c r="B2559" s="28" t="s">
        <v>192</v>
      </c>
      <c r="C2559" s="28" t="s">
        <v>97</v>
      </c>
      <c r="D2559" s="28" t="s">
        <v>1723</v>
      </c>
      <c r="E2559" s="29" t="s">
        <v>437</v>
      </c>
      <c r="F2559" s="29" t="s">
        <v>374</v>
      </c>
      <c r="G2559" s="25" t="s">
        <v>4305</v>
      </c>
      <c r="H2559" s="26">
        <v>-0.26536999999999999</v>
      </c>
      <c r="I2559" s="26"/>
      <c r="J2559" s="26" t="s">
        <v>521</v>
      </c>
      <c r="K2559" s="25" t="s">
        <v>513</v>
      </c>
    </row>
    <row r="2560" spans="1:11" ht="25.5" x14ac:dyDescent="0.25">
      <c r="A2560" s="22">
        <v>2026</v>
      </c>
      <c r="B2560" s="28" t="s">
        <v>192</v>
      </c>
      <c r="C2560" s="28" t="s">
        <v>97</v>
      </c>
      <c r="D2560" s="28" t="s">
        <v>1723</v>
      </c>
      <c r="E2560" s="29" t="s">
        <v>437</v>
      </c>
      <c r="F2560" s="29" t="s">
        <v>374</v>
      </c>
      <c r="G2560" s="25" t="s">
        <v>4306</v>
      </c>
      <c r="H2560" s="26">
        <v>-1.5062000000000001E-2</v>
      </c>
      <c r="I2560" s="26"/>
      <c r="J2560" s="26" t="s">
        <v>521</v>
      </c>
      <c r="K2560" s="25" t="s">
        <v>513</v>
      </c>
    </row>
    <row r="2561" spans="1:11" ht="25.5" x14ac:dyDescent="0.25">
      <c r="A2561" s="22">
        <v>2026</v>
      </c>
      <c r="B2561" s="28" t="s">
        <v>192</v>
      </c>
      <c r="C2561" s="28" t="s">
        <v>97</v>
      </c>
      <c r="D2561" s="28" t="s">
        <v>1723</v>
      </c>
      <c r="E2561" s="29" t="s">
        <v>437</v>
      </c>
      <c r="F2561" s="29" t="s">
        <v>374</v>
      </c>
      <c r="G2561" s="25" t="s">
        <v>4307</v>
      </c>
      <c r="H2561" s="26">
        <v>-0.27845916000000004</v>
      </c>
      <c r="I2561" s="26"/>
      <c r="J2561" s="26" t="s">
        <v>521</v>
      </c>
      <c r="K2561" s="25" t="s">
        <v>513</v>
      </c>
    </row>
    <row r="2562" spans="1:11" ht="25.5" x14ac:dyDescent="0.25">
      <c r="A2562" s="22">
        <v>2026</v>
      </c>
      <c r="B2562" s="28" t="s">
        <v>192</v>
      </c>
      <c r="C2562" s="28" t="s">
        <v>97</v>
      </c>
      <c r="D2562" s="28" t="s">
        <v>1723</v>
      </c>
      <c r="E2562" s="29" t="s">
        <v>437</v>
      </c>
      <c r="F2562" s="29" t="s">
        <v>374</v>
      </c>
      <c r="G2562" s="25" t="s">
        <v>4308</v>
      </c>
      <c r="H2562" s="26">
        <v>-0.2637712224</v>
      </c>
      <c r="I2562" s="26"/>
      <c r="J2562" s="26" t="s">
        <v>521</v>
      </c>
      <c r="K2562" s="25" t="s">
        <v>513</v>
      </c>
    </row>
    <row r="2563" spans="1:11" ht="25.5" x14ac:dyDescent="0.25">
      <c r="A2563" s="22">
        <v>2026</v>
      </c>
      <c r="B2563" s="28" t="s">
        <v>192</v>
      </c>
      <c r="C2563" s="28" t="s">
        <v>97</v>
      </c>
      <c r="D2563" s="28" t="s">
        <v>1723</v>
      </c>
      <c r="E2563" s="29" t="s">
        <v>437</v>
      </c>
      <c r="F2563" s="29" t="s">
        <v>374</v>
      </c>
      <c r="G2563" s="25" t="s">
        <v>4309</v>
      </c>
      <c r="H2563" s="26">
        <v>-0.29171741499999998</v>
      </c>
      <c r="I2563" s="26"/>
      <c r="J2563" s="26" t="s">
        <v>521</v>
      </c>
      <c r="K2563" s="25" t="s">
        <v>513</v>
      </c>
    </row>
    <row r="2564" spans="1:11" ht="25.5" x14ac:dyDescent="0.25">
      <c r="A2564" s="22">
        <v>2026</v>
      </c>
      <c r="B2564" s="28" t="s">
        <v>192</v>
      </c>
      <c r="C2564" s="28" t="s">
        <v>97</v>
      </c>
      <c r="D2564" s="28" t="s">
        <v>1723</v>
      </c>
      <c r="E2564" s="29" t="s">
        <v>437</v>
      </c>
      <c r="F2564" s="29" t="s">
        <v>374</v>
      </c>
      <c r="G2564" s="25" t="s">
        <v>4310</v>
      </c>
      <c r="H2564" s="26">
        <v>-0.22857024540000001</v>
      </c>
      <c r="I2564" s="26"/>
      <c r="J2564" s="26" t="s">
        <v>521</v>
      </c>
      <c r="K2564" s="25" t="s">
        <v>513</v>
      </c>
    </row>
    <row r="2565" spans="1:11" ht="25.5" x14ac:dyDescent="0.25">
      <c r="A2565" s="22">
        <v>2026</v>
      </c>
      <c r="B2565" s="28" t="s">
        <v>192</v>
      </c>
      <c r="C2565" s="28" t="s">
        <v>97</v>
      </c>
      <c r="D2565" s="28" t="s">
        <v>1723</v>
      </c>
      <c r="E2565" s="29" t="s">
        <v>437</v>
      </c>
      <c r="F2565" s="29" t="s">
        <v>374</v>
      </c>
      <c r="G2565" s="25" t="s">
        <v>4311</v>
      </c>
      <c r="H2565" s="26">
        <v>-3.9836363999999997E-3</v>
      </c>
      <c r="I2565" s="26"/>
      <c r="J2565" s="26" t="s">
        <v>521</v>
      </c>
      <c r="K2565" s="25" t="s">
        <v>513</v>
      </c>
    </row>
    <row r="2566" spans="1:11" ht="25.5" x14ac:dyDescent="0.25">
      <c r="A2566" s="22">
        <v>2026</v>
      </c>
      <c r="B2566" s="28" t="s">
        <v>192</v>
      </c>
      <c r="C2566" s="28" t="s">
        <v>97</v>
      </c>
      <c r="D2566" s="28" t="s">
        <v>1723</v>
      </c>
      <c r="E2566" s="29" t="s">
        <v>437</v>
      </c>
      <c r="F2566" s="29" t="s">
        <v>374</v>
      </c>
      <c r="G2566" s="25" t="s">
        <v>4312</v>
      </c>
      <c r="H2566" s="26">
        <v>-0.13753616640000002</v>
      </c>
      <c r="I2566" s="26"/>
      <c r="J2566" s="26" t="s">
        <v>521</v>
      </c>
      <c r="K2566" s="25" t="s">
        <v>513</v>
      </c>
    </row>
    <row r="2567" spans="1:11" ht="25.5" x14ac:dyDescent="0.25">
      <c r="A2567" s="22">
        <v>2026</v>
      </c>
      <c r="B2567" s="28" t="s">
        <v>192</v>
      </c>
      <c r="C2567" s="28" t="s">
        <v>97</v>
      </c>
      <c r="D2567" s="28" t="s">
        <v>1723</v>
      </c>
      <c r="E2567" s="29" t="s">
        <v>437</v>
      </c>
      <c r="F2567" s="29" t="s">
        <v>374</v>
      </c>
      <c r="G2567" s="25" t="s">
        <v>4313</v>
      </c>
      <c r="H2567" s="26">
        <v>-0.15169104899999999</v>
      </c>
      <c r="I2567" s="26"/>
      <c r="J2567" s="26" t="s">
        <v>521</v>
      </c>
      <c r="K2567" s="25" t="s">
        <v>513</v>
      </c>
    </row>
    <row r="2568" spans="1:11" ht="25.5" x14ac:dyDescent="0.25">
      <c r="A2568" s="22">
        <v>2026</v>
      </c>
      <c r="B2568" s="28" t="s">
        <v>192</v>
      </c>
      <c r="C2568" s="28" t="s">
        <v>97</v>
      </c>
      <c r="D2568" s="28" t="s">
        <v>1723</v>
      </c>
      <c r="E2568" s="29" t="s">
        <v>437</v>
      </c>
      <c r="F2568" s="29" t="s">
        <v>374</v>
      </c>
      <c r="G2568" s="25" t="s">
        <v>4314</v>
      </c>
      <c r="H2568" s="26">
        <v>-2.608632E-2</v>
      </c>
      <c r="I2568" s="26"/>
      <c r="J2568" s="26" t="s">
        <v>521</v>
      </c>
      <c r="K2568" s="25" t="s">
        <v>513</v>
      </c>
    </row>
    <row r="2569" spans="1:11" ht="25.5" x14ac:dyDescent="0.25">
      <c r="A2569" s="22">
        <v>2026</v>
      </c>
      <c r="B2569" s="28" t="s">
        <v>192</v>
      </c>
      <c r="C2569" s="28" t="s">
        <v>97</v>
      </c>
      <c r="D2569" s="28" t="s">
        <v>1723</v>
      </c>
      <c r="E2569" s="29" t="s">
        <v>437</v>
      </c>
      <c r="F2569" s="29" t="s">
        <v>374</v>
      </c>
      <c r="G2569" s="25" t="s">
        <v>4315</v>
      </c>
      <c r="H2569" s="26">
        <v>-0.36567628559999998</v>
      </c>
      <c r="I2569" s="26"/>
      <c r="J2569" s="26" t="s">
        <v>521</v>
      </c>
      <c r="K2569" s="25" t="s">
        <v>513</v>
      </c>
    </row>
    <row r="2570" spans="1:11" ht="25.5" x14ac:dyDescent="0.25">
      <c r="A2570" s="22">
        <v>2026</v>
      </c>
      <c r="B2570" s="28" t="s">
        <v>192</v>
      </c>
      <c r="C2570" s="28" t="s">
        <v>97</v>
      </c>
      <c r="D2570" s="28" t="s">
        <v>1723</v>
      </c>
      <c r="E2570" s="29" t="s">
        <v>437</v>
      </c>
      <c r="F2570" s="29" t="s">
        <v>374</v>
      </c>
      <c r="G2570" s="25" t="s">
        <v>4316</v>
      </c>
      <c r="H2570" s="26">
        <v>-0.38682697379999997</v>
      </c>
      <c r="I2570" s="26"/>
      <c r="J2570" s="26" t="s">
        <v>521</v>
      </c>
      <c r="K2570" s="25" t="s">
        <v>513</v>
      </c>
    </row>
    <row r="2571" spans="1:11" ht="25.5" x14ac:dyDescent="0.25">
      <c r="A2571" s="22">
        <v>2026</v>
      </c>
      <c r="B2571" s="28" t="s">
        <v>192</v>
      </c>
      <c r="C2571" s="28" t="s">
        <v>97</v>
      </c>
      <c r="D2571" s="28" t="s">
        <v>1723</v>
      </c>
      <c r="E2571" s="29" t="s">
        <v>437</v>
      </c>
      <c r="F2571" s="29" t="s">
        <v>374</v>
      </c>
      <c r="G2571" s="25" t="s">
        <v>4317</v>
      </c>
      <c r="H2571" s="26">
        <v>-0.29732115480000004</v>
      </c>
      <c r="I2571" s="26"/>
      <c r="J2571" s="26" t="s">
        <v>521</v>
      </c>
      <c r="K2571" s="25" t="s">
        <v>513</v>
      </c>
    </row>
    <row r="2572" spans="1:11" ht="25.5" x14ac:dyDescent="0.25">
      <c r="A2572" s="22">
        <v>2026</v>
      </c>
      <c r="B2572" s="28" t="s">
        <v>192</v>
      </c>
      <c r="C2572" s="28" t="s">
        <v>97</v>
      </c>
      <c r="D2572" s="28" t="s">
        <v>1723</v>
      </c>
      <c r="E2572" s="29" t="s">
        <v>437</v>
      </c>
      <c r="F2572" s="29" t="s">
        <v>374</v>
      </c>
      <c r="G2572" s="25" t="s">
        <v>4318</v>
      </c>
      <c r="H2572" s="26">
        <v>-0.16618955639999999</v>
      </c>
      <c r="I2572" s="26"/>
      <c r="J2572" s="26" t="s">
        <v>521</v>
      </c>
      <c r="K2572" s="25" t="s">
        <v>513</v>
      </c>
    </row>
    <row r="2573" spans="1:11" ht="25.5" x14ac:dyDescent="0.25">
      <c r="A2573" s="22">
        <v>2026</v>
      </c>
      <c r="B2573" s="28" t="s">
        <v>192</v>
      </c>
      <c r="C2573" s="28" t="s">
        <v>97</v>
      </c>
      <c r="D2573" s="28" t="s">
        <v>1723</v>
      </c>
      <c r="E2573" s="29" t="s">
        <v>437</v>
      </c>
      <c r="F2573" s="29" t="s">
        <v>374</v>
      </c>
      <c r="G2573" s="25" t="s">
        <v>4319</v>
      </c>
      <c r="H2573" s="26">
        <v>-0.39605116959999997</v>
      </c>
      <c r="I2573" s="26"/>
      <c r="J2573" s="26" t="s">
        <v>521</v>
      </c>
      <c r="K2573" s="25" t="s">
        <v>513</v>
      </c>
    </row>
    <row r="2574" spans="1:11" ht="25.5" x14ac:dyDescent="0.25">
      <c r="A2574" s="22">
        <v>2026</v>
      </c>
      <c r="B2574" s="28" t="s">
        <v>192</v>
      </c>
      <c r="C2574" s="28" t="s">
        <v>97</v>
      </c>
      <c r="D2574" s="28" t="s">
        <v>1723</v>
      </c>
      <c r="E2574" s="29" t="s">
        <v>437</v>
      </c>
      <c r="F2574" s="29" t="s">
        <v>374</v>
      </c>
      <c r="G2574" s="25" t="s">
        <v>4320</v>
      </c>
      <c r="H2574" s="26">
        <v>-0.31599540000000004</v>
      </c>
      <c r="I2574" s="26"/>
      <c r="J2574" s="26" t="s">
        <v>521</v>
      </c>
      <c r="K2574" s="25" t="s">
        <v>513</v>
      </c>
    </row>
    <row r="2575" spans="1:11" ht="25.5" x14ac:dyDescent="0.25">
      <c r="A2575" s="22">
        <v>2026</v>
      </c>
      <c r="B2575" s="28" t="s">
        <v>192</v>
      </c>
      <c r="C2575" s="28" t="s">
        <v>97</v>
      </c>
      <c r="D2575" s="28" t="s">
        <v>1723</v>
      </c>
      <c r="E2575" s="29" t="s">
        <v>437</v>
      </c>
      <c r="F2575" s="29" t="s">
        <v>374</v>
      </c>
      <c r="G2575" s="25" t="s">
        <v>4321</v>
      </c>
      <c r="H2575" s="26">
        <v>-0.3671592722</v>
      </c>
      <c r="I2575" s="26"/>
      <c r="J2575" s="26" t="s">
        <v>521</v>
      </c>
      <c r="K2575" s="25" t="s">
        <v>513</v>
      </c>
    </row>
    <row r="2576" spans="1:11" ht="25.5" x14ac:dyDescent="0.25">
      <c r="A2576" s="22">
        <v>2026</v>
      </c>
      <c r="B2576" s="28" t="s">
        <v>192</v>
      </c>
      <c r="C2576" s="28" t="s">
        <v>97</v>
      </c>
      <c r="D2576" s="28" t="s">
        <v>1724</v>
      </c>
      <c r="E2576" s="29" t="s">
        <v>1769</v>
      </c>
      <c r="F2576" s="29" t="s">
        <v>282</v>
      </c>
      <c r="G2576" s="25" t="s">
        <v>4322</v>
      </c>
      <c r="H2576" s="26">
        <v>-0.13648242515356551</v>
      </c>
      <c r="I2576" s="26"/>
      <c r="J2576" s="26" t="s">
        <v>1770</v>
      </c>
      <c r="K2576" s="25" t="s">
        <v>1771</v>
      </c>
    </row>
    <row r="2577" spans="1:11" ht="25.5" x14ac:dyDescent="0.25">
      <c r="A2577" s="22">
        <v>2026</v>
      </c>
      <c r="B2577" s="28" t="s">
        <v>192</v>
      </c>
      <c r="C2577" s="28" t="s">
        <v>97</v>
      </c>
      <c r="D2577" s="28" t="s">
        <v>1724</v>
      </c>
      <c r="E2577" s="29" t="s">
        <v>1769</v>
      </c>
      <c r="F2577" s="29" t="s">
        <v>282</v>
      </c>
      <c r="G2577" s="25" t="s">
        <v>4323</v>
      </c>
      <c r="H2577" s="26">
        <v>-0.23341637099499793</v>
      </c>
      <c r="I2577" s="26"/>
      <c r="J2577" s="26" t="s">
        <v>1770</v>
      </c>
      <c r="K2577" s="25" t="s">
        <v>1771</v>
      </c>
    </row>
    <row r="2578" spans="1:11" ht="25.5" x14ac:dyDescent="0.25">
      <c r="A2578" s="22">
        <v>2026</v>
      </c>
      <c r="B2578" s="28" t="s">
        <v>192</v>
      </c>
      <c r="C2578" s="28" t="s">
        <v>97</v>
      </c>
      <c r="D2578" s="28" t="s">
        <v>1724</v>
      </c>
      <c r="E2578" s="29" t="s">
        <v>1769</v>
      </c>
      <c r="F2578" s="29" t="s">
        <v>282</v>
      </c>
      <c r="G2578" s="25" t="s">
        <v>4324</v>
      </c>
      <c r="H2578" s="26">
        <v>-0.2309207244140089</v>
      </c>
      <c r="I2578" s="26"/>
      <c r="J2578" s="26" t="s">
        <v>1770</v>
      </c>
      <c r="K2578" s="25" t="s">
        <v>1771</v>
      </c>
    </row>
    <row r="2579" spans="1:11" ht="25.5" x14ac:dyDescent="0.25">
      <c r="A2579" s="22">
        <v>2026</v>
      </c>
      <c r="B2579" s="28" t="s">
        <v>192</v>
      </c>
      <c r="C2579" s="28" t="s">
        <v>97</v>
      </c>
      <c r="D2579" s="28" t="s">
        <v>1724</v>
      </c>
      <c r="E2579" s="29" t="s">
        <v>1769</v>
      </c>
      <c r="F2579" s="29" t="s">
        <v>282</v>
      </c>
      <c r="G2579" s="25" t="s">
        <v>4325</v>
      </c>
      <c r="H2579" s="26">
        <v>-0.20807221608177809</v>
      </c>
      <c r="I2579" s="26"/>
      <c r="J2579" s="26" t="s">
        <v>1770</v>
      </c>
      <c r="K2579" s="25" t="s">
        <v>1771</v>
      </c>
    </row>
    <row r="2580" spans="1:11" ht="25.5" x14ac:dyDescent="0.25">
      <c r="A2580" s="22">
        <v>2026</v>
      </c>
      <c r="B2580" s="28" t="s">
        <v>192</v>
      </c>
      <c r="C2580" s="28" t="s">
        <v>97</v>
      </c>
      <c r="D2580" s="28" t="s">
        <v>1724</v>
      </c>
      <c r="E2580" s="29" t="s">
        <v>1769</v>
      </c>
      <c r="F2580" s="29" t="s">
        <v>282</v>
      </c>
      <c r="G2580" s="25" t="s">
        <v>4326</v>
      </c>
      <c r="H2580" s="26">
        <v>-0.18935513330726242</v>
      </c>
      <c r="I2580" s="26"/>
      <c r="J2580" s="26" t="s">
        <v>1770</v>
      </c>
      <c r="K2580" s="25" t="s">
        <v>1771</v>
      </c>
    </row>
    <row r="2581" spans="1:11" ht="25.5" x14ac:dyDescent="0.25">
      <c r="A2581" s="22">
        <v>2026</v>
      </c>
      <c r="B2581" s="28" t="s">
        <v>192</v>
      </c>
      <c r="C2581" s="28" t="s">
        <v>97</v>
      </c>
      <c r="D2581" s="28" t="s">
        <v>1724</v>
      </c>
      <c r="E2581" s="29" t="s">
        <v>1769</v>
      </c>
      <c r="F2581" s="29" t="s">
        <v>282</v>
      </c>
      <c r="G2581" s="25" t="s">
        <v>4327</v>
      </c>
      <c r="H2581" s="26">
        <v>-0.25624145318963659</v>
      </c>
      <c r="I2581" s="26"/>
      <c r="J2581" s="26" t="s">
        <v>1770</v>
      </c>
      <c r="K2581" s="25" t="s">
        <v>1771</v>
      </c>
    </row>
    <row r="2582" spans="1:11" ht="25.5" x14ac:dyDescent="0.25">
      <c r="A2582" s="22">
        <v>2026</v>
      </c>
      <c r="B2582" s="28" t="s">
        <v>192</v>
      </c>
      <c r="C2582" s="28" t="s">
        <v>97</v>
      </c>
      <c r="D2582" s="28" t="s">
        <v>1724</v>
      </c>
      <c r="E2582" s="29" t="s">
        <v>1769</v>
      </c>
      <c r="F2582" s="29" t="s">
        <v>282</v>
      </c>
      <c r="G2582" s="25" t="s">
        <v>4328</v>
      </c>
      <c r="H2582" s="26">
        <v>-0.27747662237892473</v>
      </c>
      <c r="I2582" s="26"/>
      <c r="J2582" s="26" t="s">
        <v>1770</v>
      </c>
      <c r="K2582" s="25" t="s">
        <v>1771</v>
      </c>
    </row>
    <row r="2583" spans="1:11" ht="25.5" x14ac:dyDescent="0.25">
      <c r="A2583" s="22">
        <v>2026</v>
      </c>
      <c r="B2583" s="28" t="s">
        <v>192</v>
      </c>
      <c r="C2583" s="28" t="s">
        <v>97</v>
      </c>
      <c r="D2583" s="28" t="s">
        <v>1724</v>
      </c>
      <c r="E2583" s="29" t="s">
        <v>1769</v>
      </c>
      <c r="F2583" s="29" t="s">
        <v>282</v>
      </c>
      <c r="G2583" s="25" t="s">
        <v>4329</v>
      </c>
      <c r="H2583" s="26">
        <v>-0.22044034645833208</v>
      </c>
      <c r="I2583" s="26"/>
      <c r="J2583" s="26" t="s">
        <v>1770</v>
      </c>
      <c r="K2583" s="25" t="s">
        <v>1771</v>
      </c>
    </row>
    <row r="2584" spans="1:11" ht="25.5" x14ac:dyDescent="0.25">
      <c r="A2584" s="22">
        <v>2026</v>
      </c>
      <c r="B2584" s="28" t="s">
        <v>192</v>
      </c>
      <c r="C2584" s="28" t="s">
        <v>97</v>
      </c>
      <c r="D2584" s="28" t="s">
        <v>1724</v>
      </c>
      <c r="E2584" s="29" t="s">
        <v>1769</v>
      </c>
      <c r="F2584" s="29" t="s">
        <v>282</v>
      </c>
      <c r="G2584" s="25" t="s">
        <v>4330</v>
      </c>
      <c r="H2584" s="26">
        <v>-0.27368191151911481</v>
      </c>
      <c r="I2584" s="26"/>
      <c r="J2584" s="26" t="s">
        <v>1770</v>
      </c>
      <c r="K2584" s="25" t="s">
        <v>1771</v>
      </c>
    </row>
    <row r="2585" spans="1:11" ht="25.5" x14ac:dyDescent="0.25">
      <c r="A2585" s="22">
        <v>2026</v>
      </c>
      <c r="B2585" s="28" t="s">
        <v>192</v>
      </c>
      <c r="C2585" s="28" t="s">
        <v>97</v>
      </c>
      <c r="D2585" s="28" t="s">
        <v>1724</v>
      </c>
      <c r="E2585" s="29" t="s">
        <v>1769</v>
      </c>
      <c r="F2585" s="29" t="s">
        <v>282</v>
      </c>
      <c r="G2585" s="25" t="s">
        <v>4331</v>
      </c>
      <c r="H2585" s="26">
        <v>-0.27218442011263488</v>
      </c>
      <c r="I2585" s="26"/>
      <c r="J2585" s="26" t="s">
        <v>1770</v>
      </c>
      <c r="K2585" s="25" t="s">
        <v>1771</v>
      </c>
    </row>
    <row r="2586" spans="1:11" ht="25.5" x14ac:dyDescent="0.25">
      <c r="A2586" s="22">
        <v>2026</v>
      </c>
      <c r="B2586" s="28" t="s">
        <v>192</v>
      </c>
      <c r="C2586" s="28" t="s">
        <v>97</v>
      </c>
      <c r="D2586" s="28" t="s">
        <v>1724</v>
      </c>
      <c r="E2586" s="29" t="s">
        <v>1769</v>
      </c>
      <c r="F2586" s="29" t="s">
        <v>282</v>
      </c>
      <c r="G2586" s="25" t="s">
        <v>4332</v>
      </c>
      <c r="H2586" s="26">
        <v>-0.35442345069695447</v>
      </c>
      <c r="I2586" s="26"/>
      <c r="J2586" s="26" t="s">
        <v>1770</v>
      </c>
      <c r="K2586" s="25" t="s">
        <v>1771</v>
      </c>
    </row>
    <row r="2587" spans="1:11" ht="25.5" x14ac:dyDescent="0.25">
      <c r="A2587" s="22">
        <v>2026</v>
      </c>
      <c r="B2587" s="28" t="s">
        <v>192</v>
      </c>
      <c r="C2587" s="28" t="s">
        <v>97</v>
      </c>
      <c r="D2587" s="28" t="s">
        <v>1724</v>
      </c>
      <c r="E2587" s="29" t="s">
        <v>1769</v>
      </c>
      <c r="F2587" s="29" t="s">
        <v>282</v>
      </c>
      <c r="G2587" s="25" t="s">
        <v>4333</v>
      </c>
      <c r="H2587" s="26">
        <v>-0.34447107053628573</v>
      </c>
      <c r="I2587" s="26"/>
      <c r="J2587" s="26" t="s">
        <v>1770</v>
      </c>
      <c r="K2587" s="25" t="s">
        <v>1771</v>
      </c>
    </row>
    <row r="2588" spans="1:11" ht="25.5" x14ac:dyDescent="0.25">
      <c r="A2588" s="22">
        <v>2026</v>
      </c>
      <c r="B2588" s="28" t="s">
        <v>192</v>
      </c>
      <c r="C2588" s="28" t="s">
        <v>97</v>
      </c>
      <c r="D2588" s="28" t="s">
        <v>1724</v>
      </c>
      <c r="E2588" s="29" t="s">
        <v>1769</v>
      </c>
      <c r="F2588" s="29" t="s">
        <v>282</v>
      </c>
      <c r="G2588" s="25" t="s">
        <v>4334</v>
      </c>
      <c r="H2588" s="26">
        <v>-0.20504078902270506</v>
      </c>
      <c r="I2588" s="26"/>
      <c r="J2588" s="26" t="s">
        <v>1770</v>
      </c>
      <c r="K2588" s="25" t="s">
        <v>1771</v>
      </c>
    </row>
    <row r="2589" spans="1:11" ht="25.5" x14ac:dyDescent="0.25">
      <c r="A2589" s="22">
        <v>2026</v>
      </c>
      <c r="B2589" s="28" t="s">
        <v>192</v>
      </c>
      <c r="C2589" s="28" t="s">
        <v>97</v>
      </c>
      <c r="D2589" s="28" t="s">
        <v>1724</v>
      </c>
      <c r="E2589" s="29" t="s">
        <v>1769</v>
      </c>
      <c r="F2589" s="29" t="s">
        <v>282</v>
      </c>
      <c r="G2589" s="25" t="s">
        <v>4335</v>
      </c>
      <c r="H2589" s="26">
        <v>-0.23935605268270599</v>
      </c>
      <c r="I2589" s="26"/>
      <c r="J2589" s="26" t="s">
        <v>1770</v>
      </c>
      <c r="K2589" s="25" t="s">
        <v>1771</v>
      </c>
    </row>
    <row r="2590" spans="1:11" ht="25.5" x14ac:dyDescent="0.25">
      <c r="A2590" s="22">
        <v>2026</v>
      </c>
      <c r="B2590" s="28" t="s">
        <v>192</v>
      </c>
      <c r="C2590" s="28" t="s">
        <v>97</v>
      </c>
      <c r="D2590" s="28" t="s">
        <v>1724</v>
      </c>
      <c r="E2590" s="29" t="s">
        <v>1769</v>
      </c>
      <c r="F2590" s="29" t="s">
        <v>282</v>
      </c>
      <c r="G2590" s="25" t="s">
        <v>4336</v>
      </c>
      <c r="H2590" s="26">
        <v>-0.37061842088830244</v>
      </c>
      <c r="I2590" s="26"/>
      <c r="J2590" s="26" t="s">
        <v>1770</v>
      </c>
      <c r="K2590" s="25" t="s">
        <v>1771</v>
      </c>
    </row>
    <row r="2591" spans="1:11" ht="25.5" x14ac:dyDescent="0.25">
      <c r="A2591" s="22">
        <v>2026</v>
      </c>
      <c r="B2591" s="28" t="s">
        <v>192</v>
      </c>
      <c r="C2591" s="28" t="s">
        <v>97</v>
      </c>
      <c r="D2591" s="28" t="s">
        <v>1724</v>
      </c>
      <c r="E2591" s="29" t="s">
        <v>1769</v>
      </c>
      <c r="F2591" s="29" t="s">
        <v>282</v>
      </c>
      <c r="G2591" s="25" t="s">
        <v>4337</v>
      </c>
      <c r="H2591" s="26">
        <v>-0.36161714274816248</v>
      </c>
      <c r="I2591" s="26"/>
      <c r="J2591" s="26" t="s">
        <v>1770</v>
      </c>
      <c r="K2591" s="25" t="s">
        <v>1771</v>
      </c>
    </row>
    <row r="2592" spans="1:11" ht="25.5" x14ac:dyDescent="0.25">
      <c r="A2592" s="22">
        <v>2026</v>
      </c>
      <c r="B2592" s="28" t="s">
        <v>192</v>
      </c>
      <c r="C2592" s="28" t="s">
        <v>97</v>
      </c>
      <c r="D2592" s="28" t="s">
        <v>1724</v>
      </c>
      <c r="E2592" s="29" t="s">
        <v>1769</v>
      </c>
      <c r="F2592" s="29" t="s">
        <v>282</v>
      </c>
      <c r="G2592" s="25" t="s">
        <v>4338</v>
      </c>
      <c r="H2592" s="26">
        <v>-0.38030844132706609</v>
      </c>
      <c r="I2592" s="26"/>
      <c r="J2592" s="26" t="s">
        <v>1770</v>
      </c>
      <c r="K2592" s="25" t="s">
        <v>1771</v>
      </c>
    </row>
    <row r="2593" spans="1:11" ht="25.5" x14ac:dyDescent="0.25">
      <c r="A2593" s="22">
        <v>2026</v>
      </c>
      <c r="B2593" s="28" t="s">
        <v>192</v>
      </c>
      <c r="C2593" s="28" t="s">
        <v>97</v>
      </c>
      <c r="D2593" s="28" t="s">
        <v>1724</v>
      </c>
      <c r="E2593" s="29" t="s">
        <v>1769</v>
      </c>
      <c r="F2593" s="29" t="s">
        <v>282</v>
      </c>
      <c r="G2593" s="25" t="s">
        <v>4339</v>
      </c>
      <c r="H2593" s="26">
        <v>-0.39762188903616658</v>
      </c>
      <c r="I2593" s="26"/>
      <c r="J2593" s="26" t="s">
        <v>1770</v>
      </c>
      <c r="K2593" s="25" t="s">
        <v>1771</v>
      </c>
    </row>
    <row r="2594" spans="1:11" ht="25.5" x14ac:dyDescent="0.25">
      <c r="A2594" s="22">
        <v>2026</v>
      </c>
      <c r="B2594" s="28" t="s">
        <v>192</v>
      </c>
      <c r="C2594" s="28" t="s">
        <v>97</v>
      </c>
      <c r="D2594" s="28" t="s">
        <v>1724</v>
      </c>
      <c r="E2594" s="29" t="s">
        <v>1769</v>
      </c>
      <c r="F2594" s="29" t="s">
        <v>282</v>
      </c>
      <c r="G2594" s="25" t="s">
        <v>4340</v>
      </c>
      <c r="H2594" s="26">
        <v>-0.41393415415914259</v>
      </c>
      <c r="I2594" s="26"/>
      <c r="J2594" s="26" t="s">
        <v>1770</v>
      </c>
      <c r="K2594" s="25" t="s">
        <v>1771</v>
      </c>
    </row>
    <row r="2595" spans="1:11" ht="25.5" x14ac:dyDescent="0.25">
      <c r="A2595" s="22">
        <v>2026</v>
      </c>
      <c r="B2595" s="28" t="s">
        <v>192</v>
      </c>
      <c r="C2595" s="28" t="s">
        <v>97</v>
      </c>
      <c r="D2595" s="28" t="s">
        <v>1725</v>
      </c>
      <c r="E2595" s="29" t="s">
        <v>1772</v>
      </c>
      <c r="F2595" s="29" t="s">
        <v>325</v>
      </c>
      <c r="G2595" s="25" t="s">
        <v>4341</v>
      </c>
      <c r="H2595" s="26">
        <v>-5.0939999999999999E-2</v>
      </c>
      <c r="I2595" s="26"/>
      <c r="J2595" s="26" t="s">
        <v>1773</v>
      </c>
      <c r="K2595" s="25" t="s">
        <v>513</v>
      </c>
    </row>
    <row r="2596" spans="1:11" ht="25.5" x14ac:dyDescent="0.25">
      <c r="A2596" s="22">
        <v>2026</v>
      </c>
      <c r="B2596" s="28" t="s">
        <v>192</v>
      </c>
      <c r="C2596" s="28" t="s">
        <v>97</v>
      </c>
      <c r="D2596" s="28" t="s">
        <v>1725</v>
      </c>
      <c r="E2596" s="29" t="s">
        <v>1772</v>
      </c>
      <c r="F2596" s="29" t="s">
        <v>325</v>
      </c>
      <c r="G2596" s="25" t="s">
        <v>4342</v>
      </c>
      <c r="H2596" s="26">
        <v>-0.363506</v>
      </c>
      <c r="I2596" s="26"/>
      <c r="J2596" s="26" t="s">
        <v>1773</v>
      </c>
      <c r="K2596" s="25" t="s">
        <v>513</v>
      </c>
    </row>
    <row r="2597" spans="1:11" ht="25.5" x14ac:dyDescent="0.25">
      <c r="A2597" s="22">
        <v>2026</v>
      </c>
      <c r="B2597" s="28" t="s">
        <v>192</v>
      </c>
      <c r="C2597" s="28" t="s">
        <v>97</v>
      </c>
      <c r="D2597" s="28" t="s">
        <v>1725</v>
      </c>
      <c r="E2597" s="29" t="s">
        <v>1772</v>
      </c>
      <c r="F2597" s="29" t="s">
        <v>325</v>
      </c>
      <c r="G2597" s="25" t="s">
        <v>4343</v>
      </c>
      <c r="H2597" s="26">
        <v>-0.1124</v>
      </c>
      <c r="I2597" s="26"/>
      <c r="J2597" s="26" t="s">
        <v>1773</v>
      </c>
      <c r="K2597" s="25" t="s">
        <v>513</v>
      </c>
    </row>
    <row r="2598" spans="1:11" ht="25.5" x14ac:dyDescent="0.25">
      <c r="A2598" s="22">
        <v>2026</v>
      </c>
      <c r="B2598" s="28" t="s">
        <v>192</v>
      </c>
      <c r="C2598" s="28" t="s">
        <v>97</v>
      </c>
      <c r="D2598" s="28" t="s">
        <v>1725</v>
      </c>
      <c r="E2598" s="29" t="s">
        <v>1772</v>
      </c>
      <c r="F2598" s="29" t="s">
        <v>325</v>
      </c>
      <c r="G2598" s="25" t="s">
        <v>4344</v>
      </c>
      <c r="H2598" s="26">
        <v>-0.64541000000000004</v>
      </c>
      <c r="I2598" s="26"/>
      <c r="J2598" s="26" t="s">
        <v>1773</v>
      </c>
      <c r="K2598" s="25" t="s">
        <v>513</v>
      </c>
    </row>
    <row r="2599" spans="1:11" ht="25.5" x14ac:dyDescent="0.25">
      <c r="A2599" s="22">
        <v>2026</v>
      </c>
      <c r="B2599" s="28" t="s">
        <v>192</v>
      </c>
      <c r="C2599" s="28" t="s">
        <v>97</v>
      </c>
      <c r="D2599" s="28" t="s">
        <v>1725</v>
      </c>
      <c r="E2599" s="29" t="s">
        <v>1772</v>
      </c>
      <c r="F2599" s="29" t="s">
        <v>325</v>
      </c>
      <c r="G2599" s="25" t="s">
        <v>4345</v>
      </c>
      <c r="H2599" s="26">
        <v>-0.80330000000000001</v>
      </c>
      <c r="I2599" s="26"/>
      <c r="J2599" s="26" t="s">
        <v>1773</v>
      </c>
      <c r="K2599" s="25" t="s">
        <v>513</v>
      </c>
    </row>
    <row r="2600" spans="1:11" ht="25.5" x14ac:dyDescent="0.25">
      <c r="A2600" s="22">
        <v>2026</v>
      </c>
      <c r="B2600" s="28" t="s">
        <v>192</v>
      </c>
      <c r="C2600" s="28" t="s">
        <v>97</v>
      </c>
      <c r="D2600" s="28" t="s">
        <v>1725</v>
      </c>
      <c r="E2600" s="29" t="s">
        <v>1772</v>
      </c>
      <c r="F2600" s="29" t="s">
        <v>325</v>
      </c>
      <c r="G2600" s="25" t="s">
        <v>4346</v>
      </c>
      <c r="H2600" s="26">
        <v>-0.16619999999999999</v>
      </c>
      <c r="I2600" s="26"/>
      <c r="J2600" s="26" t="s">
        <v>1773</v>
      </c>
      <c r="K2600" s="25" t="s">
        <v>513</v>
      </c>
    </row>
    <row r="2601" spans="1:11" ht="25.5" x14ac:dyDescent="0.25">
      <c r="A2601" s="22">
        <v>2026</v>
      </c>
      <c r="B2601" s="28" t="s">
        <v>192</v>
      </c>
      <c r="C2601" s="28" t="s">
        <v>97</v>
      </c>
      <c r="D2601" s="28" t="s">
        <v>1725</v>
      </c>
      <c r="E2601" s="29" t="s">
        <v>1772</v>
      </c>
      <c r="F2601" s="29" t="s">
        <v>325</v>
      </c>
      <c r="G2601" s="25" t="s">
        <v>4347</v>
      </c>
      <c r="H2601" s="26">
        <v>-0.73670000000000002</v>
      </c>
      <c r="I2601" s="26"/>
      <c r="J2601" s="26" t="s">
        <v>1773</v>
      </c>
      <c r="K2601" s="25" t="s">
        <v>513</v>
      </c>
    </row>
    <row r="2602" spans="1:11" ht="25.5" x14ac:dyDescent="0.25">
      <c r="A2602" s="22">
        <v>2026</v>
      </c>
      <c r="B2602" s="28" t="s">
        <v>192</v>
      </c>
      <c r="C2602" s="28" t="s">
        <v>97</v>
      </c>
      <c r="D2602" s="28" t="s">
        <v>1725</v>
      </c>
      <c r="E2602" s="29" t="s">
        <v>1772</v>
      </c>
      <c r="F2602" s="29" t="s">
        <v>325</v>
      </c>
      <c r="G2602" s="25" t="s">
        <v>4348</v>
      </c>
      <c r="H2602" s="26">
        <v>-0.13900000000000001</v>
      </c>
      <c r="I2602" s="26"/>
      <c r="J2602" s="26" t="s">
        <v>1773</v>
      </c>
      <c r="K2602" s="25" t="s">
        <v>513</v>
      </c>
    </row>
    <row r="2603" spans="1:11" ht="25.5" x14ac:dyDescent="0.25">
      <c r="A2603" s="22">
        <v>2026</v>
      </c>
      <c r="B2603" s="28" t="s">
        <v>192</v>
      </c>
      <c r="C2603" s="28" t="s">
        <v>97</v>
      </c>
      <c r="D2603" s="28" t="s">
        <v>1725</v>
      </c>
      <c r="E2603" s="29" t="s">
        <v>1772</v>
      </c>
      <c r="F2603" s="29" t="s">
        <v>325</v>
      </c>
      <c r="G2603" s="25" t="s">
        <v>4349</v>
      </c>
      <c r="H2603" s="26">
        <v>-0.87569999999999992</v>
      </c>
      <c r="I2603" s="26"/>
      <c r="J2603" s="26" t="s">
        <v>1773</v>
      </c>
      <c r="K2603" s="25" t="s">
        <v>513</v>
      </c>
    </row>
    <row r="2604" spans="1:11" ht="25.5" x14ac:dyDescent="0.25">
      <c r="A2604" s="22">
        <v>2026</v>
      </c>
      <c r="B2604" s="28" t="s">
        <v>192</v>
      </c>
      <c r="C2604" s="28" t="s">
        <v>97</v>
      </c>
      <c r="D2604" s="28" t="s">
        <v>1725</v>
      </c>
      <c r="E2604" s="29" t="s">
        <v>1772</v>
      </c>
      <c r="F2604" s="29" t="s">
        <v>325</v>
      </c>
      <c r="G2604" s="25" t="s">
        <v>4350</v>
      </c>
      <c r="H2604" s="26">
        <v>-0.50237160000000003</v>
      </c>
      <c r="I2604" s="26"/>
      <c r="J2604" s="26" t="s">
        <v>1773</v>
      </c>
      <c r="K2604" s="25" t="s">
        <v>513</v>
      </c>
    </row>
    <row r="2605" spans="1:11" ht="25.5" x14ac:dyDescent="0.25">
      <c r="A2605" s="22">
        <v>2026</v>
      </c>
      <c r="B2605" s="28" t="s">
        <v>192</v>
      </c>
      <c r="C2605" s="28" t="s">
        <v>97</v>
      </c>
      <c r="D2605" s="28" t="s">
        <v>1725</v>
      </c>
      <c r="E2605" s="29" t="s">
        <v>1772</v>
      </c>
      <c r="F2605" s="29" t="s">
        <v>325</v>
      </c>
      <c r="G2605" s="25" t="s">
        <v>3662</v>
      </c>
      <c r="H2605" s="26">
        <v>-0.13650000000000001</v>
      </c>
      <c r="I2605" s="26"/>
      <c r="J2605" s="26" t="s">
        <v>1773</v>
      </c>
      <c r="K2605" s="25" t="s">
        <v>513</v>
      </c>
    </row>
    <row r="2606" spans="1:11" ht="25.5" x14ac:dyDescent="0.25">
      <c r="A2606" s="22">
        <v>2026</v>
      </c>
      <c r="B2606" s="28" t="s">
        <v>192</v>
      </c>
      <c r="C2606" s="28" t="s">
        <v>97</v>
      </c>
      <c r="D2606" s="28" t="s">
        <v>1725</v>
      </c>
      <c r="E2606" s="29" t="s">
        <v>1772</v>
      </c>
      <c r="F2606" s="29" t="s">
        <v>325</v>
      </c>
      <c r="G2606" s="25" t="s">
        <v>4351</v>
      </c>
      <c r="H2606" s="26">
        <v>-0.14904999999999999</v>
      </c>
      <c r="I2606" s="26"/>
      <c r="J2606" s="26" t="s">
        <v>1773</v>
      </c>
      <c r="K2606" s="25" t="s">
        <v>513</v>
      </c>
    </row>
    <row r="2607" spans="1:11" ht="25.5" x14ac:dyDescent="0.25">
      <c r="A2607" s="22">
        <v>2026</v>
      </c>
      <c r="B2607" s="28" t="s">
        <v>192</v>
      </c>
      <c r="C2607" s="28" t="s">
        <v>97</v>
      </c>
      <c r="D2607" s="28" t="s">
        <v>1725</v>
      </c>
      <c r="E2607" s="29" t="s">
        <v>1772</v>
      </c>
      <c r="F2607" s="29" t="s">
        <v>325</v>
      </c>
      <c r="G2607" s="25" t="s">
        <v>4352</v>
      </c>
      <c r="H2607" s="26">
        <v>-0.10184</v>
      </c>
      <c r="I2607" s="26"/>
      <c r="J2607" s="26" t="s">
        <v>1773</v>
      </c>
      <c r="K2607" s="25" t="s">
        <v>513</v>
      </c>
    </row>
    <row r="2608" spans="1:11" ht="25.5" x14ac:dyDescent="0.25">
      <c r="A2608" s="22">
        <v>2026</v>
      </c>
      <c r="B2608" s="28" t="s">
        <v>192</v>
      </c>
      <c r="C2608" s="28" t="s">
        <v>97</v>
      </c>
      <c r="D2608" s="28" t="s">
        <v>1725</v>
      </c>
      <c r="E2608" s="29" t="s">
        <v>1772</v>
      </c>
      <c r="F2608" s="29" t="s">
        <v>325</v>
      </c>
      <c r="G2608" s="25" t="s">
        <v>4353</v>
      </c>
      <c r="H2608" s="26">
        <v>-5.3600000000000002E-2</v>
      </c>
      <c r="I2608" s="26"/>
      <c r="J2608" s="26" t="s">
        <v>1773</v>
      </c>
      <c r="K2608" s="25" t="s">
        <v>513</v>
      </c>
    </row>
    <row r="2609" spans="1:11" ht="25.5" x14ac:dyDescent="0.25">
      <c r="A2609" s="22">
        <v>2026</v>
      </c>
      <c r="B2609" s="28" t="s">
        <v>192</v>
      </c>
      <c r="C2609" s="28" t="s">
        <v>97</v>
      </c>
      <c r="D2609" s="28" t="s">
        <v>1725</v>
      </c>
      <c r="E2609" s="29" t="s">
        <v>1772</v>
      </c>
      <c r="F2609" s="29" t="s">
        <v>325</v>
      </c>
      <c r="G2609" s="25" t="s">
        <v>4354</v>
      </c>
      <c r="H2609" s="26">
        <v>-0.11704000000000001</v>
      </c>
      <c r="I2609" s="26"/>
      <c r="J2609" s="26" t="s">
        <v>1773</v>
      </c>
      <c r="K2609" s="25" t="s">
        <v>513</v>
      </c>
    </row>
    <row r="2610" spans="1:11" ht="25.5" x14ac:dyDescent="0.25">
      <c r="A2610" s="22">
        <v>2026</v>
      </c>
      <c r="B2610" s="28" t="s">
        <v>192</v>
      </c>
      <c r="C2610" s="28" t="s">
        <v>97</v>
      </c>
      <c r="D2610" s="28" t="s">
        <v>1786</v>
      </c>
      <c r="E2610" s="29" t="s">
        <v>1772</v>
      </c>
      <c r="F2610" s="29" t="s">
        <v>325</v>
      </c>
      <c r="G2610" s="25" t="s">
        <v>4355</v>
      </c>
      <c r="H2610" s="26">
        <v>-0.14000000000000001</v>
      </c>
      <c r="I2610" s="26"/>
      <c r="J2610" s="26" t="s">
        <v>1773</v>
      </c>
      <c r="K2610" s="25" t="s">
        <v>513</v>
      </c>
    </row>
    <row r="2611" spans="1:11" ht="25.5" x14ac:dyDescent="0.25">
      <c r="A2611" s="22">
        <v>2026</v>
      </c>
      <c r="B2611" s="28" t="s">
        <v>192</v>
      </c>
      <c r="C2611" s="28" t="s">
        <v>97</v>
      </c>
      <c r="D2611" s="28" t="s">
        <v>1786</v>
      </c>
      <c r="E2611" s="29" t="s">
        <v>1772</v>
      </c>
      <c r="F2611" s="29" t="s">
        <v>325</v>
      </c>
      <c r="G2611" s="25" t="s">
        <v>4356</v>
      </c>
      <c r="H2611" s="26">
        <v>-0.15345</v>
      </c>
      <c r="I2611" s="26"/>
      <c r="J2611" s="26" t="s">
        <v>1773</v>
      </c>
      <c r="K2611" s="25" t="s">
        <v>513</v>
      </c>
    </row>
    <row r="2612" spans="1:11" ht="25.5" x14ac:dyDescent="0.25">
      <c r="A2612" s="22">
        <v>2026</v>
      </c>
      <c r="B2612" s="28" t="s">
        <v>192</v>
      </c>
      <c r="C2612" s="28" t="s">
        <v>97</v>
      </c>
      <c r="D2612" s="28" t="s">
        <v>1786</v>
      </c>
      <c r="E2612" s="29" t="s">
        <v>1772</v>
      </c>
      <c r="F2612" s="29" t="s">
        <v>325</v>
      </c>
      <c r="G2612" s="25" t="s">
        <v>4348</v>
      </c>
      <c r="H2612" s="26">
        <v>-0.13900000000000001</v>
      </c>
      <c r="I2612" s="26"/>
      <c r="J2612" s="26" t="s">
        <v>1773</v>
      </c>
      <c r="K2612" s="25" t="s">
        <v>513</v>
      </c>
    </row>
    <row r="2613" spans="1:11" ht="25.5" x14ac:dyDescent="0.25">
      <c r="A2613" s="22">
        <v>2026</v>
      </c>
      <c r="B2613" s="28" t="s">
        <v>192</v>
      </c>
      <c r="C2613" s="28" t="s">
        <v>97</v>
      </c>
      <c r="D2613" s="28" t="s">
        <v>1786</v>
      </c>
      <c r="E2613" s="29" t="s">
        <v>1772</v>
      </c>
      <c r="F2613" s="29" t="s">
        <v>325</v>
      </c>
      <c r="G2613" s="25" t="s">
        <v>4357</v>
      </c>
      <c r="H2613" s="26">
        <v>-6.9099999999999995E-2</v>
      </c>
      <c r="I2613" s="26"/>
      <c r="J2613" s="26" t="s">
        <v>1773</v>
      </c>
      <c r="K2613" s="25" t="s">
        <v>513</v>
      </c>
    </row>
    <row r="2614" spans="1:11" ht="25.5" x14ac:dyDescent="0.25">
      <c r="A2614" s="22">
        <v>2026</v>
      </c>
      <c r="B2614" s="28" t="s">
        <v>192</v>
      </c>
      <c r="C2614" s="28" t="s">
        <v>97</v>
      </c>
      <c r="D2614" s="28" t="s">
        <v>1786</v>
      </c>
      <c r="E2614" s="29" t="s">
        <v>1772</v>
      </c>
      <c r="F2614" s="29" t="s">
        <v>325</v>
      </c>
      <c r="G2614" s="25" t="s">
        <v>2772</v>
      </c>
      <c r="H2614" s="26">
        <v>-0.27900000000000003</v>
      </c>
      <c r="I2614" s="26"/>
      <c r="J2614" s="26" t="s">
        <v>1773</v>
      </c>
      <c r="K2614" s="25" t="s">
        <v>513</v>
      </c>
    </row>
    <row r="2615" spans="1:11" ht="25.5" x14ac:dyDescent="0.25">
      <c r="A2615" s="22">
        <v>2026</v>
      </c>
      <c r="B2615" s="28" t="s">
        <v>192</v>
      </c>
      <c r="C2615" s="28" t="s">
        <v>97</v>
      </c>
      <c r="D2615" s="28" t="s">
        <v>1786</v>
      </c>
      <c r="E2615" s="29" t="s">
        <v>1772</v>
      </c>
      <c r="F2615" s="29" t="s">
        <v>325</v>
      </c>
      <c r="G2615" s="25" t="s">
        <v>4358</v>
      </c>
      <c r="H2615" s="26">
        <v>-0.23544999999999999</v>
      </c>
      <c r="I2615" s="26"/>
      <c r="J2615" s="26" t="s">
        <v>1773</v>
      </c>
      <c r="K2615" s="25" t="s">
        <v>513</v>
      </c>
    </row>
    <row r="2616" spans="1:11" ht="25.5" x14ac:dyDescent="0.25">
      <c r="A2616" s="22">
        <v>2026</v>
      </c>
      <c r="B2616" s="28" t="s">
        <v>192</v>
      </c>
      <c r="C2616" s="28" t="s">
        <v>97</v>
      </c>
      <c r="D2616" s="28" t="s">
        <v>1786</v>
      </c>
      <c r="E2616" s="29" t="s">
        <v>1772</v>
      </c>
      <c r="F2616" s="29" t="s">
        <v>325</v>
      </c>
      <c r="G2616" s="25" t="s">
        <v>4359</v>
      </c>
      <c r="H2616" s="26">
        <v>-9.6599999999999991E-2</v>
      </c>
      <c r="I2616" s="26"/>
      <c r="J2616" s="26" t="s">
        <v>1773</v>
      </c>
      <c r="K2616" s="25" t="s">
        <v>513</v>
      </c>
    </row>
    <row r="2617" spans="1:11" ht="25.5" x14ac:dyDescent="0.25">
      <c r="A2617" s="22">
        <v>2026</v>
      </c>
      <c r="B2617" s="28" t="s">
        <v>192</v>
      </c>
      <c r="C2617" s="28" t="s">
        <v>97</v>
      </c>
      <c r="D2617" s="28" t="s">
        <v>1786</v>
      </c>
      <c r="E2617" s="29" t="s">
        <v>1772</v>
      </c>
      <c r="F2617" s="29" t="s">
        <v>325</v>
      </c>
      <c r="G2617" s="25" t="s">
        <v>4360</v>
      </c>
      <c r="H2617" s="26">
        <v>-0.44479999999999992</v>
      </c>
      <c r="I2617" s="26"/>
      <c r="J2617" s="26" t="s">
        <v>1773</v>
      </c>
      <c r="K2617" s="25" t="s">
        <v>513</v>
      </c>
    </row>
    <row r="2618" spans="1:11" ht="25.5" x14ac:dyDescent="0.25">
      <c r="A2618" s="22">
        <v>2026</v>
      </c>
      <c r="B2618" s="28" t="s">
        <v>192</v>
      </c>
      <c r="C2618" s="28" t="s">
        <v>97</v>
      </c>
      <c r="D2618" s="28" t="s">
        <v>1786</v>
      </c>
      <c r="E2618" s="29" t="s">
        <v>1772</v>
      </c>
      <c r="F2618" s="29" t="s">
        <v>325</v>
      </c>
      <c r="G2618" s="25" t="s">
        <v>2700</v>
      </c>
      <c r="H2618" s="26">
        <v>-5.559999999999999E-2</v>
      </c>
      <c r="I2618" s="26"/>
      <c r="J2618" s="26" t="s">
        <v>1773</v>
      </c>
      <c r="K2618" s="25" t="s">
        <v>513</v>
      </c>
    </row>
    <row r="2619" spans="1:11" ht="25.5" x14ac:dyDescent="0.25">
      <c r="A2619" s="22">
        <v>2026</v>
      </c>
      <c r="B2619" s="28" t="s">
        <v>192</v>
      </c>
      <c r="C2619" s="28" t="s">
        <v>97</v>
      </c>
      <c r="D2619" s="28" t="s">
        <v>1786</v>
      </c>
      <c r="E2619" s="29" t="s">
        <v>1772</v>
      </c>
      <c r="F2619" s="29" t="s">
        <v>325</v>
      </c>
      <c r="G2619" s="25" t="s">
        <v>4361</v>
      </c>
      <c r="H2619" s="26">
        <v>-8.1900000000000001E-2</v>
      </c>
      <c r="I2619" s="26"/>
      <c r="J2619" s="26" t="s">
        <v>1773</v>
      </c>
      <c r="K2619" s="25" t="s">
        <v>513</v>
      </c>
    </row>
    <row r="2620" spans="1:11" ht="25.5" x14ac:dyDescent="0.25">
      <c r="A2620" s="22">
        <v>2026</v>
      </c>
      <c r="B2620" s="28" t="s">
        <v>192</v>
      </c>
      <c r="C2620" s="28" t="s">
        <v>97</v>
      </c>
      <c r="D2620" s="28" t="s">
        <v>1786</v>
      </c>
      <c r="E2620" s="29" t="s">
        <v>1772</v>
      </c>
      <c r="F2620" s="29" t="s">
        <v>325</v>
      </c>
      <c r="G2620" s="25" t="s">
        <v>4362</v>
      </c>
      <c r="H2620" s="26">
        <v>-5.3999999999999999E-2</v>
      </c>
      <c r="I2620" s="26"/>
      <c r="J2620" s="26" t="s">
        <v>1773</v>
      </c>
      <c r="K2620" s="25" t="s">
        <v>513</v>
      </c>
    </row>
    <row r="2621" spans="1:11" ht="25.5" x14ac:dyDescent="0.25">
      <c r="A2621" s="22">
        <v>2026</v>
      </c>
      <c r="B2621" s="28" t="s">
        <v>192</v>
      </c>
      <c r="C2621" s="28" t="s">
        <v>97</v>
      </c>
      <c r="D2621" s="28" t="s">
        <v>272</v>
      </c>
      <c r="E2621" s="29" t="s">
        <v>500</v>
      </c>
      <c r="F2621" s="29" t="s">
        <v>284</v>
      </c>
      <c r="G2621" s="25" t="s">
        <v>4363</v>
      </c>
      <c r="H2621" s="26">
        <v>-0.44950919999999994</v>
      </c>
      <c r="I2621" s="26"/>
      <c r="J2621" s="26" t="s">
        <v>514</v>
      </c>
      <c r="K2621" s="25" t="s">
        <v>513</v>
      </c>
    </row>
    <row r="2622" spans="1:11" ht="25.5" x14ac:dyDescent="0.25">
      <c r="A2622" s="22">
        <v>2026</v>
      </c>
      <c r="B2622" s="28" t="s">
        <v>192</v>
      </c>
      <c r="C2622" s="28" t="s">
        <v>97</v>
      </c>
      <c r="D2622" s="28" t="s">
        <v>272</v>
      </c>
      <c r="E2622" s="29" t="s">
        <v>500</v>
      </c>
      <c r="F2622" s="29" t="s">
        <v>284</v>
      </c>
      <c r="G2622" s="25" t="s">
        <v>4364</v>
      </c>
      <c r="H2622" s="26">
        <v>-0.69519984000000001</v>
      </c>
      <c r="I2622" s="26"/>
      <c r="J2622" s="26" t="s">
        <v>514</v>
      </c>
      <c r="K2622" s="25" t="s">
        <v>513</v>
      </c>
    </row>
    <row r="2623" spans="1:11" ht="25.5" x14ac:dyDescent="0.25">
      <c r="A2623" s="22">
        <v>2026</v>
      </c>
      <c r="B2623" s="28" t="s">
        <v>192</v>
      </c>
      <c r="C2623" s="28" t="s">
        <v>97</v>
      </c>
      <c r="D2623" s="28" t="s">
        <v>272</v>
      </c>
      <c r="E2623" s="29" t="s">
        <v>500</v>
      </c>
      <c r="F2623" s="29" t="s">
        <v>284</v>
      </c>
      <c r="G2623" s="25" t="s">
        <v>4365</v>
      </c>
      <c r="H2623" s="26">
        <v>-0.28999999999999998</v>
      </c>
      <c r="I2623" s="26"/>
      <c r="J2623" s="26" t="s">
        <v>514</v>
      </c>
      <c r="K2623" s="25" t="s">
        <v>513</v>
      </c>
    </row>
    <row r="2624" spans="1:11" ht="25.5" x14ac:dyDescent="0.25">
      <c r="A2624" s="22">
        <v>2026</v>
      </c>
      <c r="B2624" s="28" t="s">
        <v>192</v>
      </c>
      <c r="C2624" s="28" t="s">
        <v>97</v>
      </c>
      <c r="D2624" s="28" t="s">
        <v>272</v>
      </c>
      <c r="E2624" s="29" t="s">
        <v>500</v>
      </c>
      <c r="F2624" s="29" t="s">
        <v>284</v>
      </c>
      <c r="G2624" s="25" t="s">
        <v>4366</v>
      </c>
      <c r="H2624" s="26">
        <v>-1.0117961000000002</v>
      </c>
      <c r="I2624" s="26"/>
      <c r="J2624" s="26" t="s">
        <v>514</v>
      </c>
      <c r="K2624" s="25" t="s">
        <v>513</v>
      </c>
    </row>
    <row r="2625" spans="1:11" ht="25.5" x14ac:dyDescent="0.25">
      <c r="A2625" s="22">
        <v>2026</v>
      </c>
      <c r="B2625" s="28" t="s">
        <v>192</v>
      </c>
      <c r="C2625" s="28" t="s">
        <v>97</v>
      </c>
      <c r="D2625" s="28" t="s">
        <v>272</v>
      </c>
      <c r="E2625" s="29" t="s">
        <v>500</v>
      </c>
      <c r="F2625" s="29" t="s">
        <v>284</v>
      </c>
      <c r="G2625" s="25" t="s">
        <v>4367</v>
      </c>
      <c r="H2625" s="26">
        <v>-0.86495999999999995</v>
      </c>
      <c r="I2625" s="26"/>
      <c r="J2625" s="26" t="s">
        <v>514</v>
      </c>
      <c r="K2625" s="25" t="s">
        <v>513</v>
      </c>
    </row>
    <row r="2626" spans="1:11" ht="25.5" x14ac:dyDescent="0.25">
      <c r="A2626" s="22">
        <v>2026</v>
      </c>
      <c r="B2626" s="28" t="s">
        <v>192</v>
      </c>
      <c r="C2626" s="28" t="s">
        <v>97</v>
      </c>
      <c r="D2626" s="28" t="s">
        <v>272</v>
      </c>
      <c r="E2626" s="29" t="s">
        <v>500</v>
      </c>
      <c r="F2626" s="29" t="s">
        <v>284</v>
      </c>
      <c r="G2626" s="25" t="s">
        <v>4368</v>
      </c>
      <c r="H2626" s="26">
        <v>-0.85929</v>
      </c>
      <c r="I2626" s="26"/>
      <c r="J2626" s="26" t="s">
        <v>514</v>
      </c>
      <c r="K2626" s="25" t="s">
        <v>513</v>
      </c>
    </row>
    <row r="2627" spans="1:11" ht="25.5" x14ac:dyDescent="0.25">
      <c r="A2627" s="22">
        <v>2026</v>
      </c>
      <c r="B2627" s="28" t="s">
        <v>192</v>
      </c>
      <c r="C2627" s="28" t="s">
        <v>97</v>
      </c>
      <c r="D2627" s="28" t="s">
        <v>272</v>
      </c>
      <c r="E2627" s="29" t="s">
        <v>500</v>
      </c>
      <c r="F2627" s="29" t="s">
        <v>284</v>
      </c>
      <c r="G2627" s="25" t="s">
        <v>4369</v>
      </c>
      <c r="H2627" s="26">
        <v>-0.44669999999999999</v>
      </c>
      <c r="I2627" s="26"/>
      <c r="J2627" s="26" t="s">
        <v>514</v>
      </c>
      <c r="K2627" s="25" t="s">
        <v>513</v>
      </c>
    </row>
    <row r="2628" spans="1:11" ht="25.5" x14ac:dyDescent="0.25">
      <c r="A2628" s="22">
        <v>2026</v>
      </c>
      <c r="B2628" s="28" t="s">
        <v>192</v>
      </c>
      <c r="C2628" s="28" t="s">
        <v>97</v>
      </c>
      <c r="D2628" s="28" t="s">
        <v>272</v>
      </c>
      <c r="E2628" s="29" t="s">
        <v>500</v>
      </c>
      <c r="F2628" s="29" t="s">
        <v>284</v>
      </c>
      <c r="G2628" s="25" t="s">
        <v>4370</v>
      </c>
      <c r="H2628" s="26">
        <v>-1.95028275</v>
      </c>
      <c r="I2628" s="26"/>
      <c r="J2628" s="26" t="s">
        <v>514</v>
      </c>
      <c r="K2628" s="25" t="s">
        <v>513</v>
      </c>
    </row>
    <row r="2629" spans="1:11" ht="25.5" x14ac:dyDescent="0.25">
      <c r="A2629" s="22">
        <v>2026</v>
      </c>
      <c r="B2629" s="28" t="s">
        <v>192</v>
      </c>
      <c r="C2629" s="28" t="s">
        <v>97</v>
      </c>
      <c r="D2629" s="28" t="s">
        <v>272</v>
      </c>
      <c r="E2629" s="29" t="s">
        <v>500</v>
      </c>
      <c r="F2629" s="29" t="s">
        <v>284</v>
      </c>
      <c r="G2629" s="25" t="s">
        <v>4371</v>
      </c>
      <c r="H2629" s="26">
        <v>-1.0856818019999999</v>
      </c>
      <c r="I2629" s="26"/>
      <c r="J2629" s="26" t="s">
        <v>514</v>
      </c>
      <c r="K2629" s="25" t="s">
        <v>513</v>
      </c>
    </row>
    <row r="2630" spans="1:11" ht="25.5" x14ac:dyDescent="0.25">
      <c r="A2630" s="22">
        <v>2026</v>
      </c>
      <c r="B2630" s="28" t="s">
        <v>192</v>
      </c>
      <c r="C2630" s="28" t="s">
        <v>97</v>
      </c>
      <c r="D2630" s="28" t="s">
        <v>272</v>
      </c>
      <c r="E2630" s="29" t="s">
        <v>500</v>
      </c>
      <c r="F2630" s="29" t="s">
        <v>284</v>
      </c>
      <c r="G2630" s="25" t="s">
        <v>4372</v>
      </c>
      <c r="H2630" s="26">
        <v>-0.88644000000000001</v>
      </c>
      <c r="I2630" s="26"/>
      <c r="J2630" s="26" t="s">
        <v>514</v>
      </c>
      <c r="K2630" s="25" t="s">
        <v>513</v>
      </c>
    </row>
    <row r="2631" spans="1:11" ht="25.5" x14ac:dyDescent="0.25">
      <c r="A2631" s="22">
        <v>2026</v>
      </c>
      <c r="B2631" s="28" t="s">
        <v>192</v>
      </c>
      <c r="C2631" s="28" t="s">
        <v>97</v>
      </c>
      <c r="D2631" s="28" t="s">
        <v>272</v>
      </c>
      <c r="E2631" s="29" t="s">
        <v>500</v>
      </c>
      <c r="F2631" s="29" t="s">
        <v>284</v>
      </c>
      <c r="G2631" s="25" t="s">
        <v>4373</v>
      </c>
      <c r="H2631" s="26">
        <v>-0.88891949999999997</v>
      </c>
      <c r="I2631" s="26"/>
      <c r="J2631" s="26" t="s">
        <v>514</v>
      </c>
      <c r="K2631" s="25" t="s">
        <v>513</v>
      </c>
    </row>
    <row r="2632" spans="1:11" ht="25.5" x14ac:dyDescent="0.25">
      <c r="A2632" s="22">
        <v>2026</v>
      </c>
      <c r="B2632" s="28" t="s">
        <v>192</v>
      </c>
      <c r="C2632" s="28" t="s">
        <v>97</v>
      </c>
      <c r="D2632" s="28" t="s">
        <v>272</v>
      </c>
      <c r="E2632" s="29" t="s">
        <v>500</v>
      </c>
      <c r="F2632" s="29" t="s">
        <v>284</v>
      </c>
      <c r="G2632" s="25" t="s">
        <v>4374</v>
      </c>
      <c r="H2632" s="26">
        <v>-1.0497514999999999</v>
      </c>
      <c r="I2632" s="26"/>
      <c r="J2632" s="26" t="s">
        <v>514</v>
      </c>
      <c r="K2632" s="25" t="s">
        <v>513</v>
      </c>
    </row>
    <row r="2633" spans="1:11" ht="25.5" x14ac:dyDescent="0.25">
      <c r="A2633" s="22">
        <v>2026</v>
      </c>
      <c r="B2633" s="28" t="s">
        <v>192</v>
      </c>
      <c r="C2633" s="28" t="s">
        <v>97</v>
      </c>
      <c r="D2633" s="28" t="s">
        <v>272</v>
      </c>
      <c r="E2633" s="29" t="s">
        <v>500</v>
      </c>
      <c r="F2633" s="29" t="s">
        <v>284</v>
      </c>
      <c r="G2633" s="25" t="s">
        <v>4375</v>
      </c>
      <c r="H2633" s="26">
        <v>-0.90150510000000006</v>
      </c>
      <c r="I2633" s="26"/>
      <c r="J2633" s="26" t="s">
        <v>514</v>
      </c>
      <c r="K2633" s="25" t="s">
        <v>513</v>
      </c>
    </row>
    <row r="2634" spans="1:11" ht="25.5" x14ac:dyDescent="0.25">
      <c r="A2634" s="22">
        <v>2026</v>
      </c>
      <c r="B2634" s="28" t="s">
        <v>192</v>
      </c>
      <c r="C2634" s="28" t="s">
        <v>97</v>
      </c>
      <c r="D2634" s="28" t="s">
        <v>272</v>
      </c>
      <c r="E2634" s="29" t="s">
        <v>500</v>
      </c>
      <c r="F2634" s="29" t="s">
        <v>284</v>
      </c>
      <c r="G2634" s="25" t="s">
        <v>4376</v>
      </c>
      <c r="H2634" s="26">
        <v>-0.26134761639999998</v>
      </c>
      <c r="I2634" s="26"/>
      <c r="J2634" s="26" t="s">
        <v>514</v>
      </c>
      <c r="K2634" s="25" t="s">
        <v>513</v>
      </c>
    </row>
    <row r="2635" spans="1:11" ht="25.5" x14ac:dyDescent="0.25">
      <c r="A2635" s="22">
        <v>2026</v>
      </c>
      <c r="B2635" s="28" t="s">
        <v>192</v>
      </c>
      <c r="C2635" s="28" t="s">
        <v>97</v>
      </c>
      <c r="D2635" s="28" t="s">
        <v>272</v>
      </c>
      <c r="E2635" s="29" t="s">
        <v>500</v>
      </c>
      <c r="F2635" s="29" t="s">
        <v>284</v>
      </c>
      <c r="G2635" s="25" t="s">
        <v>4377</v>
      </c>
      <c r="H2635" s="26">
        <v>-0.90300000000000002</v>
      </c>
      <c r="I2635" s="26"/>
      <c r="J2635" s="26" t="s">
        <v>514</v>
      </c>
      <c r="K2635" s="25" t="s">
        <v>513</v>
      </c>
    </row>
    <row r="2636" spans="1:11" ht="25.5" x14ac:dyDescent="0.25">
      <c r="A2636" s="22">
        <v>2026</v>
      </c>
      <c r="B2636" s="28" t="s">
        <v>192</v>
      </c>
      <c r="C2636" s="28" t="s">
        <v>97</v>
      </c>
      <c r="D2636" s="28" t="s">
        <v>272</v>
      </c>
      <c r="E2636" s="29" t="s">
        <v>500</v>
      </c>
      <c r="F2636" s="29" t="s">
        <v>284</v>
      </c>
      <c r="G2636" s="25" t="s">
        <v>4378</v>
      </c>
      <c r="H2636" s="26">
        <v>-1.1881600000000001</v>
      </c>
      <c r="I2636" s="26"/>
      <c r="J2636" s="26" t="s">
        <v>514</v>
      </c>
      <c r="K2636" s="25" t="s">
        <v>513</v>
      </c>
    </row>
    <row r="2637" spans="1:11" ht="25.5" x14ac:dyDescent="0.25">
      <c r="A2637" s="22">
        <v>2026</v>
      </c>
      <c r="B2637" s="28" t="s">
        <v>192</v>
      </c>
      <c r="C2637" s="28" t="s">
        <v>97</v>
      </c>
      <c r="D2637" s="28" t="s">
        <v>272</v>
      </c>
      <c r="E2637" s="29" t="s">
        <v>500</v>
      </c>
      <c r="F2637" s="29" t="s">
        <v>284</v>
      </c>
      <c r="G2637" s="25" t="s">
        <v>4379</v>
      </c>
      <c r="H2637" s="26">
        <v>-0.88605119999999993</v>
      </c>
      <c r="I2637" s="26"/>
      <c r="J2637" s="26" t="s">
        <v>514</v>
      </c>
      <c r="K2637" s="25" t="s">
        <v>513</v>
      </c>
    </row>
    <row r="2638" spans="1:11" ht="25.5" x14ac:dyDescent="0.25">
      <c r="A2638" s="22">
        <v>2026</v>
      </c>
      <c r="B2638" s="28" t="s">
        <v>192</v>
      </c>
      <c r="C2638" s="28" t="s">
        <v>97</v>
      </c>
      <c r="D2638" s="28" t="s">
        <v>272</v>
      </c>
      <c r="E2638" s="29" t="s">
        <v>500</v>
      </c>
      <c r="F2638" s="29" t="s">
        <v>284</v>
      </c>
      <c r="G2638" s="25" t="s">
        <v>4380</v>
      </c>
      <c r="H2638" s="26">
        <v>-0.29618059999999996</v>
      </c>
      <c r="I2638" s="26"/>
      <c r="J2638" s="26" t="s">
        <v>514</v>
      </c>
      <c r="K2638" s="25" t="s">
        <v>513</v>
      </c>
    </row>
    <row r="2639" spans="1:11" ht="25.5" x14ac:dyDescent="0.25">
      <c r="A2639" s="22">
        <v>2026</v>
      </c>
      <c r="B2639" s="28" t="s">
        <v>192</v>
      </c>
      <c r="C2639" s="28" t="s">
        <v>97</v>
      </c>
      <c r="D2639" s="28" t="s">
        <v>272</v>
      </c>
      <c r="E2639" s="29" t="s">
        <v>500</v>
      </c>
      <c r="F2639" s="29" t="s">
        <v>284</v>
      </c>
      <c r="G2639" s="25" t="s">
        <v>4381</v>
      </c>
      <c r="H2639" s="26">
        <v>-1.4892695</v>
      </c>
      <c r="I2639" s="26"/>
      <c r="J2639" s="26" t="s">
        <v>514</v>
      </c>
      <c r="K2639" s="25" t="s">
        <v>513</v>
      </c>
    </row>
    <row r="2640" spans="1:11" ht="25.5" x14ac:dyDescent="0.25">
      <c r="A2640" s="22">
        <v>2026</v>
      </c>
      <c r="B2640" s="28" t="s">
        <v>192</v>
      </c>
      <c r="C2640" s="28" t="s">
        <v>97</v>
      </c>
      <c r="D2640" s="28" t="s">
        <v>272</v>
      </c>
      <c r="E2640" s="29" t="s">
        <v>500</v>
      </c>
      <c r="F2640" s="29" t="s">
        <v>284</v>
      </c>
      <c r="G2640" s="25" t="s">
        <v>4382</v>
      </c>
      <c r="H2640" s="26">
        <v>-0.93641719500000009</v>
      </c>
      <c r="I2640" s="26"/>
      <c r="J2640" s="26" t="s">
        <v>514</v>
      </c>
      <c r="K2640" s="25" t="s">
        <v>513</v>
      </c>
    </row>
    <row r="2641" spans="1:11" ht="25.5" x14ac:dyDescent="0.25">
      <c r="A2641" s="22">
        <v>2026</v>
      </c>
      <c r="B2641" s="28" t="s">
        <v>192</v>
      </c>
      <c r="C2641" s="28" t="s">
        <v>97</v>
      </c>
      <c r="D2641" s="28" t="s">
        <v>272</v>
      </c>
      <c r="E2641" s="29" t="s">
        <v>500</v>
      </c>
      <c r="F2641" s="29" t="s">
        <v>284</v>
      </c>
      <c r="G2641" s="25" t="s">
        <v>4383</v>
      </c>
      <c r="H2641" s="26">
        <v>-1.1766951999999999</v>
      </c>
      <c r="I2641" s="26"/>
      <c r="J2641" s="26" t="s">
        <v>514</v>
      </c>
      <c r="K2641" s="25" t="s">
        <v>513</v>
      </c>
    </row>
    <row r="2642" spans="1:11" ht="25.5" x14ac:dyDescent="0.25">
      <c r="A2642" s="22">
        <v>2026</v>
      </c>
      <c r="B2642" s="28" t="s">
        <v>192</v>
      </c>
      <c r="C2642" s="28" t="s">
        <v>97</v>
      </c>
      <c r="D2642" s="28" t="s">
        <v>272</v>
      </c>
      <c r="E2642" s="29" t="s">
        <v>500</v>
      </c>
      <c r="F2642" s="29" t="s">
        <v>284</v>
      </c>
      <c r="G2642" s="25" t="s">
        <v>4384</v>
      </c>
      <c r="H2642" s="26">
        <v>-1.2044223999999999</v>
      </c>
      <c r="I2642" s="26"/>
      <c r="J2642" s="26" t="s">
        <v>514</v>
      </c>
      <c r="K2642" s="25" t="s">
        <v>513</v>
      </c>
    </row>
    <row r="2643" spans="1:11" ht="25.5" x14ac:dyDescent="0.25">
      <c r="A2643" s="22">
        <v>2026</v>
      </c>
      <c r="B2643" s="28" t="s">
        <v>192</v>
      </c>
      <c r="C2643" s="28" t="s">
        <v>97</v>
      </c>
      <c r="D2643" s="28" t="s">
        <v>1726</v>
      </c>
      <c r="E2643" s="29" t="s">
        <v>569</v>
      </c>
      <c r="F2643" s="29" t="s">
        <v>343</v>
      </c>
      <c r="G2643" s="25" t="s">
        <v>4385</v>
      </c>
      <c r="H2643" s="26">
        <v>-0.116865</v>
      </c>
      <c r="I2643" s="26"/>
      <c r="J2643" s="26" t="s">
        <v>512</v>
      </c>
      <c r="K2643" s="25" t="s">
        <v>513</v>
      </c>
    </row>
    <row r="2644" spans="1:11" ht="25.5" x14ac:dyDescent="0.25">
      <c r="A2644" s="22">
        <v>2026</v>
      </c>
      <c r="B2644" s="28" t="s">
        <v>192</v>
      </c>
      <c r="C2644" s="28" t="s">
        <v>97</v>
      </c>
      <c r="D2644" s="28" t="s">
        <v>1726</v>
      </c>
      <c r="E2644" s="29" t="s">
        <v>569</v>
      </c>
      <c r="F2644" s="29" t="s">
        <v>343</v>
      </c>
      <c r="G2644" s="25" t="s">
        <v>4386</v>
      </c>
      <c r="H2644" s="26">
        <v>-3.9072000000000005</v>
      </c>
      <c r="I2644" s="26"/>
      <c r="J2644" s="26" t="s">
        <v>512</v>
      </c>
      <c r="K2644" s="25" t="s">
        <v>513</v>
      </c>
    </row>
    <row r="2645" spans="1:11" ht="25.5" x14ac:dyDescent="0.25">
      <c r="A2645" s="22">
        <v>2026</v>
      </c>
      <c r="B2645" s="28" t="s">
        <v>192</v>
      </c>
      <c r="C2645" s="28" t="s">
        <v>97</v>
      </c>
      <c r="D2645" s="28" t="s">
        <v>1726</v>
      </c>
      <c r="E2645" s="29" t="s">
        <v>569</v>
      </c>
      <c r="F2645" s="29" t="s">
        <v>343</v>
      </c>
      <c r="G2645" s="25" t="s">
        <v>4387</v>
      </c>
      <c r="H2645" s="26">
        <v>-0.22226925</v>
      </c>
      <c r="I2645" s="26"/>
      <c r="J2645" s="26" t="s">
        <v>512</v>
      </c>
      <c r="K2645" s="25" t="s">
        <v>513</v>
      </c>
    </row>
    <row r="2646" spans="1:11" ht="25.5" x14ac:dyDescent="0.25">
      <c r="A2646" s="22">
        <v>2026</v>
      </c>
      <c r="B2646" s="28" t="s">
        <v>192</v>
      </c>
      <c r="C2646" s="28" t="s">
        <v>97</v>
      </c>
      <c r="D2646" s="28" t="s">
        <v>1726</v>
      </c>
      <c r="E2646" s="29" t="s">
        <v>569</v>
      </c>
      <c r="F2646" s="29" t="s">
        <v>343</v>
      </c>
      <c r="G2646" s="25" t="s">
        <v>4388</v>
      </c>
      <c r="H2646" s="26">
        <v>-0.215477</v>
      </c>
      <c r="I2646" s="26"/>
      <c r="J2646" s="26" t="s">
        <v>512</v>
      </c>
      <c r="K2646" s="25" t="s">
        <v>513</v>
      </c>
    </row>
    <row r="2647" spans="1:11" ht="25.5" x14ac:dyDescent="0.25">
      <c r="A2647" s="22">
        <v>2026</v>
      </c>
      <c r="B2647" s="28" t="s">
        <v>192</v>
      </c>
      <c r="C2647" s="28" t="s">
        <v>97</v>
      </c>
      <c r="D2647" s="28" t="s">
        <v>1726</v>
      </c>
      <c r="E2647" s="29" t="s">
        <v>569</v>
      </c>
      <c r="F2647" s="29" t="s">
        <v>343</v>
      </c>
      <c r="G2647" s="25" t="s">
        <v>4389</v>
      </c>
      <c r="H2647" s="26">
        <v>-0.14492234988</v>
      </c>
      <c r="I2647" s="26"/>
      <c r="J2647" s="26" t="s">
        <v>512</v>
      </c>
      <c r="K2647" s="25" t="s">
        <v>513</v>
      </c>
    </row>
    <row r="2648" spans="1:11" ht="25.5" x14ac:dyDescent="0.25">
      <c r="A2648" s="22">
        <v>2026</v>
      </c>
      <c r="B2648" s="28" t="s">
        <v>192</v>
      </c>
      <c r="C2648" s="28" t="s">
        <v>97</v>
      </c>
      <c r="D2648" s="28" t="s">
        <v>1726</v>
      </c>
      <c r="E2648" s="29" t="s">
        <v>569</v>
      </c>
      <c r="F2648" s="29" t="s">
        <v>343</v>
      </c>
      <c r="G2648" s="25" t="s">
        <v>4390</v>
      </c>
      <c r="H2648" s="26">
        <v>-0.38700000000000001</v>
      </c>
      <c r="I2648" s="26"/>
      <c r="J2648" s="26" t="s">
        <v>512</v>
      </c>
      <c r="K2648" s="25" t="s">
        <v>513</v>
      </c>
    </row>
    <row r="2649" spans="1:11" ht="25.5" x14ac:dyDescent="0.25">
      <c r="A2649" s="22">
        <v>2026</v>
      </c>
      <c r="B2649" s="28" t="s">
        <v>192</v>
      </c>
      <c r="C2649" s="28" t="s">
        <v>97</v>
      </c>
      <c r="D2649" s="28" t="s">
        <v>1726</v>
      </c>
      <c r="E2649" s="29" t="s">
        <v>569</v>
      </c>
      <c r="F2649" s="29" t="s">
        <v>343</v>
      </c>
      <c r="G2649" s="25" t="s">
        <v>4391</v>
      </c>
      <c r="H2649" s="26">
        <v>-0.30844669733000002</v>
      </c>
      <c r="I2649" s="26"/>
      <c r="J2649" s="26" t="s">
        <v>512</v>
      </c>
      <c r="K2649" s="25" t="s">
        <v>513</v>
      </c>
    </row>
    <row r="2650" spans="1:11" ht="25.5" x14ac:dyDescent="0.25">
      <c r="A2650" s="22">
        <v>2026</v>
      </c>
      <c r="B2650" s="28" t="s">
        <v>192</v>
      </c>
      <c r="C2650" s="28" t="s">
        <v>97</v>
      </c>
      <c r="D2650" s="28" t="s">
        <v>1791</v>
      </c>
      <c r="E2650" s="29" t="s">
        <v>1801</v>
      </c>
      <c r="F2650" s="29" t="s">
        <v>284</v>
      </c>
      <c r="G2650" s="25" t="s">
        <v>4392</v>
      </c>
      <c r="H2650" s="26">
        <v>-0.6283187751399999</v>
      </c>
      <c r="I2650" s="26"/>
      <c r="J2650" s="26" t="s">
        <v>512</v>
      </c>
      <c r="K2650" s="25" t="s">
        <v>513</v>
      </c>
    </row>
    <row r="2651" spans="1:11" ht="25.5" x14ac:dyDescent="0.25">
      <c r="A2651" s="22">
        <v>2026</v>
      </c>
      <c r="B2651" s="28" t="s">
        <v>192</v>
      </c>
      <c r="C2651" s="28" t="s">
        <v>97</v>
      </c>
      <c r="D2651" s="28" t="s">
        <v>1791</v>
      </c>
      <c r="E2651" s="29" t="s">
        <v>1801</v>
      </c>
      <c r="F2651" s="29" t="s">
        <v>284</v>
      </c>
      <c r="G2651" s="25" t="s">
        <v>4393</v>
      </c>
      <c r="H2651" s="26">
        <v>-0.60320099999999999</v>
      </c>
      <c r="I2651" s="26"/>
      <c r="J2651" s="26" t="s">
        <v>512</v>
      </c>
      <c r="K2651" s="25" t="s">
        <v>513</v>
      </c>
    </row>
    <row r="2652" spans="1:11" ht="25.5" x14ac:dyDescent="0.25">
      <c r="A2652" s="22">
        <v>2026</v>
      </c>
      <c r="B2652" s="28" t="s">
        <v>192</v>
      </c>
      <c r="C2652" s="28" t="s">
        <v>97</v>
      </c>
      <c r="D2652" s="28" t="s">
        <v>1791</v>
      </c>
      <c r="E2652" s="29" t="s">
        <v>1801</v>
      </c>
      <c r="F2652" s="29" t="s">
        <v>284</v>
      </c>
      <c r="G2652" s="25" t="s">
        <v>4394</v>
      </c>
      <c r="H2652" s="26">
        <v>-0.29241178107999999</v>
      </c>
      <c r="I2652" s="26"/>
      <c r="J2652" s="26" t="s">
        <v>512</v>
      </c>
      <c r="K2652" s="25" t="s">
        <v>513</v>
      </c>
    </row>
    <row r="2653" spans="1:11" ht="25.5" x14ac:dyDescent="0.25">
      <c r="A2653" s="22">
        <v>2026</v>
      </c>
      <c r="B2653" s="28" t="s">
        <v>192</v>
      </c>
      <c r="C2653" s="28" t="s">
        <v>97</v>
      </c>
      <c r="D2653" s="28" t="s">
        <v>1791</v>
      </c>
      <c r="E2653" s="29" t="s">
        <v>1801</v>
      </c>
      <c r="F2653" s="29" t="s">
        <v>284</v>
      </c>
      <c r="G2653" s="25" t="s">
        <v>4395</v>
      </c>
      <c r="H2653" s="26">
        <v>-0.79986800000000002</v>
      </c>
      <c r="I2653" s="26"/>
      <c r="J2653" s="26" t="s">
        <v>512</v>
      </c>
      <c r="K2653" s="25" t="s">
        <v>513</v>
      </c>
    </row>
    <row r="2654" spans="1:11" ht="25.5" x14ac:dyDescent="0.25">
      <c r="A2654" s="22">
        <v>2026</v>
      </c>
      <c r="B2654" s="28" t="s">
        <v>192</v>
      </c>
      <c r="C2654" s="28" t="s">
        <v>97</v>
      </c>
      <c r="D2654" s="28" t="s">
        <v>1791</v>
      </c>
      <c r="E2654" s="29" t="s">
        <v>1801</v>
      </c>
      <c r="F2654" s="29" t="s">
        <v>284</v>
      </c>
      <c r="G2654" s="25" t="s">
        <v>4396</v>
      </c>
      <c r="H2654" s="26">
        <v>-0.8005000000000001</v>
      </c>
      <c r="I2654" s="26"/>
      <c r="J2654" s="26" t="s">
        <v>512</v>
      </c>
      <c r="K2654" s="25" t="s">
        <v>513</v>
      </c>
    </row>
    <row r="2655" spans="1:11" ht="25.5" x14ac:dyDescent="0.25">
      <c r="A2655" s="22">
        <v>2026</v>
      </c>
      <c r="B2655" s="28" t="s">
        <v>192</v>
      </c>
      <c r="C2655" s="28" t="s">
        <v>97</v>
      </c>
      <c r="D2655" s="28" t="s">
        <v>1791</v>
      </c>
      <c r="E2655" s="29" t="s">
        <v>1801</v>
      </c>
      <c r="F2655" s="29" t="s">
        <v>284</v>
      </c>
      <c r="G2655" s="25" t="s">
        <v>4397</v>
      </c>
      <c r="H2655" s="26">
        <v>-0.40789999999999998</v>
      </c>
      <c r="I2655" s="26"/>
      <c r="J2655" s="26" t="s">
        <v>512</v>
      </c>
      <c r="K2655" s="25" t="s">
        <v>513</v>
      </c>
    </row>
    <row r="2656" spans="1:11" ht="25.5" x14ac:dyDescent="0.25">
      <c r="A2656" s="22">
        <v>2026</v>
      </c>
      <c r="B2656" s="28" t="s">
        <v>192</v>
      </c>
      <c r="C2656" s="28" t="s">
        <v>97</v>
      </c>
      <c r="D2656" s="28" t="s">
        <v>1791</v>
      </c>
      <c r="E2656" s="29" t="s">
        <v>1801</v>
      </c>
      <c r="F2656" s="29" t="s">
        <v>284</v>
      </c>
      <c r="G2656" s="25" t="s">
        <v>4398</v>
      </c>
      <c r="H2656" s="26">
        <v>-0.40389999999999993</v>
      </c>
      <c r="I2656" s="26"/>
      <c r="J2656" s="26" t="s">
        <v>512</v>
      </c>
      <c r="K2656" s="25" t="s">
        <v>513</v>
      </c>
    </row>
    <row r="2657" spans="1:11" ht="25.5" x14ac:dyDescent="0.25">
      <c r="A2657" s="22">
        <v>2026</v>
      </c>
      <c r="B2657" s="28" t="s">
        <v>192</v>
      </c>
      <c r="C2657" s="28" t="s">
        <v>97</v>
      </c>
      <c r="D2657" s="28" t="s">
        <v>1791</v>
      </c>
      <c r="E2657" s="29" t="s">
        <v>1801</v>
      </c>
      <c r="F2657" s="29" t="s">
        <v>284</v>
      </c>
      <c r="G2657" s="25" t="s">
        <v>4399</v>
      </c>
      <c r="H2657" s="26">
        <v>-0.60593399999999997</v>
      </c>
      <c r="I2657" s="26"/>
      <c r="J2657" s="26" t="s">
        <v>512</v>
      </c>
      <c r="K2657" s="25" t="s">
        <v>513</v>
      </c>
    </row>
    <row r="2658" spans="1:11" ht="25.5" x14ac:dyDescent="0.25">
      <c r="A2658" s="22">
        <v>2026</v>
      </c>
      <c r="B2658" s="28" t="s">
        <v>192</v>
      </c>
      <c r="C2658" s="28" t="s">
        <v>97</v>
      </c>
      <c r="D2658" s="28" t="s">
        <v>1791</v>
      </c>
      <c r="E2658" s="29" t="s">
        <v>1801</v>
      </c>
      <c r="F2658" s="29" t="s">
        <v>284</v>
      </c>
      <c r="G2658" s="25" t="s">
        <v>4400</v>
      </c>
      <c r="H2658" s="26">
        <v>-0.40730000000000005</v>
      </c>
      <c r="I2658" s="26"/>
      <c r="J2658" s="26" t="s">
        <v>512</v>
      </c>
      <c r="K2658" s="25" t="s">
        <v>513</v>
      </c>
    </row>
    <row r="2659" spans="1:11" ht="25.5" x14ac:dyDescent="0.25">
      <c r="A2659" s="22">
        <v>2026</v>
      </c>
      <c r="B2659" s="28" t="s">
        <v>192</v>
      </c>
      <c r="C2659" s="28" t="s">
        <v>97</v>
      </c>
      <c r="D2659" s="28" t="s">
        <v>1791</v>
      </c>
      <c r="E2659" s="29" t="s">
        <v>1801</v>
      </c>
      <c r="F2659" s="29" t="s">
        <v>284</v>
      </c>
      <c r="G2659" s="25" t="s">
        <v>4401</v>
      </c>
      <c r="H2659" s="26">
        <v>-0.405586</v>
      </c>
      <c r="I2659" s="26"/>
      <c r="J2659" s="26" t="s">
        <v>512</v>
      </c>
      <c r="K2659" s="25" t="s">
        <v>513</v>
      </c>
    </row>
    <row r="2660" spans="1:11" ht="25.5" x14ac:dyDescent="0.25">
      <c r="A2660" s="22">
        <v>2026</v>
      </c>
      <c r="B2660" s="28" t="s">
        <v>192</v>
      </c>
      <c r="C2660" s="28" t="s">
        <v>97</v>
      </c>
      <c r="D2660" s="28" t="s">
        <v>1791</v>
      </c>
      <c r="E2660" s="29" t="s">
        <v>1801</v>
      </c>
      <c r="F2660" s="29" t="s">
        <v>284</v>
      </c>
      <c r="G2660" s="25" t="s">
        <v>4402</v>
      </c>
      <c r="H2660" s="26">
        <v>-0.40083800000000003</v>
      </c>
      <c r="I2660" s="26"/>
      <c r="J2660" s="26" t="s">
        <v>512</v>
      </c>
      <c r="K2660" s="25" t="s">
        <v>513</v>
      </c>
    </row>
    <row r="2661" spans="1:11" ht="25.5" x14ac:dyDescent="0.25">
      <c r="A2661" s="22">
        <v>2026</v>
      </c>
      <c r="B2661" s="28" t="s">
        <v>192</v>
      </c>
      <c r="C2661" s="28" t="s">
        <v>97</v>
      </c>
      <c r="D2661" s="28" t="s">
        <v>1791</v>
      </c>
      <c r="E2661" s="29" t="s">
        <v>1801</v>
      </c>
      <c r="F2661" s="29" t="s">
        <v>284</v>
      </c>
      <c r="G2661" s="25" t="s">
        <v>4403</v>
      </c>
      <c r="H2661" s="26">
        <v>-0.12543005170000002</v>
      </c>
      <c r="I2661" s="26"/>
      <c r="J2661" s="26" t="s">
        <v>512</v>
      </c>
      <c r="K2661" s="25" t="s">
        <v>513</v>
      </c>
    </row>
    <row r="2662" spans="1:11" ht="25.5" x14ac:dyDescent="0.25">
      <c r="A2662" s="22">
        <v>2026</v>
      </c>
      <c r="B2662" s="28" t="s">
        <v>192</v>
      </c>
      <c r="C2662" s="28" t="s">
        <v>97</v>
      </c>
      <c r="D2662" s="28" t="s">
        <v>1791</v>
      </c>
      <c r="E2662" s="29" t="s">
        <v>1801</v>
      </c>
      <c r="F2662" s="29" t="s">
        <v>284</v>
      </c>
      <c r="G2662" s="25" t="s">
        <v>4404</v>
      </c>
      <c r="H2662" s="26">
        <v>-0.59466450000000004</v>
      </c>
      <c r="I2662" s="26"/>
      <c r="J2662" s="26" t="s">
        <v>512</v>
      </c>
      <c r="K2662" s="25" t="s">
        <v>513</v>
      </c>
    </row>
    <row r="2663" spans="1:11" ht="25.5" x14ac:dyDescent="0.25">
      <c r="A2663" s="22">
        <v>2026</v>
      </c>
      <c r="B2663" s="28" t="s">
        <v>192</v>
      </c>
      <c r="C2663" s="28" t="s">
        <v>97</v>
      </c>
      <c r="D2663" s="28" t="s">
        <v>1791</v>
      </c>
      <c r="E2663" s="29" t="s">
        <v>1801</v>
      </c>
      <c r="F2663" s="29" t="s">
        <v>284</v>
      </c>
      <c r="G2663" s="25" t="s">
        <v>4405</v>
      </c>
      <c r="H2663" s="26">
        <v>-0.39637800000000001</v>
      </c>
      <c r="I2663" s="26"/>
      <c r="J2663" s="26" t="s">
        <v>512</v>
      </c>
      <c r="K2663" s="25" t="s">
        <v>513</v>
      </c>
    </row>
    <row r="2664" spans="1:11" ht="25.5" x14ac:dyDescent="0.25">
      <c r="A2664" s="22">
        <v>2026</v>
      </c>
      <c r="B2664" s="28" t="s">
        <v>192</v>
      </c>
      <c r="C2664" s="28" t="s">
        <v>97</v>
      </c>
      <c r="D2664" s="28" t="s">
        <v>1791</v>
      </c>
      <c r="E2664" s="29" t="s">
        <v>1801</v>
      </c>
      <c r="F2664" s="29" t="s">
        <v>284</v>
      </c>
      <c r="G2664" s="25" t="s">
        <v>4406</v>
      </c>
      <c r="H2664" s="26">
        <v>-0.397733</v>
      </c>
      <c r="I2664" s="26"/>
      <c r="J2664" s="26" t="s">
        <v>512</v>
      </c>
      <c r="K2664" s="25" t="s">
        <v>513</v>
      </c>
    </row>
    <row r="2665" spans="1:11" ht="25.5" x14ac:dyDescent="0.25">
      <c r="A2665" s="22">
        <v>2026</v>
      </c>
      <c r="B2665" s="28" t="s">
        <v>192</v>
      </c>
      <c r="C2665" s="28" t="s">
        <v>97</v>
      </c>
      <c r="D2665" s="28" t="s">
        <v>1791</v>
      </c>
      <c r="E2665" s="29" t="s">
        <v>1801</v>
      </c>
      <c r="F2665" s="29" t="s">
        <v>284</v>
      </c>
      <c r="G2665" s="25" t="s">
        <v>4407</v>
      </c>
      <c r="H2665" s="26">
        <v>-0.39523000000000003</v>
      </c>
      <c r="I2665" s="26"/>
      <c r="J2665" s="26" t="s">
        <v>512</v>
      </c>
      <c r="K2665" s="25" t="s">
        <v>513</v>
      </c>
    </row>
    <row r="2666" spans="1:11" ht="25.5" x14ac:dyDescent="0.25">
      <c r="A2666" s="22">
        <v>2026</v>
      </c>
      <c r="B2666" s="28" t="s">
        <v>192</v>
      </c>
      <c r="C2666" s="28" t="s">
        <v>97</v>
      </c>
      <c r="D2666" s="28" t="s">
        <v>1791</v>
      </c>
      <c r="E2666" s="29" t="s">
        <v>1801</v>
      </c>
      <c r="F2666" s="29" t="s">
        <v>284</v>
      </c>
      <c r="G2666" s="25" t="s">
        <v>4408</v>
      </c>
      <c r="H2666" s="26">
        <v>-0.57189299999999998</v>
      </c>
      <c r="I2666" s="26"/>
      <c r="J2666" s="26" t="s">
        <v>512</v>
      </c>
      <c r="K2666" s="25" t="s">
        <v>513</v>
      </c>
    </row>
    <row r="2667" spans="1:11" ht="25.5" x14ac:dyDescent="0.25">
      <c r="A2667" s="22">
        <v>2026</v>
      </c>
      <c r="B2667" s="28" t="s">
        <v>192</v>
      </c>
      <c r="C2667" s="28" t="s">
        <v>97</v>
      </c>
      <c r="D2667" s="28" t="s">
        <v>1791</v>
      </c>
      <c r="E2667" s="29" t="s">
        <v>1801</v>
      </c>
      <c r="F2667" s="29" t="s">
        <v>284</v>
      </c>
      <c r="G2667" s="25" t="s">
        <v>4409</v>
      </c>
      <c r="H2667" s="26">
        <v>-0.57412200000000002</v>
      </c>
      <c r="I2667" s="26"/>
      <c r="J2667" s="26" t="s">
        <v>512</v>
      </c>
      <c r="K2667" s="25" t="s">
        <v>513</v>
      </c>
    </row>
    <row r="2668" spans="1:11" ht="25.5" x14ac:dyDescent="0.25">
      <c r="A2668" s="22">
        <v>2026</v>
      </c>
      <c r="B2668" s="28" t="s">
        <v>192</v>
      </c>
      <c r="C2668" s="28" t="s">
        <v>97</v>
      </c>
      <c r="D2668" s="28" t="s">
        <v>1791</v>
      </c>
      <c r="E2668" s="29" t="s">
        <v>1801</v>
      </c>
      <c r="F2668" s="29" t="s">
        <v>284</v>
      </c>
      <c r="G2668" s="25" t="s">
        <v>4410</v>
      </c>
      <c r="H2668" s="26">
        <v>-0.58305750000000001</v>
      </c>
      <c r="I2668" s="26"/>
      <c r="J2668" s="26" t="s">
        <v>512</v>
      </c>
      <c r="K2668" s="25" t="s">
        <v>513</v>
      </c>
    </row>
    <row r="2669" spans="1:11" ht="25.5" x14ac:dyDescent="0.25">
      <c r="A2669" s="22">
        <v>2026</v>
      </c>
      <c r="B2669" s="28" t="s">
        <v>192</v>
      </c>
      <c r="C2669" s="28" t="s">
        <v>97</v>
      </c>
      <c r="D2669" s="28" t="s">
        <v>535</v>
      </c>
      <c r="E2669" s="29" t="s">
        <v>558</v>
      </c>
      <c r="F2669" s="29" t="s">
        <v>374</v>
      </c>
      <c r="G2669" s="25" t="s">
        <v>4411</v>
      </c>
      <c r="H2669" s="26">
        <v>-0.18289949999999999</v>
      </c>
      <c r="I2669" s="26"/>
      <c r="J2669" s="26" t="s">
        <v>512</v>
      </c>
      <c r="K2669" s="25" t="s">
        <v>513</v>
      </c>
    </row>
    <row r="2670" spans="1:11" ht="25.5" x14ac:dyDescent="0.25">
      <c r="A2670" s="22">
        <v>2026</v>
      </c>
      <c r="B2670" s="28" t="s">
        <v>192</v>
      </c>
      <c r="C2670" s="28" t="s">
        <v>97</v>
      </c>
      <c r="D2670" s="28" t="s">
        <v>535</v>
      </c>
      <c r="E2670" s="29" t="s">
        <v>558</v>
      </c>
      <c r="F2670" s="29" t="s">
        <v>374</v>
      </c>
      <c r="G2670" s="25" t="s">
        <v>4412</v>
      </c>
      <c r="H2670" s="26">
        <v>-0.24279999999999999</v>
      </c>
      <c r="I2670" s="26"/>
      <c r="J2670" s="26" t="s">
        <v>512</v>
      </c>
      <c r="K2670" s="25" t="s">
        <v>513</v>
      </c>
    </row>
    <row r="2671" spans="1:11" ht="25.5" x14ac:dyDescent="0.25">
      <c r="A2671" s="22">
        <v>2026</v>
      </c>
      <c r="B2671" s="28" t="s">
        <v>192</v>
      </c>
      <c r="C2671" s="28" t="s">
        <v>97</v>
      </c>
      <c r="D2671" s="28" t="s">
        <v>535</v>
      </c>
      <c r="E2671" s="29" t="s">
        <v>558</v>
      </c>
      <c r="F2671" s="29" t="s">
        <v>374</v>
      </c>
      <c r="G2671" s="25" t="s">
        <v>4413</v>
      </c>
      <c r="H2671" s="26">
        <v>-0.1198</v>
      </c>
      <c r="I2671" s="26"/>
      <c r="J2671" s="26" t="s">
        <v>512</v>
      </c>
      <c r="K2671" s="25" t="s">
        <v>513</v>
      </c>
    </row>
    <row r="2672" spans="1:11" ht="25.5" x14ac:dyDescent="0.25">
      <c r="A2672" s="22">
        <v>2026</v>
      </c>
      <c r="B2672" s="28" t="s">
        <v>192</v>
      </c>
      <c r="C2672" s="28" t="s">
        <v>97</v>
      </c>
      <c r="D2672" s="28" t="s">
        <v>535</v>
      </c>
      <c r="E2672" s="29" t="s">
        <v>558</v>
      </c>
      <c r="F2672" s="29" t="s">
        <v>374</v>
      </c>
      <c r="G2672" s="25" t="s">
        <v>4414</v>
      </c>
      <c r="H2672" s="26">
        <v>-0.44464874999999998</v>
      </c>
      <c r="I2672" s="26"/>
      <c r="J2672" s="26" t="s">
        <v>512</v>
      </c>
      <c r="K2672" s="25" t="s">
        <v>513</v>
      </c>
    </row>
    <row r="2673" spans="1:11" ht="25.5" x14ac:dyDescent="0.25">
      <c r="A2673" s="22">
        <v>2026</v>
      </c>
      <c r="B2673" s="28" t="s">
        <v>192</v>
      </c>
      <c r="C2673" s="28" t="s">
        <v>97</v>
      </c>
      <c r="D2673" s="28" t="s">
        <v>535</v>
      </c>
      <c r="E2673" s="29" t="s">
        <v>558</v>
      </c>
      <c r="F2673" s="29" t="s">
        <v>374</v>
      </c>
      <c r="G2673" s="25" t="s">
        <v>4415</v>
      </c>
      <c r="H2673" s="26">
        <v>-0.19562895</v>
      </c>
      <c r="I2673" s="26"/>
      <c r="J2673" s="26" t="s">
        <v>512</v>
      </c>
      <c r="K2673" s="25" t="s">
        <v>513</v>
      </c>
    </row>
    <row r="2674" spans="1:11" ht="25.5" x14ac:dyDescent="0.25">
      <c r="A2674" s="22">
        <v>2026</v>
      </c>
      <c r="B2674" s="28" t="s">
        <v>192</v>
      </c>
      <c r="C2674" s="28" t="s">
        <v>97</v>
      </c>
      <c r="D2674" s="28" t="s">
        <v>535</v>
      </c>
      <c r="E2674" s="29" t="s">
        <v>558</v>
      </c>
      <c r="F2674" s="29" t="s">
        <v>374</v>
      </c>
      <c r="G2674" s="25" t="s">
        <v>4416</v>
      </c>
      <c r="H2674" s="26">
        <v>-0.18074999999999999</v>
      </c>
      <c r="I2674" s="26"/>
      <c r="J2674" s="26" t="s">
        <v>512</v>
      </c>
      <c r="K2674" s="25" t="s">
        <v>513</v>
      </c>
    </row>
    <row r="2675" spans="1:11" ht="25.5" x14ac:dyDescent="0.25">
      <c r="A2675" s="22">
        <v>2026</v>
      </c>
      <c r="B2675" s="28" t="s">
        <v>192</v>
      </c>
      <c r="C2675" s="28" t="s">
        <v>97</v>
      </c>
      <c r="D2675" s="28" t="s">
        <v>535</v>
      </c>
      <c r="E2675" s="29" t="s">
        <v>558</v>
      </c>
      <c r="F2675" s="29" t="s">
        <v>374</v>
      </c>
      <c r="G2675" s="25" t="s">
        <v>4417</v>
      </c>
      <c r="H2675" s="26">
        <v>-0.212093</v>
      </c>
      <c r="I2675" s="26"/>
      <c r="J2675" s="26" t="s">
        <v>512</v>
      </c>
      <c r="K2675" s="25" t="s">
        <v>513</v>
      </c>
    </row>
    <row r="2676" spans="1:11" ht="25.5" x14ac:dyDescent="0.25">
      <c r="A2676" s="22">
        <v>2026</v>
      </c>
      <c r="B2676" s="28" t="s">
        <v>192</v>
      </c>
      <c r="C2676" s="28" t="s">
        <v>97</v>
      </c>
      <c r="D2676" s="28" t="s">
        <v>535</v>
      </c>
      <c r="E2676" s="29" t="s">
        <v>558</v>
      </c>
      <c r="F2676" s="29" t="s">
        <v>374</v>
      </c>
      <c r="G2676" s="25" t="s">
        <v>4418</v>
      </c>
      <c r="H2676" s="26">
        <v>-0.24321999999999999</v>
      </c>
      <c r="I2676" s="26"/>
      <c r="J2676" s="26" t="s">
        <v>512</v>
      </c>
      <c r="K2676" s="25" t="s">
        <v>513</v>
      </c>
    </row>
    <row r="2677" spans="1:11" ht="25.5" x14ac:dyDescent="0.25">
      <c r="A2677" s="22">
        <v>2026</v>
      </c>
      <c r="B2677" s="28" t="s">
        <v>192</v>
      </c>
      <c r="C2677" s="28" t="s">
        <v>97</v>
      </c>
      <c r="D2677" s="28" t="s">
        <v>535</v>
      </c>
      <c r="E2677" s="29" t="s">
        <v>558</v>
      </c>
      <c r="F2677" s="29" t="s">
        <v>374</v>
      </c>
      <c r="G2677" s="25" t="s">
        <v>4419</v>
      </c>
      <c r="H2677" s="26">
        <v>-0.169988</v>
      </c>
      <c r="I2677" s="26"/>
      <c r="J2677" s="26" t="s">
        <v>512</v>
      </c>
      <c r="K2677" s="25" t="s">
        <v>513</v>
      </c>
    </row>
    <row r="2678" spans="1:11" ht="25.5" x14ac:dyDescent="0.25">
      <c r="A2678" s="22">
        <v>2026</v>
      </c>
      <c r="B2678" s="28" t="s">
        <v>192</v>
      </c>
      <c r="C2678" s="28" t="s">
        <v>97</v>
      </c>
      <c r="D2678" s="28" t="s">
        <v>535</v>
      </c>
      <c r="E2678" s="29" t="s">
        <v>558</v>
      </c>
      <c r="F2678" s="29" t="s">
        <v>374</v>
      </c>
      <c r="G2678" s="25" t="s">
        <v>4420</v>
      </c>
      <c r="H2678" s="26">
        <v>-0.18139949999999999</v>
      </c>
      <c r="I2678" s="26"/>
      <c r="J2678" s="26" t="s">
        <v>512</v>
      </c>
      <c r="K2678" s="25" t="s">
        <v>513</v>
      </c>
    </row>
    <row r="2679" spans="1:11" ht="25.5" x14ac:dyDescent="0.25">
      <c r="A2679" s="22">
        <v>2026</v>
      </c>
      <c r="B2679" s="28" t="s">
        <v>192</v>
      </c>
      <c r="C2679" s="28" t="s">
        <v>97</v>
      </c>
      <c r="D2679" s="28" t="s">
        <v>535</v>
      </c>
      <c r="E2679" s="29" t="s">
        <v>558</v>
      </c>
      <c r="F2679" s="29" t="s">
        <v>374</v>
      </c>
      <c r="G2679" s="25" t="s">
        <v>4421</v>
      </c>
      <c r="H2679" s="26">
        <v>-0.18279899999999999</v>
      </c>
      <c r="I2679" s="26"/>
      <c r="J2679" s="26" t="s">
        <v>512</v>
      </c>
      <c r="K2679" s="25" t="s">
        <v>513</v>
      </c>
    </row>
    <row r="2680" spans="1:11" ht="25.5" x14ac:dyDescent="0.25">
      <c r="A2680" s="22">
        <v>2026</v>
      </c>
      <c r="B2680" s="28" t="s">
        <v>192</v>
      </c>
      <c r="C2680" s="28" t="s">
        <v>97</v>
      </c>
      <c r="D2680" s="28" t="s">
        <v>535</v>
      </c>
      <c r="E2680" s="29" t="s">
        <v>558</v>
      </c>
      <c r="F2680" s="29" t="s">
        <v>374</v>
      </c>
      <c r="G2680" s="25" t="s">
        <v>4422</v>
      </c>
      <c r="H2680" s="26">
        <v>-0.152</v>
      </c>
      <c r="I2680" s="26"/>
      <c r="J2680" s="26" t="s">
        <v>512</v>
      </c>
      <c r="K2680" s="25" t="s">
        <v>513</v>
      </c>
    </row>
    <row r="2681" spans="1:11" ht="25.5" x14ac:dyDescent="0.25">
      <c r="A2681" s="22">
        <v>2026</v>
      </c>
      <c r="B2681" s="28" t="s">
        <v>192</v>
      </c>
      <c r="C2681" s="28" t="s">
        <v>97</v>
      </c>
      <c r="D2681" s="28" t="s">
        <v>535</v>
      </c>
      <c r="E2681" s="29" t="s">
        <v>558</v>
      </c>
      <c r="F2681" s="29" t="s">
        <v>374</v>
      </c>
      <c r="G2681" s="25" t="s">
        <v>4423</v>
      </c>
      <c r="H2681" s="26">
        <v>-0.21009974999999997</v>
      </c>
      <c r="I2681" s="26"/>
      <c r="J2681" s="26" t="s">
        <v>512</v>
      </c>
      <c r="K2681" s="25" t="s">
        <v>513</v>
      </c>
    </row>
    <row r="2682" spans="1:11" ht="25.5" x14ac:dyDescent="0.25">
      <c r="A2682" s="22">
        <v>2026</v>
      </c>
      <c r="B2682" s="28" t="s">
        <v>192</v>
      </c>
      <c r="C2682" s="28" t="s">
        <v>97</v>
      </c>
      <c r="D2682" s="28" t="s">
        <v>535</v>
      </c>
      <c r="E2682" s="29" t="s">
        <v>558</v>
      </c>
      <c r="F2682" s="29" t="s">
        <v>374</v>
      </c>
      <c r="G2682" s="25" t="s">
        <v>4424</v>
      </c>
      <c r="H2682" s="26">
        <v>-0.26789849999999998</v>
      </c>
      <c r="I2682" s="26"/>
      <c r="J2682" s="26" t="s">
        <v>512</v>
      </c>
      <c r="K2682" s="25" t="s">
        <v>513</v>
      </c>
    </row>
    <row r="2683" spans="1:11" ht="25.5" x14ac:dyDescent="0.25">
      <c r="A2683" s="22">
        <v>2026</v>
      </c>
      <c r="B2683" s="28" t="s">
        <v>192</v>
      </c>
      <c r="C2683" s="28" t="s">
        <v>97</v>
      </c>
      <c r="D2683" s="28" t="s">
        <v>535</v>
      </c>
      <c r="E2683" s="29" t="s">
        <v>558</v>
      </c>
      <c r="F2683" s="29" t="s">
        <v>374</v>
      </c>
      <c r="G2683" s="25" t="s">
        <v>4425</v>
      </c>
      <c r="H2683" s="26">
        <v>-0.175395</v>
      </c>
      <c r="I2683" s="26"/>
      <c r="J2683" s="26" t="s">
        <v>512</v>
      </c>
      <c r="K2683" s="25" t="s">
        <v>513</v>
      </c>
    </row>
    <row r="2684" spans="1:11" ht="25.5" x14ac:dyDescent="0.25">
      <c r="A2684" s="22">
        <v>2026</v>
      </c>
      <c r="B2684" s="28" t="s">
        <v>192</v>
      </c>
      <c r="C2684" s="28" t="s">
        <v>97</v>
      </c>
      <c r="D2684" s="28" t="s">
        <v>535</v>
      </c>
      <c r="E2684" s="29" t="s">
        <v>558</v>
      </c>
      <c r="F2684" s="29" t="s">
        <v>374</v>
      </c>
      <c r="G2684" s="25" t="s">
        <v>4426</v>
      </c>
      <c r="H2684" s="26">
        <v>-0.25914825000000002</v>
      </c>
      <c r="I2684" s="26"/>
      <c r="J2684" s="26" t="s">
        <v>512</v>
      </c>
      <c r="K2684" s="25" t="s">
        <v>513</v>
      </c>
    </row>
    <row r="2685" spans="1:11" ht="25.5" x14ac:dyDescent="0.25">
      <c r="A2685" s="22">
        <v>2026</v>
      </c>
      <c r="B2685" s="28" t="s">
        <v>192</v>
      </c>
      <c r="C2685" s="28" t="s">
        <v>97</v>
      </c>
      <c r="D2685" s="28" t="s">
        <v>535</v>
      </c>
      <c r="E2685" s="29" t="s">
        <v>558</v>
      </c>
      <c r="F2685" s="29" t="s">
        <v>374</v>
      </c>
      <c r="G2685" s="25" t="s">
        <v>4427</v>
      </c>
      <c r="H2685" s="26">
        <v>-0.17430000000000001</v>
      </c>
      <c r="I2685" s="26"/>
      <c r="J2685" s="26" t="s">
        <v>512</v>
      </c>
      <c r="K2685" s="25" t="s">
        <v>513</v>
      </c>
    </row>
    <row r="2686" spans="1:11" ht="25.5" x14ac:dyDescent="0.25">
      <c r="A2686" s="22">
        <v>2026</v>
      </c>
      <c r="B2686" s="28" t="s">
        <v>192</v>
      </c>
      <c r="C2686" s="28" t="s">
        <v>97</v>
      </c>
      <c r="D2686" s="28" t="s">
        <v>535</v>
      </c>
      <c r="E2686" s="29" t="s">
        <v>558</v>
      </c>
      <c r="F2686" s="29" t="s">
        <v>374</v>
      </c>
      <c r="G2686" s="25" t="s">
        <v>4428</v>
      </c>
      <c r="H2686" s="26">
        <v>-1.7798400000000001</v>
      </c>
      <c r="I2686" s="26"/>
      <c r="J2686" s="26" t="s">
        <v>512</v>
      </c>
      <c r="K2686" s="25" t="s">
        <v>513</v>
      </c>
    </row>
    <row r="2687" spans="1:11" ht="25.5" x14ac:dyDescent="0.25">
      <c r="A2687" s="22">
        <v>2026</v>
      </c>
      <c r="B2687" s="28" t="s">
        <v>192</v>
      </c>
      <c r="C2687" s="28" t="s">
        <v>97</v>
      </c>
      <c r="D2687" s="28" t="s">
        <v>535</v>
      </c>
      <c r="E2687" s="29" t="s">
        <v>558</v>
      </c>
      <c r="F2687" s="29" t="s">
        <v>374</v>
      </c>
      <c r="G2687" s="25" t="s">
        <v>4429</v>
      </c>
      <c r="H2687" s="26">
        <v>-1.779315</v>
      </c>
      <c r="I2687" s="26"/>
      <c r="J2687" s="26" t="s">
        <v>512</v>
      </c>
      <c r="K2687" s="25" t="s">
        <v>513</v>
      </c>
    </row>
    <row r="2688" spans="1:11" ht="25.5" x14ac:dyDescent="0.25">
      <c r="A2688" s="22">
        <v>2026</v>
      </c>
      <c r="B2688" s="28" t="s">
        <v>192</v>
      </c>
      <c r="C2688" s="28" t="s">
        <v>97</v>
      </c>
      <c r="D2688" s="28" t="s">
        <v>535</v>
      </c>
      <c r="E2688" s="29" t="s">
        <v>558</v>
      </c>
      <c r="F2688" s="29" t="s">
        <v>374</v>
      </c>
      <c r="G2688" s="25" t="s">
        <v>4430</v>
      </c>
      <c r="H2688" s="26">
        <v>-1.4680000000000002</v>
      </c>
      <c r="I2688" s="26"/>
      <c r="J2688" s="26" t="s">
        <v>512</v>
      </c>
      <c r="K2688" s="25" t="s">
        <v>513</v>
      </c>
    </row>
    <row r="2689" spans="1:11" ht="25.5" x14ac:dyDescent="0.25">
      <c r="A2689" s="22">
        <v>2026</v>
      </c>
      <c r="B2689" s="28" t="s">
        <v>192</v>
      </c>
      <c r="C2689" s="28" t="s">
        <v>97</v>
      </c>
      <c r="D2689" s="28" t="s">
        <v>535</v>
      </c>
      <c r="E2689" s="29" t="s">
        <v>558</v>
      </c>
      <c r="F2689" s="29" t="s">
        <v>374</v>
      </c>
      <c r="G2689" s="25" t="s">
        <v>4431</v>
      </c>
      <c r="H2689" s="26">
        <v>-1.1849499999999999</v>
      </c>
      <c r="I2689" s="26"/>
      <c r="J2689" s="26" t="s">
        <v>512</v>
      </c>
      <c r="K2689" s="25" t="s">
        <v>513</v>
      </c>
    </row>
    <row r="2690" spans="1:11" ht="25.5" x14ac:dyDescent="0.25">
      <c r="A2690" s="22">
        <v>2026</v>
      </c>
      <c r="B2690" s="28" t="s">
        <v>192</v>
      </c>
      <c r="C2690" s="28" t="s">
        <v>97</v>
      </c>
      <c r="D2690" s="28" t="s">
        <v>533</v>
      </c>
      <c r="E2690" s="29" t="s">
        <v>554</v>
      </c>
      <c r="F2690" s="29" t="s">
        <v>284</v>
      </c>
      <c r="G2690" s="25" t="s">
        <v>4432</v>
      </c>
      <c r="H2690" s="26">
        <v>-0.92949999999999999</v>
      </c>
      <c r="I2690" s="26"/>
      <c r="J2690" s="26" t="s">
        <v>512</v>
      </c>
      <c r="K2690" s="25" t="s">
        <v>513</v>
      </c>
    </row>
    <row r="2691" spans="1:11" ht="25.5" x14ac:dyDescent="0.25">
      <c r="A2691" s="22">
        <v>2026</v>
      </c>
      <c r="B2691" s="28" t="s">
        <v>192</v>
      </c>
      <c r="C2691" s="28" t="s">
        <v>97</v>
      </c>
      <c r="D2691" s="28" t="s">
        <v>533</v>
      </c>
      <c r="E2691" s="29" t="s">
        <v>554</v>
      </c>
      <c r="F2691" s="29" t="s">
        <v>284</v>
      </c>
      <c r="G2691" s="25" t="s">
        <v>4433</v>
      </c>
      <c r="H2691" s="26">
        <v>-9.1700000000000004E-2</v>
      </c>
      <c r="I2691" s="26"/>
      <c r="J2691" s="26" t="s">
        <v>512</v>
      </c>
      <c r="K2691" s="25" t="s">
        <v>513</v>
      </c>
    </row>
    <row r="2692" spans="1:11" ht="25.5" x14ac:dyDescent="0.25">
      <c r="A2692" s="22">
        <v>2026</v>
      </c>
      <c r="B2692" s="28" t="s">
        <v>192</v>
      </c>
      <c r="C2692" s="28" t="s">
        <v>97</v>
      </c>
      <c r="D2692" s="28" t="s">
        <v>533</v>
      </c>
      <c r="E2692" s="29" t="s">
        <v>554</v>
      </c>
      <c r="F2692" s="29" t="s">
        <v>284</v>
      </c>
      <c r="G2692" s="25" t="s">
        <v>4434</v>
      </c>
      <c r="H2692" s="26">
        <v>-0.19905</v>
      </c>
      <c r="I2692" s="26"/>
      <c r="J2692" s="26" t="s">
        <v>512</v>
      </c>
      <c r="K2692" s="25" t="s">
        <v>513</v>
      </c>
    </row>
    <row r="2693" spans="1:11" ht="25.5" x14ac:dyDescent="0.25">
      <c r="A2693" s="22">
        <v>2026</v>
      </c>
      <c r="B2693" s="28" t="s">
        <v>192</v>
      </c>
      <c r="C2693" s="28" t="s">
        <v>97</v>
      </c>
      <c r="D2693" s="28" t="s">
        <v>533</v>
      </c>
      <c r="E2693" s="29" t="s">
        <v>554</v>
      </c>
      <c r="F2693" s="29" t="s">
        <v>284</v>
      </c>
      <c r="G2693" s="25" t="s">
        <v>4435</v>
      </c>
      <c r="H2693" s="26">
        <v>-0.19950000000000001</v>
      </c>
      <c r="I2693" s="26"/>
      <c r="J2693" s="26" t="s">
        <v>512</v>
      </c>
      <c r="K2693" s="25" t="s">
        <v>513</v>
      </c>
    </row>
    <row r="2694" spans="1:11" ht="25.5" x14ac:dyDescent="0.25">
      <c r="A2694" s="22">
        <v>2026</v>
      </c>
      <c r="B2694" s="28" t="s">
        <v>192</v>
      </c>
      <c r="C2694" s="28" t="s">
        <v>97</v>
      </c>
      <c r="D2694" s="28" t="s">
        <v>1727</v>
      </c>
      <c r="E2694" s="29" t="s">
        <v>305</v>
      </c>
      <c r="F2694" s="29" t="s">
        <v>903</v>
      </c>
      <c r="G2694" s="25" t="s">
        <v>4436</v>
      </c>
      <c r="H2694" s="26">
        <v>-7.5499999999999998E-2</v>
      </c>
      <c r="I2694" s="26"/>
      <c r="J2694" s="26" t="s">
        <v>514</v>
      </c>
      <c r="K2694" s="25" t="s">
        <v>513</v>
      </c>
    </row>
    <row r="2695" spans="1:11" ht="25.5" x14ac:dyDescent="0.25">
      <c r="A2695" s="22">
        <v>2026</v>
      </c>
      <c r="B2695" s="28" t="s">
        <v>192</v>
      </c>
      <c r="C2695" s="28" t="s">
        <v>97</v>
      </c>
      <c r="D2695" s="28" t="s">
        <v>1727</v>
      </c>
      <c r="E2695" s="29" t="s">
        <v>305</v>
      </c>
      <c r="F2695" s="29" t="s">
        <v>903</v>
      </c>
      <c r="G2695" s="25" t="s">
        <v>4437</v>
      </c>
      <c r="H2695" s="26">
        <v>-7.3635000000000006E-2</v>
      </c>
      <c r="I2695" s="26"/>
      <c r="J2695" s="26" t="s">
        <v>514</v>
      </c>
      <c r="K2695" s="25" t="s">
        <v>513</v>
      </c>
    </row>
    <row r="2696" spans="1:11" ht="25.5" x14ac:dyDescent="0.25">
      <c r="A2696" s="22">
        <v>2026</v>
      </c>
      <c r="B2696" s="28" t="s">
        <v>192</v>
      </c>
      <c r="C2696" s="28" t="s">
        <v>97</v>
      </c>
      <c r="D2696" s="28" t="s">
        <v>1727</v>
      </c>
      <c r="E2696" s="29" t="s">
        <v>305</v>
      </c>
      <c r="F2696" s="29" t="s">
        <v>903</v>
      </c>
      <c r="G2696" s="25" t="s">
        <v>4438</v>
      </c>
      <c r="H2696" s="26">
        <v>-4.6860799999999994E-2</v>
      </c>
      <c r="I2696" s="26"/>
      <c r="J2696" s="26" t="s">
        <v>514</v>
      </c>
      <c r="K2696" s="25" t="s">
        <v>513</v>
      </c>
    </row>
    <row r="2697" spans="1:11" ht="25.5" x14ac:dyDescent="0.25">
      <c r="A2697" s="22">
        <v>2026</v>
      </c>
      <c r="B2697" s="28" t="s">
        <v>192</v>
      </c>
      <c r="C2697" s="28" t="s">
        <v>97</v>
      </c>
      <c r="D2697" s="28" t="s">
        <v>1727</v>
      </c>
      <c r="E2697" s="29" t="s">
        <v>305</v>
      </c>
      <c r="F2697" s="29" t="s">
        <v>903</v>
      </c>
      <c r="G2697" s="25" t="s">
        <v>4439</v>
      </c>
      <c r="H2697" s="26">
        <v>-7.3249999999999996E-2</v>
      </c>
      <c r="I2697" s="26"/>
      <c r="J2697" s="26" t="s">
        <v>514</v>
      </c>
      <c r="K2697" s="25" t="s">
        <v>513</v>
      </c>
    </row>
    <row r="2698" spans="1:11" ht="25.5" x14ac:dyDescent="0.25">
      <c r="A2698" s="22">
        <v>2026</v>
      </c>
      <c r="B2698" s="28" t="s">
        <v>192</v>
      </c>
      <c r="C2698" s="28" t="s">
        <v>97</v>
      </c>
      <c r="D2698" s="28" t="s">
        <v>1727</v>
      </c>
      <c r="E2698" s="29" t="s">
        <v>305</v>
      </c>
      <c r="F2698" s="29" t="s">
        <v>903</v>
      </c>
      <c r="G2698" s="25" t="s">
        <v>4440</v>
      </c>
      <c r="H2698" s="26">
        <v>-0.14585000000000001</v>
      </c>
      <c r="I2698" s="26"/>
      <c r="J2698" s="26" t="s">
        <v>514</v>
      </c>
      <c r="K2698" s="25" t="s">
        <v>513</v>
      </c>
    </row>
    <row r="2699" spans="1:11" ht="25.5" x14ac:dyDescent="0.25">
      <c r="A2699" s="22">
        <v>2026</v>
      </c>
      <c r="B2699" s="28" t="s">
        <v>192</v>
      </c>
      <c r="C2699" s="28" t="s">
        <v>97</v>
      </c>
      <c r="D2699" s="28" t="s">
        <v>1727</v>
      </c>
      <c r="E2699" s="29" t="s">
        <v>305</v>
      </c>
      <c r="F2699" s="29" t="s">
        <v>903</v>
      </c>
      <c r="G2699" s="25" t="s">
        <v>4441</v>
      </c>
      <c r="H2699" s="26">
        <v>-3.9480000000000001E-2</v>
      </c>
      <c r="I2699" s="26"/>
      <c r="J2699" s="26" t="s">
        <v>514</v>
      </c>
      <c r="K2699" s="25" t="s">
        <v>513</v>
      </c>
    </row>
    <row r="2700" spans="1:11" ht="25.5" x14ac:dyDescent="0.25">
      <c r="A2700" s="22">
        <v>2026</v>
      </c>
      <c r="B2700" s="28" t="s">
        <v>192</v>
      </c>
      <c r="C2700" s="28" t="s">
        <v>97</v>
      </c>
      <c r="D2700" s="28" t="s">
        <v>1727</v>
      </c>
      <c r="E2700" s="29" t="s">
        <v>305</v>
      </c>
      <c r="F2700" s="29" t="s">
        <v>903</v>
      </c>
      <c r="G2700" s="25" t="s">
        <v>4442</v>
      </c>
      <c r="H2700" s="26">
        <v>-6.9699999999999998E-2</v>
      </c>
      <c r="I2700" s="26"/>
      <c r="J2700" s="26" t="s">
        <v>514</v>
      </c>
      <c r="K2700" s="25" t="s">
        <v>513</v>
      </c>
    </row>
    <row r="2701" spans="1:11" ht="25.5" x14ac:dyDescent="0.25">
      <c r="A2701" s="22">
        <v>2026</v>
      </c>
      <c r="B2701" s="28" t="s">
        <v>192</v>
      </c>
      <c r="C2701" s="28" t="s">
        <v>97</v>
      </c>
      <c r="D2701" s="28" t="s">
        <v>1727</v>
      </c>
      <c r="E2701" s="29" t="s">
        <v>305</v>
      </c>
      <c r="F2701" s="29" t="s">
        <v>903</v>
      </c>
      <c r="G2701" s="25" t="s">
        <v>4443</v>
      </c>
      <c r="H2701" s="26">
        <v>-2.1000000000000001E-2</v>
      </c>
      <c r="I2701" s="26"/>
      <c r="J2701" s="26" t="s">
        <v>514</v>
      </c>
      <c r="K2701" s="25" t="s">
        <v>513</v>
      </c>
    </row>
    <row r="2702" spans="1:11" ht="25.5" x14ac:dyDescent="0.25">
      <c r="A2702" s="22">
        <v>2026</v>
      </c>
      <c r="B2702" s="28" t="s">
        <v>192</v>
      </c>
      <c r="C2702" s="28" t="s">
        <v>97</v>
      </c>
      <c r="D2702" s="28" t="s">
        <v>1728</v>
      </c>
      <c r="E2702" s="29" t="s">
        <v>1775</v>
      </c>
      <c r="F2702" s="29" t="s">
        <v>374</v>
      </c>
      <c r="G2702" s="25" t="s">
        <v>4444</v>
      </c>
      <c r="H2702" s="26">
        <v>-0.33174999999999999</v>
      </c>
      <c r="I2702" s="26"/>
      <c r="J2702" s="26" t="s">
        <v>514</v>
      </c>
      <c r="K2702" s="25" t="s">
        <v>513</v>
      </c>
    </row>
    <row r="2703" spans="1:11" ht="25.5" x14ac:dyDescent="0.25">
      <c r="A2703" s="22">
        <v>2026</v>
      </c>
      <c r="B2703" s="28" t="s">
        <v>192</v>
      </c>
      <c r="C2703" s="28" t="s">
        <v>97</v>
      </c>
      <c r="D2703" s="28" t="s">
        <v>1728</v>
      </c>
      <c r="E2703" s="29" t="s">
        <v>1775</v>
      </c>
      <c r="F2703" s="29" t="s">
        <v>374</v>
      </c>
      <c r="G2703" s="25" t="s">
        <v>4445</v>
      </c>
      <c r="H2703" s="26">
        <v>-0.29992000000000002</v>
      </c>
      <c r="I2703" s="26"/>
      <c r="J2703" s="26" t="s">
        <v>514</v>
      </c>
      <c r="K2703" s="25" t="s">
        <v>513</v>
      </c>
    </row>
    <row r="2704" spans="1:11" ht="25.5" x14ac:dyDescent="0.25">
      <c r="A2704" s="22">
        <v>2026</v>
      </c>
      <c r="B2704" s="28" t="s">
        <v>192</v>
      </c>
      <c r="C2704" s="28" t="s">
        <v>97</v>
      </c>
      <c r="D2704" s="28" t="s">
        <v>1728</v>
      </c>
      <c r="E2704" s="29" t="s">
        <v>1775</v>
      </c>
      <c r="F2704" s="29" t="s">
        <v>374</v>
      </c>
      <c r="G2704" s="25" t="s">
        <v>4446</v>
      </c>
      <c r="H2704" s="26">
        <v>-0.29831000000000002</v>
      </c>
      <c r="I2704" s="26"/>
      <c r="J2704" s="26" t="s">
        <v>514</v>
      </c>
      <c r="K2704" s="25" t="s">
        <v>513</v>
      </c>
    </row>
    <row r="2705" spans="1:11" ht="25.5" x14ac:dyDescent="0.25">
      <c r="A2705" s="22">
        <v>2026</v>
      </c>
      <c r="B2705" s="28" t="s">
        <v>192</v>
      </c>
      <c r="C2705" s="28" t="s">
        <v>97</v>
      </c>
      <c r="D2705" s="28" t="s">
        <v>1728</v>
      </c>
      <c r="E2705" s="29" t="s">
        <v>1775</v>
      </c>
      <c r="F2705" s="29" t="s">
        <v>374</v>
      </c>
      <c r="G2705" s="25" t="s">
        <v>4447</v>
      </c>
      <c r="H2705" s="26">
        <v>-0.30198999999999998</v>
      </c>
      <c r="I2705" s="26"/>
      <c r="J2705" s="26" t="s">
        <v>514</v>
      </c>
      <c r="K2705" s="25" t="s">
        <v>513</v>
      </c>
    </row>
    <row r="2706" spans="1:11" ht="25.5" x14ac:dyDescent="0.25">
      <c r="A2706" s="22">
        <v>2026</v>
      </c>
      <c r="B2706" s="28" t="s">
        <v>192</v>
      </c>
      <c r="C2706" s="28" t="s">
        <v>97</v>
      </c>
      <c r="D2706" s="28" t="s">
        <v>1728</v>
      </c>
      <c r="E2706" s="29" t="s">
        <v>1775</v>
      </c>
      <c r="F2706" s="29" t="s">
        <v>374</v>
      </c>
      <c r="G2706" s="25" t="s">
        <v>4445</v>
      </c>
      <c r="H2706" s="26">
        <v>-0.29992000000000002</v>
      </c>
      <c r="I2706" s="26"/>
      <c r="J2706" s="26" t="s">
        <v>514</v>
      </c>
      <c r="K2706" s="25" t="s">
        <v>513</v>
      </c>
    </row>
    <row r="2707" spans="1:11" ht="25.5" x14ac:dyDescent="0.25">
      <c r="A2707" s="22">
        <v>2026</v>
      </c>
      <c r="B2707" s="28" t="s">
        <v>192</v>
      </c>
      <c r="C2707" s="28" t="s">
        <v>97</v>
      </c>
      <c r="D2707" s="28" t="s">
        <v>1728</v>
      </c>
      <c r="E2707" s="29" t="s">
        <v>1775</v>
      </c>
      <c r="F2707" s="29" t="s">
        <v>374</v>
      </c>
      <c r="G2707" s="25" t="s">
        <v>4448</v>
      </c>
      <c r="H2707" s="26">
        <v>-0.29785</v>
      </c>
      <c r="I2707" s="26"/>
      <c r="J2707" s="26" t="s">
        <v>514</v>
      </c>
      <c r="K2707" s="25" t="s">
        <v>513</v>
      </c>
    </row>
    <row r="2708" spans="1:11" ht="25.5" x14ac:dyDescent="0.25">
      <c r="A2708" s="22">
        <v>2026</v>
      </c>
      <c r="B2708" s="28" t="s">
        <v>192</v>
      </c>
      <c r="C2708" s="28" t="s">
        <v>97</v>
      </c>
      <c r="D2708" s="28" t="s">
        <v>1728</v>
      </c>
      <c r="E2708" s="29" t="s">
        <v>1775</v>
      </c>
      <c r="F2708" s="29" t="s">
        <v>374</v>
      </c>
      <c r="G2708" s="25" t="s">
        <v>4449</v>
      </c>
      <c r="H2708" s="26">
        <v>-0.30314000000000002</v>
      </c>
      <c r="I2708" s="26"/>
      <c r="J2708" s="26" t="s">
        <v>514</v>
      </c>
      <c r="K2708" s="25" t="s">
        <v>513</v>
      </c>
    </row>
    <row r="2709" spans="1:11" ht="25.5" x14ac:dyDescent="0.25">
      <c r="A2709" s="22">
        <v>2026</v>
      </c>
      <c r="B2709" s="28" t="s">
        <v>192</v>
      </c>
      <c r="C2709" s="28" t="s">
        <v>97</v>
      </c>
      <c r="D2709" s="28" t="s">
        <v>1728</v>
      </c>
      <c r="E2709" s="29" t="s">
        <v>1775</v>
      </c>
      <c r="F2709" s="29" t="s">
        <v>374</v>
      </c>
      <c r="G2709" s="25" t="s">
        <v>4450</v>
      </c>
      <c r="H2709" s="26">
        <v>-0.30221999999999999</v>
      </c>
      <c r="I2709" s="26"/>
      <c r="J2709" s="26" t="s">
        <v>514</v>
      </c>
      <c r="K2709" s="25" t="s">
        <v>513</v>
      </c>
    </row>
    <row r="2710" spans="1:11" ht="25.5" x14ac:dyDescent="0.25">
      <c r="A2710" s="22">
        <v>2026</v>
      </c>
      <c r="B2710" s="28" t="s">
        <v>192</v>
      </c>
      <c r="C2710" s="28" t="s">
        <v>97</v>
      </c>
      <c r="D2710" s="28" t="s">
        <v>1728</v>
      </c>
      <c r="E2710" s="29" t="s">
        <v>1775</v>
      </c>
      <c r="F2710" s="29" t="s">
        <v>374</v>
      </c>
      <c r="G2710" s="25" t="s">
        <v>4451</v>
      </c>
      <c r="H2710" s="26">
        <v>-0.30084</v>
      </c>
      <c r="I2710" s="26"/>
      <c r="J2710" s="26" t="s">
        <v>514</v>
      </c>
      <c r="K2710" s="25" t="s">
        <v>513</v>
      </c>
    </row>
    <row r="2711" spans="1:11" ht="25.5" x14ac:dyDescent="0.25">
      <c r="A2711" s="22">
        <v>2026</v>
      </c>
      <c r="B2711" s="28" t="s">
        <v>192</v>
      </c>
      <c r="C2711" s="28" t="s">
        <v>97</v>
      </c>
      <c r="D2711" s="28" t="s">
        <v>1728</v>
      </c>
      <c r="E2711" s="29" t="s">
        <v>1775</v>
      </c>
      <c r="F2711" s="29" t="s">
        <v>374</v>
      </c>
      <c r="G2711" s="25" t="s">
        <v>4452</v>
      </c>
      <c r="H2711" s="26">
        <v>-0.29923</v>
      </c>
      <c r="I2711" s="26"/>
      <c r="J2711" s="26" t="s">
        <v>514</v>
      </c>
      <c r="K2711" s="25" t="s">
        <v>513</v>
      </c>
    </row>
    <row r="2712" spans="1:11" ht="25.5" x14ac:dyDescent="0.25">
      <c r="A2712" s="22">
        <v>2026</v>
      </c>
      <c r="B2712" s="28" t="s">
        <v>192</v>
      </c>
      <c r="C2712" s="28" t="s">
        <v>97</v>
      </c>
      <c r="D2712" s="28" t="s">
        <v>1728</v>
      </c>
      <c r="E2712" s="29" t="s">
        <v>1775</v>
      </c>
      <c r="F2712" s="29" t="s">
        <v>374</v>
      </c>
      <c r="G2712" s="25" t="s">
        <v>4453</v>
      </c>
      <c r="H2712" s="26">
        <v>-0.30590000000000001</v>
      </c>
      <c r="I2712" s="26"/>
      <c r="J2712" s="26" t="s">
        <v>514</v>
      </c>
      <c r="K2712" s="25" t="s">
        <v>513</v>
      </c>
    </row>
    <row r="2713" spans="1:11" ht="25.5" x14ac:dyDescent="0.25">
      <c r="A2713" s="22">
        <v>2026</v>
      </c>
      <c r="B2713" s="28" t="s">
        <v>192</v>
      </c>
      <c r="C2713" s="28" t="s">
        <v>97</v>
      </c>
      <c r="D2713" s="28" t="s">
        <v>1728</v>
      </c>
      <c r="E2713" s="29" t="s">
        <v>1775</v>
      </c>
      <c r="F2713" s="29" t="s">
        <v>374</v>
      </c>
      <c r="G2713" s="25" t="s">
        <v>4451</v>
      </c>
      <c r="H2713" s="26">
        <v>-0.30084</v>
      </c>
      <c r="I2713" s="26"/>
      <c r="J2713" s="26" t="s">
        <v>514</v>
      </c>
      <c r="K2713" s="25" t="s">
        <v>513</v>
      </c>
    </row>
    <row r="2714" spans="1:11" ht="25.5" x14ac:dyDescent="0.25">
      <c r="A2714" s="22">
        <v>2026</v>
      </c>
      <c r="B2714" s="28" t="s">
        <v>192</v>
      </c>
      <c r="C2714" s="28" t="s">
        <v>97</v>
      </c>
      <c r="D2714" s="28" t="s">
        <v>1728</v>
      </c>
      <c r="E2714" s="29" t="s">
        <v>1775</v>
      </c>
      <c r="F2714" s="29" t="s">
        <v>374</v>
      </c>
      <c r="G2714" s="25" t="s">
        <v>4454</v>
      </c>
      <c r="H2714" s="26">
        <v>-0.29693000000000003</v>
      </c>
      <c r="I2714" s="26"/>
      <c r="J2714" s="26" t="s">
        <v>514</v>
      </c>
      <c r="K2714" s="25" t="s">
        <v>513</v>
      </c>
    </row>
    <row r="2715" spans="1:11" ht="25.5" x14ac:dyDescent="0.25">
      <c r="A2715" s="22">
        <v>2026</v>
      </c>
      <c r="B2715" s="28" t="s">
        <v>192</v>
      </c>
      <c r="C2715" s="28" t="s">
        <v>97</v>
      </c>
      <c r="D2715" s="28" t="s">
        <v>1728</v>
      </c>
      <c r="E2715" s="29" t="s">
        <v>1775</v>
      </c>
      <c r="F2715" s="29" t="s">
        <v>374</v>
      </c>
      <c r="G2715" s="25" t="s">
        <v>4455</v>
      </c>
      <c r="H2715" s="26">
        <v>-0.29003000000000001</v>
      </c>
      <c r="I2715" s="26"/>
      <c r="J2715" s="26" t="s">
        <v>514</v>
      </c>
      <c r="K2715" s="25" t="s">
        <v>513</v>
      </c>
    </row>
    <row r="2716" spans="1:11" ht="25.5" x14ac:dyDescent="0.25">
      <c r="A2716" s="22">
        <v>2026</v>
      </c>
      <c r="B2716" s="28" t="s">
        <v>192</v>
      </c>
      <c r="C2716" s="28" t="s">
        <v>97</v>
      </c>
      <c r="D2716" s="28" t="s">
        <v>1728</v>
      </c>
      <c r="E2716" s="29" t="s">
        <v>1775</v>
      </c>
      <c r="F2716" s="29" t="s">
        <v>374</v>
      </c>
      <c r="G2716" s="25" t="s">
        <v>4456</v>
      </c>
      <c r="H2716" s="26">
        <v>-0.28749999999999998</v>
      </c>
      <c r="I2716" s="26"/>
      <c r="J2716" s="26" t="s">
        <v>514</v>
      </c>
      <c r="K2716" s="25" t="s">
        <v>513</v>
      </c>
    </row>
    <row r="2717" spans="1:11" ht="25.5" x14ac:dyDescent="0.25">
      <c r="A2717" s="22">
        <v>2026</v>
      </c>
      <c r="B2717" s="28" t="s">
        <v>192</v>
      </c>
      <c r="C2717" s="28" t="s">
        <v>97</v>
      </c>
      <c r="D2717" s="28" t="s">
        <v>1728</v>
      </c>
      <c r="E2717" s="29" t="s">
        <v>1775</v>
      </c>
      <c r="F2717" s="29" t="s">
        <v>374</v>
      </c>
      <c r="G2717" s="25" t="s">
        <v>4457</v>
      </c>
      <c r="H2717" s="26">
        <v>-0.29141</v>
      </c>
      <c r="I2717" s="26"/>
      <c r="J2717" s="26" t="s">
        <v>514</v>
      </c>
      <c r="K2717" s="25" t="s">
        <v>513</v>
      </c>
    </row>
    <row r="2718" spans="1:11" ht="25.5" x14ac:dyDescent="0.25">
      <c r="A2718" s="22">
        <v>2026</v>
      </c>
      <c r="B2718" s="28" t="s">
        <v>192</v>
      </c>
      <c r="C2718" s="28" t="s">
        <v>97</v>
      </c>
      <c r="D2718" s="28" t="s">
        <v>1728</v>
      </c>
      <c r="E2718" s="29" t="s">
        <v>1775</v>
      </c>
      <c r="F2718" s="29" t="s">
        <v>374</v>
      </c>
      <c r="G2718" s="25" t="s">
        <v>4458</v>
      </c>
      <c r="H2718" s="26">
        <v>-0.19863522</v>
      </c>
      <c r="I2718" s="26"/>
      <c r="J2718" s="26" t="s">
        <v>514</v>
      </c>
      <c r="K2718" s="25" t="s">
        <v>513</v>
      </c>
    </row>
    <row r="2719" spans="1:11" ht="25.5" x14ac:dyDescent="0.25">
      <c r="A2719" s="22">
        <v>2026</v>
      </c>
      <c r="B2719" s="28" t="s">
        <v>192</v>
      </c>
      <c r="C2719" s="28" t="s">
        <v>97</v>
      </c>
      <c r="D2719" s="28" t="s">
        <v>1728</v>
      </c>
      <c r="E2719" s="29" t="s">
        <v>1775</v>
      </c>
      <c r="F2719" s="29" t="s">
        <v>374</v>
      </c>
      <c r="G2719" s="25" t="s">
        <v>4459</v>
      </c>
      <c r="H2719" s="26">
        <v>-0.63249999999999995</v>
      </c>
      <c r="I2719" s="26"/>
      <c r="J2719" s="26" t="s">
        <v>514</v>
      </c>
      <c r="K2719" s="25" t="s">
        <v>513</v>
      </c>
    </row>
    <row r="2720" spans="1:11" ht="25.5" x14ac:dyDescent="0.25">
      <c r="A2720" s="22">
        <v>2026</v>
      </c>
      <c r="B2720" s="28" t="s">
        <v>192</v>
      </c>
      <c r="C2720" s="28" t="s">
        <v>97</v>
      </c>
      <c r="D2720" s="28" t="s">
        <v>1728</v>
      </c>
      <c r="E2720" s="29" t="s">
        <v>1775</v>
      </c>
      <c r="F2720" s="29" t="s">
        <v>374</v>
      </c>
      <c r="G2720" s="25" t="s">
        <v>4460</v>
      </c>
      <c r="H2720" s="26">
        <v>-0.316</v>
      </c>
      <c r="I2720" s="26"/>
      <c r="J2720" s="26" t="s">
        <v>514</v>
      </c>
      <c r="K2720" s="25" t="s">
        <v>513</v>
      </c>
    </row>
    <row r="2721" spans="1:11" ht="25.5" x14ac:dyDescent="0.25">
      <c r="A2721" s="22">
        <v>2026</v>
      </c>
      <c r="B2721" s="28" t="s">
        <v>192</v>
      </c>
      <c r="C2721" s="28" t="s">
        <v>97</v>
      </c>
      <c r="D2721" s="28" t="s">
        <v>1728</v>
      </c>
      <c r="E2721" s="29" t="s">
        <v>1775</v>
      </c>
      <c r="F2721" s="29" t="s">
        <v>374</v>
      </c>
      <c r="G2721" s="25" t="s">
        <v>4461</v>
      </c>
      <c r="H2721" s="26">
        <v>-0.12839999999999999</v>
      </c>
      <c r="I2721" s="26"/>
      <c r="J2721" s="26" t="s">
        <v>514</v>
      </c>
      <c r="K2721" s="25" t="s">
        <v>513</v>
      </c>
    </row>
    <row r="2722" spans="1:11" ht="25.5" x14ac:dyDescent="0.25">
      <c r="A2722" s="22">
        <v>2026</v>
      </c>
      <c r="B2722" s="28" t="s">
        <v>192</v>
      </c>
      <c r="C2722" s="28" t="s">
        <v>97</v>
      </c>
      <c r="D2722" s="28" t="s">
        <v>1729</v>
      </c>
      <c r="E2722" s="29" t="s">
        <v>334</v>
      </c>
      <c r="F2722" s="29" t="s">
        <v>937</v>
      </c>
      <c r="G2722" s="25" t="s">
        <v>4462</v>
      </c>
      <c r="H2722" s="26">
        <v>-0.10874999999999999</v>
      </c>
      <c r="I2722" s="26"/>
      <c r="J2722" s="26" t="s">
        <v>512</v>
      </c>
      <c r="K2722" s="25" t="s">
        <v>513</v>
      </c>
    </row>
    <row r="2723" spans="1:11" ht="25.5" x14ac:dyDescent="0.25">
      <c r="A2723" s="22">
        <v>2026</v>
      </c>
      <c r="B2723" s="28" t="s">
        <v>192</v>
      </c>
      <c r="C2723" s="28" t="s">
        <v>97</v>
      </c>
      <c r="D2723" s="28" t="s">
        <v>1729</v>
      </c>
      <c r="E2723" s="29" t="s">
        <v>334</v>
      </c>
      <c r="F2723" s="29" t="s">
        <v>937</v>
      </c>
      <c r="G2723" s="25" t="s">
        <v>4463</v>
      </c>
      <c r="H2723" s="26">
        <v>-0.21800000000000003</v>
      </c>
      <c r="I2723" s="26"/>
      <c r="J2723" s="26" t="s">
        <v>512</v>
      </c>
      <c r="K2723" s="25" t="s">
        <v>513</v>
      </c>
    </row>
    <row r="2724" spans="1:11" ht="25.5" x14ac:dyDescent="0.25">
      <c r="A2724" s="22">
        <v>2026</v>
      </c>
      <c r="B2724" s="28" t="s">
        <v>192</v>
      </c>
      <c r="C2724" s="28" t="s">
        <v>97</v>
      </c>
      <c r="D2724" s="28" t="s">
        <v>1729</v>
      </c>
      <c r="E2724" s="29" t="s">
        <v>334</v>
      </c>
      <c r="F2724" s="29" t="s">
        <v>937</v>
      </c>
      <c r="G2724" s="25" t="s">
        <v>4464</v>
      </c>
      <c r="H2724" s="26">
        <v>-0.21349999999999997</v>
      </c>
      <c r="I2724" s="26"/>
      <c r="J2724" s="26" t="s">
        <v>512</v>
      </c>
      <c r="K2724" s="25" t="s">
        <v>513</v>
      </c>
    </row>
    <row r="2725" spans="1:11" ht="25.5" x14ac:dyDescent="0.25">
      <c r="A2725" s="22">
        <v>2026</v>
      </c>
      <c r="B2725" s="28" t="s">
        <v>192</v>
      </c>
      <c r="C2725" s="28" t="s">
        <v>97</v>
      </c>
      <c r="D2725" s="28" t="s">
        <v>1729</v>
      </c>
      <c r="E2725" s="29" t="s">
        <v>334</v>
      </c>
      <c r="F2725" s="29" t="s">
        <v>937</v>
      </c>
      <c r="G2725" s="25" t="s">
        <v>4465</v>
      </c>
      <c r="H2725" s="26">
        <v>-0.31874999999999998</v>
      </c>
      <c r="I2725" s="26"/>
      <c r="J2725" s="26" t="s">
        <v>512</v>
      </c>
      <c r="K2725" s="25" t="s">
        <v>513</v>
      </c>
    </row>
    <row r="2726" spans="1:11" ht="25.5" x14ac:dyDescent="0.25">
      <c r="A2726" s="22">
        <v>2026</v>
      </c>
      <c r="B2726" s="28" t="s">
        <v>192</v>
      </c>
      <c r="C2726" s="28" t="s">
        <v>97</v>
      </c>
      <c r="D2726" s="28" t="s">
        <v>1729</v>
      </c>
      <c r="E2726" s="29" t="s">
        <v>334</v>
      </c>
      <c r="F2726" s="29" t="s">
        <v>937</v>
      </c>
      <c r="G2726" s="25" t="s">
        <v>4466</v>
      </c>
      <c r="H2726" s="26">
        <v>-8.6999999999999994E-2</v>
      </c>
      <c r="I2726" s="26"/>
      <c r="J2726" s="26" t="s">
        <v>512</v>
      </c>
      <c r="K2726" s="25" t="s">
        <v>513</v>
      </c>
    </row>
    <row r="2727" spans="1:11" ht="25.5" x14ac:dyDescent="0.25">
      <c r="A2727" s="22">
        <v>2026</v>
      </c>
      <c r="B2727" s="28" t="s">
        <v>192</v>
      </c>
      <c r="C2727" s="28" t="s">
        <v>97</v>
      </c>
      <c r="D2727" s="28" t="s">
        <v>1729</v>
      </c>
      <c r="E2727" s="29" t="s">
        <v>334</v>
      </c>
      <c r="F2727" s="29" t="s">
        <v>937</v>
      </c>
      <c r="G2727" s="25" t="s">
        <v>4467</v>
      </c>
      <c r="H2727" s="26">
        <v>-0.10825</v>
      </c>
      <c r="I2727" s="26"/>
      <c r="J2727" s="26" t="s">
        <v>512</v>
      </c>
      <c r="K2727" s="25" t="s">
        <v>513</v>
      </c>
    </row>
    <row r="2728" spans="1:11" ht="25.5" x14ac:dyDescent="0.25">
      <c r="A2728" s="22">
        <v>2026</v>
      </c>
      <c r="B2728" s="28" t="s">
        <v>192</v>
      </c>
      <c r="C2728" s="28" t="s">
        <v>97</v>
      </c>
      <c r="D2728" s="28" t="s">
        <v>1729</v>
      </c>
      <c r="E2728" s="29" t="s">
        <v>334</v>
      </c>
      <c r="F2728" s="29" t="s">
        <v>937</v>
      </c>
      <c r="G2728" s="25" t="s">
        <v>4468</v>
      </c>
      <c r="H2728" s="26">
        <v>-4.2300000000000004E-2</v>
      </c>
      <c r="I2728" s="26"/>
      <c r="J2728" s="26" t="s">
        <v>512</v>
      </c>
      <c r="K2728" s="25" t="s">
        <v>513</v>
      </c>
    </row>
    <row r="2729" spans="1:11" ht="25.5" x14ac:dyDescent="0.25">
      <c r="A2729" s="22">
        <v>2026</v>
      </c>
      <c r="B2729" s="28" t="s">
        <v>192</v>
      </c>
      <c r="C2729" s="28" t="s">
        <v>97</v>
      </c>
      <c r="D2729" s="28" t="s">
        <v>1729</v>
      </c>
      <c r="E2729" s="29" t="s">
        <v>334</v>
      </c>
      <c r="F2729" s="29" t="s">
        <v>937</v>
      </c>
      <c r="G2729" s="25" t="s">
        <v>4469</v>
      </c>
      <c r="H2729" s="26">
        <v>-0.20950000000000002</v>
      </c>
      <c r="I2729" s="26"/>
      <c r="J2729" s="26" t="s">
        <v>512</v>
      </c>
      <c r="K2729" s="25" t="s">
        <v>513</v>
      </c>
    </row>
    <row r="2730" spans="1:11" ht="25.5" x14ac:dyDescent="0.25">
      <c r="A2730" s="22">
        <v>2026</v>
      </c>
      <c r="B2730" s="28" t="s">
        <v>192</v>
      </c>
      <c r="C2730" s="28" t="s">
        <v>97</v>
      </c>
      <c r="D2730" s="28" t="s">
        <v>1729</v>
      </c>
      <c r="E2730" s="29" t="s">
        <v>334</v>
      </c>
      <c r="F2730" s="29" t="s">
        <v>937</v>
      </c>
      <c r="G2730" s="25" t="s">
        <v>4470</v>
      </c>
      <c r="H2730" s="26">
        <v>-0.14524999999999999</v>
      </c>
      <c r="I2730" s="26"/>
      <c r="J2730" s="26" t="s">
        <v>512</v>
      </c>
      <c r="K2730" s="25" t="s">
        <v>513</v>
      </c>
    </row>
    <row r="2731" spans="1:11" ht="25.5" x14ac:dyDescent="0.25">
      <c r="A2731" s="22">
        <v>2026</v>
      </c>
      <c r="B2731" s="28" t="s">
        <v>192</v>
      </c>
      <c r="C2731" s="28" t="s">
        <v>97</v>
      </c>
      <c r="D2731" s="28" t="s">
        <v>1729</v>
      </c>
      <c r="E2731" s="29" t="s">
        <v>334</v>
      </c>
      <c r="F2731" s="29" t="s">
        <v>937</v>
      </c>
      <c r="G2731" s="25" t="s">
        <v>4471</v>
      </c>
      <c r="H2731" s="26">
        <v>-0.20750000000000002</v>
      </c>
      <c r="I2731" s="26"/>
      <c r="J2731" s="26" t="s">
        <v>512</v>
      </c>
      <c r="K2731" s="25" t="s">
        <v>513</v>
      </c>
    </row>
    <row r="2732" spans="1:11" ht="25.5" x14ac:dyDescent="0.25">
      <c r="A2732" s="22">
        <v>2026</v>
      </c>
      <c r="B2732" s="28" t="s">
        <v>192</v>
      </c>
      <c r="C2732" s="28" t="s">
        <v>97</v>
      </c>
      <c r="D2732" s="28" t="s">
        <v>1729</v>
      </c>
      <c r="E2732" s="29" t="s">
        <v>334</v>
      </c>
      <c r="F2732" s="29" t="s">
        <v>937</v>
      </c>
      <c r="G2732" s="25" t="s">
        <v>4472</v>
      </c>
      <c r="H2732" s="26">
        <v>-0.20550000000000002</v>
      </c>
      <c r="I2732" s="26"/>
      <c r="J2732" s="26" t="s">
        <v>512</v>
      </c>
      <c r="K2732" s="25" t="s">
        <v>513</v>
      </c>
    </row>
    <row r="2733" spans="1:11" ht="25.5" x14ac:dyDescent="0.25">
      <c r="A2733" s="22">
        <v>2026</v>
      </c>
      <c r="B2733" s="28" t="s">
        <v>192</v>
      </c>
      <c r="C2733" s="28" t="s">
        <v>97</v>
      </c>
      <c r="D2733" s="28" t="s">
        <v>1729</v>
      </c>
      <c r="E2733" s="29" t="s">
        <v>334</v>
      </c>
      <c r="F2733" s="29" t="s">
        <v>937</v>
      </c>
      <c r="G2733" s="25" t="s">
        <v>4473</v>
      </c>
      <c r="H2733" s="26">
        <v>-0.13563</v>
      </c>
      <c r="I2733" s="26"/>
      <c r="J2733" s="26" t="s">
        <v>512</v>
      </c>
      <c r="K2733" s="25" t="s">
        <v>513</v>
      </c>
    </row>
    <row r="2734" spans="1:11" ht="25.5" x14ac:dyDescent="0.25">
      <c r="A2734" s="22">
        <v>2026</v>
      </c>
      <c r="B2734" s="28" t="s">
        <v>192</v>
      </c>
      <c r="C2734" s="28" t="s">
        <v>97</v>
      </c>
      <c r="D2734" s="28" t="s">
        <v>1730</v>
      </c>
      <c r="E2734" s="29" t="s">
        <v>309</v>
      </c>
      <c r="F2734" s="29" t="s">
        <v>1274</v>
      </c>
      <c r="G2734" s="25" t="s">
        <v>4474</v>
      </c>
      <c r="H2734" s="26">
        <v>-0.54525877499999997</v>
      </c>
      <c r="I2734" s="26"/>
      <c r="J2734" s="26" t="s">
        <v>512</v>
      </c>
      <c r="K2734" s="25" t="s">
        <v>513</v>
      </c>
    </row>
    <row r="2735" spans="1:11" ht="25.5" x14ac:dyDescent="0.25">
      <c r="A2735" s="22">
        <v>2026</v>
      </c>
      <c r="B2735" s="28" t="s">
        <v>192</v>
      </c>
      <c r="C2735" s="28" t="s">
        <v>97</v>
      </c>
      <c r="D2735" s="28" t="s">
        <v>1730</v>
      </c>
      <c r="E2735" s="29" t="s">
        <v>309</v>
      </c>
      <c r="F2735" s="29" t="s">
        <v>1274</v>
      </c>
      <c r="G2735" s="25" t="s">
        <v>4475</v>
      </c>
      <c r="H2735" s="26">
        <v>-0.83552249999999995</v>
      </c>
      <c r="I2735" s="26"/>
      <c r="J2735" s="26" t="s">
        <v>512</v>
      </c>
      <c r="K2735" s="25" t="s">
        <v>513</v>
      </c>
    </row>
    <row r="2736" spans="1:11" ht="25.5" x14ac:dyDescent="0.25">
      <c r="A2736" s="22">
        <v>2026</v>
      </c>
      <c r="B2736" s="28" t="s">
        <v>192</v>
      </c>
      <c r="C2736" s="28" t="s">
        <v>97</v>
      </c>
      <c r="D2736" s="28" t="s">
        <v>1730</v>
      </c>
      <c r="E2736" s="29" t="s">
        <v>309</v>
      </c>
      <c r="F2736" s="29" t="s">
        <v>1274</v>
      </c>
      <c r="G2736" s="25" t="s">
        <v>4476</v>
      </c>
      <c r="H2736" s="26">
        <v>-0.61588165750000001</v>
      </c>
      <c r="I2736" s="26"/>
      <c r="J2736" s="26" t="s">
        <v>512</v>
      </c>
      <c r="K2736" s="25" t="s">
        <v>513</v>
      </c>
    </row>
    <row r="2737" spans="1:11" ht="25.5" x14ac:dyDescent="0.25">
      <c r="A2737" s="22">
        <v>2026</v>
      </c>
      <c r="B2737" s="28" t="s">
        <v>192</v>
      </c>
      <c r="C2737" s="28" t="s">
        <v>97</v>
      </c>
      <c r="D2737" s="28" t="s">
        <v>1730</v>
      </c>
      <c r="E2737" s="29" t="s">
        <v>309</v>
      </c>
      <c r="F2737" s="29" t="s">
        <v>1274</v>
      </c>
      <c r="G2737" s="25" t="s">
        <v>4477</v>
      </c>
      <c r="H2737" s="26">
        <v>-1.1314599999999999</v>
      </c>
      <c r="I2737" s="26"/>
      <c r="J2737" s="26" t="s">
        <v>512</v>
      </c>
      <c r="K2737" s="25" t="s">
        <v>513</v>
      </c>
    </row>
    <row r="2738" spans="1:11" ht="25.5" x14ac:dyDescent="0.25">
      <c r="A2738" s="22">
        <v>2026</v>
      </c>
      <c r="B2738" s="28" t="s">
        <v>192</v>
      </c>
      <c r="C2738" s="28" t="s">
        <v>97</v>
      </c>
      <c r="D2738" s="28" t="s">
        <v>1730</v>
      </c>
      <c r="E2738" s="29" t="s">
        <v>309</v>
      </c>
      <c r="F2738" s="29" t="s">
        <v>1274</v>
      </c>
      <c r="G2738" s="25" t="s">
        <v>4478</v>
      </c>
      <c r="H2738" s="26">
        <v>-1.1081000000000001</v>
      </c>
      <c r="I2738" s="26"/>
      <c r="J2738" s="26" t="s">
        <v>512</v>
      </c>
      <c r="K2738" s="25" t="s">
        <v>513</v>
      </c>
    </row>
    <row r="2739" spans="1:11" ht="25.5" x14ac:dyDescent="0.25">
      <c r="A2739" s="22">
        <v>2026</v>
      </c>
      <c r="B2739" s="28" t="s">
        <v>192</v>
      </c>
      <c r="C2739" s="28" t="s">
        <v>97</v>
      </c>
      <c r="D2739" s="28" t="s">
        <v>1730</v>
      </c>
      <c r="E2739" s="29" t="s">
        <v>309</v>
      </c>
      <c r="F2739" s="29" t="s">
        <v>1274</v>
      </c>
      <c r="G2739" s="25" t="s">
        <v>4479</v>
      </c>
      <c r="H2739" s="26">
        <v>-0.54559999999999997</v>
      </c>
      <c r="I2739" s="26"/>
      <c r="J2739" s="26" t="s">
        <v>512</v>
      </c>
      <c r="K2739" s="25" t="s">
        <v>513</v>
      </c>
    </row>
    <row r="2740" spans="1:11" ht="25.5" x14ac:dyDescent="0.25">
      <c r="A2740" s="22">
        <v>2026</v>
      </c>
      <c r="B2740" s="28" t="s">
        <v>192</v>
      </c>
      <c r="C2740" s="28" t="s">
        <v>97</v>
      </c>
      <c r="D2740" s="28" t="s">
        <v>1730</v>
      </c>
      <c r="E2740" s="29" t="s">
        <v>309</v>
      </c>
      <c r="F2740" s="29" t="s">
        <v>1274</v>
      </c>
      <c r="G2740" s="25" t="s">
        <v>4480</v>
      </c>
      <c r="H2740" s="26">
        <v>-1.3870499999999999</v>
      </c>
      <c r="I2740" s="26"/>
      <c r="J2740" s="26" t="s">
        <v>512</v>
      </c>
      <c r="K2740" s="25" t="s">
        <v>513</v>
      </c>
    </row>
    <row r="2741" spans="1:11" ht="25.5" x14ac:dyDescent="0.25">
      <c r="A2741" s="22">
        <v>2026</v>
      </c>
      <c r="B2741" s="28" t="s">
        <v>192</v>
      </c>
      <c r="C2741" s="28" t="s">
        <v>97</v>
      </c>
      <c r="D2741" s="28" t="s">
        <v>1730</v>
      </c>
      <c r="E2741" s="29" t="s">
        <v>309</v>
      </c>
      <c r="F2741" s="29" t="s">
        <v>1274</v>
      </c>
      <c r="G2741" s="25" t="s">
        <v>4481</v>
      </c>
      <c r="H2741" s="26">
        <v>-1.9418699999999998</v>
      </c>
      <c r="I2741" s="26"/>
      <c r="J2741" s="26" t="s">
        <v>512</v>
      </c>
      <c r="K2741" s="25" t="s">
        <v>513</v>
      </c>
    </row>
    <row r="2742" spans="1:11" ht="25.5" x14ac:dyDescent="0.25">
      <c r="A2742" s="22">
        <v>2026</v>
      </c>
      <c r="B2742" s="28" t="s">
        <v>192</v>
      </c>
      <c r="C2742" s="28" t="s">
        <v>97</v>
      </c>
      <c r="D2742" s="28" t="s">
        <v>1730</v>
      </c>
      <c r="E2742" s="29" t="s">
        <v>309</v>
      </c>
      <c r="F2742" s="29" t="s">
        <v>1274</v>
      </c>
      <c r="G2742" s="25" t="s">
        <v>4482</v>
      </c>
      <c r="H2742" s="26">
        <v>-1.3833124999999999</v>
      </c>
      <c r="I2742" s="26"/>
      <c r="J2742" s="26" t="s">
        <v>512</v>
      </c>
      <c r="K2742" s="25" t="s">
        <v>513</v>
      </c>
    </row>
    <row r="2743" spans="1:11" ht="25.5" x14ac:dyDescent="0.25">
      <c r="A2743" s="22">
        <v>2026</v>
      </c>
      <c r="B2743" s="28" t="s">
        <v>192</v>
      </c>
      <c r="C2743" s="28" t="s">
        <v>97</v>
      </c>
      <c r="D2743" s="28" t="s">
        <v>1730</v>
      </c>
      <c r="E2743" s="29" t="s">
        <v>309</v>
      </c>
      <c r="F2743" s="29" t="s">
        <v>1274</v>
      </c>
      <c r="G2743" s="25" t="s">
        <v>4483</v>
      </c>
      <c r="H2743" s="26">
        <v>-1.9385975</v>
      </c>
      <c r="I2743" s="26"/>
      <c r="J2743" s="26" t="s">
        <v>512</v>
      </c>
      <c r="K2743" s="25" t="s">
        <v>513</v>
      </c>
    </row>
    <row r="2744" spans="1:11" ht="25.5" x14ac:dyDescent="0.25">
      <c r="A2744" s="22">
        <v>2026</v>
      </c>
      <c r="B2744" s="28" t="s">
        <v>192</v>
      </c>
      <c r="C2744" s="28" t="s">
        <v>97</v>
      </c>
      <c r="D2744" s="28" t="s">
        <v>1730</v>
      </c>
      <c r="E2744" s="29" t="s">
        <v>309</v>
      </c>
      <c r="F2744" s="29" t="s">
        <v>1274</v>
      </c>
      <c r="G2744" s="25" t="s">
        <v>4484</v>
      </c>
      <c r="H2744" s="26">
        <v>-1.3861625</v>
      </c>
      <c r="I2744" s="26"/>
      <c r="J2744" s="26" t="s">
        <v>512</v>
      </c>
      <c r="K2744" s="25" t="s">
        <v>513</v>
      </c>
    </row>
    <row r="2745" spans="1:11" ht="25.5" x14ac:dyDescent="0.25">
      <c r="A2745" s="22">
        <v>2026</v>
      </c>
      <c r="B2745" s="28" t="s">
        <v>192</v>
      </c>
      <c r="C2745" s="28" t="s">
        <v>97</v>
      </c>
      <c r="D2745" s="28" t="s">
        <v>1730</v>
      </c>
      <c r="E2745" s="29" t="s">
        <v>309</v>
      </c>
      <c r="F2745" s="29" t="s">
        <v>1274</v>
      </c>
      <c r="G2745" s="25" t="s">
        <v>4485</v>
      </c>
      <c r="H2745" s="26">
        <v>-1.1093500000000001</v>
      </c>
      <c r="I2745" s="26"/>
      <c r="J2745" s="26" t="s">
        <v>512</v>
      </c>
      <c r="K2745" s="25" t="s">
        <v>513</v>
      </c>
    </row>
    <row r="2746" spans="1:11" ht="25.5" x14ac:dyDescent="0.25">
      <c r="A2746" s="22">
        <v>2026</v>
      </c>
      <c r="B2746" s="28" t="s">
        <v>192</v>
      </c>
      <c r="C2746" s="28" t="s">
        <v>97</v>
      </c>
      <c r="D2746" s="28" t="s">
        <v>1730</v>
      </c>
      <c r="E2746" s="29" t="s">
        <v>309</v>
      </c>
      <c r="F2746" s="29" t="s">
        <v>1274</v>
      </c>
      <c r="G2746" s="25" t="s">
        <v>4486</v>
      </c>
      <c r="H2746" s="26">
        <v>-0.80307746250000001</v>
      </c>
      <c r="I2746" s="26"/>
      <c r="J2746" s="26" t="s">
        <v>512</v>
      </c>
      <c r="K2746" s="25" t="s">
        <v>513</v>
      </c>
    </row>
    <row r="2747" spans="1:11" ht="25.5" x14ac:dyDescent="0.25">
      <c r="A2747" s="22">
        <v>2026</v>
      </c>
      <c r="B2747" s="28" t="s">
        <v>192</v>
      </c>
      <c r="C2747" s="28" t="s">
        <v>97</v>
      </c>
      <c r="D2747" s="28" t="s">
        <v>1730</v>
      </c>
      <c r="E2747" s="29" t="s">
        <v>309</v>
      </c>
      <c r="F2747" s="29" t="s">
        <v>1274</v>
      </c>
      <c r="G2747" s="25" t="s">
        <v>4487</v>
      </c>
      <c r="H2747" s="26">
        <v>-1.0746</v>
      </c>
      <c r="I2747" s="26"/>
      <c r="J2747" s="26" t="s">
        <v>512</v>
      </c>
      <c r="K2747" s="25" t="s">
        <v>513</v>
      </c>
    </row>
    <row r="2748" spans="1:11" ht="25.5" x14ac:dyDescent="0.25">
      <c r="A2748" s="22">
        <v>2026</v>
      </c>
      <c r="B2748" s="28" t="s">
        <v>192</v>
      </c>
      <c r="C2748" s="28" t="s">
        <v>97</v>
      </c>
      <c r="D2748" s="28" t="s">
        <v>1730</v>
      </c>
      <c r="E2748" s="29" t="s">
        <v>309</v>
      </c>
      <c r="F2748" s="29" t="s">
        <v>1274</v>
      </c>
      <c r="G2748" s="25" t="s">
        <v>4488</v>
      </c>
      <c r="H2748" s="26">
        <v>-1.0790299999999999</v>
      </c>
      <c r="I2748" s="26"/>
      <c r="J2748" s="26" t="s">
        <v>512</v>
      </c>
      <c r="K2748" s="25" t="s">
        <v>513</v>
      </c>
    </row>
    <row r="2749" spans="1:11" ht="25.5" x14ac:dyDescent="0.25">
      <c r="A2749" s="22">
        <v>2026</v>
      </c>
      <c r="B2749" s="28" t="s">
        <v>192</v>
      </c>
      <c r="C2749" s="28" t="s">
        <v>97</v>
      </c>
      <c r="D2749" s="28" t="s">
        <v>1730</v>
      </c>
      <c r="E2749" s="29" t="s">
        <v>309</v>
      </c>
      <c r="F2749" s="29" t="s">
        <v>1274</v>
      </c>
      <c r="G2749" s="25" t="s">
        <v>4489</v>
      </c>
      <c r="H2749" s="26">
        <v>-0.5393</v>
      </c>
      <c r="I2749" s="26"/>
      <c r="J2749" s="26" t="s">
        <v>512</v>
      </c>
      <c r="K2749" s="25" t="s">
        <v>513</v>
      </c>
    </row>
    <row r="2750" spans="1:11" ht="25.5" x14ac:dyDescent="0.25">
      <c r="A2750" s="22">
        <v>2026</v>
      </c>
      <c r="B2750" s="28" t="s">
        <v>192</v>
      </c>
      <c r="C2750" s="28" t="s">
        <v>97</v>
      </c>
      <c r="D2750" s="28" t="s">
        <v>1730</v>
      </c>
      <c r="E2750" s="29" t="s">
        <v>309</v>
      </c>
      <c r="F2750" s="29" t="s">
        <v>1274</v>
      </c>
      <c r="G2750" s="25" t="s">
        <v>4490</v>
      </c>
      <c r="H2750" s="26">
        <v>-0.42067052510000003</v>
      </c>
      <c r="I2750" s="26"/>
      <c r="J2750" s="26" t="s">
        <v>512</v>
      </c>
      <c r="K2750" s="25" t="s">
        <v>513</v>
      </c>
    </row>
    <row r="2751" spans="1:11" ht="25.5" x14ac:dyDescent="0.25">
      <c r="A2751" s="22">
        <v>2026</v>
      </c>
      <c r="B2751" s="28" t="s">
        <v>192</v>
      </c>
      <c r="C2751" s="28" t="s">
        <v>97</v>
      </c>
      <c r="D2751" s="28" t="s">
        <v>1730</v>
      </c>
      <c r="E2751" s="29" t="s">
        <v>309</v>
      </c>
      <c r="F2751" s="29" t="s">
        <v>1274</v>
      </c>
      <c r="G2751" s="25" t="s">
        <v>4491</v>
      </c>
      <c r="H2751" s="26">
        <v>-0.79408500000000004</v>
      </c>
      <c r="I2751" s="26"/>
      <c r="J2751" s="26" t="s">
        <v>512</v>
      </c>
      <c r="K2751" s="25" t="s">
        <v>513</v>
      </c>
    </row>
    <row r="2752" spans="1:11" ht="25.5" x14ac:dyDescent="0.25">
      <c r="A2752" s="22">
        <v>2026</v>
      </c>
      <c r="B2752" s="28" t="s">
        <v>192</v>
      </c>
      <c r="C2752" s="28" t="s">
        <v>97</v>
      </c>
      <c r="D2752" s="28" t="s">
        <v>1730</v>
      </c>
      <c r="E2752" s="29" t="s">
        <v>309</v>
      </c>
      <c r="F2752" s="29" t="s">
        <v>1274</v>
      </c>
      <c r="G2752" s="25" t="s">
        <v>4492</v>
      </c>
      <c r="H2752" s="26">
        <v>-0.98253241680000014</v>
      </c>
      <c r="I2752" s="26"/>
      <c r="J2752" s="26" t="s">
        <v>512</v>
      </c>
      <c r="K2752" s="25" t="s">
        <v>513</v>
      </c>
    </row>
    <row r="2753" spans="1:11" ht="25.5" x14ac:dyDescent="0.25">
      <c r="A2753" s="22">
        <v>2026</v>
      </c>
      <c r="B2753" s="28" t="s">
        <v>192</v>
      </c>
      <c r="C2753" s="28" t="s">
        <v>97</v>
      </c>
      <c r="D2753" s="28" t="s">
        <v>1731</v>
      </c>
      <c r="E2753" s="29" t="s">
        <v>309</v>
      </c>
      <c r="F2753" s="29" t="s">
        <v>1762</v>
      </c>
      <c r="G2753" s="25" t="s">
        <v>4493</v>
      </c>
      <c r="H2753" s="26">
        <v>-0.69877500000000003</v>
      </c>
      <c r="I2753" s="26"/>
      <c r="J2753" s="26" t="s">
        <v>512</v>
      </c>
      <c r="K2753" s="25" t="s">
        <v>513</v>
      </c>
    </row>
    <row r="2754" spans="1:11" ht="25.5" x14ac:dyDescent="0.25">
      <c r="A2754" s="22">
        <v>2026</v>
      </c>
      <c r="B2754" s="28" t="s">
        <v>192</v>
      </c>
      <c r="C2754" s="28" t="s">
        <v>97</v>
      </c>
      <c r="D2754" s="28" t="s">
        <v>1731</v>
      </c>
      <c r="E2754" s="29" t="s">
        <v>309</v>
      </c>
      <c r="F2754" s="29" t="s">
        <v>1762</v>
      </c>
      <c r="G2754" s="25" t="s">
        <v>4494</v>
      </c>
      <c r="H2754" s="26">
        <v>-0.31008369050000001</v>
      </c>
      <c r="I2754" s="26"/>
      <c r="J2754" s="26" t="s">
        <v>512</v>
      </c>
      <c r="K2754" s="25" t="s">
        <v>513</v>
      </c>
    </row>
    <row r="2755" spans="1:11" ht="25.5" x14ac:dyDescent="0.25">
      <c r="A2755" s="22">
        <v>2026</v>
      </c>
      <c r="B2755" s="28" t="s">
        <v>192</v>
      </c>
      <c r="C2755" s="28" t="s">
        <v>97</v>
      </c>
      <c r="D2755" s="28" t="s">
        <v>1731</v>
      </c>
      <c r="E2755" s="29" t="s">
        <v>309</v>
      </c>
      <c r="F2755" s="29" t="s">
        <v>1762</v>
      </c>
      <c r="G2755" s="25" t="s">
        <v>4495</v>
      </c>
      <c r="H2755" s="26">
        <v>-0.43125000000000002</v>
      </c>
      <c r="I2755" s="26"/>
      <c r="J2755" s="26" t="s">
        <v>512</v>
      </c>
      <c r="K2755" s="25" t="s">
        <v>513</v>
      </c>
    </row>
    <row r="2756" spans="1:11" ht="25.5" x14ac:dyDescent="0.25">
      <c r="A2756" s="22">
        <v>2026</v>
      </c>
      <c r="B2756" s="28" t="s">
        <v>192</v>
      </c>
      <c r="C2756" s="28" t="s">
        <v>97</v>
      </c>
      <c r="D2756" s="28" t="s">
        <v>1731</v>
      </c>
      <c r="E2756" s="29" t="s">
        <v>309</v>
      </c>
      <c r="F2756" s="29" t="s">
        <v>1762</v>
      </c>
      <c r="G2756" s="25" t="s">
        <v>4496</v>
      </c>
      <c r="H2756" s="26">
        <v>-0.36458750000000001</v>
      </c>
      <c r="I2756" s="26"/>
      <c r="J2756" s="26" t="s">
        <v>512</v>
      </c>
      <c r="K2756" s="25" t="s">
        <v>513</v>
      </c>
    </row>
    <row r="2757" spans="1:11" ht="25.5" x14ac:dyDescent="0.25">
      <c r="A2757" s="22">
        <v>2026</v>
      </c>
      <c r="B2757" s="28" t="s">
        <v>192</v>
      </c>
      <c r="C2757" s="28" t="s">
        <v>97</v>
      </c>
      <c r="D2757" s="28" t="s">
        <v>1731</v>
      </c>
      <c r="E2757" s="29" t="s">
        <v>309</v>
      </c>
      <c r="F2757" s="29" t="s">
        <v>1762</v>
      </c>
      <c r="G2757" s="25" t="s">
        <v>4497</v>
      </c>
      <c r="H2757" s="26">
        <v>-0.72360000000000002</v>
      </c>
      <c r="I2757" s="26"/>
      <c r="J2757" s="26" t="s">
        <v>512</v>
      </c>
      <c r="K2757" s="25" t="s">
        <v>513</v>
      </c>
    </row>
    <row r="2758" spans="1:11" ht="25.5" x14ac:dyDescent="0.25">
      <c r="A2758" s="22">
        <v>2026</v>
      </c>
      <c r="B2758" s="28" t="s">
        <v>192</v>
      </c>
      <c r="C2758" s="28" t="s">
        <v>97</v>
      </c>
      <c r="D2758" s="28" t="s">
        <v>1793</v>
      </c>
      <c r="E2758" s="29" t="s">
        <v>309</v>
      </c>
      <c r="F2758" s="29" t="s">
        <v>353</v>
      </c>
      <c r="G2758" s="25" t="s">
        <v>4498</v>
      </c>
      <c r="H2758" s="26">
        <v>-0.35160239835000001</v>
      </c>
      <c r="I2758" s="26"/>
      <c r="J2758" s="26" t="s">
        <v>512</v>
      </c>
      <c r="K2758" s="25" t="s">
        <v>513</v>
      </c>
    </row>
    <row r="2759" spans="1:11" ht="25.5" x14ac:dyDescent="0.25">
      <c r="A2759" s="22">
        <v>2026</v>
      </c>
      <c r="B2759" s="28" t="s">
        <v>192</v>
      </c>
      <c r="C2759" s="28" t="s">
        <v>97</v>
      </c>
      <c r="D2759" s="28" t="s">
        <v>1793</v>
      </c>
      <c r="E2759" s="29" t="s">
        <v>309</v>
      </c>
      <c r="F2759" s="29" t="s">
        <v>353</v>
      </c>
      <c r="G2759" s="25" t="s">
        <v>4499</v>
      </c>
      <c r="H2759" s="26">
        <v>-0.16486211906999998</v>
      </c>
      <c r="I2759" s="26"/>
      <c r="J2759" s="26" t="s">
        <v>512</v>
      </c>
      <c r="K2759" s="25" t="s">
        <v>513</v>
      </c>
    </row>
    <row r="2760" spans="1:11" ht="25.5" x14ac:dyDescent="0.25">
      <c r="A2760" s="22">
        <v>2026</v>
      </c>
      <c r="B2760" s="28" t="s">
        <v>192</v>
      </c>
      <c r="C2760" s="28" t="s">
        <v>97</v>
      </c>
      <c r="D2760" s="28" t="s">
        <v>1793</v>
      </c>
      <c r="E2760" s="29" t="s">
        <v>309</v>
      </c>
      <c r="F2760" s="29" t="s">
        <v>353</v>
      </c>
      <c r="G2760" s="25" t="s">
        <v>4500</v>
      </c>
      <c r="H2760" s="26">
        <v>-0.41988249999999999</v>
      </c>
      <c r="I2760" s="26"/>
      <c r="J2760" s="26" t="s">
        <v>512</v>
      </c>
      <c r="K2760" s="25" t="s">
        <v>513</v>
      </c>
    </row>
    <row r="2761" spans="1:11" ht="25.5" x14ac:dyDescent="0.25">
      <c r="A2761" s="22">
        <v>2026</v>
      </c>
      <c r="B2761" s="28" t="s">
        <v>192</v>
      </c>
      <c r="C2761" s="28" t="s">
        <v>97</v>
      </c>
      <c r="D2761" s="28" t="s">
        <v>1793</v>
      </c>
      <c r="E2761" s="29" t="s">
        <v>309</v>
      </c>
      <c r="F2761" s="29" t="s">
        <v>353</v>
      </c>
      <c r="G2761" s="25" t="s">
        <v>4501</v>
      </c>
      <c r="H2761" s="26">
        <v>-0.42422749999999998</v>
      </c>
      <c r="I2761" s="26"/>
      <c r="J2761" s="26" t="s">
        <v>512</v>
      </c>
      <c r="K2761" s="25" t="s">
        <v>513</v>
      </c>
    </row>
    <row r="2762" spans="1:11" ht="25.5" x14ac:dyDescent="0.25">
      <c r="A2762" s="22">
        <v>2026</v>
      </c>
      <c r="B2762" s="28" t="s">
        <v>192</v>
      </c>
      <c r="C2762" s="28" t="s">
        <v>97</v>
      </c>
      <c r="D2762" s="28" t="s">
        <v>1732</v>
      </c>
      <c r="E2762" s="29" t="s">
        <v>309</v>
      </c>
      <c r="F2762" s="29" t="s">
        <v>287</v>
      </c>
      <c r="G2762" s="25" t="s">
        <v>4502</v>
      </c>
      <c r="H2762" s="26">
        <v>-0.60715200000000003</v>
      </c>
      <c r="I2762" s="26"/>
      <c r="J2762" s="26" t="s">
        <v>512</v>
      </c>
      <c r="K2762" s="25" t="s">
        <v>513</v>
      </c>
    </row>
    <row r="2763" spans="1:11" ht="25.5" x14ac:dyDescent="0.25">
      <c r="A2763" s="22">
        <v>2026</v>
      </c>
      <c r="B2763" s="28" t="s">
        <v>192</v>
      </c>
      <c r="C2763" s="28" t="s">
        <v>97</v>
      </c>
      <c r="D2763" s="28" t="s">
        <v>1732</v>
      </c>
      <c r="E2763" s="29" t="s">
        <v>309</v>
      </c>
      <c r="F2763" s="29" t="s">
        <v>287</v>
      </c>
      <c r="G2763" s="25" t="s">
        <v>4503</v>
      </c>
      <c r="H2763" s="26">
        <v>-1.0513459999999999</v>
      </c>
      <c r="I2763" s="26"/>
      <c r="J2763" s="26" t="s">
        <v>512</v>
      </c>
      <c r="K2763" s="25" t="s">
        <v>513</v>
      </c>
    </row>
    <row r="2764" spans="1:11" ht="25.5" x14ac:dyDescent="0.25">
      <c r="A2764" s="22">
        <v>2026</v>
      </c>
      <c r="B2764" s="28" t="s">
        <v>192</v>
      </c>
      <c r="C2764" s="28" t="s">
        <v>97</v>
      </c>
      <c r="D2764" s="28" t="s">
        <v>1732</v>
      </c>
      <c r="E2764" s="29" t="s">
        <v>309</v>
      </c>
      <c r="F2764" s="29" t="s">
        <v>287</v>
      </c>
      <c r="G2764" s="25" t="s">
        <v>4504</v>
      </c>
      <c r="H2764" s="26">
        <v>-0.56484000000000001</v>
      </c>
      <c r="I2764" s="26"/>
      <c r="J2764" s="26" t="s">
        <v>512</v>
      </c>
      <c r="K2764" s="25" t="s">
        <v>513</v>
      </c>
    </row>
    <row r="2765" spans="1:11" ht="25.5" x14ac:dyDescent="0.25">
      <c r="A2765" s="22">
        <v>2026</v>
      </c>
      <c r="B2765" s="28" t="s">
        <v>192</v>
      </c>
      <c r="C2765" s="28" t="s">
        <v>97</v>
      </c>
      <c r="D2765" s="28" t="s">
        <v>1732</v>
      </c>
      <c r="E2765" s="29" t="s">
        <v>309</v>
      </c>
      <c r="F2765" s="29" t="s">
        <v>287</v>
      </c>
      <c r="G2765" s="25" t="s">
        <v>4505</v>
      </c>
      <c r="H2765" s="26">
        <v>-0.62998488999999991</v>
      </c>
      <c r="I2765" s="26"/>
      <c r="J2765" s="26" t="s">
        <v>512</v>
      </c>
      <c r="K2765" s="25" t="s">
        <v>513</v>
      </c>
    </row>
    <row r="2766" spans="1:11" ht="25.5" x14ac:dyDescent="0.25">
      <c r="A2766" s="22">
        <v>2026</v>
      </c>
      <c r="B2766" s="28" t="s">
        <v>192</v>
      </c>
      <c r="C2766" s="28" t="s">
        <v>97</v>
      </c>
      <c r="D2766" s="28" t="s">
        <v>1732</v>
      </c>
      <c r="E2766" s="29" t="s">
        <v>309</v>
      </c>
      <c r="F2766" s="29" t="s">
        <v>287</v>
      </c>
      <c r="G2766" s="25" t="s">
        <v>4506</v>
      </c>
      <c r="H2766" s="26">
        <v>-0.97356814530000013</v>
      </c>
      <c r="I2766" s="26"/>
      <c r="J2766" s="26" t="s">
        <v>512</v>
      </c>
      <c r="K2766" s="25" t="s">
        <v>513</v>
      </c>
    </row>
    <row r="2767" spans="1:11" ht="25.5" x14ac:dyDescent="0.25">
      <c r="A2767" s="22">
        <v>2026</v>
      </c>
      <c r="B2767" s="28" t="s">
        <v>192</v>
      </c>
      <c r="C2767" s="28" t="s">
        <v>97</v>
      </c>
      <c r="D2767" s="28" t="s">
        <v>1732</v>
      </c>
      <c r="E2767" s="29" t="s">
        <v>309</v>
      </c>
      <c r="F2767" s="29" t="s">
        <v>287</v>
      </c>
      <c r="G2767" s="25" t="s">
        <v>4507</v>
      </c>
      <c r="H2767" s="26">
        <v>-1.4201685225</v>
      </c>
      <c r="I2767" s="26"/>
      <c r="J2767" s="26" t="s">
        <v>512</v>
      </c>
      <c r="K2767" s="25" t="s">
        <v>513</v>
      </c>
    </row>
    <row r="2768" spans="1:11" ht="25.5" x14ac:dyDescent="0.25">
      <c r="A2768" s="22">
        <v>2026</v>
      </c>
      <c r="B2768" s="28" t="s">
        <v>192</v>
      </c>
      <c r="C2768" s="28" t="s">
        <v>97</v>
      </c>
      <c r="D2768" s="28" t="s">
        <v>1732</v>
      </c>
      <c r="E2768" s="29" t="s">
        <v>309</v>
      </c>
      <c r="F2768" s="29" t="s">
        <v>287</v>
      </c>
      <c r="G2768" s="25" t="s">
        <v>4508</v>
      </c>
      <c r="H2768" s="26">
        <v>-0.523560943</v>
      </c>
      <c r="I2768" s="26"/>
      <c r="J2768" s="26" t="s">
        <v>512</v>
      </c>
      <c r="K2768" s="25" t="s">
        <v>513</v>
      </c>
    </row>
    <row r="2769" spans="1:11" ht="25.5" x14ac:dyDescent="0.25">
      <c r="A2769" s="22">
        <v>2026</v>
      </c>
      <c r="B2769" s="28" t="s">
        <v>192</v>
      </c>
      <c r="C2769" s="28" t="s">
        <v>97</v>
      </c>
      <c r="D2769" s="28" t="s">
        <v>1732</v>
      </c>
      <c r="E2769" s="29" t="s">
        <v>309</v>
      </c>
      <c r="F2769" s="29" t="s">
        <v>287</v>
      </c>
      <c r="G2769" s="25" t="s">
        <v>4509</v>
      </c>
      <c r="H2769" s="26">
        <v>-0.3705</v>
      </c>
      <c r="I2769" s="26"/>
      <c r="J2769" s="26" t="s">
        <v>512</v>
      </c>
      <c r="K2769" s="25" t="s">
        <v>513</v>
      </c>
    </row>
    <row r="2770" spans="1:11" ht="25.5" x14ac:dyDescent="0.25">
      <c r="A2770" s="22">
        <v>2026</v>
      </c>
      <c r="B2770" s="28" t="s">
        <v>192</v>
      </c>
      <c r="C2770" s="28" t="s">
        <v>97</v>
      </c>
      <c r="D2770" s="28" t="s">
        <v>1732</v>
      </c>
      <c r="E2770" s="29" t="s">
        <v>309</v>
      </c>
      <c r="F2770" s="29" t="s">
        <v>287</v>
      </c>
      <c r="G2770" s="25" t="s">
        <v>4510</v>
      </c>
      <c r="H2770" s="26">
        <v>-1.2930335999999998</v>
      </c>
      <c r="I2770" s="26"/>
      <c r="J2770" s="26" t="s">
        <v>512</v>
      </c>
      <c r="K2770" s="25" t="s">
        <v>513</v>
      </c>
    </row>
    <row r="2771" spans="1:11" ht="25.5" x14ac:dyDescent="0.25">
      <c r="A2771" s="22">
        <v>2026</v>
      </c>
      <c r="B2771" s="28" t="s">
        <v>192</v>
      </c>
      <c r="C2771" s="28" t="s">
        <v>97</v>
      </c>
      <c r="D2771" s="28" t="s">
        <v>1732</v>
      </c>
      <c r="E2771" s="29" t="s">
        <v>309</v>
      </c>
      <c r="F2771" s="29" t="s">
        <v>287</v>
      </c>
      <c r="G2771" s="25" t="s">
        <v>4511</v>
      </c>
      <c r="H2771" s="26">
        <v>-0.53543898359999997</v>
      </c>
      <c r="I2771" s="26"/>
      <c r="J2771" s="26" t="s">
        <v>512</v>
      </c>
      <c r="K2771" s="25" t="s">
        <v>513</v>
      </c>
    </row>
    <row r="2772" spans="1:11" ht="25.5" x14ac:dyDescent="0.25">
      <c r="A2772" s="22">
        <v>2026</v>
      </c>
      <c r="B2772" s="28" t="s">
        <v>192</v>
      </c>
      <c r="C2772" s="28" t="s">
        <v>97</v>
      </c>
      <c r="D2772" s="28" t="s">
        <v>1732</v>
      </c>
      <c r="E2772" s="29" t="s">
        <v>309</v>
      </c>
      <c r="F2772" s="29" t="s">
        <v>287</v>
      </c>
      <c r="G2772" s="25" t="s">
        <v>4512</v>
      </c>
      <c r="H2772" s="26">
        <v>-0.25751999999999997</v>
      </c>
      <c r="I2772" s="26"/>
      <c r="J2772" s="26" t="s">
        <v>512</v>
      </c>
      <c r="K2772" s="25" t="s">
        <v>513</v>
      </c>
    </row>
    <row r="2773" spans="1:11" ht="25.5" x14ac:dyDescent="0.25">
      <c r="A2773" s="22">
        <v>2026</v>
      </c>
      <c r="B2773" s="28" t="s">
        <v>192</v>
      </c>
      <c r="C2773" s="28" t="s">
        <v>97</v>
      </c>
      <c r="D2773" s="28" t="s">
        <v>1733</v>
      </c>
      <c r="E2773" s="29" t="s">
        <v>309</v>
      </c>
      <c r="F2773" s="29" t="s">
        <v>474</v>
      </c>
      <c r="G2773" s="25" t="s">
        <v>4513</v>
      </c>
      <c r="H2773" s="26">
        <v>-8.8166999999999995E-2</v>
      </c>
      <c r="I2773" s="26"/>
      <c r="J2773" s="26" t="s">
        <v>512</v>
      </c>
      <c r="K2773" s="25" t="s">
        <v>513</v>
      </c>
    </row>
    <row r="2774" spans="1:11" ht="25.5" x14ac:dyDescent="0.25">
      <c r="A2774" s="22">
        <v>2026</v>
      </c>
      <c r="B2774" s="28" t="s">
        <v>192</v>
      </c>
      <c r="C2774" s="28" t="s">
        <v>97</v>
      </c>
      <c r="D2774" s="28" t="s">
        <v>1733</v>
      </c>
      <c r="E2774" s="29" t="s">
        <v>309</v>
      </c>
      <c r="F2774" s="29" t="s">
        <v>474</v>
      </c>
      <c r="G2774" s="25" t="s">
        <v>4514</v>
      </c>
      <c r="H2774" s="26">
        <v>-0.11961220000000002</v>
      </c>
      <c r="I2774" s="26"/>
      <c r="J2774" s="26" t="s">
        <v>512</v>
      </c>
      <c r="K2774" s="25" t="s">
        <v>513</v>
      </c>
    </row>
    <row r="2775" spans="1:11" ht="25.5" x14ac:dyDescent="0.25">
      <c r="A2775" s="22">
        <v>2026</v>
      </c>
      <c r="B2775" s="28" t="s">
        <v>192</v>
      </c>
      <c r="C2775" s="28" t="s">
        <v>97</v>
      </c>
      <c r="D2775" s="28" t="s">
        <v>1733</v>
      </c>
      <c r="E2775" s="29" t="s">
        <v>309</v>
      </c>
      <c r="F2775" s="29" t="s">
        <v>474</v>
      </c>
      <c r="G2775" s="25" t="s">
        <v>4515</v>
      </c>
      <c r="H2775" s="26">
        <v>-0.36591495732000001</v>
      </c>
      <c r="I2775" s="26"/>
      <c r="J2775" s="26" t="s">
        <v>512</v>
      </c>
      <c r="K2775" s="25" t="s">
        <v>513</v>
      </c>
    </row>
    <row r="2776" spans="1:11" ht="25.5" x14ac:dyDescent="0.25">
      <c r="A2776" s="22">
        <v>2026</v>
      </c>
      <c r="B2776" s="28" t="s">
        <v>192</v>
      </c>
      <c r="C2776" s="28" t="s">
        <v>97</v>
      </c>
      <c r="D2776" s="28" t="s">
        <v>1733</v>
      </c>
      <c r="E2776" s="29" t="s">
        <v>309</v>
      </c>
      <c r="F2776" s="29" t="s">
        <v>474</v>
      </c>
      <c r="G2776" s="25" t="s">
        <v>4516</v>
      </c>
      <c r="H2776" s="26">
        <v>-0.26127190899999997</v>
      </c>
      <c r="I2776" s="26"/>
      <c r="J2776" s="26" t="s">
        <v>512</v>
      </c>
      <c r="K2776" s="25" t="s">
        <v>513</v>
      </c>
    </row>
    <row r="2777" spans="1:11" ht="25.5" x14ac:dyDescent="0.25">
      <c r="A2777" s="22">
        <v>2026</v>
      </c>
      <c r="B2777" s="28" t="s">
        <v>192</v>
      </c>
      <c r="C2777" s="28" t="s">
        <v>97</v>
      </c>
      <c r="D2777" s="28" t="s">
        <v>1733</v>
      </c>
      <c r="E2777" s="29" t="s">
        <v>309</v>
      </c>
      <c r="F2777" s="29" t="s">
        <v>474</v>
      </c>
      <c r="G2777" s="25" t="s">
        <v>4517</v>
      </c>
      <c r="H2777" s="26">
        <v>-0.58463500000000002</v>
      </c>
      <c r="I2777" s="26"/>
      <c r="J2777" s="26" t="s">
        <v>512</v>
      </c>
      <c r="K2777" s="25" t="s">
        <v>513</v>
      </c>
    </row>
    <row r="2778" spans="1:11" ht="25.5" x14ac:dyDescent="0.25">
      <c r="A2778" s="22">
        <v>2026</v>
      </c>
      <c r="B2778" s="28" t="s">
        <v>192</v>
      </c>
      <c r="C2778" s="28" t="s">
        <v>97</v>
      </c>
      <c r="D2778" s="28" t="s">
        <v>1733</v>
      </c>
      <c r="E2778" s="29" t="s">
        <v>309</v>
      </c>
      <c r="F2778" s="29" t="s">
        <v>474</v>
      </c>
      <c r="G2778" s="25" t="s">
        <v>4518</v>
      </c>
      <c r="H2778" s="26">
        <v>-0.57556869027000002</v>
      </c>
      <c r="I2778" s="26"/>
      <c r="J2778" s="26" t="s">
        <v>512</v>
      </c>
      <c r="K2778" s="25" t="s">
        <v>513</v>
      </c>
    </row>
    <row r="2779" spans="1:11" ht="25.5" x14ac:dyDescent="0.25">
      <c r="A2779" s="22">
        <v>2026</v>
      </c>
      <c r="B2779" s="28" t="s">
        <v>192</v>
      </c>
      <c r="C2779" s="28" t="s">
        <v>97</v>
      </c>
      <c r="D2779" s="28" t="s">
        <v>1733</v>
      </c>
      <c r="E2779" s="29" t="s">
        <v>309</v>
      </c>
      <c r="F2779" s="29" t="s">
        <v>474</v>
      </c>
      <c r="G2779" s="25" t="s">
        <v>4519</v>
      </c>
      <c r="H2779" s="26">
        <v>-0.28998699407999995</v>
      </c>
      <c r="I2779" s="26"/>
      <c r="J2779" s="26" t="s">
        <v>512</v>
      </c>
      <c r="K2779" s="25" t="s">
        <v>513</v>
      </c>
    </row>
    <row r="2780" spans="1:11" ht="25.5" x14ac:dyDescent="0.25">
      <c r="A2780" s="22">
        <v>2026</v>
      </c>
      <c r="B2780" s="28" t="s">
        <v>192</v>
      </c>
      <c r="C2780" s="28" t="s">
        <v>97</v>
      </c>
      <c r="D2780" s="28" t="s">
        <v>1733</v>
      </c>
      <c r="E2780" s="29" t="s">
        <v>309</v>
      </c>
      <c r="F2780" s="29" t="s">
        <v>474</v>
      </c>
      <c r="G2780" s="25" t="s">
        <v>4520</v>
      </c>
      <c r="H2780" s="26">
        <v>-0.577403</v>
      </c>
      <c r="I2780" s="26"/>
      <c r="J2780" s="26" t="s">
        <v>512</v>
      </c>
      <c r="K2780" s="25" t="s">
        <v>513</v>
      </c>
    </row>
    <row r="2781" spans="1:11" ht="25.5" x14ac:dyDescent="0.25">
      <c r="A2781" s="22">
        <v>2026</v>
      </c>
      <c r="B2781" s="28" t="s">
        <v>192</v>
      </c>
      <c r="C2781" s="28" t="s">
        <v>97</v>
      </c>
      <c r="D2781" s="28" t="s">
        <v>1733</v>
      </c>
      <c r="E2781" s="29" t="s">
        <v>309</v>
      </c>
      <c r="F2781" s="29" t="s">
        <v>474</v>
      </c>
      <c r="G2781" s="25" t="s">
        <v>4521</v>
      </c>
      <c r="H2781" s="26">
        <v>-0.5716</v>
      </c>
      <c r="I2781" s="26"/>
      <c r="J2781" s="26" t="s">
        <v>512</v>
      </c>
      <c r="K2781" s="25" t="s">
        <v>513</v>
      </c>
    </row>
    <row r="2782" spans="1:11" ht="25.5" x14ac:dyDescent="0.25">
      <c r="A2782" s="22">
        <v>2026</v>
      </c>
      <c r="B2782" s="28" t="s">
        <v>192</v>
      </c>
      <c r="C2782" s="28" t="s">
        <v>97</v>
      </c>
      <c r="D2782" s="28" t="s">
        <v>1733</v>
      </c>
      <c r="E2782" s="29" t="s">
        <v>309</v>
      </c>
      <c r="F2782" s="29" t="s">
        <v>474</v>
      </c>
      <c r="G2782" s="25" t="s">
        <v>4522</v>
      </c>
      <c r="H2782" s="26">
        <v>-0.52020120258000002</v>
      </c>
      <c r="I2782" s="26"/>
      <c r="J2782" s="26" t="s">
        <v>512</v>
      </c>
      <c r="K2782" s="25" t="s">
        <v>513</v>
      </c>
    </row>
    <row r="2783" spans="1:11" ht="25.5" x14ac:dyDescent="0.25">
      <c r="A2783" s="22">
        <v>2026</v>
      </c>
      <c r="B2783" s="28" t="s">
        <v>192</v>
      </c>
      <c r="C2783" s="28" t="s">
        <v>97</v>
      </c>
      <c r="D2783" s="28" t="s">
        <v>1733</v>
      </c>
      <c r="E2783" s="29" t="s">
        <v>309</v>
      </c>
      <c r="F2783" s="29" t="s">
        <v>474</v>
      </c>
      <c r="G2783" s="25" t="s">
        <v>4523</v>
      </c>
      <c r="H2783" s="26">
        <v>-0.56823100000000004</v>
      </c>
      <c r="I2783" s="26"/>
      <c r="J2783" s="26" t="s">
        <v>512</v>
      </c>
      <c r="K2783" s="25" t="s">
        <v>513</v>
      </c>
    </row>
    <row r="2784" spans="1:11" ht="25.5" x14ac:dyDescent="0.25">
      <c r="A2784" s="22">
        <v>2026</v>
      </c>
      <c r="B2784" s="28" t="s">
        <v>192</v>
      </c>
      <c r="C2784" s="28" t="s">
        <v>97</v>
      </c>
      <c r="D2784" s="28" t="s">
        <v>1733</v>
      </c>
      <c r="E2784" s="29" t="s">
        <v>309</v>
      </c>
      <c r="F2784" s="29" t="s">
        <v>474</v>
      </c>
      <c r="G2784" s="25" t="s">
        <v>4524</v>
      </c>
      <c r="H2784" s="26">
        <v>-0.57378399999999996</v>
      </c>
      <c r="I2784" s="26"/>
      <c r="J2784" s="26" t="s">
        <v>512</v>
      </c>
      <c r="K2784" s="25" t="s">
        <v>513</v>
      </c>
    </row>
    <row r="2785" spans="1:11" ht="25.5" x14ac:dyDescent="0.25">
      <c r="A2785" s="22">
        <v>2026</v>
      </c>
      <c r="B2785" s="28" t="s">
        <v>192</v>
      </c>
      <c r="C2785" s="28" t="s">
        <v>97</v>
      </c>
      <c r="D2785" s="28" t="s">
        <v>1733</v>
      </c>
      <c r="E2785" s="29" t="s">
        <v>309</v>
      </c>
      <c r="F2785" s="29" t="s">
        <v>474</v>
      </c>
      <c r="G2785" s="25" t="s">
        <v>4525</v>
      </c>
      <c r="H2785" s="26">
        <v>-0.57085300000000005</v>
      </c>
      <c r="I2785" s="26"/>
      <c r="J2785" s="26" t="s">
        <v>512</v>
      </c>
      <c r="K2785" s="25" t="s">
        <v>513</v>
      </c>
    </row>
    <row r="2786" spans="1:11" ht="25.5" x14ac:dyDescent="0.25">
      <c r="A2786" s="22">
        <v>2026</v>
      </c>
      <c r="B2786" s="28" t="s">
        <v>192</v>
      </c>
      <c r="C2786" s="28" t="s">
        <v>97</v>
      </c>
      <c r="D2786" s="28" t="s">
        <v>1733</v>
      </c>
      <c r="E2786" s="29" t="s">
        <v>309</v>
      </c>
      <c r="F2786" s="29" t="s">
        <v>474</v>
      </c>
      <c r="G2786" s="25" t="s">
        <v>4526</v>
      </c>
      <c r="H2786" s="26">
        <v>-0.56065500000000001</v>
      </c>
      <c r="I2786" s="26"/>
      <c r="J2786" s="26" t="s">
        <v>512</v>
      </c>
      <c r="K2786" s="25" t="s">
        <v>513</v>
      </c>
    </row>
    <row r="2787" spans="1:11" ht="25.5" x14ac:dyDescent="0.25">
      <c r="A2787" s="22">
        <v>2026</v>
      </c>
      <c r="B2787" s="28" t="s">
        <v>192</v>
      </c>
      <c r="C2787" s="28" t="s">
        <v>97</v>
      </c>
      <c r="D2787" s="28" t="s">
        <v>1733</v>
      </c>
      <c r="E2787" s="29" t="s">
        <v>309</v>
      </c>
      <c r="F2787" s="29" t="s">
        <v>474</v>
      </c>
      <c r="G2787" s="25" t="s">
        <v>4527</v>
      </c>
      <c r="H2787" s="26">
        <v>-0.55762999999999996</v>
      </c>
      <c r="I2787" s="26"/>
      <c r="J2787" s="26" t="s">
        <v>512</v>
      </c>
      <c r="K2787" s="25" t="s">
        <v>513</v>
      </c>
    </row>
    <row r="2788" spans="1:11" ht="25.5" x14ac:dyDescent="0.25">
      <c r="A2788" s="22">
        <v>2026</v>
      </c>
      <c r="B2788" s="28" t="s">
        <v>192</v>
      </c>
      <c r="C2788" s="28" t="s">
        <v>97</v>
      </c>
      <c r="D2788" s="28" t="s">
        <v>1733</v>
      </c>
      <c r="E2788" s="29" t="s">
        <v>309</v>
      </c>
      <c r="F2788" s="29" t="s">
        <v>474</v>
      </c>
      <c r="G2788" s="25" t="s">
        <v>4528</v>
      </c>
      <c r="H2788" s="26">
        <v>-0.32820908384000003</v>
      </c>
      <c r="I2788" s="26"/>
      <c r="J2788" s="26" t="s">
        <v>512</v>
      </c>
      <c r="K2788" s="25" t="s">
        <v>513</v>
      </c>
    </row>
    <row r="2789" spans="1:11" ht="25.5" x14ac:dyDescent="0.25">
      <c r="A2789" s="22">
        <v>2026</v>
      </c>
      <c r="B2789" s="28" t="s">
        <v>192</v>
      </c>
      <c r="C2789" s="28" t="s">
        <v>97</v>
      </c>
      <c r="D2789" s="28" t="s">
        <v>1787</v>
      </c>
      <c r="E2789" s="29" t="s">
        <v>309</v>
      </c>
      <c r="F2789" s="29" t="s">
        <v>335</v>
      </c>
      <c r="G2789" s="25" t="s">
        <v>4529</v>
      </c>
      <c r="H2789" s="26">
        <v>-4.3084499999999997</v>
      </c>
      <c r="I2789" s="26"/>
      <c r="J2789" s="26" t="s">
        <v>512</v>
      </c>
      <c r="K2789" s="25" t="s">
        <v>513</v>
      </c>
    </row>
    <row r="2790" spans="1:11" ht="25.5" x14ac:dyDescent="0.25">
      <c r="A2790" s="22">
        <v>2026</v>
      </c>
      <c r="B2790" s="28" t="s">
        <v>192</v>
      </c>
      <c r="C2790" s="28" t="s">
        <v>97</v>
      </c>
      <c r="D2790" s="28" t="s">
        <v>1787</v>
      </c>
      <c r="E2790" s="29" t="s">
        <v>309</v>
      </c>
      <c r="F2790" s="29" t="s">
        <v>335</v>
      </c>
      <c r="G2790" s="25" t="s">
        <v>4530</v>
      </c>
      <c r="H2790" s="26">
        <v>-2.8483999999999998</v>
      </c>
      <c r="I2790" s="26"/>
      <c r="J2790" s="26" t="s">
        <v>512</v>
      </c>
      <c r="K2790" s="25" t="s">
        <v>513</v>
      </c>
    </row>
    <row r="2791" spans="1:11" ht="25.5" x14ac:dyDescent="0.25">
      <c r="A2791" s="22">
        <v>2026</v>
      </c>
      <c r="B2791" s="28" t="s">
        <v>192</v>
      </c>
      <c r="C2791" s="28" t="s">
        <v>97</v>
      </c>
      <c r="D2791" s="28" t="s">
        <v>1787</v>
      </c>
      <c r="E2791" s="29" t="s">
        <v>309</v>
      </c>
      <c r="F2791" s="29" t="s">
        <v>335</v>
      </c>
      <c r="G2791" s="25" t="s">
        <v>4531</v>
      </c>
      <c r="H2791" s="26">
        <v>-2.8146</v>
      </c>
      <c r="I2791" s="26"/>
      <c r="J2791" s="26" t="s">
        <v>512</v>
      </c>
      <c r="K2791" s="25" t="s">
        <v>513</v>
      </c>
    </row>
    <row r="2792" spans="1:11" ht="25.5" x14ac:dyDescent="0.25">
      <c r="A2792" s="22">
        <v>2026</v>
      </c>
      <c r="B2792" s="28" t="s">
        <v>192</v>
      </c>
      <c r="C2792" s="28" t="s">
        <v>97</v>
      </c>
      <c r="D2792" s="28" t="s">
        <v>1787</v>
      </c>
      <c r="E2792" s="29" t="s">
        <v>309</v>
      </c>
      <c r="F2792" s="29" t="s">
        <v>335</v>
      </c>
      <c r="G2792" s="25" t="s">
        <v>4532</v>
      </c>
      <c r="H2792" s="26">
        <v>-2.7598500000000001</v>
      </c>
      <c r="I2792" s="26"/>
      <c r="J2792" s="26" t="s">
        <v>512</v>
      </c>
      <c r="K2792" s="25" t="s">
        <v>513</v>
      </c>
    </row>
    <row r="2793" spans="1:11" ht="25.5" x14ac:dyDescent="0.25">
      <c r="A2793" s="22">
        <v>2026</v>
      </c>
      <c r="B2793" s="28" t="s">
        <v>192</v>
      </c>
      <c r="C2793" s="28" t="s">
        <v>97</v>
      </c>
      <c r="D2793" s="28" t="s">
        <v>1787</v>
      </c>
      <c r="E2793" s="29" t="s">
        <v>309</v>
      </c>
      <c r="F2793" s="29" t="s">
        <v>335</v>
      </c>
      <c r="G2793" s="25" t="s">
        <v>4533</v>
      </c>
      <c r="H2793" s="26">
        <v>-2.8222999999999998</v>
      </c>
      <c r="I2793" s="26"/>
      <c r="J2793" s="26" t="s">
        <v>512</v>
      </c>
      <c r="K2793" s="25" t="s">
        <v>513</v>
      </c>
    </row>
    <row r="2794" spans="1:11" ht="25.5" x14ac:dyDescent="0.25">
      <c r="A2794" s="22">
        <v>2026</v>
      </c>
      <c r="B2794" s="28" t="s">
        <v>192</v>
      </c>
      <c r="C2794" s="28" t="s">
        <v>97</v>
      </c>
      <c r="D2794" s="28" t="s">
        <v>1787</v>
      </c>
      <c r="E2794" s="29" t="s">
        <v>309</v>
      </c>
      <c r="F2794" s="29" t="s">
        <v>335</v>
      </c>
      <c r="G2794" s="25" t="s">
        <v>4534</v>
      </c>
      <c r="H2794" s="26">
        <v>-2.8207499999999999</v>
      </c>
      <c r="I2794" s="26"/>
      <c r="J2794" s="26" t="s">
        <v>512</v>
      </c>
      <c r="K2794" s="25" t="s">
        <v>513</v>
      </c>
    </row>
    <row r="2795" spans="1:11" ht="25.5" x14ac:dyDescent="0.25">
      <c r="A2795" s="22">
        <v>2026</v>
      </c>
      <c r="B2795" s="28" t="s">
        <v>192</v>
      </c>
      <c r="C2795" s="28" t="s">
        <v>97</v>
      </c>
      <c r="D2795" s="28" t="s">
        <v>1787</v>
      </c>
      <c r="E2795" s="29" t="s">
        <v>309</v>
      </c>
      <c r="F2795" s="29" t="s">
        <v>335</v>
      </c>
      <c r="G2795" s="25" t="s">
        <v>4535</v>
      </c>
      <c r="H2795" s="26">
        <v>-2.374160796</v>
      </c>
      <c r="I2795" s="26"/>
      <c r="J2795" s="26" t="s">
        <v>512</v>
      </c>
      <c r="K2795" s="25" t="s">
        <v>513</v>
      </c>
    </row>
    <row r="2796" spans="1:11" ht="25.5" x14ac:dyDescent="0.25">
      <c r="A2796" s="22">
        <v>2026</v>
      </c>
      <c r="B2796" s="28" t="s">
        <v>192</v>
      </c>
      <c r="C2796" s="28" t="s">
        <v>97</v>
      </c>
      <c r="D2796" s="28" t="s">
        <v>1787</v>
      </c>
      <c r="E2796" s="29" t="s">
        <v>309</v>
      </c>
      <c r="F2796" s="29" t="s">
        <v>335</v>
      </c>
      <c r="G2796" s="25" t="s">
        <v>4536</v>
      </c>
      <c r="H2796" s="26">
        <v>-0.69985644299999994</v>
      </c>
      <c r="I2796" s="26"/>
      <c r="J2796" s="26" t="s">
        <v>512</v>
      </c>
      <c r="K2796" s="25" t="s">
        <v>513</v>
      </c>
    </row>
    <row r="2797" spans="1:11" ht="25.5" x14ac:dyDescent="0.25">
      <c r="A2797" s="22">
        <v>2026</v>
      </c>
      <c r="B2797" s="28" t="s">
        <v>192</v>
      </c>
      <c r="C2797" s="28" t="s">
        <v>97</v>
      </c>
      <c r="D2797" s="28" t="s">
        <v>1787</v>
      </c>
      <c r="E2797" s="29" t="s">
        <v>309</v>
      </c>
      <c r="F2797" s="29" t="s">
        <v>335</v>
      </c>
      <c r="G2797" s="25" t="s">
        <v>4537</v>
      </c>
      <c r="H2797" s="26">
        <v>-1.405375</v>
      </c>
      <c r="I2797" s="26"/>
      <c r="J2797" s="26" t="s">
        <v>512</v>
      </c>
      <c r="K2797" s="25" t="s">
        <v>513</v>
      </c>
    </row>
    <row r="2798" spans="1:11" ht="25.5" x14ac:dyDescent="0.25">
      <c r="A2798" s="22">
        <v>2026</v>
      </c>
      <c r="B2798" s="28" t="s">
        <v>192</v>
      </c>
      <c r="C2798" s="28" t="s">
        <v>97</v>
      </c>
      <c r="D2798" s="28" t="s">
        <v>1787</v>
      </c>
      <c r="E2798" s="29" t="s">
        <v>309</v>
      </c>
      <c r="F2798" s="29" t="s">
        <v>335</v>
      </c>
      <c r="G2798" s="25" t="s">
        <v>4538</v>
      </c>
      <c r="H2798" s="26">
        <v>-2.8062</v>
      </c>
      <c r="I2798" s="26"/>
      <c r="J2798" s="26" t="s">
        <v>512</v>
      </c>
      <c r="K2798" s="25" t="s">
        <v>513</v>
      </c>
    </row>
    <row r="2799" spans="1:11" ht="25.5" x14ac:dyDescent="0.25">
      <c r="A2799" s="22">
        <v>2026</v>
      </c>
      <c r="B2799" s="28" t="s">
        <v>192</v>
      </c>
      <c r="C2799" s="28" t="s">
        <v>97</v>
      </c>
      <c r="D2799" s="28" t="s">
        <v>1787</v>
      </c>
      <c r="E2799" s="29" t="s">
        <v>309</v>
      </c>
      <c r="F2799" s="29" t="s">
        <v>335</v>
      </c>
      <c r="G2799" s="25" t="s">
        <v>4539</v>
      </c>
      <c r="H2799" s="26">
        <v>-4.0271999999999997</v>
      </c>
      <c r="I2799" s="26"/>
      <c r="J2799" s="26" t="s">
        <v>512</v>
      </c>
      <c r="K2799" s="25" t="s">
        <v>513</v>
      </c>
    </row>
    <row r="2800" spans="1:11" ht="25.5" x14ac:dyDescent="0.25">
      <c r="A2800" s="22">
        <v>2026</v>
      </c>
      <c r="B2800" s="28" t="s">
        <v>192</v>
      </c>
      <c r="C2800" s="28" t="s">
        <v>97</v>
      </c>
      <c r="D2800" s="28" t="s">
        <v>1734</v>
      </c>
      <c r="E2800" s="29" t="s">
        <v>309</v>
      </c>
      <c r="F2800" s="29" t="s">
        <v>903</v>
      </c>
      <c r="G2800" s="25" t="s">
        <v>4540</v>
      </c>
      <c r="H2800" s="26">
        <v>-9.2480000000000007E-2</v>
      </c>
      <c r="I2800" s="26"/>
      <c r="J2800" s="26" t="s">
        <v>512</v>
      </c>
      <c r="K2800" s="25" t="s">
        <v>513</v>
      </c>
    </row>
    <row r="2801" spans="1:11" ht="25.5" x14ac:dyDescent="0.25">
      <c r="A2801" s="22">
        <v>2026</v>
      </c>
      <c r="B2801" s="28" t="s">
        <v>192</v>
      </c>
      <c r="C2801" s="28" t="s">
        <v>97</v>
      </c>
      <c r="D2801" s="28" t="s">
        <v>1734</v>
      </c>
      <c r="E2801" s="29" t="s">
        <v>309</v>
      </c>
      <c r="F2801" s="29" t="s">
        <v>903</v>
      </c>
      <c r="G2801" s="25" t="s">
        <v>4541</v>
      </c>
      <c r="H2801" s="26">
        <v>-9.1497100000000012E-2</v>
      </c>
      <c r="I2801" s="26"/>
      <c r="J2801" s="26" t="s">
        <v>512</v>
      </c>
      <c r="K2801" s="25" t="s">
        <v>513</v>
      </c>
    </row>
    <row r="2802" spans="1:11" ht="25.5" x14ac:dyDescent="0.25">
      <c r="A2802" s="22">
        <v>2026</v>
      </c>
      <c r="B2802" s="28" t="s">
        <v>192</v>
      </c>
      <c r="C2802" s="28" t="s">
        <v>97</v>
      </c>
      <c r="D2802" s="28" t="s">
        <v>1734</v>
      </c>
      <c r="E2802" s="29" t="s">
        <v>309</v>
      </c>
      <c r="F2802" s="29" t="s">
        <v>903</v>
      </c>
      <c r="G2802" s="25" t="s">
        <v>4542</v>
      </c>
      <c r="H2802" s="26">
        <v>-5.5067640000000001E-2</v>
      </c>
      <c r="I2802" s="26"/>
      <c r="J2802" s="26" t="s">
        <v>512</v>
      </c>
      <c r="K2802" s="25" t="s">
        <v>513</v>
      </c>
    </row>
    <row r="2803" spans="1:11" ht="25.5" x14ac:dyDescent="0.25">
      <c r="A2803" s="22">
        <v>2026</v>
      </c>
      <c r="B2803" s="28" t="s">
        <v>192</v>
      </c>
      <c r="C2803" s="28" t="s">
        <v>97</v>
      </c>
      <c r="D2803" s="28" t="s">
        <v>1734</v>
      </c>
      <c r="E2803" s="29" t="s">
        <v>309</v>
      </c>
      <c r="F2803" s="29" t="s">
        <v>903</v>
      </c>
      <c r="G2803" s="25" t="s">
        <v>4543</v>
      </c>
      <c r="H2803" s="26">
        <v>-6.8726502770000003E-2</v>
      </c>
      <c r="I2803" s="26"/>
      <c r="J2803" s="26" t="s">
        <v>512</v>
      </c>
      <c r="K2803" s="25" t="s">
        <v>513</v>
      </c>
    </row>
    <row r="2804" spans="1:11" ht="25.5" x14ac:dyDescent="0.25">
      <c r="A2804" s="22">
        <v>2026</v>
      </c>
      <c r="B2804" s="28" t="s">
        <v>192</v>
      </c>
      <c r="C2804" s="28" t="s">
        <v>97</v>
      </c>
      <c r="D2804" s="28" t="s">
        <v>1734</v>
      </c>
      <c r="E2804" s="29" t="s">
        <v>309</v>
      </c>
      <c r="F2804" s="29" t="s">
        <v>903</v>
      </c>
      <c r="G2804" s="25" t="s">
        <v>4544</v>
      </c>
      <c r="H2804" s="26">
        <v>-8.96676E-2</v>
      </c>
      <c r="I2804" s="26"/>
      <c r="J2804" s="26" t="s">
        <v>512</v>
      </c>
      <c r="K2804" s="25" t="s">
        <v>513</v>
      </c>
    </row>
    <row r="2805" spans="1:11" ht="25.5" x14ac:dyDescent="0.25">
      <c r="A2805" s="22">
        <v>2026</v>
      </c>
      <c r="B2805" s="28" t="s">
        <v>192</v>
      </c>
      <c r="C2805" s="28" t="s">
        <v>97</v>
      </c>
      <c r="D2805" s="28" t="s">
        <v>1734</v>
      </c>
      <c r="E2805" s="29" t="s">
        <v>309</v>
      </c>
      <c r="F2805" s="29" t="s">
        <v>903</v>
      </c>
      <c r="G2805" s="25" t="s">
        <v>4545</v>
      </c>
      <c r="H2805" s="26">
        <v>-9.0244099999999994E-2</v>
      </c>
      <c r="I2805" s="26"/>
      <c r="J2805" s="26" t="s">
        <v>512</v>
      </c>
      <c r="K2805" s="25" t="s">
        <v>513</v>
      </c>
    </row>
    <row r="2806" spans="1:11" ht="25.5" x14ac:dyDescent="0.25">
      <c r="A2806" s="22">
        <v>2026</v>
      </c>
      <c r="B2806" s="28" t="s">
        <v>192</v>
      </c>
      <c r="C2806" s="28" t="s">
        <v>97</v>
      </c>
      <c r="D2806" s="28" t="s">
        <v>1734</v>
      </c>
      <c r="E2806" s="29" t="s">
        <v>309</v>
      </c>
      <c r="F2806" s="29" t="s">
        <v>903</v>
      </c>
      <c r="G2806" s="25" t="s">
        <v>4546</v>
      </c>
      <c r="H2806" s="26">
        <v>-0.33595648000000006</v>
      </c>
      <c r="I2806" s="26"/>
      <c r="J2806" s="26" t="s">
        <v>512</v>
      </c>
      <c r="K2806" s="25" t="s">
        <v>513</v>
      </c>
    </row>
    <row r="2807" spans="1:11" ht="25.5" x14ac:dyDescent="0.25">
      <c r="A2807" s="22">
        <v>2026</v>
      </c>
      <c r="B2807" s="28" t="s">
        <v>192</v>
      </c>
      <c r="C2807" s="28" t="s">
        <v>97</v>
      </c>
      <c r="D2807" s="28" t="s">
        <v>1734</v>
      </c>
      <c r="E2807" s="29" t="s">
        <v>309</v>
      </c>
      <c r="F2807" s="29" t="s">
        <v>903</v>
      </c>
      <c r="G2807" s="25" t="s">
        <v>4547</v>
      </c>
      <c r="H2807" s="26">
        <v>-8.7353199999999992E-2</v>
      </c>
      <c r="I2807" s="26"/>
      <c r="J2807" s="26" t="s">
        <v>512</v>
      </c>
      <c r="K2807" s="25" t="s">
        <v>513</v>
      </c>
    </row>
    <row r="2808" spans="1:11" ht="25.5" x14ac:dyDescent="0.25">
      <c r="A2808" s="22">
        <v>2026</v>
      </c>
      <c r="B2808" s="28" t="s">
        <v>192</v>
      </c>
      <c r="C2808" s="28" t="s">
        <v>97</v>
      </c>
      <c r="D2808" s="28" t="s">
        <v>1734</v>
      </c>
      <c r="E2808" s="29" t="s">
        <v>309</v>
      </c>
      <c r="F2808" s="29" t="s">
        <v>903</v>
      </c>
      <c r="G2808" s="25" t="s">
        <v>4548</v>
      </c>
      <c r="H2808" s="26">
        <v>-8.7939199999999995E-2</v>
      </c>
      <c r="I2808" s="26"/>
      <c r="J2808" s="26" t="s">
        <v>512</v>
      </c>
      <c r="K2808" s="25" t="s">
        <v>513</v>
      </c>
    </row>
    <row r="2809" spans="1:11" ht="25.5" x14ac:dyDescent="0.25">
      <c r="A2809" s="22">
        <v>2026</v>
      </c>
      <c r="B2809" s="28" t="s">
        <v>192</v>
      </c>
      <c r="C2809" s="28" t="s">
        <v>97</v>
      </c>
      <c r="D2809" s="28" t="s">
        <v>1734</v>
      </c>
      <c r="E2809" s="29" t="s">
        <v>309</v>
      </c>
      <c r="F2809" s="29" t="s">
        <v>903</v>
      </c>
      <c r="G2809" s="25" t="s">
        <v>4549</v>
      </c>
      <c r="H2809" s="26">
        <v>-0.21997874999999997</v>
      </c>
      <c r="I2809" s="26"/>
      <c r="J2809" s="26" t="s">
        <v>512</v>
      </c>
      <c r="K2809" s="25" t="s">
        <v>513</v>
      </c>
    </row>
    <row r="2810" spans="1:11" ht="25.5" x14ac:dyDescent="0.25">
      <c r="A2810" s="22">
        <v>2026</v>
      </c>
      <c r="B2810" s="28" t="s">
        <v>192</v>
      </c>
      <c r="C2810" s="28" t="s">
        <v>97</v>
      </c>
      <c r="D2810" s="28" t="s">
        <v>1734</v>
      </c>
      <c r="E2810" s="29" t="s">
        <v>309</v>
      </c>
      <c r="F2810" s="29" t="s">
        <v>903</v>
      </c>
      <c r="G2810" s="25" t="s">
        <v>4550</v>
      </c>
      <c r="H2810" s="26">
        <v>-8.9073600000000003E-2</v>
      </c>
      <c r="I2810" s="26"/>
      <c r="J2810" s="26" t="s">
        <v>512</v>
      </c>
      <c r="K2810" s="25" t="s">
        <v>513</v>
      </c>
    </row>
    <row r="2811" spans="1:11" ht="25.5" x14ac:dyDescent="0.25">
      <c r="A2811" s="22">
        <v>2026</v>
      </c>
      <c r="B2811" s="28" t="s">
        <v>192</v>
      </c>
      <c r="C2811" s="28" t="s">
        <v>97</v>
      </c>
      <c r="D2811" s="28" t="s">
        <v>1734</v>
      </c>
      <c r="E2811" s="29" t="s">
        <v>309</v>
      </c>
      <c r="F2811" s="29" t="s">
        <v>903</v>
      </c>
      <c r="G2811" s="25" t="s">
        <v>4551</v>
      </c>
      <c r="H2811" s="26">
        <v>-8.5814400000000013E-2</v>
      </c>
      <c r="I2811" s="26"/>
      <c r="J2811" s="26" t="s">
        <v>512</v>
      </c>
      <c r="K2811" s="25" t="s">
        <v>513</v>
      </c>
    </row>
    <row r="2812" spans="1:11" ht="25.5" x14ac:dyDescent="0.25">
      <c r="A2812" s="22">
        <v>2026</v>
      </c>
      <c r="B2812" s="28" t="s">
        <v>192</v>
      </c>
      <c r="C2812" s="28" t="s">
        <v>97</v>
      </c>
      <c r="D2812" s="28" t="s">
        <v>1734</v>
      </c>
      <c r="E2812" s="29" t="s">
        <v>309</v>
      </c>
      <c r="F2812" s="29" t="s">
        <v>903</v>
      </c>
      <c r="G2812" s="25" t="s">
        <v>4552</v>
      </c>
      <c r="H2812" s="26">
        <v>-8.5193999999999992E-2</v>
      </c>
      <c r="I2812" s="26"/>
      <c r="J2812" s="26" t="s">
        <v>512</v>
      </c>
      <c r="K2812" s="25" t="s">
        <v>513</v>
      </c>
    </row>
    <row r="2813" spans="1:11" ht="25.5" x14ac:dyDescent="0.25">
      <c r="A2813" s="22">
        <v>2026</v>
      </c>
      <c r="B2813" s="28" t="s">
        <v>192</v>
      </c>
      <c r="C2813" s="28" t="s">
        <v>97</v>
      </c>
      <c r="D2813" s="28" t="s">
        <v>1734</v>
      </c>
      <c r="E2813" s="29" t="s">
        <v>309</v>
      </c>
      <c r="F2813" s="29" t="s">
        <v>903</v>
      </c>
      <c r="G2813" s="25" t="s">
        <v>4553</v>
      </c>
      <c r="H2813" s="26">
        <v>-2.6453919999999999E-2</v>
      </c>
      <c r="I2813" s="26"/>
      <c r="J2813" s="26" t="s">
        <v>512</v>
      </c>
      <c r="K2813" s="25" t="s">
        <v>513</v>
      </c>
    </row>
    <row r="2814" spans="1:11" ht="25.5" x14ac:dyDescent="0.25">
      <c r="A2814" s="22">
        <v>2026</v>
      </c>
      <c r="B2814" s="28" t="s">
        <v>192</v>
      </c>
      <c r="C2814" s="28" t="s">
        <v>97</v>
      </c>
      <c r="D2814" s="28" t="s">
        <v>1734</v>
      </c>
      <c r="E2814" s="29" t="s">
        <v>309</v>
      </c>
      <c r="F2814" s="29" t="s">
        <v>903</v>
      </c>
      <c r="G2814" s="25" t="s">
        <v>4554</v>
      </c>
      <c r="H2814" s="26">
        <v>-0.29238019999999998</v>
      </c>
      <c r="I2814" s="26"/>
      <c r="J2814" s="26" t="s">
        <v>512</v>
      </c>
      <c r="K2814" s="25" t="s">
        <v>513</v>
      </c>
    </row>
    <row r="2815" spans="1:11" ht="25.5" x14ac:dyDescent="0.25">
      <c r="A2815" s="22">
        <v>2026</v>
      </c>
      <c r="B2815" s="28" t="s">
        <v>192</v>
      </c>
      <c r="C2815" s="28" t="s">
        <v>97</v>
      </c>
      <c r="D2815" s="28" t="s">
        <v>1734</v>
      </c>
      <c r="E2815" s="29" t="s">
        <v>309</v>
      </c>
      <c r="F2815" s="29" t="s">
        <v>903</v>
      </c>
      <c r="G2815" s="25" t="s">
        <v>4555</v>
      </c>
      <c r="H2815" s="26">
        <v>-8.4372100000000005E-2</v>
      </c>
      <c r="I2815" s="26"/>
      <c r="J2815" s="26" t="s">
        <v>512</v>
      </c>
      <c r="K2815" s="25" t="s">
        <v>513</v>
      </c>
    </row>
    <row r="2816" spans="1:11" ht="25.5" x14ac:dyDescent="0.25">
      <c r="A2816" s="22">
        <v>2026</v>
      </c>
      <c r="B2816" s="28" t="s">
        <v>192</v>
      </c>
      <c r="C2816" s="28" t="s">
        <v>97</v>
      </c>
      <c r="D2816" s="28" t="s">
        <v>1734</v>
      </c>
      <c r="E2816" s="29" t="s">
        <v>309</v>
      </c>
      <c r="F2816" s="29" t="s">
        <v>903</v>
      </c>
      <c r="G2816" s="25" t="s">
        <v>4556</v>
      </c>
      <c r="H2816" s="26">
        <v>-8.3118399999999995E-2</v>
      </c>
      <c r="I2816" s="26"/>
      <c r="J2816" s="26" t="s">
        <v>512</v>
      </c>
      <c r="K2816" s="25" t="s">
        <v>513</v>
      </c>
    </row>
    <row r="2817" spans="1:11" ht="25.5" x14ac:dyDescent="0.25">
      <c r="A2817" s="22">
        <v>2026</v>
      </c>
      <c r="B2817" s="28" t="s">
        <v>192</v>
      </c>
      <c r="C2817" s="28" t="s">
        <v>97</v>
      </c>
      <c r="D2817" s="28" t="s">
        <v>1734</v>
      </c>
      <c r="E2817" s="29" t="s">
        <v>309</v>
      </c>
      <c r="F2817" s="29" t="s">
        <v>903</v>
      </c>
      <c r="G2817" s="25" t="s">
        <v>4557</v>
      </c>
      <c r="H2817" s="26">
        <v>-8.1071399999999988E-2</v>
      </c>
      <c r="I2817" s="26"/>
      <c r="J2817" s="26" t="s">
        <v>512</v>
      </c>
      <c r="K2817" s="25" t="s">
        <v>513</v>
      </c>
    </row>
    <row r="2818" spans="1:11" ht="25.5" x14ac:dyDescent="0.25">
      <c r="A2818" s="22">
        <v>2026</v>
      </c>
      <c r="B2818" s="28" t="s">
        <v>192</v>
      </c>
      <c r="C2818" s="28" t="s">
        <v>97</v>
      </c>
      <c r="D2818" s="28" t="s">
        <v>1734</v>
      </c>
      <c r="E2818" s="29" t="s">
        <v>309</v>
      </c>
      <c r="F2818" s="29" t="s">
        <v>903</v>
      </c>
      <c r="G2818" s="25" t="s">
        <v>4558</v>
      </c>
      <c r="H2818" s="26">
        <v>-8.1681899999999988E-2</v>
      </c>
      <c r="I2818" s="26"/>
      <c r="J2818" s="26" t="s">
        <v>512</v>
      </c>
      <c r="K2818" s="25" t="s">
        <v>513</v>
      </c>
    </row>
    <row r="2819" spans="1:11" ht="25.5" x14ac:dyDescent="0.25">
      <c r="A2819" s="22">
        <v>2026</v>
      </c>
      <c r="B2819" s="28" t="s">
        <v>192</v>
      </c>
      <c r="C2819" s="28" t="s">
        <v>97</v>
      </c>
      <c r="D2819" s="28" t="s">
        <v>1735</v>
      </c>
      <c r="E2819" s="29" t="s">
        <v>309</v>
      </c>
      <c r="F2819" s="29" t="s">
        <v>566</v>
      </c>
      <c r="G2819" s="25" t="s">
        <v>4559</v>
      </c>
      <c r="H2819" s="26">
        <v>-0.20649999999999999</v>
      </c>
      <c r="I2819" s="26"/>
      <c r="J2819" s="26" t="s">
        <v>512</v>
      </c>
      <c r="K2819" s="25" t="s">
        <v>513</v>
      </c>
    </row>
    <row r="2820" spans="1:11" ht="25.5" x14ac:dyDescent="0.25">
      <c r="A2820" s="22">
        <v>2026</v>
      </c>
      <c r="B2820" s="28" t="s">
        <v>192</v>
      </c>
      <c r="C2820" s="28" t="s">
        <v>97</v>
      </c>
      <c r="D2820" s="28" t="s">
        <v>1735</v>
      </c>
      <c r="E2820" s="29" t="s">
        <v>309</v>
      </c>
      <c r="F2820" s="29" t="s">
        <v>566</v>
      </c>
      <c r="G2820" s="25" t="s">
        <v>4560</v>
      </c>
      <c r="H2820" s="26">
        <v>-0.38850000000000001</v>
      </c>
      <c r="I2820" s="26"/>
      <c r="J2820" s="26" t="s">
        <v>512</v>
      </c>
      <c r="K2820" s="25" t="s">
        <v>513</v>
      </c>
    </row>
    <row r="2821" spans="1:11" ht="25.5" x14ac:dyDescent="0.25">
      <c r="A2821" s="22">
        <v>2026</v>
      </c>
      <c r="B2821" s="28" t="s">
        <v>192</v>
      </c>
      <c r="C2821" s="28" t="s">
        <v>97</v>
      </c>
      <c r="D2821" s="28" t="s">
        <v>1735</v>
      </c>
      <c r="E2821" s="29" t="s">
        <v>309</v>
      </c>
      <c r="F2821" s="29" t="s">
        <v>566</v>
      </c>
      <c r="G2821" s="25" t="s">
        <v>4561</v>
      </c>
      <c r="H2821" s="26">
        <v>-0.56846549999999996</v>
      </c>
      <c r="I2821" s="26"/>
      <c r="J2821" s="26" t="s">
        <v>512</v>
      </c>
      <c r="K2821" s="25" t="s">
        <v>513</v>
      </c>
    </row>
    <row r="2822" spans="1:11" ht="25.5" x14ac:dyDescent="0.25">
      <c r="A2822" s="22">
        <v>2026</v>
      </c>
      <c r="B2822" s="28" t="s">
        <v>192</v>
      </c>
      <c r="C2822" s="28" t="s">
        <v>97</v>
      </c>
      <c r="D2822" s="28" t="s">
        <v>1735</v>
      </c>
      <c r="E2822" s="29" t="s">
        <v>309</v>
      </c>
      <c r="F2822" s="29" t="s">
        <v>566</v>
      </c>
      <c r="G2822" s="25" t="s">
        <v>4562</v>
      </c>
      <c r="H2822" s="26">
        <v>-0.56243399999999999</v>
      </c>
      <c r="I2822" s="26"/>
      <c r="J2822" s="26" t="s">
        <v>512</v>
      </c>
      <c r="K2822" s="25" t="s">
        <v>513</v>
      </c>
    </row>
    <row r="2823" spans="1:11" ht="25.5" x14ac:dyDescent="0.25">
      <c r="A2823" s="22">
        <v>2026</v>
      </c>
      <c r="B2823" s="28" t="s">
        <v>192</v>
      </c>
      <c r="C2823" s="28" t="s">
        <v>97</v>
      </c>
      <c r="D2823" s="28" t="s">
        <v>1735</v>
      </c>
      <c r="E2823" s="29" t="s">
        <v>309</v>
      </c>
      <c r="F2823" s="29" t="s">
        <v>566</v>
      </c>
      <c r="G2823" s="25" t="s">
        <v>4563</v>
      </c>
      <c r="H2823" s="26">
        <v>-0.76674100000000001</v>
      </c>
      <c r="I2823" s="26"/>
      <c r="J2823" s="26" t="s">
        <v>512</v>
      </c>
      <c r="K2823" s="25" t="s">
        <v>513</v>
      </c>
    </row>
    <row r="2824" spans="1:11" ht="25.5" x14ac:dyDescent="0.25">
      <c r="A2824" s="22">
        <v>2026</v>
      </c>
      <c r="B2824" s="28" t="s">
        <v>192</v>
      </c>
      <c r="C2824" s="28" t="s">
        <v>97</v>
      </c>
      <c r="D2824" s="28" t="s">
        <v>1735</v>
      </c>
      <c r="E2824" s="29" t="s">
        <v>309</v>
      </c>
      <c r="F2824" s="29" t="s">
        <v>566</v>
      </c>
      <c r="G2824" s="25" t="s">
        <v>4564</v>
      </c>
      <c r="H2824" s="26">
        <v>-0.5655</v>
      </c>
      <c r="I2824" s="26"/>
      <c r="J2824" s="26" t="s">
        <v>512</v>
      </c>
      <c r="K2824" s="25" t="s">
        <v>513</v>
      </c>
    </row>
    <row r="2825" spans="1:11" ht="25.5" x14ac:dyDescent="0.25">
      <c r="A2825" s="22">
        <v>2026</v>
      </c>
      <c r="B2825" s="28" t="s">
        <v>192</v>
      </c>
      <c r="C2825" s="28" t="s">
        <v>97</v>
      </c>
      <c r="D2825" s="28" t="s">
        <v>1735</v>
      </c>
      <c r="E2825" s="29" t="s">
        <v>309</v>
      </c>
      <c r="F2825" s="29" t="s">
        <v>566</v>
      </c>
      <c r="G2825" s="25" t="s">
        <v>4565</v>
      </c>
      <c r="H2825" s="26">
        <v>-0.56983499999999998</v>
      </c>
      <c r="I2825" s="26"/>
      <c r="J2825" s="26" t="s">
        <v>512</v>
      </c>
      <c r="K2825" s="25" t="s">
        <v>513</v>
      </c>
    </row>
    <row r="2826" spans="1:11" ht="25.5" x14ac:dyDescent="0.25">
      <c r="A2826" s="22">
        <v>2026</v>
      </c>
      <c r="B2826" s="28" t="s">
        <v>192</v>
      </c>
      <c r="C2826" s="28" t="s">
        <v>97</v>
      </c>
      <c r="D2826" s="28" t="s">
        <v>1735</v>
      </c>
      <c r="E2826" s="29" t="s">
        <v>309</v>
      </c>
      <c r="F2826" s="29" t="s">
        <v>566</v>
      </c>
      <c r="G2826" s="25" t="s">
        <v>4566</v>
      </c>
      <c r="H2826" s="26">
        <v>-0.57150000000000001</v>
      </c>
      <c r="I2826" s="26"/>
      <c r="J2826" s="26" t="s">
        <v>512</v>
      </c>
      <c r="K2826" s="25" t="s">
        <v>513</v>
      </c>
    </row>
    <row r="2827" spans="1:11" ht="25.5" x14ac:dyDescent="0.25">
      <c r="A2827" s="22">
        <v>2026</v>
      </c>
      <c r="B2827" s="28" t="s">
        <v>192</v>
      </c>
      <c r="C2827" s="28" t="s">
        <v>97</v>
      </c>
      <c r="D2827" s="28" t="s">
        <v>1735</v>
      </c>
      <c r="E2827" s="29" t="s">
        <v>309</v>
      </c>
      <c r="F2827" s="29" t="s">
        <v>566</v>
      </c>
      <c r="G2827" s="25" t="s">
        <v>4567</v>
      </c>
      <c r="H2827" s="26">
        <v>-0.56999924999999996</v>
      </c>
      <c r="I2827" s="26"/>
      <c r="J2827" s="26" t="s">
        <v>512</v>
      </c>
      <c r="K2827" s="25" t="s">
        <v>513</v>
      </c>
    </row>
    <row r="2828" spans="1:11" ht="25.5" x14ac:dyDescent="0.25">
      <c r="A2828" s="22">
        <v>2026</v>
      </c>
      <c r="B2828" s="28" t="s">
        <v>192</v>
      </c>
      <c r="C2828" s="28" t="s">
        <v>97</v>
      </c>
      <c r="D2828" s="28" t="s">
        <v>1735</v>
      </c>
      <c r="E2828" s="29" t="s">
        <v>309</v>
      </c>
      <c r="F2828" s="29" t="s">
        <v>566</v>
      </c>
      <c r="G2828" s="25" t="s">
        <v>4568</v>
      </c>
      <c r="H2828" s="26">
        <v>-0.755027</v>
      </c>
      <c r="I2828" s="26"/>
      <c r="J2828" s="26" t="s">
        <v>512</v>
      </c>
      <c r="K2828" s="25" t="s">
        <v>513</v>
      </c>
    </row>
    <row r="2829" spans="1:11" ht="25.5" x14ac:dyDescent="0.25">
      <c r="A2829" s="22">
        <v>2026</v>
      </c>
      <c r="B2829" s="28" t="s">
        <v>192</v>
      </c>
      <c r="C2829" s="28" t="s">
        <v>97</v>
      </c>
      <c r="D2829" s="28" t="s">
        <v>1735</v>
      </c>
      <c r="E2829" s="29" t="s">
        <v>309</v>
      </c>
      <c r="F2829" s="29" t="s">
        <v>566</v>
      </c>
      <c r="G2829" s="25" t="s">
        <v>4569</v>
      </c>
      <c r="H2829" s="26">
        <v>-1.3002499999999999</v>
      </c>
      <c r="I2829" s="26"/>
      <c r="J2829" s="26" t="s">
        <v>512</v>
      </c>
      <c r="K2829" s="25" t="s">
        <v>513</v>
      </c>
    </row>
    <row r="2830" spans="1:11" ht="25.5" x14ac:dyDescent="0.25">
      <c r="A2830" s="22">
        <v>2026</v>
      </c>
      <c r="B2830" s="28" t="s">
        <v>192</v>
      </c>
      <c r="C2830" s="28" t="s">
        <v>97</v>
      </c>
      <c r="D2830" s="28" t="s">
        <v>1735</v>
      </c>
      <c r="E2830" s="29" t="s">
        <v>309</v>
      </c>
      <c r="F2830" s="29" t="s">
        <v>566</v>
      </c>
      <c r="G2830" s="25" t="s">
        <v>4570</v>
      </c>
      <c r="H2830" s="26">
        <v>-1.47</v>
      </c>
      <c r="I2830" s="26"/>
      <c r="J2830" s="26" t="s">
        <v>512</v>
      </c>
      <c r="K2830" s="25" t="s">
        <v>513</v>
      </c>
    </row>
    <row r="2831" spans="1:11" ht="25.5" x14ac:dyDescent="0.25">
      <c r="A2831" s="22">
        <v>2026</v>
      </c>
      <c r="B2831" s="28" t="s">
        <v>192</v>
      </c>
      <c r="C2831" s="28" t="s">
        <v>97</v>
      </c>
      <c r="D2831" s="28" t="s">
        <v>1735</v>
      </c>
      <c r="E2831" s="29" t="s">
        <v>309</v>
      </c>
      <c r="F2831" s="29" t="s">
        <v>566</v>
      </c>
      <c r="G2831" s="25" t="s">
        <v>4571</v>
      </c>
      <c r="H2831" s="26">
        <v>-0.54301500000000003</v>
      </c>
      <c r="I2831" s="26"/>
      <c r="J2831" s="26" t="s">
        <v>512</v>
      </c>
      <c r="K2831" s="25" t="s">
        <v>513</v>
      </c>
    </row>
    <row r="2832" spans="1:11" ht="25.5" x14ac:dyDescent="0.25">
      <c r="A2832" s="22">
        <v>2026</v>
      </c>
      <c r="B2832" s="28" t="s">
        <v>192</v>
      </c>
      <c r="C2832" s="28" t="s">
        <v>97</v>
      </c>
      <c r="D2832" s="28" t="s">
        <v>1735</v>
      </c>
      <c r="E2832" s="29" t="s">
        <v>309</v>
      </c>
      <c r="F2832" s="29" t="s">
        <v>566</v>
      </c>
      <c r="G2832" s="25" t="s">
        <v>4572</v>
      </c>
      <c r="H2832" s="26">
        <v>-0.89624999999999999</v>
      </c>
      <c r="I2832" s="26"/>
      <c r="J2832" s="26" t="s">
        <v>512</v>
      </c>
      <c r="K2832" s="25" t="s">
        <v>513</v>
      </c>
    </row>
    <row r="2833" spans="1:11" ht="25.5" x14ac:dyDescent="0.25">
      <c r="A2833" s="22">
        <v>2026</v>
      </c>
      <c r="B2833" s="28" t="s">
        <v>192</v>
      </c>
      <c r="C2833" s="28" t="s">
        <v>97</v>
      </c>
      <c r="D2833" s="28" t="s">
        <v>1735</v>
      </c>
      <c r="E2833" s="29" t="s">
        <v>309</v>
      </c>
      <c r="F2833" s="29" t="s">
        <v>566</v>
      </c>
      <c r="G2833" s="25" t="s">
        <v>4573</v>
      </c>
      <c r="H2833" s="26">
        <v>-0.54749999999999999</v>
      </c>
      <c r="I2833" s="26"/>
      <c r="J2833" s="26" t="s">
        <v>512</v>
      </c>
      <c r="K2833" s="25" t="s">
        <v>513</v>
      </c>
    </row>
    <row r="2834" spans="1:11" ht="25.5" x14ac:dyDescent="0.25">
      <c r="A2834" s="22">
        <v>2026</v>
      </c>
      <c r="B2834" s="28" t="s">
        <v>192</v>
      </c>
      <c r="C2834" s="28" t="s">
        <v>97</v>
      </c>
      <c r="D2834" s="28" t="s">
        <v>1735</v>
      </c>
      <c r="E2834" s="29" t="s">
        <v>309</v>
      </c>
      <c r="F2834" s="29" t="s">
        <v>566</v>
      </c>
      <c r="G2834" s="25" t="s">
        <v>4574</v>
      </c>
      <c r="H2834" s="26">
        <v>-1.075599</v>
      </c>
      <c r="I2834" s="26"/>
      <c r="J2834" s="26" t="s">
        <v>512</v>
      </c>
      <c r="K2834" s="25" t="s">
        <v>513</v>
      </c>
    </row>
    <row r="2835" spans="1:11" ht="25.5" x14ac:dyDescent="0.25">
      <c r="A2835" s="22">
        <v>2026</v>
      </c>
      <c r="B2835" s="28" t="s">
        <v>192</v>
      </c>
      <c r="C2835" s="28" t="s">
        <v>97</v>
      </c>
      <c r="D2835" s="28" t="s">
        <v>1735</v>
      </c>
      <c r="E2835" s="29" t="s">
        <v>309</v>
      </c>
      <c r="F2835" s="29" t="s">
        <v>566</v>
      </c>
      <c r="G2835" s="25" t="s">
        <v>4575</v>
      </c>
      <c r="H2835" s="26">
        <v>-0.77</v>
      </c>
      <c r="I2835" s="26"/>
      <c r="J2835" s="26" t="s">
        <v>512</v>
      </c>
      <c r="K2835" s="25" t="s">
        <v>513</v>
      </c>
    </row>
    <row r="2836" spans="1:11" ht="25.5" x14ac:dyDescent="0.25">
      <c r="A2836" s="22">
        <v>2026</v>
      </c>
      <c r="B2836" s="28" t="s">
        <v>192</v>
      </c>
      <c r="C2836" s="28" t="s">
        <v>97</v>
      </c>
      <c r="D2836" s="28" t="s">
        <v>1735</v>
      </c>
      <c r="E2836" s="29" t="s">
        <v>309</v>
      </c>
      <c r="F2836" s="29" t="s">
        <v>566</v>
      </c>
      <c r="G2836" s="25" t="s">
        <v>4576</v>
      </c>
      <c r="H2836" s="26">
        <v>-0.7</v>
      </c>
      <c r="I2836" s="26"/>
      <c r="J2836" s="26" t="s">
        <v>512</v>
      </c>
      <c r="K2836" s="25" t="s">
        <v>513</v>
      </c>
    </row>
    <row r="2837" spans="1:11" ht="25.5" x14ac:dyDescent="0.25">
      <c r="A2837" s="22">
        <v>2026</v>
      </c>
      <c r="B2837" s="28" t="s">
        <v>192</v>
      </c>
      <c r="C2837" s="28" t="s">
        <v>97</v>
      </c>
      <c r="D2837" s="28" t="s">
        <v>1735</v>
      </c>
      <c r="E2837" s="29" t="s">
        <v>309</v>
      </c>
      <c r="F2837" s="29" t="s">
        <v>566</v>
      </c>
      <c r="G2837" s="25" t="s">
        <v>3599</v>
      </c>
      <c r="H2837" s="26">
        <v>-0.70299999999999996</v>
      </c>
      <c r="I2837" s="26"/>
      <c r="J2837" s="26" t="s">
        <v>512</v>
      </c>
      <c r="K2837" s="25" t="s">
        <v>513</v>
      </c>
    </row>
    <row r="2838" spans="1:11" ht="25.5" x14ac:dyDescent="0.25">
      <c r="A2838" s="22">
        <v>2026</v>
      </c>
      <c r="B2838" s="28" t="s">
        <v>192</v>
      </c>
      <c r="C2838" s="28" t="s">
        <v>97</v>
      </c>
      <c r="D2838" s="28" t="s">
        <v>1736</v>
      </c>
      <c r="E2838" s="29" t="s">
        <v>309</v>
      </c>
      <c r="F2838" s="29" t="s">
        <v>343</v>
      </c>
      <c r="G2838" s="25" t="s">
        <v>4577</v>
      </c>
      <c r="H2838" s="26">
        <v>-0.39874999999999999</v>
      </c>
      <c r="I2838" s="26"/>
      <c r="J2838" s="26" t="s">
        <v>512</v>
      </c>
      <c r="K2838" s="25" t="s">
        <v>513</v>
      </c>
    </row>
    <row r="2839" spans="1:11" ht="25.5" x14ac:dyDescent="0.25">
      <c r="A2839" s="22">
        <v>2026</v>
      </c>
      <c r="B2839" s="28" t="s">
        <v>192</v>
      </c>
      <c r="C2839" s="28" t="s">
        <v>97</v>
      </c>
      <c r="D2839" s="28" t="s">
        <v>1736</v>
      </c>
      <c r="E2839" s="29" t="s">
        <v>309</v>
      </c>
      <c r="F2839" s="29" t="s">
        <v>343</v>
      </c>
      <c r="G2839" s="25" t="s">
        <v>4578</v>
      </c>
      <c r="H2839" s="26">
        <v>-0.22206975000000001</v>
      </c>
      <c r="I2839" s="26"/>
      <c r="J2839" s="26" t="s">
        <v>512</v>
      </c>
      <c r="K2839" s="25" t="s">
        <v>513</v>
      </c>
    </row>
    <row r="2840" spans="1:11" ht="25.5" x14ac:dyDescent="0.25">
      <c r="A2840" s="22">
        <v>2026</v>
      </c>
      <c r="B2840" s="28" t="s">
        <v>192</v>
      </c>
      <c r="C2840" s="28" t="s">
        <v>97</v>
      </c>
      <c r="D2840" s="28" t="s">
        <v>538</v>
      </c>
      <c r="E2840" s="29" t="s">
        <v>309</v>
      </c>
      <c r="F2840" s="29" t="s">
        <v>564</v>
      </c>
      <c r="G2840" s="25" t="s">
        <v>4579</v>
      </c>
      <c r="H2840" s="26">
        <v>-0.10093413644999999</v>
      </c>
      <c r="I2840" s="26"/>
      <c r="J2840" s="26" t="s">
        <v>512</v>
      </c>
      <c r="K2840" s="25" t="s">
        <v>513</v>
      </c>
    </row>
    <row r="2841" spans="1:11" ht="25.5" x14ac:dyDescent="0.25">
      <c r="A2841" s="22">
        <v>2026</v>
      </c>
      <c r="B2841" s="28" t="s">
        <v>192</v>
      </c>
      <c r="C2841" s="28" t="s">
        <v>97</v>
      </c>
      <c r="D2841" s="28" t="s">
        <v>538</v>
      </c>
      <c r="E2841" s="29" t="s">
        <v>309</v>
      </c>
      <c r="F2841" s="29" t="s">
        <v>564</v>
      </c>
      <c r="G2841" s="25" t="s">
        <v>4580</v>
      </c>
      <c r="H2841" s="26">
        <v>-0.10230725</v>
      </c>
      <c r="I2841" s="26"/>
      <c r="J2841" s="26" t="s">
        <v>512</v>
      </c>
      <c r="K2841" s="25" t="s">
        <v>513</v>
      </c>
    </row>
    <row r="2842" spans="1:11" ht="25.5" x14ac:dyDescent="0.25">
      <c r="A2842" s="22">
        <v>2026</v>
      </c>
      <c r="B2842" s="28" t="s">
        <v>192</v>
      </c>
      <c r="C2842" s="28" t="s">
        <v>97</v>
      </c>
      <c r="D2842" s="28" t="s">
        <v>538</v>
      </c>
      <c r="E2842" s="29" t="s">
        <v>309</v>
      </c>
      <c r="F2842" s="29" t="s">
        <v>564</v>
      </c>
      <c r="G2842" s="25" t="s">
        <v>4581</v>
      </c>
      <c r="H2842" s="26">
        <v>-9.9573999999999996E-2</v>
      </c>
      <c r="I2842" s="26"/>
      <c r="J2842" s="26" t="s">
        <v>512</v>
      </c>
      <c r="K2842" s="25" t="s">
        <v>513</v>
      </c>
    </row>
    <row r="2843" spans="1:11" ht="25.5" x14ac:dyDescent="0.25">
      <c r="A2843" s="22">
        <v>2026</v>
      </c>
      <c r="B2843" s="28" t="s">
        <v>192</v>
      </c>
      <c r="C2843" s="28" t="s">
        <v>97</v>
      </c>
      <c r="D2843" s="28" t="s">
        <v>538</v>
      </c>
      <c r="E2843" s="29" t="s">
        <v>309</v>
      </c>
      <c r="F2843" s="29" t="s">
        <v>564</v>
      </c>
      <c r="G2843" s="25" t="s">
        <v>4582</v>
      </c>
      <c r="H2843" s="26">
        <v>-7.7545199999999995E-2</v>
      </c>
      <c r="I2843" s="26"/>
      <c r="J2843" s="26" t="s">
        <v>512</v>
      </c>
      <c r="K2843" s="25" t="s">
        <v>513</v>
      </c>
    </row>
    <row r="2844" spans="1:11" ht="25.5" x14ac:dyDescent="0.25">
      <c r="A2844" s="22">
        <v>2026</v>
      </c>
      <c r="B2844" s="28" t="s">
        <v>192</v>
      </c>
      <c r="C2844" s="28" t="s">
        <v>97</v>
      </c>
      <c r="D2844" s="28" t="s">
        <v>538</v>
      </c>
      <c r="E2844" s="29" t="s">
        <v>309</v>
      </c>
      <c r="F2844" s="29" t="s">
        <v>564</v>
      </c>
      <c r="G2844" s="25" t="s">
        <v>4583</v>
      </c>
      <c r="H2844" s="26">
        <v>-9.8500000000000004E-2</v>
      </c>
      <c r="I2844" s="26"/>
      <c r="J2844" s="26" t="s">
        <v>512</v>
      </c>
      <c r="K2844" s="25" t="s">
        <v>513</v>
      </c>
    </row>
    <row r="2845" spans="1:11" ht="25.5" x14ac:dyDescent="0.25">
      <c r="A2845" s="22">
        <v>2026</v>
      </c>
      <c r="B2845" s="28" t="s">
        <v>192</v>
      </c>
      <c r="C2845" s="28" t="s">
        <v>97</v>
      </c>
      <c r="D2845" s="28" t="s">
        <v>538</v>
      </c>
      <c r="E2845" s="29" t="s">
        <v>309</v>
      </c>
      <c r="F2845" s="29" t="s">
        <v>564</v>
      </c>
      <c r="G2845" s="25" t="s">
        <v>4584</v>
      </c>
      <c r="H2845" s="26">
        <v>-7.8E-2</v>
      </c>
      <c r="I2845" s="26"/>
      <c r="J2845" s="26" t="s">
        <v>512</v>
      </c>
      <c r="K2845" s="25" t="s">
        <v>513</v>
      </c>
    </row>
    <row r="2846" spans="1:11" ht="25.5" x14ac:dyDescent="0.25">
      <c r="A2846" s="22">
        <v>2026</v>
      </c>
      <c r="B2846" s="28" t="s">
        <v>192</v>
      </c>
      <c r="C2846" s="28" t="s">
        <v>97</v>
      </c>
      <c r="D2846" s="28" t="s">
        <v>538</v>
      </c>
      <c r="E2846" s="29" t="s">
        <v>309</v>
      </c>
      <c r="F2846" s="29" t="s">
        <v>564</v>
      </c>
      <c r="G2846" s="25" t="s">
        <v>4585</v>
      </c>
      <c r="H2846" s="26">
        <v>-5.8301400000000003E-2</v>
      </c>
      <c r="I2846" s="26"/>
      <c r="J2846" s="26" t="s">
        <v>512</v>
      </c>
      <c r="K2846" s="25" t="s">
        <v>513</v>
      </c>
    </row>
    <row r="2847" spans="1:11" ht="25.5" x14ac:dyDescent="0.25">
      <c r="A2847" s="22">
        <v>2026</v>
      </c>
      <c r="B2847" s="28" t="s">
        <v>192</v>
      </c>
      <c r="C2847" s="28" t="s">
        <v>97</v>
      </c>
      <c r="D2847" s="28" t="s">
        <v>538</v>
      </c>
      <c r="E2847" s="29" t="s">
        <v>309</v>
      </c>
      <c r="F2847" s="29" t="s">
        <v>564</v>
      </c>
      <c r="G2847" s="25" t="s">
        <v>4586</v>
      </c>
      <c r="H2847" s="26">
        <v>-7.7173199999999997E-2</v>
      </c>
      <c r="I2847" s="26"/>
      <c r="J2847" s="26" t="s">
        <v>512</v>
      </c>
      <c r="K2847" s="25" t="s">
        <v>513</v>
      </c>
    </row>
    <row r="2848" spans="1:11" ht="25.5" x14ac:dyDescent="0.25">
      <c r="A2848" s="22">
        <v>2026</v>
      </c>
      <c r="B2848" s="28" t="s">
        <v>192</v>
      </c>
      <c r="C2848" s="28" t="s">
        <v>97</v>
      </c>
      <c r="D2848" s="28" t="s">
        <v>538</v>
      </c>
      <c r="E2848" s="29" t="s">
        <v>309</v>
      </c>
      <c r="F2848" s="29" t="s">
        <v>564</v>
      </c>
      <c r="G2848" s="25" t="s">
        <v>4587</v>
      </c>
      <c r="H2848" s="26">
        <v>-7.7399999999999997E-2</v>
      </c>
      <c r="I2848" s="26"/>
      <c r="J2848" s="26" t="s">
        <v>512</v>
      </c>
      <c r="K2848" s="25" t="s">
        <v>513</v>
      </c>
    </row>
    <row r="2849" spans="1:11" ht="25.5" x14ac:dyDescent="0.25">
      <c r="A2849" s="22">
        <v>2026</v>
      </c>
      <c r="B2849" s="28" t="s">
        <v>192</v>
      </c>
      <c r="C2849" s="28" t="s">
        <v>97</v>
      </c>
      <c r="D2849" s="28" t="s">
        <v>538</v>
      </c>
      <c r="E2849" s="29" t="s">
        <v>309</v>
      </c>
      <c r="F2849" s="29" t="s">
        <v>564</v>
      </c>
      <c r="G2849" s="25" t="s">
        <v>4588</v>
      </c>
      <c r="H2849" s="26">
        <v>-0.1918</v>
      </c>
      <c r="I2849" s="26"/>
      <c r="J2849" s="26" t="s">
        <v>512</v>
      </c>
      <c r="K2849" s="25" t="s">
        <v>513</v>
      </c>
    </row>
    <row r="2850" spans="1:11" ht="25.5" x14ac:dyDescent="0.25">
      <c r="A2850" s="22">
        <v>2026</v>
      </c>
      <c r="B2850" s="28" t="s">
        <v>192</v>
      </c>
      <c r="C2850" s="28" t="s">
        <v>97</v>
      </c>
      <c r="D2850" s="28" t="s">
        <v>538</v>
      </c>
      <c r="E2850" s="29" t="s">
        <v>309</v>
      </c>
      <c r="F2850" s="29" t="s">
        <v>564</v>
      </c>
      <c r="G2850" s="25" t="s">
        <v>4589</v>
      </c>
      <c r="H2850" s="26">
        <v>-5.6551050000000005E-2</v>
      </c>
      <c r="I2850" s="26"/>
      <c r="J2850" s="26" t="s">
        <v>512</v>
      </c>
      <c r="K2850" s="25" t="s">
        <v>513</v>
      </c>
    </row>
    <row r="2851" spans="1:11" ht="25.5" x14ac:dyDescent="0.25">
      <c r="A2851" s="22">
        <v>2026</v>
      </c>
      <c r="B2851" s="28" t="s">
        <v>192</v>
      </c>
      <c r="C2851" s="28" t="s">
        <v>97</v>
      </c>
      <c r="D2851" s="28" t="s">
        <v>538</v>
      </c>
      <c r="E2851" s="29" t="s">
        <v>309</v>
      </c>
      <c r="F2851" s="29" t="s">
        <v>564</v>
      </c>
      <c r="G2851" s="25" t="s">
        <v>4590</v>
      </c>
      <c r="H2851" s="26">
        <v>-0.13335</v>
      </c>
      <c r="I2851" s="26"/>
      <c r="J2851" s="26" t="s">
        <v>512</v>
      </c>
      <c r="K2851" s="25" t="s">
        <v>513</v>
      </c>
    </row>
    <row r="2852" spans="1:11" ht="25.5" x14ac:dyDescent="0.25">
      <c r="A2852" s="22">
        <v>2026</v>
      </c>
      <c r="B2852" s="28" t="s">
        <v>192</v>
      </c>
      <c r="C2852" s="28" t="s">
        <v>97</v>
      </c>
      <c r="D2852" s="28" t="s">
        <v>538</v>
      </c>
      <c r="E2852" s="29" t="s">
        <v>309</v>
      </c>
      <c r="F2852" s="29" t="s">
        <v>564</v>
      </c>
      <c r="G2852" s="25" t="s">
        <v>4591</v>
      </c>
      <c r="H2852" s="26">
        <v>-0.17014995000000002</v>
      </c>
      <c r="I2852" s="26"/>
      <c r="J2852" s="26" t="s">
        <v>512</v>
      </c>
      <c r="K2852" s="25" t="s">
        <v>513</v>
      </c>
    </row>
    <row r="2853" spans="1:11" ht="25.5" x14ac:dyDescent="0.25">
      <c r="A2853" s="22">
        <v>2026</v>
      </c>
      <c r="B2853" s="28" t="s">
        <v>192</v>
      </c>
      <c r="C2853" s="28" t="s">
        <v>97</v>
      </c>
      <c r="D2853" s="28" t="s">
        <v>538</v>
      </c>
      <c r="E2853" s="29" t="s">
        <v>309</v>
      </c>
      <c r="F2853" s="29" t="s">
        <v>564</v>
      </c>
      <c r="G2853" s="25" t="s">
        <v>4592</v>
      </c>
      <c r="H2853" s="26">
        <v>-0.13614999999999999</v>
      </c>
      <c r="I2853" s="26"/>
      <c r="J2853" s="26" t="s">
        <v>512</v>
      </c>
      <c r="K2853" s="25" t="s">
        <v>513</v>
      </c>
    </row>
    <row r="2854" spans="1:11" ht="25.5" x14ac:dyDescent="0.25">
      <c r="A2854" s="22">
        <v>2026</v>
      </c>
      <c r="B2854" s="28" t="s">
        <v>192</v>
      </c>
      <c r="C2854" s="28" t="s">
        <v>97</v>
      </c>
      <c r="D2854" s="28" t="s">
        <v>538</v>
      </c>
      <c r="E2854" s="29" t="s">
        <v>309</v>
      </c>
      <c r="F2854" s="29" t="s">
        <v>564</v>
      </c>
      <c r="G2854" s="25" t="s">
        <v>4593</v>
      </c>
      <c r="H2854" s="26">
        <v>-0.2303502</v>
      </c>
      <c r="I2854" s="26"/>
      <c r="J2854" s="26" t="s">
        <v>512</v>
      </c>
      <c r="K2854" s="25" t="s">
        <v>513</v>
      </c>
    </row>
    <row r="2855" spans="1:11" ht="25.5" x14ac:dyDescent="0.25">
      <c r="A2855" s="22">
        <v>2026</v>
      </c>
      <c r="B2855" s="28" t="s">
        <v>192</v>
      </c>
      <c r="C2855" s="28" t="s">
        <v>97</v>
      </c>
      <c r="D2855" s="28" t="s">
        <v>538</v>
      </c>
      <c r="E2855" s="29" t="s">
        <v>309</v>
      </c>
      <c r="F2855" s="29" t="s">
        <v>564</v>
      </c>
      <c r="G2855" s="25" t="s">
        <v>4594</v>
      </c>
      <c r="H2855" s="26">
        <v>-0.1512</v>
      </c>
      <c r="I2855" s="26"/>
      <c r="J2855" s="26" t="s">
        <v>512</v>
      </c>
      <c r="K2855" s="25" t="s">
        <v>513</v>
      </c>
    </row>
    <row r="2856" spans="1:11" ht="25.5" x14ac:dyDescent="0.25">
      <c r="A2856" s="22">
        <v>2026</v>
      </c>
      <c r="B2856" s="28" t="s">
        <v>192</v>
      </c>
      <c r="C2856" s="28" t="s">
        <v>97</v>
      </c>
      <c r="D2856" s="28" t="s">
        <v>538</v>
      </c>
      <c r="E2856" s="29" t="s">
        <v>309</v>
      </c>
      <c r="F2856" s="29" t="s">
        <v>564</v>
      </c>
      <c r="G2856" s="25" t="s">
        <v>4595</v>
      </c>
      <c r="H2856" s="26">
        <v>-9.5875000000000002E-2</v>
      </c>
      <c r="I2856" s="26"/>
      <c r="J2856" s="26" t="s">
        <v>512</v>
      </c>
      <c r="K2856" s="25" t="s">
        <v>513</v>
      </c>
    </row>
    <row r="2857" spans="1:11" ht="25.5" x14ac:dyDescent="0.25">
      <c r="A2857" s="22">
        <v>2026</v>
      </c>
      <c r="B2857" s="28" t="s">
        <v>192</v>
      </c>
      <c r="C2857" s="28" t="s">
        <v>97</v>
      </c>
      <c r="D2857" s="28" t="s">
        <v>1794</v>
      </c>
      <c r="E2857" s="29" t="s">
        <v>1803</v>
      </c>
      <c r="F2857" s="29" t="s">
        <v>4596</v>
      </c>
      <c r="G2857" s="25" t="s">
        <v>4597</v>
      </c>
      <c r="H2857" s="26">
        <v>-5.359477526639999E-2</v>
      </c>
      <c r="I2857" s="26"/>
      <c r="J2857" s="26" t="s">
        <v>512</v>
      </c>
      <c r="K2857" s="25" t="s">
        <v>515</v>
      </c>
    </row>
    <row r="2858" spans="1:11" ht="25.5" x14ac:dyDescent="0.25">
      <c r="A2858" s="22">
        <v>2026</v>
      </c>
      <c r="B2858" s="28" t="s">
        <v>192</v>
      </c>
      <c r="C2858" s="28" t="s">
        <v>97</v>
      </c>
      <c r="D2858" s="28" t="s">
        <v>1794</v>
      </c>
      <c r="E2858" s="29" t="s">
        <v>1803</v>
      </c>
      <c r="F2858" s="29" t="s">
        <v>4596</v>
      </c>
      <c r="G2858" s="25" t="s">
        <v>4598</v>
      </c>
      <c r="H2858" s="26">
        <v>-2.2267752773399999E-2</v>
      </c>
      <c r="I2858" s="26"/>
      <c r="J2858" s="26" t="s">
        <v>512</v>
      </c>
      <c r="K2858" s="25" t="s">
        <v>515</v>
      </c>
    </row>
    <row r="2859" spans="1:11" ht="25.5" x14ac:dyDescent="0.25">
      <c r="A2859" s="22">
        <v>2026</v>
      </c>
      <c r="B2859" s="28" t="s">
        <v>192</v>
      </c>
      <c r="C2859" s="28" t="s">
        <v>97</v>
      </c>
      <c r="D2859" s="28" t="s">
        <v>969</v>
      </c>
      <c r="E2859" s="29" t="s">
        <v>970</v>
      </c>
      <c r="F2859" s="29" t="s">
        <v>319</v>
      </c>
      <c r="G2859" s="25" t="s">
        <v>4599</v>
      </c>
      <c r="H2859" s="26">
        <v>-6.7349999999999993E-2</v>
      </c>
      <c r="I2859" s="26"/>
      <c r="J2859" s="26" t="s">
        <v>512</v>
      </c>
      <c r="K2859" s="25" t="s">
        <v>513</v>
      </c>
    </row>
    <row r="2860" spans="1:11" ht="25.5" x14ac:dyDescent="0.25">
      <c r="A2860" s="22">
        <v>2026</v>
      </c>
      <c r="B2860" s="28" t="s">
        <v>192</v>
      </c>
      <c r="C2860" s="28" t="s">
        <v>97</v>
      </c>
      <c r="D2860" s="28" t="s">
        <v>969</v>
      </c>
      <c r="E2860" s="29" t="s">
        <v>970</v>
      </c>
      <c r="F2860" s="29" t="s">
        <v>319</v>
      </c>
      <c r="G2860" s="25" t="s">
        <v>4600</v>
      </c>
      <c r="H2860" s="26">
        <v>-6.6652500000000003E-2</v>
      </c>
      <c r="I2860" s="26"/>
      <c r="J2860" s="26" t="s">
        <v>512</v>
      </c>
      <c r="K2860" s="25" t="s">
        <v>513</v>
      </c>
    </row>
    <row r="2861" spans="1:11" ht="25.5" x14ac:dyDescent="0.25">
      <c r="A2861" s="22">
        <v>2026</v>
      </c>
      <c r="B2861" s="28" t="s">
        <v>192</v>
      </c>
      <c r="C2861" s="28" t="s">
        <v>97</v>
      </c>
      <c r="D2861" s="28" t="s">
        <v>969</v>
      </c>
      <c r="E2861" s="29" t="s">
        <v>970</v>
      </c>
      <c r="F2861" s="29" t="s">
        <v>319</v>
      </c>
      <c r="G2861" s="25" t="s">
        <v>4601</v>
      </c>
      <c r="H2861" s="26">
        <v>-8.8999999999999996E-2</v>
      </c>
      <c r="I2861" s="26"/>
      <c r="J2861" s="26" t="s">
        <v>512</v>
      </c>
      <c r="K2861" s="25" t="s">
        <v>513</v>
      </c>
    </row>
    <row r="2862" spans="1:11" ht="25.5" x14ac:dyDescent="0.25">
      <c r="A2862" s="22">
        <v>2026</v>
      </c>
      <c r="B2862" s="28" t="s">
        <v>192</v>
      </c>
      <c r="C2862" s="28" t="s">
        <v>97</v>
      </c>
      <c r="D2862" s="28" t="s">
        <v>1738</v>
      </c>
      <c r="E2862" s="29" t="s">
        <v>309</v>
      </c>
      <c r="F2862" s="29" t="s">
        <v>386</v>
      </c>
      <c r="G2862" s="25" t="s">
        <v>4602</v>
      </c>
      <c r="H2862" s="26">
        <v>-1.922625</v>
      </c>
      <c r="I2862" s="26"/>
      <c r="J2862" s="26" t="s">
        <v>512</v>
      </c>
      <c r="K2862" s="25" t="s">
        <v>513</v>
      </c>
    </row>
    <row r="2863" spans="1:11" ht="25.5" x14ac:dyDescent="0.25">
      <c r="A2863" s="22">
        <v>2026</v>
      </c>
      <c r="B2863" s="28" t="s">
        <v>192</v>
      </c>
      <c r="C2863" s="28" t="s">
        <v>97</v>
      </c>
      <c r="D2863" s="28" t="s">
        <v>1738</v>
      </c>
      <c r="E2863" s="29" t="s">
        <v>309</v>
      </c>
      <c r="F2863" s="29" t="s">
        <v>386</v>
      </c>
      <c r="G2863" s="25" t="s">
        <v>4603</v>
      </c>
      <c r="H2863" s="26">
        <v>-1.2884500000000001</v>
      </c>
      <c r="I2863" s="26"/>
      <c r="J2863" s="26" t="s">
        <v>512</v>
      </c>
      <c r="K2863" s="25" t="s">
        <v>513</v>
      </c>
    </row>
    <row r="2864" spans="1:11" ht="25.5" x14ac:dyDescent="0.25">
      <c r="A2864" s="22">
        <v>2026</v>
      </c>
      <c r="B2864" s="28" t="s">
        <v>192</v>
      </c>
      <c r="C2864" s="28" t="s">
        <v>97</v>
      </c>
      <c r="D2864" s="28" t="s">
        <v>1738</v>
      </c>
      <c r="E2864" s="29" t="s">
        <v>309</v>
      </c>
      <c r="F2864" s="29" t="s">
        <v>386</v>
      </c>
      <c r="G2864" s="25" t="s">
        <v>4604</v>
      </c>
      <c r="H2864" s="26">
        <v>-1.90815</v>
      </c>
      <c r="I2864" s="26"/>
      <c r="J2864" s="26" t="s">
        <v>512</v>
      </c>
      <c r="K2864" s="25" t="s">
        <v>513</v>
      </c>
    </row>
    <row r="2865" spans="1:11" ht="25.5" x14ac:dyDescent="0.25">
      <c r="A2865" s="22">
        <v>2026</v>
      </c>
      <c r="B2865" s="28" t="s">
        <v>192</v>
      </c>
      <c r="C2865" s="28" t="s">
        <v>97</v>
      </c>
      <c r="D2865" s="28" t="s">
        <v>1738</v>
      </c>
      <c r="E2865" s="29" t="s">
        <v>309</v>
      </c>
      <c r="F2865" s="29" t="s">
        <v>386</v>
      </c>
      <c r="G2865" s="25" t="s">
        <v>4605</v>
      </c>
      <c r="H2865" s="26">
        <v>-1.8744000000000001</v>
      </c>
      <c r="I2865" s="26"/>
      <c r="J2865" s="26" t="s">
        <v>512</v>
      </c>
      <c r="K2865" s="25" t="s">
        <v>513</v>
      </c>
    </row>
    <row r="2866" spans="1:11" ht="25.5" x14ac:dyDescent="0.25">
      <c r="A2866" s="22">
        <v>2026</v>
      </c>
      <c r="B2866" s="28" t="s">
        <v>192</v>
      </c>
      <c r="C2866" s="28" t="s">
        <v>97</v>
      </c>
      <c r="D2866" s="28" t="s">
        <v>1738</v>
      </c>
      <c r="E2866" s="29" t="s">
        <v>309</v>
      </c>
      <c r="F2866" s="29" t="s">
        <v>386</v>
      </c>
      <c r="G2866" s="25" t="s">
        <v>4606</v>
      </c>
      <c r="H2866" s="26">
        <v>-1.9111499999999999</v>
      </c>
      <c r="I2866" s="26"/>
      <c r="J2866" s="26" t="s">
        <v>512</v>
      </c>
      <c r="K2866" s="25" t="s">
        <v>513</v>
      </c>
    </row>
    <row r="2867" spans="1:11" ht="25.5" x14ac:dyDescent="0.25">
      <c r="A2867" s="22">
        <v>2026</v>
      </c>
      <c r="B2867" s="28" t="s">
        <v>192</v>
      </c>
      <c r="C2867" s="28" t="s">
        <v>97</v>
      </c>
      <c r="D2867" s="28" t="s">
        <v>1738</v>
      </c>
      <c r="E2867" s="29" t="s">
        <v>309</v>
      </c>
      <c r="F2867" s="29" t="s">
        <v>386</v>
      </c>
      <c r="G2867" s="25" t="s">
        <v>4607</v>
      </c>
      <c r="H2867" s="26">
        <v>-1.26905</v>
      </c>
      <c r="I2867" s="26"/>
      <c r="J2867" s="26" t="s">
        <v>512</v>
      </c>
      <c r="K2867" s="25" t="s">
        <v>513</v>
      </c>
    </row>
    <row r="2868" spans="1:11" ht="25.5" x14ac:dyDescent="0.25">
      <c r="A2868" s="22">
        <v>2026</v>
      </c>
      <c r="B2868" s="28" t="s">
        <v>192</v>
      </c>
      <c r="C2868" s="28" t="s">
        <v>97</v>
      </c>
      <c r="D2868" s="28" t="s">
        <v>1738</v>
      </c>
      <c r="E2868" s="29" t="s">
        <v>309</v>
      </c>
      <c r="F2868" s="29" t="s">
        <v>386</v>
      </c>
      <c r="G2868" s="25" t="s">
        <v>4608</v>
      </c>
      <c r="H2868" s="26">
        <v>-1.25705</v>
      </c>
      <c r="I2868" s="26"/>
      <c r="J2868" s="26" t="s">
        <v>512</v>
      </c>
      <c r="K2868" s="25" t="s">
        <v>513</v>
      </c>
    </row>
    <row r="2869" spans="1:11" ht="25.5" x14ac:dyDescent="0.25">
      <c r="A2869" s="22">
        <v>2026</v>
      </c>
      <c r="B2869" s="28" t="s">
        <v>192</v>
      </c>
      <c r="C2869" s="28" t="s">
        <v>97</v>
      </c>
      <c r="D2869" s="28" t="s">
        <v>1738</v>
      </c>
      <c r="E2869" s="29" t="s">
        <v>309</v>
      </c>
      <c r="F2869" s="29" t="s">
        <v>386</v>
      </c>
      <c r="G2869" s="25" t="s">
        <v>4609</v>
      </c>
      <c r="H2869" s="26">
        <v>-1.2525500000000001</v>
      </c>
      <c r="I2869" s="26"/>
      <c r="J2869" s="26" t="s">
        <v>512</v>
      </c>
      <c r="K2869" s="25" t="s">
        <v>513</v>
      </c>
    </row>
    <row r="2870" spans="1:11" ht="25.5" x14ac:dyDescent="0.25">
      <c r="A2870" s="22">
        <v>2026</v>
      </c>
      <c r="B2870" s="28" t="s">
        <v>192</v>
      </c>
      <c r="C2870" s="28" t="s">
        <v>97</v>
      </c>
      <c r="D2870" s="28" t="s">
        <v>1738</v>
      </c>
      <c r="E2870" s="29" t="s">
        <v>309</v>
      </c>
      <c r="F2870" s="29" t="s">
        <v>386</v>
      </c>
      <c r="G2870" s="25" t="s">
        <v>4610</v>
      </c>
      <c r="H2870" s="26">
        <v>-1.8708750000000001</v>
      </c>
      <c r="I2870" s="26"/>
      <c r="J2870" s="26" t="s">
        <v>512</v>
      </c>
      <c r="K2870" s="25" t="s">
        <v>513</v>
      </c>
    </row>
    <row r="2871" spans="1:11" ht="25.5" x14ac:dyDescent="0.25">
      <c r="A2871" s="22">
        <v>2026</v>
      </c>
      <c r="B2871" s="28" t="s">
        <v>192</v>
      </c>
      <c r="C2871" s="28" t="s">
        <v>97</v>
      </c>
      <c r="D2871" s="28" t="s">
        <v>1738</v>
      </c>
      <c r="E2871" s="29" t="s">
        <v>309</v>
      </c>
      <c r="F2871" s="29" t="s">
        <v>386</v>
      </c>
      <c r="G2871" s="25" t="s">
        <v>4611</v>
      </c>
      <c r="H2871" s="26">
        <v>-1.8859500000000002</v>
      </c>
      <c r="I2871" s="26"/>
      <c r="J2871" s="26" t="s">
        <v>512</v>
      </c>
      <c r="K2871" s="25" t="s">
        <v>513</v>
      </c>
    </row>
    <row r="2872" spans="1:11" ht="25.5" x14ac:dyDescent="0.25">
      <c r="A2872" s="22">
        <v>2026</v>
      </c>
      <c r="B2872" s="28" t="s">
        <v>192</v>
      </c>
      <c r="C2872" s="28" t="s">
        <v>97</v>
      </c>
      <c r="D2872" s="28" t="s">
        <v>1738</v>
      </c>
      <c r="E2872" s="29" t="s">
        <v>309</v>
      </c>
      <c r="F2872" s="29" t="s">
        <v>386</v>
      </c>
      <c r="G2872" s="25" t="s">
        <v>4612</v>
      </c>
      <c r="H2872" s="26">
        <v>-1.8966750000000001</v>
      </c>
      <c r="I2872" s="26"/>
      <c r="J2872" s="26" t="s">
        <v>512</v>
      </c>
      <c r="K2872" s="25" t="s">
        <v>513</v>
      </c>
    </row>
    <row r="2873" spans="1:11" ht="25.5" x14ac:dyDescent="0.25">
      <c r="A2873" s="22">
        <v>2026</v>
      </c>
      <c r="B2873" s="28" t="s">
        <v>192</v>
      </c>
      <c r="C2873" s="28" t="s">
        <v>97</v>
      </c>
      <c r="D2873" s="28" t="s">
        <v>1738</v>
      </c>
      <c r="E2873" s="29" t="s">
        <v>309</v>
      </c>
      <c r="F2873" s="29" t="s">
        <v>386</v>
      </c>
      <c r="G2873" s="25" t="s">
        <v>4613</v>
      </c>
      <c r="H2873" s="26">
        <v>-1.8474749999999998</v>
      </c>
      <c r="I2873" s="26"/>
      <c r="J2873" s="26" t="s">
        <v>512</v>
      </c>
      <c r="K2873" s="25" t="s">
        <v>513</v>
      </c>
    </row>
    <row r="2874" spans="1:11" ht="25.5" x14ac:dyDescent="0.25">
      <c r="A2874" s="22">
        <v>2026</v>
      </c>
      <c r="B2874" s="28" t="s">
        <v>192</v>
      </c>
      <c r="C2874" s="28" t="s">
        <v>97</v>
      </c>
      <c r="D2874" s="28" t="s">
        <v>1738</v>
      </c>
      <c r="E2874" s="29" t="s">
        <v>309</v>
      </c>
      <c r="F2874" s="29" t="s">
        <v>386</v>
      </c>
      <c r="G2874" s="25" t="s">
        <v>4614</v>
      </c>
      <c r="H2874" s="26">
        <v>-1.8263249999999998</v>
      </c>
      <c r="I2874" s="26"/>
      <c r="J2874" s="26" t="s">
        <v>512</v>
      </c>
      <c r="K2874" s="25" t="s">
        <v>513</v>
      </c>
    </row>
    <row r="2875" spans="1:11" ht="25.5" x14ac:dyDescent="0.25">
      <c r="A2875" s="22">
        <v>2026</v>
      </c>
      <c r="B2875" s="28" t="s">
        <v>192</v>
      </c>
      <c r="C2875" s="28" t="s">
        <v>97</v>
      </c>
      <c r="D2875" s="28" t="s">
        <v>1738</v>
      </c>
      <c r="E2875" s="29" t="s">
        <v>309</v>
      </c>
      <c r="F2875" s="29" t="s">
        <v>386</v>
      </c>
      <c r="G2875" s="25" t="s">
        <v>4615</v>
      </c>
      <c r="H2875" s="26">
        <v>-1.2172499999999999</v>
      </c>
      <c r="I2875" s="26"/>
      <c r="J2875" s="26" t="s">
        <v>512</v>
      </c>
      <c r="K2875" s="25" t="s">
        <v>513</v>
      </c>
    </row>
    <row r="2876" spans="1:11" ht="25.5" x14ac:dyDescent="0.25">
      <c r="A2876" s="22">
        <v>2026</v>
      </c>
      <c r="B2876" s="28" t="s">
        <v>192</v>
      </c>
      <c r="C2876" s="28" t="s">
        <v>97</v>
      </c>
      <c r="D2876" s="28" t="s">
        <v>1738</v>
      </c>
      <c r="E2876" s="29" t="s">
        <v>309</v>
      </c>
      <c r="F2876" s="29" t="s">
        <v>386</v>
      </c>
      <c r="G2876" s="25" t="s">
        <v>4616</v>
      </c>
      <c r="H2876" s="26">
        <v>-1.6892399999999999</v>
      </c>
      <c r="I2876" s="26"/>
      <c r="J2876" s="26" t="s">
        <v>512</v>
      </c>
      <c r="K2876" s="25" t="s">
        <v>513</v>
      </c>
    </row>
    <row r="2877" spans="1:11" ht="25.5" x14ac:dyDescent="0.25">
      <c r="A2877" s="22">
        <v>2026</v>
      </c>
      <c r="B2877" s="28" t="s">
        <v>192</v>
      </c>
      <c r="C2877" s="28" t="s">
        <v>97</v>
      </c>
      <c r="D2877" s="28" t="s">
        <v>1738</v>
      </c>
      <c r="E2877" s="29" t="s">
        <v>309</v>
      </c>
      <c r="F2877" s="29" t="s">
        <v>386</v>
      </c>
      <c r="G2877" s="25" t="s">
        <v>4617</v>
      </c>
      <c r="H2877" s="26">
        <v>-1.95652576096</v>
      </c>
      <c r="I2877" s="26"/>
      <c r="J2877" s="26" t="s">
        <v>512</v>
      </c>
      <c r="K2877" s="25" t="s">
        <v>513</v>
      </c>
    </row>
    <row r="2878" spans="1:11" ht="25.5" x14ac:dyDescent="0.25">
      <c r="A2878" s="22">
        <v>2026</v>
      </c>
      <c r="B2878" s="28" t="s">
        <v>192</v>
      </c>
      <c r="C2878" s="28" t="s">
        <v>97</v>
      </c>
      <c r="D2878" s="28" t="s">
        <v>1738</v>
      </c>
      <c r="E2878" s="29" t="s">
        <v>309</v>
      </c>
      <c r="F2878" s="29" t="s">
        <v>386</v>
      </c>
      <c r="G2878" s="25" t="s">
        <v>4618</v>
      </c>
      <c r="H2878" s="26">
        <v>-1.2948712</v>
      </c>
      <c r="I2878" s="26"/>
      <c r="J2878" s="26" t="s">
        <v>512</v>
      </c>
      <c r="K2878" s="25" t="s">
        <v>513</v>
      </c>
    </row>
    <row r="2879" spans="1:11" ht="25.5" x14ac:dyDescent="0.25">
      <c r="A2879" s="22">
        <v>2026</v>
      </c>
      <c r="B2879" s="28" t="s">
        <v>192</v>
      </c>
      <c r="C2879" s="28" t="s">
        <v>97</v>
      </c>
      <c r="D2879" s="28" t="s">
        <v>1738</v>
      </c>
      <c r="E2879" s="29" t="s">
        <v>309</v>
      </c>
      <c r="F2879" s="29" t="s">
        <v>386</v>
      </c>
      <c r="G2879" s="25" t="s">
        <v>4619</v>
      </c>
      <c r="H2879" s="26">
        <v>-4.1538000000000004</v>
      </c>
      <c r="I2879" s="26"/>
      <c r="J2879" s="26" t="s">
        <v>512</v>
      </c>
      <c r="K2879" s="25" t="s">
        <v>513</v>
      </c>
    </row>
    <row r="2880" spans="1:11" ht="25.5" x14ac:dyDescent="0.25">
      <c r="A2880" s="22">
        <v>2026</v>
      </c>
      <c r="B2880" s="28" t="s">
        <v>192</v>
      </c>
      <c r="C2880" s="28" t="s">
        <v>97</v>
      </c>
      <c r="D2880" s="28" t="s">
        <v>1738</v>
      </c>
      <c r="E2880" s="29" t="s">
        <v>309</v>
      </c>
      <c r="F2880" s="29" t="s">
        <v>386</v>
      </c>
      <c r="G2880" s="25" t="s">
        <v>4620</v>
      </c>
      <c r="H2880" s="26">
        <v>-1.7772749999999999</v>
      </c>
      <c r="I2880" s="26"/>
      <c r="J2880" s="26" t="s">
        <v>512</v>
      </c>
      <c r="K2880" s="25" t="s">
        <v>513</v>
      </c>
    </row>
    <row r="2881" spans="1:11" ht="25.5" x14ac:dyDescent="0.25">
      <c r="A2881" s="22">
        <v>2026</v>
      </c>
      <c r="B2881" s="28" t="s">
        <v>192</v>
      </c>
      <c r="C2881" s="28" t="s">
        <v>97</v>
      </c>
      <c r="D2881" s="28" t="s">
        <v>1738</v>
      </c>
      <c r="E2881" s="29" t="s">
        <v>309</v>
      </c>
      <c r="F2881" s="29" t="s">
        <v>386</v>
      </c>
      <c r="G2881" s="25" t="s">
        <v>4621</v>
      </c>
      <c r="H2881" s="26">
        <v>-1.7994750000000002</v>
      </c>
      <c r="I2881" s="26"/>
      <c r="J2881" s="26" t="s">
        <v>512</v>
      </c>
      <c r="K2881" s="25" t="s">
        <v>513</v>
      </c>
    </row>
    <row r="2882" spans="1:11" ht="25.5" x14ac:dyDescent="0.25">
      <c r="A2882" s="22">
        <v>2026</v>
      </c>
      <c r="B2882" s="28" t="s">
        <v>192</v>
      </c>
      <c r="C2882" s="28" t="s">
        <v>97</v>
      </c>
      <c r="D2882" s="28" t="s">
        <v>537</v>
      </c>
      <c r="E2882" s="29" t="s">
        <v>561</v>
      </c>
      <c r="F2882" s="29" t="s">
        <v>298</v>
      </c>
      <c r="G2882" s="25" t="s">
        <v>4622</v>
      </c>
      <c r="H2882" s="26">
        <v>-0.74550000000000005</v>
      </c>
      <c r="I2882" s="26"/>
      <c r="J2882" s="26" t="s">
        <v>512</v>
      </c>
      <c r="K2882" s="25" t="s">
        <v>513</v>
      </c>
    </row>
    <row r="2883" spans="1:11" ht="25.5" x14ac:dyDescent="0.25">
      <c r="A2883" s="22">
        <v>2026</v>
      </c>
      <c r="B2883" s="28" t="s">
        <v>192</v>
      </c>
      <c r="C2883" s="28" t="s">
        <v>97</v>
      </c>
      <c r="D2883" s="28" t="s">
        <v>537</v>
      </c>
      <c r="E2883" s="29" t="s">
        <v>561</v>
      </c>
      <c r="F2883" s="29" t="s">
        <v>298</v>
      </c>
      <c r="G2883" s="25" t="s">
        <v>4623</v>
      </c>
      <c r="H2883" s="26">
        <v>-0.59274959999999999</v>
      </c>
      <c r="I2883" s="26"/>
      <c r="J2883" s="26" t="s">
        <v>512</v>
      </c>
      <c r="K2883" s="25" t="s">
        <v>513</v>
      </c>
    </row>
    <row r="2884" spans="1:11" ht="25.5" x14ac:dyDescent="0.25">
      <c r="A2884" s="22">
        <v>2026</v>
      </c>
      <c r="B2884" s="28" t="s">
        <v>192</v>
      </c>
      <c r="C2884" s="28" t="s">
        <v>97</v>
      </c>
      <c r="D2884" s="28" t="s">
        <v>537</v>
      </c>
      <c r="E2884" s="29" t="s">
        <v>561</v>
      </c>
      <c r="F2884" s="29" t="s">
        <v>298</v>
      </c>
      <c r="G2884" s="25" t="s">
        <v>4624</v>
      </c>
      <c r="H2884" s="26">
        <v>-0.33457500000000001</v>
      </c>
      <c r="I2884" s="26"/>
      <c r="J2884" s="26" t="s">
        <v>512</v>
      </c>
      <c r="K2884" s="25" t="s">
        <v>513</v>
      </c>
    </row>
    <row r="2885" spans="1:11" ht="25.5" x14ac:dyDescent="0.25">
      <c r="A2885" s="22">
        <v>2026</v>
      </c>
      <c r="B2885" s="28" t="s">
        <v>192</v>
      </c>
      <c r="C2885" s="28" t="s">
        <v>97</v>
      </c>
      <c r="D2885" s="28" t="s">
        <v>537</v>
      </c>
      <c r="E2885" s="29" t="s">
        <v>561</v>
      </c>
      <c r="F2885" s="29" t="s">
        <v>298</v>
      </c>
      <c r="G2885" s="25" t="s">
        <v>4625</v>
      </c>
      <c r="H2885" s="26">
        <v>-0.3715</v>
      </c>
      <c r="I2885" s="26"/>
      <c r="J2885" s="26" t="s">
        <v>512</v>
      </c>
      <c r="K2885" s="25" t="s">
        <v>513</v>
      </c>
    </row>
    <row r="2886" spans="1:11" ht="25.5" x14ac:dyDescent="0.25">
      <c r="A2886" s="22">
        <v>2026</v>
      </c>
      <c r="B2886" s="28" t="s">
        <v>192</v>
      </c>
      <c r="C2886" s="28" t="s">
        <v>97</v>
      </c>
      <c r="D2886" s="28" t="s">
        <v>537</v>
      </c>
      <c r="E2886" s="29" t="s">
        <v>561</v>
      </c>
      <c r="F2886" s="29" t="s">
        <v>298</v>
      </c>
      <c r="G2886" s="25" t="s">
        <v>4626</v>
      </c>
      <c r="H2886" s="26">
        <v>-0.47742499999999999</v>
      </c>
      <c r="I2886" s="26"/>
      <c r="J2886" s="26" t="s">
        <v>512</v>
      </c>
      <c r="K2886" s="25" t="s">
        <v>513</v>
      </c>
    </row>
    <row r="2887" spans="1:11" ht="25.5" x14ac:dyDescent="0.25">
      <c r="A2887" s="22">
        <v>2026</v>
      </c>
      <c r="B2887" s="28" t="s">
        <v>192</v>
      </c>
      <c r="C2887" s="28" t="s">
        <v>97</v>
      </c>
      <c r="D2887" s="28" t="s">
        <v>537</v>
      </c>
      <c r="E2887" s="29" t="s">
        <v>561</v>
      </c>
      <c r="F2887" s="29" t="s">
        <v>298</v>
      </c>
      <c r="G2887" s="25" t="s">
        <v>4627</v>
      </c>
      <c r="H2887" s="26">
        <v>-0.72275</v>
      </c>
      <c r="I2887" s="26"/>
      <c r="J2887" s="26" t="s">
        <v>512</v>
      </c>
      <c r="K2887" s="25" t="s">
        <v>513</v>
      </c>
    </row>
    <row r="2888" spans="1:11" ht="25.5" x14ac:dyDescent="0.25">
      <c r="A2888" s="22">
        <v>2026</v>
      </c>
      <c r="B2888" s="28" t="s">
        <v>192</v>
      </c>
      <c r="C2888" s="28" t="s">
        <v>97</v>
      </c>
      <c r="D2888" s="28" t="s">
        <v>537</v>
      </c>
      <c r="E2888" s="29" t="s">
        <v>561</v>
      </c>
      <c r="F2888" s="29" t="s">
        <v>298</v>
      </c>
      <c r="G2888" s="25" t="s">
        <v>4628</v>
      </c>
      <c r="H2888" s="26">
        <v>-0.36599999999999999</v>
      </c>
      <c r="I2888" s="26"/>
      <c r="J2888" s="26" t="s">
        <v>512</v>
      </c>
      <c r="K2888" s="25" t="s">
        <v>513</v>
      </c>
    </row>
    <row r="2889" spans="1:11" ht="25.5" x14ac:dyDescent="0.25">
      <c r="A2889" s="22">
        <v>2026</v>
      </c>
      <c r="B2889" s="28" t="s">
        <v>192</v>
      </c>
      <c r="C2889" s="28" t="s">
        <v>97</v>
      </c>
      <c r="D2889" s="28" t="s">
        <v>537</v>
      </c>
      <c r="E2889" s="29" t="s">
        <v>561</v>
      </c>
      <c r="F2889" s="29" t="s">
        <v>298</v>
      </c>
      <c r="G2889" s="25" t="s">
        <v>4629</v>
      </c>
      <c r="H2889" s="26">
        <v>-0.544875</v>
      </c>
      <c r="I2889" s="26"/>
      <c r="J2889" s="26" t="s">
        <v>512</v>
      </c>
      <c r="K2889" s="25" t="s">
        <v>513</v>
      </c>
    </row>
    <row r="2890" spans="1:11" ht="25.5" x14ac:dyDescent="0.25">
      <c r="A2890" s="22">
        <v>2026</v>
      </c>
      <c r="B2890" s="28" t="s">
        <v>192</v>
      </c>
      <c r="C2890" s="28" t="s">
        <v>97</v>
      </c>
      <c r="D2890" s="28" t="s">
        <v>537</v>
      </c>
      <c r="E2890" s="29" t="s">
        <v>561</v>
      </c>
      <c r="F2890" s="29" t="s">
        <v>298</v>
      </c>
      <c r="G2890" s="25" t="s">
        <v>4630</v>
      </c>
      <c r="H2890" s="26">
        <v>-0.50434999999999997</v>
      </c>
      <c r="I2890" s="26"/>
      <c r="J2890" s="26" t="s">
        <v>512</v>
      </c>
      <c r="K2890" s="25" t="s">
        <v>513</v>
      </c>
    </row>
    <row r="2891" spans="1:11" ht="25.5" x14ac:dyDescent="0.25">
      <c r="A2891" s="22">
        <v>2026</v>
      </c>
      <c r="B2891" s="28" t="s">
        <v>192</v>
      </c>
      <c r="C2891" s="28" t="s">
        <v>97</v>
      </c>
      <c r="D2891" s="28" t="s">
        <v>537</v>
      </c>
      <c r="E2891" s="29" t="s">
        <v>561</v>
      </c>
      <c r="F2891" s="29" t="s">
        <v>298</v>
      </c>
      <c r="G2891" s="25" t="s">
        <v>4631</v>
      </c>
      <c r="H2891" s="26">
        <v>-0.54149999999999998</v>
      </c>
      <c r="I2891" s="26"/>
      <c r="J2891" s="26" t="s">
        <v>512</v>
      </c>
      <c r="K2891" s="25" t="s">
        <v>513</v>
      </c>
    </row>
    <row r="2892" spans="1:11" ht="25.5" x14ac:dyDescent="0.25">
      <c r="A2892" s="22">
        <v>2026</v>
      </c>
      <c r="B2892" s="28" t="s">
        <v>192</v>
      </c>
      <c r="C2892" s="28" t="s">
        <v>97</v>
      </c>
      <c r="D2892" s="28" t="s">
        <v>537</v>
      </c>
      <c r="E2892" s="29" t="s">
        <v>561</v>
      </c>
      <c r="F2892" s="29" t="s">
        <v>298</v>
      </c>
      <c r="G2892" s="25" t="s">
        <v>4632</v>
      </c>
      <c r="H2892" s="26">
        <v>-0.24535000000000001</v>
      </c>
      <c r="I2892" s="26"/>
      <c r="J2892" s="26" t="s">
        <v>512</v>
      </c>
      <c r="K2892" s="25" t="s">
        <v>513</v>
      </c>
    </row>
    <row r="2893" spans="1:11" ht="25.5" x14ac:dyDescent="0.25">
      <c r="A2893" s="22">
        <v>2026</v>
      </c>
      <c r="B2893" s="28" t="s">
        <v>192</v>
      </c>
      <c r="C2893" s="28" t="s">
        <v>97</v>
      </c>
      <c r="D2893" s="28" t="s">
        <v>537</v>
      </c>
      <c r="E2893" s="29" t="s">
        <v>561</v>
      </c>
      <c r="F2893" s="29" t="s">
        <v>298</v>
      </c>
      <c r="G2893" s="25" t="s">
        <v>4633</v>
      </c>
      <c r="H2893" s="26">
        <v>-0.69099999999999995</v>
      </c>
      <c r="I2893" s="26"/>
      <c r="J2893" s="26" t="s">
        <v>512</v>
      </c>
      <c r="K2893" s="25" t="s">
        <v>513</v>
      </c>
    </row>
    <row r="2894" spans="1:11" ht="25.5" x14ac:dyDescent="0.25">
      <c r="A2894" s="22">
        <v>2026</v>
      </c>
      <c r="B2894" s="28" t="s">
        <v>192</v>
      </c>
      <c r="C2894" s="28" t="s">
        <v>97</v>
      </c>
      <c r="D2894" s="28" t="s">
        <v>1788</v>
      </c>
      <c r="E2894" s="29" t="s">
        <v>1798</v>
      </c>
      <c r="F2894" s="29" t="s">
        <v>325</v>
      </c>
      <c r="G2894" s="25" t="s">
        <v>4634</v>
      </c>
      <c r="H2894" s="26">
        <v>-0.32979999999999998</v>
      </c>
      <c r="I2894" s="26"/>
      <c r="J2894" s="26" t="s">
        <v>512</v>
      </c>
      <c r="K2894" s="25" t="s">
        <v>513</v>
      </c>
    </row>
    <row r="2895" spans="1:11" ht="25.5" x14ac:dyDescent="0.25">
      <c r="A2895" s="22">
        <v>2026</v>
      </c>
      <c r="B2895" s="28" t="s">
        <v>192</v>
      </c>
      <c r="C2895" s="28" t="s">
        <v>97</v>
      </c>
      <c r="D2895" s="28" t="s">
        <v>1788</v>
      </c>
      <c r="E2895" s="29" t="s">
        <v>1798</v>
      </c>
      <c r="F2895" s="29" t="s">
        <v>325</v>
      </c>
      <c r="G2895" s="25" t="s">
        <v>4635</v>
      </c>
      <c r="H2895" s="26">
        <v>-0.3018496</v>
      </c>
      <c r="I2895" s="26"/>
      <c r="J2895" s="26" t="s">
        <v>512</v>
      </c>
      <c r="K2895" s="25" t="s">
        <v>513</v>
      </c>
    </row>
    <row r="2896" spans="1:11" ht="25.5" x14ac:dyDescent="0.25">
      <c r="A2896" s="22">
        <v>2026</v>
      </c>
      <c r="B2896" s="28" t="s">
        <v>192</v>
      </c>
      <c r="C2896" s="28" t="s">
        <v>97</v>
      </c>
      <c r="D2896" s="28" t="s">
        <v>768</v>
      </c>
      <c r="E2896" s="29" t="s">
        <v>768</v>
      </c>
      <c r="F2896" s="29" t="s">
        <v>332</v>
      </c>
      <c r="G2896" s="25" t="s">
        <v>4636</v>
      </c>
      <c r="H2896" s="26">
        <v>-0.11327825</v>
      </c>
      <c r="I2896" s="26"/>
      <c r="J2896" s="26" t="s">
        <v>512</v>
      </c>
      <c r="K2896" s="25" t="s">
        <v>513</v>
      </c>
    </row>
    <row r="2897" spans="1:11" ht="25.5" x14ac:dyDescent="0.25">
      <c r="A2897" s="22">
        <v>2026</v>
      </c>
      <c r="B2897" s="28" t="s">
        <v>192</v>
      </c>
      <c r="C2897" s="28" t="s">
        <v>97</v>
      </c>
      <c r="D2897" s="28" t="s">
        <v>768</v>
      </c>
      <c r="E2897" s="29" t="s">
        <v>768</v>
      </c>
      <c r="F2897" s="29" t="s">
        <v>332</v>
      </c>
      <c r="G2897" s="25" t="s">
        <v>4637</v>
      </c>
      <c r="H2897" s="26">
        <v>-0.1098325</v>
      </c>
      <c r="I2897" s="26"/>
      <c r="J2897" s="26" t="s">
        <v>512</v>
      </c>
      <c r="K2897" s="25" t="s">
        <v>513</v>
      </c>
    </row>
    <row r="2898" spans="1:11" ht="25.5" x14ac:dyDescent="0.25">
      <c r="A2898" s="22">
        <v>2026</v>
      </c>
      <c r="B2898" s="28" t="s">
        <v>192</v>
      </c>
      <c r="C2898" s="28" t="s">
        <v>97</v>
      </c>
      <c r="D2898" s="28" t="s">
        <v>768</v>
      </c>
      <c r="E2898" s="29" t="s">
        <v>768</v>
      </c>
      <c r="F2898" s="29" t="s">
        <v>332</v>
      </c>
      <c r="G2898" s="25" t="s">
        <v>4638</v>
      </c>
      <c r="H2898" s="26">
        <v>-2.2156587490000001E-2</v>
      </c>
      <c r="I2898" s="26"/>
      <c r="J2898" s="26" t="s">
        <v>512</v>
      </c>
      <c r="K2898" s="25" t="s">
        <v>513</v>
      </c>
    </row>
    <row r="2899" spans="1:11" ht="25.5" x14ac:dyDescent="0.25">
      <c r="A2899" s="22">
        <v>2026</v>
      </c>
      <c r="B2899" s="28" t="s">
        <v>192</v>
      </c>
      <c r="C2899" s="28" t="s">
        <v>97</v>
      </c>
      <c r="D2899" s="28" t="s">
        <v>768</v>
      </c>
      <c r="E2899" s="29" t="s">
        <v>768</v>
      </c>
      <c r="F2899" s="29" t="s">
        <v>332</v>
      </c>
      <c r="G2899" s="25" t="s">
        <v>4639</v>
      </c>
      <c r="H2899" s="26">
        <v>-9.1219800000000004E-2</v>
      </c>
      <c r="I2899" s="26"/>
      <c r="J2899" s="26" t="s">
        <v>512</v>
      </c>
      <c r="K2899" s="25" t="s">
        <v>513</v>
      </c>
    </row>
    <row r="2900" spans="1:11" ht="25.5" x14ac:dyDescent="0.25">
      <c r="A2900" s="22">
        <v>2026</v>
      </c>
      <c r="B2900" s="28" t="s">
        <v>192</v>
      </c>
      <c r="C2900" s="28" t="s">
        <v>97</v>
      </c>
      <c r="D2900" s="28" t="s">
        <v>768</v>
      </c>
      <c r="E2900" s="29" t="s">
        <v>768</v>
      </c>
      <c r="F2900" s="29" t="s">
        <v>332</v>
      </c>
      <c r="G2900" s="25" t="s">
        <v>4640</v>
      </c>
      <c r="H2900" s="26">
        <v>-9.0674199999999996E-2</v>
      </c>
      <c r="I2900" s="26"/>
      <c r="J2900" s="26" t="s">
        <v>512</v>
      </c>
      <c r="K2900" s="25" t="s">
        <v>513</v>
      </c>
    </row>
    <row r="2901" spans="1:11" ht="25.5" x14ac:dyDescent="0.25">
      <c r="A2901" s="22">
        <v>2026</v>
      </c>
      <c r="B2901" s="28" t="s">
        <v>192</v>
      </c>
      <c r="C2901" s="28" t="s">
        <v>97</v>
      </c>
      <c r="D2901" s="28" t="s">
        <v>768</v>
      </c>
      <c r="E2901" s="29" t="s">
        <v>768</v>
      </c>
      <c r="F2901" s="29" t="s">
        <v>332</v>
      </c>
      <c r="G2901" s="25" t="s">
        <v>4641</v>
      </c>
      <c r="H2901" s="26">
        <v>-8.8736999999999996E-2</v>
      </c>
      <c r="I2901" s="26"/>
      <c r="J2901" s="26" t="s">
        <v>512</v>
      </c>
      <c r="K2901" s="25" t="s">
        <v>513</v>
      </c>
    </row>
    <row r="2902" spans="1:11" ht="25.5" x14ac:dyDescent="0.25">
      <c r="A2902" s="22">
        <v>2026</v>
      </c>
      <c r="B2902" s="28" t="s">
        <v>192</v>
      </c>
      <c r="C2902" s="28" t="s">
        <v>97</v>
      </c>
      <c r="D2902" s="28" t="s">
        <v>768</v>
      </c>
      <c r="E2902" s="29" t="s">
        <v>768</v>
      </c>
      <c r="F2902" s="29" t="s">
        <v>332</v>
      </c>
      <c r="G2902" s="25" t="s">
        <v>4642</v>
      </c>
      <c r="H2902" s="26">
        <v>-9.1423400000000002E-2</v>
      </c>
      <c r="I2902" s="26"/>
      <c r="J2902" s="26" t="s">
        <v>512</v>
      </c>
      <c r="K2902" s="25" t="s">
        <v>513</v>
      </c>
    </row>
    <row r="2903" spans="1:11" ht="25.5" x14ac:dyDescent="0.25">
      <c r="A2903" s="22">
        <v>2026</v>
      </c>
      <c r="B2903" s="28" t="s">
        <v>192</v>
      </c>
      <c r="C2903" s="28" t="s">
        <v>97</v>
      </c>
      <c r="D2903" s="28" t="s">
        <v>768</v>
      </c>
      <c r="E2903" s="29" t="s">
        <v>768</v>
      </c>
      <c r="F2903" s="29" t="s">
        <v>332</v>
      </c>
      <c r="G2903" s="25" t="s">
        <v>4643</v>
      </c>
      <c r="H2903" s="26">
        <v>-0.11397400000000001</v>
      </c>
      <c r="I2903" s="26"/>
      <c r="J2903" s="26" t="s">
        <v>512</v>
      </c>
      <c r="K2903" s="25" t="s">
        <v>513</v>
      </c>
    </row>
    <row r="2904" spans="1:11" ht="25.5" x14ac:dyDescent="0.25">
      <c r="A2904" s="22">
        <v>2026</v>
      </c>
      <c r="B2904" s="28" t="s">
        <v>192</v>
      </c>
      <c r="C2904" s="28" t="s">
        <v>97</v>
      </c>
      <c r="D2904" s="28" t="s">
        <v>768</v>
      </c>
      <c r="E2904" s="29" t="s">
        <v>768</v>
      </c>
      <c r="F2904" s="29" t="s">
        <v>332</v>
      </c>
      <c r="G2904" s="25" t="s">
        <v>4644</v>
      </c>
      <c r="H2904" s="26">
        <v>-9.0942399999999993E-2</v>
      </c>
      <c r="I2904" s="26"/>
      <c r="J2904" s="26" t="s">
        <v>512</v>
      </c>
      <c r="K2904" s="25" t="s">
        <v>513</v>
      </c>
    </row>
    <row r="2905" spans="1:11" ht="25.5" x14ac:dyDescent="0.25">
      <c r="A2905" s="22">
        <v>2026</v>
      </c>
      <c r="B2905" s="28" t="s">
        <v>192</v>
      </c>
      <c r="C2905" s="28" t="s">
        <v>97</v>
      </c>
      <c r="D2905" s="28" t="s">
        <v>768</v>
      </c>
      <c r="E2905" s="29" t="s">
        <v>768</v>
      </c>
      <c r="F2905" s="29" t="s">
        <v>332</v>
      </c>
      <c r="G2905" s="25" t="s">
        <v>4645</v>
      </c>
      <c r="H2905" s="26">
        <v>-9.2496999999999996E-2</v>
      </c>
      <c r="I2905" s="26"/>
      <c r="J2905" s="26" t="s">
        <v>512</v>
      </c>
      <c r="K2905" s="25" t="s">
        <v>513</v>
      </c>
    </row>
    <row r="2906" spans="1:11" ht="25.5" x14ac:dyDescent="0.25">
      <c r="A2906" s="22">
        <v>2026</v>
      </c>
      <c r="B2906" s="28" t="s">
        <v>192</v>
      </c>
      <c r="C2906" s="28" t="s">
        <v>97</v>
      </c>
      <c r="D2906" s="28" t="s">
        <v>768</v>
      </c>
      <c r="E2906" s="29" t="s">
        <v>768</v>
      </c>
      <c r="F2906" s="29" t="s">
        <v>332</v>
      </c>
      <c r="G2906" s="25" t="s">
        <v>4646</v>
      </c>
      <c r="H2906" s="26">
        <v>-9.1857999999999995E-2</v>
      </c>
      <c r="I2906" s="26"/>
      <c r="J2906" s="26" t="s">
        <v>512</v>
      </c>
      <c r="K2906" s="25" t="s">
        <v>513</v>
      </c>
    </row>
    <row r="2907" spans="1:11" ht="25.5" x14ac:dyDescent="0.25">
      <c r="A2907" s="22">
        <v>2026</v>
      </c>
      <c r="B2907" s="28" t="s">
        <v>192</v>
      </c>
      <c r="C2907" s="28" t="s">
        <v>97</v>
      </c>
      <c r="D2907" s="28" t="s">
        <v>768</v>
      </c>
      <c r="E2907" s="29" t="s">
        <v>768</v>
      </c>
      <c r="F2907" s="29" t="s">
        <v>332</v>
      </c>
      <c r="G2907" s="25" t="s">
        <v>4647</v>
      </c>
      <c r="H2907" s="26">
        <v>-9.297359999999999E-2</v>
      </c>
      <c r="I2907" s="26"/>
      <c r="J2907" s="26" t="s">
        <v>512</v>
      </c>
      <c r="K2907" s="25" t="s">
        <v>513</v>
      </c>
    </row>
    <row r="2908" spans="1:11" ht="25.5" x14ac:dyDescent="0.25">
      <c r="A2908" s="22">
        <v>2026</v>
      </c>
      <c r="B2908" s="28" t="s">
        <v>192</v>
      </c>
      <c r="C2908" s="28" t="s">
        <v>97</v>
      </c>
      <c r="D2908" s="28" t="s">
        <v>768</v>
      </c>
      <c r="E2908" s="29" t="s">
        <v>768</v>
      </c>
      <c r="F2908" s="29" t="s">
        <v>332</v>
      </c>
      <c r="G2908" s="25" t="s">
        <v>4648</v>
      </c>
      <c r="H2908" s="26">
        <v>-9.371779999999999E-2</v>
      </c>
      <c r="I2908" s="26"/>
      <c r="J2908" s="26" t="s">
        <v>512</v>
      </c>
      <c r="K2908" s="25" t="s">
        <v>513</v>
      </c>
    </row>
    <row r="2909" spans="1:11" ht="25.5" x14ac:dyDescent="0.25">
      <c r="A2909" s="22">
        <v>2026</v>
      </c>
      <c r="B2909" s="28" t="s">
        <v>192</v>
      </c>
      <c r="C2909" s="28" t="s">
        <v>97</v>
      </c>
      <c r="D2909" s="28" t="s">
        <v>768</v>
      </c>
      <c r="E2909" s="29" t="s">
        <v>768</v>
      </c>
      <c r="F2909" s="29" t="s">
        <v>332</v>
      </c>
      <c r="G2909" s="25" t="s">
        <v>4649</v>
      </c>
      <c r="H2909" s="26">
        <v>-0.1152295</v>
      </c>
      <c r="I2909" s="26"/>
      <c r="J2909" s="26" t="s">
        <v>512</v>
      </c>
      <c r="K2909" s="25" t="s">
        <v>513</v>
      </c>
    </row>
    <row r="2910" spans="1:11" ht="25.5" x14ac:dyDescent="0.25">
      <c r="A2910" s="22">
        <v>2026</v>
      </c>
      <c r="B2910" s="28" t="s">
        <v>192</v>
      </c>
      <c r="C2910" s="28" t="s">
        <v>97</v>
      </c>
      <c r="D2910" s="28" t="s">
        <v>768</v>
      </c>
      <c r="E2910" s="29" t="s">
        <v>768</v>
      </c>
      <c r="F2910" s="29" t="s">
        <v>332</v>
      </c>
      <c r="G2910" s="25" t="s">
        <v>4650</v>
      </c>
      <c r="H2910" s="26">
        <v>-9.2612199999999992E-2</v>
      </c>
      <c r="I2910" s="26"/>
      <c r="J2910" s="26" t="s">
        <v>512</v>
      </c>
      <c r="K2910" s="25" t="s">
        <v>513</v>
      </c>
    </row>
    <row r="2911" spans="1:11" ht="25.5" x14ac:dyDescent="0.25">
      <c r="A2911" s="22">
        <v>2026</v>
      </c>
      <c r="B2911" s="28" t="s">
        <v>192</v>
      </c>
      <c r="C2911" s="28" t="s">
        <v>97</v>
      </c>
      <c r="D2911" s="28" t="s">
        <v>768</v>
      </c>
      <c r="E2911" s="29" t="s">
        <v>768</v>
      </c>
      <c r="F2911" s="29" t="s">
        <v>332</v>
      </c>
      <c r="G2911" s="25" t="s">
        <v>4651</v>
      </c>
      <c r="H2911" s="26">
        <v>-9.0337399999999998E-2</v>
      </c>
      <c r="I2911" s="26"/>
      <c r="J2911" s="26" t="s">
        <v>512</v>
      </c>
      <c r="K2911" s="25" t="s">
        <v>513</v>
      </c>
    </row>
    <row r="2912" spans="1:11" ht="25.5" x14ac:dyDescent="0.25">
      <c r="A2912" s="22">
        <v>2026</v>
      </c>
      <c r="B2912" s="28" t="s">
        <v>192</v>
      </c>
      <c r="C2912" s="28" t="s">
        <v>97</v>
      </c>
      <c r="D2912" s="28" t="s">
        <v>768</v>
      </c>
      <c r="E2912" s="29" t="s">
        <v>768</v>
      </c>
      <c r="F2912" s="29" t="s">
        <v>332</v>
      </c>
      <c r="G2912" s="25" t="s">
        <v>4652</v>
      </c>
      <c r="H2912" s="26">
        <v>-0.112321</v>
      </c>
      <c r="I2912" s="26"/>
      <c r="J2912" s="26" t="s">
        <v>512</v>
      </c>
      <c r="K2912" s="25" t="s">
        <v>513</v>
      </c>
    </row>
    <row r="2913" spans="1:11" ht="25.5" x14ac:dyDescent="0.25">
      <c r="A2913" s="22">
        <v>2026</v>
      </c>
      <c r="B2913" s="28" t="s">
        <v>192</v>
      </c>
      <c r="C2913" s="28" t="s">
        <v>97</v>
      </c>
      <c r="D2913" s="28" t="s">
        <v>768</v>
      </c>
      <c r="E2913" s="29" t="s">
        <v>768</v>
      </c>
      <c r="F2913" s="29" t="s">
        <v>332</v>
      </c>
      <c r="G2913" s="25" t="s">
        <v>4653</v>
      </c>
      <c r="H2913" s="26">
        <v>-9.2006599999999994E-2</v>
      </c>
      <c r="I2913" s="26"/>
      <c r="J2913" s="26" t="s">
        <v>512</v>
      </c>
      <c r="K2913" s="25" t="s">
        <v>513</v>
      </c>
    </row>
    <row r="2914" spans="1:11" ht="25.5" x14ac:dyDescent="0.25">
      <c r="A2914" s="22">
        <v>2026</v>
      </c>
      <c r="B2914" s="28" t="s">
        <v>192</v>
      </c>
      <c r="C2914" s="28" t="s">
        <v>97</v>
      </c>
      <c r="D2914" s="28" t="s">
        <v>768</v>
      </c>
      <c r="E2914" s="29" t="s">
        <v>768</v>
      </c>
      <c r="F2914" s="29" t="s">
        <v>332</v>
      </c>
      <c r="G2914" s="25" t="s">
        <v>4654</v>
      </c>
      <c r="H2914" s="26">
        <v>-0.11310425</v>
      </c>
      <c r="I2914" s="26"/>
      <c r="J2914" s="26" t="s">
        <v>512</v>
      </c>
      <c r="K2914" s="25" t="s">
        <v>513</v>
      </c>
    </row>
    <row r="2915" spans="1:11" ht="25.5" x14ac:dyDescent="0.25">
      <c r="A2915" s="22">
        <v>2026</v>
      </c>
      <c r="B2915" s="28" t="s">
        <v>192</v>
      </c>
      <c r="C2915" s="28" t="s">
        <v>97</v>
      </c>
      <c r="D2915" s="28" t="s">
        <v>768</v>
      </c>
      <c r="E2915" s="29" t="s">
        <v>768</v>
      </c>
      <c r="F2915" s="29" t="s">
        <v>332</v>
      </c>
      <c r="G2915" s="25" t="s">
        <v>4655</v>
      </c>
      <c r="H2915" s="26">
        <v>-8.9742599999999992E-2</v>
      </c>
      <c r="I2915" s="26"/>
      <c r="J2915" s="26" t="s">
        <v>512</v>
      </c>
      <c r="K2915" s="25" t="s">
        <v>513</v>
      </c>
    </row>
    <row r="2916" spans="1:11" ht="25.5" x14ac:dyDescent="0.25">
      <c r="A2916" s="22">
        <v>2026</v>
      </c>
      <c r="B2916" s="28" t="s">
        <v>192</v>
      </c>
      <c r="C2916" s="28" t="s">
        <v>97</v>
      </c>
      <c r="D2916" s="28" t="s">
        <v>768</v>
      </c>
      <c r="E2916" s="29" t="s">
        <v>768</v>
      </c>
      <c r="F2916" s="29" t="s">
        <v>332</v>
      </c>
      <c r="G2916" s="25" t="s">
        <v>4656</v>
      </c>
      <c r="H2916" s="26">
        <v>-8.8772799999999999E-2</v>
      </c>
      <c r="I2916" s="26"/>
      <c r="J2916" s="26" t="s">
        <v>512</v>
      </c>
      <c r="K2916" s="25" t="s">
        <v>513</v>
      </c>
    </row>
    <row r="2917" spans="1:11" ht="25.5" x14ac:dyDescent="0.25">
      <c r="A2917" s="22">
        <v>2026</v>
      </c>
      <c r="B2917" s="28" t="s">
        <v>192</v>
      </c>
      <c r="C2917" s="28" t="s">
        <v>97</v>
      </c>
      <c r="D2917" s="28" t="s">
        <v>768</v>
      </c>
      <c r="E2917" s="29" t="s">
        <v>768</v>
      </c>
      <c r="F2917" s="29" t="s">
        <v>332</v>
      </c>
      <c r="G2917" s="25" t="s">
        <v>4657</v>
      </c>
      <c r="H2917" s="26">
        <v>-3.5537284420000002E-2</v>
      </c>
      <c r="I2917" s="26"/>
      <c r="J2917" s="26" t="s">
        <v>512</v>
      </c>
      <c r="K2917" s="25" t="s">
        <v>513</v>
      </c>
    </row>
    <row r="2918" spans="1:11" ht="25.5" x14ac:dyDescent="0.25">
      <c r="A2918" s="22">
        <v>2026</v>
      </c>
      <c r="B2918" s="28" t="s">
        <v>192</v>
      </c>
      <c r="C2918" s="28" t="s">
        <v>97</v>
      </c>
      <c r="D2918" s="28" t="s">
        <v>1739</v>
      </c>
      <c r="E2918" s="29" t="s">
        <v>331</v>
      </c>
      <c r="F2918" s="29" t="s">
        <v>298</v>
      </c>
      <c r="G2918" s="25" t="s">
        <v>4658</v>
      </c>
      <c r="H2918" s="26">
        <v>-3.027339</v>
      </c>
      <c r="I2918" s="26"/>
      <c r="J2918" s="26" t="s">
        <v>512</v>
      </c>
      <c r="K2918" s="25" t="s">
        <v>513</v>
      </c>
    </row>
    <row r="2919" spans="1:11" ht="25.5" x14ac:dyDescent="0.25">
      <c r="A2919" s="22">
        <v>2026</v>
      </c>
      <c r="B2919" s="28" t="s">
        <v>192</v>
      </c>
      <c r="C2919" s="28" t="s">
        <v>97</v>
      </c>
      <c r="D2919" s="28" t="s">
        <v>1739</v>
      </c>
      <c r="E2919" s="29" t="s">
        <v>331</v>
      </c>
      <c r="F2919" s="29" t="s">
        <v>298</v>
      </c>
      <c r="G2919" s="25" t="s">
        <v>4659</v>
      </c>
      <c r="H2919" s="26">
        <v>-1.9391967999999999</v>
      </c>
      <c r="I2919" s="26"/>
      <c r="J2919" s="26" t="s">
        <v>512</v>
      </c>
      <c r="K2919" s="25" t="s">
        <v>513</v>
      </c>
    </row>
    <row r="2920" spans="1:11" ht="25.5" x14ac:dyDescent="0.25">
      <c r="A2920" s="22">
        <v>2026</v>
      </c>
      <c r="B2920" s="28" t="s">
        <v>192</v>
      </c>
      <c r="C2920" s="28" t="s">
        <v>97</v>
      </c>
      <c r="D2920" s="28" t="s">
        <v>1739</v>
      </c>
      <c r="E2920" s="29" t="s">
        <v>331</v>
      </c>
      <c r="F2920" s="29" t="s">
        <v>298</v>
      </c>
      <c r="G2920" s="25" t="s">
        <v>4660</v>
      </c>
      <c r="H2920" s="26">
        <v>-2.0708755000000001</v>
      </c>
      <c r="I2920" s="26"/>
      <c r="J2920" s="26" t="s">
        <v>512</v>
      </c>
      <c r="K2920" s="25" t="s">
        <v>513</v>
      </c>
    </row>
    <row r="2921" spans="1:11" ht="25.5" x14ac:dyDescent="0.25">
      <c r="A2921" s="22">
        <v>2026</v>
      </c>
      <c r="B2921" s="28" t="s">
        <v>192</v>
      </c>
      <c r="C2921" s="28" t="s">
        <v>97</v>
      </c>
      <c r="D2921" s="28" t="s">
        <v>1739</v>
      </c>
      <c r="E2921" s="29" t="s">
        <v>331</v>
      </c>
      <c r="F2921" s="29" t="s">
        <v>298</v>
      </c>
      <c r="G2921" s="25" t="s">
        <v>4661</v>
      </c>
      <c r="H2921" s="26">
        <v>-1.287396</v>
      </c>
      <c r="I2921" s="26"/>
      <c r="J2921" s="26" t="s">
        <v>512</v>
      </c>
      <c r="K2921" s="25" t="s">
        <v>513</v>
      </c>
    </row>
    <row r="2922" spans="1:11" ht="25.5" x14ac:dyDescent="0.25">
      <c r="A2922" s="22">
        <v>2026</v>
      </c>
      <c r="B2922" s="28" t="s">
        <v>192</v>
      </c>
      <c r="C2922" s="28" t="s">
        <v>97</v>
      </c>
      <c r="D2922" s="28" t="s">
        <v>1739</v>
      </c>
      <c r="E2922" s="29" t="s">
        <v>331</v>
      </c>
      <c r="F2922" s="29" t="s">
        <v>298</v>
      </c>
      <c r="G2922" s="25" t="s">
        <v>4662</v>
      </c>
      <c r="H2922" s="26">
        <v>-0.65195999999999998</v>
      </c>
      <c r="I2922" s="26"/>
      <c r="J2922" s="26" t="s">
        <v>512</v>
      </c>
      <c r="K2922" s="25" t="s">
        <v>513</v>
      </c>
    </row>
    <row r="2923" spans="1:11" ht="25.5" x14ac:dyDescent="0.25">
      <c r="A2923" s="22">
        <v>2026</v>
      </c>
      <c r="B2923" s="28" t="s">
        <v>192</v>
      </c>
      <c r="C2923" s="28" t="s">
        <v>97</v>
      </c>
      <c r="D2923" s="28" t="s">
        <v>1739</v>
      </c>
      <c r="E2923" s="29" t="s">
        <v>331</v>
      </c>
      <c r="F2923" s="29" t="s">
        <v>298</v>
      </c>
      <c r="G2923" s="25" t="s">
        <v>4663</v>
      </c>
      <c r="H2923" s="26">
        <v>-1.3711255</v>
      </c>
      <c r="I2923" s="26"/>
      <c r="J2923" s="26" t="s">
        <v>512</v>
      </c>
      <c r="K2923" s="25" t="s">
        <v>513</v>
      </c>
    </row>
    <row r="2924" spans="1:11" ht="25.5" x14ac:dyDescent="0.25">
      <c r="A2924" s="22">
        <v>2026</v>
      </c>
      <c r="B2924" s="28" t="s">
        <v>192</v>
      </c>
      <c r="C2924" s="28" t="s">
        <v>97</v>
      </c>
      <c r="D2924" s="28" t="s">
        <v>1739</v>
      </c>
      <c r="E2924" s="29" t="s">
        <v>331</v>
      </c>
      <c r="F2924" s="29" t="s">
        <v>298</v>
      </c>
      <c r="G2924" s="25" t="s">
        <v>4664</v>
      </c>
      <c r="H2924" s="26">
        <v>-2.8103400000000001</v>
      </c>
      <c r="I2924" s="26"/>
      <c r="J2924" s="26" t="s">
        <v>512</v>
      </c>
      <c r="K2924" s="25" t="s">
        <v>513</v>
      </c>
    </row>
    <row r="2925" spans="1:11" ht="25.5" x14ac:dyDescent="0.25">
      <c r="A2925" s="22">
        <v>2026</v>
      </c>
      <c r="B2925" s="28" t="s">
        <v>192</v>
      </c>
      <c r="C2925" s="28" t="s">
        <v>97</v>
      </c>
      <c r="D2925" s="28" t="s">
        <v>1739</v>
      </c>
      <c r="E2925" s="29" t="s">
        <v>331</v>
      </c>
      <c r="F2925" s="29" t="s">
        <v>298</v>
      </c>
      <c r="G2925" s="25" t="s">
        <v>4665</v>
      </c>
      <c r="H2925" s="26">
        <v>-2.7843800000000001</v>
      </c>
      <c r="I2925" s="26"/>
      <c r="J2925" s="26" t="s">
        <v>512</v>
      </c>
      <c r="K2925" s="25" t="s">
        <v>513</v>
      </c>
    </row>
    <row r="2926" spans="1:11" ht="25.5" x14ac:dyDescent="0.25">
      <c r="A2926" s="22">
        <v>2026</v>
      </c>
      <c r="B2926" s="28" t="s">
        <v>192</v>
      </c>
      <c r="C2926" s="28" t="s">
        <v>97</v>
      </c>
      <c r="D2926" s="28" t="s">
        <v>1739</v>
      </c>
      <c r="E2926" s="29" t="s">
        <v>331</v>
      </c>
      <c r="F2926" s="29" t="s">
        <v>298</v>
      </c>
      <c r="G2926" s="25" t="s">
        <v>4666</v>
      </c>
      <c r="H2926" s="26">
        <v>-2.8062200000000002</v>
      </c>
      <c r="I2926" s="26"/>
      <c r="J2926" s="26" t="s">
        <v>512</v>
      </c>
      <c r="K2926" s="25" t="s">
        <v>513</v>
      </c>
    </row>
    <row r="2927" spans="1:11" ht="25.5" x14ac:dyDescent="0.25">
      <c r="A2927" s="22">
        <v>2026</v>
      </c>
      <c r="B2927" s="28" t="s">
        <v>192</v>
      </c>
      <c r="C2927" s="28" t="s">
        <v>97</v>
      </c>
      <c r="D2927" s="28" t="s">
        <v>1739</v>
      </c>
      <c r="E2927" s="29" t="s">
        <v>331</v>
      </c>
      <c r="F2927" s="29" t="s">
        <v>298</v>
      </c>
      <c r="G2927" s="25" t="s">
        <v>4667</v>
      </c>
      <c r="H2927" s="26">
        <v>-2.7580399999999998</v>
      </c>
      <c r="I2927" s="26"/>
      <c r="J2927" s="26" t="s">
        <v>512</v>
      </c>
      <c r="K2927" s="25" t="s">
        <v>513</v>
      </c>
    </row>
    <row r="2928" spans="1:11" ht="25.5" x14ac:dyDescent="0.25">
      <c r="A2928" s="22">
        <v>2026</v>
      </c>
      <c r="B2928" s="28" t="s">
        <v>192</v>
      </c>
      <c r="C2928" s="28" t="s">
        <v>97</v>
      </c>
      <c r="D2928" s="28" t="s">
        <v>1739</v>
      </c>
      <c r="E2928" s="29" t="s">
        <v>331</v>
      </c>
      <c r="F2928" s="29" t="s">
        <v>298</v>
      </c>
      <c r="G2928" s="25" t="s">
        <v>4668</v>
      </c>
      <c r="H2928" s="26">
        <v>-2.80654</v>
      </c>
      <c r="I2928" s="26"/>
      <c r="J2928" s="26" t="s">
        <v>512</v>
      </c>
      <c r="K2928" s="25" t="s">
        <v>513</v>
      </c>
    </row>
    <row r="2929" spans="1:11" ht="25.5" x14ac:dyDescent="0.25">
      <c r="A2929" s="22">
        <v>2026</v>
      </c>
      <c r="B2929" s="28" t="s">
        <v>192</v>
      </c>
      <c r="C2929" s="28" t="s">
        <v>97</v>
      </c>
      <c r="D2929" s="28" t="s">
        <v>254</v>
      </c>
      <c r="E2929" s="29" t="s">
        <v>473</v>
      </c>
      <c r="F2929" s="29" t="s">
        <v>474</v>
      </c>
      <c r="G2929" s="25" t="s">
        <v>4669</v>
      </c>
      <c r="H2929" s="26">
        <v>-0.21283267650000001</v>
      </c>
      <c r="I2929" s="26"/>
      <c r="J2929" s="26" t="s">
        <v>512</v>
      </c>
      <c r="K2929" s="25" t="s">
        <v>513</v>
      </c>
    </row>
    <row r="2930" spans="1:11" ht="25.5" x14ac:dyDescent="0.25">
      <c r="A2930" s="22">
        <v>2026</v>
      </c>
      <c r="B2930" s="28" t="s">
        <v>192</v>
      </c>
      <c r="C2930" s="28" t="s">
        <v>97</v>
      </c>
      <c r="D2930" s="28" t="s">
        <v>254</v>
      </c>
      <c r="E2930" s="29" t="s">
        <v>473</v>
      </c>
      <c r="F2930" s="29" t="s">
        <v>474</v>
      </c>
      <c r="G2930" s="25" t="s">
        <v>4670</v>
      </c>
      <c r="H2930" s="26">
        <v>-0.216312318</v>
      </c>
      <c r="I2930" s="26"/>
      <c r="J2930" s="26" t="s">
        <v>512</v>
      </c>
      <c r="K2930" s="25" t="s">
        <v>513</v>
      </c>
    </row>
    <row r="2931" spans="1:11" ht="25.5" x14ac:dyDescent="0.25">
      <c r="A2931" s="22">
        <v>2026</v>
      </c>
      <c r="B2931" s="28" t="s">
        <v>192</v>
      </c>
      <c r="C2931" s="28" t="s">
        <v>97</v>
      </c>
      <c r="D2931" s="28" t="s">
        <v>254</v>
      </c>
      <c r="E2931" s="29" t="s">
        <v>473</v>
      </c>
      <c r="F2931" s="29" t="s">
        <v>474</v>
      </c>
      <c r="G2931" s="25" t="s">
        <v>4671</v>
      </c>
      <c r="H2931" s="26">
        <v>-0.30013688484000001</v>
      </c>
      <c r="I2931" s="26"/>
      <c r="J2931" s="26" t="s">
        <v>512</v>
      </c>
      <c r="K2931" s="25" t="s">
        <v>513</v>
      </c>
    </row>
    <row r="2932" spans="1:11" ht="25.5" x14ac:dyDescent="0.25">
      <c r="A2932" s="22">
        <v>2026</v>
      </c>
      <c r="B2932" s="28" t="s">
        <v>192</v>
      </c>
      <c r="C2932" s="28" t="s">
        <v>97</v>
      </c>
      <c r="D2932" s="28" t="s">
        <v>254</v>
      </c>
      <c r="E2932" s="29" t="s">
        <v>473</v>
      </c>
      <c r="F2932" s="29" t="s">
        <v>474</v>
      </c>
      <c r="G2932" s="25" t="s">
        <v>4672</v>
      </c>
      <c r="H2932" s="26">
        <v>-0.321996</v>
      </c>
      <c r="I2932" s="26"/>
      <c r="J2932" s="26" t="s">
        <v>512</v>
      </c>
      <c r="K2932" s="25" t="s">
        <v>513</v>
      </c>
    </row>
    <row r="2933" spans="1:11" ht="25.5" x14ac:dyDescent="0.25">
      <c r="A2933" s="22">
        <v>2026</v>
      </c>
      <c r="B2933" s="28" t="s">
        <v>192</v>
      </c>
      <c r="C2933" s="28" t="s">
        <v>97</v>
      </c>
      <c r="D2933" s="28" t="s">
        <v>254</v>
      </c>
      <c r="E2933" s="29" t="s">
        <v>473</v>
      </c>
      <c r="F2933" s="29" t="s">
        <v>474</v>
      </c>
      <c r="G2933" s="25" t="s">
        <v>4673</v>
      </c>
      <c r="H2933" s="26">
        <v>-0.31551392168000003</v>
      </c>
      <c r="I2933" s="26"/>
      <c r="J2933" s="26" t="s">
        <v>512</v>
      </c>
      <c r="K2933" s="25" t="s">
        <v>513</v>
      </c>
    </row>
    <row r="2934" spans="1:11" ht="25.5" x14ac:dyDescent="0.25">
      <c r="A2934" s="22">
        <v>2026</v>
      </c>
      <c r="B2934" s="28" t="s">
        <v>192</v>
      </c>
      <c r="C2934" s="28" t="s">
        <v>97</v>
      </c>
      <c r="D2934" s="28" t="s">
        <v>254</v>
      </c>
      <c r="E2934" s="29" t="s">
        <v>473</v>
      </c>
      <c r="F2934" s="29" t="s">
        <v>474</v>
      </c>
      <c r="G2934" s="25" t="s">
        <v>4674</v>
      </c>
      <c r="H2934" s="26">
        <v>-0.1211649804</v>
      </c>
      <c r="I2934" s="26"/>
      <c r="J2934" s="26" t="s">
        <v>512</v>
      </c>
      <c r="K2934" s="25" t="s">
        <v>513</v>
      </c>
    </row>
    <row r="2935" spans="1:11" ht="25.5" x14ac:dyDescent="0.25">
      <c r="A2935" s="22">
        <v>2026</v>
      </c>
      <c r="B2935" s="28" t="s">
        <v>192</v>
      </c>
      <c r="C2935" s="28" t="s">
        <v>97</v>
      </c>
      <c r="D2935" s="28" t="s">
        <v>254</v>
      </c>
      <c r="E2935" s="29" t="s">
        <v>473</v>
      </c>
      <c r="F2935" s="29" t="s">
        <v>474</v>
      </c>
      <c r="G2935" s="25" t="s">
        <v>4675</v>
      </c>
      <c r="H2935" s="26">
        <v>-0.19987903260000001</v>
      </c>
      <c r="I2935" s="26"/>
      <c r="J2935" s="26" t="s">
        <v>512</v>
      </c>
      <c r="K2935" s="25" t="s">
        <v>513</v>
      </c>
    </row>
    <row r="2936" spans="1:11" ht="25.5" x14ac:dyDescent="0.25">
      <c r="A2936" s="22">
        <v>2026</v>
      </c>
      <c r="B2936" s="28" t="s">
        <v>192</v>
      </c>
      <c r="C2936" s="28" t="s">
        <v>97</v>
      </c>
      <c r="D2936" s="28" t="s">
        <v>254</v>
      </c>
      <c r="E2936" s="29" t="s">
        <v>473</v>
      </c>
      <c r="F2936" s="29" t="s">
        <v>474</v>
      </c>
      <c r="G2936" s="25" t="s">
        <v>4676</v>
      </c>
      <c r="H2936" s="26">
        <v>-5.0510223E-2</v>
      </c>
      <c r="I2936" s="26"/>
      <c r="J2936" s="26" t="s">
        <v>512</v>
      </c>
      <c r="K2936" s="25" t="s">
        <v>513</v>
      </c>
    </row>
    <row r="2937" spans="1:11" ht="25.5" x14ac:dyDescent="0.25">
      <c r="A2937" s="22">
        <v>2026</v>
      </c>
      <c r="B2937" s="28" t="s">
        <v>192</v>
      </c>
      <c r="C2937" s="28" t="s">
        <v>97</v>
      </c>
      <c r="D2937" s="28" t="s">
        <v>254</v>
      </c>
      <c r="E2937" s="29" t="s">
        <v>473</v>
      </c>
      <c r="F2937" s="29" t="s">
        <v>474</v>
      </c>
      <c r="G2937" s="25" t="s">
        <v>4677</v>
      </c>
      <c r="H2937" s="26">
        <v>-4.4613205800000007E-2</v>
      </c>
      <c r="I2937" s="26"/>
      <c r="J2937" s="26" t="s">
        <v>512</v>
      </c>
      <c r="K2937" s="25" t="s">
        <v>513</v>
      </c>
    </row>
    <row r="2938" spans="1:11" ht="25.5" x14ac:dyDescent="0.25">
      <c r="A2938" s="22">
        <v>2026</v>
      </c>
      <c r="B2938" s="28" t="s">
        <v>192</v>
      </c>
      <c r="C2938" s="28" t="s">
        <v>97</v>
      </c>
      <c r="D2938" s="28" t="s">
        <v>254</v>
      </c>
      <c r="E2938" s="29" t="s">
        <v>473</v>
      </c>
      <c r="F2938" s="29" t="s">
        <v>474</v>
      </c>
      <c r="G2938" s="25" t="s">
        <v>4678</v>
      </c>
      <c r="H2938" s="26">
        <v>-2.3027162E-2</v>
      </c>
      <c r="I2938" s="26"/>
      <c r="J2938" s="26" t="s">
        <v>512</v>
      </c>
      <c r="K2938" s="25" t="s">
        <v>513</v>
      </c>
    </row>
    <row r="2939" spans="1:11" ht="25.5" x14ac:dyDescent="0.25">
      <c r="A2939" s="22">
        <v>2026</v>
      </c>
      <c r="B2939" s="28" t="s">
        <v>192</v>
      </c>
      <c r="C2939" s="28" t="s">
        <v>97</v>
      </c>
      <c r="D2939" s="28" t="s">
        <v>254</v>
      </c>
      <c r="E2939" s="29" t="s">
        <v>473</v>
      </c>
      <c r="F2939" s="29" t="s">
        <v>474</v>
      </c>
      <c r="G2939" s="25" t="s">
        <v>4679</v>
      </c>
      <c r="H2939" s="26">
        <v>-1.2171908</v>
      </c>
      <c r="I2939" s="26"/>
      <c r="J2939" s="26" t="s">
        <v>512</v>
      </c>
      <c r="K2939" s="25" t="s">
        <v>513</v>
      </c>
    </row>
    <row r="2940" spans="1:11" ht="25.5" x14ac:dyDescent="0.25">
      <c r="A2940" s="22">
        <v>2026</v>
      </c>
      <c r="B2940" s="28" t="s">
        <v>192</v>
      </c>
      <c r="C2940" s="28" t="s">
        <v>97</v>
      </c>
      <c r="D2940" s="28" t="s">
        <v>254</v>
      </c>
      <c r="E2940" s="29" t="s">
        <v>473</v>
      </c>
      <c r="F2940" s="29" t="s">
        <v>474</v>
      </c>
      <c r="G2940" s="25" t="s">
        <v>4680</v>
      </c>
      <c r="H2940" s="26">
        <v>-0.14774251499999999</v>
      </c>
      <c r="I2940" s="26"/>
      <c r="J2940" s="26" t="s">
        <v>512</v>
      </c>
      <c r="K2940" s="25" t="s">
        <v>513</v>
      </c>
    </row>
    <row r="2941" spans="1:11" ht="25.5" x14ac:dyDescent="0.25">
      <c r="A2941" s="22">
        <v>2026</v>
      </c>
      <c r="B2941" s="28" t="s">
        <v>192</v>
      </c>
      <c r="C2941" s="28" t="s">
        <v>97</v>
      </c>
      <c r="D2941" s="28" t="s">
        <v>254</v>
      </c>
      <c r="E2941" s="29" t="s">
        <v>473</v>
      </c>
      <c r="F2941" s="29" t="s">
        <v>474</v>
      </c>
      <c r="G2941" s="25" t="s">
        <v>4681</v>
      </c>
      <c r="H2941" s="26">
        <v>-9.1393717499999999E-2</v>
      </c>
      <c r="I2941" s="26"/>
      <c r="J2941" s="26" t="s">
        <v>512</v>
      </c>
      <c r="K2941" s="25" t="s">
        <v>513</v>
      </c>
    </row>
    <row r="2942" spans="1:11" ht="25.5" x14ac:dyDescent="0.25">
      <c r="A2942" s="22">
        <v>2026</v>
      </c>
      <c r="B2942" s="28" t="s">
        <v>192</v>
      </c>
      <c r="C2942" s="28" t="s">
        <v>97</v>
      </c>
      <c r="D2942" s="28" t="s">
        <v>254</v>
      </c>
      <c r="E2942" s="29" t="s">
        <v>473</v>
      </c>
      <c r="F2942" s="29" t="s">
        <v>474</v>
      </c>
      <c r="G2942" s="25" t="s">
        <v>4682</v>
      </c>
      <c r="H2942" s="26">
        <v>-7.4694142699999994E-2</v>
      </c>
      <c r="I2942" s="26"/>
      <c r="J2942" s="26" t="s">
        <v>512</v>
      </c>
      <c r="K2942" s="25" t="s">
        <v>513</v>
      </c>
    </row>
    <row r="2943" spans="1:11" ht="25.5" x14ac:dyDescent="0.25">
      <c r="A2943" s="22">
        <v>2026</v>
      </c>
      <c r="B2943" s="28" t="s">
        <v>192</v>
      </c>
      <c r="C2943" s="28" t="s">
        <v>97</v>
      </c>
      <c r="D2943" s="28" t="s">
        <v>254</v>
      </c>
      <c r="E2943" s="29" t="s">
        <v>473</v>
      </c>
      <c r="F2943" s="29" t="s">
        <v>474</v>
      </c>
      <c r="G2943" s="25" t="s">
        <v>4683</v>
      </c>
      <c r="H2943" s="26">
        <v>-9.6742758059999989E-2</v>
      </c>
      <c r="I2943" s="26"/>
      <c r="J2943" s="26" t="s">
        <v>512</v>
      </c>
      <c r="K2943" s="25" t="s">
        <v>513</v>
      </c>
    </row>
    <row r="2944" spans="1:11" ht="25.5" x14ac:dyDescent="0.25">
      <c r="A2944" s="22">
        <v>2026</v>
      </c>
      <c r="B2944" s="28" t="s">
        <v>192</v>
      </c>
      <c r="C2944" s="28" t="s">
        <v>97</v>
      </c>
      <c r="D2944" s="28" t="s">
        <v>254</v>
      </c>
      <c r="E2944" s="29" t="s">
        <v>473</v>
      </c>
      <c r="F2944" s="29" t="s">
        <v>474</v>
      </c>
      <c r="G2944" s="25" t="s">
        <v>4684</v>
      </c>
      <c r="H2944" s="26">
        <v>-5.23321806E-2</v>
      </c>
      <c r="I2944" s="26"/>
      <c r="J2944" s="26" t="s">
        <v>512</v>
      </c>
      <c r="K2944" s="25" t="s">
        <v>513</v>
      </c>
    </row>
    <row r="2945" spans="1:11" ht="25.5" x14ac:dyDescent="0.25">
      <c r="A2945" s="22">
        <v>2026</v>
      </c>
      <c r="B2945" s="28" t="s">
        <v>192</v>
      </c>
      <c r="C2945" s="28" t="s">
        <v>97</v>
      </c>
      <c r="D2945" s="28" t="s">
        <v>254</v>
      </c>
      <c r="E2945" s="29" t="s">
        <v>473</v>
      </c>
      <c r="F2945" s="29" t="s">
        <v>474</v>
      </c>
      <c r="G2945" s="25" t="s">
        <v>4685</v>
      </c>
      <c r="H2945" s="26">
        <v>-0.29326999999999998</v>
      </c>
      <c r="I2945" s="26"/>
      <c r="J2945" s="26" t="s">
        <v>512</v>
      </c>
      <c r="K2945" s="25" t="s">
        <v>513</v>
      </c>
    </row>
    <row r="2946" spans="1:11" ht="25.5" x14ac:dyDescent="0.25">
      <c r="A2946" s="22">
        <v>2026</v>
      </c>
      <c r="B2946" s="28" t="s">
        <v>192</v>
      </c>
      <c r="C2946" s="28" t="s">
        <v>97</v>
      </c>
      <c r="D2946" s="28" t="s">
        <v>254</v>
      </c>
      <c r="E2946" s="29" t="s">
        <v>473</v>
      </c>
      <c r="F2946" s="29" t="s">
        <v>474</v>
      </c>
      <c r="G2946" s="25" t="s">
        <v>4686</v>
      </c>
      <c r="H2946" s="26">
        <v>-0.15397330541999998</v>
      </c>
      <c r="I2946" s="26"/>
      <c r="J2946" s="26" t="s">
        <v>512</v>
      </c>
      <c r="K2946" s="25" t="s">
        <v>513</v>
      </c>
    </row>
    <row r="2947" spans="1:11" ht="25.5" x14ac:dyDescent="0.25">
      <c r="A2947" s="22">
        <v>2026</v>
      </c>
      <c r="B2947" s="28" t="s">
        <v>192</v>
      </c>
      <c r="C2947" s="28" t="s">
        <v>97</v>
      </c>
      <c r="D2947" s="28" t="s">
        <v>254</v>
      </c>
      <c r="E2947" s="29" t="s">
        <v>473</v>
      </c>
      <c r="F2947" s="29" t="s">
        <v>474</v>
      </c>
      <c r="G2947" s="25" t="s">
        <v>4687</v>
      </c>
      <c r="H2947" s="26">
        <v>-8.0950759679999998E-2</v>
      </c>
      <c r="I2947" s="26"/>
      <c r="J2947" s="26" t="s">
        <v>512</v>
      </c>
      <c r="K2947" s="25" t="s">
        <v>513</v>
      </c>
    </row>
    <row r="2948" spans="1:11" ht="25.5" x14ac:dyDescent="0.25">
      <c r="A2948" s="22">
        <v>2026</v>
      </c>
      <c r="B2948" s="28" t="s">
        <v>192</v>
      </c>
      <c r="C2948" s="28" t="s">
        <v>97</v>
      </c>
      <c r="D2948" s="28" t="s">
        <v>254</v>
      </c>
      <c r="E2948" s="29" t="s">
        <v>473</v>
      </c>
      <c r="F2948" s="29" t="s">
        <v>474</v>
      </c>
      <c r="G2948" s="25" t="s">
        <v>4688</v>
      </c>
      <c r="H2948" s="26">
        <v>-0.12721063160000001</v>
      </c>
      <c r="I2948" s="26"/>
      <c r="J2948" s="26" t="s">
        <v>512</v>
      </c>
      <c r="K2948" s="25" t="s">
        <v>513</v>
      </c>
    </row>
    <row r="2949" spans="1:11" ht="25.5" x14ac:dyDescent="0.25">
      <c r="A2949" s="22">
        <v>2026</v>
      </c>
      <c r="B2949" s="28" t="s">
        <v>192</v>
      </c>
      <c r="C2949" s="28" t="s">
        <v>97</v>
      </c>
      <c r="D2949" s="28" t="s">
        <v>254</v>
      </c>
      <c r="E2949" s="29" t="s">
        <v>473</v>
      </c>
      <c r="F2949" s="29" t="s">
        <v>474</v>
      </c>
      <c r="G2949" s="25" t="s">
        <v>4689</v>
      </c>
      <c r="H2949" s="26">
        <v>-0.16415705294999999</v>
      </c>
      <c r="I2949" s="26"/>
      <c r="J2949" s="26" t="s">
        <v>512</v>
      </c>
      <c r="K2949" s="25" t="s">
        <v>513</v>
      </c>
    </row>
    <row r="2950" spans="1:11" ht="25.5" x14ac:dyDescent="0.25">
      <c r="A2950" s="22">
        <v>2026</v>
      </c>
      <c r="B2950" s="28" t="s">
        <v>192</v>
      </c>
      <c r="C2950" s="28" t="s">
        <v>97</v>
      </c>
      <c r="D2950" s="28" t="s">
        <v>1740</v>
      </c>
      <c r="E2950" s="29" t="s">
        <v>473</v>
      </c>
      <c r="F2950" s="29" t="s">
        <v>343</v>
      </c>
      <c r="G2950" s="25" t="s">
        <v>4690</v>
      </c>
      <c r="H2950" s="26">
        <v>-2.4826579799999998E-2</v>
      </c>
      <c r="I2950" s="26"/>
      <c r="J2950" s="26" t="s">
        <v>512</v>
      </c>
      <c r="K2950" s="25" t="s">
        <v>513</v>
      </c>
    </row>
    <row r="2951" spans="1:11" ht="25.5" x14ac:dyDescent="0.25">
      <c r="A2951" s="22">
        <v>2026</v>
      </c>
      <c r="B2951" s="28" t="s">
        <v>192</v>
      </c>
      <c r="C2951" s="28" t="s">
        <v>97</v>
      </c>
      <c r="D2951" s="28" t="s">
        <v>1740</v>
      </c>
      <c r="E2951" s="29" t="s">
        <v>473</v>
      </c>
      <c r="F2951" s="29" t="s">
        <v>343</v>
      </c>
      <c r="G2951" s="25" t="s">
        <v>4691</v>
      </c>
      <c r="H2951" s="26">
        <v>-6.5356802000000006E-2</v>
      </c>
      <c r="I2951" s="26"/>
      <c r="J2951" s="26" t="s">
        <v>512</v>
      </c>
      <c r="K2951" s="25" t="s">
        <v>513</v>
      </c>
    </row>
    <row r="2952" spans="1:11" ht="25.5" x14ac:dyDescent="0.25">
      <c r="A2952" s="22">
        <v>2026</v>
      </c>
      <c r="B2952" s="28" t="s">
        <v>192</v>
      </c>
      <c r="C2952" s="28" t="s">
        <v>97</v>
      </c>
      <c r="D2952" s="28" t="s">
        <v>1740</v>
      </c>
      <c r="E2952" s="29" t="s">
        <v>473</v>
      </c>
      <c r="F2952" s="29" t="s">
        <v>343</v>
      </c>
      <c r="G2952" s="25" t="s">
        <v>4692</v>
      </c>
      <c r="H2952" s="26">
        <v>-8.0013720360000012E-2</v>
      </c>
      <c r="I2952" s="26"/>
      <c r="J2952" s="26" t="s">
        <v>512</v>
      </c>
      <c r="K2952" s="25" t="s">
        <v>513</v>
      </c>
    </row>
    <row r="2953" spans="1:11" ht="25.5" x14ac:dyDescent="0.25">
      <c r="A2953" s="22">
        <v>2026</v>
      </c>
      <c r="B2953" s="28" t="s">
        <v>192</v>
      </c>
      <c r="C2953" s="28" t="s">
        <v>97</v>
      </c>
      <c r="D2953" s="28" t="s">
        <v>1740</v>
      </c>
      <c r="E2953" s="29" t="s">
        <v>473</v>
      </c>
      <c r="F2953" s="29" t="s">
        <v>343</v>
      </c>
      <c r="G2953" s="25" t="s">
        <v>4693</v>
      </c>
      <c r="H2953" s="26">
        <v>-9.2929999999999999E-2</v>
      </c>
      <c r="I2953" s="26"/>
      <c r="J2953" s="26" t="s">
        <v>512</v>
      </c>
      <c r="K2953" s="25" t="s">
        <v>513</v>
      </c>
    </row>
    <row r="2954" spans="1:11" ht="25.5" x14ac:dyDescent="0.25">
      <c r="A2954" s="22">
        <v>2026</v>
      </c>
      <c r="B2954" s="28" t="s">
        <v>192</v>
      </c>
      <c r="C2954" s="28" t="s">
        <v>97</v>
      </c>
      <c r="D2954" s="28" t="s">
        <v>1740</v>
      </c>
      <c r="E2954" s="29" t="s">
        <v>473</v>
      </c>
      <c r="F2954" s="29" t="s">
        <v>343</v>
      </c>
      <c r="G2954" s="25" t="s">
        <v>4694</v>
      </c>
      <c r="H2954" s="26">
        <v>-7.0910793200000002E-2</v>
      </c>
      <c r="I2954" s="26"/>
      <c r="J2954" s="26" t="s">
        <v>512</v>
      </c>
      <c r="K2954" s="25" t="s">
        <v>513</v>
      </c>
    </row>
    <row r="2955" spans="1:11" ht="25.5" x14ac:dyDescent="0.25">
      <c r="A2955" s="22">
        <v>2026</v>
      </c>
      <c r="B2955" s="28" t="s">
        <v>192</v>
      </c>
      <c r="C2955" s="28" t="s">
        <v>97</v>
      </c>
      <c r="D2955" s="28" t="s">
        <v>1740</v>
      </c>
      <c r="E2955" s="29" t="s">
        <v>473</v>
      </c>
      <c r="F2955" s="29" t="s">
        <v>343</v>
      </c>
      <c r="G2955" s="25" t="s">
        <v>4695</v>
      </c>
      <c r="H2955" s="26">
        <v>-6.531389688E-2</v>
      </c>
      <c r="I2955" s="26"/>
      <c r="J2955" s="26" t="s">
        <v>512</v>
      </c>
      <c r="K2955" s="25" t="s">
        <v>513</v>
      </c>
    </row>
    <row r="2956" spans="1:11" ht="25.5" x14ac:dyDescent="0.25">
      <c r="A2956" s="22">
        <v>2026</v>
      </c>
      <c r="B2956" s="28" t="s">
        <v>192</v>
      </c>
      <c r="C2956" s="28" t="s">
        <v>97</v>
      </c>
      <c r="D2956" s="28" t="s">
        <v>1740</v>
      </c>
      <c r="E2956" s="29" t="s">
        <v>473</v>
      </c>
      <c r="F2956" s="29" t="s">
        <v>343</v>
      </c>
      <c r="G2956" s="25" t="s">
        <v>4696</v>
      </c>
      <c r="H2956" s="26">
        <v>-4.0548595079999999E-2</v>
      </c>
      <c r="I2956" s="26"/>
      <c r="J2956" s="26" t="s">
        <v>512</v>
      </c>
      <c r="K2956" s="25" t="s">
        <v>513</v>
      </c>
    </row>
    <row r="2957" spans="1:11" ht="25.5" x14ac:dyDescent="0.25">
      <c r="A2957" s="22">
        <v>2026</v>
      </c>
      <c r="B2957" s="28" t="s">
        <v>192</v>
      </c>
      <c r="C2957" s="28" t="s">
        <v>97</v>
      </c>
      <c r="D2957" s="28" t="s">
        <v>1740</v>
      </c>
      <c r="E2957" s="29" t="s">
        <v>473</v>
      </c>
      <c r="F2957" s="29" t="s">
        <v>343</v>
      </c>
      <c r="G2957" s="25" t="s">
        <v>4697</v>
      </c>
      <c r="H2957" s="26">
        <v>-0.57815099999999997</v>
      </c>
      <c r="I2957" s="26"/>
      <c r="J2957" s="26" t="s">
        <v>512</v>
      </c>
      <c r="K2957" s="25" t="s">
        <v>513</v>
      </c>
    </row>
    <row r="2958" spans="1:11" ht="25.5" x14ac:dyDescent="0.25">
      <c r="A2958" s="22">
        <v>2026</v>
      </c>
      <c r="B2958" s="28" t="s">
        <v>192</v>
      </c>
      <c r="C2958" s="28" t="s">
        <v>97</v>
      </c>
      <c r="D2958" s="28" t="s">
        <v>1740</v>
      </c>
      <c r="E2958" s="29" t="s">
        <v>473</v>
      </c>
      <c r="F2958" s="29" t="s">
        <v>343</v>
      </c>
      <c r="G2958" s="25" t="s">
        <v>4698</v>
      </c>
      <c r="H2958" s="26">
        <v>-0.58904057600000004</v>
      </c>
      <c r="I2958" s="26"/>
      <c r="J2958" s="26" t="s">
        <v>512</v>
      </c>
      <c r="K2958" s="25" t="s">
        <v>513</v>
      </c>
    </row>
    <row r="2959" spans="1:11" ht="25.5" x14ac:dyDescent="0.25">
      <c r="A2959" s="22">
        <v>2026</v>
      </c>
      <c r="B2959" s="28" t="s">
        <v>192</v>
      </c>
      <c r="C2959" s="28" t="s">
        <v>97</v>
      </c>
      <c r="D2959" s="28" t="s">
        <v>195</v>
      </c>
      <c r="E2959" s="29" t="s">
        <v>1760</v>
      </c>
      <c r="F2959" s="29" t="s">
        <v>353</v>
      </c>
      <c r="G2959" s="25" t="s">
        <v>4699</v>
      </c>
      <c r="H2959" s="26">
        <v>-0.87658700000000001</v>
      </c>
      <c r="I2959" s="26"/>
      <c r="J2959" s="26" t="s">
        <v>512</v>
      </c>
      <c r="K2959" s="25" t="s">
        <v>513</v>
      </c>
    </row>
    <row r="2960" spans="1:11" ht="25.5" x14ac:dyDescent="0.25">
      <c r="A2960" s="22">
        <v>2026</v>
      </c>
      <c r="B2960" s="28" t="s">
        <v>192</v>
      </c>
      <c r="C2960" s="28" t="s">
        <v>97</v>
      </c>
      <c r="D2960" s="28" t="s">
        <v>195</v>
      </c>
      <c r="E2960" s="29" t="s">
        <v>1760</v>
      </c>
      <c r="F2960" s="29" t="s">
        <v>353</v>
      </c>
      <c r="G2960" s="25" t="s">
        <v>4700</v>
      </c>
      <c r="H2960" s="26">
        <v>-2.1924999999999999</v>
      </c>
      <c r="I2960" s="26"/>
      <c r="J2960" s="26" t="s">
        <v>512</v>
      </c>
      <c r="K2960" s="25" t="s">
        <v>513</v>
      </c>
    </row>
    <row r="2961" spans="1:11" ht="25.5" x14ac:dyDescent="0.25">
      <c r="A2961" s="22">
        <v>2026</v>
      </c>
      <c r="B2961" s="28" t="s">
        <v>192</v>
      </c>
      <c r="C2961" s="28" t="s">
        <v>97</v>
      </c>
      <c r="D2961" s="28" t="s">
        <v>195</v>
      </c>
      <c r="E2961" s="29" t="s">
        <v>1760</v>
      </c>
      <c r="F2961" s="29" t="s">
        <v>353</v>
      </c>
      <c r="G2961" s="25" t="s">
        <v>4701</v>
      </c>
      <c r="H2961" s="26">
        <v>-0.88300000000000001</v>
      </c>
      <c r="I2961" s="26"/>
      <c r="J2961" s="26" t="s">
        <v>512</v>
      </c>
      <c r="K2961" s="25" t="s">
        <v>513</v>
      </c>
    </row>
    <row r="2962" spans="1:11" ht="38.25" x14ac:dyDescent="0.25">
      <c r="A2962" s="22">
        <v>2026</v>
      </c>
      <c r="B2962" s="28" t="s">
        <v>192</v>
      </c>
      <c r="C2962" s="28" t="s">
        <v>97</v>
      </c>
      <c r="D2962" s="28" t="s">
        <v>244</v>
      </c>
      <c r="E2962" s="29" t="s">
        <v>448</v>
      </c>
      <c r="F2962" s="29" t="s">
        <v>284</v>
      </c>
      <c r="G2962" s="25" t="s">
        <v>4702</v>
      </c>
      <c r="H2962" s="26">
        <v>-7.0000000000000007E-2</v>
      </c>
      <c r="I2962" s="26"/>
      <c r="J2962" s="26" t="s">
        <v>514</v>
      </c>
      <c r="K2962" s="25" t="s">
        <v>528</v>
      </c>
    </row>
    <row r="2963" spans="1:11" ht="38.25" x14ac:dyDescent="0.25">
      <c r="A2963" s="22">
        <v>2026</v>
      </c>
      <c r="B2963" s="28" t="s">
        <v>192</v>
      </c>
      <c r="C2963" s="28" t="s">
        <v>97</v>
      </c>
      <c r="D2963" s="28" t="s">
        <v>244</v>
      </c>
      <c r="E2963" s="29" t="s">
        <v>448</v>
      </c>
      <c r="F2963" s="29" t="s">
        <v>284</v>
      </c>
      <c r="G2963" s="25" t="s">
        <v>4703</v>
      </c>
      <c r="H2963" s="26">
        <v>-0.14019999999999999</v>
      </c>
      <c r="I2963" s="26"/>
      <c r="J2963" s="26" t="s">
        <v>514</v>
      </c>
      <c r="K2963" s="25" t="s">
        <v>528</v>
      </c>
    </row>
    <row r="2964" spans="1:11" ht="38.25" x14ac:dyDescent="0.25">
      <c r="A2964" s="22">
        <v>2026</v>
      </c>
      <c r="B2964" s="28" t="s">
        <v>192</v>
      </c>
      <c r="C2964" s="28" t="s">
        <v>97</v>
      </c>
      <c r="D2964" s="28" t="s">
        <v>244</v>
      </c>
      <c r="E2964" s="29" t="s">
        <v>448</v>
      </c>
      <c r="F2964" s="29" t="s">
        <v>284</v>
      </c>
      <c r="G2964" s="25" t="s">
        <v>4704</v>
      </c>
      <c r="H2964" s="26">
        <v>-0.1464192</v>
      </c>
      <c r="I2964" s="26"/>
      <c r="J2964" s="26" t="s">
        <v>514</v>
      </c>
      <c r="K2964" s="25" t="s">
        <v>528</v>
      </c>
    </row>
    <row r="2965" spans="1:11" ht="38.25" x14ac:dyDescent="0.25">
      <c r="A2965" s="22">
        <v>2026</v>
      </c>
      <c r="B2965" s="28" t="s">
        <v>192</v>
      </c>
      <c r="C2965" s="28" t="s">
        <v>97</v>
      </c>
      <c r="D2965" s="28" t="s">
        <v>244</v>
      </c>
      <c r="E2965" s="29" t="s">
        <v>448</v>
      </c>
      <c r="F2965" s="29" t="s">
        <v>284</v>
      </c>
      <c r="G2965" s="25" t="s">
        <v>4705</v>
      </c>
      <c r="H2965" s="26">
        <v>-0.35486880000000004</v>
      </c>
      <c r="I2965" s="26"/>
      <c r="J2965" s="26" t="s">
        <v>514</v>
      </c>
      <c r="K2965" s="25" t="s">
        <v>528</v>
      </c>
    </row>
    <row r="2966" spans="1:11" ht="38.25" x14ac:dyDescent="0.25">
      <c r="A2966" s="22">
        <v>2026</v>
      </c>
      <c r="B2966" s="28" t="s">
        <v>192</v>
      </c>
      <c r="C2966" s="28" t="s">
        <v>97</v>
      </c>
      <c r="D2966" s="28" t="s">
        <v>244</v>
      </c>
      <c r="E2966" s="29" t="s">
        <v>448</v>
      </c>
      <c r="F2966" s="29" t="s">
        <v>284</v>
      </c>
      <c r="G2966" s="25" t="s">
        <v>4706</v>
      </c>
      <c r="H2966" s="26">
        <v>-0.1191354</v>
      </c>
      <c r="I2966" s="26"/>
      <c r="J2966" s="26" t="s">
        <v>514</v>
      </c>
      <c r="K2966" s="25" t="s">
        <v>528</v>
      </c>
    </row>
    <row r="2967" spans="1:11" ht="38.25" x14ac:dyDescent="0.25">
      <c r="A2967" s="22">
        <v>2026</v>
      </c>
      <c r="B2967" s="28" t="s">
        <v>192</v>
      </c>
      <c r="C2967" s="28" t="s">
        <v>97</v>
      </c>
      <c r="D2967" s="28" t="s">
        <v>244</v>
      </c>
      <c r="E2967" s="29" t="s">
        <v>448</v>
      </c>
      <c r="F2967" s="29" t="s">
        <v>284</v>
      </c>
      <c r="G2967" s="25" t="s">
        <v>4707</v>
      </c>
      <c r="H2967" s="26">
        <v>-9.5630400000000004E-2</v>
      </c>
      <c r="I2967" s="26"/>
      <c r="J2967" s="26" t="s">
        <v>514</v>
      </c>
      <c r="K2967" s="25" t="s">
        <v>528</v>
      </c>
    </row>
    <row r="2968" spans="1:11" ht="38.25" x14ac:dyDescent="0.25">
      <c r="A2968" s="22">
        <v>2026</v>
      </c>
      <c r="B2968" s="28" t="s">
        <v>192</v>
      </c>
      <c r="C2968" s="28" t="s">
        <v>97</v>
      </c>
      <c r="D2968" s="28" t="s">
        <v>244</v>
      </c>
      <c r="E2968" s="29" t="s">
        <v>448</v>
      </c>
      <c r="F2968" s="29" t="s">
        <v>284</v>
      </c>
      <c r="G2968" s="25" t="s">
        <v>4708</v>
      </c>
      <c r="H2968" s="26">
        <v>-7.2150000000000006E-2</v>
      </c>
      <c r="I2968" s="26"/>
      <c r="J2968" s="26" t="s">
        <v>514</v>
      </c>
      <c r="K2968" s="25" t="s">
        <v>528</v>
      </c>
    </row>
    <row r="2969" spans="1:11" ht="38.25" x14ac:dyDescent="0.25">
      <c r="A2969" s="22">
        <v>2026</v>
      </c>
      <c r="B2969" s="28" t="s">
        <v>192</v>
      </c>
      <c r="C2969" s="28" t="s">
        <v>97</v>
      </c>
      <c r="D2969" s="28" t="s">
        <v>244</v>
      </c>
      <c r="E2969" s="29" t="s">
        <v>448</v>
      </c>
      <c r="F2969" s="29" t="s">
        <v>284</v>
      </c>
      <c r="G2969" s="25" t="s">
        <v>4709</v>
      </c>
      <c r="H2969" s="26">
        <v>-0.14330000000000001</v>
      </c>
      <c r="I2969" s="26"/>
      <c r="J2969" s="26" t="s">
        <v>514</v>
      </c>
      <c r="K2969" s="25" t="s">
        <v>528</v>
      </c>
    </row>
    <row r="2970" spans="1:11" ht="38.25" x14ac:dyDescent="0.25">
      <c r="A2970" s="22">
        <v>2026</v>
      </c>
      <c r="B2970" s="28" t="s">
        <v>192</v>
      </c>
      <c r="C2970" s="28" t="s">
        <v>97</v>
      </c>
      <c r="D2970" s="28" t="s">
        <v>244</v>
      </c>
      <c r="E2970" s="29" t="s">
        <v>448</v>
      </c>
      <c r="F2970" s="29" t="s">
        <v>284</v>
      </c>
      <c r="G2970" s="25" t="s">
        <v>4710</v>
      </c>
      <c r="H2970" s="26">
        <v>-0.1419</v>
      </c>
      <c r="I2970" s="26"/>
      <c r="J2970" s="26" t="s">
        <v>514</v>
      </c>
      <c r="K2970" s="25" t="s">
        <v>528</v>
      </c>
    </row>
    <row r="2971" spans="1:11" ht="38.25" x14ac:dyDescent="0.25">
      <c r="A2971" s="22">
        <v>2026</v>
      </c>
      <c r="B2971" s="28" t="s">
        <v>192</v>
      </c>
      <c r="C2971" s="28" t="s">
        <v>97</v>
      </c>
      <c r="D2971" s="28" t="s">
        <v>244</v>
      </c>
      <c r="E2971" s="29" t="s">
        <v>448</v>
      </c>
      <c r="F2971" s="29" t="s">
        <v>284</v>
      </c>
      <c r="G2971" s="25" t="s">
        <v>4711</v>
      </c>
      <c r="H2971" s="26">
        <v>-0.35375000000000001</v>
      </c>
      <c r="I2971" s="26"/>
      <c r="J2971" s="26" t="s">
        <v>514</v>
      </c>
      <c r="K2971" s="25" t="s">
        <v>528</v>
      </c>
    </row>
    <row r="2972" spans="1:11" ht="38.25" x14ac:dyDescent="0.25">
      <c r="A2972" s="22">
        <v>2026</v>
      </c>
      <c r="B2972" s="28" t="s">
        <v>192</v>
      </c>
      <c r="C2972" s="28" t="s">
        <v>97</v>
      </c>
      <c r="D2972" s="28" t="s">
        <v>244</v>
      </c>
      <c r="E2972" s="29" t="s">
        <v>448</v>
      </c>
      <c r="F2972" s="29" t="s">
        <v>284</v>
      </c>
      <c r="G2972" s="25" t="s">
        <v>4712</v>
      </c>
      <c r="H2972" s="26">
        <v>-0.36808757000000003</v>
      </c>
      <c r="I2972" s="26"/>
      <c r="J2972" s="26" t="s">
        <v>514</v>
      </c>
      <c r="K2972" s="25" t="s">
        <v>528</v>
      </c>
    </row>
    <row r="2973" spans="1:11" ht="38.25" x14ac:dyDescent="0.25">
      <c r="A2973" s="22">
        <v>2026</v>
      </c>
      <c r="B2973" s="28" t="s">
        <v>192</v>
      </c>
      <c r="C2973" s="28" t="s">
        <v>97</v>
      </c>
      <c r="D2973" s="28" t="s">
        <v>244</v>
      </c>
      <c r="E2973" s="29" t="s">
        <v>448</v>
      </c>
      <c r="F2973" s="29" t="s">
        <v>284</v>
      </c>
      <c r="G2973" s="25" t="s">
        <v>4713</v>
      </c>
      <c r="H2973" s="26">
        <v>-6.4309500000000006E-2</v>
      </c>
      <c r="I2973" s="26"/>
      <c r="J2973" s="26" t="s">
        <v>514</v>
      </c>
      <c r="K2973" s="25" t="s">
        <v>528</v>
      </c>
    </row>
    <row r="2974" spans="1:11" ht="38.25" x14ac:dyDescent="0.25">
      <c r="A2974" s="22">
        <v>2026</v>
      </c>
      <c r="B2974" s="28" t="s">
        <v>192</v>
      </c>
      <c r="C2974" s="28" t="s">
        <v>97</v>
      </c>
      <c r="D2974" s="28" t="s">
        <v>244</v>
      </c>
      <c r="E2974" s="29" t="s">
        <v>448</v>
      </c>
      <c r="F2974" s="29" t="s">
        <v>284</v>
      </c>
      <c r="G2974" s="25" t="s">
        <v>4714</v>
      </c>
      <c r="H2974" s="26">
        <v>-0.61695</v>
      </c>
      <c r="I2974" s="26"/>
      <c r="J2974" s="26" t="s">
        <v>514</v>
      </c>
      <c r="K2974" s="25" t="s">
        <v>528</v>
      </c>
    </row>
    <row r="2975" spans="1:11" ht="38.25" x14ac:dyDescent="0.25">
      <c r="A2975" s="22">
        <v>2026</v>
      </c>
      <c r="B2975" s="28" t="s">
        <v>192</v>
      </c>
      <c r="C2975" s="28" t="s">
        <v>97</v>
      </c>
      <c r="D2975" s="28" t="s">
        <v>244</v>
      </c>
      <c r="E2975" s="29" t="s">
        <v>448</v>
      </c>
      <c r="F2975" s="29" t="s">
        <v>284</v>
      </c>
      <c r="G2975" s="25" t="s">
        <v>4715</v>
      </c>
      <c r="H2975" s="26">
        <v>-0.33397694999999994</v>
      </c>
      <c r="I2975" s="26"/>
      <c r="J2975" s="26" t="s">
        <v>514</v>
      </c>
      <c r="K2975" s="25" t="s">
        <v>528</v>
      </c>
    </row>
    <row r="2976" spans="1:11" ht="38.25" x14ac:dyDescent="0.25">
      <c r="A2976" s="22">
        <v>2026</v>
      </c>
      <c r="B2976" s="28" t="s">
        <v>192</v>
      </c>
      <c r="C2976" s="28" t="s">
        <v>97</v>
      </c>
      <c r="D2976" s="28" t="s">
        <v>244</v>
      </c>
      <c r="E2976" s="29" t="s">
        <v>448</v>
      </c>
      <c r="F2976" s="29" t="s">
        <v>284</v>
      </c>
      <c r="G2976" s="25" t="s">
        <v>4716</v>
      </c>
      <c r="H2976" s="26">
        <v>-0.2959</v>
      </c>
      <c r="I2976" s="26"/>
      <c r="J2976" s="26" t="s">
        <v>514</v>
      </c>
      <c r="K2976" s="25" t="s">
        <v>528</v>
      </c>
    </row>
    <row r="2977" spans="1:11" ht="38.25" x14ac:dyDescent="0.25">
      <c r="A2977" s="22">
        <v>2026</v>
      </c>
      <c r="B2977" s="28" t="s">
        <v>192</v>
      </c>
      <c r="C2977" s="28" t="s">
        <v>97</v>
      </c>
      <c r="D2977" s="28" t="s">
        <v>244</v>
      </c>
      <c r="E2977" s="29" t="s">
        <v>448</v>
      </c>
      <c r="F2977" s="29" t="s">
        <v>284</v>
      </c>
      <c r="G2977" s="25" t="s">
        <v>4717</v>
      </c>
      <c r="H2977" s="26">
        <v>-2.9468949999999997E-2</v>
      </c>
      <c r="I2977" s="26"/>
      <c r="J2977" s="26" t="s">
        <v>514</v>
      </c>
      <c r="K2977" s="25" t="s">
        <v>528</v>
      </c>
    </row>
    <row r="2978" spans="1:11" ht="38.25" x14ac:dyDescent="0.25">
      <c r="A2978" s="22">
        <v>2026</v>
      </c>
      <c r="B2978" s="28" t="s">
        <v>192</v>
      </c>
      <c r="C2978" s="28" t="s">
        <v>97</v>
      </c>
      <c r="D2978" s="28" t="s">
        <v>244</v>
      </c>
      <c r="E2978" s="29" t="s">
        <v>448</v>
      </c>
      <c r="F2978" s="29" t="s">
        <v>284</v>
      </c>
      <c r="G2978" s="25" t="s">
        <v>4718</v>
      </c>
      <c r="H2978" s="26">
        <v>-0.2893212</v>
      </c>
      <c r="I2978" s="26"/>
      <c r="J2978" s="26" t="s">
        <v>514</v>
      </c>
      <c r="K2978" s="25" t="s">
        <v>528</v>
      </c>
    </row>
    <row r="2979" spans="1:11" ht="38.25" x14ac:dyDescent="0.25">
      <c r="A2979" s="22">
        <v>2026</v>
      </c>
      <c r="B2979" s="28" t="s">
        <v>192</v>
      </c>
      <c r="C2979" s="28" t="s">
        <v>97</v>
      </c>
      <c r="D2979" s="28" t="s">
        <v>244</v>
      </c>
      <c r="E2979" s="29" t="s">
        <v>448</v>
      </c>
      <c r="F2979" s="29" t="s">
        <v>284</v>
      </c>
      <c r="G2979" s="25" t="s">
        <v>4719</v>
      </c>
      <c r="H2979" s="26">
        <v>-0.26379999999999998</v>
      </c>
      <c r="I2979" s="26"/>
      <c r="J2979" s="26" t="s">
        <v>514</v>
      </c>
      <c r="K2979" s="25" t="s">
        <v>528</v>
      </c>
    </row>
    <row r="2980" spans="1:11" ht="38.25" x14ac:dyDescent="0.25">
      <c r="A2980" s="22">
        <v>2026</v>
      </c>
      <c r="B2980" s="28" t="s">
        <v>192</v>
      </c>
      <c r="C2980" s="28" t="s">
        <v>97</v>
      </c>
      <c r="D2980" s="28" t="s">
        <v>244</v>
      </c>
      <c r="E2980" s="29" t="s">
        <v>448</v>
      </c>
      <c r="F2980" s="29" t="s">
        <v>284</v>
      </c>
      <c r="G2980" s="25" t="s">
        <v>4720</v>
      </c>
      <c r="H2980" s="26">
        <v>-0.18964676999999999</v>
      </c>
      <c r="I2980" s="26"/>
      <c r="J2980" s="26" t="s">
        <v>514</v>
      </c>
      <c r="K2980" s="25" t="s">
        <v>528</v>
      </c>
    </row>
    <row r="2981" spans="1:11" ht="38.25" x14ac:dyDescent="0.25">
      <c r="A2981" s="22">
        <v>2026</v>
      </c>
      <c r="B2981" s="28" t="s">
        <v>192</v>
      </c>
      <c r="C2981" s="28" t="s">
        <v>97</v>
      </c>
      <c r="D2981" s="28" t="s">
        <v>244</v>
      </c>
      <c r="E2981" s="29" t="s">
        <v>448</v>
      </c>
      <c r="F2981" s="29" t="s">
        <v>284</v>
      </c>
      <c r="G2981" s="25" t="s">
        <v>4721</v>
      </c>
      <c r="H2981" s="26">
        <v>-0.10553625</v>
      </c>
      <c r="I2981" s="26"/>
      <c r="J2981" s="26" t="s">
        <v>514</v>
      </c>
      <c r="K2981" s="25" t="s">
        <v>528</v>
      </c>
    </row>
    <row r="2982" spans="1:11" ht="25.5" x14ac:dyDescent="0.25">
      <c r="A2982" s="22">
        <v>2026</v>
      </c>
      <c r="B2982" s="28" t="s">
        <v>192</v>
      </c>
      <c r="C2982" s="28" t="s">
        <v>97</v>
      </c>
      <c r="D2982" s="28" t="s">
        <v>1795</v>
      </c>
      <c r="E2982" s="29" t="s">
        <v>569</v>
      </c>
      <c r="F2982" s="29" t="s">
        <v>1274</v>
      </c>
      <c r="G2982" s="25" t="s">
        <v>4722</v>
      </c>
      <c r="H2982" s="26">
        <v>-8.9679055699999996E-2</v>
      </c>
      <c r="I2982" s="26"/>
      <c r="J2982" s="26" t="s">
        <v>512</v>
      </c>
      <c r="K2982" s="25" t="s">
        <v>513</v>
      </c>
    </row>
    <row r="2983" spans="1:11" ht="25.5" x14ac:dyDescent="0.25">
      <c r="A2983" s="22">
        <v>2026</v>
      </c>
      <c r="B2983" s="28" t="s">
        <v>192</v>
      </c>
      <c r="C2983" s="28" t="s">
        <v>97</v>
      </c>
      <c r="D2983" s="28" t="s">
        <v>1741</v>
      </c>
      <c r="E2983" s="29" t="s">
        <v>985</v>
      </c>
      <c r="F2983" s="29" t="s">
        <v>340</v>
      </c>
      <c r="G2983" s="25" t="s">
        <v>4723</v>
      </c>
      <c r="H2983" s="26">
        <v>-0.182</v>
      </c>
      <c r="I2983" s="26"/>
      <c r="J2983" s="26" t="s">
        <v>512</v>
      </c>
      <c r="K2983" s="25" t="s">
        <v>513</v>
      </c>
    </row>
    <row r="2984" spans="1:11" ht="25.5" x14ac:dyDescent="0.25">
      <c r="A2984" s="22">
        <v>2026</v>
      </c>
      <c r="B2984" s="28" t="s">
        <v>192</v>
      </c>
      <c r="C2984" s="28" t="s">
        <v>97</v>
      </c>
      <c r="D2984" s="28" t="s">
        <v>1741</v>
      </c>
      <c r="E2984" s="29" t="s">
        <v>985</v>
      </c>
      <c r="F2984" s="29" t="s">
        <v>340</v>
      </c>
      <c r="G2984" s="25" t="s">
        <v>4724</v>
      </c>
      <c r="H2984" s="26">
        <v>-0.17599999999999999</v>
      </c>
      <c r="I2984" s="26"/>
      <c r="J2984" s="26" t="s">
        <v>512</v>
      </c>
      <c r="K2984" s="25" t="s">
        <v>513</v>
      </c>
    </row>
    <row r="2985" spans="1:11" ht="25.5" x14ac:dyDescent="0.25">
      <c r="A2985" s="22">
        <v>2026</v>
      </c>
      <c r="B2985" s="28" t="s">
        <v>192</v>
      </c>
      <c r="C2985" s="28" t="s">
        <v>97</v>
      </c>
      <c r="D2985" s="28" t="s">
        <v>1741</v>
      </c>
      <c r="E2985" s="29" t="s">
        <v>985</v>
      </c>
      <c r="F2985" s="29" t="s">
        <v>340</v>
      </c>
      <c r="G2985" s="25" t="s">
        <v>4725</v>
      </c>
      <c r="H2985" s="26">
        <v>-0.17199999999999999</v>
      </c>
      <c r="I2985" s="26"/>
      <c r="J2985" s="26" t="s">
        <v>512</v>
      </c>
      <c r="K2985" s="25" t="s">
        <v>513</v>
      </c>
    </row>
    <row r="2986" spans="1:11" ht="25.5" x14ac:dyDescent="0.25">
      <c r="A2986" s="22">
        <v>2026</v>
      </c>
      <c r="B2986" s="28" t="s">
        <v>192</v>
      </c>
      <c r="C2986" s="28" t="s">
        <v>97</v>
      </c>
      <c r="D2986" s="28" t="s">
        <v>1741</v>
      </c>
      <c r="E2986" s="29" t="s">
        <v>985</v>
      </c>
      <c r="F2986" s="29" t="s">
        <v>340</v>
      </c>
      <c r="G2986" s="25" t="s">
        <v>4726</v>
      </c>
      <c r="H2986" s="26">
        <v>-0.25786039999999999</v>
      </c>
      <c r="I2986" s="26"/>
      <c r="J2986" s="26" t="s">
        <v>512</v>
      </c>
      <c r="K2986" s="25" t="s">
        <v>513</v>
      </c>
    </row>
    <row r="2987" spans="1:11" ht="25.5" x14ac:dyDescent="0.25">
      <c r="A2987" s="22">
        <v>2026</v>
      </c>
      <c r="B2987" s="28" t="s">
        <v>192</v>
      </c>
      <c r="C2987" s="28" t="s">
        <v>97</v>
      </c>
      <c r="D2987" s="28" t="s">
        <v>1741</v>
      </c>
      <c r="E2987" s="29" t="s">
        <v>985</v>
      </c>
      <c r="F2987" s="29" t="s">
        <v>340</v>
      </c>
      <c r="G2987" s="25" t="s">
        <v>4727</v>
      </c>
      <c r="H2987" s="26">
        <v>-8.0879999999999994E-2</v>
      </c>
      <c r="I2987" s="26"/>
      <c r="J2987" s="26" t="s">
        <v>512</v>
      </c>
      <c r="K2987" s="25" t="s">
        <v>513</v>
      </c>
    </row>
    <row r="2988" spans="1:11" ht="25.5" x14ac:dyDescent="0.25">
      <c r="A2988" s="22">
        <v>2026</v>
      </c>
      <c r="B2988" s="28" t="s">
        <v>192</v>
      </c>
      <c r="C2988" s="28" t="s">
        <v>97</v>
      </c>
      <c r="D2988" s="28" t="s">
        <v>1741</v>
      </c>
      <c r="E2988" s="29" t="s">
        <v>985</v>
      </c>
      <c r="F2988" s="29" t="s">
        <v>340</v>
      </c>
      <c r="G2988" s="25" t="s">
        <v>4728</v>
      </c>
      <c r="H2988" s="26">
        <v>-0.5876325</v>
      </c>
      <c r="I2988" s="26"/>
      <c r="J2988" s="26" t="s">
        <v>512</v>
      </c>
      <c r="K2988" s="25" t="s">
        <v>513</v>
      </c>
    </row>
    <row r="2989" spans="1:11" ht="25.5" x14ac:dyDescent="0.25">
      <c r="A2989" s="22">
        <v>2026</v>
      </c>
      <c r="B2989" s="28" t="s">
        <v>192</v>
      </c>
      <c r="C2989" s="28" t="s">
        <v>97</v>
      </c>
      <c r="D2989" s="28" t="s">
        <v>1742</v>
      </c>
      <c r="E2989" s="29" t="s">
        <v>1742</v>
      </c>
      <c r="F2989" s="29" t="s">
        <v>284</v>
      </c>
      <c r="G2989" s="25" t="s">
        <v>4729</v>
      </c>
      <c r="H2989" s="26">
        <v>-0.48499999999999993</v>
      </c>
      <c r="I2989" s="26"/>
      <c r="J2989" s="26" t="s">
        <v>1773</v>
      </c>
      <c r="K2989" s="25" t="s">
        <v>513</v>
      </c>
    </row>
    <row r="2990" spans="1:11" ht="25.5" x14ac:dyDescent="0.25">
      <c r="A2990" s="22">
        <v>2026</v>
      </c>
      <c r="B2990" s="28" t="s">
        <v>192</v>
      </c>
      <c r="C2990" s="28" t="s">
        <v>97</v>
      </c>
      <c r="D2990" s="28" t="s">
        <v>1742</v>
      </c>
      <c r="E2990" s="29" t="s">
        <v>1742</v>
      </c>
      <c r="F2990" s="29" t="s">
        <v>284</v>
      </c>
      <c r="G2990" s="25" t="s">
        <v>4730</v>
      </c>
      <c r="H2990" s="26">
        <v>-0.24440000000000001</v>
      </c>
      <c r="I2990" s="26"/>
      <c r="J2990" s="26" t="s">
        <v>1773</v>
      </c>
      <c r="K2990" s="25" t="s">
        <v>513</v>
      </c>
    </row>
    <row r="2991" spans="1:11" ht="25.5" x14ac:dyDescent="0.25">
      <c r="A2991" s="22">
        <v>2026</v>
      </c>
      <c r="B2991" s="28" t="s">
        <v>192</v>
      </c>
      <c r="C2991" s="28" t="s">
        <v>97</v>
      </c>
      <c r="D2991" s="28" t="s">
        <v>1742</v>
      </c>
      <c r="E2991" s="29" t="s">
        <v>1742</v>
      </c>
      <c r="F2991" s="29" t="s">
        <v>284</v>
      </c>
      <c r="G2991" s="25" t="s">
        <v>4731</v>
      </c>
      <c r="H2991" s="26">
        <v>-0.50031999999999999</v>
      </c>
      <c r="I2991" s="26"/>
      <c r="J2991" s="26" t="s">
        <v>1773</v>
      </c>
      <c r="K2991" s="25" t="s">
        <v>513</v>
      </c>
    </row>
    <row r="2992" spans="1:11" ht="25.5" x14ac:dyDescent="0.25">
      <c r="A2992" s="22">
        <v>2026</v>
      </c>
      <c r="B2992" s="28" t="s">
        <v>192</v>
      </c>
      <c r="C2992" s="28" t="s">
        <v>97</v>
      </c>
      <c r="D2992" s="28" t="s">
        <v>1742</v>
      </c>
      <c r="E2992" s="29" t="s">
        <v>1742</v>
      </c>
      <c r="F2992" s="29" t="s">
        <v>284</v>
      </c>
      <c r="G2992" s="25" t="s">
        <v>4732</v>
      </c>
      <c r="H2992" s="26">
        <v>-0.24454500000000001</v>
      </c>
      <c r="I2992" s="26"/>
      <c r="J2992" s="26" t="s">
        <v>1773</v>
      </c>
      <c r="K2992" s="25" t="s">
        <v>513</v>
      </c>
    </row>
    <row r="2993" spans="1:11" ht="25.5" x14ac:dyDescent="0.25">
      <c r="A2993" s="22">
        <v>2026</v>
      </c>
      <c r="B2993" s="28" t="s">
        <v>192</v>
      </c>
      <c r="C2993" s="28" t="s">
        <v>97</v>
      </c>
      <c r="D2993" s="28" t="s">
        <v>1743</v>
      </c>
      <c r="E2993" s="29" t="s">
        <v>331</v>
      </c>
      <c r="F2993" s="29" t="s">
        <v>494</v>
      </c>
      <c r="G2993" s="25" t="s">
        <v>4733</v>
      </c>
      <c r="H2993" s="26">
        <v>-0.67525500000000005</v>
      </c>
      <c r="I2993" s="26"/>
      <c r="J2993" s="26" t="s">
        <v>512</v>
      </c>
      <c r="K2993" s="25" t="s">
        <v>513</v>
      </c>
    </row>
    <row r="2994" spans="1:11" ht="25.5" x14ac:dyDescent="0.25">
      <c r="A2994" s="22">
        <v>2026</v>
      </c>
      <c r="B2994" s="28" t="s">
        <v>192</v>
      </c>
      <c r="C2994" s="28" t="s">
        <v>97</v>
      </c>
      <c r="D2994" s="28" t="s">
        <v>1743</v>
      </c>
      <c r="E2994" s="29" t="s">
        <v>331</v>
      </c>
      <c r="F2994" s="29" t="s">
        <v>494</v>
      </c>
      <c r="G2994" s="25" t="s">
        <v>4734</v>
      </c>
      <c r="H2994" s="26">
        <v>-0.69161249999999996</v>
      </c>
      <c r="I2994" s="26"/>
      <c r="J2994" s="26" t="s">
        <v>512</v>
      </c>
      <c r="K2994" s="25" t="s">
        <v>513</v>
      </c>
    </row>
    <row r="2995" spans="1:11" ht="25.5" x14ac:dyDescent="0.25">
      <c r="A2995" s="22">
        <v>2026</v>
      </c>
      <c r="B2995" s="28" t="s">
        <v>192</v>
      </c>
      <c r="C2995" s="28" t="s">
        <v>97</v>
      </c>
      <c r="D2995" s="28" t="s">
        <v>1743</v>
      </c>
      <c r="E2995" s="29" t="s">
        <v>331</v>
      </c>
      <c r="F2995" s="29" t="s">
        <v>494</v>
      </c>
      <c r="G2995" s="25" t="s">
        <v>4735</v>
      </c>
      <c r="H2995" s="26">
        <v>-0.28799428280000006</v>
      </c>
      <c r="I2995" s="26"/>
      <c r="J2995" s="26" t="s">
        <v>512</v>
      </c>
      <c r="K2995" s="25" t="s">
        <v>513</v>
      </c>
    </row>
    <row r="2996" spans="1:11" ht="25.5" x14ac:dyDescent="0.25">
      <c r="A2996" s="22">
        <v>2026</v>
      </c>
      <c r="B2996" s="28" t="s">
        <v>192</v>
      </c>
      <c r="C2996" s="28" t="s">
        <v>97</v>
      </c>
      <c r="D2996" s="28" t="s">
        <v>1743</v>
      </c>
      <c r="E2996" s="29" t="s">
        <v>331</v>
      </c>
      <c r="F2996" s="29" t="s">
        <v>494</v>
      </c>
      <c r="G2996" s="25" t="s">
        <v>4736</v>
      </c>
      <c r="H2996" s="26">
        <v>-0.68378249999999996</v>
      </c>
      <c r="I2996" s="26"/>
      <c r="J2996" s="26" t="s">
        <v>512</v>
      </c>
      <c r="K2996" s="25" t="s">
        <v>513</v>
      </c>
    </row>
    <row r="2997" spans="1:11" ht="25.5" x14ac:dyDescent="0.25">
      <c r="A2997" s="22">
        <v>2026</v>
      </c>
      <c r="B2997" s="28" t="s">
        <v>192</v>
      </c>
      <c r="C2997" s="28" t="s">
        <v>97</v>
      </c>
      <c r="D2997" s="28" t="s">
        <v>1743</v>
      </c>
      <c r="E2997" s="29" t="s">
        <v>331</v>
      </c>
      <c r="F2997" s="29" t="s">
        <v>494</v>
      </c>
      <c r="G2997" s="25" t="s">
        <v>4737</v>
      </c>
      <c r="H2997" s="26">
        <v>-0.78234872060000005</v>
      </c>
      <c r="I2997" s="26"/>
      <c r="J2997" s="26" t="s">
        <v>512</v>
      </c>
      <c r="K2997" s="25" t="s">
        <v>513</v>
      </c>
    </row>
    <row r="2998" spans="1:11" ht="25.5" x14ac:dyDescent="0.25">
      <c r="A2998" s="22">
        <v>2026</v>
      </c>
      <c r="B2998" s="28" t="s">
        <v>192</v>
      </c>
      <c r="C2998" s="28" t="s">
        <v>97</v>
      </c>
      <c r="D2998" s="28" t="s">
        <v>1743</v>
      </c>
      <c r="E2998" s="29" t="s">
        <v>331</v>
      </c>
      <c r="F2998" s="29" t="s">
        <v>494</v>
      </c>
      <c r="G2998" s="25" t="s">
        <v>4738</v>
      </c>
      <c r="H2998" s="26">
        <v>-0.67412249999999996</v>
      </c>
      <c r="I2998" s="26"/>
      <c r="J2998" s="26" t="s">
        <v>512</v>
      </c>
      <c r="K2998" s="25" t="s">
        <v>513</v>
      </c>
    </row>
    <row r="2999" spans="1:11" ht="25.5" x14ac:dyDescent="0.25">
      <c r="A2999" s="22">
        <v>2026</v>
      </c>
      <c r="B2999" s="28" t="s">
        <v>192</v>
      </c>
      <c r="C2999" s="28" t="s">
        <v>97</v>
      </c>
      <c r="D2999" s="28" t="s">
        <v>1743</v>
      </c>
      <c r="E2999" s="29" t="s">
        <v>331</v>
      </c>
      <c r="F2999" s="29" t="s">
        <v>494</v>
      </c>
      <c r="G2999" s="25" t="s">
        <v>4739</v>
      </c>
      <c r="H2999" s="26">
        <v>-0.67215000000000003</v>
      </c>
      <c r="I2999" s="26"/>
      <c r="J2999" s="26" t="s">
        <v>512</v>
      </c>
      <c r="K2999" s="25" t="s">
        <v>513</v>
      </c>
    </row>
    <row r="3000" spans="1:11" ht="25.5" x14ac:dyDescent="0.25">
      <c r="A3000" s="22">
        <v>2026</v>
      </c>
      <c r="B3000" s="28" t="s">
        <v>192</v>
      </c>
      <c r="C3000" s="28" t="s">
        <v>97</v>
      </c>
      <c r="D3000" s="28" t="s">
        <v>1743</v>
      </c>
      <c r="E3000" s="29" t="s">
        <v>331</v>
      </c>
      <c r="F3000" s="29" t="s">
        <v>494</v>
      </c>
      <c r="G3000" s="25" t="s">
        <v>4740</v>
      </c>
      <c r="H3000" s="26">
        <v>-0.46065765120000002</v>
      </c>
      <c r="I3000" s="26"/>
      <c r="J3000" s="26" t="s">
        <v>512</v>
      </c>
      <c r="K3000" s="25" t="s">
        <v>513</v>
      </c>
    </row>
    <row r="3001" spans="1:11" ht="25.5" x14ac:dyDescent="0.25">
      <c r="A3001" s="22">
        <v>2026</v>
      </c>
      <c r="B3001" s="28" t="s">
        <v>192</v>
      </c>
      <c r="C3001" s="28" t="s">
        <v>97</v>
      </c>
      <c r="D3001" s="28" t="s">
        <v>1743</v>
      </c>
      <c r="E3001" s="29" t="s">
        <v>331</v>
      </c>
      <c r="F3001" s="29" t="s">
        <v>494</v>
      </c>
      <c r="G3001" s="25" t="s">
        <v>4741</v>
      </c>
      <c r="H3001" s="26">
        <v>-0.86885000000000001</v>
      </c>
      <c r="I3001" s="26"/>
      <c r="J3001" s="26" t="s">
        <v>512</v>
      </c>
      <c r="K3001" s="25" t="s">
        <v>513</v>
      </c>
    </row>
    <row r="3002" spans="1:11" ht="25.5" x14ac:dyDescent="0.25">
      <c r="A3002" s="22">
        <v>2026</v>
      </c>
      <c r="B3002" s="28" t="s">
        <v>192</v>
      </c>
      <c r="C3002" s="28" t="s">
        <v>97</v>
      </c>
      <c r="D3002" s="28" t="s">
        <v>1743</v>
      </c>
      <c r="E3002" s="29" t="s">
        <v>331</v>
      </c>
      <c r="F3002" s="29" t="s">
        <v>494</v>
      </c>
      <c r="G3002" s="25" t="s">
        <v>4742</v>
      </c>
      <c r="H3002" s="26">
        <v>-0.64544999999999997</v>
      </c>
      <c r="I3002" s="26"/>
      <c r="J3002" s="26" t="s">
        <v>512</v>
      </c>
      <c r="K3002" s="25" t="s">
        <v>513</v>
      </c>
    </row>
    <row r="3003" spans="1:11" ht="25.5" x14ac:dyDescent="0.25">
      <c r="A3003" s="22">
        <v>2026</v>
      </c>
      <c r="B3003" s="28" t="s">
        <v>192</v>
      </c>
      <c r="C3003" s="28" t="s">
        <v>97</v>
      </c>
      <c r="D3003" s="28" t="s">
        <v>545</v>
      </c>
      <c r="E3003" s="29" t="s">
        <v>583</v>
      </c>
      <c r="F3003" s="29" t="s">
        <v>284</v>
      </c>
      <c r="G3003" s="25" t="s">
        <v>4743</v>
      </c>
      <c r="H3003" s="26">
        <v>-0.41843013580000005</v>
      </c>
      <c r="I3003" s="26"/>
      <c r="J3003" s="26" t="s">
        <v>512</v>
      </c>
      <c r="K3003" s="25" t="s">
        <v>513</v>
      </c>
    </row>
    <row r="3004" spans="1:11" ht="25.5" x14ac:dyDescent="0.25">
      <c r="A3004" s="22">
        <v>2026</v>
      </c>
      <c r="B3004" s="28" t="s">
        <v>192</v>
      </c>
      <c r="C3004" s="28" t="s">
        <v>97</v>
      </c>
      <c r="D3004" s="28" t="s">
        <v>545</v>
      </c>
      <c r="E3004" s="29" t="s">
        <v>583</v>
      </c>
      <c r="F3004" s="29" t="s">
        <v>284</v>
      </c>
      <c r="G3004" s="25" t="s">
        <v>4744</v>
      </c>
      <c r="H3004" s="26">
        <v>-0.52014899999999997</v>
      </c>
      <c r="I3004" s="26"/>
      <c r="J3004" s="26" t="s">
        <v>512</v>
      </c>
      <c r="K3004" s="25" t="s">
        <v>513</v>
      </c>
    </row>
    <row r="3005" spans="1:11" ht="25.5" x14ac:dyDescent="0.25">
      <c r="A3005" s="22">
        <v>2026</v>
      </c>
      <c r="B3005" s="28" t="s">
        <v>192</v>
      </c>
      <c r="C3005" s="28" t="s">
        <v>97</v>
      </c>
      <c r="D3005" s="28" t="s">
        <v>545</v>
      </c>
      <c r="E3005" s="29" t="s">
        <v>583</v>
      </c>
      <c r="F3005" s="29" t="s">
        <v>284</v>
      </c>
      <c r="G3005" s="25" t="s">
        <v>4745</v>
      </c>
      <c r="H3005" s="26">
        <v>-0.5154495</v>
      </c>
      <c r="I3005" s="26"/>
      <c r="J3005" s="26" t="s">
        <v>512</v>
      </c>
      <c r="K3005" s="25" t="s">
        <v>513</v>
      </c>
    </row>
    <row r="3006" spans="1:11" ht="25.5" x14ac:dyDescent="0.25">
      <c r="A3006" s="22">
        <v>2026</v>
      </c>
      <c r="B3006" s="28" t="s">
        <v>192</v>
      </c>
      <c r="C3006" s="28" t="s">
        <v>97</v>
      </c>
      <c r="D3006" s="28" t="s">
        <v>545</v>
      </c>
      <c r="E3006" s="29" t="s">
        <v>583</v>
      </c>
      <c r="F3006" s="29" t="s">
        <v>284</v>
      </c>
      <c r="G3006" s="25" t="s">
        <v>4746</v>
      </c>
      <c r="H3006" s="26">
        <v>-0.41014919999999999</v>
      </c>
      <c r="I3006" s="26"/>
      <c r="J3006" s="26" t="s">
        <v>512</v>
      </c>
      <c r="K3006" s="25" t="s">
        <v>513</v>
      </c>
    </row>
    <row r="3007" spans="1:11" ht="25.5" x14ac:dyDescent="0.25">
      <c r="A3007" s="22">
        <v>2026</v>
      </c>
      <c r="B3007" s="28" t="s">
        <v>192</v>
      </c>
      <c r="C3007" s="28" t="s">
        <v>97</v>
      </c>
      <c r="D3007" s="28" t="s">
        <v>545</v>
      </c>
      <c r="E3007" s="29" t="s">
        <v>583</v>
      </c>
      <c r="F3007" s="29" t="s">
        <v>284</v>
      </c>
      <c r="G3007" s="25" t="s">
        <v>4747</v>
      </c>
      <c r="H3007" s="26">
        <v>-0.51607199999999998</v>
      </c>
      <c r="I3007" s="26"/>
      <c r="J3007" s="26" t="s">
        <v>512</v>
      </c>
      <c r="K3007" s="25" t="s">
        <v>513</v>
      </c>
    </row>
    <row r="3008" spans="1:11" ht="25.5" x14ac:dyDescent="0.25">
      <c r="A3008" s="22">
        <v>2026</v>
      </c>
      <c r="B3008" s="28" t="s">
        <v>192</v>
      </c>
      <c r="C3008" s="28" t="s">
        <v>97</v>
      </c>
      <c r="D3008" s="28" t="s">
        <v>545</v>
      </c>
      <c r="E3008" s="29" t="s">
        <v>583</v>
      </c>
      <c r="F3008" s="29" t="s">
        <v>284</v>
      </c>
      <c r="G3008" s="25" t="s">
        <v>4748</v>
      </c>
      <c r="H3008" s="26">
        <v>-0.28231040000000002</v>
      </c>
      <c r="I3008" s="26"/>
      <c r="J3008" s="26" t="s">
        <v>512</v>
      </c>
      <c r="K3008" s="25" t="s">
        <v>513</v>
      </c>
    </row>
    <row r="3009" spans="1:11" ht="25.5" x14ac:dyDescent="0.25">
      <c r="A3009" s="22">
        <v>2026</v>
      </c>
      <c r="B3009" s="28" t="s">
        <v>192</v>
      </c>
      <c r="C3009" s="28" t="s">
        <v>97</v>
      </c>
      <c r="D3009" s="28" t="s">
        <v>545</v>
      </c>
      <c r="E3009" s="29" t="s">
        <v>583</v>
      </c>
      <c r="F3009" s="29" t="s">
        <v>284</v>
      </c>
      <c r="G3009" s="25" t="s">
        <v>4749</v>
      </c>
      <c r="H3009" s="26">
        <v>-0.1906727181</v>
      </c>
      <c r="I3009" s="26"/>
      <c r="J3009" s="26" t="s">
        <v>512</v>
      </c>
      <c r="K3009" s="25" t="s">
        <v>513</v>
      </c>
    </row>
    <row r="3010" spans="1:11" ht="25.5" x14ac:dyDescent="0.25">
      <c r="A3010" s="22">
        <v>2026</v>
      </c>
      <c r="B3010" s="28" t="s">
        <v>192</v>
      </c>
      <c r="C3010" s="28" t="s">
        <v>97</v>
      </c>
      <c r="D3010" s="28" t="s">
        <v>545</v>
      </c>
      <c r="E3010" s="29" t="s">
        <v>583</v>
      </c>
      <c r="F3010" s="29" t="s">
        <v>284</v>
      </c>
      <c r="G3010" s="25" t="s">
        <v>4750</v>
      </c>
      <c r="H3010" s="26">
        <v>-0.53224950000000004</v>
      </c>
      <c r="I3010" s="26"/>
      <c r="J3010" s="26" t="s">
        <v>512</v>
      </c>
      <c r="K3010" s="25" t="s">
        <v>513</v>
      </c>
    </row>
    <row r="3011" spans="1:11" ht="25.5" x14ac:dyDescent="0.25">
      <c r="A3011" s="22">
        <v>2026</v>
      </c>
      <c r="B3011" s="28" t="s">
        <v>192</v>
      </c>
      <c r="C3011" s="28" t="s">
        <v>97</v>
      </c>
      <c r="D3011" s="28" t="s">
        <v>545</v>
      </c>
      <c r="E3011" s="29" t="s">
        <v>583</v>
      </c>
      <c r="F3011" s="29" t="s">
        <v>284</v>
      </c>
      <c r="G3011" s="25" t="s">
        <v>4751</v>
      </c>
      <c r="H3011" s="26">
        <v>-0.53039999999999998</v>
      </c>
      <c r="I3011" s="26"/>
      <c r="J3011" s="26" t="s">
        <v>512</v>
      </c>
      <c r="K3011" s="25" t="s">
        <v>513</v>
      </c>
    </row>
    <row r="3012" spans="1:11" ht="25.5" x14ac:dyDescent="0.25">
      <c r="A3012" s="22">
        <v>2026</v>
      </c>
      <c r="B3012" s="28" t="s">
        <v>192</v>
      </c>
      <c r="C3012" s="28" t="s">
        <v>97</v>
      </c>
      <c r="D3012" s="28" t="s">
        <v>545</v>
      </c>
      <c r="E3012" s="29" t="s">
        <v>583</v>
      </c>
      <c r="F3012" s="29" t="s">
        <v>284</v>
      </c>
      <c r="G3012" s="25" t="s">
        <v>4752</v>
      </c>
      <c r="H3012" s="26">
        <v>-0.53245500000000001</v>
      </c>
      <c r="I3012" s="26"/>
      <c r="J3012" s="26" t="s">
        <v>512</v>
      </c>
      <c r="K3012" s="25" t="s">
        <v>513</v>
      </c>
    </row>
    <row r="3013" spans="1:11" ht="25.5" x14ac:dyDescent="0.25">
      <c r="A3013" s="22">
        <v>2026</v>
      </c>
      <c r="B3013" s="28" t="s">
        <v>192</v>
      </c>
      <c r="C3013" s="28" t="s">
        <v>97</v>
      </c>
      <c r="D3013" s="28" t="s">
        <v>545</v>
      </c>
      <c r="E3013" s="29" t="s">
        <v>583</v>
      </c>
      <c r="F3013" s="29" t="s">
        <v>284</v>
      </c>
      <c r="G3013" s="25" t="s">
        <v>4753</v>
      </c>
      <c r="H3013" s="26">
        <v>-0.53447250000000002</v>
      </c>
      <c r="I3013" s="26"/>
      <c r="J3013" s="26" t="s">
        <v>512</v>
      </c>
      <c r="K3013" s="25" t="s">
        <v>513</v>
      </c>
    </row>
    <row r="3014" spans="1:11" ht="25.5" x14ac:dyDescent="0.25">
      <c r="A3014" s="22">
        <v>2026</v>
      </c>
      <c r="B3014" s="28" t="s">
        <v>192</v>
      </c>
      <c r="C3014" s="28" t="s">
        <v>97</v>
      </c>
      <c r="D3014" s="28" t="s">
        <v>545</v>
      </c>
      <c r="E3014" s="29" t="s">
        <v>583</v>
      </c>
      <c r="F3014" s="29" t="s">
        <v>284</v>
      </c>
      <c r="G3014" s="25" t="s">
        <v>4754</v>
      </c>
      <c r="H3014" s="26">
        <v>-0.4449825</v>
      </c>
      <c r="I3014" s="26"/>
      <c r="J3014" s="26" t="s">
        <v>512</v>
      </c>
      <c r="K3014" s="25" t="s">
        <v>513</v>
      </c>
    </row>
    <row r="3015" spans="1:11" ht="25.5" x14ac:dyDescent="0.25">
      <c r="A3015" s="22">
        <v>2026</v>
      </c>
      <c r="B3015" s="28" t="s">
        <v>192</v>
      </c>
      <c r="C3015" s="28" t="s">
        <v>97</v>
      </c>
      <c r="D3015" s="28" t="s">
        <v>545</v>
      </c>
      <c r="E3015" s="29" t="s">
        <v>583</v>
      </c>
      <c r="F3015" s="29" t="s">
        <v>284</v>
      </c>
      <c r="G3015" s="25" t="s">
        <v>4755</v>
      </c>
      <c r="H3015" s="26">
        <v>-0.53025449999999996</v>
      </c>
      <c r="I3015" s="26"/>
      <c r="J3015" s="26" t="s">
        <v>512</v>
      </c>
      <c r="K3015" s="25" t="s">
        <v>513</v>
      </c>
    </row>
    <row r="3016" spans="1:11" ht="25.5" x14ac:dyDescent="0.25">
      <c r="A3016" s="22">
        <v>2026</v>
      </c>
      <c r="B3016" s="28" t="s">
        <v>192</v>
      </c>
      <c r="C3016" s="28" t="s">
        <v>97</v>
      </c>
      <c r="D3016" s="28" t="s">
        <v>545</v>
      </c>
      <c r="E3016" s="29" t="s">
        <v>583</v>
      </c>
      <c r="F3016" s="29" t="s">
        <v>284</v>
      </c>
      <c r="G3016" s="25" t="s">
        <v>4756</v>
      </c>
      <c r="H3016" s="26">
        <v>-0.41172644999999997</v>
      </c>
      <c r="I3016" s="26"/>
      <c r="J3016" s="26" t="s">
        <v>512</v>
      </c>
      <c r="K3016" s="25" t="s">
        <v>513</v>
      </c>
    </row>
    <row r="3017" spans="1:11" ht="25.5" x14ac:dyDescent="0.25">
      <c r="A3017" s="22">
        <v>2026</v>
      </c>
      <c r="B3017" s="28" t="s">
        <v>192</v>
      </c>
      <c r="C3017" s="28" t="s">
        <v>97</v>
      </c>
      <c r="D3017" s="28" t="s">
        <v>545</v>
      </c>
      <c r="E3017" s="29" t="s">
        <v>583</v>
      </c>
      <c r="F3017" s="29" t="s">
        <v>284</v>
      </c>
      <c r="G3017" s="25" t="s">
        <v>4757</v>
      </c>
      <c r="H3017" s="26">
        <v>-0.27038325000000002</v>
      </c>
      <c r="I3017" s="26"/>
      <c r="J3017" s="26" t="s">
        <v>512</v>
      </c>
      <c r="K3017" s="25" t="s">
        <v>513</v>
      </c>
    </row>
    <row r="3018" spans="1:11" ht="25.5" x14ac:dyDescent="0.25">
      <c r="A3018" s="22">
        <v>2026</v>
      </c>
      <c r="B3018" s="28" t="s">
        <v>192</v>
      </c>
      <c r="C3018" s="28" t="s">
        <v>97</v>
      </c>
      <c r="D3018" s="28" t="s">
        <v>545</v>
      </c>
      <c r="E3018" s="29" t="s">
        <v>583</v>
      </c>
      <c r="F3018" s="29" t="s">
        <v>284</v>
      </c>
      <c r="G3018" s="25" t="s">
        <v>4758</v>
      </c>
      <c r="H3018" s="26">
        <v>-0.71379199999999998</v>
      </c>
      <c r="I3018" s="26"/>
      <c r="J3018" s="26" t="s">
        <v>512</v>
      </c>
      <c r="K3018" s="25" t="s">
        <v>513</v>
      </c>
    </row>
    <row r="3019" spans="1:11" ht="25.5" x14ac:dyDescent="0.25">
      <c r="A3019" s="22">
        <v>2026</v>
      </c>
      <c r="B3019" s="28" t="s">
        <v>192</v>
      </c>
      <c r="C3019" s="28" t="s">
        <v>97</v>
      </c>
      <c r="D3019" s="28" t="s">
        <v>545</v>
      </c>
      <c r="E3019" s="29" t="s">
        <v>583</v>
      </c>
      <c r="F3019" s="29" t="s">
        <v>284</v>
      </c>
      <c r="G3019" s="25" t="s">
        <v>4759</v>
      </c>
      <c r="H3019" s="26">
        <v>-0.63297150000000002</v>
      </c>
      <c r="I3019" s="26"/>
      <c r="J3019" s="26" t="s">
        <v>512</v>
      </c>
      <c r="K3019" s="25" t="s">
        <v>513</v>
      </c>
    </row>
    <row r="3020" spans="1:11" ht="25.5" x14ac:dyDescent="0.25">
      <c r="A3020" s="22">
        <v>2026</v>
      </c>
      <c r="B3020" s="28" t="s">
        <v>192</v>
      </c>
      <c r="C3020" s="28" t="s">
        <v>97</v>
      </c>
      <c r="D3020" s="28" t="s">
        <v>545</v>
      </c>
      <c r="E3020" s="29" t="s">
        <v>583</v>
      </c>
      <c r="F3020" s="29" t="s">
        <v>284</v>
      </c>
      <c r="G3020" s="25" t="s">
        <v>4760</v>
      </c>
      <c r="H3020" s="26">
        <v>-0.54317850000000001</v>
      </c>
      <c r="I3020" s="26"/>
      <c r="J3020" s="26" t="s">
        <v>512</v>
      </c>
      <c r="K3020" s="25" t="s">
        <v>513</v>
      </c>
    </row>
    <row r="3021" spans="1:11" ht="25.5" x14ac:dyDescent="0.25">
      <c r="A3021" s="22">
        <v>2026</v>
      </c>
      <c r="B3021" s="28" t="s">
        <v>192</v>
      </c>
      <c r="C3021" s="28" t="s">
        <v>97</v>
      </c>
      <c r="D3021" s="28" t="s">
        <v>545</v>
      </c>
      <c r="E3021" s="29" t="s">
        <v>583</v>
      </c>
      <c r="F3021" s="29" t="s">
        <v>284</v>
      </c>
      <c r="G3021" s="25" t="s">
        <v>4761</v>
      </c>
      <c r="H3021" s="26">
        <v>-0.53816249999999999</v>
      </c>
      <c r="I3021" s="26"/>
      <c r="J3021" s="26" t="s">
        <v>512</v>
      </c>
      <c r="K3021" s="25" t="s">
        <v>513</v>
      </c>
    </row>
    <row r="3022" spans="1:11" ht="25.5" x14ac:dyDescent="0.25">
      <c r="A3022" s="22">
        <v>2026</v>
      </c>
      <c r="B3022" s="28" t="s">
        <v>192</v>
      </c>
      <c r="C3022" s="28" t="s">
        <v>97</v>
      </c>
      <c r="D3022" s="28" t="s">
        <v>545</v>
      </c>
      <c r="E3022" s="29" t="s">
        <v>583</v>
      </c>
      <c r="F3022" s="29" t="s">
        <v>284</v>
      </c>
      <c r="G3022" s="25" t="s">
        <v>4762</v>
      </c>
      <c r="H3022" s="26">
        <v>-0.5354565</v>
      </c>
      <c r="I3022" s="26"/>
      <c r="J3022" s="26" t="s">
        <v>512</v>
      </c>
      <c r="K3022" s="25" t="s">
        <v>513</v>
      </c>
    </row>
    <row r="3023" spans="1:11" ht="25.5" x14ac:dyDescent="0.25">
      <c r="A3023" s="22">
        <v>2026</v>
      </c>
      <c r="B3023" s="28" t="s">
        <v>192</v>
      </c>
      <c r="C3023" s="28" t="s">
        <v>97</v>
      </c>
      <c r="D3023" s="28" t="s">
        <v>545</v>
      </c>
      <c r="E3023" s="29" t="s">
        <v>583</v>
      </c>
      <c r="F3023" s="29" t="s">
        <v>284</v>
      </c>
      <c r="G3023" s="25" t="s">
        <v>4763</v>
      </c>
      <c r="H3023" s="26">
        <v>-0.54090150000000004</v>
      </c>
      <c r="I3023" s="26"/>
      <c r="J3023" s="26" t="s">
        <v>512</v>
      </c>
      <c r="K3023" s="25" t="s">
        <v>513</v>
      </c>
    </row>
    <row r="3024" spans="1:11" ht="25.5" x14ac:dyDescent="0.25">
      <c r="A3024" s="22">
        <v>2026</v>
      </c>
      <c r="B3024" s="28" t="s">
        <v>192</v>
      </c>
      <c r="C3024" s="28" t="s">
        <v>97</v>
      </c>
      <c r="D3024" s="28" t="s">
        <v>1744</v>
      </c>
      <c r="E3024" s="29" t="s">
        <v>1776</v>
      </c>
      <c r="F3024" s="29" t="s">
        <v>284</v>
      </c>
      <c r="G3024" s="25" t="s">
        <v>4764</v>
      </c>
      <c r="H3024" s="26">
        <v>-0.3900705052878965</v>
      </c>
      <c r="I3024" s="26"/>
      <c r="J3024" s="26" t="s">
        <v>514</v>
      </c>
      <c r="K3024" s="25" t="s">
        <v>513</v>
      </c>
    </row>
    <row r="3025" spans="1:11" ht="25.5" x14ac:dyDescent="0.25">
      <c r="A3025" s="22">
        <v>2026</v>
      </c>
      <c r="B3025" s="28" t="s">
        <v>192</v>
      </c>
      <c r="C3025" s="28" t="s">
        <v>97</v>
      </c>
      <c r="D3025" s="28" t="s">
        <v>1744</v>
      </c>
      <c r="E3025" s="29" t="s">
        <v>1776</v>
      </c>
      <c r="F3025" s="29" t="s">
        <v>284</v>
      </c>
      <c r="G3025" s="25" t="s">
        <v>4765</v>
      </c>
      <c r="H3025" s="26">
        <v>-0.50125502708523462</v>
      </c>
      <c r="I3025" s="26"/>
      <c r="J3025" s="26" t="s">
        <v>514</v>
      </c>
      <c r="K3025" s="25" t="s">
        <v>513</v>
      </c>
    </row>
    <row r="3026" spans="1:11" ht="25.5" x14ac:dyDescent="0.25">
      <c r="A3026" s="22">
        <v>2026</v>
      </c>
      <c r="B3026" s="28" t="s">
        <v>192</v>
      </c>
      <c r="C3026" s="28" t="s">
        <v>97</v>
      </c>
      <c r="D3026" s="28" t="s">
        <v>1745</v>
      </c>
      <c r="E3026" s="29" t="s">
        <v>1777</v>
      </c>
      <c r="F3026" s="29" t="s">
        <v>284</v>
      </c>
      <c r="G3026" s="25" t="s">
        <v>4766</v>
      </c>
      <c r="H3026" s="26">
        <v>-0.29499999999999998</v>
      </c>
      <c r="I3026" s="26"/>
      <c r="J3026" s="26" t="s">
        <v>512</v>
      </c>
      <c r="K3026" s="25" t="s">
        <v>513</v>
      </c>
    </row>
    <row r="3027" spans="1:11" ht="25.5" x14ac:dyDescent="0.25">
      <c r="A3027" s="22">
        <v>2026</v>
      </c>
      <c r="B3027" s="28" t="s">
        <v>192</v>
      </c>
      <c r="C3027" s="28" t="s">
        <v>97</v>
      </c>
      <c r="D3027" s="28" t="s">
        <v>1745</v>
      </c>
      <c r="E3027" s="29" t="s">
        <v>1777</v>
      </c>
      <c r="F3027" s="29" t="s">
        <v>284</v>
      </c>
      <c r="G3027" s="25" t="s">
        <v>4767</v>
      </c>
      <c r="H3027" s="26">
        <v>-0.28824250000000001</v>
      </c>
      <c r="I3027" s="26"/>
      <c r="J3027" s="26" t="s">
        <v>512</v>
      </c>
      <c r="K3027" s="25" t="s">
        <v>513</v>
      </c>
    </row>
    <row r="3028" spans="1:11" ht="25.5" x14ac:dyDescent="0.25">
      <c r="A3028" s="22">
        <v>2026</v>
      </c>
      <c r="B3028" s="28" t="s">
        <v>192</v>
      </c>
      <c r="C3028" s="28" t="s">
        <v>97</v>
      </c>
      <c r="D3028" s="28" t="s">
        <v>1745</v>
      </c>
      <c r="E3028" s="29" t="s">
        <v>1777</v>
      </c>
      <c r="F3028" s="29" t="s">
        <v>284</v>
      </c>
      <c r="G3028" s="25" t="s">
        <v>4768</v>
      </c>
      <c r="H3028" s="26">
        <v>-0.11554980000000001</v>
      </c>
      <c r="I3028" s="26"/>
      <c r="J3028" s="26" t="s">
        <v>512</v>
      </c>
      <c r="K3028" s="25" t="s">
        <v>513</v>
      </c>
    </row>
    <row r="3029" spans="1:11" ht="25.5" x14ac:dyDescent="0.25">
      <c r="A3029" s="22">
        <v>2026</v>
      </c>
      <c r="B3029" s="28" t="s">
        <v>192</v>
      </c>
      <c r="C3029" s="28" t="s">
        <v>97</v>
      </c>
      <c r="D3029" s="28" t="s">
        <v>1745</v>
      </c>
      <c r="E3029" s="29" t="s">
        <v>1777</v>
      </c>
      <c r="F3029" s="29" t="s">
        <v>284</v>
      </c>
      <c r="G3029" s="25" t="s">
        <v>4769</v>
      </c>
      <c r="H3029" s="26">
        <v>-0.28744049999999999</v>
      </c>
      <c r="I3029" s="26"/>
      <c r="J3029" s="26" t="s">
        <v>512</v>
      </c>
      <c r="K3029" s="25" t="s">
        <v>513</v>
      </c>
    </row>
    <row r="3030" spans="1:11" ht="25.5" x14ac:dyDescent="0.25">
      <c r="A3030" s="22">
        <v>2026</v>
      </c>
      <c r="B3030" s="28" t="s">
        <v>192</v>
      </c>
      <c r="C3030" s="28" t="s">
        <v>97</v>
      </c>
      <c r="D3030" s="28" t="s">
        <v>1745</v>
      </c>
      <c r="E3030" s="29" t="s">
        <v>1777</v>
      </c>
      <c r="F3030" s="29" t="s">
        <v>284</v>
      </c>
      <c r="G3030" s="25" t="s">
        <v>4770</v>
      </c>
      <c r="H3030" s="26">
        <v>-0.33733979999999997</v>
      </c>
      <c r="I3030" s="26"/>
      <c r="J3030" s="26" t="s">
        <v>512</v>
      </c>
      <c r="K3030" s="25" t="s">
        <v>513</v>
      </c>
    </row>
    <row r="3031" spans="1:11" ht="25.5" x14ac:dyDescent="0.25">
      <c r="A3031" s="22">
        <v>2026</v>
      </c>
      <c r="B3031" s="28" t="s">
        <v>192</v>
      </c>
      <c r="C3031" s="28" t="s">
        <v>97</v>
      </c>
      <c r="D3031" s="28" t="s">
        <v>1745</v>
      </c>
      <c r="E3031" s="29" t="s">
        <v>1777</v>
      </c>
      <c r="F3031" s="29" t="s">
        <v>284</v>
      </c>
      <c r="G3031" s="25" t="s">
        <v>4771</v>
      </c>
      <c r="H3031" s="26">
        <v>-0.28841800000000001</v>
      </c>
      <c r="I3031" s="26"/>
      <c r="J3031" s="26" t="s">
        <v>512</v>
      </c>
      <c r="K3031" s="25" t="s">
        <v>513</v>
      </c>
    </row>
    <row r="3032" spans="1:11" ht="25.5" x14ac:dyDescent="0.25">
      <c r="A3032" s="22">
        <v>2026</v>
      </c>
      <c r="B3032" s="28" t="s">
        <v>192</v>
      </c>
      <c r="C3032" s="28" t="s">
        <v>97</v>
      </c>
      <c r="D3032" s="28" t="s">
        <v>1745</v>
      </c>
      <c r="E3032" s="29" t="s">
        <v>1777</v>
      </c>
      <c r="F3032" s="29" t="s">
        <v>284</v>
      </c>
      <c r="G3032" s="25" t="s">
        <v>4772</v>
      </c>
      <c r="H3032" s="26">
        <v>-0.2874855</v>
      </c>
      <c r="I3032" s="26"/>
      <c r="J3032" s="26" t="s">
        <v>512</v>
      </c>
      <c r="K3032" s="25" t="s">
        <v>513</v>
      </c>
    </row>
    <row r="3033" spans="1:11" ht="25.5" x14ac:dyDescent="0.25">
      <c r="A3033" s="22">
        <v>2026</v>
      </c>
      <c r="B3033" s="28" t="s">
        <v>192</v>
      </c>
      <c r="C3033" s="28" t="s">
        <v>97</v>
      </c>
      <c r="D3033" s="28" t="s">
        <v>1745</v>
      </c>
      <c r="E3033" s="29" t="s">
        <v>1777</v>
      </c>
      <c r="F3033" s="29" t="s">
        <v>284</v>
      </c>
      <c r="G3033" s="25" t="s">
        <v>4773</v>
      </c>
      <c r="H3033" s="26">
        <v>-0.28873399999999999</v>
      </c>
      <c r="I3033" s="26"/>
      <c r="J3033" s="26" t="s">
        <v>512</v>
      </c>
      <c r="K3033" s="25" t="s">
        <v>513</v>
      </c>
    </row>
    <row r="3034" spans="1:11" ht="25.5" x14ac:dyDescent="0.25">
      <c r="A3034" s="22">
        <v>2026</v>
      </c>
      <c r="B3034" s="28" t="s">
        <v>192</v>
      </c>
      <c r="C3034" s="28" t="s">
        <v>97</v>
      </c>
      <c r="D3034" s="28" t="s">
        <v>1745</v>
      </c>
      <c r="E3034" s="29" t="s">
        <v>1777</v>
      </c>
      <c r="F3034" s="29" t="s">
        <v>284</v>
      </c>
      <c r="G3034" s="25" t="s">
        <v>4774</v>
      </c>
      <c r="H3034" s="26">
        <v>-0.27130367999999999</v>
      </c>
      <c r="I3034" s="26"/>
      <c r="J3034" s="26" t="s">
        <v>512</v>
      </c>
      <c r="K3034" s="25" t="s">
        <v>513</v>
      </c>
    </row>
    <row r="3035" spans="1:11" ht="25.5" x14ac:dyDescent="0.25">
      <c r="A3035" s="22">
        <v>2026</v>
      </c>
      <c r="B3035" s="28" t="s">
        <v>192</v>
      </c>
      <c r="C3035" s="28" t="s">
        <v>97</v>
      </c>
      <c r="D3035" s="28" t="s">
        <v>1745</v>
      </c>
      <c r="E3035" s="29" t="s">
        <v>1777</v>
      </c>
      <c r="F3035" s="29" t="s">
        <v>284</v>
      </c>
      <c r="G3035" s="25" t="s">
        <v>4775</v>
      </c>
      <c r="H3035" s="26">
        <v>-0.20573495999999999</v>
      </c>
      <c r="I3035" s="26"/>
      <c r="J3035" s="26" t="s">
        <v>512</v>
      </c>
      <c r="K3035" s="25" t="s">
        <v>513</v>
      </c>
    </row>
    <row r="3036" spans="1:11" ht="25.5" x14ac:dyDescent="0.25">
      <c r="A3036" s="22">
        <v>2026</v>
      </c>
      <c r="B3036" s="28" t="s">
        <v>192</v>
      </c>
      <c r="C3036" s="28" t="s">
        <v>97</v>
      </c>
      <c r="D3036" s="28" t="s">
        <v>1745</v>
      </c>
      <c r="E3036" s="29" t="s">
        <v>1777</v>
      </c>
      <c r="F3036" s="29" t="s">
        <v>284</v>
      </c>
      <c r="G3036" s="25" t="s">
        <v>4776</v>
      </c>
      <c r="H3036" s="26">
        <v>-0.11452920000000001</v>
      </c>
      <c r="I3036" s="26"/>
      <c r="J3036" s="26" t="s">
        <v>512</v>
      </c>
      <c r="K3036" s="25" t="s">
        <v>513</v>
      </c>
    </row>
    <row r="3037" spans="1:11" ht="25.5" x14ac:dyDescent="0.25">
      <c r="A3037" s="22">
        <v>2026</v>
      </c>
      <c r="B3037" s="28" t="s">
        <v>192</v>
      </c>
      <c r="C3037" s="28" t="s">
        <v>97</v>
      </c>
      <c r="D3037" s="28" t="s">
        <v>1745</v>
      </c>
      <c r="E3037" s="29" t="s">
        <v>1777</v>
      </c>
      <c r="F3037" s="29" t="s">
        <v>284</v>
      </c>
      <c r="G3037" s="25" t="s">
        <v>4777</v>
      </c>
      <c r="H3037" s="26">
        <v>-0.113985</v>
      </c>
      <c r="I3037" s="26"/>
      <c r="J3037" s="26" t="s">
        <v>512</v>
      </c>
      <c r="K3037" s="25" t="s">
        <v>513</v>
      </c>
    </row>
    <row r="3038" spans="1:11" ht="25.5" x14ac:dyDescent="0.25">
      <c r="A3038" s="22">
        <v>2026</v>
      </c>
      <c r="B3038" s="28" t="s">
        <v>192</v>
      </c>
      <c r="C3038" s="28" t="s">
        <v>97</v>
      </c>
      <c r="D3038" s="28" t="s">
        <v>1746</v>
      </c>
      <c r="E3038" s="29" t="s">
        <v>1778</v>
      </c>
      <c r="F3038" s="29" t="s">
        <v>1274</v>
      </c>
      <c r="G3038" s="25" t="s">
        <v>4778</v>
      </c>
      <c r="H3038" s="26">
        <v>-1.0250896052</v>
      </c>
      <c r="I3038" s="26"/>
      <c r="J3038" s="26" t="s">
        <v>514</v>
      </c>
      <c r="K3038" s="25" t="s">
        <v>513</v>
      </c>
    </row>
    <row r="3039" spans="1:11" ht="25.5" x14ac:dyDescent="0.25">
      <c r="A3039" s="22">
        <v>2026</v>
      </c>
      <c r="B3039" s="28" t="s">
        <v>192</v>
      </c>
      <c r="C3039" s="28" t="s">
        <v>97</v>
      </c>
      <c r="D3039" s="28" t="s">
        <v>1746</v>
      </c>
      <c r="E3039" s="29" t="s">
        <v>1778</v>
      </c>
      <c r="F3039" s="29" t="s">
        <v>1274</v>
      </c>
      <c r="G3039" s="25" t="s">
        <v>4779</v>
      </c>
      <c r="H3039" s="26">
        <v>-1.0148984901</v>
      </c>
      <c r="I3039" s="26"/>
      <c r="J3039" s="26" t="s">
        <v>514</v>
      </c>
      <c r="K3039" s="25" t="s">
        <v>513</v>
      </c>
    </row>
    <row r="3040" spans="1:11" ht="25.5" x14ac:dyDescent="0.25">
      <c r="A3040" s="22">
        <v>2026</v>
      </c>
      <c r="B3040" s="28" t="s">
        <v>192</v>
      </c>
      <c r="C3040" s="28" t="s">
        <v>97</v>
      </c>
      <c r="D3040" s="28" t="s">
        <v>1746</v>
      </c>
      <c r="E3040" s="29" t="s">
        <v>1778</v>
      </c>
      <c r="F3040" s="29" t="s">
        <v>1274</v>
      </c>
      <c r="G3040" s="25" t="s">
        <v>4780</v>
      </c>
      <c r="H3040" s="26">
        <v>-1.0649631626000002</v>
      </c>
      <c r="I3040" s="26"/>
      <c r="J3040" s="26" t="s">
        <v>514</v>
      </c>
      <c r="K3040" s="25" t="s">
        <v>513</v>
      </c>
    </row>
    <row r="3041" spans="1:11" ht="25.5" x14ac:dyDescent="0.25">
      <c r="A3041" s="22">
        <v>2026</v>
      </c>
      <c r="B3041" s="28" t="s">
        <v>192</v>
      </c>
      <c r="C3041" s="28" t="s">
        <v>97</v>
      </c>
      <c r="D3041" s="28" t="s">
        <v>1746</v>
      </c>
      <c r="E3041" s="29" t="s">
        <v>1778</v>
      </c>
      <c r="F3041" s="29" t="s">
        <v>1274</v>
      </c>
      <c r="G3041" s="25" t="s">
        <v>4781</v>
      </c>
      <c r="H3041" s="26">
        <v>-1.0726362234</v>
      </c>
      <c r="I3041" s="26"/>
      <c r="J3041" s="26" t="s">
        <v>514</v>
      </c>
      <c r="K3041" s="25" t="s">
        <v>513</v>
      </c>
    </row>
    <row r="3042" spans="1:11" ht="25.5" x14ac:dyDescent="0.25">
      <c r="A3042" s="22">
        <v>2026</v>
      </c>
      <c r="B3042" s="28" t="s">
        <v>192</v>
      </c>
      <c r="C3042" s="28" t="s">
        <v>97</v>
      </c>
      <c r="D3042" s="28" t="s">
        <v>1746</v>
      </c>
      <c r="E3042" s="29" t="s">
        <v>1778</v>
      </c>
      <c r="F3042" s="29" t="s">
        <v>1274</v>
      </c>
      <c r="G3042" s="25" t="s">
        <v>4782</v>
      </c>
      <c r="H3042" s="26">
        <v>-1.01129168</v>
      </c>
      <c r="I3042" s="26"/>
      <c r="J3042" s="26" t="s">
        <v>514</v>
      </c>
      <c r="K3042" s="25" t="s">
        <v>513</v>
      </c>
    </row>
    <row r="3043" spans="1:11" ht="25.5" x14ac:dyDescent="0.25">
      <c r="A3043" s="22">
        <v>2026</v>
      </c>
      <c r="B3043" s="28" t="s">
        <v>192</v>
      </c>
      <c r="C3043" s="28" t="s">
        <v>97</v>
      </c>
      <c r="D3043" s="28" t="s">
        <v>1746</v>
      </c>
      <c r="E3043" s="29" t="s">
        <v>1778</v>
      </c>
      <c r="F3043" s="29" t="s">
        <v>1274</v>
      </c>
      <c r="G3043" s="25" t="s">
        <v>4783</v>
      </c>
      <c r="H3043" s="26">
        <v>-1.0241987943999999</v>
      </c>
      <c r="I3043" s="26"/>
      <c r="J3043" s="26" t="s">
        <v>514</v>
      </c>
      <c r="K3043" s="25" t="s">
        <v>513</v>
      </c>
    </row>
    <row r="3044" spans="1:11" ht="25.5" x14ac:dyDescent="0.25">
      <c r="A3044" s="22">
        <v>2026</v>
      </c>
      <c r="B3044" s="28" t="s">
        <v>192</v>
      </c>
      <c r="C3044" s="28" t="s">
        <v>97</v>
      </c>
      <c r="D3044" s="28" t="s">
        <v>1746</v>
      </c>
      <c r="E3044" s="29" t="s">
        <v>1778</v>
      </c>
      <c r="F3044" s="29" t="s">
        <v>1274</v>
      </c>
      <c r="G3044" s="25" t="s">
        <v>4784</v>
      </c>
      <c r="H3044" s="26">
        <v>-1.107759451</v>
      </c>
      <c r="I3044" s="26"/>
      <c r="J3044" s="26" t="s">
        <v>514</v>
      </c>
      <c r="K3044" s="25" t="s">
        <v>513</v>
      </c>
    </row>
    <row r="3045" spans="1:11" ht="25.5" x14ac:dyDescent="0.25">
      <c r="A3045" s="22">
        <v>2026</v>
      </c>
      <c r="B3045" s="28" t="s">
        <v>192</v>
      </c>
      <c r="C3045" s="28" t="s">
        <v>97</v>
      </c>
      <c r="D3045" s="28" t="s">
        <v>1746</v>
      </c>
      <c r="E3045" s="29" t="s">
        <v>1778</v>
      </c>
      <c r="F3045" s="29" t="s">
        <v>1274</v>
      </c>
      <c r="G3045" s="25" t="s">
        <v>4785</v>
      </c>
      <c r="H3045" s="26">
        <v>-1.1712502884</v>
      </c>
      <c r="I3045" s="26"/>
      <c r="J3045" s="26" t="s">
        <v>514</v>
      </c>
      <c r="K3045" s="25" t="s">
        <v>513</v>
      </c>
    </row>
    <row r="3046" spans="1:11" ht="25.5" x14ac:dyDescent="0.25">
      <c r="A3046" s="22">
        <v>2026</v>
      </c>
      <c r="B3046" s="28" t="s">
        <v>192</v>
      </c>
      <c r="C3046" s="28" t="s">
        <v>97</v>
      </c>
      <c r="D3046" s="28" t="s">
        <v>1746</v>
      </c>
      <c r="E3046" s="29" t="s">
        <v>1778</v>
      </c>
      <c r="F3046" s="29" t="s">
        <v>1274</v>
      </c>
      <c r="G3046" s="25" t="s">
        <v>4786</v>
      </c>
      <c r="H3046" s="26">
        <v>-1.1502735108</v>
      </c>
      <c r="I3046" s="26"/>
      <c r="J3046" s="26" t="s">
        <v>514</v>
      </c>
      <c r="K3046" s="25" t="s">
        <v>513</v>
      </c>
    </row>
    <row r="3047" spans="1:11" ht="25.5" x14ac:dyDescent="0.25">
      <c r="A3047" s="22">
        <v>2026</v>
      </c>
      <c r="B3047" s="28" t="s">
        <v>192</v>
      </c>
      <c r="C3047" s="28" t="s">
        <v>97</v>
      </c>
      <c r="D3047" s="28" t="s">
        <v>1746</v>
      </c>
      <c r="E3047" s="29" t="s">
        <v>1778</v>
      </c>
      <c r="F3047" s="29" t="s">
        <v>1274</v>
      </c>
      <c r="G3047" s="25" t="s">
        <v>4787</v>
      </c>
      <c r="H3047" s="26">
        <v>-1.1007417440000002</v>
      </c>
      <c r="I3047" s="26"/>
      <c r="J3047" s="26" t="s">
        <v>514</v>
      </c>
      <c r="K3047" s="25" t="s">
        <v>513</v>
      </c>
    </row>
    <row r="3048" spans="1:11" ht="25.5" x14ac:dyDescent="0.25">
      <c r="A3048" s="22">
        <v>2026</v>
      </c>
      <c r="B3048" s="28" t="s">
        <v>192</v>
      </c>
      <c r="C3048" s="28" t="s">
        <v>97</v>
      </c>
      <c r="D3048" s="28" t="s">
        <v>1746</v>
      </c>
      <c r="E3048" s="29" t="s">
        <v>1778</v>
      </c>
      <c r="F3048" s="29" t="s">
        <v>1274</v>
      </c>
      <c r="G3048" s="25" t="s">
        <v>4788</v>
      </c>
      <c r="H3048" s="26">
        <v>-1.092070656</v>
      </c>
      <c r="I3048" s="26"/>
      <c r="J3048" s="26" t="s">
        <v>514</v>
      </c>
      <c r="K3048" s="25" t="s">
        <v>513</v>
      </c>
    </row>
    <row r="3049" spans="1:11" ht="25.5" x14ac:dyDescent="0.25">
      <c r="A3049" s="22">
        <v>2026</v>
      </c>
      <c r="B3049" s="28" t="s">
        <v>192</v>
      </c>
      <c r="C3049" s="28" t="s">
        <v>97</v>
      </c>
      <c r="D3049" s="28" t="s">
        <v>1746</v>
      </c>
      <c r="E3049" s="29" t="s">
        <v>1778</v>
      </c>
      <c r="F3049" s="29" t="s">
        <v>1274</v>
      </c>
      <c r="G3049" s="25" t="s">
        <v>4789</v>
      </c>
      <c r="H3049" s="26">
        <v>-1.0883249955000001</v>
      </c>
      <c r="I3049" s="26"/>
      <c r="J3049" s="26" t="s">
        <v>514</v>
      </c>
      <c r="K3049" s="25" t="s">
        <v>513</v>
      </c>
    </row>
    <row r="3050" spans="1:11" ht="25.5" x14ac:dyDescent="0.25">
      <c r="A3050" s="22">
        <v>2026</v>
      </c>
      <c r="B3050" s="28" t="s">
        <v>192</v>
      </c>
      <c r="C3050" s="28" t="s">
        <v>97</v>
      </c>
      <c r="D3050" s="28" t="s">
        <v>1746</v>
      </c>
      <c r="E3050" s="29" t="s">
        <v>1778</v>
      </c>
      <c r="F3050" s="29" t="s">
        <v>1274</v>
      </c>
      <c r="G3050" s="25" t="s">
        <v>4790</v>
      </c>
      <c r="H3050" s="26">
        <v>-1.0696823884</v>
      </c>
      <c r="I3050" s="26"/>
      <c r="J3050" s="26" t="s">
        <v>514</v>
      </c>
      <c r="K3050" s="25" t="s">
        <v>513</v>
      </c>
    </row>
    <row r="3051" spans="1:11" ht="25.5" x14ac:dyDescent="0.25">
      <c r="A3051" s="22">
        <v>2026</v>
      </c>
      <c r="B3051" s="28" t="s">
        <v>192</v>
      </c>
      <c r="C3051" s="28" t="s">
        <v>97</v>
      </c>
      <c r="D3051" s="28" t="s">
        <v>1746</v>
      </c>
      <c r="E3051" s="29" t="s">
        <v>1778</v>
      </c>
      <c r="F3051" s="29" t="s">
        <v>1274</v>
      </c>
      <c r="G3051" s="25" t="s">
        <v>4791</v>
      </c>
      <c r="H3051" s="26">
        <v>-1.0111413</v>
      </c>
      <c r="I3051" s="26"/>
      <c r="J3051" s="26" t="s">
        <v>514</v>
      </c>
      <c r="K3051" s="25" t="s">
        <v>513</v>
      </c>
    </row>
    <row r="3052" spans="1:11" ht="25.5" x14ac:dyDescent="0.25">
      <c r="A3052" s="22">
        <v>2026</v>
      </c>
      <c r="B3052" s="28" t="s">
        <v>192</v>
      </c>
      <c r="C3052" s="28" t="s">
        <v>97</v>
      </c>
      <c r="D3052" s="28" t="s">
        <v>1746</v>
      </c>
      <c r="E3052" s="29" t="s">
        <v>1778</v>
      </c>
      <c r="F3052" s="29" t="s">
        <v>1274</v>
      </c>
      <c r="G3052" s="25" t="s">
        <v>4792</v>
      </c>
      <c r="H3052" s="26">
        <v>-1.0212843535</v>
      </c>
      <c r="I3052" s="26"/>
      <c r="J3052" s="26" t="s">
        <v>514</v>
      </c>
      <c r="K3052" s="25" t="s">
        <v>513</v>
      </c>
    </row>
    <row r="3053" spans="1:11" ht="25.5" x14ac:dyDescent="0.25">
      <c r="A3053" s="22">
        <v>2026</v>
      </c>
      <c r="B3053" s="28" t="s">
        <v>192</v>
      </c>
      <c r="C3053" s="28" t="s">
        <v>97</v>
      </c>
      <c r="D3053" s="28" t="s">
        <v>1746</v>
      </c>
      <c r="E3053" s="29" t="s">
        <v>1778</v>
      </c>
      <c r="F3053" s="29" t="s">
        <v>1274</v>
      </c>
      <c r="G3053" s="25" t="s">
        <v>4793</v>
      </c>
      <c r="H3053" s="26">
        <v>-1.0812398729999999</v>
      </c>
      <c r="I3053" s="26"/>
      <c r="J3053" s="26" t="s">
        <v>514</v>
      </c>
      <c r="K3053" s="25" t="s">
        <v>513</v>
      </c>
    </row>
    <row r="3054" spans="1:11" ht="25.5" x14ac:dyDescent="0.25">
      <c r="A3054" s="22">
        <v>2026</v>
      </c>
      <c r="B3054" s="28" t="s">
        <v>192</v>
      </c>
      <c r="C3054" s="28" t="s">
        <v>97</v>
      </c>
      <c r="D3054" s="28" t="s">
        <v>1746</v>
      </c>
      <c r="E3054" s="29" t="s">
        <v>1778</v>
      </c>
      <c r="F3054" s="29" t="s">
        <v>1274</v>
      </c>
      <c r="G3054" s="25" t="s">
        <v>4794</v>
      </c>
      <c r="H3054" s="26">
        <v>-0.603738</v>
      </c>
      <c r="I3054" s="26"/>
      <c r="J3054" s="26" t="s">
        <v>514</v>
      </c>
      <c r="K3054" s="25" t="s">
        <v>513</v>
      </c>
    </row>
    <row r="3055" spans="1:11" ht="25.5" x14ac:dyDescent="0.25">
      <c r="A3055" s="22">
        <v>2026</v>
      </c>
      <c r="B3055" s="28" t="s">
        <v>192</v>
      </c>
      <c r="C3055" s="28" t="s">
        <v>97</v>
      </c>
      <c r="D3055" s="28" t="s">
        <v>1033</v>
      </c>
      <c r="E3055" s="29" t="s">
        <v>578</v>
      </c>
      <c r="F3055" s="29" t="s">
        <v>325</v>
      </c>
      <c r="G3055" s="25" t="s">
        <v>4795</v>
      </c>
      <c r="H3055" s="26">
        <v>-0.66425000000000001</v>
      </c>
      <c r="I3055" s="26"/>
      <c r="J3055" s="26" t="s">
        <v>512</v>
      </c>
      <c r="K3055" s="25" t="s">
        <v>513</v>
      </c>
    </row>
    <row r="3056" spans="1:11" ht="25.5" x14ac:dyDescent="0.25">
      <c r="A3056" s="22">
        <v>2026</v>
      </c>
      <c r="B3056" s="28" t="s">
        <v>192</v>
      </c>
      <c r="C3056" s="28" t="s">
        <v>97</v>
      </c>
      <c r="D3056" s="28" t="s">
        <v>1033</v>
      </c>
      <c r="E3056" s="29" t="s">
        <v>578</v>
      </c>
      <c r="F3056" s="29" t="s">
        <v>325</v>
      </c>
      <c r="G3056" s="25" t="s">
        <v>4796</v>
      </c>
      <c r="H3056" s="26">
        <v>-3.0338495000000001</v>
      </c>
      <c r="I3056" s="26"/>
      <c r="J3056" s="26" t="s">
        <v>512</v>
      </c>
      <c r="K3056" s="25" t="s">
        <v>513</v>
      </c>
    </row>
    <row r="3057" spans="1:11" ht="25.5" x14ac:dyDescent="0.25">
      <c r="A3057" s="22">
        <v>2026</v>
      </c>
      <c r="B3057" s="28" t="s">
        <v>192</v>
      </c>
      <c r="C3057" s="28" t="s">
        <v>97</v>
      </c>
      <c r="D3057" s="28" t="s">
        <v>1033</v>
      </c>
      <c r="E3057" s="29" t="s">
        <v>578</v>
      </c>
      <c r="F3057" s="29" t="s">
        <v>325</v>
      </c>
      <c r="G3057" s="25" t="s">
        <v>3646</v>
      </c>
      <c r="H3057" s="26">
        <v>-0.52449999999999997</v>
      </c>
      <c r="I3057" s="26"/>
      <c r="J3057" s="26" t="s">
        <v>512</v>
      </c>
      <c r="K3057" s="25" t="s">
        <v>513</v>
      </c>
    </row>
    <row r="3058" spans="1:11" ht="25.5" x14ac:dyDescent="0.25">
      <c r="A3058" s="22">
        <v>2026</v>
      </c>
      <c r="B3058" s="28" t="s">
        <v>192</v>
      </c>
      <c r="C3058" s="28" t="s">
        <v>97</v>
      </c>
      <c r="D3058" s="28" t="s">
        <v>1033</v>
      </c>
      <c r="E3058" s="29" t="s">
        <v>578</v>
      </c>
      <c r="F3058" s="29" t="s">
        <v>325</v>
      </c>
      <c r="G3058" s="25" t="s">
        <v>4797</v>
      </c>
      <c r="H3058" s="26">
        <v>-2.5945</v>
      </c>
      <c r="I3058" s="26"/>
      <c r="J3058" s="26" t="s">
        <v>512</v>
      </c>
      <c r="K3058" s="25" t="s">
        <v>513</v>
      </c>
    </row>
    <row r="3059" spans="1:11" ht="25.5" x14ac:dyDescent="0.25">
      <c r="A3059" s="22">
        <v>2026</v>
      </c>
      <c r="B3059" s="28" t="s">
        <v>192</v>
      </c>
      <c r="C3059" s="28" t="s">
        <v>97</v>
      </c>
      <c r="D3059" s="28" t="s">
        <v>1033</v>
      </c>
      <c r="E3059" s="29" t="s">
        <v>578</v>
      </c>
      <c r="F3059" s="29" t="s">
        <v>325</v>
      </c>
      <c r="G3059" s="25" t="s">
        <v>4798</v>
      </c>
      <c r="H3059" s="26">
        <v>-0.73108000000000006</v>
      </c>
      <c r="I3059" s="26"/>
      <c r="J3059" s="26" t="s">
        <v>512</v>
      </c>
      <c r="K3059" s="25" t="s">
        <v>513</v>
      </c>
    </row>
    <row r="3060" spans="1:11" ht="25.5" x14ac:dyDescent="0.25">
      <c r="A3060" s="22">
        <v>2026</v>
      </c>
      <c r="B3060" s="28" t="s">
        <v>192</v>
      </c>
      <c r="C3060" s="28" t="s">
        <v>97</v>
      </c>
      <c r="D3060" s="28" t="s">
        <v>1033</v>
      </c>
      <c r="E3060" s="29" t="s">
        <v>578</v>
      </c>
      <c r="F3060" s="29" t="s">
        <v>325</v>
      </c>
      <c r="G3060" s="25" t="s">
        <v>4799</v>
      </c>
      <c r="H3060" s="26">
        <v>-0.39090000000000003</v>
      </c>
      <c r="I3060" s="26"/>
      <c r="J3060" s="26" t="s">
        <v>512</v>
      </c>
      <c r="K3060" s="25" t="s">
        <v>513</v>
      </c>
    </row>
    <row r="3061" spans="1:11" ht="25.5" x14ac:dyDescent="0.25">
      <c r="A3061" s="22">
        <v>2026</v>
      </c>
      <c r="B3061" s="28" t="s">
        <v>192</v>
      </c>
      <c r="C3061" s="28" t="s">
        <v>97</v>
      </c>
      <c r="D3061" s="28" t="s">
        <v>1033</v>
      </c>
      <c r="E3061" s="29" t="s">
        <v>578</v>
      </c>
      <c r="F3061" s="29" t="s">
        <v>325</v>
      </c>
      <c r="G3061" s="25" t="s">
        <v>4800</v>
      </c>
      <c r="H3061" s="26">
        <v>-2.1436481000000001</v>
      </c>
      <c r="I3061" s="26"/>
      <c r="J3061" s="26" t="s">
        <v>512</v>
      </c>
      <c r="K3061" s="25" t="s">
        <v>513</v>
      </c>
    </row>
    <row r="3062" spans="1:11" ht="25.5" x14ac:dyDescent="0.25">
      <c r="A3062" s="22">
        <v>2026</v>
      </c>
      <c r="B3062" s="28" t="s">
        <v>192</v>
      </c>
      <c r="C3062" s="28" t="s">
        <v>97</v>
      </c>
      <c r="D3062" s="28" t="s">
        <v>1747</v>
      </c>
      <c r="E3062" s="29" t="s">
        <v>415</v>
      </c>
      <c r="F3062" s="29" t="s">
        <v>1779</v>
      </c>
      <c r="G3062" s="25" t="s">
        <v>4801</v>
      </c>
      <c r="H3062" s="26">
        <v>-0.28632872200000004</v>
      </c>
      <c r="I3062" s="26"/>
      <c r="J3062" s="26" t="s">
        <v>512</v>
      </c>
      <c r="K3062" s="25" t="s">
        <v>513</v>
      </c>
    </row>
    <row r="3063" spans="1:11" ht="25.5" x14ac:dyDescent="0.25">
      <c r="A3063" s="22">
        <v>2026</v>
      </c>
      <c r="B3063" s="28" t="s">
        <v>192</v>
      </c>
      <c r="C3063" s="28" t="s">
        <v>97</v>
      </c>
      <c r="D3063" s="28" t="s">
        <v>1747</v>
      </c>
      <c r="E3063" s="29" t="s">
        <v>415</v>
      </c>
      <c r="F3063" s="29" t="s">
        <v>1779</v>
      </c>
      <c r="G3063" s="25" t="s">
        <v>4802</v>
      </c>
      <c r="H3063" s="26">
        <v>-0.50751134632000006</v>
      </c>
      <c r="I3063" s="26"/>
      <c r="J3063" s="26" t="s">
        <v>512</v>
      </c>
      <c r="K3063" s="25" t="s">
        <v>513</v>
      </c>
    </row>
    <row r="3064" spans="1:11" ht="25.5" x14ac:dyDescent="0.25">
      <c r="A3064" s="22">
        <v>2026</v>
      </c>
      <c r="B3064" s="28" t="s">
        <v>192</v>
      </c>
      <c r="C3064" s="28" t="s">
        <v>97</v>
      </c>
      <c r="D3064" s="28" t="s">
        <v>1747</v>
      </c>
      <c r="E3064" s="29" t="s">
        <v>415</v>
      </c>
      <c r="F3064" s="29" t="s">
        <v>1779</v>
      </c>
      <c r="G3064" s="25" t="s">
        <v>4803</v>
      </c>
      <c r="H3064" s="26">
        <v>-0.44618270999999998</v>
      </c>
      <c r="I3064" s="26"/>
      <c r="J3064" s="26" t="s">
        <v>512</v>
      </c>
      <c r="K3064" s="25" t="s">
        <v>513</v>
      </c>
    </row>
    <row r="3065" spans="1:11" ht="25.5" x14ac:dyDescent="0.25">
      <c r="A3065" s="22">
        <v>2026</v>
      </c>
      <c r="B3065" s="28" t="s">
        <v>192</v>
      </c>
      <c r="C3065" s="28" t="s">
        <v>97</v>
      </c>
      <c r="D3065" s="28" t="s">
        <v>1747</v>
      </c>
      <c r="E3065" s="29" t="s">
        <v>415</v>
      </c>
      <c r="F3065" s="29" t="s">
        <v>1779</v>
      </c>
      <c r="G3065" s="25" t="s">
        <v>4804</v>
      </c>
      <c r="H3065" s="26">
        <v>-0.59296821636000008</v>
      </c>
      <c r="I3065" s="26"/>
      <c r="J3065" s="26" t="s">
        <v>512</v>
      </c>
      <c r="K3065" s="25" t="s">
        <v>513</v>
      </c>
    </row>
    <row r="3066" spans="1:11" ht="25.5" x14ac:dyDescent="0.25">
      <c r="A3066" s="22">
        <v>2026</v>
      </c>
      <c r="B3066" s="28" t="s">
        <v>192</v>
      </c>
      <c r="C3066" s="28" t="s">
        <v>97</v>
      </c>
      <c r="D3066" s="28" t="s">
        <v>1747</v>
      </c>
      <c r="E3066" s="29" t="s">
        <v>415</v>
      </c>
      <c r="F3066" s="29" t="s">
        <v>1779</v>
      </c>
      <c r="G3066" s="25" t="s">
        <v>4805</v>
      </c>
      <c r="H3066" s="26">
        <v>-0.59715205015000006</v>
      </c>
      <c r="I3066" s="26"/>
      <c r="J3066" s="26" t="s">
        <v>512</v>
      </c>
      <c r="K3066" s="25" t="s">
        <v>513</v>
      </c>
    </row>
    <row r="3067" spans="1:11" ht="25.5" x14ac:dyDescent="0.25">
      <c r="A3067" s="22">
        <v>2026</v>
      </c>
      <c r="B3067" s="28" t="s">
        <v>192</v>
      </c>
      <c r="C3067" s="28" t="s">
        <v>97</v>
      </c>
      <c r="D3067" s="28" t="s">
        <v>1747</v>
      </c>
      <c r="E3067" s="29" t="s">
        <v>415</v>
      </c>
      <c r="F3067" s="29" t="s">
        <v>1779</v>
      </c>
      <c r="G3067" s="25" t="s">
        <v>4806</v>
      </c>
      <c r="H3067" s="26">
        <v>-8.9700479730000005E-2</v>
      </c>
      <c r="I3067" s="26"/>
      <c r="J3067" s="26" t="s">
        <v>512</v>
      </c>
      <c r="K3067" s="25" t="s">
        <v>513</v>
      </c>
    </row>
    <row r="3068" spans="1:11" ht="25.5" x14ac:dyDescent="0.25">
      <c r="A3068" s="22">
        <v>2026</v>
      </c>
      <c r="B3068" s="28" t="s">
        <v>192</v>
      </c>
      <c r="C3068" s="28" t="s">
        <v>97</v>
      </c>
      <c r="D3068" s="28" t="s">
        <v>1747</v>
      </c>
      <c r="E3068" s="29" t="s">
        <v>415</v>
      </c>
      <c r="F3068" s="29" t="s">
        <v>1779</v>
      </c>
      <c r="G3068" s="25" t="s">
        <v>4807</v>
      </c>
      <c r="H3068" s="26">
        <v>-0.5364861700800001</v>
      </c>
      <c r="I3068" s="26"/>
      <c r="J3068" s="26" t="s">
        <v>512</v>
      </c>
      <c r="K3068" s="25" t="s">
        <v>513</v>
      </c>
    </row>
    <row r="3069" spans="1:11" ht="25.5" x14ac:dyDescent="0.25">
      <c r="A3069" s="22">
        <v>2026</v>
      </c>
      <c r="B3069" s="28" t="s">
        <v>192</v>
      </c>
      <c r="C3069" s="28" t="s">
        <v>97</v>
      </c>
      <c r="D3069" s="28" t="s">
        <v>1747</v>
      </c>
      <c r="E3069" s="29" t="s">
        <v>415</v>
      </c>
      <c r="F3069" s="29" t="s">
        <v>1779</v>
      </c>
      <c r="G3069" s="25" t="s">
        <v>4808</v>
      </c>
      <c r="H3069" s="26">
        <v>-0.49285986749999999</v>
      </c>
      <c r="I3069" s="26"/>
      <c r="J3069" s="26" t="s">
        <v>512</v>
      </c>
      <c r="K3069" s="25" t="s">
        <v>513</v>
      </c>
    </row>
    <row r="3070" spans="1:11" ht="25.5" x14ac:dyDescent="0.25">
      <c r="A3070" s="22">
        <v>2026</v>
      </c>
      <c r="B3070" s="28" t="s">
        <v>192</v>
      </c>
      <c r="C3070" s="28" t="s">
        <v>97</v>
      </c>
      <c r="D3070" s="28" t="s">
        <v>1747</v>
      </c>
      <c r="E3070" s="29" t="s">
        <v>415</v>
      </c>
      <c r="F3070" s="29" t="s">
        <v>1779</v>
      </c>
      <c r="G3070" s="25" t="s">
        <v>4809</v>
      </c>
      <c r="H3070" s="26">
        <v>-0.62725200000000003</v>
      </c>
      <c r="I3070" s="26"/>
      <c r="J3070" s="26" t="s">
        <v>512</v>
      </c>
      <c r="K3070" s="25" t="s">
        <v>513</v>
      </c>
    </row>
    <row r="3071" spans="1:11" ht="25.5" x14ac:dyDescent="0.25">
      <c r="A3071" s="22">
        <v>2026</v>
      </c>
      <c r="B3071" s="28" t="s">
        <v>192</v>
      </c>
      <c r="C3071" s="28" t="s">
        <v>97</v>
      </c>
      <c r="D3071" s="28" t="s">
        <v>1747</v>
      </c>
      <c r="E3071" s="29" t="s">
        <v>415</v>
      </c>
      <c r="F3071" s="29" t="s">
        <v>1779</v>
      </c>
      <c r="G3071" s="25" t="s">
        <v>4810</v>
      </c>
      <c r="H3071" s="26">
        <v>-0.22191295000000003</v>
      </c>
      <c r="I3071" s="26"/>
      <c r="J3071" s="26" t="s">
        <v>512</v>
      </c>
      <c r="K3071" s="25" t="s">
        <v>513</v>
      </c>
    </row>
    <row r="3072" spans="1:11" ht="25.5" x14ac:dyDescent="0.25">
      <c r="A3072" s="22">
        <v>2026</v>
      </c>
      <c r="B3072" s="28" t="s">
        <v>192</v>
      </c>
      <c r="C3072" s="28" t="s">
        <v>97</v>
      </c>
      <c r="D3072" s="28" t="s">
        <v>1747</v>
      </c>
      <c r="E3072" s="29" t="s">
        <v>415</v>
      </c>
      <c r="F3072" s="29" t="s">
        <v>1779</v>
      </c>
      <c r="G3072" s="25" t="s">
        <v>4811</v>
      </c>
      <c r="H3072" s="26">
        <v>-0.38022043350000001</v>
      </c>
      <c r="I3072" s="26"/>
      <c r="J3072" s="26" t="s">
        <v>512</v>
      </c>
      <c r="K3072" s="25" t="s">
        <v>513</v>
      </c>
    </row>
    <row r="3073" spans="1:11" ht="25.5" x14ac:dyDescent="0.25">
      <c r="A3073" s="22">
        <v>2026</v>
      </c>
      <c r="B3073" s="28" t="s">
        <v>192</v>
      </c>
      <c r="C3073" s="28" t="s">
        <v>97</v>
      </c>
      <c r="D3073" s="28" t="s">
        <v>1747</v>
      </c>
      <c r="E3073" s="29" t="s">
        <v>415</v>
      </c>
      <c r="F3073" s="29" t="s">
        <v>1779</v>
      </c>
      <c r="G3073" s="25" t="s">
        <v>4812</v>
      </c>
      <c r="H3073" s="26">
        <v>-9.967317802999999E-2</v>
      </c>
      <c r="I3073" s="26"/>
      <c r="J3073" s="26" t="s">
        <v>512</v>
      </c>
      <c r="K3073" s="25" t="s">
        <v>513</v>
      </c>
    </row>
    <row r="3074" spans="1:11" ht="25.5" x14ac:dyDescent="0.25">
      <c r="A3074" s="22">
        <v>2026</v>
      </c>
      <c r="B3074" s="28" t="s">
        <v>192</v>
      </c>
      <c r="C3074" s="28" t="s">
        <v>97</v>
      </c>
      <c r="D3074" s="28" t="s">
        <v>1747</v>
      </c>
      <c r="E3074" s="29" t="s">
        <v>415</v>
      </c>
      <c r="F3074" s="29" t="s">
        <v>1779</v>
      </c>
      <c r="G3074" s="25" t="s">
        <v>4813</v>
      </c>
      <c r="H3074" s="26">
        <v>-0.47092817766</v>
      </c>
      <c r="I3074" s="26"/>
      <c r="J3074" s="26" t="s">
        <v>512</v>
      </c>
      <c r="K3074" s="25" t="s">
        <v>513</v>
      </c>
    </row>
    <row r="3075" spans="1:11" ht="25.5" x14ac:dyDescent="0.25">
      <c r="A3075" s="22">
        <v>2026</v>
      </c>
      <c r="B3075" s="28" t="s">
        <v>192</v>
      </c>
      <c r="C3075" s="28" t="s">
        <v>97</v>
      </c>
      <c r="D3075" s="28" t="s">
        <v>1747</v>
      </c>
      <c r="E3075" s="29" t="s">
        <v>415</v>
      </c>
      <c r="F3075" s="29" t="s">
        <v>1779</v>
      </c>
      <c r="G3075" s="25" t="s">
        <v>4814</v>
      </c>
      <c r="H3075" s="26">
        <v>-0.55788389999999999</v>
      </c>
      <c r="I3075" s="26"/>
      <c r="J3075" s="26" t="s">
        <v>512</v>
      </c>
      <c r="K3075" s="25" t="s">
        <v>513</v>
      </c>
    </row>
    <row r="3076" spans="1:11" ht="25.5" x14ac:dyDescent="0.25">
      <c r="A3076" s="22">
        <v>2026</v>
      </c>
      <c r="B3076" s="28" t="s">
        <v>192</v>
      </c>
      <c r="C3076" s="28" t="s">
        <v>97</v>
      </c>
      <c r="D3076" s="28" t="s">
        <v>1748</v>
      </c>
      <c r="E3076" s="29" t="s">
        <v>415</v>
      </c>
      <c r="F3076" s="29" t="s">
        <v>1759</v>
      </c>
      <c r="G3076" s="25" t="s">
        <v>4815</v>
      </c>
      <c r="H3076" s="26">
        <v>-2.0729340283999997</v>
      </c>
      <c r="I3076" s="26"/>
      <c r="J3076" s="26" t="s">
        <v>512</v>
      </c>
      <c r="K3076" s="25" t="s">
        <v>513</v>
      </c>
    </row>
    <row r="3077" spans="1:11" ht="25.5" x14ac:dyDescent="0.25">
      <c r="A3077" s="22">
        <v>2026</v>
      </c>
      <c r="B3077" s="28" t="s">
        <v>192</v>
      </c>
      <c r="C3077" s="28" t="s">
        <v>97</v>
      </c>
      <c r="D3077" s="28" t="s">
        <v>1748</v>
      </c>
      <c r="E3077" s="29" t="s">
        <v>415</v>
      </c>
      <c r="F3077" s="29" t="s">
        <v>1759</v>
      </c>
      <c r="G3077" s="25" t="s">
        <v>4816</v>
      </c>
      <c r="H3077" s="26">
        <v>-1.47553354</v>
      </c>
      <c r="I3077" s="26"/>
      <c r="J3077" s="26" t="s">
        <v>512</v>
      </c>
      <c r="K3077" s="25" t="s">
        <v>513</v>
      </c>
    </row>
    <row r="3078" spans="1:11" ht="25.5" x14ac:dyDescent="0.25">
      <c r="A3078" s="22">
        <v>2026</v>
      </c>
      <c r="B3078" s="28" t="s">
        <v>192</v>
      </c>
      <c r="C3078" s="28" t="s">
        <v>97</v>
      </c>
      <c r="D3078" s="28" t="s">
        <v>1748</v>
      </c>
      <c r="E3078" s="29" t="s">
        <v>415</v>
      </c>
      <c r="F3078" s="29" t="s">
        <v>1759</v>
      </c>
      <c r="G3078" s="25" t="s">
        <v>4817</v>
      </c>
      <c r="H3078" s="26">
        <v>-1.2660310796000001</v>
      </c>
      <c r="I3078" s="26"/>
      <c r="J3078" s="26" t="s">
        <v>512</v>
      </c>
      <c r="K3078" s="25" t="s">
        <v>513</v>
      </c>
    </row>
    <row r="3079" spans="1:11" ht="25.5" x14ac:dyDescent="0.25">
      <c r="A3079" s="22">
        <v>2026</v>
      </c>
      <c r="B3079" s="28" t="s">
        <v>192</v>
      </c>
      <c r="C3079" s="28" t="s">
        <v>97</v>
      </c>
      <c r="D3079" s="28" t="s">
        <v>1748</v>
      </c>
      <c r="E3079" s="29" t="s">
        <v>415</v>
      </c>
      <c r="F3079" s="29" t="s">
        <v>1759</v>
      </c>
      <c r="G3079" s="25" t="s">
        <v>4818</v>
      </c>
      <c r="H3079" s="26">
        <v>-1.7223184566999998</v>
      </c>
      <c r="I3079" s="26"/>
      <c r="J3079" s="26" t="s">
        <v>512</v>
      </c>
      <c r="K3079" s="25" t="s">
        <v>513</v>
      </c>
    </row>
    <row r="3080" spans="1:11" ht="25.5" x14ac:dyDescent="0.25">
      <c r="A3080" s="22">
        <v>2026</v>
      </c>
      <c r="B3080" s="28" t="s">
        <v>192</v>
      </c>
      <c r="C3080" s="28" t="s">
        <v>97</v>
      </c>
      <c r="D3080" s="28" t="s">
        <v>1748</v>
      </c>
      <c r="E3080" s="29" t="s">
        <v>415</v>
      </c>
      <c r="F3080" s="29" t="s">
        <v>1759</v>
      </c>
      <c r="G3080" s="25" t="s">
        <v>4819</v>
      </c>
      <c r="H3080" s="26">
        <v>-2.4775</v>
      </c>
      <c r="I3080" s="26"/>
      <c r="J3080" s="26" t="s">
        <v>512</v>
      </c>
      <c r="K3080" s="25" t="s">
        <v>513</v>
      </c>
    </row>
    <row r="3081" spans="1:11" ht="25.5" x14ac:dyDescent="0.25">
      <c r="A3081" s="22">
        <v>2026</v>
      </c>
      <c r="B3081" s="28" t="s">
        <v>192</v>
      </c>
      <c r="C3081" s="28" t="s">
        <v>97</v>
      </c>
      <c r="D3081" s="28" t="s">
        <v>1748</v>
      </c>
      <c r="E3081" s="29" t="s">
        <v>415</v>
      </c>
      <c r="F3081" s="29" t="s">
        <v>1759</v>
      </c>
      <c r="G3081" s="25" t="s">
        <v>4820</v>
      </c>
      <c r="H3081" s="26">
        <v>-0.43582992999999998</v>
      </c>
      <c r="I3081" s="26"/>
      <c r="J3081" s="26" t="s">
        <v>512</v>
      </c>
      <c r="K3081" s="25" t="s">
        <v>513</v>
      </c>
    </row>
    <row r="3082" spans="1:11" ht="25.5" x14ac:dyDescent="0.25">
      <c r="A3082" s="22">
        <v>2026</v>
      </c>
      <c r="B3082" s="28" t="s">
        <v>192</v>
      </c>
      <c r="C3082" s="28" t="s">
        <v>97</v>
      </c>
      <c r="D3082" s="28" t="s">
        <v>1796</v>
      </c>
      <c r="E3082" s="29" t="s">
        <v>1804</v>
      </c>
      <c r="F3082" s="29" t="s">
        <v>329</v>
      </c>
      <c r="G3082" s="25" t="s">
        <v>4821</v>
      </c>
      <c r="H3082" s="26">
        <v>-0.31524999999999997</v>
      </c>
      <c r="I3082" s="26"/>
      <c r="J3082" s="26" t="s">
        <v>514</v>
      </c>
      <c r="K3082" s="25" t="s">
        <v>513</v>
      </c>
    </row>
    <row r="3083" spans="1:11" ht="25.5" x14ac:dyDescent="0.25">
      <c r="A3083" s="22">
        <v>2026</v>
      </c>
      <c r="B3083" s="28" t="s">
        <v>192</v>
      </c>
      <c r="C3083" s="28" t="s">
        <v>97</v>
      </c>
      <c r="D3083" s="28" t="s">
        <v>1796</v>
      </c>
      <c r="E3083" s="29" t="s">
        <v>1804</v>
      </c>
      <c r="F3083" s="29" t="s">
        <v>329</v>
      </c>
      <c r="G3083" s="25" t="s">
        <v>4822</v>
      </c>
      <c r="H3083" s="26">
        <v>-0.1905</v>
      </c>
      <c r="I3083" s="26"/>
      <c r="J3083" s="26" t="s">
        <v>514</v>
      </c>
      <c r="K3083" s="25" t="s">
        <v>513</v>
      </c>
    </row>
    <row r="3084" spans="1:11" ht="25.5" x14ac:dyDescent="0.25">
      <c r="A3084" s="22">
        <v>2026</v>
      </c>
      <c r="B3084" s="28" t="s">
        <v>192</v>
      </c>
      <c r="C3084" s="28" t="s">
        <v>97</v>
      </c>
      <c r="D3084" s="28" t="s">
        <v>1796</v>
      </c>
      <c r="E3084" s="29" t="s">
        <v>1804</v>
      </c>
      <c r="F3084" s="29" t="s">
        <v>329</v>
      </c>
      <c r="G3084" s="25" t="s">
        <v>4823</v>
      </c>
      <c r="H3084" s="26">
        <v>-0.315</v>
      </c>
      <c r="I3084" s="26"/>
      <c r="J3084" s="26" t="s">
        <v>514</v>
      </c>
      <c r="K3084" s="25" t="s">
        <v>513</v>
      </c>
    </row>
    <row r="3085" spans="1:11" ht="25.5" x14ac:dyDescent="0.25">
      <c r="A3085" s="22">
        <v>2026</v>
      </c>
      <c r="B3085" s="28" t="s">
        <v>192</v>
      </c>
      <c r="C3085" s="28" t="s">
        <v>97</v>
      </c>
      <c r="D3085" s="28" t="s">
        <v>536</v>
      </c>
      <c r="E3085" s="29" t="s">
        <v>558</v>
      </c>
      <c r="F3085" s="29" t="s">
        <v>282</v>
      </c>
      <c r="G3085" s="25" t="s">
        <v>4824</v>
      </c>
      <c r="H3085" s="26">
        <v>-0.498477</v>
      </c>
      <c r="I3085" s="26"/>
      <c r="J3085" s="26" t="s">
        <v>514</v>
      </c>
      <c r="K3085" s="25" t="s">
        <v>513</v>
      </c>
    </row>
    <row r="3086" spans="1:11" ht="25.5" x14ac:dyDescent="0.25">
      <c r="A3086" s="22">
        <v>2026</v>
      </c>
      <c r="B3086" s="28" t="s">
        <v>192</v>
      </c>
      <c r="C3086" s="28" t="s">
        <v>97</v>
      </c>
      <c r="D3086" s="28" t="s">
        <v>536</v>
      </c>
      <c r="E3086" s="29" t="s">
        <v>558</v>
      </c>
      <c r="F3086" s="29" t="s">
        <v>282</v>
      </c>
      <c r="G3086" s="25" t="s">
        <v>4825</v>
      </c>
      <c r="H3086" s="26">
        <v>-0.50038800000000005</v>
      </c>
      <c r="I3086" s="26"/>
      <c r="J3086" s="26" t="s">
        <v>514</v>
      </c>
      <c r="K3086" s="25" t="s">
        <v>513</v>
      </c>
    </row>
    <row r="3087" spans="1:11" ht="25.5" x14ac:dyDescent="0.25">
      <c r="A3087" s="22">
        <v>2026</v>
      </c>
      <c r="B3087" s="28" t="s">
        <v>192</v>
      </c>
      <c r="C3087" s="28" t="s">
        <v>97</v>
      </c>
      <c r="D3087" s="28" t="s">
        <v>536</v>
      </c>
      <c r="E3087" s="29" t="s">
        <v>558</v>
      </c>
      <c r="F3087" s="29" t="s">
        <v>282</v>
      </c>
      <c r="G3087" s="25" t="s">
        <v>4826</v>
      </c>
      <c r="H3087" s="26">
        <v>-0.49897319999999995</v>
      </c>
      <c r="I3087" s="26"/>
      <c r="J3087" s="26" t="s">
        <v>514</v>
      </c>
      <c r="K3087" s="25" t="s">
        <v>513</v>
      </c>
    </row>
    <row r="3088" spans="1:11" ht="25.5" x14ac:dyDescent="0.25">
      <c r="A3088" s="22">
        <v>2026</v>
      </c>
      <c r="B3088" s="28" t="s">
        <v>192</v>
      </c>
      <c r="C3088" s="28" t="s">
        <v>97</v>
      </c>
      <c r="D3088" s="28" t="s">
        <v>536</v>
      </c>
      <c r="E3088" s="29" t="s">
        <v>558</v>
      </c>
      <c r="F3088" s="29" t="s">
        <v>282</v>
      </c>
      <c r="G3088" s="25" t="s">
        <v>4827</v>
      </c>
      <c r="H3088" s="26">
        <v>-0.49930750000000002</v>
      </c>
      <c r="I3088" s="26"/>
      <c r="J3088" s="26" t="s">
        <v>514</v>
      </c>
      <c r="K3088" s="25" t="s">
        <v>513</v>
      </c>
    </row>
    <row r="3089" spans="1:11" ht="25.5" x14ac:dyDescent="0.25">
      <c r="A3089" s="22">
        <v>2026</v>
      </c>
      <c r="B3089" s="28" t="s">
        <v>192</v>
      </c>
      <c r="C3089" s="28" t="s">
        <v>97</v>
      </c>
      <c r="D3089" s="28" t="s">
        <v>536</v>
      </c>
      <c r="E3089" s="29" t="s">
        <v>558</v>
      </c>
      <c r="F3089" s="29" t="s">
        <v>282</v>
      </c>
      <c r="G3089" s="25" t="s">
        <v>4828</v>
      </c>
      <c r="H3089" s="26">
        <v>-0.49965299999999996</v>
      </c>
      <c r="I3089" s="26"/>
      <c r="J3089" s="26" t="s">
        <v>514</v>
      </c>
      <c r="K3089" s="25" t="s">
        <v>513</v>
      </c>
    </row>
    <row r="3090" spans="1:11" ht="25.5" x14ac:dyDescent="0.25">
      <c r="A3090" s="22">
        <v>2026</v>
      </c>
      <c r="B3090" s="28" t="s">
        <v>192</v>
      </c>
      <c r="C3090" s="28" t="s">
        <v>97</v>
      </c>
      <c r="D3090" s="28" t="s">
        <v>536</v>
      </c>
      <c r="E3090" s="29" t="s">
        <v>558</v>
      </c>
      <c r="F3090" s="29" t="s">
        <v>282</v>
      </c>
      <c r="G3090" s="25" t="s">
        <v>4829</v>
      </c>
      <c r="H3090" s="26">
        <v>-0.49987350000000003</v>
      </c>
      <c r="I3090" s="26"/>
      <c r="J3090" s="26" t="s">
        <v>514</v>
      </c>
      <c r="K3090" s="25" t="s">
        <v>513</v>
      </c>
    </row>
    <row r="3091" spans="1:11" ht="25.5" x14ac:dyDescent="0.25">
      <c r="A3091" s="22">
        <v>2026</v>
      </c>
      <c r="B3091" s="28" t="s">
        <v>192</v>
      </c>
      <c r="C3091" s="28" t="s">
        <v>97</v>
      </c>
      <c r="D3091" s="28" t="s">
        <v>536</v>
      </c>
      <c r="E3091" s="29" t="s">
        <v>558</v>
      </c>
      <c r="F3091" s="29" t="s">
        <v>282</v>
      </c>
      <c r="G3091" s="25" t="s">
        <v>4829</v>
      </c>
      <c r="H3091" s="26">
        <v>-0.49987350000000003</v>
      </c>
      <c r="I3091" s="26"/>
      <c r="J3091" s="26" t="s">
        <v>514</v>
      </c>
      <c r="K3091" s="25" t="s">
        <v>513</v>
      </c>
    </row>
    <row r="3092" spans="1:11" ht="25.5" x14ac:dyDescent="0.25">
      <c r="A3092" s="22">
        <v>2026</v>
      </c>
      <c r="B3092" s="28" t="s">
        <v>192</v>
      </c>
      <c r="C3092" s="28" t="s">
        <v>97</v>
      </c>
      <c r="D3092" s="28" t="s">
        <v>536</v>
      </c>
      <c r="E3092" s="29" t="s">
        <v>558</v>
      </c>
      <c r="F3092" s="29" t="s">
        <v>282</v>
      </c>
      <c r="G3092" s="25" t="s">
        <v>4830</v>
      </c>
      <c r="H3092" s="26">
        <v>-0.49766850000000001</v>
      </c>
      <c r="I3092" s="26"/>
      <c r="J3092" s="26" t="s">
        <v>514</v>
      </c>
      <c r="K3092" s="25" t="s">
        <v>513</v>
      </c>
    </row>
    <row r="3093" spans="1:11" ht="25.5" x14ac:dyDescent="0.25">
      <c r="A3093" s="22">
        <v>2026</v>
      </c>
      <c r="B3093" s="28" t="s">
        <v>192</v>
      </c>
      <c r="C3093" s="28" t="s">
        <v>97</v>
      </c>
      <c r="D3093" s="28" t="s">
        <v>536</v>
      </c>
      <c r="E3093" s="29" t="s">
        <v>558</v>
      </c>
      <c r="F3093" s="29" t="s">
        <v>282</v>
      </c>
      <c r="G3093" s="25" t="s">
        <v>4831</v>
      </c>
      <c r="H3093" s="26">
        <v>-0.49967039999999996</v>
      </c>
      <c r="I3093" s="26"/>
      <c r="J3093" s="26" t="s">
        <v>514</v>
      </c>
      <c r="K3093" s="25" t="s">
        <v>513</v>
      </c>
    </row>
    <row r="3094" spans="1:11" ht="25.5" x14ac:dyDescent="0.25">
      <c r="A3094" s="22">
        <v>2026</v>
      </c>
      <c r="B3094" s="28" t="s">
        <v>192</v>
      </c>
      <c r="C3094" s="28" t="s">
        <v>97</v>
      </c>
      <c r="D3094" s="28" t="s">
        <v>536</v>
      </c>
      <c r="E3094" s="29" t="s">
        <v>558</v>
      </c>
      <c r="F3094" s="29" t="s">
        <v>282</v>
      </c>
      <c r="G3094" s="25" t="s">
        <v>4832</v>
      </c>
      <c r="H3094" s="26">
        <v>-0.49839240000000001</v>
      </c>
      <c r="I3094" s="26"/>
      <c r="J3094" s="26" t="s">
        <v>514</v>
      </c>
      <c r="K3094" s="25" t="s">
        <v>513</v>
      </c>
    </row>
    <row r="3095" spans="1:11" ht="25.5" x14ac:dyDescent="0.25">
      <c r="A3095" s="22">
        <v>2026</v>
      </c>
      <c r="B3095" s="28" t="s">
        <v>192</v>
      </c>
      <c r="C3095" s="28" t="s">
        <v>97</v>
      </c>
      <c r="D3095" s="28" t="s">
        <v>536</v>
      </c>
      <c r="E3095" s="29" t="s">
        <v>558</v>
      </c>
      <c r="F3095" s="29" t="s">
        <v>282</v>
      </c>
      <c r="G3095" s="25" t="s">
        <v>4833</v>
      </c>
      <c r="H3095" s="26">
        <v>-0.49882849999999995</v>
      </c>
      <c r="I3095" s="26"/>
      <c r="J3095" s="26" t="s">
        <v>514</v>
      </c>
      <c r="K3095" s="25" t="s">
        <v>513</v>
      </c>
    </row>
    <row r="3096" spans="1:11" ht="25.5" x14ac:dyDescent="0.25">
      <c r="A3096" s="22">
        <v>2026</v>
      </c>
      <c r="B3096" s="28" t="s">
        <v>192</v>
      </c>
      <c r="C3096" s="28" t="s">
        <v>97</v>
      </c>
      <c r="D3096" s="28" t="s">
        <v>536</v>
      </c>
      <c r="E3096" s="29" t="s">
        <v>558</v>
      </c>
      <c r="F3096" s="29" t="s">
        <v>282</v>
      </c>
      <c r="G3096" s="25" t="s">
        <v>4834</v>
      </c>
      <c r="H3096" s="26">
        <v>-0.49992120000000001</v>
      </c>
      <c r="I3096" s="26"/>
      <c r="J3096" s="26" t="s">
        <v>514</v>
      </c>
      <c r="K3096" s="25" t="s">
        <v>513</v>
      </c>
    </row>
    <row r="3097" spans="1:11" ht="25.5" x14ac:dyDescent="0.25">
      <c r="A3097" s="22">
        <v>2026</v>
      </c>
      <c r="B3097" s="28" t="s">
        <v>192</v>
      </c>
      <c r="C3097" s="28" t="s">
        <v>97</v>
      </c>
      <c r="D3097" s="28" t="s">
        <v>536</v>
      </c>
      <c r="E3097" s="29" t="s">
        <v>558</v>
      </c>
      <c r="F3097" s="29" t="s">
        <v>282</v>
      </c>
      <c r="G3097" s="25" t="s">
        <v>4835</v>
      </c>
      <c r="H3097" s="26">
        <v>-0.49944959999999999</v>
      </c>
      <c r="I3097" s="26"/>
      <c r="J3097" s="26" t="s">
        <v>514</v>
      </c>
      <c r="K3097" s="25" t="s">
        <v>513</v>
      </c>
    </row>
    <row r="3098" spans="1:11" ht="25.5" x14ac:dyDescent="0.25">
      <c r="A3098" s="22">
        <v>2026</v>
      </c>
      <c r="B3098" s="28" t="s">
        <v>192</v>
      </c>
      <c r="C3098" s="28" t="s">
        <v>97</v>
      </c>
      <c r="D3098" s="28" t="s">
        <v>536</v>
      </c>
      <c r="E3098" s="29" t="s">
        <v>558</v>
      </c>
      <c r="F3098" s="29" t="s">
        <v>282</v>
      </c>
      <c r="G3098" s="25" t="s">
        <v>4836</v>
      </c>
      <c r="H3098" s="26">
        <v>-0.49939300000000003</v>
      </c>
      <c r="I3098" s="26"/>
      <c r="J3098" s="26" t="s">
        <v>514</v>
      </c>
      <c r="K3098" s="25" t="s">
        <v>513</v>
      </c>
    </row>
    <row r="3099" spans="1:11" ht="25.5" x14ac:dyDescent="0.25">
      <c r="A3099" s="22">
        <v>2026</v>
      </c>
      <c r="B3099" s="28" t="s">
        <v>192</v>
      </c>
      <c r="C3099" s="28" t="s">
        <v>97</v>
      </c>
      <c r="D3099" s="28" t="s">
        <v>536</v>
      </c>
      <c r="E3099" s="29" t="s">
        <v>558</v>
      </c>
      <c r="F3099" s="29" t="s">
        <v>282</v>
      </c>
      <c r="G3099" s="25" t="s">
        <v>4837</v>
      </c>
      <c r="H3099" s="26">
        <v>-0.4998822</v>
      </c>
      <c r="I3099" s="26"/>
      <c r="J3099" s="26" t="s">
        <v>514</v>
      </c>
      <c r="K3099" s="25" t="s">
        <v>513</v>
      </c>
    </row>
    <row r="3100" spans="1:11" ht="25.5" x14ac:dyDescent="0.25">
      <c r="A3100" s="22">
        <v>2026</v>
      </c>
      <c r="B3100" s="28" t="s">
        <v>192</v>
      </c>
      <c r="C3100" s="28" t="s">
        <v>97</v>
      </c>
      <c r="D3100" s="28" t="s">
        <v>536</v>
      </c>
      <c r="E3100" s="29" t="s">
        <v>558</v>
      </c>
      <c r="F3100" s="29" t="s">
        <v>282</v>
      </c>
      <c r="G3100" s="25" t="s">
        <v>4838</v>
      </c>
      <c r="H3100" s="26">
        <v>-0.49952249999999998</v>
      </c>
      <c r="I3100" s="26"/>
      <c r="J3100" s="26" t="s">
        <v>514</v>
      </c>
      <c r="K3100" s="25" t="s">
        <v>513</v>
      </c>
    </row>
    <row r="3101" spans="1:11" ht="25.5" x14ac:dyDescent="0.25">
      <c r="A3101" s="22">
        <v>2026</v>
      </c>
      <c r="B3101" s="28" t="s">
        <v>192</v>
      </c>
      <c r="C3101" s="28" t="s">
        <v>97</v>
      </c>
      <c r="D3101" s="28" t="s">
        <v>536</v>
      </c>
      <c r="E3101" s="29" t="s">
        <v>558</v>
      </c>
      <c r="F3101" s="29" t="s">
        <v>282</v>
      </c>
      <c r="G3101" s="25" t="s">
        <v>4839</v>
      </c>
      <c r="H3101" s="26">
        <v>-0.4998088</v>
      </c>
      <c r="I3101" s="26"/>
      <c r="J3101" s="26" t="s">
        <v>514</v>
      </c>
      <c r="K3101" s="25" t="s">
        <v>513</v>
      </c>
    </row>
    <row r="3102" spans="1:11" ht="25.5" x14ac:dyDescent="0.25">
      <c r="A3102" s="22">
        <v>2026</v>
      </c>
      <c r="B3102" s="28" t="s">
        <v>192</v>
      </c>
      <c r="C3102" s="28" t="s">
        <v>97</v>
      </c>
      <c r="D3102" s="28" t="s">
        <v>536</v>
      </c>
      <c r="E3102" s="29" t="s">
        <v>558</v>
      </c>
      <c r="F3102" s="29" t="s">
        <v>282</v>
      </c>
      <c r="G3102" s="25" t="s">
        <v>4840</v>
      </c>
      <c r="H3102" s="26">
        <v>-0.49985099999999999</v>
      </c>
      <c r="I3102" s="26"/>
      <c r="J3102" s="26" t="s">
        <v>514</v>
      </c>
      <c r="K3102" s="25" t="s">
        <v>513</v>
      </c>
    </row>
    <row r="3103" spans="1:11" ht="25.5" x14ac:dyDescent="0.25">
      <c r="A3103" s="22">
        <v>2026</v>
      </c>
      <c r="B3103" s="28" t="s">
        <v>192</v>
      </c>
      <c r="C3103" s="28" t="s">
        <v>97</v>
      </c>
      <c r="D3103" s="28" t="s">
        <v>536</v>
      </c>
      <c r="E3103" s="29" t="s">
        <v>558</v>
      </c>
      <c r="F3103" s="29" t="s">
        <v>282</v>
      </c>
      <c r="G3103" s="25" t="s">
        <v>4841</v>
      </c>
      <c r="H3103" s="26">
        <v>-0.49726799999999999</v>
      </c>
      <c r="I3103" s="26"/>
      <c r="J3103" s="26" t="s">
        <v>514</v>
      </c>
      <c r="K3103" s="25" t="s">
        <v>513</v>
      </c>
    </row>
    <row r="3104" spans="1:11" ht="25.5" x14ac:dyDescent="0.25">
      <c r="A3104" s="22">
        <v>2026</v>
      </c>
      <c r="B3104" s="28" t="s">
        <v>192</v>
      </c>
      <c r="C3104" s="28" t="s">
        <v>97</v>
      </c>
      <c r="D3104" s="28" t="s">
        <v>536</v>
      </c>
      <c r="E3104" s="29" t="s">
        <v>558</v>
      </c>
      <c r="F3104" s="29" t="s">
        <v>282</v>
      </c>
      <c r="G3104" s="25" t="s">
        <v>4842</v>
      </c>
      <c r="H3104" s="26">
        <v>-0.49938479999999996</v>
      </c>
      <c r="I3104" s="26"/>
      <c r="J3104" s="26" t="s">
        <v>514</v>
      </c>
      <c r="K3104" s="25" t="s">
        <v>513</v>
      </c>
    </row>
    <row r="3105" spans="1:11" ht="25.5" x14ac:dyDescent="0.25">
      <c r="A3105" s="22">
        <v>2026</v>
      </c>
      <c r="B3105" s="28" t="s">
        <v>192</v>
      </c>
      <c r="C3105" s="28" t="s">
        <v>97</v>
      </c>
      <c r="D3105" s="28" t="s">
        <v>536</v>
      </c>
      <c r="E3105" s="29" t="s">
        <v>558</v>
      </c>
      <c r="F3105" s="29" t="s">
        <v>282</v>
      </c>
      <c r="G3105" s="25" t="s">
        <v>4843</v>
      </c>
      <c r="H3105" s="26">
        <v>-0.4991506</v>
      </c>
      <c r="I3105" s="26"/>
      <c r="J3105" s="26" t="s">
        <v>514</v>
      </c>
      <c r="K3105" s="25" t="s">
        <v>513</v>
      </c>
    </row>
    <row r="3106" spans="1:11" ht="25.5" x14ac:dyDescent="0.25">
      <c r="A3106" s="22">
        <v>2026</v>
      </c>
      <c r="B3106" s="28" t="s">
        <v>192</v>
      </c>
      <c r="C3106" s="28" t="s">
        <v>97</v>
      </c>
      <c r="D3106" s="28" t="s">
        <v>536</v>
      </c>
      <c r="E3106" s="29" t="s">
        <v>558</v>
      </c>
      <c r="F3106" s="29" t="s">
        <v>282</v>
      </c>
      <c r="G3106" s="25" t="s">
        <v>4844</v>
      </c>
      <c r="H3106" s="26">
        <v>-0.49789439999999996</v>
      </c>
      <c r="I3106" s="26"/>
      <c r="J3106" s="26" t="s">
        <v>514</v>
      </c>
      <c r="K3106" s="25" t="s">
        <v>513</v>
      </c>
    </row>
    <row r="3107" spans="1:11" ht="25.5" x14ac:dyDescent="0.25">
      <c r="A3107" s="22">
        <v>2026</v>
      </c>
      <c r="B3107" s="28" t="s">
        <v>192</v>
      </c>
      <c r="C3107" s="28" t="s">
        <v>97</v>
      </c>
      <c r="D3107" s="28" t="s">
        <v>255</v>
      </c>
      <c r="E3107" s="29" t="s">
        <v>255</v>
      </c>
      <c r="F3107" s="29" t="s">
        <v>325</v>
      </c>
      <c r="G3107" s="25" t="s">
        <v>4845</v>
      </c>
      <c r="H3107" s="26">
        <v>-0.65459999999999996</v>
      </c>
      <c r="I3107" s="26"/>
      <c r="J3107" s="26" t="s">
        <v>512</v>
      </c>
      <c r="K3107" s="25" t="s">
        <v>513</v>
      </c>
    </row>
    <row r="3108" spans="1:11" ht="25.5" x14ac:dyDescent="0.25">
      <c r="A3108" s="22">
        <v>2026</v>
      </c>
      <c r="B3108" s="28" t="s">
        <v>192</v>
      </c>
      <c r="C3108" s="28" t="s">
        <v>97</v>
      </c>
      <c r="D3108" s="28" t="s">
        <v>255</v>
      </c>
      <c r="E3108" s="29" t="s">
        <v>255</v>
      </c>
      <c r="F3108" s="29" t="s">
        <v>325</v>
      </c>
      <c r="G3108" s="25" t="s">
        <v>4846</v>
      </c>
      <c r="H3108" s="26">
        <v>-1.7223999999999999</v>
      </c>
      <c r="I3108" s="26"/>
      <c r="J3108" s="26" t="s">
        <v>512</v>
      </c>
      <c r="K3108" s="25" t="s">
        <v>513</v>
      </c>
    </row>
    <row r="3109" spans="1:11" ht="25.5" x14ac:dyDescent="0.25">
      <c r="A3109" s="22">
        <v>2026</v>
      </c>
      <c r="B3109" s="28" t="s">
        <v>192</v>
      </c>
      <c r="C3109" s="28" t="s">
        <v>97</v>
      </c>
      <c r="D3109" s="28" t="s">
        <v>255</v>
      </c>
      <c r="E3109" s="29" t="s">
        <v>255</v>
      </c>
      <c r="F3109" s="29" t="s">
        <v>325</v>
      </c>
      <c r="G3109" s="25" t="s">
        <v>4847</v>
      </c>
      <c r="H3109" s="26">
        <v>-0.97470000000000001</v>
      </c>
      <c r="I3109" s="26"/>
      <c r="J3109" s="26" t="s">
        <v>512</v>
      </c>
      <c r="K3109" s="25" t="s">
        <v>513</v>
      </c>
    </row>
    <row r="3110" spans="1:11" ht="25.5" x14ac:dyDescent="0.25">
      <c r="A3110" s="22">
        <v>2026</v>
      </c>
      <c r="B3110" s="28" t="s">
        <v>192</v>
      </c>
      <c r="C3110" s="28" t="s">
        <v>97</v>
      </c>
      <c r="D3110" s="28" t="s">
        <v>255</v>
      </c>
      <c r="E3110" s="29" t="s">
        <v>255</v>
      </c>
      <c r="F3110" s="29" t="s">
        <v>325</v>
      </c>
      <c r="G3110" s="25" t="s">
        <v>4848</v>
      </c>
      <c r="H3110" s="26">
        <v>-0.55049999999999999</v>
      </c>
      <c r="I3110" s="26"/>
      <c r="J3110" s="26" t="s">
        <v>512</v>
      </c>
      <c r="K3110" s="25" t="s">
        <v>513</v>
      </c>
    </row>
    <row r="3111" spans="1:11" ht="25.5" x14ac:dyDescent="0.25">
      <c r="A3111" s="22">
        <v>2026</v>
      </c>
      <c r="B3111" s="28" t="s">
        <v>192</v>
      </c>
      <c r="C3111" s="28" t="s">
        <v>97</v>
      </c>
      <c r="D3111" s="28" t="s">
        <v>255</v>
      </c>
      <c r="E3111" s="29" t="s">
        <v>255</v>
      </c>
      <c r="F3111" s="29" t="s">
        <v>325</v>
      </c>
      <c r="G3111" s="25" t="s">
        <v>4849</v>
      </c>
      <c r="H3111" s="26">
        <v>-0.54349999999999998</v>
      </c>
      <c r="I3111" s="26"/>
      <c r="J3111" s="26" t="s">
        <v>512</v>
      </c>
      <c r="K3111" s="25" t="s">
        <v>513</v>
      </c>
    </row>
    <row r="3112" spans="1:11" ht="25.5" x14ac:dyDescent="0.25">
      <c r="A3112" s="22">
        <v>2026</v>
      </c>
      <c r="B3112" s="28" t="s">
        <v>192</v>
      </c>
      <c r="C3112" s="28" t="s">
        <v>97</v>
      </c>
      <c r="D3112" s="28" t="s">
        <v>255</v>
      </c>
      <c r="E3112" s="29" t="s">
        <v>255</v>
      </c>
      <c r="F3112" s="29" t="s">
        <v>325</v>
      </c>
      <c r="G3112" s="25" t="s">
        <v>4850</v>
      </c>
      <c r="H3112" s="26">
        <v>-0.45023999999999997</v>
      </c>
      <c r="I3112" s="26"/>
      <c r="J3112" s="26" t="s">
        <v>512</v>
      </c>
      <c r="K3112" s="25" t="s">
        <v>513</v>
      </c>
    </row>
    <row r="3113" spans="1:11" ht="25.5" x14ac:dyDescent="0.25">
      <c r="A3113" s="22">
        <v>2026</v>
      </c>
      <c r="B3113" s="28" t="s">
        <v>192</v>
      </c>
      <c r="C3113" s="28" t="s">
        <v>97</v>
      </c>
      <c r="D3113" s="28" t="s">
        <v>255</v>
      </c>
      <c r="E3113" s="29" t="s">
        <v>255</v>
      </c>
      <c r="F3113" s="29" t="s">
        <v>325</v>
      </c>
      <c r="G3113" s="25" t="s">
        <v>4851</v>
      </c>
      <c r="H3113" s="26">
        <v>-1.0874999999999999</v>
      </c>
      <c r="I3113" s="26"/>
      <c r="J3113" s="26" t="s">
        <v>512</v>
      </c>
      <c r="K3113" s="25" t="s">
        <v>513</v>
      </c>
    </row>
    <row r="3114" spans="1:11" ht="25.5" x14ac:dyDescent="0.25">
      <c r="A3114" s="22">
        <v>2026</v>
      </c>
      <c r="B3114" s="28" t="s">
        <v>192</v>
      </c>
      <c r="C3114" s="28" t="s">
        <v>97</v>
      </c>
      <c r="D3114" s="28" t="s">
        <v>255</v>
      </c>
      <c r="E3114" s="29" t="s">
        <v>255</v>
      </c>
      <c r="F3114" s="29" t="s">
        <v>325</v>
      </c>
      <c r="G3114" s="25" t="s">
        <v>4852</v>
      </c>
      <c r="H3114" s="26">
        <v>-0.2616</v>
      </c>
      <c r="I3114" s="26"/>
      <c r="J3114" s="26" t="s">
        <v>512</v>
      </c>
      <c r="K3114" s="25" t="s">
        <v>513</v>
      </c>
    </row>
    <row r="3115" spans="1:11" ht="25.5" x14ac:dyDescent="0.25">
      <c r="A3115" s="22">
        <v>2026</v>
      </c>
      <c r="B3115" s="28" t="s">
        <v>192</v>
      </c>
      <c r="C3115" s="28" t="s">
        <v>97</v>
      </c>
      <c r="D3115" s="28" t="s">
        <v>255</v>
      </c>
      <c r="E3115" s="29" t="s">
        <v>255</v>
      </c>
      <c r="F3115" s="29" t="s">
        <v>325</v>
      </c>
      <c r="G3115" s="25" t="s">
        <v>4853</v>
      </c>
      <c r="H3115" s="26">
        <v>-0.41154000000000002</v>
      </c>
      <c r="I3115" s="26"/>
      <c r="J3115" s="26" t="s">
        <v>512</v>
      </c>
      <c r="K3115" s="25" t="s">
        <v>513</v>
      </c>
    </row>
    <row r="3116" spans="1:11" ht="25.5" x14ac:dyDescent="0.25">
      <c r="A3116" s="22">
        <v>2026</v>
      </c>
      <c r="B3116" s="28" t="s">
        <v>192</v>
      </c>
      <c r="C3116" s="28" t="s">
        <v>97</v>
      </c>
      <c r="D3116" s="28" t="s">
        <v>255</v>
      </c>
      <c r="E3116" s="29" t="s">
        <v>255</v>
      </c>
      <c r="F3116" s="29" t="s">
        <v>325</v>
      </c>
      <c r="G3116" s="25" t="s">
        <v>4854</v>
      </c>
      <c r="H3116" s="26">
        <v>-1.079</v>
      </c>
      <c r="I3116" s="26"/>
      <c r="J3116" s="26" t="s">
        <v>512</v>
      </c>
      <c r="K3116" s="25" t="s">
        <v>513</v>
      </c>
    </row>
    <row r="3117" spans="1:11" ht="25.5" x14ac:dyDescent="0.25">
      <c r="A3117" s="22">
        <v>2026</v>
      </c>
      <c r="B3117" s="28" t="s">
        <v>192</v>
      </c>
      <c r="C3117" s="28" t="s">
        <v>97</v>
      </c>
      <c r="D3117" s="28" t="s">
        <v>255</v>
      </c>
      <c r="E3117" s="29" t="s">
        <v>255</v>
      </c>
      <c r="F3117" s="29" t="s">
        <v>325</v>
      </c>
      <c r="G3117" s="25" t="s">
        <v>4855</v>
      </c>
      <c r="H3117" s="26">
        <v>-0.86560000000000004</v>
      </c>
      <c r="I3117" s="26"/>
      <c r="J3117" s="26" t="s">
        <v>512</v>
      </c>
      <c r="K3117" s="25" t="s">
        <v>513</v>
      </c>
    </row>
    <row r="3118" spans="1:11" ht="25.5" x14ac:dyDescent="0.25">
      <c r="A3118" s="22">
        <v>2026</v>
      </c>
      <c r="B3118" s="28" t="s">
        <v>192</v>
      </c>
      <c r="C3118" s="28" t="s">
        <v>97</v>
      </c>
      <c r="D3118" s="28" t="s">
        <v>255</v>
      </c>
      <c r="E3118" s="29" t="s">
        <v>255</v>
      </c>
      <c r="F3118" s="29" t="s">
        <v>325</v>
      </c>
      <c r="G3118" s="25" t="s">
        <v>3580</v>
      </c>
      <c r="H3118" s="26">
        <v>-0.43740000000000001</v>
      </c>
      <c r="I3118" s="26"/>
      <c r="J3118" s="26" t="s">
        <v>512</v>
      </c>
      <c r="K3118" s="25" t="s">
        <v>513</v>
      </c>
    </row>
    <row r="3119" spans="1:11" ht="25.5" x14ac:dyDescent="0.25">
      <c r="A3119" s="22">
        <v>2026</v>
      </c>
      <c r="B3119" s="28" t="s">
        <v>192</v>
      </c>
      <c r="C3119" s="28" t="s">
        <v>97</v>
      </c>
      <c r="D3119" s="28" t="s">
        <v>255</v>
      </c>
      <c r="E3119" s="29" t="s">
        <v>255</v>
      </c>
      <c r="F3119" s="29" t="s">
        <v>325</v>
      </c>
      <c r="G3119" s="25" t="s">
        <v>4856</v>
      </c>
      <c r="H3119" s="26">
        <v>-0.42859999999999998</v>
      </c>
      <c r="I3119" s="26"/>
      <c r="J3119" s="26" t="s">
        <v>512</v>
      </c>
      <c r="K3119" s="25" t="s">
        <v>513</v>
      </c>
    </row>
    <row r="3120" spans="1:11" ht="25.5" x14ac:dyDescent="0.25">
      <c r="A3120" s="22">
        <v>2026</v>
      </c>
      <c r="B3120" s="28" t="s">
        <v>192</v>
      </c>
      <c r="C3120" s="28" t="s">
        <v>97</v>
      </c>
      <c r="D3120" s="28" t="s">
        <v>255</v>
      </c>
      <c r="E3120" s="29" t="s">
        <v>255</v>
      </c>
      <c r="F3120" s="29" t="s">
        <v>325</v>
      </c>
      <c r="G3120" s="25" t="s">
        <v>4857</v>
      </c>
      <c r="H3120" s="26">
        <v>-0.42759999999999998</v>
      </c>
      <c r="I3120" s="26"/>
      <c r="J3120" s="26" t="s">
        <v>512</v>
      </c>
      <c r="K3120" s="25" t="s">
        <v>513</v>
      </c>
    </row>
    <row r="3121" spans="1:11" ht="25.5" x14ac:dyDescent="0.25">
      <c r="A3121" s="22">
        <v>2026</v>
      </c>
      <c r="B3121" s="28" t="s">
        <v>192</v>
      </c>
      <c r="C3121" s="28" t="s">
        <v>97</v>
      </c>
      <c r="D3121" s="28" t="s">
        <v>255</v>
      </c>
      <c r="E3121" s="29" t="s">
        <v>255</v>
      </c>
      <c r="F3121" s="29" t="s">
        <v>325</v>
      </c>
      <c r="G3121" s="25" t="s">
        <v>4858</v>
      </c>
      <c r="H3121" s="26">
        <v>-0.21149999999999999</v>
      </c>
      <c r="I3121" s="26"/>
      <c r="J3121" s="26" t="s">
        <v>512</v>
      </c>
      <c r="K3121" s="25" t="s">
        <v>513</v>
      </c>
    </row>
    <row r="3122" spans="1:11" ht="25.5" x14ac:dyDescent="0.25">
      <c r="A3122" s="22">
        <v>2026</v>
      </c>
      <c r="B3122" s="28" t="s">
        <v>192</v>
      </c>
      <c r="C3122" s="28" t="s">
        <v>97</v>
      </c>
      <c r="D3122" s="28" t="s">
        <v>255</v>
      </c>
      <c r="E3122" s="29" t="s">
        <v>255</v>
      </c>
      <c r="F3122" s="29" t="s">
        <v>325</v>
      </c>
      <c r="G3122" s="25" t="s">
        <v>4859</v>
      </c>
      <c r="H3122" s="26">
        <v>-0.21</v>
      </c>
      <c r="I3122" s="26"/>
      <c r="J3122" s="26" t="s">
        <v>512</v>
      </c>
      <c r="K3122" s="25" t="s">
        <v>513</v>
      </c>
    </row>
    <row r="3123" spans="1:11" ht="25.5" x14ac:dyDescent="0.25">
      <c r="A3123" s="22">
        <v>2026</v>
      </c>
      <c r="B3123" s="28" t="s">
        <v>192</v>
      </c>
      <c r="C3123" s="28" t="s">
        <v>97</v>
      </c>
      <c r="D3123" s="28" t="s">
        <v>255</v>
      </c>
      <c r="E3123" s="29" t="s">
        <v>255</v>
      </c>
      <c r="F3123" s="29" t="s">
        <v>325</v>
      </c>
      <c r="G3123" s="25" t="s">
        <v>4860</v>
      </c>
      <c r="H3123" s="26">
        <v>-0.82640000000000002</v>
      </c>
      <c r="I3123" s="26"/>
      <c r="J3123" s="26" t="s">
        <v>512</v>
      </c>
      <c r="K3123" s="25" t="s">
        <v>513</v>
      </c>
    </row>
    <row r="3124" spans="1:11" ht="25.5" x14ac:dyDescent="0.25">
      <c r="A3124" s="22">
        <v>2026</v>
      </c>
      <c r="B3124" s="28" t="s">
        <v>192</v>
      </c>
      <c r="C3124" s="28" t="s">
        <v>97</v>
      </c>
      <c r="D3124" s="28" t="s">
        <v>255</v>
      </c>
      <c r="E3124" s="29" t="s">
        <v>255</v>
      </c>
      <c r="F3124" s="29" t="s">
        <v>325</v>
      </c>
      <c r="G3124" s="25" t="s">
        <v>4861</v>
      </c>
      <c r="H3124" s="26">
        <v>-1.3481000000000001</v>
      </c>
      <c r="I3124" s="26"/>
      <c r="J3124" s="26" t="s">
        <v>512</v>
      </c>
      <c r="K3124" s="25" t="s">
        <v>513</v>
      </c>
    </row>
    <row r="3125" spans="1:11" ht="25.5" x14ac:dyDescent="0.25">
      <c r="A3125" s="22">
        <v>2026</v>
      </c>
      <c r="B3125" s="28" t="s">
        <v>192</v>
      </c>
      <c r="C3125" s="28" t="s">
        <v>97</v>
      </c>
      <c r="D3125" s="28" t="s">
        <v>243</v>
      </c>
      <c r="E3125" s="29" t="s">
        <v>1799</v>
      </c>
      <c r="F3125" s="29" t="s">
        <v>343</v>
      </c>
      <c r="G3125" s="25" t="s">
        <v>4862</v>
      </c>
      <c r="H3125" s="26">
        <v>-0.1071</v>
      </c>
      <c r="I3125" s="26"/>
      <c r="J3125" s="26" t="s">
        <v>514</v>
      </c>
      <c r="K3125" s="25" t="s">
        <v>513</v>
      </c>
    </row>
    <row r="3126" spans="1:11" ht="25.5" x14ac:dyDescent="0.25">
      <c r="A3126" s="22">
        <v>2026</v>
      </c>
      <c r="B3126" s="28" t="s">
        <v>192</v>
      </c>
      <c r="C3126" s="28" t="s">
        <v>97</v>
      </c>
      <c r="D3126" s="28" t="s">
        <v>243</v>
      </c>
      <c r="E3126" s="29" t="s">
        <v>1799</v>
      </c>
      <c r="F3126" s="29" t="s">
        <v>343</v>
      </c>
      <c r="G3126" s="25" t="s">
        <v>4863</v>
      </c>
      <c r="H3126" s="26">
        <v>-0.22999999999999998</v>
      </c>
      <c r="I3126" s="26"/>
      <c r="J3126" s="26" t="s">
        <v>514</v>
      </c>
      <c r="K3126" s="25" t="s">
        <v>513</v>
      </c>
    </row>
    <row r="3127" spans="1:11" ht="25.5" x14ac:dyDescent="0.25">
      <c r="A3127" s="22">
        <v>2026</v>
      </c>
      <c r="B3127" s="28" t="s">
        <v>192</v>
      </c>
      <c r="C3127" s="28" t="s">
        <v>97</v>
      </c>
      <c r="D3127" s="28" t="s">
        <v>243</v>
      </c>
      <c r="E3127" s="29" t="s">
        <v>1799</v>
      </c>
      <c r="F3127" s="29" t="s">
        <v>343</v>
      </c>
      <c r="G3127" s="25" t="s">
        <v>4864</v>
      </c>
      <c r="H3127" s="26">
        <v>-0.11499999999999999</v>
      </c>
      <c r="I3127" s="26"/>
      <c r="J3127" s="26" t="s">
        <v>514</v>
      </c>
      <c r="K3127" s="25" t="s">
        <v>513</v>
      </c>
    </row>
    <row r="3128" spans="1:11" ht="25.5" x14ac:dyDescent="0.25">
      <c r="A3128" s="22">
        <v>2026</v>
      </c>
      <c r="B3128" s="28" t="s">
        <v>192</v>
      </c>
      <c r="C3128" s="28" t="s">
        <v>97</v>
      </c>
      <c r="D3128" s="28" t="s">
        <v>243</v>
      </c>
      <c r="E3128" s="29" t="s">
        <v>1799</v>
      </c>
      <c r="F3128" s="29" t="s">
        <v>343</v>
      </c>
      <c r="G3128" s="25" t="s">
        <v>4865</v>
      </c>
      <c r="H3128" s="26">
        <v>-9.1199999999999989E-2</v>
      </c>
      <c r="I3128" s="26"/>
      <c r="J3128" s="26" t="s">
        <v>514</v>
      </c>
      <c r="K3128" s="25" t="s">
        <v>513</v>
      </c>
    </row>
    <row r="3129" spans="1:11" ht="25.5" x14ac:dyDescent="0.25">
      <c r="A3129" s="22">
        <v>2026</v>
      </c>
      <c r="B3129" s="28" t="s">
        <v>192</v>
      </c>
      <c r="C3129" s="28" t="s">
        <v>97</v>
      </c>
      <c r="D3129" s="28" t="s">
        <v>243</v>
      </c>
      <c r="E3129" s="29" t="s">
        <v>1799</v>
      </c>
      <c r="F3129" s="29" t="s">
        <v>343</v>
      </c>
      <c r="G3129" s="25" t="s">
        <v>4866</v>
      </c>
      <c r="H3129" s="26">
        <v>-9.039999999999998E-2</v>
      </c>
      <c r="I3129" s="26"/>
      <c r="J3129" s="26" t="s">
        <v>514</v>
      </c>
      <c r="K3129" s="25" t="s">
        <v>513</v>
      </c>
    </row>
    <row r="3130" spans="1:11" ht="25.5" x14ac:dyDescent="0.25">
      <c r="A3130" s="22">
        <v>2026</v>
      </c>
      <c r="B3130" s="28" t="s">
        <v>192</v>
      </c>
      <c r="C3130" s="28" t="s">
        <v>97</v>
      </c>
      <c r="D3130" s="28" t="s">
        <v>243</v>
      </c>
      <c r="E3130" s="29" t="s">
        <v>1799</v>
      </c>
      <c r="F3130" s="29" t="s">
        <v>343</v>
      </c>
      <c r="G3130" s="25" t="s">
        <v>4867</v>
      </c>
      <c r="H3130" s="26">
        <v>-0.1125</v>
      </c>
      <c r="I3130" s="26"/>
      <c r="J3130" s="26" t="s">
        <v>514</v>
      </c>
      <c r="K3130" s="25" t="s">
        <v>513</v>
      </c>
    </row>
    <row r="3131" spans="1:11" ht="25.5" x14ac:dyDescent="0.25">
      <c r="A3131" s="22">
        <v>2026</v>
      </c>
      <c r="B3131" s="28" t="s">
        <v>192</v>
      </c>
      <c r="C3131" s="28" t="s">
        <v>97</v>
      </c>
      <c r="D3131" s="28" t="s">
        <v>243</v>
      </c>
      <c r="E3131" s="29" t="s">
        <v>1799</v>
      </c>
      <c r="F3131" s="29" t="s">
        <v>343</v>
      </c>
      <c r="G3131" s="25" t="s">
        <v>4868</v>
      </c>
      <c r="H3131" s="26">
        <v>-0.215</v>
      </c>
      <c r="I3131" s="26"/>
      <c r="J3131" s="26" t="s">
        <v>514</v>
      </c>
      <c r="K3131" s="25" t="s">
        <v>513</v>
      </c>
    </row>
    <row r="3132" spans="1:11" ht="25.5" x14ac:dyDescent="0.25">
      <c r="A3132" s="22">
        <v>2026</v>
      </c>
      <c r="B3132" s="28" t="s">
        <v>192</v>
      </c>
      <c r="C3132" s="28" t="s">
        <v>97</v>
      </c>
      <c r="D3132" s="28" t="s">
        <v>243</v>
      </c>
      <c r="E3132" s="29" t="s">
        <v>1799</v>
      </c>
      <c r="F3132" s="29" t="s">
        <v>343</v>
      </c>
      <c r="G3132" s="25" t="s">
        <v>4869</v>
      </c>
      <c r="H3132" s="26">
        <v>-0.26750000000000002</v>
      </c>
      <c r="I3132" s="26"/>
      <c r="J3132" s="26" t="s">
        <v>514</v>
      </c>
      <c r="K3132" s="25" t="s">
        <v>513</v>
      </c>
    </row>
    <row r="3133" spans="1:11" ht="25.5" x14ac:dyDescent="0.25">
      <c r="A3133" s="22">
        <v>2026</v>
      </c>
      <c r="B3133" s="28" t="s">
        <v>192</v>
      </c>
      <c r="C3133" s="28" t="s">
        <v>97</v>
      </c>
      <c r="D3133" s="28" t="s">
        <v>227</v>
      </c>
      <c r="E3133" s="29" t="s">
        <v>416</v>
      </c>
      <c r="F3133" s="29" t="s">
        <v>350</v>
      </c>
      <c r="G3133" s="25" t="s">
        <v>4870</v>
      </c>
      <c r="H3133" s="26">
        <v>-0.15382997999999998</v>
      </c>
      <c r="I3133" s="26"/>
      <c r="J3133" s="26" t="s">
        <v>514</v>
      </c>
      <c r="K3133" s="25" t="s">
        <v>513</v>
      </c>
    </row>
    <row r="3134" spans="1:11" ht="25.5" x14ac:dyDescent="0.25">
      <c r="A3134" s="22">
        <v>2026</v>
      </c>
      <c r="B3134" s="28" t="s">
        <v>192</v>
      </c>
      <c r="C3134" s="28" t="s">
        <v>97</v>
      </c>
      <c r="D3134" s="28" t="s">
        <v>227</v>
      </c>
      <c r="E3134" s="29" t="s">
        <v>416</v>
      </c>
      <c r="F3134" s="29" t="s">
        <v>350</v>
      </c>
      <c r="G3134" s="25" t="s">
        <v>4871</v>
      </c>
      <c r="H3134" s="26">
        <v>-0.15449444999999901</v>
      </c>
      <c r="I3134" s="26"/>
      <c r="J3134" s="26" t="s">
        <v>514</v>
      </c>
      <c r="K3134" s="25" t="s">
        <v>513</v>
      </c>
    </row>
    <row r="3135" spans="1:11" ht="25.5" x14ac:dyDescent="0.25">
      <c r="A3135" s="22">
        <v>2026</v>
      </c>
      <c r="B3135" s="28" t="s">
        <v>192</v>
      </c>
      <c r="C3135" s="28" t="s">
        <v>97</v>
      </c>
      <c r="D3135" s="28" t="s">
        <v>227</v>
      </c>
      <c r="E3135" s="29" t="s">
        <v>416</v>
      </c>
      <c r="F3135" s="29" t="s">
        <v>350</v>
      </c>
      <c r="G3135" s="25" t="s">
        <v>4872</v>
      </c>
      <c r="H3135" s="26">
        <v>-0.15432490000000001</v>
      </c>
      <c r="I3135" s="26"/>
      <c r="J3135" s="26" t="s">
        <v>514</v>
      </c>
      <c r="K3135" s="25" t="s">
        <v>513</v>
      </c>
    </row>
    <row r="3136" spans="1:11" ht="25.5" x14ac:dyDescent="0.25">
      <c r="A3136" s="22">
        <v>2026</v>
      </c>
      <c r="B3136" s="28" t="s">
        <v>192</v>
      </c>
      <c r="C3136" s="28" t="s">
        <v>97</v>
      </c>
      <c r="D3136" s="28" t="s">
        <v>227</v>
      </c>
      <c r="E3136" s="29" t="s">
        <v>416</v>
      </c>
      <c r="F3136" s="29" t="s">
        <v>350</v>
      </c>
      <c r="G3136" s="25" t="s">
        <v>4873</v>
      </c>
      <c r="H3136" s="26">
        <v>-7.5159314999999505E-2</v>
      </c>
      <c r="I3136" s="26"/>
      <c r="J3136" s="26" t="s">
        <v>514</v>
      </c>
      <c r="K3136" s="25" t="s">
        <v>513</v>
      </c>
    </row>
    <row r="3137" spans="1:11" ht="25.5" x14ac:dyDescent="0.25">
      <c r="A3137" s="22">
        <v>2026</v>
      </c>
      <c r="B3137" s="28" t="s">
        <v>192</v>
      </c>
      <c r="C3137" s="28" t="s">
        <v>97</v>
      </c>
      <c r="D3137" s="28" t="s">
        <v>227</v>
      </c>
      <c r="E3137" s="29" t="s">
        <v>416</v>
      </c>
      <c r="F3137" s="29" t="s">
        <v>350</v>
      </c>
      <c r="G3137" s="25" t="s">
        <v>4874</v>
      </c>
      <c r="H3137" s="26">
        <v>-0.14659904999999998</v>
      </c>
      <c r="I3137" s="26"/>
      <c r="J3137" s="26" t="s">
        <v>514</v>
      </c>
      <c r="K3137" s="25" t="s">
        <v>513</v>
      </c>
    </row>
    <row r="3138" spans="1:11" ht="25.5" x14ac:dyDescent="0.25">
      <c r="A3138" s="22">
        <v>2026</v>
      </c>
      <c r="B3138" s="28" t="s">
        <v>192</v>
      </c>
      <c r="C3138" s="28" t="s">
        <v>97</v>
      </c>
      <c r="D3138" s="28" t="s">
        <v>227</v>
      </c>
      <c r="E3138" s="29" t="s">
        <v>416</v>
      </c>
      <c r="F3138" s="29" t="s">
        <v>350</v>
      </c>
      <c r="G3138" s="25" t="s">
        <v>4875</v>
      </c>
      <c r="H3138" s="26">
        <v>-0.14765937999999901</v>
      </c>
      <c r="I3138" s="26"/>
      <c r="J3138" s="26" t="s">
        <v>514</v>
      </c>
      <c r="K3138" s="25" t="s">
        <v>513</v>
      </c>
    </row>
    <row r="3139" spans="1:11" ht="25.5" x14ac:dyDescent="0.25">
      <c r="A3139" s="22">
        <v>2026</v>
      </c>
      <c r="B3139" s="28" t="s">
        <v>192</v>
      </c>
      <c r="C3139" s="28" t="s">
        <v>97</v>
      </c>
      <c r="D3139" s="28" t="s">
        <v>227</v>
      </c>
      <c r="E3139" s="29" t="s">
        <v>416</v>
      </c>
      <c r="F3139" s="29" t="s">
        <v>350</v>
      </c>
      <c r="G3139" s="25" t="s">
        <v>4876</v>
      </c>
      <c r="H3139" s="26">
        <v>-0.14562997999999899</v>
      </c>
      <c r="I3139" s="26"/>
      <c r="J3139" s="26" t="s">
        <v>514</v>
      </c>
      <c r="K3139" s="25" t="s">
        <v>513</v>
      </c>
    </row>
    <row r="3140" spans="1:11" ht="25.5" x14ac:dyDescent="0.25">
      <c r="A3140" s="22">
        <v>2026</v>
      </c>
      <c r="B3140" s="28" t="s">
        <v>192</v>
      </c>
      <c r="C3140" s="28" t="s">
        <v>97</v>
      </c>
      <c r="D3140" s="28" t="s">
        <v>227</v>
      </c>
      <c r="E3140" s="29" t="s">
        <v>416</v>
      </c>
      <c r="F3140" s="29" t="s">
        <v>350</v>
      </c>
      <c r="G3140" s="25" t="s">
        <v>4877</v>
      </c>
      <c r="H3140" s="26">
        <v>-0.14148350999999998</v>
      </c>
      <c r="I3140" s="26"/>
      <c r="J3140" s="26" t="s">
        <v>514</v>
      </c>
      <c r="K3140" s="25" t="s">
        <v>513</v>
      </c>
    </row>
    <row r="3141" spans="1:11" ht="25.5" x14ac:dyDescent="0.25">
      <c r="A3141" s="22">
        <v>2026</v>
      </c>
      <c r="B3141" s="28" t="s">
        <v>192</v>
      </c>
      <c r="C3141" s="28" t="s">
        <v>97</v>
      </c>
      <c r="D3141" s="28" t="s">
        <v>227</v>
      </c>
      <c r="E3141" s="29" t="s">
        <v>416</v>
      </c>
      <c r="F3141" s="29" t="s">
        <v>350</v>
      </c>
      <c r="G3141" s="25" t="s">
        <v>4878</v>
      </c>
      <c r="H3141" s="26">
        <v>-0.14680008</v>
      </c>
      <c r="I3141" s="26"/>
      <c r="J3141" s="26" t="s">
        <v>514</v>
      </c>
      <c r="K3141" s="25" t="s">
        <v>513</v>
      </c>
    </row>
    <row r="3142" spans="1:11" ht="25.5" x14ac:dyDescent="0.25">
      <c r="A3142" s="22">
        <v>2026</v>
      </c>
      <c r="B3142" s="28" t="s">
        <v>192</v>
      </c>
      <c r="C3142" s="28" t="s">
        <v>97</v>
      </c>
      <c r="D3142" s="28" t="s">
        <v>227</v>
      </c>
      <c r="E3142" s="29" t="s">
        <v>416</v>
      </c>
      <c r="F3142" s="29" t="s">
        <v>350</v>
      </c>
      <c r="G3142" s="25" t="s">
        <v>4879</v>
      </c>
      <c r="H3142" s="26">
        <v>-0.14596947999999901</v>
      </c>
      <c r="I3142" s="26"/>
      <c r="J3142" s="26" t="s">
        <v>514</v>
      </c>
      <c r="K3142" s="25" t="s">
        <v>513</v>
      </c>
    </row>
    <row r="3143" spans="1:11" ht="25.5" x14ac:dyDescent="0.25">
      <c r="A3143" s="22">
        <v>2026</v>
      </c>
      <c r="B3143" s="28" t="s">
        <v>192</v>
      </c>
      <c r="C3143" s="28" t="s">
        <v>97</v>
      </c>
      <c r="D3143" s="28" t="s">
        <v>227</v>
      </c>
      <c r="E3143" s="29" t="s">
        <v>416</v>
      </c>
      <c r="F3143" s="29" t="s">
        <v>350</v>
      </c>
      <c r="G3143" s="25" t="s">
        <v>4880</v>
      </c>
      <c r="H3143" s="26">
        <v>-0.14395539999999998</v>
      </c>
      <c r="I3143" s="26"/>
      <c r="J3143" s="26" t="s">
        <v>514</v>
      </c>
      <c r="K3143" s="25" t="s">
        <v>513</v>
      </c>
    </row>
    <row r="3144" spans="1:11" ht="25.5" x14ac:dyDescent="0.25">
      <c r="A3144" s="22">
        <v>2026</v>
      </c>
      <c r="B3144" s="28" t="s">
        <v>192</v>
      </c>
      <c r="C3144" s="28" t="s">
        <v>97</v>
      </c>
      <c r="D3144" s="28" t="s">
        <v>1750</v>
      </c>
      <c r="E3144" s="29" t="s">
        <v>485</v>
      </c>
      <c r="F3144" s="29" t="s">
        <v>494</v>
      </c>
      <c r="G3144" s="25" t="s">
        <v>4881</v>
      </c>
      <c r="H3144" s="26">
        <v>-0.88318727999999991</v>
      </c>
      <c r="I3144" s="26"/>
      <c r="J3144" s="26" t="s">
        <v>512</v>
      </c>
      <c r="K3144" s="25" t="s">
        <v>513</v>
      </c>
    </row>
    <row r="3145" spans="1:11" ht="25.5" x14ac:dyDescent="0.25">
      <c r="A3145" s="22">
        <v>2026</v>
      </c>
      <c r="B3145" s="28" t="s">
        <v>192</v>
      </c>
      <c r="C3145" s="28" t="s">
        <v>97</v>
      </c>
      <c r="D3145" s="28" t="s">
        <v>1750</v>
      </c>
      <c r="E3145" s="29" t="s">
        <v>485</v>
      </c>
      <c r="F3145" s="29" t="s">
        <v>494</v>
      </c>
      <c r="G3145" s="25" t="s">
        <v>4882</v>
      </c>
      <c r="H3145" s="26">
        <v>-0.28275</v>
      </c>
      <c r="I3145" s="26"/>
      <c r="J3145" s="26" t="s">
        <v>512</v>
      </c>
      <c r="K3145" s="25" t="s">
        <v>513</v>
      </c>
    </row>
    <row r="3146" spans="1:11" ht="25.5" x14ac:dyDescent="0.25">
      <c r="A3146" s="22">
        <v>2026</v>
      </c>
      <c r="B3146" s="28" t="s">
        <v>192</v>
      </c>
      <c r="C3146" s="28" t="s">
        <v>97</v>
      </c>
      <c r="D3146" s="28" t="s">
        <v>1750</v>
      </c>
      <c r="E3146" s="29" t="s">
        <v>485</v>
      </c>
      <c r="F3146" s="29" t="s">
        <v>494</v>
      </c>
      <c r="G3146" s="25" t="s">
        <v>4883</v>
      </c>
      <c r="H3146" s="26">
        <v>-1.7545325000000001</v>
      </c>
      <c r="I3146" s="26"/>
      <c r="J3146" s="26" t="s">
        <v>512</v>
      </c>
      <c r="K3146" s="25" t="s">
        <v>513</v>
      </c>
    </row>
    <row r="3147" spans="1:11" ht="25.5" x14ac:dyDescent="0.25">
      <c r="A3147" s="22">
        <v>2026</v>
      </c>
      <c r="B3147" s="28" t="s">
        <v>192</v>
      </c>
      <c r="C3147" s="28" t="s">
        <v>97</v>
      </c>
      <c r="D3147" s="28" t="s">
        <v>1750</v>
      </c>
      <c r="E3147" s="29" t="s">
        <v>485</v>
      </c>
      <c r="F3147" s="29" t="s">
        <v>494</v>
      </c>
      <c r="G3147" s="25" t="s">
        <v>4884</v>
      </c>
      <c r="H3147" s="26">
        <v>-0.24007736199999999</v>
      </c>
      <c r="I3147" s="26"/>
      <c r="J3147" s="26" t="s">
        <v>512</v>
      </c>
      <c r="K3147" s="25" t="s">
        <v>513</v>
      </c>
    </row>
    <row r="3148" spans="1:11" ht="25.5" x14ac:dyDescent="0.25">
      <c r="A3148" s="22">
        <v>2026</v>
      </c>
      <c r="B3148" s="28" t="s">
        <v>192</v>
      </c>
      <c r="C3148" s="28" t="s">
        <v>97</v>
      </c>
      <c r="D3148" s="28" t="s">
        <v>1750</v>
      </c>
      <c r="E3148" s="29" t="s">
        <v>485</v>
      </c>
      <c r="F3148" s="29" t="s">
        <v>494</v>
      </c>
      <c r="G3148" s="25" t="s">
        <v>4885</v>
      </c>
      <c r="H3148" s="26">
        <v>-1.02048768</v>
      </c>
      <c r="I3148" s="26"/>
      <c r="J3148" s="26" t="s">
        <v>512</v>
      </c>
      <c r="K3148" s="25" t="s">
        <v>513</v>
      </c>
    </row>
    <row r="3149" spans="1:11" ht="25.5" x14ac:dyDescent="0.25">
      <c r="A3149" s="22">
        <v>2026</v>
      </c>
      <c r="B3149" s="28" t="s">
        <v>192</v>
      </c>
      <c r="C3149" s="28" t="s">
        <v>97</v>
      </c>
      <c r="D3149" s="28" t="s">
        <v>1750</v>
      </c>
      <c r="E3149" s="29" t="s">
        <v>485</v>
      </c>
      <c r="F3149" s="29" t="s">
        <v>494</v>
      </c>
      <c r="G3149" s="25" t="s">
        <v>4886</v>
      </c>
      <c r="H3149" s="26">
        <v>-0.50990006399999999</v>
      </c>
      <c r="I3149" s="26"/>
      <c r="J3149" s="26" t="s">
        <v>512</v>
      </c>
      <c r="K3149" s="25" t="s">
        <v>513</v>
      </c>
    </row>
    <row r="3150" spans="1:11" ht="25.5" x14ac:dyDescent="0.25">
      <c r="A3150" s="22">
        <v>2026</v>
      </c>
      <c r="B3150" s="28" t="s">
        <v>192</v>
      </c>
      <c r="C3150" s="28" t="s">
        <v>97</v>
      </c>
      <c r="D3150" s="28" t="s">
        <v>1750</v>
      </c>
      <c r="E3150" s="29" t="s">
        <v>485</v>
      </c>
      <c r="F3150" s="29" t="s">
        <v>494</v>
      </c>
      <c r="G3150" s="25" t="s">
        <v>4887</v>
      </c>
      <c r="H3150" s="26">
        <v>-0.90437938399999995</v>
      </c>
      <c r="I3150" s="26"/>
      <c r="J3150" s="26" t="s">
        <v>512</v>
      </c>
      <c r="K3150" s="25" t="s">
        <v>513</v>
      </c>
    </row>
    <row r="3151" spans="1:11" ht="25.5" x14ac:dyDescent="0.25">
      <c r="A3151" s="22">
        <v>2026</v>
      </c>
      <c r="B3151" s="28" t="s">
        <v>192</v>
      </c>
      <c r="C3151" s="28" t="s">
        <v>97</v>
      </c>
      <c r="D3151" s="28" t="s">
        <v>1750</v>
      </c>
      <c r="E3151" s="29" t="s">
        <v>485</v>
      </c>
      <c r="F3151" s="29" t="s">
        <v>494</v>
      </c>
      <c r="G3151" s="25" t="s">
        <v>4888</v>
      </c>
      <c r="H3151" s="26">
        <v>-0.67440699999999998</v>
      </c>
      <c r="I3151" s="26"/>
      <c r="J3151" s="26" t="s">
        <v>512</v>
      </c>
      <c r="K3151" s="25" t="s">
        <v>513</v>
      </c>
    </row>
    <row r="3152" spans="1:11" ht="25.5" x14ac:dyDescent="0.25">
      <c r="A3152" s="22">
        <v>2026</v>
      </c>
      <c r="B3152" s="28" t="s">
        <v>192</v>
      </c>
      <c r="C3152" s="28" t="s">
        <v>97</v>
      </c>
      <c r="D3152" s="28" t="s">
        <v>1750</v>
      </c>
      <c r="E3152" s="29" t="s">
        <v>485</v>
      </c>
      <c r="F3152" s="29" t="s">
        <v>494</v>
      </c>
      <c r="G3152" s="25" t="s">
        <v>4889</v>
      </c>
      <c r="H3152" s="26">
        <v>-0.68313999999999997</v>
      </c>
      <c r="I3152" s="26"/>
      <c r="J3152" s="26" t="s">
        <v>512</v>
      </c>
      <c r="K3152" s="25" t="s">
        <v>513</v>
      </c>
    </row>
    <row r="3153" spans="1:11" ht="25.5" x14ac:dyDescent="0.25">
      <c r="A3153" s="22">
        <v>2026</v>
      </c>
      <c r="B3153" s="28" t="s">
        <v>192</v>
      </c>
      <c r="C3153" s="28" t="s">
        <v>97</v>
      </c>
      <c r="D3153" s="28" t="s">
        <v>1750</v>
      </c>
      <c r="E3153" s="29" t="s">
        <v>485</v>
      </c>
      <c r="F3153" s="29" t="s">
        <v>494</v>
      </c>
      <c r="G3153" s="25" t="s">
        <v>4890</v>
      </c>
      <c r="H3153" s="26">
        <v>-1.0084470000000001</v>
      </c>
      <c r="I3153" s="26"/>
      <c r="J3153" s="26" t="s">
        <v>512</v>
      </c>
      <c r="K3153" s="25" t="s">
        <v>513</v>
      </c>
    </row>
    <row r="3154" spans="1:11" ht="25.5" x14ac:dyDescent="0.25">
      <c r="A3154" s="22">
        <v>2026</v>
      </c>
      <c r="B3154" s="28" t="s">
        <v>192</v>
      </c>
      <c r="C3154" s="28" t="s">
        <v>97</v>
      </c>
      <c r="D3154" s="28" t="s">
        <v>1750</v>
      </c>
      <c r="E3154" s="29" t="s">
        <v>485</v>
      </c>
      <c r="F3154" s="29" t="s">
        <v>494</v>
      </c>
      <c r="G3154" s="25" t="s">
        <v>4891</v>
      </c>
      <c r="H3154" s="26">
        <v>-1.002351</v>
      </c>
      <c r="I3154" s="26"/>
      <c r="J3154" s="26" t="s">
        <v>512</v>
      </c>
      <c r="K3154" s="25" t="s">
        <v>513</v>
      </c>
    </row>
    <row r="3155" spans="1:11" ht="25.5" x14ac:dyDescent="0.25">
      <c r="A3155" s="22">
        <v>2026</v>
      </c>
      <c r="B3155" s="28" t="s">
        <v>192</v>
      </c>
      <c r="C3155" s="28" t="s">
        <v>97</v>
      </c>
      <c r="D3155" s="28" t="s">
        <v>1750</v>
      </c>
      <c r="E3155" s="29" t="s">
        <v>485</v>
      </c>
      <c r="F3155" s="29" t="s">
        <v>494</v>
      </c>
      <c r="G3155" s="25" t="s">
        <v>4892</v>
      </c>
      <c r="H3155" s="26">
        <v>-0.48478100999999996</v>
      </c>
      <c r="I3155" s="26"/>
      <c r="J3155" s="26" t="s">
        <v>512</v>
      </c>
      <c r="K3155" s="25" t="s">
        <v>513</v>
      </c>
    </row>
    <row r="3156" spans="1:11" ht="25.5" x14ac:dyDescent="0.25">
      <c r="A3156" s="22">
        <v>2026</v>
      </c>
      <c r="B3156" s="28" t="s">
        <v>192</v>
      </c>
      <c r="C3156" s="28" t="s">
        <v>97</v>
      </c>
      <c r="D3156" s="28" t="s">
        <v>1750</v>
      </c>
      <c r="E3156" s="29" t="s">
        <v>485</v>
      </c>
      <c r="F3156" s="29" t="s">
        <v>494</v>
      </c>
      <c r="G3156" s="25" t="s">
        <v>4893</v>
      </c>
      <c r="H3156" s="26">
        <v>-0.21681</v>
      </c>
      <c r="I3156" s="26"/>
      <c r="J3156" s="26" t="s">
        <v>512</v>
      </c>
      <c r="K3156" s="25" t="s">
        <v>513</v>
      </c>
    </row>
    <row r="3157" spans="1:11" ht="25.5" x14ac:dyDescent="0.25">
      <c r="A3157" s="22">
        <v>2026</v>
      </c>
      <c r="B3157" s="28" t="s">
        <v>192</v>
      </c>
      <c r="C3157" s="28" t="s">
        <v>97</v>
      </c>
      <c r="D3157" s="28" t="s">
        <v>265</v>
      </c>
      <c r="E3157" s="29" t="s">
        <v>485</v>
      </c>
      <c r="F3157" s="29" t="s">
        <v>325</v>
      </c>
      <c r="G3157" s="25" t="s">
        <v>4894</v>
      </c>
      <c r="H3157" s="26">
        <v>-6.9835499999999998E-3</v>
      </c>
      <c r="I3157" s="26"/>
      <c r="J3157" s="26" t="s">
        <v>512</v>
      </c>
      <c r="K3157" s="25" t="s">
        <v>513</v>
      </c>
    </row>
    <row r="3158" spans="1:11" ht="25.5" x14ac:dyDescent="0.25">
      <c r="A3158" s="22">
        <v>2026</v>
      </c>
      <c r="B3158" s="28" t="s">
        <v>192</v>
      </c>
      <c r="C3158" s="28" t="s">
        <v>97</v>
      </c>
      <c r="D3158" s="28" t="s">
        <v>265</v>
      </c>
      <c r="E3158" s="29" t="s">
        <v>485</v>
      </c>
      <c r="F3158" s="29" t="s">
        <v>325</v>
      </c>
      <c r="G3158" s="25" t="s">
        <v>4895</v>
      </c>
      <c r="H3158" s="26">
        <v>-1.0689210000000001E-2</v>
      </c>
      <c r="I3158" s="26"/>
      <c r="J3158" s="26" t="s">
        <v>512</v>
      </c>
      <c r="K3158" s="25" t="s">
        <v>513</v>
      </c>
    </row>
    <row r="3159" spans="1:11" ht="25.5" x14ac:dyDescent="0.25">
      <c r="A3159" s="22">
        <v>2026</v>
      </c>
      <c r="B3159" s="28" t="s">
        <v>192</v>
      </c>
      <c r="C3159" s="28" t="s">
        <v>97</v>
      </c>
      <c r="D3159" s="28" t="s">
        <v>265</v>
      </c>
      <c r="E3159" s="29" t="s">
        <v>485</v>
      </c>
      <c r="F3159" s="29" t="s">
        <v>325</v>
      </c>
      <c r="G3159" s="25" t="s">
        <v>4896</v>
      </c>
      <c r="H3159" s="26">
        <v>-1.24E-2</v>
      </c>
      <c r="I3159" s="26"/>
      <c r="J3159" s="26" t="s">
        <v>512</v>
      </c>
      <c r="K3159" s="25" t="s">
        <v>513</v>
      </c>
    </row>
    <row r="3160" spans="1:11" ht="25.5" x14ac:dyDescent="0.25">
      <c r="A3160" s="22">
        <v>2026</v>
      </c>
      <c r="B3160" s="28" t="s">
        <v>192</v>
      </c>
      <c r="C3160" s="28" t="s">
        <v>97</v>
      </c>
      <c r="D3160" s="28" t="s">
        <v>1751</v>
      </c>
      <c r="E3160" s="29" t="s">
        <v>485</v>
      </c>
      <c r="F3160" s="29" t="s">
        <v>353</v>
      </c>
      <c r="G3160" s="25" t="s">
        <v>4897</v>
      </c>
      <c r="H3160" s="26">
        <v>-5.475E-2</v>
      </c>
      <c r="I3160" s="26"/>
      <c r="J3160" s="26" t="s">
        <v>512</v>
      </c>
      <c r="K3160" s="25" t="s">
        <v>513</v>
      </c>
    </row>
    <row r="3161" spans="1:11" ht="25.5" x14ac:dyDescent="0.25">
      <c r="A3161" s="22">
        <v>2026</v>
      </c>
      <c r="B3161" s="28" t="s">
        <v>192</v>
      </c>
      <c r="C3161" s="28" t="s">
        <v>97</v>
      </c>
      <c r="D3161" s="28" t="s">
        <v>1751</v>
      </c>
      <c r="E3161" s="29" t="s">
        <v>485</v>
      </c>
      <c r="F3161" s="29" t="s">
        <v>353</v>
      </c>
      <c r="G3161" s="25" t="s">
        <v>4898</v>
      </c>
      <c r="H3161" s="26">
        <v>-0.35575000000000001</v>
      </c>
      <c r="I3161" s="26"/>
      <c r="J3161" s="26" t="s">
        <v>512</v>
      </c>
      <c r="K3161" s="25" t="s">
        <v>513</v>
      </c>
    </row>
    <row r="3162" spans="1:11" ht="25.5" x14ac:dyDescent="0.25">
      <c r="A3162" s="22">
        <v>2026</v>
      </c>
      <c r="B3162" s="28" t="s">
        <v>192</v>
      </c>
      <c r="C3162" s="28" t="s">
        <v>97</v>
      </c>
      <c r="D3162" s="28" t="s">
        <v>1751</v>
      </c>
      <c r="E3162" s="29" t="s">
        <v>485</v>
      </c>
      <c r="F3162" s="29" t="s">
        <v>353</v>
      </c>
      <c r="G3162" s="25" t="s">
        <v>4899</v>
      </c>
      <c r="H3162" s="26">
        <v>-7.0550000000000002E-2</v>
      </c>
      <c r="I3162" s="26"/>
      <c r="J3162" s="26" t="s">
        <v>512</v>
      </c>
      <c r="K3162" s="25" t="s">
        <v>513</v>
      </c>
    </row>
    <row r="3163" spans="1:11" ht="25.5" x14ac:dyDescent="0.25">
      <c r="A3163" s="22">
        <v>2026</v>
      </c>
      <c r="B3163" s="28" t="s">
        <v>192</v>
      </c>
      <c r="C3163" s="28" t="s">
        <v>97</v>
      </c>
      <c r="D3163" s="28" t="s">
        <v>1751</v>
      </c>
      <c r="E3163" s="29" t="s">
        <v>485</v>
      </c>
      <c r="F3163" s="29" t="s">
        <v>353</v>
      </c>
      <c r="G3163" s="25" t="s">
        <v>4900</v>
      </c>
      <c r="H3163" s="26">
        <v>-8.6749999999999994E-2</v>
      </c>
      <c r="I3163" s="26"/>
      <c r="J3163" s="26" t="s">
        <v>512</v>
      </c>
      <c r="K3163" s="25" t="s">
        <v>513</v>
      </c>
    </row>
    <row r="3164" spans="1:11" ht="25.5" x14ac:dyDescent="0.25">
      <c r="A3164" s="22">
        <v>2026</v>
      </c>
      <c r="B3164" s="28" t="s">
        <v>192</v>
      </c>
      <c r="C3164" s="28" t="s">
        <v>97</v>
      </c>
      <c r="D3164" s="28" t="s">
        <v>1751</v>
      </c>
      <c r="E3164" s="29" t="s">
        <v>485</v>
      </c>
      <c r="F3164" s="29" t="s">
        <v>353</v>
      </c>
      <c r="G3164" s="25" t="s">
        <v>4901</v>
      </c>
      <c r="H3164" s="26">
        <v>-5.1900000000000002E-2</v>
      </c>
      <c r="I3164" s="26"/>
      <c r="J3164" s="26" t="s">
        <v>512</v>
      </c>
      <c r="K3164" s="25" t="s">
        <v>513</v>
      </c>
    </row>
    <row r="3165" spans="1:11" ht="25.5" x14ac:dyDescent="0.25">
      <c r="A3165" s="22">
        <v>2026</v>
      </c>
      <c r="B3165" s="28" t="s">
        <v>192</v>
      </c>
      <c r="C3165" s="28" t="s">
        <v>97</v>
      </c>
      <c r="D3165" s="28" t="s">
        <v>1751</v>
      </c>
      <c r="E3165" s="29" t="s">
        <v>485</v>
      </c>
      <c r="F3165" s="29" t="s">
        <v>353</v>
      </c>
      <c r="G3165" s="25" t="s">
        <v>4902</v>
      </c>
      <c r="H3165" s="26">
        <v>-3.4799999999999998E-2</v>
      </c>
      <c r="I3165" s="26"/>
      <c r="J3165" s="26" t="s">
        <v>512</v>
      </c>
      <c r="K3165" s="25" t="s">
        <v>513</v>
      </c>
    </row>
    <row r="3166" spans="1:11" ht="25.5" x14ac:dyDescent="0.25">
      <c r="A3166" s="22">
        <v>2026</v>
      </c>
      <c r="B3166" s="28" t="s">
        <v>192</v>
      </c>
      <c r="C3166" s="28" t="s">
        <v>97</v>
      </c>
      <c r="D3166" s="28" t="s">
        <v>1751</v>
      </c>
      <c r="E3166" s="29" t="s">
        <v>485</v>
      </c>
      <c r="F3166" s="29" t="s">
        <v>353</v>
      </c>
      <c r="G3166" s="25" t="s">
        <v>4902</v>
      </c>
      <c r="H3166" s="26">
        <v>-3.4799999999999998E-2</v>
      </c>
      <c r="I3166" s="26"/>
      <c r="J3166" s="26" t="s">
        <v>512</v>
      </c>
      <c r="K3166" s="25" t="s">
        <v>513</v>
      </c>
    </row>
    <row r="3167" spans="1:11" ht="25.5" x14ac:dyDescent="0.25">
      <c r="A3167" s="22">
        <v>2026</v>
      </c>
      <c r="B3167" s="28" t="s">
        <v>192</v>
      </c>
      <c r="C3167" s="28" t="s">
        <v>97</v>
      </c>
      <c r="D3167" s="28" t="s">
        <v>1751</v>
      </c>
      <c r="E3167" s="29" t="s">
        <v>485</v>
      </c>
      <c r="F3167" s="29" t="s">
        <v>353</v>
      </c>
      <c r="G3167" s="25" t="s">
        <v>4903</v>
      </c>
      <c r="H3167" s="26">
        <v>-6.9199999999999998E-2</v>
      </c>
      <c r="I3167" s="26"/>
      <c r="J3167" s="26" t="s">
        <v>512</v>
      </c>
      <c r="K3167" s="25" t="s">
        <v>513</v>
      </c>
    </row>
    <row r="3168" spans="1:11" ht="25.5" x14ac:dyDescent="0.25">
      <c r="A3168" s="22">
        <v>2026</v>
      </c>
      <c r="B3168" s="28" t="s">
        <v>192</v>
      </c>
      <c r="C3168" s="28" t="s">
        <v>97</v>
      </c>
      <c r="D3168" s="28" t="s">
        <v>1751</v>
      </c>
      <c r="E3168" s="29" t="s">
        <v>485</v>
      </c>
      <c r="F3168" s="29" t="s">
        <v>353</v>
      </c>
      <c r="G3168" s="25" t="s">
        <v>4904</v>
      </c>
      <c r="H3168" s="26">
        <v>-6.9400000000000003E-2</v>
      </c>
      <c r="I3168" s="26"/>
      <c r="J3168" s="26" t="s">
        <v>512</v>
      </c>
      <c r="K3168" s="25" t="s">
        <v>513</v>
      </c>
    </row>
    <row r="3169" spans="1:11" ht="25.5" x14ac:dyDescent="0.25">
      <c r="A3169" s="22">
        <v>2026</v>
      </c>
      <c r="B3169" s="28" t="s">
        <v>192</v>
      </c>
      <c r="C3169" s="28" t="s">
        <v>97</v>
      </c>
      <c r="D3169" s="28" t="s">
        <v>1751</v>
      </c>
      <c r="E3169" s="29" t="s">
        <v>485</v>
      </c>
      <c r="F3169" s="29" t="s">
        <v>353</v>
      </c>
      <c r="G3169" s="25" t="s">
        <v>4905</v>
      </c>
      <c r="H3169" s="26">
        <v>-6.8599999999999994E-2</v>
      </c>
      <c r="I3169" s="26"/>
      <c r="J3169" s="26" t="s">
        <v>512</v>
      </c>
      <c r="K3169" s="25" t="s">
        <v>513</v>
      </c>
    </row>
    <row r="3170" spans="1:11" ht="25.5" x14ac:dyDescent="0.25">
      <c r="A3170" s="22">
        <v>2026</v>
      </c>
      <c r="B3170" s="28" t="s">
        <v>192</v>
      </c>
      <c r="C3170" s="28" t="s">
        <v>97</v>
      </c>
      <c r="D3170" s="28" t="s">
        <v>1751</v>
      </c>
      <c r="E3170" s="29" t="s">
        <v>485</v>
      </c>
      <c r="F3170" s="29" t="s">
        <v>353</v>
      </c>
      <c r="G3170" s="25" t="s">
        <v>4904</v>
      </c>
      <c r="H3170" s="26">
        <v>-6.9400000000000003E-2</v>
      </c>
      <c r="I3170" s="26"/>
      <c r="J3170" s="26" t="s">
        <v>512</v>
      </c>
      <c r="K3170" s="25" t="s">
        <v>513</v>
      </c>
    </row>
    <row r="3171" spans="1:11" ht="25.5" x14ac:dyDescent="0.25">
      <c r="A3171" s="22">
        <v>2026</v>
      </c>
      <c r="B3171" s="28" t="s">
        <v>192</v>
      </c>
      <c r="C3171" s="28" t="s">
        <v>97</v>
      </c>
      <c r="D3171" s="28" t="s">
        <v>1751</v>
      </c>
      <c r="E3171" s="29" t="s">
        <v>485</v>
      </c>
      <c r="F3171" s="29" t="s">
        <v>353</v>
      </c>
      <c r="G3171" s="25" t="s">
        <v>4906</v>
      </c>
      <c r="H3171" s="26">
        <v>-0.1008</v>
      </c>
      <c r="I3171" s="26"/>
      <c r="J3171" s="26" t="s">
        <v>512</v>
      </c>
      <c r="K3171" s="25" t="s">
        <v>513</v>
      </c>
    </row>
    <row r="3172" spans="1:11" ht="25.5" x14ac:dyDescent="0.25">
      <c r="A3172" s="22">
        <v>2026</v>
      </c>
      <c r="B3172" s="28" t="s">
        <v>192</v>
      </c>
      <c r="C3172" s="28" t="s">
        <v>97</v>
      </c>
      <c r="D3172" s="28" t="s">
        <v>1751</v>
      </c>
      <c r="E3172" s="29" t="s">
        <v>485</v>
      </c>
      <c r="F3172" s="29" t="s">
        <v>353</v>
      </c>
      <c r="G3172" s="25" t="s">
        <v>4907</v>
      </c>
      <c r="H3172" s="26">
        <v>-9.9299999999999999E-2</v>
      </c>
      <c r="I3172" s="26"/>
      <c r="J3172" s="26" t="s">
        <v>512</v>
      </c>
      <c r="K3172" s="25" t="s">
        <v>513</v>
      </c>
    </row>
    <row r="3173" spans="1:11" ht="25.5" x14ac:dyDescent="0.25">
      <c r="A3173" s="22">
        <v>2026</v>
      </c>
      <c r="B3173" s="28" t="s">
        <v>192</v>
      </c>
      <c r="C3173" s="28" t="s">
        <v>97</v>
      </c>
      <c r="D3173" s="28" t="s">
        <v>1751</v>
      </c>
      <c r="E3173" s="29" t="s">
        <v>485</v>
      </c>
      <c r="F3173" s="29" t="s">
        <v>353</v>
      </c>
      <c r="G3173" s="25" t="s">
        <v>4908</v>
      </c>
      <c r="H3173" s="26">
        <v>-3.3099999999999997E-2</v>
      </c>
      <c r="I3173" s="26"/>
      <c r="J3173" s="26" t="s">
        <v>512</v>
      </c>
      <c r="K3173" s="25" t="s">
        <v>513</v>
      </c>
    </row>
    <row r="3174" spans="1:11" ht="25.5" x14ac:dyDescent="0.25">
      <c r="A3174" s="22">
        <v>2026</v>
      </c>
      <c r="B3174" s="28" t="s">
        <v>192</v>
      </c>
      <c r="C3174" s="28" t="s">
        <v>97</v>
      </c>
      <c r="D3174" s="28" t="s">
        <v>1751</v>
      </c>
      <c r="E3174" s="29" t="s">
        <v>485</v>
      </c>
      <c r="F3174" s="29" t="s">
        <v>353</v>
      </c>
      <c r="G3174" s="25" t="s">
        <v>4909</v>
      </c>
      <c r="H3174" s="26">
        <v>-9.8699999999999996E-2</v>
      </c>
      <c r="I3174" s="26"/>
      <c r="J3174" s="26" t="s">
        <v>512</v>
      </c>
      <c r="K3174" s="25" t="s">
        <v>513</v>
      </c>
    </row>
    <row r="3175" spans="1:11" ht="25.5" x14ac:dyDescent="0.25">
      <c r="A3175" s="22">
        <v>2026</v>
      </c>
      <c r="B3175" s="28" t="s">
        <v>192</v>
      </c>
      <c r="C3175" s="28" t="s">
        <v>97</v>
      </c>
      <c r="D3175" s="28" t="s">
        <v>1751</v>
      </c>
      <c r="E3175" s="29" t="s">
        <v>485</v>
      </c>
      <c r="F3175" s="29" t="s">
        <v>353</v>
      </c>
      <c r="G3175" s="25" t="s">
        <v>4910</v>
      </c>
      <c r="H3175" s="26">
        <v>-5.0099999999999999E-2</v>
      </c>
      <c r="I3175" s="26"/>
      <c r="J3175" s="26" t="s">
        <v>512</v>
      </c>
      <c r="K3175" s="25" t="s">
        <v>513</v>
      </c>
    </row>
    <row r="3176" spans="1:11" ht="25.5" x14ac:dyDescent="0.25">
      <c r="A3176" s="22">
        <v>2026</v>
      </c>
      <c r="B3176" s="28" t="s">
        <v>192</v>
      </c>
      <c r="C3176" s="28" t="s">
        <v>97</v>
      </c>
      <c r="D3176" s="28" t="s">
        <v>1751</v>
      </c>
      <c r="E3176" s="29" t="s">
        <v>485</v>
      </c>
      <c r="F3176" s="29" t="s">
        <v>353</v>
      </c>
      <c r="G3176" s="25" t="s">
        <v>4908</v>
      </c>
      <c r="H3176" s="26">
        <v>-3.3099999999999997E-2</v>
      </c>
      <c r="I3176" s="26"/>
      <c r="J3176" s="26" t="s">
        <v>512</v>
      </c>
      <c r="K3176" s="25" t="s">
        <v>513</v>
      </c>
    </row>
    <row r="3177" spans="1:11" ht="25.5" x14ac:dyDescent="0.25">
      <c r="A3177" s="22">
        <v>2026</v>
      </c>
      <c r="B3177" s="28" t="s">
        <v>192</v>
      </c>
      <c r="C3177" s="28" t="s">
        <v>97</v>
      </c>
      <c r="D3177" s="28" t="s">
        <v>1751</v>
      </c>
      <c r="E3177" s="29" t="s">
        <v>485</v>
      </c>
      <c r="F3177" s="29" t="s">
        <v>353</v>
      </c>
      <c r="G3177" s="25" t="s">
        <v>4911</v>
      </c>
      <c r="H3177" s="26">
        <v>-3.3300000000000003E-2</v>
      </c>
      <c r="I3177" s="26"/>
      <c r="J3177" s="26" t="s">
        <v>512</v>
      </c>
      <c r="K3177" s="25" t="s">
        <v>513</v>
      </c>
    </row>
    <row r="3178" spans="1:11" ht="25.5" x14ac:dyDescent="0.25">
      <c r="A3178" s="22">
        <v>2026</v>
      </c>
      <c r="B3178" s="28" t="s">
        <v>192</v>
      </c>
      <c r="C3178" s="28" t="s">
        <v>97</v>
      </c>
      <c r="D3178" s="28" t="s">
        <v>1751</v>
      </c>
      <c r="E3178" s="29" t="s">
        <v>485</v>
      </c>
      <c r="F3178" s="29" t="s">
        <v>353</v>
      </c>
      <c r="G3178" s="25" t="s">
        <v>4912</v>
      </c>
      <c r="H3178" s="26">
        <v>-6.6750000000000004E-2</v>
      </c>
      <c r="I3178" s="26"/>
      <c r="J3178" s="26" t="s">
        <v>512</v>
      </c>
      <c r="K3178" s="25" t="s">
        <v>513</v>
      </c>
    </row>
    <row r="3179" spans="1:11" ht="25.5" x14ac:dyDescent="0.25">
      <c r="A3179" s="22">
        <v>2026</v>
      </c>
      <c r="B3179" s="28" t="s">
        <v>192</v>
      </c>
      <c r="C3179" s="28" t="s">
        <v>97</v>
      </c>
      <c r="D3179" s="28" t="s">
        <v>1751</v>
      </c>
      <c r="E3179" s="29" t="s">
        <v>485</v>
      </c>
      <c r="F3179" s="29" t="s">
        <v>353</v>
      </c>
      <c r="G3179" s="25" t="s">
        <v>4913</v>
      </c>
      <c r="H3179" s="26">
        <v>-5.0700000000000002E-2</v>
      </c>
      <c r="I3179" s="26"/>
      <c r="J3179" s="26" t="s">
        <v>512</v>
      </c>
      <c r="K3179" s="25" t="s">
        <v>513</v>
      </c>
    </row>
    <row r="3180" spans="1:11" ht="25.5" x14ac:dyDescent="0.25">
      <c r="A3180" s="22">
        <v>2026</v>
      </c>
      <c r="B3180" s="28" t="s">
        <v>192</v>
      </c>
      <c r="C3180" s="28" t="s">
        <v>97</v>
      </c>
      <c r="D3180" s="28" t="s">
        <v>539</v>
      </c>
      <c r="E3180" s="29" t="s">
        <v>485</v>
      </c>
      <c r="F3180" s="29" t="s">
        <v>566</v>
      </c>
      <c r="G3180" s="25" t="s">
        <v>4914</v>
      </c>
      <c r="H3180" s="26">
        <v>-0.13795991999999999</v>
      </c>
      <c r="I3180" s="26"/>
      <c r="J3180" s="26" t="s">
        <v>512</v>
      </c>
      <c r="K3180" s="25" t="s">
        <v>513</v>
      </c>
    </row>
    <row r="3181" spans="1:11" ht="25.5" x14ac:dyDescent="0.25">
      <c r="A3181" s="22">
        <v>2026</v>
      </c>
      <c r="B3181" s="28" t="s">
        <v>192</v>
      </c>
      <c r="C3181" s="28" t="s">
        <v>97</v>
      </c>
      <c r="D3181" s="28" t="s">
        <v>539</v>
      </c>
      <c r="E3181" s="29" t="s">
        <v>485</v>
      </c>
      <c r="F3181" s="29" t="s">
        <v>566</v>
      </c>
      <c r="G3181" s="25" t="s">
        <v>4915</v>
      </c>
      <c r="H3181" s="26">
        <v>-0.15059235900000001</v>
      </c>
      <c r="I3181" s="26"/>
      <c r="J3181" s="26" t="s">
        <v>512</v>
      </c>
      <c r="K3181" s="25" t="s">
        <v>513</v>
      </c>
    </row>
    <row r="3182" spans="1:11" ht="25.5" x14ac:dyDescent="0.25">
      <c r="A3182" s="22">
        <v>2026</v>
      </c>
      <c r="B3182" s="28" t="s">
        <v>192</v>
      </c>
      <c r="C3182" s="28" t="s">
        <v>97</v>
      </c>
      <c r="D3182" s="28" t="s">
        <v>539</v>
      </c>
      <c r="E3182" s="29" t="s">
        <v>485</v>
      </c>
      <c r="F3182" s="29" t="s">
        <v>566</v>
      </c>
      <c r="G3182" s="25" t="s">
        <v>4916</v>
      </c>
      <c r="H3182" s="26">
        <v>-0.12919913801999999</v>
      </c>
      <c r="I3182" s="26"/>
      <c r="J3182" s="26" t="s">
        <v>512</v>
      </c>
      <c r="K3182" s="25" t="s">
        <v>513</v>
      </c>
    </row>
    <row r="3183" spans="1:11" ht="25.5" x14ac:dyDescent="0.25">
      <c r="A3183" s="22">
        <v>2026</v>
      </c>
      <c r="B3183" s="28" t="s">
        <v>192</v>
      </c>
      <c r="C3183" s="28" t="s">
        <v>97</v>
      </c>
      <c r="D3183" s="28" t="s">
        <v>539</v>
      </c>
      <c r="E3183" s="29" t="s">
        <v>485</v>
      </c>
      <c r="F3183" s="29" t="s">
        <v>566</v>
      </c>
      <c r="G3183" s="25" t="s">
        <v>4917</v>
      </c>
      <c r="H3183" s="26">
        <v>-0.12781623350999999</v>
      </c>
      <c r="I3183" s="26"/>
      <c r="J3183" s="26" t="s">
        <v>512</v>
      </c>
      <c r="K3183" s="25" t="s">
        <v>513</v>
      </c>
    </row>
    <row r="3184" spans="1:11" ht="25.5" x14ac:dyDescent="0.25">
      <c r="A3184" s="22">
        <v>2026</v>
      </c>
      <c r="B3184" s="28" t="s">
        <v>192</v>
      </c>
      <c r="C3184" s="28" t="s">
        <v>97</v>
      </c>
      <c r="D3184" s="28" t="s">
        <v>1752</v>
      </c>
      <c r="E3184" s="29" t="s">
        <v>485</v>
      </c>
      <c r="F3184" s="29" t="s">
        <v>937</v>
      </c>
      <c r="G3184" s="25" t="s">
        <v>4918</v>
      </c>
      <c r="H3184" s="26">
        <v>-0.5798565</v>
      </c>
      <c r="I3184" s="26"/>
      <c r="J3184" s="26" t="s">
        <v>512</v>
      </c>
      <c r="K3184" s="25" t="s">
        <v>513</v>
      </c>
    </row>
    <row r="3185" spans="1:11" ht="25.5" x14ac:dyDescent="0.25">
      <c r="A3185" s="22">
        <v>2026</v>
      </c>
      <c r="B3185" s="28" t="s">
        <v>192</v>
      </c>
      <c r="C3185" s="28" t="s">
        <v>97</v>
      </c>
      <c r="D3185" s="28" t="s">
        <v>1752</v>
      </c>
      <c r="E3185" s="29" t="s">
        <v>485</v>
      </c>
      <c r="F3185" s="29" t="s">
        <v>937</v>
      </c>
      <c r="G3185" s="25" t="s">
        <v>4919</v>
      </c>
      <c r="H3185" s="26">
        <v>-0.41884304</v>
      </c>
      <c r="I3185" s="26"/>
      <c r="J3185" s="26" t="s">
        <v>512</v>
      </c>
      <c r="K3185" s="25" t="s">
        <v>513</v>
      </c>
    </row>
    <row r="3186" spans="1:11" ht="25.5" x14ac:dyDescent="0.25">
      <c r="A3186" s="22">
        <v>2026</v>
      </c>
      <c r="B3186" s="28" t="s">
        <v>192</v>
      </c>
      <c r="C3186" s="28" t="s">
        <v>97</v>
      </c>
      <c r="D3186" s="28" t="s">
        <v>1752</v>
      </c>
      <c r="E3186" s="29" t="s">
        <v>485</v>
      </c>
      <c r="F3186" s="29" t="s">
        <v>937</v>
      </c>
      <c r="G3186" s="25" t="s">
        <v>4920</v>
      </c>
      <c r="H3186" s="26">
        <v>-0.27934575</v>
      </c>
      <c r="I3186" s="26"/>
      <c r="J3186" s="26" t="s">
        <v>512</v>
      </c>
      <c r="K3186" s="25" t="s">
        <v>513</v>
      </c>
    </row>
    <row r="3187" spans="1:11" ht="25.5" x14ac:dyDescent="0.25">
      <c r="A3187" s="22">
        <v>2026</v>
      </c>
      <c r="B3187" s="28" t="s">
        <v>192</v>
      </c>
      <c r="C3187" s="28" t="s">
        <v>97</v>
      </c>
      <c r="D3187" s="28" t="s">
        <v>1752</v>
      </c>
      <c r="E3187" s="29" t="s">
        <v>485</v>
      </c>
      <c r="F3187" s="29" t="s">
        <v>937</v>
      </c>
      <c r="G3187" s="25" t="s">
        <v>4921</v>
      </c>
      <c r="H3187" s="26">
        <v>-0.37918099999999999</v>
      </c>
      <c r="I3187" s="26"/>
      <c r="J3187" s="26" t="s">
        <v>512</v>
      </c>
      <c r="K3187" s="25" t="s">
        <v>513</v>
      </c>
    </row>
    <row r="3188" spans="1:11" ht="25.5" x14ac:dyDescent="0.25">
      <c r="A3188" s="22">
        <v>2026</v>
      </c>
      <c r="B3188" s="28" t="s">
        <v>192</v>
      </c>
      <c r="C3188" s="28" t="s">
        <v>97</v>
      </c>
      <c r="D3188" s="28" t="s">
        <v>1752</v>
      </c>
      <c r="E3188" s="29" t="s">
        <v>485</v>
      </c>
      <c r="F3188" s="29" t="s">
        <v>937</v>
      </c>
      <c r="G3188" s="25" t="s">
        <v>4922</v>
      </c>
      <c r="H3188" s="26">
        <v>-0.37199100000000002</v>
      </c>
      <c r="I3188" s="26"/>
      <c r="J3188" s="26" t="s">
        <v>512</v>
      </c>
      <c r="K3188" s="25" t="s">
        <v>513</v>
      </c>
    </row>
    <row r="3189" spans="1:11" ht="25.5" x14ac:dyDescent="0.25">
      <c r="A3189" s="22">
        <v>2026</v>
      </c>
      <c r="B3189" s="28" t="s">
        <v>192</v>
      </c>
      <c r="C3189" s="28" t="s">
        <v>97</v>
      </c>
      <c r="D3189" s="28" t="s">
        <v>1752</v>
      </c>
      <c r="E3189" s="29" t="s">
        <v>485</v>
      </c>
      <c r="F3189" s="29" t="s">
        <v>937</v>
      </c>
      <c r="G3189" s="25" t="s">
        <v>4923</v>
      </c>
      <c r="H3189" s="26">
        <v>-0.55065299999999995</v>
      </c>
      <c r="I3189" s="26"/>
      <c r="J3189" s="26" t="s">
        <v>512</v>
      </c>
      <c r="K3189" s="25" t="s">
        <v>513</v>
      </c>
    </row>
    <row r="3190" spans="1:11" ht="25.5" x14ac:dyDescent="0.25">
      <c r="A3190" s="22">
        <v>2026</v>
      </c>
      <c r="B3190" s="28" t="s">
        <v>192</v>
      </c>
      <c r="C3190" s="28" t="s">
        <v>97</v>
      </c>
      <c r="D3190" s="28" t="s">
        <v>1752</v>
      </c>
      <c r="E3190" s="29" t="s">
        <v>485</v>
      </c>
      <c r="F3190" s="29" t="s">
        <v>937</v>
      </c>
      <c r="G3190" s="25" t="s">
        <v>4924</v>
      </c>
      <c r="H3190" s="26">
        <v>-8.2342942500000002E-2</v>
      </c>
      <c r="I3190" s="26"/>
      <c r="J3190" s="26" t="s">
        <v>512</v>
      </c>
      <c r="K3190" s="25" t="s">
        <v>513</v>
      </c>
    </row>
    <row r="3191" spans="1:11" ht="25.5" x14ac:dyDescent="0.25">
      <c r="A3191" s="22">
        <v>2026</v>
      </c>
      <c r="B3191" s="28" t="s">
        <v>192</v>
      </c>
      <c r="C3191" s="28" t="s">
        <v>97</v>
      </c>
      <c r="D3191" s="28" t="s">
        <v>1752</v>
      </c>
      <c r="E3191" s="29" t="s">
        <v>485</v>
      </c>
      <c r="F3191" s="29" t="s">
        <v>937</v>
      </c>
      <c r="G3191" s="25" t="s">
        <v>4925</v>
      </c>
      <c r="H3191" s="26">
        <v>-9.0450000000000003E-2</v>
      </c>
      <c r="I3191" s="26"/>
      <c r="J3191" s="26" t="s">
        <v>512</v>
      </c>
      <c r="K3191" s="25" t="s">
        <v>513</v>
      </c>
    </row>
    <row r="3192" spans="1:11" ht="25.5" x14ac:dyDescent="0.25">
      <c r="A3192" s="22">
        <v>2026</v>
      </c>
      <c r="B3192" s="28" t="s">
        <v>192</v>
      </c>
      <c r="C3192" s="28" t="s">
        <v>97</v>
      </c>
      <c r="D3192" s="28" t="s">
        <v>1752</v>
      </c>
      <c r="E3192" s="29" t="s">
        <v>485</v>
      </c>
      <c r="F3192" s="29" t="s">
        <v>937</v>
      </c>
      <c r="G3192" s="25" t="s">
        <v>4926</v>
      </c>
      <c r="H3192" s="26">
        <v>-0.12020283</v>
      </c>
      <c r="I3192" s="26"/>
      <c r="J3192" s="26" t="s">
        <v>512</v>
      </c>
      <c r="K3192" s="25" t="s">
        <v>513</v>
      </c>
    </row>
    <row r="3193" spans="1:11" ht="25.5" x14ac:dyDescent="0.25">
      <c r="A3193" s="22">
        <v>2026</v>
      </c>
      <c r="B3193" s="28" t="s">
        <v>192</v>
      </c>
      <c r="C3193" s="28" t="s">
        <v>97</v>
      </c>
      <c r="D3193" s="28" t="s">
        <v>1752</v>
      </c>
      <c r="E3193" s="29" t="s">
        <v>485</v>
      </c>
      <c r="F3193" s="29" t="s">
        <v>937</v>
      </c>
      <c r="G3193" s="25" t="s">
        <v>4927</v>
      </c>
      <c r="H3193" s="26">
        <v>-0.36178500000000002</v>
      </c>
      <c r="I3193" s="26"/>
      <c r="J3193" s="26" t="s">
        <v>512</v>
      </c>
      <c r="K3193" s="25" t="s">
        <v>513</v>
      </c>
    </row>
    <row r="3194" spans="1:11" ht="25.5" x14ac:dyDescent="0.25">
      <c r="A3194" s="22">
        <v>2026</v>
      </c>
      <c r="B3194" s="28" t="s">
        <v>192</v>
      </c>
      <c r="C3194" s="28" t="s">
        <v>97</v>
      </c>
      <c r="D3194" s="28" t="s">
        <v>1752</v>
      </c>
      <c r="E3194" s="29" t="s">
        <v>485</v>
      </c>
      <c r="F3194" s="29" t="s">
        <v>937</v>
      </c>
      <c r="G3194" s="25" t="s">
        <v>4928</v>
      </c>
      <c r="H3194" s="26">
        <v>-0.47544577500000001</v>
      </c>
      <c r="I3194" s="26"/>
      <c r="J3194" s="26" t="s">
        <v>512</v>
      </c>
      <c r="K3194" s="25" t="s">
        <v>513</v>
      </c>
    </row>
    <row r="3195" spans="1:11" ht="25.5" x14ac:dyDescent="0.25">
      <c r="A3195" s="22">
        <v>2026</v>
      </c>
      <c r="B3195" s="28" t="s">
        <v>192</v>
      </c>
      <c r="C3195" s="28" t="s">
        <v>97</v>
      </c>
      <c r="D3195" s="28" t="s">
        <v>1752</v>
      </c>
      <c r="E3195" s="29" t="s">
        <v>485</v>
      </c>
      <c r="F3195" s="29" t="s">
        <v>937</v>
      </c>
      <c r="G3195" s="25" t="s">
        <v>4929</v>
      </c>
      <c r="H3195" s="26">
        <v>-0.35536499999999999</v>
      </c>
      <c r="I3195" s="26"/>
      <c r="J3195" s="26" t="s">
        <v>512</v>
      </c>
      <c r="K3195" s="25" t="s">
        <v>513</v>
      </c>
    </row>
    <row r="3196" spans="1:11" ht="25.5" x14ac:dyDescent="0.25">
      <c r="A3196" s="22">
        <v>2026</v>
      </c>
      <c r="B3196" s="28" t="s">
        <v>192</v>
      </c>
      <c r="C3196" s="28" t="s">
        <v>97</v>
      </c>
      <c r="D3196" s="28" t="s">
        <v>260</v>
      </c>
      <c r="E3196" s="29" t="s">
        <v>485</v>
      </c>
      <c r="F3196" s="29" t="s">
        <v>386</v>
      </c>
      <c r="G3196" s="25" t="s">
        <v>4930</v>
      </c>
      <c r="H3196" s="26">
        <v>-0.10577489999999999</v>
      </c>
      <c r="I3196" s="26"/>
      <c r="J3196" s="26" t="s">
        <v>512</v>
      </c>
      <c r="K3196" s="25" t="s">
        <v>513</v>
      </c>
    </row>
    <row r="3197" spans="1:11" ht="25.5" x14ac:dyDescent="0.25">
      <c r="A3197" s="22">
        <v>2026</v>
      </c>
      <c r="B3197" s="28" t="s">
        <v>192</v>
      </c>
      <c r="C3197" s="28" t="s">
        <v>97</v>
      </c>
      <c r="D3197" s="28" t="s">
        <v>260</v>
      </c>
      <c r="E3197" s="29" t="s">
        <v>485</v>
      </c>
      <c r="F3197" s="29" t="s">
        <v>386</v>
      </c>
      <c r="G3197" s="25" t="s">
        <v>4931</v>
      </c>
      <c r="H3197" s="26">
        <v>-6.8169999999999994E-2</v>
      </c>
      <c r="I3197" s="26"/>
      <c r="J3197" s="26" t="s">
        <v>512</v>
      </c>
      <c r="K3197" s="25" t="s">
        <v>513</v>
      </c>
    </row>
    <row r="3198" spans="1:11" ht="25.5" x14ac:dyDescent="0.25">
      <c r="A3198" s="22">
        <v>2026</v>
      </c>
      <c r="B3198" s="28" t="s">
        <v>192</v>
      </c>
      <c r="C3198" s="28" t="s">
        <v>97</v>
      </c>
      <c r="D3198" s="28" t="s">
        <v>260</v>
      </c>
      <c r="E3198" s="29" t="s">
        <v>485</v>
      </c>
      <c r="F3198" s="29" t="s">
        <v>386</v>
      </c>
      <c r="G3198" s="25" t="s">
        <v>4932</v>
      </c>
      <c r="H3198" s="26">
        <v>-6.6500000000000004E-2</v>
      </c>
      <c r="I3198" s="26"/>
      <c r="J3198" s="26" t="s">
        <v>512</v>
      </c>
      <c r="K3198" s="25" t="s">
        <v>513</v>
      </c>
    </row>
    <row r="3199" spans="1:11" ht="25.5" x14ac:dyDescent="0.25">
      <c r="A3199" s="22">
        <v>2026</v>
      </c>
      <c r="B3199" s="28" t="s">
        <v>192</v>
      </c>
      <c r="C3199" s="28" t="s">
        <v>97</v>
      </c>
      <c r="D3199" s="28" t="s">
        <v>260</v>
      </c>
      <c r="E3199" s="29" t="s">
        <v>485</v>
      </c>
      <c r="F3199" s="29" t="s">
        <v>386</v>
      </c>
      <c r="G3199" s="25" t="s">
        <v>4933</v>
      </c>
      <c r="H3199" s="26">
        <v>-6.7299999999999999E-2</v>
      </c>
      <c r="I3199" s="26"/>
      <c r="J3199" s="26" t="s">
        <v>512</v>
      </c>
      <c r="K3199" s="25" t="s">
        <v>513</v>
      </c>
    </row>
    <row r="3200" spans="1:11" ht="25.5" x14ac:dyDescent="0.25">
      <c r="A3200" s="22">
        <v>2026</v>
      </c>
      <c r="B3200" s="28" t="s">
        <v>192</v>
      </c>
      <c r="C3200" s="28" t="s">
        <v>97</v>
      </c>
      <c r="D3200" s="28" t="s">
        <v>1753</v>
      </c>
      <c r="E3200" s="29" t="s">
        <v>331</v>
      </c>
      <c r="F3200" s="29" t="s">
        <v>335</v>
      </c>
      <c r="G3200" s="25" t="s">
        <v>4934</v>
      </c>
      <c r="H3200" s="26">
        <v>-0.26323000000000002</v>
      </c>
      <c r="I3200" s="26"/>
      <c r="J3200" s="26" t="s">
        <v>512</v>
      </c>
      <c r="K3200" s="25" t="s">
        <v>513</v>
      </c>
    </row>
    <row r="3201" spans="1:11" ht="25.5" x14ac:dyDescent="0.25">
      <c r="A3201" s="22">
        <v>2026</v>
      </c>
      <c r="B3201" s="28" t="s">
        <v>192</v>
      </c>
      <c r="C3201" s="28" t="s">
        <v>97</v>
      </c>
      <c r="D3201" s="28" t="s">
        <v>1753</v>
      </c>
      <c r="E3201" s="29" t="s">
        <v>331</v>
      </c>
      <c r="F3201" s="29" t="s">
        <v>335</v>
      </c>
      <c r="G3201" s="25" t="s">
        <v>4935</v>
      </c>
      <c r="H3201" s="26">
        <v>-0.51517999999999997</v>
      </c>
      <c r="I3201" s="26"/>
      <c r="J3201" s="26" t="s">
        <v>512</v>
      </c>
      <c r="K3201" s="25" t="s">
        <v>513</v>
      </c>
    </row>
    <row r="3202" spans="1:11" ht="25.5" x14ac:dyDescent="0.25">
      <c r="A3202" s="22">
        <v>2026</v>
      </c>
      <c r="B3202" s="28" t="s">
        <v>192</v>
      </c>
      <c r="C3202" s="28" t="s">
        <v>97</v>
      </c>
      <c r="D3202" s="28" t="s">
        <v>1753</v>
      </c>
      <c r="E3202" s="29" t="s">
        <v>331</v>
      </c>
      <c r="F3202" s="29" t="s">
        <v>335</v>
      </c>
      <c r="G3202" s="25" t="s">
        <v>4936</v>
      </c>
      <c r="H3202" s="26">
        <v>-0.208152</v>
      </c>
      <c r="I3202" s="26"/>
      <c r="J3202" s="26" t="s">
        <v>512</v>
      </c>
      <c r="K3202" s="25" t="s">
        <v>513</v>
      </c>
    </row>
    <row r="3203" spans="1:11" ht="25.5" x14ac:dyDescent="0.25">
      <c r="A3203" s="22">
        <v>2026</v>
      </c>
      <c r="B3203" s="28" t="s">
        <v>192</v>
      </c>
      <c r="C3203" s="28" t="s">
        <v>97</v>
      </c>
      <c r="D3203" s="28" t="s">
        <v>1753</v>
      </c>
      <c r="E3203" s="29" t="s">
        <v>331</v>
      </c>
      <c r="F3203" s="29" t="s">
        <v>335</v>
      </c>
      <c r="G3203" s="25" t="s">
        <v>4937</v>
      </c>
      <c r="H3203" s="26">
        <v>-0.38924249999999999</v>
      </c>
      <c r="I3203" s="26"/>
      <c r="J3203" s="26" t="s">
        <v>512</v>
      </c>
      <c r="K3203" s="25" t="s">
        <v>513</v>
      </c>
    </row>
    <row r="3204" spans="1:11" ht="25.5" x14ac:dyDescent="0.25">
      <c r="A3204" s="22">
        <v>2026</v>
      </c>
      <c r="B3204" s="28" t="s">
        <v>192</v>
      </c>
      <c r="C3204" s="28" t="s">
        <v>97</v>
      </c>
      <c r="D3204" s="28" t="s">
        <v>1753</v>
      </c>
      <c r="E3204" s="29" t="s">
        <v>331</v>
      </c>
      <c r="F3204" s="29" t="s">
        <v>335</v>
      </c>
      <c r="G3204" s="25" t="s">
        <v>4938</v>
      </c>
      <c r="H3204" s="26">
        <v>-0.38442749999999998</v>
      </c>
      <c r="I3204" s="26"/>
      <c r="J3204" s="26" t="s">
        <v>512</v>
      </c>
      <c r="K3204" s="25" t="s">
        <v>513</v>
      </c>
    </row>
    <row r="3205" spans="1:11" ht="25.5" x14ac:dyDescent="0.25">
      <c r="A3205" s="22">
        <v>2026</v>
      </c>
      <c r="B3205" s="28" t="s">
        <v>192</v>
      </c>
      <c r="C3205" s="28" t="s">
        <v>97</v>
      </c>
      <c r="D3205" s="28" t="s">
        <v>1753</v>
      </c>
      <c r="E3205" s="29" t="s">
        <v>331</v>
      </c>
      <c r="F3205" s="29" t="s">
        <v>335</v>
      </c>
      <c r="G3205" s="25" t="s">
        <v>4939</v>
      </c>
      <c r="H3205" s="26">
        <v>-0.38127749999999999</v>
      </c>
      <c r="I3205" s="26"/>
      <c r="J3205" s="26" t="s">
        <v>512</v>
      </c>
      <c r="K3205" s="25" t="s">
        <v>513</v>
      </c>
    </row>
    <row r="3206" spans="1:11" ht="25.5" x14ac:dyDescent="0.25">
      <c r="A3206" s="22">
        <v>2026</v>
      </c>
      <c r="B3206" s="28" t="s">
        <v>192</v>
      </c>
      <c r="C3206" s="28" t="s">
        <v>97</v>
      </c>
      <c r="D3206" s="28" t="s">
        <v>1753</v>
      </c>
      <c r="E3206" s="29" t="s">
        <v>331</v>
      </c>
      <c r="F3206" s="29" t="s">
        <v>335</v>
      </c>
      <c r="G3206" s="25" t="s">
        <v>4940</v>
      </c>
      <c r="H3206" s="26">
        <v>-0.38516250000000007</v>
      </c>
      <c r="I3206" s="26"/>
      <c r="J3206" s="26" t="s">
        <v>512</v>
      </c>
      <c r="K3206" s="25" t="s">
        <v>513</v>
      </c>
    </row>
    <row r="3207" spans="1:11" ht="25.5" x14ac:dyDescent="0.25">
      <c r="A3207" s="22">
        <v>2026</v>
      </c>
      <c r="B3207" s="28" t="s">
        <v>192</v>
      </c>
      <c r="C3207" s="28" t="s">
        <v>97</v>
      </c>
      <c r="D3207" s="28" t="s">
        <v>1753</v>
      </c>
      <c r="E3207" s="29" t="s">
        <v>331</v>
      </c>
      <c r="F3207" s="29" t="s">
        <v>335</v>
      </c>
      <c r="G3207" s="25" t="s">
        <v>4941</v>
      </c>
      <c r="H3207" s="26">
        <v>-0.3842025</v>
      </c>
      <c r="I3207" s="26"/>
      <c r="J3207" s="26" t="s">
        <v>512</v>
      </c>
      <c r="K3207" s="25" t="s">
        <v>513</v>
      </c>
    </row>
    <row r="3208" spans="1:11" ht="25.5" x14ac:dyDescent="0.25">
      <c r="A3208" s="22">
        <v>2026</v>
      </c>
      <c r="B3208" s="28" t="s">
        <v>192</v>
      </c>
      <c r="C3208" s="28" t="s">
        <v>97</v>
      </c>
      <c r="D3208" s="28" t="s">
        <v>1753</v>
      </c>
      <c r="E3208" s="29" t="s">
        <v>331</v>
      </c>
      <c r="F3208" s="29" t="s">
        <v>335</v>
      </c>
      <c r="G3208" s="25" t="s">
        <v>4942</v>
      </c>
      <c r="H3208" s="26">
        <v>-0.50822000000000001</v>
      </c>
      <c r="I3208" s="26"/>
      <c r="J3208" s="26" t="s">
        <v>512</v>
      </c>
      <c r="K3208" s="25" t="s">
        <v>513</v>
      </c>
    </row>
    <row r="3209" spans="1:11" ht="25.5" x14ac:dyDescent="0.25">
      <c r="A3209" s="22">
        <v>2026</v>
      </c>
      <c r="B3209" s="28" t="s">
        <v>192</v>
      </c>
      <c r="C3209" s="28" t="s">
        <v>97</v>
      </c>
      <c r="D3209" s="28" t="s">
        <v>1753</v>
      </c>
      <c r="E3209" s="29" t="s">
        <v>331</v>
      </c>
      <c r="F3209" s="29" t="s">
        <v>335</v>
      </c>
      <c r="G3209" s="25" t="s">
        <v>4943</v>
      </c>
      <c r="H3209" s="26">
        <v>-0.38123249999999997</v>
      </c>
      <c r="I3209" s="26"/>
      <c r="J3209" s="26" t="s">
        <v>512</v>
      </c>
      <c r="K3209" s="25" t="s">
        <v>513</v>
      </c>
    </row>
    <row r="3210" spans="1:11" ht="25.5" x14ac:dyDescent="0.25">
      <c r="A3210" s="22">
        <v>2026</v>
      </c>
      <c r="B3210" s="28" t="s">
        <v>192</v>
      </c>
      <c r="C3210" s="28" t="s">
        <v>97</v>
      </c>
      <c r="D3210" s="28" t="s">
        <v>1753</v>
      </c>
      <c r="E3210" s="29" t="s">
        <v>331</v>
      </c>
      <c r="F3210" s="29" t="s">
        <v>335</v>
      </c>
      <c r="G3210" s="25" t="s">
        <v>4944</v>
      </c>
      <c r="H3210" s="26">
        <v>-0.76173000000000002</v>
      </c>
      <c r="I3210" s="26"/>
      <c r="J3210" s="26" t="s">
        <v>512</v>
      </c>
      <c r="K3210" s="25" t="s">
        <v>513</v>
      </c>
    </row>
    <row r="3211" spans="1:11" ht="25.5" x14ac:dyDescent="0.25">
      <c r="A3211" s="22">
        <v>2026</v>
      </c>
      <c r="B3211" s="28" t="s">
        <v>192</v>
      </c>
      <c r="C3211" s="28" t="s">
        <v>97</v>
      </c>
      <c r="D3211" s="28" t="s">
        <v>1753</v>
      </c>
      <c r="E3211" s="29" t="s">
        <v>331</v>
      </c>
      <c r="F3211" s="29" t="s">
        <v>335</v>
      </c>
      <c r="G3211" s="25" t="s">
        <v>4945</v>
      </c>
      <c r="H3211" s="26">
        <v>-0.89013750000000003</v>
      </c>
      <c r="I3211" s="26"/>
      <c r="J3211" s="26" t="s">
        <v>512</v>
      </c>
      <c r="K3211" s="25" t="s">
        <v>513</v>
      </c>
    </row>
    <row r="3212" spans="1:11" ht="25.5" x14ac:dyDescent="0.25">
      <c r="A3212" s="22">
        <v>2026</v>
      </c>
      <c r="B3212" s="28" t="s">
        <v>192</v>
      </c>
      <c r="C3212" s="28" t="s">
        <v>97</v>
      </c>
      <c r="D3212" s="28" t="s">
        <v>1753</v>
      </c>
      <c r="E3212" s="29" t="s">
        <v>331</v>
      </c>
      <c r="F3212" s="29" t="s">
        <v>335</v>
      </c>
      <c r="G3212" s="25" t="s">
        <v>4946</v>
      </c>
      <c r="H3212" s="26">
        <v>-0.75631499999999985</v>
      </c>
      <c r="I3212" s="26"/>
      <c r="J3212" s="26" t="s">
        <v>512</v>
      </c>
      <c r="K3212" s="25" t="s">
        <v>513</v>
      </c>
    </row>
    <row r="3213" spans="1:11" ht="25.5" x14ac:dyDescent="0.25">
      <c r="A3213" s="22">
        <v>2026</v>
      </c>
      <c r="B3213" s="28" t="s">
        <v>192</v>
      </c>
      <c r="C3213" s="28" t="s">
        <v>97</v>
      </c>
      <c r="D3213" s="28" t="s">
        <v>1753</v>
      </c>
      <c r="E3213" s="29" t="s">
        <v>331</v>
      </c>
      <c r="F3213" s="29" t="s">
        <v>335</v>
      </c>
      <c r="G3213" s="25" t="s">
        <v>4947</v>
      </c>
      <c r="H3213" s="26">
        <v>-0.74390999999999985</v>
      </c>
      <c r="I3213" s="26"/>
      <c r="J3213" s="26" t="s">
        <v>512</v>
      </c>
      <c r="K3213" s="25" t="s">
        <v>513</v>
      </c>
    </row>
    <row r="3214" spans="1:11" ht="25.5" x14ac:dyDescent="0.25">
      <c r="A3214" s="22">
        <v>2026</v>
      </c>
      <c r="B3214" s="28" t="s">
        <v>192</v>
      </c>
      <c r="C3214" s="28" t="s">
        <v>97</v>
      </c>
      <c r="D3214" s="28" t="s">
        <v>1753</v>
      </c>
      <c r="E3214" s="29" t="s">
        <v>331</v>
      </c>
      <c r="F3214" s="29" t="s">
        <v>335</v>
      </c>
      <c r="G3214" s="25" t="s">
        <v>4948</v>
      </c>
      <c r="H3214" s="26">
        <v>-0.73807500000000004</v>
      </c>
      <c r="I3214" s="26"/>
      <c r="J3214" s="26" t="s">
        <v>512</v>
      </c>
      <c r="K3214" s="25" t="s">
        <v>513</v>
      </c>
    </row>
    <row r="3215" spans="1:11" ht="25.5" x14ac:dyDescent="0.25">
      <c r="A3215" s="22">
        <v>2026</v>
      </c>
      <c r="B3215" s="28" t="s">
        <v>192</v>
      </c>
      <c r="C3215" s="28" t="s">
        <v>97</v>
      </c>
      <c r="D3215" s="28" t="s">
        <v>1753</v>
      </c>
      <c r="E3215" s="29" t="s">
        <v>331</v>
      </c>
      <c r="F3215" s="29" t="s">
        <v>335</v>
      </c>
      <c r="G3215" s="25" t="s">
        <v>4949</v>
      </c>
      <c r="H3215" s="26">
        <v>-0.98638000000000003</v>
      </c>
      <c r="I3215" s="26"/>
      <c r="J3215" s="26" t="s">
        <v>512</v>
      </c>
      <c r="K3215" s="25" t="s">
        <v>513</v>
      </c>
    </row>
    <row r="3216" spans="1:11" ht="25.5" x14ac:dyDescent="0.25">
      <c r="A3216" s="22">
        <v>2026</v>
      </c>
      <c r="B3216" s="28" t="s">
        <v>192</v>
      </c>
      <c r="C3216" s="28" t="s">
        <v>97</v>
      </c>
      <c r="D3216" s="28" t="s">
        <v>1753</v>
      </c>
      <c r="E3216" s="29" t="s">
        <v>331</v>
      </c>
      <c r="F3216" s="29" t="s">
        <v>335</v>
      </c>
      <c r="G3216" s="25" t="s">
        <v>4950</v>
      </c>
      <c r="H3216" s="26">
        <v>-0.98309999999999997</v>
      </c>
      <c r="I3216" s="26"/>
      <c r="J3216" s="26" t="s">
        <v>512</v>
      </c>
      <c r="K3216" s="25" t="s">
        <v>513</v>
      </c>
    </row>
    <row r="3217" spans="1:11" ht="25.5" x14ac:dyDescent="0.25">
      <c r="A3217" s="22">
        <v>2026</v>
      </c>
      <c r="B3217" s="28" t="s">
        <v>192</v>
      </c>
      <c r="C3217" s="28" t="s">
        <v>97</v>
      </c>
      <c r="D3217" s="28" t="s">
        <v>1753</v>
      </c>
      <c r="E3217" s="29" t="s">
        <v>331</v>
      </c>
      <c r="F3217" s="29" t="s">
        <v>335</v>
      </c>
      <c r="G3217" s="25" t="s">
        <v>4951</v>
      </c>
      <c r="H3217" s="26">
        <v>-0.98892000000000013</v>
      </c>
      <c r="I3217" s="26"/>
      <c r="J3217" s="26" t="s">
        <v>512</v>
      </c>
      <c r="K3217" s="25" t="s">
        <v>513</v>
      </c>
    </row>
    <row r="3218" spans="1:11" ht="25.5" x14ac:dyDescent="0.25">
      <c r="A3218" s="22">
        <v>2026</v>
      </c>
      <c r="B3218" s="28" t="s">
        <v>192</v>
      </c>
      <c r="C3218" s="28" t="s">
        <v>97</v>
      </c>
      <c r="D3218" s="28" t="s">
        <v>1753</v>
      </c>
      <c r="E3218" s="29" t="s">
        <v>331</v>
      </c>
      <c r="F3218" s="29" t="s">
        <v>335</v>
      </c>
      <c r="G3218" s="25" t="s">
        <v>4952</v>
      </c>
      <c r="H3218" s="26">
        <v>-0.97955999999999999</v>
      </c>
      <c r="I3218" s="26"/>
      <c r="J3218" s="26" t="s">
        <v>512</v>
      </c>
      <c r="K3218" s="25" t="s">
        <v>513</v>
      </c>
    </row>
    <row r="3219" spans="1:11" ht="25.5" x14ac:dyDescent="0.25">
      <c r="A3219" s="22">
        <v>2026</v>
      </c>
      <c r="B3219" s="28" t="s">
        <v>192</v>
      </c>
      <c r="C3219" s="28" t="s">
        <v>97</v>
      </c>
      <c r="D3219" s="28" t="s">
        <v>1753</v>
      </c>
      <c r="E3219" s="29" t="s">
        <v>331</v>
      </c>
      <c r="F3219" s="29" t="s">
        <v>335</v>
      </c>
      <c r="G3219" s="25" t="s">
        <v>4953</v>
      </c>
      <c r="H3219" s="26">
        <v>-0.97309999999999997</v>
      </c>
      <c r="I3219" s="26"/>
      <c r="J3219" s="26" t="s">
        <v>512</v>
      </c>
      <c r="K3219" s="25" t="s">
        <v>513</v>
      </c>
    </row>
    <row r="3220" spans="1:11" ht="25.5" x14ac:dyDescent="0.25">
      <c r="A3220" s="22">
        <v>2026</v>
      </c>
      <c r="B3220" s="28" t="s">
        <v>192</v>
      </c>
      <c r="C3220" s="28" t="s">
        <v>97</v>
      </c>
      <c r="D3220" s="28" t="s">
        <v>1753</v>
      </c>
      <c r="E3220" s="29" t="s">
        <v>331</v>
      </c>
      <c r="F3220" s="29" t="s">
        <v>335</v>
      </c>
      <c r="G3220" s="25" t="s">
        <v>4954</v>
      </c>
      <c r="H3220" s="26">
        <v>-0.97653999999999996</v>
      </c>
      <c r="I3220" s="26"/>
      <c r="J3220" s="26" t="s">
        <v>512</v>
      </c>
      <c r="K3220" s="25" t="s">
        <v>513</v>
      </c>
    </row>
    <row r="3221" spans="1:11" ht="25.5" x14ac:dyDescent="0.25">
      <c r="A3221" s="22">
        <v>2026</v>
      </c>
      <c r="B3221" s="28" t="s">
        <v>192</v>
      </c>
      <c r="C3221" s="28" t="s">
        <v>97</v>
      </c>
      <c r="D3221" s="28" t="s">
        <v>1753</v>
      </c>
      <c r="E3221" s="29" t="s">
        <v>331</v>
      </c>
      <c r="F3221" s="29" t="s">
        <v>335</v>
      </c>
      <c r="G3221" s="25" t="s">
        <v>4955</v>
      </c>
      <c r="H3221" s="26">
        <v>-0.98270000000000002</v>
      </c>
      <c r="I3221" s="26"/>
      <c r="J3221" s="26" t="s">
        <v>512</v>
      </c>
      <c r="K3221" s="25" t="s">
        <v>513</v>
      </c>
    </row>
    <row r="3222" spans="1:11" ht="25.5" x14ac:dyDescent="0.25">
      <c r="A3222" s="22">
        <v>2026</v>
      </c>
      <c r="B3222" s="28" t="s">
        <v>192</v>
      </c>
      <c r="C3222" s="28" t="s">
        <v>97</v>
      </c>
      <c r="D3222" s="28" t="s">
        <v>216</v>
      </c>
      <c r="E3222" s="29" t="s">
        <v>331</v>
      </c>
      <c r="F3222" s="29" t="s">
        <v>298</v>
      </c>
      <c r="G3222" s="25" t="s">
        <v>4956</v>
      </c>
      <c r="H3222" s="26">
        <v>-3.0476999999999999</v>
      </c>
      <c r="I3222" s="26"/>
      <c r="J3222" s="26" t="s">
        <v>512</v>
      </c>
      <c r="K3222" s="25" t="s">
        <v>513</v>
      </c>
    </row>
    <row r="3223" spans="1:11" ht="25.5" x14ac:dyDescent="0.25">
      <c r="A3223" s="22">
        <v>2026</v>
      </c>
      <c r="B3223" s="28" t="s">
        <v>192</v>
      </c>
      <c r="C3223" s="28" t="s">
        <v>97</v>
      </c>
      <c r="D3223" s="28" t="s">
        <v>216</v>
      </c>
      <c r="E3223" s="29" t="s">
        <v>331</v>
      </c>
      <c r="F3223" s="29" t="s">
        <v>298</v>
      </c>
      <c r="G3223" s="25" t="s">
        <v>4957</v>
      </c>
      <c r="H3223" s="26">
        <v>-3.6504042372000001</v>
      </c>
      <c r="I3223" s="26"/>
      <c r="J3223" s="26" t="s">
        <v>512</v>
      </c>
      <c r="K3223" s="25" t="s">
        <v>513</v>
      </c>
    </row>
    <row r="3224" spans="1:11" ht="25.5" x14ac:dyDescent="0.25">
      <c r="A3224" s="22">
        <v>2026</v>
      </c>
      <c r="B3224" s="28" t="s">
        <v>192</v>
      </c>
      <c r="C3224" s="28" t="s">
        <v>97</v>
      </c>
      <c r="D3224" s="28" t="s">
        <v>216</v>
      </c>
      <c r="E3224" s="29" t="s">
        <v>331</v>
      </c>
      <c r="F3224" s="29" t="s">
        <v>298</v>
      </c>
      <c r="G3224" s="25" t="s">
        <v>4958</v>
      </c>
      <c r="H3224" s="26">
        <v>-5.5721282226</v>
      </c>
      <c r="I3224" s="26"/>
      <c r="J3224" s="26" t="s">
        <v>512</v>
      </c>
      <c r="K3224" s="25" t="s">
        <v>513</v>
      </c>
    </row>
    <row r="3225" spans="1:11" ht="25.5" x14ac:dyDescent="0.25">
      <c r="A3225" s="22">
        <v>2026</v>
      </c>
      <c r="B3225" s="28" t="s">
        <v>192</v>
      </c>
      <c r="C3225" s="28" t="s">
        <v>97</v>
      </c>
      <c r="D3225" s="28" t="s">
        <v>216</v>
      </c>
      <c r="E3225" s="29" t="s">
        <v>331</v>
      </c>
      <c r="F3225" s="29" t="s">
        <v>298</v>
      </c>
      <c r="G3225" s="25" t="s">
        <v>4959</v>
      </c>
      <c r="H3225" s="26">
        <v>-1.2129728</v>
      </c>
      <c r="I3225" s="26"/>
      <c r="J3225" s="26" t="s">
        <v>512</v>
      </c>
      <c r="K3225" s="25" t="s">
        <v>513</v>
      </c>
    </row>
    <row r="3226" spans="1:11" ht="25.5" x14ac:dyDescent="0.25">
      <c r="A3226" s="22">
        <v>2026</v>
      </c>
      <c r="B3226" s="28" t="s">
        <v>192</v>
      </c>
      <c r="C3226" s="28" t="s">
        <v>97</v>
      </c>
      <c r="D3226" s="28" t="s">
        <v>216</v>
      </c>
      <c r="E3226" s="29" t="s">
        <v>331</v>
      </c>
      <c r="F3226" s="29" t="s">
        <v>298</v>
      </c>
      <c r="G3226" s="25" t="s">
        <v>4960</v>
      </c>
      <c r="H3226" s="26">
        <v>-3.0347749999999998</v>
      </c>
      <c r="I3226" s="26"/>
      <c r="J3226" s="26" t="s">
        <v>512</v>
      </c>
      <c r="K3226" s="25" t="s">
        <v>513</v>
      </c>
    </row>
    <row r="3227" spans="1:11" ht="25.5" x14ac:dyDescent="0.25">
      <c r="A3227" s="22">
        <v>2026</v>
      </c>
      <c r="B3227" s="28" t="s">
        <v>192</v>
      </c>
      <c r="C3227" s="28" t="s">
        <v>97</v>
      </c>
      <c r="D3227" s="28" t="s">
        <v>216</v>
      </c>
      <c r="E3227" s="29" t="s">
        <v>331</v>
      </c>
      <c r="F3227" s="29" t="s">
        <v>298</v>
      </c>
      <c r="G3227" s="25" t="s">
        <v>4961</v>
      </c>
      <c r="H3227" s="26">
        <v>-5.2054258599000001</v>
      </c>
      <c r="I3227" s="26"/>
      <c r="J3227" s="26" t="s">
        <v>512</v>
      </c>
      <c r="K3227" s="25" t="s">
        <v>513</v>
      </c>
    </row>
    <row r="3228" spans="1:11" ht="25.5" x14ac:dyDescent="0.25">
      <c r="A3228" s="22">
        <v>2026</v>
      </c>
      <c r="B3228" s="28" t="s">
        <v>192</v>
      </c>
      <c r="C3228" s="28" t="s">
        <v>97</v>
      </c>
      <c r="D3228" s="28" t="s">
        <v>216</v>
      </c>
      <c r="E3228" s="29" t="s">
        <v>331</v>
      </c>
      <c r="F3228" s="29" t="s">
        <v>298</v>
      </c>
      <c r="G3228" s="25" t="s">
        <v>4962</v>
      </c>
      <c r="H3228" s="26">
        <v>-3.2798744450000004</v>
      </c>
      <c r="I3228" s="26"/>
      <c r="J3228" s="26" t="s">
        <v>512</v>
      </c>
      <c r="K3228" s="25" t="s">
        <v>513</v>
      </c>
    </row>
    <row r="3229" spans="1:11" ht="25.5" x14ac:dyDescent="0.25">
      <c r="A3229" s="22">
        <v>2026</v>
      </c>
      <c r="B3229" s="28" t="s">
        <v>192</v>
      </c>
      <c r="C3229" s="28" t="s">
        <v>97</v>
      </c>
      <c r="D3229" s="28" t="s">
        <v>216</v>
      </c>
      <c r="E3229" s="29" t="s">
        <v>331</v>
      </c>
      <c r="F3229" s="29" t="s">
        <v>298</v>
      </c>
      <c r="G3229" s="25" t="s">
        <v>4963</v>
      </c>
      <c r="H3229" s="26">
        <v>-2.7826347015000001</v>
      </c>
      <c r="I3229" s="26"/>
      <c r="J3229" s="26" t="s">
        <v>512</v>
      </c>
      <c r="K3229" s="25" t="s">
        <v>513</v>
      </c>
    </row>
    <row r="3230" spans="1:11" ht="25.5" x14ac:dyDescent="0.25">
      <c r="A3230" s="22">
        <v>2026</v>
      </c>
      <c r="B3230" s="28" t="s">
        <v>192</v>
      </c>
      <c r="C3230" s="28" t="s">
        <v>97</v>
      </c>
      <c r="D3230" s="28" t="s">
        <v>542</v>
      </c>
      <c r="E3230" s="29" t="s">
        <v>575</v>
      </c>
      <c r="F3230" s="29" t="s">
        <v>576</v>
      </c>
      <c r="G3230" s="25" t="s">
        <v>4964</v>
      </c>
      <c r="H3230" s="26">
        <v>-2.7200000000000002E-2</v>
      </c>
      <c r="I3230" s="26"/>
      <c r="J3230" s="26" t="s">
        <v>512</v>
      </c>
      <c r="K3230" s="25" t="s">
        <v>513</v>
      </c>
    </row>
    <row r="3231" spans="1:11" ht="25.5" x14ac:dyDescent="0.25">
      <c r="A3231" s="22">
        <v>2026</v>
      </c>
      <c r="B3231" s="28" t="s">
        <v>192</v>
      </c>
      <c r="C3231" s="28" t="s">
        <v>97</v>
      </c>
      <c r="D3231" s="28" t="s">
        <v>542</v>
      </c>
      <c r="E3231" s="29" t="s">
        <v>575</v>
      </c>
      <c r="F3231" s="29" t="s">
        <v>576</v>
      </c>
      <c r="G3231" s="25" t="s">
        <v>4361</v>
      </c>
      <c r="H3231" s="26">
        <v>-8.1900000000000001E-2</v>
      </c>
      <c r="I3231" s="26"/>
      <c r="J3231" s="26" t="s">
        <v>512</v>
      </c>
      <c r="K3231" s="25" t="s">
        <v>513</v>
      </c>
    </row>
    <row r="3232" spans="1:11" ht="25.5" x14ac:dyDescent="0.25">
      <c r="A3232" s="22">
        <v>2026</v>
      </c>
      <c r="B3232" s="28" t="s">
        <v>192</v>
      </c>
      <c r="C3232" s="28" t="s">
        <v>97</v>
      </c>
      <c r="D3232" s="28" t="s">
        <v>542</v>
      </c>
      <c r="E3232" s="29" t="s">
        <v>575</v>
      </c>
      <c r="F3232" s="29" t="s">
        <v>576</v>
      </c>
      <c r="G3232" s="25" t="s">
        <v>4965</v>
      </c>
      <c r="H3232" s="26">
        <v>-8.1600000000000006E-2</v>
      </c>
      <c r="I3232" s="26"/>
      <c r="J3232" s="26" t="s">
        <v>512</v>
      </c>
      <c r="K3232" s="25" t="s">
        <v>513</v>
      </c>
    </row>
    <row r="3233" spans="1:11" ht="25.5" x14ac:dyDescent="0.25">
      <c r="A3233" s="22">
        <v>2026</v>
      </c>
      <c r="B3233" s="28" t="s">
        <v>192</v>
      </c>
      <c r="C3233" s="28" t="s">
        <v>97</v>
      </c>
      <c r="D3233" s="28" t="s">
        <v>542</v>
      </c>
      <c r="E3233" s="29" t="s">
        <v>575</v>
      </c>
      <c r="F3233" s="29" t="s">
        <v>576</v>
      </c>
      <c r="G3233" s="25" t="s">
        <v>4966</v>
      </c>
      <c r="H3233" s="26">
        <v>-2.5999999999999999E-2</v>
      </c>
      <c r="I3233" s="26"/>
      <c r="J3233" s="26" t="s">
        <v>512</v>
      </c>
      <c r="K3233" s="25" t="s">
        <v>513</v>
      </c>
    </row>
    <row r="3234" spans="1:11" ht="25.5" x14ac:dyDescent="0.25">
      <c r="A3234" s="22">
        <v>2026</v>
      </c>
      <c r="B3234" s="28" t="s">
        <v>192</v>
      </c>
      <c r="C3234" s="28" t="s">
        <v>97</v>
      </c>
      <c r="D3234" s="28" t="s">
        <v>542</v>
      </c>
      <c r="E3234" s="29" t="s">
        <v>575</v>
      </c>
      <c r="F3234" s="29" t="s">
        <v>576</v>
      </c>
      <c r="G3234" s="25" t="s">
        <v>4967</v>
      </c>
      <c r="H3234" s="26">
        <v>-6.5000000000000002E-2</v>
      </c>
      <c r="I3234" s="26"/>
      <c r="J3234" s="26" t="s">
        <v>512</v>
      </c>
      <c r="K3234" s="25" t="s">
        <v>513</v>
      </c>
    </row>
    <row r="3235" spans="1:11" ht="25.5" x14ac:dyDescent="0.25">
      <c r="A3235" s="22">
        <v>2026</v>
      </c>
      <c r="B3235" s="28" t="s">
        <v>192</v>
      </c>
      <c r="C3235" s="28" t="s">
        <v>97</v>
      </c>
      <c r="D3235" s="28" t="s">
        <v>542</v>
      </c>
      <c r="E3235" s="29" t="s">
        <v>575</v>
      </c>
      <c r="F3235" s="29" t="s">
        <v>576</v>
      </c>
      <c r="G3235" s="25" t="s">
        <v>4968</v>
      </c>
      <c r="H3235" s="26">
        <v>-9.0999999999999998E-2</v>
      </c>
      <c r="I3235" s="26"/>
      <c r="J3235" s="26" t="s">
        <v>512</v>
      </c>
      <c r="K3235" s="25" t="s">
        <v>513</v>
      </c>
    </row>
    <row r="3236" spans="1:11" ht="25.5" x14ac:dyDescent="0.25">
      <c r="A3236" s="22">
        <v>2026</v>
      </c>
      <c r="B3236" s="28" t="s">
        <v>192</v>
      </c>
      <c r="C3236" s="28" t="s">
        <v>97</v>
      </c>
      <c r="D3236" s="28" t="s">
        <v>542</v>
      </c>
      <c r="E3236" s="29" t="s">
        <v>575</v>
      </c>
      <c r="F3236" s="29" t="s">
        <v>576</v>
      </c>
      <c r="G3236" s="25" t="s">
        <v>4969</v>
      </c>
      <c r="H3236" s="26">
        <v>-3.8647350000000004E-2</v>
      </c>
      <c r="I3236" s="26"/>
      <c r="J3236" s="26" t="s">
        <v>512</v>
      </c>
      <c r="K3236" s="25" t="s">
        <v>513</v>
      </c>
    </row>
    <row r="3237" spans="1:11" ht="25.5" x14ac:dyDescent="0.25">
      <c r="A3237" s="22">
        <v>2026</v>
      </c>
      <c r="B3237" s="28" t="s">
        <v>192</v>
      </c>
      <c r="C3237" s="28" t="s">
        <v>97</v>
      </c>
      <c r="D3237" s="28" t="s">
        <v>542</v>
      </c>
      <c r="E3237" s="29" t="s">
        <v>575</v>
      </c>
      <c r="F3237" s="29" t="s">
        <v>576</v>
      </c>
      <c r="G3237" s="25" t="s">
        <v>4970</v>
      </c>
      <c r="H3237" s="26">
        <v>-6.3249999999999987E-2</v>
      </c>
      <c r="I3237" s="26"/>
      <c r="J3237" s="26" t="s">
        <v>512</v>
      </c>
      <c r="K3237" s="25" t="s">
        <v>513</v>
      </c>
    </row>
    <row r="3238" spans="1:11" ht="25.5" x14ac:dyDescent="0.25">
      <c r="A3238" s="22">
        <v>2026</v>
      </c>
      <c r="B3238" s="28" t="s">
        <v>192</v>
      </c>
      <c r="C3238" s="28" t="s">
        <v>97</v>
      </c>
      <c r="D3238" s="28" t="s">
        <v>542</v>
      </c>
      <c r="E3238" s="29" t="s">
        <v>575</v>
      </c>
      <c r="F3238" s="29" t="s">
        <v>576</v>
      </c>
      <c r="G3238" s="25" t="s">
        <v>4971</v>
      </c>
      <c r="H3238" s="26">
        <v>-6.2749999999999986E-2</v>
      </c>
      <c r="I3238" s="26"/>
      <c r="J3238" s="26" t="s">
        <v>512</v>
      </c>
      <c r="K3238" s="25" t="s">
        <v>513</v>
      </c>
    </row>
    <row r="3239" spans="1:11" ht="25.5" x14ac:dyDescent="0.25">
      <c r="A3239" s="22">
        <v>2026</v>
      </c>
      <c r="B3239" s="28" t="s">
        <v>192</v>
      </c>
      <c r="C3239" s="28" t="s">
        <v>97</v>
      </c>
      <c r="D3239" s="28" t="s">
        <v>542</v>
      </c>
      <c r="E3239" s="29" t="s">
        <v>575</v>
      </c>
      <c r="F3239" s="29" t="s">
        <v>576</v>
      </c>
      <c r="G3239" s="25" t="s">
        <v>4972</v>
      </c>
      <c r="H3239" s="26">
        <v>-7.4099999999999999E-2</v>
      </c>
      <c r="I3239" s="26"/>
      <c r="J3239" s="26" t="s">
        <v>512</v>
      </c>
      <c r="K3239" s="25" t="s">
        <v>513</v>
      </c>
    </row>
    <row r="3240" spans="1:11" ht="25.5" x14ac:dyDescent="0.25">
      <c r="A3240" s="22">
        <v>2026</v>
      </c>
      <c r="B3240" s="28" t="s">
        <v>192</v>
      </c>
      <c r="C3240" s="28" t="s">
        <v>97</v>
      </c>
      <c r="D3240" s="28" t="s">
        <v>542</v>
      </c>
      <c r="E3240" s="29" t="s">
        <v>575</v>
      </c>
      <c r="F3240" s="29" t="s">
        <v>576</v>
      </c>
      <c r="G3240" s="25" t="s">
        <v>4973</v>
      </c>
      <c r="H3240" s="26">
        <v>-0.125</v>
      </c>
      <c r="I3240" s="26"/>
      <c r="J3240" s="26" t="s">
        <v>512</v>
      </c>
      <c r="K3240" s="25" t="s">
        <v>513</v>
      </c>
    </row>
    <row r="3241" spans="1:11" ht="25.5" x14ac:dyDescent="0.25">
      <c r="A3241" s="22">
        <v>2026</v>
      </c>
      <c r="B3241" s="28" t="s">
        <v>192</v>
      </c>
      <c r="C3241" s="28" t="s">
        <v>97</v>
      </c>
      <c r="D3241" s="28" t="s">
        <v>1789</v>
      </c>
      <c r="E3241" s="29" t="s">
        <v>1800</v>
      </c>
      <c r="F3241" s="29" t="s">
        <v>374</v>
      </c>
      <c r="G3241" s="25" t="s">
        <v>4974</v>
      </c>
      <c r="H3241" s="26">
        <v>-0.30427500000000002</v>
      </c>
      <c r="I3241" s="26"/>
      <c r="J3241" s="26" t="s">
        <v>514</v>
      </c>
      <c r="K3241" s="25" t="s">
        <v>513</v>
      </c>
    </row>
    <row r="3242" spans="1:11" ht="25.5" x14ac:dyDescent="0.25">
      <c r="A3242" s="22">
        <v>2026</v>
      </c>
      <c r="B3242" s="28" t="s">
        <v>192</v>
      </c>
      <c r="C3242" s="28" t="s">
        <v>97</v>
      </c>
      <c r="D3242" s="28" t="s">
        <v>1789</v>
      </c>
      <c r="E3242" s="29" t="s">
        <v>1800</v>
      </c>
      <c r="F3242" s="29" t="s">
        <v>374</v>
      </c>
      <c r="G3242" s="25" t="s">
        <v>4975</v>
      </c>
      <c r="H3242" s="26">
        <v>-0.113498</v>
      </c>
      <c r="I3242" s="26"/>
      <c r="J3242" s="26" t="s">
        <v>514</v>
      </c>
      <c r="K3242" s="25" t="s">
        <v>513</v>
      </c>
    </row>
    <row r="3243" spans="1:11" ht="25.5" x14ac:dyDescent="0.25">
      <c r="A3243" s="22">
        <v>2026</v>
      </c>
      <c r="B3243" s="28" t="s">
        <v>192</v>
      </c>
      <c r="C3243" s="28" t="s">
        <v>97</v>
      </c>
      <c r="D3243" s="28" t="s">
        <v>1789</v>
      </c>
      <c r="E3243" s="29" t="s">
        <v>1800</v>
      </c>
      <c r="F3243" s="29" t="s">
        <v>374</v>
      </c>
      <c r="G3243" s="25" t="s">
        <v>4976</v>
      </c>
      <c r="H3243" s="26">
        <v>-4.9531362700000005E-2</v>
      </c>
      <c r="I3243" s="26"/>
      <c r="J3243" s="26" t="s">
        <v>514</v>
      </c>
      <c r="K3243" s="25" t="s">
        <v>513</v>
      </c>
    </row>
    <row r="3244" spans="1:11" ht="25.5" x14ac:dyDescent="0.25">
      <c r="A3244" s="22">
        <v>2026</v>
      </c>
      <c r="B3244" s="28" t="s">
        <v>192</v>
      </c>
      <c r="C3244" s="28" t="s">
        <v>97</v>
      </c>
      <c r="D3244" s="28" t="s">
        <v>1789</v>
      </c>
      <c r="E3244" s="29" t="s">
        <v>1800</v>
      </c>
      <c r="F3244" s="29" t="s">
        <v>374</v>
      </c>
      <c r="G3244" s="25" t="s">
        <v>4977</v>
      </c>
      <c r="H3244" s="26">
        <v>-0.15666144609999999</v>
      </c>
      <c r="I3244" s="26"/>
      <c r="J3244" s="26" t="s">
        <v>514</v>
      </c>
      <c r="K3244" s="25" t="s">
        <v>513</v>
      </c>
    </row>
    <row r="3245" spans="1:11" ht="25.5" x14ac:dyDescent="0.25">
      <c r="A3245" s="22">
        <v>2026</v>
      </c>
      <c r="B3245" s="28" t="s">
        <v>192</v>
      </c>
      <c r="C3245" s="28" t="s">
        <v>97</v>
      </c>
      <c r="D3245" s="28" t="s">
        <v>1789</v>
      </c>
      <c r="E3245" s="29" t="s">
        <v>1800</v>
      </c>
      <c r="F3245" s="29" t="s">
        <v>374</v>
      </c>
      <c r="G3245" s="25" t="s">
        <v>4978</v>
      </c>
      <c r="H3245" s="26">
        <v>-0.3218399354</v>
      </c>
      <c r="I3245" s="26"/>
      <c r="J3245" s="26" t="s">
        <v>514</v>
      </c>
      <c r="K3245" s="25" t="s">
        <v>513</v>
      </c>
    </row>
    <row r="3246" spans="1:11" ht="25.5" x14ac:dyDescent="0.25">
      <c r="A3246" s="22">
        <v>2026</v>
      </c>
      <c r="B3246" s="28" t="s">
        <v>192</v>
      </c>
      <c r="C3246" s="28" t="s">
        <v>97</v>
      </c>
      <c r="D3246" s="28" t="s">
        <v>1789</v>
      </c>
      <c r="E3246" s="29" t="s">
        <v>1800</v>
      </c>
      <c r="F3246" s="29" t="s">
        <v>374</v>
      </c>
      <c r="G3246" s="25" t="s">
        <v>4979</v>
      </c>
      <c r="H3246" s="26">
        <v>-0.31579198950000004</v>
      </c>
      <c r="I3246" s="26"/>
      <c r="J3246" s="26" t="s">
        <v>514</v>
      </c>
      <c r="K3246" s="25" t="s">
        <v>513</v>
      </c>
    </row>
    <row r="3247" spans="1:11" ht="25.5" x14ac:dyDescent="0.25">
      <c r="A3247" s="22">
        <v>2026</v>
      </c>
      <c r="B3247" s="28" t="s">
        <v>192</v>
      </c>
      <c r="C3247" s="28" t="s">
        <v>97</v>
      </c>
      <c r="D3247" s="28" t="s">
        <v>1789</v>
      </c>
      <c r="E3247" s="29" t="s">
        <v>1800</v>
      </c>
      <c r="F3247" s="29" t="s">
        <v>374</v>
      </c>
      <c r="G3247" s="25" t="s">
        <v>4980</v>
      </c>
      <c r="H3247" s="26">
        <v>-0.21716750000000001</v>
      </c>
      <c r="I3247" s="26"/>
      <c r="J3247" s="26" t="s">
        <v>514</v>
      </c>
      <c r="K3247" s="25" t="s">
        <v>513</v>
      </c>
    </row>
    <row r="3248" spans="1:11" ht="25.5" x14ac:dyDescent="0.25">
      <c r="A3248" s="22">
        <v>2026</v>
      </c>
      <c r="B3248" s="28" t="s">
        <v>192</v>
      </c>
      <c r="C3248" s="28" t="s">
        <v>97</v>
      </c>
      <c r="D3248" s="28" t="s">
        <v>1789</v>
      </c>
      <c r="E3248" s="29" t="s">
        <v>1800</v>
      </c>
      <c r="F3248" s="29" t="s">
        <v>374</v>
      </c>
      <c r="G3248" s="25" t="s">
        <v>4981</v>
      </c>
      <c r="H3248" s="26">
        <v>-0.33463169920000002</v>
      </c>
      <c r="I3248" s="26"/>
      <c r="J3248" s="26" t="s">
        <v>514</v>
      </c>
      <c r="K3248" s="25" t="s">
        <v>513</v>
      </c>
    </row>
    <row r="3249" spans="1:11" ht="25.5" x14ac:dyDescent="0.25">
      <c r="A3249" s="22">
        <v>2026</v>
      </c>
      <c r="B3249" s="28" t="s">
        <v>192</v>
      </c>
      <c r="C3249" s="28" t="s">
        <v>97</v>
      </c>
      <c r="D3249" s="28" t="s">
        <v>1789</v>
      </c>
      <c r="E3249" s="29" t="s">
        <v>1800</v>
      </c>
      <c r="F3249" s="29" t="s">
        <v>374</v>
      </c>
      <c r="G3249" s="25" t="s">
        <v>4982</v>
      </c>
      <c r="H3249" s="26">
        <v>-0.26983671000000004</v>
      </c>
      <c r="I3249" s="26"/>
      <c r="J3249" s="26" t="s">
        <v>514</v>
      </c>
      <c r="K3249" s="25" t="s">
        <v>513</v>
      </c>
    </row>
    <row r="3250" spans="1:11" ht="25.5" x14ac:dyDescent="0.25">
      <c r="A3250" s="22">
        <v>2026</v>
      </c>
      <c r="B3250" s="28" t="s">
        <v>192</v>
      </c>
      <c r="C3250" s="28" t="s">
        <v>97</v>
      </c>
      <c r="D3250" s="28" t="s">
        <v>1789</v>
      </c>
      <c r="E3250" s="29" t="s">
        <v>1800</v>
      </c>
      <c r="F3250" s="29" t="s">
        <v>374</v>
      </c>
      <c r="G3250" s="25" t="s">
        <v>4983</v>
      </c>
      <c r="H3250" s="26">
        <v>-0.45971015860000003</v>
      </c>
      <c r="I3250" s="26"/>
      <c r="J3250" s="26" t="s">
        <v>514</v>
      </c>
      <c r="K3250" s="25" t="s">
        <v>513</v>
      </c>
    </row>
    <row r="3251" spans="1:11" ht="25.5" x14ac:dyDescent="0.25">
      <c r="A3251" s="22">
        <v>2026</v>
      </c>
      <c r="B3251" s="28" t="s">
        <v>192</v>
      </c>
      <c r="C3251" s="28" t="s">
        <v>97</v>
      </c>
      <c r="D3251" s="28" t="s">
        <v>1789</v>
      </c>
      <c r="E3251" s="29" t="s">
        <v>1800</v>
      </c>
      <c r="F3251" s="29" t="s">
        <v>374</v>
      </c>
      <c r="G3251" s="25" t="s">
        <v>4984</v>
      </c>
      <c r="H3251" s="26">
        <v>-0.24463717739999999</v>
      </c>
      <c r="I3251" s="26"/>
      <c r="J3251" s="26" t="s">
        <v>514</v>
      </c>
      <c r="K3251" s="25" t="s">
        <v>513</v>
      </c>
    </row>
    <row r="3252" spans="1:11" ht="25.5" x14ac:dyDescent="0.25">
      <c r="A3252" s="22">
        <v>2026</v>
      </c>
      <c r="B3252" s="28" t="s">
        <v>192</v>
      </c>
      <c r="C3252" s="28" t="s">
        <v>97</v>
      </c>
      <c r="D3252" s="28" t="s">
        <v>1789</v>
      </c>
      <c r="E3252" s="29" t="s">
        <v>1800</v>
      </c>
      <c r="F3252" s="29" t="s">
        <v>374</v>
      </c>
      <c r="G3252" s="25" t="s">
        <v>4985</v>
      </c>
      <c r="H3252" s="26">
        <v>-0.3219422448</v>
      </c>
      <c r="I3252" s="26"/>
      <c r="J3252" s="26" t="s">
        <v>514</v>
      </c>
      <c r="K3252" s="25" t="s">
        <v>513</v>
      </c>
    </row>
    <row r="3253" spans="1:11" ht="25.5" x14ac:dyDescent="0.25">
      <c r="A3253" s="22">
        <v>2026</v>
      </c>
      <c r="B3253" s="28" t="s">
        <v>192</v>
      </c>
      <c r="C3253" s="28" t="s">
        <v>97</v>
      </c>
      <c r="D3253" s="28" t="s">
        <v>1789</v>
      </c>
      <c r="E3253" s="29" t="s">
        <v>1800</v>
      </c>
      <c r="F3253" s="29" t="s">
        <v>374</v>
      </c>
      <c r="G3253" s="25" t="s">
        <v>4986</v>
      </c>
      <c r="H3253" s="26">
        <v>-0.38673772899999997</v>
      </c>
      <c r="I3253" s="26"/>
      <c r="J3253" s="26" t="s">
        <v>514</v>
      </c>
      <c r="K3253" s="25" t="s">
        <v>513</v>
      </c>
    </row>
    <row r="3254" spans="1:11" ht="25.5" x14ac:dyDescent="0.25">
      <c r="A3254" s="22">
        <v>2026</v>
      </c>
      <c r="B3254" s="28" t="s">
        <v>192</v>
      </c>
      <c r="C3254" s="28" t="s">
        <v>97</v>
      </c>
      <c r="D3254" s="28" t="s">
        <v>1789</v>
      </c>
      <c r="E3254" s="29" t="s">
        <v>1800</v>
      </c>
      <c r="F3254" s="29" t="s">
        <v>374</v>
      </c>
      <c r="G3254" s="25" t="s">
        <v>4987</v>
      </c>
      <c r="H3254" s="26">
        <v>-0.3117284924</v>
      </c>
      <c r="I3254" s="26"/>
      <c r="J3254" s="26" t="s">
        <v>514</v>
      </c>
      <c r="K3254" s="25" t="s">
        <v>513</v>
      </c>
    </row>
    <row r="3255" spans="1:11" ht="25.5" x14ac:dyDescent="0.25">
      <c r="A3255" s="22">
        <v>2026</v>
      </c>
      <c r="B3255" s="28" t="s">
        <v>192</v>
      </c>
      <c r="C3255" s="28" t="s">
        <v>97</v>
      </c>
      <c r="D3255" s="28" t="s">
        <v>1789</v>
      </c>
      <c r="E3255" s="29" t="s">
        <v>1800</v>
      </c>
      <c r="F3255" s="29" t="s">
        <v>374</v>
      </c>
      <c r="G3255" s="25" t="s">
        <v>4988</v>
      </c>
      <c r="H3255" s="26">
        <v>-0.39584999999999998</v>
      </c>
      <c r="I3255" s="26"/>
      <c r="J3255" s="26" t="s">
        <v>514</v>
      </c>
      <c r="K3255" s="25" t="s">
        <v>513</v>
      </c>
    </row>
    <row r="3256" spans="1:11" ht="25.5" x14ac:dyDescent="0.25">
      <c r="A3256" s="22">
        <v>2026</v>
      </c>
      <c r="B3256" s="28" t="s">
        <v>192</v>
      </c>
      <c r="C3256" s="28" t="s">
        <v>97</v>
      </c>
      <c r="D3256" s="28" t="s">
        <v>1789</v>
      </c>
      <c r="E3256" s="29" t="s">
        <v>1800</v>
      </c>
      <c r="F3256" s="29" t="s">
        <v>374</v>
      </c>
      <c r="G3256" s="25" t="s">
        <v>4989</v>
      </c>
      <c r="H3256" s="26">
        <v>-0.39439999999999997</v>
      </c>
      <c r="I3256" s="26"/>
      <c r="J3256" s="26" t="s">
        <v>514</v>
      </c>
      <c r="K3256" s="25" t="s">
        <v>513</v>
      </c>
    </row>
    <row r="3257" spans="1:11" ht="25.5" x14ac:dyDescent="0.25">
      <c r="A3257" s="22">
        <v>2026</v>
      </c>
      <c r="B3257" s="28" t="s">
        <v>192</v>
      </c>
      <c r="C3257" s="28" t="s">
        <v>97</v>
      </c>
      <c r="D3257" s="28" t="s">
        <v>1789</v>
      </c>
      <c r="E3257" s="29" t="s">
        <v>1800</v>
      </c>
      <c r="F3257" s="29" t="s">
        <v>374</v>
      </c>
      <c r="G3257" s="25" t="s">
        <v>4990</v>
      </c>
      <c r="H3257" s="26">
        <v>-0.35089999999999999</v>
      </c>
      <c r="I3257" s="26"/>
      <c r="J3257" s="26" t="s">
        <v>514</v>
      </c>
      <c r="K3257" s="25" t="s">
        <v>513</v>
      </c>
    </row>
    <row r="3258" spans="1:11" ht="25.5" x14ac:dyDescent="0.25">
      <c r="A3258" s="22">
        <v>2026</v>
      </c>
      <c r="B3258" s="28" t="s">
        <v>192</v>
      </c>
      <c r="C3258" s="28" t="s">
        <v>97</v>
      </c>
      <c r="D3258" s="28" t="s">
        <v>1789</v>
      </c>
      <c r="E3258" s="29" t="s">
        <v>1800</v>
      </c>
      <c r="F3258" s="29" t="s">
        <v>374</v>
      </c>
      <c r="G3258" s="25" t="s">
        <v>4991</v>
      </c>
      <c r="H3258" s="26">
        <v>-0.3957</v>
      </c>
      <c r="I3258" s="26"/>
      <c r="J3258" s="26" t="s">
        <v>514</v>
      </c>
      <c r="K3258" s="25" t="s">
        <v>513</v>
      </c>
    </row>
    <row r="3259" spans="1:11" ht="25.5" x14ac:dyDescent="0.25">
      <c r="A3259" s="22">
        <v>2026</v>
      </c>
      <c r="B3259" s="28" t="s">
        <v>192</v>
      </c>
      <c r="C3259" s="28" t="s">
        <v>97</v>
      </c>
      <c r="D3259" s="28" t="s">
        <v>1789</v>
      </c>
      <c r="E3259" s="29" t="s">
        <v>1800</v>
      </c>
      <c r="F3259" s="29" t="s">
        <v>374</v>
      </c>
      <c r="G3259" s="25" t="s">
        <v>4992</v>
      </c>
      <c r="H3259" s="26">
        <v>-0.30880958000000003</v>
      </c>
      <c r="I3259" s="26"/>
      <c r="J3259" s="26" t="s">
        <v>514</v>
      </c>
      <c r="K3259" s="25" t="s">
        <v>513</v>
      </c>
    </row>
    <row r="3260" spans="1:11" ht="25.5" x14ac:dyDescent="0.25">
      <c r="A3260" s="22">
        <v>2026</v>
      </c>
      <c r="B3260" s="28" t="s">
        <v>192</v>
      </c>
      <c r="C3260" s="28" t="s">
        <v>97</v>
      </c>
      <c r="D3260" s="28" t="s">
        <v>1789</v>
      </c>
      <c r="E3260" s="29" t="s">
        <v>1800</v>
      </c>
      <c r="F3260" s="29" t="s">
        <v>374</v>
      </c>
      <c r="G3260" s="25" t="s">
        <v>4993</v>
      </c>
      <c r="H3260" s="26">
        <v>-0.33101399999999997</v>
      </c>
      <c r="I3260" s="26"/>
      <c r="J3260" s="26" t="s">
        <v>514</v>
      </c>
      <c r="K3260" s="25" t="s">
        <v>513</v>
      </c>
    </row>
    <row r="3261" spans="1:11" ht="25.5" x14ac:dyDescent="0.25">
      <c r="A3261" s="22">
        <v>2026</v>
      </c>
      <c r="B3261" s="28" t="s">
        <v>192</v>
      </c>
      <c r="C3261" s="28" t="s">
        <v>97</v>
      </c>
      <c r="D3261" s="28" t="s">
        <v>1789</v>
      </c>
      <c r="E3261" s="29" t="s">
        <v>1800</v>
      </c>
      <c r="F3261" s="29" t="s">
        <v>374</v>
      </c>
      <c r="G3261" s="25" t="s">
        <v>4994</v>
      </c>
      <c r="H3261" s="26">
        <v>-0.2124590844</v>
      </c>
      <c r="I3261" s="26"/>
      <c r="J3261" s="26" t="s">
        <v>514</v>
      </c>
      <c r="K3261" s="25" t="s">
        <v>513</v>
      </c>
    </row>
    <row r="3262" spans="1:11" ht="25.5" x14ac:dyDescent="0.25">
      <c r="A3262" s="22">
        <v>2026</v>
      </c>
      <c r="B3262" s="28" t="s">
        <v>192</v>
      </c>
      <c r="C3262" s="28" t="s">
        <v>97</v>
      </c>
      <c r="D3262" s="28" t="s">
        <v>191</v>
      </c>
      <c r="E3262" s="29" t="s">
        <v>643</v>
      </c>
      <c r="F3262" s="29" t="s">
        <v>343</v>
      </c>
      <c r="G3262" s="25" t="s">
        <v>4995</v>
      </c>
      <c r="H3262" s="26">
        <v>-9.1749999999999998E-2</v>
      </c>
      <c r="I3262" s="26"/>
      <c r="J3262" s="26" t="s">
        <v>512</v>
      </c>
      <c r="K3262" s="25" t="s">
        <v>513</v>
      </c>
    </row>
    <row r="3263" spans="1:11" ht="25.5" x14ac:dyDescent="0.25">
      <c r="A3263" s="22">
        <v>2026</v>
      </c>
      <c r="B3263" s="28" t="s">
        <v>192</v>
      </c>
      <c r="C3263" s="28" t="s">
        <v>97</v>
      </c>
      <c r="D3263" s="28" t="s">
        <v>191</v>
      </c>
      <c r="E3263" s="29" t="s">
        <v>643</v>
      </c>
      <c r="F3263" s="29" t="s">
        <v>343</v>
      </c>
      <c r="G3263" s="25" t="s">
        <v>4996</v>
      </c>
      <c r="H3263" s="26">
        <v>-0.1153467</v>
      </c>
      <c r="I3263" s="26"/>
      <c r="J3263" s="26" t="s">
        <v>512</v>
      </c>
      <c r="K3263" s="25" t="s">
        <v>513</v>
      </c>
    </row>
    <row r="3264" spans="1:11" ht="25.5" x14ac:dyDescent="0.25">
      <c r="A3264" s="22">
        <v>2026</v>
      </c>
      <c r="B3264" s="28" t="s">
        <v>192</v>
      </c>
      <c r="C3264" s="28" t="s">
        <v>97</v>
      </c>
      <c r="D3264" s="28" t="s">
        <v>191</v>
      </c>
      <c r="E3264" s="29" t="s">
        <v>643</v>
      </c>
      <c r="F3264" s="29" t="s">
        <v>343</v>
      </c>
      <c r="G3264" s="25" t="s">
        <v>4997</v>
      </c>
      <c r="H3264" s="26">
        <v>-8.8687500000000002E-2</v>
      </c>
      <c r="I3264" s="26"/>
      <c r="J3264" s="26" t="s">
        <v>512</v>
      </c>
      <c r="K3264" s="25" t="s">
        <v>513</v>
      </c>
    </row>
    <row r="3265" spans="1:11" ht="25.5" x14ac:dyDescent="0.25">
      <c r="A3265" s="22">
        <v>2026</v>
      </c>
      <c r="B3265" s="28" t="s">
        <v>192</v>
      </c>
      <c r="C3265" s="28" t="s">
        <v>97</v>
      </c>
      <c r="D3265" s="28" t="s">
        <v>191</v>
      </c>
      <c r="E3265" s="29" t="s">
        <v>643</v>
      </c>
      <c r="F3265" s="29" t="s">
        <v>343</v>
      </c>
      <c r="G3265" s="25" t="s">
        <v>4998</v>
      </c>
      <c r="H3265" s="26">
        <v>-9.1050000000000006E-2</v>
      </c>
      <c r="I3265" s="26"/>
      <c r="J3265" s="26" t="s">
        <v>512</v>
      </c>
      <c r="K3265" s="25" t="s">
        <v>513</v>
      </c>
    </row>
    <row r="3266" spans="1:11" ht="25.5" x14ac:dyDescent="0.25">
      <c r="A3266" s="22">
        <v>2026</v>
      </c>
      <c r="B3266" s="28" t="s">
        <v>192</v>
      </c>
      <c r="C3266" s="28" t="s">
        <v>97</v>
      </c>
      <c r="D3266" s="28" t="s">
        <v>191</v>
      </c>
      <c r="E3266" s="29" t="s">
        <v>643</v>
      </c>
      <c r="F3266" s="29" t="s">
        <v>343</v>
      </c>
      <c r="G3266" s="25" t="s">
        <v>4999</v>
      </c>
      <c r="H3266" s="26">
        <v>-0.1086</v>
      </c>
      <c r="I3266" s="26"/>
      <c r="J3266" s="26" t="s">
        <v>512</v>
      </c>
      <c r="K3266" s="25" t="s">
        <v>513</v>
      </c>
    </row>
    <row r="3267" spans="1:11" ht="25.5" x14ac:dyDescent="0.25">
      <c r="A3267" s="22">
        <v>2026</v>
      </c>
      <c r="B3267" s="28" t="s">
        <v>192</v>
      </c>
      <c r="C3267" s="28" t="s">
        <v>97</v>
      </c>
      <c r="D3267" s="28" t="s">
        <v>191</v>
      </c>
      <c r="E3267" s="29" t="s">
        <v>643</v>
      </c>
      <c r="F3267" s="29" t="s">
        <v>343</v>
      </c>
      <c r="G3267" s="25" t="s">
        <v>5000</v>
      </c>
      <c r="H3267" s="26">
        <v>-0.17799999999999999</v>
      </c>
      <c r="I3267" s="26"/>
      <c r="J3267" s="26" t="s">
        <v>512</v>
      </c>
      <c r="K3267" s="25" t="s">
        <v>513</v>
      </c>
    </row>
    <row r="3268" spans="1:11" ht="25.5" x14ac:dyDescent="0.25">
      <c r="A3268" s="22">
        <v>2026</v>
      </c>
      <c r="B3268" s="28" t="s">
        <v>192</v>
      </c>
      <c r="C3268" s="28" t="s">
        <v>97</v>
      </c>
      <c r="D3268" s="28" t="s">
        <v>191</v>
      </c>
      <c r="E3268" s="29" t="s">
        <v>643</v>
      </c>
      <c r="F3268" s="29" t="s">
        <v>343</v>
      </c>
      <c r="G3268" s="25" t="s">
        <v>4910</v>
      </c>
      <c r="H3268" s="26">
        <v>-5.0099999999999999E-2</v>
      </c>
      <c r="I3268" s="26"/>
      <c r="J3268" s="26" t="s">
        <v>512</v>
      </c>
      <c r="K3268" s="25" t="s">
        <v>513</v>
      </c>
    </row>
    <row r="3269" spans="1:11" ht="25.5" x14ac:dyDescent="0.25">
      <c r="A3269" s="22">
        <v>2026</v>
      </c>
      <c r="B3269" s="28" t="s">
        <v>192</v>
      </c>
      <c r="C3269" s="28" t="s">
        <v>97</v>
      </c>
      <c r="D3269" s="28" t="s">
        <v>543</v>
      </c>
      <c r="E3269" s="29" t="s">
        <v>578</v>
      </c>
      <c r="F3269" s="29" t="s">
        <v>335</v>
      </c>
      <c r="G3269" s="25" t="s">
        <v>5001</v>
      </c>
      <c r="H3269" s="26">
        <v>-0.26124999999999998</v>
      </c>
      <c r="I3269" s="26"/>
      <c r="J3269" s="26" t="s">
        <v>512</v>
      </c>
      <c r="K3269" s="25" t="s">
        <v>513</v>
      </c>
    </row>
    <row r="3270" spans="1:11" ht="25.5" x14ac:dyDescent="0.25">
      <c r="A3270" s="22">
        <v>2026</v>
      </c>
      <c r="B3270" s="28" t="s">
        <v>192</v>
      </c>
      <c r="C3270" s="28" t="s">
        <v>97</v>
      </c>
      <c r="D3270" s="28" t="s">
        <v>543</v>
      </c>
      <c r="E3270" s="29" t="s">
        <v>578</v>
      </c>
      <c r="F3270" s="29" t="s">
        <v>335</v>
      </c>
      <c r="G3270" s="25" t="s">
        <v>5002</v>
      </c>
      <c r="H3270" s="26">
        <v>-0.23300000000000001</v>
      </c>
      <c r="I3270" s="26"/>
      <c r="J3270" s="26" t="s">
        <v>512</v>
      </c>
      <c r="K3270" s="25" t="s">
        <v>513</v>
      </c>
    </row>
    <row r="3271" spans="1:11" ht="25.5" x14ac:dyDescent="0.25">
      <c r="A3271" s="22">
        <v>2026</v>
      </c>
      <c r="B3271" s="28" t="s">
        <v>192</v>
      </c>
      <c r="C3271" s="28" t="s">
        <v>97</v>
      </c>
      <c r="D3271" s="28" t="s">
        <v>543</v>
      </c>
      <c r="E3271" s="29" t="s">
        <v>578</v>
      </c>
      <c r="F3271" s="29" t="s">
        <v>335</v>
      </c>
      <c r="G3271" s="25" t="s">
        <v>5003</v>
      </c>
      <c r="H3271" s="26">
        <v>-0.2066499</v>
      </c>
      <c r="I3271" s="26"/>
      <c r="J3271" s="26" t="s">
        <v>512</v>
      </c>
      <c r="K3271" s="25" t="s">
        <v>513</v>
      </c>
    </row>
    <row r="3272" spans="1:11" ht="25.5" x14ac:dyDescent="0.25">
      <c r="A3272" s="22">
        <v>2026</v>
      </c>
      <c r="B3272" s="28" t="s">
        <v>192</v>
      </c>
      <c r="C3272" s="28" t="s">
        <v>97</v>
      </c>
      <c r="D3272" s="28" t="s">
        <v>543</v>
      </c>
      <c r="E3272" s="29" t="s">
        <v>578</v>
      </c>
      <c r="F3272" s="29" t="s">
        <v>335</v>
      </c>
      <c r="G3272" s="25" t="s">
        <v>5004</v>
      </c>
      <c r="H3272" s="26">
        <v>-0.1145</v>
      </c>
      <c r="I3272" s="26"/>
      <c r="J3272" s="26" t="s">
        <v>512</v>
      </c>
      <c r="K3272" s="25" t="s">
        <v>513</v>
      </c>
    </row>
    <row r="3273" spans="1:11" ht="25.5" x14ac:dyDescent="0.25">
      <c r="A3273" s="22">
        <v>2026</v>
      </c>
      <c r="B3273" s="28" t="s">
        <v>192</v>
      </c>
      <c r="C3273" s="28" t="s">
        <v>97</v>
      </c>
      <c r="D3273" s="28" t="s">
        <v>543</v>
      </c>
      <c r="E3273" s="29" t="s">
        <v>578</v>
      </c>
      <c r="F3273" s="29" t="s">
        <v>335</v>
      </c>
      <c r="G3273" s="25" t="s">
        <v>5005</v>
      </c>
      <c r="H3273" s="26">
        <v>-0.25409999999999999</v>
      </c>
      <c r="I3273" s="26"/>
      <c r="J3273" s="26" t="s">
        <v>512</v>
      </c>
      <c r="K3273" s="25" t="s">
        <v>513</v>
      </c>
    </row>
    <row r="3274" spans="1:11" ht="25.5" x14ac:dyDescent="0.25">
      <c r="A3274" s="22">
        <v>2026</v>
      </c>
      <c r="B3274" s="28" t="s">
        <v>192</v>
      </c>
      <c r="C3274" s="28" t="s">
        <v>97</v>
      </c>
      <c r="D3274" s="28" t="s">
        <v>543</v>
      </c>
      <c r="E3274" s="29" t="s">
        <v>578</v>
      </c>
      <c r="F3274" s="29" t="s">
        <v>335</v>
      </c>
      <c r="G3274" s="25" t="s">
        <v>5006</v>
      </c>
      <c r="H3274" s="26">
        <v>-0.25359949999999998</v>
      </c>
      <c r="I3274" s="26"/>
      <c r="J3274" s="26" t="s">
        <v>512</v>
      </c>
      <c r="K3274" s="25" t="s">
        <v>513</v>
      </c>
    </row>
    <row r="3275" spans="1:11" ht="25.5" x14ac:dyDescent="0.25">
      <c r="A3275" s="22">
        <v>2026</v>
      </c>
      <c r="B3275" s="28" t="s">
        <v>192</v>
      </c>
      <c r="C3275" s="28" t="s">
        <v>97</v>
      </c>
      <c r="D3275" s="28" t="s">
        <v>543</v>
      </c>
      <c r="E3275" s="29" t="s">
        <v>578</v>
      </c>
      <c r="F3275" s="29" t="s">
        <v>335</v>
      </c>
      <c r="G3275" s="25" t="s">
        <v>5007</v>
      </c>
      <c r="H3275" s="26">
        <v>-0.20160000000000003</v>
      </c>
      <c r="I3275" s="26"/>
      <c r="J3275" s="26" t="s">
        <v>512</v>
      </c>
      <c r="K3275" s="25" t="s">
        <v>513</v>
      </c>
    </row>
    <row r="3276" spans="1:11" ht="25.5" x14ac:dyDescent="0.25">
      <c r="A3276" s="22">
        <v>2026</v>
      </c>
      <c r="B3276" s="28" t="s">
        <v>192</v>
      </c>
      <c r="C3276" s="28" t="s">
        <v>97</v>
      </c>
      <c r="D3276" s="28" t="s">
        <v>543</v>
      </c>
      <c r="E3276" s="29" t="s">
        <v>578</v>
      </c>
      <c r="F3276" s="29" t="s">
        <v>335</v>
      </c>
      <c r="G3276" s="25" t="s">
        <v>5008</v>
      </c>
      <c r="H3276" s="26">
        <v>-0.22275</v>
      </c>
      <c r="I3276" s="26"/>
      <c r="J3276" s="26" t="s">
        <v>512</v>
      </c>
      <c r="K3276" s="25" t="s">
        <v>513</v>
      </c>
    </row>
    <row r="3277" spans="1:11" ht="25.5" x14ac:dyDescent="0.25">
      <c r="A3277" s="22">
        <v>2026</v>
      </c>
      <c r="B3277" s="28" t="s">
        <v>192</v>
      </c>
      <c r="C3277" s="28" t="s">
        <v>97</v>
      </c>
      <c r="D3277" s="28" t="s">
        <v>543</v>
      </c>
      <c r="E3277" s="29" t="s">
        <v>578</v>
      </c>
      <c r="F3277" s="29" t="s">
        <v>335</v>
      </c>
      <c r="G3277" s="25" t="s">
        <v>5009</v>
      </c>
      <c r="H3277" s="26">
        <v>-0.28665000000000002</v>
      </c>
      <c r="I3277" s="26"/>
      <c r="J3277" s="26" t="s">
        <v>512</v>
      </c>
      <c r="K3277" s="25" t="s">
        <v>513</v>
      </c>
    </row>
    <row r="3278" spans="1:11" ht="25.5" x14ac:dyDescent="0.25">
      <c r="A3278" s="22">
        <v>2026</v>
      </c>
      <c r="B3278" s="28" t="s">
        <v>192</v>
      </c>
      <c r="C3278" s="28" t="s">
        <v>97</v>
      </c>
      <c r="D3278" s="28" t="s">
        <v>543</v>
      </c>
      <c r="E3278" s="29" t="s">
        <v>578</v>
      </c>
      <c r="F3278" s="29" t="s">
        <v>335</v>
      </c>
      <c r="G3278" s="25" t="s">
        <v>5010</v>
      </c>
      <c r="H3278" s="26">
        <v>-0.18343000000000001</v>
      </c>
      <c r="I3278" s="26"/>
      <c r="J3278" s="26" t="s">
        <v>512</v>
      </c>
      <c r="K3278" s="25" t="s">
        <v>513</v>
      </c>
    </row>
    <row r="3279" spans="1:11" ht="25.5" x14ac:dyDescent="0.25">
      <c r="A3279" s="22">
        <v>2026</v>
      </c>
      <c r="B3279" s="28" t="s">
        <v>192</v>
      </c>
      <c r="C3279" s="28" t="s">
        <v>97</v>
      </c>
      <c r="D3279" s="28" t="s">
        <v>543</v>
      </c>
      <c r="E3279" s="29" t="s">
        <v>578</v>
      </c>
      <c r="F3279" s="29" t="s">
        <v>335</v>
      </c>
      <c r="G3279" s="25" t="s">
        <v>5011</v>
      </c>
      <c r="H3279" s="26">
        <v>-0.10974999999999999</v>
      </c>
      <c r="I3279" s="26"/>
      <c r="J3279" s="26" t="s">
        <v>512</v>
      </c>
      <c r="K3279" s="25" t="s">
        <v>513</v>
      </c>
    </row>
    <row r="3280" spans="1:11" ht="25.5" x14ac:dyDescent="0.25">
      <c r="A3280" s="22">
        <v>2026</v>
      </c>
      <c r="B3280" s="28" t="s">
        <v>192</v>
      </c>
      <c r="C3280" s="28" t="s">
        <v>97</v>
      </c>
      <c r="D3280" s="28" t="s">
        <v>543</v>
      </c>
      <c r="E3280" s="29" t="s">
        <v>578</v>
      </c>
      <c r="F3280" s="29" t="s">
        <v>335</v>
      </c>
      <c r="G3280" s="25" t="s">
        <v>5012</v>
      </c>
      <c r="H3280" s="26">
        <v>-0.11025</v>
      </c>
      <c r="I3280" s="26"/>
      <c r="J3280" s="26" t="s">
        <v>512</v>
      </c>
      <c r="K3280" s="25" t="s">
        <v>513</v>
      </c>
    </row>
    <row r="3281" spans="1:11" ht="25.5" x14ac:dyDescent="0.25">
      <c r="A3281" s="22">
        <v>2026</v>
      </c>
      <c r="B3281" s="28" t="s">
        <v>192</v>
      </c>
      <c r="C3281" s="28" t="s">
        <v>97</v>
      </c>
      <c r="D3281" s="28" t="s">
        <v>534</v>
      </c>
      <c r="E3281" s="29" t="s">
        <v>337</v>
      </c>
      <c r="F3281" s="29" t="s">
        <v>287</v>
      </c>
      <c r="G3281" s="25" t="s">
        <v>5013</v>
      </c>
      <c r="H3281" s="26">
        <v>-3.203307744</v>
      </c>
      <c r="I3281" s="26"/>
      <c r="J3281" s="26" t="s">
        <v>512</v>
      </c>
      <c r="K3281" s="25" t="s">
        <v>526</v>
      </c>
    </row>
    <row r="3282" spans="1:11" ht="25.5" x14ac:dyDescent="0.25">
      <c r="A3282" s="22">
        <v>2026</v>
      </c>
      <c r="B3282" s="28" t="s">
        <v>192</v>
      </c>
      <c r="C3282" s="28" t="s">
        <v>97</v>
      </c>
      <c r="D3282" s="28" t="s">
        <v>534</v>
      </c>
      <c r="E3282" s="29" t="s">
        <v>337</v>
      </c>
      <c r="F3282" s="29" t="s">
        <v>287</v>
      </c>
      <c r="G3282" s="25" t="s">
        <v>5014</v>
      </c>
      <c r="H3282" s="26">
        <v>-1.6461538739999999</v>
      </c>
      <c r="I3282" s="26"/>
      <c r="J3282" s="26" t="s">
        <v>512</v>
      </c>
      <c r="K3282" s="25" t="s">
        <v>526</v>
      </c>
    </row>
    <row r="3283" spans="1:11" ht="25.5" x14ac:dyDescent="0.25">
      <c r="A3283" s="22">
        <v>2026</v>
      </c>
      <c r="B3283" s="28" t="s">
        <v>192</v>
      </c>
      <c r="C3283" s="28" t="s">
        <v>97</v>
      </c>
      <c r="D3283" s="28" t="s">
        <v>534</v>
      </c>
      <c r="E3283" s="29" t="s">
        <v>337</v>
      </c>
      <c r="F3283" s="29" t="s">
        <v>287</v>
      </c>
      <c r="G3283" s="25" t="s">
        <v>5015</v>
      </c>
      <c r="H3283" s="26">
        <v>-0.63360000000000005</v>
      </c>
      <c r="I3283" s="26"/>
      <c r="J3283" s="26" t="s">
        <v>512</v>
      </c>
      <c r="K3283" s="25" t="s">
        <v>526</v>
      </c>
    </row>
    <row r="3284" spans="1:11" ht="25.5" x14ac:dyDescent="0.25">
      <c r="A3284" s="22">
        <v>2026</v>
      </c>
      <c r="B3284" s="28" t="s">
        <v>192</v>
      </c>
      <c r="C3284" s="28" t="s">
        <v>97</v>
      </c>
      <c r="D3284" s="28" t="s">
        <v>534</v>
      </c>
      <c r="E3284" s="29" t="s">
        <v>337</v>
      </c>
      <c r="F3284" s="29" t="s">
        <v>287</v>
      </c>
      <c r="G3284" s="25" t="s">
        <v>5016</v>
      </c>
      <c r="H3284" s="26">
        <v>-1.7174586686</v>
      </c>
      <c r="I3284" s="26"/>
      <c r="J3284" s="26" t="s">
        <v>512</v>
      </c>
      <c r="K3284" s="25" t="s">
        <v>526</v>
      </c>
    </row>
    <row r="3285" spans="1:11" ht="25.5" x14ac:dyDescent="0.25">
      <c r="A3285" s="22">
        <v>2026</v>
      </c>
      <c r="B3285" s="28" t="s">
        <v>192</v>
      </c>
      <c r="C3285" s="28" t="s">
        <v>97</v>
      </c>
      <c r="D3285" s="28" t="s">
        <v>534</v>
      </c>
      <c r="E3285" s="29" t="s">
        <v>337</v>
      </c>
      <c r="F3285" s="29" t="s">
        <v>287</v>
      </c>
      <c r="G3285" s="25" t="s">
        <v>5017</v>
      </c>
      <c r="H3285" s="26">
        <v>-1.2220764150000001</v>
      </c>
      <c r="I3285" s="26"/>
      <c r="J3285" s="26" t="s">
        <v>512</v>
      </c>
      <c r="K3285" s="25" t="s">
        <v>526</v>
      </c>
    </row>
    <row r="3286" spans="1:11" ht="25.5" x14ac:dyDescent="0.25">
      <c r="A3286" s="22">
        <v>2026</v>
      </c>
      <c r="B3286" s="28" t="s">
        <v>192</v>
      </c>
      <c r="C3286" s="28" t="s">
        <v>97</v>
      </c>
      <c r="D3286" s="28" t="s">
        <v>534</v>
      </c>
      <c r="E3286" s="29" t="s">
        <v>337</v>
      </c>
      <c r="F3286" s="29" t="s">
        <v>287</v>
      </c>
      <c r="G3286" s="25" t="s">
        <v>5018</v>
      </c>
      <c r="H3286" s="26">
        <v>-0.21599784100000002</v>
      </c>
      <c r="I3286" s="26"/>
      <c r="J3286" s="26" t="s">
        <v>512</v>
      </c>
      <c r="K3286" s="25" t="s">
        <v>526</v>
      </c>
    </row>
    <row r="3287" spans="1:11" ht="25.5" x14ac:dyDescent="0.25">
      <c r="A3287" s="22">
        <v>2026</v>
      </c>
      <c r="B3287" s="28" t="s">
        <v>192</v>
      </c>
      <c r="C3287" s="28" t="s">
        <v>97</v>
      </c>
      <c r="D3287" s="28" t="s">
        <v>534</v>
      </c>
      <c r="E3287" s="29" t="s">
        <v>337</v>
      </c>
      <c r="F3287" s="29" t="s">
        <v>287</v>
      </c>
      <c r="G3287" s="25" t="s">
        <v>5019</v>
      </c>
      <c r="H3287" s="26">
        <v>-8.7339310000000003E-2</v>
      </c>
      <c r="I3287" s="26"/>
      <c r="J3287" s="26" t="s">
        <v>512</v>
      </c>
      <c r="K3287" s="25" t="s">
        <v>526</v>
      </c>
    </row>
    <row r="3288" spans="1:11" ht="25.5" x14ac:dyDescent="0.25">
      <c r="A3288" s="22">
        <v>2026</v>
      </c>
      <c r="B3288" s="28" t="s">
        <v>192</v>
      </c>
      <c r="C3288" s="28" t="s">
        <v>97</v>
      </c>
      <c r="D3288" s="28" t="s">
        <v>534</v>
      </c>
      <c r="E3288" s="29" t="s">
        <v>337</v>
      </c>
      <c r="F3288" s="29" t="s">
        <v>287</v>
      </c>
      <c r="G3288" s="25" t="s">
        <v>5020</v>
      </c>
      <c r="H3288" s="26">
        <v>-0.31374999999999997</v>
      </c>
      <c r="I3288" s="26"/>
      <c r="J3288" s="26" t="s">
        <v>512</v>
      </c>
      <c r="K3288" s="25" t="s">
        <v>526</v>
      </c>
    </row>
    <row r="3289" spans="1:11" ht="25.5" x14ac:dyDescent="0.25">
      <c r="A3289" s="22">
        <v>2026</v>
      </c>
      <c r="B3289" s="28" t="s">
        <v>192</v>
      </c>
      <c r="C3289" s="28" t="s">
        <v>97</v>
      </c>
      <c r="D3289" s="28" t="s">
        <v>534</v>
      </c>
      <c r="E3289" s="29" t="s">
        <v>337</v>
      </c>
      <c r="F3289" s="29" t="s">
        <v>287</v>
      </c>
      <c r="G3289" s="25" t="s">
        <v>5021</v>
      </c>
      <c r="H3289" s="26">
        <v>-1.2980633784</v>
      </c>
      <c r="I3289" s="26"/>
      <c r="J3289" s="26" t="s">
        <v>512</v>
      </c>
      <c r="K3289" s="25" t="s">
        <v>526</v>
      </c>
    </row>
    <row r="3290" spans="1:11" ht="25.5" x14ac:dyDescent="0.25">
      <c r="A3290" s="22">
        <v>2026</v>
      </c>
      <c r="B3290" s="28" t="s">
        <v>192</v>
      </c>
      <c r="C3290" s="28" t="s">
        <v>97</v>
      </c>
      <c r="D3290" s="28" t="s">
        <v>534</v>
      </c>
      <c r="E3290" s="29" t="s">
        <v>337</v>
      </c>
      <c r="F3290" s="29" t="s">
        <v>287</v>
      </c>
      <c r="G3290" s="25" t="s">
        <v>5022</v>
      </c>
      <c r="H3290" s="26">
        <v>-2.1813951999999999</v>
      </c>
      <c r="I3290" s="26"/>
      <c r="J3290" s="26" t="s">
        <v>512</v>
      </c>
      <c r="K3290" s="25" t="s">
        <v>526</v>
      </c>
    </row>
    <row r="3291" spans="1:11" ht="25.5" x14ac:dyDescent="0.25">
      <c r="A3291" s="22">
        <v>2026</v>
      </c>
      <c r="B3291" s="28" t="s">
        <v>192</v>
      </c>
      <c r="C3291" s="28" t="s">
        <v>97</v>
      </c>
      <c r="D3291" s="28" t="s">
        <v>534</v>
      </c>
      <c r="E3291" s="29" t="s">
        <v>337</v>
      </c>
      <c r="F3291" s="29" t="s">
        <v>287</v>
      </c>
      <c r="G3291" s="25" t="s">
        <v>5023</v>
      </c>
      <c r="H3291" s="26">
        <v>-0.74700000000000011</v>
      </c>
      <c r="I3291" s="26"/>
      <c r="J3291" s="26" t="s">
        <v>512</v>
      </c>
      <c r="K3291" s="25" t="s">
        <v>526</v>
      </c>
    </row>
    <row r="3292" spans="1:11" ht="25.5" x14ac:dyDescent="0.25">
      <c r="A3292" s="22">
        <v>2026</v>
      </c>
      <c r="B3292" s="28" t="s">
        <v>192</v>
      </c>
      <c r="C3292" s="28" t="s">
        <v>97</v>
      </c>
      <c r="D3292" s="28" t="s">
        <v>534</v>
      </c>
      <c r="E3292" s="29" t="s">
        <v>337</v>
      </c>
      <c r="F3292" s="29" t="s">
        <v>287</v>
      </c>
      <c r="G3292" s="25" t="s">
        <v>5024</v>
      </c>
      <c r="H3292" s="26">
        <v>-1.1874342716999999</v>
      </c>
      <c r="I3292" s="26"/>
      <c r="J3292" s="26" t="s">
        <v>512</v>
      </c>
      <c r="K3292" s="25" t="s">
        <v>526</v>
      </c>
    </row>
    <row r="3293" spans="1:11" ht="25.5" x14ac:dyDescent="0.25">
      <c r="A3293" s="22">
        <v>2026</v>
      </c>
      <c r="B3293" s="28" t="s">
        <v>192</v>
      </c>
      <c r="C3293" s="28" t="s">
        <v>97</v>
      </c>
      <c r="D3293" s="28" t="s">
        <v>1754</v>
      </c>
      <c r="E3293" s="29" t="s">
        <v>569</v>
      </c>
      <c r="F3293" s="29" t="s">
        <v>474</v>
      </c>
      <c r="G3293" s="25" t="s">
        <v>5025</v>
      </c>
      <c r="H3293" s="26">
        <v>-7.5075000000000003E-2</v>
      </c>
      <c r="I3293" s="26"/>
      <c r="J3293" s="26" t="s">
        <v>512</v>
      </c>
      <c r="K3293" s="25" t="s">
        <v>513</v>
      </c>
    </row>
    <row r="3294" spans="1:11" ht="25.5" x14ac:dyDescent="0.25">
      <c r="A3294" s="22">
        <v>2026</v>
      </c>
      <c r="B3294" s="28" t="s">
        <v>192</v>
      </c>
      <c r="C3294" s="28" t="s">
        <v>97</v>
      </c>
      <c r="D3294" s="28" t="s">
        <v>1754</v>
      </c>
      <c r="E3294" s="29" t="s">
        <v>569</v>
      </c>
      <c r="F3294" s="29" t="s">
        <v>474</v>
      </c>
      <c r="G3294" s="25" t="s">
        <v>5026</v>
      </c>
      <c r="H3294" s="26">
        <v>-0.69481749999999998</v>
      </c>
      <c r="I3294" s="26"/>
      <c r="J3294" s="26" t="s">
        <v>512</v>
      </c>
      <c r="K3294" s="25" t="s">
        <v>513</v>
      </c>
    </row>
    <row r="3295" spans="1:11" ht="25.5" x14ac:dyDescent="0.25">
      <c r="A3295" s="22">
        <v>2026</v>
      </c>
      <c r="B3295" s="28" t="s">
        <v>192</v>
      </c>
      <c r="C3295" s="28" t="s">
        <v>97</v>
      </c>
      <c r="D3295" s="28" t="s">
        <v>1754</v>
      </c>
      <c r="E3295" s="29" t="s">
        <v>569</v>
      </c>
      <c r="F3295" s="29" t="s">
        <v>474</v>
      </c>
      <c r="G3295" s="25" t="s">
        <v>5027</v>
      </c>
      <c r="H3295" s="26">
        <v>-0.67405216145000002</v>
      </c>
      <c r="I3295" s="26"/>
      <c r="J3295" s="26" t="s">
        <v>512</v>
      </c>
      <c r="K3295" s="25" t="s">
        <v>513</v>
      </c>
    </row>
    <row r="3296" spans="1:11" ht="25.5" x14ac:dyDescent="0.25">
      <c r="A3296" s="22">
        <v>2026</v>
      </c>
      <c r="B3296" s="28" t="s">
        <v>192</v>
      </c>
      <c r="C3296" s="28" t="s">
        <v>97</v>
      </c>
      <c r="D3296" s="28" t="s">
        <v>1754</v>
      </c>
      <c r="E3296" s="29" t="s">
        <v>569</v>
      </c>
      <c r="F3296" s="29" t="s">
        <v>474</v>
      </c>
      <c r="G3296" s="25" t="s">
        <v>5028</v>
      </c>
      <c r="H3296" s="26">
        <v>-0.70258880000000001</v>
      </c>
      <c r="I3296" s="26"/>
      <c r="J3296" s="26" t="s">
        <v>512</v>
      </c>
      <c r="K3296" s="25" t="s">
        <v>513</v>
      </c>
    </row>
    <row r="3297" spans="1:11" ht="25.5" x14ac:dyDescent="0.25">
      <c r="A3297" s="22">
        <v>2026</v>
      </c>
      <c r="B3297" s="28" t="s">
        <v>192</v>
      </c>
      <c r="C3297" s="28" t="s">
        <v>97</v>
      </c>
      <c r="D3297" s="28" t="s">
        <v>1754</v>
      </c>
      <c r="E3297" s="29" t="s">
        <v>569</v>
      </c>
      <c r="F3297" s="29" t="s">
        <v>474</v>
      </c>
      <c r="G3297" s="25" t="s">
        <v>5029</v>
      </c>
      <c r="H3297" s="26">
        <v>-0.50582499999999997</v>
      </c>
      <c r="I3297" s="26"/>
      <c r="J3297" s="26" t="s">
        <v>512</v>
      </c>
      <c r="K3297" s="25" t="s">
        <v>513</v>
      </c>
    </row>
    <row r="3298" spans="1:11" ht="25.5" x14ac:dyDescent="0.25">
      <c r="A3298" s="22">
        <v>2026</v>
      </c>
      <c r="B3298" s="28" t="s">
        <v>192</v>
      </c>
      <c r="C3298" s="28" t="s">
        <v>97</v>
      </c>
      <c r="D3298" s="28" t="s">
        <v>1754</v>
      </c>
      <c r="E3298" s="29" t="s">
        <v>569</v>
      </c>
      <c r="F3298" s="29" t="s">
        <v>474</v>
      </c>
      <c r="G3298" s="25" t="s">
        <v>5030</v>
      </c>
      <c r="H3298" s="26">
        <v>-0.95884120905000003</v>
      </c>
      <c r="I3298" s="26"/>
      <c r="J3298" s="26" t="s">
        <v>512</v>
      </c>
      <c r="K3298" s="25" t="s">
        <v>513</v>
      </c>
    </row>
    <row r="3299" spans="1:11" ht="25.5" x14ac:dyDescent="0.25">
      <c r="A3299" s="22">
        <v>2026</v>
      </c>
      <c r="B3299" s="28" t="s">
        <v>192</v>
      </c>
      <c r="C3299" s="28" t="s">
        <v>97</v>
      </c>
      <c r="D3299" s="28" t="s">
        <v>1754</v>
      </c>
      <c r="E3299" s="29" t="s">
        <v>569</v>
      </c>
      <c r="F3299" s="29" t="s">
        <v>474</v>
      </c>
      <c r="G3299" s="25" t="s">
        <v>5031</v>
      </c>
      <c r="H3299" s="26">
        <v>-0.4951525</v>
      </c>
      <c r="I3299" s="26"/>
      <c r="J3299" s="26" t="s">
        <v>512</v>
      </c>
      <c r="K3299" s="25" t="s">
        <v>513</v>
      </c>
    </row>
    <row r="3300" spans="1:11" ht="25.5" x14ac:dyDescent="0.25">
      <c r="A3300" s="22">
        <v>2026</v>
      </c>
      <c r="B3300" s="28" t="s">
        <v>192</v>
      </c>
      <c r="C3300" s="28" t="s">
        <v>97</v>
      </c>
      <c r="D3300" s="28" t="s">
        <v>1754</v>
      </c>
      <c r="E3300" s="29" t="s">
        <v>569</v>
      </c>
      <c r="F3300" s="29" t="s">
        <v>474</v>
      </c>
      <c r="G3300" s="25" t="s">
        <v>5032</v>
      </c>
      <c r="H3300" s="26">
        <v>-0.98769499999999999</v>
      </c>
      <c r="I3300" s="26"/>
      <c r="J3300" s="26" t="s">
        <v>512</v>
      </c>
      <c r="K3300" s="25" t="s">
        <v>513</v>
      </c>
    </row>
    <row r="3301" spans="1:11" ht="25.5" x14ac:dyDescent="0.25">
      <c r="A3301" s="22">
        <v>2026</v>
      </c>
      <c r="B3301" s="28" t="s">
        <v>192</v>
      </c>
      <c r="C3301" s="28" t="s">
        <v>97</v>
      </c>
      <c r="D3301" s="28" t="s">
        <v>1754</v>
      </c>
      <c r="E3301" s="29" t="s">
        <v>569</v>
      </c>
      <c r="F3301" s="29" t="s">
        <v>474</v>
      </c>
      <c r="G3301" s="25" t="s">
        <v>5033</v>
      </c>
      <c r="H3301" s="26">
        <v>-0.31102455000000001</v>
      </c>
      <c r="I3301" s="26"/>
      <c r="J3301" s="26" t="s">
        <v>512</v>
      </c>
      <c r="K3301" s="25" t="s">
        <v>513</v>
      </c>
    </row>
    <row r="3302" spans="1:11" ht="25.5" x14ac:dyDescent="0.25">
      <c r="A3302" s="22">
        <v>2026</v>
      </c>
      <c r="B3302" s="28" t="s">
        <v>192</v>
      </c>
      <c r="C3302" s="28" t="s">
        <v>97</v>
      </c>
      <c r="D3302" s="28" t="s">
        <v>1755</v>
      </c>
      <c r="E3302" s="29" t="s">
        <v>923</v>
      </c>
      <c r="F3302" s="29" t="s">
        <v>340</v>
      </c>
      <c r="G3302" s="25" t="s">
        <v>5034</v>
      </c>
      <c r="H3302" s="26">
        <v>-0.23974999999999999</v>
      </c>
      <c r="I3302" s="26"/>
      <c r="J3302" s="26" t="s">
        <v>512</v>
      </c>
      <c r="K3302" s="25" t="s">
        <v>513</v>
      </c>
    </row>
    <row r="3303" spans="1:11" ht="25.5" x14ac:dyDescent="0.25">
      <c r="A3303" s="22">
        <v>2026</v>
      </c>
      <c r="B3303" s="28" t="s">
        <v>192</v>
      </c>
      <c r="C3303" s="28" t="s">
        <v>97</v>
      </c>
      <c r="D3303" s="28" t="s">
        <v>1755</v>
      </c>
      <c r="E3303" s="29" t="s">
        <v>923</v>
      </c>
      <c r="F3303" s="29" t="s">
        <v>340</v>
      </c>
      <c r="G3303" s="25" t="s">
        <v>5035</v>
      </c>
      <c r="H3303" s="26">
        <v>-0.374</v>
      </c>
      <c r="I3303" s="26"/>
      <c r="J3303" s="26" t="s">
        <v>512</v>
      </c>
      <c r="K3303" s="25" t="s">
        <v>513</v>
      </c>
    </row>
    <row r="3304" spans="1:11" ht="25.5" x14ac:dyDescent="0.25">
      <c r="A3304" s="22">
        <v>2026</v>
      </c>
      <c r="B3304" s="28" t="s">
        <v>192</v>
      </c>
      <c r="C3304" s="28" t="s">
        <v>97</v>
      </c>
      <c r="D3304" s="28" t="s">
        <v>1755</v>
      </c>
      <c r="E3304" s="29" t="s">
        <v>923</v>
      </c>
      <c r="F3304" s="29" t="s">
        <v>340</v>
      </c>
      <c r="G3304" s="25" t="s">
        <v>5036</v>
      </c>
      <c r="H3304" s="26">
        <v>-0.32690000000000002</v>
      </c>
      <c r="I3304" s="26"/>
      <c r="J3304" s="26" t="s">
        <v>512</v>
      </c>
      <c r="K3304" s="25" t="s">
        <v>513</v>
      </c>
    </row>
    <row r="3305" spans="1:11" ht="25.5" x14ac:dyDescent="0.25">
      <c r="A3305" s="22">
        <v>2026</v>
      </c>
      <c r="B3305" s="28" t="s">
        <v>192</v>
      </c>
      <c r="C3305" s="28" t="s">
        <v>97</v>
      </c>
      <c r="D3305" s="28" t="s">
        <v>1755</v>
      </c>
      <c r="E3305" s="29" t="s">
        <v>923</v>
      </c>
      <c r="F3305" s="29" t="s">
        <v>340</v>
      </c>
      <c r="G3305" s="25" t="s">
        <v>5037</v>
      </c>
      <c r="H3305" s="26">
        <v>-0.32056499999999999</v>
      </c>
      <c r="I3305" s="26"/>
      <c r="J3305" s="26" t="s">
        <v>512</v>
      </c>
      <c r="K3305" s="25" t="s">
        <v>513</v>
      </c>
    </row>
    <row r="3306" spans="1:11" ht="25.5" x14ac:dyDescent="0.25">
      <c r="A3306" s="22">
        <v>2026</v>
      </c>
      <c r="B3306" s="28" t="s">
        <v>192</v>
      </c>
      <c r="C3306" s="28" t="s">
        <v>97</v>
      </c>
      <c r="D3306" s="28" t="s">
        <v>1755</v>
      </c>
      <c r="E3306" s="29" t="s">
        <v>923</v>
      </c>
      <c r="F3306" s="29" t="s">
        <v>340</v>
      </c>
      <c r="G3306" s="25" t="s">
        <v>5038</v>
      </c>
      <c r="H3306" s="26">
        <v>-0.16233300000000001</v>
      </c>
      <c r="I3306" s="26"/>
      <c r="J3306" s="26" t="s">
        <v>512</v>
      </c>
      <c r="K3306" s="25" t="s">
        <v>513</v>
      </c>
    </row>
    <row r="3307" spans="1:11" ht="25.5" x14ac:dyDescent="0.25">
      <c r="A3307" s="22">
        <v>2026</v>
      </c>
      <c r="B3307" s="28" t="s">
        <v>192</v>
      </c>
      <c r="C3307" s="28" t="s">
        <v>97</v>
      </c>
      <c r="D3307" s="28" t="s">
        <v>1755</v>
      </c>
      <c r="E3307" s="29" t="s">
        <v>923</v>
      </c>
      <c r="F3307" s="29" t="s">
        <v>340</v>
      </c>
      <c r="G3307" s="25" t="s">
        <v>5039</v>
      </c>
      <c r="H3307" s="26">
        <v>-0.18340000000000001</v>
      </c>
      <c r="I3307" s="26"/>
      <c r="J3307" s="26" t="s">
        <v>512</v>
      </c>
      <c r="K3307" s="25" t="s">
        <v>513</v>
      </c>
    </row>
    <row r="3308" spans="1:11" ht="25.5" x14ac:dyDescent="0.25">
      <c r="A3308" s="22">
        <v>2026</v>
      </c>
      <c r="B3308" s="28" t="s">
        <v>192</v>
      </c>
      <c r="C3308" s="28" t="s">
        <v>97</v>
      </c>
      <c r="D3308" s="28" t="s">
        <v>1755</v>
      </c>
      <c r="E3308" s="29" t="s">
        <v>923</v>
      </c>
      <c r="F3308" s="29" t="s">
        <v>340</v>
      </c>
      <c r="G3308" s="25" t="s">
        <v>5040</v>
      </c>
      <c r="H3308" s="26">
        <v>-0.31464999999999999</v>
      </c>
      <c r="I3308" s="26"/>
      <c r="J3308" s="26" t="s">
        <v>512</v>
      </c>
      <c r="K3308" s="25" t="s">
        <v>513</v>
      </c>
    </row>
    <row r="3309" spans="1:11" ht="25.5" x14ac:dyDescent="0.25">
      <c r="A3309" s="22">
        <v>2026</v>
      </c>
      <c r="B3309" s="28" t="s">
        <v>192</v>
      </c>
      <c r="C3309" s="28" t="s">
        <v>97</v>
      </c>
      <c r="D3309" s="28" t="s">
        <v>1755</v>
      </c>
      <c r="E3309" s="29" t="s">
        <v>923</v>
      </c>
      <c r="F3309" s="29" t="s">
        <v>340</v>
      </c>
      <c r="G3309" s="25" t="s">
        <v>5041</v>
      </c>
      <c r="H3309" s="26">
        <v>-0.20149919999999999</v>
      </c>
      <c r="I3309" s="26"/>
      <c r="J3309" s="26" t="s">
        <v>512</v>
      </c>
      <c r="K3309" s="25" t="s">
        <v>513</v>
      </c>
    </row>
    <row r="3310" spans="1:11" ht="25.5" x14ac:dyDescent="0.25">
      <c r="A3310" s="22">
        <v>2026</v>
      </c>
      <c r="B3310" s="28" t="s">
        <v>192</v>
      </c>
      <c r="C3310" s="28" t="s">
        <v>97</v>
      </c>
      <c r="D3310" s="28" t="s">
        <v>1755</v>
      </c>
      <c r="E3310" s="29" t="s">
        <v>923</v>
      </c>
      <c r="F3310" s="29" t="s">
        <v>340</v>
      </c>
      <c r="G3310" s="25" t="s">
        <v>5042</v>
      </c>
      <c r="H3310" s="26">
        <v>-0.26910000000000001</v>
      </c>
      <c r="I3310" s="26"/>
      <c r="J3310" s="26" t="s">
        <v>512</v>
      </c>
      <c r="K3310" s="25" t="s">
        <v>513</v>
      </c>
    </row>
    <row r="3311" spans="1:11" ht="25.5" x14ac:dyDescent="0.25">
      <c r="A3311" s="22">
        <v>2026</v>
      </c>
      <c r="B3311" s="28" t="s">
        <v>192</v>
      </c>
      <c r="C3311" s="28" t="s">
        <v>97</v>
      </c>
      <c r="D3311" s="28" t="s">
        <v>1755</v>
      </c>
      <c r="E3311" s="29" t="s">
        <v>923</v>
      </c>
      <c r="F3311" s="29" t="s">
        <v>340</v>
      </c>
      <c r="G3311" s="25" t="s">
        <v>5040</v>
      </c>
      <c r="H3311" s="26">
        <v>-0.31464999999999999</v>
      </c>
      <c r="I3311" s="26"/>
      <c r="J3311" s="26" t="s">
        <v>512</v>
      </c>
      <c r="K3311" s="25" t="s">
        <v>513</v>
      </c>
    </row>
    <row r="3312" spans="1:11" ht="25.5" x14ac:dyDescent="0.25">
      <c r="A3312" s="22">
        <v>2026</v>
      </c>
      <c r="B3312" s="28" t="s">
        <v>192</v>
      </c>
      <c r="C3312" s="28" t="s">
        <v>97</v>
      </c>
      <c r="D3312" s="28" t="s">
        <v>1755</v>
      </c>
      <c r="E3312" s="29" t="s">
        <v>923</v>
      </c>
      <c r="F3312" s="29" t="s">
        <v>340</v>
      </c>
      <c r="G3312" s="25" t="s">
        <v>5043</v>
      </c>
      <c r="H3312" s="26">
        <v>-0.63</v>
      </c>
      <c r="I3312" s="26"/>
      <c r="J3312" s="26" t="s">
        <v>512</v>
      </c>
      <c r="K3312" s="25" t="s">
        <v>513</v>
      </c>
    </row>
    <row r="3313" spans="1:11" ht="25.5" x14ac:dyDescent="0.25">
      <c r="A3313" s="22">
        <v>2026</v>
      </c>
      <c r="B3313" s="28" t="s">
        <v>192</v>
      </c>
      <c r="C3313" s="28" t="s">
        <v>97</v>
      </c>
      <c r="D3313" s="28" t="s">
        <v>1755</v>
      </c>
      <c r="E3313" s="29" t="s">
        <v>923</v>
      </c>
      <c r="F3313" s="29" t="s">
        <v>340</v>
      </c>
      <c r="G3313" s="25" t="s">
        <v>5044</v>
      </c>
      <c r="H3313" s="26">
        <v>-0.35160000000000002</v>
      </c>
      <c r="I3313" s="26"/>
      <c r="J3313" s="26" t="s">
        <v>512</v>
      </c>
      <c r="K3313" s="25" t="s">
        <v>513</v>
      </c>
    </row>
    <row r="3314" spans="1:11" ht="25.5" x14ac:dyDescent="0.25">
      <c r="A3314" s="22">
        <v>2026</v>
      </c>
      <c r="B3314" s="28" t="s">
        <v>192</v>
      </c>
      <c r="C3314" s="28" t="s">
        <v>97</v>
      </c>
      <c r="D3314" s="28" t="s">
        <v>1755</v>
      </c>
      <c r="E3314" s="29" t="s">
        <v>923</v>
      </c>
      <c r="F3314" s="29" t="s">
        <v>340</v>
      </c>
      <c r="G3314" s="25" t="s">
        <v>5045</v>
      </c>
      <c r="H3314" s="26">
        <v>-0.30625000000000002</v>
      </c>
      <c r="I3314" s="26"/>
      <c r="J3314" s="26" t="s">
        <v>512</v>
      </c>
      <c r="K3314" s="25" t="s">
        <v>513</v>
      </c>
    </row>
    <row r="3315" spans="1:11" ht="25.5" x14ac:dyDescent="0.25">
      <c r="A3315" s="22">
        <v>2026</v>
      </c>
      <c r="B3315" s="28" t="s">
        <v>192</v>
      </c>
      <c r="C3315" s="28" t="s">
        <v>97</v>
      </c>
      <c r="D3315" s="28" t="s">
        <v>1755</v>
      </c>
      <c r="E3315" s="29" t="s">
        <v>923</v>
      </c>
      <c r="F3315" s="29" t="s">
        <v>340</v>
      </c>
      <c r="G3315" s="25" t="s">
        <v>5046</v>
      </c>
      <c r="H3315" s="26">
        <v>-0.3074925</v>
      </c>
      <c r="I3315" s="26"/>
      <c r="J3315" s="26" t="s">
        <v>512</v>
      </c>
      <c r="K3315" s="25" t="s">
        <v>513</v>
      </c>
    </row>
    <row r="3316" spans="1:11" ht="25.5" x14ac:dyDescent="0.25">
      <c r="A3316" s="22">
        <v>2026</v>
      </c>
      <c r="B3316" s="28" t="s">
        <v>192</v>
      </c>
      <c r="C3316" s="28" t="s">
        <v>97</v>
      </c>
      <c r="D3316" s="28" t="s">
        <v>1755</v>
      </c>
      <c r="E3316" s="29" t="s">
        <v>923</v>
      </c>
      <c r="F3316" s="29" t="s">
        <v>340</v>
      </c>
      <c r="G3316" s="25" t="s">
        <v>5047</v>
      </c>
      <c r="H3316" s="26">
        <v>-0.30659999999999998</v>
      </c>
      <c r="I3316" s="26"/>
      <c r="J3316" s="26" t="s">
        <v>512</v>
      </c>
      <c r="K3316" s="25" t="s">
        <v>513</v>
      </c>
    </row>
    <row r="3317" spans="1:11" ht="25.5" x14ac:dyDescent="0.25">
      <c r="A3317" s="22">
        <v>2026</v>
      </c>
      <c r="B3317" s="28" t="s">
        <v>192</v>
      </c>
      <c r="C3317" s="28" t="s">
        <v>97</v>
      </c>
      <c r="D3317" s="28" t="s">
        <v>1755</v>
      </c>
      <c r="E3317" s="29" t="s">
        <v>923</v>
      </c>
      <c r="F3317" s="29" t="s">
        <v>340</v>
      </c>
      <c r="G3317" s="25" t="s">
        <v>5048</v>
      </c>
      <c r="H3317" s="26">
        <v>-0.17649999999999999</v>
      </c>
      <c r="I3317" s="26"/>
      <c r="J3317" s="26" t="s">
        <v>512</v>
      </c>
      <c r="K3317" s="25" t="s">
        <v>513</v>
      </c>
    </row>
    <row r="3318" spans="1:11" ht="25.5" x14ac:dyDescent="0.25">
      <c r="A3318" s="22">
        <v>2026</v>
      </c>
      <c r="B3318" s="28" t="s">
        <v>192</v>
      </c>
      <c r="C3318" s="28" t="s">
        <v>97</v>
      </c>
      <c r="D3318" s="28" t="s">
        <v>1755</v>
      </c>
      <c r="E3318" s="29" t="s">
        <v>923</v>
      </c>
      <c r="F3318" s="29" t="s">
        <v>340</v>
      </c>
      <c r="G3318" s="25" t="s">
        <v>5049</v>
      </c>
      <c r="H3318" s="26">
        <v>-0.30345</v>
      </c>
      <c r="I3318" s="26"/>
      <c r="J3318" s="26" t="s">
        <v>512</v>
      </c>
      <c r="K3318" s="25" t="s">
        <v>513</v>
      </c>
    </row>
    <row r="3319" spans="1:11" ht="25.5" x14ac:dyDescent="0.25">
      <c r="A3319" s="22">
        <v>2026</v>
      </c>
      <c r="B3319" s="28" t="s">
        <v>192</v>
      </c>
      <c r="C3319" s="28" t="s">
        <v>97</v>
      </c>
      <c r="D3319" s="28" t="s">
        <v>1755</v>
      </c>
      <c r="E3319" s="29" t="s">
        <v>923</v>
      </c>
      <c r="F3319" s="29" t="s">
        <v>340</v>
      </c>
      <c r="G3319" s="25" t="s">
        <v>5050</v>
      </c>
      <c r="H3319" s="26">
        <v>-0.30414999999999998</v>
      </c>
      <c r="I3319" s="26"/>
      <c r="J3319" s="26" t="s">
        <v>512</v>
      </c>
      <c r="K3319" s="25" t="s">
        <v>513</v>
      </c>
    </row>
    <row r="3320" spans="1:11" ht="25.5" x14ac:dyDescent="0.25">
      <c r="A3320" s="22">
        <v>2026</v>
      </c>
      <c r="B3320" s="28" t="s">
        <v>192</v>
      </c>
      <c r="C3320" s="28" t="s">
        <v>97</v>
      </c>
      <c r="D3320" s="28" t="s">
        <v>1755</v>
      </c>
      <c r="E3320" s="29" t="s">
        <v>923</v>
      </c>
      <c r="F3320" s="29" t="s">
        <v>340</v>
      </c>
      <c r="G3320" s="25" t="s">
        <v>5051</v>
      </c>
      <c r="H3320" s="26">
        <v>-0.61135200000000001</v>
      </c>
      <c r="I3320" s="26"/>
      <c r="J3320" s="26" t="s">
        <v>512</v>
      </c>
      <c r="K3320" s="25" t="s">
        <v>513</v>
      </c>
    </row>
    <row r="3321" spans="1:11" ht="25.5" x14ac:dyDescent="0.25">
      <c r="A3321" s="22">
        <v>2026</v>
      </c>
      <c r="B3321" s="28" t="s">
        <v>192</v>
      </c>
      <c r="C3321" s="28" t="s">
        <v>97</v>
      </c>
      <c r="D3321" s="28" t="s">
        <v>1790</v>
      </c>
      <c r="E3321" s="29" t="s">
        <v>1781</v>
      </c>
      <c r="F3321" s="29" t="s">
        <v>287</v>
      </c>
      <c r="G3321" s="25" t="s">
        <v>5052</v>
      </c>
      <c r="H3321" s="26">
        <v>-0.49980000000000002</v>
      </c>
      <c r="I3321" s="26"/>
      <c r="J3321" s="26" t="s">
        <v>512</v>
      </c>
      <c r="K3321" s="25" t="s">
        <v>513</v>
      </c>
    </row>
    <row r="3322" spans="1:11" ht="25.5" x14ac:dyDescent="0.25">
      <c r="A3322" s="22">
        <v>2026</v>
      </c>
      <c r="B3322" s="28" t="s">
        <v>192</v>
      </c>
      <c r="C3322" s="28" t="s">
        <v>97</v>
      </c>
      <c r="D3322" s="28" t="s">
        <v>1790</v>
      </c>
      <c r="E3322" s="29" t="s">
        <v>1781</v>
      </c>
      <c r="F3322" s="29" t="s">
        <v>287</v>
      </c>
      <c r="G3322" s="25" t="s">
        <v>5053</v>
      </c>
      <c r="H3322" s="26">
        <v>-0.140875</v>
      </c>
      <c r="I3322" s="26"/>
      <c r="J3322" s="26" t="s">
        <v>512</v>
      </c>
      <c r="K3322" s="25" t="s">
        <v>513</v>
      </c>
    </row>
    <row r="3323" spans="1:11" ht="25.5" x14ac:dyDescent="0.25">
      <c r="A3323" s="22">
        <v>2026</v>
      </c>
      <c r="B3323" s="28" t="s">
        <v>192</v>
      </c>
      <c r="C3323" s="28" t="s">
        <v>97</v>
      </c>
      <c r="D3323" s="28" t="s">
        <v>1790</v>
      </c>
      <c r="E3323" s="29" t="s">
        <v>1781</v>
      </c>
      <c r="F3323" s="29" t="s">
        <v>287</v>
      </c>
      <c r="G3323" s="25" t="s">
        <v>5054</v>
      </c>
      <c r="H3323" s="26">
        <v>-0.13924</v>
      </c>
      <c r="I3323" s="26"/>
      <c r="J3323" s="26" t="s">
        <v>512</v>
      </c>
      <c r="K3323" s="25" t="s">
        <v>513</v>
      </c>
    </row>
    <row r="3324" spans="1:11" ht="25.5" x14ac:dyDescent="0.25">
      <c r="A3324" s="22">
        <v>2026</v>
      </c>
      <c r="B3324" s="28" t="s">
        <v>192</v>
      </c>
      <c r="C3324" s="28" t="s">
        <v>97</v>
      </c>
      <c r="D3324" s="28" t="s">
        <v>1790</v>
      </c>
      <c r="E3324" s="29" t="s">
        <v>1781</v>
      </c>
      <c r="F3324" s="29" t="s">
        <v>287</v>
      </c>
      <c r="G3324" s="25" t="s">
        <v>5055</v>
      </c>
      <c r="H3324" s="26">
        <v>-0.13666</v>
      </c>
      <c r="I3324" s="26"/>
      <c r="J3324" s="26" t="s">
        <v>512</v>
      </c>
      <c r="K3324" s="25" t="s">
        <v>513</v>
      </c>
    </row>
    <row r="3325" spans="1:11" ht="25.5" x14ac:dyDescent="0.25">
      <c r="A3325" s="22">
        <v>2026</v>
      </c>
      <c r="B3325" s="28" t="s">
        <v>192</v>
      </c>
      <c r="C3325" s="28" t="s">
        <v>97</v>
      </c>
      <c r="D3325" s="28" t="s">
        <v>1790</v>
      </c>
      <c r="E3325" s="29" t="s">
        <v>1781</v>
      </c>
      <c r="F3325" s="29" t="s">
        <v>287</v>
      </c>
      <c r="G3325" s="25" t="s">
        <v>5056</v>
      </c>
      <c r="H3325" s="26">
        <v>-0.83948999999999985</v>
      </c>
      <c r="I3325" s="26"/>
      <c r="J3325" s="26" t="s">
        <v>512</v>
      </c>
      <c r="K3325" s="25" t="s">
        <v>513</v>
      </c>
    </row>
    <row r="3326" spans="1:11" ht="25.5" x14ac:dyDescent="0.25">
      <c r="A3326" s="22">
        <v>2026</v>
      </c>
      <c r="B3326" s="28" t="s">
        <v>192</v>
      </c>
      <c r="C3326" s="28" t="s">
        <v>97</v>
      </c>
      <c r="D3326" s="28" t="s">
        <v>1790</v>
      </c>
      <c r="E3326" s="29" t="s">
        <v>1781</v>
      </c>
      <c r="F3326" s="29" t="s">
        <v>287</v>
      </c>
      <c r="G3326" s="25" t="s">
        <v>5057</v>
      </c>
      <c r="H3326" s="26">
        <v>-0.62779499999999999</v>
      </c>
      <c r="I3326" s="26"/>
      <c r="J3326" s="26" t="s">
        <v>512</v>
      </c>
      <c r="K3326" s="25" t="s">
        <v>513</v>
      </c>
    </row>
    <row r="3327" spans="1:11" ht="25.5" x14ac:dyDescent="0.25">
      <c r="A3327" s="22">
        <v>2026</v>
      </c>
      <c r="B3327" s="28" t="s">
        <v>192</v>
      </c>
      <c r="C3327" s="28" t="s">
        <v>97</v>
      </c>
      <c r="D3327" s="28" t="s">
        <v>1790</v>
      </c>
      <c r="E3327" s="29" t="s">
        <v>1781</v>
      </c>
      <c r="F3327" s="29" t="s">
        <v>287</v>
      </c>
      <c r="G3327" s="25" t="s">
        <v>5058</v>
      </c>
      <c r="H3327" s="26">
        <v>-0.13817499999999999</v>
      </c>
      <c r="I3327" s="26"/>
      <c r="J3327" s="26" t="s">
        <v>512</v>
      </c>
      <c r="K3327" s="25" t="s">
        <v>513</v>
      </c>
    </row>
    <row r="3328" spans="1:11" ht="25.5" x14ac:dyDescent="0.25">
      <c r="A3328" s="22">
        <v>2026</v>
      </c>
      <c r="B3328" s="28" t="s">
        <v>192</v>
      </c>
      <c r="C3328" s="28" t="s">
        <v>97</v>
      </c>
      <c r="D3328" s="28" t="s">
        <v>1790</v>
      </c>
      <c r="E3328" s="29" t="s">
        <v>1781</v>
      </c>
      <c r="F3328" s="29" t="s">
        <v>287</v>
      </c>
      <c r="G3328" s="25" t="s">
        <v>5059</v>
      </c>
      <c r="H3328" s="26">
        <v>-0.13932</v>
      </c>
      <c r="I3328" s="26"/>
      <c r="J3328" s="26" t="s">
        <v>512</v>
      </c>
      <c r="K3328" s="25" t="s">
        <v>513</v>
      </c>
    </row>
    <row r="3329" spans="1:11" ht="25.5" x14ac:dyDescent="0.25">
      <c r="A3329" s="22">
        <v>2026</v>
      </c>
      <c r="B3329" s="28" t="s">
        <v>192</v>
      </c>
      <c r="C3329" s="28" t="s">
        <v>97</v>
      </c>
      <c r="D3329" s="28" t="s">
        <v>1790</v>
      </c>
      <c r="E3329" s="29" t="s">
        <v>1781</v>
      </c>
      <c r="F3329" s="29" t="s">
        <v>287</v>
      </c>
      <c r="G3329" s="25" t="s">
        <v>5060</v>
      </c>
      <c r="H3329" s="26">
        <v>-0.22150400000000001</v>
      </c>
      <c r="I3329" s="26"/>
      <c r="J3329" s="26" t="s">
        <v>512</v>
      </c>
      <c r="K3329" s="25" t="s">
        <v>513</v>
      </c>
    </row>
    <row r="3330" spans="1:11" ht="25.5" x14ac:dyDescent="0.25">
      <c r="A3330" s="22">
        <v>2026</v>
      </c>
      <c r="B3330" s="28" t="s">
        <v>192</v>
      </c>
      <c r="C3330" s="28" t="s">
        <v>97</v>
      </c>
      <c r="D3330" s="28" t="s">
        <v>1790</v>
      </c>
      <c r="E3330" s="29" t="s">
        <v>1781</v>
      </c>
      <c r="F3330" s="29" t="s">
        <v>287</v>
      </c>
      <c r="G3330" s="25" t="s">
        <v>5061</v>
      </c>
      <c r="H3330" s="26">
        <v>-5.45E-2</v>
      </c>
      <c r="I3330" s="26"/>
      <c r="J3330" s="26" t="s">
        <v>512</v>
      </c>
      <c r="K3330" s="25" t="s">
        <v>513</v>
      </c>
    </row>
    <row r="3331" spans="1:11" ht="25.5" x14ac:dyDescent="0.25">
      <c r="A3331" s="22">
        <v>2026</v>
      </c>
      <c r="B3331" s="28" t="s">
        <v>192</v>
      </c>
      <c r="C3331" s="28" t="s">
        <v>97</v>
      </c>
      <c r="D3331" s="28" t="s">
        <v>1790</v>
      </c>
      <c r="E3331" s="29" t="s">
        <v>1781</v>
      </c>
      <c r="F3331" s="29" t="s">
        <v>287</v>
      </c>
      <c r="G3331" s="25" t="s">
        <v>5062</v>
      </c>
      <c r="H3331" s="26">
        <v>-9.7199999999999995E-2</v>
      </c>
      <c r="I3331" s="26"/>
      <c r="J3331" s="26" t="s">
        <v>512</v>
      </c>
      <c r="K3331" s="25" t="s">
        <v>513</v>
      </c>
    </row>
    <row r="3332" spans="1:11" ht="25.5" x14ac:dyDescent="0.25">
      <c r="A3332" s="22">
        <v>2026</v>
      </c>
      <c r="B3332" s="28" t="s">
        <v>192</v>
      </c>
      <c r="C3332" s="28" t="s">
        <v>97</v>
      </c>
      <c r="D3332" s="28" t="s">
        <v>1790</v>
      </c>
      <c r="E3332" s="29" t="s">
        <v>1781</v>
      </c>
      <c r="F3332" s="29" t="s">
        <v>287</v>
      </c>
      <c r="G3332" s="25" t="s">
        <v>5063</v>
      </c>
      <c r="H3332" s="26">
        <v>-7.3709999999999998E-2</v>
      </c>
      <c r="I3332" s="26"/>
      <c r="J3332" s="26" t="s">
        <v>512</v>
      </c>
      <c r="K3332" s="25" t="s">
        <v>513</v>
      </c>
    </row>
    <row r="3333" spans="1:11" ht="25.5" x14ac:dyDescent="0.25">
      <c r="A3333" s="22">
        <v>2026</v>
      </c>
      <c r="B3333" s="28" t="s">
        <v>192</v>
      </c>
      <c r="C3333" s="28" t="s">
        <v>97</v>
      </c>
      <c r="D3333" s="28" t="s">
        <v>1790</v>
      </c>
      <c r="E3333" s="29" t="s">
        <v>1781</v>
      </c>
      <c r="F3333" s="29" t="s">
        <v>287</v>
      </c>
      <c r="G3333" s="25" t="s">
        <v>5064</v>
      </c>
      <c r="H3333" s="26">
        <v>-0.21840000000000001</v>
      </c>
      <c r="I3333" s="26"/>
      <c r="J3333" s="26" t="s">
        <v>512</v>
      </c>
      <c r="K3333" s="25" t="s">
        <v>513</v>
      </c>
    </row>
    <row r="3334" spans="1:11" ht="25.5" x14ac:dyDescent="0.25">
      <c r="A3334" s="22">
        <v>2026</v>
      </c>
      <c r="B3334" s="28" t="s">
        <v>192</v>
      </c>
      <c r="C3334" s="28" t="s">
        <v>97</v>
      </c>
      <c r="D3334" s="28" t="s">
        <v>1790</v>
      </c>
      <c r="E3334" s="29" t="s">
        <v>1781</v>
      </c>
      <c r="F3334" s="29" t="s">
        <v>287</v>
      </c>
      <c r="G3334" s="25" t="s">
        <v>5065</v>
      </c>
      <c r="H3334" s="26">
        <v>-0.13550000000000001</v>
      </c>
      <c r="I3334" s="26"/>
      <c r="J3334" s="26" t="s">
        <v>512</v>
      </c>
      <c r="K3334" s="25" t="s">
        <v>513</v>
      </c>
    </row>
    <row r="3335" spans="1:11" ht="25.5" x14ac:dyDescent="0.25">
      <c r="A3335" s="22">
        <v>2026</v>
      </c>
      <c r="B3335" s="28" t="s">
        <v>192</v>
      </c>
      <c r="C3335" s="28" t="s">
        <v>97</v>
      </c>
      <c r="D3335" s="28" t="s">
        <v>1790</v>
      </c>
      <c r="E3335" s="29" t="s">
        <v>1781</v>
      </c>
      <c r="F3335" s="29" t="s">
        <v>287</v>
      </c>
      <c r="G3335" s="25" t="s">
        <v>5066</v>
      </c>
      <c r="H3335" s="26">
        <v>-0.12420000000000002</v>
      </c>
      <c r="I3335" s="26"/>
      <c r="J3335" s="26" t="s">
        <v>512</v>
      </c>
      <c r="K3335" s="25" t="s">
        <v>513</v>
      </c>
    </row>
    <row r="3336" spans="1:11" ht="25.5" x14ac:dyDescent="0.25">
      <c r="A3336" s="22">
        <v>2026</v>
      </c>
      <c r="B3336" s="28" t="s">
        <v>192</v>
      </c>
      <c r="C3336" s="28" t="s">
        <v>97</v>
      </c>
      <c r="D3336" s="28" t="s">
        <v>1790</v>
      </c>
      <c r="E3336" s="29" t="s">
        <v>1781</v>
      </c>
      <c r="F3336" s="29" t="s">
        <v>287</v>
      </c>
      <c r="G3336" s="25" t="s">
        <v>5067</v>
      </c>
      <c r="H3336" s="26">
        <v>-0.27100000000000002</v>
      </c>
      <c r="I3336" s="26"/>
      <c r="J3336" s="26" t="s">
        <v>512</v>
      </c>
      <c r="K3336" s="25" t="s">
        <v>513</v>
      </c>
    </row>
    <row r="3337" spans="1:11" ht="25.5" x14ac:dyDescent="0.25">
      <c r="A3337" s="22">
        <v>2026</v>
      </c>
      <c r="B3337" s="28" t="s">
        <v>192</v>
      </c>
      <c r="C3337" s="28" t="s">
        <v>97</v>
      </c>
      <c r="D3337" s="28" t="s">
        <v>1323</v>
      </c>
      <c r="E3337" s="29" t="s">
        <v>1324</v>
      </c>
      <c r="F3337" s="29" t="s">
        <v>503</v>
      </c>
      <c r="G3337" s="25" t="s">
        <v>5068</v>
      </c>
      <c r="H3337" s="26">
        <v>-0.47499999999999998</v>
      </c>
      <c r="I3337" s="26"/>
      <c r="J3337" s="26" t="s">
        <v>512</v>
      </c>
      <c r="K3337" s="25" t="s">
        <v>513</v>
      </c>
    </row>
    <row r="3338" spans="1:11" ht="25.5" x14ac:dyDescent="0.25">
      <c r="A3338" s="22">
        <v>2026</v>
      </c>
      <c r="B3338" s="28" t="s">
        <v>192</v>
      </c>
      <c r="C3338" s="28" t="s">
        <v>97</v>
      </c>
      <c r="D3338" s="28" t="s">
        <v>1323</v>
      </c>
      <c r="E3338" s="29" t="s">
        <v>1324</v>
      </c>
      <c r="F3338" s="29" t="s">
        <v>503</v>
      </c>
      <c r="G3338" s="25" t="s">
        <v>5069</v>
      </c>
      <c r="H3338" s="26">
        <v>-0.33479999999999999</v>
      </c>
      <c r="I3338" s="26"/>
      <c r="J3338" s="26" t="s">
        <v>512</v>
      </c>
      <c r="K3338" s="25" t="s">
        <v>513</v>
      </c>
    </row>
    <row r="3339" spans="1:11" ht="25.5" x14ac:dyDescent="0.25">
      <c r="A3339" s="22">
        <v>2026</v>
      </c>
      <c r="B3339" s="28" t="s">
        <v>192</v>
      </c>
      <c r="C3339" s="28" t="s">
        <v>97</v>
      </c>
      <c r="D3339" s="28" t="s">
        <v>182</v>
      </c>
      <c r="E3339" s="29" t="s">
        <v>321</v>
      </c>
      <c r="F3339" s="29" t="s">
        <v>322</v>
      </c>
      <c r="G3339" s="25" t="s">
        <v>5070</v>
      </c>
      <c r="H3339" s="26">
        <v>-0.20176249999999998</v>
      </c>
      <c r="I3339" s="26"/>
      <c r="J3339" s="26" t="s">
        <v>519</v>
      </c>
      <c r="K3339" s="25" t="s">
        <v>513</v>
      </c>
    </row>
    <row r="3340" spans="1:11" ht="25.5" x14ac:dyDescent="0.25">
      <c r="A3340" s="22">
        <v>2026</v>
      </c>
      <c r="B3340" s="28" t="s">
        <v>192</v>
      </c>
      <c r="C3340" s="28" t="s">
        <v>97</v>
      </c>
      <c r="D3340" s="28" t="s">
        <v>182</v>
      </c>
      <c r="E3340" s="29" t="s">
        <v>321</v>
      </c>
      <c r="F3340" s="29" t="s">
        <v>322</v>
      </c>
      <c r="G3340" s="25" t="s">
        <v>5071</v>
      </c>
      <c r="H3340" s="26">
        <v>-0.46139863349999999</v>
      </c>
      <c r="I3340" s="26"/>
      <c r="J3340" s="26" t="s">
        <v>519</v>
      </c>
      <c r="K3340" s="25" t="s">
        <v>513</v>
      </c>
    </row>
    <row r="3341" spans="1:11" ht="25.5" x14ac:dyDescent="0.25">
      <c r="A3341" s="22">
        <v>2026</v>
      </c>
      <c r="B3341" s="28" t="s">
        <v>192</v>
      </c>
      <c r="C3341" s="28" t="s">
        <v>97</v>
      </c>
      <c r="D3341" s="28" t="s">
        <v>182</v>
      </c>
      <c r="E3341" s="29" t="s">
        <v>321</v>
      </c>
      <c r="F3341" s="29" t="s">
        <v>322</v>
      </c>
      <c r="G3341" s="25" t="s">
        <v>5072</v>
      </c>
      <c r="H3341" s="26">
        <v>-0.36101916749999996</v>
      </c>
      <c r="I3341" s="26"/>
      <c r="J3341" s="26" t="s">
        <v>519</v>
      </c>
      <c r="K3341" s="25" t="s">
        <v>513</v>
      </c>
    </row>
    <row r="3342" spans="1:11" ht="25.5" x14ac:dyDescent="0.25">
      <c r="A3342" s="22">
        <v>2026</v>
      </c>
      <c r="B3342" s="28" t="s">
        <v>192</v>
      </c>
      <c r="C3342" s="28" t="s">
        <v>97</v>
      </c>
      <c r="D3342" s="28" t="s">
        <v>182</v>
      </c>
      <c r="E3342" s="29" t="s">
        <v>321</v>
      </c>
      <c r="F3342" s="29" t="s">
        <v>322</v>
      </c>
      <c r="G3342" s="25" t="s">
        <v>5073</v>
      </c>
      <c r="H3342" s="26">
        <v>-0.93008071980000007</v>
      </c>
      <c r="I3342" s="26"/>
      <c r="J3342" s="26" t="s">
        <v>519</v>
      </c>
      <c r="K3342" s="25" t="s">
        <v>513</v>
      </c>
    </row>
    <row r="3343" spans="1:11" ht="25.5" x14ac:dyDescent="0.25">
      <c r="A3343" s="22">
        <v>2026</v>
      </c>
      <c r="B3343" s="28" t="s">
        <v>192</v>
      </c>
      <c r="C3343" s="28" t="s">
        <v>97</v>
      </c>
      <c r="D3343" s="28" t="s">
        <v>182</v>
      </c>
      <c r="E3343" s="29" t="s">
        <v>321</v>
      </c>
      <c r="F3343" s="29" t="s">
        <v>322</v>
      </c>
      <c r="G3343" s="25" t="s">
        <v>5074</v>
      </c>
      <c r="H3343" s="26">
        <v>-0.42880388000000003</v>
      </c>
      <c r="I3343" s="26"/>
      <c r="J3343" s="26" t="s">
        <v>519</v>
      </c>
      <c r="K3343" s="25" t="s">
        <v>513</v>
      </c>
    </row>
    <row r="3344" spans="1:11" ht="25.5" x14ac:dyDescent="0.25">
      <c r="A3344" s="22">
        <v>2026</v>
      </c>
      <c r="B3344" s="28" t="s">
        <v>192</v>
      </c>
      <c r="C3344" s="28" t="s">
        <v>97</v>
      </c>
      <c r="D3344" s="28" t="s">
        <v>182</v>
      </c>
      <c r="E3344" s="29" t="s">
        <v>321</v>
      </c>
      <c r="F3344" s="29" t="s">
        <v>322</v>
      </c>
      <c r="G3344" s="25" t="s">
        <v>5075</v>
      </c>
      <c r="H3344" s="26">
        <v>-4.3060200000000007E-2</v>
      </c>
      <c r="I3344" s="26"/>
      <c r="J3344" s="26" t="s">
        <v>519</v>
      </c>
      <c r="K3344" s="25" t="s">
        <v>513</v>
      </c>
    </row>
    <row r="3345" spans="1:11" ht="25.5" x14ac:dyDescent="0.25">
      <c r="A3345" s="22">
        <v>2026</v>
      </c>
      <c r="B3345" s="28" t="s">
        <v>192</v>
      </c>
      <c r="C3345" s="28" t="s">
        <v>97</v>
      </c>
      <c r="D3345" s="28" t="s">
        <v>182</v>
      </c>
      <c r="E3345" s="29" t="s">
        <v>321</v>
      </c>
      <c r="F3345" s="29" t="s">
        <v>322</v>
      </c>
      <c r="G3345" s="25" t="s">
        <v>5076</v>
      </c>
      <c r="H3345" s="26">
        <v>-0.55866461040000004</v>
      </c>
      <c r="I3345" s="26"/>
      <c r="J3345" s="26" t="s">
        <v>519</v>
      </c>
      <c r="K3345" s="25" t="s">
        <v>513</v>
      </c>
    </row>
    <row r="3346" spans="1:11" ht="25.5" x14ac:dyDescent="0.25">
      <c r="A3346" s="22">
        <v>2026</v>
      </c>
      <c r="B3346" s="28" t="s">
        <v>192</v>
      </c>
      <c r="C3346" s="28" t="s">
        <v>97</v>
      </c>
      <c r="D3346" s="28" t="s">
        <v>182</v>
      </c>
      <c r="E3346" s="29" t="s">
        <v>321</v>
      </c>
      <c r="F3346" s="29" t="s">
        <v>322</v>
      </c>
      <c r="G3346" s="25" t="s">
        <v>5077</v>
      </c>
      <c r="H3346" s="26">
        <v>-0.60223323959999997</v>
      </c>
      <c r="I3346" s="26"/>
      <c r="J3346" s="26" t="s">
        <v>519</v>
      </c>
      <c r="K3346" s="25" t="s">
        <v>513</v>
      </c>
    </row>
    <row r="3347" spans="1:11" ht="25.5" x14ac:dyDescent="0.25">
      <c r="A3347" s="22">
        <v>2026</v>
      </c>
      <c r="B3347" s="28" t="s">
        <v>192</v>
      </c>
      <c r="C3347" s="28" t="s">
        <v>97</v>
      </c>
      <c r="D3347" s="28" t="s">
        <v>182</v>
      </c>
      <c r="E3347" s="29" t="s">
        <v>321</v>
      </c>
      <c r="F3347" s="29" t="s">
        <v>322</v>
      </c>
      <c r="G3347" s="25" t="s">
        <v>5078</v>
      </c>
      <c r="H3347" s="26">
        <v>-0.88122299250000002</v>
      </c>
      <c r="I3347" s="26"/>
      <c r="J3347" s="26" t="s">
        <v>519</v>
      </c>
      <c r="K3347" s="25" t="s">
        <v>513</v>
      </c>
    </row>
    <row r="3348" spans="1:11" ht="25.5" x14ac:dyDescent="0.25">
      <c r="A3348" s="22">
        <v>2026</v>
      </c>
      <c r="B3348" s="28" t="s">
        <v>192</v>
      </c>
      <c r="C3348" s="28" t="s">
        <v>97</v>
      </c>
      <c r="D3348" s="28" t="s">
        <v>182</v>
      </c>
      <c r="E3348" s="29" t="s">
        <v>321</v>
      </c>
      <c r="F3348" s="29" t="s">
        <v>322</v>
      </c>
      <c r="G3348" s="25" t="s">
        <v>5079</v>
      </c>
      <c r="H3348" s="26">
        <v>-0.99614641199999998</v>
      </c>
      <c r="I3348" s="26"/>
      <c r="J3348" s="26" t="s">
        <v>519</v>
      </c>
      <c r="K3348" s="25" t="s">
        <v>513</v>
      </c>
    </row>
    <row r="3349" spans="1:11" ht="25.5" x14ac:dyDescent="0.25">
      <c r="A3349" s="22">
        <v>2026</v>
      </c>
      <c r="B3349" s="28" t="s">
        <v>192</v>
      </c>
      <c r="C3349" s="28" t="s">
        <v>97</v>
      </c>
      <c r="D3349" s="28" t="s">
        <v>182</v>
      </c>
      <c r="E3349" s="29" t="s">
        <v>321</v>
      </c>
      <c r="F3349" s="29" t="s">
        <v>322</v>
      </c>
      <c r="G3349" s="25" t="s">
        <v>5080</v>
      </c>
      <c r="H3349" s="26">
        <v>-0.41104760959999997</v>
      </c>
      <c r="I3349" s="26"/>
      <c r="J3349" s="26" t="s">
        <v>519</v>
      </c>
      <c r="K3349" s="25" t="s">
        <v>513</v>
      </c>
    </row>
    <row r="3350" spans="1:11" ht="25.5" x14ac:dyDescent="0.25">
      <c r="A3350" s="22">
        <v>2026</v>
      </c>
      <c r="B3350" s="28" t="s">
        <v>192</v>
      </c>
      <c r="C3350" s="28" t="s">
        <v>97</v>
      </c>
      <c r="D3350" s="28" t="s">
        <v>182</v>
      </c>
      <c r="E3350" s="29" t="s">
        <v>321</v>
      </c>
      <c r="F3350" s="29" t="s">
        <v>322</v>
      </c>
      <c r="G3350" s="25" t="s">
        <v>5081</v>
      </c>
      <c r="H3350" s="26">
        <v>-0.73973</v>
      </c>
      <c r="I3350" s="26"/>
      <c r="J3350" s="26" t="s">
        <v>519</v>
      </c>
      <c r="K3350" s="25" t="s">
        <v>513</v>
      </c>
    </row>
    <row r="3351" spans="1:11" ht="25.5" x14ac:dyDescent="0.25">
      <c r="A3351" s="22">
        <v>2026</v>
      </c>
      <c r="B3351" s="28" t="s">
        <v>192</v>
      </c>
      <c r="C3351" s="28" t="s">
        <v>97</v>
      </c>
      <c r="D3351" s="28" t="s">
        <v>182</v>
      </c>
      <c r="E3351" s="29" t="s">
        <v>321</v>
      </c>
      <c r="F3351" s="29" t="s">
        <v>322</v>
      </c>
      <c r="G3351" s="25" t="s">
        <v>5082</v>
      </c>
      <c r="H3351" s="26">
        <v>-1.221049746</v>
      </c>
      <c r="I3351" s="26"/>
      <c r="J3351" s="26" t="s">
        <v>519</v>
      </c>
      <c r="K3351" s="25" t="s">
        <v>513</v>
      </c>
    </row>
    <row r="3352" spans="1:11" ht="25.5" x14ac:dyDescent="0.25">
      <c r="A3352" s="22">
        <v>2026</v>
      </c>
      <c r="B3352" s="28" t="s">
        <v>192</v>
      </c>
      <c r="C3352" s="28" t="s">
        <v>97</v>
      </c>
      <c r="D3352" s="28" t="s">
        <v>182</v>
      </c>
      <c r="E3352" s="29" t="s">
        <v>321</v>
      </c>
      <c r="F3352" s="29" t="s">
        <v>322</v>
      </c>
      <c r="G3352" s="25" t="s">
        <v>5083</v>
      </c>
      <c r="H3352" s="26">
        <v>-2.4991289999999999</v>
      </c>
      <c r="I3352" s="26"/>
      <c r="J3352" s="26" t="s">
        <v>519</v>
      </c>
      <c r="K3352" s="25" t="s">
        <v>513</v>
      </c>
    </row>
    <row r="3353" spans="1:11" ht="25.5" x14ac:dyDescent="0.25">
      <c r="A3353" s="22">
        <v>2026</v>
      </c>
      <c r="B3353" s="28" t="s">
        <v>192</v>
      </c>
      <c r="C3353" s="28" t="s">
        <v>97</v>
      </c>
      <c r="D3353" s="28" t="s">
        <v>182</v>
      </c>
      <c r="E3353" s="29" t="s">
        <v>321</v>
      </c>
      <c r="F3353" s="29" t="s">
        <v>322</v>
      </c>
      <c r="G3353" s="25" t="s">
        <v>5084</v>
      </c>
      <c r="H3353" s="26">
        <v>-0.36436549979999999</v>
      </c>
      <c r="I3353" s="26"/>
      <c r="J3353" s="26" t="s">
        <v>519</v>
      </c>
      <c r="K3353" s="25" t="s">
        <v>513</v>
      </c>
    </row>
    <row r="3354" spans="1:11" ht="25.5" x14ac:dyDescent="0.25">
      <c r="A3354" s="22">
        <v>2026</v>
      </c>
      <c r="B3354" s="28" t="s">
        <v>192</v>
      </c>
      <c r="C3354" s="28" t="s">
        <v>97</v>
      </c>
      <c r="D3354" s="28" t="s">
        <v>182</v>
      </c>
      <c r="E3354" s="29" t="s">
        <v>321</v>
      </c>
      <c r="F3354" s="29" t="s">
        <v>322</v>
      </c>
      <c r="G3354" s="25" t="s">
        <v>5085</v>
      </c>
      <c r="H3354" s="26">
        <v>-1.5466219999999999</v>
      </c>
      <c r="I3354" s="26"/>
      <c r="J3354" s="26" t="s">
        <v>519</v>
      </c>
      <c r="K3354" s="25" t="s">
        <v>513</v>
      </c>
    </row>
    <row r="3355" spans="1:11" ht="25.5" x14ac:dyDescent="0.25">
      <c r="A3355" s="22">
        <v>2026</v>
      </c>
      <c r="B3355" s="28" t="s">
        <v>192</v>
      </c>
      <c r="C3355" s="28" t="s">
        <v>97</v>
      </c>
      <c r="D3355" s="28" t="s">
        <v>182</v>
      </c>
      <c r="E3355" s="29" t="s">
        <v>321</v>
      </c>
      <c r="F3355" s="29" t="s">
        <v>322</v>
      </c>
      <c r="G3355" s="25" t="s">
        <v>5086</v>
      </c>
      <c r="H3355" s="26">
        <v>-0.33397587849999999</v>
      </c>
      <c r="I3355" s="26"/>
      <c r="J3355" s="26" t="s">
        <v>519</v>
      </c>
      <c r="K3355" s="25" t="s">
        <v>513</v>
      </c>
    </row>
    <row r="3356" spans="1:11" ht="25.5" x14ac:dyDescent="0.25">
      <c r="A3356" s="22">
        <v>2026</v>
      </c>
      <c r="B3356" s="28" t="s">
        <v>192</v>
      </c>
      <c r="C3356" s="28" t="s">
        <v>97</v>
      </c>
      <c r="D3356" s="28" t="s">
        <v>182</v>
      </c>
      <c r="E3356" s="29" t="s">
        <v>321</v>
      </c>
      <c r="F3356" s="29" t="s">
        <v>322</v>
      </c>
      <c r="G3356" s="25" t="s">
        <v>5087</v>
      </c>
      <c r="H3356" s="26">
        <v>-0.33543907200000006</v>
      </c>
      <c r="I3356" s="26"/>
      <c r="J3356" s="26" t="s">
        <v>519</v>
      </c>
      <c r="K3356" s="25" t="s">
        <v>513</v>
      </c>
    </row>
    <row r="3357" spans="1:11" ht="25.5" x14ac:dyDescent="0.25">
      <c r="A3357" s="22">
        <v>2026</v>
      </c>
      <c r="B3357" s="28" t="s">
        <v>192</v>
      </c>
      <c r="C3357" s="28" t="s">
        <v>97</v>
      </c>
      <c r="D3357" s="28" t="s">
        <v>182</v>
      </c>
      <c r="E3357" s="29" t="s">
        <v>321</v>
      </c>
      <c r="F3357" s="29" t="s">
        <v>322</v>
      </c>
      <c r="G3357" s="25" t="s">
        <v>5088</v>
      </c>
      <c r="H3357" s="26">
        <v>-1.4440999999999999</v>
      </c>
      <c r="I3357" s="26"/>
      <c r="J3357" s="26" t="s">
        <v>519</v>
      </c>
      <c r="K3357" s="25" t="s">
        <v>513</v>
      </c>
    </row>
    <row r="3358" spans="1:11" ht="25.5" x14ac:dyDescent="0.25">
      <c r="A3358" s="22">
        <v>2026</v>
      </c>
      <c r="B3358" s="28" t="s">
        <v>192</v>
      </c>
      <c r="C3358" s="28" t="s">
        <v>97</v>
      </c>
      <c r="D3358" s="28" t="s">
        <v>182</v>
      </c>
      <c r="E3358" s="29" t="s">
        <v>321</v>
      </c>
      <c r="F3358" s="29" t="s">
        <v>322</v>
      </c>
      <c r="G3358" s="25" t="s">
        <v>5089</v>
      </c>
      <c r="H3358" s="26">
        <v>-0.78429636600000008</v>
      </c>
      <c r="I3358" s="26"/>
      <c r="J3358" s="26" t="s">
        <v>519</v>
      </c>
      <c r="K3358" s="25" t="s">
        <v>513</v>
      </c>
    </row>
    <row r="3359" spans="1:11" ht="25.5" x14ac:dyDescent="0.25">
      <c r="A3359" s="22">
        <v>2026</v>
      </c>
      <c r="B3359" s="28" t="s">
        <v>192</v>
      </c>
      <c r="C3359" s="28" t="s">
        <v>97</v>
      </c>
      <c r="D3359" s="28" t="s">
        <v>182</v>
      </c>
      <c r="E3359" s="29" t="s">
        <v>321</v>
      </c>
      <c r="F3359" s="29" t="s">
        <v>322</v>
      </c>
      <c r="G3359" s="25" t="s">
        <v>5090</v>
      </c>
      <c r="H3359" s="26">
        <v>-1.3202299480000002</v>
      </c>
      <c r="I3359" s="26"/>
      <c r="J3359" s="26" t="s">
        <v>519</v>
      </c>
      <c r="K3359" s="25" t="s">
        <v>513</v>
      </c>
    </row>
    <row r="3360" spans="1:11" ht="25.5" x14ac:dyDescent="0.25">
      <c r="A3360" s="22">
        <v>2026</v>
      </c>
      <c r="B3360" s="28" t="s">
        <v>192</v>
      </c>
      <c r="C3360" s="28" t="s">
        <v>97</v>
      </c>
      <c r="D3360" s="28" t="s">
        <v>1757</v>
      </c>
      <c r="E3360" s="29" t="s">
        <v>1783</v>
      </c>
      <c r="F3360" s="29" t="s">
        <v>322</v>
      </c>
      <c r="G3360" s="25" t="s">
        <v>5091</v>
      </c>
      <c r="H3360" s="26">
        <v>-0.1169112323</v>
      </c>
      <c r="I3360" s="26"/>
      <c r="J3360" s="26" t="s">
        <v>514</v>
      </c>
      <c r="K3360" s="25" t="s">
        <v>1768</v>
      </c>
    </row>
    <row r="3361" spans="1:11" ht="25.5" x14ac:dyDescent="0.25">
      <c r="A3361" s="22">
        <v>2026</v>
      </c>
      <c r="B3361" s="28" t="s">
        <v>192</v>
      </c>
      <c r="C3361" s="28" t="s">
        <v>97</v>
      </c>
      <c r="D3361" s="28" t="s">
        <v>1757</v>
      </c>
      <c r="E3361" s="29" t="s">
        <v>1783</v>
      </c>
      <c r="F3361" s="29" t="s">
        <v>322</v>
      </c>
      <c r="G3361" s="25" t="s">
        <v>5092</v>
      </c>
      <c r="H3361" s="26">
        <v>-9.0999999999999998E-2</v>
      </c>
      <c r="I3361" s="26"/>
      <c r="J3361" s="26" t="s">
        <v>514</v>
      </c>
      <c r="K3361" s="25" t="s">
        <v>1768</v>
      </c>
    </row>
    <row r="3362" spans="1:11" ht="25.5" x14ac:dyDescent="0.25">
      <c r="A3362" s="22">
        <v>2026</v>
      </c>
      <c r="B3362" s="28" t="s">
        <v>192</v>
      </c>
      <c r="C3362" s="28" t="s">
        <v>97</v>
      </c>
      <c r="D3362" s="28" t="s">
        <v>1757</v>
      </c>
      <c r="E3362" s="29" t="s">
        <v>1783</v>
      </c>
      <c r="F3362" s="29" t="s">
        <v>322</v>
      </c>
      <c r="G3362" s="25" t="s">
        <v>5093</v>
      </c>
      <c r="H3362" s="26">
        <v>-0.15602032749999997</v>
      </c>
      <c r="I3362" s="26"/>
      <c r="J3362" s="26" t="s">
        <v>514</v>
      </c>
      <c r="K3362" s="25" t="s">
        <v>1768</v>
      </c>
    </row>
    <row r="3363" spans="1:11" ht="25.5" x14ac:dyDescent="0.25">
      <c r="A3363" s="22">
        <v>2026</v>
      </c>
      <c r="B3363" s="28" t="s">
        <v>192</v>
      </c>
      <c r="C3363" s="28" t="s">
        <v>97</v>
      </c>
      <c r="D3363" s="28" t="s">
        <v>1757</v>
      </c>
      <c r="E3363" s="29" t="s">
        <v>1783</v>
      </c>
      <c r="F3363" s="29" t="s">
        <v>322</v>
      </c>
      <c r="G3363" s="25" t="s">
        <v>5094</v>
      </c>
      <c r="H3363" s="26">
        <v>-7.7544000000000002E-2</v>
      </c>
      <c r="I3363" s="26"/>
      <c r="J3363" s="26" t="s">
        <v>514</v>
      </c>
      <c r="K3363" s="25" t="s">
        <v>1768</v>
      </c>
    </row>
    <row r="3364" spans="1:11" ht="25.5" x14ac:dyDescent="0.25">
      <c r="A3364" s="22">
        <v>2026</v>
      </c>
      <c r="B3364" s="28" t="s">
        <v>192</v>
      </c>
      <c r="C3364" s="28" t="s">
        <v>97</v>
      </c>
      <c r="D3364" s="28" t="s">
        <v>531</v>
      </c>
      <c r="E3364" s="29" t="s">
        <v>551</v>
      </c>
      <c r="F3364" s="29" t="s">
        <v>322</v>
      </c>
      <c r="G3364" s="25" t="s">
        <v>5095</v>
      </c>
      <c r="H3364" s="26">
        <v>-0.12546378</v>
      </c>
      <c r="I3364" s="26"/>
      <c r="J3364" s="26" t="s">
        <v>514</v>
      </c>
      <c r="K3364" s="25" t="s">
        <v>513</v>
      </c>
    </row>
    <row r="3365" spans="1:11" ht="25.5" x14ac:dyDescent="0.25">
      <c r="A3365" s="22">
        <v>2026</v>
      </c>
      <c r="B3365" s="28" t="s">
        <v>192</v>
      </c>
      <c r="C3365" s="28" t="s">
        <v>97</v>
      </c>
      <c r="D3365" s="28" t="s">
        <v>531</v>
      </c>
      <c r="E3365" s="29" t="s">
        <v>551</v>
      </c>
      <c r="F3365" s="29" t="s">
        <v>322</v>
      </c>
      <c r="G3365" s="25" t="s">
        <v>5096</v>
      </c>
      <c r="H3365" s="26">
        <v>-0.25997927680999999</v>
      </c>
      <c r="I3365" s="26"/>
      <c r="J3365" s="26" t="s">
        <v>514</v>
      </c>
      <c r="K3365" s="25" t="s">
        <v>513</v>
      </c>
    </row>
    <row r="3366" spans="1:11" ht="25.5" x14ac:dyDescent="0.25">
      <c r="A3366" s="22">
        <v>2026</v>
      </c>
      <c r="B3366" s="28" t="s">
        <v>192</v>
      </c>
      <c r="C3366" s="28" t="s">
        <v>97</v>
      </c>
      <c r="D3366" s="28" t="s">
        <v>531</v>
      </c>
      <c r="E3366" s="29" t="s">
        <v>551</v>
      </c>
      <c r="F3366" s="29" t="s">
        <v>322</v>
      </c>
      <c r="G3366" s="25" t="s">
        <v>5097</v>
      </c>
      <c r="H3366" s="26">
        <v>-0.32128858367999996</v>
      </c>
      <c r="I3366" s="26"/>
      <c r="J3366" s="26" t="s">
        <v>514</v>
      </c>
      <c r="K3366" s="25" t="s">
        <v>513</v>
      </c>
    </row>
    <row r="3367" spans="1:11" ht="25.5" x14ac:dyDescent="0.25">
      <c r="A3367" s="22">
        <v>2026</v>
      </c>
      <c r="B3367" s="28" t="s">
        <v>192</v>
      </c>
      <c r="C3367" s="28" t="s">
        <v>97</v>
      </c>
      <c r="D3367" s="28" t="s">
        <v>531</v>
      </c>
      <c r="E3367" s="29" t="s">
        <v>551</v>
      </c>
      <c r="F3367" s="29" t="s">
        <v>322</v>
      </c>
      <c r="G3367" s="25" t="s">
        <v>5098</v>
      </c>
      <c r="H3367" s="26">
        <v>-0.25913358000000003</v>
      </c>
      <c r="I3367" s="26"/>
      <c r="J3367" s="26" t="s">
        <v>514</v>
      </c>
      <c r="K3367" s="25" t="s">
        <v>513</v>
      </c>
    </row>
    <row r="3368" spans="1:11" ht="25.5" x14ac:dyDescent="0.25">
      <c r="A3368" s="22">
        <v>2026</v>
      </c>
      <c r="B3368" s="28" t="s">
        <v>192</v>
      </c>
      <c r="C3368" s="28" t="s">
        <v>97</v>
      </c>
      <c r="D3368" s="28" t="s">
        <v>531</v>
      </c>
      <c r="E3368" s="29" t="s">
        <v>551</v>
      </c>
      <c r="F3368" s="29" t="s">
        <v>322</v>
      </c>
      <c r="G3368" s="25" t="s">
        <v>5099</v>
      </c>
      <c r="H3368" s="26">
        <v>-0.70423650000000004</v>
      </c>
      <c r="I3368" s="26"/>
      <c r="J3368" s="26" t="s">
        <v>514</v>
      </c>
      <c r="K3368" s="25" t="s">
        <v>513</v>
      </c>
    </row>
    <row r="3369" spans="1:11" ht="25.5" x14ac:dyDescent="0.25">
      <c r="A3369" s="22">
        <v>2026</v>
      </c>
      <c r="B3369" s="28" t="s">
        <v>192</v>
      </c>
      <c r="C3369" s="28" t="s">
        <v>97</v>
      </c>
      <c r="D3369" s="28" t="s">
        <v>531</v>
      </c>
      <c r="E3369" s="29" t="s">
        <v>551</v>
      </c>
      <c r="F3369" s="29" t="s">
        <v>322</v>
      </c>
      <c r="G3369" s="25" t="s">
        <v>5100</v>
      </c>
      <c r="H3369" s="26">
        <v>-4.4271200000000004E-2</v>
      </c>
      <c r="I3369" s="26"/>
      <c r="J3369" s="26" t="s">
        <v>514</v>
      </c>
      <c r="K3369" s="25" t="s">
        <v>513</v>
      </c>
    </row>
    <row r="3370" spans="1:11" ht="25.5" x14ac:dyDescent="0.25">
      <c r="A3370" s="22">
        <v>2026</v>
      </c>
      <c r="B3370" s="28" t="s">
        <v>192</v>
      </c>
      <c r="C3370" s="28" t="s">
        <v>97</v>
      </c>
      <c r="D3370" s="28" t="s">
        <v>531</v>
      </c>
      <c r="E3370" s="29" t="s">
        <v>551</v>
      </c>
      <c r="F3370" s="29" t="s">
        <v>322</v>
      </c>
      <c r="G3370" s="25" t="s">
        <v>5101</v>
      </c>
      <c r="H3370" s="26">
        <v>-0.55491094291999998</v>
      </c>
      <c r="I3370" s="26"/>
      <c r="J3370" s="26" t="s">
        <v>514</v>
      </c>
      <c r="K3370" s="25" t="s">
        <v>513</v>
      </c>
    </row>
    <row r="3371" spans="1:11" ht="25.5" x14ac:dyDescent="0.25">
      <c r="A3371" s="22">
        <v>2026</v>
      </c>
      <c r="B3371" s="28" t="s">
        <v>192</v>
      </c>
      <c r="C3371" s="28" t="s">
        <v>97</v>
      </c>
      <c r="D3371" s="28" t="s">
        <v>531</v>
      </c>
      <c r="E3371" s="29" t="s">
        <v>551</v>
      </c>
      <c r="F3371" s="29" t="s">
        <v>322</v>
      </c>
      <c r="G3371" s="25" t="s">
        <v>5102</v>
      </c>
      <c r="H3371" s="26">
        <v>-0.68418449999999997</v>
      </c>
      <c r="I3371" s="26"/>
      <c r="J3371" s="26" t="s">
        <v>514</v>
      </c>
      <c r="K3371" s="25" t="s">
        <v>513</v>
      </c>
    </row>
    <row r="3372" spans="1:11" ht="25.5" x14ac:dyDescent="0.25">
      <c r="A3372" s="22">
        <v>2026</v>
      </c>
      <c r="B3372" s="28" t="s">
        <v>192</v>
      </c>
      <c r="C3372" s="28" t="s">
        <v>97</v>
      </c>
      <c r="D3372" s="28" t="s">
        <v>531</v>
      </c>
      <c r="E3372" s="29" t="s">
        <v>551</v>
      </c>
      <c r="F3372" s="29" t="s">
        <v>322</v>
      </c>
      <c r="G3372" s="25" t="s">
        <v>5103</v>
      </c>
      <c r="H3372" s="26">
        <v>-0.29854955</v>
      </c>
      <c r="I3372" s="26"/>
      <c r="J3372" s="26" t="s">
        <v>514</v>
      </c>
      <c r="K3372" s="25" t="s">
        <v>513</v>
      </c>
    </row>
    <row r="3373" spans="1:11" ht="25.5" x14ac:dyDescent="0.25">
      <c r="A3373" s="22">
        <v>2026</v>
      </c>
      <c r="B3373" s="28" t="s">
        <v>192</v>
      </c>
      <c r="C3373" s="28" t="s">
        <v>97</v>
      </c>
      <c r="D3373" s="28" t="s">
        <v>531</v>
      </c>
      <c r="E3373" s="29" t="s">
        <v>551</v>
      </c>
      <c r="F3373" s="29" t="s">
        <v>322</v>
      </c>
      <c r="G3373" s="25" t="s">
        <v>5104</v>
      </c>
      <c r="H3373" s="26">
        <v>-0.15239097099000001</v>
      </c>
      <c r="I3373" s="26"/>
      <c r="J3373" s="26" t="s">
        <v>514</v>
      </c>
      <c r="K3373" s="25" t="s">
        <v>513</v>
      </c>
    </row>
    <row r="3374" spans="1:11" ht="25.5" x14ac:dyDescent="0.25">
      <c r="A3374" s="22">
        <v>2026</v>
      </c>
      <c r="B3374" s="28" t="s">
        <v>192</v>
      </c>
      <c r="C3374" s="28" t="s">
        <v>97</v>
      </c>
      <c r="D3374" s="28" t="s">
        <v>531</v>
      </c>
      <c r="E3374" s="29" t="s">
        <v>551</v>
      </c>
      <c r="F3374" s="29" t="s">
        <v>322</v>
      </c>
      <c r="G3374" s="25" t="s">
        <v>5105</v>
      </c>
      <c r="H3374" s="26">
        <v>-0.46555799999999992</v>
      </c>
      <c r="I3374" s="26"/>
      <c r="J3374" s="26" t="s">
        <v>514</v>
      </c>
      <c r="K3374" s="25" t="s">
        <v>513</v>
      </c>
    </row>
    <row r="3375" spans="1:11" ht="25.5" x14ac:dyDescent="0.25">
      <c r="A3375" s="22">
        <v>2026</v>
      </c>
      <c r="B3375" s="28" t="s">
        <v>192</v>
      </c>
      <c r="C3375" s="28" t="s">
        <v>97</v>
      </c>
      <c r="D3375" s="28" t="s">
        <v>531</v>
      </c>
      <c r="E3375" s="29" t="s">
        <v>551</v>
      </c>
      <c r="F3375" s="29" t="s">
        <v>322</v>
      </c>
      <c r="G3375" s="25" t="s">
        <v>5106</v>
      </c>
      <c r="H3375" s="26">
        <v>-0.67373400000000006</v>
      </c>
      <c r="I3375" s="26"/>
      <c r="J3375" s="26" t="s">
        <v>514</v>
      </c>
      <c r="K3375" s="25" t="s">
        <v>513</v>
      </c>
    </row>
    <row r="3376" spans="1:11" ht="25.5" x14ac:dyDescent="0.25">
      <c r="A3376" s="22">
        <v>2026</v>
      </c>
      <c r="B3376" s="28" t="s">
        <v>192</v>
      </c>
      <c r="C3376" s="28" t="s">
        <v>97</v>
      </c>
      <c r="D3376" s="28" t="s">
        <v>531</v>
      </c>
      <c r="E3376" s="29" t="s">
        <v>551</v>
      </c>
      <c r="F3376" s="29" t="s">
        <v>322</v>
      </c>
      <c r="G3376" s="25" t="s">
        <v>5107</v>
      </c>
      <c r="H3376" s="26">
        <v>-0.44119199999999997</v>
      </c>
      <c r="I3376" s="26"/>
      <c r="J3376" s="26" t="s">
        <v>514</v>
      </c>
      <c r="K3376" s="25" t="s">
        <v>513</v>
      </c>
    </row>
    <row r="3377" spans="1:11" ht="25.5" x14ac:dyDescent="0.25">
      <c r="A3377" s="22">
        <v>2026</v>
      </c>
      <c r="B3377" s="28" t="s">
        <v>192</v>
      </c>
      <c r="C3377" s="28" t="s">
        <v>97</v>
      </c>
      <c r="D3377" s="28" t="s">
        <v>531</v>
      </c>
      <c r="E3377" s="29" t="s">
        <v>551</v>
      </c>
      <c r="F3377" s="29" t="s">
        <v>322</v>
      </c>
      <c r="G3377" s="25" t="s">
        <v>5108</v>
      </c>
      <c r="H3377" s="26">
        <v>-0.29223305855999998</v>
      </c>
      <c r="I3377" s="26"/>
      <c r="J3377" s="26" t="s">
        <v>514</v>
      </c>
      <c r="K3377" s="25" t="s">
        <v>513</v>
      </c>
    </row>
    <row r="3378" spans="1:11" ht="25.5" x14ac:dyDescent="0.25">
      <c r="A3378" s="22">
        <v>2026</v>
      </c>
      <c r="B3378" s="28" t="s">
        <v>192</v>
      </c>
      <c r="C3378" s="28" t="s">
        <v>97</v>
      </c>
      <c r="D3378" s="28" t="s">
        <v>531</v>
      </c>
      <c r="E3378" s="29" t="s">
        <v>551</v>
      </c>
      <c r="F3378" s="29" t="s">
        <v>322</v>
      </c>
      <c r="G3378" s="25" t="s">
        <v>5109</v>
      </c>
      <c r="H3378" s="26">
        <v>-0.1876628082</v>
      </c>
      <c r="I3378" s="26"/>
      <c r="J3378" s="26" t="s">
        <v>514</v>
      </c>
      <c r="K3378" s="25" t="s">
        <v>513</v>
      </c>
    </row>
    <row r="3379" spans="1:11" ht="25.5" x14ac:dyDescent="0.25">
      <c r="A3379" s="22">
        <v>2026</v>
      </c>
      <c r="B3379" s="28" t="s">
        <v>192</v>
      </c>
      <c r="C3379" s="28" t="s">
        <v>97</v>
      </c>
      <c r="D3379" s="28" t="s">
        <v>531</v>
      </c>
      <c r="E3379" s="29" t="s">
        <v>551</v>
      </c>
      <c r="F3379" s="29" t="s">
        <v>322</v>
      </c>
      <c r="G3379" s="25" t="s">
        <v>5110</v>
      </c>
      <c r="H3379" s="26">
        <v>-0.54180480000000009</v>
      </c>
      <c r="I3379" s="26"/>
      <c r="J3379" s="26" t="s">
        <v>514</v>
      </c>
      <c r="K3379" s="25" t="s">
        <v>513</v>
      </c>
    </row>
    <row r="3380" spans="1:11" ht="25.5" x14ac:dyDescent="0.25">
      <c r="A3380" s="22">
        <v>2026</v>
      </c>
      <c r="B3380" s="28" t="s">
        <v>192</v>
      </c>
      <c r="C3380" s="28" t="s">
        <v>97</v>
      </c>
      <c r="D3380" s="28" t="s">
        <v>531</v>
      </c>
      <c r="E3380" s="29" t="s">
        <v>551</v>
      </c>
      <c r="F3380" s="29" t="s">
        <v>322</v>
      </c>
      <c r="G3380" s="25" t="s">
        <v>5111</v>
      </c>
      <c r="H3380" s="26">
        <v>-0.50365665000000004</v>
      </c>
      <c r="I3380" s="26"/>
      <c r="J3380" s="26" t="s">
        <v>514</v>
      </c>
      <c r="K3380" s="25" t="s">
        <v>513</v>
      </c>
    </row>
    <row r="3381" spans="1:11" ht="25.5" x14ac:dyDescent="0.25">
      <c r="A3381" s="22">
        <v>2026</v>
      </c>
      <c r="B3381" s="28" t="s">
        <v>192</v>
      </c>
      <c r="C3381" s="28" t="s">
        <v>97</v>
      </c>
      <c r="D3381" s="28" t="s">
        <v>531</v>
      </c>
      <c r="E3381" s="29" t="s">
        <v>551</v>
      </c>
      <c r="F3381" s="29" t="s">
        <v>322</v>
      </c>
      <c r="G3381" s="25" t="s">
        <v>5112</v>
      </c>
      <c r="H3381" s="26">
        <v>-0.44904500000000003</v>
      </c>
      <c r="I3381" s="26"/>
      <c r="J3381" s="26" t="s">
        <v>514</v>
      </c>
      <c r="K3381" s="25" t="s">
        <v>513</v>
      </c>
    </row>
    <row r="3382" spans="1:11" ht="25.5" x14ac:dyDescent="0.25">
      <c r="A3382" s="22">
        <v>2026</v>
      </c>
      <c r="B3382" s="28" t="s">
        <v>192</v>
      </c>
      <c r="C3382" s="28" t="s">
        <v>97</v>
      </c>
      <c r="D3382" s="28" t="s">
        <v>228</v>
      </c>
      <c r="E3382" s="29" t="s">
        <v>411</v>
      </c>
      <c r="F3382" s="29" t="s">
        <v>350</v>
      </c>
      <c r="G3382" s="25" t="s">
        <v>5113</v>
      </c>
      <c r="H3382" s="26">
        <v>-6.1636749999999996</v>
      </c>
      <c r="I3382" s="26"/>
      <c r="J3382" s="26" t="s">
        <v>512</v>
      </c>
      <c r="K3382" s="25" t="s">
        <v>513</v>
      </c>
    </row>
    <row r="3383" spans="1:11" ht="25.5" x14ac:dyDescent="0.25">
      <c r="A3383" s="22">
        <v>2026</v>
      </c>
      <c r="B3383" s="28" t="s">
        <v>192</v>
      </c>
      <c r="C3383" s="28" t="s">
        <v>97</v>
      </c>
      <c r="D3383" s="28" t="s">
        <v>228</v>
      </c>
      <c r="E3383" s="29" t="s">
        <v>411</v>
      </c>
      <c r="F3383" s="29" t="s">
        <v>350</v>
      </c>
      <c r="G3383" s="25" t="s">
        <v>5114</v>
      </c>
      <c r="H3383" s="26">
        <v>-1.7232000000000001</v>
      </c>
      <c r="I3383" s="26"/>
      <c r="J3383" s="26" t="s">
        <v>512</v>
      </c>
      <c r="K3383" s="25" t="s">
        <v>513</v>
      </c>
    </row>
    <row r="3384" spans="1:11" ht="25.5" x14ac:dyDescent="0.25">
      <c r="A3384" s="22">
        <v>2026</v>
      </c>
      <c r="B3384" s="28" t="s">
        <v>192</v>
      </c>
      <c r="C3384" s="28" t="s">
        <v>97</v>
      </c>
      <c r="D3384" s="28" t="s">
        <v>228</v>
      </c>
      <c r="E3384" s="29" t="s">
        <v>411</v>
      </c>
      <c r="F3384" s="29" t="s">
        <v>350</v>
      </c>
      <c r="G3384" s="25" t="s">
        <v>5115</v>
      </c>
      <c r="H3384" s="26">
        <v>-3.4379</v>
      </c>
      <c r="I3384" s="26"/>
      <c r="J3384" s="26" t="s">
        <v>512</v>
      </c>
      <c r="K3384" s="25" t="s">
        <v>513</v>
      </c>
    </row>
    <row r="3385" spans="1:11" ht="25.5" x14ac:dyDescent="0.25">
      <c r="A3385" s="22">
        <v>2026</v>
      </c>
      <c r="B3385" s="28" t="s">
        <v>192</v>
      </c>
      <c r="C3385" s="28" t="s">
        <v>97</v>
      </c>
      <c r="D3385" s="28" t="s">
        <v>228</v>
      </c>
      <c r="E3385" s="29" t="s">
        <v>411</v>
      </c>
      <c r="F3385" s="29" t="s">
        <v>350</v>
      </c>
      <c r="G3385" s="25" t="s">
        <v>5116</v>
      </c>
      <c r="H3385" s="26">
        <v>-1.69825</v>
      </c>
      <c r="I3385" s="26"/>
      <c r="J3385" s="26" t="s">
        <v>512</v>
      </c>
      <c r="K3385" s="25" t="s">
        <v>513</v>
      </c>
    </row>
    <row r="3386" spans="1:11" ht="25.5" x14ac:dyDescent="0.25">
      <c r="A3386" s="22">
        <v>2026</v>
      </c>
      <c r="B3386" s="28" t="s">
        <v>192</v>
      </c>
      <c r="C3386" s="28" t="s">
        <v>97</v>
      </c>
      <c r="D3386" s="28" t="s">
        <v>228</v>
      </c>
      <c r="E3386" s="29" t="s">
        <v>411</v>
      </c>
      <c r="F3386" s="29" t="s">
        <v>350</v>
      </c>
      <c r="G3386" s="25" t="s">
        <v>5117</v>
      </c>
      <c r="H3386" s="26">
        <v>-1.3347199999999999</v>
      </c>
      <c r="I3386" s="26"/>
      <c r="J3386" s="26" t="s">
        <v>512</v>
      </c>
      <c r="K3386" s="25" t="s">
        <v>513</v>
      </c>
    </row>
    <row r="3387" spans="1:11" ht="25.5" x14ac:dyDescent="0.25">
      <c r="A3387" s="22">
        <v>2026</v>
      </c>
      <c r="B3387" s="28" t="s">
        <v>192</v>
      </c>
      <c r="C3387" s="28" t="s">
        <v>97</v>
      </c>
      <c r="D3387" s="28" t="s">
        <v>228</v>
      </c>
      <c r="E3387" s="29" t="s">
        <v>411</v>
      </c>
      <c r="F3387" s="29" t="s">
        <v>350</v>
      </c>
      <c r="G3387" s="25" t="s">
        <v>5118</v>
      </c>
      <c r="H3387" s="26">
        <v>-1.2566980000000001</v>
      </c>
      <c r="I3387" s="26"/>
      <c r="J3387" s="26" t="s">
        <v>512</v>
      </c>
      <c r="K3387" s="25" t="s">
        <v>513</v>
      </c>
    </row>
    <row r="3388" spans="1:11" ht="25.5" x14ac:dyDescent="0.25">
      <c r="A3388" s="22">
        <v>2026</v>
      </c>
      <c r="B3388" s="28" t="s">
        <v>203</v>
      </c>
      <c r="C3388" s="28" t="s">
        <v>97</v>
      </c>
      <c r="D3388" s="28" t="s">
        <v>1692</v>
      </c>
      <c r="E3388" s="29" t="s">
        <v>352</v>
      </c>
      <c r="F3388" s="29" t="s">
        <v>576</v>
      </c>
      <c r="G3388" s="25" t="s">
        <v>5137</v>
      </c>
      <c r="H3388" s="26">
        <v>-0.14471999999999996</v>
      </c>
      <c r="I3388" s="26"/>
      <c r="J3388" s="26" t="s">
        <v>512</v>
      </c>
      <c r="K3388" s="25" t="s">
        <v>513</v>
      </c>
    </row>
    <row r="3389" spans="1:11" ht="25.5" x14ac:dyDescent="0.25">
      <c r="A3389" s="22">
        <v>2026</v>
      </c>
      <c r="B3389" s="28" t="s">
        <v>203</v>
      </c>
      <c r="C3389" s="28" t="s">
        <v>97</v>
      </c>
      <c r="D3389" s="28" t="s">
        <v>1692</v>
      </c>
      <c r="E3389" s="29" t="s">
        <v>352</v>
      </c>
      <c r="F3389" s="29" t="s">
        <v>576</v>
      </c>
      <c r="G3389" s="25" t="s">
        <v>5138</v>
      </c>
      <c r="H3389" s="26">
        <v>-0.29820000000000002</v>
      </c>
      <c r="I3389" s="26"/>
      <c r="J3389" s="26" t="s">
        <v>512</v>
      </c>
      <c r="K3389" s="25" t="s">
        <v>513</v>
      </c>
    </row>
    <row r="3390" spans="1:11" ht="25.5" x14ac:dyDescent="0.25">
      <c r="A3390" s="22">
        <v>2026</v>
      </c>
      <c r="B3390" s="28" t="s">
        <v>203</v>
      </c>
      <c r="C3390" s="28" t="s">
        <v>97</v>
      </c>
      <c r="D3390" s="28" t="s">
        <v>1692</v>
      </c>
      <c r="E3390" s="29" t="s">
        <v>352</v>
      </c>
      <c r="F3390" s="29" t="s">
        <v>576</v>
      </c>
      <c r="G3390" s="25" t="s">
        <v>5139</v>
      </c>
      <c r="H3390" s="26">
        <v>-0.53934249999999995</v>
      </c>
      <c r="I3390" s="26"/>
      <c r="J3390" s="26" t="s">
        <v>512</v>
      </c>
      <c r="K3390" s="25" t="s">
        <v>513</v>
      </c>
    </row>
    <row r="3391" spans="1:11" ht="25.5" x14ac:dyDescent="0.25">
      <c r="A3391" s="22">
        <v>2026</v>
      </c>
      <c r="B3391" s="28" t="s">
        <v>203</v>
      </c>
      <c r="C3391" s="28" t="s">
        <v>97</v>
      </c>
      <c r="D3391" s="28" t="s">
        <v>1692</v>
      </c>
      <c r="E3391" s="29" t="s">
        <v>352</v>
      </c>
      <c r="F3391" s="29" t="s">
        <v>576</v>
      </c>
      <c r="G3391" s="25" t="s">
        <v>5140</v>
      </c>
      <c r="H3391" s="26">
        <v>-0.54825000000000002</v>
      </c>
      <c r="I3391" s="26"/>
      <c r="J3391" s="26" t="s">
        <v>512</v>
      </c>
      <c r="K3391" s="25" t="s">
        <v>513</v>
      </c>
    </row>
    <row r="3392" spans="1:11" ht="25.5" x14ac:dyDescent="0.25">
      <c r="A3392" s="22">
        <v>2026</v>
      </c>
      <c r="B3392" s="28" t="s">
        <v>203</v>
      </c>
      <c r="C3392" s="28" t="s">
        <v>97</v>
      </c>
      <c r="D3392" s="28" t="s">
        <v>1692</v>
      </c>
      <c r="E3392" s="29" t="s">
        <v>352</v>
      </c>
      <c r="F3392" s="29" t="s">
        <v>576</v>
      </c>
      <c r="G3392" s="25" t="s">
        <v>5141</v>
      </c>
      <c r="H3392" s="26">
        <v>-0.47754959999999996</v>
      </c>
      <c r="I3392" s="26"/>
      <c r="J3392" s="26" t="s">
        <v>512</v>
      </c>
      <c r="K3392" s="25" t="s">
        <v>513</v>
      </c>
    </row>
    <row r="3393" spans="1:11" ht="25.5" x14ac:dyDescent="0.25">
      <c r="A3393" s="22">
        <v>2026</v>
      </c>
      <c r="B3393" s="28" t="s">
        <v>203</v>
      </c>
      <c r="C3393" s="28" t="s">
        <v>97</v>
      </c>
      <c r="D3393" s="28" t="s">
        <v>1692</v>
      </c>
      <c r="E3393" s="29" t="s">
        <v>352</v>
      </c>
      <c r="F3393" s="29" t="s">
        <v>576</v>
      </c>
      <c r="G3393" s="25" t="s">
        <v>5142</v>
      </c>
      <c r="H3393" s="26">
        <v>-0.21749999999999997</v>
      </c>
      <c r="I3393" s="26"/>
      <c r="J3393" s="26" t="s">
        <v>512</v>
      </c>
      <c r="K3393" s="25" t="s">
        <v>513</v>
      </c>
    </row>
    <row r="3394" spans="1:11" ht="25.5" x14ac:dyDescent="0.25">
      <c r="A3394" s="22">
        <v>2026</v>
      </c>
      <c r="B3394" s="28" t="s">
        <v>203</v>
      </c>
      <c r="C3394" s="28" t="s">
        <v>97</v>
      </c>
      <c r="D3394" s="28" t="s">
        <v>1692</v>
      </c>
      <c r="E3394" s="29" t="s">
        <v>352</v>
      </c>
      <c r="F3394" s="29" t="s">
        <v>576</v>
      </c>
      <c r="G3394" s="25" t="s">
        <v>5143</v>
      </c>
      <c r="H3394" s="26">
        <v>-0.43499999999999994</v>
      </c>
      <c r="I3394" s="26"/>
      <c r="J3394" s="26" t="s">
        <v>512</v>
      </c>
      <c r="K3394" s="25" t="s">
        <v>513</v>
      </c>
    </row>
    <row r="3395" spans="1:11" ht="25.5" x14ac:dyDescent="0.25">
      <c r="A3395" s="22">
        <v>2026</v>
      </c>
      <c r="B3395" s="28" t="s">
        <v>203</v>
      </c>
      <c r="C3395" s="28" t="s">
        <v>97</v>
      </c>
      <c r="D3395" s="28" t="s">
        <v>1692</v>
      </c>
      <c r="E3395" s="29" t="s">
        <v>352</v>
      </c>
      <c r="F3395" s="29" t="s">
        <v>576</v>
      </c>
      <c r="G3395" s="25" t="s">
        <v>5144</v>
      </c>
      <c r="H3395" s="26">
        <v>-0.86599999999999999</v>
      </c>
      <c r="I3395" s="26"/>
      <c r="J3395" s="26" t="s">
        <v>512</v>
      </c>
      <c r="K3395" s="25" t="s">
        <v>513</v>
      </c>
    </row>
    <row r="3396" spans="1:11" ht="25.5" x14ac:dyDescent="0.25">
      <c r="A3396" s="22">
        <v>2026</v>
      </c>
      <c r="B3396" s="28" t="s">
        <v>203</v>
      </c>
      <c r="C3396" s="28" t="s">
        <v>97</v>
      </c>
      <c r="D3396" s="28" t="s">
        <v>1693</v>
      </c>
      <c r="E3396" s="29" t="s">
        <v>352</v>
      </c>
      <c r="F3396" s="29" t="s">
        <v>903</v>
      </c>
      <c r="G3396" s="25" t="s">
        <v>5145</v>
      </c>
      <c r="H3396" s="26">
        <v>-0.10054368000000001</v>
      </c>
      <c r="I3396" s="26"/>
      <c r="J3396" s="26" t="s">
        <v>512</v>
      </c>
      <c r="K3396" s="25" t="s">
        <v>513</v>
      </c>
    </row>
    <row r="3397" spans="1:11" ht="25.5" x14ac:dyDescent="0.25">
      <c r="A3397" s="22">
        <v>2026</v>
      </c>
      <c r="B3397" s="28" t="s">
        <v>203</v>
      </c>
      <c r="C3397" s="28" t="s">
        <v>97</v>
      </c>
      <c r="D3397" s="28" t="s">
        <v>1693</v>
      </c>
      <c r="E3397" s="29" t="s">
        <v>352</v>
      </c>
      <c r="F3397" s="29" t="s">
        <v>903</v>
      </c>
      <c r="G3397" s="25" t="s">
        <v>5146</v>
      </c>
      <c r="H3397" s="26">
        <v>-4.9143778040000002E-2</v>
      </c>
      <c r="I3397" s="26"/>
      <c r="J3397" s="26" t="s">
        <v>512</v>
      </c>
      <c r="K3397" s="25" t="s">
        <v>513</v>
      </c>
    </row>
    <row r="3398" spans="1:11" ht="25.5" x14ac:dyDescent="0.25">
      <c r="A3398" s="22">
        <v>2026</v>
      </c>
      <c r="B3398" s="28" t="s">
        <v>203</v>
      </c>
      <c r="C3398" s="28" t="s">
        <v>97</v>
      </c>
      <c r="D3398" s="28" t="s">
        <v>1693</v>
      </c>
      <c r="E3398" s="29" t="s">
        <v>352</v>
      </c>
      <c r="F3398" s="29" t="s">
        <v>903</v>
      </c>
      <c r="G3398" s="25" t="s">
        <v>5147</v>
      </c>
      <c r="H3398" s="26">
        <v>-0.11229222804</v>
      </c>
      <c r="I3398" s="26"/>
      <c r="J3398" s="26" t="s">
        <v>512</v>
      </c>
      <c r="K3398" s="25" t="s">
        <v>513</v>
      </c>
    </row>
    <row r="3399" spans="1:11" ht="25.5" x14ac:dyDescent="0.25">
      <c r="A3399" s="22">
        <v>2026</v>
      </c>
      <c r="B3399" s="28" t="s">
        <v>203</v>
      </c>
      <c r="C3399" s="28" t="s">
        <v>97</v>
      </c>
      <c r="D3399" s="28" t="s">
        <v>1693</v>
      </c>
      <c r="E3399" s="29" t="s">
        <v>352</v>
      </c>
      <c r="F3399" s="29" t="s">
        <v>903</v>
      </c>
      <c r="G3399" s="25" t="s">
        <v>5148</v>
      </c>
      <c r="H3399" s="26">
        <v>-1.3755440000000001E-2</v>
      </c>
      <c r="I3399" s="26"/>
      <c r="J3399" s="26" t="s">
        <v>512</v>
      </c>
      <c r="K3399" s="25" t="s">
        <v>513</v>
      </c>
    </row>
    <row r="3400" spans="1:11" ht="25.5" x14ac:dyDescent="0.25">
      <c r="A3400" s="22">
        <v>2026</v>
      </c>
      <c r="B3400" s="28" t="s">
        <v>203</v>
      </c>
      <c r="C3400" s="28" t="s">
        <v>97</v>
      </c>
      <c r="D3400" s="28" t="s">
        <v>1693</v>
      </c>
      <c r="E3400" s="29" t="s">
        <v>352</v>
      </c>
      <c r="F3400" s="29" t="s">
        <v>903</v>
      </c>
      <c r="G3400" s="25" t="s">
        <v>5149</v>
      </c>
      <c r="H3400" s="26">
        <v>-8.9959999999999998E-2</v>
      </c>
      <c r="I3400" s="26"/>
      <c r="J3400" s="26" t="s">
        <v>512</v>
      </c>
      <c r="K3400" s="25" t="s">
        <v>513</v>
      </c>
    </row>
    <row r="3401" spans="1:11" ht="25.5" x14ac:dyDescent="0.25">
      <c r="A3401" s="22">
        <v>2026</v>
      </c>
      <c r="B3401" s="28" t="s">
        <v>203</v>
      </c>
      <c r="C3401" s="28" t="s">
        <v>97</v>
      </c>
      <c r="D3401" s="28" t="s">
        <v>1693</v>
      </c>
      <c r="E3401" s="29" t="s">
        <v>352</v>
      </c>
      <c r="F3401" s="29" t="s">
        <v>903</v>
      </c>
      <c r="G3401" s="25" t="s">
        <v>5150</v>
      </c>
      <c r="H3401" s="26">
        <v>-0.11662</v>
      </c>
      <c r="I3401" s="26"/>
      <c r="J3401" s="26" t="s">
        <v>512</v>
      </c>
      <c r="K3401" s="25" t="s">
        <v>513</v>
      </c>
    </row>
    <row r="3402" spans="1:11" ht="25.5" x14ac:dyDescent="0.25">
      <c r="A3402" s="22">
        <v>2026</v>
      </c>
      <c r="B3402" s="28" t="s">
        <v>203</v>
      </c>
      <c r="C3402" s="28" t="s">
        <v>97</v>
      </c>
      <c r="D3402" s="28" t="s">
        <v>1693</v>
      </c>
      <c r="E3402" s="29" t="s">
        <v>352</v>
      </c>
      <c r="F3402" s="29" t="s">
        <v>903</v>
      </c>
      <c r="G3402" s="25" t="s">
        <v>5151</v>
      </c>
      <c r="H3402" s="26">
        <v>-0.15870000000000001</v>
      </c>
      <c r="I3402" s="26"/>
      <c r="J3402" s="26" t="s">
        <v>512</v>
      </c>
      <c r="K3402" s="25" t="s">
        <v>513</v>
      </c>
    </row>
    <row r="3403" spans="1:11" ht="25.5" x14ac:dyDescent="0.25">
      <c r="A3403" s="22">
        <v>2026</v>
      </c>
      <c r="B3403" s="28" t="s">
        <v>203</v>
      </c>
      <c r="C3403" s="28" t="s">
        <v>97</v>
      </c>
      <c r="D3403" s="28" t="s">
        <v>1693</v>
      </c>
      <c r="E3403" s="29" t="s">
        <v>352</v>
      </c>
      <c r="F3403" s="29" t="s">
        <v>903</v>
      </c>
      <c r="G3403" s="25" t="s">
        <v>5152</v>
      </c>
      <c r="H3403" s="26">
        <v>-9.7383020000000001E-2</v>
      </c>
      <c r="I3403" s="26"/>
      <c r="J3403" s="26" t="s">
        <v>512</v>
      </c>
      <c r="K3403" s="25" t="s">
        <v>513</v>
      </c>
    </row>
    <row r="3404" spans="1:11" ht="25.5" x14ac:dyDescent="0.25">
      <c r="A3404" s="22">
        <v>2026</v>
      </c>
      <c r="B3404" s="28" t="s">
        <v>203</v>
      </c>
      <c r="C3404" s="28" t="s">
        <v>97</v>
      </c>
      <c r="D3404" s="28" t="s">
        <v>1693</v>
      </c>
      <c r="E3404" s="29" t="s">
        <v>352</v>
      </c>
      <c r="F3404" s="29" t="s">
        <v>903</v>
      </c>
      <c r="G3404" s="25" t="s">
        <v>5153</v>
      </c>
      <c r="H3404" s="26">
        <v>-0.11865592</v>
      </c>
      <c r="I3404" s="26"/>
      <c r="J3404" s="26" t="s">
        <v>512</v>
      </c>
      <c r="K3404" s="25" t="s">
        <v>513</v>
      </c>
    </row>
    <row r="3405" spans="1:11" ht="25.5" x14ac:dyDescent="0.25">
      <c r="A3405" s="22">
        <v>2026</v>
      </c>
      <c r="B3405" s="28" t="s">
        <v>203</v>
      </c>
      <c r="C3405" s="28" t="s">
        <v>97</v>
      </c>
      <c r="D3405" s="28" t="s">
        <v>1693</v>
      </c>
      <c r="E3405" s="29" t="s">
        <v>352</v>
      </c>
      <c r="F3405" s="29" t="s">
        <v>903</v>
      </c>
      <c r="G3405" s="25" t="s">
        <v>5154</v>
      </c>
      <c r="H3405" s="26">
        <v>-0.15449082</v>
      </c>
      <c r="I3405" s="26"/>
      <c r="J3405" s="26" t="s">
        <v>512</v>
      </c>
      <c r="K3405" s="25" t="s">
        <v>513</v>
      </c>
    </row>
    <row r="3406" spans="1:11" ht="25.5" x14ac:dyDescent="0.25">
      <c r="A3406" s="22">
        <v>2026</v>
      </c>
      <c r="B3406" s="28" t="s">
        <v>203</v>
      </c>
      <c r="C3406" s="28" t="s">
        <v>97</v>
      </c>
      <c r="D3406" s="28" t="s">
        <v>1693</v>
      </c>
      <c r="E3406" s="29" t="s">
        <v>352</v>
      </c>
      <c r="F3406" s="29" t="s">
        <v>903</v>
      </c>
      <c r="G3406" s="25" t="s">
        <v>5155</v>
      </c>
      <c r="H3406" s="26">
        <v>-0.17370982500000001</v>
      </c>
      <c r="I3406" s="26"/>
      <c r="J3406" s="26" t="s">
        <v>512</v>
      </c>
      <c r="K3406" s="25" t="s">
        <v>513</v>
      </c>
    </row>
    <row r="3407" spans="1:11" ht="25.5" x14ac:dyDescent="0.25">
      <c r="A3407" s="22">
        <v>2026</v>
      </c>
      <c r="B3407" s="28" t="s">
        <v>203</v>
      </c>
      <c r="C3407" s="28" t="s">
        <v>97</v>
      </c>
      <c r="D3407" s="28" t="s">
        <v>1693</v>
      </c>
      <c r="E3407" s="29" t="s">
        <v>352</v>
      </c>
      <c r="F3407" s="29" t="s">
        <v>903</v>
      </c>
      <c r="G3407" s="25" t="s">
        <v>5156</v>
      </c>
      <c r="H3407" s="26">
        <v>-0.17187489664</v>
      </c>
      <c r="I3407" s="26"/>
      <c r="J3407" s="26" t="s">
        <v>512</v>
      </c>
      <c r="K3407" s="25" t="s">
        <v>513</v>
      </c>
    </row>
    <row r="3408" spans="1:11" ht="25.5" x14ac:dyDescent="0.25">
      <c r="A3408" s="22">
        <v>2026</v>
      </c>
      <c r="B3408" s="28" t="s">
        <v>203</v>
      </c>
      <c r="C3408" s="28" t="s">
        <v>97</v>
      </c>
      <c r="D3408" s="28" t="s">
        <v>1693</v>
      </c>
      <c r="E3408" s="29" t="s">
        <v>352</v>
      </c>
      <c r="F3408" s="29" t="s">
        <v>903</v>
      </c>
      <c r="G3408" s="25" t="s">
        <v>5157</v>
      </c>
      <c r="H3408" s="26">
        <v>-7.5922000000000003E-2</v>
      </c>
      <c r="I3408" s="26"/>
      <c r="J3408" s="26" t="s">
        <v>512</v>
      </c>
      <c r="K3408" s="25" t="s">
        <v>513</v>
      </c>
    </row>
    <row r="3409" spans="1:11" ht="25.5" x14ac:dyDescent="0.25">
      <c r="A3409" s="22">
        <v>2026</v>
      </c>
      <c r="B3409" s="28" t="s">
        <v>203</v>
      </c>
      <c r="C3409" s="28" t="s">
        <v>97</v>
      </c>
      <c r="D3409" s="28" t="s">
        <v>1693</v>
      </c>
      <c r="E3409" s="29" t="s">
        <v>352</v>
      </c>
      <c r="F3409" s="29" t="s">
        <v>903</v>
      </c>
      <c r="G3409" s="25" t="s">
        <v>5158</v>
      </c>
      <c r="H3409" s="26">
        <v>-9.4842117360000006E-2</v>
      </c>
      <c r="I3409" s="26"/>
      <c r="J3409" s="26" t="s">
        <v>512</v>
      </c>
      <c r="K3409" s="25" t="s">
        <v>513</v>
      </c>
    </row>
    <row r="3410" spans="1:11" ht="25.5" x14ac:dyDescent="0.25">
      <c r="A3410" s="22">
        <v>2026</v>
      </c>
      <c r="B3410" s="28" t="s">
        <v>203</v>
      </c>
      <c r="C3410" s="28" t="s">
        <v>97</v>
      </c>
      <c r="D3410" s="28" t="s">
        <v>1694</v>
      </c>
      <c r="E3410" s="29" t="s">
        <v>352</v>
      </c>
      <c r="F3410" s="29" t="s">
        <v>343</v>
      </c>
      <c r="G3410" s="25" t="s">
        <v>5159</v>
      </c>
      <c r="H3410" s="26">
        <v>-5.1793487999999999E-2</v>
      </c>
      <c r="I3410" s="26"/>
      <c r="J3410" s="26" t="s">
        <v>512</v>
      </c>
      <c r="K3410" s="25" t="s">
        <v>513</v>
      </c>
    </row>
    <row r="3411" spans="1:11" ht="25.5" x14ac:dyDescent="0.25">
      <c r="A3411" s="22">
        <v>2026</v>
      </c>
      <c r="B3411" s="28" t="s">
        <v>203</v>
      </c>
      <c r="C3411" s="28" t="s">
        <v>97</v>
      </c>
      <c r="D3411" s="28" t="s">
        <v>1694</v>
      </c>
      <c r="E3411" s="29" t="s">
        <v>352</v>
      </c>
      <c r="F3411" s="29" t="s">
        <v>343</v>
      </c>
      <c r="G3411" s="25" t="s">
        <v>5160</v>
      </c>
      <c r="H3411" s="26">
        <v>-0.15727311999999999</v>
      </c>
      <c r="I3411" s="26"/>
      <c r="J3411" s="26" t="s">
        <v>512</v>
      </c>
      <c r="K3411" s="25" t="s">
        <v>513</v>
      </c>
    </row>
    <row r="3412" spans="1:11" ht="25.5" x14ac:dyDescent="0.25">
      <c r="A3412" s="22">
        <v>2026</v>
      </c>
      <c r="B3412" s="28" t="s">
        <v>203</v>
      </c>
      <c r="C3412" s="28" t="s">
        <v>97</v>
      </c>
      <c r="D3412" s="28" t="s">
        <v>1694</v>
      </c>
      <c r="E3412" s="29" t="s">
        <v>352</v>
      </c>
      <c r="F3412" s="29" t="s">
        <v>343</v>
      </c>
      <c r="G3412" s="25" t="s">
        <v>5161</v>
      </c>
      <c r="H3412" s="26">
        <v>-3.664485E-2</v>
      </c>
      <c r="I3412" s="26"/>
      <c r="J3412" s="26" t="s">
        <v>512</v>
      </c>
      <c r="K3412" s="25" t="s">
        <v>513</v>
      </c>
    </row>
    <row r="3413" spans="1:11" ht="25.5" x14ac:dyDescent="0.25">
      <c r="A3413" s="22">
        <v>2026</v>
      </c>
      <c r="B3413" s="28" t="s">
        <v>203</v>
      </c>
      <c r="C3413" s="28" t="s">
        <v>97</v>
      </c>
      <c r="D3413" s="28" t="s">
        <v>1694</v>
      </c>
      <c r="E3413" s="29" t="s">
        <v>352</v>
      </c>
      <c r="F3413" s="29" t="s">
        <v>343</v>
      </c>
      <c r="G3413" s="25" t="s">
        <v>5162</v>
      </c>
      <c r="H3413" s="26">
        <v>-0.14559896172</v>
      </c>
      <c r="I3413" s="26"/>
      <c r="J3413" s="26" t="s">
        <v>512</v>
      </c>
      <c r="K3413" s="25" t="s">
        <v>513</v>
      </c>
    </row>
    <row r="3414" spans="1:11" ht="25.5" x14ac:dyDescent="0.25">
      <c r="A3414" s="22">
        <v>2026</v>
      </c>
      <c r="B3414" s="28" t="s">
        <v>203</v>
      </c>
      <c r="C3414" s="28" t="s">
        <v>97</v>
      </c>
      <c r="D3414" s="28" t="s">
        <v>1694</v>
      </c>
      <c r="E3414" s="29" t="s">
        <v>352</v>
      </c>
      <c r="F3414" s="29" t="s">
        <v>343</v>
      </c>
      <c r="G3414" s="25" t="s">
        <v>5163</v>
      </c>
      <c r="H3414" s="26">
        <v>-0.32060160000000004</v>
      </c>
      <c r="I3414" s="26"/>
      <c r="J3414" s="26" t="s">
        <v>512</v>
      </c>
      <c r="K3414" s="25" t="s">
        <v>513</v>
      </c>
    </row>
    <row r="3415" spans="1:11" ht="25.5" x14ac:dyDescent="0.25">
      <c r="A3415" s="22">
        <v>2026</v>
      </c>
      <c r="B3415" s="28" t="s">
        <v>203</v>
      </c>
      <c r="C3415" s="28" t="s">
        <v>97</v>
      </c>
      <c r="D3415" s="28" t="s">
        <v>1694</v>
      </c>
      <c r="E3415" s="29" t="s">
        <v>352</v>
      </c>
      <c r="F3415" s="29" t="s">
        <v>343</v>
      </c>
      <c r="G3415" s="25" t="s">
        <v>5164</v>
      </c>
      <c r="H3415" s="26">
        <v>-0.19921074499999999</v>
      </c>
      <c r="I3415" s="26"/>
      <c r="J3415" s="26" t="s">
        <v>512</v>
      </c>
      <c r="K3415" s="25" t="s">
        <v>513</v>
      </c>
    </row>
    <row r="3416" spans="1:11" ht="25.5" x14ac:dyDescent="0.25">
      <c r="A3416" s="22">
        <v>2026</v>
      </c>
      <c r="B3416" s="28" t="s">
        <v>203</v>
      </c>
      <c r="C3416" s="28" t="s">
        <v>97</v>
      </c>
      <c r="D3416" s="28" t="s">
        <v>1694</v>
      </c>
      <c r="E3416" s="29" t="s">
        <v>352</v>
      </c>
      <c r="F3416" s="29" t="s">
        <v>343</v>
      </c>
      <c r="G3416" s="25" t="s">
        <v>5165</v>
      </c>
      <c r="H3416" s="26">
        <v>-0.2096725367</v>
      </c>
      <c r="I3416" s="26"/>
      <c r="J3416" s="26" t="s">
        <v>512</v>
      </c>
      <c r="K3416" s="25" t="s">
        <v>513</v>
      </c>
    </row>
    <row r="3417" spans="1:11" ht="25.5" x14ac:dyDescent="0.25">
      <c r="A3417" s="22">
        <v>2026</v>
      </c>
      <c r="B3417" s="28" t="s">
        <v>203</v>
      </c>
      <c r="C3417" s="28" t="s">
        <v>97</v>
      </c>
      <c r="D3417" s="28" t="s">
        <v>1694</v>
      </c>
      <c r="E3417" s="29" t="s">
        <v>352</v>
      </c>
      <c r="F3417" s="29" t="s">
        <v>343</v>
      </c>
      <c r="G3417" s="25" t="s">
        <v>5166</v>
      </c>
      <c r="H3417" s="26">
        <v>-3.8849481419999998E-2</v>
      </c>
      <c r="I3417" s="26"/>
      <c r="J3417" s="26" t="s">
        <v>512</v>
      </c>
      <c r="K3417" s="25" t="s">
        <v>513</v>
      </c>
    </row>
    <row r="3418" spans="1:11" ht="25.5" x14ac:dyDescent="0.25">
      <c r="A3418" s="22">
        <v>2026</v>
      </c>
      <c r="B3418" s="28" t="s">
        <v>203</v>
      </c>
      <c r="C3418" s="28" t="s">
        <v>97</v>
      </c>
      <c r="D3418" s="28" t="s">
        <v>1694</v>
      </c>
      <c r="E3418" s="29" t="s">
        <v>352</v>
      </c>
      <c r="F3418" s="29" t="s">
        <v>343</v>
      </c>
      <c r="G3418" s="25" t="s">
        <v>5167</v>
      </c>
      <c r="H3418" s="26">
        <v>-9.1439999999999994E-2</v>
      </c>
      <c r="I3418" s="26"/>
      <c r="J3418" s="26" t="s">
        <v>512</v>
      </c>
      <c r="K3418" s="25" t="s">
        <v>513</v>
      </c>
    </row>
    <row r="3419" spans="1:11" ht="25.5" x14ac:dyDescent="0.25">
      <c r="A3419" s="22">
        <v>2026</v>
      </c>
      <c r="B3419" s="28" t="s">
        <v>203</v>
      </c>
      <c r="C3419" s="28" t="s">
        <v>97</v>
      </c>
      <c r="D3419" s="28" t="s">
        <v>1694</v>
      </c>
      <c r="E3419" s="29" t="s">
        <v>352</v>
      </c>
      <c r="F3419" s="29" t="s">
        <v>343</v>
      </c>
      <c r="G3419" s="25" t="s">
        <v>5168</v>
      </c>
      <c r="H3419" s="26">
        <v>-0.18000715999999997</v>
      </c>
      <c r="I3419" s="26"/>
      <c r="J3419" s="26" t="s">
        <v>512</v>
      </c>
      <c r="K3419" s="25" t="s">
        <v>513</v>
      </c>
    </row>
    <row r="3420" spans="1:11" ht="25.5" x14ac:dyDescent="0.25">
      <c r="A3420" s="22">
        <v>2026</v>
      </c>
      <c r="B3420" s="28" t="s">
        <v>203</v>
      </c>
      <c r="C3420" s="28" t="s">
        <v>97</v>
      </c>
      <c r="D3420" s="28" t="s">
        <v>1694</v>
      </c>
      <c r="E3420" s="29" t="s">
        <v>352</v>
      </c>
      <c r="F3420" s="29" t="s">
        <v>343</v>
      </c>
      <c r="G3420" s="25" t="s">
        <v>5169</v>
      </c>
      <c r="H3420" s="26">
        <v>-0.22678422000000004</v>
      </c>
      <c r="I3420" s="26"/>
      <c r="J3420" s="26" t="s">
        <v>512</v>
      </c>
      <c r="K3420" s="25" t="s">
        <v>513</v>
      </c>
    </row>
    <row r="3421" spans="1:11" ht="25.5" x14ac:dyDescent="0.25">
      <c r="A3421" s="22">
        <v>2026</v>
      </c>
      <c r="B3421" s="28" t="s">
        <v>203</v>
      </c>
      <c r="C3421" s="28" t="s">
        <v>97</v>
      </c>
      <c r="D3421" s="28" t="s">
        <v>1694</v>
      </c>
      <c r="E3421" s="29" t="s">
        <v>352</v>
      </c>
      <c r="F3421" s="29" t="s">
        <v>343</v>
      </c>
      <c r="G3421" s="25" t="s">
        <v>5170</v>
      </c>
      <c r="H3421" s="26">
        <v>-8.7614999999999998E-2</v>
      </c>
      <c r="I3421" s="26"/>
      <c r="J3421" s="26" t="s">
        <v>512</v>
      </c>
      <c r="K3421" s="25" t="s">
        <v>513</v>
      </c>
    </row>
    <row r="3422" spans="1:11" ht="25.5" x14ac:dyDescent="0.25">
      <c r="A3422" s="22">
        <v>2026</v>
      </c>
      <c r="B3422" s="28" t="s">
        <v>203</v>
      </c>
      <c r="C3422" s="28" t="s">
        <v>97</v>
      </c>
      <c r="D3422" s="28" t="s">
        <v>1694</v>
      </c>
      <c r="E3422" s="29" t="s">
        <v>352</v>
      </c>
      <c r="F3422" s="29" t="s">
        <v>343</v>
      </c>
      <c r="G3422" s="25" t="s">
        <v>5171</v>
      </c>
      <c r="H3422" s="26">
        <v>-0.24649487225000002</v>
      </c>
      <c r="I3422" s="26"/>
      <c r="J3422" s="26" t="s">
        <v>512</v>
      </c>
      <c r="K3422" s="25" t="s">
        <v>513</v>
      </c>
    </row>
    <row r="3423" spans="1:11" ht="25.5" x14ac:dyDescent="0.25">
      <c r="A3423" s="22">
        <v>2026</v>
      </c>
      <c r="B3423" s="28" t="s">
        <v>203</v>
      </c>
      <c r="C3423" s="28" t="s">
        <v>97</v>
      </c>
      <c r="D3423" s="28" t="s">
        <v>1694</v>
      </c>
      <c r="E3423" s="29" t="s">
        <v>352</v>
      </c>
      <c r="F3423" s="29" t="s">
        <v>343</v>
      </c>
      <c r="G3423" s="25" t="s">
        <v>5172</v>
      </c>
      <c r="H3423" s="26">
        <v>-0.42316987138000001</v>
      </c>
      <c r="I3423" s="26"/>
      <c r="J3423" s="26" t="s">
        <v>512</v>
      </c>
      <c r="K3423" s="25" t="s">
        <v>513</v>
      </c>
    </row>
    <row r="3424" spans="1:11" ht="25.5" x14ac:dyDescent="0.25">
      <c r="A3424" s="22">
        <v>2026</v>
      </c>
      <c r="B3424" s="28" t="s">
        <v>203</v>
      </c>
      <c r="C3424" s="28" t="s">
        <v>97</v>
      </c>
      <c r="D3424" s="28" t="s">
        <v>530</v>
      </c>
      <c r="E3424" s="29" t="s">
        <v>548</v>
      </c>
      <c r="F3424" s="29" t="s">
        <v>343</v>
      </c>
      <c r="G3424" s="25" t="s">
        <v>5119</v>
      </c>
      <c r="H3424" s="26">
        <v>-7.3499999999999996E-2</v>
      </c>
      <c r="I3424" s="26"/>
      <c r="J3424" s="26" t="s">
        <v>512</v>
      </c>
      <c r="K3424" s="25" t="s">
        <v>513</v>
      </c>
    </row>
    <row r="3425" spans="1:11" ht="25.5" x14ac:dyDescent="0.25">
      <c r="A3425" s="22">
        <v>2026</v>
      </c>
      <c r="B3425" s="28" t="s">
        <v>203</v>
      </c>
      <c r="C3425" s="28" t="s">
        <v>97</v>
      </c>
      <c r="D3425" s="28" t="s">
        <v>530</v>
      </c>
      <c r="E3425" s="29" t="s">
        <v>548</v>
      </c>
      <c r="F3425" s="29" t="s">
        <v>343</v>
      </c>
      <c r="G3425" s="25" t="s">
        <v>5120</v>
      </c>
      <c r="H3425" s="26">
        <v>-0.29289999999999999</v>
      </c>
      <c r="I3425" s="26"/>
      <c r="J3425" s="26" t="s">
        <v>512</v>
      </c>
      <c r="K3425" s="25" t="s">
        <v>513</v>
      </c>
    </row>
    <row r="3426" spans="1:11" ht="25.5" x14ac:dyDescent="0.25">
      <c r="A3426" s="22">
        <v>2026</v>
      </c>
      <c r="B3426" s="28" t="s">
        <v>203</v>
      </c>
      <c r="C3426" s="28" t="s">
        <v>97</v>
      </c>
      <c r="D3426" s="28" t="s">
        <v>530</v>
      </c>
      <c r="E3426" s="29" t="s">
        <v>548</v>
      </c>
      <c r="F3426" s="29" t="s">
        <v>343</v>
      </c>
      <c r="G3426" s="25" t="s">
        <v>5121</v>
      </c>
      <c r="H3426" s="26">
        <v>-0.36953000000000003</v>
      </c>
      <c r="I3426" s="26"/>
      <c r="J3426" s="26" t="s">
        <v>512</v>
      </c>
      <c r="K3426" s="25" t="s">
        <v>513</v>
      </c>
    </row>
    <row r="3427" spans="1:11" ht="25.5" x14ac:dyDescent="0.25">
      <c r="A3427" s="22">
        <v>2026</v>
      </c>
      <c r="B3427" s="28" t="s">
        <v>203</v>
      </c>
      <c r="C3427" s="28" t="s">
        <v>97</v>
      </c>
      <c r="D3427" s="28" t="s">
        <v>530</v>
      </c>
      <c r="E3427" s="29" t="s">
        <v>548</v>
      </c>
      <c r="F3427" s="29" t="s">
        <v>343</v>
      </c>
      <c r="G3427" s="25" t="s">
        <v>2330</v>
      </c>
      <c r="H3427" s="26">
        <v>-0.1532</v>
      </c>
      <c r="I3427" s="26"/>
      <c r="J3427" s="26" t="s">
        <v>512</v>
      </c>
      <c r="K3427" s="25" t="s">
        <v>513</v>
      </c>
    </row>
    <row r="3428" spans="1:11" ht="25.5" x14ac:dyDescent="0.25">
      <c r="A3428" s="22">
        <v>2026</v>
      </c>
      <c r="B3428" s="28" t="s">
        <v>203</v>
      </c>
      <c r="C3428" s="28" t="s">
        <v>97</v>
      </c>
      <c r="D3428" s="28" t="s">
        <v>530</v>
      </c>
      <c r="E3428" s="29" t="s">
        <v>548</v>
      </c>
      <c r="F3428" s="29" t="s">
        <v>343</v>
      </c>
      <c r="G3428" s="25" t="s">
        <v>5122</v>
      </c>
      <c r="H3428" s="26">
        <v>-0.68259959999999997</v>
      </c>
      <c r="I3428" s="26"/>
      <c r="J3428" s="26" t="s">
        <v>512</v>
      </c>
      <c r="K3428" s="25" t="s">
        <v>513</v>
      </c>
    </row>
    <row r="3429" spans="1:11" ht="25.5" x14ac:dyDescent="0.25">
      <c r="A3429" s="22">
        <v>2026</v>
      </c>
      <c r="B3429" s="28" t="s">
        <v>203</v>
      </c>
      <c r="C3429" s="28" t="s">
        <v>97</v>
      </c>
      <c r="D3429" s="28" t="s">
        <v>530</v>
      </c>
      <c r="E3429" s="29" t="s">
        <v>548</v>
      </c>
      <c r="F3429" s="29" t="s">
        <v>343</v>
      </c>
      <c r="G3429" s="25" t="s">
        <v>5123</v>
      </c>
      <c r="H3429" s="26">
        <v>-0.75839999999999996</v>
      </c>
      <c r="I3429" s="26"/>
      <c r="J3429" s="26" t="s">
        <v>512</v>
      </c>
      <c r="K3429" s="25" t="s">
        <v>513</v>
      </c>
    </row>
    <row r="3430" spans="1:11" ht="25.5" x14ac:dyDescent="0.25">
      <c r="A3430" s="22">
        <v>2026</v>
      </c>
      <c r="B3430" s="28" t="s">
        <v>203</v>
      </c>
      <c r="C3430" s="28" t="s">
        <v>97</v>
      </c>
      <c r="D3430" s="28" t="s">
        <v>530</v>
      </c>
      <c r="E3430" s="29" t="s">
        <v>548</v>
      </c>
      <c r="F3430" s="29" t="s">
        <v>343</v>
      </c>
      <c r="G3430" s="25" t="s">
        <v>5124</v>
      </c>
      <c r="H3430" s="26">
        <v>-0.3755</v>
      </c>
      <c r="I3430" s="26"/>
      <c r="J3430" s="26" t="s">
        <v>512</v>
      </c>
      <c r="K3430" s="25" t="s">
        <v>513</v>
      </c>
    </row>
    <row r="3431" spans="1:11" ht="25.5" x14ac:dyDescent="0.25">
      <c r="A3431" s="22">
        <v>2026</v>
      </c>
      <c r="B3431" s="28" t="s">
        <v>203</v>
      </c>
      <c r="C3431" s="28" t="s">
        <v>97</v>
      </c>
      <c r="D3431" s="28" t="s">
        <v>530</v>
      </c>
      <c r="E3431" s="29" t="s">
        <v>548</v>
      </c>
      <c r="F3431" s="29" t="s">
        <v>343</v>
      </c>
      <c r="G3431" s="25" t="s">
        <v>5125</v>
      </c>
      <c r="H3431" s="26">
        <v>-0.23114999999999999</v>
      </c>
      <c r="I3431" s="26"/>
      <c r="J3431" s="26" t="s">
        <v>512</v>
      </c>
      <c r="K3431" s="25" t="s">
        <v>513</v>
      </c>
    </row>
    <row r="3432" spans="1:11" ht="25.5" x14ac:dyDescent="0.25">
      <c r="A3432" s="22">
        <v>2026</v>
      </c>
      <c r="B3432" s="28" t="s">
        <v>203</v>
      </c>
      <c r="C3432" s="28" t="s">
        <v>97</v>
      </c>
      <c r="D3432" s="28" t="s">
        <v>530</v>
      </c>
      <c r="E3432" s="29" t="s">
        <v>548</v>
      </c>
      <c r="F3432" s="29" t="s">
        <v>343</v>
      </c>
      <c r="G3432" s="25" t="s">
        <v>5126</v>
      </c>
      <c r="H3432" s="26">
        <v>-0.38850000000000001</v>
      </c>
      <c r="I3432" s="26"/>
      <c r="J3432" s="26" t="s">
        <v>512</v>
      </c>
      <c r="K3432" s="25" t="s">
        <v>513</v>
      </c>
    </row>
    <row r="3433" spans="1:11" ht="25.5" x14ac:dyDescent="0.25">
      <c r="A3433" s="22">
        <v>2026</v>
      </c>
      <c r="B3433" s="28" t="s">
        <v>203</v>
      </c>
      <c r="C3433" s="28" t="s">
        <v>97</v>
      </c>
      <c r="D3433" s="28" t="s">
        <v>530</v>
      </c>
      <c r="E3433" s="29" t="s">
        <v>548</v>
      </c>
      <c r="F3433" s="29" t="s">
        <v>343</v>
      </c>
      <c r="G3433" s="25" t="s">
        <v>5127</v>
      </c>
      <c r="H3433" s="26">
        <v>-0.15862000000000001</v>
      </c>
      <c r="I3433" s="26"/>
      <c r="J3433" s="26" t="s">
        <v>512</v>
      </c>
      <c r="K3433" s="25" t="s">
        <v>513</v>
      </c>
    </row>
    <row r="3434" spans="1:11" ht="25.5" x14ac:dyDescent="0.25">
      <c r="A3434" s="22">
        <v>2026</v>
      </c>
      <c r="B3434" s="28" t="s">
        <v>203</v>
      </c>
      <c r="C3434" s="28" t="s">
        <v>97</v>
      </c>
      <c r="D3434" s="28" t="s">
        <v>530</v>
      </c>
      <c r="E3434" s="29" t="s">
        <v>548</v>
      </c>
      <c r="F3434" s="29" t="s">
        <v>343</v>
      </c>
      <c r="G3434" s="25" t="s">
        <v>5128</v>
      </c>
      <c r="H3434" s="26">
        <v>-0.39179999999999998</v>
      </c>
      <c r="I3434" s="26"/>
      <c r="J3434" s="26" t="s">
        <v>512</v>
      </c>
      <c r="K3434" s="25" t="s">
        <v>513</v>
      </c>
    </row>
    <row r="3435" spans="1:11" ht="25.5" x14ac:dyDescent="0.25">
      <c r="A3435" s="22">
        <v>2026</v>
      </c>
      <c r="B3435" s="28" t="s">
        <v>203</v>
      </c>
      <c r="C3435" s="28" t="s">
        <v>97</v>
      </c>
      <c r="D3435" s="28" t="s">
        <v>530</v>
      </c>
      <c r="E3435" s="29" t="s">
        <v>548</v>
      </c>
      <c r="F3435" s="29" t="s">
        <v>343</v>
      </c>
      <c r="G3435" s="25" t="s">
        <v>5129</v>
      </c>
      <c r="H3435" s="26">
        <v>-0.55087584999999994</v>
      </c>
      <c r="I3435" s="26"/>
      <c r="J3435" s="26" t="s">
        <v>512</v>
      </c>
      <c r="K3435" s="25" t="s">
        <v>513</v>
      </c>
    </row>
    <row r="3436" spans="1:11" ht="25.5" x14ac:dyDescent="0.25">
      <c r="A3436" s="22">
        <v>2026</v>
      </c>
      <c r="B3436" s="28" t="s">
        <v>203</v>
      </c>
      <c r="C3436" s="28" t="s">
        <v>97</v>
      </c>
      <c r="D3436" s="28" t="s">
        <v>530</v>
      </c>
      <c r="E3436" s="29" t="s">
        <v>548</v>
      </c>
      <c r="F3436" s="29" t="s">
        <v>343</v>
      </c>
      <c r="G3436" s="25" t="s">
        <v>5130</v>
      </c>
      <c r="H3436" s="26">
        <v>-0.39319999999999999</v>
      </c>
      <c r="I3436" s="26"/>
      <c r="J3436" s="26" t="s">
        <v>512</v>
      </c>
      <c r="K3436" s="25" t="s">
        <v>513</v>
      </c>
    </row>
    <row r="3437" spans="1:11" ht="25.5" x14ac:dyDescent="0.25">
      <c r="A3437" s="22">
        <v>2026</v>
      </c>
      <c r="B3437" s="28" t="s">
        <v>203</v>
      </c>
      <c r="C3437" s="28" t="s">
        <v>97</v>
      </c>
      <c r="D3437" s="28" t="s">
        <v>530</v>
      </c>
      <c r="E3437" s="29" t="s">
        <v>548</v>
      </c>
      <c r="F3437" s="29" t="s">
        <v>343</v>
      </c>
      <c r="G3437" s="25" t="s">
        <v>5131</v>
      </c>
      <c r="H3437" s="26">
        <v>-0.54486984999999999</v>
      </c>
      <c r="I3437" s="26"/>
      <c r="J3437" s="26" t="s">
        <v>512</v>
      </c>
      <c r="K3437" s="25" t="s">
        <v>513</v>
      </c>
    </row>
    <row r="3438" spans="1:11" ht="25.5" x14ac:dyDescent="0.25">
      <c r="A3438" s="22">
        <v>2026</v>
      </c>
      <c r="B3438" s="28" t="s">
        <v>203</v>
      </c>
      <c r="C3438" s="28" t="s">
        <v>97</v>
      </c>
      <c r="D3438" s="28" t="s">
        <v>530</v>
      </c>
      <c r="E3438" s="29" t="s">
        <v>548</v>
      </c>
      <c r="F3438" s="29" t="s">
        <v>343</v>
      </c>
      <c r="G3438" s="25" t="s">
        <v>5132</v>
      </c>
      <c r="H3438" s="26">
        <v>-0.3846</v>
      </c>
      <c r="I3438" s="26"/>
      <c r="J3438" s="26" t="s">
        <v>512</v>
      </c>
      <c r="K3438" s="25" t="s">
        <v>513</v>
      </c>
    </row>
    <row r="3439" spans="1:11" ht="25.5" x14ac:dyDescent="0.25">
      <c r="A3439" s="22">
        <v>2026</v>
      </c>
      <c r="B3439" s="28" t="s">
        <v>203</v>
      </c>
      <c r="C3439" s="28" t="s">
        <v>97</v>
      </c>
      <c r="D3439" s="28" t="s">
        <v>530</v>
      </c>
      <c r="E3439" s="29" t="s">
        <v>548</v>
      </c>
      <c r="F3439" s="29" t="s">
        <v>343</v>
      </c>
      <c r="G3439" s="25" t="s">
        <v>5133</v>
      </c>
      <c r="H3439" s="26">
        <v>-0.38484499999999999</v>
      </c>
      <c r="I3439" s="26"/>
      <c r="J3439" s="26" t="s">
        <v>512</v>
      </c>
      <c r="K3439" s="25" t="s">
        <v>513</v>
      </c>
    </row>
    <row r="3440" spans="1:11" ht="25.5" x14ac:dyDescent="0.25">
      <c r="A3440" s="22">
        <v>2026</v>
      </c>
      <c r="B3440" s="28" t="s">
        <v>203</v>
      </c>
      <c r="C3440" s="28" t="s">
        <v>97</v>
      </c>
      <c r="D3440" s="28" t="s">
        <v>530</v>
      </c>
      <c r="E3440" s="29" t="s">
        <v>548</v>
      </c>
      <c r="F3440" s="29" t="s">
        <v>343</v>
      </c>
      <c r="G3440" s="25" t="s">
        <v>5134</v>
      </c>
      <c r="H3440" s="26">
        <v>-0.38280999999999998</v>
      </c>
      <c r="I3440" s="26"/>
      <c r="J3440" s="26" t="s">
        <v>512</v>
      </c>
      <c r="K3440" s="25" t="s">
        <v>513</v>
      </c>
    </row>
    <row r="3441" spans="1:11" ht="25.5" x14ac:dyDescent="0.25">
      <c r="A3441" s="22">
        <v>2026</v>
      </c>
      <c r="B3441" s="28" t="s">
        <v>203</v>
      </c>
      <c r="C3441" s="28" t="s">
        <v>97</v>
      </c>
      <c r="D3441" s="28" t="s">
        <v>530</v>
      </c>
      <c r="E3441" s="29" t="s">
        <v>548</v>
      </c>
      <c r="F3441" s="29" t="s">
        <v>343</v>
      </c>
      <c r="G3441" s="25" t="s">
        <v>5135</v>
      </c>
      <c r="H3441" s="26">
        <v>-0.22785</v>
      </c>
      <c r="I3441" s="26"/>
      <c r="J3441" s="26" t="s">
        <v>512</v>
      </c>
      <c r="K3441" s="25" t="s">
        <v>513</v>
      </c>
    </row>
    <row r="3442" spans="1:11" ht="25.5" x14ac:dyDescent="0.25">
      <c r="A3442" s="22">
        <v>2026</v>
      </c>
      <c r="B3442" s="28" t="s">
        <v>203</v>
      </c>
      <c r="C3442" s="28" t="s">
        <v>97</v>
      </c>
      <c r="D3442" s="28" t="s">
        <v>530</v>
      </c>
      <c r="E3442" s="29" t="s">
        <v>548</v>
      </c>
      <c r="F3442" s="29" t="s">
        <v>343</v>
      </c>
      <c r="G3442" s="25" t="s">
        <v>5136</v>
      </c>
      <c r="H3442" s="26">
        <v>-0.38274999999999998</v>
      </c>
      <c r="I3442" s="26"/>
      <c r="J3442" s="26" t="s">
        <v>512</v>
      </c>
      <c r="K3442" s="25" t="s">
        <v>513</v>
      </c>
    </row>
    <row r="3443" spans="1:11" ht="25.5" x14ac:dyDescent="0.25">
      <c r="A3443" s="22">
        <v>2026</v>
      </c>
      <c r="B3443" s="28" t="s">
        <v>203</v>
      </c>
      <c r="C3443" s="28" t="s">
        <v>97</v>
      </c>
      <c r="D3443" s="28" t="s">
        <v>541</v>
      </c>
      <c r="E3443" s="29" t="s">
        <v>572</v>
      </c>
      <c r="F3443" s="29" t="s">
        <v>298</v>
      </c>
      <c r="G3443" s="25" t="s">
        <v>5173</v>
      </c>
      <c r="H3443" s="26">
        <v>-0.92100000000000004</v>
      </c>
      <c r="I3443" s="26"/>
      <c r="J3443" s="26" t="s">
        <v>512</v>
      </c>
      <c r="K3443" s="25" t="s">
        <v>513</v>
      </c>
    </row>
    <row r="3444" spans="1:11" ht="25.5" x14ac:dyDescent="0.25">
      <c r="A3444" s="22">
        <v>2026</v>
      </c>
      <c r="B3444" s="28" t="s">
        <v>203</v>
      </c>
      <c r="C3444" s="28" t="s">
        <v>97</v>
      </c>
      <c r="D3444" s="28" t="s">
        <v>541</v>
      </c>
      <c r="E3444" s="29" t="s">
        <v>572</v>
      </c>
      <c r="F3444" s="29" t="s">
        <v>298</v>
      </c>
      <c r="G3444" s="25" t="s">
        <v>5174</v>
      </c>
      <c r="H3444" s="26">
        <v>-1.8531</v>
      </c>
      <c r="I3444" s="26"/>
      <c r="J3444" s="26" t="s">
        <v>512</v>
      </c>
      <c r="K3444" s="25" t="s">
        <v>513</v>
      </c>
    </row>
    <row r="3445" spans="1:11" ht="25.5" x14ac:dyDescent="0.25">
      <c r="A3445" s="22">
        <v>2026</v>
      </c>
      <c r="B3445" s="28" t="s">
        <v>203</v>
      </c>
      <c r="C3445" s="28" t="s">
        <v>97</v>
      </c>
      <c r="D3445" s="28" t="s">
        <v>541</v>
      </c>
      <c r="E3445" s="29" t="s">
        <v>572</v>
      </c>
      <c r="F3445" s="29" t="s">
        <v>298</v>
      </c>
      <c r="G3445" s="25" t="s">
        <v>5175</v>
      </c>
      <c r="H3445" s="26">
        <v>-2.75973355</v>
      </c>
      <c r="I3445" s="26"/>
      <c r="J3445" s="26" t="s">
        <v>512</v>
      </c>
      <c r="K3445" s="25" t="s">
        <v>513</v>
      </c>
    </row>
    <row r="3446" spans="1:11" ht="25.5" x14ac:dyDescent="0.25">
      <c r="A3446" s="22">
        <v>2026</v>
      </c>
      <c r="B3446" s="28" t="s">
        <v>203</v>
      </c>
      <c r="C3446" s="28" t="s">
        <v>97</v>
      </c>
      <c r="D3446" s="28" t="s">
        <v>541</v>
      </c>
      <c r="E3446" s="29" t="s">
        <v>572</v>
      </c>
      <c r="F3446" s="29" t="s">
        <v>298</v>
      </c>
      <c r="G3446" s="25" t="s">
        <v>5176</v>
      </c>
      <c r="H3446" s="26">
        <v>-0.76800000000000002</v>
      </c>
      <c r="I3446" s="26"/>
      <c r="J3446" s="26" t="s">
        <v>512</v>
      </c>
      <c r="K3446" s="25" t="s">
        <v>513</v>
      </c>
    </row>
    <row r="3447" spans="1:11" ht="25.5" x14ac:dyDescent="0.25">
      <c r="A3447" s="22">
        <v>2026</v>
      </c>
      <c r="B3447" s="28" t="s">
        <v>203</v>
      </c>
      <c r="C3447" s="28" t="s">
        <v>97</v>
      </c>
      <c r="D3447" s="28" t="s">
        <v>541</v>
      </c>
      <c r="E3447" s="29" t="s">
        <v>572</v>
      </c>
      <c r="F3447" s="29" t="s">
        <v>298</v>
      </c>
      <c r="G3447" s="25" t="s">
        <v>5177</v>
      </c>
      <c r="H3447" s="26">
        <v>-2.2214023199999997</v>
      </c>
      <c r="I3447" s="26"/>
      <c r="J3447" s="26" t="s">
        <v>512</v>
      </c>
      <c r="K3447" s="25" t="s">
        <v>513</v>
      </c>
    </row>
    <row r="3448" spans="1:11" ht="25.5" x14ac:dyDescent="0.25">
      <c r="A3448" s="22">
        <v>2026</v>
      </c>
      <c r="B3448" s="28" t="s">
        <v>203</v>
      </c>
      <c r="C3448" s="28" t="s">
        <v>97</v>
      </c>
      <c r="D3448" s="28" t="s">
        <v>541</v>
      </c>
      <c r="E3448" s="29" t="s">
        <v>572</v>
      </c>
      <c r="F3448" s="29" t="s">
        <v>298</v>
      </c>
      <c r="G3448" s="25" t="s">
        <v>5178</v>
      </c>
      <c r="H3448" s="26">
        <v>-0.63600000000000001</v>
      </c>
      <c r="I3448" s="26"/>
      <c r="J3448" s="26" t="s">
        <v>512</v>
      </c>
      <c r="K3448" s="25" t="s">
        <v>513</v>
      </c>
    </row>
    <row r="3449" spans="1:11" ht="25.5" x14ac:dyDescent="0.25">
      <c r="A3449" s="22">
        <v>2026</v>
      </c>
      <c r="B3449" s="28" t="s">
        <v>203</v>
      </c>
      <c r="C3449" s="28" t="s">
        <v>97</v>
      </c>
      <c r="D3449" s="28" t="s">
        <v>1695</v>
      </c>
      <c r="E3449" s="29" t="s">
        <v>1758</v>
      </c>
      <c r="F3449" s="29" t="s">
        <v>1759</v>
      </c>
      <c r="G3449" s="25" t="s">
        <v>5179</v>
      </c>
      <c r="H3449" s="26">
        <v>-2.6873125663999997</v>
      </c>
      <c r="I3449" s="26"/>
      <c r="J3449" s="26" t="s">
        <v>512</v>
      </c>
      <c r="K3449" s="25" t="s">
        <v>513</v>
      </c>
    </row>
    <row r="3450" spans="1:11" ht="25.5" x14ac:dyDescent="0.25">
      <c r="A3450" s="22">
        <v>2026</v>
      </c>
      <c r="B3450" s="28" t="s">
        <v>203</v>
      </c>
      <c r="C3450" s="28" t="s">
        <v>97</v>
      </c>
      <c r="D3450" s="28" t="s">
        <v>1695</v>
      </c>
      <c r="E3450" s="29" t="s">
        <v>1758</v>
      </c>
      <c r="F3450" s="29" t="s">
        <v>1759</v>
      </c>
      <c r="G3450" s="25" t="s">
        <v>5180</v>
      </c>
      <c r="H3450" s="26">
        <v>-3.5366399999999998</v>
      </c>
      <c r="I3450" s="26"/>
      <c r="J3450" s="26" t="s">
        <v>512</v>
      </c>
      <c r="K3450" s="25" t="s">
        <v>513</v>
      </c>
    </row>
    <row r="3451" spans="1:11" ht="25.5" x14ac:dyDescent="0.25">
      <c r="A3451" s="22">
        <v>2026</v>
      </c>
      <c r="B3451" s="28" t="s">
        <v>203</v>
      </c>
      <c r="C3451" s="28" t="s">
        <v>97</v>
      </c>
      <c r="D3451" s="28" t="s">
        <v>1695</v>
      </c>
      <c r="E3451" s="29" t="s">
        <v>1758</v>
      </c>
      <c r="F3451" s="29" t="s">
        <v>1759</v>
      </c>
      <c r="G3451" s="25" t="s">
        <v>5181</v>
      </c>
      <c r="H3451" s="26">
        <v>-3.0832000000000002</v>
      </c>
      <c r="I3451" s="26"/>
      <c r="J3451" s="26" t="s">
        <v>512</v>
      </c>
      <c r="K3451" s="25" t="s">
        <v>513</v>
      </c>
    </row>
    <row r="3452" spans="1:11" ht="25.5" x14ac:dyDescent="0.25">
      <c r="A3452" s="22">
        <v>2026</v>
      </c>
      <c r="B3452" s="28" t="s">
        <v>203</v>
      </c>
      <c r="C3452" s="28" t="s">
        <v>97</v>
      </c>
      <c r="D3452" s="28" t="s">
        <v>1695</v>
      </c>
      <c r="E3452" s="29" t="s">
        <v>1758</v>
      </c>
      <c r="F3452" s="29" t="s">
        <v>1759</v>
      </c>
      <c r="G3452" s="25" t="s">
        <v>5182</v>
      </c>
      <c r="H3452" s="26">
        <v>-3.0405000000000002</v>
      </c>
      <c r="I3452" s="26"/>
      <c r="J3452" s="26" t="s">
        <v>512</v>
      </c>
      <c r="K3452" s="25" t="s">
        <v>513</v>
      </c>
    </row>
    <row r="3453" spans="1:11" ht="25.5" x14ac:dyDescent="0.25">
      <c r="A3453" s="22">
        <v>2026</v>
      </c>
      <c r="B3453" s="28" t="s">
        <v>203</v>
      </c>
      <c r="C3453" s="28" t="s">
        <v>97</v>
      </c>
      <c r="D3453" s="28" t="s">
        <v>1695</v>
      </c>
      <c r="E3453" s="29" t="s">
        <v>1758</v>
      </c>
      <c r="F3453" s="29" t="s">
        <v>1759</v>
      </c>
      <c r="G3453" s="25" t="s">
        <v>5183</v>
      </c>
      <c r="H3453" s="26">
        <v>-0.8441060924999999</v>
      </c>
      <c r="I3453" s="26"/>
      <c r="J3453" s="26" t="s">
        <v>512</v>
      </c>
      <c r="K3453" s="25" t="s">
        <v>513</v>
      </c>
    </row>
    <row r="3454" spans="1:11" ht="25.5" x14ac:dyDescent="0.25">
      <c r="A3454" s="22">
        <v>2026</v>
      </c>
      <c r="B3454" s="28" t="s">
        <v>203</v>
      </c>
      <c r="C3454" s="28" t="s">
        <v>97</v>
      </c>
      <c r="D3454" s="28" t="s">
        <v>1696</v>
      </c>
      <c r="E3454" s="29" t="s">
        <v>1760</v>
      </c>
      <c r="F3454" s="29" t="s">
        <v>343</v>
      </c>
      <c r="G3454" s="25" t="s">
        <v>5184</v>
      </c>
      <c r="H3454" s="26">
        <v>-3.481627398E-2</v>
      </c>
      <c r="I3454" s="26"/>
      <c r="J3454" s="26" t="s">
        <v>512</v>
      </c>
      <c r="K3454" s="25" t="s">
        <v>513</v>
      </c>
    </row>
    <row r="3455" spans="1:11" ht="25.5" x14ac:dyDescent="0.25">
      <c r="A3455" s="22">
        <v>2026</v>
      </c>
      <c r="B3455" s="28" t="s">
        <v>203</v>
      </c>
      <c r="C3455" s="28" t="s">
        <v>97</v>
      </c>
      <c r="D3455" s="28" t="s">
        <v>1696</v>
      </c>
      <c r="E3455" s="29" t="s">
        <v>1760</v>
      </c>
      <c r="F3455" s="29" t="s">
        <v>343</v>
      </c>
      <c r="G3455" s="25" t="s">
        <v>5185</v>
      </c>
      <c r="H3455" s="26">
        <v>-3.2849999999999997E-2</v>
      </c>
      <c r="I3455" s="26"/>
      <c r="J3455" s="26" t="s">
        <v>512</v>
      </c>
      <c r="K3455" s="25" t="s">
        <v>513</v>
      </c>
    </row>
    <row r="3456" spans="1:11" ht="25.5" x14ac:dyDescent="0.25">
      <c r="A3456" s="22">
        <v>2026</v>
      </c>
      <c r="B3456" s="28" t="s">
        <v>203</v>
      </c>
      <c r="C3456" s="28" t="s">
        <v>97</v>
      </c>
      <c r="D3456" s="28" t="s">
        <v>1696</v>
      </c>
      <c r="E3456" s="29" t="s">
        <v>1760</v>
      </c>
      <c r="F3456" s="29" t="s">
        <v>343</v>
      </c>
      <c r="G3456" s="25" t="s">
        <v>5186</v>
      </c>
      <c r="H3456" s="26">
        <v>-2.9234970000000002E-2</v>
      </c>
      <c r="I3456" s="26"/>
      <c r="J3456" s="26" t="s">
        <v>512</v>
      </c>
      <c r="K3456" s="25" t="s">
        <v>513</v>
      </c>
    </row>
    <row r="3457" spans="1:11" ht="25.5" x14ac:dyDescent="0.25">
      <c r="A3457" s="22">
        <v>2026</v>
      </c>
      <c r="B3457" s="28" t="s">
        <v>203</v>
      </c>
      <c r="C3457" s="28" t="s">
        <v>97</v>
      </c>
      <c r="D3457" s="28" t="s">
        <v>1696</v>
      </c>
      <c r="E3457" s="29" t="s">
        <v>1760</v>
      </c>
      <c r="F3457" s="29" t="s">
        <v>343</v>
      </c>
      <c r="G3457" s="25" t="s">
        <v>5187</v>
      </c>
      <c r="H3457" s="26">
        <v>-4.1465000000000002E-2</v>
      </c>
      <c r="I3457" s="26"/>
      <c r="J3457" s="26" t="s">
        <v>512</v>
      </c>
      <c r="K3457" s="25" t="s">
        <v>513</v>
      </c>
    </row>
    <row r="3458" spans="1:11" ht="25.5" x14ac:dyDescent="0.25">
      <c r="A3458" s="22">
        <v>2026</v>
      </c>
      <c r="B3458" s="28" t="s">
        <v>203</v>
      </c>
      <c r="C3458" s="28" t="s">
        <v>97</v>
      </c>
      <c r="D3458" s="28" t="s">
        <v>1696</v>
      </c>
      <c r="E3458" s="29" t="s">
        <v>1760</v>
      </c>
      <c r="F3458" s="29" t="s">
        <v>343</v>
      </c>
      <c r="G3458" s="25" t="s">
        <v>5188</v>
      </c>
      <c r="H3458" s="26">
        <v>-1.438412184E-2</v>
      </c>
      <c r="I3458" s="26"/>
      <c r="J3458" s="26" t="s">
        <v>512</v>
      </c>
      <c r="K3458" s="25" t="s">
        <v>513</v>
      </c>
    </row>
    <row r="3459" spans="1:11" ht="25.5" x14ac:dyDescent="0.25">
      <c r="A3459" s="22">
        <v>2026</v>
      </c>
      <c r="B3459" s="28" t="s">
        <v>203</v>
      </c>
      <c r="C3459" s="28" t="s">
        <v>97</v>
      </c>
      <c r="D3459" s="28" t="s">
        <v>1696</v>
      </c>
      <c r="E3459" s="29" t="s">
        <v>1760</v>
      </c>
      <c r="F3459" s="29" t="s">
        <v>343</v>
      </c>
      <c r="G3459" s="25" t="s">
        <v>5189</v>
      </c>
      <c r="H3459" s="26">
        <v>-1.9013459399999998E-2</v>
      </c>
      <c r="I3459" s="26"/>
      <c r="J3459" s="26" t="s">
        <v>512</v>
      </c>
      <c r="K3459" s="25" t="s">
        <v>513</v>
      </c>
    </row>
    <row r="3460" spans="1:11" ht="25.5" x14ac:dyDescent="0.25">
      <c r="A3460" s="22">
        <v>2026</v>
      </c>
      <c r="B3460" s="28" t="s">
        <v>203</v>
      </c>
      <c r="C3460" s="28" t="s">
        <v>97</v>
      </c>
      <c r="D3460" s="28" t="s">
        <v>1696</v>
      </c>
      <c r="E3460" s="29" t="s">
        <v>1760</v>
      </c>
      <c r="F3460" s="29" t="s">
        <v>343</v>
      </c>
      <c r="G3460" s="25" t="s">
        <v>5190</v>
      </c>
      <c r="H3460" s="26">
        <v>-4.050349248E-2</v>
      </c>
      <c r="I3460" s="26"/>
      <c r="J3460" s="26" t="s">
        <v>512</v>
      </c>
      <c r="K3460" s="25" t="s">
        <v>513</v>
      </c>
    </row>
    <row r="3461" spans="1:11" ht="25.5" x14ac:dyDescent="0.25">
      <c r="A3461" s="22">
        <v>2026</v>
      </c>
      <c r="B3461" s="28" t="s">
        <v>203</v>
      </c>
      <c r="C3461" s="28" t="s">
        <v>97</v>
      </c>
      <c r="D3461" s="28" t="s">
        <v>1696</v>
      </c>
      <c r="E3461" s="29" t="s">
        <v>1760</v>
      </c>
      <c r="F3461" s="29" t="s">
        <v>343</v>
      </c>
      <c r="G3461" s="25" t="s">
        <v>5191</v>
      </c>
      <c r="H3461" s="26">
        <v>-3.4989430000000002E-2</v>
      </c>
      <c r="I3461" s="26"/>
      <c r="J3461" s="26" t="s">
        <v>512</v>
      </c>
      <c r="K3461" s="25" t="s">
        <v>513</v>
      </c>
    </row>
    <row r="3462" spans="1:11" ht="25.5" x14ac:dyDescent="0.25">
      <c r="A3462" s="22">
        <v>2026</v>
      </c>
      <c r="B3462" s="28" t="s">
        <v>203</v>
      </c>
      <c r="C3462" s="28" t="s">
        <v>97</v>
      </c>
      <c r="D3462" s="28" t="s">
        <v>1696</v>
      </c>
      <c r="E3462" s="29" t="s">
        <v>1760</v>
      </c>
      <c r="F3462" s="29" t="s">
        <v>343</v>
      </c>
      <c r="G3462" s="25" t="s">
        <v>5192</v>
      </c>
      <c r="H3462" s="26">
        <v>-2.8174793099999998E-2</v>
      </c>
      <c r="I3462" s="26"/>
      <c r="J3462" s="26" t="s">
        <v>512</v>
      </c>
      <c r="K3462" s="25" t="s">
        <v>513</v>
      </c>
    </row>
    <row r="3463" spans="1:11" ht="25.5" x14ac:dyDescent="0.25">
      <c r="A3463" s="22">
        <v>2026</v>
      </c>
      <c r="B3463" s="28" t="s">
        <v>203</v>
      </c>
      <c r="C3463" s="28" t="s">
        <v>97</v>
      </c>
      <c r="D3463" s="28" t="s">
        <v>1696</v>
      </c>
      <c r="E3463" s="29" t="s">
        <v>1760</v>
      </c>
      <c r="F3463" s="29" t="s">
        <v>343</v>
      </c>
      <c r="G3463" s="25" t="s">
        <v>5193</v>
      </c>
      <c r="H3463" s="26">
        <v>-2.7554010019999998E-2</v>
      </c>
      <c r="I3463" s="26"/>
      <c r="J3463" s="26" t="s">
        <v>512</v>
      </c>
      <c r="K3463" s="25" t="s">
        <v>513</v>
      </c>
    </row>
    <row r="3464" spans="1:11" ht="25.5" x14ac:dyDescent="0.25">
      <c r="A3464" s="22">
        <v>2026</v>
      </c>
      <c r="B3464" s="28" t="s">
        <v>203</v>
      </c>
      <c r="C3464" s="28" t="s">
        <v>97</v>
      </c>
      <c r="D3464" s="28" t="s">
        <v>1696</v>
      </c>
      <c r="E3464" s="29" t="s">
        <v>1760</v>
      </c>
      <c r="F3464" s="29" t="s">
        <v>343</v>
      </c>
      <c r="G3464" s="25" t="s">
        <v>5194</v>
      </c>
      <c r="H3464" s="26">
        <v>-2.7439999999999999E-2</v>
      </c>
      <c r="I3464" s="26"/>
      <c r="J3464" s="26" t="s">
        <v>512</v>
      </c>
      <c r="K3464" s="25" t="s">
        <v>513</v>
      </c>
    </row>
    <row r="3465" spans="1:11" ht="25.5" x14ac:dyDescent="0.25">
      <c r="A3465" s="22">
        <v>2026</v>
      </c>
      <c r="B3465" s="28" t="s">
        <v>203</v>
      </c>
      <c r="C3465" s="28" t="s">
        <v>97</v>
      </c>
      <c r="D3465" s="28" t="s">
        <v>1696</v>
      </c>
      <c r="E3465" s="29" t="s">
        <v>1760</v>
      </c>
      <c r="F3465" s="29" t="s">
        <v>343</v>
      </c>
      <c r="G3465" s="25" t="s">
        <v>5195</v>
      </c>
      <c r="H3465" s="26">
        <v>-5.1299999999999998E-2</v>
      </c>
      <c r="I3465" s="26"/>
      <c r="J3465" s="26" t="s">
        <v>512</v>
      </c>
      <c r="K3465" s="25" t="s">
        <v>513</v>
      </c>
    </row>
    <row r="3466" spans="1:11" ht="25.5" x14ac:dyDescent="0.25">
      <c r="A3466" s="22">
        <v>2026</v>
      </c>
      <c r="B3466" s="28" t="s">
        <v>203</v>
      </c>
      <c r="C3466" s="28" t="s">
        <v>97</v>
      </c>
      <c r="D3466" s="28" t="s">
        <v>1697</v>
      </c>
      <c r="E3466" s="29" t="s">
        <v>1761</v>
      </c>
      <c r="F3466" s="29" t="s">
        <v>386</v>
      </c>
      <c r="G3466" s="25" t="s">
        <v>5196</v>
      </c>
      <c r="H3466" s="26">
        <v>-7.0199999999999999E-2</v>
      </c>
      <c r="I3466" s="26"/>
      <c r="J3466" s="26" t="s">
        <v>512</v>
      </c>
      <c r="K3466" s="25" t="s">
        <v>513</v>
      </c>
    </row>
    <row r="3467" spans="1:11" ht="25.5" x14ac:dyDescent="0.25">
      <c r="A3467" s="22">
        <v>2026</v>
      </c>
      <c r="B3467" s="28" t="s">
        <v>203</v>
      </c>
      <c r="C3467" s="28" t="s">
        <v>97</v>
      </c>
      <c r="D3467" s="28" t="s">
        <v>1697</v>
      </c>
      <c r="E3467" s="29" t="s">
        <v>1761</v>
      </c>
      <c r="F3467" s="29" t="s">
        <v>386</v>
      </c>
      <c r="G3467" s="25" t="s">
        <v>5197</v>
      </c>
      <c r="H3467" s="26">
        <v>-4.6486799999999995E-2</v>
      </c>
      <c r="I3467" s="26"/>
      <c r="J3467" s="26" t="s">
        <v>512</v>
      </c>
      <c r="K3467" s="25" t="s">
        <v>513</v>
      </c>
    </row>
    <row r="3468" spans="1:11" ht="25.5" x14ac:dyDescent="0.25">
      <c r="A3468" s="22">
        <v>2026</v>
      </c>
      <c r="B3468" s="28" t="s">
        <v>203</v>
      </c>
      <c r="C3468" s="28" t="s">
        <v>97</v>
      </c>
      <c r="D3468" s="28" t="s">
        <v>1697</v>
      </c>
      <c r="E3468" s="29" t="s">
        <v>1761</v>
      </c>
      <c r="F3468" s="29" t="s">
        <v>386</v>
      </c>
      <c r="G3468" s="25" t="s">
        <v>5198</v>
      </c>
      <c r="H3468" s="26">
        <v>-3.9109794849999997E-2</v>
      </c>
      <c r="I3468" s="26"/>
      <c r="J3468" s="26" t="s">
        <v>512</v>
      </c>
      <c r="K3468" s="25" t="s">
        <v>513</v>
      </c>
    </row>
    <row r="3469" spans="1:11" ht="25.5" x14ac:dyDescent="0.25">
      <c r="A3469" s="22">
        <v>2026</v>
      </c>
      <c r="B3469" s="28" t="s">
        <v>203</v>
      </c>
      <c r="C3469" s="28" t="s">
        <v>97</v>
      </c>
      <c r="D3469" s="28" t="s">
        <v>1697</v>
      </c>
      <c r="E3469" s="29" t="s">
        <v>1761</v>
      </c>
      <c r="F3469" s="29" t="s">
        <v>386</v>
      </c>
      <c r="G3469" s="25" t="s">
        <v>5199</v>
      </c>
      <c r="H3469" s="26">
        <v>-4.8000000000000001E-2</v>
      </c>
      <c r="I3469" s="26"/>
      <c r="J3469" s="26" t="s">
        <v>512</v>
      </c>
      <c r="K3469" s="25" t="s">
        <v>513</v>
      </c>
    </row>
    <row r="3470" spans="1:11" ht="25.5" x14ac:dyDescent="0.25">
      <c r="A3470" s="22">
        <v>2026</v>
      </c>
      <c r="B3470" s="28" t="s">
        <v>203</v>
      </c>
      <c r="C3470" s="28" t="s">
        <v>97</v>
      </c>
      <c r="D3470" s="28" t="s">
        <v>1697</v>
      </c>
      <c r="E3470" s="29" t="s">
        <v>1761</v>
      </c>
      <c r="F3470" s="29" t="s">
        <v>386</v>
      </c>
      <c r="G3470" s="25" t="s">
        <v>5200</v>
      </c>
      <c r="H3470" s="26">
        <v>-4.7300000000000009E-2</v>
      </c>
      <c r="I3470" s="26"/>
      <c r="J3470" s="26" t="s">
        <v>512</v>
      </c>
      <c r="K3470" s="25" t="s">
        <v>513</v>
      </c>
    </row>
    <row r="3471" spans="1:11" ht="25.5" x14ac:dyDescent="0.25">
      <c r="A3471" s="22">
        <v>2026</v>
      </c>
      <c r="B3471" s="28" t="s">
        <v>203</v>
      </c>
      <c r="C3471" s="28" t="s">
        <v>97</v>
      </c>
      <c r="D3471" s="28" t="s">
        <v>1697</v>
      </c>
      <c r="E3471" s="29" t="s">
        <v>1761</v>
      </c>
      <c r="F3471" s="29" t="s">
        <v>386</v>
      </c>
      <c r="G3471" s="25" t="s">
        <v>5199</v>
      </c>
      <c r="H3471" s="26">
        <v>-4.8000000000000001E-2</v>
      </c>
      <c r="I3471" s="26"/>
      <c r="J3471" s="26" t="s">
        <v>512</v>
      </c>
      <c r="K3471" s="25" t="s">
        <v>513</v>
      </c>
    </row>
    <row r="3472" spans="1:11" ht="25.5" x14ac:dyDescent="0.25">
      <c r="A3472" s="22">
        <v>2026</v>
      </c>
      <c r="B3472" s="28" t="s">
        <v>203</v>
      </c>
      <c r="C3472" s="28" t="s">
        <v>97</v>
      </c>
      <c r="D3472" s="28" t="s">
        <v>1697</v>
      </c>
      <c r="E3472" s="29" t="s">
        <v>1761</v>
      </c>
      <c r="F3472" s="29" t="s">
        <v>386</v>
      </c>
      <c r="G3472" s="25" t="s">
        <v>5201</v>
      </c>
      <c r="H3472" s="26">
        <v>-0.236285</v>
      </c>
      <c r="I3472" s="26"/>
      <c r="J3472" s="26" t="s">
        <v>512</v>
      </c>
      <c r="K3472" s="25" t="s">
        <v>513</v>
      </c>
    </row>
    <row r="3473" spans="1:11" ht="25.5" x14ac:dyDescent="0.25">
      <c r="A3473" s="22">
        <v>2026</v>
      </c>
      <c r="B3473" s="28" t="s">
        <v>203</v>
      </c>
      <c r="C3473" s="28" t="s">
        <v>97</v>
      </c>
      <c r="D3473" s="28" t="s">
        <v>1697</v>
      </c>
      <c r="E3473" s="29" t="s">
        <v>1761</v>
      </c>
      <c r="F3473" s="29" t="s">
        <v>386</v>
      </c>
      <c r="G3473" s="25" t="s">
        <v>3690</v>
      </c>
      <c r="H3473" s="26">
        <v>-0.11899999999999999</v>
      </c>
      <c r="I3473" s="26"/>
      <c r="J3473" s="26" t="s">
        <v>512</v>
      </c>
      <c r="K3473" s="25" t="s">
        <v>513</v>
      </c>
    </row>
    <row r="3474" spans="1:11" ht="25.5" x14ac:dyDescent="0.25">
      <c r="A3474" s="22">
        <v>2026</v>
      </c>
      <c r="B3474" s="28" t="s">
        <v>203</v>
      </c>
      <c r="C3474" s="28" t="s">
        <v>97</v>
      </c>
      <c r="D3474" s="28" t="s">
        <v>1697</v>
      </c>
      <c r="E3474" s="29" t="s">
        <v>1761</v>
      </c>
      <c r="F3474" s="29" t="s">
        <v>386</v>
      </c>
      <c r="G3474" s="25" t="s">
        <v>5202</v>
      </c>
      <c r="H3474" s="26">
        <v>-0.19197439999999999</v>
      </c>
      <c r="I3474" s="26"/>
      <c r="J3474" s="26" t="s">
        <v>512</v>
      </c>
      <c r="K3474" s="25" t="s">
        <v>513</v>
      </c>
    </row>
    <row r="3475" spans="1:11" ht="25.5" x14ac:dyDescent="0.25">
      <c r="A3475" s="22">
        <v>2026</v>
      </c>
      <c r="B3475" s="28" t="s">
        <v>203</v>
      </c>
      <c r="C3475" s="28" t="s">
        <v>97</v>
      </c>
      <c r="D3475" s="28" t="s">
        <v>1697</v>
      </c>
      <c r="E3475" s="29" t="s">
        <v>1761</v>
      </c>
      <c r="F3475" s="29" t="s">
        <v>386</v>
      </c>
      <c r="G3475" s="25" t="s">
        <v>5203</v>
      </c>
      <c r="H3475" s="26">
        <v>-0.12095</v>
      </c>
      <c r="I3475" s="26"/>
      <c r="J3475" s="26" t="s">
        <v>512</v>
      </c>
      <c r="K3475" s="25" t="s">
        <v>513</v>
      </c>
    </row>
    <row r="3476" spans="1:11" ht="25.5" x14ac:dyDescent="0.25">
      <c r="A3476" s="22">
        <v>2026</v>
      </c>
      <c r="B3476" s="28" t="s">
        <v>203</v>
      </c>
      <c r="C3476" s="28" t="s">
        <v>97</v>
      </c>
      <c r="D3476" s="28" t="s">
        <v>1697</v>
      </c>
      <c r="E3476" s="29" t="s">
        <v>1761</v>
      </c>
      <c r="F3476" s="29" t="s">
        <v>386</v>
      </c>
      <c r="G3476" s="25" t="s">
        <v>5204</v>
      </c>
      <c r="H3476" s="26">
        <v>-5.7841132480000008E-2</v>
      </c>
      <c r="I3476" s="26"/>
      <c r="J3476" s="26" t="s">
        <v>512</v>
      </c>
      <c r="K3476" s="25" t="s">
        <v>513</v>
      </c>
    </row>
    <row r="3477" spans="1:11" ht="25.5" x14ac:dyDescent="0.25">
      <c r="A3477" s="22">
        <v>2026</v>
      </c>
      <c r="B3477" s="28" t="s">
        <v>203</v>
      </c>
      <c r="C3477" s="28" t="s">
        <v>97</v>
      </c>
      <c r="D3477" s="28" t="s">
        <v>1697</v>
      </c>
      <c r="E3477" s="29" t="s">
        <v>1761</v>
      </c>
      <c r="F3477" s="29" t="s">
        <v>386</v>
      </c>
      <c r="G3477" s="25" t="s">
        <v>5205</v>
      </c>
      <c r="H3477" s="26">
        <v>-0.12225750000000001</v>
      </c>
      <c r="I3477" s="26"/>
      <c r="J3477" s="26" t="s">
        <v>512</v>
      </c>
      <c r="K3477" s="25" t="s">
        <v>513</v>
      </c>
    </row>
    <row r="3478" spans="1:11" ht="25.5" x14ac:dyDescent="0.25">
      <c r="A3478" s="22">
        <v>2026</v>
      </c>
      <c r="B3478" s="28" t="s">
        <v>203</v>
      </c>
      <c r="C3478" s="28" t="s">
        <v>97</v>
      </c>
      <c r="D3478" s="28" t="s">
        <v>1697</v>
      </c>
      <c r="E3478" s="29" t="s">
        <v>1761</v>
      </c>
      <c r="F3478" s="29" t="s">
        <v>386</v>
      </c>
      <c r="G3478" s="25" t="s">
        <v>5206</v>
      </c>
      <c r="H3478" s="26">
        <v>-0.17099249999999999</v>
      </c>
      <c r="I3478" s="26"/>
      <c r="J3478" s="26" t="s">
        <v>512</v>
      </c>
      <c r="K3478" s="25" t="s">
        <v>513</v>
      </c>
    </row>
    <row r="3479" spans="1:11" ht="25.5" x14ac:dyDescent="0.25">
      <c r="A3479" s="22">
        <v>2026</v>
      </c>
      <c r="B3479" s="28" t="s">
        <v>203</v>
      </c>
      <c r="C3479" s="28" t="s">
        <v>97</v>
      </c>
      <c r="D3479" s="28" t="s">
        <v>1697</v>
      </c>
      <c r="E3479" s="29" t="s">
        <v>1761</v>
      </c>
      <c r="F3479" s="29" t="s">
        <v>386</v>
      </c>
      <c r="G3479" s="25" t="s">
        <v>5207</v>
      </c>
      <c r="H3479" s="26">
        <v>-0.12156649999999999</v>
      </c>
      <c r="I3479" s="26"/>
      <c r="J3479" s="26" t="s">
        <v>512</v>
      </c>
      <c r="K3479" s="25" t="s">
        <v>513</v>
      </c>
    </row>
    <row r="3480" spans="1:11" ht="25.5" x14ac:dyDescent="0.25">
      <c r="A3480" s="22">
        <v>2026</v>
      </c>
      <c r="B3480" s="28" t="s">
        <v>203</v>
      </c>
      <c r="C3480" s="28" t="s">
        <v>97</v>
      </c>
      <c r="D3480" s="28" t="s">
        <v>1697</v>
      </c>
      <c r="E3480" s="29" t="s">
        <v>1761</v>
      </c>
      <c r="F3480" s="29" t="s">
        <v>386</v>
      </c>
      <c r="G3480" s="25" t="s">
        <v>5208</v>
      </c>
      <c r="H3480" s="26">
        <v>-5.0690900279999999E-2</v>
      </c>
      <c r="I3480" s="26"/>
      <c r="J3480" s="26" t="s">
        <v>512</v>
      </c>
      <c r="K3480" s="25" t="s">
        <v>513</v>
      </c>
    </row>
    <row r="3481" spans="1:11" ht="25.5" x14ac:dyDescent="0.25">
      <c r="A3481" s="22">
        <v>2026</v>
      </c>
      <c r="B3481" s="28" t="s">
        <v>203</v>
      </c>
      <c r="C3481" s="28" t="s">
        <v>97</v>
      </c>
      <c r="D3481" s="28" t="s">
        <v>1697</v>
      </c>
      <c r="E3481" s="29" t="s">
        <v>1761</v>
      </c>
      <c r="F3481" s="29" t="s">
        <v>386</v>
      </c>
      <c r="G3481" s="25" t="s">
        <v>5209</v>
      </c>
      <c r="H3481" s="26">
        <v>-9.1881634879999993E-2</v>
      </c>
      <c r="I3481" s="26"/>
      <c r="J3481" s="26" t="s">
        <v>512</v>
      </c>
      <c r="K3481" s="25" t="s">
        <v>513</v>
      </c>
    </row>
    <row r="3482" spans="1:11" ht="25.5" x14ac:dyDescent="0.25">
      <c r="A3482" s="22">
        <v>2026</v>
      </c>
      <c r="B3482" s="28" t="s">
        <v>203</v>
      </c>
      <c r="C3482" s="28" t="s">
        <v>97</v>
      </c>
      <c r="D3482" s="28" t="s">
        <v>1697</v>
      </c>
      <c r="E3482" s="29" t="s">
        <v>1761</v>
      </c>
      <c r="F3482" s="29" t="s">
        <v>386</v>
      </c>
      <c r="G3482" s="25" t="s">
        <v>5210</v>
      </c>
      <c r="H3482" s="26">
        <v>-1.4220000000000001E-3</v>
      </c>
      <c r="I3482" s="26"/>
      <c r="J3482" s="26" t="s">
        <v>512</v>
      </c>
      <c r="K3482" s="25" t="s">
        <v>513</v>
      </c>
    </row>
    <row r="3483" spans="1:11" ht="25.5" x14ac:dyDescent="0.25">
      <c r="A3483" s="22">
        <v>2026</v>
      </c>
      <c r="B3483" s="28" t="s">
        <v>203</v>
      </c>
      <c r="C3483" s="28" t="s">
        <v>97</v>
      </c>
      <c r="D3483" s="28" t="s">
        <v>1697</v>
      </c>
      <c r="E3483" s="29" t="s">
        <v>1761</v>
      </c>
      <c r="F3483" s="29" t="s">
        <v>386</v>
      </c>
      <c r="G3483" s="25" t="s">
        <v>5211</v>
      </c>
      <c r="H3483" s="26">
        <v>-0.16533510000000001</v>
      </c>
      <c r="I3483" s="26"/>
      <c r="J3483" s="26" t="s">
        <v>512</v>
      </c>
      <c r="K3483" s="25" t="s">
        <v>513</v>
      </c>
    </row>
    <row r="3484" spans="1:11" ht="25.5" x14ac:dyDescent="0.25">
      <c r="A3484" s="22">
        <v>2026</v>
      </c>
      <c r="B3484" s="28" t="s">
        <v>203</v>
      </c>
      <c r="C3484" s="28" t="s">
        <v>97</v>
      </c>
      <c r="D3484" s="28" t="s">
        <v>1697</v>
      </c>
      <c r="E3484" s="29" t="s">
        <v>1761</v>
      </c>
      <c r="F3484" s="29" t="s">
        <v>386</v>
      </c>
      <c r="G3484" s="25" t="s">
        <v>5212</v>
      </c>
      <c r="H3484" s="26">
        <v>-9.3041704209999992E-2</v>
      </c>
      <c r="I3484" s="26"/>
      <c r="J3484" s="26" t="s">
        <v>512</v>
      </c>
      <c r="K3484" s="25" t="s">
        <v>513</v>
      </c>
    </row>
    <row r="3485" spans="1:11" ht="25.5" x14ac:dyDescent="0.25">
      <c r="A3485" s="22">
        <v>2026</v>
      </c>
      <c r="B3485" s="28" t="s">
        <v>203</v>
      </c>
      <c r="C3485" s="28" t="s">
        <v>97</v>
      </c>
      <c r="D3485" s="28" t="s">
        <v>1698</v>
      </c>
      <c r="E3485" s="29" t="s">
        <v>315</v>
      </c>
      <c r="F3485" s="29" t="s">
        <v>298</v>
      </c>
      <c r="G3485" s="25" t="s">
        <v>5213</v>
      </c>
      <c r="H3485" s="26">
        <v>-1.2259</v>
      </c>
      <c r="I3485" s="26"/>
      <c r="J3485" s="26" t="s">
        <v>512</v>
      </c>
      <c r="K3485" s="25" t="s">
        <v>513</v>
      </c>
    </row>
    <row r="3486" spans="1:11" ht="25.5" x14ac:dyDescent="0.25">
      <c r="A3486" s="22">
        <v>2026</v>
      </c>
      <c r="B3486" s="28" t="s">
        <v>203</v>
      </c>
      <c r="C3486" s="28" t="s">
        <v>97</v>
      </c>
      <c r="D3486" s="28" t="s">
        <v>1698</v>
      </c>
      <c r="E3486" s="29" t="s">
        <v>315</v>
      </c>
      <c r="F3486" s="29" t="s">
        <v>298</v>
      </c>
      <c r="G3486" s="25" t="s">
        <v>5214</v>
      </c>
      <c r="H3486" s="26">
        <v>-0.686504</v>
      </c>
      <c r="I3486" s="26"/>
      <c r="J3486" s="26" t="s">
        <v>512</v>
      </c>
      <c r="K3486" s="25" t="s">
        <v>513</v>
      </c>
    </row>
    <row r="3487" spans="1:11" ht="25.5" x14ac:dyDescent="0.25">
      <c r="A3487" s="22">
        <v>2026</v>
      </c>
      <c r="B3487" s="28" t="s">
        <v>203</v>
      </c>
      <c r="C3487" s="28" t="s">
        <v>97</v>
      </c>
      <c r="D3487" s="28" t="s">
        <v>1698</v>
      </c>
      <c r="E3487" s="29" t="s">
        <v>315</v>
      </c>
      <c r="F3487" s="29" t="s">
        <v>298</v>
      </c>
      <c r="G3487" s="25" t="s">
        <v>5215</v>
      </c>
      <c r="H3487" s="26">
        <v>-1.0359060000000002</v>
      </c>
      <c r="I3487" s="26"/>
      <c r="J3487" s="26" t="s">
        <v>512</v>
      </c>
      <c r="K3487" s="25" t="s">
        <v>513</v>
      </c>
    </row>
    <row r="3488" spans="1:11" ht="25.5" x14ac:dyDescent="0.25">
      <c r="A3488" s="22">
        <v>2026</v>
      </c>
      <c r="B3488" s="28" t="s">
        <v>203</v>
      </c>
      <c r="C3488" s="28" t="s">
        <v>97</v>
      </c>
      <c r="D3488" s="28" t="s">
        <v>1698</v>
      </c>
      <c r="E3488" s="29" t="s">
        <v>315</v>
      </c>
      <c r="F3488" s="29" t="s">
        <v>298</v>
      </c>
      <c r="G3488" s="25" t="s">
        <v>5216</v>
      </c>
      <c r="H3488" s="26">
        <v>-0.31424999999999997</v>
      </c>
      <c r="I3488" s="26"/>
      <c r="J3488" s="26" t="s">
        <v>512</v>
      </c>
      <c r="K3488" s="25" t="s">
        <v>513</v>
      </c>
    </row>
    <row r="3489" spans="1:11" ht="25.5" x14ac:dyDescent="0.25">
      <c r="A3489" s="22">
        <v>2026</v>
      </c>
      <c r="B3489" s="28" t="s">
        <v>203</v>
      </c>
      <c r="C3489" s="28" t="s">
        <v>97</v>
      </c>
      <c r="D3489" s="28" t="s">
        <v>1698</v>
      </c>
      <c r="E3489" s="29" t="s">
        <v>315</v>
      </c>
      <c r="F3489" s="29" t="s">
        <v>298</v>
      </c>
      <c r="G3489" s="25" t="s">
        <v>5217</v>
      </c>
      <c r="H3489" s="26">
        <v>-1.5089999999999999</v>
      </c>
      <c r="I3489" s="26"/>
      <c r="J3489" s="26" t="s">
        <v>512</v>
      </c>
      <c r="K3489" s="25" t="s">
        <v>513</v>
      </c>
    </row>
    <row r="3490" spans="1:11" ht="25.5" x14ac:dyDescent="0.25">
      <c r="A3490" s="22">
        <v>2026</v>
      </c>
      <c r="B3490" s="28" t="s">
        <v>203</v>
      </c>
      <c r="C3490" s="28" t="s">
        <v>97</v>
      </c>
      <c r="D3490" s="28" t="s">
        <v>1698</v>
      </c>
      <c r="E3490" s="29" t="s">
        <v>315</v>
      </c>
      <c r="F3490" s="29" t="s">
        <v>298</v>
      </c>
      <c r="G3490" s="25" t="s">
        <v>5218</v>
      </c>
      <c r="H3490" s="26">
        <v>-0.34699049999999998</v>
      </c>
      <c r="I3490" s="26"/>
      <c r="J3490" s="26" t="s">
        <v>512</v>
      </c>
      <c r="K3490" s="25" t="s">
        <v>513</v>
      </c>
    </row>
    <row r="3491" spans="1:11" ht="25.5" x14ac:dyDescent="0.25">
      <c r="A3491" s="22">
        <v>2026</v>
      </c>
      <c r="B3491" s="28" t="s">
        <v>203</v>
      </c>
      <c r="C3491" s="28" t="s">
        <v>97</v>
      </c>
      <c r="D3491" s="28" t="s">
        <v>1698</v>
      </c>
      <c r="E3491" s="29" t="s">
        <v>315</v>
      </c>
      <c r="F3491" s="29" t="s">
        <v>298</v>
      </c>
      <c r="G3491" s="25" t="s">
        <v>5219</v>
      </c>
      <c r="H3491" s="26">
        <v>-0.71727600000000002</v>
      </c>
      <c r="I3491" s="26"/>
      <c r="J3491" s="26" t="s">
        <v>512</v>
      </c>
      <c r="K3491" s="25" t="s">
        <v>513</v>
      </c>
    </row>
    <row r="3492" spans="1:11" ht="25.5" x14ac:dyDescent="0.25">
      <c r="A3492" s="22">
        <v>2026</v>
      </c>
      <c r="B3492" s="28" t="s">
        <v>203</v>
      </c>
      <c r="C3492" s="28" t="s">
        <v>97</v>
      </c>
      <c r="D3492" s="28" t="s">
        <v>1698</v>
      </c>
      <c r="E3492" s="29" t="s">
        <v>315</v>
      </c>
      <c r="F3492" s="29" t="s">
        <v>298</v>
      </c>
      <c r="G3492" s="25" t="s">
        <v>5220</v>
      </c>
      <c r="H3492" s="26">
        <v>-0.38275500000000001</v>
      </c>
      <c r="I3492" s="26"/>
      <c r="J3492" s="26" t="s">
        <v>512</v>
      </c>
      <c r="K3492" s="25" t="s">
        <v>513</v>
      </c>
    </row>
    <row r="3493" spans="1:11" ht="25.5" x14ac:dyDescent="0.25">
      <c r="A3493" s="22">
        <v>2026</v>
      </c>
      <c r="B3493" s="28" t="s">
        <v>203</v>
      </c>
      <c r="C3493" s="28" t="s">
        <v>97</v>
      </c>
      <c r="D3493" s="28" t="s">
        <v>1698</v>
      </c>
      <c r="E3493" s="29" t="s">
        <v>315</v>
      </c>
      <c r="F3493" s="29" t="s">
        <v>298</v>
      </c>
      <c r="G3493" s="25" t="s">
        <v>5221</v>
      </c>
      <c r="H3493" s="26">
        <v>-0.56396999999999997</v>
      </c>
      <c r="I3493" s="26"/>
      <c r="J3493" s="26" t="s">
        <v>512</v>
      </c>
      <c r="K3493" s="25" t="s">
        <v>513</v>
      </c>
    </row>
    <row r="3494" spans="1:11" ht="25.5" x14ac:dyDescent="0.25">
      <c r="A3494" s="22">
        <v>2026</v>
      </c>
      <c r="B3494" s="28" t="s">
        <v>203</v>
      </c>
      <c r="C3494" s="28" t="s">
        <v>97</v>
      </c>
      <c r="D3494" s="28" t="s">
        <v>1698</v>
      </c>
      <c r="E3494" s="29" t="s">
        <v>315</v>
      </c>
      <c r="F3494" s="29" t="s">
        <v>298</v>
      </c>
      <c r="G3494" s="25" t="s">
        <v>5222</v>
      </c>
      <c r="H3494" s="26">
        <v>-0.63832500000000003</v>
      </c>
      <c r="I3494" s="26"/>
      <c r="J3494" s="26" t="s">
        <v>512</v>
      </c>
      <c r="K3494" s="25" t="s">
        <v>513</v>
      </c>
    </row>
    <row r="3495" spans="1:11" ht="25.5" x14ac:dyDescent="0.25">
      <c r="A3495" s="22">
        <v>2026</v>
      </c>
      <c r="B3495" s="28" t="s">
        <v>203</v>
      </c>
      <c r="C3495" s="28" t="s">
        <v>97</v>
      </c>
      <c r="D3495" s="28" t="s">
        <v>1698</v>
      </c>
      <c r="E3495" s="29" t="s">
        <v>315</v>
      </c>
      <c r="F3495" s="29" t="s">
        <v>298</v>
      </c>
      <c r="G3495" s="25" t="s">
        <v>5223</v>
      </c>
      <c r="H3495" s="26">
        <v>-0.53724300000000003</v>
      </c>
      <c r="I3495" s="26"/>
      <c r="J3495" s="26" t="s">
        <v>512</v>
      </c>
      <c r="K3495" s="25" t="s">
        <v>513</v>
      </c>
    </row>
    <row r="3496" spans="1:11" ht="25.5" x14ac:dyDescent="0.25">
      <c r="A3496" s="22">
        <v>2026</v>
      </c>
      <c r="B3496" s="28" t="s">
        <v>203</v>
      </c>
      <c r="C3496" s="28" t="s">
        <v>97</v>
      </c>
      <c r="D3496" s="28" t="s">
        <v>180</v>
      </c>
      <c r="E3496" s="29" t="s">
        <v>315</v>
      </c>
      <c r="F3496" s="29" t="s">
        <v>316</v>
      </c>
      <c r="G3496" s="25" t="s">
        <v>5224</v>
      </c>
      <c r="H3496" s="26">
        <v>-0.17449999999999999</v>
      </c>
      <c r="I3496" s="26"/>
      <c r="J3496" s="26" t="s">
        <v>512</v>
      </c>
      <c r="K3496" s="25" t="s">
        <v>513</v>
      </c>
    </row>
    <row r="3497" spans="1:11" ht="25.5" x14ac:dyDescent="0.25">
      <c r="A3497" s="22">
        <v>2026</v>
      </c>
      <c r="B3497" s="28" t="s">
        <v>203</v>
      </c>
      <c r="C3497" s="28" t="s">
        <v>97</v>
      </c>
      <c r="D3497" s="28" t="s">
        <v>180</v>
      </c>
      <c r="E3497" s="29" t="s">
        <v>315</v>
      </c>
      <c r="F3497" s="29" t="s">
        <v>316</v>
      </c>
      <c r="G3497" s="25" t="s">
        <v>5225</v>
      </c>
      <c r="H3497" s="26">
        <v>-0.21732499999999999</v>
      </c>
      <c r="I3497" s="26"/>
      <c r="J3497" s="26" t="s">
        <v>512</v>
      </c>
      <c r="K3497" s="25" t="s">
        <v>513</v>
      </c>
    </row>
    <row r="3498" spans="1:11" ht="25.5" x14ac:dyDescent="0.25">
      <c r="A3498" s="22">
        <v>2026</v>
      </c>
      <c r="B3498" s="28" t="s">
        <v>203</v>
      </c>
      <c r="C3498" s="28" t="s">
        <v>97</v>
      </c>
      <c r="D3498" s="28" t="s">
        <v>180</v>
      </c>
      <c r="E3498" s="29" t="s">
        <v>315</v>
      </c>
      <c r="F3498" s="29" t="s">
        <v>316</v>
      </c>
      <c r="G3498" s="25" t="s">
        <v>5226</v>
      </c>
      <c r="H3498" s="26">
        <v>-0.17396</v>
      </c>
      <c r="I3498" s="26"/>
      <c r="J3498" s="26" t="s">
        <v>512</v>
      </c>
      <c r="K3498" s="25" t="s">
        <v>513</v>
      </c>
    </row>
    <row r="3499" spans="1:11" ht="25.5" x14ac:dyDescent="0.25">
      <c r="A3499" s="22">
        <v>2026</v>
      </c>
      <c r="B3499" s="28" t="s">
        <v>203</v>
      </c>
      <c r="C3499" s="28" t="s">
        <v>97</v>
      </c>
      <c r="D3499" s="28" t="s">
        <v>1699</v>
      </c>
      <c r="E3499" s="29" t="s">
        <v>331</v>
      </c>
      <c r="F3499" s="29" t="s">
        <v>1762</v>
      </c>
      <c r="G3499" s="25" t="s">
        <v>5227</v>
      </c>
      <c r="H3499" s="26">
        <v>-0.24238170719999996</v>
      </c>
      <c r="I3499" s="26"/>
      <c r="J3499" s="26" t="s">
        <v>512</v>
      </c>
      <c r="K3499" s="25" t="s">
        <v>513</v>
      </c>
    </row>
    <row r="3500" spans="1:11" ht="25.5" x14ac:dyDescent="0.25">
      <c r="A3500" s="22">
        <v>2026</v>
      </c>
      <c r="B3500" s="28" t="s">
        <v>203</v>
      </c>
      <c r="C3500" s="28" t="s">
        <v>97</v>
      </c>
      <c r="D3500" s="28" t="s">
        <v>1699</v>
      </c>
      <c r="E3500" s="29" t="s">
        <v>331</v>
      </c>
      <c r="F3500" s="29" t="s">
        <v>1762</v>
      </c>
      <c r="G3500" s="25" t="s">
        <v>5228</v>
      </c>
      <c r="H3500" s="26">
        <v>-0.17754508799999999</v>
      </c>
      <c r="I3500" s="26"/>
      <c r="J3500" s="26" t="s">
        <v>512</v>
      </c>
      <c r="K3500" s="25" t="s">
        <v>513</v>
      </c>
    </row>
    <row r="3501" spans="1:11" ht="25.5" x14ac:dyDescent="0.25">
      <c r="A3501" s="22">
        <v>2026</v>
      </c>
      <c r="B3501" s="28" t="s">
        <v>203</v>
      </c>
      <c r="C3501" s="28" t="s">
        <v>97</v>
      </c>
      <c r="D3501" s="28" t="s">
        <v>1699</v>
      </c>
      <c r="E3501" s="29" t="s">
        <v>331</v>
      </c>
      <c r="F3501" s="29" t="s">
        <v>1762</v>
      </c>
      <c r="G3501" s="25" t="s">
        <v>5229</v>
      </c>
      <c r="H3501" s="26">
        <v>-9.7494653100000009E-2</v>
      </c>
      <c r="I3501" s="26"/>
      <c r="J3501" s="26" t="s">
        <v>512</v>
      </c>
      <c r="K3501" s="25" t="s">
        <v>513</v>
      </c>
    </row>
    <row r="3502" spans="1:11" ht="25.5" x14ac:dyDescent="0.25">
      <c r="A3502" s="22">
        <v>2026</v>
      </c>
      <c r="B3502" s="28" t="s">
        <v>203</v>
      </c>
      <c r="C3502" s="28" t="s">
        <v>97</v>
      </c>
      <c r="D3502" s="28" t="s">
        <v>1699</v>
      </c>
      <c r="E3502" s="29" t="s">
        <v>331</v>
      </c>
      <c r="F3502" s="29" t="s">
        <v>1762</v>
      </c>
      <c r="G3502" s="25" t="s">
        <v>5230</v>
      </c>
      <c r="H3502" s="26">
        <v>-0.14070389999999999</v>
      </c>
      <c r="I3502" s="26"/>
      <c r="J3502" s="26" t="s">
        <v>512</v>
      </c>
      <c r="K3502" s="25" t="s">
        <v>513</v>
      </c>
    </row>
    <row r="3503" spans="1:11" ht="25.5" x14ac:dyDescent="0.25">
      <c r="A3503" s="22">
        <v>2026</v>
      </c>
      <c r="B3503" s="28" t="s">
        <v>203</v>
      </c>
      <c r="C3503" s="28" t="s">
        <v>97</v>
      </c>
      <c r="D3503" s="28" t="s">
        <v>1699</v>
      </c>
      <c r="E3503" s="29" t="s">
        <v>331</v>
      </c>
      <c r="F3503" s="29" t="s">
        <v>1762</v>
      </c>
      <c r="G3503" s="25" t="s">
        <v>5231</v>
      </c>
      <c r="H3503" s="26">
        <v>-0.16941139199999999</v>
      </c>
      <c r="I3503" s="26"/>
      <c r="J3503" s="26" t="s">
        <v>512</v>
      </c>
      <c r="K3503" s="25" t="s">
        <v>513</v>
      </c>
    </row>
    <row r="3504" spans="1:11" ht="25.5" x14ac:dyDescent="0.25">
      <c r="A3504" s="22">
        <v>2026</v>
      </c>
      <c r="B3504" s="28" t="s">
        <v>203</v>
      </c>
      <c r="C3504" s="28" t="s">
        <v>97</v>
      </c>
      <c r="D3504" s="28" t="s">
        <v>1699</v>
      </c>
      <c r="E3504" s="29" t="s">
        <v>331</v>
      </c>
      <c r="F3504" s="29" t="s">
        <v>1762</v>
      </c>
      <c r="G3504" s="25" t="s">
        <v>5232</v>
      </c>
      <c r="H3504" s="26">
        <v>-0.10779150139999999</v>
      </c>
      <c r="I3504" s="26"/>
      <c r="J3504" s="26" t="s">
        <v>512</v>
      </c>
      <c r="K3504" s="25" t="s">
        <v>513</v>
      </c>
    </row>
    <row r="3505" spans="1:11" ht="25.5" x14ac:dyDescent="0.25">
      <c r="A3505" s="22">
        <v>2026</v>
      </c>
      <c r="B3505" s="28" t="s">
        <v>203</v>
      </c>
      <c r="C3505" s="28" t="s">
        <v>97</v>
      </c>
      <c r="D3505" s="28" t="s">
        <v>1699</v>
      </c>
      <c r="E3505" s="29" t="s">
        <v>331</v>
      </c>
      <c r="F3505" s="29" t="s">
        <v>1762</v>
      </c>
      <c r="G3505" s="25" t="s">
        <v>5233</v>
      </c>
      <c r="H3505" s="26">
        <v>-8.0982594000000001E-3</v>
      </c>
      <c r="I3505" s="26"/>
      <c r="J3505" s="26" t="s">
        <v>512</v>
      </c>
      <c r="K3505" s="25" t="s">
        <v>513</v>
      </c>
    </row>
    <row r="3506" spans="1:11" ht="25.5" x14ac:dyDescent="0.25">
      <c r="A3506" s="22">
        <v>2026</v>
      </c>
      <c r="B3506" s="28" t="s">
        <v>203</v>
      </c>
      <c r="C3506" s="28" t="s">
        <v>97</v>
      </c>
      <c r="D3506" s="28" t="s">
        <v>1699</v>
      </c>
      <c r="E3506" s="29" t="s">
        <v>331</v>
      </c>
      <c r="F3506" s="29" t="s">
        <v>1762</v>
      </c>
      <c r="G3506" s="25" t="s">
        <v>5234</v>
      </c>
      <c r="H3506" s="26">
        <v>-0.13964764000000002</v>
      </c>
      <c r="I3506" s="26"/>
      <c r="J3506" s="26" t="s">
        <v>512</v>
      </c>
      <c r="K3506" s="25" t="s">
        <v>513</v>
      </c>
    </row>
    <row r="3507" spans="1:11" ht="25.5" x14ac:dyDescent="0.25">
      <c r="A3507" s="22">
        <v>2026</v>
      </c>
      <c r="B3507" s="28" t="s">
        <v>203</v>
      </c>
      <c r="C3507" s="28" t="s">
        <v>97</v>
      </c>
      <c r="D3507" s="28" t="s">
        <v>1699</v>
      </c>
      <c r="E3507" s="29" t="s">
        <v>331</v>
      </c>
      <c r="F3507" s="29" t="s">
        <v>1762</v>
      </c>
      <c r="G3507" s="25" t="s">
        <v>5235</v>
      </c>
      <c r="H3507" s="26">
        <v>-0.10570008940000002</v>
      </c>
      <c r="I3507" s="26"/>
      <c r="J3507" s="26" t="s">
        <v>512</v>
      </c>
      <c r="K3507" s="25" t="s">
        <v>513</v>
      </c>
    </row>
    <row r="3508" spans="1:11" ht="25.5" x14ac:dyDescent="0.25">
      <c r="A3508" s="22">
        <v>2026</v>
      </c>
      <c r="B3508" s="28" t="s">
        <v>203</v>
      </c>
      <c r="C3508" s="28" t="s">
        <v>97</v>
      </c>
      <c r="D3508" s="28" t="s">
        <v>1699</v>
      </c>
      <c r="E3508" s="29" t="s">
        <v>331</v>
      </c>
      <c r="F3508" s="29" t="s">
        <v>1762</v>
      </c>
      <c r="G3508" s="25" t="s">
        <v>5236</v>
      </c>
      <c r="H3508" s="26">
        <v>-9.4567263999999998E-2</v>
      </c>
      <c r="I3508" s="26"/>
      <c r="J3508" s="26" t="s">
        <v>512</v>
      </c>
      <c r="K3508" s="25" t="s">
        <v>513</v>
      </c>
    </row>
    <row r="3509" spans="1:11" ht="25.5" x14ac:dyDescent="0.25">
      <c r="A3509" s="22">
        <v>2026</v>
      </c>
      <c r="B3509" s="28" t="s">
        <v>203</v>
      </c>
      <c r="C3509" s="28" t="s">
        <v>97</v>
      </c>
      <c r="D3509" s="28" t="s">
        <v>1700</v>
      </c>
      <c r="E3509" s="29" t="s">
        <v>331</v>
      </c>
      <c r="F3509" s="29" t="s">
        <v>483</v>
      </c>
      <c r="G3509" s="25" t="s">
        <v>5237</v>
      </c>
      <c r="H3509" s="26">
        <v>-0.13524</v>
      </c>
      <c r="I3509" s="26"/>
      <c r="J3509" s="26" t="s">
        <v>512</v>
      </c>
      <c r="K3509" s="25" t="s">
        <v>513</v>
      </c>
    </row>
    <row r="3510" spans="1:11" ht="25.5" x14ac:dyDescent="0.25">
      <c r="A3510" s="22">
        <v>2026</v>
      </c>
      <c r="B3510" s="28" t="s">
        <v>203</v>
      </c>
      <c r="C3510" s="28" t="s">
        <v>97</v>
      </c>
      <c r="D3510" s="28" t="s">
        <v>1700</v>
      </c>
      <c r="E3510" s="29" t="s">
        <v>331</v>
      </c>
      <c r="F3510" s="29" t="s">
        <v>483</v>
      </c>
      <c r="G3510" s="25" t="s">
        <v>5238</v>
      </c>
      <c r="H3510" s="26">
        <v>-0.13159999999999999</v>
      </c>
      <c r="I3510" s="26"/>
      <c r="J3510" s="26" t="s">
        <v>512</v>
      </c>
      <c r="K3510" s="25" t="s">
        <v>513</v>
      </c>
    </row>
    <row r="3511" spans="1:11" ht="25.5" x14ac:dyDescent="0.25">
      <c r="A3511" s="22">
        <v>2026</v>
      </c>
      <c r="B3511" s="28" t="s">
        <v>203</v>
      </c>
      <c r="C3511" s="28" t="s">
        <v>97</v>
      </c>
      <c r="D3511" s="28" t="s">
        <v>1700</v>
      </c>
      <c r="E3511" s="29" t="s">
        <v>331</v>
      </c>
      <c r="F3511" s="29" t="s">
        <v>483</v>
      </c>
      <c r="G3511" s="25" t="s">
        <v>3920</v>
      </c>
      <c r="H3511" s="26">
        <v>-0.13131999999999999</v>
      </c>
      <c r="I3511" s="26"/>
      <c r="J3511" s="26" t="s">
        <v>512</v>
      </c>
      <c r="K3511" s="25" t="s">
        <v>513</v>
      </c>
    </row>
    <row r="3512" spans="1:11" ht="25.5" x14ac:dyDescent="0.25">
      <c r="A3512" s="22">
        <v>2026</v>
      </c>
      <c r="B3512" s="28" t="s">
        <v>203</v>
      </c>
      <c r="C3512" s="28" t="s">
        <v>97</v>
      </c>
      <c r="D3512" s="28" t="s">
        <v>1700</v>
      </c>
      <c r="E3512" s="29" t="s">
        <v>331</v>
      </c>
      <c r="F3512" s="29" t="s">
        <v>483</v>
      </c>
      <c r="G3512" s="25" t="s">
        <v>5239</v>
      </c>
      <c r="H3512" s="26">
        <v>-0.13691999999999999</v>
      </c>
      <c r="I3512" s="26"/>
      <c r="J3512" s="26" t="s">
        <v>512</v>
      </c>
      <c r="K3512" s="25" t="s">
        <v>513</v>
      </c>
    </row>
    <row r="3513" spans="1:11" ht="25.5" x14ac:dyDescent="0.25">
      <c r="A3513" s="22">
        <v>2026</v>
      </c>
      <c r="B3513" s="28" t="s">
        <v>203</v>
      </c>
      <c r="C3513" s="28" t="s">
        <v>97</v>
      </c>
      <c r="D3513" s="28" t="s">
        <v>1700</v>
      </c>
      <c r="E3513" s="29" t="s">
        <v>331</v>
      </c>
      <c r="F3513" s="29" t="s">
        <v>483</v>
      </c>
      <c r="G3513" s="25" t="s">
        <v>5240</v>
      </c>
      <c r="H3513" s="26">
        <v>-0.1358</v>
      </c>
      <c r="I3513" s="26"/>
      <c r="J3513" s="26" t="s">
        <v>512</v>
      </c>
      <c r="K3513" s="25" t="s">
        <v>513</v>
      </c>
    </row>
    <row r="3514" spans="1:11" ht="25.5" x14ac:dyDescent="0.25">
      <c r="A3514" s="22">
        <v>2026</v>
      </c>
      <c r="B3514" s="28" t="s">
        <v>203</v>
      </c>
      <c r="C3514" s="28" t="s">
        <v>97</v>
      </c>
      <c r="D3514" s="28" t="s">
        <v>1700</v>
      </c>
      <c r="E3514" s="29" t="s">
        <v>331</v>
      </c>
      <c r="F3514" s="29" t="s">
        <v>483</v>
      </c>
      <c r="G3514" s="25" t="s">
        <v>5241</v>
      </c>
      <c r="H3514" s="26">
        <v>-0.13719999999999999</v>
      </c>
      <c r="I3514" s="26"/>
      <c r="J3514" s="26" t="s">
        <v>512</v>
      </c>
      <c r="K3514" s="25" t="s">
        <v>513</v>
      </c>
    </row>
    <row r="3515" spans="1:11" ht="25.5" x14ac:dyDescent="0.25">
      <c r="A3515" s="22">
        <v>2026</v>
      </c>
      <c r="B3515" s="28" t="s">
        <v>203</v>
      </c>
      <c r="C3515" s="28" t="s">
        <v>97</v>
      </c>
      <c r="D3515" s="28" t="s">
        <v>1700</v>
      </c>
      <c r="E3515" s="29" t="s">
        <v>331</v>
      </c>
      <c r="F3515" s="29" t="s">
        <v>483</v>
      </c>
      <c r="G3515" s="25" t="s">
        <v>5242</v>
      </c>
      <c r="H3515" s="26">
        <v>-0.13775999999999999</v>
      </c>
      <c r="I3515" s="26"/>
      <c r="J3515" s="26" t="s">
        <v>512</v>
      </c>
      <c r="K3515" s="25" t="s">
        <v>513</v>
      </c>
    </row>
    <row r="3516" spans="1:11" ht="25.5" x14ac:dyDescent="0.25">
      <c r="A3516" s="22">
        <v>2026</v>
      </c>
      <c r="B3516" s="28" t="s">
        <v>203</v>
      </c>
      <c r="C3516" s="28" t="s">
        <v>97</v>
      </c>
      <c r="D3516" s="28" t="s">
        <v>1700</v>
      </c>
      <c r="E3516" s="29" t="s">
        <v>331</v>
      </c>
      <c r="F3516" s="29" t="s">
        <v>483</v>
      </c>
      <c r="G3516" s="25" t="s">
        <v>3908</v>
      </c>
      <c r="H3516" s="26">
        <v>-0.13944000000000001</v>
      </c>
      <c r="I3516" s="26"/>
      <c r="J3516" s="26" t="s">
        <v>512</v>
      </c>
      <c r="K3516" s="25" t="s">
        <v>513</v>
      </c>
    </row>
    <row r="3517" spans="1:11" ht="25.5" x14ac:dyDescent="0.25">
      <c r="A3517" s="22">
        <v>2026</v>
      </c>
      <c r="B3517" s="28" t="s">
        <v>203</v>
      </c>
      <c r="C3517" s="28" t="s">
        <v>97</v>
      </c>
      <c r="D3517" s="28" t="s">
        <v>1700</v>
      </c>
      <c r="E3517" s="29" t="s">
        <v>331</v>
      </c>
      <c r="F3517" s="29" t="s">
        <v>483</v>
      </c>
      <c r="G3517" s="25" t="s">
        <v>5243</v>
      </c>
      <c r="H3517" s="26">
        <v>-0.19980000000000001</v>
      </c>
      <c r="I3517" s="26"/>
      <c r="J3517" s="26" t="s">
        <v>512</v>
      </c>
      <c r="K3517" s="25" t="s">
        <v>513</v>
      </c>
    </row>
    <row r="3518" spans="1:11" ht="25.5" x14ac:dyDescent="0.25">
      <c r="A3518" s="22">
        <v>2026</v>
      </c>
      <c r="B3518" s="28" t="s">
        <v>203</v>
      </c>
      <c r="C3518" s="28" t="s">
        <v>97</v>
      </c>
      <c r="D3518" s="28" t="s">
        <v>1700</v>
      </c>
      <c r="E3518" s="29" t="s">
        <v>331</v>
      </c>
      <c r="F3518" s="29" t="s">
        <v>483</v>
      </c>
      <c r="G3518" s="25" t="s">
        <v>5244</v>
      </c>
      <c r="H3518" s="26">
        <v>-0.20099999999999998</v>
      </c>
      <c r="I3518" s="26"/>
      <c r="J3518" s="26" t="s">
        <v>512</v>
      </c>
      <c r="K3518" s="25" t="s">
        <v>513</v>
      </c>
    </row>
    <row r="3519" spans="1:11" ht="25.5" x14ac:dyDescent="0.25">
      <c r="A3519" s="22">
        <v>2026</v>
      </c>
      <c r="B3519" s="28" t="s">
        <v>203</v>
      </c>
      <c r="C3519" s="28" t="s">
        <v>97</v>
      </c>
      <c r="D3519" s="28" t="s">
        <v>1700</v>
      </c>
      <c r="E3519" s="29" t="s">
        <v>331</v>
      </c>
      <c r="F3519" s="29" t="s">
        <v>483</v>
      </c>
      <c r="G3519" s="25" t="s">
        <v>5245</v>
      </c>
      <c r="H3519" s="26">
        <v>-0.10149999999999998</v>
      </c>
      <c r="I3519" s="26"/>
      <c r="J3519" s="26" t="s">
        <v>512</v>
      </c>
      <c r="K3519" s="25" t="s">
        <v>513</v>
      </c>
    </row>
    <row r="3520" spans="1:11" ht="25.5" x14ac:dyDescent="0.25">
      <c r="A3520" s="22">
        <v>2026</v>
      </c>
      <c r="B3520" s="28" t="s">
        <v>203</v>
      </c>
      <c r="C3520" s="28" t="s">
        <v>97</v>
      </c>
      <c r="D3520" s="28" t="s">
        <v>1700</v>
      </c>
      <c r="E3520" s="29" t="s">
        <v>331</v>
      </c>
      <c r="F3520" s="29" t="s">
        <v>483</v>
      </c>
      <c r="G3520" s="25" t="s">
        <v>5246</v>
      </c>
      <c r="H3520" s="26">
        <v>-0.20269999999999999</v>
      </c>
      <c r="I3520" s="26"/>
      <c r="J3520" s="26" t="s">
        <v>512</v>
      </c>
      <c r="K3520" s="25" t="s">
        <v>513</v>
      </c>
    </row>
    <row r="3521" spans="1:11" ht="25.5" x14ac:dyDescent="0.25">
      <c r="A3521" s="22">
        <v>2026</v>
      </c>
      <c r="B3521" s="28" t="s">
        <v>203</v>
      </c>
      <c r="C3521" s="28" t="s">
        <v>97</v>
      </c>
      <c r="D3521" s="28" t="s">
        <v>1700</v>
      </c>
      <c r="E3521" s="29" t="s">
        <v>331</v>
      </c>
      <c r="F3521" s="29" t="s">
        <v>483</v>
      </c>
      <c r="G3521" s="25" t="s">
        <v>5247</v>
      </c>
      <c r="H3521" s="26">
        <v>-0.20015999999999998</v>
      </c>
      <c r="I3521" s="26"/>
      <c r="J3521" s="26" t="s">
        <v>512</v>
      </c>
      <c r="K3521" s="25" t="s">
        <v>513</v>
      </c>
    </row>
    <row r="3522" spans="1:11" ht="25.5" x14ac:dyDescent="0.25">
      <c r="A3522" s="22">
        <v>2026</v>
      </c>
      <c r="B3522" s="28" t="s">
        <v>203</v>
      </c>
      <c r="C3522" s="28" t="s">
        <v>97</v>
      </c>
      <c r="D3522" s="28" t="s">
        <v>1700</v>
      </c>
      <c r="E3522" s="29" t="s">
        <v>331</v>
      </c>
      <c r="F3522" s="29" t="s">
        <v>483</v>
      </c>
      <c r="G3522" s="25" t="s">
        <v>5248</v>
      </c>
      <c r="H3522" s="26">
        <v>-0.20069999999999999</v>
      </c>
      <c r="I3522" s="26"/>
      <c r="J3522" s="26" t="s">
        <v>512</v>
      </c>
      <c r="K3522" s="25" t="s">
        <v>513</v>
      </c>
    </row>
    <row r="3523" spans="1:11" ht="25.5" x14ac:dyDescent="0.25">
      <c r="A3523" s="22">
        <v>2026</v>
      </c>
      <c r="B3523" s="28" t="s">
        <v>203</v>
      </c>
      <c r="C3523" s="28" t="s">
        <v>97</v>
      </c>
      <c r="D3523" s="28" t="s">
        <v>1700</v>
      </c>
      <c r="E3523" s="29" t="s">
        <v>331</v>
      </c>
      <c r="F3523" s="29" t="s">
        <v>483</v>
      </c>
      <c r="G3523" s="25" t="s">
        <v>5249</v>
      </c>
      <c r="H3523" s="26">
        <v>-0.19911999999999999</v>
      </c>
      <c r="I3523" s="26"/>
      <c r="J3523" s="26" t="s">
        <v>512</v>
      </c>
      <c r="K3523" s="25" t="s">
        <v>513</v>
      </c>
    </row>
    <row r="3524" spans="1:11" ht="25.5" x14ac:dyDescent="0.25">
      <c r="A3524" s="22">
        <v>2026</v>
      </c>
      <c r="B3524" s="28" t="s">
        <v>203</v>
      </c>
      <c r="C3524" s="28" t="s">
        <v>97</v>
      </c>
      <c r="D3524" s="28" t="s">
        <v>1700</v>
      </c>
      <c r="E3524" s="29" t="s">
        <v>331</v>
      </c>
      <c r="F3524" s="29" t="s">
        <v>483</v>
      </c>
      <c r="G3524" s="25" t="s">
        <v>5250</v>
      </c>
      <c r="H3524" s="26">
        <v>-0.19839999999999999</v>
      </c>
      <c r="I3524" s="26"/>
      <c r="J3524" s="26" t="s">
        <v>512</v>
      </c>
      <c r="K3524" s="25" t="s">
        <v>513</v>
      </c>
    </row>
    <row r="3525" spans="1:11" ht="25.5" x14ac:dyDescent="0.25">
      <c r="A3525" s="22">
        <v>2026</v>
      </c>
      <c r="B3525" s="28" t="s">
        <v>203</v>
      </c>
      <c r="C3525" s="28" t="s">
        <v>97</v>
      </c>
      <c r="D3525" s="28" t="s">
        <v>1700</v>
      </c>
      <c r="E3525" s="29" t="s">
        <v>331</v>
      </c>
      <c r="F3525" s="29" t="s">
        <v>483</v>
      </c>
      <c r="G3525" s="25" t="s">
        <v>5251</v>
      </c>
      <c r="H3525" s="26">
        <v>-0.19753999999999999</v>
      </c>
      <c r="I3525" s="26"/>
      <c r="J3525" s="26" t="s">
        <v>512</v>
      </c>
      <c r="K3525" s="25" t="s">
        <v>513</v>
      </c>
    </row>
    <row r="3526" spans="1:11" ht="25.5" x14ac:dyDescent="0.25">
      <c r="A3526" s="22">
        <v>2026</v>
      </c>
      <c r="B3526" s="28" t="s">
        <v>203</v>
      </c>
      <c r="C3526" s="28" t="s">
        <v>97</v>
      </c>
      <c r="D3526" s="28" t="s">
        <v>1700</v>
      </c>
      <c r="E3526" s="29" t="s">
        <v>331</v>
      </c>
      <c r="F3526" s="29" t="s">
        <v>483</v>
      </c>
      <c r="G3526" s="25" t="s">
        <v>5252</v>
      </c>
      <c r="H3526" s="26">
        <v>-0.19664000000000001</v>
      </c>
      <c r="I3526" s="26"/>
      <c r="J3526" s="26" t="s">
        <v>512</v>
      </c>
      <c r="K3526" s="25" t="s">
        <v>513</v>
      </c>
    </row>
    <row r="3527" spans="1:11" ht="25.5" x14ac:dyDescent="0.25">
      <c r="A3527" s="22">
        <v>2026</v>
      </c>
      <c r="B3527" s="28" t="s">
        <v>203</v>
      </c>
      <c r="C3527" s="28" t="s">
        <v>97</v>
      </c>
      <c r="D3527" s="28" t="s">
        <v>1700</v>
      </c>
      <c r="E3527" s="29" t="s">
        <v>331</v>
      </c>
      <c r="F3527" s="29" t="s">
        <v>483</v>
      </c>
      <c r="G3527" s="25" t="s">
        <v>5253</v>
      </c>
      <c r="H3527" s="26">
        <v>-0.19624</v>
      </c>
      <c r="I3527" s="26"/>
      <c r="J3527" s="26" t="s">
        <v>512</v>
      </c>
      <c r="K3527" s="25" t="s">
        <v>513</v>
      </c>
    </row>
    <row r="3528" spans="1:11" ht="25.5" x14ac:dyDescent="0.25">
      <c r="A3528" s="22">
        <v>2026</v>
      </c>
      <c r="B3528" s="28" t="s">
        <v>203</v>
      </c>
      <c r="C3528" s="28" t="s">
        <v>97</v>
      </c>
      <c r="D3528" s="28" t="s">
        <v>1700</v>
      </c>
      <c r="E3528" s="29" t="s">
        <v>331</v>
      </c>
      <c r="F3528" s="29" t="s">
        <v>483</v>
      </c>
      <c r="G3528" s="25" t="s">
        <v>5254</v>
      </c>
      <c r="H3528" s="26">
        <v>-0.1996</v>
      </c>
      <c r="I3528" s="26"/>
      <c r="J3528" s="26" t="s">
        <v>512</v>
      </c>
      <c r="K3528" s="25" t="s">
        <v>513</v>
      </c>
    </row>
    <row r="3529" spans="1:11" ht="25.5" x14ac:dyDescent="0.25">
      <c r="A3529" s="22">
        <v>2026</v>
      </c>
      <c r="B3529" s="28" t="s">
        <v>203</v>
      </c>
      <c r="C3529" s="28" t="s">
        <v>97</v>
      </c>
      <c r="D3529" s="28" t="s">
        <v>1701</v>
      </c>
      <c r="E3529" s="29" t="s">
        <v>331</v>
      </c>
      <c r="F3529" s="29" t="s">
        <v>566</v>
      </c>
      <c r="G3529" s="25" t="s">
        <v>5255</v>
      </c>
      <c r="H3529" s="26">
        <v>-1.3109249999999999</v>
      </c>
      <c r="I3529" s="26"/>
      <c r="J3529" s="26" t="s">
        <v>512</v>
      </c>
      <c r="K3529" s="25" t="s">
        <v>513</v>
      </c>
    </row>
    <row r="3530" spans="1:11" ht="25.5" x14ac:dyDescent="0.25">
      <c r="A3530" s="22">
        <v>2026</v>
      </c>
      <c r="B3530" s="28" t="s">
        <v>203</v>
      </c>
      <c r="C3530" s="28" t="s">
        <v>97</v>
      </c>
      <c r="D3530" s="28" t="s">
        <v>1701</v>
      </c>
      <c r="E3530" s="29" t="s">
        <v>331</v>
      </c>
      <c r="F3530" s="29" t="s">
        <v>566</v>
      </c>
      <c r="G3530" s="25" t="s">
        <v>5256</v>
      </c>
      <c r="H3530" s="26">
        <v>-1.7203200000000001</v>
      </c>
      <c r="I3530" s="26"/>
      <c r="J3530" s="26" t="s">
        <v>512</v>
      </c>
      <c r="K3530" s="25" t="s">
        <v>513</v>
      </c>
    </row>
    <row r="3531" spans="1:11" ht="25.5" x14ac:dyDescent="0.25">
      <c r="A3531" s="22">
        <v>2026</v>
      </c>
      <c r="B3531" s="28" t="s">
        <v>203</v>
      </c>
      <c r="C3531" s="28" t="s">
        <v>97</v>
      </c>
      <c r="D3531" s="28" t="s">
        <v>1701</v>
      </c>
      <c r="E3531" s="29" t="s">
        <v>331</v>
      </c>
      <c r="F3531" s="29" t="s">
        <v>566</v>
      </c>
      <c r="G3531" s="25" t="s">
        <v>5257</v>
      </c>
      <c r="H3531" s="26">
        <v>-1.7154199999999999</v>
      </c>
      <c r="I3531" s="26"/>
      <c r="J3531" s="26" t="s">
        <v>512</v>
      </c>
      <c r="K3531" s="25" t="s">
        <v>513</v>
      </c>
    </row>
    <row r="3532" spans="1:11" ht="25.5" x14ac:dyDescent="0.25">
      <c r="A3532" s="22">
        <v>2026</v>
      </c>
      <c r="B3532" s="28" t="s">
        <v>203</v>
      </c>
      <c r="C3532" s="28" t="s">
        <v>97</v>
      </c>
      <c r="D3532" s="28" t="s">
        <v>1701</v>
      </c>
      <c r="E3532" s="29" t="s">
        <v>331</v>
      </c>
      <c r="F3532" s="29" t="s">
        <v>566</v>
      </c>
      <c r="G3532" s="25" t="s">
        <v>5258</v>
      </c>
      <c r="H3532" s="26">
        <v>-1.2950965000000001</v>
      </c>
      <c r="I3532" s="26"/>
      <c r="J3532" s="26" t="s">
        <v>512</v>
      </c>
      <c r="K3532" s="25" t="s">
        <v>513</v>
      </c>
    </row>
    <row r="3533" spans="1:11" ht="25.5" x14ac:dyDescent="0.25">
      <c r="A3533" s="22">
        <v>2026</v>
      </c>
      <c r="B3533" s="28" t="s">
        <v>203</v>
      </c>
      <c r="C3533" s="28" t="s">
        <v>97</v>
      </c>
      <c r="D3533" s="28" t="s">
        <v>1701</v>
      </c>
      <c r="E3533" s="29" t="s">
        <v>331</v>
      </c>
      <c r="F3533" s="29" t="s">
        <v>566</v>
      </c>
      <c r="G3533" s="25" t="s">
        <v>5259</v>
      </c>
      <c r="H3533" s="26">
        <v>-1.3103100000000001</v>
      </c>
      <c r="I3533" s="26"/>
      <c r="J3533" s="26" t="s">
        <v>512</v>
      </c>
      <c r="K3533" s="25" t="s">
        <v>513</v>
      </c>
    </row>
    <row r="3534" spans="1:11" ht="25.5" x14ac:dyDescent="0.25">
      <c r="A3534" s="22">
        <v>2026</v>
      </c>
      <c r="B3534" s="28" t="s">
        <v>203</v>
      </c>
      <c r="C3534" s="28" t="s">
        <v>97</v>
      </c>
      <c r="D3534" s="28" t="s">
        <v>1701</v>
      </c>
      <c r="E3534" s="29" t="s">
        <v>331</v>
      </c>
      <c r="F3534" s="29" t="s">
        <v>566</v>
      </c>
      <c r="G3534" s="25" t="s">
        <v>5260</v>
      </c>
      <c r="H3534" s="26">
        <v>-1.7477</v>
      </c>
      <c r="I3534" s="26"/>
      <c r="J3534" s="26" t="s">
        <v>512</v>
      </c>
      <c r="K3534" s="25" t="s">
        <v>513</v>
      </c>
    </row>
    <row r="3535" spans="1:11" ht="25.5" x14ac:dyDescent="0.25">
      <c r="A3535" s="22">
        <v>2026</v>
      </c>
      <c r="B3535" s="28" t="s">
        <v>203</v>
      </c>
      <c r="C3535" s="28" t="s">
        <v>97</v>
      </c>
      <c r="D3535" s="28" t="s">
        <v>1701</v>
      </c>
      <c r="E3535" s="29" t="s">
        <v>331</v>
      </c>
      <c r="F3535" s="29" t="s">
        <v>566</v>
      </c>
      <c r="G3535" s="25" t="s">
        <v>5261</v>
      </c>
      <c r="H3535" s="26">
        <v>-1.08525</v>
      </c>
      <c r="I3535" s="26"/>
      <c r="J3535" s="26" t="s">
        <v>512</v>
      </c>
      <c r="K3535" s="25" t="s">
        <v>513</v>
      </c>
    </row>
    <row r="3536" spans="1:11" ht="25.5" x14ac:dyDescent="0.25">
      <c r="A3536" s="22">
        <v>2026</v>
      </c>
      <c r="B3536" s="28" t="s">
        <v>203</v>
      </c>
      <c r="C3536" s="28" t="s">
        <v>97</v>
      </c>
      <c r="D3536" s="28" t="s">
        <v>1701</v>
      </c>
      <c r="E3536" s="29" t="s">
        <v>331</v>
      </c>
      <c r="F3536" s="29" t="s">
        <v>566</v>
      </c>
      <c r="G3536" s="25" t="s">
        <v>5262</v>
      </c>
      <c r="H3536" s="26">
        <v>-1.7619</v>
      </c>
      <c r="I3536" s="26"/>
      <c r="J3536" s="26" t="s">
        <v>512</v>
      </c>
      <c r="K3536" s="25" t="s">
        <v>513</v>
      </c>
    </row>
    <row r="3537" spans="1:11" ht="25.5" x14ac:dyDescent="0.25">
      <c r="A3537" s="22">
        <v>2026</v>
      </c>
      <c r="B3537" s="28" t="s">
        <v>203</v>
      </c>
      <c r="C3537" s="28" t="s">
        <v>97</v>
      </c>
      <c r="D3537" s="28" t="s">
        <v>1701</v>
      </c>
      <c r="E3537" s="29" t="s">
        <v>331</v>
      </c>
      <c r="F3537" s="29" t="s">
        <v>566</v>
      </c>
      <c r="G3537" s="25" t="s">
        <v>5263</v>
      </c>
      <c r="H3537" s="26">
        <v>-1.7645999999999999</v>
      </c>
      <c r="I3537" s="26"/>
      <c r="J3537" s="26" t="s">
        <v>512</v>
      </c>
      <c r="K3537" s="25" t="s">
        <v>513</v>
      </c>
    </row>
    <row r="3538" spans="1:11" ht="25.5" x14ac:dyDescent="0.25">
      <c r="A3538" s="22">
        <v>2026</v>
      </c>
      <c r="B3538" s="28" t="s">
        <v>203</v>
      </c>
      <c r="C3538" s="28" t="s">
        <v>97</v>
      </c>
      <c r="D3538" s="28" t="s">
        <v>1701</v>
      </c>
      <c r="E3538" s="29" t="s">
        <v>331</v>
      </c>
      <c r="F3538" s="29" t="s">
        <v>566</v>
      </c>
      <c r="G3538" s="25" t="s">
        <v>5264</v>
      </c>
      <c r="H3538" s="26">
        <v>-1.365</v>
      </c>
      <c r="I3538" s="26"/>
      <c r="J3538" s="26" t="s">
        <v>512</v>
      </c>
      <c r="K3538" s="25" t="s">
        <v>513</v>
      </c>
    </row>
    <row r="3539" spans="1:11" ht="25.5" x14ac:dyDescent="0.25">
      <c r="A3539" s="22">
        <v>2026</v>
      </c>
      <c r="B3539" s="28" t="s">
        <v>203</v>
      </c>
      <c r="C3539" s="28" t="s">
        <v>97</v>
      </c>
      <c r="D3539" s="28" t="s">
        <v>1701</v>
      </c>
      <c r="E3539" s="29" t="s">
        <v>331</v>
      </c>
      <c r="F3539" s="29" t="s">
        <v>566</v>
      </c>
      <c r="G3539" s="25" t="s">
        <v>5265</v>
      </c>
      <c r="H3539" s="26">
        <v>-0.92044999999999999</v>
      </c>
      <c r="I3539" s="26"/>
      <c r="J3539" s="26" t="s">
        <v>512</v>
      </c>
      <c r="K3539" s="25" t="s">
        <v>513</v>
      </c>
    </row>
    <row r="3540" spans="1:11" ht="25.5" x14ac:dyDescent="0.25">
      <c r="A3540" s="22">
        <v>2026</v>
      </c>
      <c r="B3540" s="28" t="s">
        <v>203</v>
      </c>
      <c r="C3540" s="28" t="s">
        <v>97</v>
      </c>
      <c r="D3540" s="28" t="s">
        <v>1701</v>
      </c>
      <c r="E3540" s="29" t="s">
        <v>331</v>
      </c>
      <c r="F3540" s="29" t="s">
        <v>566</v>
      </c>
      <c r="G3540" s="25" t="s">
        <v>5266</v>
      </c>
      <c r="H3540" s="26">
        <v>-0.90700000000000003</v>
      </c>
      <c r="I3540" s="26"/>
      <c r="J3540" s="26" t="s">
        <v>512</v>
      </c>
      <c r="K3540" s="25" t="s">
        <v>513</v>
      </c>
    </row>
    <row r="3541" spans="1:11" ht="25.5" x14ac:dyDescent="0.25">
      <c r="A3541" s="22">
        <v>2026</v>
      </c>
      <c r="B3541" s="28" t="s">
        <v>203</v>
      </c>
      <c r="C3541" s="28" t="s">
        <v>97</v>
      </c>
      <c r="D3541" s="28" t="s">
        <v>1701</v>
      </c>
      <c r="E3541" s="29" t="s">
        <v>331</v>
      </c>
      <c r="F3541" s="29" t="s">
        <v>566</v>
      </c>
      <c r="G3541" s="25" t="s">
        <v>5267</v>
      </c>
      <c r="H3541" s="26">
        <v>-1.8251999999999999</v>
      </c>
      <c r="I3541" s="26"/>
      <c r="J3541" s="26" t="s">
        <v>512</v>
      </c>
      <c r="K3541" s="25" t="s">
        <v>513</v>
      </c>
    </row>
    <row r="3542" spans="1:11" ht="25.5" x14ac:dyDescent="0.25">
      <c r="A3542" s="22">
        <v>2026</v>
      </c>
      <c r="B3542" s="28" t="s">
        <v>203</v>
      </c>
      <c r="C3542" s="28" t="s">
        <v>97</v>
      </c>
      <c r="D3542" s="28" t="s">
        <v>1701</v>
      </c>
      <c r="E3542" s="29" t="s">
        <v>331</v>
      </c>
      <c r="F3542" s="29" t="s">
        <v>566</v>
      </c>
      <c r="G3542" s="25" t="s">
        <v>5266</v>
      </c>
      <c r="H3542" s="26">
        <v>-0.90700000000000003</v>
      </c>
      <c r="I3542" s="26"/>
      <c r="J3542" s="26" t="s">
        <v>512</v>
      </c>
      <c r="K3542" s="25" t="s">
        <v>513</v>
      </c>
    </row>
    <row r="3543" spans="1:11" ht="25.5" x14ac:dyDescent="0.25">
      <c r="A3543" s="22">
        <v>2026</v>
      </c>
      <c r="B3543" s="28" t="s">
        <v>203</v>
      </c>
      <c r="C3543" s="28" t="s">
        <v>97</v>
      </c>
      <c r="D3543" s="28" t="s">
        <v>1701</v>
      </c>
      <c r="E3543" s="29" t="s">
        <v>331</v>
      </c>
      <c r="F3543" s="29" t="s">
        <v>566</v>
      </c>
      <c r="G3543" s="25" t="s">
        <v>5268</v>
      </c>
      <c r="H3543" s="26">
        <v>-1.7989599999999999</v>
      </c>
      <c r="I3543" s="26"/>
      <c r="J3543" s="26" t="s">
        <v>512</v>
      </c>
      <c r="K3543" s="25" t="s">
        <v>513</v>
      </c>
    </row>
    <row r="3544" spans="1:11" ht="25.5" x14ac:dyDescent="0.25">
      <c r="A3544" s="22">
        <v>2026</v>
      </c>
      <c r="B3544" s="28" t="s">
        <v>203</v>
      </c>
      <c r="C3544" s="28" t="s">
        <v>97</v>
      </c>
      <c r="D3544" s="28" t="s">
        <v>1701</v>
      </c>
      <c r="E3544" s="29" t="s">
        <v>331</v>
      </c>
      <c r="F3544" s="29" t="s">
        <v>566</v>
      </c>
      <c r="G3544" s="25" t="s">
        <v>5269</v>
      </c>
      <c r="H3544" s="26">
        <v>-1.8263400000000001</v>
      </c>
      <c r="I3544" s="26"/>
      <c r="J3544" s="26" t="s">
        <v>512</v>
      </c>
      <c r="K3544" s="25" t="s">
        <v>513</v>
      </c>
    </row>
    <row r="3545" spans="1:11" ht="25.5" x14ac:dyDescent="0.25">
      <c r="A3545" s="22">
        <v>2026</v>
      </c>
      <c r="B3545" s="28" t="s">
        <v>203</v>
      </c>
      <c r="C3545" s="28" t="s">
        <v>97</v>
      </c>
      <c r="D3545" s="28" t="s">
        <v>1701</v>
      </c>
      <c r="E3545" s="29" t="s">
        <v>331</v>
      </c>
      <c r="F3545" s="29" t="s">
        <v>566</v>
      </c>
      <c r="G3545" s="25" t="s">
        <v>5270</v>
      </c>
      <c r="H3545" s="26">
        <v>-0.45300000000000001</v>
      </c>
      <c r="I3545" s="26"/>
      <c r="J3545" s="26" t="s">
        <v>512</v>
      </c>
      <c r="K3545" s="25" t="s">
        <v>513</v>
      </c>
    </row>
    <row r="3546" spans="1:11" ht="25.5" x14ac:dyDescent="0.25">
      <c r="A3546" s="22">
        <v>2026</v>
      </c>
      <c r="B3546" s="28" t="s">
        <v>203</v>
      </c>
      <c r="C3546" s="28" t="s">
        <v>97</v>
      </c>
      <c r="D3546" s="28" t="s">
        <v>1701</v>
      </c>
      <c r="E3546" s="29" t="s">
        <v>331</v>
      </c>
      <c r="F3546" s="29" t="s">
        <v>566</v>
      </c>
      <c r="G3546" s="25" t="s">
        <v>5271</v>
      </c>
      <c r="H3546" s="26">
        <v>-1.8007000000000002</v>
      </c>
      <c r="I3546" s="26"/>
      <c r="J3546" s="26" t="s">
        <v>512</v>
      </c>
      <c r="K3546" s="25" t="s">
        <v>513</v>
      </c>
    </row>
    <row r="3547" spans="1:11" ht="25.5" x14ac:dyDescent="0.25">
      <c r="A3547" s="22">
        <v>2026</v>
      </c>
      <c r="B3547" s="28" t="s">
        <v>203</v>
      </c>
      <c r="C3547" s="28" t="s">
        <v>97</v>
      </c>
      <c r="D3547" s="28" t="s">
        <v>1701</v>
      </c>
      <c r="E3547" s="29" t="s">
        <v>331</v>
      </c>
      <c r="F3547" s="29" t="s">
        <v>566</v>
      </c>
      <c r="G3547" s="25" t="s">
        <v>5272</v>
      </c>
      <c r="H3547" s="26">
        <v>-9.1800000000000007E-2</v>
      </c>
      <c r="I3547" s="26"/>
      <c r="J3547" s="26" t="s">
        <v>512</v>
      </c>
      <c r="K3547" s="25" t="s">
        <v>513</v>
      </c>
    </row>
    <row r="3548" spans="1:11" ht="25.5" x14ac:dyDescent="0.25">
      <c r="A3548" s="22">
        <v>2026</v>
      </c>
      <c r="B3548" s="28" t="s">
        <v>203</v>
      </c>
      <c r="C3548" s="28" t="s">
        <v>97</v>
      </c>
      <c r="D3548" s="28" t="s">
        <v>201</v>
      </c>
      <c r="E3548" s="29" t="s">
        <v>331</v>
      </c>
      <c r="F3548" s="29" t="s">
        <v>316</v>
      </c>
      <c r="G3548" s="25" t="s">
        <v>5273</v>
      </c>
      <c r="H3548" s="26">
        <v>-0.48687120119999999</v>
      </c>
      <c r="I3548" s="26"/>
      <c r="J3548" s="26" t="s">
        <v>512</v>
      </c>
      <c r="K3548" s="25" t="s">
        <v>513</v>
      </c>
    </row>
    <row r="3549" spans="1:11" ht="25.5" x14ac:dyDescent="0.25">
      <c r="A3549" s="22">
        <v>2026</v>
      </c>
      <c r="B3549" s="28" t="s">
        <v>203</v>
      </c>
      <c r="C3549" s="28" t="s">
        <v>97</v>
      </c>
      <c r="D3549" s="28" t="s">
        <v>201</v>
      </c>
      <c r="E3549" s="29" t="s">
        <v>331</v>
      </c>
      <c r="F3549" s="29" t="s">
        <v>316</v>
      </c>
      <c r="G3549" s="25" t="s">
        <v>5274</v>
      </c>
      <c r="H3549" s="26">
        <v>-0.68910000000000005</v>
      </c>
      <c r="I3549" s="26"/>
      <c r="J3549" s="26" t="s">
        <v>512</v>
      </c>
      <c r="K3549" s="25" t="s">
        <v>513</v>
      </c>
    </row>
    <row r="3550" spans="1:11" ht="25.5" x14ac:dyDescent="0.25">
      <c r="A3550" s="22">
        <v>2026</v>
      </c>
      <c r="B3550" s="28" t="s">
        <v>203</v>
      </c>
      <c r="C3550" s="28" t="s">
        <v>97</v>
      </c>
      <c r="D3550" s="28" t="s">
        <v>201</v>
      </c>
      <c r="E3550" s="29" t="s">
        <v>331</v>
      </c>
      <c r="F3550" s="29" t="s">
        <v>316</v>
      </c>
      <c r="G3550" s="25" t="s">
        <v>5275</v>
      </c>
      <c r="H3550" s="26">
        <v>-0.70994999999999997</v>
      </c>
      <c r="I3550" s="26"/>
      <c r="J3550" s="26" t="s">
        <v>512</v>
      </c>
      <c r="K3550" s="25" t="s">
        <v>513</v>
      </c>
    </row>
    <row r="3551" spans="1:11" ht="25.5" x14ac:dyDescent="0.25">
      <c r="A3551" s="22">
        <v>2026</v>
      </c>
      <c r="B3551" s="28" t="s">
        <v>203</v>
      </c>
      <c r="C3551" s="28" t="s">
        <v>97</v>
      </c>
      <c r="D3551" s="28" t="s">
        <v>201</v>
      </c>
      <c r="E3551" s="29" t="s">
        <v>331</v>
      </c>
      <c r="F3551" s="29" t="s">
        <v>316</v>
      </c>
      <c r="G3551" s="25" t="s">
        <v>5276</v>
      </c>
      <c r="H3551" s="26">
        <v>-0.7036</v>
      </c>
      <c r="I3551" s="26"/>
      <c r="J3551" s="26" t="s">
        <v>512</v>
      </c>
      <c r="K3551" s="25" t="s">
        <v>513</v>
      </c>
    </row>
    <row r="3552" spans="1:11" ht="25.5" x14ac:dyDescent="0.25">
      <c r="A3552" s="22">
        <v>2026</v>
      </c>
      <c r="B3552" s="28" t="s">
        <v>203</v>
      </c>
      <c r="C3552" s="28" t="s">
        <v>97</v>
      </c>
      <c r="D3552" s="28" t="s">
        <v>201</v>
      </c>
      <c r="E3552" s="29" t="s">
        <v>331</v>
      </c>
      <c r="F3552" s="29" t="s">
        <v>316</v>
      </c>
      <c r="G3552" s="25" t="s">
        <v>5277</v>
      </c>
      <c r="H3552" s="26">
        <v>-0.70879999999999999</v>
      </c>
      <c r="I3552" s="26"/>
      <c r="J3552" s="26" t="s">
        <v>512</v>
      </c>
      <c r="K3552" s="25" t="s">
        <v>513</v>
      </c>
    </row>
    <row r="3553" spans="1:11" ht="25.5" x14ac:dyDescent="0.25">
      <c r="A3553" s="22">
        <v>2026</v>
      </c>
      <c r="B3553" s="28" t="s">
        <v>203</v>
      </c>
      <c r="C3553" s="28" t="s">
        <v>97</v>
      </c>
      <c r="D3553" s="28" t="s">
        <v>201</v>
      </c>
      <c r="E3553" s="29" t="s">
        <v>331</v>
      </c>
      <c r="F3553" s="29" t="s">
        <v>316</v>
      </c>
      <c r="G3553" s="25" t="s">
        <v>5278</v>
      </c>
      <c r="H3553" s="26">
        <v>-0.15227170000000001</v>
      </c>
      <c r="I3553" s="26"/>
      <c r="J3553" s="26" t="s">
        <v>512</v>
      </c>
      <c r="K3553" s="25" t="s">
        <v>513</v>
      </c>
    </row>
    <row r="3554" spans="1:11" ht="25.5" x14ac:dyDescent="0.25">
      <c r="A3554" s="22">
        <v>2026</v>
      </c>
      <c r="B3554" s="28" t="s">
        <v>203</v>
      </c>
      <c r="C3554" s="28" t="s">
        <v>97</v>
      </c>
      <c r="D3554" s="28" t="s">
        <v>201</v>
      </c>
      <c r="E3554" s="29" t="s">
        <v>331</v>
      </c>
      <c r="F3554" s="29" t="s">
        <v>316</v>
      </c>
      <c r="G3554" s="25" t="s">
        <v>5279</v>
      </c>
      <c r="H3554" s="26">
        <v>-7.8605999999999995E-2</v>
      </c>
      <c r="I3554" s="26"/>
      <c r="J3554" s="26" t="s">
        <v>512</v>
      </c>
      <c r="K3554" s="25" t="s">
        <v>513</v>
      </c>
    </row>
    <row r="3555" spans="1:11" ht="25.5" x14ac:dyDescent="0.25">
      <c r="A3555" s="22">
        <v>2026</v>
      </c>
      <c r="B3555" s="28" t="s">
        <v>203</v>
      </c>
      <c r="C3555" s="28" t="s">
        <v>97</v>
      </c>
      <c r="D3555" s="28" t="s">
        <v>201</v>
      </c>
      <c r="E3555" s="29" t="s">
        <v>331</v>
      </c>
      <c r="F3555" s="29" t="s">
        <v>316</v>
      </c>
      <c r="G3555" s="25" t="s">
        <v>5280</v>
      </c>
      <c r="H3555" s="26">
        <v>-0.57435999999999998</v>
      </c>
      <c r="I3555" s="26"/>
      <c r="J3555" s="26" t="s">
        <v>512</v>
      </c>
      <c r="K3555" s="25" t="s">
        <v>513</v>
      </c>
    </row>
    <row r="3556" spans="1:11" ht="25.5" x14ac:dyDescent="0.25">
      <c r="A3556" s="22">
        <v>2026</v>
      </c>
      <c r="B3556" s="28" t="s">
        <v>203</v>
      </c>
      <c r="C3556" s="28" t="s">
        <v>97</v>
      </c>
      <c r="D3556" s="28" t="s">
        <v>201</v>
      </c>
      <c r="E3556" s="29" t="s">
        <v>331</v>
      </c>
      <c r="F3556" s="29" t="s">
        <v>316</v>
      </c>
      <c r="G3556" s="25" t="s">
        <v>5281</v>
      </c>
      <c r="H3556" s="26">
        <v>-0.88749628199999986</v>
      </c>
      <c r="I3556" s="26"/>
      <c r="J3556" s="26" t="s">
        <v>512</v>
      </c>
      <c r="K3556" s="25" t="s">
        <v>513</v>
      </c>
    </row>
    <row r="3557" spans="1:11" ht="25.5" x14ac:dyDescent="0.25">
      <c r="A3557" s="22">
        <v>2026</v>
      </c>
      <c r="B3557" s="28" t="s">
        <v>203</v>
      </c>
      <c r="C3557" s="28" t="s">
        <v>97</v>
      </c>
      <c r="D3557" s="28" t="s">
        <v>201</v>
      </c>
      <c r="E3557" s="29" t="s">
        <v>331</v>
      </c>
      <c r="F3557" s="29" t="s">
        <v>316</v>
      </c>
      <c r="G3557" s="25" t="s">
        <v>5282</v>
      </c>
      <c r="H3557" s="26">
        <v>-4.0465266899999998E-2</v>
      </c>
      <c r="I3557" s="26"/>
      <c r="J3557" s="26" t="s">
        <v>512</v>
      </c>
      <c r="K3557" s="25" t="s">
        <v>513</v>
      </c>
    </row>
    <row r="3558" spans="1:11" ht="25.5" x14ac:dyDescent="0.25">
      <c r="A3558" s="22">
        <v>2026</v>
      </c>
      <c r="B3558" s="28" t="s">
        <v>203</v>
      </c>
      <c r="C3558" s="28" t="s">
        <v>97</v>
      </c>
      <c r="D3558" s="28" t="s">
        <v>201</v>
      </c>
      <c r="E3558" s="29" t="s">
        <v>331</v>
      </c>
      <c r="F3558" s="29" t="s">
        <v>316</v>
      </c>
      <c r="G3558" s="25" t="s">
        <v>5283</v>
      </c>
      <c r="H3558" s="26">
        <v>-0.37973873550000004</v>
      </c>
      <c r="I3558" s="26"/>
      <c r="J3558" s="26" t="s">
        <v>512</v>
      </c>
      <c r="K3558" s="25" t="s">
        <v>513</v>
      </c>
    </row>
    <row r="3559" spans="1:11" ht="25.5" x14ac:dyDescent="0.25">
      <c r="A3559" s="22">
        <v>2026</v>
      </c>
      <c r="B3559" s="28" t="s">
        <v>203</v>
      </c>
      <c r="C3559" s="28" t="s">
        <v>97</v>
      </c>
      <c r="D3559" s="28" t="s">
        <v>201</v>
      </c>
      <c r="E3559" s="29" t="s">
        <v>331</v>
      </c>
      <c r="F3559" s="29" t="s">
        <v>316</v>
      </c>
      <c r="G3559" s="25" t="s">
        <v>5284</v>
      </c>
      <c r="H3559" s="26">
        <v>-0.13969899999999999</v>
      </c>
      <c r="I3559" s="26"/>
      <c r="J3559" s="26" t="s">
        <v>512</v>
      </c>
      <c r="K3559" s="25" t="s">
        <v>513</v>
      </c>
    </row>
    <row r="3560" spans="1:11" ht="25.5" x14ac:dyDescent="0.25">
      <c r="A3560" s="22">
        <v>2026</v>
      </c>
      <c r="B3560" s="28" t="s">
        <v>203</v>
      </c>
      <c r="C3560" s="28" t="s">
        <v>97</v>
      </c>
      <c r="D3560" s="28" t="s">
        <v>201</v>
      </c>
      <c r="E3560" s="29" t="s">
        <v>331</v>
      </c>
      <c r="F3560" s="29" t="s">
        <v>316</v>
      </c>
      <c r="G3560" s="25" t="s">
        <v>5285</v>
      </c>
      <c r="H3560" s="26">
        <v>-0.360925</v>
      </c>
      <c r="I3560" s="26"/>
      <c r="J3560" s="26" t="s">
        <v>512</v>
      </c>
      <c r="K3560" s="25" t="s">
        <v>513</v>
      </c>
    </row>
    <row r="3561" spans="1:11" ht="25.5" x14ac:dyDescent="0.25">
      <c r="A3561" s="22">
        <v>2026</v>
      </c>
      <c r="B3561" s="28" t="s">
        <v>203</v>
      </c>
      <c r="C3561" s="28" t="s">
        <v>97</v>
      </c>
      <c r="D3561" s="28" t="s">
        <v>201</v>
      </c>
      <c r="E3561" s="29" t="s">
        <v>331</v>
      </c>
      <c r="F3561" s="29" t="s">
        <v>316</v>
      </c>
      <c r="G3561" s="25" t="s">
        <v>5286</v>
      </c>
      <c r="H3561" s="26">
        <v>-0.25701074839999999</v>
      </c>
      <c r="I3561" s="26"/>
      <c r="J3561" s="26" t="s">
        <v>512</v>
      </c>
      <c r="K3561" s="25" t="s">
        <v>513</v>
      </c>
    </row>
    <row r="3562" spans="1:11" ht="25.5" x14ac:dyDescent="0.25">
      <c r="A3562" s="22">
        <v>2026</v>
      </c>
      <c r="B3562" s="28" t="s">
        <v>203</v>
      </c>
      <c r="C3562" s="28" t="s">
        <v>97</v>
      </c>
      <c r="D3562" s="28" t="s">
        <v>201</v>
      </c>
      <c r="E3562" s="29" t="s">
        <v>331</v>
      </c>
      <c r="F3562" s="29" t="s">
        <v>316</v>
      </c>
      <c r="G3562" s="25" t="s">
        <v>5287</v>
      </c>
      <c r="H3562" s="26">
        <v>-0.33608414280000004</v>
      </c>
      <c r="I3562" s="26"/>
      <c r="J3562" s="26" t="s">
        <v>512</v>
      </c>
      <c r="K3562" s="25" t="s">
        <v>513</v>
      </c>
    </row>
    <row r="3563" spans="1:11" ht="25.5" x14ac:dyDescent="0.25">
      <c r="A3563" s="22">
        <v>2026</v>
      </c>
      <c r="B3563" s="28" t="s">
        <v>203</v>
      </c>
      <c r="C3563" s="28" t="s">
        <v>97</v>
      </c>
      <c r="D3563" s="28" t="s">
        <v>532</v>
      </c>
      <c r="E3563" s="29" t="s">
        <v>331</v>
      </c>
      <c r="F3563" s="29" t="s">
        <v>386</v>
      </c>
      <c r="G3563" s="25" t="s">
        <v>5288</v>
      </c>
      <c r="H3563" s="26">
        <v>-0.189</v>
      </c>
      <c r="I3563" s="26"/>
      <c r="J3563" s="26" t="s">
        <v>512</v>
      </c>
      <c r="K3563" s="25" t="s">
        <v>513</v>
      </c>
    </row>
    <row r="3564" spans="1:11" ht="25.5" x14ac:dyDescent="0.25">
      <c r="A3564" s="22">
        <v>2026</v>
      </c>
      <c r="B3564" s="28" t="s">
        <v>203</v>
      </c>
      <c r="C3564" s="28" t="s">
        <v>97</v>
      </c>
      <c r="D3564" s="28" t="s">
        <v>532</v>
      </c>
      <c r="E3564" s="29" t="s">
        <v>331</v>
      </c>
      <c r="F3564" s="29" t="s">
        <v>386</v>
      </c>
      <c r="G3564" s="25" t="s">
        <v>5289</v>
      </c>
      <c r="H3564" s="26">
        <v>-0.26015240000000001</v>
      </c>
      <c r="I3564" s="26"/>
      <c r="J3564" s="26" t="s">
        <v>512</v>
      </c>
      <c r="K3564" s="25" t="s">
        <v>513</v>
      </c>
    </row>
    <row r="3565" spans="1:11" ht="25.5" x14ac:dyDescent="0.25">
      <c r="A3565" s="22">
        <v>2026</v>
      </c>
      <c r="B3565" s="28" t="s">
        <v>203</v>
      </c>
      <c r="C3565" s="28" t="s">
        <v>97</v>
      </c>
      <c r="D3565" s="28" t="s">
        <v>532</v>
      </c>
      <c r="E3565" s="29" t="s">
        <v>331</v>
      </c>
      <c r="F3565" s="29" t="s">
        <v>386</v>
      </c>
      <c r="G3565" s="25" t="s">
        <v>5290</v>
      </c>
      <c r="H3565" s="26">
        <v>-0.36651511540000004</v>
      </c>
      <c r="I3565" s="26"/>
      <c r="J3565" s="26" t="s">
        <v>512</v>
      </c>
      <c r="K3565" s="25" t="s">
        <v>513</v>
      </c>
    </row>
    <row r="3566" spans="1:11" ht="25.5" x14ac:dyDescent="0.25">
      <c r="A3566" s="22">
        <v>2026</v>
      </c>
      <c r="B3566" s="28" t="s">
        <v>203</v>
      </c>
      <c r="C3566" s="28" t="s">
        <v>97</v>
      </c>
      <c r="D3566" s="28" t="s">
        <v>532</v>
      </c>
      <c r="E3566" s="29" t="s">
        <v>331</v>
      </c>
      <c r="F3566" s="29" t="s">
        <v>386</v>
      </c>
      <c r="G3566" s="25" t="s">
        <v>5291</v>
      </c>
      <c r="H3566" s="26">
        <v>-0.34136940159999996</v>
      </c>
      <c r="I3566" s="26"/>
      <c r="J3566" s="26" t="s">
        <v>512</v>
      </c>
      <c r="K3566" s="25" t="s">
        <v>513</v>
      </c>
    </row>
    <row r="3567" spans="1:11" ht="25.5" x14ac:dyDescent="0.25">
      <c r="A3567" s="22">
        <v>2026</v>
      </c>
      <c r="B3567" s="28" t="s">
        <v>203</v>
      </c>
      <c r="C3567" s="28" t="s">
        <v>97</v>
      </c>
      <c r="D3567" s="28" t="s">
        <v>532</v>
      </c>
      <c r="E3567" s="29" t="s">
        <v>331</v>
      </c>
      <c r="F3567" s="29" t="s">
        <v>386</v>
      </c>
      <c r="G3567" s="25" t="s">
        <v>5292</v>
      </c>
      <c r="H3567" s="26">
        <v>-0.35967124819999996</v>
      </c>
      <c r="I3567" s="26"/>
      <c r="J3567" s="26" t="s">
        <v>512</v>
      </c>
      <c r="K3567" s="25" t="s">
        <v>513</v>
      </c>
    </row>
    <row r="3568" spans="1:11" ht="25.5" x14ac:dyDescent="0.25">
      <c r="A3568" s="22">
        <v>2026</v>
      </c>
      <c r="B3568" s="28" t="s">
        <v>203</v>
      </c>
      <c r="C3568" s="28" t="s">
        <v>97</v>
      </c>
      <c r="D3568" s="28" t="s">
        <v>532</v>
      </c>
      <c r="E3568" s="29" t="s">
        <v>331</v>
      </c>
      <c r="F3568" s="29" t="s">
        <v>386</v>
      </c>
      <c r="G3568" s="25" t="s">
        <v>5293</v>
      </c>
      <c r="H3568" s="26">
        <v>-0.35209979879999997</v>
      </c>
      <c r="I3568" s="26"/>
      <c r="J3568" s="26" t="s">
        <v>512</v>
      </c>
      <c r="K3568" s="25" t="s">
        <v>513</v>
      </c>
    </row>
    <row r="3569" spans="1:11" ht="25.5" x14ac:dyDescent="0.25">
      <c r="A3569" s="22">
        <v>2026</v>
      </c>
      <c r="B3569" s="28" t="s">
        <v>203</v>
      </c>
      <c r="C3569" s="28" t="s">
        <v>97</v>
      </c>
      <c r="D3569" s="28" t="s">
        <v>532</v>
      </c>
      <c r="E3569" s="29" t="s">
        <v>331</v>
      </c>
      <c r="F3569" s="29" t="s">
        <v>386</v>
      </c>
      <c r="G3569" s="25" t="s">
        <v>5294</v>
      </c>
      <c r="H3569" s="26">
        <v>-0.29241828659999997</v>
      </c>
      <c r="I3569" s="26"/>
      <c r="J3569" s="26" t="s">
        <v>512</v>
      </c>
      <c r="K3569" s="25" t="s">
        <v>513</v>
      </c>
    </row>
    <row r="3570" spans="1:11" ht="25.5" x14ac:dyDescent="0.25">
      <c r="A3570" s="22">
        <v>2026</v>
      </c>
      <c r="B3570" s="28" t="s">
        <v>203</v>
      </c>
      <c r="C3570" s="28" t="s">
        <v>97</v>
      </c>
      <c r="D3570" s="28" t="s">
        <v>532</v>
      </c>
      <c r="E3570" s="29" t="s">
        <v>331</v>
      </c>
      <c r="F3570" s="29" t="s">
        <v>386</v>
      </c>
      <c r="G3570" s="25" t="s">
        <v>5295</v>
      </c>
      <c r="H3570" s="26">
        <v>-0.10149999999999998</v>
      </c>
      <c r="I3570" s="26"/>
      <c r="J3570" s="26" t="s">
        <v>512</v>
      </c>
      <c r="K3570" s="25" t="s">
        <v>513</v>
      </c>
    </row>
    <row r="3571" spans="1:11" ht="25.5" x14ac:dyDescent="0.25">
      <c r="A3571" s="22">
        <v>2026</v>
      </c>
      <c r="B3571" s="28" t="s">
        <v>203</v>
      </c>
      <c r="C3571" s="28" t="s">
        <v>97</v>
      </c>
      <c r="D3571" s="28" t="s">
        <v>532</v>
      </c>
      <c r="E3571" s="29" t="s">
        <v>331</v>
      </c>
      <c r="F3571" s="29" t="s">
        <v>386</v>
      </c>
      <c r="G3571" s="25" t="s">
        <v>5296</v>
      </c>
      <c r="H3571" s="26">
        <v>-0.33929729999999997</v>
      </c>
      <c r="I3571" s="26"/>
      <c r="J3571" s="26" t="s">
        <v>512</v>
      </c>
      <c r="K3571" s="25" t="s">
        <v>513</v>
      </c>
    </row>
    <row r="3572" spans="1:11" ht="25.5" x14ac:dyDescent="0.25">
      <c r="A3572" s="22">
        <v>2026</v>
      </c>
      <c r="B3572" s="28" t="s">
        <v>203</v>
      </c>
      <c r="C3572" s="28" t="s">
        <v>97</v>
      </c>
      <c r="D3572" s="28" t="s">
        <v>532</v>
      </c>
      <c r="E3572" s="29" t="s">
        <v>331</v>
      </c>
      <c r="F3572" s="29" t="s">
        <v>386</v>
      </c>
      <c r="G3572" s="25" t="s">
        <v>5297</v>
      </c>
      <c r="H3572" s="26">
        <v>-0.17298749999999999</v>
      </c>
      <c r="I3572" s="26"/>
      <c r="J3572" s="26" t="s">
        <v>512</v>
      </c>
      <c r="K3572" s="25" t="s">
        <v>513</v>
      </c>
    </row>
    <row r="3573" spans="1:11" ht="25.5" x14ac:dyDescent="0.25">
      <c r="A3573" s="22">
        <v>2026</v>
      </c>
      <c r="B3573" s="28" t="s">
        <v>203</v>
      </c>
      <c r="C3573" s="28" t="s">
        <v>97</v>
      </c>
      <c r="D3573" s="28" t="s">
        <v>532</v>
      </c>
      <c r="E3573" s="29" t="s">
        <v>331</v>
      </c>
      <c r="F3573" s="29" t="s">
        <v>386</v>
      </c>
      <c r="G3573" s="25" t="s">
        <v>5298</v>
      </c>
      <c r="H3573" s="26">
        <v>-0.30217736249999999</v>
      </c>
      <c r="I3573" s="26"/>
      <c r="J3573" s="26" t="s">
        <v>512</v>
      </c>
      <c r="K3573" s="25" t="s">
        <v>513</v>
      </c>
    </row>
    <row r="3574" spans="1:11" ht="25.5" x14ac:dyDescent="0.25">
      <c r="A3574" s="22">
        <v>2026</v>
      </c>
      <c r="B3574" s="28" t="s">
        <v>203</v>
      </c>
      <c r="C3574" s="28" t="s">
        <v>97</v>
      </c>
      <c r="D3574" s="28" t="s">
        <v>532</v>
      </c>
      <c r="E3574" s="29" t="s">
        <v>331</v>
      </c>
      <c r="F3574" s="29" t="s">
        <v>386</v>
      </c>
      <c r="G3574" s="25" t="s">
        <v>5299</v>
      </c>
      <c r="H3574" s="26">
        <v>-0.1199992012</v>
      </c>
      <c r="I3574" s="26"/>
      <c r="J3574" s="26" t="s">
        <v>512</v>
      </c>
      <c r="K3574" s="25" t="s">
        <v>513</v>
      </c>
    </row>
    <row r="3575" spans="1:11" ht="25.5" x14ac:dyDescent="0.25">
      <c r="A3575" s="22">
        <v>2026</v>
      </c>
      <c r="B3575" s="28" t="s">
        <v>203</v>
      </c>
      <c r="C3575" s="28" t="s">
        <v>97</v>
      </c>
      <c r="D3575" s="28" t="s">
        <v>532</v>
      </c>
      <c r="E3575" s="29" t="s">
        <v>331</v>
      </c>
      <c r="F3575" s="29" t="s">
        <v>386</v>
      </c>
      <c r="G3575" s="25" t="s">
        <v>5300</v>
      </c>
      <c r="H3575" s="26">
        <v>-0.18830699999999997</v>
      </c>
      <c r="I3575" s="26"/>
      <c r="J3575" s="26" t="s">
        <v>512</v>
      </c>
      <c r="K3575" s="25" t="s">
        <v>513</v>
      </c>
    </row>
    <row r="3576" spans="1:11" ht="25.5" x14ac:dyDescent="0.25">
      <c r="A3576" s="22">
        <v>2026</v>
      </c>
      <c r="B3576" s="28" t="s">
        <v>203</v>
      </c>
      <c r="C3576" s="28" t="s">
        <v>97</v>
      </c>
      <c r="D3576" s="28" t="s">
        <v>532</v>
      </c>
      <c r="E3576" s="29" t="s">
        <v>331</v>
      </c>
      <c r="F3576" s="29" t="s">
        <v>386</v>
      </c>
      <c r="G3576" s="25" t="s">
        <v>5301</v>
      </c>
      <c r="H3576" s="26">
        <v>-5.7152756999999998E-2</v>
      </c>
      <c r="I3576" s="26"/>
      <c r="J3576" s="26" t="s">
        <v>512</v>
      </c>
      <c r="K3576" s="25" t="s">
        <v>513</v>
      </c>
    </row>
    <row r="3577" spans="1:11" ht="25.5" x14ac:dyDescent="0.25">
      <c r="A3577" s="22">
        <v>2026</v>
      </c>
      <c r="B3577" s="28" t="s">
        <v>203</v>
      </c>
      <c r="C3577" s="28" t="s">
        <v>97</v>
      </c>
      <c r="D3577" s="28" t="s">
        <v>1702</v>
      </c>
      <c r="E3577" s="29" t="s">
        <v>1763</v>
      </c>
      <c r="F3577" s="29" t="s">
        <v>378</v>
      </c>
      <c r="G3577" s="25" t="s">
        <v>5302</v>
      </c>
      <c r="H3577" s="26">
        <v>-1.941E-2</v>
      </c>
      <c r="I3577" s="26"/>
      <c r="J3577" s="26" t="s">
        <v>514</v>
      </c>
      <c r="K3577" s="25" t="s">
        <v>513</v>
      </c>
    </row>
    <row r="3578" spans="1:11" ht="25.5" x14ac:dyDescent="0.25">
      <c r="A3578" s="22">
        <v>2026</v>
      </c>
      <c r="B3578" s="28" t="s">
        <v>203</v>
      </c>
      <c r="C3578" s="28" t="s">
        <v>97</v>
      </c>
      <c r="D3578" s="28" t="s">
        <v>1702</v>
      </c>
      <c r="E3578" s="29" t="s">
        <v>1763</v>
      </c>
      <c r="F3578" s="29" t="s">
        <v>378</v>
      </c>
      <c r="G3578" s="25" t="s">
        <v>5303</v>
      </c>
      <c r="H3578" s="26">
        <v>-6.5000000000000002E-2</v>
      </c>
      <c r="I3578" s="26"/>
      <c r="J3578" s="26" t="s">
        <v>514</v>
      </c>
      <c r="K3578" s="25" t="s">
        <v>513</v>
      </c>
    </row>
    <row r="3579" spans="1:11" ht="25.5" x14ac:dyDescent="0.25">
      <c r="A3579" s="22">
        <v>2026</v>
      </c>
      <c r="B3579" s="28" t="s">
        <v>203</v>
      </c>
      <c r="C3579" s="28" t="s">
        <v>97</v>
      </c>
      <c r="D3579" s="28" t="s">
        <v>1702</v>
      </c>
      <c r="E3579" s="29" t="s">
        <v>1763</v>
      </c>
      <c r="F3579" s="29" t="s">
        <v>378</v>
      </c>
      <c r="G3579" s="25" t="s">
        <v>5304</v>
      </c>
      <c r="H3579" s="26">
        <v>-3.2500000000000001E-2</v>
      </c>
      <c r="I3579" s="26"/>
      <c r="J3579" s="26" t="s">
        <v>514</v>
      </c>
      <c r="K3579" s="25" t="s">
        <v>513</v>
      </c>
    </row>
    <row r="3580" spans="1:11" ht="25.5" x14ac:dyDescent="0.25">
      <c r="A3580" s="22">
        <v>2026</v>
      </c>
      <c r="B3580" s="28" t="s">
        <v>203</v>
      </c>
      <c r="C3580" s="28" t="s">
        <v>97</v>
      </c>
      <c r="D3580" s="28" t="s">
        <v>1703</v>
      </c>
      <c r="E3580" s="29" t="s">
        <v>569</v>
      </c>
      <c r="F3580" s="29" t="s">
        <v>298</v>
      </c>
      <c r="G3580" s="25" t="s">
        <v>5305</v>
      </c>
      <c r="H3580" s="26">
        <v>-0.81340443000000007</v>
      </c>
      <c r="I3580" s="26"/>
      <c r="J3580" s="26" t="s">
        <v>512</v>
      </c>
      <c r="K3580" s="25" t="s">
        <v>526</v>
      </c>
    </row>
    <row r="3581" spans="1:11" ht="25.5" x14ac:dyDescent="0.25">
      <c r="A3581" s="22">
        <v>2026</v>
      </c>
      <c r="B3581" s="28" t="s">
        <v>203</v>
      </c>
      <c r="C3581" s="28" t="s">
        <v>97</v>
      </c>
      <c r="D3581" s="28" t="s">
        <v>1703</v>
      </c>
      <c r="E3581" s="29" t="s">
        <v>569</v>
      </c>
      <c r="F3581" s="29" t="s">
        <v>298</v>
      </c>
      <c r="G3581" s="25" t="s">
        <v>5306</v>
      </c>
      <c r="H3581" s="26">
        <v>-1.11380062894</v>
      </c>
      <c r="I3581" s="26"/>
      <c r="J3581" s="26" t="s">
        <v>512</v>
      </c>
      <c r="K3581" s="25" t="s">
        <v>526</v>
      </c>
    </row>
    <row r="3582" spans="1:11" ht="25.5" x14ac:dyDescent="0.25">
      <c r="A3582" s="22">
        <v>2026</v>
      </c>
      <c r="B3582" s="28" t="s">
        <v>203</v>
      </c>
      <c r="C3582" s="28" t="s">
        <v>97</v>
      </c>
      <c r="D3582" s="28" t="s">
        <v>1703</v>
      </c>
      <c r="E3582" s="29" t="s">
        <v>569</v>
      </c>
      <c r="F3582" s="29" t="s">
        <v>298</v>
      </c>
      <c r="G3582" s="25" t="s">
        <v>5307</v>
      </c>
      <c r="H3582" s="26">
        <v>-0.88940156763000011</v>
      </c>
      <c r="I3582" s="26"/>
      <c r="J3582" s="26" t="s">
        <v>512</v>
      </c>
      <c r="K3582" s="25" t="s">
        <v>526</v>
      </c>
    </row>
    <row r="3583" spans="1:11" ht="25.5" x14ac:dyDescent="0.25">
      <c r="A3583" s="22">
        <v>2026</v>
      </c>
      <c r="B3583" s="28" t="s">
        <v>203</v>
      </c>
      <c r="C3583" s="28" t="s">
        <v>97</v>
      </c>
      <c r="D3583" s="28" t="s">
        <v>1703</v>
      </c>
      <c r="E3583" s="29" t="s">
        <v>569</v>
      </c>
      <c r="F3583" s="29" t="s">
        <v>298</v>
      </c>
      <c r="G3583" s="25" t="s">
        <v>5308</v>
      </c>
      <c r="H3583" s="26">
        <v>-1.0849519999999999</v>
      </c>
      <c r="I3583" s="26"/>
      <c r="J3583" s="26" t="s">
        <v>512</v>
      </c>
      <c r="K3583" s="25" t="s">
        <v>526</v>
      </c>
    </row>
    <row r="3584" spans="1:11" ht="25.5" x14ac:dyDescent="0.25">
      <c r="A3584" s="22">
        <v>2026</v>
      </c>
      <c r="B3584" s="28" t="s">
        <v>203</v>
      </c>
      <c r="C3584" s="28" t="s">
        <v>97</v>
      </c>
      <c r="D3584" s="28" t="s">
        <v>1703</v>
      </c>
      <c r="E3584" s="29" t="s">
        <v>569</v>
      </c>
      <c r="F3584" s="29" t="s">
        <v>298</v>
      </c>
      <c r="G3584" s="25" t="s">
        <v>5309</v>
      </c>
      <c r="H3584" s="26">
        <v>-0.82795556726999997</v>
      </c>
      <c r="I3584" s="26"/>
      <c r="J3584" s="26" t="s">
        <v>512</v>
      </c>
      <c r="K3584" s="25" t="s">
        <v>526</v>
      </c>
    </row>
    <row r="3585" spans="1:11" ht="25.5" x14ac:dyDescent="0.25">
      <c r="A3585" s="22">
        <v>2026</v>
      </c>
      <c r="B3585" s="28" t="s">
        <v>203</v>
      </c>
      <c r="C3585" s="28" t="s">
        <v>97</v>
      </c>
      <c r="D3585" s="28" t="s">
        <v>1703</v>
      </c>
      <c r="E3585" s="29" t="s">
        <v>569</v>
      </c>
      <c r="F3585" s="29" t="s">
        <v>298</v>
      </c>
      <c r="G3585" s="25" t="s">
        <v>5310</v>
      </c>
      <c r="H3585" s="26">
        <v>-1.0209075000000001</v>
      </c>
      <c r="I3585" s="26"/>
      <c r="J3585" s="26" t="s">
        <v>512</v>
      </c>
      <c r="K3585" s="25" t="s">
        <v>526</v>
      </c>
    </row>
    <row r="3586" spans="1:11" ht="25.5" x14ac:dyDescent="0.25">
      <c r="A3586" s="22">
        <v>2026</v>
      </c>
      <c r="B3586" s="28" t="s">
        <v>203</v>
      </c>
      <c r="C3586" s="28" t="s">
        <v>97</v>
      </c>
      <c r="D3586" s="28" t="s">
        <v>1703</v>
      </c>
      <c r="E3586" s="29" t="s">
        <v>569</v>
      </c>
      <c r="F3586" s="29" t="s">
        <v>298</v>
      </c>
      <c r="G3586" s="25" t="s">
        <v>5311</v>
      </c>
      <c r="H3586" s="26">
        <v>-0.44446932640000003</v>
      </c>
      <c r="I3586" s="26"/>
      <c r="J3586" s="26" t="s">
        <v>512</v>
      </c>
      <c r="K3586" s="25" t="s">
        <v>526</v>
      </c>
    </row>
    <row r="3587" spans="1:11" ht="25.5" x14ac:dyDescent="0.25">
      <c r="A3587" s="22">
        <v>2026</v>
      </c>
      <c r="B3587" s="28" t="s">
        <v>203</v>
      </c>
      <c r="C3587" s="28" t="s">
        <v>97</v>
      </c>
      <c r="D3587" s="28" t="s">
        <v>1703</v>
      </c>
      <c r="E3587" s="29" t="s">
        <v>569</v>
      </c>
      <c r="F3587" s="29" t="s">
        <v>298</v>
      </c>
      <c r="G3587" s="25" t="s">
        <v>5312</v>
      </c>
      <c r="H3587" s="26">
        <v>-0.72182250000000003</v>
      </c>
      <c r="I3587" s="26"/>
      <c r="J3587" s="26" t="s">
        <v>512</v>
      </c>
      <c r="K3587" s="25" t="s">
        <v>526</v>
      </c>
    </row>
    <row r="3588" spans="1:11" ht="25.5" x14ac:dyDescent="0.25">
      <c r="A3588" s="22">
        <v>2026</v>
      </c>
      <c r="B3588" s="28" t="s">
        <v>203</v>
      </c>
      <c r="C3588" s="28" t="s">
        <v>97</v>
      </c>
      <c r="D3588" s="28" t="s">
        <v>1703</v>
      </c>
      <c r="E3588" s="29" t="s">
        <v>569</v>
      </c>
      <c r="F3588" s="29" t="s">
        <v>298</v>
      </c>
      <c r="G3588" s="25" t="s">
        <v>5313</v>
      </c>
      <c r="H3588" s="26">
        <v>-0.89720687645999997</v>
      </c>
      <c r="I3588" s="26"/>
      <c r="J3588" s="26" t="s">
        <v>512</v>
      </c>
      <c r="K3588" s="25" t="s">
        <v>526</v>
      </c>
    </row>
    <row r="3589" spans="1:11" ht="25.5" x14ac:dyDescent="0.25">
      <c r="A3589" s="22">
        <v>2026</v>
      </c>
      <c r="B3589" s="28" t="s">
        <v>203</v>
      </c>
      <c r="C3589" s="28" t="s">
        <v>97</v>
      </c>
      <c r="D3589" s="28" t="s">
        <v>1703</v>
      </c>
      <c r="E3589" s="29" t="s">
        <v>569</v>
      </c>
      <c r="F3589" s="29" t="s">
        <v>298</v>
      </c>
      <c r="G3589" s="25" t="s">
        <v>5314</v>
      </c>
      <c r="H3589" s="26">
        <v>-0.83716939528000001</v>
      </c>
      <c r="I3589" s="26"/>
      <c r="J3589" s="26" t="s">
        <v>512</v>
      </c>
      <c r="K3589" s="25" t="s">
        <v>526</v>
      </c>
    </row>
    <row r="3590" spans="1:11" ht="25.5" x14ac:dyDescent="0.25">
      <c r="A3590" s="22">
        <v>2026</v>
      </c>
      <c r="B3590" s="28" t="s">
        <v>203</v>
      </c>
      <c r="C3590" s="28" t="s">
        <v>97</v>
      </c>
      <c r="D3590" s="28" t="s">
        <v>1703</v>
      </c>
      <c r="E3590" s="29" t="s">
        <v>569</v>
      </c>
      <c r="F3590" s="29" t="s">
        <v>298</v>
      </c>
      <c r="G3590" s="25" t="s">
        <v>5315</v>
      </c>
      <c r="H3590" s="26">
        <v>-1.0055179857099998</v>
      </c>
      <c r="I3590" s="26"/>
      <c r="J3590" s="26" t="s">
        <v>512</v>
      </c>
      <c r="K3590" s="25" t="s">
        <v>526</v>
      </c>
    </row>
    <row r="3591" spans="1:11" ht="25.5" x14ac:dyDescent="0.25">
      <c r="A3591" s="22">
        <v>2026</v>
      </c>
      <c r="B3591" s="28" t="s">
        <v>203</v>
      </c>
      <c r="C3591" s="28" t="s">
        <v>97</v>
      </c>
      <c r="D3591" s="28" t="s">
        <v>1703</v>
      </c>
      <c r="E3591" s="29" t="s">
        <v>569</v>
      </c>
      <c r="F3591" s="29" t="s">
        <v>298</v>
      </c>
      <c r="G3591" s="25" t="s">
        <v>5316</v>
      </c>
      <c r="H3591" s="26">
        <v>-1.4087099999999999</v>
      </c>
      <c r="I3591" s="26"/>
      <c r="J3591" s="26" t="s">
        <v>512</v>
      </c>
      <c r="K3591" s="25" t="s">
        <v>526</v>
      </c>
    </row>
    <row r="3592" spans="1:11" ht="25.5" x14ac:dyDescent="0.25">
      <c r="A3592" s="22">
        <v>2026</v>
      </c>
      <c r="B3592" s="28" t="s">
        <v>203</v>
      </c>
      <c r="C3592" s="28" t="s">
        <v>97</v>
      </c>
      <c r="D3592" s="28" t="s">
        <v>1703</v>
      </c>
      <c r="E3592" s="29" t="s">
        <v>569</v>
      </c>
      <c r="F3592" s="29" t="s">
        <v>298</v>
      </c>
      <c r="G3592" s="25" t="s">
        <v>5317</v>
      </c>
      <c r="H3592" s="26">
        <v>-1.4150700000000001</v>
      </c>
      <c r="I3592" s="26"/>
      <c r="J3592" s="26" t="s">
        <v>512</v>
      </c>
      <c r="K3592" s="25" t="s">
        <v>526</v>
      </c>
    </row>
    <row r="3593" spans="1:11" ht="25.5" x14ac:dyDescent="0.25">
      <c r="A3593" s="22">
        <v>2026</v>
      </c>
      <c r="B3593" s="28" t="s">
        <v>203</v>
      </c>
      <c r="C3593" s="28" t="s">
        <v>97</v>
      </c>
      <c r="D3593" s="28" t="s">
        <v>1703</v>
      </c>
      <c r="E3593" s="29" t="s">
        <v>569</v>
      </c>
      <c r="F3593" s="29" t="s">
        <v>298</v>
      </c>
      <c r="G3593" s="25" t="s">
        <v>5318</v>
      </c>
      <c r="H3593" s="26">
        <v>-1.2001999999999999</v>
      </c>
      <c r="I3593" s="26"/>
      <c r="J3593" s="26" t="s">
        <v>512</v>
      </c>
      <c r="K3593" s="25" t="s">
        <v>526</v>
      </c>
    </row>
    <row r="3594" spans="1:11" ht="25.5" x14ac:dyDescent="0.25">
      <c r="A3594" s="22">
        <v>2026</v>
      </c>
      <c r="B3594" s="28" t="s">
        <v>203</v>
      </c>
      <c r="C3594" s="28" t="s">
        <v>97</v>
      </c>
      <c r="D3594" s="28" t="s">
        <v>1703</v>
      </c>
      <c r="E3594" s="29" t="s">
        <v>569</v>
      </c>
      <c r="F3594" s="29" t="s">
        <v>298</v>
      </c>
      <c r="G3594" s="25" t="s">
        <v>5319</v>
      </c>
      <c r="H3594" s="26">
        <v>-1.05243</v>
      </c>
      <c r="I3594" s="26"/>
      <c r="J3594" s="26" t="s">
        <v>512</v>
      </c>
      <c r="K3594" s="25" t="s">
        <v>526</v>
      </c>
    </row>
    <row r="3595" spans="1:11" ht="25.5" x14ac:dyDescent="0.25">
      <c r="A3595" s="22">
        <v>2026</v>
      </c>
      <c r="B3595" s="28" t="s">
        <v>203</v>
      </c>
      <c r="C3595" s="28" t="s">
        <v>97</v>
      </c>
      <c r="D3595" s="28" t="s">
        <v>1703</v>
      </c>
      <c r="E3595" s="29" t="s">
        <v>569</v>
      </c>
      <c r="F3595" s="29" t="s">
        <v>298</v>
      </c>
      <c r="G3595" s="25" t="s">
        <v>5320</v>
      </c>
      <c r="H3595" s="26">
        <v>-1.0516650000000001</v>
      </c>
      <c r="I3595" s="26"/>
      <c r="J3595" s="26" t="s">
        <v>512</v>
      </c>
      <c r="K3595" s="25" t="s">
        <v>526</v>
      </c>
    </row>
    <row r="3596" spans="1:11" ht="25.5" x14ac:dyDescent="0.25">
      <c r="A3596" s="22">
        <v>2026</v>
      </c>
      <c r="B3596" s="28" t="s">
        <v>203</v>
      </c>
      <c r="C3596" s="28" t="s">
        <v>97</v>
      </c>
      <c r="D3596" s="28" t="s">
        <v>1703</v>
      </c>
      <c r="E3596" s="29" t="s">
        <v>569</v>
      </c>
      <c r="F3596" s="29" t="s">
        <v>298</v>
      </c>
      <c r="G3596" s="25" t="s">
        <v>5321</v>
      </c>
      <c r="H3596" s="26">
        <v>-1.0522875</v>
      </c>
      <c r="I3596" s="26"/>
      <c r="J3596" s="26" t="s">
        <v>512</v>
      </c>
      <c r="K3596" s="25" t="s">
        <v>526</v>
      </c>
    </row>
    <row r="3597" spans="1:11" ht="25.5" x14ac:dyDescent="0.25">
      <c r="A3597" s="22">
        <v>2026</v>
      </c>
      <c r="B3597" s="28" t="s">
        <v>203</v>
      </c>
      <c r="C3597" s="28" t="s">
        <v>97</v>
      </c>
      <c r="D3597" s="28" t="s">
        <v>1703</v>
      </c>
      <c r="E3597" s="29" t="s">
        <v>569</v>
      </c>
      <c r="F3597" s="29" t="s">
        <v>298</v>
      </c>
      <c r="G3597" s="25" t="s">
        <v>5322</v>
      </c>
      <c r="H3597" s="26">
        <v>-1.0501575000000001</v>
      </c>
      <c r="I3597" s="26"/>
      <c r="J3597" s="26" t="s">
        <v>512</v>
      </c>
      <c r="K3597" s="25" t="s">
        <v>526</v>
      </c>
    </row>
    <row r="3598" spans="1:11" ht="25.5" x14ac:dyDescent="0.25">
      <c r="A3598" s="22">
        <v>2026</v>
      </c>
      <c r="B3598" s="28" t="s">
        <v>203</v>
      </c>
      <c r="C3598" s="28" t="s">
        <v>97</v>
      </c>
      <c r="D3598" s="28" t="s">
        <v>1703</v>
      </c>
      <c r="E3598" s="29" t="s">
        <v>569</v>
      </c>
      <c r="F3598" s="29" t="s">
        <v>298</v>
      </c>
      <c r="G3598" s="25" t="s">
        <v>5323</v>
      </c>
      <c r="H3598" s="26">
        <v>-0.69782500000000003</v>
      </c>
      <c r="I3598" s="26"/>
      <c r="J3598" s="26" t="s">
        <v>512</v>
      </c>
      <c r="K3598" s="25" t="s">
        <v>526</v>
      </c>
    </row>
    <row r="3599" spans="1:11" ht="25.5" x14ac:dyDescent="0.25">
      <c r="A3599" s="22">
        <v>2026</v>
      </c>
      <c r="B3599" s="28" t="s">
        <v>203</v>
      </c>
      <c r="C3599" s="28" t="s">
        <v>97</v>
      </c>
      <c r="D3599" s="28" t="s">
        <v>1703</v>
      </c>
      <c r="E3599" s="29" t="s">
        <v>569</v>
      </c>
      <c r="F3599" s="29" t="s">
        <v>298</v>
      </c>
      <c r="G3599" s="25" t="s">
        <v>5324</v>
      </c>
      <c r="H3599" s="26">
        <v>-0.69978499999999999</v>
      </c>
      <c r="I3599" s="26"/>
      <c r="J3599" s="26" t="s">
        <v>512</v>
      </c>
      <c r="K3599" s="25" t="s">
        <v>526</v>
      </c>
    </row>
    <row r="3600" spans="1:11" ht="25.5" x14ac:dyDescent="0.25">
      <c r="A3600" s="22">
        <v>2026</v>
      </c>
      <c r="B3600" s="28" t="s">
        <v>203</v>
      </c>
      <c r="C3600" s="28" t="s">
        <v>97</v>
      </c>
      <c r="D3600" s="28" t="s">
        <v>1704</v>
      </c>
      <c r="E3600" s="29" t="s">
        <v>1764</v>
      </c>
      <c r="F3600" s="29" t="s">
        <v>287</v>
      </c>
      <c r="G3600" s="25" t="s">
        <v>5325</v>
      </c>
      <c r="H3600" s="26">
        <v>-1.29246E-2</v>
      </c>
      <c r="I3600" s="26"/>
      <c r="J3600" s="26" t="s">
        <v>512</v>
      </c>
      <c r="K3600" s="25" t="s">
        <v>513</v>
      </c>
    </row>
    <row r="3601" spans="1:11" ht="25.5" x14ac:dyDescent="0.25">
      <c r="A3601" s="22">
        <v>2026</v>
      </c>
      <c r="B3601" s="28" t="s">
        <v>203</v>
      </c>
      <c r="C3601" s="28" t="s">
        <v>97</v>
      </c>
      <c r="D3601" s="28" t="s">
        <v>1704</v>
      </c>
      <c r="E3601" s="29" t="s">
        <v>1764</v>
      </c>
      <c r="F3601" s="29" t="s">
        <v>287</v>
      </c>
      <c r="G3601" s="25" t="s">
        <v>5326</v>
      </c>
      <c r="H3601" s="26">
        <v>-1.9723983200000003E-2</v>
      </c>
      <c r="I3601" s="26"/>
      <c r="J3601" s="26" t="s">
        <v>512</v>
      </c>
      <c r="K3601" s="25" t="s">
        <v>513</v>
      </c>
    </row>
    <row r="3602" spans="1:11" ht="25.5" x14ac:dyDescent="0.25">
      <c r="A3602" s="22">
        <v>2026</v>
      </c>
      <c r="B3602" s="28" t="s">
        <v>203</v>
      </c>
      <c r="C3602" s="28" t="s">
        <v>97</v>
      </c>
      <c r="D3602" s="28" t="s">
        <v>1705</v>
      </c>
      <c r="E3602" s="29" t="s">
        <v>1765</v>
      </c>
      <c r="F3602" s="29" t="s">
        <v>1766</v>
      </c>
      <c r="G3602" s="25" t="s">
        <v>5331</v>
      </c>
      <c r="H3602" s="26">
        <v>-4.5302879999999997E-2</v>
      </c>
      <c r="I3602" s="26"/>
      <c r="J3602" s="26" t="s">
        <v>514</v>
      </c>
      <c r="K3602" s="25" t="s">
        <v>513</v>
      </c>
    </row>
    <row r="3603" spans="1:11" ht="25.5" x14ac:dyDescent="0.25">
      <c r="A3603" s="22">
        <v>2026</v>
      </c>
      <c r="B3603" s="28" t="s">
        <v>203</v>
      </c>
      <c r="C3603" s="28" t="s">
        <v>97</v>
      </c>
      <c r="D3603" s="28" t="s">
        <v>1705</v>
      </c>
      <c r="E3603" s="29" t="s">
        <v>1765</v>
      </c>
      <c r="F3603" s="29" t="s">
        <v>1766</v>
      </c>
      <c r="G3603" s="25" t="s">
        <v>5332</v>
      </c>
      <c r="H3603" s="26">
        <v>-0.20891699999999999</v>
      </c>
      <c r="I3603" s="26"/>
      <c r="J3603" s="26" t="s">
        <v>514</v>
      </c>
      <c r="K3603" s="25" t="s">
        <v>513</v>
      </c>
    </row>
    <row r="3604" spans="1:11" ht="25.5" x14ac:dyDescent="0.25">
      <c r="A3604" s="22">
        <v>2026</v>
      </c>
      <c r="B3604" s="28" t="s">
        <v>203</v>
      </c>
      <c r="C3604" s="28" t="s">
        <v>97</v>
      </c>
      <c r="D3604" s="28" t="s">
        <v>1705</v>
      </c>
      <c r="E3604" s="29" t="s">
        <v>1765</v>
      </c>
      <c r="F3604" s="29" t="s">
        <v>1766</v>
      </c>
      <c r="G3604" s="25" t="s">
        <v>5333</v>
      </c>
      <c r="H3604" s="26">
        <v>-0.75878528140000001</v>
      </c>
      <c r="I3604" s="26"/>
      <c r="J3604" s="26" t="s">
        <v>514</v>
      </c>
      <c r="K3604" s="25" t="s">
        <v>513</v>
      </c>
    </row>
    <row r="3605" spans="1:11" ht="25.5" x14ac:dyDescent="0.25">
      <c r="A3605" s="22">
        <v>2026</v>
      </c>
      <c r="B3605" s="28" t="s">
        <v>203</v>
      </c>
      <c r="C3605" s="28" t="s">
        <v>97</v>
      </c>
      <c r="D3605" s="28" t="s">
        <v>1705</v>
      </c>
      <c r="E3605" s="29" t="s">
        <v>1765</v>
      </c>
      <c r="F3605" s="29" t="s">
        <v>1766</v>
      </c>
      <c r="G3605" s="25" t="s">
        <v>5334</v>
      </c>
      <c r="H3605" s="26">
        <v>-0.34190402400000003</v>
      </c>
      <c r="I3605" s="26"/>
      <c r="J3605" s="26" t="s">
        <v>514</v>
      </c>
      <c r="K3605" s="25" t="s">
        <v>513</v>
      </c>
    </row>
    <row r="3606" spans="1:11" ht="25.5" x14ac:dyDescent="0.25">
      <c r="A3606" s="22">
        <v>2026</v>
      </c>
      <c r="B3606" s="28" t="s">
        <v>203</v>
      </c>
      <c r="C3606" s="28" t="s">
        <v>97</v>
      </c>
      <c r="D3606" s="28" t="s">
        <v>1705</v>
      </c>
      <c r="E3606" s="29" t="s">
        <v>1765</v>
      </c>
      <c r="F3606" s="29" t="s">
        <v>1766</v>
      </c>
      <c r="G3606" s="25" t="s">
        <v>5335</v>
      </c>
      <c r="H3606" s="26">
        <v>-0.22276068299999999</v>
      </c>
      <c r="I3606" s="26"/>
      <c r="J3606" s="26" t="s">
        <v>514</v>
      </c>
      <c r="K3606" s="25" t="s">
        <v>513</v>
      </c>
    </row>
    <row r="3607" spans="1:11" ht="25.5" x14ac:dyDescent="0.25">
      <c r="A3607" s="22">
        <v>2026</v>
      </c>
      <c r="B3607" s="28" t="s">
        <v>203</v>
      </c>
      <c r="C3607" s="28" t="s">
        <v>97</v>
      </c>
      <c r="D3607" s="28" t="s">
        <v>1705</v>
      </c>
      <c r="E3607" s="29" t="s">
        <v>1765</v>
      </c>
      <c r="F3607" s="29" t="s">
        <v>1766</v>
      </c>
      <c r="G3607" s="25" t="s">
        <v>5336</v>
      </c>
      <c r="H3607" s="26">
        <v>-0.21349499999999999</v>
      </c>
      <c r="I3607" s="26"/>
      <c r="J3607" s="26" t="s">
        <v>514</v>
      </c>
      <c r="K3607" s="25" t="s">
        <v>513</v>
      </c>
    </row>
    <row r="3608" spans="1:11" ht="25.5" x14ac:dyDescent="0.25">
      <c r="A3608" s="22">
        <v>2026</v>
      </c>
      <c r="B3608" s="28" t="s">
        <v>203</v>
      </c>
      <c r="C3608" s="28" t="s">
        <v>97</v>
      </c>
      <c r="D3608" s="28" t="s">
        <v>1705</v>
      </c>
      <c r="E3608" s="29" t="s">
        <v>1765</v>
      </c>
      <c r="F3608" s="29" t="s">
        <v>1766</v>
      </c>
      <c r="G3608" s="25" t="s">
        <v>5337</v>
      </c>
      <c r="H3608" s="26">
        <v>-0.17463978000000002</v>
      </c>
      <c r="I3608" s="26"/>
      <c r="J3608" s="26" t="s">
        <v>514</v>
      </c>
      <c r="K3608" s="25" t="s">
        <v>513</v>
      </c>
    </row>
    <row r="3609" spans="1:11" ht="25.5" x14ac:dyDescent="0.25">
      <c r="A3609" s="22">
        <v>2026</v>
      </c>
      <c r="B3609" s="28" t="s">
        <v>203</v>
      </c>
      <c r="C3609" s="28" t="s">
        <v>97</v>
      </c>
      <c r="D3609" s="28" t="s">
        <v>1705</v>
      </c>
      <c r="E3609" s="29" t="s">
        <v>1765</v>
      </c>
      <c r="F3609" s="29" t="s">
        <v>1766</v>
      </c>
      <c r="G3609" s="25" t="s">
        <v>5338</v>
      </c>
      <c r="H3609" s="26">
        <v>-7.2506430000000011E-2</v>
      </c>
      <c r="I3609" s="26"/>
      <c r="J3609" s="26" t="s">
        <v>514</v>
      </c>
      <c r="K3609" s="25" t="s">
        <v>513</v>
      </c>
    </row>
    <row r="3610" spans="1:11" ht="25.5" x14ac:dyDescent="0.25">
      <c r="A3610" s="22">
        <v>2026</v>
      </c>
      <c r="B3610" s="28" t="s">
        <v>203</v>
      </c>
      <c r="C3610" s="28" t="s">
        <v>97</v>
      </c>
      <c r="D3610" s="28" t="s">
        <v>1706</v>
      </c>
      <c r="E3610" s="29" t="s">
        <v>1765</v>
      </c>
      <c r="F3610" s="29" t="s">
        <v>1766</v>
      </c>
      <c r="G3610" s="25" t="s">
        <v>5339</v>
      </c>
      <c r="H3610" s="26">
        <v>-6.3006251999999999E-2</v>
      </c>
      <c r="I3610" s="26"/>
      <c r="J3610" s="26" t="s">
        <v>514</v>
      </c>
      <c r="K3610" s="25" t="s">
        <v>513</v>
      </c>
    </row>
    <row r="3611" spans="1:11" ht="25.5" x14ac:dyDescent="0.25">
      <c r="A3611" s="22">
        <v>2026</v>
      </c>
      <c r="B3611" s="28" t="s">
        <v>203</v>
      </c>
      <c r="C3611" s="28" t="s">
        <v>97</v>
      </c>
      <c r="D3611" s="28" t="s">
        <v>1706</v>
      </c>
      <c r="E3611" s="29" t="s">
        <v>1765</v>
      </c>
      <c r="F3611" s="29" t="s">
        <v>1766</v>
      </c>
      <c r="G3611" s="25" t="s">
        <v>5340</v>
      </c>
      <c r="H3611" s="26">
        <v>-6.3003695999999998E-2</v>
      </c>
      <c r="I3611" s="26"/>
      <c r="J3611" s="26" t="s">
        <v>514</v>
      </c>
      <c r="K3611" s="25" t="s">
        <v>513</v>
      </c>
    </row>
    <row r="3612" spans="1:11" ht="25.5" x14ac:dyDescent="0.25">
      <c r="A3612" s="22">
        <v>2026</v>
      </c>
      <c r="B3612" s="28" t="s">
        <v>203</v>
      </c>
      <c r="C3612" s="28" t="s">
        <v>97</v>
      </c>
      <c r="D3612" s="28" t="s">
        <v>1706</v>
      </c>
      <c r="E3612" s="29" t="s">
        <v>1765</v>
      </c>
      <c r="F3612" s="29" t="s">
        <v>1766</v>
      </c>
      <c r="G3612" s="25" t="s">
        <v>5341</v>
      </c>
      <c r="H3612" s="26">
        <v>-4.8444396000000001E-2</v>
      </c>
      <c r="I3612" s="26"/>
      <c r="J3612" s="26" t="s">
        <v>514</v>
      </c>
      <c r="K3612" s="25" t="s">
        <v>513</v>
      </c>
    </row>
    <row r="3613" spans="1:11" ht="25.5" x14ac:dyDescent="0.25">
      <c r="A3613" s="22">
        <v>2026</v>
      </c>
      <c r="B3613" s="28" t="s">
        <v>203</v>
      </c>
      <c r="C3613" s="28" t="s">
        <v>97</v>
      </c>
      <c r="D3613" s="28" t="s">
        <v>1706</v>
      </c>
      <c r="E3613" s="29" t="s">
        <v>1765</v>
      </c>
      <c r="F3613" s="29" t="s">
        <v>1766</v>
      </c>
      <c r="G3613" s="25" t="s">
        <v>5342</v>
      </c>
      <c r="H3613" s="26">
        <v>-6.4542823999999999E-2</v>
      </c>
      <c r="I3613" s="26"/>
      <c r="J3613" s="26" t="s">
        <v>514</v>
      </c>
      <c r="K3613" s="25" t="s">
        <v>513</v>
      </c>
    </row>
    <row r="3614" spans="1:11" ht="25.5" x14ac:dyDescent="0.25">
      <c r="A3614" s="22">
        <v>2026</v>
      </c>
      <c r="B3614" s="28" t="s">
        <v>203</v>
      </c>
      <c r="C3614" s="28" t="s">
        <v>97</v>
      </c>
      <c r="D3614" s="28" t="s">
        <v>1706</v>
      </c>
      <c r="E3614" s="29" t="s">
        <v>1765</v>
      </c>
      <c r="F3614" s="29" t="s">
        <v>1766</v>
      </c>
      <c r="G3614" s="25" t="s">
        <v>5343</v>
      </c>
      <c r="H3614" s="26">
        <v>-3.6846057416E-2</v>
      </c>
      <c r="I3614" s="26"/>
      <c r="J3614" s="26" t="s">
        <v>514</v>
      </c>
      <c r="K3614" s="25" t="s">
        <v>513</v>
      </c>
    </row>
    <row r="3615" spans="1:11" ht="25.5" x14ac:dyDescent="0.25">
      <c r="A3615" s="22">
        <v>2026</v>
      </c>
      <c r="B3615" s="28" t="s">
        <v>203</v>
      </c>
      <c r="C3615" s="28" t="s">
        <v>97</v>
      </c>
      <c r="D3615" s="28" t="s">
        <v>1706</v>
      </c>
      <c r="E3615" s="29" t="s">
        <v>1765</v>
      </c>
      <c r="F3615" s="29" t="s">
        <v>1766</v>
      </c>
      <c r="G3615" s="25" t="s">
        <v>5344</v>
      </c>
      <c r="H3615" s="26">
        <v>-1.6152273999999998E-2</v>
      </c>
      <c r="I3615" s="26"/>
      <c r="J3615" s="26" t="s">
        <v>514</v>
      </c>
      <c r="K3615" s="25" t="s">
        <v>513</v>
      </c>
    </row>
    <row r="3616" spans="1:11" ht="25.5" x14ac:dyDescent="0.25">
      <c r="A3616" s="22">
        <v>2026</v>
      </c>
      <c r="B3616" s="28" t="s">
        <v>203</v>
      </c>
      <c r="C3616" s="28" t="s">
        <v>97</v>
      </c>
      <c r="D3616" s="28" t="s">
        <v>1797</v>
      </c>
      <c r="E3616" s="29" t="s">
        <v>1805</v>
      </c>
      <c r="F3616" s="29" t="s">
        <v>431</v>
      </c>
      <c r="G3616" s="25" t="s">
        <v>5345</v>
      </c>
      <c r="H3616" s="26">
        <v>-0.70094321999999998</v>
      </c>
      <c r="I3616" s="26"/>
      <c r="J3616" s="26" t="s">
        <v>512</v>
      </c>
      <c r="K3616" s="25" t="s">
        <v>513</v>
      </c>
    </row>
    <row r="3617" spans="1:11" ht="25.5" x14ac:dyDescent="0.25">
      <c r="A3617" s="22">
        <v>2026</v>
      </c>
      <c r="B3617" s="28" t="s">
        <v>203</v>
      </c>
      <c r="C3617" s="28" t="s">
        <v>97</v>
      </c>
      <c r="D3617" s="28" t="s">
        <v>1797</v>
      </c>
      <c r="E3617" s="29" t="s">
        <v>1805</v>
      </c>
      <c r="F3617" s="29" t="s">
        <v>431</v>
      </c>
      <c r="G3617" s="25" t="s">
        <v>5346</v>
      </c>
      <c r="H3617" s="26">
        <v>-7.0070419999999994E-2</v>
      </c>
      <c r="I3617" s="26"/>
      <c r="J3617" s="26" t="s">
        <v>512</v>
      </c>
      <c r="K3617" s="25" t="s">
        <v>513</v>
      </c>
    </row>
    <row r="3618" spans="1:11" ht="25.5" x14ac:dyDescent="0.25">
      <c r="A3618" s="22">
        <v>2026</v>
      </c>
      <c r="B3618" s="28" t="s">
        <v>203</v>
      </c>
      <c r="C3618" s="28" t="s">
        <v>97</v>
      </c>
      <c r="D3618" s="28" t="s">
        <v>1797</v>
      </c>
      <c r="E3618" s="29" t="s">
        <v>1805</v>
      </c>
      <c r="F3618" s="29" t="s">
        <v>431</v>
      </c>
      <c r="G3618" s="25" t="s">
        <v>5347</v>
      </c>
      <c r="H3618" s="26">
        <v>-0.181535432</v>
      </c>
      <c r="I3618" s="26"/>
      <c r="J3618" s="26" t="s">
        <v>512</v>
      </c>
      <c r="K3618" s="25" t="s">
        <v>513</v>
      </c>
    </row>
    <row r="3619" spans="1:11" ht="25.5" x14ac:dyDescent="0.25">
      <c r="A3619" s="22">
        <v>2026</v>
      </c>
      <c r="B3619" s="28" t="s">
        <v>203</v>
      </c>
      <c r="C3619" s="28" t="s">
        <v>97</v>
      </c>
      <c r="D3619" s="28" t="s">
        <v>1797</v>
      </c>
      <c r="E3619" s="29" t="s">
        <v>1805</v>
      </c>
      <c r="F3619" s="29" t="s">
        <v>431</v>
      </c>
      <c r="G3619" s="25" t="s">
        <v>5348</v>
      </c>
      <c r="H3619" s="26">
        <v>-0.45388745999999935</v>
      </c>
      <c r="I3619" s="26"/>
      <c r="J3619" s="26" t="s">
        <v>512</v>
      </c>
      <c r="K3619" s="25" t="s">
        <v>513</v>
      </c>
    </row>
    <row r="3620" spans="1:11" ht="25.5" x14ac:dyDescent="0.25">
      <c r="A3620" s="22">
        <v>2026</v>
      </c>
      <c r="B3620" s="28" t="s">
        <v>203</v>
      </c>
      <c r="C3620" s="28" t="s">
        <v>97</v>
      </c>
      <c r="D3620" s="28" t="s">
        <v>1797</v>
      </c>
      <c r="E3620" s="29" t="s">
        <v>1805</v>
      </c>
      <c r="F3620" s="29" t="s">
        <v>431</v>
      </c>
      <c r="G3620" s="25" t="s">
        <v>5349</v>
      </c>
      <c r="H3620" s="26">
        <v>-0.69149079000000002</v>
      </c>
      <c r="I3620" s="26"/>
      <c r="J3620" s="26" t="s">
        <v>512</v>
      </c>
      <c r="K3620" s="25" t="s">
        <v>513</v>
      </c>
    </row>
    <row r="3621" spans="1:11" ht="25.5" x14ac:dyDescent="0.25">
      <c r="A3621" s="22">
        <v>2026</v>
      </c>
      <c r="B3621" s="28" t="s">
        <v>203</v>
      </c>
      <c r="C3621" s="28" t="s">
        <v>97</v>
      </c>
      <c r="D3621" s="28" t="s">
        <v>1797</v>
      </c>
      <c r="E3621" s="29" t="s">
        <v>1805</v>
      </c>
      <c r="F3621" s="29" t="s">
        <v>431</v>
      </c>
      <c r="G3621" s="25" t="s">
        <v>5350</v>
      </c>
      <c r="H3621" s="26">
        <v>-0.24270658999999967</v>
      </c>
      <c r="I3621" s="26"/>
      <c r="J3621" s="26" t="s">
        <v>512</v>
      </c>
      <c r="K3621" s="25" t="s">
        <v>513</v>
      </c>
    </row>
    <row r="3622" spans="1:11" ht="25.5" x14ac:dyDescent="0.25">
      <c r="A3622" s="22">
        <v>2026</v>
      </c>
      <c r="B3622" s="28" t="s">
        <v>203</v>
      </c>
      <c r="C3622" s="28" t="s">
        <v>97</v>
      </c>
      <c r="D3622" s="28" t="s">
        <v>1797</v>
      </c>
      <c r="E3622" s="29" t="s">
        <v>1805</v>
      </c>
      <c r="F3622" s="29" t="s">
        <v>431</v>
      </c>
      <c r="G3622" s="25" t="s">
        <v>5351</v>
      </c>
      <c r="H3622" s="26">
        <v>-0.64092087274999998</v>
      </c>
      <c r="I3622" s="26"/>
      <c r="J3622" s="26" t="s">
        <v>512</v>
      </c>
      <c r="K3622" s="25" t="s">
        <v>513</v>
      </c>
    </row>
    <row r="3623" spans="1:11" ht="25.5" x14ac:dyDescent="0.25">
      <c r="A3623" s="22">
        <v>2026</v>
      </c>
      <c r="B3623" s="28" t="s">
        <v>203</v>
      </c>
      <c r="C3623" s="28" t="s">
        <v>97</v>
      </c>
      <c r="D3623" s="28" t="s">
        <v>224</v>
      </c>
      <c r="E3623" s="29" t="s">
        <v>411</v>
      </c>
      <c r="F3623" s="29" t="s">
        <v>350</v>
      </c>
      <c r="G3623" s="25" t="s">
        <v>5352</v>
      </c>
      <c r="H3623" s="26">
        <v>-1.8694499999999998</v>
      </c>
      <c r="I3623" s="26"/>
      <c r="J3623" s="26" t="s">
        <v>512</v>
      </c>
      <c r="K3623" s="25" t="s">
        <v>513</v>
      </c>
    </row>
    <row r="3624" spans="1:11" ht="25.5" x14ac:dyDescent="0.25">
      <c r="A3624" s="22">
        <v>2026</v>
      </c>
      <c r="B3624" s="28" t="s">
        <v>203</v>
      </c>
      <c r="C3624" s="28" t="s">
        <v>97</v>
      </c>
      <c r="D3624" s="28" t="s">
        <v>224</v>
      </c>
      <c r="E3624" s="29" t="s">
        <v>411</v>
      </c>
      <c r="F3624" s="29" t="s">
        <v>350</v>
      </c>
      <c r="G3624" s="25" t="s">
        <v>5353</v>
      </c>
      <c r="H3624" s="26">
        <v>-0.191856</v>
      </c>
      <c r="I3624" s="26"/>
      <c r="J3624" s="26" t="s">
        <v>512</v>
      </c>
      <c r="K3624" s="25" t="s">
        <v>513</v>
      </c>
    </row>
    <row r="3625" spans="1:11" ht="25.5" x14ac:dyDescent="0.25">
      <c r="A3625" s="22">
        <v>2026</v>
      </c>
      <c r="B3625" s="28" t="s">
        <v>203</v>
      </c>
      <c r="C3625" s="28" t="s">
        <v>97</v>
      </c>
      <c r="D3625" s="28" t="s">
        <v>224</v>
      </c>
      <c r="E3625" s="29" t="s">
        <v>411</v>
      </c>
      <c r="F3625" s="29" t="s">
        <v>350</v>
      </c>
      <c r="G3625" s="25" t="s">
        <v>5354</v>
      </c>
      <c r="H3625" s="26">
        <v>-1.055952</v>
      </c>
      <c r="I3625" s="26"/>
      <c r="J3625" s="26" t="s">
        <v>512</v>
      </c>
      <c r="K3625" s="25" t="s">
        <v>513</v>
      </c>
    </row>
    <row r="3626" spans="1:11" ht="25.5" x14ac:dyDescent="0.25">
      <c r="A3626" s="22">
        <v>2026</v>
      </c>
      <c r="B3626" s="28" t="s">
        <v>203</v>
      </c>
      <c r="C3626" s="28" t="s">
        <v>97</v>
      </c>
      <c r="D3626" s="28" t="s">
        <v>224</v>
      </c>
      <c r="E3626" s="29" t="s">
        <v>411</v>
      </c>
      <c r="F3626" s="29" t="s">
        <v>350</v>
      </c>
      <c r="G3626" s="25" t="s">
        <v>5355</v>
      </c>
      <c r="H3626" s="26">
        <v>-1.11184825</v>
      </c>
      <c r="I3626" s="26"/>
      <c r="J3626" s="26" t="s">
        <v>512</v>
      </c>
      <c r="K3626" s="25" t="s">
        <v>513</v>
      </c>
    </row>
    <row r="3627" spans="1:11" ht="25.5" x14ac:dyDescent="0.25">
      <c r="A3627" s="22">
        <v>2026</v>
      </c>
      <c r="B3627" s="28" t="s">
        <v>203</v>
      </c>
      <c r="C3627" s="28" t="s">
        <v>97</v>
      </c>
      <c r="D3627" s="28" t="s">
        <v>1707</v>
      </c>
      <c r="E3627" s="29" t="s">
        <v>369</v>
      </c>
      <c r="F3627" s="29" t="s">
        <v>378</v>
      </c>
      <c r="G3627" s="25" t="s">
        <v>5356</v>
      </c>
      <c r="H3627" s="26">
        <v>-5.5580999999999998E-2</v>
      </c>
      <c r="I3627" s="26"/>
      <c r="J3627" s="26" t="s">
        <v>512</v>
      </c>
      <c r="K3627" s="25" t="s">
        <v>513</v>
      </c>
    </row>
    <row r="3628" spans="1:11" ht="25.5" x14ac:dyDescent="0.25">
      <c r="A3628" s="22">
        <v>2026</v>
      </c>
      <c r="B3628" s="28" t="s">
        <v>203</v>
      </c>
      <c r="C3628" s="28" t="s">
        <v>97</v>
      </c>
      <c r="D3628" s="28" t="s">
        <v>1707</v>
      </c>
      <c r="E3628" s="29" t="s">
        <v>369</v>
      </c>
      <c r="F3628" s="29" t="s">
        <v>378</v>
      </c>
      <c r="G3628" s="25" t="s">
        <v>5357</v>
      </c>
      <c r="H3628" s="26">
        <v>-0.42167399999999999</v>
      </c>
      <c r="I3628" s="26"/>
      <c r="J3628" s="26" t="s">
        <v>512</v>
      </c>
      <c r="K3628" s="25" t="s">
        <v>513</v>
      </c>
    </row>
    <row r="3629" spans="1:11" ht="25.5" x14ac:dyDescent="0.25">
      <c r="A3629" s="22">
        <v>2026</v>
      </c>
      <c r="B3629" s="28" t="s">
        <v>203</v>
      </c>
      <c r="C3629" s="28" t="s">
        <v>97</v>
      </c>
      <c r="D3629" s="28" t="s">
        <v>1707</v>
      </c>
      <c r="E3629" s="29" t="s">
        <v>369</v>
      </c>
      <c r="F3629" s="29" t="s">
        <v>378</v>
      </c>
      <c r="G3629" s="25" t="s">
        <v>5358</v>
      </c>
      <c r="H3629" s="26">
        <v>-0.1152</v>
      </c>
      <c r="I3629" s="26"/>
      <c r="J3629" s="26" t="s">
        <v>512</v>
      </c>
      <c r="K3629" s="25" t="s">
        <v>513</v>
      </c>
    </row>
    <row r="3630" spans="1:11" ht="25.5" x14ac:dyDescent="0.25">
      <c r="A3630" s="22">
        <v>2026</v>
      </c>
      <c r="B3630" s="28" t="s">
        <v>203</v>
      </c>
      <c r="C3630" s="28" t="s">
        <v>97</v>
      </c>
      <c r="D3630" s="28" t="s">
        <v>1708</v>
      </c>
      <c r="E3630" s="29" t="s">
        <v>369</v>
      </c>
      <c r="F3630" s="29" t="s">
        <v>483</v>
      </c>
      <c r="G3630" s="25" t="s">
        <v>5359</v>
      </c>
      <c r="H3630" s="26">
        <v>-7.8649499999999997E-2</v>
      </c>
      <c r="I3630" s="26"/>
      <c r="J3630" s="26" t="s">
        <v>512</v>
      </c>
      <c r="K3630" s="25" t="s">
        <v>513</v>
      </c>
    </row>
    <row r="3631" spans="1:11" ht="25.5" x14ac:dyDescent="0.25">
      <c r="A3631" s="22">
        <v>2026</v>
      </c>
      <c r="B3631" s="28" t="s">
        <v>203</v>
      </c>
      <c r="C3631" s="28" t="s">
        <v>97</v>
      </c>
      <c r="D3631" s="28" t="s">
        <v>1708</v>
      </c>
      <c r="E3631" s="29" t="s">
        <v>369</v>
      </c>
      <c r="F3631" s="29" t="s">
        <v>483</v>
      </c>
      <c r="G3631" s="25" t="s">
        <v>5360</v>
      </c>
      <c r="H3631" s="26">
        <v>-0.18814249999999999</v>
      </c>
      <c r="I3631" s="26"/>
      <c r="J3631" s="26" t="s">
        <v>512</v>
      </c>
      <c r="K3631" s="25" t="s">
        <v>513</v>
      </c>
    </row>
    <row r="3632" spans="1:11" ht="25.5" x14ac:dyDescent="0.25">
      <c r="A3632" s="22">
        <v>2026</v>
      </c>
      <c r="B3632" s="28" t="s">
        <v>203</v>
      </c>
      <c r="C3632" s="28" t="s">
        <v>97</v>
      </c>
      <c r="D3632" s="28" t="s">
        <v>1708</v>
      </c>
      <c r="E3632" s="29" t="s">
        <v>369</v>
      </c>
      <c r="F3632" s="29" t="s">
        <v>483</v>
      </c>
      <c r="G3632" s="25" t="s">
        <v>5361</v>
      </c>
      <c r="H3632" s="26">
        <v>-0.26726</v>
      </c>
      <c r="I3632" s="26"/>
      <c r="J3632" s="26" t="s">
        <v>512</v>
      </c>
      <c r="K3632" s="25" t="s">
        <v>513</v>
      </c>
    </row>
    <row r="3633" spans="1:11" ht="25.5" x14ac:dyDescent="0.25">
      <c r="A3633" s="22">
        <v>2026</v>
      </c>
      <c r="B3633" s="28" t="s">
        <v>203</v>
      </c>
      <c r="C3633" s="28" t="s">
        <v>97</v>
      </c>
      <c r="D3633" s="28" t="s">
        <v>1708</v>
      </c>
      <c r="E3633" s="29" t="s">
        <v>369</v>
      </c>
      <c r="F3633" s="29" t="s">
        <v>483</v>
      </c>
      <c r="G3633" s="25" t="s">
        <v>5362</v>
      </c>
      <c r="H3633" s="26">
        <v>-0.13410749999999999</v>
      </c>
      <c r="I3633" s="26"/>
      <c r="J3633" s="26" t="s">
        <v>512</v>
      </c>
      <c r="K3633" s="25" t="s">
        <v>513</v>
      </c>
    </row>
    <row r="3634" spans="1:11" ht="25.5" x14ac:dyDescent="0.25">
      <c r="A3634" s="22">
        <v>2026</v>
      </c>
      <c r="B3634" s="28" t="s">
        <v>203</v>
      </c>
      <c r="C3634" s="28" t="s">
        <v>97</v>
      </c>
      <c r="D3634" s="28" t="s">
        <v>1708</v>
      </c>
      <c r="E3634" s="29" t="s">
        <v>369</v>
      </c>
      <c r="F3634" s="29" t="s">
        <v>483</v>
      </c>
      <c r="G3634" s="25" t="s">
        <v>5363</v>
      </c>
      <c r="H3634" s="26">
        <v>-3.34524E-2</v>
      </c>
      <c r="I3634" s="26"/>
      <c r="J3634" s="26" t="s">
        <v>512</v>
      </c>
      <c r="K3634" s="25" t="s">
        <v>513</v>
      </c>
    </row>
    <row r="3635" spans="1:11" ht="25.5" x14ac:dyDescent="0.25">
      <c r="A3635" s="22">
        <v>2026</v>
      </c>
      <c r="B3635" s="28" t="s">
        <v>203</v>
      </c>
      <c r="C3635" s="28" t="s">
        <v>97</v>
      </c>
      <c r="D3635" s="28" t="s">
        <v>1708</v>
      </c>
      <c r="E3635" s="29" t="s">
        <v>369</v>
      </c>
      <c r="F3635" s="29" t="s">
        <v>483</v>
      </c>
      <c r="G3635" s="25" t="s">
        <v>5364</v>
      </c>
      <c r="H3635" s="26">
        <v>-0.13815250000000001</v>
      </c>
      <c r="I3635" s="26"/>
      <c r="J3635" s="26" t="s">
        <v>512</v>
      </c>
      <c r="K3635" s="25" t="s">
        <v>513</v>
      </c>
    </row>
    <row r="3636" spans="1:11" ht="25.5" x14ac:dyDescent="0.25">
      <c r="A3636" s="22">
        <v>2026</v>
      </c>
      <c r="B3636" s="28" t="s">
        <v>203</v>
      </c>
      <c r="C3636" s="28" t="s">
        <v>97</v>
      </c>
      <c r="D3636" s="28" t="s">
        <v>1708</v>
      </c>
      <c r="E3636" s="29" t="s">
        <v>369</v>
      </c>
      <c r="F3636" s="29" t="s">
        <v>483</v>
      </c>
      <c r="G3636" s="25" t="s">
        <v>5365</v>
      </c>
      <c r="H3636" s="26">
        <v>-0.14009750000000001</v>
      </c>
      <c r="I3636" s="26"/>
      <c r="J3636" s="26" t="s">
        <v>512</v>
      </c>
      <c r="K3636" s="25" t="s">
        <v>513</v>
      </c>
    </row>
    <row r="3637" spans="1:11" ht="25.5" x14ac:dyDescent="0.25">
      <c r="A3637" s="22">
        <v>2026</v>
      </c>
      <c r="B3637" s="28" t="s">
        <v>203</v>
      </c>
      <c r="C3637" s="28" t="s">
        <v>97</v>
      </c>
      <c r="D3637" s="28" t="s">
        <v>1708</v>
      </c>
      <c r="E3637" s="29" t="s">
        <v>369</v>
      </c>
      <c r="F3637" s="29" t="s">
        <v>483</v>
      </c>
      <c r="G3637" s="25" t="s">
        <v>5366</v>
      </c>
      <c r="H3637" s="26">
        <v>-8.3676E-2</v>
      </c>
      <c r="I3637" s="26"/>
      <c r="J3637" s="26" t="s">
        <v>512</v>
      </c>
      <c r="K3637" s="25" t="s">
        <v>513</v>
      </c>
    </row>
    <row r="3638" spans="1:11" ht="25.5" x14ac:dyDescent="0.25">
      <c r="A3638" s="22">
        <v>2026</v>
      </c>
      <c r="B3638" s="28" t="s">
        <v>203</v>
      </c>
      <c r="C3638" s="28" t="s">
        <v>97</v>
      </c>
      <c r="D3638" s="28" t="s">
        <v>1708</v>
      </c>
      <c r="E3638" s="29" t="s">
        <v>369</v>
      </c>
      <c r="F3638" s="29" t="s">
        <v>483</v>
      </c>
      <c r="G3638" s="25" t="s">
        <v>5367</v>
      </c>
      <c r="H3638" s="26">
        <v>-0.1422525</v>
      </c>
      <c r="I3638" s="26"/>
      <c r="J3638" s="26" t="s">
        <v>512</v>
      </c>
      <c r="K3638" s="25" t="s">
        <v>513</v>
      </c>
    </row>
    <row r="3639" spans="1:11" ht="25.5" x14ac:dyDescent="0.25">
      <c r="A3639" s="22">
        <v>2026</v>
      </c>
      <c r="B3639" s="28" t="s">
        <v>203</v>
      </c>
      <c r="C3639" s="28" t="s">
        <v>97</v>
      </c>
      <c r="D3639" s="28" t="s">
        <v>1708</v>
      </c>
      <c r="E3639" s="29" t="s">
        <v>369</v>
      </c>
      <c r="F3639" s="29" t="s">
        <v>483</v>
      </c>
      <c r="G3639" s="25" t="s">
        <v>5368</v>
      </c>
      <c r="H3639" s="26">
        <v>-0.14171500000000001</v>
      </c>
      <c r="I3639" s="26"/>
      <c r="J3639" s="26" t="s">
        <v>512</v>
      </c>
      <c r="K3639" s="25" t="s">
        <v>513</v>
      </c>
    </row>
    <row r="3640" spans="1:11" ht="25.5" x14ac:dyDescent="0.25">
      <c r="A3640" s="22">
        <v>2026</v>
      </c>
      <c r="B3640" s="28" t="s">
        <v>203</v>
      </c>
      <c r="C3640" s="28" t="s">
        <v>97</v>
      </c>
      <c r="D3640" s="28" t="s">
        <v>1708</v>
      </c>
      <c r="E3640" s="29" t="s">
        <v>369</v>
      </c>
      <c r="F3640" s="29" t="s">
        <v>483</v>
      </c>
      <c r="G3640" s="25" t="s">
        <v>5369</v>
      </c>
      <c r="H3640" s="26">
        <v>-0.14187</v>
      </c>
      <c r="I3640" s="26"/>
      <c r="J3640" s="26" t="s">
        <v>512</v>
      </c>
      <c r="K3640" s="25" t="s">
        <v>513</v>
      </c>
    </row>
    <row r="3641" spans="1:11" ht="25.5" x14ac:dyDescent="0.25">
      <c r="A3641" s="22">
        <v>2026</v>
      </c>
      <c r="B3641" s="28" t="s">
        <v>203</v>
      </c>
      <c r="C3641" s="28" t="s">
        <v>97</v>
      </c>
      <c r="D3641" s="28" t="s">
        <v>1708</v>
      </c>
      <c r="E3641" s="29" t="s">
        <v>369</v>
      </c>
      <c r="F3641" s="29" t="s">
        <v>483</v>
      </c>
      <c r="G3641" s="25" t="s">
        <v>5370</v>
      </c>
      <c r="H3641" s="26">
        <v>-6.7690311000000003E-2</v>
      </c>
      <c r="I3641" s="26"/>
      <c r="J3641" s="26" t="s">
        <v>512</v>
      </c>
      <c r="K3641" s="25" t="s">
        <v>513</v>
      </c>
    </row>
    <row r="3642" spans="1:11" ht="25.5" x14ac:dyDescent="0.25">
      <c r="A3642" s="22">
        <v>2026</v>
      </c>
      <c r="B3642" s="28" t="s">
        <v>203</v>
      </c>
      <c r="C3642" s="28" t="s">
        <v>97</v>
      </c>
      <c r="D3642" s="28" t="s">
        <v>1708</v>
      </c>
      <c r="E3642" s="29" t="s">
        <v>369</v>
      </c>
      <c r="F3642" s="29" t="s">
        <v>483</v>
      </c>
      <c r="G3642" s="25" t="s">
        <v>5371</v>
      </c>
      <c r="H3642" s="26">
        <v>-0.14270749999999999</v>
      </c>
      <c r="I3642" s="26"/>
      <c r="J3642" s="26" t="s">
        <v>512</v>
      </c>
      <c r="K3642" s="25" t="s">
        <v>513</v>
      </c>
    </row>
    <row r="3643" spans="1:11" ht="25.5" x14ac:dyDescent="0.25">
      <c r="A3643" s="22">
        <v>2026</v>
      </c>
      <c r="B3643" s="28" t="s">
        <v>203</v>
      </c>
      <c r="C3643" s="28" t="s">
        <v>97</v>
      </c>
      <c r="D3643" s="28" t="s">
        <v>1708</v>
      </c>
      <c r="E3643" s="29" t="s">
        <v>369</v>
      </c>
      <c r="F3643" s="29" t="s">
        <v>483</v>
      </c>
      <c r="G3643" s="25" t="s">
        <v>5372</v>
      </c>
      <c r="H3643" s="26">
        <v>-0.14226749999999999</v>
      </c>
      <c r="I3643" s="26"/>
      <c r="J3643" s="26" t="s">
        <v>512</v>
      </c>
      <c r="K3643" s="25" t="s">
        <v>513</v>
      </c>
    </row>
    <row r="3644" spans="1:11" ht="25.5" x14ac:dyDescent="0.25">
      <c r="A3644" s="22">
        <v>2026</v>
      </c>
      <c r="B3644" s="28" t="s">
        <v>203</v>
      </c>
      <c r="C3644" s="28" t="s">
        <v>97</v>
      </c>
      <c r="D3644" s="28" t="s">
        <v>1708</v>
      </c>
      <c r="E3644" s="29" t="s">
        <v>369</v>
      </c>
      <c r="F3644" s="29" t="s">
        <v>483</v>
      </c>
      <c r="G3644" s="25" t="s">
        <v>5373</v>
      </c>
      <c r="H3644" s="26">
        <v>-0.1404725</v>
      </c>
      <c r="I3644" s="26"/>
      <c r="J3644" s="26" t="s">
        <v>512</v>
      </c>
      <c r="K3644" s="25" t="s">
        <v>513</v>
      </c>
    </row>
    <row r="3645" spans="1:11" ht="25.5" x14ac:dyDescent="0.25">
      <c r="A3645" s="22">
        <v>2026</v>
      </c>
      <c r="B3645" s="28" t="s">
        <v>203</v>
      </c>
      <c r="C3645" s="28" t="s">
        <v>97</v>
      </c>
      <c r="D3645" s="28" t="s">
        <v>1708</v>
      </c>
      <c r="E3645" s="29" t="s">
        <v>369</v>
      </c>
      <c r="F3645" s="29" t="s">
        <v>483</v>
      </c>
      <c r="G3645" s="25" t="s">
        <v>5374</v>
      </c>
      <c r="H3645" s="26">
        <v>-8.1542266000000002E-2</v>
      </c>
      <c r="I3645" s="26"/>
      <c r="J3645" s="26" t="s">
        <v>512</v>
      </c>
      <c r="K3645" s="25" t="s">
        <v>513</v>
      </c>
    </row>
    <row r="3646" spans="1:11" ht="25.5" x14ac:dyDescent="0.25">
      <c r="A3646" s="22">
        <v>2026</v>
      </c>
      <c r="B3646" s="28" t="s">
        <v>203</v>
      </c>
      <c r="C3646" s="28" t="s">
        <v>97</v>
      </c>
      <c r="D3646" s="28" t="s">
        <v>1708</v>
      </c>
      <c r="E3646" s="29" t="s">
        <v>369</v>
      </c>
      <c r="F3646" s="29" t="s">
        <v>483</v>
      </c>
      <c r="G3646" s="25" t="s">
        <v>5375</v>
      </c>
      <c r="H3646" s="26">
        <v>-9.4433802199999986E-2</v>
      </c>
      <c r="I3646" s="26"/>
      <c r="J3646" s="26" t="s">
        <v>512</v>
      </c>
      <c r="K3646" s="25" t="s">
        <v>513</v>
      </c>
    </row>
    <row r="3647" spans="1:11" ht="25.5" x14ac:dyDescent="0.25">
      <c r="A3647" s="22">
        <v>2026</v>
      </c>
      <c r="B3647" s="28" t="s">
        <v>203</v>
      </c>
      <c r="C3647" s="28" t="s">
        <v>97</v>
      </c>
      <c r="D3647" s="28" t="s">
        <v>1708</v>
      </c>
      <c r="E3647" s="29" t="s">
        <v>369</v>
      </c>
      <c r="F3647" s="29" t="s">
        <v>483</v>
      </c>
      <c r="G3647" s="25" t="s">
        <v>5376</v>
      </c>
      <c r="H3647" s="26">
        <v>-0.13909250000000001</v>
      </c>
      <c r="I3647" s="26"/>
      <c r="J3647" s="26" t="s">
        <v>512</v>
      </c>
      <c r="K3647" s="25" t="s">
        <v>513</v>
      </c>
    </row>
    <row r="3648" spans="1:11" ht="25.5" x14ac:dyDescent="0.25">
      <c r="A3648" s="22">
        <v>2026</v>
      </c>
      <c r="B3648" s="28" t="s">
        <v>203</v>
      </c>
      <c r="C3648" s="28" t="s">
        <v>97</v>
      </c>
      <c r="D3648" s="28" t="s">
        <v>1708</v>
      </c>
      <c r="E3648" s="29" t="s">
        <v>369</v>
      </c>
      <c r="F3648" s="29" t="s">
        <v>483</v>
      </c>
      <c r="G3648" s="25" t="s">
        <v>5377</v>
      </c>
      <c r="H3648" s="26">
        <v>-0.13786499999999999</v>
      </c>
      <c r="I3648" s="26"/>
      <c r="J3648" s="26" t="s">
        <v>512</v>
      </c>
      <c r="K3648" s="25" t="s">
        <v>513</v>
      </c>
    </row>
    <row r="3649" spans="1:11" ht="25.5" x14ac:dyDescent="0.25">
      <c r="A3649" s="22">
        <v>2026</v>
      </c>
      <c r="B3649" s="28" t="s">
        <v>203</v>
      </c>
      <c r="C3649" s="28" t="s">
        <v>97</v>
      </c>
      <c r="D3649" s="28" t="s">
        <v>1709</v>
      </c>
      <c r="E3649" s="29" t="s">
        <v>369</v>
      </c>
      <c r="F3649" s="29" t="s">
        <v>353</v>
      </c>
      <c r="G3649" s="25" t="s">
        <v>2061</v>
      </c>
      <c r="H3649" s="26">
        <v>-2.2599999999999995E-2</v>
      </c>
      <c r="I3649" s="26"/>
      <c r="J3649" s="26" t="s">
        <v>512</v>
      </c>
      <c r="K3649" s="25" t="s">
        <v>513</v>
      </c>
    </row>
    <row r="3650" spans="1:11" ht="25.5" x14ac:dyDescent="0.25">
      <c r="A3650" s="22">
        <v>2026</v>
      </c>
      <c r="B3650" s="28" t="s">
        <v>203</v>
      </c>
      <c r="C3650" s="28" t="s">
        <v>97</v>
      </c>
      <c r="D3650" s="28" t="s">
        <v>1709</v>
      </c>
      <c r="E3650" s="29" t="s">
        <v>369</v>
      </c>
      <c r="F3650" s="29" t="s">
        <v>353</v>
      </c>
      <c r="G3650" s="25" t="s">
        <v>3017</v>
      </c>
      <c r="H3650" s="26">
        <v>-2.3E-2</v>
      </c>
      <c r="I3650" s="26"/>
      <c r="J3650" s="26" t="s">
        <v>512</v>
      </c>
      <c r="K3650" s="25" t="s">
        <v>513</v>
      </c>
    </row>
    <row r="3651" spans="1:11" ht="25.5" x14ac:dyDescent="0.25">
      <c r="A3651" s="22">
        <v>2026</v>
      </c>
      <c r="B3651" s="28" t="s">
        <v>203</v>
      </c>
      <c r="C3651" s="28" t="s">
        <v>97</v>
      </c>
      <c r="D3651" s="28" t="s">
        <v>1709</v>
      </c>
      <c r="E3651" s="29" t="s">
        <v>369</v>
      </c>
      <c r="F3651" s="29" t="s">
        <v>353</v>
      </c>
      <c r="G3651" s="25" t="s">
        <v>5378</v>
      </c>
      <c r="H3651" s="26">
        <v>-2.3300000000000001E-2</v>
      </c>
      <c r="I3651" s="26"/>
      <c r="J3651" s="26" t="s">
        <v>512</v>
      </c>
      <c r="K3651" s="25" t="s">
        <v>513</v>
      </c>
    </row>
    <row r="3652" spans="1:11" ht="25.5" x14ac:dyDescent="0.25">
      <c r="A3652" s="22">
        <v>2026</v>
      </c>
      <c r="B3652" s="28" t="s">
        <v>203</v>
      </c>
      <c r="C3652" s="28" t="s">
        <v>97</v>
      </c>
      <c r="D3652" s="28" t="s">
        <v>1663</v>
      </c>
      <c r="E3652" s="29" t="s">
        <v>369</v>
      </c>
      <c r="F3652" s="29" t="s">
        <v>378</v>
      </c>
      <c r="G3652" s="25" t="s">
        <v>5379</v>
      </c>
      <c r="H3652" s="26">
        <v>-1.33274</v>
      </c>
      <c r="I3652" s="26"/>
      <c r="J3652" s="26" t="s">
        <v>512</v>
      </c>
      <c r="K3652" s="25" t="s">
        <v>513</v>
      </c>
    </row>
    <row r="3653" spans="1:11" ht="25.5" x14ac:dyDescent="0.25">
      <c r="A3653" s="22">
        <v>2026</v>
      </c>
      <c r="B3653" s="28" t="s">
        <v>203</v>
      </c>
      <c r="C3653" s="28" t="s">
        <v>97</v>
      </c>
      <c r="D3653" s="28" t="s">
        <v>1710</v>
      </c>
      <c r="E3653" s="29" t="s">
        <v>1767</v>
      </c>
      <c r="F3653" s="29" t="s">
        <v>564</v>
      </c>
      <c r="G3653" s="25" t="s">
        <v>5380</v>
      </c>
      <c r="H3653" s="26">
        <v>-0.13544999999999999</v>
      </c>
      <c r="I3653" s="26"/>
      <c r="J3653" s="26" t="s">
        <v>512</v>
      </c>
      <c r="K3653" s="25" t="s">
        <v>513</v>
      </c>
    </row>
    <row r="3654" spans="1:11" ht="25.5" x14ac:dyDescent="0.25">
      <c r="A3654" s="22">
        <v>2026</v>
      </c>
      <c r="B3654" s="28" t="s">
        <v>203</v>
      </c>
      <c r="C3654" s="28" t="s">
        <v>97</v>
      </c>
      <c r="D3654" s="28" t="s">
        <v>1710</v>
      </c>
      <c r="E3654" s="29" t="s">
        <v>1767</v>
      </c>
      <c r="F3654" s="29" t="s">
        <v>564</v>
      </c>
      <c r="G3654" s="25" t="s">
        <v>5381</v>
      </c>
      <c r="H3654" s="26">
        <v>-6.7485000000000003E-2</v>
      </c>
      <c r="I3654" s="26"/>
      <c r="J3654" s="26" t="s">
        <v>512</v>
      </c>
      <c r="K3654" s="25" t="s">
        <v>513</v>
      </c>
    </row>
    <row r="3655" spans="1:11" ht="25.5" x14ac:dyDescent="0.25">
      <c r="A3655" s="22">
        <v>2026</v>
      </c>
      <c r="B3655" s="28" t="s">
        <v>203</v>
      </c>
      <c r="C3655" s="28" t="s">
        <v>97</v>
      </c>
      <c r="D3655" s="28" t="s">
        <v>1710</v>
      </c>
      <c r="E3655" s="29" t="s">
        <v>1767</v>
      </c>
      <c r="F3655" s="29" t="s">
        <v>564</v>
      </c>
      <c r="G3655" s="25" t="s">
        <v>5382</v>
      </c>
      <c r="H3655" s="26">
        <v>-0.138236</v>
      </c>
      <c r="I3655" s="26"/>
      <c r="J3655" s="26" t="s">
        <v>512</v>
      </c>
      <c r="K3655" s="25" t="s">
        <v>513</v>
      </c>
    </row>
    <row r="3656" spans="1:11" ht="25.5" x14ac:dyDescent="0.25">
      <c r="A3656" s="22">
        <v>2026</v>
      </c>
      <c r="B3656" s="28" t="s">
        <v>203</v>
      </c>
      <c r="C3656" s="28" t="s">
        <v>97</v>
      </c>
      <c r="D3656" s="28" t="s">
        <v>1710</v>
      </c>
      <c r="E3656" s="29" t="s">
        <v>1767</v>
      </c>
      <c r="F3656" s="29" t="s">
        <v>564</v>
      </c>
      <c r="G3656" s="25" t="s">
        <v>5383</v>
      </c>
      <c r="H3656" s="26">
        <v>-3.4500000000000003E-2</v>
      </c>
      <c r="I3656" s="26"/>
      <c r="J3656" s="26" t="s">
        <v>512</v>
      </c>
      <c r="K3656" s="25" t="s">
        <v>513</v>
      </c>
    </row>
    <row r="3657" spans="1:11" ht="25.5" x14ac:dyDescent="0.25">
      <c r="A3657" s="22">
        <v>2026</v>
      </c>
      <c r="B3657" s="28" t="s">
        <v>203</v>
      </c>
      <c r="C3657" s="28" t="s">
        <v>97</v>
      </c>
      <c r="D3657" s="28" t="s">
        <v>1710</v>
      </c>
      <c r="E3657" s="29" t="s">
        <v>1767</v>
      </c>
      <c r="F3657" s="29" t="s">
        <v>564</v>
      </c>
      <c r="G3657" s="25" t="s">
        <v>5384</v>
      </c>
      <c r="H3657" s="26">
        <v>-6.7778360800000007E-2</v>
      </c>
      <c r="I3657" s="26"/>
      <c r="J3657" s="26" t="s">
        <v>512</v>
      </c>
      <c r="K3657" s="25" t="s">
        <v>513</v>
      </c>
    </row>
    <row r="3658" spans="1:11" ht="25.5" x14ac:dyDescent="0.25">
      <c r="A3658" s="22">
        <v>2026</v>
      </c>
      <c r="B3658" s="28" t="s">
        <v>203</v>
      </c>
      <c r="C3658" s="28" t="s">
        <v>97</v>
      </c>
      <c r="D3658" s="28" t="s">
        <v>1710</v>
      </c>
      <c r="E3658" s="29" t="s">
        <v>1767</v>
      </c>
      <c r="F3658" s="29" t="s">
        <v>564</v>
      </c>
      <c r="G3658" s="25" t="s">
        <v>5385</v>
      </c>
      <c r="H3658" s="26">
        <v>-9.2286999999999994E-2</v>
      </c>
      <c r="I3658" s="26"/>
      <c r="J3658" s="26" t="s">
        <v>512</v>
      </c>
      <c r="K3658" s="25" t="s">
        <v>513</v>
      </c>
    </row>
    <row r="3659" spans="1:11" ht="25.5" x14ac:dyDescent="0.25">
      <c r="A3659" s="22">
        <v>2026</v>
      </c>
      <c r="B3659" s="28" t="s">
        <v>203</v>
      </c>
      <c r="C3659" s="28" t="s">
        <v>97</v>
      </c>
      <c r="D3659" s="28" t="s">
        <v>1711</v>
      </c>
      <c r="E3659" s="29" t="s">
        <v>1758</v>
      </c>
      <c r="F3659" s="29" t="s">
        <v>298</v>
      </c>
      <c r="G3659" s="25" t="s">
        <v>5386</v>
      </c>
      <c r="H3659" s="26">
        <v>-0.19459762990000001</v>
      </c>
      <c r="I3659" s="26"/>
      <c r="J3659" s="26" t="s">
        <v>512</v>
      </c>
      <c r="K3659" s="25" t="s">
        <v>513</v>
      </c>
    </row>
    <row r="3660" spans="1:11" ht="25.5" x14ac:dyDescent="0.25">
      <c r="A3660" s="22">
        <v>2026</v>
      </c>
      <c r="B3660" s="28" t="s">
        <v>203</v>
      </c>
      <c r="C3660" s="28" t="s">
        <v>97</v>
      </c>
      <c r="D3660" s="28" t="s">
        <v>1711</v>
      </c>
      <c r="E3660" s="29" t="s">
        <v>1758</v>
      </c>
      <c r="F3660" s="29" t="s">
        <v>298</v>
      </c>
      <c r="G3660" s="25" t="s">
        <v>5387</v>
      </c>
      <c r="H3660" s="26">
        <v>-0.28294200000000003</v>
      </c>
      <c r="I3660" s="26"/>
      <c r="J3660" s="26" t="s">
        <v>512</v>
      </c>
      <c r="K3660" s="25" t="s">
        <v>513</v>
      </c>
    </row>
    <row r="3661" spans="1:11" ht="25.5" x14ac:dyDescent="0.25">
      <c r="A3661" s="22">
        <v>2026</v>
      </c>
      <c r="B3661" s="28" t="s">
        <v>203</v>
      </c>
      <c r="C3661" s="28" t="s">
        <v>97</v>
      </c>
      <c r="D3661" s="28" t="s">
        <v>1711</v>
      </c>
      <c r="E3661" s="29" t="s">
        <v>1758</v>
      </c>
      <c r="F3661" s="29" t="s">
        <v>298</v>
      </c>
      <c r="G3661" s="25" t="s">
        <v>5388</v>
      </c>
      <c r="H3661" s="26">
        <v>-0.1614669</v>
      </c>
      <c r="I3661" s="26"/>
      <c r="J3661" s="26" t="s">
        <v>512</v>
      </c>
      <c r="K3661" s="25" t="s">
        <v>513</v>
      </c>
    </row>
    <row r="3662" spans="1:11" ht="25.5" x14ac:dyDescent="0.25">
      <c r="A3662" s="22">
        <v>2026</v>
      </c>
      <c r="B3662" s="28" t="s">
        <v>203</v>
      </c>
      <c r="C3662" s="28" t="s">
        <v>97</v>
      </c>
      <c r="D3662" s="28" t="s">
        <v>1711</v>
      </c>
      <c r="E3662" s="29" t="s">
        <v>1758</v>
      </c>
      <c r="F3662" s="29" t="s">
        <v>298</v>
      </c>
      <c r="G3662" s="25" t="s">
        <v>5389</v>
      </c>
      <c r="H3662" s="26">
        <v>-0.18057500000000001</v>
      </c>
      <c r="I3662" s="26"/>
      <c r="J3662" s="26" t="s">
        <v>512</v>
      </c>
      <c r="K3662" s="25" t="s">
        <v>513</v>
      </c>
    </row>
    <row r="3663" spans="1:11" ht="25.5" x14ac:dyDescent="0.25">
      <c r="A3663" s="22">
        <v>2026</v>
      </c>
      <c r="B3663" s="28" t="s">
        <v>203</v>
      </c>
      <c r="C3663" s="28" t="s">
        <v>97</v>
      </c>
      <c r="D3663" s="28" t="s">
        <v>1711</v>
      </c>
      <c r="E3663" s="29" t="s">
        <v>1758</v>
      </c>
      <c r="F3663" s="29" t="s">
        <v>298</v>
      </c>
      <c r="G3663" s="25" t="s">
        <v>5390</v>
      </c>
      <c r="H3663" s="26">
        <v>-0.2109984557</v>
      </c>
      <c r="I3663" s="26"/>
      <c r="J3663" s="26" t="s">
        <v>512</v>
      </c>
      <c r="K3663" s="25" t="s">
        <v>513</v>
      </c>
    </row>
    <row r="3664" spans="1:11" ht="25.5" x14ac:dyDescent="0.25">
      <c r="A3664" s="22">
        <v>2026</v>
      </c>
      <c r="B3664" s="28" t="s">
        <v>203</v>
      </c>
      <c r="C3664" s="28" t="s">
        <v>97</v>
      </c>
      <c r="D3664" s="28" t="s">
        <v>1711</v>
      </c>
      <c r="E3664" s="29" t="s">
        <v>1758</v>
      </c>
      <c r="F3664" s="29" t="s">
        <v>298</v>
      </c>
      <c r="G3664" s="25" t="s">
        <v>5391</v>
      </c>
      <c r="H3664" s="26">
        <v>-0.1160752</v>
      </c>
      <c r="I3664" s="26"/>
      <c r="J3664" s="26" t="s">
        <v>512</v>
      </c>
      <c r="K3664" s="25" t="s">
        <v>513</v>
      </c>
    </row>
    <row r="3665" spans="1:11" ht="25.5" x14ac:dyDescent="0.25">
      <c r="A3665" s="22">
        <v>2026</v>
      </c>
      <c r="B3665" s="28" t="s">
        <v>203</v>
      </c>
      <c r="C3665" s="28" t="s">
        <v>97</v>
      </c>
      <c r="D3665" s="28" t="s">
        <v>1711</v>
      </c>
      <c r="E3665" s="29" t="s">
        <v>1758</v>
      </c>
      <c r="F3665" s="29" t="s">
        <v>298</v>
      </c>
      <c r="G3665" s="25" t="s">
        <v>5392</v>
      </c>
      <c r="H3665" s="26">
        <v>-0.1443151916</v>
      </c>
      <c r="I3665" s="26"/>
      <c r="J3665" s="26" t="s">
        <v>512</v>
      </c>
      <c r="K3665" s="25" t="s">
        <v>513</v>
      </c>
    </row>
    <row r="3666" spans="1:11" ht="25.5" x14ac:dyDescent="0.25">
      <c r="A3666" s="22">
        <v>2026</v>
      </c>
      <c r="B3666" s="28" t="s">
        <v>203</v>
      </c>
      <c r="C3666" s="28" t="s">
        <v>97</v>
      </c>
      <c r="D3666" s="28" t="s">
        <v>1711</v>
      </c>
      <c r="E3666" s="29" t="s">
        <v>1758</v>
      </c>
      <c r="F3666" s="29" t="s">
        <v>298</v>
      </c>
      <c r="G3666" s="25" t="s">
        <v>5393</v>
      </c>
      <c r="H3666" s="26">
        <v>-0.1602254196</v>
      </c>
      <c r="I3666" s="26"/>
      <c r="J3666" s="26" t="s">
        <v>512</v>
      </c>
      <c r="K3666" s="25" t="s">
        <v>513</v>
      </c>
    </row>
    <row r="3667" spans="1:11" ht="25.5" x14ac:dyDescent="0.25">
      <c r="A3667" s="22">
        <v>2026</v>
      </c>
      <c r="B3667" s="28" t="s">
        <v>203</v>
      </c>
      <c r="C3667" s="28" t="s">
        <v>97</v>
      </c>
      <c r="D3667" s="28" t="s">
        <v>1712</v>
      </c>
      <c r="E3667" s="29" t="s">
        <v>1712</v>
      </c>
      <c r="F3667" s="29" t="s">
        <v>325</v>
      </c>
      <c r="G3667" s="25" t="s">
        <v>5394</v>
      </c>
      <c r="H3667" s="26">
        <v>-0.4167179104</v>
      </c>
      <c r="I3667" s="26"/>
      <c r="J3667" s="26" t="s">
        <v>512</v>
      </c>
      <c r="K3667" s="25" t="s">
        <v>513</v>
      </c>
    </row>
    <row r="3668" spans="1:11" ht="25.5" x14ac:dyDescent="0.25">
      <c r="A3668" s="22">
        <v>2026</v>
      </c>
      <c r="B3668" s="28" t="s">
        <v>203</v>
      </c>
      <c r="C3668" s="28" t="s">
        <v>97</v>
      </c>
      <c r="D3668" s="28" t="s">
        <v>1712</v>
      </c>
      <c r="E3668" s="29" t="s">
        <v>1712</v>
      </c>
      <c r="F3668" s="29" t="s">
        <v>325</v>
      </c>
      <c r="G3668" s="25" t="s">
        <v>5395</v>
      </c>
      <c r="H3668" s="26">
        <v>-0.21082648999999998</v>
      </c>
      <c r="I3668" s="26"/>
      <c r="J3668" s="26" t="s">
        <v>512</v>
      </c>
      <c r="K3668" s="25" t="s">
        <v>513</v>
      </c>
    </row>
    <row r="3669" spans="1:11" ht="25.5" x14ac:dyDescent="0.25">
      <c r="A3669" s="22">
        <v>2026</v>
      </c>
      <c r="B3669" s="28" t="s">
        <v>203</v>
      </c>
      <c r="C3669" s="28" t="s">
        <v>97</v>
      </c>
      <c r="D3669" s="28" t="s">
        <v>1712</v>
      </c>
      <c r="E3669" s="29" t="s">
        <v>1712</v>
      </c>
      <c r="F3669" s="29" t="s">
        <v>325</v>
      </c>
      <c r="G3669" s="25" t="s">
        <v>5396</v>
      </c>
      <c r="H3669" s="26">
        <v>-0.41370165479999998</v>
      </c>
      <c r="I3669" s="26"/>
      <c r="J3669" s="26" t="s">
        <v>512</v>
      </c>
      <c r="K3669" s="25" t="s">
        <v>513</v>
      </c>
    </row>
    <row r="3670" spans="1:11" ht="25.5" x14ac:dyDescent="0.25">
      <c r="A3670" s="22">
        <v>2026</v>
      </c>
      <c r="B3670" s="28" t="s">
        <v>203</v>
      </c>
      <c r="C3670" s="28" t="s">
        <v>97</v>
      </c>
      <c r="D3670" s="28" t="s">
        <v>1712</v>
      </c>
      <c r="E3670" s="29" t="s">
        <v>1712</v>
      </c>
      <c r="F3670" s="29" t="s">
        <v>325</v>
      </c>
      <c r="G3670" s="25" t="s">
        <v>5397</v>
      </c>
      <c r="H3670" s="26">
        <v>-0.33134191019999998</v>
      </c>
      <c r="I3670" s="26"/>
      <c r="J3670" s="26" t="s">
        <v>512</v>
      </c>
      <c r="K3670" s="25" t="s">
        <v>513</v>
      </c>
    </row>
    <row r="3671" spans="1:11" ht="25.5" x14ac:dyDescent="0.25">
      <c r="A3671" s="22">
        <v>2026</v>
      </c>
      <c r="B3671" s="28" t="s">
        <v>203</v>
      </c>
      <c r="C3671" s="28" t="s">
        <v>97</v>
      </c>
      <c r="D3671" s="28" t="s">
        <v>1712</v>
      </c>
      <c r="E3671" s="29" t="s">
        <v>1712</v>
      </c>
      <c r="F3671" s="29" t="s">
        <v>325</v>
      </c>
      <c r="G3671" s="25" t="s">
        <v>5398</v>
      </c>
      <c r="H3671" s="26">
        <v>-0.17463633000000001</v>
      </c>
      <c r="I3671" s="26"/>
      <c r="J3671" s="26" t="s">
        <v>512</v>
      </c>
      <c r="K3671" s="25" t="s">
        <v>513</v>
      </c>
    </row>
    <row r="3672" spans="1:11" ht="25.5" x14ac:dyDescent="0.25">
      <c r="A3672" s="22">
        <v>2026</v>
      </c>
      <c r="B3672" s="28" t="s">
        <v>203</v>
      </c>
      <c r="C3672" s="28" t="s">
        <v>97</v>
      </c>
      <c r="D3672" s="28" t="s">
        <v>1712</v>
      </c>
      <c r="E3672" s="29" t="s">
        <v>1712</v>
      </c>
      <c r="F3672" s="29" t="s">
        <v>325</v>
      </c>
      <c r="G3672" s="25" t="s">
        <v>5399</v>
      </c>
      <c r="H3672" s="26">
        <v>-0.45059341920000001</v>
      </c>
      <c r="I3672" s="26"/>
      <c r="J3672" s="26" t="s">
        <v>512</v>
      </c>
      <c r="K3672" s="25" t="s">
        <v>513</v>
      </c>
    </row>
    <row r="3673" spans="1:11" ht="25.5" x14ac:dyDescent="0.25">
      <c r="A3673" s="22">
        <v>2026</v>
      </c>
      <c r="B3673" s="28" t="s">
        <v>203</v>
      </c>
      <c r="C3673" s="28" t="s">
        <v>97</v>
      </c>
      <c r="D3673" s="28" t="s">
        <v>1712</v>
      </c>
      <c r="E3673" s="29" t="s">
        <v>1712</v>
      </c>
      <c r="F3673" s="29" t="s">
        <v>325</v>
      </c>
      <c r="G3673" s="25" t="s">
        <v>5400</v>
      </c>
      <c r="H3673" s="26">
        <v>-0.47417009760000006</v>
      </c>
      <c r="I3673" s="26"/>
      <c r="J3673" s="26" t="s">
        <v>512</v>
      </c>
      <c r="K3673" s="25" t="s">
        <v>513</v>
      </c>
    </row>
    <row r="3674" spans="1:11" ht="25.5" x14ac:dyDescent="0.25">
      <c r="A3674" s="22">
        <v>2026</v>
      </c>
      <c r="B3674" s="28" t="s">
        <v>203</v>
      </c>
      <c r="C3674" s="28" t="s">
        <v>97</v>
      </c>
      <c r="D3674" s="28" t="s">
        <v>1712</v>
      </c>
      <c r="E3674" s="29" t="s">
        <v>1712</v>
      </c>
      <c r="F3674" s="29" t="s">
        <v>325</v>
      </c>
      <c r="G3674" s="25" t="s">
        <v>5401</v>
      </c>
      <c r="H3674" s="26">
        <v>-0.31897320000000001</v>
      </c>
      <c r="I3674" s="26"/>
      <c r="J3674" s="26" t="s">
        <v>512</v>
      </c>
      <c r="K3674" s="25" t="s">
        <v>513</v>
      </c>
    </row>
    <row r="3675" spans="1:11" ht="25.5" x14ac:dyDescent="0.25">
      <c r="A3675" s="22">
        <v>2026</v>
      </c>
      <c r="B3675" s="28" t="s">
        <v>203</v>
      </c>
      <c r="C3675" s="28" t="s">
        <v>97</v>
      </c>
      <c r="D3675" s="28" t="s">
        <v>1712</v>
      </c>
      <c r="E3675" s="29" t="s">
        <v>1712</v>
      </c>
      <c r="F3675" s="29" t="s">
        <v>325</v>
      </c>
      <c r="G3675" s="25" t="s">
        <v>5402</v>
      </c>
      <c r="H3675" s="26">
        <v>-8.8749999999999996E-2</v>
      </c>
      <c r="I3675" s="26"/>
      <c r="J3675" s="26" t="s">
        <v>512</v>
      </c>
      <c r="K3675" s="25" t="s">
        <v>513</v>
      </c>
    </row>
    <row r="3676" spans="1:11" ht="25.5" x14ac:dyDescent="0.25">
      <c r="A3676" s="22">
        <v>2026</v>
      </c>
      <c r="B3676" s="28" t="s">
        <v>203</v>
      </c>
      <c r="C3676" s="28" t="s">
        <v>97</v>
      </c>
      <c r="D3676" s="28" t="s">
        <v>1712</v>
      </c>
      <c r="E3676" s="29" t="s">
        <v>1712</v>
      </c>
      <c r="F3676" s="29" t="s">
        <v>325</v>
      </c>
      <c r="G3676" s="25" t="s">
        <v>5403</v>
      </c>
      <c r="H3676" s="26">
        <v>-0.48735579130000006</v>
      </c>
      <c r="I3676" s="26"/>
      <c r="J3676" s="26" t="s">
        <v>512</v>
      </c>
      <c r="K3676" s="25" t="s">
        <v>513</v>
      </c>
    </row>
    <row r="3677" spans="1:11" ht="25.5" x14ac:dyDescent="0.25">
      <c r="A3677" s="22">
        <v>2026</v>
      </c>
      <c r="B3677" s="28" t="s">
        <v>203</v>
      </c>
      <c r="C3677" s="28" t="s">
        <v>97</v>
      </c>
      <c r="D3677" s="28" t="s">
        <v>1712</v>
      </c>
      <c r="E3677" s="29" t="s">
        <v>1712</v>
      </c>
      <c r="F3677" s="29" t="s">
        <v>325</v>
      </c>
      <c r="G3677" s="25" t="s">
        <v>5404</v>
      </c>
      <c r="H3677" s="26">
        <v>-0.47707178720000004</v>
      </c>
      <c r="I3677" s="26"/>
      <c r="J3677" s="26" t="s">
        <v>512</v>
      </c>
      <c r="K3677" s="25" t="s">
        <v>513</v>
      </c>
    </row>
    <row r="3678" spans="1:11" ht="25.5" x14ac:dyDescent="0.25">
      <c r="A3678" s="22">
        <v>2026</v>
      </c>
      <c r="B3678" s="28" t="s">
        <v>203</v>
      </c>
      <c r="C3678" s="28" t="s">
        <v>97</v>
      </c>
      <c r="D3678" s="28" t="s">
        <v>1712</v>
      </c>
      <c r="E3678" s="29" t="s">
        <v>1712</v>
      </c>
      <c r="F3678" s="29" t="s">
        <v>325</v>
      </c>
      <c r="G3678" s="25" t="s">
        <v>5405</v>
      </c>
      <c r="H3678" s="26">
        <v>-0.47681615469999999</v>
      </c>
      <c r="I3678" s="26"/>
      <c r="J3678" s="26" t="s">
        <v>512</v>
      </c>
      <c r="K3678" s="25" t="s">
        <v>513</v>
      </c>
    </row>
    <row r="3679" spans="1:11" ht="25.5" x14ac:dyDescent="0.25">
      <c r="A3679" s="22">
        <v>2026</v>
      </c>
      <c r="B3679" s="28" t="s">
        <v>203</v>
      </c>
      <c r="C3679" s="28" t="s">
        <v>97</v>
      </c>
      <c r="D3679" s="28" t="s">
        <v>1712</v>
      </c>
      <c r="E3679" s="29" t="s">
        <v>1712</v>
      </c>
      <c r="F3679" s="29" t="s">
        <v>325</v>
      </c>
      <c r="G3679" s="25" t="s">
        <v>5406</v>
      </c>
      <c r="H3679" s="26">
        <v>-0.47171955840000002</v>
      </c>
      <c r="I3679" s="26"/>
      <c r="J3679" s="26" t="s">
        <v>512</v>
      </c>
      <c r="K3679" s="25" t="s">
        <v>513</v>
      </c>
    </row>
    <row r="3680" spans="1:11" ht="25.5" x14ac:dyDescent="0.25">
      <c r="A3680" s="22">
        <v>2026</v>
      </c>
      <c r="B3680" s="28" t="s">
        <v>203</v>
      </c>
      <c r="C3680" s="28" t="s">
        <v>97</v>
      </c>
      <c r="D3680" s="28" t="s">
        <v>1712</v>
      </c>
      <c r="E3680" s="29" t="s">
        <v>1712</v>
      </c>
      <c r="F3680" s="29" t="s">
        <v>325</v>
      </c>
      <c r="G3680" s="25" t="s">
        <v>5407</v>
      </c>
      <c r="H3680" s="26">
        <v>-0.46277181719999999</v>
      </c>
      <c r="I3680" s="26"/>
      <c r="J3680" s="26" t="s">
        <v>512</v>
      </c>
      <c r="K3680" s="25" t="s">
        <v>513</v>
      </c>
    </row>
    <row r="3681" spans="1:11" ht="25.5" x14ac:dyDescent="0.25">
      <c r="A3681" s="22">
        <v>2026</v>
      </c>
      <c r="B3681" s="28" t="s">
        <v>203</v>
      </c>
      <c r="C3681" s="28" t="s">
        <v>97</v>
      </c>
      <c r="D3681" s="28" t="s">
        <v>1712</v>
      </c>
      <c r="E3681" s="29" t="s">
        <v>1712</v>
      </c>
      <c r="F3681" s="29" t="s">
        <v>325</v>
      </c>
      <c r="G3681" s="25" t="s">
        <v>5408</v>
      </c>
      <c r="H3681" s="26">
        <v>-0.46181163629999994</v>
      </c>
      <c r="I3681" s="26"/>
      <c r="J3681" s="26" t="s">
        <v>512</v>
      </c>
      <c r="K3681" s="25" t="s">
        <v>513</v>
      </c>
    </row>
    <row r="3682" spans="1:11" ht="25.5" x14ac:dyDescent="0.25">
      <c r="A3682" s="22">
        <v>2026</v>
      </c>
      <c r="B3682" s="28" t="s">
        <v>203</v>
      </c>
      <c r="C3682" s="28" t="s">
        <v>97</v>
      </c>
      <c r="D3682" s="28" t="s">
        <v>1712</v>
      </c>
      <c r="E3682" s="29" t="s">
        <v>1712</v>
      </c>
      <c r="F3682" s="29" t="s">
        <v>325</v>
      </c>
      <c r="G3682" s="25" t="s">
        <v>5409</v>
      </c>
      <c r="H3682" s="26">
        <v>-0.45110666160000001</v>
      </c>
      <c r="I3682" s="26"/>
      <c r="J3682" s="26" t="s">
        <v>512</v>
      </c>
      <c r="K3682" s="25" t="s">
        <v>513</v>
      </c>
    </row>
    <row r="3683" spans="1:11" ht="25.5" x14ac:dyDescent="0.25">
      <c r="A3683" s="22">
        <v>2026</v>
      </c>
      <c r="B3683" s="28" t="s">
        <v>203</v>
      </c>
      <c r="C3683" s="28" t="s">
        <v>97</v>
      </c>
      <c r="D3683" s="28" t="s">
        <v>1712</v>
      </c>
      <c r="E3683" s="29" t="s">
        <v>1712</v>
      </c>
      <c r="F3683" s="29" t="s">
        <v>325</v>
      </c>
      <c r="G3683" s="25" t="s">
        <v>5410</v>
      </c>
      <c r="H3683" s="26">
        <v>-0.45591558870000004</v>
      </c>
      <c r="I3683" s="26"/>
      <c r="J3683" s="26" t="s">
        <v>512</v>
      </c>
      <c r="K3683" s="25" t="s">
        <v>513</v>
      </c>
    </row>
    <row r="3684" spans="1:11" ht="25.5" x14ac:dyDescent="0.25">
      <c r="A3684" s="22">
        <v>2026</v>
      </c>
      <c r="B3684" s="28" t="s">
        <v>203</v>
      </c>
      <c r="C3684" s="28" t="s">
        <v>97</v>
      </c>
      <c r="D3684" s="28" t="s">
        <v>1712</v>
      </c>
      <c r="E3684" s="29" t="s">
        <v>1712</v>
      </c>
      <c r="F3684" s="29" t="s">
        <v>325</v>
      </c>
      <c r="G3684" s="25" t="s">
        <v>5411</v>
      </c>
      <c r="H3684" s="26">
        <v>-0.46530353860000001</v>
      </c>
      <c r="I3684" s="26"/>
      <c r="J3684" s="26" t="s">
        <v>512</v>
      </c>
      <c r="K3684" s="25" t="s">
        <v>513</v>
      </c>
    </row>
    <row r="3685" spans="1:11" ht="25.5" x14ac:dyDescent="0.25">
      <c r="A3685" s="22">
        <v>2026</v>
      </c>
      <c r="B3685" s="28" t="s">
        <v>203</v>
      </c>
      <c r="C3685" s="28" t="s">
        <v>97</v>
      </c>
      <c r="D3685" s="28" t="s">
        <v>1712</v>
      </c>
      <c r="E3685" s="29" t="s">
        <v>1712</v>
      </c>
      <c r="F3685" s="29" t="s">
        <v>325</v>
      </c>
      <c r="G3685" s="25" t="s">
        <v>5412</v>
      </c>
      <c r="H3685" s="26">
        <v>-0.45960042820000002</v>
      </c>
      <c r="I3685" s="26"/>
      <c r="J3685" s="26" t="s">
        <v>512</v>
      </c>
      <c r="K3685" s="25" t="s">
        <v>513</v>
      </c>
    </row>
    <row r="3686" spans="1:11" ht="25.5" x14ac:dyDescent="0.25">
      <c r="A3686" s="22">
        <v>2026</v>
      </c>
      <c r="B3686" s="28" t="s">
        <v>203</v>
      </c>
      <c r="C3686" s="28" t="s">
        <v>97</v>
      </c>
      <c r="D3686" s="28" t="s">
        <v>1712</v>
      </c>
      <c r="E3686" s="29" t="s">
        <v>1712</v>
      </c>
      <c r="F3686" s="29" t="s">
        <v>325</v>
      </c>
      <c r="G3686" s="25" t="s">
        <v>5413</v>
      </c>
      <c r="H3686" s="26">
        <v>-0.4479779304</v>
      </c>
      <c r="I3686" s="26"/>
      <c r="J3686" s="26" t="s">
        <v>512</v>
      </c>
      <c r="K3686" s="25" t="s">
        <v>513</v>
      </c>
    </row>
    <row r="3687" spans="1:11" ht="25.5" x14ac:dyDescent="0.25">
      <c r="A3687" s="22">
        <v>2026</v>
      </c>
      <c r="B3687" s="28" t="s">
        <v>203</v>
      </c>
      <c r="C3687" s="28" t="s">
        <v>97</v>
      </c>
      <c r="D3687" s="28" t="s">
        <v>250</v>
      </c>
      <c r="E3687" s="29" t="s">
        <v>463</v>
      </c>
      <c r="F3687" s="29" t="s">
        <v>325</v>
      </c>
      <c r="G3687" s="25" t="s">
        <v>5414</v>
      </c>
      <c r="H3687" s="26">
        <v>-5.7264300000000004E-2</v>
      </c>
      <c r="I3687" s="26"/>
      <c r="J3687" s="26" t="s">
        <v>512</v>
      </c>
      <c r="K3687" s="25" t="s">
        <v>513</v>
      </c>
    </row>
    <row r="3688" spans="1:11" ht="25.5" x14ac:dyDescent="0.25">
      <c r="A3688" s="22">
        <v>2026</v>
      </c>
      <c r="B3688" s="28" t="s">
        <v>203</v>
      </c>
      <c r="C3688" s="28" t="s">
        <v>97</v>
      </c>
      <c r="D3688" s="28" t="s">
        <v>250</v>
      </c>
      <c r="E3688" s="29" t="s">
        <v>463</v>
      </c>
      <c r="F3688" s="29" t="s">
        <v>325</v>
      </c>
      <c r="G3688" s="25" t="s">
        <v>5415</v>
      </c>
      <c r="H3688" s="26">
        <v>-0.33694188989999996</v>
      </c>
      <c r="I3688" s="26"/>
      <c r="J3688" s="26" t="s">
        <v>512</v>
      </c>
      <c r="K3688" s="25" t="s">
        <v>513</v>
      </c>
    </row>
    <row r="3689" spans="1:11" ht="25.5" x14ac:dyDescent="0.25">
      <c r="A3689" s="22">
        <v>2026</v>
      </c>
      <c r="B3689" s="28" t="s">
        <v>203</v>
      </c>
      <c r="C3689" s="28" t="s">
        <v>97</v>
      </c>
      <c r="D3689" s="28" t="s">
        <v>250</v>
      </c>
      <c r="E3689" s="29" t="s">
        <v>463</v>
      </c>
      <c r="F3689" s="29" t="s">
        <v>325</v>
      </c>
      <c r="G3689" s="25" t="s">
        <v>5416</v>
      </c>
      <c r="H3689" s="26">
        <v>-7.4733931999999993E-3</v>
      </c>
      <c r="I3689" s="26"/>
      <c r="J3689" s="26" t="s">
        <v>512</v>
      </c>
      <c r="K3689" s="25" t="s">
        <v>513</v>
      </c>
    </row>
    <row r="3690" spans="1:11" ht="25.5" x14ac:dyDescent="0.25">
      <c r="A3690" s="22">
        <v>2026</v>
      </c>
      <c r="B3690" s="28" t="s">
        <v>203</v>
      </c>
      <c r="C3690" s="28" t="s">
        <v>97</v>
      </c>
      <c r="D3690" s="28" t="s">
        <v>250</v>
      </c>
      <c r="E3690" s="29" t="s">
        <v>463</v>
      </c>
      <c r="F3690" s="29" t="s">
        <v>325</v>
      </c>
      <c r="G3690" s="25" t="s">
        <v>5417</v>
      </c>
      <c r="H3690" s="26">
        <v>-2.6606000000000004E-3</v>
      </c>
      <c r="I3690" s="26"/>
      <c r="J3690" s="26" t="s">
        <v>512</v>
      </c>
      <c r="K3690" s="25" t="s">
        <v>513</v>
      </c>
    </row>
    <row r="3691" spans="1:11" ht="25.5" x14ac:dyDescent="0.25">
      <c r="A3691" s="22">
        <v>2026</v>
      </c>
      <c r="B3691" s="28" t="s">
        <v>203</v>
      </c>
      <c r="C3691" s="28" t="s">
        <v>97</v>
      </c>
      <c r="D3691" s="28" t="s">
        <v>250</v>
      </c>
      <c r="E3691" s="29" t="s">
        <v>463</v>
      </c>
      <c r="F3691" s="29" t="s">
        <v>325</v>
      </c>
      <c r="G3691" s="25" t="s">
        <v>5418</v>
      </c>
      <c r="H3691" s="26">
        <v>-1.6967600000000003E-2</v>
      </c>
      <c r="I3691" s="26"/>
      <c r="J3691" s="26" t="s">
        <v>512</v>
      </c>
      <c r="K3691" s="25" t="s">
        <v>513</v>
      </c>
    </row>
    <row r="3692" spans="1:11" ht="25.5" x14ac:dyDescent="0.25">
      <c r="A3692" s="22">
        <v>2026</v>
      </c>
      <c r="B3692" s="28" t="s">
        <v>203</v>
      </c>
      <c r="C3692" s="28" t="s">
        <v>97</v>
      </c>
      <c r="D3692" s="28" t="s">
        <v>250</v>
      </c>
      <c r="E3692" s="29" t="s">
        <v>463</v>
      </c>
      <c r="F3692" s="29" t="s">
        <v>325</v>
      </c>
      <c r="G3692" s="25" t="s">
        <v>5419</v>
      </c>
      <c r="H3692" s="26">
        <v>-1.5271199999999999E-2</v>
      </c>
      <c r="I3692" s="26"/>
      <c r="J3692" s="26" t="s">
        <v>512</v>
      </c>
      <c r="K3692" s="25" t="s">
        <v>513</v>
      </c>
    </row>
    <row r="3693" spans="1:11" ht="25.5" x14ac:dyDescent="0.25">
      <c r="A3693" s="22">
        <v>2026</v>
      </c>
      <c r="B3693" s="28" t="s">
        <v>203</v>
      </c>
      <c r="C3693" s="28" t="s">
        <v>97</v>
      </c>
      <c r="D3693" s="28" t="s">
        <v>250</v>
      </c>
      <c r="E3693" s="29" t="s">
        <v>463</v>
      </c>
      <c r="F3693" s="29" t="s">
        <v>325</v>
      </c>
      <c r="G3693" s="25" t="s">
        <v>5420</v>
      </c>
      <c r="H3693" s="26">
        <v>-1.5523199999999999E-2</v>
      </c>
      <c r="I3693" s="26"/>
      <c r="J3693" s="26" t="s">
        <v>512</v>
      </c>
      <c r="K3693" s="25" t="s">
        <v>513</v>
      </c>
    </row>
    <row r="3694" spans="1:11" ht="25.5" x14ac:dyDescent="0.25">
      <c r="A3694" s="22">
        <v>2026</v>
      </c>
      <c r="B3694" s="28" t="s">
        <v>203</v>
      </c>
      <c r="C3694" s="28" t="s">
        <v>97</v>
      </c>
      <c r="D3694" s="28" t="s">
        <v>250</v>
      </c>
      <c r="E3694" s="29" t="s">
        <v>463</v>
      </c>
      <c r="F3694" s="29" t="s">
        <v>325</v>
      </c>
      <c r="G3694" s="25" t="s">
        <v>5421</v>
      </c>
      <c r="H3694" s="26">
        <v>-1.81295E-2</v>
      </c>
      <c r="I3694" s="26"/>
      <c r="J3694" s="26" t="s">
        <v>512</v>
      </c>
      <c r="K3694" s="25" t="s">
        <v>513</v>
      </c>
    </row>
    <row r="3695" spans="1:11" ht="25.5" x14ac:dyDescent="0.25">
      <c r="A3695" s="22">
        <v>2026</v>
      </c>
      <c r="B3695" s="28" t="s">
        <v>203</v>
      </c>
      <c r="C3695" s="28" t="s">
        <v>97</v>
      </c>
      <c r="D3695" s="28" t="s">
        <v>250</v>
      </c>
      <c r="E3695" s="29" t="s">
        <v>463</v>
      </c>
      <c r="F3695" s="29" t="s">
        <v>325</v>
      </c>
      <c r="G3695" s="25" t="s">
        <v>5422</v>
      </c>
      <c r="H3695" s="26">
        <v>-8.0799999999999997E-2</v>
      </c>
      <c r="I3695" s="26"/>
      <c r="J3695" s="26" t="s">
        <v>512</v>
      </c>
      <c r="K3695" s="25" t="s">
        <v>513</v>
      </c>
    </row>
    <row r="3696" spans="1:11" ht="25.5" x14ac:dyDescent="0.25">
      <c r="A3696" s="22">
        <v>2026</v>
      </c>
      <c r="B3696" s="28" t="s">
        <v>203</v>
      </c>
      <c r="C3696" s="28" t="s">
        <v>97</v>
      </c>
      <c r="D3696" s="28" t="s">
        <v>250</v>
      </c>
      <c r="E3696" s="29" t="s">
        <v>463</v>
      </c>
      <c r="F3696" s="29" t="s">
        <v>325</v>
      </c>
      <c r="G3696" s="25" t="s">
        <v>5423</v>
      </c>
      <c r="H3696" s="26">
        <v>-1.4616000000000001E-2</v>
      </c>
      <c r="I3696" s="26"/>
      <c r="J3696" s="26" t="s">
        <v>512</v>
      </c>
      <c r="K3696" s="25" t="s">
        <v>513</v>
      </c>
    </row>
    <row r="3697" spans="1:11" ht="25.5" x14ac:dyDescent="0.25">
      <c r="A3697" s="22">
        <v>2026</v>
      </c>
      <c r="B3697" s="28" t="s">
        <v>203</v>
      </c>
      <c r="C3697" s="28" t="s">
        <v>97</v>
      </c>
      <c r="D3697" s="28" t="s">
        <v>250</v>
      </c>
      <c r="E3697" s="29" t="s">
        <v>463</v>
      </c>
      <c r="F3697" s="29" t="s">
        <v>325</v>
      </c>
      <c r="G3697" s="25" t="s">
        <v>5424</v>
      </c>
      <c r="H3697" s="26">
        <v>-1.59264E-2</v>
      </c>
      <c r="I3697" s="26"/>
      <c r="J3697" s="26" t="s">
        <v>512</v>
      </c>
      <c r="K3697" s="25" t="s">
        <v>513</v>
      </c>
    </row>
    <row r="3698" spans="1:11" ht="25.5" x14ac:dyDescent="0.25">
      <c r="A3698" s="22">
        <v>2026</v>
      </c>
      <c r="B3698" s="28" t="s">
        <v>203</v>
      </c>
      <c r="C3698" s="28" t="s">
        <v>97</v>
      </c>
      <c r="D3698" s="28" t="s">
        <v>200</v>
      </c>
      <c r="E3698" s="29" t="s">
        <v>365</v>
      </c>
      <c r="F3698" s="29" t="s">
        <v>332</v>
      </c>
      <c r="G3698" s="25" t="s">
        <v>5425</v>
      </c>
      <c r="H3698" s="26">
        <v>-8.3224000000000006E-2</v>
      </c>
      <c r="I3698" s="26"/>
      <c r="J3698" s="26" t="s">
        <v>514</v>
      </c>
      <c r="K3698" s="25" t="s">
        <v>513</v>
      </c>
    </row>
    <row r="3699" spans="1:11" ht="25.5" x14ac:dyDescent="0.25">
      <c r="A3699" s="22">
        <v>2026</v>
      </c>
      <c r="B3699" s="28" t="s">
        <v>203</v>
      </c>
      <c r="C3699" s="28" t="s">
        <v>97</v>
      </c>
      <c r="D3699" s="28" t="s">
        <v>200</v>
      </c>
      <c r="E3699" s="29" t="s">
        <v>365</v>
      </c>
      <c r="F3699" s="29" t="s">
        <v>332</v>
      </c>
      <c r="G3699" s="25" t="s">
        <v>5426</v>
      </c>
      <c r="H3699" s="26">
        <v>-8.2031000000000007E-2</v>
      </c>
      <c r="I3699" s="26"/>
      <c r="J3699" s="26" t="s">
        <v>514</v>
      </c>
      <c r="K3699" s="25" t="s">
        <v>513</v>
      </c>
    </row>
    <row r="3700" spans="1:11" ht="25.5" x14ac:dyDescent="0.25">
      <c r="A3700" s="22">
        <v>2026</v>
      </c>
      <c r="B3700" s="28" t="s">
        <v>203</v>
      </c>
      <c r="C3700" s="28" t="s">
        <v>97</v>
      </c>
      <c r="D3700" s="28" t="s">
        <v>200</v>
      </c>
      <c r="E3700" s="29" t="s">
        <v>365</v>
      </c>
      <c r="F3700" s="29" t="s">
        <v>332</v>
      </c>
      <c r="G3700" s="25" t="s">
        <v>5427</v>
      </c>
      <c r="H3700" s="26">
        <v>-8.2166000000000003E-2</v>
      </c>
      <c r="I3700" s="26"/>
      <c r="J3700" s="26" t="s">
        <v>514</v>
      </c>
      <c r="K3700" s="25" t="s">
        <v>513</v>
      </c>
    </row>
    <row r="3701" spans="1:11" ht="25.5" x14ac:dyDescent="0.25">
      <c r="A3701" s="22">
        <v>2026</v>
      </c>
      <c r="B3701" s="28" t="s">
        <v>203</v>
      </c>
      <c r="C3701" s="28" t="s">
        <v>97</v>
      </c>
      <c r="D3701" s="28" t="s">
        <v>200</v>
      </c>
      <c r="E3701" s="29" t="s">
        <v>365</v>
      </c>
      <c r="F3701" s="29" t="s">
        <v>332</v>
      </c>
      <c r="G3701" s="25" t="s">
        <v>5428</v>
      </c>
      <c r="H3701" s="26">
        <v>-8.4849999999999995E-2</v>
      </c>
      <c r="I3701" s="26"/>
      <c r="J3701" s="26" t="s">
        <v>514</v>
      </c>
      <c r="K3701" s="25" t="s">
        <v>513</v>
      </c>
    </row>
    <row r="3702" spans="1:11" ht="25.5" x14ac:dyDescent="0.25">
      <c r="A3702" s="22">
        <v>2026</v>
      </c>
      <c r="B3702" s="28" t="s">
        <v>203</v>
      </c>
      <c r="C3702" s="28" t="s">
        <v>97</v>
      </c>
      <c r="D3702" s="28" t="s">
        <v>200</v>
      </c>
      <c r="E3702" s="29" t="s">
        <v>365</v>
      </c>
      <c r="F3702" s="29" t="s">
        <v>332</v>
      </c>
      <c r="G3702" s="25" t="s">
        <v>5429</v>
      </c>
      <c r="H3702" s="26">
        <v>-8.5276000000000005E-2</v>
      </c>
      <c r="I3702" s="26"/>
      <c r="J3702" s="26" t="s">
        <v>514</v>
      </c>
      <c r="K3702" s="25" t="s">
        <v>513</v>
      </c>
    </row>
    <row r="3703" spans="1:11" ht="25.5" x14ac:dyDescent="0.25">
      <c r="A3703" s="22">
        <v>2026</v>
      </c>
      <c r="B3703" s="28" t="s">
        <v>203</v>
      </c>
      <c r="C3703" s="28" t="s">
        <v>97</v>
      </c>
      <c r="D3703" s="28" t="s">
        <v>200</v>
      </c>
      <c r="E3703" s="29" t="s">
        <v>365</v>
      </c>
      <c r="F3703" s="29" t="s">
        <v>332</v>
      </c>
      <c r="G3703" s="25" t="s">
        <v>5430</v>
      </c>
      <c r="H3703" s="26">
        <v>-8.4375000000000006E-2</v>
      </c>
      <c r="I3703" s="26"/>
      <c r="J3703" s="26" t="s">
        <v>514</v>
      </c>
      <c r="K3703" s="25" t="s">
        <v>513</v>
      </c>
    </row>
    <row r="3704" spans="1:11" ht="25.5" x14ac:dyDescent="0.25">
      <c r="A3704" s="22">
        <v>2026</v>
      </c>
      <c r="B3704" s="28" t="s">
        <v>203</v>
      </c>
      <c r="C3704" s="28" t="s">
        <v>97</v>
      </c>
      <c r="D3704" s="28" t="s">
        <v>200</v>
      </c>
      <c r="E3704" s="29" t="s">
        <v>365</v>
      </c>
      <c r="F3704" s="29" t="s">
        <v>332</v>
      </c>
      <c r="G3704" s="25" t="s">
        <v>5431</v>
      </c>
      <c r="H3704" s="26">
        <v>-8.6790999999999993E-2</v>
      </c>
      <c r="I3704" s="26"/>
      <c r="J3704" s="26" t="s">
        <v>514</v>
      </c>
      <c r="K3704" s="25" t="s">
        <v>513</v>
      </c>
    </row>
    <row r="3705" spans="1:11" ht="25.5" x14ac:dyDescent="0.25">
      <c r="A3705" s="22">
        <v>2026</v>
      </c>
      <c r="B3705" s="28" t="s">
        <v>203</v>
      </c>
      <c r="C3705" s="28" t="s">
        <v>97</v>
      </c>
      <c r="D3705" s="28" t="s">
        <v>200</v>
      </c>
      <c r="E3705" s="29" t="s">
        <v>365</v>
      </c>
      <c r="F3705" s="29" t="s">
        <v>332</v>
      </c>
      <c r="G3705" s="25" t="s">
        <v>5432</v>
      </c>
      <c r="H3705" s="26">
        <v>-8.7936E-2</v>
      </c>
      <c r="I3705" s="26"/>
      <c r="J3705" s="26" t="s">
        <v>514</v>
      </c>
      <c r="K3705" s="25" t="s">
        <v>513</v>
      </c>
    </row>
    <row r="3706" spans="1:11" ht="25.5" x14ac:dyDescent="0.25">
      <c r="A3706" s="22">
        <v>2026</v>
      </c>
      <c r="B3706" s="28" t="s">
        <v>203</v>
      </c>
      <c r="C3706" s="28" t="s">
        <v>97</v>
      </c>
      <c r="D3706" s="28" t="s">
        <v>200</v>
      </c>
      <c r="E3706" s="29" t="s">
        <v>365</v>
      </c>
      <c r="F3706" s="29" t="s">
        <v>332</v>
      </c>
      <c r="G3706" s="25" t="s">
        <v>5433</v>
      </c>
      <c r="H3706" s="26">
        <v>-8.8400000000000006E-2</v>
      </c>
      <c r="I3706" s="26"/>
      <c r="J3706" s="26" t="s">
        <v>514</v>
      </c>
      <c r="K3706" s="25" t="s">
        <v>513</v>
      </c>
    </row>
    <row r="3707" spans="1:11" ht="25.5" x14ac:dyDescent="0.25">
      <c r="A3707" s="22">
        <v>2026</v>
      </c>
      <c r="B3707" s="28" t="s">
        <v>203</v>
      </c>
      <c r="C3707" s="28" t="s">
        <v>97</v>
      </c>
      <c r="D3707" s="28" t="s">
        <v>200</v>
      </c>
      <c r="E3707" s="29" t="s">
        <v>365</v>
      </c>
      <c r="F3707" s="29" t="s">
        <v>332</v>
      </c>
      <c r="G3707" s="25" t="s">
        <v>5434</v>
      </c>
      <c r="H3707" s="26">
        <v>-8.9146000000000003E-2</v>
      </c>
      <c r="I3707" s="26"/>
      <c r="J3707" s="26" t="s">
        <v>514</v>
      </c>
      <c r="K3707" s="25" t="s">
        <v>513</v>
      </c>
    </row>
    <row r="3708" spans="1:11" ht="25.5" x14ac:dyDescent="0.25">
      <c r="A3708" s="22">
        <v>2026</v>
      </c>
      <c r="B3708" s="28" t="s">
        <v>203</v>
      </c>
      <c r="C3708" s="28" t="s">
        <v>97</v>
      </c>
      <c r="D3708" s="28" t="s">
        <v>200</v>
      </c>
      <c r="E3708" s="29" t="s">
        <v>365</v>
      </c>
      <c r="F3708" s="29" t="s">
        <v>332</v>
      </c>
      <c r="G3708" s="25" t="s">
        <v>5435</v>
      </c>
      <c r="H3708" s="26">
        <v>-8.8620000000000004E-2</v>
      </c>
      <c r="I3708" s="26"/>
      <c r="J3708" s="26" t="s">
        <v>514</v>
      </c>
      <c r="K3708" s="25" t="s">
        <v>513</v>
      </c>
    </row>
    <row r="3709" spans="1:11" ht="25.5" x14ac:dyDescent="0.25">
      <c r="A3709" s="22">
        <v>2026</v>
      </c>
      <c r="B3709" s="28" t="s">
        <v>203</v>
      </c>
      <c r="C3709" s="28" t="s">
        <v>97</v>
      </c>
      <c r="D3709" s="28" t="s">
        <v>200</v>
      </c>
      <c r="E3709" s="29" t="s">
        <v>365</v>
      </c>
      <c r="F3709" s="29" t="s">
        <v>332</v>
      </c>
      <c r="G3709" s="25" t="s">
        <v>5436</v>
      </c>
      <c r="H3709" s="26">
        <v>-8.9693999999999996E-2</v>
      </c>
      <c r="I3709" s="26"/>
      <c r="J3709" s="26" t="s">
        <v>514</v>
      </c>
      <c r="K3709" s="25" t="s">
        <v>513</v>
      </c>
    </row>
    <row r="3710" spans="1:11" ht="25.5" x14ac:dyDescent="0.25">
      <c r="A3710" s="22">
        <v>2026</v>
      </c>
      <c r="B3710" s="28" t="s">
        <v>203</v>
      </c>
      <c r="C3710" s="28" t="s">
        <v>97</v>
      </c>
      <c r="D3710" s="28" t="s">
        <v>200</v>
      </c>
      <c r="E3710" s="29" t="s">
        <v>365</v>
      </c>
      <c r="F3710" s="29" t="s">
        <v>332</v>
      </c>
      <c r="G3710" s="25" t="s">
        <v>5437</v>
      </c>
      <c r="H3710" s="26">
        <v>-8.9351E-2</v>
      </c>
      <c r="I3710" s="26"/>
      <c r="J3710" s="26" t="s">
        <v>514</v>
      </c>
      <c r="K3710" s="25" t="s">
        <v>513</v>
      </c>
    </row>
    <row r="3711" spans="1:11" ht="25.5" x14ac:dyDescent="0.25">
      <c r="A3711" s="22">
        <v>2026</v>
      </c>
      <c r="B3711" s="28" t="s">
        <v>203</v>
      </c>
      <c r="C3711" s="28" t="s">
        <v>97</v>
      </c>
      <c r="D3711" s="28" t="s">
        <v>200</v>
      </c>
      <c r="E3711" s="29" t="s">
        <v>365</v>
      </c>
      <c r="F3711" s="29" t="s">
        <v>332</v>
      </c>
      <c r="G3711" s="25" t="s">
        <v>5438</v>
      </c>
      <c r="H3711" s="26">
        <v>-8.8267999999999999E-2</v>
      </c>
      <c r="I3711" s="26"/>
      <c r="J3711" s="26" t="s">
        <v>514</v>
      </c>
      <c r="K3711" s="25" t="s">
        <v>513</v>
      </c>
    </row>
    <row r="3712" spans="1:11" ht="25.5" x14ac:dyDescent="0.25">
      <c r="A3712" s="22">
        <v>2026</v>
      </c>
      <c r="B3712" s="28" t="s">
        <v>203</v>
      </c>
      <c r="C3712" s="28" t="s">
        <v>97</v>
      </c>
      <c r="D3712" s="28" t="s">
        <v>200</v>
      </c>
      <c r="E3712" s="29" t="s">
        <v>365</v>
      </c>
      <c r="F3712" s="29" t="s">
        <v>332</v>
      </c>
      <c r="G3712" s="25" t="s">
        <v>5439</v>
      </c>
      <c r="H3712" s="26">
        <v>-8.7023000000000003E-2</v>
      </c>
      <c r="I3712" s="26"/>
      <c r="J3712" s="26" t="s">
        <v>514</v>
      </c>
      <c r="K3712" s="25" t="s">
        <v>513</v>
      </c>
    </row>
    <row r="3713" spans="1:11" ht="25.5" x14ac:dyDescent="0.25">
      <c r="A3713" s="22">
        <v>2026</v>
      </c>
      <c r="B3713" s="28" t="s">
        <v>203</v>
      </c>
      <c r="C3713" s="28" t="s">
        <v>97</v>
      </c>
      <c r="D3713" s="28" t="s">
        <v>200</v>
      </c>
      <c r="E3713" s="29" t="s">
        <v>365</v>
      </c>
      <c r="F3713" s="29" t="s">
        <v>332</v>
      </c>
      <c r="G3713" s="25" t="s">
        <v>5440</v>
      </c>
      <c r="H3713" s="26">
        <v>-8.7898000000000004E-2</v>
      </c>
      <c r="I3713" s="26"/>
      <c r="J3713" s="26" t="s">
        <v>514</v>
      </c>
      <c r="K3713" s="25" t="s">
        <v>513</v>
      </c>
    </row>
    <row r="3714" spans="1:11" ht="25.5" x14ac:dyDescent="0.25">
      <c r="A3714" s="22">
        <v>2026</v>
      </c>
      <c r="B3714" s="28" t="s">
        <v>203</v>
      </c>
      <c r="C3714" s="28" t="s">
        <v>97</v>
      </c>
      <c r="D3714" s="28" t="s">
        <v>200</v>
      </c>
      <c r="E3714" s="29" t="s">
        <v>365</v>
      </c>
      <c r="F3714" s="29" t="s">
        <v>332</v>
      </c>
      <c r="G3714" s="25" t="s">
        <v>5441</v>
      </c>
      <c r="H3714" s="26">
        <v>-8.7436E-2</v>
      </c>
      <c r="I3714" s="26"/>
      <c r="J3714" s="26" t="s">
        <v>514</v>
      </c>
      <c r="K3714" s="25" t="s">
        <v>513</v>
      </c>
    </row>
    <row r="3715" spans="1:11" ht="25.5" x14ac:dyDescent="0.25">
      <c r="A3715" s="22">
        <v>2026</v>
      </c>
      <c r="B3715" s="28" t="s">
        <v>203</v>
      </c>
      <c r="C3715" s="28" t="s">
        <v>97</v>
      </c>
      <c r="D3715" s="28" t="s">
        <v>200</v>
      </c>
      <c r="E3715" s="29" t="s">
        <v>365</v>
      </c>
      <c r="F3715" s="29" t="s">
        <v>332</v>
      </c>
      <c r="G3715" s="25" t="s">
        <v>5442</v>
      </c>
      <c r="H3715" s="26">
        <v>-8.6709999999999995E-2</v>
      </c>
      <c r="I3715" s="26"/>
      <c r="J3715" s="26" t="s">
        <v>514</v>
      </c>
      <c r="K3715" s="25" t="s">
        <v>513</v>
      </c>
    </row>
    <row r="3716" spans="1:11" ht="25.5" x14ac:dyDescent="0.25">
      <c r="A3716" s="22">
        <v>2026</v>
      </c>
      <c r="B3716" s="28" t="s">
        <v>203</v>
      </c>
      <c r="C3716" s="28" t="s">
        <v>97</v>
      </c>
      <c r="D3716" s="28" t="s">
        <v>200</v>
      </c>
      <c r="E3716" s="29" t="s">
        <v>365</v>
      </c>
      <c r="F3716" s="29" t="s">
        <v>332</v>
      </c>
      <c r="G3716" s="25" t="s">
        <v>5443</v>
      </c>
      <c r="H3716" s="26">
        <v>-8.6920999999999998E-2</v>
      </c>
      <c r="I3716" s="26"/>
      <c r="J3716" s="26" t="s">
        <v>514</v>
      </c>
      <c r="K3716" s="25" t="s">
        <v>513</v>
      </c>
    </row>
    <row r="3717" spans="1:11" ht="25.5" x14ac:dyDescent="0.25">
      <c r="A3717" s="22">
        <v>2026</v>
      </c>
      <c r="B3717" s="28" t="s">
        <v>203</v>
      </c>
      <c r="C3717" s="28" t="s">
        <v>97</v>
      </c>
      <c r="D3717" s="28" t="s">
        <v>210</v>
      </c>
      <c r="E3717" s="29" t="s">
        <v>392</v>
      </c>
      <c r="F3717" s="29" t="s">
        <v>343</v>
      </c>
      <c r="G3717" s="25" t="s">
        <v>5444</v>
      </c>
      <c r="H3717" s="26">
        <v>-5.0500000000000003E-2</v>
      </c>
      <c r="I3717" s="26"/>
      <c r="J3717" s="26" t="s">
        <v>514</v>
      </c>
      <c r="K3717" s="25" t="s">
        <v>522</v>
      </c>
    </row>
    <row r="3718" spans="1:11" ht="25.5" x14ac:dyDescent="0.25">
      <c r="A3718" s="22">
        <v>2026</v>
      </c>
      <c r="B3718" s="28" t="s">
        <v>203</v>
      </c>
      <c r="C3718" s="28" t="s">
        <v>97</v>
      </c>
      <c r="D3718" s="28" t="s">
        <v>210</v>
      </c>
      <c r="E3718" s="29" t="s">
        <v>392</v>
      </c>
      <c r="F3718" s="29" t="s">
        <v>343</v>
      </c>
      <c r="G3718" s="25" t="s">
        <v>5444</v>
      </c>
      <c r="H3718" s="26">
        <v>-5.0500000000000003E-2</v>
      </c>
      <c r="I3718" s="26"/>
      <c r="J3718" s="26" t="s">
        <v>514</v>
      </c>
      <c r="K3718" s="25" t="s">
        <v>522</v>
      </c>
    </row>
    <row r="3719" spans="1:11" ht="25.5" x14ac:dyDescent="0.25">
      <c r="A3719" s="22">
        <v>2026</v>
      </c>
      <c r="B3719" s="28" t="s">
        <v>203</v>
      </c>
      <c r="C3719" s="28" t="s">
        <v>97</v>
      </c>
      <c r="D3719" s="28" t="s">
        <v>198</v>
      </c>
      <c r="E3719" s="29" t="s">
        <v>923</v>
      </c>
      <c r="F3719" s="29" t="s">
        <v>350</v>
      </c>
      <c r="G3719" s="25" t="s">
        <v>5327</v>
      </c>
      <c r="H3719" s="26">
        <v>-6.5865000000000007E-2</v>
      </c>
      <c r="I3719" s="26"/>
      <c r="J3719" s="26" t="s">
        <v>512</v>
      </c>
      <c r="K3719" s="25" t="s">
        <v>513</v>
      </c>
    </row>
    <row r="3720" spans="1:11" ht="25.5" x14ac:dyDescent="0.25">
      <c r="A3720" s="22">
        <v>2026</v>
      </c>
      <c r="B3720" s="28" t="s">
        <v>203</v>
      </c>
      <c r="C3720" s="28" t="s">
        <v>97</v>
      </c>
      <c r="D3720" s="28" t="s">
        <v>198</v>
      </c>
      <c r="E3720" s="29" t="s">
        <v>923</v>
      </c>
      <c r="F3720" s="29" t="s">
        <v>350</v>
      </c>
      <c r="G3720" s="25" t="s">
        <v>5328</v>
      </c>
      <c r="H3720" s="26">
        <v>-5.2504799999999996E-4</v>
      </c>
      <c r="I3720" s="26"/>
      <c r="J3720" s="26" t="s">
        <v>512</v>
      </c>
      <c r="K3720" s="25" t="s">
        <v>513</v>
      </c>
    </row>
    <row r="3721" spans="1:11" ht="25.5" x14ac:dyDescent="0.25">
      <c r="A3721" s="22">
        <v>2026</v>
      </c>
      <c r="B3721" s="28" t="s">
        <v>203</v>
      </c>
      <c r="C3721" s="28" t="s">
        <v>97</v>
      </c>
      <c r="D3721" s="28" t="s">
        <v>198</v>
      </c>
      <c r="E3721" s="29" t="s">
        <v>923</v>
      </c>
      <c r="F3721" s="29" t="s">
        <v>350</v>
      </c>
      <c r="G3721" s="25" t="s">
        <v>5329</v>
      </c>
      <c r="H3721" s="26">
        <v>-5.8532939999999991E-4</v>
      </c>
      <c r="I3721" s="26"/>
      <c r="J3721" s="26" t="s">
        <v>512</v>
      </c>
      <c r="K3721" s="25" t="s">
        <v>513</v>
      </c>
    </row>
    <row r="3722" spans="1:11" ht="25.5" x14ac:dyDescent="0.25">
      <c r="A3722" s="22">
        <v>2026</v>
      </c>
      <c r="B3722" s="28" t="s">
        <v>203</v>
      </c>
      <c r="C3722" s="28" t="s">
        <v>97</v>
      </c>
      <c r="D3722" s="28" t="s">
        <v>198</v>
      </c>
      <c r="E3722" s="29" t="s">
        <v>923</v>
      </c>
      <c r="F3722" s="29" t="s">
        <v>350</v>
      </c>
      <c r="G3722" s="25" t="s">
        <v>5330</v>
      </c>
      <c r="H3722" s="26">
        <v>-3.9759119999999998E-3</v>
      </c>
      <c r="I3722" s="26"/>
      <c r="J3722" s="26" t="s">
        <v>512</v>
      </c>
      <c r="K3722" s="25" t="s">
        <v>513</v>
      </c>
    </row>
    <row r="3723" spans="1:11" ht="25.5" x14ac:dyDescent="0.25">
      <c r="A3723" s="22">
        <v>2026</v>
      </c>
      <c r="B3723" s="28" t="s">
        <v>203</v>
      </c>
      <c r="C3723" s="28" t="s">
        <v>97</v>
      </c>
      <c r="D3723" s="28" t="s">
        <v>1714</v>
      </c>
      <c r="E3723" s="29" t="s">
        <v>923</v>
      </c>
      <c r="F3723" s="29" t="s">
        <v>353</v>
      </c>
      <c r="G3723" s="25" t="s">
        <v>5445</v>
      </c>
      <c r="H3723" s="26">
        <v>-0.2366</v>
      </c>
      <c r="I3723" s="26"/>
      <c r="J3723" s="26" t="s">
        <v>512</v>
      </c>
      <c r="K3723" s="25" t="s">
        <v>513</v>
      </c>
    </row>
    <row r="3724" spans="1:11" ht="25.5" x14ac:dyDescent="0.25">
      <c r="A3724" s="22">
        <v>2026</v>
      </c>
      <c r="B3724" s="28" t="s">
        <v>203</v>
      </c>
      <c r="C3724" s="28" t="s">
        <v>97</v>
      </c>
      <c r="D3724" s="28" t="s">
        <v>1715</v>
      </c>
      <c r="E3724" s="29" t="s">
        <v>352</v>
      </c>
      <c r="F3724" s="29" t="s">
        <v>353</v>
      </c>
      <c r="G3724" s="25" t="s">
        <v>5446</v>
      </c>
      <c r="H3724" s="26">
        <v>-0.16107375360000001</v>
      </c>
      <c r="I3724" s="26"/>
      <c r="J3724" s="26" t="s">
        <v>512</v>
      </c>
      <c r="K3724" s="25" t="s">
        <v>513</v>
      </c>
    </row>
    <row r="3725" spans="1:11" ht="25.5" x14ac:dyDescent="0.25">
      <c r="A3725" s="22">
        <v>2026</v>
      </c>
      <c r="B3725" s="28" t="s">
        <v>203</v>
      </c>
      <c r="C3725" s="28" t="s">
        <v>97</v>
      </c>
      <c r="D3725" s="28" t="s">
        <v>1715</v>
      </c>
      <c r="E3725" s="29" t="s">
        <v>352</v>
      </c>
      <c r="F3725" s="29" t="s">
        <v>353</v>
      </c>
      <c r="G3725" s="25" t="s">
        <v>5447</v>
      </c>
      <c r="H3725" s="26">
        <v>-0.28497909999999999</v>
      </c>
      <c r="I3725" s="26"/>
      <c r="J3725" s="26" t="s">
        <v>512</v>
      </c>
      <c r="K3725" s="25" t="s">
        <v>513</v>
      </c>
    </row>
    <row r="3726" spans="1:11" ht="25.5" x14ac:dyDescent="0.25">
      <c r="A3726" s="22">
        <v>2026</v>
      </c>
      <c r="B3726" s="28" t="s">
        <v>203</v>
      </c>
      <c r="C3726" s="28" t="s">
        <v>97</v>
      </c>
      <c r="D3726" s="28" t="s">
        <v>1715</v>
      </c>
      <c r="E3726" s="29" t="s">
        <v>352</v>
      </c>
      <c r="F3726" s="29" t="s">
        <v>353</v>
      </c>
      <c r="G3726" s="25" t="s">
        <v>5448</v>
      </c>
      <c r="H3726" s="26">
        <v>-8.4812705779999983E-2</v>
      </c>
      <c r="I3726" s="26"/>
      <c r="J3726" s="26" t="s">
        <v>512</v>
      </c>
      <c r="K3726" s="25" t="s">
        <v>513</v>
      </c>
    </row>
    <row r="3727" spans="1:11" ht="25.5" x14ac:dyDescent="0.25">
      <c r="A3727" s="22">
        <v>2026</v>
      </c>
      <c r="B3727" s="28" t="s">
        <v>203</v>
      </c>
      <c r="C3727" s="28" t="s">
        <v>97</v>
      </c>
      <c r="D3727" s="28" t="s">
        <v>1715</v>
      </c>
      <c r="E3727" s="29" t="s">
        <v>352</v>
      </c>
      <c r="F3727" s="29" t="s">
        <v>353</v>
      </c>
      <c r="G3727" s="25" t="s">
        <v>5449</v>
      </c>
      <c r="H3727" s="26">
        <v>-0.12720576455999999</v>
      </c>
      <c r="I3727" s="26"/>
      <c r="J3727" s="26" t="s">
        <v>512</v>
      </c>
      <c r="K3727" s="25" t="s">
        <v>513</v>
      </c>
    </row>
    <row r="3728" spans="1:11" ht="25.5" x14ac:dyDescent="0.25">
      <c r="A3728" s="22">
        <v>2026</v>
      </c>
      <c r="B3728" s="28" t="s">
        <v>203</v>
      </c>
      <c r="C3728" s="28" t="s">
        <v>97</v>
      </c>
      <c r="D3728" s="28" t="s">
        <v>1715</v>
      </c>
      <c r="E3728" s="29" t="s">
        <v>352</v>
      </c>
      <c r="F3728" s="29" t="s">
        <v>353</v>
      </c>
      <c r="G3728" s="25" t="s">
        <v>5450</v>
      </c>
      <c r="H3728" s="26">
        <v>-8.641478000000001E-3</v>
      </c>
      <c r="I3728" s="26"/>
      <c r="J3728" s="26" t="s">
        <v>512</v>
      </c>
      <c r="K3728" s="25" t="s">
        <v>513</v>
      </c>
    </row>
    <row r="3729" spans="1:11" ht="25.5" x14ac:dyDescent="0.25">
      <c r="A3729" s="22">
        <v>2026</v>
      </c>
      <c r="B3729" s="28" t="s">
        <v>203</v>
      </c>
      <c r="C3729" s="28" t="s">
        <v>97</v>
      </c>
      <c r="D3729" s="28" t="s">
        <v>1715</v>
      </c>
      <c r="E3729" s="29" t="s">
        <v>352</v>
      </c>
      <c r="F3729" s="29" t="s">
        <v>353</v>
      </c>
      <c r="G3729" s="25" t="s">
        <v>5451</v>
      </c>
      <c r="H3729" s="26">
        <v>-0.19955000000000001</v>
      </c>
      <c r="I3729" s="26"/>
      <c r="J3729" s="26" t="s">
        <v>512</v>
      </c>
      <c r="K3729" s="25" t="s">
        <v>513</v>
      </c>
    </row>
    <row r="3730" spans="1:11" ht="25.5" x14ac:dyDescent="0.25">
      <c r="A3730" s="22">
        <v>2026</v>
      </c>
      <c r="B3730" s="28" t="s">
        <v>203</v>
      </c>
      <c r="C3730" s="28" t="s">
        <v>97</v>
      </c>
      <c r="D3730" s="28" t="s">
        <v>1715</v>
      </c>
      <c r="E3730" s="29" t="s">
        <v>352</v>
      </c>
      <c r="F3730" s="29" t="s">
        <v>353</v>
      </c>
      <c r="G3730" s="25" t="s">
        <v>5452</v>
      </c>
      <c r="H3730" s="26">
        <v>-0.33205978519999996</v>
      </c>
      <c r="I3730" s="26"/>
      <c r="J3730" s="26" t="s">
        <v>512</v>
      </c>
      <c r="K3730" s="25" t="s">
        <v>513</v>
      </c>
    </row>
    <row r="3731" spans="1:11" ht="25.5" x14ac:dyDescent="0.25">
      <c r="A3731" s="22">
        <v>2026</v>
      </c>
      <c r="B3731" s="28" t="s">
        <v>203</v>
      </c>
      <c r="C3731" s="28" t="s">
        <v>97</v>
      </c>
      <c r="D3731" s="28" t="s">
        <v>1715</v>
      </c>
      <c r="E3731" s="29" t="s">
        <v>352</v>
      </c>
      <c r="F3731" s="29" t="s">
        <v>353</v>
      </c>
      <c r="G3731" s="25" t="s">
        <v>5453</v>
      </c>
      <c r="H3731" s="26">
        <v>-0.18622736000000001</v>
      </c>
      <c r="I3731" s="26"/>
      <c r="J3731" s="26" t="s">
        <v>512</v>
      </c>
      <c r="K3731" s="25" t="s">
        <v>513</v>
      </c>
    </row>
    <row r="3732" spans="1:11" ht="25.5" x14ac:dyDescent="0.25">
      <c r="A3732" s="22">
        <v>2026</v>
      </c>
      <c r="B3732" s="28" t="s">
        <v>203</v>
      </c>
      <c r="C3732" s="28" t="s">
        <v>97</v>
      </c>
      <c r="D3732" s="28" t="s">
        <v>1715</v>
      </c>
      <c r="E3732" s="29" t="s">
        <v>352</v>
      </c>
      <c r="F3732" s="29" t="s">
        <v>353</v>
      </c>
      <c r="G3732" s="25" t="s">
        <v>5454</v>
      </c>
      <c r="H3732" s="26">
        <v>-0.30813143488</v>
      </c>
      <c r="I3732" s="26"/>
      <c r="J3732" s="26" t="s">
        <v>512</v>
      </c>
      <c r="K3732" s="25" t="s">
        <v>513</v>
      </c>
    </row>
    <row r="3733" spans="1:11" ht="25.5" x14ac:dyDescent="0.25">
      <c r="A3733" s="22">
        <v>2026</v>
      </c>
      <c r="B3733" s="28" t="s">
        <v>203</v>
      </c>
      <c r="C3733" s="28" t="s">
        <v>97</v>
      </c>
      <c r="D3733" s="28" t="s">
        <v>1715</v>
      </c>
      <c r="E3733" s="29" t="s">
        <v>352</v>
      </c>
      <c r="F3733" s="29" t="s">
        <v>353</v>
      </c>
      <c r="G3733" s="25" t="s">
        <v>5455</v>
      </c>
      <c r="H3733" s="26">
        <v>-0.60982400000000003</v>
      </c>
      <c r="I3733" s="26"/>
      <c r="J3733" s="26" t="s">
        <v>512</v>
      </c>
      <c r="K3733" s="25" t="s">
        <v>513</v>
      </c>
    </row>
    <row r="3734" spans="1:11" ht="25.5" x14ac:dyDescent="0.25">
      <c r="A3734" s="22">
        <v>2026</v>
      </c>
      <c r="B3734" s="28" t="s">
        <v>203</v>
      </c>
      <c r="C3734" s="28" t="s">
        <v>97</v>
      </c>
      <c r="D3734" s="28" t="s">
        <v>1715</v>
      </c>
      <c r="E3734" s="29" t="s">
        <v>352</v>
      </c>
      <c r="F3734" s="29" t="s">
        <v>353</v>
      </c>
      <c r="G3734" s="25" t="s">
        <v>5456</v>
      </c>
      <c r="H3734" s="26">
        <v>-0.37341823833000004</v>
      </c>
      <c r="I3734" s="26"/>
      <c r="J3734" s="26" t="s">
        <v>512</v>
      </c>
      <c r="K3734" s="25" t="s">
        <v>513</v>
      </c>
    </row>
    <row r="3735" spans="1:11" ht="25.5" x14ac:dyDescent="0.25">
      <c r="A3735" s="22">
        <v>2026</v>
      </c>
      <c r="B3735" s="28" t="s">
        <v>203</v>
      </c>
      <c r="C3735" s="28" t="s">
        <v>97</v>
      </c>
      <c r="D3735" s="28" t="s">
        <v>1715</v>
      </c>
      <c r="E3735" s="29" t="s">
        <v>352</v>
      </c>
      <c r="F3735" s="29" t="s">
        <v>353</v>
      </c>
      <c r="G3735" s="25" t="s">
        <v>5457</v>
      </c>
      <c r="H3735" s="26">
        <v>-0.1120751247</v>
      </c>
      <c r="I3735" s="26"/>
      <c r="J3735" s="26" t="s">
        <v>512</v>
      </c>
      <c r="K3735" s="25" t="s">
        <v>513</v>
      </c>
    </row>
    <row r="3736" spans="1:11" ht="25.5" x14ac:dyDescent="0.25">
      <c r="A3736" s="22">
        <v>2026</v>
      </c>
      <c r="B3736" s="28" t="s">
        <v>203</v>
      </c>
      <c r="C3736" s="28" t="s">
        <v>97</v>
      </c>
      <c r="D3736" s="28" t="s">
        <v>1285</v>
      </c>
      <c r="E3736" s="29" t="s">
        <v>398</v>
      </c>
      <c r="F3736" s="29" t="s">
        <v>1286</v>
      </c>
      <c r="G3736" s="25" t="s">
        <v>5458</v>
      </c>
      <c r="H3736" s="26">
        <v>-8.8358885400000009</v>
      </c>
      <c r="I3736" s="26"/>
      <c r="J3736" s="26" t="s">
        <v>512</v>
      </c>
      <c r="K3736" s="25" t="s">
        <v>513</v>
      </c>
    </row>
    <row r="3737" spans="1:11" ht="25.5" x14ac:dyDescent="0.25">
      <c r="A3737" s="22">
        <v>2026</v>
      </c>
      <c r="B3737" s="28" t="s">
        <v>203</v>
      </c>
      <c r="C3737" s="28" t="s">
        <v>97</v>
      </c>
      <c r="D3737" s="28" t="s">
        <v>1716</v>
      </c>
      <c r="E3737" s="29" t="s">
        <v>446</v>
      </c>
      <c r="F3737" s="29" t="s">
        <v>353</v>
      </c>
      <c r="G3737" s="25" t="s">
        <v>5459</v>
      </c>
      <c r="H3737" s="26">
        <v>-0.97687500000000005</v>
      </c>
      <c r="I3737" s="26"/>
      <c r="J3737" s="26" t="s">
        <v>512</v>
      </c>
      <c r="K3737" s="25" t="s">
        <v>513</v>
      </c>
    </row>
    <row r="3738" spans="1:11" ht="25.5" x14ac:dyDescent="0.25">
      <c r="A3738" s="22">
        <v>2026</v>
      </c>
      <c r="B3738" s="28" t="s">
        <v>203</v>
      </c>
      <c r="C3738" s="28" t="s">
        <v>97</v>
      </c>
      <c r="D3738" s="28" t="s">
        <v>1716</v>
      </c>
      <c r="E3738" s="29" t="s">
        <v>446</v>
      </c>
      <c r="F3738" s="29" t="s">
        <v>353</v>
      </c>
      <c r="G3738" s="25" t="s">
        <v>5460</v>
      </c>
      <c r="H3738" s="26">
        <v>-0.66834649999999995</v>
      </c>
      <c r="I3738" s="26"/>
      <c r="J3738" s="26" t="s">
        <v>512</v>
      </c>
      <c r="K3738" s="25" t="s">
        <v>513</v>
      </c>
    </row>
    <row r="3739" spans="1:11" ht="25.5" x14ac:dyDescent="0.25">
      <c r="A3739" s="22">
        <v>2026</v>
      </c>
      <c r="B3739" s="28" t="s">
        <v>203</v>
      </c>
      <c r="C3739" s="28" t="s">
        <v>97</v>
      </c>
      <c r="D3739" s="28" t="s">
        <v>1716</v>
      </c>
      <c r="E3739" s="29" t="s">
        <v>446</v>
      </c>
      <c r="F3739" s="29" t="s">
        <v>353</v>
      </c>
      <c r="G3739" s="25" t="s">
        <v>2473</v>
      </c>
      <c r="H3739" s="26">
        <v>-0.66554999999999997</v>
      </c>
      <c r="I3739" s="26"/>
      <c r="J3739" s="26" t="s">
        <v>512</v>
      </c>
      <c r="K3739" s="25" t="s">
        <v>513</v>
      </c>
    </row>
    <row r="3740" spans="1:11" ht="25.5" x14ac:dyDescent="0.25">
      <c r="A3740" s="22">
        <v>2026</v>
      </c>
      <c r="B3740" s="28" t="s">
        <v>203</v>
      </c>
      <c r="C3740" s="28" t="s">
        <v>97</v>
      </c>
      <c r="D3740" s="28" t="s">
        <v>1716</v>
      </c>
      <c r="E3740" s="29" t="s">
        <v>446</v>
      </c>
      <c r="F3740" s="29" t="s">
        <v>353</v>
      </c>
      <c r="G3740" s="25" t="s">
        <v>5461</v>
      </c>
      <c r="H3740" s="26">
        <v>-0.68510000000000004</v>
      </c>
      <c r="I3740" s="26"/>
      <c r="J3740" s="26" t="s">
        <v>512</v>
      </c>
      <c r="K3740" s="25" t="s">
        <v>513</v>
      </c>
    </row>
    <row r="3741" spans="1:11" ht="25.5" x14ac:dyDescent="0.25">
      <c r="A3741" s="22">
        <v>2026</v>
      </c>
      <c r="B3741" s="28" t="s">
        <v>203</v>
      </c>
      <c r="C3741" s="28" t="s">
        <v>97</v>
      </c>
      <c r="D3741" s="28" t="s">
        <v>1716</v>
      </c>
      <c r="E3741" s="29" t="s">
        <v>446</v>
      </c>
      <c r="F3741" s="29" t="s">
        <v>353</v>
      </c>
      <c r="G3741" s="25" t="s">
        <v>5462</v>
      </c>
      <c r="H3741" s="26">
        <v>-0.68084999999999996</v>
      </c>
      <c r="I3741" s="26"/>
      <c r="J3741" s="26" t="s">
        <v>512</v>
      </c>
      <c r="K3741" s="25" t="s">
        <v>513</v>
      </c>
    </row>
    <row r="3742" spans="1:11" ht="25.5" x14ac:dyDescent="0.25">
      <c r="A3742" s="22">
        <v>2026</v>
      </c>
      <c r="B3742" s="28" t="s">
        <v>203</v>
      </c>
      <c r="C3742" s="28" t="s">
        <v>97</v>
      </c>
      <c r="D3742" s="28" t="s">
        <v>1716</v>
      </c>
      <c r="E3742" s="29" t="s">
        <v>446</v>
      </c>
      <c r="F3742" s="29" t="s">
        <v>353</v>
      </c>
      <c r="G3742" s="25" t="s">
        <v>5463</v>
      </c>
      <c r="H3742" s="26">
        <v>-0.68425000000000014</v>
      </c>
      <c r="I3742" s="26"/>
      <c r="J3742" s="26" t="s">
        <v>512</v>
      </c>
      <c r="K3742" s="25" t="s">
        <v>513</v>
      </c>
    </row>
    <row r="3743" spans="1:11" ht="25.5" x14ac:dyDescent="0.25">
      <c r="A3743" s="22">
        <v>2026</v>
      </c>
      <c r="B3743" s="28" t="s">
        <v>203</v>
      </c>
      <c r="C3743" s="28" t="s">
        <v>97</v>
      </c>
      <c r="D3743" s="28" t="s">
        <v>1716</v>
      </c>
      <c r="E3743" s="29" t="s">
        <v>446</v>
      </c>
      <c r="F3743" s="29" t="s">
        <v>353</v>
      </c>
      <c r="G3743" s="25" t="s">
        <v>5464</v>
      </c>
      <c r="H3743" s="26">
        <v>-1.0062500000000001</v>
      </c>
      <c r="I3743" s="26"/>
      <c r="J3743" s="26" t="s">
        <v>512</v>
      </c>
      <c r="K3743" s="25" t="s">
        <v>513</v>
      </c>
    </row>
    <row r="3744" spans="1:11" ht="25.5" x14ac:dyDescent="0.25">
      <c r="A3744" s="22">
        <v>2026</v>
      </c>
      <c r="B3744" s="28" t="s">
        <v>203</v>
      </c>
      <c r="C3744" s="28" t="s">
        <v>97</v>
      </c>
      <c r="D3744" s="28" t="s">
        <v>1716</v>
      </c>
      <c r="E3744" s="29" t="s">
        <v>446</v>
      </c>
      <c r="F3744" s="29" t="s">
        <v>353</v>
      </c>
      <c r="G3744" s="25" t="s">
        <v>5465</v>
      </c>
      <c r="H3744" s="26">
        <v>-0.32400000000000001</v>
      </c>
      <c r="I3744" s="26"/>
      <c r="J3744" s="26" t="s">
        <v>512</v>
      </c>
      <c r="K3744" s="25" t="s">
        <v>513</v>
      </c>
    </row>
    <row r="3745" spans="1:11" ht="25.5" x14ac:dyDescent="0.25">
      <c r="A3745" s="22">
        <v>2026</v>
      </c>
      <c r="B3745" s="28" t="s">
        <v>203</v>
      </c>
      <c r="C3745" s="28" t="s">
        <v>97</v>
      </c>
      <c r="D3745" s="28" t="s">
        <v>1716</v>
      </c>
      <c r="E3745" s="29" t="s">
        <v>446</v>
      </c>
      <c r="F3745" s="29" t="s">
        <v>353</v>
      </c>
      <c r="G3745" s="25" t="s">
        <v>5466</v>
      </c>
      <c r="H3745" s="26">
        <v>-1.0111250000000001</v>
      </c>
      <c r="I3745" s="26"/>
      <c r="J3745" s="26" t="s">
        <v>512</v>
      </c>
      <c r="K3745" s="25" t="s">
        <v>513</v>
      </c>
    </row>
    <row r="3746" spans="1:11" ht="25.5" x14ac:dyDescent="0.25">
      <c r="A3746" s="22">
        <v>2026</v>
      </c>
      <c r="B3746" s="28" t="s">
        <v>203</v>
      </c>
      <c r="C3746" s="28" t="s">
        <v>97</v>
      </c>
      <c r="D3746" s="28" t="s">
        <v>1716</v>
      </c>
      <c r="E3746" s="29" t="s">
        <v>446</v>
      </c>
      <c r="F3746" s="29" t="s">
        <v>353</v>
      </c>
      <c r="G3746" s="25" t="s">
        <v>5467</v>
      </c>
      <c r="H3746" s="26">
        <v>-0.691662</v>
      </c>
      <c r="I3746" s="26"/>
      <c r="J3746" s="26" t="s">
        <v>512</v>
      </c>
      <c r="K3746" s="25" t="s">
        <v>513</v>
      </c>
    </row>
    <row r="3747" spans="1:11" ht="25.5" x14ac:dyDescent="0.25">
      <c r="A3747" s="22">
        <v>2026</v>
      </c>
      <c r="B3747" s="28" t="s">
        <v>203</v>
      </c>
      <c r="C3747" s="28" t="s">
        <v>97</v>
      </c>
      <c r="D3747" s="28" t="s">
        <v>1716</v>
      </c>
      <c r="E3747" s="29" t="s">
        <v>446</v>
      </c>
      <c r="F3747" s="29" t="s">
        <v>353</v>
      </c>
      <c r="G3747" s="25" t="s">
        <v>5468</v>
      </c>
      <c r="H3747" s="26">
        <v>-0.32956400000000002</v>
      </c>
      <c r="I3747" s="26"/>
      <c r="J3747" s="26" t="s">
        <v>512</v>
      </c>
      <c r="K3747" s="25" t="s">
        <v>513</v>
      </c>
    </row>
    <row r="3748" spans="1:11" ht="25.5" x14ac:dyDescent="0.25">
      <c r="A3748" s="22">
        <v>2026</v>
      </c>
      <c r="B3748" s="28" t="s">
        <v>203</v>
      </c>
      <c r="C3748" s="28" t="s">
        <v>97</v>
      </c>
      <c r="D3748" s="28" t="s">
        <v>1716</v>
      </c>
      <c r="E3748" s="29" t="s">
        <v>446</v>
      </c>
      <c r="F3748" s="29" t="s">
        <v>353</v>
      </c>
      <c r="G3748" s="25" t="s">
        <v>5469</v>
      </c>
      <c r="H3748" s="26">
        <v>-0.69529149999999995</v>
      </c>
      <c r="I3748" s="26"/>
      <c r="J3748" s="26" t="s">
        <v>512</v>
      </c>
      <c r="K3748" s="25" t="s">
        <v>513</v>
      </c>
    </row>
    <row r="3749" spans="1:11" ht="25.5" x14ac:dyDescent="0.25">
      <c r="A3749" s="22">
        <v>2026</v>
      </c>
      <c r="B3749" s="28" t="s">
        <v>203</v>
      </c>
      <c r="C3749" s="28" t="s">
        <v>97</v>
      </c>
      <c r="D3749" s="28" t="s">
        <v>1716</v>
      </c>
      <c r="E3749" s="29" t="s">
        <v>446</v>
      </c>
      <c r="F3749" s="29" t="s">
        <v>353</v>
      </c>
      <c r="G3749" s="25" t="s">
        <v>5470</v>
      </c>
      <c r="H3749" s="26">
        <v>-1.0205</v>
      </c>
      <c r="I3749" s="26"/>
      <c r="J3749" s="26" t="s">
        <v>512</v>
      </c>
      <c r="K3749" s="25" t="s">
        <v>513</v>
      </c>
    </row>
    <row r="3750" spans="1:11" ht="25.5" x14ac:dyDescent="0.25">
      <c r="A3750" s="22">
        <v>2026</v>
      </c>
      <c r="B3750" s="28" t="s">
        <v>203</v>
      </c>
      <c r="C3750" s="28" t="s">
        <v>97</v>
      </c>
      <c r="D3750" s="28" t="s">
        <v>1716</v>
      </c>
      <c r="E3750" s="29" t="s">
        <v>446</v>
      </c>
      <c r="F3750" s="29" t="s">
        <v>353</v>
      </c>
      <c r="G3750" s="25" t="s">
        <v>3109</v>
      </c>
      <c r="H3750" s="26">
        <v>-0.69445000000000001</v>
      </c>
      <c r="I3750" s="26"/>
      <c r="J3750" s="26" t="s">
        <v>512</v>
      </c>
      <c r="K3750" s="25" t="s">
        <v>513</v>
      </c>
    </row>
    <row r="3751" spans="1:11" ht="25.5" x14ac:dyDescent="0.25">
      <c r="A3751" s="22">
        <v>2026</v>
      </c>
      <c r="B3751" s="28" t="s">
        <v>203</v>
      </c>
      <c r="C3751" s="28" t="s">
        <v>97</v>
      </c>
      <c r="D3751" s="28" t="s">
        <v>1716</v>
      </c>
      <c r="E3751" s="29" t="s">
        <v>446</v>
      </c>
      <c r="F3751" s="29" t="s">
        <v>353</v>
      </c>
      <c r="G3751" s="25" t="s">
        <v>5471</v>
      </c>
      <c r="H3751" s="26">
        <v>-0.69323449999999998</v>
      </c>
      <c r="I3751" s="26"/>
      <c r="J3751" s="26" t="s">
        <v>512</v>
      </c>
      <c r="K3751" s="25" t="s">
        <v>513</v>
      </c>
    </row>
    <row r="3752" spans="1:11" ht="25.5" x14ac:dyDescent="0.25">
      <c r="A3752" s="22">
        <v>2026</v>
      </c>
      <c r="B3752" s="28" t="s">
        <v>203</v>
      </c>
      <c r="C3752" s="28" t="s">
        <v>97</v>
      </c>
      <c r="D3752" s="28" t="s">
        <v>1716</v>
      </c>
      <c r="E3752" s="29" t="s">
        <v>446</v>
      </c>
      <c r="F3752" s="29" t="s">
        <v>353</v>
      </c>
      <c r="G3752" s="25" t="s">
        <v>5472</v>
      </c>
      <c r="H3752" s="26">
        <v>-0.69140699999999999</v>
      </c>
      <c r="I3752" s="26"/>
      <c r="J3752" s="26" t="s">
        <v>512</v>
      </c>
      <c r="K3752" s="25" t="s">
        <v>513</v>
      </c>
    </row>
    <row r="3753" spans="1:11" ht="25.5" x14ac:dyDescent="0.25">
      <c r="A3753" s="22">
        <v>2026</v>
      </c>
      <c r="B3753" s="28" t="s">
        <v>203</v>
      </c>
      <c r="C3753" s="28" t="s">
        <v>97</v>
      </c>
      <c r="D3753" s="28" t="s">
        <v>1716</v>
      </c>
      <c r="E3753" s="29" t="s">
        <v>446</v>
      </c>
      <c r="F3753" s="29" t="s">
        <v>353</v>
      </c>
      <c r="G3753" s="25" t="s">
        <v>5473</v>
      </c>
      <c r="H3753" s="26">
        <v>-0.68905249999999996</v>
      </c>
      <c r="I3753" s="26"/>
      <c r="J3753" s="26" t="s">
        <v>512</v>
      </c>
      <c r="K3753" s="25" t="s">
        <v>513</v>
      </c>
    </row>
    <row r="3754" spans="1:11" ht="25.5" x14ac:dyDescent="0.25">
      <c r="A3754" s="22">
        <v>2026</v>
      </c>
      <c r="B3754" s="28" t="s">
        <v>203</v>
      </c>
      <c r="C3754" s="28" t="s">
        <v>97</v>
      </c>
      <c r="D3754" s="28" t="s">
        <v>1716</v>
      </c>
      <c r="E3754" s="29" t="s">
        <v>446</v>
      </c>
      <c r="F3754" s="29" t="s">
        <v>353</v>
      </c>
      <c r="G3754" s="25" t="s">
        <v>5474</v>
      </c>
      <c r="H3754" s="26">
        <v>-0.68596699999999999</v>
      </c>
      <c r="I3754" s="26"/>
      <c r="J3754" s="26" t="s">
        <v>512</v>
      </c>
      <c r="K3754" s="25" t="s">
        <v>513</v>
      </c>
    </row>
    <row r="3755" spans="1:11" ht="25.5" x14ac:dyDescent="0.25">
      <c r="A3755" s="22">
        <v>2026</v>
      </c>
      <c r="B3755" s="28" t="s">
        <v>203</v>
      </c>
      <c r="C3755" s="28" t="s">
        <v>97</v>
      </c>
      <c r="D3755" s="28" t="s">
        <v>1716</v>
      </c>
      <c r="E3755" s="29" t="s">
        <v>446</v>
      </c>
      <c r="F3755" s="29" t="s">
        <v>353</v>
      </c>
      <c r="G3755" s="25" t="s">
        <v>5475</v>
      </c>
      <c r="H3755" s="26">
        <v>-0.67277500000000001</v>
      </c>
      <c r="I3755" s="26"/>
      <c r="J3755" s="26" t="s">
        <v>512</v>
      </c>
      <c r="K3755" s="25" t="s">
        <v>513</v>
      </c>
    </row>
    <row r="3756" spans="1:11" ht="25.5" x14ac:dyDescent="0.25">
      <c r="A3756" s="22">
        <v>2026</v>
      </c>
      <c r="B3756" s="28" t="s">
        <v>203</v>
      </c>
      <c r="C3756" s="28" t="s">
        <v>97</v>
      </c>
      <c r="D3756" s="28" t="s">
        <v>1716</v>
      </c>
      <c r="E3756" s="29" t="s">
        <v>446</v>
      </c>
      <c r="F3756" s="29" t="s">
        <v>353</v>
      </c>
      <c r="G3756" s="25" t="s">
        <v>5476</v>
      </c>
      <c r="H3756" s="26">
        <v>-0.67443249999999999</v>
      </c>
      <c r="I3756" s="26"/>
      <c r="J3756" s="26" t="s">
        <v>512</v>
      </c>
      <c r="K3756" s="25" t="s">
        <v>513</v>
      </c>
    </row>
    <row r="3757" spans="1:11" ht="25.5" x14ac:dyDescent="0.25">
      <c r="A3757" s="22">
        <v>2026</v>
      </c>
      <c r="B3757" s="28" t="s">
        <v>203</v>
      </c>
      <c r="C3757" s="28" t="s">
        <v>97</v>
      </c>
      <c r="D3757" s="28" t="s">
        <v>229</v>
      </c>
      <c r="E3757" s="29" t="s">
        <v>923</v>
      </c>
      <c r="F3757" s="29" t="s">
        <v>298</v>
      </c>
      <c r="G3757" s="25" t="s">
        <v>5477</v>
      </c>
      <c r="H3757" s="26">
        <v>-0.73994040000000005</v>
      </c>
      <c r="I3757" s="26"/>
      <c r="J3757" s="26" t="s">
        <v>512</v>
      </c>
      <c r="K3757" s="25" t="s">
        <v>526</v>
      </c>
    </row>
    <row r="3758" spans="1:11" ht="25.5" x14ac:dyDescent="0.25">
      <c r="A3758" s="22">
        <v>2026</v>
      </c>
      <c r="B3758" s="28" t="s">
        <v>203</v>
      </c>
      <c r="C3758" s="28" t="s">
        <v>97</v>
      </c>
      <c r="D3758" s="28" t="s">
        <v>229</v>
      </c>
      <c r="E3758" s="29" t="s">
        <v>923</v>
      </c>
      <c r="F3758" s="29" t="s">
        <v>298</v>
      </c>
      <c r="G3758" s="25" t="s">
        <v>5478</v>
      </c>
      <c r="H3758" s="26">
        <v>-3.4131359999999999E-2</v>
      </c>
      <c r="I3758" s="26"/>
      <c r="J3758" s="26" t="s">
        <v>512</v>
      </c>
      <c r="K3758" s="25" t="s">
        <v>526</v>
      </c>
    </row>
    <row r="3759" spans="1:11" ht="25.5" x14ac:dyDescent="0.25">
      <c r="A3759" s="22">
        <v>2026</v>
      </c>
      <c r="B3759" s="28" t="s">
        <v>203</v>
      </c>
      <c r="C3759" s="28" t="s">
        <v>97</v>
      </c>
      <c r="D3759" s="28" t="s">
        <v>229</v>
      </c>
      <c r="E3759" s="29" t="s">
        <v>923</v>
      </c>
      <c r="F3759" s="29" t="s">
        <v>298</v>
      </c>
      <c r="G3759" s="25" t="s">
        <v>5479</v>
      </c>
      <c r="H3759" s="26">
        <v>-0.64600000000000002</v>
      </c>
      <c r="I3759" s="26"/>
      <c r="J3759" s="26" t="s">
        <v>512</v>
      </c>
      <c r="K3759" s="25" t="s">
        <v>526</v>
      </c>
    </row>
    <row r="3760" spans="1:11" ht="25.5" x14ac:dyDescent="0.25">
      <c r="A3760" s="22">
        <v>2026</v>
      </c>
      <c r="B3760" s="28" t="s">
        <v>203</v>
      </c>
      <c r="C3760" s="28" t="s">
        <v>97</v>
      </c>
      <c r="D3760" s="28" t="s">
        <v>229</v>
      </c>
      <c r="E3760" s="29" t="s">
        <v>923</v>
      </c>
      <c r="F3760" s="29" t="s">
        <v>298</v>
      </c>
      <c r="G3760" s="25" t="s">
        <v>5480</v>
      </c>
      <c r="H3760" s="26">
        <v>-0.45649700824</v>
      </c>
      <c r="I3760" s="26"/>
      <c r="J3760" s="26" t="s">
        <v>512</v>
      </c>
      <c r="K3760" s="25" t="s">
        <v>526</v>
      </c>
    </row>
    <row r="3761" spans="1:11" ht="25.5" x14ac:dyDescent="0.25">
      <c r="A3761" s="22">
        <v>2026</v>
      </c>
      <c r="B3761" s="28" t="s">
        <v>203</v>
      </c>
      <c r="C3761" s="28" t="s">
        <v>97</v>
      </c>
      <c r="D3761" s="28" t="s">
        <v>229</v>
      </c>
      <c r="E3761" s="29" t="s">
        <v>923</v>
      </c>
      <c r="F3761" s="29" t="s">
        <v>298</v>
      </c>
      <c r="G3761" s="25" t="s">
        <v>5481</v>
      </c>
      <c r="H3761" s="26">
        <v>-2.8569000000000001E-2</v>
      </c>
      <c r="I3761" s="26"/>
      <c r="J3761" s="26" t="s">
        <v>512</v>
      </c>
      <c r="K3761" s="25" t="s">
        <v>526</v>
      </c>
    </row>
    <row r="3762" spans="1:11" ht="25.5" x14ac:dyDescent="0.25">
      <c r="A3762" s="22">
        <v>2026</v>
      </c>
      <c r="B3762" s="28" t="s">
        <v>203</v>
      </c>
      <c r="C3762" s="28" t="s">
        <v>97</v>
      </c>
      <c r="D3762" s="28" t="s">
        <v>229</v>
      </c>
      <c r="E3762" s="29" t="s">
        <v>923</v>
      </c>
      <c r="F3762" s="29" t="s">
        <v>298</v>
      </c>
      <c r="G3762" s="25" t="s">
        <v>5482</v>
      </c>
      <c r="H3762" s="26">
        <v>-0.89899949999999995</v>
      </c>
      <c r="I3762" s="26"/>
      <c r="J3762" s="26" t="s">
        <v>512</v>
      </c>
      <c r="K3762" s="25" t="s">
        <v>526</v>
      </c>
    </row>
    <row r="3763" spans="1:11" ht="25.5" x14ac:dyDescent="0.25">
      <c r="A3763" s="22">
        <v>2026</v>
      </c>
      <c r="B3763" s="28" t="s">
        <v>203</v>
      </c>
      <c r="C3763" s="28" t="s">
        <v>97</v>
      </c>
      <c r="D3763" s="28" t="s">
        <v>229</v>
      </c>
      <c r="E3763" s="29" t="s">
        <v>923</v>
      </c>
      <c r="F3763" s="29" t="s">
        <v>298</v>
      </c>
      <c r="G3763" s="25" t="s">
        <v>5483</v>
      </c>
      <c r="H3763" s="26">
        <v>-0.44911754999999998</v>
      </c>
      <c r="I3763" s="26"/>
      <c r="J3763" s="26" t="s">
        <v>512</v>
      </c>
      <c r="K3763" s="25" t="s">
        <v>526</v>
      </c>
    </row>
    <row r="3764" spans="1:11" ht="25.5" x14ac:dyDescent="0.25">
      <c r="A3764" s="22">
        <v>2026</v>
      </c>
      <c r="B3764" s="28" t="s">
        <v>203</v>
      </c>
      <c r="C3764" s="28" t="s">
        <v>97</v>
      </c>
      <c r="D3764" s="28" t="s">
        <v>229</v>
      </c>
      <c r="E3764" s="29" t="s">
        <v>923</v>
      </c>
      <c r="F3764" s="29" t="s">
        <v>298</v>
      </c>
      <c r="G3764" s="25" t="s">
        <v>5484</v>
      </c>
      <c r="H3764" s="26">
        <v>-0.8410486881</v>
      </c>
      <c r="I3764" s="26"/>
      <c r="J3764" s="26" t="s">
        <v>512</v>
      </c>
      <c r="K3764" s="25" t="s">
        <v>526</v>
      </c>
    </row>
    <row r="3765" spans="1:11" ht="25.5" x14ac:dyDescent="0.25">
      <c r="A3765" s="22">
        <v>2026</v>
      </c>
      <c r="B3765" s="28" t="s">
        <v>203</v>
      </c>
      <c r="C3765" s="28" t="s">
        <v>97</v>
      </c>
      <c r="D3765" s="28" t="s">
        <v>229</v>
      </c>
      <c r="E3765" s="29" t="s">
        <v>923</v>
      </c>
      <c r="F3765" s="29" t="s">
        <v>298</v>
      </c>
      <c r="G3765" s="25" t="s">
        <v>5485</v>
      </c>
      <c r="H3765" s="26">
        <v>-0.51380000000000003</v>
      </c>
      <c r="I3765" s="26"/>
      <c r="J3765" s="26" t="s">
        <v>512</v>
      </c>
      <c r="K3765" s="25" t="s">
        <v>526</v>
      </c>
    </row>
    <row r="3766" spans="1:11" ht="25.5" x14ac:dyDescent="0.25">
      <c r="A3766" s="22">
        <v>2026</v>
      </c>
      <c r="B3766" s="28" t="s">
        <v>203</v>
      </c>
      <c r="C3766" s="28" t="s">
        <v>97</v>
      </c>
      <c r="D3766" s="28" t="s">
        <v>204</v>
      </c>
      <c r="E3766" s="29" t="s">
        <v>371</v>
      </c>
      <c r="F3766" s="29" t="s">
        <v>301</v>
      </c>
      <c r="G3766" s="25" t="s">
        <v>5486</v>
      </c>
      <c r="H3766" s="26">
        <v>-1.5898515999999998E-2</v>
      </c>
      <c r="I3766" s="26"/>
      <c r="J3766" s="26" t="s">
        <v>514</v>
      </c>
      <c r="K3766" s="25" t="s">
        <v>515</v>
      </c>
    </row>
    <row r="3767" spans="1:11" ht="25.5" x14ac:dyDescent="0.25">
      <c r="A3767" s="22">
        <v>2026</v>
      </c>
      <c r="B3767" s="28" t="s">
        <v>203</v>
      </c>
      <c r="C3767" s="28" t="s">
        <v>97</v>
      </c>
      <c r="D3767" s="28" t="s">
        <v>204</v>
      </c>
      <c r="E3767" s="29" t="s">
        <v>371</v>
      </c>
      <c r="F3767" s="29" t="s">
        <v>301</v>
      </c>
      <c r="G3767" s="25" t="s">
        <v>5487</v>
      </c>
      <c r="H3767" s="26">
        <v>-1.617047751E-2</v>
      </c>
      <c r="I3767" s="26"/>
      <c r="J3767" s="26" t="s">
        <v>514</v>
      </c>
      <c r="K3767" s="25" t="s">
        <v>515</v>
      </c>
    </row>
    <row r="3768" spans="1:11" ht="25.5" x14ac:dyDescent="0.25">
      <c r="A3768" s="22">
        <v>2026</v>
      </c>
      <c r="B3768" s="28" t="s">
        <v>203</v>
      </c>
      <c r="C3768" s="28" t="s">
        <v>97</v>
      </c>
      <c r="D3768" s="28" t="s">
        <v>204</v>
      </c>
      <c r="E3768" s="29" t="s">
        <v>371</v>
      </c>
      <c r="F3768" s="29" t="s">
        <v>301</v>
      </c>
      <c r="G3768" s="25" t="s">
        <v>5488</v>
      </c>
      <c r="H3768" s="26">
        <v>-1.634292E-2</v>
      </c>
      <c r="I3768" s="26"/>
      <c r="J3768" s="26" t="s">
        <v>514</v>
      </c>
      <c r="K3768" s="25" t="s">
        <v>515</v>
      </c>
    </row>
    <row r="3769" spans="1:11" ht="25.5" x14ac:dyDescent="0.25">
      <c r="A3769" s="22">
        <v>2026</v>
      </c>
      <c r="B3769" s="28" t="s">
        <v>203</v>
      </c>
      <c r="C3769" s="28" t="s">
        <v>97</v>
      </c>
      <c r="D3769" s="28" t="s">
        <v>204</v>
      </c>
      <c r="E3769" s="29" t="s">
        <v>371</v>
      </c>
      <c r="F3769" s="29" t="s">
        <v>301</v>
      </c>
      <c r="G3769" s="25" t="s">
        <v>5489</v>
      </c>
      <c r="H3769" s="26">
        <v>-1.6192439999999999E-2</v>
      </c>
      <c r="I3769" s="26"/>
      <c r="J3769" s="26" t="s">
        <v>514</v>
      </c>
      <c r="K3769" s="25" t="s">
        <v>515</v>
      </c>
    </row>
    <row r="3770" spans="1:11" ht="25.5" x14ac:dyDescent="0.25">
      <c r="A3770" s="22">
        <v>2026</v>
      </c>
      <c r="B3770" s="28" t="s">
        <v>203</v>
      </c>
      <c r="C3770" s="28" t="s">
        <v>97</v>
      </c>
      <c r="D3770" s="28" t="s">
        <v>204</v>
      </c>
      <c r="E3770" s="29" t="s">
        <v>371</v>
      </c>
      <c r="F3770" s="29" t="s">
        <v>301</v>
      </c>
      <c r="G3770" s="25" t="s">
        <v>5490</v>
      </c>
      <c r="H3770" s="26">
        <v>-1.6212899999999999E-2</v>
      </c>
      <c r="I3770" s="26"/>
      <c r="J3770" s="26" t="s">
        <v>514</v>
      </c>
      <c r="K3770" s="25" t="s">
        <v>515</v>
      </c>
    </row>
    <row r="3771" spans="1:11" ht="25.5" x14ac:dyDescent="0.25">
      <c r="A3771" s="22">
        <v>2026</v>
      </c>
      <c r="B3771" s="28" t="s">
        <v>203</v>
      </c>
      <c r="C3771" s="28" t="s">
        <v>97</v>
      </c>
      <c r="D3771" s="28" t="s">
        <v>204</v>
      </c>
      <c r="E3771" s="29" t="s">
        <v>371</v>
      </c>
      <c r="F3771" s="29" t="s">
        <v>301</v>
      </c>
      <c r="G3771" s="25" t="s">
        <v>5491</v>
      </c>
      <c r="H3771" s="26">
        <v>-1.6491073000000002E-2</v>
      </c>
      <c r="I3771" s="26"/>
      <c r="J3771" s="26" t="s">
        <v>514</v>
      </c>
      <c r="K3771" s="25" t="s">
        <v>515</v>
      </c>
    </row>
    <row r="3772" spans="1:11" ht="25.5" x14ac:dyDescent="0.25">
      <c r="A3772" s="22">
        <v>2026</v>
      </c>
      <c r="B3772" s="28" t="s">
        <v>203</v>
      </c>
      <c r="C3772" s="28" t="s">
        <v>97</v>
      </c>
      <c r="D3772" s="28" t="s">
        <v>204</v>
      </c>
      <c r="E3772" s="29" t="s">
        <v>371</v>
      </c>
      <c r="F3772" s="29" t="s">
        <v>301</v>
      </c>
      <c r="G3772" s="25" t="s">
        <v>5492</v>
      </c>
      <c r="H3772" s="26">
        <v>-1.6288953450000001E-2</v>
      </c>
      <c r="I3772" s="26"/>
      <c r="J3772" s="26" t="s">
        <v>514</v>
      </c>
      <c r="K3772" s="25" t="s">
        <v>515</v>
      </c>
    </row>
    <row r="3773" spans="1:11" ht="25.5" x14ac:dyDescent="0.25">
      <c r="A3773" s="22">
        <v>2026</v>
      </c>
      <c r="B3773" s="28" t="s">
        <v>203</v>
      </c>
      <c r="C3773" s="28" t="s">
        <v>97</v>
      </c>
      <c r="D3773" s="28" t="s">
        <v>204</v>
      </c>
      <c r="E3773" s="29" t="s">
        <v>371</v>
      </c>
      <c r="F3773" s="29" t="s">
        <v>301</v>
      </c>
      <c r="G3773" s="25" t="s">
        <v>5493</v>
      </c>
      <c r="H3773" s="26">
        <v>-2.0728078189E-2</v>
      </c>
      <c r="I3773" s="26"/>
      <c r="J3773" s="26" t="s">
        <v>514</v>
      </c>
      <c r="K3773" s="25" t="s">
        <v>515</v>
      </c>
    </row>
    <row r="3774" spans="1:11" ht="25.5" x14ac:dyDescent="0.25">
      <c r="A3774" s="22">
        <v>2026</v>
      </c>
      <c r="B3774" s="28" t="s">
        <v>203</v>
      </c>
      <c r="C3774" s="28" t="s">
        <v>97</v>
      </c>
      <c r="D3774" s="28" t="s">
        <v>204</v>
      </c>
      <c r="E3774" s="29" t="s">
        <v>371</v>
      </c>
      <c r="F3774" s="29" t="s">
        <v>301</v>
      </c>
      <c r="G3774" s="25" t="s">
        <v>5494</v>
      </c>
      <c r="H3774" s="26">
        <v>-2.0246853827199939E-2</v>
      </c>
      <c r="I3774" s="26"/>
      <c r="J3774" s="26" t="s">
        <v>514</v>
      </c>
      <c r="K3774" s="25" t="s">
        <v>515</v>
      </c>
    </row>
    <row r="3775" spans="1:11" ht="25.5" x14ac:dyDescent="0.25">
      <c r="A3775" s="22">
        <v>2026</v>
      </c>
      <c r="B3775" s="28" t="s">
        <v>203</v>
      </c>
      <c r="C3775" s="28" t="s">
        <v>97</v>
      </c>
      <c r="D3775" s="28" t="s">
        <v>204</v>
      </c>
      <c r="E3775" s="29" t="s">
        <v>371</v>
      </c>
      <c r="F3775" s="29" t="s">
        <v>301</v>
      </c>
      <c r="G3775" s="25" t="s">
        <v>5495</v>
      </c>
      <c r="H3775" s="26">
        <v>-1.6303390999999948E-2</v>
      </c>
      <c r="I3775" s="26"/>
      <c r="J3775" s="26" t="s">
        <v>514</v>
      </c>
      <c r="K3775" s="25" t="s">
        <v>515</v>
      </c>
    </row>
    <row r="3776" spans="1:11" ht="25.5" x14ac:dyDescent="0.25">
      <c r="A3776" s="22">
        <v>2026</v>
      </c>
      <c r="B3776" s="28" t="s">
        <v>203</v>
      </c>
      <c r="C3776" s="28" t="s">
        <v>97</v>
      </c>
      <c r="D3776" s="28" t="s">
        <v>204</v>
      </c>
      <c r="E3776" s="29" t="s">
        <v>371</v>
      </c>
      <c r="F3776" s="29" t="s">
        <v>301</v>
      </c>
      <c r="G3776" s="25" t="s">
        <v>5496</v>
      </c>
      <c r="H3776" s="26">
        <v>-0.1666485</v>
      </c>
      <c r="I3776" s="26"/>
      <c r="J3776" s="26" t="s">
        <v>514</v>
      </c>
      <c r="K3776" s="25" t="s">
        <v>515</v>
      </c>
    </row>
    <row r="3777" spans="1:11" ht="25.5" x14ac:dyDescent="0.25">
      <c r="A3777" s="22">
        <v>2026</v>
      </c>
      <c r="B3777" s="28" t="s">
        <v>203</v>
      </c>
      <c r="C3777" s="28" t="s">
        <v>97</v>
      </c>
      <c r="D3777" s="28" t="s">
        <v>204</v>
      </c>
      <c r="E3777" s="29" t="s">
        <v>371</v>
      </c>
      <c r="F3777" s="29" t="s">
        <v>301</v>
      </c>
      <c r="G3777" s="25" t="s">
        <v>5497</v>
      </c>
      <c r="H3777" s="26">
        <v>-0.16778976000000001</v>
      </c>
      <c r="I3777" s="26"/>
      <c r="J3777" s="26" t="s">
        <v>514</v>
      </c>
      <c r="K3777" s="25" t="s">
        <v>515</v>
      </c>
    </row>
    <row r="3778" spans="1:11" ht="25.5" x14ac:dyDescent="0.25">
      <c r="A3778" s="22">
        <v>2026</v>
      </c>
      <c r="B3778" s="28" t="s">
        <v>203</v>
      </c>
      <c r="C3778" s="28" t="s">
        <v>97</v>
      </c>
      <c r="D3778" s="28" t="s">
        <v>1717</v>
      </c>
      <c r="E3778" s="29" t="s">
        <v>1084</v>
      </c>
      <c r="F3778" s="29" t="s">
        <v>576</v>
      </c>
      <c r="G3778" s="25" t="s">
        <v>5498</v>
      </c>
      <c r="H3778" s="26">
        <v>-0.685998</v>
      </c>
      <c r="I3778" s="26"/>
      <c r="J3778" s="26" t="s">
        <v>512</v>
      </c>
      <c r="K3778" s="25" t="s">
        <v>513</v>
      </c>
    </row>
    <row r="3779" spans="1:11" ht="25.5" x14ac:dyDescent="0.25">
      <c r="A3779" s="22">
        <v>2026</v>
      </c>
      <c r="B3779" s="28" t="s">
        <v>203</v>
      </c>
      <c r="C3779" s="28" t="s">
        <v>97</v>
      </c>
      <c r="D3779" s="28" t="s">
        <v>1717</v>
      </c>
      <c r="E3779" s="29" t="s">
        <v>1084</v>
      </c>
      <c r="F3779" s="29" t="s">
        <v>576</v>
      </c>
      <c r="G3779" s="25" t="s">
        <v>5499</v>
      </c>
      <c r="H3779" s="26">
        <v>-0.3095</v>
      </c>
      <c r="I3779" s="26"/>
      <c r="J3779" s="26" t="s">
        <v>512</v>
      </c>
      <c r="K3779" s="25" t="s">
        <v>513</v>
      </c>
    </row>
    <row r="3780" spans="1:11" ht="25.5" x14ac:dyDescent="0.25">
      <c r="A3780" s="22">
        <v>2026</v>
      </c>
      <c r="B3780" s="28" t="s">
        <v>203</v>
      </c>
      <c r="C3780" s="28" t="s">
        <v>97</v>
      </c>
      <c r="D3780" s="28" t="s">
        <v>1718</v>
      </c>
      <c r="E3780" s="29" t="s">
        <v>1084</v>
      </c>
      <c r="F3780" s="29" t="s">
        <v>1762</v>
      </c>
      <c r="G3780" s="25" t="s">
        <v>5500</v>
      </c>
      <c r="H3780" s="26">
        <v>-1.3382415556</v>
      </c>
      <c r="I3780" s="26"/>
      <c r="J3780" s="26" t="s">
        <v>512</v>
      </c>
      <c r="K3780" s="25" t="s">
        <v>513</v>
      </c>
    </row>
    <row r="3781" spans="1:11" ht="25.5" x14ac:dyDescent="0.25">
      <c r="A3781" s="22">
        <v>2026</v>
      </c>
      <c r="B3781" s="28" t="s">
        <v>203</v>
      </c>
      <c r="C3781" s="28" t="s">
        <v>97</v>
      </c>
      <c r="D3781" s="28" t="s">
        <v>1718</v>
      </c>
      <c r="E3781" s="29" t="s">
        <v>1084</v>
      </c>
      <c r="F3781" s="29" t="s">
        <v>1762</v>
      </c>
      <c r="G3781" s="25" t="s">
        <v>5501</v>
      </c>
      <c r="H3781" s="26">
        <v>-0.30836050440000001</v>
      </c>
      <c r="I3781" s="26"/>
      <c r="J3781" s="26" t="s">
        <v>512</v>
      </c>
      <c r="K3781" s="25" t="s">
        <v>513</v>
      </c>
    </row>
    <row r="3782" spans="1:11" ht="25.5" x14ac:dyDescent="0.25">
      <c r="A3782" s="22">
        <v>2026</v>
      </c>
      <c r="B3782" s="28" t="s">
        <v>203</v>
      </c>
      <c r="C3782" s="28" t="s">
        <v>97</v>
      </c>
      <c r="D3782" s="28" t="s">
        <v>1718</v>
      </c>
      <c r="E3782" s="29" t="s">
        <v>1084</v>
      </c>
      <c r="F3782" s="29" t="s">
        <v>1762</v>
      </c>
      <c r="G3782" s="25" t="s">
        <v>5502</v>
      </c>
      <c r="H3782" s="26">
        <v>-0.14499999999999999</v>
      </c>
      <c r="I3782" s="26"/>
      <c r="J3782" s="26" t="s">
        <v>512</v>
      </c>
      <c r="K3782" s="25" t="s">
        <v>513</v>
      </c>
    </row>
    <row r="3783" spans="1:11" ht="25.5" x14ac:dyDescent="0.25">
      <c r="A3783" s="22">
        <v>2026</v>
      </c>
      <c r="B3783" s="28" t="s">
        <v>203</v>
      </c>
      <c r="C3783" s="28" t="s">
        <v>97</v>
      </c>
      <c r="D3783" s="28" t="s">
        <v>1718</v>
      </c>
      <c r="E3783" s="29" t="s">
        <v>1084</v>
      </c>
      <c r="F3783" s="29" t="s">
        <v>1762</v>
      </c>
      <c r="G3783" s="25" t="s">
        <v>5503</v>
      </c>
      <c r="H3783" s="26">
        <v>-0.3893243481</v>
      </c>
      <c r="I3783" s="26"/>
      <c r="J3783" s="26" t="s">
        <v>512</v>
      </c>
      <c r="K3783" s="25" t="s">
        <v>513</v>
      </c>
    </row>
    <row r="3784" spans="1:11" ht="25.5" x14ac:dyDescent="0.25">
      <c r="A3784" s="22">
        <v>2026</v>
      </c>
      <c r="B3784" s="28" t="s">
        <v>203</v>
      </c>
      <c r="C3784" s="28" t="s">
        <v>97</v>
      </c>
      <c r="D3784" s="28" t="s">
        <v>1718</v>
      </c>
      <c r="E3784" s="29" t="s">
        <v>1084</v>
      </c>
      <c r="F3784" s="29" t="s">
        <v>1762</v>
      </c>
      <c r="G3784" s="25" t="s">
        <v>5504</v>
      </c>
      <c r="H3784" s="26">
        <v>-0.37321261239999998</v>
      </c>
      <c r="I3784" s="26"/>
      <c r="J3784" s="26" t="s">
        <v>512</v>
      </c>
      <c r="K3784" s="25" t="s">
        <v>513</v>
      </c>
    </row>
    <row r="3785" spans="1:11" ht="25.5" x14ac:dyDescent="0.25">
      <c r="A3785" s="22">
        <v>2026</v>
      </c>
      <c r="B3785" s="28" t="s">
        <v>203</v>
      </c>
      <c r="C3785" s="28" t="s">
        <v>97</v>
      </c>
      <c r="D3785" s="28" t="s">
        <v>1718</v>
      </c>
      <c r="E3785" s="29" t="s">
        <v>1084</v>
      </c>
      <c r="F3785" s="29" t="s">
        <v>1762</v>
      </c>
      <c r="G3785" s="25" t="s">
        <v>5505</v>
      </c>
      <c r="H3785" s="26">
        <v>-0.33959922500000006</v>
      </c>
      <c r="I3785" s="26"/>
      <c r="J3785" s="26" t="s">
        <v>512</v>
      </c>
      <c r="K3785" s="25" t="s">
        <v>513</v>
      </c>
    </row>
    <row r="3786" spans="1:11" ht="25.5" x14ac:dyDescent="0.25">
      <c r="A3786" s="22">
        <v>2026</v>
      </c>
      <c r="B3786" s="28" t="s">
        <v>203</v>
      </c>
      <c r="C3786" s="28" t="s">
        <v>97</v>
      </c>
      <c r="D3786" s="28" t="s">
        <v>1718</v>
      </c>
      <c r="E3786" s="29" t="s">
        <v>1084</v>
      </c>
      <c r="F3786" s="29" t="s">
        <v>1762</v>
      </c>
      <c r="G3786" s="25" t="s">
        <v>5506</v>
      </c>
      <c r="H3786" s="26">
        <v>-0.3117505572</v>
      </c>
      <c r="I3786" s="26"/>
      <c r="J3786" s="26" t="s">
        <v>512</v>
      </c>
      <c r="K3786" s="25" t="s">
        <v>513</v>
      </c>
    </row>
    <row r="3787" spans="1:11" ht="25.5" x14ac:dyDescent="0.25">
      <c r="A3787" s="22">
        <v>2026</v>
      </c>
      <c r="B3787" s="28" t="s">
        <v>203</v>
      </c>
      <c r="C3787" s="28" t="s">
        <v>97</v>
      </c>
      <c r="D3787" s="28" t="s">
        <v>1718</v>
      </c>
      <c r="E3787" s="29" t="s">
        <v>1084</v>
      </c>
      <c r="F3787" s="29" t="s">
        <v>1762</v>
      </c>
      <c r="G3787" s="25" t="s">
        <v>5507</v>
      </c>
      <c r="H3787" s="26">
        <v>-1.1179137423999999</v>
      </c>
      <c r="I3787" s="26"/>
      <c r="J3787" s="26" t="s">
        <v>512</v>
      </c>
      <c r="K3787" s="25" t="s">
        <v>513</v>
      </c>
    </row>
    <row r="3788" spans="1:11" ht="25.5" x14ac:dyDescent="0.25">
      <c r="A3788" s="22">
        <v>2026</v>
      </c>
      <c r="B3788" s="28" t="s">
        <v>203</v>
      </c>
      <c r="C3788" s="28" t="s">
        <v>97</v>
      </c>
      <c r="D3788" s="28" t="s">
        <v>1719</v>
      </c>
      <c r="E3788" s="29" t="s">
        <v>1084</v>
      </c>
      <c r="F3788" s="29" t="s">
        <v>287</v>
      </c>
      <c r="G3788" s="25" t="s">
        <v>5508</v>
      </c>
      <c r="H3788" s="26">
        <v>-0.62576251500000002</v>
      </c>
      <c r="I3788" s="26"/>
      <c r="J3788" s="26" t="s">
        <v>514</v>
      </c>
      <c r="K3788" s="25" t="s">
        <v>513</v>
      </c>
    </row>
    <row r="3789" spans="1:11" ht="25.5" x14ac:dyDescent="0.25">
      <c r="A3789" s="22">
        <v>2026</v>
      </c>
      <c r="B3789" s="28" t="s">
        <v>203</v>
      </c>
      <c r="C3789" s="28" t="s">
        <v>97</v>
      </c>
      <c r="D3789" s="28" t="s">
        <v>1719</v>
      </c>
      <c r="E3789" s="29" t="s">
        <v>1084</v>
      </c>
      <c r="F3789" s="29" t="s">
        <v>287</v>
      </c>
      <c r="G3789" s="25" t="s">
        <v>5509</v>
      </c>
      <c r="H3789" s="26">
        <v>-0.38899109999999998</v>
      </c>
      <c r="I3789" s="26"/>
      <c r="J3789" s="26" t="s">
        <v>514</v>
      </c>
      <c r="K3789" s="25" t="s">
        <v>513</v>
      </c>
    </row>
    <row r="3790" spans="1:11" ht="25.5" x14ac:dyDescent="0.25">
      <c r="A3790" s="22">
        <v>2026</v>
      </c>
      <c r="B3790" s="28" t="s">
        <v>203</v>
      </c>
      <c r="C3790" s="28" t="s">
        <v>97</v>
      </c>
      <c r="D3790" s="28" t="s">
        <v>1719</v>
      </c>
      <c r="E3790" s="29" t="s">
        <v>1084</v>
      </c>
      <c r="F3790" s="29" t="s">
        <v>287</v>
      </c>
      <c r="G3790" s="25" t="s">
        <v>5510</v>
      </c>
      <c r="H3790" s="26">
        <v>-0.82960149999999999</v>
      </c>
      <c r="I3790" s="26"/>
      <c r="J3790" s="26" t="s">
        <v>514</v>
      </c>
      <c r="K3790" s="25" t="s">
        <v>513</v>
      </c>
    </row>
    <row r="3791" spans="1:11" ht="25.5" x14ac:dyDescent="0.25">
      <c r="A3791" s="22">
        <v>2026</v>
      </c>
      <c r="B3791" s="28" t="s">
        <v>203</v>
      </c>
      <c r="C3791" s="28" t="s">
        <v>97</v>
      </c>
      <c r="D3791" s="28" t="s">
        <v>1719</v>
      </c>
      <c r="E3791" s="29" t="s">
        <v>1084</v>
      </c>
      <c r="F3791" s="29" t="s">
        <v>287</v>
      </c>
      <c r="G3791" s="25" t="s">
        <v>5511</v>
      </c>
      <c r="H3791" s="26">
        <v>-0.83655000000000002</v>
      </c>
      <c r="I3791" s="26"/>
      <c r="J3791" s="26" t="s">
        <v>514</v>
      </c>
      <c r="K3791" s="25" t="s">
        <v>513</v>
      </c>
    </row>
    <row r="3792" spans="1:11" ht="25.5" x14ac:dyDescent="0.25">
      <c r="A3792" s="22">
        <v>2026</v>
      </c>
      <c r="B3792" s="28" t="s">
        <v>203</v>
      </c>
      <c r="C3792" s="28" t="s">
        <v>97</v>
      </c>
      <c r="D3792" s="28" t="s">
        <v>1719</v>
      </c>
      <c r="E3792" s="29" t="s">
        <v>1084</v>
      </c>
      <c r="F3792" s="29" t="s">
        <v>287</v>
      </c>
      <c r="G3792" s="25" t="s">
        <v>5512</v>
      </c>
      <c r="H3792" s="26">
        <v>-0.65805600259999997</v>
      </c>
      <c r="I3792" s="26"/>
      <c r="J3792" s="26" t="s">
        <v>514</v>
      </c>
      <c r="K3792" s="25" t="s">
        <v>513</v>
      </c>
    </row>
    <row r="3793" spans="1:11" ht="25.5" x14ac:dyDescent="0.25">
      <c r="A3793" s="22">
        <v>2026</v>
      </c>
      <c r="B3793" s="28" t="s">
        <v>203</v>
      </c>
      <c r="C3793" s="28" t="s">
        <v>97</v>
      </c>
      <c r="D3793" s="28" t="s">
        <v>1719</v>
      </c>
      <c r="E3793" s="29" t="s">
        <v>1084</v>
      </c>
      <c r="F3793" s="29" t="s">
        <v>287</v>
      </c>
      <c r="G3793" s="25" t="s">
        <v>5513</v>
      </c>
      <c r="H3793" s="26">
        <v>-0.32624999999999998</v>
      </c>
      <c r="I3793" s="26"/>
      <c r="J3793" s="26" t="s">
        <v>514</v>
      </c>
      <c r="K3793" s="25" t="s">
        <v>513</v>
      </c>
    </row>
    <row r="3794" spans="1:11" ht="25.5" x14ac:dyDescent="0.25">
      <c r="A3794" s="22">
        <v>2026</v>
      </c>
      <c r="B3794" s="28" t="s">
        <v>203</v>
      </c>
      <c r="C3794" s="28" t="s">
        <v>97</v>
      </c>
      <c r="D3794" s="28" t="s">
        <v>1719</v>
      </c>
      <c r="E3794" s="29" t="s">
        <v>1084</v>
      </c>
      <c r="F3794" s="29" t="s">
        <v>287</v>
      </c>
      <c r="G3794" s="25" t="s">
        <v>5514</v>
      </c>
      <c r="H3794" s="26">
        <v>-0.40369342499999999</v>
      </c>
      <c r="I3794" s="26"/>
      <c r="J3794" s="26" t="s">
        <v>514</v>
      </c>
      <c r="K3794" s="25" t="s">
        <v>513</v>
      </c>
    </row>
    <row r="3795" spans="1:11" ht="25.5" x14ac:dyDescent="0.25">
      <c r="A3795" s="22">
        <v>2026</v>
      </c>
      <c r="B3795" s="28" t="s">
        <v>203</v>
      </c>
      <c r="C3795" s="28" t="s">
        <v>97</v>
      </c>
      <c r="D3795" s="28" t="s">
        <v>1719</v>
      </c>
      <c r="E3795" s="29" t="s">
        <v>1084</v>
      </c>
      <c r="F3795" s="29" t="s">
        <v>287</v>
      </c>
      <c r="G3795" s="25" t="s">
        <v>5515</v>
      </c>
      <c r="H3795" s="26">
        <v>-0.66500000000000004</v>
      </c>
      <c r="I3795" s="26"/>
      <c r="J3795" s="26" t="s">
        <v>514</v>
      </c>
      <c r="K3795" s="25" t="s">
        <v>513</v>
      </c>
    </row>
    <row r="3796" spans="1:11" ht="25.5" x14ac:dyDescent="0.25">
      <c r="A3796" s="22">
        <v>2026</v>
      </c>
      <c r="B3796" s="28" t="s">
        <v>203</v>
      </c>
      <c r="C3796" s="28" t="s">
        <v>97</v>
      </c>
      <c r="D3796" s="28" t="s">
        <v>1720</v>
      </c>
      <c r="E3796" s="29" t="s">
        <v>1084</v>
      </c>
      <c r="F3796" s="29" t="s">
        <v>483</v>
      </c>
      <c r="G3796" s="25" t="s">
        <v>5516</v>
      </c>
      <c r="H3796" s="26">
        <v>-1.9590000000000001</v>
      </c>
      <c r="I3796" s="26"/>
      <c r="J3796" s="26" t="s">
        <v>512</v>
      </c>
      <c r="K3796" s="25" t="s">
        <v>513</v>
      </c>
    </row>
    <row r="3797" spans="1:11" ht="25.5" x14ac:dyDescent="0.25">
      <c r="A3797" s="22">
        <v>2026</v>
      </c>
      <c r="B3797" s="28" t="s">
        <v>203</v>
      </c>
      <c r="C3797" s="28" t="s">
        <v>97</v>
      </c>
      <c r="D3797" s="28" t="s">
        <v>1720</v>
      </c>
      <c r="E3797" s="29" t="s">
        <v>1084</v>
      </c>
      <c r="F3797" s="29" t="s">
        <v>483</v>
      </c>
      <c r="G3797" s="25" t="s">
        <v>5517</v>
      </c>
      <c r="H3797" s="26">
        <v>-0.55614604019999991</v>
      </c>
      <c r="I3797" s="26"/>
      <c r="J3797" s="26" t="s">
        <v>512</v>
      </c>
      <c r="K3797" s="25" t="s">
        <v>513</v>
      </c>
    </row>
    <row r="3798" spans="1:11" ht="25.5" x14ac:dyDescent="0.25">
      <c r="A3798" s="22">
        <v>2026</v>
      </c>
      <c r="B3798" s="28" t="s">
        <v>203</v>
      </c>
      <c r="C3798" s="28" t="s">
        <v>97</v>
      </c>
      <c r="D3798" s="28" t="s">
        <v>1720</v>
      </c>
      <c r="E3798" s="29" t="s">
        <v>1084</v>
      </c>
      <c r="F3798" s="29" t="s">
        <v>483</v>
      </c>
      <c r="G3798" s="25" t="s">
        <v>5518</v>
      </c>
      <c r="H3798" s="26">
        <v>-1.6368414972000001</v>
      </c>
      <c r="I3798" s="26"/>
      <c r="J3798" s="26" t="s">
        <v>512</v>
      </c>
      <c r="K3798" s="25" t="s">
        <v>513</v>
      </c>
    </row>
    <row r="3799" spans="1:11" ht="25.5" x14ac:dyDescent="0.25">
      <c r="A3799" s="22">
        <v>2026</v>
      </c>
      <c r="B3799" s="28" t="s">
        <v>203</v>
      </c>
      <c r="C3799" s="28" t="s">
        <v>97</v>
      </c>
      <c r="D3799" s="28" t="s">
        <v>1720</v>
      </c>
      <c r="E3799" s="29" t="s">
        <v>1084</v>
      </c>
      <c r="F3799" s="29" t="s">
        <v>483</v>
      </c>
      <c r="G3799" s="25" t="s">
        <v>5519</v>
      </c>
      <c r="H3799" s="26">
        <v>-0.66227964880000012</v>
      </c>
      <c r="I3799" s="26"/>
      <c r="J3799" s="26" t="s">
        <v>512</v>
      </c>
      <c r="K3799" s="25" t="s">
        <v>513</v>
      </c>
    </row>
    <row r="3800" spans="1:11" ht="25.5" x14ac:dyDescent="0.25">
      <c r="A3800" s="22">
        <v>2026</v>
      </c>
      <c r="B3800" s="28" t="s">
        <v>203</v>
      </c>
      <c r="C3800" s="28" t="s">
        <v>97</v>
      </c>
      <c r="D3800" s="28" t="s">
        <v>1720</v>
      </c>
      <c r="E3800" s="29" t="s">
        <v>1084</v>
      </c>
      <c r="F3800" s="29" t="s">
        <v>483</v>
      </c>
      <c r="G3800" s="25" t="s">
        <v>5520</v>
      </c>
      <c r="H3800" s="26">
        <v>-1.6415</v>
      </c>
      <c r="I3800" s="26"/>
      <c r="J3800" s="26" t="s">
        <v>512</v>
      </c>
      <c r="K3800" s="25" t="s">
        <v>513</v>
      </c>
    </row>
    <row r="3801" spans="1:11" ht="25.5" x14ac:dyDescent="0.25">
      <c r="A3801" s="22">
        <v>2026</v>
      </c>
      <c r="B3801" s="28" t="s">
        <v>203</v>
      </c>
      <c r="C3801" s="28" t="s">
        <v>97</v>
      </c>
      <c r="D3801" s="28" t="s">
        <v>1720</v>
      </c>
      <c r="E3801" s="29" t="s">
        <v>1084</v>
      </c>
      <c r="F3801" s="29" t="s">
        <v>483</v>
      </c>
      <c r="G3801" s="25" t="s">
        <v>5521</v>
      </c>
      <c r="H3801" s="26">
        <v>-2.0371175999999998</v>
      </c>
      <c r="I3801" s="26"/>
      <c r="J3801" s="26" t="s">
        <v>512</v>
      </c>
      <c r="K3801" s="25" t="s">
        <v>513</v>
      </c>
    </row>
    <row r="3802" spans="1:11" ht="25.5" x14ac:dyDescent="0.25">
      <c r="A3802" s="22">
        <v>2026</v>
      </c>
      <c r="B3802" s="28" t="s">
        <v>203</v>
      </c>
      <c r="C3802" s="28" t="s">
        <v>97</v>
      </c>
      <c r="D3802" s="28" t="s">
        <v>1720</v>
      </c>
      <c r="E3802" s="29" t="s">
        <v>1084</v>
      </c>
      <c r="F3802" s="29" t="s">
        <v>483</v>
      </c>
      <c r="G3802" s="25" t="s">
        <v>5522</v>
      </c>
      <c r="H3802" s="26">
        <v>-1.8288450000000001</v>
      </c>
      <c r="I3802" s="26"/>
      <c r="J3802" s="26" t="s">
        <v>512</v>
      </c>
      <c r="K3802" s="25" t="s">
        <v>513</v>
      </c>
    </row>
    <row r="3803" spans="1:11" ht="25.5" x14ac:dyDescent="0.25">
      <c r="A3803" s="22">
        <v>2026</v>
      </c>
      <c r="B3803" s="28" t="s">
        <v>203</v>
      </c>
      <c r="C3803" s="28" t="s">
        <v>97</v>
      </c>
      <c r="D3803" s="28" t="s">
        <v>1720</v>
      </c>
      <c r="E3803" s="29" t="s">
        <v>1084</v>
      </c>
      <c r="F3803" s="29" t="s">
        <v>483</v>
      </c>
      <c r="G3803" s="25" t="s">
        <v>5523</v>
      </c>
      <c r="H3803" s="26">
        <v>-1.4135800000000001</v>
      </c>
      <c r="I3803" s="26"/>
      <c r="J3803" s="26" t="s">
        <v>512</v>
      </c>
      <c r="K3803" s="25" t="s">
        <v>513</v>
      </c>
    </row>
    <row r="3804" spans="1:11" ht="25.5" x14ac:dyDescent="0.25">
      <c r="A3804" s="22">
        <v>2026</v>
      </c>
      <c r="B3804" s="28" t="s">
        <v>203</v>
      </c>
      <c r="C3804" s="28" t="s">
        <v>97</v>
      </c>
      <c r="D3804" s="28" t="s">
        <v>1720</v>
      </c>
      <c r="E3804" s="29" t="s">
        <v>1084</v>
      </c>
      <c r="F3804" s="29" t="s">
        <v>483</v>
      </c>
      <c r="G3804" s="25" t="s">
        <v>5524</v>
      </c>
      <c r="H3804" s="26">
        <v>-0.60075000000000001</v>
      </c>
      <c r="I3804" s="26"/>
      <c r="J3804" s="26" t="s">
        <v>512</v>
      </c>
      <c r="K3804" s="25" t="s">
        <v>513</v>
      </c>
    </row>
    <row r="3805" spans="1:11" ht="25.5" x14ac:dyDescent="0.25">
      <c r="A3805" s="22">
        <v>2026</v>
      </c>
      <c r="B3805" s="28" t="s">
        <v>203</v>
      </c>
      <c r="C3805" s="28" t="s">
        <v>97</v>
      </c>
      <c r="D3805" s="28" t="s">
        <v>1720</v>
      </c>
      <c r="E3805" s="29" t="s">
        <v>1084</v>
      </c>
      <c r="F3805" s="29" t="s">
        <v>483</v>
      </c>
      <c r="G3805" s="25" t="s">
        <v>5525</v>
      </c>
      <c r="H3805" s="26">
        <v>-1.9839</v>
      </c>
      <c r="I3805" s="26"/>
      <c r="J3805" s="26" t="s">
        <v>512</v>
      </c>
      <c r="K3805" s="25" t="s">
        <v>513</v>
      </c>
    </row>
    <row r="3806" spans="1:11" ht="25.5" x14ac:dyDescent="0.25">
      <c r="A3806" s="22">
        <v>2026</v>
      </c>
      <c r="B3806" s="28" t="s">
        <v>203</v>
      </c>
      <c r="C3806" s="28" t="s">
        <v>97</v>
      </c>
      <c r="D3806" s="28" t="s">
        <v>1720</v>
      </c>
      <c r="E3806" s="29" t="s">
        <v>1084</v>
      </c>
      <c r="F3806" s="29" t="s">
        <v>483</v>
      </c>
      <c r="G3806" s="25" t="s">
        <v>5526</v>
      </c>
      <c r="H3806" s="26">
        <v>-1.004975</v>
      </c>
      <c r="I3806" s="26"/>
      <c r="J3806" s="26" t="s">
        <v>512</v>
      </c>
      <c r="K3806" s="25" t="s">
        <v>513</v>
      </c>
    </row>
    <row r="3807" spans="1:11" ht="25.5" x14ac:dyDescent="0.25">
      <c r="A3807" s="22">
        <v>2026</v>
      </c>
      <c r="B3807" s="28" t="s">
        <v>203</v>
      </c>
      <c r="C3807" s="28" t="s">
        <v>97</v>
      </c>
      <c r="D3807" s="28" t="s">
        <v>1721</v>
      </c>
      <c r="E3807" s="29" t="s">
        <v>411</v>
      </c>
      <c r="F3807" s="29" t="s">
        <v>353</v>
      </c>
      <c r="G3807" s="25" t="s">
        <v>5527</v>
      </c>
      <c r="H3807" s="26">
        <v>-1.1315297862</v>
      </c>
      <c r="I3807" s="26"/>
      <c r="J3807" s="26" t="s">
        <v>512</v>
      </c>
      <c r="K3807" s="25" t="s">
        <v>513</v>
      </c>
    </row>
    <row r="3808" spans="1:11" ht="25.5" x14ac:dyDescent="0.25">
      <c r="A3808" s="22">
        <v>2026</v>
      </c>
      <c r="B3808" s="28" t="s">
        <v>203</v>
      </c>
      <c r="C3808" s="28" t="s">
        <v>97</v>
      </c>
      <c r="D3808" s="28" t="s">
        <v>1721</v>
      </c>
      <c r="E3808" s="29" t="s">
        <v>411</v>
      </c>
      <c r="F3808" s="29" t="s">
        <v>353</v>
      </c>
      <c r="G3808" s="25" t="s">
        <v>5528</v>
      </c>
      <c r="H3808" s="26">
        <v>-2.5129999999999999</v>
      </c>
      <c r="I3808" s="26"/>
      <c r="J3808" s="26" t="s">
        <v>512</v>
      </c>
      <c r="K3808" s="25" t="s">
        <v>513</v>
      </c>
    </row>
    <row r="3809" spans="1:11" ht="25.5" x14ac:dyDescent="0.25">
      <c r="A3809" s="22">
        <v>2026</v>
      </c>
      <c r="B3809" s="28" t="s">
        <v>203</v>
      </c>
      <c r="C3809" s="28" t="s">
        <v>97</v>
      </c>
      <c r="D3809" s="28" t="s">
        <v>1721</v>
      </c>
      <c r="E3809" s="29" t="s">
        <v>411</v>
      </c>
      <c r="F3809" s="29" t="s">
        <v>353</v>
      </c>
      <c r="G3809" s="25" t="s">
        <v>5529</v>
      </c>
      <c r="H3809" s="26">
        <v>-0.38268084479999998</v>
      </c>
      <c r="I3809" s="26"/>
      <c r="J3809" s="26" t="s">
        <v>512</v>
      </c>
      <c r="K3809" s="25" t="s">
        <v>513</v>
      </c>
    </row>
    <row r="3810" spans="1:11" ht="25.5" x14ac:dyDescent="0.25">
      <c r="A3810" s="22">
        <v>2026</v>
      </c>
      <c r="B3810" s="28" t="s">
        <v>203</v>
      </c>
      <c r="C3810" s="28" t="s">
        <v>97</v>
      </c>
      <c r="D3810" s="28" t="s">
        <v>1721</v>
      </c>
      <c r="E3810" s="29" t="s">
        <v>411</v>
      </c>
      <c r="F3810" s="29" t="s">
        <v>353</v>
      </c>
      <c r="G3810" s="25" t="s">
        <v>5530</v>
      </c>
      <c r="H3810" s="26">
        <v>-1.8038119680000002</v>
      </c>
      <c r="I3810" s="26"/>
      <c r="J3810" s="26" t="s">
        <v>512</v>
      </c>
      <c r="K3810" s="25" t="s">
        <v>513</v>
      </c>
    </row>
    <row r="3811" spans="1:11" ht="25.5" x14ac:dyDescent="0.25">
      <c r="A3811" s="22">
        <v>2026</v>
      </c>
      <c r="B3811" s="28" t="s">
        <v>203</v>
      </c>
      <c r="C3811" s="28" t="s">
        <v>97</v>
      </c>
      <c r="D3811" s="28" t="s">
        <v>1721</v>
      </c>
      <c r="E3811" s="29" t="s">
        <v>411</v>
      </c>
      <c r="F3811" s="29" t="s">
        <v>353</v>
      </c>
      <c r="G3811" s="25" t="s">
        <v>5531</v>
      </c>
      <c r="H3811" s="26">
        <v>-0.99171312479999996</v>
      </c>
      <c r="I3811" s="26"/>
      <c r="J3811" s="26" t="s">
        <v>512</v>
      </c>
      <c r="K3811" s="25" t="s">
        <v>513</v>
      </c>
    </row>
    <row r="3812" spans="1:11" ht="25.5" x14ac:dyDescent="0.25">
      <c r="A3812" s="22">
        <v>2026</v>
      </c>
      <c r="B3812" s="28" t="s">
        <v>203</v>
      </c>
      <c r="C3812" s="28" t="s">
        <v>97</v>
      </c>
      <c r="D3812" s="28" t="s">
        <v>1721</v>
      </c>
      <c r="E3812" s="29" t="s">
        <v>411</v>
      </c>
      <c r="F3812" s="29" t="s">
        <v>353</v>
      </c>
      <c r="G3812" s="25" t="s">
        <v>5532</v>
      </c>
      <c r="H3812" s="26">
        <v>-0.54485995220000005</v>
      </c>
      <c r="I3812" s="26"/>
      <c r="J3812" s="26" t="s">
        <v>512</v>
      </c>
      <c r="K3812" s="25" t="s">
        <v>513</v>
      </c>
    </row>
    <row r="3813" spans="1:11" ht="25.5" x14ac:dyDescent="0.25">
      <c r="A3813" s="22">
        <v>2026</v>
      </c>
      <c r="B3813" s="28" t="s">
        <v>203</v>
      </c>
      <c r="C3813" s="28" t="s">
        <v>97</v>
      </c>
      <c r="D3813" s="28" t="s">
        <v>1721</v>
      </c>
      <c r="E3813" s="29" t="s">
        <v>411</v>
      </c>
      <c r="F3813" s="29" t="s">
        <v>353</v>
      </c>
      <c r="G3813" s="25" t="s">
        <v>5533</v>
      </c>
      <c r="H3813" s="26">
        <v>-0.81292943259999995</v>
      </c>
      <c r="I3813" s="26"/>
      <c r="J3813" s="26" t="s">
        <v>512</v>
      </c>
      <c r="K3813" s="25" t="s">
        <v>513</v>
      </c>
    </row>
    <row r="3814" spans="1:11" ht="25.5" x14ac:dyDescent="0.25">
      <c r="A3814" s="22">
        <v>2026</v>
      </c>
      <c r="B3814" s="28" t="s">
        <v>203</v>
      </c>
      <c r="C3814" s="28" t="s">
        <v>97</v>
      </c>
      <c r="D3814" s="28" t="s">
        <v>1721</v>
      </c>
      <c r="E3814" s="29" t="s">
        <v>411</v>
      </c>
      <c r="F3814" s="29" t="s">
        <v>353</v>
      </c>
      <c r="G3814" s="25" t="s">
        <v>5534</v>
      </c>
      <c r="H3814" s="26">
        <v>-0.93401250000000002</v>
      </c>
      <c r="I3814" s="26"/>
      <c r="J3814" s="26" t="s">
        <v>512</v>
      </c>
      <c r="K3814" s="25" t="s">
        <v>513</v>
      </c>
    </row>
    <row r="3815" spans="1:11" ht="25.5" x14ac:dyDescent="0.25">
      <c r="A3815" s="22">
        <v>2026</v>
      </c>
      <c r="B3815" s="28" t="s">
        <v>203</v>
      </c>
      <c r="C3815" s="28" t="s">
        <v>97</v>
      </c>
      <c r="D3815" s="28" t="s">
        <v>1721</v>
      </c>
      <c r="E3815" s="29" t="s">
        <v>411</v>
      </c>
      <c r="F3815" s="29" t="s">
        <v>353</v>
      </c>
      <c r="G3815" s="25" t="s">
        <v>5535</v>
      </c>
      <c r="H3815" s="26">
        <v>-1.5218400000000001</v>
      </c>
      <c r="I3815" s="26"/>
      <c r="J3815" s="26" t="s">
        <v>512</v>
      </c>
      <c r="K3815" s="25" t="s">
        <v>513</v>
      </c>
    </row>
    <row r="3816" spans="1:11" ht="25.5" x14ac:dyDescent="0.25">
      <c r="A3816" s="22">
        <v>2026</v>
      </c>
      <c r="B3816" s="28" t="s">
        <v>203</v>
      </c>
      <c r="C3816" s="28" t="s">
        <v>97</v>
      </c>
      <c r="D3816" s="28" t="s">
        <v>1721</v>
      </c>
      <c r="E3816" s="29" t="s">
        <v>411</v>
      </c>
      <c r="F3816" s="29" t="s">
        <v>353</v>
      </c>
      <c r="G3816" s="25" t="s">
        <v>5536</v>
      </c>
      <c r="H3816" s="26">
        <v>-1.6954226085000002</v>
      </c>
      <c r="I3816" s="26"/>
      <c r="J3816" s="26" t="s">
        <v>512</v>
      </c>
      <c r="K3816" s="25" t="s">
        <v>513</v>
      </c>
    </row>
    <row r="3817" spans="1:11" ht="25.5" x14ac:dyDescent="0.25">
      <c r="A3817" s="22">
        <v>2026</v>
      </c>
      <c r="B3817" s="28" t="s">
        <v>203</v>
      </c>
      <c r="C3817" s="28" t="s">
        <v>97</v>
      </c>
      <c r="D3817" s="28" t="s">
        <v>1721</v>
      </c>
      <c r="E3817" s="29" t="s">
        <v>411</v>
      </c>
      <c r="F3817" s="29" t="s">
        <v>353</v>
      </c>
      <c r="G3817" s="25" t="s">
        <v>5537</v>
      </c>
      <c r="H3817" s="26">
        <v>-0.88450876639999998</v>
      </c>
      <c r="I3817" s="26"/>
      <c r="J3817" s="26" t="s">
        <v>512</v>
      </c>
      <c r="K3817" s="25" t="s">
        <v>513</v>
      </c>
    </row>
    <row r="3818" spans="1:11" ht="25.5" x14ac:dyDescent="0.25">
      <c r="A3818" s="22">
        <v>2026</v>
      </c>
      <c r="B3818" s="28" t="s">
        <v>203</v>
      </c>
      <c r="C3818" s="28" t="s">
        <v>97</v>
      </c>
      <c r="D3818" s="28" t="s">
        <v>1721</v>
      </c>
      <c r="E3818" s="29" t="s">
        <v>411</v>
      </c>
      <c r="F3818" s="29" t="s">
        <v>353</v>
      </c>
      <c r="G3818" s="25" t="s">
        <v>5538</v>
      </c>
      <c r="H3818" s="26">
        <v>-0.93565105199999998</v>
      </c>
      <c r="I3818" s="26"/>
      <c r="J3818" s="26" t="s">
        <v>512</v>
      </c>
      <c r="K3818" s="25" t="s">
        <v>513</v>
      </c>
    </row>
    <row r="3819" spans="1:11" ht="25.5" x14ac:dyDescent="0.25">
      <c r="A3819" s="22">
        <v>2026</v>
      </c>
      <c r="B3819" s="28" t="s">
        <v>203</v>
      </c>
      <c r="C3819" s="28" t="s">
        <v>97</v>
      </c>
      <c r="D3819" s="28" t="s">
        <v>1721</v>
      </c>
      <c r="E3819" s="29" t="s">
        <v>411</v>
      </c>
      <c r="F3819" s="29" t="s">
        <v>353</v>
      </c>
      <c r="G3819" s="25" t="s">
        <v>5539</v>
      </c>
      <c r="H3819" s="26">
        <v>-0.29455858000000001</v>
      </c>
      <c r="I3819" s="26"/>
      <c r="J3819" s="26" t="s">
        <v>512</v>
      </c>
      <c r="K3819" s="25" t="s">
        <v>513</v>
      </c>
    </row>
    <row r="3820" spans="1:11" ht="25.5" x14ac:dyDescent="0.25">
      <c r="A3820" s="22">
        <v>2026</v>
      </c>
      <c r="B3820" s="28" t="s">
        <v>203</v>
      </c>
      <c r="C3820" s="28" t="s">
        <v>97</v>
      </c>
      <c r="D3820" s="28" t="s">
        <v>1721</v>
      </c>
      <c r="E3820" s="29" t="s">
        <v>411</v>
      </c>
      <c r="F3820" s="29" t="s">
        <v>353</v>
      </c>
      <c r="G3820" s="25" t="s">
        <v>5540</v>
      </c>
      <c r="H3820" s="26">
        <v>-1.3465740963999999</v>
      </c>
      <c r="I3820" s="26"/>
      <c r="J3820" s="26" t="s">
        <v>512</v>
      </c>
      <c r="K3820" s="25" t="s">
        <v>513</v>
      </c>
    </row>
    <row r="3821" spans="1:11" ht="25.5" x14ac:dyDescent="0.25">
      <c r="A3821" s="22">
        <v>2026</v>
      </c>
      <c r="B3821" s="28" t="s">
        <v>203</v>
      </c>
      <c r="C3821" s="28" t="s">
        <v>97</v>
      </c>
      <c r="D3821" s="28" t="s">
        <v>1721</v>
      </c>
      <c r="E3821" s="29" t="s">
        <v>411</v>
      </c>
      <c r="F3821" s="29" t="s">
        <v>353</v>
      </c>
      <c r="G3821" s="25" t="s">
        <v>5541</v>
      </c>
      <c r="H3821" s="26">
        <v>-0.63545368999999996</v>
      </c>
      <c r="I3821" s="26"/>
      <c r="J3821" s="26" t="s">
        <v>512</v>
      </c>
      <c r="K3821" s="25" t="s">
        <v>513</v>
      </c>
    </row>
    <row r="3822" spans="1:11" ht="25.5" x14ac:dyDescent="0.25">
      <c r="A3822" s="22">
        <v>2026</v>
      </c>
      <c r="B3822" s="28" t="s">
        <v>203</v>
      </c>
      <c r="C3822" s="28" t="s">
        <v>97</v>
      </c>
      <c r="D3822" s="28" t="s">
        <v>1721</v>
      </c>
      <c r="E3822" s="29" t="s">
        <v>411</v>
      </c>
      <c r="F3822" s="29" t="s">
        <v>353</v>
      </c>
      <c r="G3822" s="25" t="s">
        <v>5542</v>
      </c>
      <c r="H3822" s="26">
        <v>-0.64578614749999996</v>
      </c>
      <c r="I3822" s="26"/>
      <c r="J3822" s="26" t="s">
        <v>512</v>
      </c>
      <c r="K3822" s="25" t="s">
        <v>513</v>
      </c>
    </row>
    <row r="3823" spans="1:11" ht="25.5" x14ac:dyDescent="0.25">
      <c r="A3823" s="22">
        <v>2026</v>
      </c>
      <c r="B3823" s="28" t="s">
        <v>203</v>
      </c>
      <c r="C3823" s="28" t="s">
        <v>97</v>
      </c>
      <c r="D3823" s="28" t="s">
        <v>1721</v>
      </c>
      <c r="E3823" s="29" t="s">
        <v>411</v>
      </c>
      <c r="F3823" s="29" t="s">
        <v>353</v>
      </c>
      <c r="G3823" s="25" t="s">
        <v>5543</v>
      </c>
      <c r="H3823" s="26">
        <v>-1.2868921526999999</v>
      </c>
      <c r="I3823" s="26"/>
      <c r="J3823" s="26" t="s">
        <v>512</v>
      </c>
      <c r="K3823" s="25" t="s">
        <v>513</v>
      </c>
    </row>
    <row r="3824" spans="1:11" ht="25.5" x14ac:dyDescent="0.25">
      <c r="A3824" s="22">
        <v>2026</v>
      </c>
      <c r="B3824" s="28" t="s">
        <v>203</v>
      </c>
      <c r="C3824" s="28" t="s">
        <v>97</v>
      </c>
      <c r="D3824" s="28" t="s">
        <v>1721</v>
      </c>
      <c r="E3824" s="29" t="s">
        <v>411</v>
      </c>
      <c r="F3824" s="29" t="s">
        <v>353</v>
      </c>
      <c r="G3824" s="25" t="s">
        <v>5544</v>
      </c>
      <c r="H3824" s="26">
        <v>-0.84768860000000001</v>
      </c>
      <c r="I3824" s="26"/>
      <c r="J3824" s="26" t="s">
        <v>512</v>
      </c>
      <c r="K3824" s="25" t="s">
        <v>513</v>
      </c>
    </row>
    <row r="3825" spans="1:11" ht="25.5" x14ac:dyDescent="0.25">
      <c r="A3825" s="22">
        <v>2026</v>
      </c>
      <c r="B3825" s="28" t="s">
        <v>203</v>
      </c>
      <c r="C3825" s="28" t="s">
        <v>97</v>
      </c>
      <c r="D3825" s="28" t="s">
        <v>1721</v>
      </c>
      <c r="E3825" s="29" t="s">
        <v>411</v>
      </c>
      <c r="F3825" s="29" t="s">
        <v>353</v>
      </c>
      <c r="G3825" s="25" t="s">
        <v>5545</v>
      </c>
      <c r="H3825" s="26">
        <v>-0.88052147999999997</v>
      </c>
      <c r="I3825" s="26"/>
      <c r="J3825" s="26" t="s">
        <v>512</v>
      </c>
      <c r="K3825" s="25" t="s">
        <v>513</v>
      </c>
    </row>
    <row r="3826" spans="1:11" ht="25.5" x14ac:dyDescent="0.25">
      <c r="A3826" s="22">
        <v>2026</v>
      </c>
      <c r="B3826" s="28" t="s">
        <v>203</v>
      </c>
      <c r="C3826" s="28" t="s">
        <v>97</v>
      </c>
      <c r="D3826" s="28" t="s">
        <v>1722</v>
      </c>
      <c r="E3826" s="29" t="s">
        <v>640</v>
      </c>
      <c r="F3826" s="29" t="s">
        <v>282</v>
      </c>
      <c r="G3826" s="25" t="s">
        <v>5546</v>
      </c>
      <c r="H3826" s="26">
        <v>-2.4851788500000003E-2</v>
      </c>
      <c r="I3826" s="26"/>
      <c r="J3826" s="26" t="s">
        <v>521</v>
      </c>
      <c r="K3826" s="25" t="s">
        <v>513</v>
      </c>
    </row>
    <row r="3827" spans="1:11" ht="25.5" x14ac:dyDescent="0.25">
      <c r="A3827" s="22">
        <v>2026</v>
      </c>
      <c r="B3827" s="28" t="s">
        <v>203</v>
      </c>
      <c r="C3827" s="28" t="s">
        <v>97</v>
      </c>
      <c r="D3827" s="28" t="s">
        <v>1722</v>
      </c>
      <c r="E3827" s="29" t="s">
        <v>640</v>
      </c>
      <c r="F3827" s="29" t="s">
        <v>282</v>
      </c>
      <c r="G3827" s="25" t="s">
        <v>5547</v>
      </c>
      <c r="H3827" s="26">
        <v>-6.1008240000000005E-2</v>
      </c>
      <c r="I3827" s="26"/>
      <c r="J3827" s="26" t="s">
        <v>521</v>
      </c>
      <c r="K3827" s="25" t="s">
        <v>513</v>
      </c>
    </row>
    <row r="3828" spans="1:11" ht="25.5" x14ac:dyDescent="0.25">
      <c r="A3828" s="22">
        <v>2026</v>
      </c>
      <c r="B3828" s="28" t="s">
        <v>203</v>
      </c>
      <c r="C3828" s="28" t="s">
        <v>97</v>
      </c>
      <c r="D3828" s="28" t="s">
        <v>1722</v>
      </c>
      <c r="E3828" s="29" t="s">
        <v>640</v>
      </c>
      <c r="F3828" s="29" t="s">
        <v>282</v>
      </c>
      <c r="G3828" s="25" t="s">
        <v>5548</v>
      </c>
      <c r="H3828" s="26">
        <v>-3.2387782499999997E-2</v>
      </c>
      <c r="I3828" s="26"/>
      <c r="J3828" s="26" t="s">
        <v>521</v>
      </c>
      <c r="K3828" s="25" t="s">
        <v>513</v>
      </c>
    </row>
    <row r="3829" spans="1:11" ht="25.5" x14ac:dyDescent="0.25">
      <c r="A3829" s="22">
        <v>2026</v>
      </c>
      <c r="B3829" s="28" t="s">
        <v>203</v>
      </c>
      <c r="C3829" s="28" t="s">
        <v>97</v>
      </c>
      <c r="D3829" s="28" t="s">
        <v>1722</v>
      </c>
      <c r="E3829" s="29" t="s">
        <v>640</v>
      </c>
      <c r="F3829" s="29" t="s">
        <v>282</v>
      </c>
      <c r="G3829" s="25" t="s">
        <v>5549</v>
      </c>
      <c r="H3829" s="26">
        <v>-3.2058308799999997E-2</v>
      </c>
      <c r="I3829" s="26"/>
      <c r="J3829" s="26" t="s">
        <v>521</v>
      </c>
      <c r="K3829" s="25" t="s">
        <v>513</v>
      </c>
    </row>
    <row r="3830" spans="1:11" ht="25.5" x14ac:dyDescent="0.25">
      <c r="A3830" s="22">
        <v>2026</v>
      </c>
      <c r="B3830" s="28" t="s">
        <v>203</v>
      </c>
      <c r="C3830" s="28" t="s">
        <v>97</v>
      </c>
      <c r="D3830" s="28" t="s">
        <v>1722</v>
      </c>
      <c r="E3830" s="29" t="s">
        <v>640</v>
      </c>
      <c r="F3830" s="29" t="s">
        <v>282</v>
      </c>
      <c r="G3830" s="25" t="s">
        <v>5550</v>
      </c>
      <c r="H3830" s="26">
        <v>-2.2717196500000002E-2</v>
      </c>
      <c r="I3830" s="26"/>
      <c r="J3830" s="26" t="s">
        <v>521</v>
      </c>
      <c r="K3830" s="25" t="s">
        <v>513</v>
      </c>
    </row>
    <row r="3831" spans="1:11" ht="25.5" x14ac:dyDescent="0.25">
      <c r="A3831" s="22">
        <v>2026</v>
      </c>
      <c r="B3831" s="28" t="s">
        <v>203</v>
      </c>
      <c r="C3831" s="28" t="s">
        <v>97</v>
      </c>
      <c r="D3831" s="28" t="s">
        <v>1722</v>
      </c>
      <c r="E3831" s="29" t="s">
        <v>640</v>
      </c>
      <c r="F3831" s="29" t="s">
        <v>282</v>
      </c>
      <c r="G3831" s="25" t="s">
        <v>5551</v>
      </c>
      <c r="H3831" s="26">
        <v>-5.7163375499999995E-2</v>
      </c>
      <c r="I3831" s="26"/>
      <c r="J3831" s="26" t="s">
        <v>521</v>
      </c>
      <c r="K3831" s="25" t="s">
        <v>513</v>
      </c>
    </row>
    <row r="3832" spans="1:11" ht="25.5" x14ac:dyDescent="0.25">
      <c r="A3832" s="22">
        <v>2026</v>
      </c>
      <c r="B3832" s="28" t="s">
        <v>203</v>
      </c>
      <c r="C3832" s="28" t="s">
        <v>97</v>
      </c>
      <c r="D3832" s="28" t="s">
        <v>1722</v>
      </c>
      <c r="E3832" s="29" t="s">
        <v>640</v>
      </c>
      <c r="F3832" s="29" t="s">
        <v>282</v>
      </c>
      <c r="G3832" s="25" t="s">
        <v>5552</v>
      </c>
      <c r="H3832" s="26">
        <v>-2.9441973900000001E-2</v>
      </c>
      <c r="I3832" s="26"/>
      <c r="J3832" s="26" t="s">
        <v>521</v>
      </c>
      <c r="K3832" s="25" t="s">
        <v>513</v>
      </c>
    </row>
    <row r="3833" spans="1:11" ht="25.5" x14ac:dyDescent="0.25">
      <c r="A3833" s="22">
        <v>2026</v>
      </c>
      <c r="B3833" s="28" t="s">
        <v>203</v>
      </c>
      <c r="C3833" s="28" t="s">
        <v>97</v>
      </c>
      <c r="D3833" s="28" t="s">
        <v>1722</v>
      </c>
      <c r="E3833" s="29" t="s">
        <v>640</v>
      </c>
      <c r="F3833" s="29" t="s">
        <v>282</v>
      </c>
      <c r="G3833" s="25" t="s">
        <v>5553</v>
      </c>
      <c r="H3833" s="26">
        <v>-2.6509722499999999E-2</v>
      </c>
      <c r="I3833" s="26"/>
      <c r="J3833" s="26" t="s">
        <v>521</v>
      </c>
      <c r="K3833" s="25" t="s">
        <v>513</v>
      </c>
    </row>
    <row r="3834" spans="1:11" ht="25.5" x14ac:dyDescent="0.25">
      <c r="A3834" s="22">
        <v>2026</v>
      </c>
      <c r="B3834" s="28" t="s">
        <v>203</v>
      </c>
      <c r="C3834" s="28" t="s">
        <v>97</v>
      </c>
      <c r="D3834" s="28" t="s">
        <v>1722</v>
      </c>
      <c r="E3834" s="29" t="s">
        <v>640</v>
      </c>
      <c r="F3834" s="29" t="s">
        <v>282</v>
      </c>
      <c r="G3834" s="25" t="s">
        <v>5554</v>
      </c>
      <c r="H3834" s="26">
        <v>-2.96284715E-2</v>
      </c>
      <c r="I3834" s="26"/>
      <c r="J3834" s="26" t="s">
        <v>521</v>
      </c>
      <c r="K3834" s="25" t="s">
        <v>513</v>
      </c>
    </row>
    <row r="3835" spans="1:11" ht="25.5" x14ac:dyDescent="0.25">
      <c r="A3835" s="22">
        <v>2026</v>
      </c>
      <c r="B3835" s="28" t="s">
        <v>203</v>
      </c>
      <c r="C3835" s="28" t="s">
        <v>97</v>
      </c>
      <c r="D3835" s="28" t="s">
        <v>1722</v>
      </c>
      <c r="E3835" s="29" t="s">
        <v>640</v>
      </c>
      <c r="F3835" s="29" t="s">
        <v>282</v>
      </c>
      <c r="G3835" s="25" t="s">
        <v>5555</v>
      </c>
      <c r="H3835" s="26">
        <v>-2.9109074399999997E-2</v>
      </c>
      <c r="I3835" s="26"/>
      <c r="J3835" s="26" t="s">
        <v>521</v>
      </c>
      <c r="K3835" s="25" t="s">
        <v>513</v>
      </c>
    </row>
    <row r="3836" spans="1:11" ht="25.5" x14ac:dyDescent="0.25">
      <c r="A3836" s="22">
        <v>2026</v>
      </c>
      <c r="B3836" s="28" t="s">
        <v>203</v>
      </c>
      <c r="C3836" s="28" t="s">
        <v>97</v>
      </c>
      <c r="D3836" s="28" t="s">
        <v>1722</v>
      </c>
      <c r="E3836" s="29" t="s">
        <v>640</v>
      </c>
      <c r="F3836" s="29" t="s">
        <v>282</v>
      </c>
      <c r="G3836" s="25" t="s">
        <v>5556</v>
      </c>
      <c r="H3836" s="26">
        <v>-3.2054488899999997E-2</v>
      </c>
      <c r="I3836" s="26"/>
      <c r="J3836" s="26" t="s">
        <v>521</v>
      </c>
      <c r="K3836" s="25" t="s">
        <v>513</v>
      </c>
    </row>
    <row r="3837" spans="1:11" ht="25.5" x14ac:dyDescent="0.25">
      <c r="A3837" s="22">
        <v>2026</v>
      </c>
      <c r="B3837" s="28" t="s">
        <v>203</v>
      </c>
      <c r="C3837" s="28" t="s">
        <v>97</v>
      </c>
      <c r="D3837" s="28" t="s">
        <v>1722</v>
      </c>
      <c r="E3837" s="29" t="s">
        <v>640</v>
      </c>
      <c r="F3837" s="29" t="s">
        <v>282</v>
      </c>
      <c r="G3837" s="25" t="s">
        <v>5557</v>
      </c>
      <c r="H3837" s="26">
        <v>-2.9061908100000002E-2</v>
      </c>
      <c r="I3837" s="26"/>
      <c r="J3837" s="26" t="s">
        <v>521</v>
      </c>
      <c r="K3837" s="25" t="s">
        <v>513</v>
      </c>
    </row>
    <row r="3838" spans="1:11" ht="25.5" x14ac:dyDescent="0.25">
      <c r="A3838" s="22">
        <v>2026</v>
      </c>
      <c r="B3838" s="28" t="s">
        <v>203</v>
      </c>
      <c r="C3838" s="28" t="s">
        <v>97</v>
      </c>
      <c r="D3838" s="28" t="s">
        <v>1722</v>
      </c>
      <c r="E3838" s="29" t="s">
        <v>640</v>
      </c>
      <c r="F3838" s="29" t="s">
        <v>282</v>
      </c>
      <c r="G3838" s="25" t="s">
        <v>5558</v>
      </c>
      <c r="H3838" s="26">
        <v>-2.84574932E-2</v>
      </c>
      <c r="I3838" s="26"/>
      <c r="J3838" s="26" t="s">
        <v>521</v>
      </c>
      <c r="K3838" s="25" t="s">
        <v>513</v>
      </c>
    </row>
    <row r="3839" spans="1:11" ht="25.5" x14ac:dyDescent="0.25">
      <c r="A3839" s="22">
        <v>2026</v>
      </c>
      <c r="B3839" s="28" t="s">
        <v>203</v>
      </c>
      <c r="C3839" s="28" t="s">
        <v>97</v>
      </c>
      <c r="D3839" s="28" t="s">
        <v>1722</v>
      </c>
      <c r="E3839" s="29" t="s">
        <v>640</v>
      </c>
      <c r="F3839" s="29" t="s">
        <v>282</v>
      </c>
      <c r="G3839" s="25" t="s">
        <v>5559</v>
      </c>
      <c r="H3839" s="26">
        <v>-2.8571943400000001E-2</v>
      </c>
      <c r="I3839" s="26"/>
      <c r="J3839" s="26" t="s">
        <v>521</v>
      </c>
      <c r="K3839" s="25" t="s">
        <v>513</v>
      </c>
    </row>
    <row r="3840" spans="1:11" ht="25.5" x14ac:dyDescent="0.25">
      <c r="A3840" s="22">
        <v>2026</v>
      </c>
      <c r="B3840" s="28" t="s">
        <v>203</v>
      </c>
      <c r="C3840" s="28" t="s">
        <v>97</v>
      </c>
      <c r="D3840" s="28" t="s">
        <v>1722</v>
      </c>
      <c r="E3840" s="29" t="s">
        <v>640</v>
      </c>
      <c r="F3840" s="29" t="s">
        <v>282</v>
      </c>
      <c r="G3840" s="25" t="s">
        <v>5560</v>
      </c>
      <c r="H3840" s="26">
        <v>-2.8435267900000002E-2</v>
      </c>
      <c r="I3840" s="26"/>
      <c r="J3840" s="26" t="s">
        <v>521</v>
      </c>
      <c r="K3840" s="25" t="s">
        <v>513</v>
      </c>
    </row>
    <row r="3841" spans="1:11" ht="25.5" x14ac:dyDescent="0.25">
      <c r="A3841" s="22">
        <v>2026</v>
      </c>
      <c r="B3841" s="28" t="s">
        <v>203</v>
      </c>
      <c r="C3841" s="28" t="s">
        <v>97</v>
      </c>
      <c r="D3841" s="28" t="s">
        <v>1722</v>
      </c>
      <c r="E3841" s="29" t="s">
        <v>640</v>
      </c>
      <c r="F3841" s="29" t="s">
        <v>282</v>
      </c>
      <c r="G3841" s="25" t="s">
        <v>5561</v>
      </c>
      <c r="H3841" s="26">
        <v>-2.4753463200000003E-2</v>
      </c>
      <c r="I3841" s="26"/>
      <c r="J3841" s="26" t="s">
        <v>521</v>
      </c>
      <c r="K3841" s="25" t="s">
        <v>513</v>
      </c>
    </row>
    <row r="3842" spans="1:11" ht="25.5" x14ac:dyDescent="0.25">
      <c r="A3842" s="22">
        <v>2026</v>
      </c>
      <c r="B3842" s="28" t="s">
        <v>203</v>
      </c>
      <c r="C3842" s="28" t="s">
        <v>97</v>
      </c>
      <c r="D3842" s="28" t="s">
        <v>1722</v>
      </c>
      <c r="E3842" s="29" t="s">
        <v>640</v>
      </c>
      <c r="F3842" s="29" t="s">
        <v>282</v>
      </c>
      <c r="G3842" s="25" t="s">
        <v>5562</v>
      </c>
      <c r="H3842" s="26">
        <v>-2.8517195199999998E-2</v>
      </c>
      <c r="I3842" s="26"/>
      <c r="J3842" s="26" t="s">
        <v>521</v>
      </c>
      <c r="K3842" s="25" t="s">
        <v>513</v>
      </c>
    </row>
    <row r="3843" spans="1:11" ht="25.5" x14ac:dyDescent="0.25">
      <c r="A3843" s="22">
        <v>2026</v>
      </c>
      <c r="B3843" s="28" t="s">
        <v>203</v>
      </c>
      <c r="C3843" s="28" t="s">
        <v>97</v>
      </c>
      <c r="D3843" s="28" t="s">
        <v>1722</v>
      </c>
      <c r="E3843" s="29" t="s">
        <v>640</v>
      </c>
      <c r="F3843" s="29" t="s">
        <v>282</v>
      </c>
      <c r="G3843" s="25" t="s">
        <v>5563</v>
      </c>
      <c r="H3843" s="26">
        <v>-2.8202878200000003E-2</v>
      </c>
      <c r="I3843" s="26"/>
      <c r="J3843" s="26" t="s">
        <v>521</v>
      </c>
      <c r="K3843" s="25" t="s">
        <v>513</v>
      </c>
    </row>
    <row r="3844" spans="1:11" ht="25.5" x14ac:dyDescent="0.25">
      <c r="A3844" s="22">
        <v>2026</v>
      </c>
      <c r="B3844" s="28" t="s">
        <v>203</v>
      </c>
      <c r="C3844" s="28" t="s">
        <v>97</v>
      </c>
      <c r="D3844" s="28" t="s">
        <v>1722</v>
      </c>
      <c r="E3844" s="29" t="s">
        <v>640</v>
      </c>
      <c r="F3844" s="29" t="s">
        <v>282</v>
      </c>
      <c r="G3844" s="25" t="s">
        <v>5564</v>
      </c>
      <c r="H3844" s="26">
        <v>-2.3911392E-2</v>
      </c>
      <c r="I3844" s="26"/>
      <c r="J3844" s="26" t="s">
        <v>521</v>
      </c>
      <c r="K3844" s="25" t="s">
        <v>513</v>
      </c>
    </row>
    <row r="3845" spans="1:11" ht="25.5" x14ac:dyDescent="0.25">
      <c r="A3845" s="22">
        <v>2026</v>
      </c>
      <c r="B3845" s="28" t="s">
        <v>203</v>
      </c>
      <c r="C3845" s="28" t="s">
        <v>97</v>
      </c>
      <c r="D3845" s="28" t="s">
        <v>1722</v>
      </c>
      <c r="E3845" s="29" t="s">
        <v>640</v>
      </c>
      <c r="F3845" s="29" t="s">
        <v>282</v>
      </c>
      <c r="G3845" s="25" t="s">
        <v>5565</v>
      </c>
      <c r="H3845" s="26">
        <v>-2.8480404000000001E-2</v>
      </c>
      <c r="I3845" s="26"/>
      <c r="J3845" s="26" t="s">
        <v>521</v>
      </c>
      <c r="K3845" s="25" t="s">
        <v>513</v>
      </c>
    </row>
    <row r="3846" spans="1:11" ht="25.5" x14ac:dyDescent="0.25">
      <c r="A3846" s="22">
        <v>2026</v>
      </c>
      <c r="B3846" s="28" t="s">
        <v>203</v>
      </c>
      <c r="C3846" s="28" t="s">
        <v>97</v>
      </c>
      <c r="D3846" s="28" t="s">
        <v>1723</v>
      </c>
      <c r="E3846" s="29" t="s">
        <v>437</v>
      </c>
      <c r="F3846" s="29" t="s">
        <v>374</v>
      </c>
      <c r="G3846" s="25" t="s">
        <v>5566</v>
      </c>
      <c r="H3846" s="26">
        <v>-0.33511412760000003</v>
      </c>
      <c r="I3846" s="26"/>
      <c r="J3846" s="26" t="s">
        <v>521</v>
      </c>
      <c r="K3846" s="25" t="s">
        <v>513</v>
      </c>
    </row>
    <row r="3847" spans="1:11" ht="25.5" x14ac:dyDescent="0.25">
      <c r="A3847" s="22">
        <v>2026</v>
      </c>
      <c r="B3847" s="28" t="s">
        <v>203</v>
      </c>
      <c r="C3847" s="28" t="s">
        <v>97</v>
      </c>
      <c r="D3847" s="28" t="s">
        <v>1723</v>
      </c>
      <c r="E3847" s="29" t="s">
        <v>437</v>
      </c>
      <c r="F3847" s="29" t="s">
        <v>374</v>
      </c>
      <c r="G3847" s="25" t="s">
        <v>5567</v>
      </c>
      <c r="H3847" s="26">
        <v>-0.33412202520000001</v>
      </c>
      <c r="I3847" s="26"/>
      <c r="J3847" s="26" t="s">
        <v>521</v>
      </c>
      <c r="K3847" s="25" t="s">
        <v>513</v>
      </c>
    </row>
    <row r="3848" spans="1:11" ht="25.5" x14ac:dyDescent="0.25">
      <c r="A3848" s="22">
        <v>2026</v>
      </c>
      <c r="B3848" s="28" t="s">
        <v>203</v>
      </c>
      <c r="C3848" s="28" t="s">
        <v>97</v>
      </c>
      <c r="D3848" s="28" t="s">
        <v>1723</v>
      </c>
      <c r="E3848" s="29" t="s">
        <v>437</v>
      </c>
      <c r="F3848" s="29" t="s">
        <v>374</v>
      </c>
      <c r="G3848" s="25" t="s">
        <v>5568</v>
      </c>
      <c r="H3848" s="26">
        <v>-0.1538621976</v>
      </c>
      <c r="I3848" s="26"/>
      <c r="J3848" s="26" t="s">
        <v>521</v>
      </c>
      <c r="K3848" s="25" t="s">
        <v>513</v>
      </c>
    </row>
    <row r="3849" spans="1:11" ht="25.5" x14ac:dyDescent="0.25">
      <c r="A3849" s="22">
        <v>2026</v>
      </c>
      <c r="B3849" s="28" t="s">
        <v>203</v>
      </c>
      <c r="C3849" s="28" t="s">
        <v>97</v>
      </c>
      <c r="D3849" s="28" t="s">
        <v>1723</v>
      </c>
      <c r="E3849" s="29" t="s">
        <v>437</v>
      </c>
      <c r="F3849" s="29" t="s">
        <v>374</v>
      </c>
      <c r="G3849" s="25" t="s">
        <v>5569</v>
      </c>
      <c r="H3849" s="26">
        <v>-3.3814396000000004E-2</v>
      </c>
      <c r="I3849" s="26"/>
      <c r="J3849" s="26" t="s">
        <v>521</v>
      </c>
      <c r="K3849" s="25" t="s">
        <v>513</v>
      </c>
    </row>
    <row r="3850" spans="1:11" ht="25.5" x14ac:dyDescent="0.25">
      <c r="A3850" s="22">
        <v>2026</v>
      </c>
      <c r="B3850" s="28" t="s">
        <v>203</v>
      </c>
      <c r="C3850" s="28" t="s">
        <v>97</v>
      </c>
      <c r="D3850" s="28" t="s">
        <v>1723</v>
      </c>
      <c r="E3850" s="29" t="s">
        <v>437</v>
      </c>
      <c r="F3850" s="29" t="s">
        <v>374</v>
      </c>
      <c r="G3850" s="25" t="s">
        <v>5570</v>
      </c>
      <c r="H3850" s="26">
        <v>-0.29175746699999999</v>
      </c>
      <c r="I3850" s="26"/>
      <c r="J3850" s="26" t="s">
        <v>521</v>
      </c>
      <c r="K3850" s="25" t="s">
        <v>513</v>
      </c>
    </row>
    <row r="3851" spans="1:11" ht="25.5" x14ac:dyDescent="0.25">
      <c r="A3851" s="22">
        <v>2026</v>
      </c>
      <c r="B3851" s="28" t="s">
        <v>203</v>
      </c>
      <c r="C3851" s="28" t="s">
        <v>97</v>
      </c>
      <c r="D3851" s="28" t="s">
        <v>1723</v>
      </c>
      <c r="E3851" s="29" t="s">
        <v>437</v>
      </c>
      <c r="F3851" s="29" t="s">
        <v>374</v>
      </c>
      <c r="G3851" s="25" t="s">
        <v>5571</v>
      </c>
      <c r="H3851" s="26">
        <v>-0.32577119899999996</v>
      </c>
      <c r="I3851" s="26"/>
      <c r="J3851" s="26" t="s">
        <v>521</v>
      </c>
      <c r="K3851" s="25" t="s">
        <v>513</v>
      </c>
    </row>
    <row r="3852" spans="1:11" ht="25.5" x14ac:dyDescent="0.25">
      <c r="A3852" s="22">
        <v>2026</v>
      </c>
      <c r="B3852" s="28" t="s">
        <v>203</v>
      </c>
      <c r="C3852" s="28" t="s">
        <v>97</v>
      </c>
      <c r="D3852" s="28" t="s">
        <v>1723</v>
      </c>
      <c r="E3852" s="29" t="s">
        <v>437</v>
      </c>
      <c r="F3852" s="29" t="s">
        <v>374</v>
      </c>
      <c r="G3852" s="25" t="s">
        <v>5572</v>
      </c>
      <c r="H3852" s="26">
        <v>-0.2130385709</v>
      </c>
      <c r="I3852" s="26"/>
      <c r="J3852" s="26" t="s">
        <v>521</v>
      </c>
      <c r="K3852" s="25" t="s">
        <v>513</v>
      </c>
    </row>
    <row r="3853" spans="1:11" ht="25.5" x14ac:dyDescent="0.25">
      <c r="A3853" s="22">
        <v>2026</v>
      </c>
      <c r="B3853" s="28" t="s">
        <v>203</v>
      </c>
      <c r="C3853" s="28" t="s">
        <v>97</v>
      </c>
      <c r="D3853" s="28" t="s">
        <v>1723</v>
      </c>
      <c r="E3853" s="29" t="s">
        <v>437</v>
      </c>
      <c r="F3853" s="29" t="s">
        <v>374</v>
      </c>
      <c r="G3853" s="25" t="s">
        <v>5573</v>
      </c>
      <c r="H3853" s="26">
        <v>-0.36102161950000006</v>
      </c>
      <c r="I3853" s="26"/>
      <c r="J3853" s="26" t="s">
        <v>521</v>
      </c>
      <c r="K3853" s="25" t="s">
        <v>513</v>
      </c>
    </row>
    <row r="3854" spans="1:11" ht="25.5" x14ac:dyDescent="0.25">
      <c r="A3854" s="22">
        <v>2026</v>
      </c>
      <c r="B3854" s="28" t="s">
        <v>203</v>
      </c>
      <c r="C3854" s="28" t="s">
        <v>97</v>
      </c>
      <c r="D3854" s="28" t="s">
        <v>1723</v>
      </c>
      <c r="E3854" s="29" t="s">
        <v>437</v>
      </c>
      <c r="F3854" s="29" t="s">
        <v>374</v>
      </c>
      <c r="G3854" s="25" t="s">
        <v>5574</v>
      </c>
      <c r="H3854" s="26">
        <v>-0.24074917669999998</v>
      </c>
      <c r="I3854" s="26"/>
      <c r="J3854" s="26" t="s">
        <v>521</v>
      </c>
      <c r="K3854" s="25" t="s">
        <v>513</v>
      </c>
    </row>
    <row r="3855" spans="1:11" ht="25.5" x14ac:dyDescent="0.25">
      <c r="A3855" s="22">
        <v>2026</v>
      </c>
      <c r="B3855" s="28" t="s">
        <v>203</v>
      </c>
      <c r="C3855" s="28" t="s">
        <v>97</v>
      </c>
      <c r="D3855" s="28" t="s">
        <v>1723</v>
      </c>
      <c r="E3855" s="29" t="s">
        <v>437</v>
      </c>
      <c r="F3855" s="29" t="s">
        <v>374</v>
      </c>
      <c r="G3855" s="25" t="s">
        <v>5575</v>
      </c>
      <c r="H3855" s="26">
        <v>-0.32122683000000002</v>
      </c>
      <c r="I3855" s="26"/>
      <c r="J3855" s="26" t="s">
        <v>521</v>
      </c>
      <c r="K3855" s="25" t="s">
        <v>513</v>
      </c>
    </row>
    <row r="3856" spans="1:11" ht="25.5" x14ac:dyDescent="0.25">
      <c r="A3856" s="22">
        <v>2026</v>
      </c>
      <c r="B3856" s="28" t="s">
        <v>203</v>
      </c>
      <c r="C3856" s="28" t="s">
        <v>97</v>
      </c>
      <c r="D3856" s="28" t="s">
        <v>1723</v>
      </c>
      <c r="E3856" s="29" t="s">
        <v>437</v>
      </c>
      <c r="F3856" s="29" t="s">
        <v>374</v>
      </c>
      <c r="G3856" s="25" t="s">
        <v>5576</v>
      </c>
      <c r="H3856" s="26">
        <v>-0.36648196970000002</v>
      </c>
      <c r="I3856" s="26"/>
      <c r="J3856" s="26" t="s">
        <v>521</v>
      </c>
      <c r="K3856" s="25" t="s">
        <v>513</v>
      </c>
    </row>
    <row r="3857" spans="1:11" ht="25.5" x14ac:dyDescent="0.25">
      <c r="A3857" s="22">
        <v>2026</v>
      </c>
      <c r="B3857" s="28" t="s">
        <v>203</v>
      </c>
      <c r="C3857" s="28" t="s">
        <v>97</v>
      </c>
      <c r="D3857" s="28" t="s">
        <v>1723</v>
      </c>
      <c r="E3857" s="29" t="s">
        <v>437</v>
      </c>
      <c r="F3857" s="29" t="s">
        <v>374</v>
      </c>
      <c r="G3857" s="25" t="s">
        <v>5577</v>
      </c>
      <c r="H3857" s="26">
        <v>-0.30149558370000001</v>
      </c>
      <c r="I3857" s="26"/>
      <c r="J3857" s="26" t="s">
        <v>521</v>
      </c>
      <c r="K3857" s="25" t="s">
        <v>513</v>
      </c>
    </row>
    <row r="3858" spans="1:11" ht="25.5" x14ac:dyDescent="0.25">
      <c r="A3858" s="22">
        <v>2026</v>
      </c>
      <c r="B3858" s="28" t="s">
        <v>203</v>
      </c>
      <c r="C3858" s="28" t="s">
        <v>97</v>
      </c>
      <c r="D3858" s="28" t="s">
        <v>1723</v>
      </c>
      <c r="E3858" s="29" t="s">
        <v>437</v>
      </c>
      <c r="F3858" s="29" t="s">
        <v>374</v>
      </c>
      <c r="G3858" s="25" t="s">
        <v>5578</v>
      </c>
      <c r="H3858" s="26">
        <v>-0.34945418010000001</v>
      </c>
      <c r="I3858" s="26"/>
      <c r="J3858" s="26" t="s">
        <v>521</v>
      </c>
      <c r="K3858" s="25" t="s">
        <v>513</v>
      </c>
    </row>
    <row r="3859" spans="1:11" ht="25.5" x14ac:dyDescent="0.25">
      <c r="A3859" s="22">
        <v>2026</v>
      </c>
      <c r="B3859" s="28" t="s">
        <v>203</v>
      </c>
      <c r="C3859" s="28" t="s">
        <v>97</v>
      </c>
      <c r="D3859" s="28" t="s">
        <v>1723</v>
      </c>
      <c r="E3859" s="29" t="s">
        <v>437</v>
      </c>
      <c r="F3859" s="29" t="s">
        <v>374</v>
      </c>
      <c r="G3859" s="25" t="s">
        <v>5579</v>
      </c>
      <c r="H3859" s="26">
        <v>-0.29211664750000005</v>
      </c>
      <c r="I3859" s="26"/>
      <c r="J3859" s="26" t="s">
        <v>521</v>
      </c>
      <c r="K3859" s="25" t="s">
        <v>513</v>
      </c>
    </row>
    <row r="3860" spans="1:11" ht="25.5" x14ac:dyDescent="0.25">
      <c r="A3860" s="22">
        <v>2026</v>
      </c>
      <c r="B3860" s="28" t="s">
        <v>203</v>
      </c>
      <c r="C3860" s="28" t="s">
        <v>97</v>
      </c>
      <c r="D3860" s="28" t="s">
        <v>1723</v>
      </c>
      <c r="E3860" s="29" t="s">
        <v>437</v>
      </c>
      <c r="F3860" s="29" t="s">
        <v>374</v>
      </c>
      <c r="G3860" s="25" t="s">
        <v>5580</v>
      </c>
      <c r="H3860" s="26">
        <v>-0.39557749930000002</v>
      </c>
      <c r="I3860" s="26"/>
      <c r="J3860" s="26" t="s">
        <v>521</v>
      </c>
      <c r="K3860" s="25" t="s">
        <v>513</v>
      </c>
    </row>
    <row r="3861" spans="1:11" ht="25.5" x14ac:dyDescent="0.25">
      <c r="A3861" s="22">
        <v>2026</v>
      </c>
      <c r="B3861" s="28" t="s">
        <v>203</v>
      </c>
      <c r="C3861" s="28" t="s">
        <v>97</v>
      </c>
      <c r="D3861" s="28" t="s">
        <v>1723</v>
      </c>
      <c r="E3861" s="29" t="s">
        <v>437</v>
      </c>
      <c r="F3861" s="29" t="s">
        <v>374</v>
      </c>
      <c r="G3861" s="25" t="s">
        <v>5581</v>
      </c>
      <c r="H3861" s="26">
        <v>-0.13585502820000001</v>
      </c>
      <c r="I3861" s="26"/>
      <c r="J3861" s="26" t="s">
        <v>521</v>
      </c>
      <c r="K3861" s="25" t="s">
        <v>513</v>
      </c>
    </row>
    <row r="3862" spans="1:11" ht="25.5" x14ac:dyDescent="0.25">
      <c r="A3862" s="22">
        <v>2026</v>
      </c>
      <c r="B3862" s="28" t="s">
        <v>203</v>
      </c>
      <c r="C3862" s="28" t="s">
        <v>97</v>
      </c>
      <c r="D3862" s="28" t="s">
        <v>1723</v>
      </c>
      <c r="E3862" s="29" t="s">
        <v>437</v>
      </c>
      <c r="F3862" s="29" t="s">
        <v>374</v>
      </c>
      <c r="G3862" s="25" t="s">
        <v>5582</v>
      </c>
      <c r="H3862" s="26">
        <v>-0.2500172584</v>
      </c>
      <c r="I3862" s="26"/>
      <c r="J3862" s="26" t="s">
        <v>521</v>
      </c>
      <c r="K3862" s="25" t="s">
        <v>513</v>
      </c>
    </row>
    <row r="3863" spans="1:11" ht="25.5" x14ac:dyDescent="0.25">
      <c r="A3863" s="22">
        <v>2026</v>
      </c>
      <c r="B3863" s="28" t="s">
        <v>203</v>
      </c>
      <c r="C3863" s="28" t="s">
        <v>97</v>
      </c>
      <c r="D3863" s="28" t="s">
        <v>1723</v>
      </c>
      <c r="E3863" s="29" t="s">
        <v>437</v>
      </c>
      <c r="F3863" s="29" t="s">
        <v>374</v>
      </c>
      <c r="G3863" s="25" t="s">
        <v>5583</v>
      </c>
      <c r="H3863" s="26">
        <v>-0.30998853999999998</v>
      </c>
      <c r="I3863" s="26"/>
      <c r="J3863" s="26" t="s">
        <v>521</v>
      </c>
      <c r="K3863" s="25" t="s">
        <v>513</v>
      </c>
    </row>
    <row r="3864" spans="1:11" ht="25.5" x14ac:dyDescent="0.25">
      <c r="A3864" s="22">
        <v>2026</v>
      </c>
      <c r="B3864" s="28" t="s">
        <v>203</v>
      </c>
      <c r="C3864" s="28" t="s">
        <v>97</v>
      </c>
      <c r="D3864" s="28" t="s">
        <v>1723</v>
      </c>
      <c r="E3864" s="29" t="s">
        <v>437</v>
      </c>
      <c r="F3864" s="29" t="s">
        <v>374</v>
      </c>
      <c r="G3864" s="25" t="s">
        <v>5584</v>
      </c>
      <c r="H3864" s="26">
        <v>-0.34723798550000001</v>
      </c>
      <c r="I3864" s="26"/>
      <c r="J3864" s="26" t="s">
        <v>521</v>
      </c>
      <c r="K3864" s="25" t="s">
        <v>513</v>
      </c>
    </row>
    <row r="3865" spans="1:11" ht="25.5" x14ac:dyDescent="0.25">
      <c r="A3865" s="22">
        <v>2026</v>
      </c>
      <c r="B3865" s="28" t="s">
        <v>203</v>
      </c>
      <c r="C3865" s="28" t="s">
        <v>97</v>
      </c>
      <c r="D3865" s="28" t="s">
        <v>1723</v>
      </c>
      <c r="E3865" s="29" t="s">
        <v>437</v>
      </c>
      <c r="F3865" s="29" t="s">
        <v>374</v>
      </c>
      <c r="G3865" s="25" t="s">
        <v>5585</v>
      </c>
      <c r="H3865" s="26">
        <v>-2.5000948000000002E-2</v>
      </c>
      <c r="I3865" s="26"/>
      <c r="J3865" s="26" t="s">
        <v>521</v>
      </c>
      <c r="K3865" s="25" t="s">
        <v>513</v>
      </c>
    </row>
    <row r="3866" spans="1:11" ht="25.5" x14ac:dyDescent="0.25">
      <c r="A3866" s="22">
        <v>2026</v>
      </c>
      <c r="B3866" s="28" t="s">
        <v>203</v>
      </c>
      <c r="C3866" s="28" t="s">
        <v>97</v>
      </c>
      <c r="D3866" s="28" t="s">
        <v>269</v>
      </c>
      <c r="E3866" s="29" t="s">
        <v>491</v>
      </c>
      <c r="F3866" s="29" t="s">
        <v>378</v>
      </c>
      <c r="G3866" s="25" t="s">
        <v>5586</v>
      </c>
      <c r="H3866" s="26">
        <v>-9.7599999999999996E-3</v>
      </c>
      <c r="I3866" s="26"/>
      <c r="J3866" s="26" t="s">
        <v>514</v>
      </c>
      <c r="K3866" s="25" t="s">
        <v>1768</v>
      </c>
    </row>
    <row r="3867" spans="1:11" ht="25.5" x14ac:dyDescent="0.25">
      <c r="A3867" s="22">
        <v>2026</v>
      </c>
      <c r="B3867" s="28" t="s">
        <v>203</v>
      </c>
      <c r="C3867" s="28" t="s">
        <v>97</v>
      </c>
      <c r="D3867" s="28" t="s">
        <v>269</v>
      </c>
      <c r="E3867" s="29" t="s">
        <v>491</v>
      </c>
      <c r="F3867" s="29" t="s">
        <v>378</v>
      </c>
      <c r="G3867" s="25" t="s">
        <v>5587</v>
      </c>
      <c r="H3867" s="26">
        <v>-0.19844000000000001</v>
      </c>
      <c r="I3867" s="26"/>
      <c r="J3867" s="26" t="s">
        <v>514</v>
      </c>
      <c r="K3867" s="25" t="s">
        <v>1768</v>
      </c>
    </row>
    <row r="3868" spans="1:11" ht="25.5" x14ac:dyDescent="0.25">
      <c r="A3868" s="22">
        <v>2026</v>
      </c>
      <c r="B3868" s="28" t="s">
        <v>203</v>
      </c>
      <c r="C3868" s="28" t="s">
        <v>97</v>
      </c>
      <c r="D3868" s="28" t="s">
        <v>269</v>
      </c>
      <c r="E3868" s="29" t="s">
        <v>491</v>
      </c>
      <c r="F3868" s="29" t="s">
        <v>378</v>
      </c>
      <c r="G3868" s="25" t="s">
        <v>5588</v>
      </c>
      <c r="H3868" s="26">
        <v>-7.6274999999999996E-2</v>
      </c>
      <c r="I3868" s="26"/>
      <c r="J3868" s="26" t="s">
        <v>514</v>
      </c>
      <c r="K3868" s="25" t="s">
        <v>1768</v>
      </c>
    </row>
    <row r="3869" spans="1:11" ht="25.5" x14ac:dyDescent="0.25">
      <c r="A3869" s="22">
        <v>2026</v>
      </c>
      <c r="B3869" s="28" t="s">
        <v>203</v>
      </c>
      <c r="C3869" s="28" t="s">
        <v>97</v>
      </c>
      <c r="D3869" s="28" t="s">
        <v>269</v>
      </c>
      <c r="E3869" s="29" t="s">
        <v>491</v>
      </c>
      <c r="F3869" s="29" t="s">
        <v>378</v>
      </c>
      <c r="G3869" s="25" t="s">
        <v>5589</v>
      </c>
      <c r="H3869" s="26">
        <v>-0.12792500000000001</v>
      </c>
      <c r="I3869" s="26"/>
      <c r="J3869" s="26" t="s">
        <v>514</v>
      </c>
      <c r="K3869" s="25" t="s">
        <v>1768</v>
      </c>
    </row>
    <row r="3870" spans="1:11" ht="25.5" x14ac:dyDescent="0.25">
      <c r="A3870" s="22">
        <v>2026</v>
      </c>
      <c r="B3870" s="28" t="s">
        <v>203</v>
      </c>
      <c r="C3870" s="28" t="s">
        <v>97</v>
      </c>
      <c r="D3870" s="28" t="s">
        <v>269</v>
      </c>
      <c r="E3870" s="29" t="s">
        <v>491</v>
      </c>
      <c r="F3870" s="29" t="s">
        <v>378</v>
      </c>
      <c r="G3870" s="25" t="s">
        <v>5590</v>
      </c>
      <c r="H3870" s="26">
        <v>-0.13008749999999999</v>
      </c>
      <c r="I3870" s="26"/>
      <c r="J3870" s="26" t="s">
        <v>514</v>
      </c>
      <c r="K3870" s="25" t="s">
        <v>1768</v>
      </c>
    </row>
    <row r="3871" spans="1:11" ht="25.5" x14ac:dyDescent="0.25">
      <c r="A3871" s="22">
        <v>2026</v>
      </c>
      <c r="B3871" s="28" t="s">
        <v>203</v>
      </c>
      <c r="C3871" s="28" t="s">
        <v>97</v>
      </c>
      <c r="D3871" s="28" t="s">
        <v>269</v>
      </c>
      <c r="E3871" s="29" t="s">
        <v>491</v>
      </c>
      <c r="F3871" s="29" t="s">
        <v>378</v>
      </c>
      <c r="G3871" s="25" t="s">
        <v>5591</v>
      </c>
      <c r="H3871" s="26">
        <v>-0.20926</v>
      </c>
      <c r="I3871" s="26"/>
      <c r="J3871" s="26" t="s">
        <v>514</v>
      </c>
      <c r="K3871" s="25" t="s">
        <v>1768</v>
      </c>
    </row>
    <row r="3872" spans="1:11" ht="25.5" x14ac:dyDescent="0.25">
      <c r="A3872" s="22">
        <v>2026</v>
      </c>
      <c r="B3872" s="28" t="s">
        <v>203</v>
      </c>
      <c r="C3872" s="28" t="s">
        <v>97</v>
      </c>
      <c r="D3872" s="28" t="s">
        <v>269</v>
      </c>
      <c r="E3872" s="29" t="s">
        <v>491</v>
      </c>
      <c r="F3872" s="29" t="s">
        <v>378</v>
      </c>
      <c r="G3872" s="25" t="s">
        <v>5592</v>
      </c>
      <c r="H3872" s="26">
        <v>-0.10491999999999999</v>
      </c>
      <c r="I3872" s="26"/>
      <c r="J3872" s="26" t="s">
        <v>514</v>
      </c>
      <c r="K3872" s="25" t="s">
        <v>1768</v>
      </c>
    </row>
    <row r="3873" spans="1:11" ht="25.5" x14ac:dyDescent="0.25">
      <c r="A3873" s="22">
        <v>2026</v>
      </c>
      <c r="B3873" s="28" t="s">
        <v>203</v>
      </c>
      <c r="C3873" s="28" t="s">
        <v>97</v>
      </c>
      <c r="D3873" s="28" t="s">
        <v>269</v>
      </c>
      <c r="E3873" s="29" t="s">
        <v>491</v>
      </c>
      <c r="F3873" s="29" t="s">
        <v>378</v>
      </c>
      <c r="G3873" s="25" t="s">
        <v>5593</v>
      </c>
      <c r="H3873" s="26">
        <v>-0.27570375000000003</v>
      </c>
      <c r="I3873" s="26"/>
      <c r="J3873" s="26" t="s">
        <v>514</v>
      </c>
      <c r="K3873" s="25" t="s">
        <v>1768</v>
      </c>
    </row>
    <row r="3874" spans="1:11" ht="25.5" x14ac:dyDescent="0.25">
      <c r="A3874" s="22">
        <v>2026</v>
      </c>
      <c r="B3874" s="28" t="s">
        <v>203</v>
      </c>
      <c r="C3874" s="28" t="s">
        <v>97</v>
      </c>
      <c r="D3874" s="28" t="s">
        <v>269</v>
      </c>
      <c r="E3874" s="29" t="s">
        <v>491</v>
      </c>
      <c r="F3874" s="29" t="s">
        <v>378</v>
      </c>
      <c r="G3874" s="25" t="s">
        <v>5594</v>
      </c>
      <c r="H3874" s="26">
        <v>-0.1986973725</v>
      </c>
      <c r="I3874" s="26"/>
      <c r="J3874" s="26" t="s">
        <v>514</v>
      </c>
      <c r="K3874" s="25" t="s">
        <v>1768</v>
      </c>
    </row>
    <row r="3875" spans="1:11" ht="25.5" x14ac:dyDescent="0.25">
      <c r="A3875" s="22">
        <v>2026</v>
      </c>
      <c r="B3875" s="28" t="s">
        <v>203</v>
      </c>
      <c r="C3875" s="28" t="s">
        <v>97</v>
      </c>
      <c r="D3875" s="28" t="s">
        <v>269</v>
      </c>
      <c r="E3875" s="29" t="s">
        <v>491</v>
      </c>
      <c r="F3875" s="29" t="s">
        <v>378</v>
      </c>
      <c r="G3875" s="25" t="s">
        <v>5595</v>
      </c>
      <c r="H3875" s="26">
        <v>-0.18343499999999999</v>
      </c>
      <c r="I3875" s="26"/>
      <c r="J3875" s="26" t="s">
        <v>514</v>
      </c>
      <c r="K3875" s="25" t="s">
        <v>1768</v>
      </c>
    </row>
    <row r="3876" spans="1:11" ht="25.5" x14ac:dyDescent="0.25">
      <c r="A3876" s="22">
        <v>2026</v>
      </c>
      <c r="B3876" s="28" t="s">
        <v>203</v>
      </c>
      <c r="C3876" s="28" t="s">
        <v>97</v>
      </c>
      <c r="D3876" s="28" t="s">
        <v>269</v>
      </c>
      <c r="E3876" s="29" t="s">
        <v>491</v>
      </c>
      <c r="F3876" s="29" t="s">
        <v>378</v>
      </c>
      <c r="G3876" s="25" t="s">
        <v>5596</v>
      </c>
      <c r="H3876" s="26">
        <v>-1.0537000000000001</v>
      </c>
      <c r="I3876" s="26"/>
      <c r="J3876" s="26" t="s">
        <v>514</v>
      </c>
      <c r="K3876" s="25" t="s">
        <v>1768</v>
      </c>
    </row>
    <row r="3877" spans="1:11" ht="25.5" x14ac:dyDescent="0.25">
      <c r="A3877" s="22">
        <v>2026</v>
      </c>
      <c r="B3877" s="28" t="s">
        <v>203</v>
      </c>
      <c r="C3877" s="28" t="s">
        <v>97</v>
      </c>
      <c r="D3877" s="28" t="s">
        <v>269</v>
      </c>
      <c r="E3877" s="29" t="s">
        <v>491</v>
      </c>
      <c r="F3877" s="29" t="s">
        <v>378</v>
      </c>
      <c r="G3877" s="25" t="s">
        <v>5597</v>
      </c>
      <c r="H3877" s="26">
        <v>-0.65743750000000001</v>
      </c>
      <c r="I3877" s="26"/>
      <c r="J3877" s="26" t="s">
        <v>514</v>
      </c>
      <c r="K3877" s="25" t="s">
        <v>1768</v>
      </c>
    </row>
    <row r="3878" spans="1:11" ht="25.5" x14ac:dyDescent="0.25">
      <c r="A3878" s="22">
        <v>2026</v>
      </c>
      <c r="B3878" s="28" t="s">
        <v>203</v>
      </c>
      <c r="C3878" s="28" t="s">
        <v>97</v>
      </c>
      <c r="D3878" s="28" t="s">
        <v>269</v>
      </c>
      <c r="E3878" s="29" t="s">
        <v>491</v>
      </c>
      <c r="F3878" s="29" t="s">
        <v>378</v>
      </c>
      <c r="G3878" s="25" t="s">
        <v>5598</v>
      </c>
      <c r="H3878" s="26">
        <v>-0.42191058029999995</v>
      </c>
      <c r="I3878" s="26"/>
      <c r="J3878" s="26" t="s">
        <v>514</v>
      </c>
      <c r="K3878" s="25" t="s">
        <v>1768</v>
      </c>
    </row>
    <row r="3879" spans="1:11" ht="25.5" x14ac:dyDescent="0.25">
      <c r="A3879" s="22">
        <v>2026</v>
      </c>
      <c r="B3879" s="28" t="s">
        <v>203</v>
      </c>
      <c r="C3879" s="28" t="s">
        <v>97</v>
      </c>
      <c r="D3879" s="28" t="s">
        <v>1724</v>
      </c>
      <c r="E3879" s="29" t="s">
        <v>1769</v>
      </c>
      <c r="F3879" s="29" t="s">
        <v>282</v>
      </c>
      <c r="G3879" s="25" t="s">
        <v>5599</v>
      </c>
      <c r="H3879" s="26">
        <v>-0.45071281662208673</v>
      </c>
      <c r="I3879" s="26"/>
      <c r="J3879" s="26" t="s">
        <v>1770</v>
      </c>
      <c r="K3879" s="25" t="s">
        <v>1771</v>
      </c>
    </row>
    <row r="3880" spans="1:11" ht="25.5" x14ac:dyDescent="0.25">
      <c r="A3880" s="22">
        <v>2026</v>
      </c>
      <c r="B3880" s="28" t="s">
        <v>203</v>
      </c>
      <c r="C3880" s="28" t="s">
        <v>97</v>
      </c>
      <c r="D3880" s="28" t="s">
        <v>1724</v>
      </c>
      <c r="E3880" s="29" t="s">
        <v>1769</v>
      </c>
      <c r="F3880" s="29" t="s">
        <v>282</v>
      </c>
      <c r="G3880" s="25" t="s">
        <v>5600</v>
      </c>
      <c r="H3880" s="26">
        <v>-0.4069707058807247</v>
      </c>
      <c r="I3880" s="26"/>
      <c r="J3880" s="26" t="s">
        <v>1770</v>
      </c>
      <c r="K3880" s="25" t="s">
        <v>1771</v>
      </c>
    </row>
    <row r="3881" spans="1:11" ht="25.5" x14ac:dyDescent="0.25">
      <c r="A3881" s="22">
        <v>2026</v>
      </c>
      <c r="B3881" s="28" t="s">
        <v>203</v>
      </c>
      <c r="C3881" s="28" t="s">
        <v>97</v>
      </c>
      <c r="D3881" s="28" t="s">
        <v>1724</v>
      </c>
      <c r="E3881" s="29" t="s">
        <v>1769</v>
      </c>
      <c r="F3881" s="29" t="s">
        <v>282</v>
      </c>
      <c r="G3881" s="25" t="s">
        <v>5601</v>
      </c>
      <c r="H3881" s="26">
        <v>-0.3330315678177202</v>
      </c>
      <c r="I3881" s="26"/>
      <c r="J3881" s="26" t="s">
        <v>1770</v>
      </c>
      <c r="K3881" s="25" t="s">
        <v>1771</v>
      </c>
    </row>
    <row r="3882" spans="1:11" ht="25.5" x14ac:dyDescent="0.25">
      <c r="A3882" s="22">
        <v>2026</v>
      </c>
      <c r="B3882" s="28" t="s">
        <v>203</v>
      </c>
      <c r="C3882" s="28" t="s">
        <v>97</v>
      </c>
      <c r="D3882" s="28" t="s">
        <v>1724</v>
      </c>
      <c r="E3882" s="29" t="s">
        <v>1769</v>
      </c>
      <c r="F3882" s="29" t="s">
        <v>282</v>
      </c>
      <c r="G3882" s="25" t="s">
        <v>5602</v>
      </c>
      <c r="H3882" s="26">
        <v>-0.20195451111752943</v>
      </c>
      <c r="I3882" s="26"/>
      <c r="J3882" s="26" t="s">
        <v>1770</v>
      </c>
      <c r="K3882" s="25" t="s">
        <v>1771</v>
      </c>
    </row>
    <row r="3883" spans="1:11" ht="25.5" x14ac:dyDescent="0.25">
      <c r="A3883" s="22">
        <v>2026</v>
      </c>
      <c r="B3883" s="28" t="s">
        <v>203</v>
      </c>
      <c r="C3883" s="28" t="s">
        <v>97</v>
      </c>
      <c r="D3883" s="28" t="s">
        <v>1724</v>
      </c>
      <c r="E3883" s="29" t="s">
        <v>1769</v>
      </c>
      <c r="F3883" s="29" t="s">
        <v>282</v>
      </c>
      <c r="G3883" s="25" t="s">
        <v>5603</v>
      </c>
      <c r="H3883" s="26">
        <v>-0.38776858148820215</v>
      </c>
      <c r="I3883" s="26"/>
      <c r="J3883" s="26" t="s">
        <v>1770</v>
      </c>
      <c r="K3883" s="25" t="s">
        <v>1771</v>
      </c>
    </row>
    <row r="3884" spans="1:11" ht="25.5" x14ac:dyDescent="0.25">
      <c r="A3884" s="22">
        <v>2026</v>
      </c>
      <c r="B3884" s="28" t="s">
        <v>203</v>
      </c>
      <c r="C3884" s="28" t="s">
        <v>97</v>
      </c>
      <c r="D3884" s="28" t="s">
        <v>1724</v>
      </c>
      <c r="E3884" s="29" t="s">
        <v>1769</v>
      </c>
      <c r="F3884" s="29" t="s">
        <v>282</v>
      </c>
      <c r="G3884" s="25" t="s">
        <v>5604</v>
      </c>
      <c r="H3884" s="26">
        <v>-0.33903829855472734</v>
      </c>
      <c r="I3884" s="26"/>
      <c r="J3884" s="26" t="s">
        <v>1770</v>
      </c>
      <c r="K3884" s="25" t="s">
        <v>1771</v>
      </c>
    </row>
    <row r="3885" spans="1:11" ht="25.5" x14ac:dyDescent="0.25">
      <c r="A3885" s="22">
        <v>2026</v>
      </c>
      <c r="B3885" s="28" t="s">
        <v>203</v>
      </c>
      <c r="C3885" s="28" t="s">
        <v>97</v>
      </c>
      <c r="D3885" s="28" t="s">
        <v>1724</v>
      </c>
      <c r="E3885" s="29" t="s">
        <v>1769</v>
      </c>
      <c r="F3885" s="29" t="s">
        <v>282</v>
      </c>
      <c r="G3885" s="25" t="s">
        <v>5605</v>
      </c>
      <c r="H3885" s="26">
        <v>-0.2400670366660215</v>
      </c>
      <c r="I3885" s="26"/>
      <c r="J3885" s="26" t="s">
        <v>1770</v>
      </c>
      <c r="K3885" s="25" t="s">
        <v>1771</v>
      </c>
    </row>
    <row r="3886" spans="1:11" ht="25.5" x14ac:dyDescent="0.25">
      <c r="A3886" s="22">
        <v>2026</v>
      </c>
      <c r="B3886" s="28" t="s">
        <v>203</v>
      </c>
      <c r="C3886" s="28" t="s">
        <v>97</v>
      </c>
      <c r="D3886" s="28" t="s">
        <v>1724</v>
      </c>
      <c r="E3886" s="29" t="s">
        <v>1769</v>
      </c>
      <c r="F3886" s="29" t="s">
        <v>282</v>
      </c>
      <c r="G3886" s="25" t="s">
        <v>5606</v>
      </c>
      <c r="H3886" s="26">
        <v>-0.33219604001169073</v>
      </c>
      <c r="I3886" s="26"/>
      <c r="J3886" s="26" t="s">
        <v>1770</v>
      </c>
      <c r="K3886" s="25" t="s">
        <v>1771</v>
      </c>
    </row>
    <row r="3887" spans="1:11" ht="25.5" x14ac:dyDescent="0.25">
      <c r="A3887" s="22">
        <v>2026</v>
      </c>
      <c r="B3887" s="28" t="s">
        <v>203</v>
      </c>
      <c r="C3887" s="28" t="s">
        <v>97</v>
      </c>
      <c r="D3887" s="28" t="s">
        <v>1724</v>
      </c>
      <c r="E3887" s="29" t="s">
        <v>1769</v>
      </c>
      <c r="F3887" s="29" t="s">
        <v>282</v>
      </c>
      <c r="G3887" s="25" t="s">
        <v>5607</v>
      </c>
      <c r="H3887" s="26">
        <v>-0.25433286666431493</v>
      </c>
      <c r="I3887" s="26"/>
      <c r="J3887" s="26" t="s">
        <v>1770</v>
      </c>
      <c r="K3887" s="25" t="s">
        <v>1771</v>
      </c>
    </row>
    <row r="3888" spans="1:11" ht="25.5" x14ac:dyDescent="0.25">
      <c r="A3888" s="22">
        <v>2026</v>
      </c>
      <c r="B3888" s="28" t="s">
        <v>203</v>
      </c>
      <c r="C3888" s="28" t="s">
        <v>97</v>
      </c>
      <c r="D3888" s="28" t="s">
        <v>1724</v>
      </c>
      <c r="E3888" s="29" t="s">
        <v>1769</v>
      </c>
      <c r="F3888" s="29" t="s">
        <v>282</v>
      </c>
      <c r="G3888" s="25" t="s">
        <v>5608</v>
      </c>
      <c r="H3888" s="26">
        <v>-0.35276696548613923</v>
      </c>
      <c r="I3888" s="26"/>
      <c r="J3888" s="26" t="s">
        <v>1770</v>
      </c>
      <c r="K3888" s="25" t="s">
        <v>1771</v>
      </c>
    </row>
    <row r="3889" spans="1:11" ht="25.5" x14ac:dyDescent="0.25">
      <c r="A3889" s="22">
        <v>2026</v>
      </c>
      <c r="B3889" s="28" t="s">
        <v>203</v>
      </c>
      <c r="C3889" s="28" t="s">
        <v>97</v>
      </c>
      <c r="D3889" s="28" t="s">
        <v>1724</v>
      </c>
      <c r="E3889" s="29" t="s">
        <v>1769</v>
      </c>
      <c r="F3889" s="29" t="s">
        <v>282</v>
      </c>
      <c r="G3889" s="25" t="s">
        <v>5609</v>
      </c>
      <c r="H3889" s="26">
        <v>-0.33725367736639372</v>
      </c>
      <c r="I3889" s="26"/>
      <c r="J3889" s="26" t="s">
        <v>1770</v>
      </c>
      <c r="K3889" s="25" t="s">
        <v>1771</v>
      </c>
    </row>
    <row r="3890" spans="1:11" ht="25.5" x14ac:dyDescent="0.25">
      <c r="A3890" s="22">
        <v>2026</v>
      </c>
      <c r="B3890" s="28" t="s">
        <v>203</v>
      </c>
      <c r="C3890" s="28" t="s">
        <v>97</v>
      </c>
      <c r="D3890" s="28" t="s">
        <v>1724</v>
      </c>
      <c r="E3890" s="29" t="s">
        <v>1769</v>
      </c>
      <c r="F3890" s="29" t="s">
        <v>282</v>
      </c>
      <c r="G3890" s="25" t="s">
        <v>5610</v>
      </c>
      <c r="H3890" s="26">
        <v>-0.28830299248861091</v>
      </c>
      <c r="I3890" s="26"/>
      <c r="J3890" s="26" t="s">
        <v>1770</v>
      </c>
      <c r="K3890" s="25" t="s">
        <v>1771</v>
      </c>
    </row>
    <row r="3891" spans="1:11" ht="25.5" x14ac:dyDescent="0.25">
      <c r="A3891" s="22">
        <v>2026</v>
      </c>
      <c r="B3891" s="28" t="s">
        <v>203</v>
      </c>
      <c r="C3891" s="28" t="s">
        <v>97</v>
      </c>
      <c r="D3891" s="28" t="s">
        <v>1724</v>
      </c>
      <c r="E3891" s="29" t="s">
        <v>1769</v>
      </c>
      <c r="F3891" s="29" t="s">
        <v>282</v>
      </c>
      <c r="G3891" s="25" t="s">
        <v>5611</v>
      </c>
      <c r="H3891" s="26">
        <v>-0.32501073868731478</v>
      </c>
      <c r="I3891" s="26"/>
      <c r="J3891" s="26" t="s">
        <v>1770</v>
      </c>
      <c r="K3891" s="25" t="s">
        <v>1771</v>
      </c>
    </row>
    <row r="3892" spans="1:11" ht="25.5" x14ac:dyDescent="0.25">
      <c r="A3892" s="22">
        <v>2026</v>
      </c>
      <c r="B3892" s="28" t="s">
        <v>203</v>
      </c>
      <c r="C3892" s="28" t="s">
        <v>97</v>
      </c>
      <c r="D3892" s="28" t="s">
        <v>1724</v>
      </c>
      <c r="E3892" s="29" t="s">
        <v>1769</v>
      </c>
      <c r="F3892" s="29" t="s">
        <v>282</v>
      </c>
      <c r="G3892" s="25" t="s">
        <v>5612</v>
      </c>
      <c r="H3892" s="26">
        <v>-0.32191316979348444</v>
      </c>
      <c r="I3892" s="26"/>
      <c r="J3892" s="26" t="s">
        <v>1770</v>
      </c>
      <c r="K3892" s="25" t="s">
        <v>1771</v>
      </c>
    </row>
    <row r="3893" spans="1:11" ht="25.5" x14ac:dyDescent="0.25">
      <c r="A3893" s="22">
        <v>2026</v>
      </c>
      <c r="B3893" s="28" t="s">
        <v>203</v>
      </c>
      <c r="C3893" s="28" t="s">
        <v>97</v>
      </c>
      <c r="D3893" s="28" t="s">
        <v>1724</v>
      </c>
      <c r="E3893" s="29" t="s">
        <v>1769</v>
      </c>
      <c r="F3893" s="29" t="s">
        <v>282</v>
      </c>
      <c r="G3893" s="25" t="s">
        <v>5613</v>
      </c>
      <c r="H3893" s="26">
        <v>-0.32055239418178</v>
      </c>
      <c r="I3893" s="26"/>
      <c r="J3893" s="26" t="s">
        <v>1770</v>
      </c>
      <c r="K3893" s="25" t="s">
        <v>1771</v>
      </c>
    </row>
    <row r="3894" spans="1:11" ht="25.5" x14ac:dyDescent="0.25">
      <c r="A3894" s="22">
        <v>2026</v>
      </c>
      <c r="B3894" s="28" t="s">
        <v>203</v>
      </c>
      <c r="C3894" s="28" t="s">
        <v>97</v>
      </c>
      <c r="D3894" s="28" t="s">
        <v>1724</v>
      </c>
      <c r="E3894" s="29" t="s">
        <v>1769</v>
      </c>
      <c r="F3894" s="29" t="s">
        <v>282</v>
      </c>
      <c r="G3894" s="25" t="s">
        <v>5614</v>
      </c>
      <c r="H3894" s="26">
        <v>-0.31856009597391843</v>
      </c>
      <c r="I3894" s="26"/>
      <c r="J3894" s="26" t="s">
        <v>1770</v>
      </c>
      <c r="K3894" s="25" t="s">
        <v>1771</v>
      </c>
    </row>
    <row r="3895" spans="1:11" ht="25.5" x14ac:dyDescent="0.25">
      <c r="A3895" s="22">
        <v>2026</v>
      </c>
      <c r="B3895" s="28" t="s">
        <v>203</v>
      </c>
      <c r="C3895" s="28" t="s">
        <v>97</v>
      </c>
      <c r="D3895" s="28" t="s">
        <v>1724</v>
      </c>
      <c r="E3895" s="29" t="s">
        <v>1769</v>
      </c>
      <c r="F3895" s="29" t="s">
        <v>282</v>
      </c>
      <c r="G3895" s="25" t="s">
        <v>5615</v>
      </c>
      <c r="H3895" s="26">
        <v>-0.27353358273076683</v>
      </c>
      <c r="I3895" s="26"/>
      <c r="J3895" s="26" t="s">
        <v>1770</v>
      </c>
      <c r="K3895" s="25" t="s">
        <v>1771</v>
      </c>
    </row>
    <row r="3896" spans="1:11" ht="25.5" x14ac:dyDescent="0.25">
      <c r="A3896" s="22">
        <v>2026</v>
      </c>
      <c r="B3896" s="28" t="s">
        <v>203</v>
      </c>
      <c r="C3896" s="28" t="s">
        <v>97</v>
      </c>
      <c r="D3896" s="28" t="s">
        <v>1724</v>
      </c>
      <c r="E3896" s="29" t="s">
        <v>1769</v>
      </c>
      <c r="F3896" s="29" t="s">
        <v>282</v>
      </c>
      <c r="G3896" s="25" t="s">
        <v>5616</v>
      </c>
      <c r="H3896" s="26">
        <v>-0.29662036878790932</v>
      </c>
      <c r="I3896" s="26"/>
      <c r="J3896" s="26" t="s">
        <v>1770</v>
      </c>
      <c r="K3896" s="25" t="s">
        <v>1771</v>
      </c>
    </row>
    <row r="3897" spans="1:11" ht="25.5" x14ac:dyDescent="0.25">
      <c r="A3897" s="22">
        <v>2026</v>
      </c>
      <c r="B3897" s="28" t="s">
        <v>203</v>
      </c>
      <c r="C3897" s="28" t="s">
        <v>97</v>
      </c>
      <c r="D3897" s="28" t="s">
        <v>1724</v>
      </c>
      <c r="E3897" s="29" t="s">
        <v>1769</v>
      </c>
      <c r="F3897" s="29" t="s">
        <v>282</v>
      </c>
      <c r="G3897" s="25" t="s">
        <v>5617</v>
      </c>
      <c r="H3897" s="26">
        <v>-0.21559989447307795</v>
      </c>
      <c r="I3897" s="26"/>
      <c r="J3897" s="26" t="s">
        <v>1770</v>
      </c>
      <c r="K3897" s="25" t="s">
        <v>1771</v>
      </c>
    </row>
    <row r="3898" spans="1:11" ht="25.5" x14ac:dyDescent="0.25">
      <c r="A3898" s="22">
        <v>2026</v>
      </c>
      <c r="B3898" s="28" t="s">
        <v>203</v>
      </c>
      <c r="C3898" s="28" t="s">
        <v>97</v>
      </c>
      <c r="D3898" s="28" t="s">
        <v>1724</v>
      </c>
      <c r="E3898" s="29" t="s">
        <v>1769</v>
      </c>
      <c r="F3898" s="29" t="s">
        <v>282</v>
      </c>
      <c r="G3898" s="25" t="s">
        <v>5618</v>
      </c>
      <c r="H3898" s="26">
        <v>-0.28539930105689726</v>
      </c>
      <c r="I3898" s="26"/>
      <c r="J3898" s="26" t="s">
        <v>1770</v>
      </c>
      <c r="K3898" s="25" t="s">
        <v>1771</v>
      </c>
    </row>
    <row r="3899" spans="1:11" ht="25.5" x14ac:dyDescent="0.25">
      <c r="A3899" s="22">
        <v>2026</v>
      </c>
      <c r="B3899" s="28" t="s">
        <v>203</v>
      </c>
      <c r="C3899" s="28" t="s">
        <v>97</v>
      </c>
      <c r="D3899" s="28" t="s">
        <v>1725</v>
      </c>
      <c r="E3899" s="29" t="s">
        <v>1772</v>
      </c>
      <c r="F3899" s="29" t="s">
        <v>325</v>
      </c>
      <c r="G3899" s="25" t="s">
        <v>4362</v>
      </c>
      <c r="H3899" s="26">
        <v>-5.3999999999999999E-2</v>
      </c>
      <c r="I3899" s="26"/>
      <c r="J3899" s="26" t="s">
        <v>1773</v>
      </c>
      <c r="K3899" s="25" t="s">
        <v>513</v>
      </c>
    </row>
    <row r="3900" spans="1:11" ht="25.5" x14ac:dyDescent="0.25">
      <c r="A3900" s="22">
        <v>2026</v>
      </c>
      <c r="B3900" s="28" t="s">
        <v>203</v>
      </c>
      <c r="C3900" s="28" t="s">
        <v>97</v>
      </c>
      <c r="D3900" s="28" t="s">
        <v>1725</v>
      </c>
      <c r="E3900" s="29" t="s">
        <v>1772</v>
      </c>
      <c r="F3900" s="29" t="s">
        <v>325</v>
      </c>
      <c r="G3900" s="25" t="s">
        <v>5619</v>
      </c>
      <c r="H3900" s="26">
        <v>-7.9949999999999993E-2</v>
      </c>
      <c r="I3900" s="26"/>
      <c r="J3900" s="26" t="s">
        <v>1773</v>
      </c>
      <c r="K3900" s="25" t="s">
        <v>513</v>
      </c>
    </row>
    <row r="3901" spans="1:11" ht="25.5" x14ac:dyDescent="0.25">
      <c r="A3901" s="22">
        <v>2026</v>
      </c>
      <c r="B3901" s="28" t="s">
        <v>203</v>
      </c>
      <c r="C3901" s="28" t="s">
        <v>97</v>
      </c>
      <c r="D3901" s="28" t="s">
        <v>1725</v>
      </c>
      <c r="E3901" s="29" t="s">
        <v>1772</v>
      </c>
      <c r="F3901" s="29" t="s">
        <v>325</v>
      </c>
      <c r="G3901" s="25" t="s">
        <v>5620</v>
      </c>
      <c r="H3901" s="26">
        <v>-7.9799999999999996E-2</v>
      </c>
      <c r="I3901" s="26"/>
      <c r="J3901" s="26" t="s">
        <v>1773</v>
      </c>
      <c r="K3901" s="25" t="s">
        <v>513</v>
      </c>
    </row>
    <row r="3902" spans="1:11" ht="25.5" x14ac:dyDescent="0.25">
      <c r="A3902" s="22">
        <v>2026</v>
      </c>
      <c r="B3902" s="28" t="s">
        <v>203</v>
      </c>
      <c r="C3902" s="28" t="s">
        <v>97</v>
      </c>
      <c r="D3902" s="28" t="s">
        <v>1725</v>
      </c>
      <c r="E3902" s="29" t="s">
        <v>1772</v>
      </c>
      <c r="F3902" s="29" t="s">
        <v>325</v>
      </c>
      <c r="G3902" s="25" t="s">
        <v>4361</v>
      </c>
      <c r="H3902" s="26">
        <v>-8.1900000000000001E-2</v>
      </c>
      <c r="I3902" s="26"/>
      <c r="J3902" s="26" t="s">
        <v>1773</v>
      </c>
      <c r="K3902" s="25" t="s">
        <v>513</v>
      </c>
    </row>
    <row r="3903" spans="1:11" ht="25.5" x14ac:dyDescent="0.25">
      <c r="A3903" s="22">
        <v>2026</v>
      </c>
      <c r="B3903" s="28" t="s">
        <v>203</v>
      </c>
      <c r="C3903" s="28" t="s">
        <v>97</v>
      </c>
      <c r="D3903" s="28" t="s">
        <v>1725</v>
      </c>
      <c r="E3903" s="29" t="s">
        <v>1772</v>
      </c>
      <c r="F3903" s="29" t="s">
        <v>325</v>
      </c>
      <c r="G3903" s="25" t="s">
        <v>5621</v>
      </c>
      <c r="H3903" s="26">
        <v>-8.1000000000000003E-2</v>
      </c>
      <c r="I3903" s="26"/>
      <c r="J3903" s="26" t="s">
        <v>1773</v>
      </c>
      <c r="K3903" s="25" t="s">
        <v>513</v>
      </c>
    </row>
    <row r="3904" spans="1:11" ht="25.5" x14ac:dyDescent="0.25">
      <c r="A3904" s="22">
        <v>2026</v>
      </c>
      <c r="B3904" s="28" t="s">
        <v>203</v>
      </c>
      <c r="C3904" s="28" t="s">
        <v>97</v>
      </c>
      <c r="D3904" s="28" t="s">
        <v>1725</v>
      </c>
      <c r="E3904" s="29" t="s">
        <v>1772</v>
      </c>
      <c r="F3904" s="29" t="s">
        <v>325</v>
      </c>
      <c r="G3904" s="25" t="s">
        <v>5622</v>
      </c>
      <c r="H3904" s="26">
        <v>-0.13700000000000001</v>
      </c>
      <c r="I3904" s="26"/>
      <c r="J3904" s="26" t="s">
        <v>1773</v>
      </c>
      <c r="K3904" s="25" t="s">
        <v>513</v>
      </c>
    </row>
    <row r="3905" spans="1:11" ht="25.5" x14ac:dyDescent="0.25">
      <c r="A3905" s="22">
        <v>2026</v>
      </c>
      <c r="B3905" s="28" t="s">
        <v>203</v>
      </c>
      <c r="C3905" s="28" t="s">
        <v>97</v>
      </c>
      <c r="D3905" s="28" t="s">
        <v>1725</v>
      </c>
      <c r="E3905" s="29" t="s">
        <v>1772</v>
      </c>
      <c r="F3905" s="29" t="s">
        <v>325</v>
      </c>
      <c r="G3905" s="25" t="s">
        <v>5623</v>
      </c>
      <c r="H3905" s="26">
        <v>-8.2500000000000004E-2</v>
      </c>
      <c r="I3905" s="26"/>
      <c r="J3905" s="26" t="s">
        <v>1773</v>
      </c>
      <c r="K3905" s="25" t="s">
        <v>513</v>
      </c>
    </row>
    <row r="3906" spans="1:11" ht="25.5" x14ac:dyDescent="0.25">
      <c r="A3906" s="22">
        <v>2026</v>
      </c>
      <c r="B3906" s="28" t="s">
        <v>203</v>
      </c>
      <c r="C3906" s="28" t="s">
        <v>97</v>
      </c>
      <c r="D3906" s="28" t="s">
        <v>1725</v>
      </c>
      <c r="E3906" s="29" t="s">
        <v>1772</v>
      </c>
      <c r="F3906" s="29" t="s">
        <v>325</v>
      </c>
      <c r="G3906" s="25" t="s">
        <v>5624</v>
      </c>
      <c r="H3906" s="26">
        <v>-0.15822059999999999</v>
      </c>
      <c r="I3906" s="26"/>
      <c r="J3906" s="26" t="s">
        <v>1773</v>
      </c>
      <c r="K3906" s="25" t="s">
        <v>513</v>
      </c>
    </row>
    <row r="3907" spans="1:11" ht="25.5" x14ac:dyDescent="0.25">
      <c r="A3907" s="22">
        <v>2026</v>
      </c>
      <c r="B3907" s="28" t="s">
        <v>203</v>
      </c>
      <c r="C3907" s="28" t="s">
        <v>97</v>
      </c>
      <c r="D3907" s="28" t="s">
        <v>1725</v>
      </c>
      <c r="E3907" s="29" t="s">
        <v>1772</v>
      </c>
      <c r="F3907" s="29" t="s">
        <v>325</v>
      </c>
      <c r="G3907" s="25" t="s">
        <v>3665</v>
      </c>
      <c r="H3907" s="26">
        <v>-8.3400000000000002E-2</v>
      </c>
      <c r="I3907" s="26"/>
      <c r="J3907" s="26" t="s">
        <v>1773</v>
      </c>
      <c r="K3907" s="25" t="s">
        <v>513</v>
      </c>
    </row>
    <row r="3908" spans="1:11" ht="25.5" x14ac:dyDescent="0.25">
      <c r="A3908" s="22">
        <v>2026</v>
      </c>
      <c r="B3908" s="28" t="s">
        <v>203</v>
      </c>
      <c r="C3908" s="28" t="s">
        <v>97</v>
      </c>
      <c r="D3908" s="28" t="s">
        <v>272</v>
      </c>
      <c r="E3908" s="29" t="s">
        <v>500</v>
      </c>
      <c r="F3908" s="29" t="s">
        <v>284</v>
      </c>
      <c r="G3908" s="25" t="s">
        <v>5625</v>
      </c>
      <c r="H3908" s="26">
        <v>-0.61177380000000003</v>
      </c>
      <c r="I3908" s="26"/>
      <c r="J3908" s="26" t="s">
        <v>514</v>
      </c>
      <c r="K3908" s="25" t="s">
        <v>513</v>
      </c>
    </row>
    <row r="3909" spans="1:11" ht="25.5" x14ac:dyDescent="0.25">
      <c r="A3909" s="22">
        <v>2026</v>
      </c>
      <c r="B3909" s="28" t="s">
        <v>203</v>
      </c>
      <c r="C3909" s="28" t="s">
        <v>97</v>
      </c>
      <c r="D3909" s="28" t="s">
        <v>272</v>
      </c>
      <c r="E3909" s="29" t="s">
        <v>500</v>
      </c>
      <c r="F3909" s="29" t="s">
        <v>284</v>
      </c>
      <c r="G3909" s="25" t="s">
        <v>5626</v>
      </c>
      <c r="H3909" s="26">
        <v>-0.90415559999999995</v>
      </c>
      <c r="I3909" s="26"/>
      <c r="J3909" s="26" t="s">
        <v>514</v>
      </c>
      <c r="K3909" s="25" t="s">
        <v>513</v>
      </c>
    </row>
    <row r="3910" spans="1:11" ht="25.5" x14ac:dyDescent="0.25">
      <c r="A3910" s="22">
        <v>2026</v>
      </c>
      <c r="B3910" s="28" t="s">
        <v>203</v>
      </c>
      <c r="C3910" s="28" t="s">
        <v>97</v>
      </c>
      <c r="D3910" s="28" t="s">
        <v>272</v>
      </c>
      <c r="E3910" s="29" t="s">
        <v>500</v>
      </c>
      <c r="F3910" s="29" t="s">
        <v>284</v>
      </c>
      <c r="G3910" s="25" t="s">
        <v>5627</v>
      </c>
      <c r="H3910" s="26">
        <v>-0.91889429999999994</v>
      </c>
      <c r="I3910" s="26"/>
      <c r="J3910" s="26" t="s">
        <v>514</v>
      </c>
      <c r="K3910" s="25" t="s">
        <v>513</v>
      </c>
    </row>
    <row r="3911" spans="1:11" ht="25.5" x14ac:dyDescent="0.25">
      <c r="A3911" s="22">
        <v>2026</v>
      </c>
      <c r="B3911" s="28" t="s">
        <v>203</v>
      </c>
      <c r="C3911" s="28" t="s">
        <v>97</v>
      </c>
      <c r="D3911" s="28" t="s">
        <v>272</v>
      </c>
      <c r="E3911" s="29" t="s">
        <v>500</v>
      </c>
      <c r="F3911" s="29" t="s">
        <v>284</v>
      </c>
      <c r="G3911" s="25" t="s">
        <v>5628</v>
      </c>
      <c r="H3911" s="26">
        <v>-0.77075000000000005</v>
      </c>
      <c r="I3911" s="26"/>
      <c r="J3911" s="26" t="s">
        <v>514</v>
      </c>
      <c r="K3911" s="25" t="s">
        <v>513</v>
      </c>
    </row>
    <row r="3912" spans="1:11" ht="25.5" x14ac:dyDescent="0.25">
      <c r="A3912" s="22">
        <v>2026</v>
      </c>
      <c r="B3912" s="28" t="s">
        <v>203</v>
      </c>
      <c r="C3912" s="28" t="s">
        <v>97</v>
      </c>
      <c r="D3912" s="28" t="s">
        <v>272</v>
      </c>
      <c r="E3912" s="29" t="s">
        <v>500</v>
      </c>
      <c r="F3912" s="29" t="s">
        <v>284</v>
      </c>
      <c r="G3912" s="25" t="s">
        <v>5629</v>
      </c>
      <c r="H3912" s="26">
        <v>-0.60660000000000003</v>
      </c>
      <c r="I3912" s="26"/>
      <c r="J3912" s="26" t="s">
        <v>514</v>
      </c>
      <c r="K3912" s="25" t="s">
        <v>513</v>
      </c>
    </row>
    <row r="3913" spans="1:11" ht="25.5" x14ac:dyDescent="0.25">
      <c r="A3913" s="22">
        <v>2026</v>
      </c>
      <c r="B3913" s="28" t="s">
        <v>203</v>
      </c>
      <c r="C3913" s="28" t="s">
        <v>97</v>
      </c>
      <c r="D3913" s="28" t="s">
        <v>272</v>
      </c>
      <c r="E3913" s="29" t="s">
        <v>500</v>
      </c>
      <c r="F3913" s="29" t="s">
        <v>284</v>
      </c>
      <c r="G3913" s="25" t="s">
        <v>5630</v>
      </c>
      <c r="H3913" s="26">
        <v>-0.91493730000000006</v>
      </c>
      <c r="I3913" s="26"/>
      <c r="J3913" s="26" t="s">
        <v>514</v>
      </c>
      <c r="K3913" s="25" t="s">
        <v>513</v>
      </c>
    </row>
    <row r="3914" spans="1:11" ht="25.5" x14ac:dyDescent="0.25">
      <c r="A3914" s="22">
        <v>2026</v>
      </c>
      <c r="B3914" s="28" t="s">
        <v>203</v>
      </c>
      <c r="C3914" s="28" t="s">
        <v>97</v>
      </c>
      <c r="D3914" s="28" t="s">
        <v>272</v>
      </c>
      <c r="E3914" s="29" t="s">
        <v>500</v>
      </c>
      <c r="F3914" s="29" t="s">
        <v>284</v>
      </c>
      <c r="G3914" s="25" t="s">
        <v>5631</v>
      </c>
      <c r="H3914" s="26">
        <v>-0.9083543999999999</v>
      </c>
      <c r="I3914" s="26"/>
      <c r="J3914" s="26" t="s">
        <v>514</v>
      </c>
      <c r="K3914" s="25" t="s">
        <v>513</v>
      </c>
    </row>
    <row r="3915" spans="1:11" ht="25.5" x14ac:dyDescent="0.25">
      <c r="A3915" s="22">
        <v>2026</v>
      </c>
      <c r="B3915" s="28" t="s">
        <v>203</v>
      </c>
      <c r="C3915" s="28" t="s">
        <v>97</v>
      </c>
      <c r="D3915" s="28" t="s">
        <v>272</v>
      </c>
      <c r="E3915" s="29" t="s">
        <v>500</v>
      </c>
      <c r="F3915" s="29" t="s">
        <v>284</v>
      </c>
      <c r="G3915" s="25" t="s">
        <v>5632</v>
      </c>
      <c r="H3915" s="26">
        <v>-1.5626660000000001</v>
      </c>
      <c r="I3915" s="26"/>
      <c r="J3915" s="26" t="s">
        <v>514</v>
      </c>
      <c r="K3915" s="25" t="s">
        <v>513</v>
      </c>
    </row>
    <row r="3916" spans="1:11" ht="25.5" x14ac:dyDescent="0.25">
      <c r="A3916" s="22">
        <v>2026</v>
      </c>
      <c r="B3916" s="28" t="s">
        <v>203</v>
      </c>
      <c r="C3916" s="28" t="s">
        <v>97</v>
      </c>
      <c r="D3916" s="28" t="s">
        <v>272</v>
      </c>
      <c r="E3916" s="29" t="s">
        <v>500</v>
      </c>
      <c r="F3916" s="29" t="s">
        <v>284</v>
      </c>
      <c r="G3916" s="25" t="s">
        <v>5633</v>
      </c>
      <c r="H3916" s="26">
        <v>-1.590435</v>
      </c>
      <c r="I3916" s="26"/>
      <c r="J3916" s="26" t="s">
        <v>514</v>
      </c>
      <c r="K3916" s="25" t="s">
        <v>513</v>
      </c>
    </row>
    <row r="3917" spans="1:11" ht="25.5" x14ac:dyDescent="0.25">
      <c r="A3917" s="22">
        <v>2026</v>
      </c>
      <c r="B3917" s="28" t="s">
        <v>203</v>
      </c>
      <c r="C3917" s="28" t="s">
        <v>97</v>
      </c>
      <c r="D3917" s="28" t="s">
        <v>272</v>
      </c>
      <c r="E3917" s="29" t="s">
        <v>500</v>
      </c>
      <c r="F3917" s="29" t="s">
        <v>284</v>
      </c>
      <c r="G3917" s="25" t="s">
        <v>5634</v>
      </c>
      <c r="H3917" s="26">
        <v>-1.587018</v>
      </c>
      <c r="I3917" s="26"/>
      <c r="J3917" s="26" t="s">
        <v>514</v>
      </c>
      <c r="K3917" s="25" t="s">
        <v>513</v>
      </c>
    </row>
    <row r="3918" spans="1:11" ht="25.5" x14ac:dyDescent="0.25">
      <c r="A3918" s="22">
        <v>2026</v>
      </c>
      <c r="B3918" s="28" t="s">
        <v>203</v>
      </c>
      <c r="C3918" s="28" t="s">
        <v>97</v>
      </c>
      <c r="D3918" s="28" t="s">
        <v>272</v>
      </c>
      <c r="E3918" s="29" t="s">
        <v>500</v>
      </c>
      <c r="F3918" s="29" t="s">
        <v>284</v>
      </c>
      <c r="G3918" s="25" t="s">
        <v>5635</v>
      </c>
      <c r="H3918" s="26">
        <v>-0.95474999999999999</v>
      </c>
      <c r="I3918" s="26"/>
      <c r="J3918" s="26" t="s">
        <v>514</v>
      </c>
      <c r="K3918" s="25" t="s">
        <v>513</v>
      </c>
    </row>
    <row r="3919" spans="1:11" ht="25.5" x14ac:dyDescent="0.25">
      <c r="A3919" s="22">
        <v>2026</v>
      </c>
      <c r="B3919" s="28" t="s">
        <v>203</v>
      </c>
      <c r="C3919" s="28" t="s">
        <v>97</v>
      </c>
      <c r="D3919" s="28" t="s">
        <v>272</v>
      </c>
      <c r="E3919" s="29" t="s">
        <v>500</v>
      </c>
      <c r="F3919" s="29" t="s">
        <v>284</v>
      </c>
      <c r="G3919" s="25" t="s">
        <v>5636</v>
      </c>
      <c r="H3919" s="26">
        <v>-0.94747049999999999</v>
      </c>
      <c r="I3919" s="26"/>
      <c r="J3919" s="26" t="s">
        <v>514</v>
      </c>
      <c r="K3919" s="25" t="s">
        <v>513</v>
      </c>
    </row>
    <row r="3920" spans="1:11" ht="25.5" x14ac:dyDescent="0.25">
      <c r="A3920" s="22">
        <v>2026</v>
      </c>
      <c r="B3920" s="28" t="s">
        <v>203</v>
      </c>
      <c r="C3920" s="28" t="s">
        <v>97</v>
      </c>
      <c r="D3920" s="28" t="s">
        <v>272</v>
      </c>
      <c r="E3920" s="29" t="s">
        <v>500</v>
      </c>
      <c r="F3920" s="29" t="s">
        <v>284</v>
      </c>
      <c r="G3920" s="25" t="s">
        <v>5637</v>
      </c>
      <c r="H3920" s="26">
        <v>-0.79600000000000004</v>
      </c>
      <c r="I3920" s="26"/>
      <c r="J3920" s="26" t="s">
        <v>514</v>
      </c>
      <c r="K3920" s="25" t="s">
        <v>513</v>
      </c>
    </row>
    <row r="3921" spans="1:11" ht="25.5" x14ac:dyDescent="0.25">
      <c r="A3921" s="22">
        <v>2026</v>
      </c>
      <c r="B3921" s="28" t="s">
        <v>203</v>
      </c>
      <c r="C3921" s="28" t="s">
        <v>97</v>
      </c>
      <c r="D3921" s="28" t="s">
        <v>272</v>
      </c>
      <c r="E3921" s="29" t="s">
        <v>500</v>
      </c>
      <c r="F3921" s="29" t="s">
        <v>284</v>
      </c>
      <c r="G3921" s="25" t="s">
        <v>5638</v>
      </c>
      <c r="H3921" s="26">
        <v>-0.63598940000000004</v>
      </c>
      <c r="I3921" s="26"/>
      <c r="J3921" s="26" t="s">
        <v>514</v>
      </c>
      <c r="K3921" s="25" t="s">
        <v>513</v>
      </c>
    </row>
    <row r="3922" spans="1:11" ht="25.5" x14ac:dyDescent="0.25">
      <c r="A3922" s="22">
        <v>2026</v>
      </c>
      <c r="B3922" s="28" t="s">
        <v>203</v>
      </c>
      <c r="C3922" s="28" t="s">
        <v>97</v>
      </c>
      <c r="D3922" s="28" t="s">
        <v>272</v>
      </c>
      <c r="E3922" s="29" t="s">
        <v>500</v>
      </c>
      <c r="F3922" s="29" t="s">
        <v>284</v>
      </c>
      <c r="G3922" s="25" t="s">
        <v>5639</v>
      </c>
      <c r="H3922" s="26">
        <v>-0.63273400000000002</v>
      </c>
      <c r="I3922" s="26"/>
      <c r="J3922" s="26" t="s">
        <v>514</v>
      </c>
      <c r="K3922" s="25" t="s">
        <v>513</v>
      </c>
    </row>
    <row r="3923" spans="1:11" ht="25.5" x14ac:dyDescent="0.25">
      <c r="A3923" s="22">
        <v>2026</v>
      </c>
      <c r="B3923" s="28" t="s">
        <v>203</v>
      </c>
      <c r="C3923" s="28" t="s">
        <v>97</v>
      </c>
      <c r="D3923" s="28" t="s">
        <v>272</v>
      </c>
      <c r="E3923" s="29" t="s">
        <v>500</v>
      </c>
      <c r="F3923" s="29" t="s">
        <v>284</v>
      </c>
      <c r="G3923" s="25" t="s">
        <v>5640</v>
      </c>
      <c r="H3923" s="26">
        <v>-0.79015000000000002</v>
      </c>
      <c r="I3923" s="26"/>
      <c r="J3923" s="26" t="s">
        <v>514</v>
      </c>
      <c r="K3923" s="25" t="s">
        <v>513</v>
      </c>
    </row>
    <row r="3924" spans="1:11" ht="25.5" x14ac:dyDescent="0.25">
      <c r="A3924" s="22">
        <v>2026</v>
      </c>
      <c r="B3924" s="28" t="s">
        <v>203</v>
      </c>
      <c r="C3924" s="28" t="s">
        <v>97</v>
      </c>
      <c r="D3924" s="28" t="s">
        <v>272</v>
      </c>
      <c r="E3924" s="29" t="s">
        <v>500</v>
      </c>
      <c r="F3924" s="29" t="s">
        <v>284</v>
      </c>
      <c r="G3924" s="25" t="s">
        <v>5641</v>
      </c>
      <c r="H3924" s="26">
        <v>-1.9097496</v>
      </c>
      <c r="I3924" s="26"/>
      <c r="J3924" s="26" t="s">
        <v>514</v>
      </c>
      <c r="K3924" s="25" t="s">
        <v>513</v>
      </c>
    </row>
    <row r="3925" spans="1:11" ht="25.5" x14ac:dyDescent="0.25">
      <c r="A3925" s="22">
        <v>2026</v>
      </c>
      <c r="B3925" s="28" t="s">
        <v>203</v>
      </c>
      <c r="C3925" s="28" t="s">
        <v>97</v>
      </c>
      <c r="D3925" s="28" t="s">
        <v>272</v>
      </c>
      <c r="E3925" s="29" t="s">
        <v>500</v>
      </c>
      <c r="F3925" s="29" t="s">
        <v>284</v>
      </c>
      <c r="G3925" s="25" t="s">
        <v>5642</v>
      </c>
      <c r="H3925" s="26">
        <v>-0.48074999999999996</v>
      </c>
      <c r="I3925" s="26"/>
      <c r="J3925" s="26" t="s">
        <v>514</v>
      </c>
      <c r="K3925" s="25" t="s">
        <v>513</v>
      </c>
    </row>
    <row r="3926" spans="1:11" ht="25.5" x14ac:dyDescent="0.25">
      <c r="A3926" s="22">
        <v>2026</v>
      </c>
      <c r="B3926" s="28" t="s">
        <v>203</v>
      </c>
      <c r="C3926" s="28" t="s">
        <v>97</v>
      </c>
      <c r="D3926" s="28" t="s">
        <v>272</v>
      </c>
      <c r="E3926" s="29" t="s">
        <v>500</v>
      </c>
      <c r="F3926" s="29" t="s">
        <v>284</v>
      </c>
      <c r="G3926" s="25" t="s">
        <v>5642</v>
      </c>
      <c r="H3926" s="26">
        <v>-0.48074999999999996</v>
      </c>
      <c r="I3926" s="26"/>
      <c r="J3926" s="26" t="s">
        <v>514</v>
      </c>
      <c r="K3926" s="25" t="s">
        <v>513</v>
      </c>
    </row>
    <row r="3927" spans="1:11" ht="25.5" x14ac:dyDescent="0.25">
      <c r="A3927" s="22">
        <v>2026</v>
      </c>
      <c r="B3927" s="28" t="s">
        <v>203</v>
      </c>
      <c r="C3927" s="28" t="s">
        <v>97</v>
      </c>
      <c r="D3927" s="28" t="s">
        <v>272</v>
      </c>
      <c r="E3927" s="29" t="s">
        <v>500</v>
      </c>
      <c r="F3927" s="29" t="s">
        <v>284</v>
      </c>
      <c r="G3927" s="25" t="s">
        <v>5643</v>
      </c>
      <c r="H3927" s="26">
        <v>-0.48449999999999993</v>
      </c>
      <c r="I3927" s="26"/>
      <c r="J3927" s="26" t="s">
        <v>514</v>
      </c>
      <c r="K3927" s="25" t="s">
        <v>513</v>
      </c>
    </row>
    <row r="3928" spans="1:11" ht="25.5" x14ac:dyDescent="0.25">
      <c r="A3928" s="22">
        <v>2026</v>
      </c>
      <c r="B3928" s="28" t="s">
        <v>203</v>
      </c>
      <c r="C3928" s="28" t="s">
        <v>97</v>
      </c>
      <c r="D3928" s="28" t="s">
        <v>1726</v>
      </c>
      <c r="E3928" s="29" t="s">
        <v>569</v>
      </c>
      <c r="F3928" s="29" t="s">
        <v>343</v>
      </c>
      <c r="G3928" s="25" t="s">
        <v>5644</v>
      </c>
      <c r="H3928" s="26">
        <v>-0.17896906169999999</v>
      </c>
      <c r="I3928" s="26"/>
      <c r="J3928" s="26" t="s">
        <v>512</v>
      </c>
      <c r="K3928" s="25" t="s">
        <v>513</v>
      </c>
    </row>
    <row r="3929" spans="1:11" ht="25.5" x14ac:dyDescent="0.25">
      <c r="A3929" s="22">
        <v>2026</v>
      </c>
      <c r="B3929" s="28" t="s">
        <v>203</v>
      </c>
      <c r="C3929" s="28" t="s">
        <v>97</v>
      </c>
      <c r="D3929" s="28" t="s">
        <v>1726</v>
      </c>
      <c r="E3929" s="29" t="s">
        <v>569</v>
      </c>
      <c r="F3929" s="29" t="s">
        <v>343</v>
      </c>
      <c r="G3929" s="25" t="s">
        <v>5645</v>
      </c>
      <c r="H3929" s="26">
        <v>-0.26342358063999999</v>
      </c>
      <c r="I3929" s="26"/>
      <c r="J3929" s="26" t="s">
        <v>512</v>
      </c>
      <c r="K3929" s="25" t="s">
        <v>513</v>
      </c>
    </row>
    <row r="3930" spans="1:11" ht="25.5" x14ac:dyDescent="0.25">
      <c r="A3930" s="22">
        <v>2026</v>
      </c>
      <c r="B3930" s="28" t="s">
        <v>203</v>
      </c>
      <c r="C3930" s="28" t="s">
        <v>97</v>
      </c>
      <c r="D3930" s="28" t="s">
        <v>1726</v>
      </c>
      <c r="E3930" s="29" t="s">
        <v>569</v>
      </c>
      <c r="F3930" s="29" t="s">
        <v>343</v>
      </c>
      <c r="G3930" s="25" t="s">
        <v>5646</v>
      </c>
      <c r="H3930" s="26">
        <v>-0.37818137735999996</v>
      </c>
      <c r="I3930" s="26"/>
      <c r="J3930" s="26" t="s">
        <v>512</v>
      </c>
      <c r="K3930" s="25" t="s">
        <v>513</v>
      </c>
    </row>
    <row r="3931" spans="1:11" ht="25.5" x14ac:dyDescent="0.25">
      <c r="A3931" s="22">
        <v>2026</v>
      </c>
      <c r="B3931" s="28" t="s">
        <v>203</v>
      </c>
      <c r="C3931" s="28" t="s">
        <v>97</v>
      </c>
      <c r="D3931" s="28" t="s">
        <v>1726</v>
      </c>
      <c r="E3931" s="29" t="s">
        <v>569</v>
      </c>
      <c r="F3931" s="29" t="s">
        <v>343</v>
      </c>
      <c r="G3931" s="25" t="s">
        <v>5647</v>
      </c>
      <c r="H3931" s="26">
        <v>-0.58873469444000004</v>
      </c>
      <c r="I3931" s="26"/>
      <c r="J3931" s="26" t="s">
        <v>512</v>
      </c>
      <c r="K3931" s="25" t="s">
        <v>513</v>
      </c>
    </row>
    <row r="3932" spans="1:11" ht="25.5" x14ac:dyDescent="0.25">
      <c r="A3932" s="22">
        <v>2026</v>
      </c>
      <c r="B3932" s="28" t="s">
        <v>203</v>
      </c>
      <c r="C3932" s="28" t="s">
        <v>97</v>
      </c>
      <c r="D3932" s="28" t="s">
        <v>1726</v>
      </c>
      <c r="E3932" s="29" t="s">
        <v>569</v>
      </c>
      <c r="F3932" s="29" t="s">
        <v>343</v>
      </c>
      <c r="G3932" s="25" t="s">
        <v>5648</v>
      </c>
      <c r="H3932" s="26">
        <v>-0.21249999999999999</v>
      </c>
      <c r="I3932" s="26"/>
      <c r="J3932" s="26" t="s">
        <v>512</v>
      </c>
      <c r="K3932" s="25" t="s">
        <v>513</v>
      </c>
    </row>
    <row r="3933" spans="1:11" ht="25.5" x14ac:dyDescent="0.25">
      <c r="A3933" s="22">
        <v>2026</v>
      </c>
      <c r="B3933" s="28" t="s">
        <v>203</v>
      </c>
      <c r="C3933" s="28" t="s">
        <v>97</v>
      </c>
      <c r="D3933" s="28" t="s">
        <v>1726</v>
      </c>
      <c r="E3933" s="29" t="s">
        <v>569</v>
      </c>
      <c r="F3933" s="29" t="s">
        <v>343</v>
      </c>
      <c r="G3933" s="25" t="s">
        <v>5649</v>
      </c>
      <c r="H3933" s="26">
        <v>-0.43894</v>
      </c>
      <c r="I3933" s="26"/>
      <c r="J3933" s="26" t="s">
        <v>512</v>
      </c>
      <c r="K3933" s="25" t="s">
        <v>513</v>
      </c>
    </row>
    <row r="3934" spans="1:11" ht="25.5" x14ac:dyDescent="0.25">
      <c r="A3934" s="22">
        <v>2026</v>
      </c>
      <c r="B3934" s="28" t="s">
        <v>203</v>
      </c>
      <c r="C3934" s="28" t="s">
        <v>97</v>
      </c>
      <c r="D3934" s="28" t="s">
        <v>1726</v>
      </c>
      <c r="E3934" s="29" t="s">
        <v>569</v>
      </c>
      <c r="F3934" s="29" t="s">
        <v>343</v>
      </c>
      <c r="G3934" s="25" t="s">
        <v>5650</v>
      </c>
      <c r="H3934" s="26">
        <v>-8.8031917380000005E-2</v>
      </c>
      <c r="I3934" s="26"/>
      <c r="J3934" s="26" t="s">
        <v>512</v>
      </c>
      <c r="K3934" s="25" t="s">
        <v>513</v>
      </c>
    </row>
    <row r="3935" spans="1:11" ht="25.5" x14ac:dyDescent="0.25">
      <c r="A3935" s="22">
        <v>2026</v>
      </c>
      <c r="B3935" s="28" t="s">
        <v>203</v>
      </c>
      <c r="C3935" s="28" t="s">
        <v>97</v>
      </c>
      <c r="D3935" s="28" t="s">
        <v>1726</v>
      </c>
      <c r="E3935" s="29" t="s">
        <v>569</v>
      </c>
      <c r="F3935" s="29" t="s">
        <v>343</v>
      </c>
      <c r="G3935" s="25" t="s">
        <v>5651</v>
      </c>
      <c r="H3935" s="26">
        <v>-0.54805134525999999</v>
      </c>
      <c r="I3935" s="26"/>
      <c r="J3935" s="26" t="s">
        <v>512</v>
      </c>
      <c r="K3935" s="25" t="s">
        <v>513</v>
      </c>
    </row>
    <row r="3936" spans="1:11" ht="25.5" x14ac:dyDescent="0.25">
      <c r="A3936" s="22">
        <v>2026</v>
      </c>
      <c r="B3936" s="28" t="s">
        <v>203</v>
      </c>
      <c r="C3936" s="28" t="s">
        <v>97</v>
      </c>
      <c r="D3936" s="28" t="s">
        <v>1726</v>
      </c>
      <c r="E3936" s="29" t="s">
        <v>569</v>
      </c>
      <c r="F3936" s="29" t="s">
        <v>343</v>
      </c>
      <c r="G3936" s="25" t="s">
        <v>5652</v>
      </c>
      <c r="H3936" s="26">
        <v>-0.70985624700000005</v>
      </c>
      <c r="I3936" s="26"/>
      <c r="J3936" s="26" t="s">
        <v>512</v>
      </c>
      <c r="K3936" s="25" t="s">
        <v>513</v>
      </c>
    </row>
    <row r="3937" spans="1:11" ht="25.5" x14ac:dyDescent="0.25">
      <c r="A3937" s="22">
        <v>2026</v>
      </c>
      <c r="B3937" s="28" t="s">
        <v>203</v>
      </c>
      <c r="C3937" s="28" t="s">
        <v>97</v>
      </c>
      <c r="D3937" s="28" t="s">
        <v>1726</v>
      </c>
      <c r="E3937" s="29" t="s">
        <v>569</v>
      </c>
      <c r="F3937" s="29" t="s">
        <v>343</v>
      </c>
      <c r="G3937" s="25" t="s">
        <v>5653</v>
      </c>
      <c r="H3937" s="26">
        <v>-0.44441461500000001</v>
      </c>
      <c r="I3937" s="26"/>
      <c r="J3937" s="26" t="s">
        <v>512</v>
      </c>
      <c r="K3937" s="25" t="s">
        <v>513</v>
      </c>
    </row>
    <row r="3938" spans="1:11" ht="25.5" x14ac:dyDescent="0.25">
      <c r="A3938" s="22">
        <v>2026</v>
      </c>
      <c r="B3938" s="28" t="s">
        <v>203</v>
      </c>
      <c r="C3938" s="28" t="s">
        <v>97</v>
      </c>
      <c r="D3938" s="28" t="s">
        <v>1726</v>
      </c>
      <c r="E3938" s="29" t="s">
        <v>569</v>
      </c>
      <c r="F3938" s="29" t="s">
        <v>343</v>
      </c>
      <c r="G3938" s="25" t="s">
        <v>5654</v>
      </c>
      <c r="H3938" s="26">
        <v>-0.64490249999999993</v>
      </c>
      <c r="I3938" s="26"/>
      <c r="J3938" s="26" t="s">
        <v>512</v>
      </c>
      <c r="K3938" s="25" t="s">
        <v>513</v>
      </c>
    </row>
    <row r="3939" spans="1:11" ht="25.5" x14ac:dyDescent="0.25">
      <c r="A3939" s="22">
        <v>2026</v>
      </c>
      <c r="B3939" s="28" t="s">
        <v>203</v>
      </c>
      <c r="C3939" s="28" t="s">
        <v>97</v>
      </c>
      <c r="D3939" s="28" t="s">
        <v>1726</v>
      </c>
      <c r="E3939" s="29" t="s">
        <v>569</v>
      </c>
      <c r="F3939" s="29" t="s">
        <v>343</v>
      </c>
      <c r="G3939" s="25" t="s">
        <v>5655</v>
      </c>
      <c r="H3939" s="26">
        <v>-0.19366556274000002</v>
      </c>
      <c r="I3939" s="26"/>
      <c r="J3939" s="26" t="s">
        <v>512</v>
      </c>
      <c r="K3939" s="25" t="s">
        <v>513</v>
      </c>
    </row>
    <row r="3940" spans="1:11" ht="25.5" x14ac:dyDescent="0.25">
      <c r="A3940" s="22">
        <v>2026</v>
      </c>
      <c r="B3940" s="28" t="s">
        <v>203</v>
      </c>
      <c r="C3940" s="28" t="s">
        <v>97</v>
      </c>
      <c r="D3940" s="28" t="s">
        <v>1791</v>
      </c>
      <c r="E3940" s="29" t="s">
        <v>1801</v>
      </c>
      <c r="F3940" s="29" t="s">
        <v>284</v>
      </c>
      <c r="G3940" s="25" t="s">
        <v>5656</v>
      </c>
      <c r="H3940" s="26">
        <v>-0.372</v>
      </c>
      <c r="I3940" s="26"/>
      <c r="J3940" s="26" t="s">
        <v>512</v>
      </c>
      <c r="K3940" s="25" t="s">
        <v>513</v>
      </c>
    </row>
    <row r="3941" spans="1:11" ht="25.5" x14ac:dyDescent="0.25">
      <c r="A3941" s="22">
        <v>2026</v>
      </c>
      <c r="B3941" s="28" t="s">
        <v>203</v>
      </c>
      <c r="C3941" s="28" t="s">
        <v>97</v>
      </c>
      <c r="D3941" s="28" t="s">
        <v>1791</v>
      </c>
      <c r="E3941" s="29" t="s">
        <v>1801</v>
      </c>
      <c r="F3941" s="29" t="s">
        <v>284</v>
      </c>
      <c r="G3941" s="25" t="s">
        <v>5657</v>
      </c>
      <c r="H3941" s="26">
        <v>-0.37100899999999998</v>
      </c>
      <c r="I3941" s="26"/>
      <c r="J3941" s="26" t="s">
        <v>512</v>
      </c>
      <c r="K3941" s="25" t="s">
        <v>513</v>
      </c>
    </row>
    <row r="3942" spans="1:11" ht="25.5" x14ac:dyDescent="0.25">
      <c r="A3942" s="22">
        <v>2026</v>
      </c>
      <c r="B3942" s="28" t="s">
        <v>203</v>
      </c>
      <c r="C3942" s="28" t="s">
        <v>97</v>
      </c>
      <c r="D3942" s="28" t="s">
        <v>1791</v>
      </c>
      <c r="E3942" s="29" t="s">
        <v>1801</v>
      </c>
      <c r="F3942" s="29" t="s">
        <v>284</v>
      </c>
      <c r="G3942" s="25" t="s">
        <v>5658</v>
      </c>
      <c r="H3942" s="26">
        <v>-0.38656000000000001</v>
      </c>
      <c r="I3942" s="26"/>
      <c r="J3942" s="26" t="s">
        <v>512</v>
      </c>
      <c r="K3942" s="25" t="s">
        <v>513</v>
      </c>
    </row>
    <row r="3943" spans="1:11" ht="25.5" x14ac:dyDescent="0.25">
      <c r="A3943" s="22">
        <v>2026</v>
      </c>
      <c r="B3943" s="28" t="s">
        <v>203</v>
      </c>
      <c r="C3943" s="28" t="s">
        <v>97</v>
      </c>
      <c r="D3943" s="28" t="s">
        <v>1791</v>
      </c>
      <c r="E3943" s="29" t="s">
        <v>1801</v>
      </c>
      <c r="F3943" s="29" t="s">
        <v>284</v>
      </c>
      <c r="G3943" s="25" t="s">
        <v>5659</v>
      </c>
      <c r="H3943" s="26">
        <v>-0.37772699999999998</v>
      </c>
      <c r="I3943" s="26"/>
      <c r="J3943" s="26" t="s">
        <v>512</v>
      </c>
      <c r="K3943" s="25" t="s">
        <v>513</v>
      </c>
    </row>
    <row r="3944" spans="1:11" ht="25.5" x14ac:dyDescent="0.25">
      <c r="A3944" s="22">
        <v>2026</v>
      </c>
      <c r="B3944" s="28" t="s">
        <v>203</v>
      </c>
      <c r="C3944" s="28" t="s">
        <v>97</v>
      </c>
      <c r="D3944" s="28" t="s">
        <v>1791</v>
      </c>
      <c r="E3944" s="29" t="s">
        <v>1801</v>
      </c>
      <c r="F3944" s="29" t="s">
        <v>284</v>
      </c>
      <c r="G3944" s="25" t="s">
        <v>5660</v>
      </c>
      <c r="H3944" s="26">
        <v>-0.36680600000000002</v>
      </c>
      <c r="I3944" s="26"/>
      <c r="J3944" s="26" t="s">
        <v>512</v>
      </c>
      <c r="K3944" s="25" t="s">
        <v>513</v>
      </c>
    </row>
    <row r="3945" spans="1:11" ht="25.5" x14ac:dyDescent="0.25">
      <c r="A3945" s="22">
        <v>2026</v>
      </c>
      <c r="B3945" s="28" t="s">
        <v>203</v>
      </c>
      <c r="C3945" s="28" t="s">
        <v>97</v>
      </c>
      <c r="D3945" s="28" t="s">
        <v>1791</v>
      </c>
      <c r="E3945" s="29" t="s">
        <v>1801</v>
      </c>
      <c r="F3945" s="29" t="s">
        <v>284</v>
      </c>
      <c r="G3945" s="25" t="s">
        <v>5661</v>
      </c>
      <c r="H3945" s="26">
        <v>-0.36849999999999999</v>
      </c>
      <c r="I3945" s="26"/>
      <c r="J3945" s="26" t="s">
        <v>512</v>
      </c>
      <c r="K3945" s="25" t="s">
        <v>513</v>
      </c>
    </row>
    <row r="3946" spans="1:11" ht="25.5" x14ac:dyDescent="0.25">
      <c r="A3946" s="22">
        <v>2026</v>
      </c>
      <c r="B3946" s="28" t="s">
        <v>203</v>
      </c>
      <c r="C3946" s="28" t="s">
        <v>97</v>
      </c>
      <c r="D3946" s="28" t="s">
        <v>1791</v>
      </c>
      <c r="E3946" s="29" t="s">
        <v>1801</v>
      </c>
      <c r="F3946" s="29" t="s">
        <v>284</v>
      </c>
      <c r="G3946" s="25" t="s">
        <v>5662</v>
      </c>
      <c r="H3946" s="26">
        <v>-0.36075000000000002</v>
      </c>
      <c r="I3946" s="26"/>
      <c r="J3946" s="26" t="s">
        <v>512</v>
      </c>
      <c r="K3946" s="25" t="s">
        <v>513</v>
      </c>
    </row>
    <row r="3947" spans="1:11" ht="25.5" x14ac:dyDescent="0.25">
      <c r="A3947" s="22">
        <v>2026</v>
      </c>
      <c r="B3947" s="28" t="s">
        <v>203</v>
      </c>
      <c r="C3947" s="28" t="s">
        <v>97</v>
      </c>
      <c r="D3947" s="28" t="s">
        <v>535</v>
      </c>
      <c r="E3947" s="29" t="s">
        <v>558</v>
      </c>
      <c r="F3947" s="29" t="s">
        <v>374</v>
      </c>
      <c r="G3947" s="25" t="s">
        <v>5663</v>
      </c>
      <c r="H3947" s="26">
        <v>-0.89700000000000002</v>
      </c>
      <c r="I3947" s="26"/>
      <c r="J3947" s="26" t="s">
        <v>512</v>
      </c>
      <c r="K3947" s="25" t="s">
        <v>513</v>
      </c>
    </row>
    <row r="3948" spans="1:11" ht="25.5" x14ac:dyDescent="0.25">
      <c r="A3948" s="22">
        <v>2026</v>
      </c>
      <c r="B3948" s="28" t="s">
        <v>203</v>
      </c>
      <c r="C3948" s="28" t="s">
        <v>97</v>
      </c>
      <c r="D3948" s="28" t="s">
        <v>535</v>
      </c>
      <c r="E3948" s="29" t="s">
        <v>558</v>
      </c>
      <c r="F3948" s="29" t="s">
        <v>374</v>
      </c>
      <c r="G3948" s="25" t="s">
        <v>5664</v>
      </c>
      <c r="H3948" s="26">
        <v>-1.2126399999999999</v>
      </c>
      <c r="I3948" s="26"/>
      <c r="J3948" s="26" t="s">
        <v>512</v>
      </c>
      <c r="K3948" s="25" t="s">
        <v>513</v>
      </c>
    </row>
    <row r="3949" spans="1:11" ht="25.5" x14ac:dyDescent="0.25">
      <c r="A3949" s="22">
        <v>2026</v>
      </c>
      <c r="B3949" s="28" t="s">
        <v>203</v>
      </c>
      <c r="C3949" s="28" t="s">
        <v>97</v>
      </c>
      <c r="D3949" s="28" t="s">
        <v>535</v>
      </c>
      <c r="E3949" s="29" t="s">
        <v>558</v>
      </c>
      <c r="F3949" s="29" t="s">
        <v>374</v>
      </c>
      <c r="G3949" s="25" t="s">
        <v>5665</v>
      </c>
      <c r="H3949" s="26">
        <v>-1.2217</v>
      </c>
      <c r="I3949" s="26"/>
      <c r="J3949" s="26" t="s">
        <v>512</v>
      </c>
      <c r="K3949" s="25" t="s">
        <v>513</v>
      </c>
    </row>
    <row r="3950" spans="1:11" ht="25.5" x14ac:dyDescent="0.25">
      <c r="A3950" s="22">
        <v>2026</v>
      </c>
      <c r="B3950" s="28" t="s">
        <v>203</v>
      </c>
      <c r="C3950" s="28" t="s">
        <v>97</v>
      </c>
      <c r="D3950" s="28" t="s">
        <v>535</v>
      </c>
      <c r="E3950" s="29" t="s">
        <v>558</v>
      </c>
      <c r="F3950" s="29" t="s">
        <v>374</v>
      </c>
      <c r="G3950" s="25" t="s">
        <v>5666</v>
      </c>
      <c r="H3950" s="26">
        <v>-1.8400950000000003</v>
      </c>
      <c r="I3950" s="26"/>
      <c r="J3950" s="26" t="s">
        <v>512</v>
      </c>
      <c r="K3950" s="25" t="s">
        <v>513</v>
      </c>
    </row>
    <row r="3951" spans="1:11" ht="25.5" x14ac:dyDescent="0.25">
      <c r="A3951" s="22">
        <v>2026</v>
      </c>
      <c r="B3951" s="28" t="s">
        <v>203</v>
      </c>
      <c r="C3951" s="28" t="s">
        <v>97</v>
      </c>
      <c r="D3951" s="28" t="s">
        <v>535</v>
      </c>
      <c r="E3951" s="29" t="s">
        <v>558</v>
      </c>
      <c r="F3951" s="29" t="s">
        <v>374</v>
      </c>
      <c r="G3951" s="25" t="s">
        <v>5667</v>
      </c>
      <c r="H3951" s="26">
        <v>-0.91635750000000005</v>
      </c>
      <c r="I3951" s="26"/>
      <c r="J3951" s="26" t="s">
        <v>512</v>
      </c>
      <c r="K3951" s="25" t="s">
        <v>513</v>
      </c>
    </row>
    <row r="3952" spans="1:11" ht="25.5" x14ac:dyDescent="0.25">
      <c r="A3952" s="22">
        <v>2026</v>
      </c>
      <c r="B3952" s="28" t="s">
        <v>203</v>
      </c>
      <c r="C3952" s="28" t="s">
        <v>97</v>
      </c>
      <c r="D3952" s="28" t="s">
        <v>535</v>
      </c>
      <c r="E3952" s="29" t="s">
        <v>558</v>
      </c>
      <c r="F3952" s="29" t="s">
        <v>374</v>
      </c>
      <c r="G3952" s="25" t="s">
        <v>5668</v>
      </c>
      <c r="H3952" s="26">
        <v>-0.37380000000000002</v>
      </c>
      <c r="I3952" s="26"/>
      <c r="J3952" s="26" t="s">
        <v>512</v>
      </c>
      <c r="K3952" s="25" t="s">
        <v>513</v>
      </c>
    </row>
    <row r="3953" spans="1:11" ht="25.5" x14ac:dyDescent="0.25">
      <c r="A3953" s="22">
        <v>2026</v>
      </c>
      <c r="B3953" s="28" t="s">
        <v>203</v>
      </c>
      <c r="C3953" s="28" t="s">
        <v>97</v>
      </c>
      <c r="D3953" s="28" t="s">
        <v>535</v>
      </c>
      <c r="E3953" s="29" t="s">
        <v>558</v>
      </c>
      <c r="F3953" s="29" t="s">
        <v>374</v>
      </c>
      <c r="G3953" s="25" t="s">
        <v>5669</v>
      </c>
      <c r="H3953" s="26">
        <v>-0.49840000000000001</v>
      </c>
      <c r="I3953" s="26"/>
      <c r="J3953" s="26" t="s">
        <v>512</v>
      </c>
      <c r="K3953" s="25" t="s">
        <v>513</v>
      </c>
    </row>
    <row r="3954" spans="1:11" ht="25.5" x14ac:dyDescent="0.25">
      <c r="A3954" s="22">
        <v>2026</v>
      </c>
      <c r="B3954" s="28" t="s">
        <v>203</v>
      </c>
      <c r="C3954" s="28" t="s">
        <v>97</v>
      </c>
      <c r="D3954" s="28" t="s">
        <v>535</v>
      </c>
      <c r="E3954" s="29" t="s">
        <v>558</v>
      </c>
      <c r="F3954" s="29" t="s">
        <v>374</v>
      </c>
      <c r="G3954" s="25" t="s">
        <v>5670</v>
      </c>
      <c r="H3954" s="26">
        <v>-0.3105</v>
      </c>
      <c r="I3954" s="26"/>
      <c r="J3954" s="26" t="s">
        <v>512</v>
      </c>
      <c r="K3954" s="25" t="s">
        <v>513</v>
      </c>
    </row>
    <row r="3955" spans="1:11" ht="25.5" x14ac:dyDescent="0.25">
      <c r="A3955" s="22">
        <v>2026</v>
      </c>
      <c r="B3955" s="28" t="s">
        <v>203</v>
      </c>
      <c r="C3955" s="28" t="s">
        <v>97</v>
      </c>
      <c r="D3955" s="28" t="s">
        <v>535</v>
      </c>
      <c r="E3955" s="29" t="s">
        <v>558</v>
      </c>
      <c r="F3955" s="29" t="s">
        <v>374</v>
      </c>
      <c r="G3955" s="25" t="s">
        <v>5671</v>
      </c>
      <c r="H3955" s="26">
        <v>-1.5038400000000001</v>
      </c>
      <c r="I3955" s="26"/>
      <c r="J3955" s="26" t="s">
        <v>512</v>
      </c>
      <c r="K3955" s="25" t="s">
        <v>513</v>
      </c>
    </row>
    <row r="3956" spans="1:11" ht="25.5" x14ac:dyDescent="0.25">
      <c r="A3956" s="22">
        <v>2026</v>
      </c>
      <c r="B3956" s="28" t="s">
        <v>203</v>
      </c>
      <c r="C3956" s="28" t="s">
        <v>97</v>
      </c>
      <c r="D3956" s="28" t="s">
        <v>535</v>
      </c>
      <c r="E3956" s="29" t="s">
        <v>558</v>
      </c>
      <c r="F3956" s="29" t="s">
        <v>374</v>
      </c>
      <c r="G3956" s="25" t="s">
        <v>5672</v>
      </c>
      <c r="H3956" s="26">
        <v>-0.98302550000000011</v>
      </c>
      <c r="I3956" s="26"/>
      <c r="J3956" s="26" t="s">
        <v>512</v>
      </c>
      <c r="K3956" s="25" t="s">
        <v>513</v>
      </c>
    </row>
    <row r="3957" spans="1:11" ht="25.5" x14ac:dyDescent="0.25">
      <c r="A3957" s="22">
        <v>2026</v>
      </c>
      <c r="B3957" s="28" t="s">
        <v>203</v>
      </c>
      <c r="C3957" s="28" t="s">
        <v>97</v>
      </c>
      <c r="D3957" s="28" t="s">
        <v>533</v>
      </c>
      <c r="E3957" s="29" t="s">
        <v>554</v>
      </c>
      <c r="F3957" s="29" t="s">
        <v>284</v>
      </c>
      <c r="G3957" s="25" t="s">
        <v>5673</v>
      </c>
      <c r="H3957" s="26">
        <v>-4.4344169999999995E-2</v>
      </c>
      <c r="I3957" s="26"/>
      <c r="J3957" s="26" t="s">
        <v>512</v>
      </c>
      <c r="K3957" s="25" t="s">
        <v>513</v>
      </c>
    </row>
    <row r="3958" spans="1:11" ht="25.5" x14ac:dyDescent="0.25">
      <c r="A3958" s="22">
        <v>2026</v>
      </c>
      <c r="B3958" s="28" t="s">
        <v>203</v>
      </c>
      <c r="C3958" s="28" t="s">
        <v>97</v>
      </c>
      <c r="D3958" s="28" t="s">
        <v>533</v>
      </c>
      <c r="E3958" s="29" t="s">
        <v>554</v>
      </c>
      <c r="F3958" s="29" t="s">
        <v>284</v>
      </c>
      <c r="G3958" s="25" t="s">
        <v>5674</v>
      </c>
      <c r="H3958" s="26">
        <v>-0.13750000000000001</v>
      </c>
      <c r="I3958" s="26"/>
      <c r="J3958" s="26" t="s">
        <v>512</v>
      </c>
      <c r="K3958" s="25" t="s">
        <v>513</v>
      </c>
    </row>
    <row r="3959" spans="1:11" ht="25.5" x14ac:dyDescent="0.25">
      <c r="A3959" s="22">
        <v>2026</v>
      </c>
      <c r="B3959" s="28" t="s">
        <v>203</v>
      </c>
      <c r="C3959" s="28" t="s">
        <v>97</v>
      </c>
      <c r="D3959" s="28" t="s">
        <v>533</v>
      </c>
      <c r="E3959" s="29" t="s">
        <v>554</v>
      </c>
      <c r="F3959" s="29" t="s">
        <v>284</v>
      </c>
      <c r="G3959" s="25" t="s">
        <v>5675</v>
      </c>
      <c r="H3959" s="26">
        <v>-0.20399999999999999</v>
      </c>
      <c r="I3959" s="26"/>
      <c r="J3959" s="26" t="s">
        <v>512</v>
      </c>
      <c r="K3959" s="25" t="s">
        <v>513</v>
      </c>
    </row>
    <row r="3960" spans="1:11" ht="25.5" x14ac:dyDescent="0.25">
      <c r="A3960" s="22">
        <v>2026</v>
      </c>
      <c r="B3960" s="28" t="s">
        <v>203</v>
      </c>
      <c r="C3960" s="28" t="s">
        <v>97</v>
      </c>
      <c r="D3960" s="28" t="s">
        <v>533</v>
      </c>
      <c r="E3960" s="29" t="s">
        <v>554</v>
      </c>
      <c r="F3960" s="29" t="s">
        <v>284</v>
      </c>
      <c r="G3960" s="25" t="s">
        <v>5676</v>
      </c>
      <c r="H3960" s="26">
        <v>-1.36</v>
      </c>
      <c r="I3960" s="26"/>
      <c r="J3960" s="26" t="s">
        <v>512</v>
      </c>
      <c r="K3960" s="25" t="s">
        <v>513</v>
      </c>
    </row>
    <row r="3961" spans="1:11" ht="25.5" x14ac:dyDescent="0.25">
      <c r="A3961" s="22">
        <v>2026</v>
      </c>
      <c r="B3961" s="28" t="s">
        <v>203</v>
      </c>
      <c r="C3961" s="28" t="s">
        <v>97</v>
      </c>
      <c r="D3961" s="28" t="s">
        <v>533</v>
      </c>
      <c r="E3961" s="29" t="s">
        <v>554</v>
      </c>
      <c r="F3961" s="29" t="s">
        <v>284</v>
      </c>
      <c r="G3961" s="25" t="s">
        <v>5677</v>
      </c>
      <c r="H3961" s="26">
        <v>-0.20115</v>
      </c>
      <c r="I3961" s="26"/>
      <c r="J3961" s="26" t="s">
        <v>512</v>
      </c>
      <c r="K3961" s="25" t="s">
        <v>513</v>
      </c>
    </row>
    <row r="3962" spans="1:11" ht="25.5" x14ac:dyDescent="0.25">
      <c r="A3962" s="22">
        <v>2026</v>
      </c>
      <c r="B3962" s="28" t="s">
        <v>203</v>
      </c>
      <c r="C3962" s="28" t="s">
        <v>97</v>
      </c>
      <c r="D3962" s="28" t="s">
        <v>533</v>
      </c>
      <c r="E3962" s="29" t="s">
        <v>554</v>
      </c>
      <c r="F3962" s="29" t="s">
        <v>284</v>
      </c>
      <c r="G3962" s="25" t="s">
        <v>5678</v>
      </c>
      <c r="H3962" s="26">
        <v>-0.1366</v>
      </c>
      <c r="I3962" s="26"/>
      <c r="J3962" s="26" t="s">
        <v>512</v>
      </c>
      <c r="K3962" s="25" t="s">
        <v>513</v>
      </c>
    </row>
    <row r="3963" spans="1:11" ht="25.5" x14ac:dyDescent="0.25">
      <c r="A3963" s="22">
        <v>2026</v>
      </c>
      <c r="B3963" s="28" t="s">
        <v>203</v>
      </c>
      <c r="C3963" s="28" t="s">
        <v>97</v>
      </c>
      <c r="D3963" s="28" t="s">
        <v>533</v>
      </c>
      <c r="E3963" s="29" t="s">
        <v>554</v>
      </c>
      <c r="F3963" s="29" t="s">
        <v>284</v>
      </c>
      <c r="G3963" s="25" t="s">
        <v>5679</v>
      </c>
      <c r="H3963" s="26">
        <v>-0.2016</v>
      </c>
      <c r="I3963" s="26"/>
      <c r="J3963" s="26" t="s">
        <v>512</v>
      </c>
      <c r="K3963" s="25" t="s">
        <v>513</v>
      </c>
    </row>
    <row r="3964" spans="1:11" ht="25.5" x14ac:dyDescent="0.25">
      <c r="A3964" s="22">
        <v>2026</v>
      </c>
      <c r="B3964" s="28" t="s">
        <v>203</v>
      </c>
      <c r="C3964" s="28" t="s">
        <v>97</v>
      </c>
      <c r="D3964" s="28" t="s">
        <v>533</v>
      </c>
      <c r="E3964" s="29" t="s">
        <v>554</v>
      </c>
      <c r="F3964" s="29" t="s">
        <v>284</v>
      </c>
      <c r="G3964" s="25" t="s">
        <v>5680</v>
      </c>
      <c r="H3964" s="26">
        <v>-0.56410199999999999</v>
      </c>
      <c r="I3964" s="26"/>
      <c r="J3964" s="26" t="s">
        <v>512</v>
      </c>
      <c r="K3964" s="25" t="s">
        <v>513</v>
      </c>
    </row>
    <row r="3965" spans="1:11" ht="25.5" x14ac:dyDescent="0.25">
      <c r="A3965" s="22">
        <v>2026</v>
      </c>
      <c r="B3965" s="28" t="s">
        <v>203</v>
      </c>
      <c r="C3965" s="28" t="s">
        <v>97</v>
      </c>
      <c r="D3965" s="28" t="s">
        <v>234</v>
      </c>
      <c r="E3965" s="29" t="s">
        <v>427</v>
      </c>
      <c r="F3965" s="29" t="s">
        <v>428</v>
      </c>
      <c r="G3965" s="25" t="s">
        <v>5681</v>
      </c>
      <c r="H3965" s="26">
        <v>-0.62427460000000001</v>
      </c>
      <c r="I3965" s="26"/>
      <c r="J3965" s="26" t="s">
        <v>512</v>
      </c>
      <c r="K3965" s="25" t="s">
        <v>513</v>
      </c>
    </row>
    <row r="3966" spans="1:11" ht="25.5" x14ac:dyDescent="0.25">
      <c r="A3966" s="22">
        <v>2026</v>
      </c>
      <c r="B3966" s="28" t="s">
        <v>203</v>
      </c>
      <c r="C3966" s="28" t="s">
        <v>97</v>
      </c>
      <c r="D3966" s="28" t="s">
        <v>234</v>
      </c>
      <c r="E3966" s="29" t="s">
        <v>427</v>
      </c>
      <c r="F3966" s="29" t="s">
        <v>428</v>
      </c>
      <c r="G3966" s="25" t="s">
        <v>5682</v>
      </c>
      <c r="H3966" s="26">
        <v>-0.45686942469999997</v>
      </c>
      <c r="I3966" s="26"/>
      <c r="J3966" s="26" t="s">
        <v>512</v>
      </c>
      <c r="K3966" s="25" t="s">
        <v>513</v>
      </c>
    </row>
    <row r="3967" spans="1:11" ht="25.5" x14ac:dyDescent="0.25">
      <c r="A3967" s="22">
        <v>2026</v>
      </c>
      <c r="B3967" s="28" t="s">
        <v>203</v>
      </c>
      <c r="C3967" s="28" t="s">
        <v>97</v>
      </c>
      <c r="D3967" s="28" t="s">
        <v>234</v>
      </c>
      <c r="E3967" s="29" t="s">
        <v>427</v>
      </c>
      <c r="F3967" s="29" t="s">
        <v>428</v>
      </c>
      <c r="G3967" s="25" t="s">
        <v>5683</v>
      </c>
      <c r="H3967" s="26">
        <v>-0.34139544399999999</v>
      </c>
      <c r="I3967" s="26"/>
      <c r="J3967" s="26" t="s">
        <v>512</v>
      </c>
      <c r="K3967" s="25" t="s">
        <v>513</v>
      </c>
    </row>
    <row r="3968" spans="1:11" ht="25.5" x14ac:dyDescent="0.25">
      <c r="A3968" s="22">
        <v>2026</v>
      </c>
      <c r="B3968" s="28" t="s">
        <v>203</v>
      </c>
      <c r="C3968" s="28" t="s">
        <v>97</v>
      </c>
      <c r="D3968" s="28" t="s">
        <v>234</v>
      </c>
      <c r="E3968" s="29" t="s">
        <v>427</v>
      </c>
      <c r="F3968" s="29" t="s">
        <v>428</v>
      </c>
      <c r="G3968" s="25" t="s">
        <v>5684</v>
      </c>
      <c r="H3968" s="26">
        <v>-0.65923500000000002</v>
      </c>
      <c r="I3968" s="26"/>
      <c r="J3968" s="26" t="s">
        <v>512</v>
      </c>
      <c r="K3968" s="25" t="s">
        <v>513</v>
      </c>
    </row>
    <row r="3969" spans="1:11" ht="25.5" x14ac:dyDescent="0.25">
      <c r="A3969" s="22">
        <v>2026</v>
      </c>
      <c r="B3969" s="28" t="s">
        <v>203</v>
      </c>
      <c r="C3969" s="28" t="s">
        <v>97</v>
      </c>
      <c r="D3969" s="28" t="s">
        <v>234</v>
      </c>
      <c r="E3969" s="29" t="s">
        <v>427</v>
      </c>
      <c r="F3969" s="29" t="s">
        <v>428</v>
      </c>
      <c r="G3969" s="25" t="s">
        <v>5685</v>
      </c>
      <c r="H3969" s="26">
        <v>-0.65648645000000005</v>
      </c>
      <c r="I3969" s="26"/>
      <c r="J3969" s="26" t="s">
        <v>512</v>
      </c>
      <c r="K3969" s="25" t="s">
        <v>513</v>
      </c>
    </row>
    <row r="3970" spans="1:11" ht="25.5" x14ac:dyDescent="0.25">
      <c r="A3970" s="22">
        <v>2026</v>
      </c>
      <c r="B3970" s="28" t="s">
        <v>203</v>
      </c>
      <c r="C3970" s="28" t="s">
        <v>97</v>
      </c>
      <c r="D3970" s="28" t="s">
        <v>234</v>
      </c>
      <c r="E3970" s="29" t="s">
        <v>427</v>
      </c>
      <c r="F3970" s="29" t="s">
        <v>428</v>
      </c>
      <c r="G3970" s="25" t="s">
        <v>5686</v>
      </c>
      <c r="H3970" s="26">
        <v>-0.65813999999999995</v>
      </c>
      <c r="I3970" s="26"/>
      <c r="J3970" s="26" t="s">
        <v>512</v>
      </c>
      <c r="K3970" s="25" t="s">
        <v>513</v>
      </c>
    </row>
    <row r="3971" spans="1:11" ht="25.5" x14ac:dyDescent="0.25">
      <c r="A3971" s="22">
        <v>2026</v>
      </c>
      <c r="B3971" s="28" t="s">
        <v>203</v>
      </c>
      <c r="C3971" s="28" t="s">
        <v>97</v>
      </c>
      <c r="D3971" s="28" t="s">
        <v>234</v>
      </c>
      <c r="E3971" s="29" t="s">
        <v>427</v>
      </c>
      <c r="F3971" s="29" t="s">
        <v>428</v>
      </c>
      <c r="G3971" s="25" t="s">
        <v>5687</v>
      </c>
      <c r="H3971" s="26">
        <v>-0.57531558239999991</v>
      </c>
      <c r="I3971" s="26"/>
      <c r="J3971" s="26" t="s">
        <v>512</v>
      </c>
      <c r="K3971" s="25" t="s">
        <v>513</v>
      </c>
    </row>
    <row r="3972" spans="1:11" ht="25.5" x14ac:dyDescent="0.25">
      <c r="A3972" s="22">
        <v>2026</v>
      </c>
      <c r="B3972" s="28" t="s">
        <v>203</v>
      </c>
      <c r="C3972" s="28" t="s">
        <v>97</v>
      </c>
      <c r="D3972" s="28" t="s">
        <v>1727</v>
      </c>
      <c r="E3972" s="29" t="s">
        <v>305</v>
      </c>
      <c r="F3972" s="29" t="s">
        <v>903</v>
      </c>
      <c r="G3972" s="25" t="s">
        <v>5688</v>
      </c>
      <c r="H3972" s="26">
        <v>-3.9509599999999999E-2</v>
      </c>
      <c r="I3972" s="26"/>
      <c r="J3972" s="26" t="s">
        <v>514</v>
      </c>
      <c r="K3972" s="25" t="s">
        <v>513</v>
      </c>
    </row>
    <row r="3973" spans="1:11" ht="25.5" x14ac:dyDescent="0.25">
      <c r="A3973" s="22">
        <v>2026</v>
      </c>
      <c r="B3973" s="28" t="s">
        <v>203</v>
      </c>
      <c r="C3973" s="28" t="s">
        <v>97</v>
      </c>
      <c r="D3973" s="28" t="s">
        <v>1727</v>
      </c>
      <c r="E3973" s="29" t="s">
        <v>305</v>
      </c>
      <c r="F3973" s="29" t="s">
        <v>903</v>
      </c>
      <c r="G3973" s="25" t="s">
        <v>5689</v>
      </c>
      <c r="H3973" s="26">
        <v>-7.9000000000000008E-3</v>
      </c>
      <c r="I3973" s="26"/>
      <c r="J3973" s="26" t="s">
        <v>514</v>
      </c>
      <c r="K3973" s="25" t="s">
        <v>513</v>
      </c>
    </row>
    <row r="3974" spans="1:11" ht="25.5" x14ac:dyDescent="0.25">
      <c r="A3974" s="22">
        <v>2026</v>
      </c>
      <c r="B3974" s="28" t="s">
        <v>203</v>
      </c>
      <c r="C3974" s="28" t="s">
        <v>97</v>
      </c>
      <c r="D3974" s="28" t="s">
        <v>1727</v>
      </c>
      <c r="E3974" s="29" t="s">
        <v>305</v>
      </c>
      <c r="F3974" s="29" t="s">
        <v>903</v>
      </c>
      <c r="G3974" s="25" t="s">
        <v>5690</v>
      </c>
      <c r="H3974" s="26">
        <v>-7.7489000000000002E-2</v>
      </c>
      <c r="I3974" s="26"/>
      <c r="J3974" s="26" t="s">
        <v>514</v>
      </c>
      <c r="K3974" s="25" t="s">
        <v>513</v>
      </c>
    </row>
    <row r="3975" spans="1:11" ht="25.5" x14ac:dyDescent="0.25">
      <c r="A3975" s="22">
        <v>2026</v>
      </c>
      <c r="B3975" s="28" t="s">
        <v>203</v>
      </c>
      <c r="C3975" s="28" t="s">
        <v>97</v>
      </c>
      <c r="D3975" s="28" t="s">
        <v>1727</v>
      </c>
      <c r="E3975" s="29" t="s">
        <v>305</v>
      </c>
      <c r="F3975" s="29" t="s">
        <v>903</v>
      </c>
      <c r="G3975" s="25" t="s">
        <v>5691</v>
      </c>
      <c r="H3975" s="26">
        <v>-3.925E-2</v>
      </c>
      <c r="I3975" s="26"/>
      <c r="J3975" s="26" t="s">
        <v>514</v>
      </c>
      <c r="K3975" s="25" t="s">
        <v>513</v>
      </c>
    </row>
    <row r="3976" spans="1:11" ht="25.5" x14ac:dyDescent="0.25">
      <c r="A3976" s="22">
        <v>2026</v>
      </c>
      <c r="B3976" s="28" t="s">
        <v>203</v>
      </c>
      <c r="C3976" s="28" t="s">
        <v>97</v>
      </c>
      <c r="D3976" s="28" t="s">
        <v>1727</v>
      </c>
      <c r="E3976" s="29" t="s">
        <v>305</v>
      </c>
      <c r="F3976" s="29" t="s">
        <v>903</v>
      </c>
      <c r="G3976" s="25" t="s">
        <v>5692</v>
      </c>
      <c r="H3976" s="26">
        <v>-7.9000000000000001E-2</v>
      </c>
      <c r="I3976" s="26"/>
      <c r="J3976" s="26" t="s">
        <v>514</v>
      </c>
      <c r="K3976" s="25" t="s">
        <v>513</v>
      </c>
    </row>
    <row r="3977" spans="1:11" ht="25.5" x14ac:dyDescent="0.25">
      <c r="A3977" s="22">
        <v>2026</v>
      </c>
      <c r="B3977" s="28" t="s">
        <v>203</v>
      </c>
      <c r="C3977" s="28" t="s">
        <v>97</v>
      </c>
      <c r="D3977" s="28" t="s">
        <v>225</v>
      </c>
      <c r="E3977" s="29" t="s">
        <v>1774</v>
      </c>
      <c r="F3977" s="29" t="s">
        <v>350</v>
      </c>
      <c r="G3977" s="25" t="s">
        <v>5693</v>
      </c>
      <c r="H3977" s="26">
        <v>-0.27801390000000004</v>
      </c>
      <c r="I3977" s="26"/>
      <c r="J3977" s="26" t="s">
        <v>512</v>
      </c>
      <c r="K3977" s="25" t="s">
        <v>513</v>
      </c>
    </row>
    <row r="3978" spans="1:11" ht="25.5" x14ac:dyDescent="0.25">
      <c r="A3978" s="22">
        <v>2026</v>
      </c>
      <c r="B3978" s="28" t="s">
        <v>203</v>
      </c>
      <c r="C3978" s="28" t="s">
        <v>97</v>
      </c>
      <c r="D3978" s="28" t="s">
        <v>225</v>
      </c>
      <c r="E3978" s="29" t="s">
        <v>1774</v>
      </c>
      <c r="F3978" s="29" t="s">
        <v>350</v>
      </c>
      <c r="G3978" s="25" t="s">
        <v>5694</v>
      </c>
      <c r="H3978" s="26">
        <v>-0.2802</v>
      </c>
      <c r="I3978" s="26"/>
      <c r="J3978" s="26" t="s">
        <v>512</v>
      </c>
      <c r="K3978" s="25" t="s">
        <v>513</v>
      </c>
    </row>
    <row r="3979" spans="1:11" ht="25.5" x14ac:dyDescent="0.25">
      <c r="A3979" s="22">
        <v>2026</v>
      </c>
      <c r="B3979" s="28" t="s">
        <v>203</v>
      </c>
      <c r="C3979" s="28" t="s">
        <v>97</v>
      </c>
      <c r="D3979" s="28" t="s">
        <v>225</v>
      </c>
      <c r="E3979" s="29" t="s">
        <v>1774</v>
      </c>
      <c r="F3979" s="29" t="s">
        <v>350</v>
      </c>
      <c r="G3979" s="25" t="s">
        <v>5695</v>
      </c>
      <c r="H3979" s="26">
        <v>-0.141015</v>
      </c>
      <c r="I3979" s="26"/>
      <c r="J3979" s="26" t="s">
        <v>512</v>
      </c>
      <c r="K3979" s="25" t="s">
        <v>513</v>
      </c>
    </row>
    <row r="3980" spans="1:11" ht="25.5" x14ac:dyDescent="0.25">
      <c r="A3980" s="22">
        <v>2026</v>
      </c>
      <c r="B3980" s="28" t="s">
        <v>203</v>
      </c>
      <c r="C3980" s="28" t="s">
        <v>97</v>
      </c>
      <c r="D3980" s="28" t="s">
        <v>1728</v>
      </c>
      <c r="E3980" s="29" t="s">
        <v>1775</v>
      </c>
      <c r="F3980" s="29" t="s">
        <v>374</v>
      </c>
      <c r="G3980" s="25" t="s">
        <v>5696</v>
      </c>
      <c r="H3980" s="26">
        <v>-9.89675E-2</v>
      </c>
      <c r="I3980" s="26"/>
      <c r="J3980" s="26" t="s">
        <v>514</v>
      </c>
      <c r="K3980" s="25" t="s">
        <v>513</v>
      </c>
    </row>
    <row r="3981" spans="1:11" ht="25.5" x14ac:dyDescent="0.25">
      <c r="A3981" s="22">
        <v>2026</v>
      </c>
      <c r="B3981" s="28" t="s">
        <v>203</v>
      </c>
      <c r="C3981" s="28" t="s">
        <v>97</v>
      </c>
      <c r="D3981" s="28" t="s">
        <v>1728</v>
      </c>
      <c r="E3981" s="29" t="s">
        <v>1775</v>
      </c>
      <c r="F3981" s="29" t="s">
        <v>374</v>
      </c>
      <c r="G3981" s="25" t="s">
        <v>5697</v>
      </c>
      <c r="H3981" s="26">
        <v>-0.5099999999999999</v>
      </c>
      <c r="I3981" s="26"/>
      <c r="J3981" s="26" t="s">
        <v>514</v>
      </c>
      <c r="K3981" s="25" t="s">
        <v>513</v>
      </c>
    </row>
    <row r="3982" spans="1:11" ht="25.5" x14ac:dyDescent="0.25">
      <c r="A3982" s="22">
        <v>2026</v>
      </c>
      <c r="B3982" s="28" t="s">
        <v>203</v>
      </c>
      <c r="C3982" s="28" t="s">
        <v>97</v>
      </c>
      <c r="D3982" s="28" t="s">
        <v>1728</v>
      </c>
      <c r="E3982" s="29" t="s">
        <v>1775</v>
      </c>
      <c r="F3982" s="29" t="s">
        <v>374</v>
      </c>
      <c r="G3982" s="25" t="s">
        <v>5698</v>
      </c>
      <c r="H3982" s="26">
        <v>-0.51439999999999997</v>
      </c>
      <c r="I3982" s="26"/>
      <c r="J3982" s="26" t="s">
        <v>514</v>
      </c>
      <c r="K3982" s="25" t="s">
        <v>513</v>
      </c>
    </row>
    <row r="3983" spans="1:11" ht="25.5" x14ac:dyDescent="0.25">
      <c r="A3983" s="22">
        <v>2026</v>
      </c>
      <c r="B3983" s="28" t="s">
        <v>203</v>
      </c>
      <c r="C3983" s="28" t="s">
        <v>97</v>
      </c>
      <c r="D3983" s="28" t="s">
        <v>1728</v>
      </c>
      <c r="E3983" s="29" t="s">
        <v>1775</v>
      </c>
      <c r="F3983" s="29" t="s">
        <v>374</v>
      </c>
      <c r="G3983" s="25" t="s">
        <v>5699</v>
      </c>
      <c r="H3983" s="26">
        <v>-0.32174999999999998</v>
      </c>
      <c r="I3983" s="26"/>
      <c r="J3983" s="26" t="s">
        <v>514</v>
      </c>
      <c r="K3983" s="25" t="s">
        <v>513</v>
      </c>
    </row>
    <row r="3984" spans="1:11" ht="25.5" x14ac:dyDescent="0.25">
      <c r="A3984" s="22">
        <v>2026</v>
      </c>
      <c r="B3984" s="28" t="s">
        <v>203</v>
      </c>
      <c r="C3984" s="28" t="s">
        <v>97</v>
      </c>
      <c r="D3984" s="28" t="s">
        <v>1728</v>
      </c>
      <c r="E3984" s="29" t="s">
        <v>1775</v>
      </c>
      <c r="F3984" s="29" t="s">
        <v>374</v>
      </c>
      <c r="G3984" s="25" t="s">
        <v>3300</v>
      </c>
      <c r="H3984" s="26">
        <v>-0.32100000000000001</v>
      </c>
      <c r="I3984" s="26"/>
      <c r="J3984" s="26" t="s">
        <v>514</v>
      </c>
      <c r="K3984" s="25" t="s">
        <v>513</v>
      </c>
    </row>
    <row r="3985" spans="1:11" ht="25.5" x14ac:dyDescent="0.25">
      <c r="A3985" s="22">
        <v>2026</v>
      </c>
      <c r="B3985" s="28" t="s">
        <v>203</v>
      </c>
      <c r="C3985" s="28" t="s">
        <v>97</v>
      </c>
      <c r="D3985" s="28" t="s">
        <v>1728</v>
      </c>
      <c r="E3985" s="29" t="s">
        <v>1775</v>
      </c>
      <c r="F3985" s="29" t="s">
        <v>374</v>
      </c>
      <c r="G3985" s="25" t="s">
        <v>5700</v>
      </c>
      <c r="H3985" s="26">
        <v>-0.37264999999999998</v>
      </c>
      <c r="I3985" s="26"/>
      <c r="J3985" s="26" t="s">
        <v>514</v>
      </c>
      <c r="K3985" s="25" t="s">
        <v>513</v>
      </c>
    </row>
    <row r="3986" spans="1:11" ht="25.5" x14ac:dyDescent="0.25">
      <c r="A3986" s="22">
        <v>2026</v>
      </c>
      <c r="B3986" s="28" t="s">
        <v>203</v>
      </c>
      <c r="C3986" s="28" t="s">
        <v>97</v>
      </c>
      <c r="D3986" s="28" t="s">
        <v>1728</v>
      </c>
      <c r="E3986" s="29" t="s">
        <v>1775</v>
      </c>
      <c r="F3986" s="29" t="s">
        <v>374</v>
      </c>
      <c r="G3986" s="25" t="s">
        <v>5701</v>
      </c>
      <c r="H3986" s="26">
        <v>-0.128</v>
      </c>
      <c r="I3986" s="26"/>
      <c r="J3986" s="26" t="s">
        <v>514</v>
      </c>
      <c r="K3986" s="25" t="s">
        <v>513</v>
      </c>
    </row>
    <row r="3987" spans="1:11" ht="25.5" x14ac:dyDescent="0.25">
      <c r="A3987" s="22">
        <v>2026</v>
      </c>
      <c r="B3987" s="28" t="s">
        <v>203</v>
      </c>
      <c r="C3987" s="28" t="s">
        <v>97</v>
      </c>
      <c r="D3987" s="28" t="s">
        <v>1728</v>
      </c>
      <c r="E3987" s="29" t="s">
        <v>1775</v>
      </c>
      <c r="F3987" s="29" t="s">
        <v>374</v>
      </c>
      <c r="G3987" s="25" t="s">
        <v>5702</v>
      </c>
      <c r="H3987" s="26">
        <v>-9.9549858000000005E-2</v>
      </c>
      <c r="I3987" s="26"/>
      <c r="J3987" s="26" t="s">
        <v>514</v>
      </c>
      <c r="K3987" s="25" t="s">
        <v>513</v>
      </c>
    </row>
    <row r="3988" spans="1:11" ht="25.5" x14ac:dyDescent="0.25">
      <c r="A3988" s="22">
        <v>2026</v>
      </c>
      <c r="B3988" s="28" t="s">
        <v>203</v>
      </c>
      <c r="C3988" s="28" t="s">
        <v>97</v>
      </c>
      <c r="D3988" s="28" t="s">
        <v>1728</v>
      </c>
      <c r="E3988" s="29" t="s">
        <v>1775</v>
      </c>
      <c r="F3988" s="29" t="s">
        <v>374</v>
      </c>
      <c r="G3988" s="25" t="s">
        <v>5703</v>
      </c>
      <c r="H3988" s="26">
        <v>-0.19905</v>
      </c>
      <c r="I3988" s="26"/>
      <c r="J3988" s="26" t="s">
        <v>514</v>
      </c>
      <c r="K3988" s="25" t="s">
        <v>513</v>
      </c>
    </row>
    <row r="3989" spans="1:11" ht="25.5" x14ac:dyDescent="0.25">
      <c r="A3989" s="22">
        <v>2026</v>
      </c>
      <c r="B3989" s="28" t="s">
        <v>203</v>
      </c>
      <c r="C3989" s="28" t="s">
        <v>97</v>
      </c>
      <c r="D3989" s="28" t="s">
        <v>1728</v>
      </c>
      <c r="E3989" s="29" t="s">
        <v>1775</v>
      </c>
      <c r="F3989" s="29" t="s">
        <v>374</v>
      </c>
      <c r="G3989" s="25" t="s">
        <v>5704</v>
      </c>
      <c r="H3989" s="26">
        <v>-0.11389025</v>
      </c>
      <c r="I3989" s="26"/>
      <c r="J3989" s="26" t="s">
        <v>514</v>
      </c>
      <c r="K3989" s="25" t="s">
        <v>513</v>
      </c>
    </row>
    <row r="3990" spans="1:11" ht="25.5" x14ac:dyDescent="0.25">
      <c r="A3990" s="22">
        <v>2026</v>
      </c>
      <c r="B3990" s="28" t="s">
        <v>203</v>
      </c>
      <c r="C3990" s="28" t="s">
        <v>97</v>
      </c>
      <c r="D3990" s="28" t="s">
        <v>1728</v>
      </c>
      <c r="E3990" s="29" t="s">
        <v>1775</v>
      </c>
      <c r="F3990" s="29" t="s">
        <v>374</v>
      </c>
      <c r="G3990" s="25" t="s">
        <v>5705</v>
      </c>
      <c r="H3990" s="26">
        <v>-0.2019</v>
      </c>
      <c r="I3990" s="26"/>
      <c r="J3990" s="26" t="s">
        <v>514</v>
      </c>
      <c r="K3990" s="25" t="s">
        <v>513</v>
      </c>
    </row>
    <row r="3991" spans="1:11" ht="25.5" x14ac:dyDescent="0.25">
      <c r="A3991" s="22">
        <v>2026</v>
      </c>
      <c r="B3991" s="28" t="s">
        <v>203</v>
      </c>
      <c r="C3991" s="28" t="s">
        <v>97</v>
      </c>
      <c r="D3991" s="28" t="s">
        <v>1728</v>
      </c>
      <c r="E3991" s="29" t="s">
        <v>1775</v>
      </c>
      <c r="F3991" s="29" t="s">
        <v>374</v>
      </c>
      <c r="G3991" s="25" t="s">
        <v>5706</v>
      </c>
      <c r="H3991" s="26">
        <v>-0.19589999999999999</v>
      </c>
      <c r="I3991" s="26"/>
      <c r="J3991" s="26" t="s">
        <v>514</v>
      </c>
      <c r="K3991" s="25" t="s">
        <v>513</v>
      </c>
    </row>
    <row r="3992" spans="1:11" ht="25.5" x14ac:dyDescent="0.25">
      <c r="A3992" s="22">
        <v>2026</v>
      </c>
      <c r="B3992" s="28" t="s">
        <v>203</v>
      </c>
      <c r="C3992" s="28" t="s">
        <v>97</v>
      </c>
      <c r="D3992" s="28" t="s">
        <v>1728</v>
      </c>
      <c r="E3992" s="29" t="s">
        <v>1775</v>
      </c>
      <c r="F3992" s="29" t="s">
        <v>374</v>
      </c>
      <c r="G3992" s="25" t="s">
        <v>5707</v>
      </c>
      <c r="H3992" s="26">
        <v>-0.19664999999999999</v>
      </c>
      <c r="I3992" s="26"/>
      <c r="J3992" s="26" t="s">
        <v>514</v>
      </c>
      <c r="K3992" s="25" t="s">
        <v>513</v>
      </c>
    </row>
    <row r="3993" spans="1:11" ht="25.5" x14ac:dyDescent="0.25">
      <c r="A3993" s="22">
        <v>2026</v>
      </c>
      <c r="B3993" s="28" t="s">
        <v>203</v>
      </c>
      <c r="C3993" s="28" t="s">
        <v>97</v>
      </c>
      <c r="D3993" s="28" t="s">
        <v>1728</v>
      </c>
      <c r="E3993" s="29" t="s">
        <v>1775</v>
      </c>
      <c r="F3993" s="29" t="s">
        <v>374</v>
      </c>
      <c r="G3993" s="25" t="s">
        <v>5708</v>
      </c>
      <c r="H3993" s="26">
        <v>-0.19620000000000001</v>
      </c>
      <c r="I3993" s="26"/>
      <c r="J3993" s="26" t="s">
        <v>514</v>
      </c>
      <c r="K3993" s="25" t="s">
        <v>513</v>
      </c>
    </row>
    <row r="3994" spans="1:11" ht="25.5" x14ac:dyDescent="0.25">
      <c r="A3994" s="22">
        <v>2026</v>
      </c>
      <c r="B3994" s="28" t="s">
        <v>203</v>
      </c>
      <c r="C3994" s="28" t="s">
        <v>97</v>
      </c>
      <c r="D3994" s="28" t="s">
        <v>1728</v>
      </c>
      <c r="E3994" s="29" t="s">
        <v>1775</v>
      </c>
      <c r="F3994" s="29" t="s">
        <v>374</v>
      </c>
      <c r="G3994" s="25" t="s">
        <v>5709</v>
      </c>
      <c r="H3994" s="26">
        <v>-0.1968</v>
      </c>
      <c r="I3994" s="26"/>
      <c r="J3994" s="26" t="s">
        <v>514</v>
      </c>
      <c r="K3994" s="25" t="s">
        <v>513</v>
      </c>
    </row>
    <row r="3995" spans="1:11" ht="25.5" x14ac:dyDescent="0.25">
      <c r="A3995" s="22">
        <v>2026</v>
      </c>
      <c r="B3995" s="28" t="s">
        <v>203</v>
      </c>
      <c r="C3995" s="28" t="s">
        <v>97</v>
      </c>
      <c r="D3995" s="28" t="s">
        <v>1728</v>
      </c>
      <c r="E3995" s="29" t="s">
        <v>1775</v>
      </c>
      <c r="F3995" s="29" t="s">
        <v>374</v>
      </c>
      <c r="G3995" s="25" t="s">
        <v>5710</v>
      </c>
      <c r="H3995" s="26">
        <v>-0.21007999999999999</v>
      </c>
      <c r="I3995" s="26"/>
      <c r="J3995" s="26" t="s">
        <v>514</v>
      </c>
      <c r="K3995" s="25" t="s">
        <v>513</v>
      </c>
    </row>
    <row r="3996" spans="1:11" ht="25.5" x14ac:dyDescent="0.25">
      <c r="A3996" s="22">
        <v>2026</v>
      </c>
      <c r="B3996" s="28" t="s">
        <v>203</v>
      </c>
      <c r="C3996" s="28" t="s">
        <v>97</v>
      </c>
      <c r="D3996" s="28" t="s">
        <v>1728</v>
      </c>
      <c r="E3996" s="29" t="s">
        <v>1775</v>
      </c>
      <c r="F3996" s="29" t="s">
        <v>374</v>
      </c>
      <c r="G3996" s="25" t="s">
        <v>5711</v>
      </c>
      <c r="H3996" s="26">
        <v>-0.1983</v>
      </c>
      <c r="I3996" s="26"/>
      <c r="J3996" s="26" t="s">
        <v>514</v>
      </c>
      <c r="K3996" s="25" t="s">
        <v>513</v>
      </c>
    </row>
    <row r="3997" spans="1:11" ht="25.5" x14ac:dyDescent="0.25">
      <c r="A3997" s="22">
        <v>2026</v>
      </c>
      <c r="B3997" s="28" t="s">
        <v>203</v>
      </c>
      <c r="C3997" s="28" t="s">
        <v>97</v>
      </c>
      <c r="D3997" s="28" t="s">
        <v>1729</v>
      </c>
      <c r="E3997" s="29" t="s">
        <v>334</v>
      </c>
      <c r="F3997" s="29" t="s">
        <v>937</v>
      </c>
      <c r="G3997" s="25" t="s">
        <v>5712</v>
      </c>
      <c r="H3997" s="26">
        <v>-0.105</v>
      </c>
      <c r="I3997" s="26"/>
      <c r="J3997" s="26" t="s">
        <v>512</v>
      </c>
      <c r="K3997" s="25" t="s">
        <v>513</v>
      </c>
    </row>
    <row r="3998" spans="1:11" ht="25.5" x14ac:dyDescent="0.25">
      <c r="A3998" s="22">
        <v>2026</v>
      </c>
      <c r="B3998" s="28" t="s">
        <v>203</v>
      </c>
      <c r="C3998" s="28" t="s">
        <v>97</v>
      </c>
      <c r="D3998" s="28" t="s">
        <v>1729</v>
      </c>
      <c r="E3998" s="29" t="s">
        <v>334</v>
      </c>
      <c r="F3998" s="29" t="s">
        <v>937</v>
      </c>
      <c r="G3998" s="25" t="s">
        <v>5142</v>
      </c>
      <c r="H3998" s="26">
        <v>-0.21749999999999997</v>
      </c>
      <c r="I3998" s="26"/>
      <c r="J3998" s="26" t="s">
        <v>512</v>
      </c>
      <c r="K3998" s="25" t="s">
        <v>513</v>
      </c>
    </row>
    <row r="3999" spans="1:11" ht="25.5" x14ac:dyDescent="0.25">
      <c r="A3999" s="22">
        <v>2026</v>
      </c>
      <c r="B3999" s="28" t="s">
        <v>203</v>
      </c>
      <c r="C3999" s="28" t="s">
        <v>97</v>
      </c>
      <c r="D3999" s="28" t="s">
        <v>1729</v>
      </c>
      <c r="E3999" s="29" t="s">
        <v>334</v>
      </c>
      <c r="F3999" s="29" t="s">
        <v>937</v>
      </c>
      <c r="G3999" s="25" t="s">
        <v>2355</v>
      </c>
      <c r="H3999" s="26">
        <v>-0.22000000000000003</v>
      </c>
      <c r="I3999" s="26"/>
      <c r="J3999" s="26" t="s">
        <v>512</v>
      </c>
      <c r="K3999" s="25" t="s">
        <v>513</v>
      </c>
    </row>
    <row r="4000" spans="1:11" ht="25.5" x14ac:dyDescent="0.25">
      <c r="A4000" s="22">
        <v>2026</v>
      </c>
      <c r="B4000" s="28" t="s">
        <v>203</v>
      </c>
      <c r="C4000" s="28" t="s">
        <v>97</v>
      </c>
      <c r="D4000" s="28" t="s">
        <v>1729</v>
      </c>
      <c r="E4000" s="29" t="s">
        <v>334</v>
      </c>
      <c r="F4000" s="29" t="s">
        <v>937</v>
      </c>
      <c r="G4000" s="25" t="s">
        <v>5713</v>
      </c>
      <c r="H4000" s="26">
        <v>-0.33300000000000007</v>
      </c>
      <c r="I4000" s="26"/>
      <c r="J4000" s="26" t="s">
        <v>512</v>
      </c>
      <c r="K4000" s="25" t="s">
        <v>513</v>
      </c>
    </row>
    <row r="4001" spans="1:11" ht="25.5" x14ac:dyDescent="0.25">
      <c r="A4001" s="22">
        <v>2026</v>
      </c>
      <c r="B4001" s="28" t="s">
        <v>203</v>
      </c>
      <c r="C4001" s="28" t="s">
        <v>97</v>
      </c>
      <c r="D4001" s="28" t="s">
        <v>1729</v>
      </c>
      <c r="E4001" s="29" t="s">
        <v>334</v>
      </c>
      <c r="F4001" s="29" t="s">
        <v>937</v>
      </c>
      <c r="G4001" s="25" t="s">
        <v>5714</v>
      </c>
      <c r="H4001" s="26">
        <v>-0.33450000000000002</v>
      </c>
      <c r="I4001" s="26"/>
      <c r="J4001" s="26" t="s">
        <v>512</v>
      </c>
      <c r="K4001" s="25" t="s">
        <v>513</v>
      </c>
    </row>
    <row r="4002" spans="1:11" ht="25.5" x14ac:dyDescent="0.25">
      <c r="A4002" s="22">
        <v>2026</v>
      </c>
      <c r="B4002" s="28" t="s">
        <v>203</v>
      </c>
      <c r="C4002" s="28" t="s">
        <v>97</v>
      </c>
      <c r="D4002" s="28" t="s">
        <v>1729</v>
      </c>
      <c r="E4002" s="29" t="s">
        <v>334</v>
      </c>
      <c r="F4002" s="29" t="s">
        <v>937</v>
      </c>
      <c r="G4002" s="25" t="s">
        <v>5713</v>
      </c>
      <c r="H4002" s="26">
        <v>-0.33300000000000007</v>
      </c>
      <c r="I4002" s="26"/>
      <c r="J4002" s="26" t="s">
        <v>512</v>
      </c>
      <c r="K4002" s="25" t="s">
        <v>513</v>
      </c>
    </row>
    <row r="4003" spans="1:11" ht="25.5" x14ac:dyDescent="0.25">
      <c r="A4003" s="22">
        <v>2026</v>
      </c>
      <c r="B4003" s="28" t="s">
        <v>203</v>
      </c>
      <c r="C4003" s="28" t="s">
        <v>97</v>
      </c>
      <c r="D4003" s="28" t="s">
        <v>1729</v>
      </c>
      <c r="E4003" s="29" t="s">
        <v>334</v>
      </c>
      <c r="F4003" s="29" t="s">
        <v>937</v>
      </c>
      <c r="G4003" s="25" t="s">
        <v>5715</v>
      </c>
      <c r="H4003" s="26">
        <v>-0.4415</v>
      </c>
      <c r="I4003" s="26"/>
      <c r="J4003" s="26" t="s">
        <v>512</v>
      </c>
      <c r="K4003" s="25" t="s">
        <v>513</v>
      </c>
    </row>
    <row r="4004" spans="1:11" ht="25.5" x14ac:dyDescent="0.25">
      <c r="A4004" s="22">
        <v>2026</v>
      </c>
      <c r="B4004" s="28" t="s">
        <v>203</v>
      </c>
      <c r="C4004" s="28" t="s">
        <v>97</v>
      </c>
      <c r="D4004" s="28" t="s">
        <v>1730</v>
      </c>
      <c r="E4004" s="29" t="s">
        <v>309</v>
      </c>
      <c r="F4004" s="29" t="s">
        <v>1274</v>
      </c>
      <c r="G4004" s="25" t="s">
        <v>5716</v>
      </c>
      <c r="H4004" s="26">
        <v>-0.10999776819999998</v>
      </c>
      <c r="I4004" s="26"/>
      <c r="J4004" s="26" t="s">
        <v>512</v>
      </c>
      <c r="K4004" s="25" t="s">
        <v>513</v>
      </c>
    </row>
    <row r="4005" spans="1:11" ht="25.5" x14ac:dyDescent="0.25">
      <c r="A4005" s="22">
        <v>2026</v>
      </c>
      <c r="B4005" s="28" t="s">
        <v>203</v>
      </c>
      <c r="C4005" s="28" t="s">
        <v>97</v>
      </c>
      <c r="D4005" s="28" t="s">
        <v>1730</v>
      </c>
      <c r="E4005" s="29" t="s">
        <v>309</v>
      </c>
      <c r="F4005" s="29" t="s">
        <v>1274</v>
      </c>
      <c r="G4005" s="25" t="s">
        <v>5717</v>
      </c>
      <c r="H4005" s="26">
        <v>-0.44358717129999997</v>
      </c>
      <c r="I4005" s="26"/>
      <c r="J4005" s="26" t="s">
        <v>512</v>
      </c>
      <c r="K4005" s="25" t="s">
        <v>513</v>
      </c>
    </row>
    <row r="4006" spans="1:11" ht="25.5" x14ac:dyDescent="0.25">
      <c r="A4006" s="22">
        <v>2026</v>
      </c>
      <c r="B4006" s="28" t="s">
        <v>203</v>
      </c>
      <c r="C4006" s="28" t="s">
        <v>97</v>
      </c>
      <c r="D4006" s="28" t="s">
        <v>1730</v>
      </c>
      <c r="E4006" s="29" t="s">
        <v>309</v>
      </c>
      <c r="F4006" s="29" t="s">
        <v>1274</v>
      </c>
      <c r="G4006" s="25" t="s">
        <v>5718</v>
      </c>
      <c r="H4006" s="26">
        <v>-0.30553300569999997</v>
      </c>
      <c r="I4006" s="26"/>
      <c r="J4006" s="26" t="s">
        <v>512</v>
      </c>
      <c r="K4006" s="25" t="s">
        <v>513</v>
      </c>
    </row>
    <row r="4007" spans="1:11" ht="25.5" x14ac:dyDescent="0.25">
      <c r="A4007" s="22">
        <v>2026</v>
      </c>
      <c r="B4007" s="28" t="s">
        <v>203</v>
      </c>
      <c r="C4007" s="28" t="s">
        <v>97</v>
      </c>
      <c r="D4007" s="28" t="s">
        <v>1730</v>
      </c>
      <c r="E4007" s="29" t="s">
        <v>309</v>
      </c>
      <c r="F4007" s="29" t="s">
        <v>1274</v>
      </c>
      <c r="G4007" s="25" t="s">
        <v>5719</v>
      </c>
      <c r="H4007" s="26">
        <v>-0.22720000000000001</v>
      </c>
      <c r="I4007" s="26"/>
      <c r="J4007" s="26" t="s">
        <v>512</v>
      </c>
      <c r="K4007" s="25" t="s">
        <v>513</v>
      </c>
    </row>
    <row r="4008" spans="1:11" ht="25.5" x14ac:dyDescent="0.25">
      <c r="A4008" s="22">
        <v>2026</v>
      </c>
      <c r="B4008" s="28" t="s">
        <v>203</v>
      </c>
      <c r="C4008" s="28" t="s">
        <v>97</v>
      </c>
      <c r="D4008" s="28" t="s">
        <v>1730</v>
      </c>
      <c r="E4008" s="29" t="s">
        <v>309</v>
      </c>
      <c r="F4008" s="29" t="s">
        <v>1274</v>
      </c>
      <c r="G4008" s="25" t="s">
        <v>5720</v>
      </c>
      <c r="H4008" s="26">
        <v>-0.22739999999999996</v>
      </c>
      <c r="I4008" s="26"/>
      <c r="J4008" s="26" t="s">
        <v>512</v>
      </c>
      <c r="K4008" s="25" t="s">
        <v>513</v>
      </c>
    </row>
    <row r="4009" spans="1:11" ht="25.5" x14ac:dyDescent="0.25">
      <c r="A4009" s="22">
        <v>2026</v>
      </c>
      <c r="B4009" s="28" t="s">
        <v>203</v>
      </c>
      <c r="C4009" s="28" t="s">
        <v>97</v>
      </c>
      <c r="D4009" s="28" t="s">
        <v>1730</v>
      </c>
      <c r="E4009" s="29" t="s">
        <v>309</v>
      </c>
      <c r="F4009" s="29" t="s">
        <v>1274</v>
      </c>
      <c r="G4009" s="25" t="s">
        <v>5721</v>
      </c>
      <c r="H4009" s="26">
        <v>-0.1152</v>
      </c>
      <c r="I4009" s="26"/>
      <c r="J4009" s="26" t="s">
        <v>512</v>
      </c>
      <c r="K4009" s="25" t="s">
        <v>513</v>
      </c>
    </row>
    <row r="4010" spans="1:11" ht="25.5" x14ac:dyDescent="0.25">
      <c r="A4010" s="22">
        <v>2026</v>
      </c>
      <c r="B4010" s="28" t="s">
        <v>203</v>
      </c>
      <c r="C4010" s="28" t="s">
        <v>97</v>
      </c>
      <c r="D4010" s="28" t="s">
        <v>1730</v>
      </c>
      <c r="E4010" s="29" t="s">
        <v>309</v>
      </c>
      <c r="F4010" s="29" t="s">
        <v>1274</v>
      </c>
      <c r="G4010" s="25" t="s">
        <v>5722</v>
      </c>
      <c r="H4010" s="26">
        <v>-0.65064618399999996</v>
      </c>
      <c r="I4010" s="26"/>
      <c r="J4010" s="26" t="s">
        <v>512</v>
      </c>
      <c r="K4010" s="25" t="s">
        <v>513</v>
      </c>
    </row>
    <row r="4011" spans="1:11" ht="25.5" x14ac:dyDescent="0.25">
      <c r="A4011" s="22">
        <v>2026</v>
      </c>
      <c r="B4011" s="28" t="s">
        <v>203</v>
      </c>
      <c r="C4011" s="28" t="s">
        <v>97</v>
      </c>
      <c r="D4011" s="28" t="s">
        <v>1730</v>
      </c>
      <c r="E4011" s="29" t="s">
        <v>309</v>
      </c>
      <c r="F4011" s="29" t="s">
        <v>1274</v>
      </c>
      <c r="G4011" s="25" t="s">
        <v>5723</v>
      </c>
      <c r="H4011" s="26">
        <v>-0.20376168</v>
      </c>
      <c r="I4011" s="26"/>
      <c r="J4011" s="26" t="s">
        <v>512</v>
      </c>
      <c r="K4011" s="25" t="s">
        <v>513</v>
      </c>
    </row>
    <row r="4012" spans="1:11" ht="25.5" x14ac:dyDescent="0.25">
      <c r="A4012" s="22">
        <v>2026</v>
      </c>
      <c r="B4012" s="28" t="s">
        <v>203</v>
      </c>
      <c r="C4012" s="28" t="s">
        <v>97</v>
      </c>
      <c r="D4012" s="28" t="s">
        <v>1730</v>
      </c>
      <c r="E4012" s="29" t="s">
        <v>309</v>
      </c>
      <c r="F4012" s="29" t="s">
        <v>1274</v>
      </c>
      <c r="G4012" s="25" t="s">
        <v>5724</v>
      </c>
      <c r="H4012" s="26">
        <v>-0.63764238090000003</v>
      </c>
      <c r="I4012" s="26"/>
      <c r="J4012" s="26" t="s">
        <v>512</v>
      </c>
      <c r="K4012" s="25" t="s">
        <v>513</v>
      </c>
    </row>
    <row r="4013" spans="1:11" ht="25.5" x14ac:dyDescent="0.25">
      <c r="A4013" s="22">
        <v>2026</v>
      </c>
      <c r="B4013" s="28" t="s">
        <v>203</v>
      </c>
      <c r="C4013" s="28" t="s">
        <v>97</v>
      </c>
      <c r="D4013" s="28" t="s">
        <v>1730</v>
      </c>
      <c r="E4013" s="29" t="s">
        <v>309</v>
      </c>
      <c r="F4013" s="29" t="s">
        <v>1274</v>
      </c>
      <c r="G4013" s="25" t="s">
        <v>5725</v>
      </c>
      <c r="H4013" s="26">
        <v>-0.54876438599999999</v>
      </c>
      <c r="I4013" s="26"/>
      <c r="J4013" s="26" t="s">
        <v>512</v>
      </c>
      <c r="K4013" s="25" t="s">
        <v>513</v>
      </c>
    </row>
    <row r="4014" spans="1:11" ht="25.5" x14ac:dyDescent="0.25">
      <c r="A4014" s="22">
        <v>2026</v>
      </c>
      <c r="B4014" s="28" t="s">
        <v>203</v>
      </c>
      <c r="C4014" s="28" t="s">
        <v>97</v>
      </c>
      <c r="D4014" s="28" t="s">
        <v>1731</v>
      </c>
      <c r="E4014" s="29" t="s">
        <v>309</v>
      </c>
      <c r="F4014" s="29" t="s">
        <v>1762</v>
      </c>
      <c r="G4014" s="25" t="s">
        <v>5726</v>
      </c>
      <c r="H4014" s="26">
        <v>-0.34521249999999998</v>
      </c>
      <c r="I4014" s="26"/>
      <c r="J4014" s="26" t="s">
        <v>512</v>
      </c>
      <c r="K4014" s="25" t="s">
        <v>513</v>
      </c>
    </row>
    <row r="4015" spans="1:11" ht="25.5" x14ac:dyDescent="0.25">
      <c r="A4015" s="22">
        <v>2026</v>
      </c>
      <c r="B4015" s="28" t="s">
        <v>203</v>
      </c>
      <c r="C4015" s="28" t="s">
        <v>97</v>
      </c>
      <c r="D4015" s="28" t="s">
        <v>1731</v>
      </c>
      <c r="E4015" s="29" t="s">
        <v>309</v>
      </c>
      <c r="F4015" s="29" t="s">
        <v>1762</v>
      </c>
      <c r="G4015" s="25" t="s">
        <v>5727</v>
      </c>
      <c r="H4015" s="26">
        <v>-0.27986</v>
      </c>
      <c r="I4015" s="26"/>
      <c r="J4015" s="26" t="s">
        <v>512</v>
      </c>
      <c r="K4015" s="25" t="s">
        <v>513</v>
      </c>
    </row>
    <row r="4016" spans="1:11" ht="25.5" x14ac:dyDescent="0.25">
      <c r="A4016" s="22">
        <v>2026</v>
      </c>
      <c r="B4016" s="28" t="s">
        <v>203</v>
      </c>
      <c r="C4016" s="28" t="s">
        <v>97</v>
      </c>
      <c r="D4016" s="28" t="s">
        <v>1731</v>
      </c>
      <c r="E4016" s="29" t="s">
        <v>309</v>
      </c>
      <c r="F4016" s="29" t="s">
        <v>1762</v>
      </c>
      <c r="G4016" s="25" t="s">
        <v>5728</v>
      </c>
      <c r="H4016" s="26">
        <v>-0.16951571909999999</v>
      </c>
      <c r="I4016" s="26"/>
      <c r="J4016" s="26" t="s">
        <v>512</v>
      </c>
      <c r="K4016" s="25" t="s">
        <v>513</v>
      </c>
    </row>
    <row r="4017" spans="1:11" ht="25.5" x14ac:dyDescent="0.25">
      <c r="A4017" s="22">
        <v>2026</v>
      </c>
      <c r="B4017" s="28" t="s">
        <v>203</v>
      </c>
      <c r="C4017" s="28" t="s">
        <v>97</v>
      </c>
      <c r="D4017" s="28" t="s">
        <v>1731</v>
      </c>
      <c r="E4017" s="29" t="s">
        <v>309</v>
      </c>
      <c r="F4017" s="29" t="s">
        <v>1762</v>
      </c>
      <c r="G4017" s="25" t="s">
        <v>5729</v>
      </c>
      <c r="H4017" s="26">
        <v>-9.4810433399999991E-2</v>
      </c>
      <c r="I4017" s="26"/>
      <c r="J4017" s="26" t="s">
        <v>512</v>
      </c>
      <c r="K4017" s="25" t="s">
        <v>513</v>
      </c>
    </row>
    <row r="4018" spans="1:11" ht="25.5" x14ac:dyDescent="0.25">
      <c r="A4018" s="22">
        <v>2026</v>
      </c>
      <c r="B4018" s="28" t="s">
        <v>203</v>
      </c>
      <c r="C4018" s="28" t="s">
        <v>97</v>
      </c>
      <c r="D4018" s="28" t="s">
        <v>1731</v>
      </c>
      <c r="E4018" s="29" t="s">
        <v>309</v>
      </c>
      <c r="F4018" s="29" t="s">
        <v>1762</v>
      </c>
      <c r="G4018" s="25" t="s">
        <v>5730</v>
      </c>
      <c r="H4018" s="26">
        <v>-0.23223839099999996</v>
      </c>
      <c r="I4018" s="26"/>
      <c r="J4018" s="26" t="s">
        <v>512</v>
      </c>
      <c r="K4018" s="25" t="s">
        <v>513</v>
      </c>
    </row>
    <row r="4019" spans="1:11" ht="25.5" x14ac:dyDescent="0.25">
      <c r="A4019" s="22">
        <v>2026</v>
      </c>
      <c r="B4019" s="28" t="s">
        <v>203</v>
      </c>
      <c r="C4019" s="28" t="s">
        <v>97</v>
      </c>
      <c r="D4019" s="28" t="s">
        <v>1731</v>
      </c>
      <c r="E4019" s="29" t="s">
        <v>309</v>
      </c>
      <c r="F4019" s="29" t="s">
        <v>1762</v>
      </c>
      <c r="G4019" s="25" t="s">
        <v>5731</v>
      </c>
      <c r="H4019" s="26">
        <v>-0.14080000000000001</v>
      </c>
      <c r="I4019" s="26"/>
      <c r="J4019" s="26" t="s">
        <v>512</v>
      </c>
      <c r="K4019" s="25" t="s">
        <v>513</v>
      </c>
    </row>
    <row r="4020" spans="1:11" ht="25.5" x14ac:dyDescent="0.25">
      <c r="A4020" s="22">
        <v>2026</v>
      </c>
      <c r="B4020" s="28" t="s">
        <v>203</v>
      </c>
      <c r="C4020" s="28" t="s">
        <v>97</v>
      </c>
      <c r="D4020" s="28" t="s">
        <v>179</v>
      </c>
      <c r="E4020" s="29" t="s">
        <v>309</v>
      </c>
      <c r="F4020" s="29" t="s">
        <v>287</v>
      </c>
      <c r="G4020" s="25" t="s">
        <v>5758</v>
      </c>
      <c r="H4020" s="26">
        <v>-0.44752500000000001</v>
      </c>
      <c r="I4020" s="26"/>
      <c r="J4020" s="26" t="s">
        <v>512</v>
      </c>
      <c r="K4020" s="25" t="s">
        <v>513</v>
      </c>
    </row>
    <row r="4021" spans="1:11" ht="25.5" x14ac:dyDescent="0.25">
      <c r="A4021" s="22">
        <v>2026</v>
      </c>
      <c r="B4021" s="28" t="s">
        <v>203</v>
      </c>
      <c r="C4021" s="28" t="s">
        <v>97</v>
      </c>
      <c r="D4021" s="28" t="s">
        <v>179</v>
      </c>
      <c r="E4021" s="29" t="s">
        <v>309</v>
      </c>
      <c r="F4021" s="29" t="s">
        <v>287</v>
      </c>
      <c r="G4021" s="25" t="s">
        <v>5759</v>
      </c>
      <c r="H4021" s="26">
        <v>-0.17266811599999998</v>
      </c>
      <c r="I4021" s="26"/>
      <c r="J4021" s="26" t="s">
        <v>512</v>
      </c>
      <c r="K4021" s="25" t="s">
        <v>513</v>
      </c>
    </row>
    <row r="4022" spans="1:11" ht="25.5" x14ac:dyDescent="0.25">
      <c r="A4022" s="22">
        <v>2026</v>
      </c>
      <c r="B4022" s="28" t="s">
        <v>203</v>
      </c>
      <c r="C4022" s="28" t="s">
        <v>97</v>
      </c>
      <c r="D4022" s="28" t="s">
        <v>179</v>
      </c>
      <c r="E4022" s="29" t="s">
        <v>309</v>
      </c>
      <c r="F4022" s="29" t="s">
        <v>287</v>
      </c>
      <c r="G4022" s="25" t="s">
        <v>5760</v>
      </c>
      <c r="H4022" s="26">
        <v>-0.89449999999999996</v>
      </c>
      <c r="I4022" s="26"/>
      <c r="J4022" s="26" t="s">
        <v>512</v>
      </c>
      <c r="K4022" s="25" t="s">
        <v>513</v>
      </c>
    </row>
    <row r="4023" spans="1:11" ht="25.5" x14ac:dyDescent="0.25">
      <c r="A4023" s="22">
        <v>2026</v>
      </c>
      <c r="B4023" s="28" t="s">
        <v>203</v>
      </c>
      <c r="C4023" s="28" t="s">
        <v>97</v>
      </c>
      <c r="D4023" s="28" t="s">
        <v>179</v>
      </c>
      <c r="E4023" s="29" t="s">
        <v>309</v>
      </c>
      <c r="F4023" s="29" t="s">
        <v>287</v>
      </c>
      <c r="G4023" s="25" t="s">
        <v>5761</v>
      </c>
      <c r="H4023" s="26">
        <v>-0.91744999999999999</v>
      </c>
      <c r="I4023" s="26"/>
      <c r="J4023" s="26" t="s">
        <v>512</v>
      </c>
      <c r="K4023" s="25" t="s">
        <v>513</v>
      </c>
    </row>
    <row r="4024" spans="1:11" ht="25.5" x14ac:dyDescent="0.25">
      <c r="A4024" s="22">
        <v>2026</v>
      </c>
      <c r="B4024" s="28" t="s">
        <v>203</v>
      </c>
      <c r="C4024" s="28" t="s">
        <v>97</v>
      </c>
      <c r="D4024" s="28" t="s">
        <v>179</v>
      </c>
      <c r="E4024" s="29" t="s">
        <v>309</v>
      </c>
      <c r="F4024" s="29" t="s">
        <v>287</v>
      </c>
      <c r="G4024" s="25" t="s">
        <v>5762</v>
      </c>
      <c r="H4024" s="26">
        <v>-0.46407500000000002</v>
      </c>
      <c r="I4024" s="26"/>
      <c r="J4024" s="26" t="s">
        <v>512</v>
      </c>
      <c r="K4024" s="25" t="s">
        <v>513</v>
      </c>
    </row>
    <row r="4025" spans="1:11" ht="25.5" x14ac:dyDescent="0.25">
      <c r="A4025" s="22">
        <v>2026</v>
      </c>
      <c r="B4025" s="28" t="s">
        <v>203</v>
      </c>
      <c r="C4025" s="28" t="s">
        <v>97</v>
      </c>
      <c r="D4025" s="28" t="s">
        <v>179</v>
      </c>
      <c r="E4025" s="29" t="s">
        <v>309</v>
      </c>
      <c r="F4025" s="29" t="s">
        <v>287</v>
      </c>
      <c r="G4025" s="25" t="s">
        <v>5763</v>
      </c>
      <c r="H4025" s="26">
        <v>-0.46287499999999998</v>
      </c>
      <c r="I4025" s="26"/>
      <c r="J4025" s="26" t="s">
        <v>512</v>
      </c>
      <c r="K4025" s="25" t="s">
        <v>513</v>
      </c>
    </row>
    <row r="4026" spans="1:11" ht="25.5" x14ac:dyDescent="0.25">
      <c r="A4026" s="22">
        <v>2026</v>
      </c>
      <c r="B4026" s="28" t="s">
        <v>203</v>
      </c>
      <c r="C4026" s="28" t="s">
        <v>97</v>
      </c>
      <c r="D4026" s="28" t="s">
        <v>179</v>
      </c>
      <c r="E4026" s="29" t="s">
        <v>309</v>
      </c>
      <c r="F4026" s="29" t="s">
        <v>287</v>
      </c>
      <c r="G4026" s="25" t="s">
        <v>5764</v>
      </c>
      <c r="H4026" s="26">
        <v>-0.46870000000000001</v>
      </c>
      <c r="I4026" s="26"/>
      <c r="J4026" s="26" t="s">
        <v>512</v>
      </c>
      <c r="K4026" s="25" t="s">
        <v>513</v>
      </c>
    </row>
    <row r="4027" spans="1:11" ht="25.5" x14ac:dyDescent="0.25">
      <c r="A4027" s="22">
        <v>2026</v>
      </c>
      <c r="B4027" s="28" t="s">
        <v>203</v>
      </c>
      <c r="C4027" s="28" t="s">
        <v>97</v>
      </c>
      <c r="D4027" s="28" t="s">
        <v>179</v>
      </c>
      <c r="E4027" s="29" t="s">
        <v>309</v>
      </c>
      <c r="F4027" s="29" t="s">
        <v>287</v>
      </c>
      <c r="G4027" s="25" t="s">
        <v>5765</v>
      </c>
      <c r="H4027" s="26">
        <v>-0.47</v>
      </c>
      <c r="I4027" s="26"/>
      <c r="J4027" s="26" t="s">
        <v>512</v>
      </c>
      <c r="K4027" s="25" t="s">
        <v>513</v>
      </c>
    </row>
    <row r="4028" spans="1:11" ht="25.5" x14ac:dyDescent="0.25">
      <c r="A4028" s="22">
        <v>2026</v>
      </c>
      <c r="B4028" s="28" t="s">
        <v>203</v>
      </c>
      <c r="C4028" s="28" t="s">
        <v>97</v>
      </c>
      <c r="D4028" s="28" t="s">
        <v>179</v>
      </c>
      <c r="E4028" s="29" t="s">
        <v>309</v>
      </c>
      <c r="F4028" s="29" t="s">
        <v>287</v>
      </c>
      <c r="G4028" s="25" t="s">
        <v>5766</v>
      </c>
      <c r="H4028" s="26">
        <v>-0.47557500000000003</v>
      </c>
      <c r="I4028" s="26"/>
      <c r="J4028" s="26" t="s">
        <v>512</v>
      </c>
      <c r="K4028" s="25" t="s">
        <v>513</v>
      </c>
    </row>
    <row r="4029" spans="1:11" ht="25.5" x14ac:dyDescent="0.25">
      <c r="A4029" s="22">
        <v>2026</v>
      </c>
      <c r="B4029" s="28" t="s">
        <v>203</v>
      </c>
      <c r="C4029" s="28" t="s">
        <v>97</v>
      </c>
      <c r="D4029" s="28" t="s">
        <v>1732</v>
      </c>
      <c r="E4029" s="29" t="s">
        <v>309</v>
      </c>
      <c r="F4029" s="29" t="s">
        <v>287</v>
      </c>
      <c r="G4029" s="25" t="s">
        <v>5732</v>
      </c>
      <c r="H4029" s="26">
        <v>-0.28827999999999998</v>
      </c>
      <c r="I4029" s="26"/>
      <c r="J4029" s="26" t="s">
        <v>512</v>
      </c>
      <c r="K4029" s="25" t="s">
        <v>513</v>
      </c>
    </row>
    <row r="4030" spans="1:11" ht="25.5" x14ac:dyDescent="0.25">
      <c r="A4030" s="22">
        <v>2026</v>
      </c>
      <c r="B4030" s="28" t="s">
        <v>203</v>
      </c>
      <c r="C4030" s="28" t="s">
        <v>97</v>
      </c>
      <c r="D4030" s="28" t="s">
        <v>1732</v>
      </c>
      <c r="E4030" s="29" t="s">
        <v>309</v>
      </c>
      <c r="F4030" s="29" t="s">
        <v>287</v>
      </c>
      <c r="G4030" s="25" t="s">
        <v>5733</v>
      </c>
      <c r="H4030" s="26">
        <v>-1.111275</v>
      </c>
      <c r="I4030" s="26"/>
      <c r="J4030" s="26" t="s">
        <v>512</v>
      </c>
      <c r="K4030" s="25" t="s">
        <v>513</v>
      </c>
    </row>
    <row r="4031" spans="1:11" ht="25.5" x14ac:dyDescent="0.25">
      <c r="A4031" s="22">
        <v>2026</v>
      </c>
      <c r="B4031" s="28" t="s">
        <v>203</v>
      </c>
      <c r="C4031" s="28" t="s">
        <v>97</v>
      </c>
      <c r="D4031" s="28" t="s">
        <v>1732</v>
      </c>
      <c r="E4031" s="29" t="s">
        <v>309</v>
      </c>
      <c r="F4031" s="29" t="s">
        <v>287</v>
      </c>
      <c r="G4031" s="25" t="s">
        <v>5734</v>
      </c>
      <c r="H4031" s="26">
        <v>-0.75039999999999996</v>
      </c>
      <c r="I4031" s="26"/>
      <c r="J4031" s="26" t="s">
        <v>512</v>
      </c>
      <c r="K4031" s="25" t="s">
        <v>513</v>
      </c>
    </row>
    <row r="4032" spans="1:11" ht="25.5" x14ac:dyDescent="0.25">
      <c r="A4032" s="22">
        <v>2026</v>
      </c>
      <c r="B4032" s="28" t="s">
        <v>203</v>
      </c>
      <c r="C4032" s="28" t="s">
        <v>97</v>
      </c>
      <c r="D4032" s="28" t="s">
        <v>1732</v>
      </c>
      <c r="E4032" s="29" t="s">
        <v>309</v>
      </c>
      <c r="F4032" s="29" t="s">
        <v>287</v>
      </c>
      <c r="G4032" s="25" t="s">
        <v>5735</v>
      </c>
      <c r="H4032" s="26">
        <v>-0.29842000000000002</v>
      </c>
      <c r="I4032" s="26"/>
      <c r="J4032" s="26" t="s">
        <v>512</v>
      </c>
      <c r="K4032" s="25" t="s">
        <v>513</v>
      </c>
    </row>
    <row r="4033" spans="1:11" ht="25.5" x14ac:dyDescent="0.25">
      <c r="A4033" s="22">
        <v>2026</v>
      </c>
      <c r="B4033" s="28" t="s">
        <v>203</v>
      </c>
      <c r="C4033" s="28" t="s">
        <v>97</v>
      </c>
      <c r="D4033" s="28" t="s">
        <v>1732</v>
      </c>
      <c r="E4033" s="29" t="s">
        <v>309</v>
      </c>
      <c r="F4033" s="29" t="s">
        <v>287</v>
      </c>
      <c r="G4033" s="25" t="s">
        <v>5736</v>
      </c>
      <c r="H4033" s="26">
        <v>-0.516154</v>
      </c>
      <c r="I4033" s="26"/>
      <c r="J4033" s="26" t="s">
        <v>512</v>
      </c>
      <c r="K4033" s="25" t="s">
        <v>513</v>
      </c>
    </row>
    <row r="4034" spans="1:11" ht="25.5" x14ac:dyDescent="0.25">
      <c r="A4034" s="22">
        <v>2026</v>
      </c>
      <c r="B4034" s="28" t="s">
        <v>203</v>
      </c>
      <c r="C4034" s="28" t="s">
        <v>97</v>
      </c>
      <c r="D4034" s="28" t="s">
        <v>1732</v>
      </c>
      <c r="E4034" s="29" t="s">
        <v>309</v>
      </c>
      <c r="F4034" s="29" t="s">
        <v>287</v>
      </c>
      <c r="G4034" s="25" t="s">
        <v>5737</v>
      </c>
      <c r="H4034" s="26">
        <v>-1.18048</v>
      </c>
      <c r="I4034" s="26"/>
      <c r="J4034" s="26" t="s">
        <v>512</v>
      </c>
      <c r="K4034" s="25" t="s">
        <v>513</v>
      </c>
    </row>
    <row r="4035" spans="1:11" ht="25.5" x14ac:dyDescent="0.25">
      <c r="A4035" s="22">
        <v>2026</v>
      </c>
      <c r="B4035" s="28" t="s">
        <v>203</v>
      </c>
      <c r="C4035" s="28" t="s">
        <v>97</v>
      </c>
      <c r="D4035" s="28" t="s">
        <v>1732</v>
      </c>
      <c r="E4035" s="29" t="s">
        <v>309</v>
      </c>
      <c r="F4035" s="29" t="s">
        <v>287</v>
      </c>
      <c r="G4035" s="25" t="s">
        <v>5738</v>
      </c>
      <c r="H4035" s="26">
        <v>-0.50858102100000002</v>
      </c>
      <c r="I4035" s="26"/>
      <c r="J4035" s="26" t="s">
        <v>512</v>
      </c>
      <c r="K4035" s="25" t="s">
        <v>513</v>
      </c>
    </row>
    <row r="4036" spans="1:11" ht="25.5" x14ac:dyDescent="0.25">
      <c r="A4036" s="22">
        <v>2026</v>
      </c>
      <c r="B4036" s="28" t="s">
        <v>203</v>
      </c>
      <c r="C4036" s="28" t="s">
        <v>97</v>
      </c>
      <c r="D4036" s="28" t="s">
        <v>1732</v>
      </c>
      <c r="E4036" s="29" t="s">
        <v>309</v>
      </c>
      <c r="F4036" s="29" t="s">
        <v>287</v>
      </c>
      <c r="G4036" s="25" t="s">
        <v>5739</v>
      </c>
      <c r="H4036" s="26">
        <v>-0.77276500000000004</v>
      </c>
      <c r="I4036" s="26"/>
      <c r="J4036" s="26" t="s">
        <v>512</v>
      </c>
      <c r="K4036" s="25" t="s">
        <v>513</v>
      </c>
    </row>
    <row r="4037" spans="1:11" ht="25.5" x14ac:dyDescent="0.25">
      <c r="A4037" s="22">
        <v>2026</v>
      </c>
      <c r="B4037" s="28" t="s">
        <v>203</v>
      </c>
      <c r="C4037" s="28" t="s">
        <v>97</v>
      </c>
      <c r="D4037" s="28" t="s">
        <v>1732</v>
      </c>
      <c r="E4037" s="29" t="s">
        <v>309</v>
      </c>
      <c r="F4037" s="29" t="s">
        <v>287</v>
      </c>
      <c r="G4037" s="25" t="s">
        <v>5740</v>
      </c>
      <c r="H4037" s="26">
        <v>-0.77549999999999997</v>
      </c>
      <c r="I4037" s="26"/>
      <c r="J4037" s="26" t="s">
        <v>512</v>
      </c>
      <c r="K4037" s="25" t="s">
        <v>513</v>
      </c>
    </row>
    <row r="4038" spans="1:11" ht="25.5" x14ac:dyDescent="0.25">
      <c r="A4038" s="22">
        <v>2026</v>
      </c>
      <c r="B4038" s="28" t="s">
        <v>203</v>
      </c>
      <c r="C4038" s="28" t="s">
        <v>97</v>
      </c>
      <c r="D4038" s="28" t="s">
        <v>1733</v>
      </c>
      <c r="E4038" s="29" t="s">
        <v>309</v>
      </c>
      <c r="F4038" s="29" t="s">
        <v>474</v>
      </c>
      <c r="G4038" s="25" t="s">
        <v>5741</v>
      </c>
      <c r="H4038" s="26">
        <v>-0.4699776</v>
      </c>
      <c r="I4038" s="26"/>
      <c r="J4038" s="26" t="s">
        <v>512</v>
      </c>
      <c r="K4038" s="25" t="s">
        <v>513</v>
      </c>
    </row>
    <row r="4039" spans="1:11" ht="25.5" x14ac:dyDescent="0.25">
      <c r="A4039" s="22">
        <v>2026</v>
      </c>
      <c r="B4039" s="28" t="s">
        <v>203</v>
      </c>
      <c r="C4039" s="28" t="s">
        <v>97</v>
      </c>
      <c r="D4039" s="28" t="s">
        <v>1733</v>
      </c>
      <c r="E4039" s="29" t="s">
        <v>309</v>
      </c>
      <c r="F4039" s="29" t="s">
        <v>474</v>
      </c>
      <c r="G4039" s="25" t="s">
        <v>5742</v>
      </c>
      <c r="H4039" s="26">
        <v>-0.17762314926</v>
      </c>
      <c r="I4039" s="26"/>
      <c r="J4039" s="26" t="s">
        <v>512</v>
      </c>
      <c r="K4039" s="25" t="s">
        <v>513</v>
      </c>
    </row>
    <row r="4040" spans="1:11" ht="25.5" x14ac:dyDescent="0.25">
      <c r="A4040" s="22">
        <v>2026</v>
      </c>
      <c r="B4040" s="28" t="s">
        <v>203</v>
      </c>
      <c r="C4040" s="28" t="s">
        <v>97</v>
      </c>
      <c r="D4040" s="28" t="s">
        <v>1733</v>
      </c>
      <c r="E4040" s="29" t="s">
        <v>309</v>
      </c>
      <c r="F4040" s="29" t="s">
        <v>474</v>
      </c>
      <c r="G4040" s="25" t="s">
        <v>5743</v>
      </c>
      <c r="H4040" s="26">
        <v>-0.58964899999999998</v>
      </c>
      <c r="I4040" s="26"/>
      <c r="J4040" s="26" t="s">
        <v>512</v>
      </c>
      <c r="K4040" s="25" t="s">
        <v>513</v>
      </c>
    </row>
    <row r="4041" spans="1:11" ht="25.5" x14ac:dyDescent="0.25">
      <c r="A4041" s="22">
        <v>2026</v>
      </c>
      <c r="B4041" s="28" t="s">
        <v>203</v>
      </c>
      <c r="C4041" s="28" t="s">
        <v>97</v>
      </c>
      <c r="D4041" s="28" t="s">
        <v>1733</v>
      </c>
      <c r="E4041" s="29" t="s">
        <v>309</v>
      </c>
      <c r="F4041" s="29" t="s">
        <v>474</v>
      </c>
      <c r="G4041" s="25" t="s">
        <v>5744</v>
      </c>
      <c r="H4041" s="26">
        <v>-0.31149713699999998</v>
      </c>
      <c r="I4041" s="26"/>
      <c r="J4041" s="26" t="s">
        <v>512</v>
      </c>
      <c r="K4041" s="25" t="s">
        <v>513</v>
      </c>
    </row>
    <row r="4042" spans="1:11" ht="25.5" x14ac:dyDescent="0.25">
      <c r="A4042" s="22">
        <v>2026</v>
      </c>
      <c r="B4042" s="28" t="s">
        <v>203</v>
      </c>
      <c r="C4042" s="28" t="s">
        <v>97</v>
      </c>
      <c r="D4042" s="28" t="s">
        <v>1733</v>
      </c>
      <c r="E4042" s="29" t="s">
        <v>309</v>
      </c>
      <c r="F4042" s="29" t="s">
        <v>474</v>
      </c>
      <c r="G4042" s="25" t="s">
        <v>5745</v>
      </c>
      <c r="H4042" s="26">
        <v>-0.43630859425999996</v>
      </c>
      <c r="I4042" s="26"/>
      <c r="J4042" s="26" t="s">
        <v>512</v>
      </c>
      <c r="K4042" s="25" t="s">
        <v>513</v>
      </c>
    </row>
    <row r="4043" spans="1:11" ht="25.5" x14ac:dyDescent="0.25">
      <c r="A4043" s="22">
        <v>2026</v>
      </c>
      <c r="B4043" s="28" t="s">
        <v>203</v>
      </c>
      <c r="C4043" s="28" t="s">
        <v>97</v>
      </c>
      <c r="D4043" s="28" t="s">
        <v>1733</v>
      </c>
      <c r="E4043" s="29" t="s">
        <v>309</v>
      </c>
      <c r="F4043" s="29" t="s">
        <v>474</v>
      </c>
      <c r="G4043" s="25" t="s">
        <v>5746</v>
      </c>
      <c r="H4043" s="26">
        <v>-0.43187970000000003</v>
      </c>
      <c r="I4043" s="26"/>
      <c r="J4043" s="26" t="s">
        <v>512</v>
      </c>
      <c r="K4043" s="25" t="s">
        <v>513</v>
      </c>
    </row>
    <row r="4044" spans="1:11" ht="25.5" x14ac:dyDescent="0.25">
      <c r="A4044" s="22">
        <v>2026</v>
      </c>
      <c r="B4044" s="28" t="s">
        <v>203</v>
      </c>
      <c r="C4044" s="28" t="s">
        <v>97</v>
      </c>
      <c r="D4044" s="28" t="s">
        <v>1733</v>
      </c>
      <c r="E4044" s="29" t="s">
        <v>309</v>
      </c>
      <c r="F4044" s="29" t="s">
        <v>474</v>
      </c>
      <c r="G4044" s="25" t="s">
        <v>5747</v>
      </c>
      <c r="H4044" s="26">
        <v>-0.40501955000000001</v>
      </c>
      <c r="I4044" s="26"/>
      <c r="J4044" s="26" t="s">
        <v>512</v>
      </c>
      <c r="K4044" s="25" t="s">
        <v>513</v>
      </c>
    </row>
    <row r="4045" spans="1:11" ht="25.5" x14ac:dyDescent="0.25">
      <c r="A4045" s="22">
        <v>2026</v>
      </c>
      <c r="B4045" s="28" t="s">
        <v>203</v>
      </c>
      <c r="C4045" s="28" t="s">
        <v>97</v>
      </c>
      <c r="D4045" s="28" t="s">
        <v>1733</v>
      </c>
      <c r="E4045" s="29" t="s">
        <v>309</v>
      </c>
      <c r="F4045" s="29" t="s">
        <v>474</v>
      </c>
      <c r="G4045" s="25" t="s">
        <v>5748</v>
      </c>
      <c r="H4045" s="26">
        <v>-0.31203119699999998</v>
      </c>
      <c r="I4045" s="26"/>
      <c r="J4045" s="26" t="s">
        <v>512</v>
      </c>
      <c r="K4045" s="25" t="s">
        <v>513</v>
      </c>
    </row>
    <row r="4046" spans="1:11" ht="25.5" x14ac:dyDescent="0.25">
      <c r="A4046" s="22">
        <v>2026</v>
      </c>
      <c r="B4046" s="28" t="s">
        <v>203</v>
      </c>
      <c r="C4046" s="28" t="s">
        <v>97</v>
      </c>
      <c r="D4046" s="28" t="s">
        <v>1733</v>
      </c>
      <c r="E4046" s="29" t="s">
        <v>309</v>
      </c>
      <c r="F4046" s="29" t="s">
        <v>474</v>
      </c>
      <c r="G4046" s="25" t="s">
        <v>5749</v>
      </c>
      <c r="H4046" s="26">
        <v>-0.27299039450000001</v>
      </c>
      <c r="I4046" s="26"/>
      <c r="J4046" s="26" t="s">
        <v>512</v>
      </c>
      <c r="K4046" s="25" t="s">
        <v>513</v>
      </c>
    </row>
    <row r="4047" spans="1:11" ht="25.5" x14ac:dyDescent="0.25">
      <c r="A4047" s="22">
        <v>2026</v>
      </c>
      <c r="B4047" s="28" t="s">
        <v>203</v>
      </c>
      <c r="C4047" s="28" t="s">
        <v>97</v>
      </c>
      <c r="D4047" s="28" t="s">
        <v>1733</v>
      </c>
      <c r="E4047" s="29" t="s">
        <v>309</v>
      </c>
      <c r="F4047" s="29" t="s">
        <v>474</v>
      </c>
      <c r="G4047" s="25" t="s">
        <v>5750</v>
      </c>
      <c r="H4047" s="26">
        <v>-0.31579099999999999</v>
      </c>
      <c r="I4047" s="26"/>
      <c r="J4047" s="26" t="s">
        <v>512</v>
      </c>
      <c r="K4047" s="25" t="s">
        <v>513</v>
      </c>
    </row>
    <row r="4048" spans="1:11" ht="25.5" x14ac:dyDescent="0.25">
      <c r="A4048" s="22">
        <v>2026</v>
      </c>
      <c r="B4048" s="28" t="s">
        <v>203</v>
      </c>
      <c r="C4048" s="28" t="s">
        <v>97</v>
      </c>
      <c r="D4048" s="28" t="s">
        <v>1733</v>
      </c>
      <c r="E4048" s="29" t="s">
        <v>309</v>
      </c>
      <c r="F4048" s="29" t="s">
        <v>474</v>
      </c>
      <c r="G4048" s="25" t="s">
        <v>5751</v>
      </c>
      <c r="H4048" s="26">
        <v>-6.5679872E-2</v>
      </c>
      <c r="I4048" s="26"/>
      <c r="J4048" s="26" t="s">
        <v>512</v>
      </c>
      <c r="K4048" s="25" t="s">
        <v>513</v>
      </c>
    </row>
    <row r="4049" spans="1:11" ht="25.5" x14ac:dyDescent="0.25">
      <c r="A4049" s="22">
        <v>2026</v>
      </c>
      <c r="B4049" s="28" t="s">
        <v>203</v>
      </c>
      <c r="C4049" s="28" t="s">
        <v>97</v>
      </c>
      <c r="D4049" s="28" t="s">
        <v>1733</v>
      </c>
      <c r="E4049" s="29" t="s">
        <v>309</v>
      </c>
      <c r="F4049" s="29" t="s">
        <v>474</v>
      </c>
      <c r="G4049" s="25" t="s">
        <v>5752</v>
      </c>
      <c r="H4049" s="26">
        <v>-0.22506260196</v>
      </c>
      <c r="I4049" s="26"/>
      <c r="J4049" s="26" t="s">
        <v>512</v>
      </c>
      <c r="K4049" s="25" t="s">
        <v>513</v>
      </c>
    </row>
    <row r="4050" spans="1:11" ht="25.5" x14ac:dyDescent="0.25">
      <c r="A4050" s="22">
        <v>2026</v>
      </c>
      <c r="B4050" s="28" t="s">
        <v>203</v>
      </c>
      <c r="C4050" s="28" t="s">
        <v>97</v>
      </c>
      <c r="D4050" s="28" t="s">
        <v>1733</v>
      </c>
      <c r="E4050" s="29" t="s">
        <v>309</v>
      </c>
      <c r="F4050" s="29" t="s">
        <v>474</v>
      </c>
      <c r="G4050" s="25" t="s">
        <v>5753</v>
      </c>
      <c r="H4050" s="26">
        <v>-3.3405756800000005E-2</v>
      </c>
      <c r="I4050" s="26"/>
      <c r="J4050" s="26" t="s">
        <v>512</v>
      </c>
      <c r="K4050" s="25" t="s">
        <v>513</v>
      </c>
    </row>
    <row r="4051" spans="1:11" ht="25.5" x14ac:dyDescent="0.25">
      <c r="A4051" s="22">
        <v>2026</v>
      </c>
      <c r="B4051" s="28" t="s">
        <v>203</v>
      </c>
      <c r="C4051" s="28" t="s">
        <v>97</v>
      </c>
      <c r="D4051" s="28" t="s">
        <v>1733</v>
      </c>
      <c r="E4051" s="29" t="s">
        <v>309</v>
      </c>
      <c r="F4051" s="29" t="s">
        <v>474</v>
      </c>
      <c r="G4051" s="25" t="s">
        <v>5754</v>
      </c>
      <c r="H4051" s="26">
        <v>-0.11021198452000001</v>
      </c>
      <c r="I4051" s="26"/>
      <c r="J4051" s="26" t="s">
        <v>512</v>
      </c>
      <c r="K4051" s="25" t="s">
        <v>513</v>
      </c>
    </row>
    <row r="4052" spans="1:11" ht="25.5" x14ac:dyDescent="0.25">
      <c r="A4052" s="22">
        <v>2026</v>
      </c>
      <c r="B4052" s="28" t="s">
        <v>203</v>
      </c>
      <c r="C4052" s="28" t="s">
        <v>97</v>
      </c>
      <c r="D4052" s="28" t="s">
        <v>1733</v>
      </c>
      <c r="E4052" s="29" t="s">
        <v>309</v>
      </c>
      <c r="F4052" s="29" t="s">
        <v>474</v>
      </c>
      <c r="G4052" s="25" t="s">
        <v>5755</v>
      </c>
      <c r="H4052" s="26">
        <v>-0.35917335918000004</v>
      </c>
      <c r="I4052" s="26"/>
      <c r="J4052" s="26" t="s">
        <v>512</v>
      </c>
      <c r="K4052" s="25" t="s">
        <v>513</v>
      </c>
    </row>
    <row r="4053" spans="1:11" ht="25.5" x14ac:dyDescent="0.25">
      <c r="A4053" s="22">
        <v>2026</v>
      </c>
      <c r="B4053" s="28" t="s">
        <v>203</v>
      </c>
      <c r="C4053" s="28" t="s">
        <v>97</v>
      </c>
      <c r="D4053" s="28" t="s">
        <v>1733</v>
      </c>
      <c r="E4053" s="29" t="s">
        <v>309</v>
      </c>
      <c r="F4053" s="29" t="s">
        <v>474</v>
      </c>
      <c r="G4053" s="25" t="s">
        <v>5756</v>
      </c>
      <c r="H4053" s="26">
        <v>-0.25995375949999999</v>
      </c>
      <c r="I4053" s="26"/>
      <c r="J4053" s="26" t="s">
        <v>512</v>
      </c>
      <c r="K4053" s="25" t="s">
        <v>513</v>
      </c>
    </row>
    <row r="4054" spans="1:11" ht="25.5" x14ac:dyDescent="0.25">
      <c r="A4054" s="22">
        <v>2026</v>
      </c>
      <c r="B4054" s="28" t="s">
        <v>203</v>
      </c>
      <c r="C4054" s="28" t="s">
        <v>97</v>
      </c>
      <c r="D4054" s="28" t="s">
        <v>1733</v>
      </c>
      <c r="E4054" s="29" t="s">
        <v>309</v>
      </c>
      <c r="F4054" s="29" t="s">
        <v>474</v>
      </c>
      <c r="G4054" s="25" t="s">
        <v>5757</v>
      </c>
      <c r="H4054" s="26">
        <v>-0.26118744999999999</v>
      </c>
      <c r="I4054" s="26"/>
      <c r="J4054" s="26" t="s">
        <v>512</v>
      </c>
      <c r="K4054" s="25" t="s">
        <v>513</v>
      </c>
    </row>
    <row r="4055" spans="1:11" ht="25.5" x14ac:dyDescent="0.25">
      <c r="A4055" s="22">
        <v>2026</v>
      </c>
      <c r="B4055" s="28" t="s">
        <v>203</v>
      </c>
      <c r="C4055" s="28" t="s">
        <v>97</v>
      </c>
      <c r="D4055" s="28" t="s">
        <v>1787</v>
      </c>
      <c r="E4055" s="29" t="s">
        <v>309</v>
      </c>
      <c r="F4055" s="29" t="s">
        <v>335</v>
      </c>
      <c r="G4055" s="25" t="s">
        <v>5767</v>
      </c>
      <c r="H4055" s="26">
        <v>-1.3819250000000001</v>
      </c>
      <c r="I4055" s="26"/>
      <c r="J4055" s="26" t="s">
        <v>512</v>
      </c>
      <c r="K4055" s="25" t="s">
        <v>513</v>
      </c>
    </row>
    <row r="4056" spans="1:11" ht="25.5" x14ac:dyDescent="0.25">
      <c r="A4056" s="22">
        <v>2026</v>
      </c>
      <c r="B4056" s="28" t="s">
        <v>203</v>
      </c>
      <c r="C4056" s="28" t="s">
        <v>97</v>
      </c>
      <c r="D4056" s="28" t="s">
        <v>1787</v>
      </c>
      <c r="E4056" s="29" t="s">
        <v>309</v>
      </c>
      <c r="F4056" s="29" t="s">
        <v>335</v>
      </c>
      <c r="G4056" s="25" t="s">
        <v>5768</v>
      </c>
      <c r="H4056" s="26">
        <v>-1.3805499999999999</v>
      </c>
      <c r="I4056" s="26"/>
      <c r="J4056" s="26" t="s">
        <v>512</v>
      </c>
      <c r="K4056" s="25" t="s">
        <v>513</v>
      </c>
    </row>
    <row r="4057" spans="1:11" ht="25.5" x14ac:dyDescent="0.25">
      <c r="A4057" s="22">
        <v>2026</v>
      </c>
      <c r="B4057" s="28" t="s">
        <v>203</v>
      </c>
      <c r="C4057" s="28" t="s">
        <v>97</v>
      </c>
      <c r="D4057" s="28" t="s">
        <v>1787</v>
      </c>
      <c r="E4057" s="29" t="s">
        <v>309</v>
      </c>
      <c r="F4057" s="29" t="s">
        <v>335</v>
      </c>
      <c r="G4057" s="25" t="s">
        <v>5769</v>
      </c>
      <c r="H4057" s="26">
        <v>-1.377175</v>
      </c>
      <c r="I4057" s="26"/>
      <c r="J4057" s="26" t="s">
        <v>512</v>
      </c>
      <c r="K4057" s="25" t="s">
        <v>513</v>
      </c>
    </row>
    <row r="4058" spans="1:11" ht="25.5" x14ac:dyDescent="0.25">
      <c r="A4058" s="22">
        <v>2026</v>
      </c>
      <c r="B4058" s="28" t="s">
        <v>203</v>
      </c>
      <c r="C4058" s="28" t="s">
        <v>97</v>
      </c>
      <c r="D4058" s="28" t="s">
        <v>1787</v>
      </c>
      <c r="E4058" s="29" t="s">
        <v>309</v>
      </c>
      <c r="F4058" s="29" t="s">
        <v>335</v>
      </c>
      <c r="G4058" s="25" t="s">
        <v>5770</v>
      </c>
      <c r="H4058" s="26">
        <v>-1.4107749999999999</v>
      </c>
      <c r="I4058" s="26"/>
      <c r="J4058" s="26" t="s">
        <v>512</v>
      </c>
      <c r="K4058" s="25" t="s">
        <v>513</v>
      </c>
    </row>
    <row r="4059" spans="1:11" ht="25.5" x14ac:dyDescent="0.25">
      <c r="A4059" s="22">
        <v>2026</v>
      </c>
      <c r="B4059" s="28" t="s">
        <v>203</v>
      </c>
      <c r="C4059" s="28" t="s">
        <v>97</v>
      </c>
      <c r="D4059" s="28" t="s">
        <v>1787</v>
      </c>
      <c r="E4059" s="29" t="s">
        <v>309</v>
      </c>
      <c r="F4059" s="29" t="s">
        <v>335</v>
      </c>
      <c r="G4059" s="25" t="s">
        <v>5771</v>
      </c>
      <c r="H4059" s="26">
        <v>-1.4260250000000001</v>
      </c>
      <c r="I4059" s="26"/>
      <c r="J4059" s="26" t="s">
        <v>512</v>
      </c>
      <c r="K4059" s="25" t="s">
        <v>513</v>
      </c>
    </row>
    <row r="4060" spans="1:11" ht="25.5" x14ac:dyDescent="0.25">
      <c r="A4060" s="22">
        <v>2026</v>
      </c>
      <c r="B4060" s="28" t="s">
        <v>203</v>
      </c>
      <c r="C4060" s="28" t="s">
        <v>97</v>
      </c>
      <c r="D4060" s="28" t="s">
        <v>1734</v>
      </c>
      <c r="E4060" s="29" t="s">
        <v>309</v>
      </c>
      <c r="F4060" s="29" t="s">
        <v>903</v>
      </c>
      <c r="G4060" s="25" t="s">
        <v>5772</v>
      </c>
      <c r="H4060" s="26">
        <v>-5.6732858820000003E-2</v>
      </c>
      <c r="I4060" s="26"/>
      <c r="J4060" s="26" t="s">
        <v>512</v>
      </c>
      <c r="K4060" s="25" t="s">
        <v>513</v>
      </c>
    </row>
    <row r="4061" spans="1:11" ht="25.5" x14ac:dyDescent="0.25">
      <c r="A4061" s="22">
        <v>2026</v>
      </c>
      <c r="B4061" s="28" t="s">
        <v>203</v>
      </c>
      <c r="C4061" s="28" t="s">
        <v>97</v>
      </c>
      <c r="D4061" s="28" t="s">
        <v>1734</v>
      </c>
      <c r="E4061" s="29" t="s">
        <v>309</v>
      </c>
      <c r="F4061" s="29" t="s">
        <v>903</v>
      </c>
      <c r="G4061" s="25" t="s">
        <v>5773</v>
      </c>
      <c r="H4061" s="26">
        <v>-8.6800000000000002E-2</v>
      </c>
      <c r="I4061" s="26"/>
      <c r="J4061" s="26" t="s">
        <v>512</v>
      </c>
      <c r="K4061" s="25" t="s">
        <v>513</v>
      </c>
    </row>
    <row r="4062" spans="1:11" ht="25.5" x14ac:dyDescent="0.25">
      <c r="A4062" s="22">
        <v>2026</v>
      </c>
      <c r="B4062" s="28" t="s">
        <v>203</v>
      </c>
      <c r="C4062" s="28" t="s">
        <v>97</v>
      </c>
      <c r="D4062" s="28" t="s">
        <v>1734</v>
      </c>
      <c r="E4062" s="29" t="s">
        <v>309</v>
      </c>
      <c r="F4062" s="29" t="s">
        <v>903</v>
      </c>
      <c r="G4062" s="25" t="s">
        <v>5774</v>
      </c>
      <c r="H4062" s="26">
        <v>-0.43425000000000002</v>
      </c>
      <c r="I4062" s="26"/>
      <c r="J4062" s="26" t="s">
        <v>512</v>
      </c>
      <c r="K4062" s="25" t="s">
        <v>513</v>
      </c>
    </row>
    <row r="4063" spans="1:11" ht="25.5" x14ac:dyDescent="0.25">
      <c r="A4063" s="22">
        <v>2026</v>
      </c>
      <c r="B4063" s="28" t="s">
        <v>203</v>
      </c>
      <c r="C4063" s="28" t="s">
        <v>97</v>
      </c>
      <c r="D4063" s="28" t="s">
        <v>1734</v>
      </c>
      <c r="E4063" s="29" t="s">
        <v>309</v>
      </c>
      <c r="F4063" s="29" t="s">
        <v>903</v>
      </c>
      <c r="G4063" s="25" t="s">
        <v>5775</v>
      </c>
      <c r="H4063" s="26">
        <v>-8.5753200000000002E-2</v>
      </c>
      <c r="I4063" s="26"/>
      <c r="J4063" s="26" t="s">
        <v>512</v>
      </c>
      <c r="K4063" s="25" t="s">
        <v>513</v>
      </c>
    </row>
    <row r="4064" spans="1:11" ht="25.5" x14ac:dyDescent="0.25">
      <c r="A4064" s="22">
        <v>2026</v>
      </c>
      <c r="B4064" s="28" t="s">
        <v>203</v>
      </c>
      <c r="C4064" s="28" t="s">
        <v>97</v>
      </c>
      <c r="D4064" s="28" t="s">
        <v>1734</v>
      </c>
      <c r="E4064" s="29" t="s">
        <v>309</v>
      </c>
      <c r="F4064" s="29" t="s">
        <v>903</v>
      </c>
      <c r="G4064" s="25" t="s">
        <v>5776</v>
      </c>
      <c r="H4064" s="26">
        <v>-0.53339999999999999</v>
      </c>
      <c r="I4064" s="26"/>
      <c r="J4064" s="26" t="s">
        <v>512</v>
      </c>
      <c r="K4064" s="25" t="s">
        <v>513</v>
      </c>
    </row>
    <row r="4065" spans="1:11" ht="25.5" x14ac:dyDescent="0.25">
      <c r="A4065" s="22">
        <v>2026</v>
      </c>
      <c r="B4065" s="28" t="s">
        <v>203</v>
      </c>
      <c r="C4065" s="28" t="s">
        <v>97</v>
      </c>
      <c r="D4065" s="28" t="s">
        <v>1734</v>
      </c>
      <c r="E4065" s="29" t="s">
        <v>309</v>
      </c>
      <c r="F4065" s="29" t="s">
        <v>903</v>
      </c>
      <c r="G4065" s="25" t="s">
        <v>5777</v>
      </c>
      <c r="H4065" s="26">
        <v>-0.442438</v>
      </c>
      <c r="I4065" s="26"/>
      <c r="J4065" s="26" t="s">
        <v>512</v>
      </c>
      <c r="K4065" s="25" t="s">
        <v>513</v>
      </c>
    </row>
    <row r="4066" spans="1:11" ht="25.5" x14ac:dyDescent="0.25">
      <c r="A4066" s="22">
        <v>2026</v>
      </c>
      <c r="B4066" s="28" t="s">
        <v>203</v>
      </c>
      <c r="C4066" s="28" t="s">
        <v>97</v>
      </c>
      <c r="D4066" s="28" t="s">
        <v>1734</v>
      </c>
      <c r="E4066" s="29" t="s">
        <v>309</v>
      </c>
      <c r="F4066" s="29" t="s">
        <v>903</v>
      </c>
      <c r="G4066" s="25" t="s">
        <v>5778</v>
      </c>
      <c r="H4066" s="26">
        <v>-0.434</v>
      </c>
      <c r="I4066" s="26"/>
      <c r="J4066" s="26" t="s">
        <v>512</v>
      </c>
      <c r="K4066" s="25" t="s">
        <v>513</v>
      </c>
    </row>
    <row r="4067" spans="1:11" ht="25.5" x14ac:dyDescent="0.25">
      <c r="A4067" s="22">
        <v>2026</v>
      </c>
      <c r="B4067" s="28" t="s">
        <v>203</v>
      </c>
      <c r="C4067" s="28" t="s">
        <v>97</v>
      </c>
      <c r="D4067" s="28" t="s">
        <v>1734</v>
      </c>
      <c r="E4067" s="29" t="s">
        <v>309</v>
      </c>
      <c r="F4067" s="29" t="s">
        <v>903</v>
      </c>
      <c r="G4067" s="25" t="s">
        <v>5779</v>
      </c>
      <c r="H4067" s="26">
        <v>-0.42750000000000005</v>
      </c>
      <c r="I4067" s="26"/>
      <c r="J4067" s="26" t="s">
        <v>512</v>
      </c>
      <c r="K4067" s="25" t="s">
        <v>513</v>
      </c>
    </row>
    <row r="4068" spans="1:11" ht="25.5" x14ac:dyDescent="0.25">
      <c r="A4068" s="22">
        <v>2026</v>
      </c>
      <c r="B4068" s="28" t="s">
        <v>203</v>
      </c>
      <c r="C4068" s="28" t="s">
        <v>97</v>
      </c>
      <c r="D4068" s="28" t="s">
        <v>1734</v>
      </c>
      <c r="E4068" s="29" t="s">
        <v>309</v>
      </c>
      <c r="F4068" s="29" t="s">
        <v>903</v>
      </c>
      <c r="G4068" s="25" t="s">
        <v>5780</v>
      </c>
      <c r="H4068" s="26">
        <v>-0.42699999999999994</v>
      </c>
      <c r="I4068" s="26"/>
      <c r="J4068" s="26" t="s">
        <v>512</v>
      </c>
      <c r="K4068" s="25" t="s">
        <v>513</v>
      </c>
    </row>
    <row r="4069" spans="1:11" ht="25.5" x14ac:dyDescent="0.25">
      <c r="A4069" s="22">
        <v>2026</v>
      </c>
      <c r="B4069" s="28" t="s">
        <v>203</v>
      </c>
      <c r="C4069" s="28" t="s">
        <v>97</v>
      </c>
      <c r="D4069" s="28" t="s">
        <v>1734</v>
      </c>
      <c r="E4069" s="29" t="s">
        <v>309</v>
      </c>
      <c r="F4069" s="29" t="s">
        <v>903</v>
      </c>
      <c r="G4069" s="25" t="s">
        <v>5781</v>
      </c>
      <c r="H4069" s="26">
        <v>-0.42499999999999999</v>
      </c>
      <c r="I4069" s="26"/>
      <c r="J4069" s="26" t="s">
        <v>512</v>
      </c>
      <c r="K4069" s="25" t="s">
        <v>513</v>
      </c>
    </row>
    <row r="4070" spans="1:11" ht="25.5" x14ac:dyDescent="0.25">
      <c r="A4070" s="22">
        <v>2026</v>
      </c>
      <c r="B4070" s="28" t="s">
        <v>203</v>
      </c>
      <c r="C4070" s="28" t="s">
        <v>97</v>
      </c>
      <c r="D4070" s="28" t="s">
        <v>1734</v>
      </c>
      <c r="E4070" s="29" t="s">
        <v>309</v>
      </c>
      <c r="F4070" s="29" t="s">
        <v>903</v>
      </c>
      <c r="G4070" s="25" t="s">
        <v>5782</v>
      </c>
      <c r="H4070" s="26">
        <v>-4.238405E-2</v>
      </c>
      <c r="I4070" s="26"/>
      <c r="J4070" s="26" t="s">
        <v>512</v>
      </c>
      <c r="K4070" s="25" t="s">
        <v>513</v>
      </c>
    </row>
    <row r="4071" spans="1:11" ht="25.5" x14ac:dyDescent="0.25">
      <c r="A4071" s="22">
        <v>2026</v>
      </c>
      <c r="B4071" s="28" t="s">
        <v>203</v>
      </c>
      <c r="C4071" s="28" t="s">
        <v>97</v>
      </c>
      <c r="D4071" s="28" t="s">
        <v>1734</v>
      </c>
      <c r="E4071" s="29" t="s">
        <v>309</v>
      </c>
      <c r="F4071" s="29" t="s">
        <v>903</v>
      </c>
      <c r="G4071" s="25" t="s">
        <v>5783</v>
      </c>
      <c r="H4071" s="26">
        <v>-8.3616200000000002E-2</v>
      </c>
      <c r="I4071" s="26"/>
      <c r="J4071" s="26" t="s">
        <v>512</v>
      </c>
      <c r="K4071" s="25" t="s">
        <v>513</v>
      </c>
    </row>
    <row r="4072" spans="1:11" ht="25.5" x14ac:dyDescent="0.25">
      <c r="A4072" s="22">
        <v>2026</v>
      </c>
      <c r="B4072" s="28" t="s">
        <v>203</v>
      </c>
      <c r="C4072" s="28" t="s">
        <v>97</v>
      </c>
      <c r="D4072" s="28" t="s">
        <v>1735</v>
      </c>
      <c r="E4072" s="29" t="s">
        <v>309</v>
      </c>
      <c r="F4072" s="29" t="s">
        <v>566</v>
      </c>
      <c r="G4072" s="25" t="s">
        <v>5784</v>
      </c>
      <c r="H4072" s="26">
        <v>-0.183</v>
      </c>
      <c r="I4072" s="26"/>
      <c r="J4072" s="26" t="s">
        <v>512</v>
      </c>
      <c r="K4072" s="25" t="s">
        <v>513</v>
      </c>
    </row>
    <row r="4073" spans="1:11" ht="25.5" x14ac:dyDescent="0.25">
      <c r="A4073" s="22">
        <v>2026</v>
      </c>
      <c r="B4073" s="28" t="s">
        <v>203</v>
      </c>
      <c r="C4073" s="28" t="s">
        <v>97</v>
      </c>
      <c r="D4073" s="28" t="s">
        <v>1735</v>
      </c>
      <c r="E4073" s="29" t="s">
        <v>309</v>
      </c>
      <c r="F4073" s="29" t="s">
        <v>566</v>
      </c>
      <c r="G4073" s="25" t="s">
        <v>5785</v>
      </c>
      <c r="H4073" s="26">
        <v>-0.54525000000000001</v>
      </c>
      <c r="I4073" s="26"/>
      <c r="J4073" s="26" t="s">
        <v>512</v>
      </c>
      <c r="K4073" s="25" t="s">
        <v>513</v>
      </c>
    </row>
    <row r="4074" spans="1:11" ht="25.5" x14ac:dyDescent="0.25">
      <c r="A4074" s="22">
        <v>2026</v>
      </c>
      <c r="B4074" s="28" t="s">
        <v>203</v>
      </c>
      <c r="C4074" s="28" t="s">
        <v>97</v>
      </c>
      <c r="D4074" s="28" t="s">
        <v>1735</v>
      </c>
      <c r="E4074" s="29" t="s">
        <v>309</v>
      </c>
      <c r="F4074" s="29" t="s">
        <v>566</v>
      </c>
      <c r="G4074" s="25" t="s">
        <v>5786</v>
      </c>
      <c r="H4074" s="26">
        <v>-0.72035000000000005</v>
      </c>
      <c r="I4074" s="26"/>
      <c r="J4074" s="26" t="s">
        <v>512</v>
      </c>
      <c r="K4074" s="25" t="s">
        <v>513</v>
      </c>
    </row>
    <row r="4075" spans="1:11" ht="25.5" x14ac:dyDescent="0.25">
      <c r="A4075" s="22">
        <v>2026</v>
      </c>
      <c r="B4075" s="28" t="s">
        <v>203</v>
      </c>
      <c r="C4075" s="28" t="s">
        <v>97</v>
      </c>
      <c r="D4075" s="28" t="s">
        <v>1735</v>
      </c>
      <c r="E4075" s="29" t="s">
        <v>309</v>
      </c>
      <c r="F4075" s="29" t="s">
        <v>566</v>
      </c>
      <c r="G4075" s="25" t="s">
        <v>5787</v>
      </c>
      <c r="H4075" s="26">
        <v>-0.74575000000000002</v>
      </c>
      <c r="I4075" s="26"/>
      <c r="J4075" s="26" t="s">
        <v>512</v>
      </c>
      <c r="K4075" s="25" t="s">
        <v>513</v>
      </c>
    </row>
    <row r="4076" spans="1:11" ht="25.5" x14ac:dyDescent="0.25">
      <c r="A4076" s="22">
        <v>2026</v>
      </c>
      <c r="B4076" s="28" t="s">
        <v>203</v>
      </c>
      <c r="C4076" s="28" t="s">
        <v>97</v>
      </c>
      <c r="D4076" s="28" t="s">
        <v>1735</v>
      </c>
      <c r="E4076" s="29" t="s">
        <v>309</v>
      </c>
      <c r="F4076" s="29" t="s">
        <v>566</v>
      </c>
      <c r="G4076" s="25" t="s">
        <v>5788</v>
      </c>
      <c r="H4076" s="26">
        <v>-0.745</v>
      </c>
      <c r="I4076" s="26"/>
      <c r="J4076" s="26" t="s">
        <v>512</v>
      </c>
      <c r="K4076" s="25" t="s">
        <v>513</v>
      </c>
    </row>
    <row r="4077" spans="1:11" ht="25.5" x14ac:dyDescent="0.25">
      <c r="A4077" s="22">
        <v>2026</v>
      </c>
      <c r="B4077" s="28" t="s">
        <v>203</v>
      </c>
      <c r="C4077" s="28" t="s">
        <v>97</v>
      </c>
      <c r="D4077" s="28" t="s">
        <v>1735</v>
      </c>
      <c r="E4077" s="29" t="s">
        <v>309</v>
      </c>
      <c r="F4077" s="29" t="s">
        <v>566</v>
      </c>
      <c r="G4077" s="25" t="s">
        <v>5789</v>
      </c>
      <c r="H4077" s="26">
        <v>-0.74</v>
      </c>
      <c r="I4077" s="26"/>
      <c r="J4077" s="26" t="s">
        <v>512</v>
      </c>
      <c r="K4077" s="25" t="s">
        <v>513</v>
      </c>
    </row>
    <row r="4078" spans="1:11" ht="25.5" x14ac:dyDescent="0.25">
      <c r="A4078" s="22">
        <v>2026</v>
      </c>
      <c r="B4078" s="28" t="s">
        <v>203</v>
      </c>
      <c r="C4078" s="28" t="s">
        <v>97</v>
      </c>
      <c r="D4078" s="28" t="s">
        <v>1735</v>
      </c>
      <c r="E4078" s="29" t="s">
        <v>309</v>
      </c>
      <c r="F4078" s="29" t="s">
        <v>566</v>
      </c>
      <c r="G4078" s="25" t="s">
        <v>5790</v>
      </c>
      <c r="H4078" s="26">
        <v>-0.751</v>
      </c>
      <c r="I4078" s="26"/>
      <c r="J4078" s="26" t="s">
        <v>512</v>
      </c>
      <c r="K4078" s="25" t="s">
        <v>513</v>
      </c>
    </row>
    <row r="4079" spans="1:11" ht="25.5" x14ac:dyDescent="0.25">
      <c r="A4079" s="22">
        <v>2026</v>
      </c>
      <c r="B4079" s="28" t="s">
        <v>203</v>
      </c>
      <c r="C4079" s="28" t="s">
        <v>97</v>
      </c>
      <c r="D4079" s="28" t="s">
        <v>1735</v>
      </c>
      <c r="E4079" s="29" t="s">
        <v>309</v>
      </c>
      <c r="F4079" s="29" t="s">
        <v>566</v>
      </c>
      <c r="G4079" s="25" t="s">
        <v>5791</v>
      </c>
      <c r="H4079" s="26">
        <v>-0.18975</v>
      </c>
      <c r="I4079" s="26"/>
      <c r="J4079" s="26" t="s">
        <v>512</v>
      </c>
      <c r="K4079" s="25" t="s">
        <v>513</v>
      </c>
    </row>
    <row r="4080" spans="1:11" ht="25.5" x14ac:dyDescent="0.25">
      <c r="A4080" s="22">
        <v>2026</v>
      </c>
      <c r="B4080" s="28" t="s">
        <v>203</v>
      </c>
      <c r="C4080" s="28" t="s">
        <v>97</v>
      </c>
      <c r="D4080" s="28" t="s">
        <v>1735</v>
      </c>
      <c r="E4080" s="29" t="s">
        <v>309</v>
      </c>
      <c r="F4080" s="29" t="s">
        <v>566</v>
      </c>
      <c r="G4080" s="25" t="s">
        <v>5792</v>
      </c>
      <c r="H4080" s="26">
        <v>-0.76</v>
      </c>
      <c r="I4080" s="26"/>
      <c r="J4080" s="26" t="s">
        <v>512</v>
      </c>
      <c r="K4080" s="25" t="s">
        <v>513</v>
      </c>
    </row>
    <row r="4081" spans="1:11" ht="25.5" x14ac:dyDescent="0.25">
      <c r="A4081" s="22">
        <v>2026</v>
      </c>
      <c r="B4081" s="28" t="s">
        <v>203</v>
      </c>
      <c r="C4081" s="28" t="s">
        <v>97</v>
      </c>
      <c r="D4081" s="28" t="s">
        <v>1735</v>
      </c>
      <c r="E4081" s="29" t="s">
        <v>309</v>
      </c>
      <c r="F4081" s="29" t="s">
        <v>566</v>
      </c>
      <c r="G4081" s="25" t="s">
        <v>5793</v>
      </c>
      <c r="H4081" s="26">
        <v>-0.752</v>
      </c>
      <c r="I4081" s="26"/>
      <c r="J4081" s="26" t="s">
        <v>512</v>
      </c>
      <c r="K4081" s="25" t="s">
        <v>513</v>
      </c>
    </row>
    <row r="4082" spans="1:11" ht="25.5" x14ac:dyDescent="0.25">
      <c r="A4082" s="22">
        <v>2026</v>
      </c>
      <c r="B4082" s="28" t="s">
        <v>203</v>
      </c>
      <c r="C4082" s="28" t="s">
        <v>97</v>
      </c>
      <c r="D4082" s="28" t="s">
        <v>1735</v>
      </c>
      <c r="E4082" s="29" t="s">
        <v>309</v>
      </c>
      <c r="F4082" s="29" t="s">
        <v>566</v>
      </c>
      <c r="G4082" s="25" t="s">
        <v>5794</v>
      </c>
      <c r="H4082" s="26">
        <v>-0.376</v>
      </c>
      <c r="I4082" s="26"/>
      <c r="J4082" s="26" t="s">
        <v>512</v>
      </c>
      <c r="K4082" s="25" t="s">
        <v>513</v>
      </c>
    </row>
    <row r="4083" spans="1:11" ht="25.5" x14ac:dyDescent="0.25">
      <c r="A4083" s="22">
        <v>2026</v>
      </c>
      <c r="B4083" s="28" t="s">
        <v>203</v>
      </c>
      <c r="C4083" s="28" t="s">
        <v>97</v>
      </c>
      <c r="D4083" s="28" t="s">
        <v>1735</v>
      </c>
      <c r="E4083" s="29" t="s">
        <v>309</v>
      </c>
      <c r="F4083" s="29" t="s">
        <v>566</v>
      </c>
      <c r="G4083" s="25" t="s">
        <v>5795</v>
      </c>
      <c r="H4083" s="26">
        <v>-0.371</v>
      </c>
      <c r="I4083" s="26"/>
      <c r="J4083" s="26" t="s">
        <v>512</v>
      </c>
      <c r="K4083" s="25" t="s">
        <v>513</v>
      </c>
    </row>
    <row r="4084" spans="1:11" ht="25.5" x14ac:dyDescent="0.25">
      <c r="A4084" s="22">
        <v>2026</v>
      </c>
      <c r="B4084" s="28" t="s">
        <v>203</v>
      </c>
      <c r="C4084" s="28" t="s">
        <v>97</v>
      </c>
      <c r="D4084" s="28" t="s">
        <v>1735</v>
      </c>
      <c r="E4084" s="29" t="s">
        <v>309</v>
      </c>
      <c r="F4084" s="29" t="s">
        <v>566</v>
      </c>
      <c r="G4084" s="25" t="s">
        <v>5796</v>
      </c>
      <c r="H4084" s="26">
        <v>-0.74299999999999999</v>
      </c>
      <c r="I4084" s="26"/>
      <c r="J4084" s="26" t="s">
        <v>512</v>
      </c>
      <c r="K4084" s="25" t="s">
        <v>513</v>
      </c>
    </row>
    <row r="4085" spans="1:11" ht="25.5" x14ac:dyDescent="0.25">
      <c r="A4085" s="22">
        <v>2026</v>
      </c>
      <c r="B4085" s="28" t="s">
        <v>203</v>
      </c>
      <c r="C4085" s="28" t="s">
        <v>97</v>
      </c>
      <c r="D4085" s="28" t="s">
        <v>1735</v>
      </c>
      <c r="E4085" s="29" t="s">
        <v>309</v>
      </c>
      <c r="F4085" s="29" t="s">
        <v>566</v>
      </c>
      <c r="G4085" s="25" t="s">
        <v>3406</v>
      </c>
      <c r="H4085" s="26">
        <v>-0.74199999999999999</v>
      </c>
      <c r="I4085" s="26"/>
      <c r="J4085" s="26" t="s">
        <v>512</v>
      </c>
      <c r="K4085" s="25" t="s">
        <v>513</v>
      </c>
    </row>
    <row r="4086" spans="1:11" ht="25.5" x14ac:dyDescent="0.25">
      <c r="A4086" s="22">
        <v>2026</v>
      </c>
      <c r="B4086" s="28" t="s">
        <v>203</v>
      </c>
      <c r="C4086" s="28" t="s">
        <v>97</v>
      </c>
      <c r="D4086" s="28" t="s">
        <v>1735</v>
      </c>
      <c r="E4086" s="29" t="s">
        <v>309</v>
      </c>
      <c r="F4086" s="29" t="s">
        <v>566</v>
      </c>
      <c r="G4086" s="25" t="s">
        <v>5797</v>
      </c>
      <c r="H4086" s="26">
        <v>-0.748</v>
      </c>
      <c r="I4086" s="26"/>
      <c r="J4086" s="26" t="s">
        <v>512</v>
      </c>
      <c r="K4086" s="25" t="s">
        <v>513</v>
      </c>
    </row>
    <row r="4087" spans="1:11" ht="25.5" x14ac:dyDescent="0.25">
      <c r="A4087" s="22">
        <v>2026</v>
      </c>
      <c r="B4087" s="28" t="s">
        <v>203</v>
      </c>
      <c r="C4087" s="28" t="s">
        <v>97</v>
      </c>
      <c r="D4087" s="28" t="s">
        <v>1735</v>
      </c>
      <c r="E4087" s="29" t="s">
        <v>309</v>
      </c>
      <c r="F4087" s="29" t="s">
        <v>566</v>
      </c>
      <c r="G4087" s="25" t="s">
        <v>2417</v>
      </c>
      <c r="H4087" s="26">
        <v>-0.372</v>
      </c>
      <c r="I4087" s="26"/>
      <c r="J4087" s="26" t="s">
        <v>512</v>
      </c>
      <c r="K4087" s="25" t="s">
        <v>513</v>
      </c>
    </row>
    <row r="4088" spans="1:11" ht="25.5" x14ac:dyDescent="0.25">
      <c r="A4088" s="22">
        <v>2026</v>
      </c>
      <c r="B4088" s="28" t="s">
        <v>203</v>
      </c>
      <c r="C4088" s="28" t="s">
        <v>97</v>
      </c>
      <c r="D4088" s="28" t="s">
        <v>1735</v>
      </c>
      <c r="E4088" s="29" t="s">
        <v>309</v>
      </c>
      <c r="F4088" s="29" t="s">
        <v>566</v>
      </c>
      <c r="G4088" s="25" t="s">
        <v>2419</v>
      </c>
      <c r="H4088" s="26">
        <v>-0.379</v>
      </c>
      <c r="I4088" s="26"/>
      <c r="J4088" s="26" t="s">
        <v>512</v>
      </c>
      <c r="K4088" s="25" t="s">
        <v>513</v>
      </c>
    </row>
    <row r="4089" spans="1:11" ht="25.5" x14ac:dyDescent="0.25">
      <c r="A4089" s="22">
        <v>2026</v>
      </c>
      <c r="B4089" s="28" t="s">
        <v>203</v>
      </c>
      <c r="C4089" s="28" t="s">
        <v>97</v>
      </c>
      <c r="D4089" s="28" t="s">
        <v>1736</v>
      </c>
      <c r="E4089" s="29" t="s">
        <v>309</v>
      </c>
      <c r="F4089" s="29" t="s">
        <v>343</v>
      </c>
      <c r="G4089" s="25" t="s">
        <v>5798</v>
      </c>
      <c r="H4089" s="26">
        <v>-9.1506000000000004E-2</v>
      </c>
      <c r="I4089" s="26"/>
      <c r="J4089" s="26" t="s">
        <v>512</v>
      </c>
      <c r="K4089" s="25" t="s">
        <v>513</v>
      </c>
    </row>
    <row r="4090" spans="1:11" ht="25.5" x14ac:dyDescent="0.25">
      <c r="A4090" s="22">
        <v>2026</v>
      </c>
      <c r="B4090" s="28" t="s">
        <v>203</v>
      </c>
      <c r="C4090" s="28" t="s">
        <v>97</v>
      </c>
      <c r="D4090" s="28" t="s">
        <v>1736</v>
      </c>
      <c r="E4090" s="29" t="s">
        <v>309</v>
      </c>
      <c r="F4090" s="29" t="s">
        <v>343</v>
      </c>
      <c r="G4090" s="25" t="s">
        <v>5799</v>
      </c>
      <c r="H4090" s="26">
        <v>-9.2014800000000008E-2</v>
      </c>
      <c r="I4090" s="26"/>
      <c r="J4090" s="26" t="s">
        <v>512</v>
      </c>
      <c r="K4090" s="25" t="s">
        <v>513</v>
      </c>
    </row>
    <row r="4091" spans="1:11" ht="25.5" x14ac:dyDescent="0.25">
      <c r="A4091" s="22">
        <v>2026</v>
      </c>
      <c r="B4091" s="28" t="s">
        <v>203</v>
      </c>
      <c r="C4091" s="28" t="s">
        <v>97</v>
      </c>
      <c r="D4091" s="28" t="s">
        <v>1736</v>
      </c>
      <c r="E4091" s="29" t="s">
        <v>309</v>
      </c>
      <c r="F4091" s="29" t="s">
        <v>343</v>
      </c>
      <c r="G4091" s="25" t="s">
        <v>5800</v>
      </c>
      <c r="H4091" s="26">
        <v>-0.47209950000000001</v>
      </c>
      <c r="I4091" s="26"/>
      <c r="J4091" s="26" t="s">
        <v>512</v>
      </c>
      <c r="K4091" s="25" t="s">
        <v>513</v>
      </c>
    </row>
    <row r="4092" spans="1:11" ht="25.5" x14ac:dyDescent="0.25">
      <c r="A4092" s="22">
        <v>2026</v>
      </c>
      <c r="B4092" s="28" t="s">
        <v>203</v>
      </c>
      <c r="C4092" s="28" t="s">
        <v>97</v>
      </c>
      <c r="D4092" s="28" t="s">
        <v>1736</v>
      </c>
      <c r="E4092" s="29" t="s">
        <v>309</v>
      </c>
      <c r="F4092" s="29" t="s">
        <v>343</v>
      </c>
      <c r="G4092" s="25" t="s">
        <v>5801</v>
      </c>
      <c r="H4092" s="26">
        <v>-0.23935049999999999</v>
      </c>
      <c r="I4092" s="26"/>
      <c r="J4092" s="26" t="s">
        <v>512</v>
      </c>
      <c r="K4092" s="25" t="s">
        <v>513</v>
      </c>
    </row>
    <row r="4093" spans="1:11" ht="25.5" x14ac:dyDescent="0.25">
      <c r="A4093" s="22">
        <v>2026</v>
      </c>
      <c r="B4093" s="28" t="s">
        <v>203</v>
      </c>
      <c r="C4093" s="28" t="s">
        <v>97</v>
      </c>
      <c r="D4093" s="28" t="s">
        <v>1736</v>
      </c>
      <c r="E4093" s="29" t="s">
        <v>309</v>
      </c>
      <c r="F4093" s="29" t="s">
        <v>343</v>
      </c>
      <c r="G4093" s="25" t="s">
        <v>5802</v>
      </c>
      <c r="H4093" s="26">
        <v>-0.16286999999999999</v>
      </c>
      <c r="I4093" s="26"/>
      <c r="J4093" s="26" t="s">
        <v>512</v>
      </c>
      <c r="K4093" s="25" t="s">
        <v>513</v>
      </c>
    </row>
    <row r="4094" spans="1:11" ht="25.5" x14ac:dyDescent="0.25">
      <c r="A4094" s="22">
        <v>2026</v>
      </c>
      <c r="B4094" s="28" t="s">
        <v>203</v>
      </c>
      <c r="C4094" s="28" t="s">
        <v>97</v>
      </c>
      <c r="D4094" s="28" t="s">
        <v>1736</v>
      </c>
      <c r="E4094" s="29" t="s">
        <v>309</v>
      </c>
      <c r="F4094" s="29" t="s">
        <v>343</v>
      </c>
      <c r="G4094" s="25" t="s">
        <v>5803</v>
      </c>
      <c r="H4094" s="26">
        <v>-0.13282639999999998</v>
      </c>
      <c r="I4094" s="26"/>
      <c r="J4094" s="26" t="s">
        <v>512</v>
      </c>
      <c r="K4094" s="25" t="s">
        <v>513</v>
      </c>
    </row>
    <row r="4095" spans="1:11" ht="25.5" x14ac:dyDescent="0.25">
      <c r="A4095" s="22">
        <v>2026</v>
      </c>
      <c r="B4095" s="28" t="s">
        <v>203</v>
      </c>
      <c r="C4095" s="28" t="s">
        <v>97</v>
      </c>
      <c r="D4095" s="28" t="s">
        <v>1736</v>
      </c>
      <c r="E4095" s="29" t="s">
        <v>309</v>
      </c>
      <c r="F4095" s="29" t="s">
        <v>343</v>
      </c>
      <c r="G4095" s="25" t="s">
        <v>5804</v>
      </c>
      <c r="H4095" s="26">
        <v>-8.3400000000000002E-2</v>
      </c>
      <c r="I4095" s="26"/>
      <c r="J4095" s="26" t="s">
        <v>512</v>
      </c>
      <c r="K4095" s="25" t="s">
        <v>513</v>
      </c>
    </row>
    <row r="4096" spans="1:11" ht="25.5" x14ac:dyDescent="0.25">
      <c r="A4096" s="22">
        <v>2026</v>
      </c>
      <c r="B4096" s="28" t="s">
        <v>203</v>
      </c>
      <c r="C4096" s="28" t="s">
        <v>97</v>
      </c>
      <c r="D4096" s="28" t="s">
        <v>1736</v>
      </c>
      <c r="E4096" s="29" t="s">
        <v>309</v>
      </c>
      <c r="F4096" s="29" t="s">
        <v>343</v>
      </c>
      <c r="G4096" s="25" t="s">
        <v>5805</v>
      </c>
      <c r="H4096" s="26">
        <v>-8.2631750000000004E-2</v>
      </c>
      <c r="I4096" s="26"/>
      <c r="J4096" s="26" t="s">
        <v>512</v>
      </c>
      <c r="K4096" s="25" t="s">
        <v>513</v>
      </c>
    </row>
    <row r="4097" spans="1:11" ht="25.5" x14ac:dyDescent="0.25">
      <c r="A4097" s="22">
        <v>2026</v>
      </c>
      <c r="B4097" s="28" t="s">
        <v>203</v>
      </c>
      <c r="C4097" s="28" t="s">
        <v>97</v>
      </c>
      <c r="D4097" s="28" t="s">
        <v>1736</v>
      </c>
      <c r="E4097" s="29" t="s">
        <v>309</v>
      </c>
      <c r="F4097" s="29" t="s">
        <v>343</v>
      </c>
      <c r="G4097" s="25" t="s">
        <v>5806</v>
      </c>
      <c r="H4097" s="26">
        <v>-0.13039999999999999</v>
      </c>
      <c r="I4097" s="26"/>
      <c r="J4097" s="26" t="s">
        <v>512</v>
      </c>
      <c r="K4097" s="25" t="s">
        <v>513</v>
      </c>
    </row>
    <row r="4098" spans="1:11" ht="25.5" x14ac:dyDescent="0.25">
      <c r="A4098" s="22">
        <v>2026</v>
      </c>
      <c r="B4098" s="28" t="s">
        <v>203</v>
      </c>
      <c r="C4098" s="28" t="s">
        <v>97</v>
      </c>
      <c r="D4098" s="28" t="s">
        <v>1736</v>
      </c>
      <c r="E4098" s="29" t="s">
        <v>309</v>
      </c>
      <c r="F4098" s="29" t="s">
        <v>343</v>
      </c>
      <c r="G4098" s="25" t="s">
        <v>5807</v>
      </c>
      <c r="H4098" s="26">
        <v>-0.24528749999999999</v>
      </c>
      <c r="I4098" s="26"/>
      <c r="J4098" s="26" t="s">
        <v>512</v>
      </c>
      <c r="K4098" s="25" t="s">
        <v>513</v>
      </c>
    </row>
    <row r="4099" spans="1:11" ht="25.5" x14ac:dyDescent="0.25">
      <c r="A4099" s="22">
        <v>2026</v>
      </c>
      <c r="B4099" s="28" t="s">
        <v>203</v>
      </c>
      <c r="C4099" s="28" t="s">
        <v>97</v>
      </c>
      <c r="D4099" s="28" t="s">
        <v>1736</v>
      </c>
      <c r="E4099" s="29" t="s">
        <v>309</v>
      </c>
      <c r="F4099" s="29" t="s">
        <v>343</v>
      </c>
      <c r="G4099" s="25" t="s">
        <v>5808</v>
      </c>
      <c r="H4099" s="26">
        <v>-4.8524999999999999E-2</v>
      </c>
      <c r="I4099" s="26"/>
      <c r="J4099" s="26" t="s">
        <v>512</v>
      </c>
      <c r="K4099" s="25" t="s">
        <v>513</v>
      </c>
    </row>
    <row r="4100" spans="1:11" ht="25.5" x14ac:dyDescent="0.25">
      <c r="A4100" s="22">
        <v>2026</v>
      </c>
      <c r="B4100" s="28" t="s">
        <v>203</v>
      </c>
      <c r="C4100" s="28" t="s">
        <v>97</v>
      </c>
      <c r="D4100" s="28" t="s">
        <v>1736</v>
      </c>
      <c r="E4100" s="29" t="s">
        <v>309</v>
      </c>
      <c r="F4100" s="29" t="s">
        <v>343</v>
      </c>
      <c r="G4100" s="25" t="s">
        <v>5809</v>
      </c>
      <c r="H4100" s="26">
        <v>-8.1037499999999998E-2</v>
      </c>
      <c r="I4100" s="26"/>
      <c r="J4100" s="26" t="s">
        <v>512</v>
      </c>
      <c r="K4100" s="25" t="s">
        <v>513</v>
      </c>
    </row>
    <row r="4101" spans="1:11" ht="25.5" x14ac:dyDescent="0.25">
      <c r="A4101" s="22">
        <v>2026</v>
      </c>
      <c r="B4101" s="28" t="s">
        <v>203</v>
      </c>
      <c r="C4101" s="28" t="s">
        <v>97</v>
      </c>
      <c r="D4101" s="28" t="s">
        <v>538</v>
      </c>
      <c r="E4101" s="29" t="s">
        <v>309</v>
      </c>
      <c r="F4101" s="29" t="s">
        <v>564</v>
      </c>
      <c r="G4101" s="25" t="s">
        <v>5810</v>
      </c>
      <c r="H4101" s="26">
        <v>-0.11845019999999999</v>
      </c>
      <c r="I4101" s="26"/>
      <c r="J4101" s="26" t="s">
        <v>512</v>
      </c>
      <c r="K4101" s="25" t="s">
        <v>513</v>
      </c>
    </row>
    <row r="4102" spans="1:11" ht="25.5" x14ac:dyDescent="0.25">
      <c r="A4102" s="22">
        <v>2026</v>
      </c>
      <c r="B4102" s="28" t="s">
        <v>203</v>
      </c>
      <c r="C4102" s="28" t="s">
        <v>97</v>
      </c>
      <c r="D4102" s="28" t="s">
        <v>538</v>
      </c>
      <c r="E4102" s="29" t="s">
        <v>309</v>
      </c>
      <c r="F4102" s="29" t="s">
        <v>564</v>
      </c>
      <c r="G4102" s="25" t="s">
        <v>5811</v>
      </c>
      <c r="H4102" s="26">
        <v>-0.19500000000000001</v>
      </c>
      <c r="I4102" s="26"/>
      <c r="J4102" s="26" t="s">
        <v>512</v>
      </c>
      <c r="K4102" s="25" t="s">
        <v>513</v>
      </c>
    </row>
    <row r="4103" spans="1:11" ht="25.5" x14ac:dyDescent="0.25">
      <c r="A4103" s="22">
        <v>2026</v>
      </c>
      <c r="B4103" s="28" t="s">
        <v>203</v>
      </c>
      <c r="C4103" s="28" t="s">
        <v>97</v>
      </c>
      <c r="D4103" s="28" t="s">
        <v>538</v>
      </c>
      <c r="E4103" s="29" t="s">
        <v>309</v>
      </c>
      <c r="F4103" s="29" t="s">
        <v>564</v>
      </c>
      <c r="G4103" s="25" t="s">
        <v>5812</v>
      </c>
      <c r="H4103" s="26">
        <v>-0.20275000000000001</v>
      </c>
      <c r="I4103" s="26"/>
      <c r="J4103" s="26" t="s">
        <v>512</v>
      </c>
      <c r="K4103" s="25" t="s">
        <v>513</v>
      </c>
    </row>
    <row r="4104" spans="1:11" ht="25.5" x14ac:dyDescent="0.25">
      <c r="A4104" s="22">
        <v>2026</v>
      </c>
      <c r="B4104" s="28" t="s">
        <v>203</v>
      </c>
      <c r="C4104" s="28" t="s">
        <v>97</v>
      </c>
      <c r="D4104" s="28" t="s">
        <v>538</v>
      </c>
      <c r="E4104" s="29" t="s">
        <v>309</v>
      </c>
      <c r="F4104" s="29" t="s">
        <v>564</v>
      </c>
      <c r="G4104" s="25" t="s">
        <v>5813</v>
      </c>
      <c r="H4104" s="26">
        <v>-0.12299999999999998</v>
      </c>
      <c r="I4104" s="26"/>
      <c r="J4104" s="26" t="s">
        <v>512</v>
      </c>
      <c r="K4104" s="25" t="s">
        <v>513</v>
      </c>
    </row>
    <row r="4105" spans="1:11" ht="25.5" x14ac:dyDescent="0.25">
      <c r="A4105" s="22">
        <v>2026</v>
      </c>
      <c r="B4105" s="28" t="s">
        <v>203</v>
      </c>
      <c r="C4105" s="28" t="s">
        <v>97</v>
      </c>
      <c r="D4105" s="28" t="s">
        <v>538</v>
      </c>
      <c r="E4105" s="29" t="s">
        <v>309</v>
      </c>
      <c r="F4105" s="29" t="s">
        <v>564</v>
      </c>
      <c r="G4105" s="25" t="s">
        <v>5814</v>
      </c>
      <c r="H4105" s="26">
        <v>-0.103875</v>
      </c>
      <c r="I4105" s="26"/>
      <c r="J4105" s="26" t="s">
        <v>512</v>
      </c>
      <c r="K4105" s="25" t="s">
        <v>513</v>
      </c>
    </row>
    <row r="4106" spans="1:11" ht="25.5" x14ac:dyDescent="0.25">
      <c r="A4106" s="22">
        <v>2026</v>
      </c>
      <c r="B4106" s="28" t="s">
        <v>203</v>
      </c>
      <c r="C4106" s="28" t="s">
        <v>97</v>
      </c>
      <c r="D4106" s="28" t="s">
        <v>538</v>
      </c>
      <c r="E4106" s="29" t="s">
        <v>309</v>
      </c>
      <c r="F4106" s="29" t="s">
        <v>564</v>
      </c>
      <c r="G4106" s="25" t="s">
        <v>5815</v>
      </c>
      <c r="H4106" s="26">
        <v>-0.12426840000000001</v>
      </c>
      <c r="I4106" s="26"/>
      <c r="J4106" s="26" t="s">
        <v>512</v>
      </c>
      <c r="K4106" s="25" t="s">
        <v>513</v>
      </c>
    </row>
    <row r="4107" spans="1:11" ht="25.5" x14ac:dyDescent="0.25">
      <c r="A4107" s="22">
        <v>2026</v>
      </c>
      <c r="B4107" s="28" t="s">
        <v>203</v>
      </c>
      <c r="C4107" s="28" t="s">
        <v>97</v>
      </c>
      <c r="D4107" s="28" t="s">
        <v>538</v>
      </c>
      <c r="E4107" s="29" t="s">
        <v>309</v>
      </c>
      <c r="F4107" s="29" t="s">
        <v>564</v>
      </c>
      <c r="G4107" s="25" t="s">
        <v>5816</v>
      </c>
      <c r="H4107" s="26">
        <v>-0.12591720000000001</v>
      </c>
      <c r="I4107" s="26"/>
      <c r="J4107" s="26" t="s">
        <v>512</v>
      </c>
      <c r="K4107" s="25" t="s">
        <v>513</v>
      </c>
    </row>
    <row r="4108" spans="1:11" ht="25.5" x14ac:dyDescent="0.25">
      <c r="A4108" s="22">
        <v>2026</v>
      </c>
      <c r="B4108" s="28" t="s">
        <v>203</v>
      </c>
      <c r="C4108" s="28" t="s">
        <v>97</v>
      </c>
      <c r="D4108" s="28" t="s">
        <v>538</v>
      </c>
      <c r="E4108" s="29" t="s">
        <v>309</v>
      </c>
      <c r="F4108" s="29" t="s">
        <v>564</v>
      </c>
      <c r="G4108" s="25" t="s">
        <v>5817</v>
      </c>
      <c r="H4108" s="26">
        <v>-6.2848349999999997E-2</v>
      </c>
      <c r="I4108" s="26"/>
      <c r="J4108" s="26" t="s">
        <v>512</v>
      </c>
      <c r="K4108" s="25" t="s">
        <v>513</v>
      </c>
    </row>
    <row r="4109" spans="1:11" ht="25.5" x14ac:dyDescent="0.25">
      <c r="A4109" s="22">
        <v>2026</v>
      </c>
      <c r="B4109" s="28" t="s">
        <v>203</v>
      </c>
      <c r="C4109" s="28" t="s">
        <v>97</v>
      </c>
      <c r="D4109" s="28" t="s">
        <v>538</v>
      </c>
      <c r="E4109" s="29" t="s">
        <v>309</v>
      </c>
      <c r="F4109" s="29" t="s">
        <v>564</v>
      </c>
      <c r="G4109" s="25" t="s">
        <v>5818</v>
      </c>
      <c r="H4109" s="26">
        <v>-0.146125</v>
      </c>
      <c r="I4109" s="26"/>
      <c r="J4109" s="26" t="s">
        <v>512</v>
      </c>
      <c r="K4109" s="25" t="s">
        <v>513</v>
      </c>
    </row>
    <row r="4110" spans="1:11" ht="25.5" x14ac:dyDescent="0.25">
      <c r="A4110" s="22">
        <v>2026</v>
      </c>
      <c r="B4110" s="28" t="s">
        <v>203</v>
      </c>
      <c r="C4110" s="28" t="s">
        <v>97</v>
      </c>
      <c r="D4110" s="28" t="s">
        <v>538</v>
      </c>
      <c r="E4110" s="29" t="s">
        <v>309</v>
      </c>
      <c r="F4110" s="29" t="s">
        <v>564</v>
      </c>
      <c r="G4110" s="25" t="s">
        <v>5819</v>
      </c>
      <c r="H4110" s="26">
        <v>-0.20849999999999999</v>
      </c>
      <c r="I4110" s="26"/>
      <c r="J4110" s="26" t="s">
        <v>512</v>
      </c>
      <c r="K4110" s="25" t="s">
        <v>513</v>
      </c>
    </row>
    <row r="4111" spans="1:11" ht="25.5" x14ac:dyDescent="0.25">
      <c r="A4111" s="22">
        <v>2026</v>
      </c>
      <c r="B4111" s="28" t="s">
        <v>203</v>
      </c>
      <c r="C4111" s="28" t="s">
        <v>97</v>
      </c>
      <c r="D4111" s="28" t="s">
        <v>538</v>
      </c>
      <c r="E4111" s="29" t="s">
        <v>309</v>
      </c>
      <c r="F4111" s="29" t="s">
        <v>564</v>
      </c>
      <c r="G4111" s="25" t="s">
        <v>5820</v>
      </c>
      <c r="H4111" s="26">
        <v>-6.2214150000000003E-2</v>
      </c>
      <c r="I4111" s="26"/>
      <c r="J4111" s="26" t="s">
        <v>512</v>
      </c>
      <c r="K4111" s="25" t="s">
        <v>513</v>
      </c>
    </row>
    <row r="4112" spans="1:11" ht="25.5" x14ac:dyDescent="0.25">
      <c r="A4112" s="22">
        <v>2026</v>
      </c>
      <c r="B4112" s="28" t="s">
        <v>203</v>
      </c>
      <c r="C4112" s="28" t="s">
        <v>97</v>
      </c>
      <c r="D4112" s="28" t="s">
        <v>538</v>
      </c>
      <c r="E4112" s="29" t="s">
        <v>309</v>
      </c>
      <c r="F4112" s="29" t="s">
        <v>564</v>
      </c>
      <c r="G4112" s="25" t="s">
        <v>5821</v>
      </c>
      <c r="H4112" s="26">
        <v>-0.16639999999999999</v>
      </c>
      <c r="I4112" s="26"/>
      <c r="J4112" s="26" t="s">
        <v>512</v>
      </c>
      <c r="K4112" s="25" t="s">
        <v>513</v>
      </c>
    </row>
    <row r="4113" spans="1:11" ht="25.5" x14ac:dyDescent="0.25">
      <c r="A4113" s="22">
        <v>2026</v>
      </c>
      <c r="B4113" s="28" t="s">
        <v>203</v>
      </c>
      <c r="C4113" s="28" t="s">
        <v>97</v>
      </c>
      <c r="D4113" s="28" t="s">
        <v>538</v>
      </c>
      <c r="E4113" s="29" t="s">
        <v>309</v>
      </c>
      <c r="F4113" s="29" t="s">
        <v>564</v>
      </c>
      <c r="G4113" s="25" t="s">
        <v>4471</v>
      </c>
      <c r="H4113" s="26">
        <v>-0.20750000000000002</v>
      </c>
      <c r="I4113" s="26"/>
      <c r="J4113" s="26" t="s">
        <v>512</v>
      </c>
      <c r="K4113" s="25" t="s">
        <v>513</v>
      </c>
    </row>
    <row r="4114" spans="1:11" ht="25.5" x14ac:dyDescent="0.25">
      <c r="A4114" s="22">
        <v>2026</v>
      </c>
      <c r="B4114" s="28" t="s">
        <v>203</v>
      </c>
      <c r="C4114" s="28" t="s">
        <v>97</v>
      </c>
      <c r="D4114" s="28" t="s">
        <v>538</v>
      </c>
      <c r="E4114" s="29" t="s">
        <v>309</v>
      </c>
      <c r="F4114" s="29" t="s">
        <v>564</v>
      </c>
      <c r="G4114" s="25" t="s">
        <v>5822</v>
      </c>
      <c r="H4114" s="26">
        <v>-6.2099999999999995E-2</v>
      </c>
      <c r="I4114" s="26"/>
      <c r="J4114" s="26" t="s">
        <v>512</v>
      </c>
      <c r="K4114" s="25" t="s">
        <v>513</v>
      </c>
    </row>
    <row r="4115" spans="1:11" ht="25.5" x14ac:dyDescent="0.25">
      <c r="A4115" s="22">
        <v>2026</v>
      </c>
      <c r="B4115" s="28" t="s">
        <v>203</v>
      </c>
      <c r="C4115" s="28" t="s">
        <v>97</v>
      </c>
      <c r="D4115" s="28" t="s">
        <v>1794</v>
      </c>
      <c r="E4115" s="29" t="s">
        <v>1803</v>
      </c>
      <c r="F4115" s="29" t="s">
        <v>4596</v>
      </c>
      <c r="G4115" s="25" t="s">
        <v>5823</v>
      </c>
      <c r="H4115" s="26">
        <v>-0.43009686999999652</v>
      </c>
      <c r="I4115" s="26"/>
      <c r="J4115" s="26" t="s">
        <v>512</v>
      </c>
      <c r="K4115" s="25" t="s">
        <v>515</v>
      </c>
    </row>
    <row r="4116" spans="1:11" ht="25.5" x14ac:dyDescent="0.25">
      <c r="A4116" s="22">
        <v>2026</v>
      </c>
      <c r="B4116" s="28" t="s">
        <v>203</v>
      </c>
      <c r="C4116" s="28" t="s">
        <v>97</v>
      </c>
      <c r="D4116" s="28" t="s">
        <v>1794</v>
      </c>
      <c r="E4116" s="29" t="s">
        <v>1803</v>
      </c>
      <c r="F4116" s="29" t="s">
        <v>4596</v>
      </c>
      <c r="G4116" s="25" t="s">
        <v>5824</v>
      </c>
      <c r="H4116" s="26">
        <v>-0.57347981999999997</v>
      </c>
      <c r="I4116" s="26"/>
      <c r="J4116" s="26" t="s">
        <v>512</v>
      </c>
      <c r="K4116" s="25" t="s">
        <v>515</v>
      </c>
    </row>
    <row r="4117" spans="1:11" ht="25.5" x14ac:dyDescent="0.25">
      <c r="A4117" s="22">
        <v>2026</v>
      </c>
      <c r="B4117" s="28" t="s">
        <v>203</v>
      </c>
      <c r="C4117" s="28" t="s">
        <v>97</v>
      </c>
      <c r="D4117" s="28" t="s">
        <v>1738</v>
      </c>
      <c r="E4117" s="29" t="s">
        <v>309</v>
      </c>
      <c r="F4117" s="29" t="s">
        <v>386</v>
      </c>
      <c r="G4117" s="25" t="s">
        <v>5825</v>
      </c>
      <c r="H4117" s="26">
        <v>-0.14969346</v>
      </c>
      <c r="I4117" s="26"/>
      <c r="J4117" s="26" t="s">
        <v>512</v>
      </c>
      <c r="K4117" s="25" t="s">
        <v>513</v>
      </c>
    </row>
    <row r="4118" spans="1:11" ht="25.5" x14ac:dyDescent="0.25">
      <c r="A4118" s="22">
        <v>2026</v>
      </c>
      <c r="B4118" s="28" t="s">
        <v>203</v>
      </c>
      <c r="C4118" s="28" t="s">
        <v>97</v>
      </c>
      <c r="D4118" s="28" t="s">
        <v>1738</v>
      </c>
      <c r="E4118" s="29" t="s">
        <v>309</v>
      </c>
      <c r="F4118" s="29" t="s">
        <v>386</v>
      </c>
      <c r="G4118" s="25" t="s">
        <v>5826</v>
      </c>
      <c r="H4118" s="26">
        <v>-1.4499669150000001</v>
      </c>
      <c r="I4118" s="26"/>
      <c r="J4118" s="26" t="s">
        <v>512</v>
      </c>
      <c r="K4118" s="25" t="s">
        <v>513</v>
      </c>
    </row>
    <row r="4119" spans="1:11" ht="25.5" x14ac:dyDescent="0.25">
      <c r="A4119" s="22">
        <v>2026</v>
      </c>
      <c r="B4119" s="28" t="s">
        <v>203</v>
      </c>
      <c r="C4119" s="28" t="s">
        <v>97</v>
      </c>
      <c r="D4119" s="28" t="s">
        <v>1738</v>
      </c>
      <c r="E4119" s="29" t="s">
        <v>309</v>
      </c>
      <c r="F4119" s="29" t="s">
        <v>386</v>
      </c>
      <c r="G4119" s="25" t="s">
        <v>5827</v>
      </c>
      <c r="H4119" s="26">
        <v>-0.52532292120000001</v>
      </c>
      <c r="I4119" s="26"/>
      <c r="J4119" s="26" t="s">
        <v>512</v>
      </c>
      <c r="K4119" s="25" t="s">
        <v>513</v>
      </c>
    </row>
    <row r="4120" spans="1:11" ht="25.5" x14ac:dyDescent="0.25">
      <c r="A4120" s="22">
        <v>2026</v>
      </c>
      <c r="B4120" s="28" t="s">
        <v>203</v>
      </c>
      <c r="C4120" s="28" t="s">
        <v>97</v>
      </c>
      <c r="D4120" s="28" t="s">
        <v>1738</v>
      </c>
      <c r="E4120" s="29" t="s">
        <v>309</v>
      </c>
      <c r="F4120" s="29" t="s">
        <v>386</v>
      </c>
      <c r="G4120" s="25" t="s">
        <v>5828</v>
      </c>
      <c r="H4120" s="26">
        <v>-2.5470000000000002</v>
      </c>
      <c r="I4120" s="26"/>
      <c r="J4120" s="26" t="s">
        <v>512</v>
      </c>
      <c r="K4120" s="25" t="s">
        <v>513</v>
      </c>
    </row>
    <row r="4121" spans="1:11" ht="25.5" x14ac:dyDescent="0.25">
      <c r="A4121" s="22">
        <v>2026</v>
      </c>
      <c r="B4121" s="28" t="s">
        <v>203</v>
      </c>
      <c r="C4121" s="28" t="s">
        <v>97</v>
      </c>
      <c r="D4121" s="28" t="s">
        <v>1738</v>
      </c>
      <c r="E4121" s="29" t="s">
        <v>309</v>
      </c>
      <c r="F4121" s="29" t="s">
        <v>386</v>
      </c>
      <c r="G4121" s="25" t="s">
        <v>5829</v>
      </c>
      <c r="H4121" s="26">
        <v>-1.4480783528000001</v>
      </c>
      <c r="I4121" s="26"/>
      <c r="J4121" s="26" t="s">
        <v>512</v>
      </c>
      <c r="K4121" s="25" t="s">
        <v>513</v>
      </c>
    </row>
    <row r="4122" spans="1:11" ht="25.5" x14ac:dyDescent="0.25">
      <c r="A4122" s="22">
        <v>2026</v>
      </c>
      <c r="B4122" s="28" t="s">
        <v>203</v>
      </c>
      <c r="C4122" s="28" t="s">
        <v>97</v>
      </c>
      <c r="D4122" s="28" t="s">
        <v>1738</v>
      </c>
      <c r="E4122" s="29" t="s">
        <v>309</v>
      </c>
      <c r="F4122" s="29" t="s">
        <v>386</v>
      </c>
      <c r="G4122" s="25" t="s">
        <v>5830</v>
      </c>
      <c r="H4122" s="26">
        <v>-2.613</v>
      </c>
      <c r="I4122" s="26"/>
      <c r="J4122" s="26" t="s">
        <v>512</v>
      </c>
      <c r="K4122" s="25" t="s">
        <v>513</v>
      </c>
    </row>
    <row r="4123" spans="1:11" ht="25.5" x14ac:dyDescent="0.25">
      <c r="A4123" s="22">
        <v>2026</v>
      </c>
      <c r="B4123" s="28" t="s">
        <v>203</v>
      </c>
      <c r="C4123" s="28" t="s">
        <v>97</v>
      </c>
      <c r="D4123" s="28" t="s">
        <v>1738</v>
      </c>
      <c r="E4123" s="29" t="s">
        <v>309</v>
      </c>
      <c r="F4123" s="29" t="s">
        <v>386</v>
      </c>
      <c r="G4123" s="25" t="s">
        <v>5831</v>
      </c>
      <c r="H4123" s="26">
        <v>-1.9610999999999998</v>
      </c>
      <c r="I4123" s="26"/>
      <c r="J4123" s="26" t="s">
        <v>512</v>
      </c>
      <c r="K4123" s="25" t="s">
        <v>513</v>
      </c>
    </row>
    <row r="4124" spans="1:11" ht="25.5" x14ac:dyDescent="0.25">
      <c r="A4124" s="22">
        <v>2026</v>
      </c>
      <c r="B4124" s="28" t="s">
        <v>203</v>
      </c>
      <c r="C4124" s="28" t="s">
        <v>97</v>
      </c>
      <c r="D4124" s="28" t="s">
        <v>1738</v>
      </c>
      <c r="E4124" s="29" t="s">
        <v>309</v>
      </c>
      <c r="F4124" s="29" t="s">
        <v>386</v>
      </c>
      <c r="G4124" s="25" t="s">
        <v>5832</v>
      </c>
      <c r="H4124" s="26">
        <v>-1.9777499999999999</v>
      </c>
      <c r="I4124" s="26"/>
      <c r="J4124" s="26" t="s">
        <v>512</v>
      </c>
      <c r="K4124" s="25" t="s">
        <v>513</v>
      </c>
    </row>
    <row r="4125" spans="1:11" ht="25.5" x14ac:dyDescent="0.25">
      <c r="A4125" s="22">
        <v>2026</v>
      </c>
      <c r="B4125" s="28" t="s">
        <v>203</v>
      </c>
      <c r="C4125" s="28" t="s">
        <v>97</v>
      </c>
      <c r="D4125" s="28" t="s">
        <v>1738</v>
      </c>
      <c r="E4125" s="29" t="s">
        <v>309</v>
      </c>
      <c r="F4125" s="29" t="s">
        <v>386</v>
      </c>
      <c r="G4125" s="25" t="s">
        <v>5833</v>
      </c>
      <c r="H4125" s="26">
        <v>-2.0054250000000002</v>
      </c>
      <c r="I4125" s="26"/>
      <c r="J4125" s="26" t="s">
        <v>512</v>
      </c>
      <c r="K4125" s="25" t="s">
        <v>513</v>
      </c>
    </row>
    <row r="4126" spans="1:11" ht="25.5" x14ac:dyDescent="0.25">
      <c r="A4126" s="22">
        <v>2026</v>
      </c>
      <c r="B4126" s="28" t="s">
        <v>203</v>
      </c>
      <c r="C4126" s="28" t="s">
        <v>97</v>
      </c>
      <c r="D4126" s="28" t="s">
        <v>1738</v>
      </c>
      <c r="E4126" s="29" t="s">
        <v>309</v>
      </c>
      <c r="F4126" s="29" t="s">
        <v>386</v>
      </c>
      <c r="G4126" s="25" t="s">
        <v>5834</v>
      </c>
      <c r="H4126" s="26">
        <v>-2.0150999999999999</v>
      </c>
      <c r="I4126" s="26"/>
      <c r="J4126" s="26" t="s">
        <v>512</v>
      </c>
      <c r="K4126" s="25" t="s">
        <v>513</v>
      </c>
    </row>
    <row r="4127" spans="1:11" ht="25.5" x14ac:dyDescent="0.25">
      <c r="A4127" s="22">
        <v>2026</v>
      </c>
      <c r="B4127" s="28" t="s">
        <v>203</v>
      </c>
      <c r="C4127" s="28" t="s">
        <v>97</v>
      </c>
      <c r="D4127" s="28" t="s">
        <v>1738</v>
      </c>
      <c r="E4127" s="29" t="s">
        <v>309</v>
      </c>
      <c r="F4127" s="29" t="s">
        <v>386</v>
      </c>
      <c r="G4127" s="25" t="s">
        <v>5835</v>
      </c>
      <c r="H4127" s="26">
        <v>-2.0117250000000002</v>
      </c>
      <c r="I4127" s="26"/>
      <c r="J4127" s="26" t="s">
        <v>512</v>
      </c>
      <c r="K4127" s="25" t="s">
        <v>513</v>
      </c>
    </row>
    <row r="4128" spans="1:11" ht="25.5" x14ac:dyDescent="0.25">
      <c r="A4128" s="22">
        <v>2026</v>
      </c>
      <c r="B4128" s="28" t="s">
        <v>203</v>
      </c>
      <c r="C4128" s="28" t="s">
        <v>97</v>
      </c>
      <c r="D4128" s="28" t="s">
        <v>1738</v>
      </c>
      <c r="E4128" s="29" t="s">
        <v>309</v>
      </c>
      <c r="F4128" s="29" t="s">
        <v>386</v>
      </c>
      <c r="G4128" s="25" t="s">
        <v>5836</v>
      </c>
      <c r="H4128" s="26">
        <v>-1.9903500000000001</v>
      </c>
      <c r="I4128" s="26"/>
      <c r="J4128" s="26" t="s">
        <v>512</v>
      </c>
      <c r="K4128" s="25" t="s">
        <v>513</v>
      </c>
    </row>
    <row r="4129" spans="1:11" ht="25.5" x14ac:dyDescent="0.25">
      <c r="A4129" s="22">
        <v>2026</v>
      </c>
      <c r="B4129" s="28" t="s">
        <v>203</v>
      </c>
      <c r="C4129" s="28" t="s">
        <v>97</v>
      </c>
      <c r="D4129" s="28" t="s">
        <v>1738</v>
      </c>
      <c r="E4129" s="29" t="s">
        <v>309</v>
      </c>
      <c r="F4129" s="29" t="s">
        <v>386</v>
      </c>
      <c r="G4129" s="25" t="s">
        <v>5837</v>
      </c>
      <c r="H4129" s="26">
        <v>-1.9760249999999999</v>
      </c>
      <c r="I4129" s="26"/>
      <c r="J4129" s="26" t="s">
        <v>512</v>
      </c>
      <c r="K4129" s="25" t="s">
        <v>513</v>
      </c>
    </row>
    <row r="4130" spans="1:11" ht="25.5" x14ac:dyDescent="0.25">
      <c r="A4130" s="22">
        <v>2026</v>
      </c>
      <c r="B4130" s="28" t="s">
        <v>203</v>
      </c>
      <c r="C4130" s="28" t="s">
        <v>97</v>
      </c>
      <c r="D4130" s="28" t="s">
        <v>1738</v>
      </c>
      <c r="E4130" s="29" t="s">
        <v>309</v>
      </c>
      <c r="F4130" s="29" t="s">
        <v>386</v>
      </c>
      <c r="G4130" s="25" t="s">
        <v>5838</v>
      </c>
      <c r="H4130" s="26">
        <v>-1.9731749999999999</v>
      </c>
      <c r="I4130" s="26"/>
      <c r="J4130" s="26" t="s">
        <v>512</v>
      </c>
      <c r="K4130" s="25" t="s">
        <v>513</v>
      </c>
    </row>
    <row r="4131" spans="1:11" ht="25.5" x14ac:dyDescent="0.25">
      <c r="A4131" s="22">
        <v>2026</v>
      </c>
      <c r="B4131" s="28" t="s">
        <v>203</v>
      </c>
      <c r="C4131" s="28" t="s">
        <v>97</v>
      </c>
      <c r="D4131" s="28" t="s">
        <v>1738</v>
      </c>
      <c r="E4131" s="29" t="s">
        <v>309</v>
      </c>
      <c r="F4131" s="29" t="s">
        <v>386</v>
      </c>
      <c r="G4131" s="25" t="s">
        <v>5839</v>
      </c>
      <c r="H4131" s="26">
        <v>-1.9591499999999999</v>
      </c>
      <c r="I4131" s="26"/>
      <c r="J4131" s="26" t="s">
        <v>512</v>
      </c>
      <c r="K4131" s="25" t="s">
        <v>513</v>
      </c>
    </row>
    <row r="4132" spans="1:11" ht="25.5" x14ac:dyDescent="0.25">
      <c r="A4132" s="22">
        <v>2026</v>
      </c>
      <c r="B4132" s="28" t="s">
        <v>203</v>
      </c>
      <c r="C4132" s="28" t="s">
        <v>97</v>
      </c>
      <c r="D4132" s="28" t="s">
        <v>1738</v>
      </c>
      <c r="E4132" s="29" t="s">
        <v>309</v>
      </c>
      <c r="F4132" s="29" t="s">
        <v>386</v>
      </c>
      <c r="G4132" s="25" t="s">
        <v>5840</v>
      </c>
      <c r="H4132" s="26">
        <v>-1.9318500000000001</v>
      </c>
      <c r="I4132" s="26"/>
      <c r="J4132" s="26" t="s">
        <v>512</v>
      </c>
      <c r="K4132" s="25" t="s">
        <v>513</v>
      </c>
    </row>
    <row r="4133" spans="1:11" ht="25.5" x14ac:dyDescent="0.25">
      <c r="A4133" s="22">
        <v>2026</v>
      </c>
      <c r="B4133" s="28" t="s">
        <v>203</v>
      </c>
      <c r="C4133" s="28" t="s">
        <v>97</v>
      </c>
      <c r="D4133" s="28" t="s">
        <v>1738</v>
      </c>
      <c r="E4133" s="29" t="s">
        <v>309</v>
      </c>
      <c r="F4133" s="29" t="s">
        <v>386</v>
      </c>
      <c r="G4133" s="25" t="s">
        <v>5841</v>
      </c>
      <c r="H4133" s="26">
        <v>-2.6074999999999999</v>
      </c>
      <c r="I4133" s="26"/>
      <c r="J4133" s="26" t="s">
        <v>512</v>
      </c>
      <c r="K4133" s="25" t="s">
        <v>513</v>
      </c>
    </row>
    <row r="4134" spans="1:11" ht="25.5" x14ac:dyDescent="0.25">
      <c r="A4134" s="22">
        <v>2026</v>
      </c>
      <c r="B4134" s="28" t="s">
        <v>203</v>
      </c>
      <c r="C4134" s="28" t="s">
        <v>97</v>
      </c>
      <c r="D4134" s="28" t="s">
        <v>537</v>
      </c>
      <c r="E4134" s="29" t="s">
        <v>561</v>
      </c>
      <c r="F4134" s="29" t="s">
        <v>298</v>
      </c>
      <c r="G4134" s="25" t="s">
        <v>5842</v>
      </c>
      <c r="H4134" s="26">
        <v>-0.59330000000000005</v>
      </c>
      <c r="I4134" s="26"/>
      <c r="J4134" s="26" t="s">
        <v>512</v>
      </c>
      <c r="K4134" s="25" t="s">
        <v>513</v>
      </c>
    </row>
    <row r="4135" spans="1:11" ht="25.5" x14ac:dyDescent="0.25">
      <c r="A4135" s="22">
        <v>2026</v>
      </c>
      <c r="B4135" s="28" t="s">
        <v>203</v>
      </c>
      <c r="C4135" s="28" t="s">
        <v>97</v>
      </c>
      <c r="D4135" s="28" t="s">
        <v>537</v>
      </c>
      <c r="E4135" s="29" t="s">
        <v>561</v>
      </c>
      <c r="F4135" s="29" t="s">
        <v>298</v>
      </c>
      <c r="G4135" s="25" t="s">
        <v>5843</v>
      </c>
      <c r="H4135" s="26">
        <v>-0.17574999999999999</v>
      </c>
      <c r="I4135" s="26"/>
      <c r="J4135" s="26" t="s">
        <v>512</v>
      </c>
      <c r="K4135" s="25" t="s">
        <v>513</v>
      </c>
    </row>
    <row r="4136" spans="1:11" ht="25.5" x14ac:dyDescent="0.25">
      <c r="A4136" s="22">
        <v>2026</v>
      </c>
      <c r="B4136" s="28" t="s">
        <v>203</v>
      </c>
      <c r="C4136" s="28" t="s">
        <v>97</v>
      </c>
      <c r="D4136" s="28" t="s">
        <v>537</v>
      </c>
      <c r="E4136" s="29" t="s">
        <v>561</v>
      </c>
      <c r="F4136" s="29" t="s">
        <v>298</v>
      </c>
      <c r="G4136" s="25" t="s">
        <v>5844</v>
      </c>
      <c r="H4136" s="26">
        <v>-0.53117939999999997</v>
      </c>
      <c r="I4136" s="26"/>
      <c r="J4136" s="26" t="s">
        <v>512</v>
      </c>
      <c r="K4136" s="25" t="s">
        <v>513</v>
      </c>
    </row>
    <row r="4137" spans="1:11" ht="25.5" x14ac:dyDescent="0.25">
      <c r="A4137" s="22">
        <v>2026</v>
      </c>
      <c r="B4137" s="28" t="s">
        <v>203</v>
      </c>
      <c r="C4137" s="28" t="s">
        <v>97</v>
      </c>
      <c r="D4137" s="28" t="s">
        <v>537</v>
      </c>
      <c r="E4137" s="29" t="s">
        <v>561</v>
      </c>
      <c r="F4137" s="29" t="s">
        <v>298</v>
      </c>
      <c r="G4137" s="25" t="s">
        <v>5845</v>
      </c>
      <c r="H4137" s="26">
        <v>-0.70399999999999996</v>
      </c>
      <c r="I4137" s="26"/>
      <c r="J4137" s="26" t="s">
        <v>512</v>
      </c>
      <c r="K4137" s="25" t="s">
        <v>513</v>
      </c>
    </row>
    <row r="4138" spans="1:11" ht="25.5" x14ac:dyDescent="0.25">
      <c r="A4138" s="22">
        <v>2026</v>
      </c>
      <c r="B4138" s="28" t="s">
        <v>203</v>
      </c>
      <c r="C4138" s="28" t="s">
        <v>97</v>
      </c>
      <c r="D4138" s="28" t="s">
        <v>537</v>
      </c>
      <c r="E4138" s="29" t="s">
        <v>561</v>
      </c>
      <c r="F4138" s="29" t="s">
        <v>298</v>
      </c>
      <c r="G4138" s="25" t="s">
        <v>5846</v>
      </c>
      <c r="H4138" s="26">
        <v>-0.18425</v>
      </c>
      <c r="I4138" s="26"/>
      <c r="J4138" s="26" t="s">
        <v>512</v>
      </c>
      <c r="K4138" s="25" t="s">
        <v>513</v>
      </c>
    </row>
    <row r="4139" spans="1:11" ht="25.5" x14ac:dyDescent="0.25">
      <c r="A4139" s="22">
        <v>2026</v>
      </c>
      <c r="B4139" s="28" t="s">
        <v>203</v>
      </c>
      <c r="C4139" s="28" t="s">
        <v>97</v>
      </c>
      <c r="D4139" s="28" t="s">
        <v>537</v>
      </c>
      <c r="E4139" s="29" t="s">
        <v>561</v>
      </c>
      <c r="F4139" s="29" t="s">
        <v>298</v>
      </c>
      <c r="G4139" s="25" t="s">
        <v>5847</v>
      </c>
      <c r="H4139" s="26">
        <v>-0.72699999999999998</v>
      </c>
      <c r="I4139" s="26"/>
      <c r="J4139" s="26" t="s">
        <v>512</v>
      </c>
      <c r="K4139" s="25" t="s">
        <v>513</v>
      </c>
    </row>
    <row r="4140" spans="1:11" ht="25.5" x14ac:dyDescent="0.25">
      <c r="A4140" s="22">
        <v>2026</v>
      </c>
      <c r="B4140" s="28" t="s">
        <v>203</v>
      </c>
      <c r="C4140" s="28" t="s">
        <v>97</v>
      </c>
      <c r="D4140" s="28" t="s">
        <v>537</v>
      </c>
      <c r="E4140" s="29" t="s">
        <v>561</v>
      </c>
      <c r="F4140" s="29" t="s">
        <v>298</v>
      </c>
      <c r="G4140" s="25" t="s">
        <v>5848</v>
      </c>
      <c r="H4140" s="26">
        <v>-0.21809999999999999</v>
      </c>
      <c r="I4140" s="26"/>
      <c r="J4140" s="26" t="s">
        <v>512</v>
      </c>
      <c r="K4140" s="25" t="s">
        <v>513</v>
      </c>
    </row>
    <row r="4141" spans="1:11" ht="25.5" x14ac:dyDescent="0.25">
      <c r="A4141" s="22">
        <v>2026</v>
      </c>
      <c r="B4141" s="28" t="s">
        <v>203</v>
      </c>
      <c r="C4141" s="28" t="s">
        <v>97</v>
      </c>
      <c r="D4141" s="28" t="s">
        <v>537</v>
      </c>
      <c r="E4141" s="29" t="s">
        <v>561</v>
      </c>
      <c r="F4141" s="29" t="s">
        <v>298</v>
      </c>
      <c r="G4141" s="25" t="s">
        <v>5849</v>
      </c>
      <c r="H4141" s="26">
        <v>-0.18124999999999999</v>
      </c>
      <c r="I4141" s="26"/>
      <c r="J4141" s="26" t="s">
        <v>512</v>
      </c>
      <c r="K4141" s="25" t="s">
        <v>513</v>
      </c>
    </row>
    <row r="4142" spans="1:11" ht="25.5" x14ac:dyDescent="0.25">
      <c r="A4142" s="22">
        <v>2026</v>
      </c>
      <c r="B4142" s="28" t="s">
        <v>203</v>
      </c>
      <c r="C4142" s="28" t="s">
        <v>97</v>
      </c>
      <c r="D4142" s="28" t="s">
        <v>1788</v>
      </c>
      <c r="E4142" s="29" t="s">
        <v>1798</v>
      </c>
      <c r="F4142" s="29" t="s">
        <v>325</v>
      </c>
      <c r="G4142" s="25" t="s">
        <v>5850</v>
      </c>
      <c r="H4142" s="26">
        <v>-0.39400000000000002</v>
      </c>
      <c r="I4142" s="26"/>
      <c r="J4142" s="26" t="s">
        <v>512</v>
      </c>
      <c r="K4142" s="25" t="s">
        <v>513</v>
      </c>
    </row>
    <row r="4143" spans="1:11" ht="25.5" x14ac:dyDescent="0.25">
      <c r="A4143" s="22">
        <v>2026</v>
      </c>
      <c r="B4143" s="28" t="s">
        <v>203</v>
      </c>
      <c r="C4143" s="28" t="s">
        <v>97</v>
      </c>
      <c r="D4143" s="28" t="s">
        <v>768</v>
      </c>
      <c r="E4143" s="29" t="s">
        <v>768</v>
      </c>
      <c r="F4143" s="29" t="s">
        <v>332</v>
      </c>
      <c r="G4143" s="25" t="s">
        <v>5851</v>
      </c>
      <c r="H4143" s="26">
        <v>-6.8090500649999997E-2</v>
      </c>
      <c r="I4143" s="26"/>
      <c r="J4143" s="26" t="s">
        <v>512</v>
      </c>
      <c r="K4143" s="25" t="s">
        <v>513</v>
      </c>
    </row>
    <row r="4144" spans="1:11" ht="25.5" x14ac:dyDescent="0.25">
      <c r="A4144" s="22">
        <v>2026</v>
      </c>
      <c r="B4144" s="28" t="s">
        <v>203</v>
      </c>
      <c r="C4144" s="28" t="s">
        <v>97</v>
      </c>
      <c r="D4144" s="28" t="s">
        <v>768</v>
      </c>
      <c r="E4144" s="29" t="s">
        <v>768</v>
      </c>
      <c r="F4144" s="29" t="s">
        <v>332</v>
      </c>
      <c r="G4144" s="25" t="s">
        <v>5852</v>
      </c>
      <c r="H4144" s="26">
        <v>-9.1858999999999996E-2</v>
      </c>
      <c r="I4144" s="26"/>
      <c r="J4144" s="26" t="s">
        <v>512</v>
      </c>
      <c r="K4144" s="25" t="s">
        <v>513</v>
      </c>
    </row>
    <row r="4145" spans="1:11" ht="25.5" x14ac:dyDescent="0.25">
      <c r="A4145" s="22">
        <v>2026</v>
      </c>
      <c r="B4145" s="28" t="s">
        <v>203</v>
      </c>
      <c r="C4145" s="28" t="s">
        <v>97</v>
      </c>
      <c r="D4145" s="28" t="s">
        <v>768</v>
      </c>
      <c r="E4145" s="29" t="s">
        <v>768</v>
      </c>
      <c r="F4145" s="29" t="s">
        <v>332</v>
      </c>
      <c r="G4145" s="25" t="s">
        <v>5853</v>
      </c>
      <c r="H4145" s="26">
        <v>-9.36588E-2</v>
      </c>
      <c r="I4145" s="26"/>
      <c r="J4145" s="26" t="s">
        <v>512</v>
      </c>
      <c r="K4145" s="25" t="s">
        <v>513</v>
      </c>
    </row>
    <row r="4146" spans="1:11" ht="25.5" x14ac:dyDescent="0.25">
      <c r="A4146" s="22">
        <v>2026</v>
      </c>
      <c r="B4146" s="28" t="s">
        <v>203</v>
      </c>
      <c r="C4146" s="28" t="s">
        <v>97</v>
      </c>
      <c r="D4146" s="28" t="s">
        <v>768</v>
      </c>
      <c r="E4146" s="29" t="s">
        <v>768</v>
      </c>
      <c r="F4146" s="29" t="s">
        <v>332</v>
      </c>
      <c r="G4146" s="25" t="s">
        <v>5854</v>
      </c>
      <c r="H4146" s="26">
        <v>-9.5025200000000018E-2</v>
      </c>
      <c r="I4146" s="26"/>
      <c r="J4146" s="26" t="s">
        <v>512</v>
      </c>
      <c r="K4146" s="25" t="s">
        <v>513</v>
      </c>
    </row>
    <row r="4147" spans="1:11" ht="25.5" x14ac:dyDescent="0.25">
      <c r="A4147" s="22">
        <v>2026</v>
      </c>
      <c r="B4147" s="28" t="s">
        <v>203</v>
      </c>
      <c r="C4147" s="28" t="s">
        <v>97</v>
      </c>
      <c r="D4147" s="28" t="s">
        <v>768</v>
      </c>
      <c r="E4147" s="29" t="s">
        <v>768</v>
      </c>
      <c r="F4147" s="29" t="s">
        <v>332</v>
      </c>
      <c r="G4147" s="25" t="s">
        <v>5855</v>
      </c>
      <c r="H4147" s="26">
        <v>-9.7162799999999994E-2</v>
      </c>
      <c r="I4147" s="26"/>
      <c r="J4147" s="26" t="s">
        <v>512</v>
      </c>
      <c r="K4147" s="25" t="s">
        <v>513</v>
      </c>
    </row>
    <row r="4148" spans="1:11" ht="25.5" x14ac:dyDescent="0.25">
      <c r="A4148" s="22">
        <v>2026</v>
      </c>
      <c r="B4148" s="28" t="s">
        <v>203</v>
      </c>
      <c r="C4148" s="28" t="s">
        <v>97</v>
      </c>
      <c r="D4148" s="28" t="s">
        <v>768</v>
      </c>
      <c r="E4148" s="29" t="s">
        <v>768</v>
      </c>
      <c r="F4148" s="29" t="s">
        <v>332</v>
      </c>
      <c r="G4148" s="25" t="s">
        <v>5856</v>
      </c>
      <c r="H4148" s="26">
        <v>-9.7708200000000009E-2</v>
      </c>
      <c r="I4148" s="26"/>
      <c r="J4148" s="26" t="s">
        <v>512</v>
      </c>
      <c r="K4148" s="25" t="s">
        <v>513</v>
      </c>
    </row>
    <row r="4149" spans="1:11" ht="25.5" x14ac:dyDescent="0.25">
      <c r="A4149" s="22">
        <v>2026</v>
      </c>
      <c r="B4149" s="28" t="s">
        <v>203</v>
      </c>
      <c r="C4149" s="28" t="s">
        <v>97</v>
      </c>
      <c r="D4149" s="28" t="s">
        <v>768</v>
      </c>
      <c r="E4149" s="29" t="s">
        <v>768</v>
      </c>
      <c r="F4149" s="29" t="s">
        <v>332</v>
      </c>
      <c r="G4149" s="25" t="s">
        <v>5857</v>
      </c>
      <c r="H4149" s="26">
        <v>-2.37467414E-2</v>
      </c>
      <c r="I4149" s="26"/>
      <c r="J4149" s="26" t="s">
        <v>512</v>
      </c>
      <c r="K4149" s="25" t="s">
        <v>513</v>
      </c>
    </row>
    <row r="4150" spans="1:11" ht="25.5" x14ac:dyDescent="0.25">
      <c r="A4150" s="22">
        <v>2026</v>
      </c>
      <c r="B4150" s="28" t="s">
        <v>203</v>
      </c>
      <c r="C4150" s="28" t="s">
        <v>97</v>
      </c>
      <c r="D4150" s="28" t="s">
        <v>768</v>
      </c>
      <c r="E4150" s="29" t="s">
        <v>768</v>
      </c>
      <c r="F4150" s="29" t="s">
        <v>332</v>
      </c>
      <c r="G4150" s="25" t="s">
        <v>5858</v>
      </c>
      <c r="H4150" s="26">
        <v>-7.7222250000000006E-2</v>
      </c>
      <c r="I4150" s="26"/>
      <c r="J4150" s="26" t="s">
        <v>512</v>
      </c>
      <c r="K4150" s="25" t="s">
        <v>513</v>
      </c>
    </row>
    <row r="4151" spans="1:11" ht="25.5" x14ac:dyDescent="0.25">
      <c r="A4151" s="22">
        <v>2026</v>
      </c>
      <c r="B4151" s="28" t="s">
        <v>203</v>
      </c>
      <c r="C4151" s="28" t="s">
        <v>97</v>
      </c>
      <c r="D4151" s="28" t="s">
        <v>768</v>
      </c>
      <c r="E4151" s="29" t="s">
        <v>768</v>
      </c>
      <c r="F4151" s="29" t="s">
        <v>332</v>
      </c>
      <c r="G4151" s="25" t="s">
        <v>5859</v>
      </c>
      <c r="H4151" s="26">
        <v>-7.7161499999999994E-2</v>
      </c>
      <c r="I4151" s="26"/>
      <c r="J4151" s="26" t="s">
        <v>512</v>
      </c>
      <c r="K4151" s="25" t="s">
        <v>513</v>
      </c>
    </row>
    <row r="4152" spans="1:11" ht="25.5" x14ac:dyDescent="0.25">
      <c r="A4152" s="22">
        <v>2026</v>
      </c>
      <c r="B4152" s="28" t="s">
        <v>203</v>
      </c>
      <c r="C4152" s="28" t="s">
        <v>97</v>
      </c>
      <c r="D4152" s="28" t="s">
        <v>768</v>
      </c>
      <c r="E4152" s="29" t="s">
        <v>768</v>
      </c>
      <c r="F4152" s="29" t="s">
        <v>332</v>
      </c>
      <c r="G4152" s="25" t="s">
        <v>5860</v>
      </c>
      <c r="H4152" s="26">
        <v>-3.5359348559999997E-2</v>
      </c>
      <c r="I4152" s="26"/>
      <c r="J4152" s="26" t="s">
        <v>512</v>
      </c>
      <c r="K4152" s="25" t="s">
        <v>513</v>
      </c>
    </row>
    <row r="4153" spans="1:11" ht="25.5" x14ac:dyDescent="0.25">
      <c r="A4153" s="22">
        <v>2026</v>
      </c>
      <c r="B4153" s="28" t="s">
        <v>203</v>
      </c>
      <c r="C4153" s="28" t="s">
        <v>97</v>
      </c>
      <c r="D4153" s="28" t="s">
        <v>768</v>
      </c>
      <c r="E4153" s="29" t="s">
        <v>768</v>
      </c>
      <c r="F4153" s="29" t="s">
        <v>332</v>
      </c>
      <c r="G4153" s="25" t="s">
        <v>5861</v>
      </c>
      <c r="H4153" s="26">
        <v>-7.7841600000000011E-2</v>
      </c>
      <c r="I4153" s="26"/>
      <c r="J4153" s="26" t="s">
        <v>512</v>
      </c>
      <c r="K4153" s="25" t="s">
        <v>513</v>
      </c>
    </row>
    <row r="4154" spans="1:11" ht="25.5" x14ac:dyDescent="0.25">
      <c r="A4154" s="22">
        <v>2026</v>
      </c>
      <c r="B4154" s="28" t="s">
        <v>203</v>
      </c>
      <c r="C4154" s="28" t="s">
        <v>97</v>
      </c>
      <c r="D4154" s="28" t="s">
        <v>1739</v>
      </c>
      <c r="E4154" s="29" t="s">
        <v>331</v>
      </c>
      <c r="F4154" s="29" t="s">
        <v>298</v>
      </c>
      <c r="G4154" s="25" t="s">
        <v>5862</v>
      </c>
      <c r="H4154" s="26">
        <v>-1.4734</v>
      </c>
      <c r="I4154" s="26"/>
      <c r="J4154" s="26" t="s">
        <v>512</v>
      </c>
      <c r="K4154" s="25" t="s">
        <v>513</v>
      </c>
    </row>
    <row r="4155" spans="1:11" ht="25.5" x14ac:dyDescent="0.25">
      <c r="A4155" s="22">
        <v>2026</v>
      </c>
      <c r="B4155" s="28" t="s">
        <v>203</v>
      </c>
      <c r="C4155" s="28" t="s">
        <v>97</v>
      </c>
      <c r="D4155" s="28" t="s">
        <v>1739</v>
      </c>
      <c r="E4155" s="29" t="s">
        <v>331</v>
      </c>
      <c r="F4155" s="29" t="s">
        <v>298</v>
      </c>
      <c r="G4155" s="25" t="s">
        <v>5863</v>
      </c>
      <c r="H4155" s="26">
        <v>-1.8574999999999999</v>
      </c>
      <c r="I4155" s="26"/>
      <c r="J4155" s="26" t="s">
        <v>512</v>
      </c>
      <c r="K4155" s="25" t="s">
        <v>513</v>
      </c>
    </row>
    <row r="4156" spans="1:11" ht="25.5" x14ac:dyDescent="0.25">
      <c r="A4156" s="22">
        <v>2026</v>
      </c>
      <c r="B4156" s="28" t="s">
        <v>203</v>
      </c>
      <c r="C4156" s="28" t="s">
        <v>97</v>
      </c>
      <c r="D4156" s="28" t="s">
        <v>1739</v>
      </c>
      <c r="E4156" s="29" t="s">
        <v>331</v>
      </c>
      <c r="F4156" s="29" t="s">
        <v>298</v>
      </c>
      <c r="G4156" s="25" t="s">
        <v>5864</v>
      </c>
      <c r="H4156" s="26">
        <v>-1.682593</v>
      </c>
      <c r="I4156" s="26"/>
      <c r="J4156" s="26" t="s">
        <v>512</v>
      </c>
      <c r="K4156" s="25" t="s">
        <v>513</v>
      </c>
    </row>
    <row r="4157" spans="1:11" ht="25.5" x14ac:dyDescent="0.25">
      <c r="A4157" s="22">
        <v>2026</v>
      </c>
      <c r="B4157" s="28" t="s">
        <v>203</v>
      </c>
      <c r="C4157" s="28" t="s">
        <v>97</v>
      </c>
      <c r="D4157" s="28" t="s">
        <v>1739</v>
      </c>
      <c r="E4157" s="29" t="s">
        <v>331</v>
      </c>
      <c r="F4157" s="29" t="s">
        <v>298</v>
      </c>
      <c r="G4157" s="25" t="s">
        <v>5865</v>
      </c>
      <c r="H4157" s="26">
        <v>-1.226416</v>
      </c>
      <c r="I4157" s="26"/>
      <c r="J4157" s="26" t="s">
        <v>512</v>
      </c>
      <c r="K4157" s="25" t="s">
        <v>513</v>
      </c>
    </row>
    <row r="4158" spans="1:11" ht="25.5" x14ac:dyDescent="0.25">
      <c r="A4158" s="22">
        <v>2026</v>
      </c>
      <c r="B4158" s="28" t="s">
        <v>203</v>
      </c>
      <c r="C4158" s="28" t="s">
        <v>97</v>
      </c>
      <c r="D4158" s="28" t="s">
        <v>1739</v>
      </c>
      <c r="E4158" s="29" t="s">
        <v>331</v>
      </c>
      <c r="F4158" s="29" t="s">
        <v>298</v>
      </c>
      <c r="G4158" s="25" t="s">
        <v>5866</v>
      </c>
      <c r="H4158" s="26">
        <v>-6.2034399999999996</v>
      </c>
      <c r="I4158" s="26"/>
      <c r="J4158" s="26" t="s">
        <v>512</v>
      </c>
      <c r="K4158" s="25" t="s">
        <v>513</v>
      </c>
    </row>
    <row r="4159" spans="1:11" ht="25.5" x14ac:dyDescent="0.25">
      <c r="A4159" s="22">
        <v>2026</v>
      </c>
      <c r="B4159" s="28" t="s">
        <v>203</v>
      </c>
      <c r="C4159" s="28" t="s">
        <v>97</v>
      </c>
      <c r="D4159" s="28" t="s">
        <v>1739</v>
      </c>
      <c r="E4159" s="29" t="s">
        <v>331</v>
      </c>
      <c r="F4159" s="29" t="s">
        <v>298</v>
      </c>
      <c r="G4159" s="25" t="s">
        <v>5867</v>
      </c>
      <c r="H4159" s="26">
        <v>-2.8061280000000002</v>
      </c>
      <c r="I4159" s="26"/>
      <c r="J4159" s="26" t="s">
        <v>512</v>
      </c>
      <c r="K4159" s="25" t="s">
        <v>513</v>
      </c>
    </row>
    <row r="4160" spans="1:11" ht="25.5" x14ac:dyDescent="0.25">
      <c r="A4160" s="22">
        <v>2026</v>
      </c>
      <c r="B4160" s="28" t="s">
        <v>203</v>
      </c>
      <c r="C4160" s="28" t="s">
        <v>97</v>
      </c>
      <c r="D4160" s="28" t="s">
        <v>1739</v>
      </c>
      <c r="E4160" s="29" t="s">
        <v>331</v>
      </c>
      <c r="F4160" s="29" t="s">
        <v>298</v>
      </c>
      <c r="G4160" s="25" t="s">
        <v>5868</v>
      </c>
      <c r="H4160" s="26">
        <v>-3.0933199999999998</v>
      </c>
      <c r="I4160" s="26"/>
      <c r="J4160" s="26" t="s">
        <v>512</v>
      </c>
      <c r="K4160" s="25" t="s">
        <v>513</v>
      </c>
    </row>
    <row r="4161" spans="1:11" ht="25.5" x14ac:dyDescent="0.25">
      <c r="A4161" s="22">
        <v>2026</v>
      </c>
      <c r="B4161" s="28" t="s">
        <v>203</v>
      </c>
      <c r="C4161" s="28" t="s">
        <v>97</v>
      </c>
      <c r="D4161" s="28" t="s">
        <v>254</v>
      </c>
      <c r="E4161" s="29" t="s">
        <v>473</v>
      </c>
      <c r="F4161" s="29" t="s">
        <v>474</v>
      </c>
      <c r="G4161" s="25" t="s">
        <v>5869</v>
      </c>
      <c r="H4161" s="26">
        <v>-0.122112</v>
      </c>
      <c r="I4161" s="26"/>
      <c r="J4161" s="26" t="s">
        <v>512</v>
      </c>
      <c r="K4161" s="25" t="s">
        <v>513</v>
      </c>
    </row>
    <row r="4162" spans="1:11" ht="25.5" x14ac:dyDescent="0.25">
      <c r="A4162" s="22">
        <v>2026</v>
      </c>
      <c r="B4162" s="28" t="s">
        <v>203</v>
      </c>
      <c r="C4162" s="28" t="s">
        <v>97</v>
      </c>
      <c r="D4162" s="28" t="s">
        <v>254</v>
      </c>
      <c r="E4162" s="29" t="s">
        <v>473</v>
      </c>
      <c r="F4162" s="29" t="s">
        <v>474</v>
      </c>
      <c r="G4162" s="25" t="s">
        <v>5870</v>
      </c>
      <c r="H4162" s="26">
        <v>-0.15201999999999999</v>
      </c>
      <c r="I4162" s="26"/>
      <c r="J4162" s="26" t="s">
        <v>512</v>
      </c>
      <c r="K4162" s="25" t="s">
        <v>513</v>
      </c>
    </row>
    <row r="4163" spans="1:11" ht="25.5" x14ac:dyDescent="0.25">
      <c r="A4163" s="22">
        <v>2026</v>
      </c>
      <c r="B4163" s="28" t="s">
        <v>203</v>
      </c>
      <c r="C4163" s="28" t="s">
        <v>97</v>
      </c>
      <c r="D4163" s="28" t="s">
        <v>254</v>
      </c>
      <c r="E4163" s="29" t="s">
        <v>473</v>
      </c>
      <c r="F4163" s="29" t="s">
        <v>474</v>
      </c>
      <c r="G4163" s="25" t="s">
        <v>5871</v>
      </c>
      <c r="H4163" s="26">
        <v>-0.2732227324</v>
      </c>
      <c r="I4163" s="26"/>
      <c r="J4163" s="26" t="s">
        <v>512</v>
      </c>
      <c r="K4163" s="25" t="s">
        <v>513</v>
      </c>
    </row>
    <row r="4164" spans="1:11" ht="25.5" x14ac:dyDescent="0.25">
      <c r="A4164" s="22">
        <v>2026</v>
      </c>
      <c r="B4164" s="28" t="s">
        <v>203</v>
      </c>
      <c r="C4164" s="28" t="s">
        <v>97</v>
      </c>
      <c r="D4164" s="28" t="s">
        <v>254</v>
      </c>
      <c r="E4164" s="29" t="s">
        <v>473</v>
      </c>
      <c r="F4164" s="29" t="s">
        <v>474</v>
      </c>
      <c r="G4164" s="25" t="s">
        <v>5872</v>
      </c>
      <c r="H4164" s="26">
        <v>-0.31630000000000003</v>
      </c>
      <c r="I4164" s="26"/>
      <c r="J4164" s="26" t="s">
        <v>512</v>
      </c>
      <c r="K4164" s="25" t="s">
        <v>513</v>
      </c>
    </row>
    <row r="4165" spans="1:11" ht="25.5" x14ac:dyDescent="0.25">
      <c r="A4165" s="22">
        <v>2026</v>
      </c>
      <c r="B4165" s="28" t="s">
        <v>203</v>
      </c>
      <c r="C4165" s="28" t="s">
        <v>97</v>
      </c>
      <c r="D4165" s="28" t="s">
        <v>254</v>
      </c>
      <c r="E4165" s="29" t="s">
        <v>473</v>
      </c>
      <c r="F4165" s="29" t="s">
        <v>474</v>
      </c>
      <c r="G4165" s="25" t="s">
        <v>5873</v>
      </c>
      <c r="H4165" s="26">
        <v>-0.31684823120000005</v>
      </c>
      <c r="I4165" s="26"/>
      <c r="J4165" s="26" t="s">
        <v>512</v>
      </c>
      <c r="K4165" s="25" t="s">
        <v>513</v>
      </c>
    </row>
    <row r="4166" spans="1:11" ht="25.5" x14ac:dyDescent="0.25">
      <c r="A4166" s="22">
        <v>2026</v>
      </c>
      <c r="B4166" s="28" t="s">
        <v>203</v>
      </c>
      <c r="C4166" s="28" t="s">
        <v>97</v>
      </c>
      <c r="D4166" s="28" t="s">
        <v>254</v>
      </c>
      <c r="E4166" s="29" t="s">
        <v>473</v>
      </c>
      <c r="F4166" s="29" t="s">
        <v>474</v>
      </c>
      <c r="G4166" s="25" t="s">
        <v>5874</v>
      </c>
      <c r="H4166" s="26">
        <v>-0.17630798249999999</v>
      </c>
      <c r="I4166" s="26"/>
      <c r="J4166" s="26" t="s">
        <v>512</v>
      </c>
      <c r="K4166" s="25" t="s">
        <v>513</v>
      </c>
    </row>
    <row r="4167" spans="1:11" ht="25.5" x14ac:dyDescent="0.25">
      <c r="A4167" s="22">
        <v>2026</v>
      </c>
      <c r="B4167" s="28" t="s">
        <v>203</v>
      </c>
      <c r="C4167" s="28" t="s">
        <v>97</v>
      </c>
      <c r="D4167" s="28" t="s">
        <v>254</v>
      </c>
      <c r="E4167" s="29" t="s">
        <v>473</v>
      </c>
      <c r="F4167" s="29" t="s">
        <v>474</v>
      </c>
      <c r="G4167" s="25" t="s">
        <v>5875</v>
      </c>
      <c r="H4167" s="26">
        <v>-5.8859419500000003E-2</v>
      </c>
      <c r="I4167" s="26"/>
      <c r="J4167" s="26" t="s">
        <v>512</v>
      </c>
      <c r="K4167" s="25" t="s">
        <v>513</v>
      </c>
    </row>
    <row r="4168" spans="1:11" ht="25.5" x14ac:dyDescent="0.25">
      <c r="A4168" s="22">
        <v>2026</v>
      </c>
      <c r="B4168" s="28" t="s">
        <v>203</v>
      </c>
      <c r="C4168" s="28" t="s">
        <v>97</v>
      </c>
      <c r="D4168" s="28" t="s">
        <v>254</v>
      </c>
      <c r="E4168" s="29" t="s">
        <v>473</v>
      </c>
      <c r="F4168" s="29" t="s">
        <v>474</v>
      </c>
      <c r="G4168" s="25" t="s">
        <v>5876</v>
      </c>
      <c r="H4168" s="26">
        <v>-0.1280057755</v>
      </c>
      <c r="I4168" s="26"/>
      <c r="J4168" s="26" t="s">
        <v>512</v>
      </c>
      <c r="K4168" s="25" t="s">
        <v>513</v>
      </c>
    </row>
    <row r="4169" spans="1:11" ht="25.5" x14ac:dyDescent="0.25">
      <c r="A4169" s="22">
        <v>2026</v>
      </c>
      <c r="B4169" s="28" t="s">
        <v>203</v>
      </c>
      <c r="C4169" s="28" t="s">
        <v>97</v>
      </c>
      <c r="D4169" s="28" t="s">
        <v>254</v>
      </c>
      <c r="E4169" s="29" t="s">
        <v>473</v>
      </c>
      <c r="F4169" s="29" t="s">
        <v>474</v>
      </c>
      <c r="G4169" s="25" t="s">
        <v>5877</v>
      </c>
      <c r="H4169" s="26">
        <v>-0.1169689116</v>
      </c>
      <c r="I4169" s="26"/>
      <c r="J4169" s="26" t="s">
        <v>512</v>
      </c>
      <c r="K4169" s="25" t="s">
        <v>513</v>
      </c>
    </row>
    <row r="4170" spans="1:11" ht="25.5" x14ac:dyDescent="0.25">
      <c r="A4170" s="22">
        <v>2026</v>
      </c>
      <c r="B4170" s="28" t="s">
        <v>203</v>
      </c>
      <c r="C4170" s="28" t="s">
        <v>97</v>
      </c>
      <c r="D4170" s="28" t="s">
        <v>254</v>
      </c>
      <c r="E4170" s="29" t="s">
        <v>473</v>
      </c>
      <c r="F4170" s="29" t="s">
        <v>474</v>
      </c>
      <c r="G4170" s="25" t="s">
        <v>5878</v>
      </c>
      <c r="H4170" s="26">
        <v>-0.13644974151</v>
      </c>
      <c r="I4170" s="26"/>
      <c r="J4170" s="26" t="s">
        <v>512</v>
      </c>
      <c r="K4170" s="25" t="s">
        <v>513</v>
      </c>
    </row>
    <row r="4171" spans="1:11" ht="25.5" x14ac:dyDescent="0.25">
      <c r="A4171" s="22">
        <v>2026</v>
      </c>
      <c r="B4171" s="28" t="s">
        <v>203</v>
      </c>
      <c r="C4171" s="28" t="s">
        <v>97</v>
      </c>
      <c r="D4171" s="28" t="s">
        <v>254</v>
      </c>
      <c r="E4171" s="29" t="s">
        <v>473</v>
      </c>
      <c r="F4171" s="29" t="s">
        <v>474</v>
      </c>
      <c r="G4171" s="25" t="s">
        <v>5879</v>
      </c>
      <c r="H4171" s="26">
        <v>-0.24440991172999998</v>
      </c>
      <c r="I4171" s="26"/>
      <c r="J4171" s="26" t="s">
        <v>512</v>
      </c>
      <c r="K4171" s="25" t="s">
        <v>513</v>
      </c>
    </row>
    <row r="4172" spans="1:11" ht="25.5" x14ac:dyDescent="0.25">
      <c r="A4172" s="22">
        <v>2026</v>
      </c>
      <c r="B4172" s="28" t="s">
        <v>203</v>
      </c>
      <c r="C4172" s="28" t="s">
        <v>97</v>
      </c>
      <c r="D4172" s="28" t="s">
        <v>254</v>
      </c>
      <c r="E4172" s="29" t="s">
        <v>473</v>
      </c>
      <c r="F4172" s="29" t="s">
        <v>474</v>
      </c>
      <c r="G4172" s="25" t="s">
        <v>5880</v>
      </c>
      <c r="H4172" s="26">
        <v>-0.25495666239999998</v>
      </c>
      <c r="I4172" s="26"/>
      <c r="J4172" s="26" t="s">
        <v>512</v>
      </c>
      <c r="K4172" s="25" t="s">
        <v>513</v>
      </c>
    </row>
    <row r="4173" spans="1:11" ht="25.5" x14ac:dyDescent="0.25">
      <c r="A4173" s="22">
        <v>2026</v>
      </c>
      <c r="B4173" s="28" t="s">
        <v>203</v>
      </c>
      <c r="C4173" s="28" t="s">
        <v>97</v>
      </c>
      <c r="D4173" s="28" t="s">
        <v>254</v>
      </c>
      <c r="E4173" s="29" t="s">
        <v>473</v>
      </c>
      <c r="F4173" s="29" t="s">
        <v>474</v>
      </c>
      <c r="G4173" s="25" t="s">
        <v>5881</v>
      </c>
      <c r="H4173" s="26">
        <v>-0.169043</v>
      </c>
      <c r="I4173" s="26"/>
      <c r="J4173" s="26" t="s">
        <v>512</v>
      </c>
      <c r="K4173" s="25" t="s">
        <v>513</v>
      </c>
    </row>
    <row r="4174" spans="1:11" ht="25.5" x14ac:dyDescent="0.25">
      <c r="A4174" s="22">
        <v>2026</v>
      </c>
      <c r="B4174" s="28" t="s">
        <v>203</v>
      </c>
      <c r="C4174" s="28" t="s">
        <v>97</v>
      </c>
      <c r="D4174" s="28" t="s">
        <v>254</v>
      </c>
      <c r="E4174" s="29" t="s">
        <v>473</v>
      </c>
      <c r="F4174" s="29" t="s">
        <v>474</v>
      </c>
      <c r="G4174" s="25" t="s">
        <v>5882</v>
      </c>
      <c r="H4174" s="26">
        <v>-0.12274833480000001</v>
      </c>
      <c r="I4174" s="26"/>
      <c r="J4174" s="26" t="s">
        <v>512</v>
      </c>
      <c r="K4174" s="25" t="s">
        <v>513</v>
      </c>
    </row>
    <row r="4175" spans="1:11" ht="25.5" x14ac:dyDescent="0.25">
      <c r="A4175" s="22">
        <v>2026</v>
      </c>
      <c r="B4175" s="28" t="s">
        <v>203</v>
      </c>
      <c r="C4175" s="28" t="s">
        <v>97</v>
      </c>
      <c r="D4175" s="28" t="s">
        <v>254</v>
      </c>
      <c r="E4175" s="29" t="s">
        <v>473</v>
      </c>
      <c r="F4175" s="29" t="s">
        <v>474</v>
      </c>
      <c r="G4175" s="25" t="s">
        <v>5883</v>
      </c>
      <c r="H4175" s="26">
        <v>-0.1197608112</v>
      </c>
      <c r="I4175" s="26"/>
      <c r="J4175" s="26" t="s">
        <v>512</v>
      </c>
      <c r="K4175" s="25" t="s">
        <v>513</v>
      </c>
    </row>
    <row r="4176" spans="1:11" ht="25.5" x14ac:dyDescent="0.25">
      <c r="A4176" s="22">
        <v>2026</v>
      </c>
      <c r="B4176" s="28" t="s">
        <v>203</v>
      </c>
      <c r="C4176" s="28" t="s">
        <v>97</v>
      </c>
      <c r="D4176" s="28" t="s">
        <v>254</v>
      </c>
      <c r="E4176" s="29" t="s">
        <v>473</v>
      </c>
      <c r="F4176" s="29" t="s">
        <v>474</v>
      </c>
      <c r="G4176" s="25" t="s">
        <v>5884</v>
      </c>
      <c r="H4176" s="26">
        <v>-0.12945569662999998</v>
      </c>
      <c r="I4176" s="26"/>
      <c r="J4176" s="26" t="s">
        <v>512</v>
      </c>
      <c r="K4176" s="25" t="s">
        <v>513</v>
      </c>
    </row>
    <row r="4177" spans="1:11" ht="25.5" x14ac:dyDescent="0.25">
      <c r="A4177" s="22">
        <v>2026</v>
      </c>
      <c r="B4177" s="28" t="s">
        <v>203</v>
      </c>
      <c r="C4177" s="28" t="s">
        <v>97</v>
      </c>
      <c r="D4177" s="28" t="s">
        <v>254</v>
      </c>
      <c r="E4177" s="29" t="s">
        <v>473</v>
      </c>
      <c r="F4177" s="29" t="s">
        <v>474</v>
      </c>
      <c r="G4177" s="25" t="s">
        <v>5885</v>
      </c>
      <c r="H4177" s="26">
        <v>-0.13785168546000001</v>
      </c>
      <c r="I4177" s="26"/>
      <c r="J4177" s="26" t="s">
        <v>512</v>
      </c>
      <c r="K4177" s="25" t="s">
        <v>513</v>
      </c>
    </row>
    <row r="4178" spans="1:11" ht="25.5" x14ac:dyDescent="0.25">
      <c r="A4178" s="22">
        <v>2026</v>
      </c>
      <c r="B4178" s="28" t="s">
        <v>203</v>
      </c>
      <c r="C4178" s="28" t="s">
        <v>97</v>
      </c>
      <c r="D4178" s="28" t="s">
        <v>254</v>
      </c>
      <c r="E4178" s="29" t="s">
        <v>473</v>
      </c>
      <c r="F4178" s="29" t="s">
        <v>474</v>
      </c>
      <c r="G4178" s="25" t="s">
        <v>5886</v>
      </c>
      <c r="H4178" s="26">
        <v>-4.0387820800000002E-2</v>
      </c>
      <c r="I4178" s="26"/>
      <c r="J4178" s="26" t="s">
        <v>512</v>
      </c>
      <c r="K4178" s="25" t="s">
        <v>513</v>
      </c>
    </row>
    <row r="4179" spans="1:11" ht="25.5" x14ac:dyDescent="0.25">
      <c r="A4179" s="22">
        <v>2026</v>
      </c>
      <c r="B4179" s="28" t="s">
        <v>203</v>
      </c>
      <c r="C4179" s="28" t="s">
        <v>97</v>
      </c>
      <c r="D4179" s="28" t="s">
        <v>1740</v>
      </c>
      <c r="E4179" s="29" t="s">
        <v>473</v>
      </c>
      <c r="F4179" s="29" t="s">
        <v>343</v>
      </c>
      <c r="G4179" s="25" t="s">
        <v>5887</v>
      </c>
      <c r="H4179" s="26">
        <v>-2.8419E-2</v>
      </c>
      <c r="I4179" s="26"/>
      <c r="J4179" s="26" t="s">
        <v>512</v>
      </c>
      <c r="K4179" s="25" t="s">
        <v>513</v>
      </c>
    </row>
    <row r="4180" spans="1:11" ht="25.5" x14ac:dyDescent="0.25">
      <c r="A4180" s="22">
        <v>2026</v>
      </c>
      <c r="B4180" s="28" t="s">
        <v>203</v>
      </c>
      <c r="C4180" s="28" t="s">
        <v>97</v>
      </c>
      <c r="D4180" s="28" t="s">
        <v>1740</v>
      </c>
      <c r="E4180" s="29" t="s">
        <v>473</v>
      </c>
      <c r="F4180" s="29" t="s">
        <v>343</v>
      </c>
      <c r="G4180" s="25" t="s">
        <v>5888</v>
      </c>
      <c r="H4180" s="26">
        <v>-4.6159671599999993E-2</v>
      </c>
      <c r="I4180" s="26"/>
      <c r="J4180" s="26" t="s">
        <v>512</v>
      </c>
      <c r="K4180" s="25" t="s">
        <v>513</v>
      </c>
    </row>
    <row r="4181" spans="1:11" ht="25.5" x14ac:dyDescent="0.25">
      <c r="A4181" s="22">
        <v>2026</v>
      </c>
      <c r="B4181" s="28" t="s">
        <v>203</v>
      </c>
      <c r="C4181" s="28" t="s">
        <v>97</v>
      </c>
      <c r="D4181" s="28" t="s">
        <v>1740</v>
      </c>
      <c r="E4181" s="29" t="s">
        <v>473</v>
      </c>
      <c r="F4181" s="29" t="s">
        <v>343</v>
      </c>
      <c r="G4181" s="25" t="s">
        <v>5889</v>
      </c>
      <c r="H4181" s="26">
        <v>-8.1061625499999998E-2</v>
      </c>
      <c r="I4181" s="26"/>
      <c r="J4181" s="26" t="s">
        <v>512</v>
      </c>
      <c r="K4181" s="25" t="s">
        <v>513</v>
      </c>
    </row>
    <row r="4182" spans="1:11" ht="25.5" x14ac:dyDescent="0.25">
      <c r="A4182" s="22">
        <v>2026</v>
      </c>
      <c r="B4182" s="28" t="s">
        <v>203</v>
      </c>
      <c r="C4182" s="28" t="s">
        <v>97</v>
      </c>
      <c r="D4182" s="28" t="s">
        <v>1740</v>
      </c>
      <c r="E4182" s="29" t="s">
        <v>473</v>
      </c>
      <c r="F4182" s="29" t="s">
        <v>343</v>
      </c>
      <c r="G4182" s="25" t="s">
        <v>5890</v>
      </c>
      <c r="H4182" s="26">
        <v>-1.6628090080000001E-2</v>
      </c>
      <c r="I4182" s="26"/>
      <c r="J4182" s="26" t="s">
        <v>512</v>
      </c>
      <c r="K4182" s="25" t="s">
        <v>513</v>
      </c>
    </row>
    <row r="4183" spans="1:11" ht="25.5" x14ac:dyDescent="0.25">
      <c r="A4183" s="22">
        <v>2026</v>
      </c>
      <c r="B4183" s="28" t="s">
        <v>203</v>
      </c>
      <c r="C4183" s="28" t="s">
        <v>97</v>
      </c>
      <c r="D4183" s="28" t="s">
        <v>1740</v>
      </c>
      <c r="E4183" s="29" t="s">
        <v>473</v>
      </c>
      <c r="F4183" s="29" t="s">
        <v>343</v>
      </c>
      <c r="G4183" s="25" t="s">
        <v>5891</v>
      </c>
      <c r="H4183" s="26">
        <v>-7.5562500000000005E-2</v>
      </c>
      <c r="I4183" s="26"/>
      <c r="J4183" s="26" t="s">
        <v>512</v>
      </c>
      <c r="K4183" s="25" t="s">
        <v>513</v>
      </c>
    </row>
    <row r="4184" spans="1:11" ht="25.5" x14ac:dyDescent="0.25">
      <c r="A4184" s="22">
        <v>2026</v>
      </c>
      <c r="B4184" s="28" t="s">
        <v>203</v>
      </c>
      <c r="C4184" s="28" t="s">
        <v>97</v>
      </c>
      <c r="D4184" s="28" t="s">
        <v>1740</v>
      </c>
      <c r="E4184" s="29" t="s">
        <v>473</v>
      </c>
      <c r="F4184" s="29" t="s">
        <v>343</v>
      </c>
      <c r="G4184" s="25" t="s">
        <v>5892</v>
      </c>
      <c r="H4184" s="26">
        <v>-2.197858875E-2</v>
      </c>
      <c r="I4184" s="26"/>
      <c r="J4184" s="26" t="s">
        <v>512</v>
      </c>
      <c r="K4184" s="25" t="s">
        <v>513</v>
      </c>
    </row>
    <row r="4185" spans="1:11" ht="25.5" x14ac:dyDescent="0.25">
      <c r="A4185" s="22">
        <v>2026</v>
      </c>
      <c r="B4185" s="28" t="s">
        <v>203</v>
      </c>
      <c r="C4185" s="28" t="s">
        <v>97</v>
      </c>
      <c r="D4185" s="28" t="s">
        <v>1740</v>
      </c>
      <c r="E4185" s="29" t="s">
        <v>473</v>
      </c>
      <c r="F4185" s="29" t="s">
        <v>343</v>
      </c>
      <c r="G4185" s="25" t="s">
        <v>5893</v>
      </c>
      <c r="H4185" s="26">
        <v>-0.102909</v>
      </c>
      <c r="I4185" s="26"/>
      <c r="J4185" s="26" t="s">
        <v>512</v>
      </c>
      <c r="K4185" s="25" t="s">
        <v>513</v>
      </c>
    </row>
    <row r="4186" spans="1:11" ht="25.5" x14ac:dyDescent="0.25">
      <c r="A4186" s="22">
        <v>2026</v>
      </c>
      <c r="B4186" s="28" t="s">
        <v>203</v>
      </c>
      <c r="C4186" s="28" t="s">
        <v>97</v>
      </c>
      <c r="D4186" s="28" t="s">
        <v>1740</v>
      </c>
      <c r="E4186" s="29" t="s">
        <v>473</v>
      </c>
      <c r="F4186" s="29" t="s">
        <v>343</v>
      </c>
      <c r="G4186" s="25" t="s">
        <v>5894</v>
      </c>
      <c r="H4186" s="26">
        <v>-9.8131599299999997E-2</v>
      </c>
      <c r="I4186" s="26"/>
      <c r="J4186" s="26" t="s">
        <v>512</v>
      </c>
      <c r="K4186" s="25" t="s">
        <v>513</v>
      </c>
    </row>
    <row r="4187" spans="1:11" ht="25.5" x14ac:dyDescent="0.25">
      <c r="A4187" s="22">
        <v>2026</v>
      </c>
      <c r="B4187" s="28" t="s">
        <v>203</v>
      </c>
      <c r="C4187" s="28" t="s">
        <v>97</v>
      </c>
      <c r="D4187" s="28" t="s">
        <v>1740</v>
      </c>
      <c r="E4187" s="29" t="s">
        <v>473</v>
      </c>
      <c r="F4187" s="29" t="s">
        <v>343</v>
      </c>
      <c r="G4187" s="25" t="s">
        <v>5895</v>
      </c>
      <c r="H4187" s="26">
        <v>-0.31247999999999998</v>
      </c>
      <c r="I4187" s="26"/>
      <c r="J4187" s="26" t="s">
        <v>512</v>
      </c>
      <c r="K4187" s="25" t="s">
        <v>513</v>
      </c>
    </row>
    <row r="4188" spans="1:11" ht="25.5" x14ac:dyDescent="0.25">
      <c r="A4188" s="22">
        <v>2026</v>
      </c>
      <c r="B4188" s="28" t="s">
        <v>203</v>
      </c>
      <c r="C4188" s="28" t="s">
        <v>97</v>
      </c>
      <c r="D4188" s="28" t="s">
        <v>1740</v>
      </c>
      <c r="E4188" s="29" t="s">
        <v>473</v>
      </c>
      <c r="F4188" s="29" t="s">
        <v>343</v>
      </c>
      <c r="G4188" s="25" t="s">
        <v>5896</v>
      </c>
      <c r="H4188" s="26">
        <v>-0.31997215442999999</v>
      </c>
      <c r="I4188" s="26"/>
      <c r="J4188" s="26" t="s">
        <v>512</v>
      </c>
      <c r="K4188" s="25" t="s">
        <v>513</v>
      </c>
    </row>
    <row r="4189" spans="1:11" ht="25.5" x14ac:dyDescent="0.25">
      <c r="A4189" s="22">
        <v>2026</v>
      </c>
      <c r="B4189" s="28" t="s">
        <v>203</v>
      </c>
      <c r="C4189" s="28" t="s">
        <v>97</v>
      </c>
      <c r="D4189" s="28" t="s">
        <v>1740</v>
      </c>
      <c r="E4189" s="29" t="s">
        <v>473</v>
      </c>
      <c r="F4189" s="29" t="s">
        <v>343</v>
      </c>
      <c r="G4189" s="25" t="s">
        <v>5897</v>
      </c>
      <c r="H4189" s="26">
        <v>-7.5207916839999986E-2</v>
      </c>
      <c r="I4189" s="26"/>
      <c r="J4189" s="26" t="s">
        <v>512</v>
      </c>
      <c r="K4189" s="25" t="s">
        <v>513</v>
      </c>
    </row>
    <row r="4190" spans="1:11" ht="25.5" x14ac:dyDescent="0.25">
      <c r="A4190" s="22">
        <v>2026</v>
      </c>
      <c r="B4190" s="28" t="s">
        <v>203</v>
      </c>
      <c r="C4190" s="28" t="s">
        <v>97</v>
      </c>
      <c r="D4190" s="28" t="s">
        <v>1740</v>
      </c>
      <c r="E4190" s="29" t="s">
        <v>473</v>
      </c>
      <c r="F4190" s="29" t="s">
        <v>343</v>
      </c>
      <c r="G4190" s="25" t="s">
        <v>5898</v>
      </c>
      <c r="H4190" s="26">
        <v>-0.12491536015</v>
      </c>
      <c r="I4190" s="26"/>
      <c r="J4190" s="26" t="s">
        <v>512</v>
      </c>
      <c r="K4190" s="25" t="s">
        <v>513</v>
      </c>
    </row>
    <row r="4191" spans="1:11" ht="25.5" x14ac:dyDescent="0.25">
      <c r="A4191" s="22">
        <v>2026</v>
      </c>
      <c r="B4191" s="28" t="s">
        <v>203</v>
      </c>
      <c r="C4191" s="28" t="s">
        <v>97</v>
      </c>
      <c r="D4191" s="28" t="s">
        <v>1740</v>
      </c>
      <c r="E4191" s="29" t="s">
        <v>473</v>
      </c>
      <c r="F4191" s="29" t="s">
        <v>343</v>
      </c>
      <c r="G4191" s="25" t="s">
        <v>5899</v>
      </c>
      <c r="H4191" s="26">
        <v>-0.10367</v>
      </c>
      <c r="I4191" s="26"/>
      <c r="J4191" s="26" t="s">
        <v>512</v>
      </c>
      <c r="K4191" s="25" t="s">
        <v>513</v>
      </c>
    </row>
    <row r="4192" spans="1:11" ht="25.5" x14ac:dyDescent="0.25">
      <c r="A4192" s="22">
        <v>2026</v>
      </c>
      <c r="B4192" s="28" t="s">
        <v>203</v>
      </c>
      <c r="C4192" s="28" t="s">
        <v>97</v>
      </c>
      <c r="D4192" s="28" t="s">
        <v>1740</v>
      </c>
      <c r="E4192" s="29" t="s">
        <v>473</v>
      </c>
      <c r="F4192" s="29" t="s">
        <v>343</v>
      </c>
      <c r="G4192" s="25" t="s">
        <v>5900</v>
      </c>
      <c r="H4192" s="26">
        <v>-7.6550989900000005E-2</v>
      </c>
      <c r="I4192" s="26"/>
      <c r="J4192" s="26" t="s">
        <v>512</v>
      </c>
      <c r="K4192" s="25" t="s">
        <v>513</v>
      </c>
    </row>
    <row r="4193" spans="1:11" ht="25.5" x14ac:dyDescent="0.25">
      <c r="A4193" s="22">
        <v>2026</v>
      </c>
      <c r="B4193" s="28" t="s">
        <v>203</v>
      </c>
      <c r="C4193" s="28" t="s">
        <v>97</v>
      </c>
      <c r="D4193" s="28" t="s">
        <v>1740</v>
      </c>
      <c r="E4193" s="29" t="s">
        <v>473</v>
      </c>
      <c r="F4193" s="29" t="s">
        <v>343</v>
      </c>
      <c r="G4193" s="25" t="s">
        <v>5901</v>
      </c>
      <c r="H4193" s="26">
        <v>-6.0390237999999999E-2</v>
      </c>
      <c r="I4193" s="26"/>
      <c r="J4193" s="26" t="s">
        <v>512</v>
      </c>
      <c r="K4193" s="25" t="s">
        <v>513</v>
      </c>
    </row>
    <row r="4194" spans="1:11" ht="25.5" x14ac:dyDescent="0.25">
      <c r="A4194" s="22">
        <v>2026</v>
      </c>
      <c r="B4194" s="28" t="s">
        <v>203</v>
      </c>
      <c r="C4194" s="28" t="s">
        <v>97</v>
      </c>
      <c r="D4194" s="28" t="s">
        <v>1740</v>
      </c>
      <c r="E4194" s="29" t="s">
        <v>473</v>
      </c>
      <c r="F4194" s="29" t="s">
        <v>343</v>
      </c>
      <c r="G4194" s="25" t="s">
        <v>5902</v>
      </c>
      <c r="H4194" s="26">
        <v>-9.7787123200000006E-2</v>
      </c>
      <c r="I4194" s="26"/>
      <c r="J4194" s="26" t="s">
        <v>512</v>
      </c>
      <c r="K4194" s="25" t="s">
        <v>513</v>
      </c>
    </row>
    <row r="4195" spans="1:11" ht="25.5" x14ac:dyDescent="0.25">
      <c r="A4195" s="22">
        <v>2026</v>
      </c>
      <c r="B4195" s="28" t="s">
        <v>203</v>
      </c>
      <c r="C4195" s="28" t="s">
        <v>97</v>
      </c>
      <c r="D4195" s="28" t="s">
        <v>1740</v>
      </c>
      <c r="E4195" s="29" t="s">
        <v>473</v>
      </c>
      <c r="F4195" s="29" t="s">
        <v>343</v>
      </c>
      <c r="G4195" s="25" t="s">
        <v>5903</v>
      </c>
      <c r="H4195" s="26">
        <v>-6.3247695209999996E-2</v>
      </c>
      <c r="I4195" s="26"/>
      <c r="J4195" s="26" t="s">
        <v>512</v>
      </c>
      <c r="K4195" s="25" t="s">
        <v>513</v>
      </c>
    </row>
    <row r="4196" spans="1:11" ht="25.5" x14ac:dyDescent="0.25">
      <c r="A4196" s="22">
        <v>2026</v>
      </c>
      <c r="B4196" s="28" t="s">
        <v>203</v>
      </c>
      <c r="C4196" s="28" t="s">
        <v>97</v>
      </c>
      <c r="D4196" s="28" t="s">
        <v>1740</v>
      </c>
      <c r="E4196" s="29" t="s">
        <v>473</v>
      </c>
      <c r="F4196" s="29" t="s">
        <v>343</v>
      </c>
      <c r="G4196" s="25" t="s">
        <v>5904</v>
      </c>
      <c r="H4196" s="26">
        <v>-2.3504013299999998E-2</v>
      </c>
      <c r="I4196" s="26"/>
      <c r="J4196" s="26" t="s">
        <v>512</v>
      </c>
      <c r="K4196" s="25" t="s">
        <v>513</v>
      </c>
    </row>
    <row r="4197" spans="1:11" ht="25.5" x14ac:dyDescent="0.25">
      <c r="A4197" s="22">
        <v>2026</v>
      </c>
      <c r="B4197" s="28" t="s">
        <v>203</v>
      </c>
      <c r="C4197" s="28" t="s">
        <v>97</v>
      </c>
      <c r="D4197" s="28" t="s">
        <v>195</v>
      </c>
      <c r="E4197" s="29" t="s">
        <v>1760</v>
      </c>
      <c r="F4197" s="29" t="s">
        <v>353</v>
      </c>
      <c r="G4197" s="25" t="s">
        <v>5905</v>
      </c>
      <c r="H4197" s="26">
        <v>-0.63719950000000003</v>
      </c>
      <c r="I4197" s="26"/>
      <c r="J4197" s="26" t="s">
        <v>512</v>
      </c>
      <c r="K4197" s="25" t="s">
        <v>513</v>
      </c>
    </row>
    <row r="4198" spans="1:11" ht="25.5" x14ac:dyDescent="0.25">
      <c r="A4198" s="22">
        <v>2026</v>
      </c>
      <c r="B4198" s="28" t="s">
        <v>203</v>
      </c>
      <c r="C4198" s="28" t="s">
        <v>97</v>
      </c>
      <c r="D4198" s="28" t="s">
        <v>195</v>
      </c>
      <c r="E4198" s="29" t="s">
        <v>1760</v>
      </c>
      <c r="F4198" s="29" t="s">
        <v>353</v>
      </c>
      <c r="G4198" s="25" t="s">
        <v>5906</v>
      </c>
      <c r="H4198" s="26">
        <v>-0.95399999999999985</v>
      </c>
      <c r="I4198" s="26"/>
      <c r="J4198" s="26" t="s">
        <v>512</v>
      </c>
      <c r="K4198" s="25" t="s">
        <v>513</v>
      </c>
    </row>
    <row r="4199" spans="1:11" ht="25.5" x14ac:dyDescent="0.25">
      <c r="A4199" s="22">
        <v>2026</v>
      </c>
      <c r="B4199" s="28" t="s">
        <v>203</v>
      </c>
      <c r="C4199" s="28" t="s">
        <v>97</v>
      </c>
      <c r="D4199" s="28" t="s">
        <v>195</v>
      </c>
      <c r="E4199" s="29" t="s">
        <v>1760</v>
      </c>
      <c r="F4199" s="29" t="s">
        <v>353</v>
      </c>
      <c r="G4199" s="25" t="s">
        <v>5907</v>
      </c>
      <c r="H4199" s="26">
        <v>-0.95299999999999985</v>
      </c>
      <c r="I4199" s="26"/>
      <c r="J4199" s="26" t="s">
        <v>512</v>
      </c>
      <c r="K4199" s="25" t="s">
        <v>513</v>
      </c>
    </row>
    <row r="4200" spans="1:11" ht="25.5" x14ac:dyDescent="0.25">
      <c r="A4200" s="22">
        <v>2026</v>
      </c>
      <c r="B4200" s="28" t="s">
        <v>203</v>
      </c>
      <c r="C4200" s="28" t="s">
        <v>97</v>
      </c>
      <c r="D4200" s="28" t="s">
        <v>195</v>
      </c>
      <c r="E4200" s="29" t="s">
        <v>1760</v>
      </c>
      <c r="F4200" s="29" t="s">
        <v>353</v>
      </c>
      <c r="G4200" s="25" t="s">
        <v>5908</v>
      </c>
      <c r="H4200" s="26">
        <v>-0.94799999999999995</v>
      </c>
      <c r="I4200" s="26"/>
      <c r="J4200" s="26" t="s">
        <v>512</v>
      </c>
      <c r="K4200" s="25" t="s">
        <v>513</v>
      </c>
    </row>
    <row r="4201" spans="1:11" ht="25.5" x14ac:dyDescent="0.25">
      <c r="A4201" s="22">
        <v>2026</v>
      </c>
      <c r="B4201" s="28" t="s">
        <v>203</v>
      </c>
      <c r="C4201" s="28" t="s">
        <v>97</v>
      </c>
      <c r="D4201" s="28" t="s">
        <v>195</v>
      </c>
      <c r="E4201" s="29" t="s">
        <v>1760</v>
      </c>
      <c r="F4201" s="29" t="s">
        <v>353</v>
      </c>
      <c r="G4201" s="25" t="s">
        <v>5909</v>
      </c>
      <c r="H4201" s="26">
        <v>-0.94499999999999984</v>
      </c>
      <c r="I4201" s="26"/>
      <c r="J4201" s="26" t="s">
        <v>512</v>
      </c>
      <c r="K4201" s="25" t="s">
        <v>513</v>
      </c>
    </row>
    <row r="4202" spans="1:11" ht="25.5" x14ac:dyDescent="0.25">
      <c r="A4202" s="22">
        <v>2026</v>
      </c>
      <c r="B4202" s="28" t="s">
        <v>203</v>
      </c>
      <c r="C4202" s="28" t="s">
        <v>97</v>
      </c>
      <c r="D4202" s="28" t="s">
        <v>195</v>
      </c>
      <c r="E4202" s="29" t="s">
        <v>1760</v>
      </c>
      <c r="F4202" s="29" t="s">
        <v>353</v>
      </c>
      <c r="G4202" s="25" t="s">
        <v>5910</v>
      </c>
      <c r="H4202" s="26">
        <v>-0.94199999999999995</v>
      </c>
      <c r="I4202" s="26"/>
      <c r="J4202" s="26" t="s">
        <v>512</v>
      </c>
      <c r="K4202" s="25" t="s">
        <v>513</v>
      </c>
    </row>
    <row r="4203" spans="1:11" ht="38.25" x14ac:dyDescent="0.25">
      <c r="A4203" s="22">
        <v>2026</v>
      </c>
      <c r="B4203" s="28" t="s">
        <v>203</v>
      </c>
      <c r="C4203" s="28" t="s">
        <v>97</v>
      </c>
      <c r="D4203" s="28" t="s">
        <v>244</v>
      </c>
      <c r="E4203" s="29" t="s">
        <v>448</v>
      </c>
      <c r="F4203" s="29" t="s">
        <v>284</v>
      </c>
      <c r="G4203" s="25" t="s">
        <v>5911</v>
      </c>
      <c r="H4203" s="26">
        <v>-0.12175136</v>
      </c>
      <c r="I4203" s="26"/>
      <c r="J4203" s="26" t="s">
        <v>514</v>
      </c>
      <c r="K4203" s="25" t="s">
        <v>528</v>
      </c>
    </row>
    <row r="4204" spans="1:11" ht="38.25" x14ac:dyDescent="0.25">
      <c r="A4204" s="22">
        <v>2026</v>
      </c>
      <c r="B4204" s="28" t="s">
        <v>203</v>
      </c>
      <c r="C4204" s="28" t="s">
        <v>97</v>
      </c>
      <c r="D4204" s="28" t="s">
        <v>244</v>
      </c>
      <c r="E4204" s="29" t="s">
        <v>448</v>
      </c>
      <c r="F4204" s="29" t="s">
        <v>284</v>
      </c>
      <c r="G4204" s="25" t="s">
        <v>5912</v>
      </c>
      <c r="H4204" s="26">
        <v>-7.3347819999999994E-2</v>
      </c>
      <c r="I4204" s="26"/>
      <c r="J4204" s="26" t="s">
        <v>514</v>
      </c>
      <c r="K4204" s="25" t="s">
        <v>528</v>
      </c>
    </row>
    <row r="4205" spans="1:11" ht="38.25" x14ac:dyDescent="0.25">
      <c r="A4205" s="22">
        <v>2026</v>
      </c>
      <c r="B4205" s="28" t="s">
        <v>203</v>
      </c>
      <c r="C4205" s="28" t="s">
        <v>97</v>
      </c>
      <c r="D4205" s="28" t="s">
        <v>244</v>
      </c>
      <c r="E4205" s="29" t="s">
        <v>448</v>
      </c>
      <c r="F4205" s="29" t="s">
        <v>284</v>
      </c>
      <c r="G4205" s="25" t="s">
        <v>5913</v>
      </c>
      <c r="H4205" s="26">
        <v>-0.26650420999999996</v>
      </c>
      <c r="I4205" s="26"/>
      <c r="J4205" s="26" t="s">
        <v>514</v>
      </c>
      <c r="K4205" s="25" t="s">
        <v>528</v>
      </c>
    </row>
    <row r="4206" spans="1:11" ht="38.25" x14ac:dyDescent="0.25">
      <c r="A4206" s="22">
        <v>2026</v>
      </c>
      <c r="B4206" s="28" t="s">
        <v>203</v>
      </c>
      <c r="C4206" s="28" t="s">
        <v>97</v>
      </c>
      <c r="D4206" s="28" t="s">
        <v>244</v>
      </c>
      <c r="E4206" s="29" t="s">
        <v>448</v>
      </c>
      <c r="F4206" s="29" t="s">
        <v>284</v>
      </c>
      <c r="G4206" s="25" t="s">
        <v>5914</v>
      </c>
      <c r="H4206" s="26">
        <v>-6.0039750000000003E-2</v>
      </c>
      <c r="I4206" s="26"/>
      <c r="J4206" s="26" t="s">
        <v>514</v>
      </c>
      <c r="K4206" s="25" t="s">
        <v>528</v>
      </c>
    </row>
    <row r="4207" spans="1:11" ht="38.25" x14ac:dyDescent="0.25">
      <c r="A4207" s="22">
        <v>2026</v>
      </c>
      <c r="B4207" s="28" t="s">
        <v>203</v>
      </c>
      <c r="C4207" s="28" t="s">
        <v>97</v>
      </c>
      <c r="D4207" s="28" t="s">
        <v>244</v>
      </c>
      <c r="E4207" s="29" t="s">
        <v>448</v>
      </c>
      <c r="F4207" s="29" t="s">
        <v>284</v>
      </c>
      <c r="G4207" s="25" t="s">
        <v>5915</v>
      </c>
      <c r="H4207" s="26">
        <v>-0.2224824</v>
      </c>
      <c r="I4207" s="26"/>
      <c r="J4207" s="26" t="s">
        <v>514</v>
      </c>
      <c r="K4207" s="25" t="s">
        <v>528</v>
      </c>
    </row>
    <row r="4208" spans="1:11" ht="38.25" x14ac:dyDescent="0.25">
      <c r="A4208" s="22">
        <v>2026</v>
      </c>
      <c r="B4208" s="28" t="s">
        <v>203</v>
      </c>
      <c r="C4208" s="28" t="s">
        <v>97</v>
      </c>
      <c r="D4208" s="28" t="s">
        <v>244</v>
      </c>
      <c r="E4208" s="29" t="s">
        <v>448</v>
      </c>
      <c r="F4208" s="29" t="s">
        <v>284</v>
      </c>
      <c r="G4208" s="25" t="s">
        <v>5916</v>
      </c>
      <c r="H4208" s="26">
        <v>-8.2706020000000005E-2</v>
      </c>
      <c r="I4208" s="26"/>
      <c r="J4208" s="26" t="s">
        <v>514</v>
      </c>
      <c r="K4208" s="25" t="s">
        <v>528</v>
      </c>
    </row>
    <row r="4209" spans="1:11" ht="38.25" x14ac:dyDescent="0.25">
      <c r="A4209" s="22">
        <v>2026</v>
      </c>
      <c r="B4209" s="28" t="s">
        <v>203</v>
      </c>
      <c r="C4209" s="28" t="s">
        <v>97</v>
      </c>
      <c r="D4209" s="28" t="s">
        <v>244</v>
      </c>
      <c r="E4209" s="29" t="s">
        <v>448</v>
      </c>
      <c r="F4209" s="29" t="s">
        <v>284</v>
      </c>
      <c r="G4209" s="25" t="s">
        <v>5917</v>
      </c>
      <c r="H4209" s="26">
        <v>-0.12683137999999999</v>
      </c>
      <c r="I4209" s="26"/>
      <c r="J4209" s="26" t="s">
        <v>514</v>
      </c>
      <c r="K4209" s="25" t="s">
        <v>528</v>
      </c>
    </row>
    <row r="4210" spans="1:11" ht="38.25" x14ac:dyDescent="0.25">
      <c r="A4210" s="22">
        <v>2026</v>
      </c>
      <c r="B4210" s="28" t="s">
        <v>203</v>
      </c>
      <c r="C4210" s="28" t="s">
        <v>97</v>
      </c>
      <c r="D4210" s="28" t="s">
        <v>244</v>
      </c>
      <c r="E4210" s="29" t="s">
        <v>448</v>
      </c>
      <c r="F4210" s="29" t="s">
        <v>284</v>
      </c>
      <c r="G4210" s="25" t="s">
        <v>5918</v>
      </c>
      <c r="H4210" s="26">
        <v>-8.3090399999999995E-2</v>
      </c>
      <c r="I4210" s="26"/>
      <c r="J4210" s="26" t="s">
        <v>514</v>
      </c>
      <c r="K4210" s="25" t="s">
        <v>528</v>
      </c>
    </row>
    <row r="4211" spans="1:11" ht="38.25" x14ac:dyDescent="0.25">
      <c r="A4211" s="22">
        <v>2026</v>
      </c>
      <c r="B4211" s="28" t="s">
        <v>203</v>
      </c>
      <c r="C4211" s="28" t="s">
        <v>97</v>
      </c>
      <c r="D4211" s="28" t="s">
        <v>244</v>
      </c>
      <c r="E4211" s="29" t="s">
        <v>448</v>
      </c>
      <c r="F4211" s="29" t="s">
        <v>284</v>
      </c>
      <c r="G4211" s="25" t="s">
        <v>5919</v>
      </c>
      <c r="H4211" s="26">
        <v>-4.3679999999999997E-2</v>
      </c>
      <c r="I4211" s="26"/>
      <c r="J4211" s="26" t="s">
        <v>514</v>
      </c>
      <c r="K4211" s="25" t="s">
        <v>528</v>
      </c>
    </row>
    <row r="4212" spans="1:11" ht="38.25" x14ac:dyDescent="0.25">
      <c r="A4212" s="22">
        <v>2026</v>
      </c>
      <c r="B4212" s="28" t="s">
        <v>203</v>
      </c>
      <c r="C4212" s="28" t="s">
        <v>97</v>
      </c>
      <c r="D4212" s="28" t="s">
        <v>244</v>
      </c>
      <c r="E4212" s="29" t="s">
        <v>448</v>
      </c>
      <c r="F4212" s="29" t="s">
        <v>284</v>
      </c>
      <c r="G4212" s="25" t="s">
        <v>5920</v>
      </c>
      <c r="H4212" s="26">
        <v>-4.3020000000000003E-2</v>
      </c>
      <c r="I4212" s="26"/>
      <c r="J4212" s="26" t="s">
        <v>514</v>
      </c>
      <c r="K4212" s="25" t="s">
        <v>528</v>
      </c>
    </row>
    <row r="4213" spans="1:11" ht="38.25" x14ac:dyDescent="0.25">
      <c r="A4213" s="22">
        <v>2026</v>
      </c>
      <c r="B4213" s="28" t="s">
        <v>203</v>
      </c>
      <c r="C4213" s="28" t="s">
        <v>97</v>
      </c>
      <c r="D4213" s="28" t="s">
        <v>244</v>
      </c>
      <c r="E4213" s="29" t="s">
        <v>448</v>
      </c>
      <c r="F4213" s="29" t="s">
        <v>284</v>
      </c>
      <c r="G4213" s="25" t="s">
        <v>5921</v>
      </c>
      <c r="H4213" s="26">
        <v>-4.2479999999999997E-2</v>
      </c>
      <c r="I4213" s="26"/>
      <c r="J4213" s="26" t="s">
        <v>514</v>
      </c>
      <c r="K4213" s="25" t="s">
        <v>528</v>
      </c>
    </row>
    <row r="4214" spans="1:11" ht="38.25" x14ac:dyDescent="0.25">
      <c r="A4214" s="22">
        <v>2026</v>
      </c>
      <c r="B4214" s="28" t="s">
        <v>203</v>
      </c>
      <c r="C4214" s="28" t="s">
        <v>97</v>
      </c>
      <c r="D4214" s="28" t="s">
        <v>244</v>
      </c>
      <c r="E4214" s="29" t="s">
        <v>448</v>
      </c>
      <c r="F4214" s="29" t="s">
        <v>284</v>
      </c>
      <c r="G4214" s="25" t="s">
        <v>5922</v>
      </c>
      <c r="H4214" s="26">
        <v>-4.2525E-2</v>
      </c>
      <c r="I4214" s="26"/>
      <c r="J4214" s="26" t="s">
        <v>514</v>
      </c>
      <c r="K4214" s="25" t="s">
        <v>528</v>
      </c>
    </row>
    <row r="4215" spans="1:11" ht="38.25" x14ac:dyDescent="0.25">
      <c r="A4215" s="22">
        <v>2026</v>
      </c>
      <c r="B4215" s="28" t="s">
        <v>203</v>
      </c>
      <c r="C4215" s="28" t="s">
        <v>97</v>
      </c>
      <c r="D4215" s="28" t="s">
        <v>244</v>
      </c>
      <c r="E4215" s="29" t="s">
        <v>448</v>
      </c>
      <c r="F4215" s="29" t="s">
        <v>284</v>
      </c>
      <c r="G4215" s="25" t="s">
        <v>5923</v>
      </c>
      <c r="H4215" s="26">
        <v>-4.1340000000000002E-2</v>
      </c>
      <c r="I4215" s="26"/>
      <c r="J4215" s="26" t="s">
        <v>514</v>
      </c>
      <c r="K4215" s="25" t="s">
        <v>528</v>
      </c>
    </row>
    <row r="4216" spans="1:11" ht="38.25" x14ac:dyDescent="0.25">
      <c r="A4216" s="22">
        <v>2026</v>
      </c>
      <c r="B4216" s="28" t="s">
        <v>203</v>
      </c>
      <c r="C4216" s="28" t="s">
        <v>97</v>
      </c>
      <c r="D4216" s="28" t="s">
        <v>244</v>
      </c>
      <c r="E4216" s="29" t="s">
        <v>448</v>
      </c>
      <c r="F4216" s="29" t="s">
        <v>284</v>
      </c>
      <c r="G4216" s="25" t="s">
        <v>5924</v>
      </c>
      <c r="H4216" s="26">
        <v>-4.113E-2</v>
      </c>
      <c r="I4216" s="26"/>
      <c r="J4216" s="26" t="s">
        <v>514</v>
      </c>
      <c r="K4216" s="25" t="s">
        <v>528</v>
      </c>
    </row>
    <row r="4217" spans="1:11" ht="38.25" x14ac:dyDescent="0.25">
      <c r="A4217" s="22">
        <v>2026</v>
      </c>
      <c r="B4217" s="28" t="s">
        <v>203</v>
      </c>
      <c r="C4217" s="28" t="s">
        <v>97</v>
      </c>
      <c r="D4217" s="28" t="s">
        <v>244</v>
      </c>
      <c r="E4217" s="29" t="s">
        <v>448</v>
      </c>
      <c r="F4217" s="29" t="s">
        <v>284</v>
      </c>
      <c r="G4217" s="25" t="s">
        <v>5925</v>
      </c>
      <c r="H4217" s="26">
        <v>-9.7181200000000009E-2</v>
      </c>
      <c r="I4217" s="26"/>
      <c r="J4217" s="26" t="s">
        <v>514</v>
      </c>
      <c r="K4217" s="25" t="s">
        <v>528</v>
      </c>
    </row>
    <row r="4218" spans="1:11" ht="38.25" x14ac:dyDescent="0.25">
      <c r="A4218" s="22">
        <v>2026</v>
      </c>
      <c r="B4218" s="28" t="s">
        <v>203</v>
      </c>
      <c r="C4218" s="28" t="s">
        <v>97</v>
      </c>
      <c r="D4218" s="28" t="s">
        <v>244</v>
      </c>
      <c r="E4218" s="29" t="s">
        <v>448</v>
      </c>
      <c r="F4218" s="29" t="s">
        <v>284</v>
      </c>
      <c r="G4218" s="25" t="s">
        <v>5926</v>
      </c>
      <c r="H4218" s="26">
        <v>-0.35472191999999997</v>
      </c>
      <c r="I4218" s="26"/>
      <c r="J4218" s="26" t="s">
        <v>514</v>
      </c>
      <c r="K4218" s="25" t="s">
        <v>528</v>
      </c>
    </row>
    <row r="4219" spans="1:11" ht="25.5" x14ac:dyDescent="0.25">
      <c r="A4219" s="22">
        <v>2026</v>
      </c>
      <c r="B4219" s="28" t="s">
        <v>203</v>
      </c>
      <c r="C4219" s="28" t="s">
        <v>97</v>
      </c>
      <c r="D4219" s="28" t="s">
        <v>1742</v>
      </c>
      <c r="E4219" s="29" t="s">
        <v>1742</v>
      </c>
      <c r="F4219" s="29" t="s">
        <v>284</v>
      </c>
      <c r="G4219" s="25" t="s">
        <v>5927</v>
      </c>
      <c r="H4219" s="26">
        <v>-0.48249999999999998</v>
      </c>
      <c r="I4219" s="26"/>
      <c r="J4219" s="26" t="s">
        <v>1773</v>
      </c>
      <c r="K4219" s="25" t="s">
        <v>513</v>
      </c>
    </row>
    <row r="4220" spans="1:11" ht="25.5" x14ac:dyDescent="0.25">
      <c r="A4220" s="22">
        <v>2026</v>
      </c>
      <c r="B4220" s="28" t="s">
        <v>203</v>
      </c>
      <c r="C4220" s="28" t="s">
        <v>97</v>
      </c>
      <c r="D4220" s="28" t="s">
        <v>1743</v>
      </c>
      <c r="E4220" s="29" t="s">
        <v>331</v>
      </c>
      <c r="F4220" s="29" t="s">
        <v>494</v>
      </c>
      <c r="G4220" s="25" t="s">
        <v>5928</v>
      </c>
      <c r="H4220" s="26">
        <v>-0.38737713959999992</v>
      </c>
      <c r="I4220" s="26"/>
      <c r="J4220" s="26" t="s">
        <v>512</v>
      </c>
      <c r="K4220" s="25" t="s">
        <v>513</v>
      </c>
    </row>
    <row r="4221" spans="1:11" ht="25.5" x14ac:dyDescent="0.25">
      <c r="A4221" s="22">
        <v>2026</v>
      </c>
      <c r="B4221" s="28" t="s">
        <v>203</v>
      </c>
      <c r="C4221" s="28" t="s">
        <v>97</v>
      </c>
      <c r="D4221" s="28" t="s">
        <v>1743</v>
      </c>
      <c r="E4221" s="29" t="s">
        <v>331</v>
      </c>
      <c r="F4221" s="29" t="s">
        <v>494</v>
      </c>
      <c r="G4221" s="25" t="s">
        <v>5929</v>
      </c>
      <c r="H4221" s="26">
        <v>-0.87739999999999985</v>
      </c>
      <c r="I4221" s="26"/>
      <c r="J4221" s="26" t="s">
        <v>512</v>
      </c>
      <c r="K4221" s="25" t="s">
        <v>513</v>
      </c>
    </row>
    <row r="4222" spans="1:11" ht="25.5" x14ac:dyDescent="0.25">
      <c r="A4222" s="22">
        <v>2026</v>
      </c>
      <c r="B4222" s="28" t="s">
        <v>203</v>
      </c>
      <c r="C4222" s="28" t="s">
        <v>97</v>
      </c>
      <c r="D4222" s="28" t="s">
        <v>1743</v>
      </c>
      <c r="E4222" s="29" t="s">
        <v>331</v>
      </c>
      <c r="F4222" s="29" t="s">
        <v>494</v>
      </c>
      <c r="G4222" s="25" t="s">
        <v>5930</v>
      </c>
      <c r="H4222" s="26">
        <v>-0.93733</v>
      </c>
      <c r="I4222" s="26"/>
      <c r="J4222" s="26" t="s">
        <v>512</v>
      </c>
      <c r="K4222" s="25" t="s">
        <v>513</v>
      </c>
    </row>
    <row r="4223" spans="1:11" ht="25.5" x14ac:dyDescent="0.25">
      <c r="A4223" s="22">
        <v>2026</v>
      </c>
      <c r="B4223" s="28" t="s">
        <v>203</v>
      </c>
      <c r="C4223" s="28" t="s">
        <v>97</v>
      </c>
      <c r="D4223" s="28" t="s">
        <v>1743</v>
      </c>
      <c r="E4223" s="29" t="s">
        <v>331</v>
      </c>
      <c r="F4223" s="29" t="s">
        <v>494</v>
      </c>
      <c r="G4223" s="25" t="s">
        <v>5931</v>
      </c>
      <c r="H4223" s="26">
        <v>-0.70182</v>
      </c>
      <c r="I4223" s="26"/>
      <c r="J4223" s="26" t="s">
        <v>512</v>
      </c>
      <c r="K4223" s="25" t="s">
        <v>513</v>
      </c>
    </row>
    <row r="4224" spans="1:11" ht="25.5" x14ac:dyDescent="0.25">
      <c r="A4224" s="22">
        <v>2026</v>
      </c>
      <c r="B4224" s="28" t="s">
        <v>203</v>
      </c>
      <c r="C4224" s="28" t="s">
        <v>97</v>
      </c>
      <c r="D4224" s="28" t="s">
        <v>1743</v>
      </c>
      <c r="E4224" s="29" t="s">
        <v>331</v>
      </c>
      <c r="F4224" s="29" t="s">
        <v>494</v>
      </c>
      <c r="G4224" s="25" t="s">
        <v>5932</v>
      </c>
      <c r="H4224" s="26">
        <v>-1.8908799999999999</v>
      </c>
      <c r="I4224" s="26"/>
      <c r="J4224" s="26" t="s">
        <v>512</v>
      </c>
      <c r="K4224" s="25" t="s">
        <v>513</v>
      </c>
    </row>
    <row r="4225" spans="1:11" ht="25.5" x14ac:dyDescent="0.25">
      <c r="A4225" s="22">
        <v>2026</v>
      </c>
      <c r="B4225" s="28" t="s">
        <v>203</v>
      </c>
      <c r="C4225" s="28" t="s">
        <v>97</v>
      </c>
      <c r="D4225" s="28" t="s">
        <v>1743</v>
      </c>
      <c r="E4225" s="29" t="s">
        <v>331</v>
      </c>
      <c r="F4225" s="29" t="s">
        <v>494</v>
      </c>
      <c r="G4225" s="25" t="s">
        <v>5933</v>
      </c>
      <c r="H4225" s="26">
        <v>-1.3165290988</v>
      </c>
      <c r="I4225" s="26"/>
      <c r="J4225" s="26" t="s">
        <v>512</v>
      </c>
      <c r="K4225" s="25" t="s">
        <v>513</v>
      </c>
    </row>
    <row r="4226" spans="1:11" ht="25.5" x14ac:dyDescent="0.25">
      <c r="A4226" s="22">
        <v>2026</v>
      </c>
      <c r="B4226" s="28" t="s">
        <v>203</v>
      </c>
      <c r="C4226" s="28" t="s">
        <v>97</v>
      </c>
      <c r="D4226" s="28" t="s">
        <v>1743</v>
      </c>
      <c r="E4226" s="29" t="s">
        <v>331</v>
      </c>
      <c r="F4226" s="29" t="s">
        <v>494</v>
      </c>
      <c r="G4226" s="25" t="s">
        <v>5934</v>
      </c>
      <c r="H4226" s="26">
        <v>-1.0959564799999999</v>
      </c>
      <c r="I4226" s="26"/>
      <c r="J4226" s="26" t="s">
        <v>512</v>
      </c>
      <c r="K4226" s="25" t="s">
        <v>513</v>
      </c>
    </row>
    <row r="4227" spans="1:11" ht="25.5" x14ac:dyDescent="0.25">
      <c r="A4227" s="22">
        <v>2026</v>
      </c>
      <c r="B4227" s="28" t="s">
        <v>203</v>
      </c>
      <c r="C4227" s="28" t="s">
        <v>97</v>
      </c>
      <c r="D4227" s="28" t="s">
        <v>1743</v>
      </c>
      <c r="E4227" s="29" t="s">
        <v>331</v>
      </c>
      <c r="F4227" s="29" t="s">
        <v>494</v>
      </c>
      <c r="G4227" s="25" t="s">
        <v>5935</v>
      </c>
      <c r="H4227" s="26">
        <v>-0.15981816000000001</v>
      </c>
      <c r="I4227" s="26"/>
      <c r="J4227" s="26" t="s">
        <v>512</v>
      </c>
      <c r="K4227" s="25" t="s">
        <v>513</v>
      </c>
    </row>
    <row r="4228" spans="1:11" ht="25.5" x14ac:dyDescent="0.25">
      <c r="A4228" s="22">
        <v>2026</v>
      </c>
      <c r="B4228" s="28" t="s">
        <v>203</v>
      </c>
      <c r="C4228" s="28" t="s">
        <v>97</v>
      </c>
      <c r="D4228" s="28" t="s">
        <v>1743</v>
      </c>
      <c r="E4228" s="29" t="s">
        <v>331</v>
      </c>
      <c r="F4228" s="29" t="s">
        <v>494</v>
      </c>
      <c r="G4228" s="25" t="s">
        <v>5936</v>
      </c>
      <c r="H4228" s="26">
        <v>-0.74589488999999998</v>
      </c>
      <c r="I4228" s="26"/>
      <c r="J4228" s="26" t="s">
        <v>512</v>
      </c>
      <c r="K4228" s="25" t="s">
        <v>513</v>
      </c>
    </row>
    <row r="4229" spans="1:11" ht="25.5" x14ac:dyDescent="0.25">
      <c r="A4229" s="22">
        <v>2026</v>
      </c>
      <c r="B4229" s="28" t="s">
        <v>203</v>
      </c>
      <c r="C4229" s="28" t="s">
        <v>97</v>
      </c>
      <c r="D4229" s="28" t="s">
        <v>1743</v>
      </c>
      <c r="E4229" s="29" t="s">
        <v>331</v>
      </c>
      <c r="F4229" s="29" t="s">
        <v>494</v>
      </c>
      <c r="G4229" s="25" t="s">
        <v>5937</v>
      </c>
      <c r="H4229" s="26">
        <v>-1.3962177519000001</v>
      </c>
      <c r="I4229" s="26"/>
      <c r="J4229" s="26" t="s">
        <v>512</v>
      </c>
      <c r="K4229" s="25" t="s">
        <v>513</v>
      </c>
    </row>
    <row r="4230" spans="1:11" ht="25.5" x14ac:dyDescent="0.25">
      <c r="A4230" s="22">
        <v>2026</v>
      </c>
      <c r="B4230" s="28" t="s">
        <v>203</v>
      </c>
      <c r="C4230" s="28" t="s">
        <v>97</v>
      </c>
      <c r="D4230" s="28" t="s">
        <v>1743</v>
      </c>
      <c r="E4230" s="29" t="s">
        <v>331</v>
      </c>
      <c r="F4230" s="29" t="s">
        <v>494</v>
      </c>
      <c r="G4230" s="25" t="s">
        <v>5938</v>
      </c>
      <c r="H4230" s="26">
        <v>-1.3032889999999999</v>
      </c>
      <c r="I4230" s="26"/>
      <c r="J4230" s="26" t="s">
        <v>512</v>
      </c>
      <c r="K4230" s="25" t="s">
        <v>513</v>
      </c>
    </row>
    <row r="4231" spans="1:11" ht="25.5" x14ac:dyDescent="0.25">
      <c r="A4231" s="22">
        <v>2026</v>
      </c>
      <c r="B4231" s="28" t="s">
        <v>203</v>
      </c>
      <c r="C4231" s="28" t="s">
        <v>97</v>
      </c>
      <c r="D4231" s="28" t="s">
        <v>1743</v>
      </c>
      <c r="E4231" s="29" t="s">
        <v>331</v>
      </c>
      <c r="F4231" s="29" t="s">
        <v>494</v>
      </c>
      <c r="G4231" s="25" t="s">
        <v>5939</v>
      </c>
      <c r="H4231" s="26">
        <v>-0.50827500000000003</v>
      </c>
      <c r="I4231" s="26"/>
      <c r="J4231" s="26" t="s">
        <v>512</v>
      </c>
      <c r="K4231" s="25" t="s">
        <v>513</v>
      </c>
    </row>
    <row r="4232" spans="1:11" ht="25.5" x14ac:dyDescent="0.25">
      <c r="A4232" s="22">
        <v>2026</v>
      </c>
      <c r="B4232" s="28" t="s">
        <v>203</v>
      </c>
      <c r="C4232" s="28" t="s">
        <v>97</v>
      </c>
      <c r="D4232" s="28" t="s">
        <v>545</v>
      </c>
      <c r="E4232" s="29" t="s">
        <v>583</v>
      </c>
      <c r="F4232" s="29" t="s">
        <v>284</v>
      </c>
      <c r="G4232" s="25" t="s">
        <v>5940</v>
      </c>
      <c r="H4232" s="26">
        <v>-0.54684299999999997</v>
      </c>
      <c r="I4232" s="26"/>
      <c r="J4232" s="26" t="s">
        <v>512</v>
      </c>
      <c r="K4232" s="25" t="s">
        <v>513</v>
      </c>
    </row>
    <row r="4233" spans="1:11" ht="25.5" x14ac:dyDescent="0.25">
      <c r="A4233" s="22">
        <v>2026</v>
      </c>
      <c r="B4233" s="28" t="s">
        <v>203</v>
      </c>
      <c r="C4233" s="28" t="s">
        <v>97</v>
      </c>
      <c r="D4233" s="28" t="s">
        <v>545</v>
      </c>
      <c r="E4233" s="29" t="s">
        <v>583</v>
      </c>
      <c r="F4233" s="29" t="s">
        <v>284</v>
      </c>
      <c r="G4233" s="25" t="s">
        <v>5941</v>
      </c>
      <c r="H4233" s="26">
        <v>-0.54664049999999997</v>
      </c>
      <c r="I4233" s="26"/>
      <c r="J4233" s="26" t="s">
        <v>512</v>
      </c>
      <c r="K4233" s="25" t="s">
        <v>513</v>
      </c>
    </row>
    <row r="4234" spans="1:11" ht="25.5" x14ac:dyDescent="0.25">
      <c r="A4234" s="22">
        <v>2026</v>
      </c>
      <c r="B4234" s="28" t="s">
        <v>203</v>
      </c>
      <c r="C4234" s="28" t="s">
        <v>97</v>
      </c>
      <c r="D4234" s="28" t="s">
        <v>545</v>
      </c>
      <c r="E4234" s="29" t="s">
        <v>583</v>
      </c>
      <c r="F4234" s="29" t="s">
        <v>284</v>
      </c>
      <c r="G4234" s="25" t="s">
        <v>5942</v>
      </c>
      <c r="H4234" s="26">
        <v>-0.40287279999999998</v>
      </c>
      <c r="I4234" s="26"/>
      <c r="J4234" s="26" t="s">
        <v>512</v>
      </c>
      <c r="K4234" s="25" t="s">
        <v>513</v>
      </c>
    </row>
    <row r="4235" spans="1:11" ht="25.5" x14ac:dyDescent="0.25">
      <c r="A4235" s="22">
        <v>2026</v>
      </c>
      <c r="B4235" s="28" t="s">
        <v>203</v>
      </c>
      <c r="C4235" s="28" t="s">
        <v>97</v>
      </c>
      <c r="D4235" s="28" t="s">
        <v>545</v>
      </c>
      <c r="E4235" s="29" t="s">
        <v>583</v>
      </c>
      <c r="F4235" s="29" t="s">
        <v>284</v>
      </c>
      <c r="G4235" s="25" t="s">
        <v>5943</v>
      </c>
      <c r="H4235" s="26">
        <v>-0.38638918760000002</v>
      </c>
      <c r="I4235" s="26"/>
      <c r="J4235" s="26" t="s">
        <v>512</v>
      </c>
      <c r="K4235" s="25" t="s">
        <v>513</v>
      </c>
    </row>
    <row r="4236" spans="1:11" ht="25.5" x14ac:dyDescent="0.25">
      <c r="A4236" s="22">
        <v>2026</v>
      </c>
      <c r="B4236" s="28" t="s">
        <v>203</v>
      </c>
      <c r="C4236" s="28" t="s">
        <v>97</v>
      </c>
      <c r="D4236" s="28" t="s">
        <v>545</v>
      </c>
      <c r="E4236" s="29" t="s">
        <v>583</v>
      </c>
      <c r="F4236" s="29" t="s">
        <v>284</v>
      </c>
      <c r="G4236" s="25" t="s">
        <v>5944</v>
      </c>
      <c r="H4236" s="26">
        <v>-0.54634950000000004</v>
      </c>
      <c r="I4236" s="26"/>
      <c r="J4236" s="26" t="s">
        <v>512</v>
      </c>
      <c r="K4236" s="25" t="s">
        <v>513</v>
      </c>
    </row>
    <row r="4237" spans="1:11" ht="25.5" x14ac:dyDescent="0.25">
      <c r="A4237" s="22">
        <v>2026</v>
      </c>
      <c r="B4237" s="28" t="s">
        <v>203</v>
      </c>
      <c r="C4237" s="28" t="s">
        <v>97</v>
      </c>
      <c r="D4237" s="28" t="s">
        <v>545</v>
      </c>
      <c r="E4237" s="29" t="s">
        <v>583</v>
      </c>
      <c r="F4237" s="29" t="s">
        <v>284</v>
      </c>
      <c r="G4237" s="25" t="s">
        <v>5945</v>
      </c>
      <c r="H4237" s="26">
        <v>-0.37169860867999999</v>
      </c>
      <c r="I4237" s="26"/>
      <c r="J4237" s="26" t="s">
        <v>512</v>
      </c>
      <c r="K4237" s="25" t="s">
        <v>513</v>
      </c>
    </row>
    <row r="4238" spans="1:11" ht="25.5" x14ac:dyDescent="0.25">
      <c r="A4238" s="22">
        <v>2026</v>
      </c>
      <c r="B4238" s="28" t="s">
        <v>203</v>
      </c>
      <c r="C4238" s="28" t="s">
        <v>97</v>
      </c>
      <c r="D4238" s="28" t="s">
        <v>545</v>
      </c>
      <c r="E4238" s="29" t="s">
        <v>583</v>
      </c>
      <c r="F4238" s="29" t="s">
        <v>284</v>
      </c>
      <c r="G4238" s="25" t="s">
        <v>5946</v>
      </c>
      <c r="H4238" s="26">
        <v>-0.22054679999999999</v>
      </c>
      <c r="I4238" s="26"/>
      <c r="J4238" s="26" t="s">
        <v>512</v>
      </c>
      <c r="K4238" s="25" t="s">
        <v>513</v>
      </c>
    </row>
    <row r="4239" spans="1:11" ht="25.5" x14ac:dyDescent="0.25">
      <c r="A4239" s="22">
        <v>2026</v>
      </c>
      <c r="B4239" s="28" t="s">
        <v>203</v>
      </c>
      <c r="C4239" s="28" t="s">
        <v>97</v>
      </c>
      <c r="D4239" s="28" t="s">
        <v>545</v>
      </c>
      <c r="E4239" s="29" t="s">
        <v>583</v>
      </c>
      <c r="F4239" s="29" t="s">
        <v>284</v>
      </c>
      <c r="G4239" s="25" t="s">
        <v>5947</v>
      </c>
      <c r="H4239" s="26">
        <v>-0.39746042424</v>
      </c>
      <c r="I4239" s="26"/>
      <c r="J4239" s="26" t="s">
        <v>512</v>
      </c>
      <c r="K4239" s="25" t="s">
        <v>513</v>
      </c>
    </row>
    <row r="4240" spans="1:11" ht="25.5" x14ac:dyDescent="0.25">
      <c r="A4240" s="22">
        <v>2026</v>
      </c>
      <c r="B4240" s="28" t="s">
        <v>203</v>
      </c>
      <c r="C4240" s="28" t="s">
        <v>97</v>
      </c>
      <c r="D4240" s="28" t="s">
        <v>545</v>
      </c>
      <c r="E4240" s="29" t="s">
        <v>583</v>
      </c>
      <c r="F4240" s="29" t="s">
        <v>284</v>
      </c>
      <c r="G4240" s="25" t="s">
        <v>5948</v>
      </c>
      <c r="H4240" s="26">
        <v>-0.56945849999999998</v>
      </c>
      <c r="I4240" s="26"/>
      <c r="J4240" s="26" t="s">
        <v>512</v>
      </c>
      <c r="K4240" s="25" t="s">
        <v>513</v>
      </c>
    </row>
    <row r="4241" spans="1:11" ht="25.5" x14ac:dyDescent="0.25">
      <c r="A4241" s="22">
        <v>2026</v>
      </c>
      <c r="B4241" s="28" t="s">
        <v>203</v>
      </c>
      <c r="C4241" s="28" t="s">
        <v>97</v>
      </c>
      <c r="D4241" s="28" t="s">
        <v>545</v>
      </c>
      <c r="E4241" s="29" t="s">
        <v>583</v>
      </c>
      <c r="F4241" s="29" t="s">
        <v>284</v>
      </c>
      <c r="G4241" s="25" t="s">
        <v>5949</v>
      </c>
      <c r="H4241" s="26">
        <v>-0.31909935</v>
      </c>
      <c r="I4241" s="26"/>
      <c r="J4241" s="26" t="s">
        <v>512</v>
      </c>
      <c r="K4241" s="25" t="s">
        <v>513</v>
      </c>
    </row>
    <row r="4242" spans="1:11" ht="25.5" x14ac:dyDescent="0.25">
      <c r="A4242" s="22">
        <v>2026</v>
      </c>
      <c r="B4242" s="28" t="s">
        <v>203</v>
      </c>
      <c r="C4242" s="28" t="s">
        <v>97</v>
      </c>
      <c r="D4242" s="28" t="s">
        <v>545</v>
      </c>
      <c r="E4242" s="29" t="s">
        <v>583</v>
      </c>
      <c r="F4242" s="29" t="s">
        <v>284</v>
      </c>
      <c r="G4242" s="25" t="s">
        <v>5950</v>
      </c>
      <c r="H4242" s="26">
        <v>-0.55627499999999996</v>
      </c>
      <c r="I4242" s="26"/>
      <c r="J4242" s="26" t="s">
        <v>512</v>
      </c>
      <c r="K4242" s="25" t="s">
        <v>513</v>
      </c>
    </row>
    <row r="4243" spans="1:11" ht="25.5" x14ac:dyDescent="0.25">
      <c r="A4243" s="22">
        <v>2026</v>
      </c>
      <c r="B4243" s="28" t="s">
        <v>203</v>
      </c>
      <c r="C4243" s="28" t="s">
        <v>97</v>
      </c>
      <c r="D4243" s="28" t="s">
        <v>545</v>
      </c>
      <c r="E4243" s="29" t="s">
        <v>583</v>
      </c>
      <c r="F4243" s="29" t="s">
        <v>284</v>
      </c>
      <c r="G4243" s="25" t="s">
        <v>5951</v>
      </c>
      <c r="H4243" s="26">
        <v>-0.29193262550000004</v>
      </c>
      <c r="I4243" s="26"/>
      <c r="J4243" s="26" t="s">
        <v>512</v>
      </c>
      <c r="K4243" s="25" t="s">
        <v>513</v>
      </c>
    </row>
    <row r="4244" spans="1:11" ht="25.5" x14ac:dyDescent="0.25">
      <c r="A4244" s="22">
        <v>2026</v>
      </c>
      <c r="B4244" s="28" t="s">
        <v>203</v>
      </c>
      <c r="C4244" s="28" t="s">
        <v>97</v>
      </c>
      <c r="D4244" s="28" t="s">
        <v>545</v>
      </c>
      <c r="E4244" s="29" t="s">
        <v>583</v>
      </c>
      <c r="F4244" s="29" t="s">
        <v>284</v>
      </c>
      <c r="G4244" s="25" t="s">
        <v>5952</v>
      </c>
      <c r="H4244" s="26">
        <v>-0.41624092406000002</v>
      </c>
      <c r="I4244" s="26"/>
      <c r="J4244" s="26" t="s">
        <v>512</v>
      </c>
      <c r="K4244" s="25" t="s">
        <v>513</v>
      </c>
    </row>
    <row r="4245" spans="1:11" ht="25.5" x14ac:dyDescent="0.25">
      <c r="A4245" s="22">
        <v>2026</v>
      </c>
      <c r="B4245" s="28" t="s">
        <v>203</v>
      </c>
      <c r="C4245" s="28" t="s">
        <v>97</v>
      </c>
      <c r="D4245" s="28" t="s">
        <v>545</v>
      </c>
      <c r="E4245" s="29" t="s">
        <v>583</v>
      </c>
      <c r="F4245" s="29" t="s">
        <v>284</v>
      </c>
      <c r="G4245" s="25" t="s">
        <v>5953</v>
      </c>
      <c r="H4245" s="26">
        <v>-0.37674999999999997</v>
      </c>
      <c r="I4245" s="26"/>
      <c r="J4245" s="26" t="s">
        <v>512</v>
      </c>
      <c r="K4245" s="25" t="s">
        <v>513</v>
      </c>
    </row>
    <row r="4246" spans="1:11" ht="25.5" x14ac:dyDescent="0.25">
      <c r="A4246" s="22">
        <v>2026</v>
      </c>
      <c r="B4246" s="28" t="s">
        <v>203</v>
      </c>
      <c r="C4246" s="28" t="s">
        <v>97</v>
      </c>
      <c r="D4246" s="28" t="s">
        <v>545</v>
      </c>
      <c r="E4246" s="29" t="s">
        <v>583</v>
      </c>
      <c r="F4246" s="29" t="s">
        <v>284</v>
      </c>
      <c r="G4246" s="25" t="s">
        <v>5954</v>
      </c>
      <c r="H4246" s="26">
        <v>-0.46654007025999999</v>
      </c>
      <c r="I4246" s="26"/>
      <c r="J4246" s="26" t="s">
        <v>512</v>
      </c>
      <c r="K4246" s="25" t="s">
        <v>513</v>
      </c>
    </row>
    <row r="4247" spans="1:11" ht="25.5" x14ac:dyDescent="0.25">
      <c r="A4247" s="22">
        <v>2026</v>
      </c>
      <c r="B4247" s="28" t="s">
        <v>203</v>
      </c>
      <c r="C4247" s="28" t="s">
        <v>97</v>
      </c>
      <c r="D4247" s="28" t="s">
        <v>545</v>
      </c>
      <c r="E4247" s="29" t="s">
        <v>583</v>
      </c>
      <c r="F4247" s="29" t="s">
        <v>284</v>
      </c>
      <c r="G4247" s="25" t="s">
        <v>5955</v>
      </c>
      <c r="H4247" s="26">
        <v>-0.22371419999999997</v>
      </c>
      <c r="I4247" s="26"/>
      <c r="J4247" s="26" t="s">
        <v>512</v>
      </c>
      <c r="K4247" s="25" t="s">
        <v>513</v>
      </c>
    </row>
    <row r="4248" spans="1:11" ht="25.5" x14ac:dyDescent="0.25">
      <c r="A4248" s="22">
        <v>2026</v>
      </c>
      <c r="B4248" s="28" t="s">
        <v>203</v>
      </c>
      <c r="C4248" s="28" t="s">
        <v>97</v>
      </c>
      <c r="D4248" s="28" t="s">
        <v>545</v>
      </c>
      <c r="E4248" s="29" t="s">
        <v>583</v>
      </c>
      <c r="F4248" s="29" t="s">
        <v>284</v>
      </c>
      <c r="G4248" s="25" t="s">
        <v>5956</v>
      </c>
      <c r="H4248" s="26">
        <v>-0.49013353600000004</v>
      </c>
      <c r="I4248" s="26"/>
      <c r="J4248" s="26" t="s">
        <v>512</v>
      </c>
      <c r="K4248" s="25" t="s">
        <v>513</v>
      </c>
    </row>
    <row r="4249" spans="1:11" ht="25.5" x14ac:dyDescent="0.25">
      <c r="A4249" s="22">
        <v>2026</v>
      </c>
      <c r="B4249" s="28" t="s">
        <v>203</v>
      </c>
      <c r="C4249" s="28" t="s">
        <v>97</v>
      </c>
      <c r="D4249" s="28" t="s">
        <v>545</v>
      </c>
      <c r="E4249" s="29" t="s">
        <v>583</v>
      </c>
      <c r="F4249" s="29" t="s">
        <v>284</v>
      </c>
      <c r="G4249" s="25" t="s">
        <v>5957</v>
      </c>
      <c r="H4249" s="26">
        <v>-0.46881374999999997</v>
      </c>
      <c r="I4249" s="26"/>
      <c r="J4249" s="26" t="s">
        <v>512</v>
      </c>
      <c r="K4249" s="25" t="s">
        <v>513</v>
      </c>
    </row>
    <row r="4250" spans="1:11" ht="25.5" x14ac:dyDescent="0.25">
      <c r="A4250" s="22">
        <v>2026</v>
      </c>
      <c r="B4250" s="28" t="s">
        <v>203</v>
      </c>
      <c r="C4250" s="28" t="s">
        <v>97</v>
      </c>
      <c r="D4250" s="28" t="s">
        <v>545</v>
      </c>
      <c r="E4250" s="29" t="s">
        <v>583</v>
      </c>
      <c r="F4250" s="29" t="s">
        <v>284</v>
      </c>
      <c r="G4250" s="25" t="s">
        <v>5958</v>
      </c>
      <c r="H4250" s="26">
        <v>-0.59213390336000005</v>
      </c>
      <c r="I4250" s="26"/>
      <c r="J4250" s="26" t="s">
        <v>512</v>
      </c>
      <c r="K4250" s="25" t="s">
        <v>513</v>
      </c>
    </row>
    <row r="4251" spans="1:11" ht="25.5" x14ac:dyDescent="0.25">
      <c r="A4251" s="22">
        <v>2026</v>
      </c>
      <c r="B4251" s="28" t="s">
        <v>203</v>
      </c>
      <c r="C4251" s="28" t="s">
        <v>97</v>
      </c>
      <c r="D4251" s="28" t="s">
        <v>545</v>
      </c>
      <c r="E4251" s="29" t="s">
        <v>583</v>
      </c>
      <c r="F4251" s="29" t="s">
        <v>284</v>
      </c>
      <c r="G4251" s="25" t="s">
        <v>5959</v>
      </c>
      <c r="H4251" s="26">
        <v>-0.30239834856000003</v>
      </c>
      <c r="I4251" s="26"/>
      <c r="J4251" s="26" t="s">
        <v>512</v>
      </c>
      <c r="K4251" s="25" t="s">
        <v>513</v>
      </c>
    </row>
    <row r="4252" spans="1:11" ht="25.5" x14ac:dyDescent="0.25">
      <c r="A4252" s="22">
        <v>2026</v>
      </c>
      <c r="B4252" s="28" t="s">
        <v>203</v>
      </c>
      <c r="C4252" s="28" t="s">
        <v>97</v>
      </c>
      <c r="D4252" s="28" t="s">
        <v>1744</v>
      </c>
      <c r="E4252" s="29" t="s">
        <v>1776</v>
      </c>
      <c r="F4252" s="29" t="s">
        <v>284</v>
      </c>
      <c r="G4252" s="25" t="s">
        <v>5960</v>
      </c>
      <c r="H4252" s="26">
        <v>-0.37719667217261699</v>
      </c>
      <c r="I4252" s="26"/>
      <c r="J4252" s="26" t="s">
        <v>514</v>
      </c>
      <c r="K4252" s="25" t="s">
        <v>513</v>
      </c>
    </row>
    <row r="4253" spans="1:11" ht="25.5" x14ac:dyDescent="0.25">
      <c r="A4253" s="22">
        <v>2026</v>
      </c>
      <c r="B4253" s="28" t="s">
        <v>203</v>
      </c>
      <c r="C4253" s="28" t="s">
        <v>97</v>
      </c>
      <c r="D4253" s="28" t="s">
        <v>1744</v>
      </c>
      <c r="E4253" s="29" t="s">
        <v>1776</v>
      </c>
      <c r="F4253" s="29" t="s">
        <v>284</v>
      </c>
      <c r="G4253" s="25" t="s">
        <v>5961</v>
      </c>
      <c r="H4253" s="26">
        <v>-0.56734618318383234</v>
      </c>
      <c r="I4253" s="26"/>
      <c r="J4253" s="26" t="s">
        <v>514</v>
      </c>
      <c r="K4253" s="25" t="s">
        <v>513</v>
      </c>
    </row>
    <row r="4254" spans="1:11" ht="25.5" x14ac:dyDescent="0.25">
      <c r="A4254" s="22">
        <v>2026</v>
      </c>
      <c r="B4254" s="28" t="s">
        <v>203</v>
      </c>
      <c r="C4254" s="28" t="s">
        <v>97</v>
      </c>
      <c r="D4254" s="28" t="s">
        <v>1744</v>
      </c>
      <c r="E4254" s="29" t="s">
        <v>1776</v>
      </c>
      <c r="F4254" s="29" t="s">
        <v>284</v>
      </c>
      <c r="G4254" s="25" t="s">
        <v>5962</v>
      </c>
      <c r="H4254" s="26">
        <v>-9.737807041117974E-2</v>
      </c>
      <c r="I4254" s="26"/>
      <c r="J4254" s="26" t="s">
        <v>514</v>
      </c>
      <c r="K4254" s="25" t="s">
        <v>513</v>
      </c>
    </row>
    <row r="4255" spans="1:11" ht="25.5" x14ac:dyDescent="0.25">
      <c r="A4255" s="22">
        <v>2026</v>
      </c>
      <c r="B4255" s="28" t="s">
        <v>203</v>
      </c>
      <c r="C4255" s="28" t="s">
        <v>97</v>
      </c>
      <c r="D4255" s="28" t="s">
        <v>1744</v>
      </c>
      <c r="E4255" s="29" t="s">
        <v>1776</v>
      </c>
      <c r="F4255" s="29" t="s">
        <v>284</v>
      </c>
      <c r="G4255" s="25" t="s">
        <v>5963</v>
      </c>
      <c r="H4255" s="26">
        <v>-0.21817388553444067</v>
      </c>
      <c r="I4255" s="26"/>
      <c r="J4255" s="26" t="s">
        <v>514</v>
      </c>
      <c r="K4255" s="25" t="s">
        <v>513</v>
      </c>
    </row>
    <row r="4256" spans="1:11" ht="25.5" x14ac:dyDescent="0.25">
      <c r="A4256" s="22">
        <v>2026</v>
      </c>
      <c r="B4256" s="28" t="s">
        <v>203</v>
      </c>
      <c r="C4256" s="28" t="s">
        <v>97</v>
      </c>
      <c r="D4256" s="28" t="s">
        <v>1745</v>
      </c>
      <c r="E4256" s="29" t="s">
        <v>1777</v>
      </c>
      <c r="F4256" s="29" t="s">
        <v>284</v>
      </c>
      <c r="G4256" s="25" t="s">
        <v>5964</v>
      </c>
      <c r="H4256" s="26">
        <v>-5.7699999999999994E-2</v>
      </c>
      <c r="I4256" s="26"/>
      <c r="J4256" s="26" t="s">
        <v>512</v>
      </c>
      <c r="K4256" s="25" t="s">
        <v>513</v>
      </c>
    </row>
    <row r="4257" spans="1:11" ht="25.5" x14ac:dyDescent="0.25">
      <c r="A4257" s="22">
        <v>2026</v>
      </c>
      <c r="B4257" s="28" t="s">
        <v>203</v>
      </c>
      <c r="C4257" s="28" t="s">
        <v>97</v>
      </c>
      <c r="D4257" s="28" t="s">
        <v>1745</v>
      </c>
      <c r="E4257" s="29" t="s">
        <v>1777</v>
      </c>
      <c r="F4257" s="29" t="s">
        <v>284</v>
      </c>
      <c r="G4257" s="25" t="s">
        <v>5965</v>
      </c>
      <c r="H4257" s="26">
        <v>-0.28625</v>
      </c>
      <c r="I4257" s="26"/>
      <c r="J4257" s="26" t="s">
        <v>512</v>
      </c>
      <c r="K4257" s="25" t="s">
        <v>513</v>
      </c>
    </row>
    <row r="4258" spans="1:11" ht="25.5" x14ac:dyDescent="0.25">
      <c r="A4258" s="22">
        <v>2026</v>
      </c>
      <c r="B4258" s="28" t="s">
        <v>203</v>
      </c>
      <c r="C4258" s="28" t="s">
        <v>97</v>
      </c>
      <c r="D4258" s="28" t="s">
        <v>1745</v>
      </c>
      <c r="E4258" s="29" t="s">
        <v>1777</v>
      </c>
      <c r="F4258" s="29" t="s">
        <v>284</v>
      </c>
      <c r="G4258" s="25" t="s">
        <v>5966</v>
      </c>
      <c r="H4258" s="26">
        <v>-8.6699999999999999E-2</v>
      </c>
      <c r="I4258" s="26"/>
      <c r="J4258" s="26" t="s">
        <v>512</v>
      </c>
      <c r="K4258" s="25" t="s">
        <v>513</v>
      </c>
    </row>
    <row r="4259" spans="1:11" ht="25.5" x14ac:dyDescent="0.25">
      <c r="A4259" s="22">
        <v>2026</v>
      </c>
      <c r="B4259" s="28" t="s">
        <v>203</v>
      </c>
      <c r="C4259" s="28" t="s">
        <v>97</v>
      </c>
      <c r="D4259" s="28" t="s">
        <v>1745</v>
      </c>
      <c r="E4259" s="29" t="s">
        <v>1777</v>
      </c>
      <c r="F4259" s="29" t="s">
        <v>284</v>
      </c>
      <c r="G4259" s="25" t="s">
        <v>5967</v>
      </c>
      <c r="H4259" s="26">
        <v>-8.7510000000000004E-2</v>
      </c>
      <c r="I4259" s="26"/>
      <c r="J4259" s="26" t="s">
        <v>512</v>
      </c>
      <c r="K4259" s="25" t="s">
        <v>513</v>
      </c>
    </row>
    <row r="4260" spans="1:11" ht="25.5" x14ac:dyDescent="0.25">
      <c r="A4260" s="22">
        <v>2026</v>
      </c>
      <c r="B4260" s="28" t="s">
        <v>203</v>
      </c>
      <c r="C4260" s="28" t="s">
        <v>97</v>
      </c>
      <c r="D4260" s="28" t="s">
        <v>1745</v>
      </c>
      <c r="E4260" s="29" t="s">
        <v>1777</v>
      </c>
      <c r="F4260" s="29" t="s">
        <v>284</v>
      </c>
      <c r="G4260" s="25" t="s">
        <v>5968</v>
      </c>
      <c r="H4260" s="26">
        <v>-0.151</v>
      </c>
      <c r="I4260" s="26"/>
      <c r="J4260" s="26" t="s">
        <v>512</v>
      </c>
      <c r="K4260" s="25" t="s">
        <v>513</v>
      </c>
    </row>
    <row r="4261" spans="1:11" ht="25.5" x14ac:dyDescent="0.25">
      <c r="A4261" s="22">
        <v>2026</v>
      </c>
      <c r="B4261" s="28" t="s">
        <v>203</v>
      </c>
      <c r="C4261" s="28" t="s">
        <v>97</v>
      </c>
      <c r="D4261" s="28" t="s">
        <v>1745</v>
      </c>
      <c r="E4261" s="29" t="s">
        <v>1777</v>
      </c>
      <c r="F4261" s="29" t="s">
        <v>284</v>
      </c>
      <c r="G4261" s="25" t="s">
        <v>5969</v>
      </c>
      <c r="H4261" s="26">
        <v>-0.35880000000000001</v>
      </c>
      <c r="I4261" s="26"/>
      <c r="J4261" s="26" t="s">
        <v>512</v>
      </c>
      <c r="K4261" s="25" t="s">
        <v>513</v>
      </c>
    </row>
    <row r="4262" spans="1:11" ht="25.5" x14ac:dyDescent="0.25">
      <c r="A4262" s="22">
        <v>2026</v>
      </c>
      <c r="B4262" s="28" t="s">
        <v>203</v>
      </c>
      <c r="C4262" s="28" t="s">
        <v>97</v>
      </c>
      <c r="D4262" s="28" t="s">
        <v>1745</v>
      </c>
      <c r="E4262" s="29" t="s">
        <v>1777</v>
      </c>
      <c r="F4262" s="29" t="s">
        <v>284</v>
      </c>
      <c r="G4262" s="25" t="s">
        <v>5970</v>
      </c>
      <c r="H4262" s="26">
        <v>-0.20930000000000004</v>
      </c>
      <c r="I4262" s="26"/>
      <c r="J4262" s="26" t="s">
        <v>512</v>
      </c>
      <c r="K4262" s="25" t="s">
        <v>513</v>
      </c>
    </row>
    <row r="4263" spans="1:11" ht="25.5" x14ac:dyDescent="0.25">
      <c r="A4263" s="22">
        <v>2026</v>
      </c>
      <c r="B4263" s="28" t="s">
        <v>203</v>
      </c>
      <c r="C4263" s="28" t="s">
        <v>97</v>
      </c>
      <c r="D4263" s="28" t="s">
        <v>1745</v>
      </c>
      <c r="E4263" s="29" t="s">
        <v>1777</v>
      </c>
      <c r="F4263" s="29" t="s">
        <v>284</v>
      </c>
      <c r="G4263" s="25" t="s">
        <v>5971</v>
      </c>
      <c r="H4263" s="26">
        <v>-0.30149999999999999</v>
      </c>
      <c r="I4263" s="26"/>
      <c r="J4263" s="26" t="s">
        <v>512</v>
      </c>
      <c r="K4263" s="25" t="s">
        <v>513</v>
      </c>
    </row>
    <row r="4264" spans="1:11" ht="25.5" x14ac:dyDescent="0.25">
      <c r="A4264" s="22">
        <v>2026</v>
      </c>
      <c r="B4264" s="28" t="s">
        <v>203</v>
      </c>
      <c r="C4264" s="28" t="s">
        <v>97</v>
      </c>
      <c r="D4264" s="28" t="s">
        <v>1745</v>
      </c>
      <c r="E4264" s="29" t="s">
        <v>1777</v>
      </c>
      <c r="F4264" s="29" t="s">
        <v>284</v>
      </c>
      <c r="G4264" s="25" t="s">
        <v>5972</v>
      </c>
      <c r="H4264" s="26">
        <v>-0.12</v>
      </c>
      <c r="I4264" s="26"/>
      <c r="J4264" s="26" t="s">
        <v>512</v>
      </c>
      <c r="K4264" s="25" t="s">
        <v>513</v>
      </c>
    </row>
    <row r="4265" spans="1:11" ht="25.5" x14ac:dyDescent="0.25">
      <c r="A4265" s="22">
        <v>2026</v>
      </c>
      <c r="B4265" s="28" t="s">
        <v>203</v>
      </c>
      <c r="C4265" s="28" t="s">
        <v>97</v>
      </c>
      <c r="D4265" s="28" t="s">
        <v>1745</v>
      </c>
      <c r="E4265" s="29" t="s">
        <v>1777</v>
      </c>
      <c r="F4265" s="29" t="s">
        <v>284</v>
      </c>
      <c r="G4265" s="25" t="s">
        <v>5973</v>
      </c>
      <c r="H4265" s="26">
        <v>-0.36120000000000002</v>
      </c>
      <c r="I4265" s="26"/>
      <c r="J4265" s="26" t="s">
        <v>512</v>
      </c>
      <c r="K4265" s="25" t="s">
        <v>513</v>
      </c>
    </row>
    <row r="4266" spans="1:11" ht="25.5" x14ac:dyDescent="0.25">
      <c r="A4266" s="22">
        <v>2026</v>
      </c>
      <c r="B4266" s="28" t="s">
        <v>203</v>
      </c>
      <c r="C4266" s="28" t="s">
        <v>97</v>
      </c>
      <c r="D4266" s="28" t="s">
        <v>1745</v>
      </c>
      <c r="E4266" s="29" t="s">
        <v>1777</v>
      </c>
      <c r="F4266" s="29" t="s">
        <v>284</v>
      </c>
      <c r="G4266" s="25" t="s">
        <v>5974</v>
      </c>
      <c r="H4266" s="26">
        <v>-0.12039999999999998</v>
      </c>
      <c r="I4266" s="26"/>
      <c r="J4266" s="26" t="s">
        <v>512</v>
      </c>
      <c r="K4266" s="25" t="s">
        <v>513</v>
      </c>
    </row>
    <row r="4267" spans="1:11" ht="25.5" x14ac:dyDescent="0.25">
      <c r="A4267" s="22">
        <v>2026</v>
      </c>
      <c r="B4267" s="28" t="s">
        <v>203</v>
      </c>
      <c r="C4267" s="28" t="s">
        <v>97</v>
      </c>
      <c r="D4267" s="28" t="s">
        <v>1033</v>
      </c>
      <c r="E4267" s="29" t="s">
        <v>578</v>
      </c>
      <c r="F4267" s="29" t="s">
        <v>325</v>
      </c>
      <c r="G4267" s="25" t="s">
        <v>5975</v>
      </c>
      <c r="H4267" s="26">
        <v>-0.52700000000000002</v>
      </c>
      <c r="I4267" s="26"/>
      <c r="J4267" s="26" t="s">
        <v>512</v>
      </c>
      <c r="K4267" s="25" t="s">
        <v>513</v>
      </c>
    </row>
    <row r="4268" spans="1:11" ht="25.5" x14ac:dyDescent="0.25">
      <c r="A4268" s="22">
        <v>2026</v>
      </c>
      <c r="B4268" s="28" t="s">
        <v>203</v>
      </c>
      <c r="C4268" s="28" t="s">
        <v>97</v>
      </c>
      <c r="D4268" s="28" t="s">
        <v>1033</v>
      </c>
      <c r="E4268" s="29" t="s">
        <v>578</v>
      </c>
      <c r="F4268" s="29" t="s">
        <v>325</v>
      </c>
      <c r="G4268" s="25" t="s">
        <v>5976</v>
      </c>
      <c r="H4268" s="26">
        <v>-1.3653276000000001</v>
      </c>
      <c r="I4268" s="26"/>
      <c r="J4268" s="26" t="s">
        <v>512</v>
      </c>
      <c r="K4268" s="25" t="s">
        <v>513</v>
      </c>
    </row>
    <row r="4269" spans="1:11" ht="25.5" x14ac:dyDescent="0.25">
      <c r="A4269" s="22">
        <v>2026</v>
      </c>
      <c r="B4269" s="28" t="s">
        <v>203</v>
      </c>
      <c r="C4269" s="28" t="s">
        <v>97</v>
      </c>
      <c r="D4269" s="28" t="s">
        <v>1033</v>
      </c>
      <c r="E4269" s="29" t="s">
        <v>578</v>
      </c>
      <c r="F4269" s="29" t="s">
        <v>325</v>
      </c>
      <c r="G4269" s="25" t="s">
        <v>5977</v>
      </c>
      <c r="H4269" s="26">
        <v>-0.26419999999999999</v>
      </c>
      <c r="I4269" s="26"/>
      <c r="J4269" s="26" t="s">
        <v>512</v>
      </c>
      <c r="K4269" s="25" t="s">
        <v>513</v>
      </c>
    </row>
    <row r="4270" spans="1:11" ht="25.5" x14ac:dyDescent="0.25">
      <c r="A4270" s="22">
        <v>2026</v>
      </c>
      <c r="B4270" s="28" t="s">
        <v>203</v>
      </c>
      <c r="C4270" s="28" t="s">
        <v>97</v>
      </c>
      <c r="D4270" s="28" t="s">
        <v>1033</v>
      </c>
      <c r="E4270" s="29" t="s">
        <v>578</v>
      </c>
      <c r="F4270" s="29" t="s">
        <v>325</v>
      </c>
      <c r="G4270" s="25" t="s">
        <v>5978</v>
      </c>
      <c r="H4270" s="26">
        <v>-4.2767999999999997</v>
      </c>
      <c r="I4270" s="26"/>
      <c r="J4270" s="26" t="s">
        <v>512</v>
      </c>
      <c r="K4270" s="25" t="s">
        <v>513</v>
      </c>
    </row>
    <row r="4271" spans="1:11" ht="25.5" x14ac:dyDescent="0.25">
      <c r="A4271" s="22">
        <v>2026</v>
      </c>
      <c r="B4271" s="28" t="s">
        <v>203</v>
      </c>
      <c r="C4271" s="28" t="s">
        <v>97</v>
      </c>
      <c r="D4271" s="28" t="s">
        <v>1033</v>
      </c>
      <c r="E4271" s="29" t="s">
        <v>578</v>
      </c>
      <c r="F4271" s="29" t="s">
        <v>325</v>
      </c>
      <c r="G4271" s="25" t="s">
        <v>5979</v>
      </c>
      <c r="H4271" s="26">
        <v>-0.66767500000000002</v>
      </c>
      <c r="I4271" s="26"/>
      <c r="J4271" s="26" t="s">
        <v>512</v>
      </c>
      <c r="K4271" s="25" t="s">
        <v>513</v>
      </c>
    </row>
    <row r="4272" spans="1:11" ht="25.5" x14ac:dyDescent="0.25">
      <c r="A4272" s="22">
        <v>2026</v>
      </c>
      <c r="B4272" s="28" t="s">
        <v>203</v>
      </c>
      <c r="C4272" s="28" t="s">
        <v>97</v>
      </c>
      <c r="D4272" s="28" t="s">
        <v>1033</v>
      </c>
      <c r="E4272" s="29" t="s">
        <v>578</v>
      </c>
      <c r="F4272" s="29" t="s">
        <v>325</v>
      </c>
      <c r="G4272" s="25" t="s">
        <v>5980</v>
      </c>
      <c r="H4272" s="26">
        <v>-0.39949950000000006</v>
      </c>
      <c r="I4272" s="26"/>
      <c r="J4272" s="26" t="s">
        <v>512</v>
      </c>
      <c r="K4272" s="25" t="s">
        <v>513</v>
      </c>
    </row>
    <row r="4273" spans="1:11" ht="25.5" x14ac:dyDescent="0.25">
      <c r="A4273" s="22">
        <v>2026</v>
      </c>
      <c r="B4273" s="28" t="s">
        <v>203</v>
      </c>
      <c r="C4273" s="28" t="s">
        <v>97</v>
      </c>
      <c r="D4273" s="28" t="s">
        <v>1747</v>
      </c>
      <c r="E4273" s="29" t="s">
        <v>415</v>
      </c>
      <c r="F4273" s="29" t="s">
        <v>1779</v>
      </c>
      <c r="G4273" s="25" t="s">
        <v>5981</v>
      </c>
      <c r="H4273" s="26">
        <v>-6.3750000000000001E-2</v>
      </c>
      <c r="I4273" s="26"/>
      <c r="J4273" s="26" t="s">
        <v>512</v>
      </c>
      <c r="K4273" s="25" t="s">
        <v>513</v>
      </c>
    </row>
    <row r="4274" spans="1:11" ht="25.5" x14ac:dyDescent="0.25">
      <c r="A4274" s="22">
        <v>2026</v>
      </c>
      <c r="B4274" s="28" t="s">
        <v>203</v>
      </c>
      <c r="C4274" s="28" t="s">
        <v>97</v>
      </c>
      <c r="D4274" s="28" t="s">
        <v>1747</v>
      </c>
      <c r="E4274" s="29" t="s">
        <v>415</v>
      </c>
      <c r="F4274" s="29" t="s">
        <v>1779</v>
      </c>
      <c r="G4274" s="25" t="s">
        <v>5982</v>
      </c>
      <c r="H4274" s="26">
        <v>-0.25238597680999997</v>
      </c>
      <c r="I4274" s="26"/>
      <c r="J4274" s="26" t="s">
        <v>512</v>
      </c>
      <c r="K4274" s="25" t="s">
        <v>513</v>
      </c>
    </row>
    <row r="4275" spans="1:11" ht="25.5" x14ac:dyDescent="0.25">
      <c r="A4275" s="22">
        <v>2026</v>
      </c>
      <c r="B4275" s="28" t="s">
        <v>203</v>
      </c>
      <c r="C4275" s="28" t="s">
        <v>97</v>
      </c>
      <c r="D4275" s="28" t="s">
        <v>1747</v>
      </c>
      <c r="E4275" s="29" t="s">
        <v>415</v>
      </c>
      <c r="F4275" s="29" t="s">
        <v>1779</v>
      </c>
      <c r="G4275" s="25" t="s">
        <v>5983</v>
      </c>
      <c r="H4275" s="26">
        <v>-0.70444839920000002</v>
      </c>
      <c r="I4275" s="26"/>
      <c r="J4275" s="26" t="s">
        <v>512</v>
      </c>
      <c r="K4275" s="25" t="s">
        <v>513</v>
      </c>
    </row>
    <row r="4276" spans="1:11" ht="25.5" x14ac:dyDescent="0.25">
      <c r="A4276" s="22">
        <v>2026</v>
      </c>
      <c r="B4276" s="28" t="s">
        <v>203</v>
      </c>
      <c r="C4276" s="28" t="s">
        <v>97</v>
      </c>
      <c r="D4276" s="28" t="s">
        <v>1747</v>
      </c>
      <c r="E4276" s="29" t="s">
        <v>415</v>
      </c>
      <c r="F4276" s="29" t="s">
        <v>1779</v>
      </c>
      <c r="G4276" s="25" t="s">
        <v>5984</v>
      </c>
      <c r="H4276" s="26">
        <v>-0.61613021811000002</v>
      </c>
      <c r="I4276" s="26"/>
      <c r="J4276" s="26" t="s">
        <v>512</v>
      </c>
      <c r="K4276" s="25" t="s">
        <v>513</v>
      </c>
    </row>
    <row r="4277" spans="1:11" ht="25.5" x14ac:dyDescent="0.25">
      <c r="A4277" s="22">
        <v>2026</v>
      </c>
      <c r="B4277" s="28" t="s">
        <v>203</v>
      </c>
      <c r="C4277" s="28" t="s">
        <v>97</v>
      </c>
      <c r="D4277" s="28" t="s">
        <v>1747</v>
      </c>
      <c r="E4277" s="29" t="s">
        <v>415</v>
      </c>
      <c r="F4277" s="29" t="s">
        <v>1779</v>
      </c>
      <c r="G4277" s="25" t="s">
        <v>5985</v>
      </c>
      <c r="H4277" s="26">
        <v>-0.89094399999999996</v>
      </c>
      <c r="I4277" s="26"/>
      <c r="J4277" s="26" t="s">
        <v>512</v>
      </c>
      <c r="K4277" s="25" t="s">
        <v>513</v>
      </c>
    </row>
    <row r="4278" spans="1:11" ht="25.5" x14ac:dyDescent="0.25">
      <c r="A4278" s="22">
        <v>2026</v>
      </c>
      <c r="B4278" s="28" t="s">
        <v>203</v>
      </c>
      <c r="C4278" s="28" t="s">
        <v>97</v>
      </c>
      <c r="D4278" s="28" t="s">
        <v>1747</v>
      </c>
      <c r="E4278" s="29" t="s">
        <v>415</v>
      </c>
      <c r="F4278" s="29" t="s">
        <v>1779</v>
      </c>
      <c r="G4278" s="25" t="s">
        <v>5986</v>
      </c>
      <c r="H4278" s="26">
        <v>-5.6499999999999995E-2</v>
      </c>
      <c r="I4278" s="26"/>
      <c r="J4278" s="26" t="s">
        <v>512</v>
      </c>
      <c r="K4278" s="25" t="s">
        <v>513</v>
      </c>
    </row>
    <row r="4279" spans="1:11" ht="25.5" x14ac:dyDescent="0.25">
      <c r="A4279" s="22">
        <v>2026</v>
      </c>
      <c r="B4279" s="28" t="s">
        <v>203</v>
      </c>
      <c r="C4279" s="28" t="s">
        <v>97</v>
      </c>
      <c r="D4279" s="28" t="s">
        <v>1747</v>
      </c>
      <c r="E4279" s="29" t="s">
        <v>415</v>
      </c>
      <c r="F4279" s="29" t="s">
        <v>1779</v>
      </c>
      <c r="G4279" s="25" t="s">
        <v>5987</v>
      </c>
      <c r="H4279" s="26">
        <v>-0.45100000000000001</v>
      </c>
      <c r="I4279" s="26"/>
      <c r="J4279" s="26" t="s">
        <v>512</v>
      </c>
      <c r="K4279" s="25" t="s">
        <v>513</v>
      </c>
    </row>
    <row r="4280" spans="1:11" ht="25.5" x14ac:dyDescent="0.25">
      <c r="A4280" s="22">
        <v>2026</v>
      </c>
      <c r="B4280" s="28" t="s">
        <v>203</v>
      </c>
      <c r="C4280" s="28" t="s">
        <v>97</v>
      </c>
      <c r="D4280" s="28" t="s">
        <v>1747</v>
      </c>
      <c r="E4280" s="29" t="s">
        <v>415</v>
      </c>
      <c r="F4280" s="29" t="s">
        <v>1779</v>
      </c>
      <c r="G4280" s="25" t="s">
        <v>5988</v>
      </c>
      <c r="H4280" s="26">
        <v>-0.56499999999999995</v>
      </c>
      <c r="I4280" s="26"/>
      <c r="J4280" s="26" t="s">
        <v>512</v>
      </c>
      <c r="K4280" s="25" t="s">
        <v>513</v>
      </c>
    </row>
    <row r="4281" spans="1:11" ht="25.5" x14ac:dyDescent="0.25">
      <c r="A4281" s="22">
        <v>2026</v>
      </c>
      <c r="B4281" s="28" t="s">
        <v>203</v>
      </c>
      <c r="C4281" s="28" t="s">
        <v>97</v>
      </c>
      <c r="D4281" s="28" t="s">
        <v>1747</v>
      </c>
      <c r="E4281" s="29" t="s">
        <v>415</v>
      </c>
      <c r="F4281" s="29" t="s">
        <v>1779</v>
      </c>
      <c r="G4281" s="25" t="s">
        <v>5989</v>
      </c>
      <c r="H4281" s="26">
        <v>-0.26577361920000003</v>
      </c>
      <c r="I4281" s="26"/>
      <c r="J4281" s="26" t="s">
        <v>512</v>
      </c>
      <c r="K4281" s="25" t="s">
        <v>513</v>
      </c>
    </row>
    <row r="4282" spans="1:11" ht="25.5" x14ac:dyDescent="0.25">
      <c r="A4282" s="22">
        <v>2026</v>
      </c>
      <c r="B4282" s="28" t="s">
        <v>203</v>
      </c>
      <c r="C4282" s="28" t="s">
        <v>97</v>
      </c>
      <c r="D4282" s="28" t="s">
        <v>536</v>
      </c>
      <c r="E4282" s="29" t="s">
        <v>558</v>
      </c>
      <c r="F4282" s="29" t="s">
        <v>282</v>
      </c>
      <c r="G4282" s="25" t="s">
        <v>5990</v>
      </c>
      <c r="H4282" s="26">
        <v>-0.39939691379999998</v>
      </c>
      <c r="I4282" s="26"/>
      <c r="J4282" s="26" t="s">
        <v>514</v>
      </c>
      <c r="K4282" s="25" t="s">
        <v>513</v>
      </c>
    </row>
    <row r="4283" spans="1:11" ht="25.5" x14ac:dyDescent="0.25">
      <c r="A4283" s="22">
        <v>2026</v>
      </c>
      <c r="B4283" s="28" t="s">
        <v>203</v>
      </c>
      <c r="C4283" s="28" t="s">
        <v>97</v>
      </c>
      <c r="D4283" s="28" t="s">
        <v>536</v>
      </c>
      <c r="E4283" s="29" t="s">
        <v>558</v>
      </c>
      <c r="F4283" s="29" t="s">
        <v>282</v>
      </c>
      <c r="G4283" s="25" t="s">
        <v>5991</v>
      </c>
      <c r="H4283" s="26">
        <v>-0.39821099999999998</v>
      </c>
      <c r="I4283" s="26"/>
      <c r="J4283" s="26" t="s">
        <v>514</v>
      </c>
      <c r="K4283" s="25" t="s">
        <v>513</v>
      </c>
    </row>
    <row r="4284" spans="1:11" ht="25.5" x14ac:dyDescent="0.25">
      <c r="A4284" s="22">
        <v>2026</v>
      </c>
      <c r="B4284" s="28" t="s">
        <v>203</v>
      </c>
      <c r="C4284" s="28" t="s">
        <v>97</v>
      </c>
      <c r="D4284" s="28" t="s">
        <v>536</v>
      </c>
      <c r="E4284" s="29" t="s">
        <v>558</v>
      </c>
      <c r="F4284" s="29" t="s">
        <v>282</v>
      </c>
      <c r="G4284" s="25" t="s">
        <v>5992</v>
      </c>
      <c r="H4284" s="26">
        <v>-0.39972099999999999</v>
      </c>
      <c r="I4284" s="26"/>
      <c r="J4284" s="26" t="s">
        <v>514</v>
      </c>
      <c r="K4284" s="25" t="s">
        <v>513</v>
      </c>
    </row>
    <row r="4285" spans="1:11" ht="25.5" x14ac:dyDescent="0.25">
      <c r="A4285" s="22">
        <v>2026</v>
      </c>
      <c r="B4285" s="28" t="s">
        <v>203</v>
      </c>
      <c r="C4285" s="28" t="s">
        <v>97</v>
      </c>
      <c r="D4285" s="28" t="s">
        <v>536</v>
      </c>
      <c r="E4285" s="29" t="s">
        <v>558</v>
      </c>
      <c r="F4285" s="29" t="s">
        <v>282</v>
      </c>
      <c r="G4285" s="25" t="s">
        <v>5993</v>
      </c>
      <c r="H4285" s="26">
        <v>-0.39874999999999999</v>
      </c>
      <c r="I4285" s="26"/>
      <c r="J4285" s="26" t="s">
        <v>514</v>
      </c>
      <c r="K4285" s="25" t="s">
        <v>513</v>
      </c>
    </row>
    <row r="4286" spans="1:11" ht="25.5" x14ac:dyDescent="0.25">
      <c r="A4286" s="22">
        <v>2026</v>
      </c>
      <c r="B4286" s="28" t="s">
        <v>203</v>
      </c>
      <c r="C4286" s="28" t="s">
        <v>97</v>
      </c>
      <c r="D4286" s="28" t="s">
        <v>536</v>
      </c>
      <c r="E4286" s="29" t="s">
        <v>558</v>
      </c>
      <c r="F4286" s="29" t="s">
        <v>282</v>
      </c>
      <c r="G4286" s="25" t="s">
        <v>5994</v>
      </c>
      <c r="H4286" s="26">
        <v>-0.39921400000000001</v>
      </c>
      <c r="I4286" s="26"/>
      <c r="J4286" s="26" t="s">
        <v>514</v>
      </c>
      <c r="K4286" s="25" t="s">
        <v>513</v>
      </c>
    </row>
    <row r="4287" spans="1:11" ht="25.5" x14ac:dyDescent="0.25">
      <c r="A4287" s="22">
        <v>2026</v>
      </c>
      <c r="B4287" s="28" t="s">
        <v>203</v>
      </c>
      <c r="C4287" s="28" t="s">
        <v>97</v>
      </c>
      <c r="D4287" s="28" t="s">
        <v>536</v>
      </c>
      <c r="E4287" s="29" t="s">
        <v>558</v>
      </c>
      <c r="F4287" s="29" t="s">
        <v>282</v>
      </c>
      <c r="G4287" s="25" t="s">
        <v>5995</v>
      </c>
      <c r="H4287" s="26">
        <v>-0.39828599999999997</v>
      </c>
      <c r="I4287" s="26"/>
      <c r="J4287" s="26" t="s">
        <v>514</v>
      </c>
      <c r="K4287" s="25" t="s">
        <v>513</v>
      </c>
    </row>
    <row r="4288" spans="1:11" ht="25.5" x14ac:dyDescent="0.25">
      <c r="A4288" s="22">
        <v>2026</v>
      </c>
      <c r="B4288" s="28" t="s">
        <v>203</v>
      </c>
      <c r="C4288" s="28" t="s">
        <v>97</v>
      </c>
      <c r="D4288" s="28" t="s">
        <v>536</v>
      </c>
      <c r="E4288" s="29" t="s">
        <v>558</v>
      </c>
      <c r="F4288" s="29" t="s">
        <v>282</v>
      </c>
      <c r="G4288" s="25" t="s">
        <v>5996</v>
      </c>
      <c r="H4288" s="26">
        <v>-0.39856049999999998</v>
      </c>
      <c r="I4288" s="26"/>
      <c r="J4288" s="26" t="s">
        <v>514</v>
      </c>
      <c r="K4288" s="25" t="s">
        <v>513</v>
      </c>
    </row>
    <row r="4289" spans="1:11" ht="25.5" x14ac:dyDescent="0.25">
      <c r="A4289" s="22">
        <v>2026</v>
      </c>
      <c r="B4289" s="28" t="s">
        <v>203</v>
      </c>
      <c r="C4289" s="28" t="s">
        <v>97</v>
      </c>
      <c r="D4289" s="28" t="s">
        <v>536</v>
      </c>
      <c r="E4289" s="29" t="s">
        <v>558</v>
      </c>
      <c r="F4289" s="29" t="s">
        <v>282</v>
      </c>
      <c r="G4289" s="25" t="s">
        <v>5997</v>
      </c>
      <c r="H4289" s="26">
        <v>-0.39799550000000006</v>
      </c>
      <c r="I4289" s="26"/>
      <c r="J4289" s="26" t="s">
        <v>514</v>
      </c>
      <c r="K4289" s="25" t="s">
        <v>513</v>
      </c>
    </row>
    <row r="4290" spans="1:11" ht="25.5" x14ac:dyDescent="0.25">
      <c r="A4290" s="22">
        <v>2026</v>
      </c>
      <c r="B4290" s="28" t="s">
        <v>203</v>
      </c>
      <c r="C4290" s="28" t="s">
        <v>97</v>
      </c>
      <c r="D4290" s="28" t="s">
        <v>536</v>
      </c>
      <c r="E4290" s="29" t="s">
        <v>558</v>
      </c>
      <c r="F4290" s="29" t="s">
        <v>282</v>
      </c>
      <c r="G4290" s="25" t="s">
        <v>5998</v>
      </c>
      <c r="H4290" s="26">
        <v>-0.39887999999999996</v>
      </c>
      <c r="I4290" s="26"/>
      <c r="J4290" s="26" t="s">
        <v>514</v>
      </c>
      <c r="K4290" s="25" t="s">
        <v>513</v>
      </c>
    </row>
    <row r="4291" spans="1:11" ht="25.5" x14ac:dyDescent="0.25">
      <c r="A4291" s="22">
        <v>2026</v>
      </c>
      <c r="B4291" s="28" t="s">
        <v>203</v>
      </c>
      <c r="C4291" s="28" t="s">
        <v>97</v>
      </c>
      <c r="D4291" s="28" t="s">
        <v>536</v>
      </c>
      <c r="E4291" s="29" t="s">
        <v>558</v>
      </c>
      <c r="F4291" s="29" t="s">
        <v>282</v>
      </c>
      <c r="G4291" s="25" t="s">
        <v>5999</v>
      </c>
      <c r="H4291" s="26">
        <v>-0.3986904</v>
      </c>
      <c r="I4291" s="26"/>
      <c r="J4291" s="26" t="s">
        <v>514</v>
      </c>
      <c r="K4291" s="25" t="s">
        <v>513</v>
      </c>
    </row>
    <row r="4292" spans="1:11" ht="25.5" x14ac:dyDescent="0.25">
      <c r="A4292" s="22">
        <v>2026</v>
      </c>
      <c r="B4292" s="28" t="s">
        <v>203</v>
      </c>
      <c r="C4292" s="28" t="s">
        <v>97</v>
      </c>
      <c r="D4292" s="28" t="s">
        <v>536</v>
      </c>
      <c r="E4292" s="29" t="s">
        <v>558</v>
      </c>
      <c r="F4292" s="29" t="s">
        <v>282</v>
      </c>
      <c r="G4292" s="25" t="s">
        <v>6000</v>
      </c>
      <c r="H4292" s="26">
        <v>-0.39839999999999998</v>
      </c>
      <c r="I4292" s="26"/>
      <c r="J4292" s="26" t="s">
        <v>514</v>
      </c>
      <c r="K4292" s="25" t="s">
        <v>513</v>
      </c>
    </row>
    <row r="4293" spans="1:11" ht="25.5" x14ac:dyDescent="0.25">
      <c r="A4293" s="22">
        <v>2026</v>
      </c>
      <c r="B4293" s="28" t="s">
        <v>203</v>
      </c>
      <c r="C4293" s="28" t="s">
        <v>97</v>
      </c>
      <c r="D4293" s="28" t="s">
        <v>536</v>
      </c>
      <c r="E4293" s="29" t="s">
        <v>558</v>
      </c>
      <c r="F4293" s="29" t="s">
        <v>282</v>
      </c>
      <c r="G4293" s="25" t="s">
        <v>6001</v>
      </c>
      <c r="H4293" s="26">
        <v>-0.39887899999999998</v>
      </c>
      <c r="I4293" s="26"/>
      <c r="J4293" s="26" t="s">
        <v>514</v>
      </c>
      <c r="K4293" s="25" t="s">
        <v>513</v>
      </c>
    </row>
    <row r="4294" spans="1:11" ht="25.5" x14ac:dyDescent="0.25">
      <c r="A4294" s="22">
        <v>2026</v>
      </c>
      <c r="B4294" s="28" t="s">
        <v>203</v>
      </c>
      <c r="C4294" s="28" t="s">
        <v>97</v>
      </c>
      <c r="D4294" s="28" t="s">
        <v>536</v>
      </c>
      <c r="E4294" s="29" t="s">
        <v>558</v>
      </c>
      <c r="F4294" s="29" t="s">
        <v>282</v>
      </c>
      <c r="G4294" s="25" t="s">
        <v>6002</v>
      </c>
      <c r="H4294" s="26">
        <v>-0.3986268</v>
      </c>
      <c r="I4294" s="26"/>
      <c r="J4294" s="26" t="s">
        <v>514</v>
      </c>
      <c r="K4294" s="25" t="s">
        <v>513</v>
      </c>
    </row>
    <row r="4295" spans="1:11" ht="25.5" x14ac:dyDescent="0.25">
      <c r="A4295" s="22">
        <v>2026</v>
      </c>
      <c r="B4295" s="28" t="s">
        <v>203</v>
      </c>
      <c r="C4295" s="28" t="s">
        <v>97</v>
      </c>
      <c r="D4295" s="28" t="s">
        <v>536</v>
      </c>
      <c r="E4295" s="29" t="s">
        <v>558</v>
      </c>
      <c r="F4295" s="29" t="s">
        <v>282</v>
      </c>
      <c r="G4295" s="25" t="s">
        <v>6003</v>
      </c>
      <c r="H4295" s="26">
        <v>-0.39919399999999999</v>
      </c>
      <c r="I4295" s="26"/>
      <c r="J4295" s="26" t="s">
        <v>514</v>
      </c>
      <c r="K4295" s="25" t="s">
        <v>513</v>
      </c>
    </row>
    <row r="4296" spans="1:11" ht="25.5" x14ac:dyDescent="0.25">
      <c r="A4296" s="22">
        <v>2026</v>
      </c>
      <c r="B4296" s="28" t="s">
        <v>203</v>
      </c>
      <c r="C4296" s="28" t="s">
        <v>97</v>
      </c>
      <c r="D4296" s="28" t="s">
        <v>536</v>
      </c>
      <c r="E4296" s="29" t="s">
        <v>558</v>
      </c>
      <c r="F4296" s="29" t="s">
        <v>282</v>
      </c>
      <c r="G4296" s="25" t="s">
        <v>6004</v>
      </c>
      <c r="H4296" s="26">
        <v>-0.39978399999999997</v>
      </c>
      <c r="I4296" s="26"/>
      <c r="J4296" s="26" t="s">
        <v>514</v>
      </c>
      <c r="K4296" s="25" t="s">
        <v>513</v>
      </c>
    </row>
    <row r="4297" spans="1:11" ht="25.5" x14ac:dyDescent="0.25">
      <c r="A4297" s="22">
        <v>2026</v>
      </c>
      <c r="B4297" s="28" t="s">
        <v>203</v>
      </c>
      <c r="C4297" s="28" t="s">
        <v>97</v>
      </c>
      <c r="D4297" s="28" t="s">
        <v>536</v>
      </c>
      <c r="E4297" s="29" t="s">
        <v>558</v>
      </c>
      <c r="F4297" s="29" t="s">
        <v>282</v>
      </c>
      <c r="G4297" s="25" t="s">
        <v>6005</v>
      </c>
      <c r="H4297" s="26">
        <v>-0.39928079999999999</v>
      </c>
      <c r="I4297" s="26"/>
      <c r="J4297" s="26" t="s">
        <v>514</v>
      </c>
      <c r="K4297" s="25" t="s">
        <v>513</v>
      </c>
    </row>
    <row r="4298" spans="1:11" ht="25.5" x14ac:dyDescent="0.25">
      <c r="A4298" s="22">
        <v>2026</v>
      </c>
      <c r="B4298" s="28" t="s">
        <v>203</v>
      </c>
      <c r="C4298" s="28" t="s">
        <v>97</v>
      </c>
      <c r="D4298" s="28" t="s">
        <v>536</v>
      </c>
      <c r="E4298" s="29" t="s">
        <v>558</v>
      </c>
      <c r="F4298" s="29" t="s">
        <v>282</v>
      </c>
      <c r="G4298" s="25" t="s">
        <v>6006</v>
      </c>
      <c r="H4298" s="26">
        <v>-0.39916859999999998</v>
      </c>
      <c r="I4298" s="26"/>
      <c r="J4298" s="26" t="s">
        <v>514</v>
      </c>
      <c r="K4298" s="25" t="s">
        <v>513</v>
      </c>
    </row>
    <row r="4299" spans="1:11" ht="25.5" x14ac:dyDescent="0.25">
      <c r="A4299" s="22">
        <v>2026</v>
      </c>
      <c r="B4299" s="28" t="s">
        <v>203</v>
      </c>
      <c r="C4299" s="28" t="s">
        <v>97</v>
      </c>
      <c r="D4299" s="28" t="s">
        <v>536</v>
      </c>
      <c r="E4299" s="29" t="s">
        <v>558</v>
      </c>
      <c r="F4299" s="29" t="s">
        <v>282</v>
      </c>
      <c r="G4299" s="25" t="s">
        <v>6007</v>
      </c>
      <c r="H4299" s="26">
        <v>-0.39939940000000002</v>
      </c>
      <c r="I4299" s="26"/>
      <c r="J4299" s="26" t="s">
        <v>514</v>
      </c>
      <c r="K4299" s="25" t="s">
        <v>513</v>
      </c>
    </row>
    <row r="4300" spans="1:11" ht="25.5" x14ac:dyDescent="0.25">
      <c r="A4300" s="22">
        <v>2026</v>
      </c>
      <c r="B4300" s="28" t="s">
        <v>203</v>
      </c>
      <c r="C4300" s="28" t="s">
        <v>97</v>
      </c>
      <c r="D4300" s="28" t="s">
        <v>536</v>
      </c>
      <c r="E4300" s="29" t="s">
        <v>558</v>
      </c>
      <c r="F4300" s="29" t="s">
        <v>282</v>
      </c>
      <c r="G4300" s="25" t="s">
        <v>6008</v>
      </c>
      <c r="H4300" s="26">
        <v>-0.400084</v>
      </c>
      <c r="I4300" s="26"/>
      <c r="J4300" s="26" t="s">
        <v>514</v>
      </c>
      <c r="K4300" s="25" t="s">
        <v>513</v>
      </c>
    </row>
    <row r="4301" spans="1:11" ht="25.5" x14ac:dyDescent="0.25">
      <c r="A4301" s="22">
        <v>2026</v>
      </c>
      <c r="B4301" s="28" t="s">
        <v>203</v>
      </c>
      <c r="C4301" s="28" t="s">
        <v>97</v>
      </c>
      <c r="D4301" s="28" t="s">
        <v>536</v>
      </c>
      <c r="E4301" s="29" t="s">
        <v>558</v>
      </c>
      <c r="F4301" s="29" t="s">
        <v>282</v>
      </c>
      <c r="G4301" s="25" t="s">
        <v>6009</v>
      </c>
      <c r="H4301" s="26">
        <v>-0.39979399999999998</v>
      </c>
      <c r="I4301" s="26"/>
      <c r="J4301" s="26" t="s">
        <v>514</v>
      </c>
      <c r="K4301" s="25" t="s">
        <v>513</v>
      </c>
    </row>
    <row r="4302" spans="1:11" ht="25.5" x14ac:dyDescent="0.25">
      <c r="A4302" s="22">
        <v>2026</v>
      </c>
      <c r="B4302" s="28" t="s">
        <v>203</v>
      </c>
      <c r="C4302" s="28" t="s">
        <v>97</v>
      </c>
      <c r="D4302" s="28" t="s">
        <v>1749</v>
      </c>
      <c r="E4302" s="29" t="s">
        <v>1780</v>
      </c>
      <c r="F4302" s="29" t="s">
        <v>343</v>
      </c>
      <c r="G4302" s="25" t="s">
        <v>6010</v>
      </c>
      <c r="H4302" s="26">
        <v>-2.1499999999999998E-2</v>
      </c>
      <c r="I4302" s="26"/>
      <c r="J4302" s="26" t="s">
        <v>512</v>
      </c>
      <c r="K4302" s="25" t="s">
        <v>513</v>
      </c>
    </row>
    <row r="4303" spans="1:11" ht="25.5" x14ac:dyDescent="0.25">
      <c r="A4303" s="22">
        <v>2026</v>
      </c>
      <c r="B4303" s="28" t="s">
        <v>203</v>
      </c>
      <c r="C4303" s="28" t="s">
        <v>97</v>
      </c>
      <c r="D4303" s="28" t="s">
        <v>1749</v>
      </c>
      <c r="E4303" s="29" t="s">
        <v>1780</v>
      </c>
      <c r="F4303" s="29" t="s">
        <v>343</v>
      </c>
      <c r="G4303" s="25" t="s">
        <v>6011</v>
      </c>
      <c r="H4303" s="26">
        <v>-2.1669999999999998E-2</v>
      </c>
      <c r="I4303" s="26"/>
      <c r="J4303" s="26" t="s">
        <v>512</v>
      </c>
      <c r="K4303" s="25" t="s">
        <v>513</v>
      </c>
    </row>
    <row r="4304" spans="1:11" ht="25.5" x14ac:dyDescent="0.25">
      <c r="A4304" s="22">
        <v>2026</v>
      </c>
      <c r="B4304" s="28" t="s">
        <v>203</v>
      </c>
      <c r="C4304" s="28" t="s">
        <v>97</v>
      </c>
      <c r="D4304" s="28" t="s">
        <v>1749</v>
      </c>
      <c r="E4304" s="29" t="s">
        <v>1780</v>
      </c>
      <c r="F4304" s="29" t="s">
        <v>343</v>
      </c>
      <c r="G4304" s="25" t="s">
        <v>6012</v>
      </c>
      <c r="H4304" s="26">
        <v>-5.4600000000000003E-2</v>
      </c>
      <c r="I4304" s="26"/>
      <c r="J4304" s="26" t="s">
        <v>512</v>
      </c>
      <c r="K4304" s="25" t="s">
        <v>513</v>
      </c>
    </row>
    <row r="4305" spans="1:11" ht="25.5" x14ac:dyDescent="0.25">
      <c r="A4305" s="22">
        <v>2026</v>
      </c>
      <c r="B4305" s="28" t="s">
        <v>203</v>
      </c>
      <c r="C4305" s="28" t="s">
        <v>97</v>
      </c>
      <c r="D4305" s="28" t="s">
        <v>255</v>
      </c>
      <c r="E4305" s="29" t="s">
        <v>255</v>
      </c>
      <c r="F4305" s="29" t="s">
        <v>325</v>
      </c>
      <c r="G4305" s="25" t="s">
        <v>6013</v>
      </c>
      <c r="H4305" s="26">
        <v>-0.53200000000000003</v>
      </c>
      <c r="I4305" s="26"/>
      <c r="J4305" s="26" t="s">
        <v>512</v>
      </c>
      <c r="K4305" s="25" t="s">
        <v>513</v>
      </c>
    </row>
    <row r="4306" spans="1:11" ht="25.5" x14ac:dyDescent="0.25">
      <c r="A4306" s="22">
        <v>2026</v>
      </c>
      <c r="B4306" s="28" t="s">
        <v>203</v>
      </c>
      <c r="C4306" s="28" t="s">
        <v>97</v>
      </c>
      <c r="D4306" s="28" t="s">
        <v>255</v>
      </c>
      <c r="E4306" s="29" t="s">
        <v>255</v>
      </c>
      <c r="F4306" s="29" t="s">
        <v>325</v>
      </c>
      <c r="G4306" s="25" t="s">
        <v>6014</v>
      </c>
      <c r="H4306" s="26">
        <v>-0.86360000000000003</v>
      </c>
      <c r="I4306" s="26"/>
      <c r="J4306" s="26" t="s">
        <v>512</v>
      </c>
      <c r="K4306" s="25" t="s">
        <v>513</v>
      </c>
    </row>
    <row r="4307" spans="1:11" ht="25.5" x14ac:dyDescent="0.25">
      <c r="A4307" s="22">
        <v>2026</v>
      </c>
      <c r="B4307" s="28" t="s">
        <v>203</v>
      </c>
      <c r="C4307" s="28" t="s">
        <v>97</v>
      </c>
      <c r="D4307" s="28" t="s">
        <v>255</v>
      </c>
      <c r="E4307" s="29" t="s">
        <v>255</v>
      </c>
      <c r="F4307" s="29" t="s">
        <v>325</v>
      </c>
      <c r="G4307" s="25" t="s">
        <v>6015</v>
      </c>
      <c r="H4307" s="26">
        <v>-4.2732339000000001</v>
      </c>
      <c r="I4307" s="26"/>
      <c r="J4307" s="26" t="s">
        <v>512</v>
      </c>
      <c r="K4307" s="25" t="s">
        <v>513</v>
      </c>
    </row>
    <row r="4308" spans="1:11" ht="25.5" x14ac:dyDescent="0.25">
      <c r="A4308" s="22">
        <v>2026</v>
      </c>
      <c r="B4308" s="28" t="s">
        <v>203</v>
      </c>
      <c r="C4308" s="28" t="s">
        <v>97</v>
      </c>
      <c r="D4308" s="28" t="s">
        <v>255</v>
      </c>
      <c r="E4308" s="29" t="s">
        <v>255</v>
      </c>
      <c r="F4308" s="29" t="s">
        <v>325</v>
      </c>
      <c r="G4308" s="25" t="s">
        <v>6016</v>
      </c>
      <c r="H4308" s="26">
        <v>-0.21829999999999997</v>
      </c>
      <c r="I4308" s="26"/>
      <c r="J4308" s="26" t="s">
        <v>512</v>
      </c>
      <c r="K4308" s="25" t="s">
        <v>513</v>
      </c>
    </row>
    <row r="4309" spans="1:11" ht="25.5" x14ac:dyDescent="0.25">
      <c r="A4309" s="22">
        <v>2026</v>
      </c>
      <c r="B4309" s="28" t="s">
        <v>203</v>
      </c>
      <c r="C4309" s="28" t="s">
        <v>97</v>
      </c>
      <c r="D4309" s="28" t="s">
        <v>255</v>
      </c>
      <c r="E4309" s="29" t="s">
        <v>255</v>
      </c>
      <c r="F4309" s="29" t="s">
        <v>325</v>
      </c>
      <c r="G4309" s="25" t="s">
        <v>6017</v>
      </c>
      <c r="H4309" s="26">
        <v>-0.22040000000000001</v>
      </c>
      <c r="I4309" s="26"/>
      <c r="J4309" s="26" t="s">
        <v>512</v>
      </c>
      <c r="K4309" s="25" t="s">
        <v>513</v>
      </c>
    </row>
    <row r="4310" spans="1:11" ht="25.5" x14ac:dyDescent="0.25">
      <c r="A4310" s="22">
        <v>2026</v>
      </c>
      <c r="B4310" s="28" t="s">
        <v>203</v>
      </c>
      <c r="C4310" s="28" t="s">
        <v>97</v>
      </c>
      <c r="D4310" s="28" t="s">
        <v>255</v>
      </c>
      <c r="E4310" s="29" t="s">
        <v>255</v>
      </c>
      <c r="F4310" s="29" t="s">
        <v>325</v>
      </c>
      <c r="G4310" s="25" t="s">
        <v>6018</v>
      </c>
      <c r="H4310" s="26">
        <v>-0.70399999999999996</v>
      </c>
      <c r="I4310" s="26"/>
      <c r="J4310" s="26" t="s">
        <v>512</v>
      </c>
      <c r="K4310" s="25" t="s">
        <v>513</v>
      </c>
    </row>
    <row r="4311" spans="1:11" ht="25.5" x14ac:dyDescent="0.25">
      <c r="A4311" s="22">
        <v>2026</v>
      </c>
      <c r="B4311" s="28" t="s">
        <v>203</v>
      </c>
      <c r="C4311" s="28" t="s">
        <v>97</v>
      </c>
      <c r="D4311" s="28" t="s">
        <v>255</v>
      </c>
      <c r="E4311" s="29" t="s">
        <v>255</v>
      </c>
      <c r="F4311" s="29" t="s">
        <v>325</v>
      </c>
      <c r="G4311" s="25" t="s">
        <v>6019</v>
      </c>
      <c r="H4311" s="26">
        <v>-0.14329919999999999</v>
      </c>
      <c r="I4311" s="26"/>
      <c r="J4311" s="26" t="s">
        <v>512</v>
      </c>
      <c r="K4311" s="25" t="s">
        <v>513</v>
      </c>
    </row>
    <row r="4312" spans="1:11" ht="25.5" x14ac:dyDescent="0.25">
      <c r="A4312" s="22">
        <v>2026</v>
      </c>
      <c r="B4312" s="28" t="s">
        <v>203</v>
      </c>
      <c r="C4312" s="28" t="s">
        <v>97</v>
      </c>
      <c r="D4312" s="28" t="s">
        <v>255</v>
      </c>
      <c r="E4312" s="29" t="s">
        <v>255</v>
      </c>
      <c r="F4312" s="29" t="s">
        <v>325</v>
      </c>
      <c r="G4312" s="25" t="s">
        <v>6020</v>
      </c>
      <c r="H4312" s="26">
        <v>-0.44119999999999998</v>
      </c>
      <c r="I4312" s="26"/>
      <c r="J4312" s="26" t="s">
        <v>512</v>
      </c>
      <c r="K4312" s="25" t="s">
        <v>513</v>
      </c>
    </row>
    <row r="4313" spans="1:11" ht="25.5" x14ac:dyDescent="0.25">
      <c r="A4313" s="22">
        <v>2026</v>
      </c>
      <c r="B4313" s="28" t="s">
        <v>203</v>
      </c>
      <c r="C4313" s="28" t="s">
        <v>97</v>
      </c>
      <c r="D4313" s="28" t="s">
        <v>255</v>
      </c>
      <c r="E4313" s="29" t="s">
        <v>255</v>
      </c>
      <c r="F4313" s="29" t="s">
        <v>325</v>
      </c>
      <c r="G4313" s="25" t="s">
        <v>6021</v>
      </c>
      <c r="H4313" s="26">
        <v>-0.29594214999999996</v>
      </c>
      <c r="I4313" s="26"/>
      <c r="J4313" s="26" t="s">
        <v>512</v>
      </c>
      <c r="K4313" s="25" t="s">
        <v>513</v>
      </c>
    </row>
    <row r="4314" spans="1:11" ht="25.5" x14ac:dyDescent="0.25">
      <c r="A4314" s="22">
        <v>2026</v>
      </c>
      <c r="B4314" s="28" t="s">
        <v>203</v>
      </c>
      <c r="C4314" s="28" t="s">
        <v>97</v>
      </c>
      <c r="D4314" s="28" t="s">
        <v>255</v>
      </c>
      <c r="E4314" s="29" t="s">
        <v>255</v>
      </c>
      <c r="F4314" s="29" t="s">
        <v>325</v>
      </c>
      <c r="G4314" s="25" t="s">
        <v>6022</v>
      </c>
      <c r="H4314" s="26">
        <v>-2.4277000000000002</v>
      </c>
      <c r="I4314" s="26"/>
      <c r="J4314" s="26" t="s">
        <v>512</v>
      </c>
      <c r="K4314" s="25" t="s">
        <v>513</v>
      </c>
    </row>
    <row r="4315" spans="1:11" ht="25.5" x14ac:dyDescent="0.25">
      <c r="A4315" s="22">
        <v>2026</v>
      </c>
      <c r="B4315" s="28" t="s">
        <v>203</v>
      </c>
      <c r="C4315" s="28" t="s">
        <v>97</v>
      </c>
      <c r="D4315" s="28" t="s">
        <v>255</v>
      </c>
      <c r="E4315" s="29" t="s">
        <v>255</v>
      </c>
      <c r="F4315" s="29" t="s">
        <v>325</v>
      </c>
      <c r="G4315" s="25" t="s">
        <v>3584</v>
      </c>
      <c r="H4315" s="26">
        <v>-0.43780000000000002</v>
      </c>
      <c r="I4315" s="26"/>
      <c r="J4315" s="26" t="s">
        <v>512</v>
      </c>
      <c r="K4315" s="25" t="s">
        <v>513</v>
      </c>
    </row>
    <row r="4316" spans="1:11" ht="25.5" x14ac:dyDescent="0.25">
      <c r="A4316" s="22">
        <v>2026</v>
      </c>
      <c r="B4316" s="28" t="s">
        <v>203</v>
      </c>
      <c r="C4316" s="28" t="s">
        <v>97</v>
      </c>
      <c r="D4316" s="28" t="s">
        <v>255</v>
      </c>
      <c r="E4316" s="29" t="s">
        <v>255</v>
      </c>
      <c r="F4316" s="29" t="s">
        <v>325</v>
      </c>
      <c r="G4316" s="25" t="s">
        <v>6023</v>
      </c>
      <c r="H4316" s="26">
        <v>-0.76790000000000003</v>
      </c>
      <c r="I4316" s="26"/>
      <c r="J4316" s="26" t="s">
        <v>512</v>
      </c>
      <c r="K4316" s="25" t="s">
        <v>513</v>
      </c>
    </row>
    <row r="4317" spans="1:11" ht="25.5" x14ac:dyDescent="0.25">
      <c r="A4317" s="22">
        <v>2026</v>
      </c>
      <c r="B4317" s="28" t="s">
        <v>203</v>
      </c>
      <c r="C4317" s="28" t="s">
        <v>97</v>
      </c>
      <c r="D4317" s="28" t="s">
        <v>243</v>
      </c>
      <c r="E4317" s="29" t="s">
        <v>1799</v>
      </c>
      <c r="F4317" s="29" t="s">
        <v>343</v>
      </c>
      <c r="G4317" s="25" t="s">
        <v>6024</v>
      </c>
      <c r="H4317" s="26">
        <v>-0.27810000000000001</v>
      </c>
      <c r="I4317" s="26"/>
      <c r="J4317" s="26" t="s">
        <v>514</v>
      </c>
      <c r="K4317" s="25" t="s">
        <v>513</v>
      </c>
    </row>
    <row r="4318" spans="1:11" ht="25.5" x14ac:dyDescent="0.25">
      <c r="A4318" s="22">
        <v>2026</v>
      </c>
      <c r="B4318" s="28" t="s">
        <v>203</v>
      </c>
      <c r="C4318" s="28" t="s">
        <v>97</v>
      </c>
      <c r="D4318" s="28" t="s">
        <v>243</v>
      </c>
      <c r="E4318" s="29" t="s">
        <v>1799</v>
      </c>
      <c r="F4318" s="29" t="s">
        <v>343</v>
      </c>
      <c r="G4318" s="25" t="s">
        <v>6025</v>
      </c>
      <c r="H4318" s="26">
        <v>-2.1343999999999998E-2</v>
      </c>
      <c r="I4318" s="26"/>
      <c r="J4318" s="26" t="s">
        <v>514</v>
      </c>
      <c r="K4318" s="25" t="s">
        <v>513</v>
      </c>
    </row>
    <row r="4319" spans="1:11" ht="25.5" x14ac:dyDescent="0.25">
      <c r="A4319" s="22">
        <v>2026</v>
      </c>
      <c r="B4319" s="28" t="s">
        <v>203</v>
      </c>
      <c r="C4319" s="28" t="s">
        <v>97</v>
      </c>
      <c r="D4319" s="28" t="s">
        <v>243</v>
      </c>
      <c r="E4319" s="29" t="s">
        <v>1799</v>
      </c>
      <c r="F4319" s="29" t="s">
        <v>343</v>
      </c>
      <c r="G4319" s="25" t="s">
        <v>6026</v>
      </c>
      <c r="H4319" s="26">
        <v>-4.2562000000000003E-2</v>
      </c>
      <c r="I4319" s="26"/>
      <c r="J4319" s="26" t="s">
        <v>514</v>
      </c>
      <c r="K4319" s="25" t="s">
        <v>513</v>
      </c>
    </row>
    <row r="4320" spans="1:11" ht="25.5" x14ac:dyDescent="0.25">
      <c r="A4320" s="22">
        <v>2026</v>
      </c>
      <c r="B4320" s="28" t="s">
        <v>203</v>
      </c>
      <c r="C4320" s="28" t="s">
        <v>97</v>
      </c>
      <c r="D4320" s="28" t="s">
        <v>243</v>
      </c>
      <c r="E4320" s="29" t="s">
        <v>1799</v>
      </c>
      <c r="F4320" s="29" t="s">
        <v>343</v>
      </c>
      <c r="G4320" s="25" t="s">
        <v>6027</v>
      </c>
      <c r="H4320" s="26">
        <v>-5.3499999999999999E-2</v>
      </c>
      <c r="I4320" s="26"/>
      <c r="J4320" s="26" t="s">
        <v>514</v>
      </c>
      <c r="K4320" s="25" t="s">
        <v>513</v>
      </c>
    </row>
    <row r="4321" spans="1:11" ht="25.5" x14ac:dyDescent="0.25">
      <c r="A4321" s="22">
        <v>2026</v>
      </c>
      <c r="B4321" s="28" t="s">
        <v>203</v>
      </c>
      <c r="C4321" s="28" t="s">
        <v>97</v>
      </c>
      <c r="D4321" s="28" t="s">
        <v>243</v>
      </c>
      <c r="E4321" s="29" t="s">
        <v>1799</v>
      </c>
      <c r="F4321" s="29" t="s">
        <v>343</v>
      </c>
      <c r="G4321" s="25" t="s">
        <v>6028</v>
      </c>
      <c r="H4321" s="26">
        <v>-5.3999999999999999E-2</v>
      </c>
      <c r="I4321" s="26"/>
      <c r="J4321" s="26" t="s">
        <v>514</v>
      </c>
      <c r="K4321" s="25" t="s">
        <v>513</v>
      </c>
    </row>
    <row r="4322" spans="1:11" ht="25.5" x14ac:dyDescent="0.25">
      <c r="A4322" s="22">
        <v>2026</v>
      </c>
      <c r="B4322" s="28" t="s">
        <v>203</v>
      </c>
      <c r="C4322" s="28" t="s">
        <v>97</v>
      </c>
      <c r="D4322" s="28" t="s">
        <v>243</v>
      </c>
      <c r="E4322" s="29" t="s">
        <v>1799</v>
      </c>
      <c r="F4322" s="29" t="s">
        <v>343</v>
      </c>
      <c r="G4322" s="25" t="s">
        <v>6029</v>
      </c>
      <c r="H4322" s="26">
        <v>-0.19980000000000003</v>
      </c>
      <c r="I4322" s="26"/>
      <c r="J4322" s="26" t="s">
        <v>514</v>
      </c>
      <c r="K4322" s="25" t="s">
        <v>513</v>
      </c>
    </row>
    <row r="4323" spans="1:11" ht="25.5" x14ac:dyDescent="0.25">
      <c r="A4323" s="22">
        <v>2026</v>
      </c>
      <c r="B4323" s="28" t="s">
        <v>203</v>
      </c>
      <c r="C4323" s="28" t="s">
        <v>97</v>
      </c>
      <c r="D4323" s="28" t="s">
        <v>227</v>
      </c>
      <c r="E4323" s="29" t="s">
        <v>416</v>
      </c>
      <c r="F4323" s="29" t="s">
        <v>350</v>
      </c>
      <c r="G4323" s="25" t="s">
        <v>6030</v>
      </c>
      <c r="H4323" s="26">
        <v>-0.15073592999999899</v>
      </c>
      <c r="I4323" s="26"/>
      <c r="J4323" s="26" t="s">
        <v>514</v>
      </c>
      <c r="K4323" s="25" t="s">
        <v>513</v>
      </c>
    </row>
    <row r="4324" spans="1:11" ht="25.5" x14ac:dyDescent="0.25">
      <c r="A4324" s="22">
        <v>2026</v>
      </c>
      <c r="B4324" s="28" t="s">
        <v>203</v>
      </c>
      <c r="C4324" s="28" t="s">
        <v>97</v>
      </c>
      <c r="D4324" s="28" t="s">
        <v>227</v>
      </c>
      <c r="E4324" s="29" t="s">
        <v>416</v>
      </c>
      <c r="F4324" s="29" t="s">
        <v>350</v>
      </c>
      <c r="G4324" s="25" t="s">
        <v>6031</v>
      </c>
      <c r="H4324" s="26">
        <v>-0.153271089999999</v>
      </c>
      <c r="I4324" s="26"/>
      <c r="J4324" s="26" t="s">
        <v>514</v>
      </c>
      <c r="K4324" s="25" t="s">
        <v>513</v>
      </c>
    </row>
    <row r="4325" spans="1:11" ht="25.5" x14ac:dyDescent="0.25">
      <c r="A4325" s="22">
        <v>2026</v>
      </c>
      <c r="B4325" s="28" t="s">
        <v>203</v>
      </c>
      <c r="C4325" s="28" t="s">
        <v>97</v>
      </c>
      <c r="D4325" s="28" t="s">
        <v>227</v>
      </c>
      <c r="E4325" s="29" t="s">
        <v>416</v>
      </c>
      <c r="F4325" s="29" t="s">
        <v>350</v>
      </c>
      <c r="G4325" s="25" t="s">
        <v>6032</v>
      </c>
      <c r="H4325" s="26">
        <v>-7.6246919999999996E-2</v>
      </c>
      <c r="I4325" s="26"/>
      <c r="J4325" s="26" t="s">
        <v>514</v>
      </c>
      <c r="K4325" s="25" t="s">
        <v>513</v>
      </c>
    </row>
    <row r="4326" spans="1:11" ht="25.5" x14ac:dyDescent="0.25">
      <c r="A4326" s="22">
        <v>2026</v>
      </c>
      <c r="B4326" s="28" t="s">
        <v>203</v>
      </c>
      <c r="C4326" s="28" t="s">
        <v>97</v>
      </c>
      <c r="D4326" s="28" t="s">
        <v>227</v>
      </c>
      <c r="E4326" s="29" t="s">
        <v>416</v>
      </c>
      <c r="F4326" s="29" t="s">
        <v>350</v>
      </c>
      <c r="G4326" s="25" t="s">
        <v>6033</v>
      </c>
      <c r="H4326" s="26">
        <v>-0.15936440499999902</v>
      </c>
      <c r="I4326" s="26"/>
      <c r="J4326" s="26" t="s">
        <v>514</v>
      </c>
      <c r="K4326" s="25" t="s">
        <v>513</v>
      </c>
    </row>
    <row r="4327" spans="1:11" ht="25.5" x14ac:dyDescent="0.25">
      <c r="A4327" s="22">
        <v>2026</v>
      </c>
      <c r="B4327" s="28" t="s">
        <v>203</v>
      </c>
      <c r="C4327" s="28" t="s">
        <v>97</v>
      </c>
      <c r="D4327" s="28" t="s">
        <v>227</v>
      </c>
      <c r="E4327" s="29" t="s">
        <v>416</v>
      </c>
      <c r="F4327" s="29" t="s">
        <v>350</v>
      </c>
      <c r="G4327" s="25" t="s">
        <v>6034</v>
      </c>
      <c r="H4327" s="26">
        <v>-0.12680381195999998</v>
      </c>
      <c r="I4327" s="26"/>
      <c r="J4327" s="26" t="s">
        <v>514</v>
      </c>
      <c r="K4327" s="25" t="s">
        <v>513</v>
      </c>
    </row>
    <row r="4328" spans="1:11" ht="25.5" x14ac:dyDescent="0.25">
      <c r="A4328" s="22">
        <v>2026</v>
      </c>
      <c r="B4328" s="28" t="s">
        <v>203</v>
      </c>
      <c r="C4328" s="28" t="s">
        <v>97</v>
      </c>
      <c r="D4328" s="28" t="s">
        <v>227</v>
      </c>
      <c r="E4328" s="29" t="s">
        <v>416</v>
      </c>
      <c r="F4328" s="29" t="s">
        <v>350</v>
      </c>
      <c r="G4328" s="25" t="s">
        <v>6035</v>
      </c>
      <c r="H4328" s="26">
        <v>-0.42282211250000001</v>
      </c>
      <c r="I4328" s="26"/>
      <c r="J4328" s="26" t="s">
        <v>514</v>
      </c>
      <c r="K4328" s="25" t="s">
        <v>513</v>
      </c>
    </row>
    <row r="4329" spans="1:11" ht="25.5" x14ac:dyDescent="0.25">
      <c r="A4329" s="22">
        <v>2026</v>
      </c>
      <c r="B4329" s="28" t="s">
        <v>203</v>
      </c>
      <c r="C4329" s="28" t="s">
        <v>97</v>
      </c>
      <c r="D4329" s="28" t="s">
        <v>227</v>
      </c>
      <c r="E4329" s="29" t="s">
        <v>416</v>
      </c>
      <c r="F4329" s="29" t="s">
        <v>350</v>
      </c>
      <c r="G4329" s="25" t="s">
        <v>6036</v>
      </c>
      <c r="H4329" s="26">
        <v>-0.41847289999999748</v>
      </c>
      <c r="I4329" s="26"/>
      <c r="J4329" s="26" t="s">
        <v>514</v>
      </c>
      <c r="K4329" s="25" t="s">
        <v>513</v>
      </c>
    </row>
    <row r="4330" spans="1:11" ht="25.5" x14ac:dyDescent="0.25">
      <c r="A4330" s="22">
        <v>2026</v>
      </c>
      <c r="B4330" s="28" t="s">
        <v>203</v>
      </c>
      <c r="C4330" s="28" t="s">
        <v>97</v>
      </c>
      <c r="D4330" s="28" t="s">
        <v>227</v>
      </c>
      <c r="E4330" s="29" t="s">
        <v>416</v>
      </c>
      <c r="F4330" s="29" t="s">
        <v>350</v>
      </c>
      <c r="G4330" s="25" t="s">
        <v>6037</v>
      </c>
      <c r="H4330" s="26">
        <v>-0.40942904999999996</v>
      </c>
      <c r="I4330" s="26"/>
      <c r="J4330" s="26" t="s">
        <v>514</v>
      </c>
      <c r="K4330" s="25" t="s">
        <v>513</v>
      </c>
    </row>
    <row r="4331" spans="1:11" ht="25.5" x14ac:dyDescent="0.25">
      <c r="A4331" s="22">
        <v>2026</v>
      </c>
      <c r="B4331" s="28" t="s">
        <v>203</v>
      </c>
      <c r="C4331" s="28" t="s">
        <v>97</v>
      </c>
      <c r="D4331" s="28" t="s">
        <v>227</v>
      </c>
      <c r="E4331" s="29" t="s">
        <v>416</v>
      </c>
      <c r="F4331" s="29" t="s">
        <v>350</v>
      </c>
      <c r="G4331" s="25" t="s">
        <v>6038</v>
      </c>
      <c r="H4331" s="26">
        <v>-0.40936382499999752</v>
      </c>
      <c r="I4331" s="26"/>
      <c r="J4331" s="26" t="s">
        <v>514</v>
      </c>
      <c r="K4331" s="25" t="s">
        <v>513</v>
      </c>
    </row>
    <row r="4332" spans="1:11" ht="25.5" x14ac:dyDescent="0.25">
      <c r="A4332" s="22">
        <v>2026</v>
      </c>
      <c r="B4332" s="28" t="s">
        <v>203</v>
      </c>
      <c r="C4332" s="28" t="s">
        <v>97</v>
      </c>
      <c r="D4332" s="28" t="s">
        <v>227</v>
      </c>
      <c r="E4332" s="29" t="s">
        <v>416</v>
      </c>
      <c r="F4332" s="29" t="s">
        <v>350</v>
      </c>
      <c r="G4332" s="25" t="s">
        <v>6039</v>
      </c>
      <c r="H4332" s="26">
        <v>-0.40551134999999999</v>
      </c>
      <c r="I4332" s="26"/>
      <c r="J4332" s="26" t="s">
        <v>514</v>
      </c>
      <c r="K4332" s="25" t="s">
        <v>513</v>
      </c>
    </row>
    <row r="4333" spans="1:11" ht="25.5" x14ac:dyDescent="0.25">
      <c r="A4333" s="22">
        <v>2026</v>
      </c>
      <c r="B4333" s="28" t="s">
        <v>203</v>
      </c>
      <c r="C4333" s="28" t="s">
        <v>97</v>
      </c>
      <c r="D4333" s="28" t="s">
        <v>270</v>
      </c>
      <c r="E4333" s="29" t="s">
        <v>485</v>
      </c>
      <c r="F4333" s="29" t="s">
        <v>494</v>
      </c>
      <c r="G4333" s="25" t="s">
        <v>6040</v>
      </c>
      <c r="H4333" s="26">
        <v>-1.098820605</v>
      </c>
      <c r="I4333" s="26"/>
      <c r="J4333" s="26" t="s">
        <v>512</v>
      </c>
      <c r="K4333" s="25" t="s">
        <v>513</v>
      </c>
    </row>
    <row r="4334" spans="1:11" ht="25.5" x14ac:dyDescent="0.25">
      <c r="A4334" s="22">
        <v>2026</v>
      </c>
      <c r="B4334" s="28" t="s">
        <v>203</v>
      </c>
      <c r="C4334" s="28" t="s">
        <v>97</v>
      </c>
      <c r="D4334" s="28" t="s">
        <v>270</v>
      </c>
      <c r="E4334" s="29" t="s">
        <v>485</v>
      </c>
      <c r="F4334" s="29" t="s">
        <v>494</v>
      </c>
      <c r="G4334" s="25" t="s">
        <v>6041</v>
      </c>
      <c r="H4334" s="26">
        <v>-0.22854847750000001</v>
      </c>
      <c r="I4334" s="26"/>
      <c r="J4334" s="26" t="s">
        <v>512</v>
      </c>
      <c r="K4334" s="25" t="s">
        <v>513</v>
      </c>
    </row>
    <row r="4335" spans="1:11" ht="25.5" x14ac:dyDescent="0.25">
      <c r="A4335" s="22">
        <v>2026</v>
      </c>
      <c r="B4335" s="28" t="s">
        <v>203</v>
      </c>
      <c r="C4335" s="28" t="s">
        <v>97</v>
      </c>
      <c r="D4335" s="28" t="s">
        <v>270</v>
      </c>
      <c r="E4335" s="29" t="s">
        <v>485</v>
      </c>
      <c r="F4335" s="29" t="s">
        <v>494</v>
      </c>
      <c r="G4335" s="25" t="s">
        <v>6042</v>
      </c>
      <c r="H4335" s="26">
        <v>-0.20257452299999998</v>
      </c>
      <c r="I4335" s="26"/>
      <c r="J4335" s="26" t="s">
        <v>512</v>
      </c>
      <c r="K4335" s="25" t="s">
        <v>513</v>
      </c>
    </row>
    <row r="4336" spans="1:11" ht="25.5" x14ac:dyDescent="0.25">
      <c r="A4336" s="22">
        <v>2026</v>
      </c>
      <c r="B4336" s="28" t="s">
        <v>203</v>
      </c>
      <c r="C4336" s="28" t="s">
        <v>97</v>
      </c>
      <c r="D4336" s="28" t="s">
        <v>270</v>
      </c>
      <c r="E4336" s="29" t="s">
        <v>485</v>
      </c>
      <c r="F4336" s="29" t="s">
        <v>494</v>
      </c>
      <c r="G4336" s="25" t="s">
        <v>6043</v>
      </c>
      <c r="H4336" s="26">
        <v>-0.44459799999999999</v>
      </c>
      <c r="I4336" s="26"/>
      <c r="J4336" s="26" t="s">
        <v>512</v>
      </c>
      <c r="K4336" s="25" t="s">
        <v>513</v>
      </c>
    </row>
    <row r="4337" spans="1:11" ht="25.5" x14ac:dyDescent="0.25">
      <c r="A4337" s="22">
        <v>2026</v>
      </c>
      <c r="B4337" s="28" t="s">
        <v>203</v>
      </c>
      <c r="C4337" s="28" t="s">
        <v>97</v>
      </c>
      <c r="D4337" s="28" t="s">
        <v>270</v>
      </c>
      <c r="E4337" s="29" t="s">
        <v>485</v>
      </c>
      <c r="F4337" s="29" t="s">
        <v>494</v>
      </c>
      <c r="G4337" s="25" t="s">
        <v>6044</v>
      </c>
      <c r="H4337" s="26">
        <v>-0.290783493</v>
      </c>
      <c r="I4337" s="26"/>
      <c r="J4337" s="26" t="s">
        <v>512</v>
      </c>
      <c r="K4337" s="25" t="s">
        <v>513</v>
      </c>
    </row>
    <row r="4338" spans="1:11" ht="25.5" x14ac:dyDescent="0.25">
      <c r="A4338" s="22">
        <v>2026</v>
      </c>
      <c r="B4338" s="28" t="s">
        <v>203</v>
      </c>
      <c r="C4338" s="28" t="s">
        <v>97</v>
      </c>
      <c r="D4338" s="28" t="s">
        <v>270</v>
      </c>
      <c r="E4338" s="29" t="s">
        <v>485</v>
      </c>
      <c r="F4338" s="29" t="s">
        <v>494</v>
      </c>
      <c r="G4338" s="25" t="s">
        <v>6045</v>
      </c>
      <c r="H4338" s="26">
        <v>-0.36018</v>
      </c>
      <c r="I4338" s="26"/>
      <c r="J4338" s="26" t="s">
        <v>512</v>
      </c>
      <c r="K4338" s="25" t="s">
        <v>513</v>
      </c>
    </row>
    <row r="4339" spans="1:11" ht="25.5" x14ac:dyDescent="0.25">
      <c r="A4339" s="22">
        <v>2026</v>
      </c>
      <c r="B4339" s="28" t="s">
        <v>203</v>
      </c>
      <c r="C4339" s="28" t="s">
        <v>97</v>
      </c>
      <c r="D4339" s="28" t="s">
        <v>270</v>
      </c>
      <c r="E4339" s="29" t="s">
        <v>485</v>
      </c>
      <c r="F4339" s="29" t="s">
        <v>494</v>
      </c>
      <c r="G4339" s="25" t="s">
        <v>6046</v>
      </c>
      <c r="H4339" s="26">
        <v>-0.16124160000000001</v>
      </c>
      <c r="I4339" s="26"/>
      <c r="J4339" s="26" t="s">
        <v>512</v>
      </c>
      <c r="K4339" s="25" t="s">
        <v>513</v>
      </c>
    </row>
    <row r="4340" spans="1:11" ht="25.5" x14ac:dyDescent="0.25">
      <c r="A4340" s="22">
        <v>2026</v>
      </c>
      <c r="B4340" s="28" t="s">
        <v>203</v>
      </c>
      <c r="C4340" s="28" t="s">
        <v>97</v>
      </c>
      <c r="D4340" s="28" t="s">
        <v>1750</v>
      </c>
      <c r="E4340" s="29" t="s">
        <v>485</v>
      </c>
      <c r="F4340" s="29" t="s">
        <v>494</v>
      </c>
      <c r="G4340" s="25" t="s">
        <v>6047</v>
      </c>
      <c r="H4340" s="26">
        <v>-0.2024241</v>
      </c>
      <c r="I4340" s="26"/>
      <c r="J4340" s="26" t="s">
        <v>512</v>
      </c>
      <c r="K4340" s="25" t="s">
        <v>513</v>
      </c>
    </row>
    <row r="4341" spans="1:11" ht="25.5" x14ac:dyDescent="0.25">
      <c r="A4341" s="22">
        <v>2026</v>
      </c>
      <c r="B4341" s="28" t="s">
        <v>203</v>
      </c>
      <c r="C4341" s="28" t="s">
        <v>97</v>
      </c>
      <c r="D4341" s="28" t="s">
        <v>1750</v>
      </c>
      <c r="E4341" s="29" t="s">
        <v>485</v>
      </c>
      <c r="F4341" s="29" t="s">
        <v>494</v>
      </c>
      <c r="G4341" s="25" t="s">
        <v>6048</v>
      </c>
      <c r="H4341" s="26">
        <v>-0.40436454999999999</v>
      </c>
      <c r="I4341" s="26"/>
      <c r="J4341" s="26" t="s">
        <v>512</v>
      </c>
      <c r="K4341" s="25" t="s">
        <v>513</v>
      </c>
    </row>
    <row r="4342" spans="1:11" ht="25.5" x14ac:dyDescent="0.25">
      <c r="A4342" s="22">
        <v>2026</v>
      </c>
      <c r="B4342" s="28" t="s">
        <v>203</v>
      </c>
      <c r="C4342" s="28" t="s">
        <v>97</v>
      </c>
      <c r="D4342" s="28" t="s">
        <v>1750</v>
      </c>
      <c r="E4342" s="29" t="s">
        <v>485</v>
      </c>
      <c r="F4342" s="29" t="s">
        <v>494</v>
      </c>
      <c r="G4342" s="25" t="s">
        <v>6049</v>
      </c>
      <c r="H4342" s="26">
        <v>-1.8433736172999999</v>
      </c>
      <c r="I4342" s="26"/>
      <c r="J4342" s="26" t="s">
        <v>512</v>
      </c>
      <c r="K4342" s="25" t="s">
        <v>513</v>
      </c>
    </row>
    <row r="4343" spans="1:11" ht="25.5" x14ac:dyDescent="0.25">
      <c r="A4343" s="22">
        <v>2026</v>
      </c>
      <c r="B4343" s="28" t="s">
        <v>203</v>
      </c>
      <c r="C4343" s="28" t="s">
        <v>97</v>
      </c>
      <c r="D4343" s="28" t="s">
        <v>1750</v>
      </c>
      <c r="E4343" s="29" t="s">
        <v>485</v>
      </c>
      <c r="F4343" s="29" t="s">
        <v>494</v>
      </c>
      <c r="G4343" s="25" t="s">
        <v>6050</v>
      </c>
      <c r="H4343" s="26">
        <v>-0.35</v>
      </c>
      <c r="I4343" s="26"/>
      <c r="J4343" s="26" t="s">
        <v>512</v>
      </c>
      <c r="K4343" s="25" t="s">
        <v>513</v>
      </c>
    </row>
    <row r="4344" spans="1:11" ht="25.5" x14ac:dyDescent="0.25">
      <c r="A4344" s="22">
        <v>2026</v>
      </c>
      <c r="B4344" s="28" t="s">
        <v>203</v>
      </c>
      <c r="C4344" s="28" t="s">
        <v>97</v>
      </c>
      <c r="D4344" s="28" t="s">
        <v>1750</v>
      </c>
      <c r="E4344" s="29" t="s">
        <v>485</v>
      </c>
      <c r="F4344" s="29" t="s">
        <v>494</v>
      </c>
      <c r="G4344" s="25" t="s">
        <v>6051</v>
      </c>
      <c r="H4344" s="26">
        <v>-0.19630001999999999</v>
      </c>
      <c r="I4344" s="26"/>
      <c r="J4344" s="26" t="s">
        <v>512</v>
      </c>
      <c r="K4344" s="25" t="s">
        <v>513</v>
      </c>
    </row>
    <row r="4345" spans="1:11" ht="25.5" x14ac:dyDescent="0.25">
      <c r="A4345" s="22">
        <v>2026</v>
      </c>
      <c r="B4345" s="28" t="s">
        <v>203</v>
      </c>
      <c r="C4345" s="28" t="s">
        <v>97</v>
      </c>
      <c r="D4345" s="28" t="s">
        <v>1750</v>
      </c>
      <c r="E4345" s="29" t="s">
        <v>485</v>
      </c>
      <c r="F4345" s="29" t="s">
        <v>494</v>
      </c>
      <c r="G4345" s="25" t="s">
        <v>6052</v>
      </c>
      <c r="H4345" s="26">
        <v>-0.25345704999999996</v>
      </c>
      <c r="I4345" s="26"/>
      <c r="J4345" s="26" t="s">
        <v>512</v>
      </c>
      <c r="K4345" s="25" t="s">
        <v>513</v>
      </c>
    </row>
    <row r="4346" spans="1:11" ht="25.5" x14ac:dyDescent="0.25">
      <c r="A4346" s="22">
        <v>2026</v>
      </c>
      <c r="B4346" s="28" t="s">
        <v>203</v>
      </c>
      <c r="C4346" s="28" t="s">
        <v>97</v>
      </c>
      <c r="D4346" s="28" t="s">
        <v>1750</v>
      </c>
      <c r="E4346" s="29" t="s">
        <v>485</v>
      </c>
      <c r="F4346" s="29" t="s">
        <v>494</v>
      </c>
      <c r="G4346" s="25" t="s">
        <v>6053</v>
      </c>
      <c r="H4346" s="26">
        <v>-0.18785941291000002</v>
      </c>
      <c r="I4346" s="26"/>
      <c r="J4346" s="26" t="s">
        <v>512</v>
      </c>
      <c r="K4346" s="25" t="s">
        <v>513</v>
      </c>
    </row>
    <row r="4347" spans="1:11" ht="25.5" x14ac:dyDescent="0.25">
      <c r="A4347" s="22">
        <v>2026</v>
      </c>
      <c r="B4347" s="28" t="s">
        <v>203</v>
      </c>
      <c r="C4347" s="28" t="s">
        <v>97</v>
      </c>
      <c r="D4347" s="28" t="s">
        <v>1750</v>
      </c>
      <c r="E4347" s="29" t="s">
        <v>485</v>
      </c>
      <c r="F4347" s="29" t="s">
        <v>494</v>
      </c>
      <c r="G4347" s="25" t="s">
        <v>6054</v>
      </c>
      <c r="H4347" s="26">
        <v>-0.51114778274999995</v>
      </c>
      <c r="I4347" s="26"/>
      <c r="J4347" s="26" t="s">
        <v>512</v>
      </c>
      <c r="K4347" s="25" t="s">
        <v>513</v>
      </c>
    </row>
    <row r="4348" spans="1:11" ht="25.5" x14ac:dyDescent="0.25">
      <c r="A4348" s="22">
        <v>2026</v>
      </c>
      <c r="B4348" s="28" t="s">
        <v>203</v>
      </c>
      <c r="C4348" s="28" t="s">
        <v>97</v>
      </c>
      <c r="D4348" s="28" t="s">
        <v>1750</v>
      </c>
      <c r="E4348" s="29" t="s">
        <v>485</v>
      </c>
      <c r="F4348" s="29" t="s">
        <v>494</v>
      </c>
      <c r="G4348" s="25" t="s">
        <v>6055</v>
      </c>
      <c r="H4348" s="26">
        <v>-0.13715142391999999</v>
      </c>
      <c r="I4348" s="26"/>
      <c r="J4348" s="26" t="s">
        <v>512</v>
      </c>
      <c r="K4348" s="25" t="s">
        <v>513</v>
      </c>
    </row>
    <row r="4349" spans="1:11" ht="25.5" x14ac:dyDescent="0.25">
      <c r="A4349" s="22">
        <v>2026</v>
      </c>
      <c r="B4349" s="28" t="s">
        <v>203</v>
      </c>
      <c r="C4349" s="28" t="s">
        <v>97</v>
      </c>
      <c r="D4349" s="28" t="s">
        <v>1750</v>
      </c>
      <c r="E4349" s="29" t="s">
        <v>485</v>
      </c>
      <c r="F4349" s="29" t="s">
        <v>494</v>
      </c>
      <c r="G4349" s="25" t="s">
        <v>6056</v>
      </c>
      <c r="H4349" s="26">
        <v>-0.375</v>
      </c>
      <c r="I4349" s="26"/>
      <c r="J4349" s="26" t="s">
        <v>512</v>
      </c>
      <c r="K4349" s="25" t="s">
        <v>513</v>
      </c>
    </row>
    <row r="4350" spans="1:11" ht="25.5" x14ac:dyDescent="0.25">
      <c r="A4350" s="22">
        <v>2026</v>
      </c>
      <c r="B4350" s="28" t="s">
        <v>203</v>
      </c>
      <c r="C4350" s="28" t="s">
        <v>97</v>
      </c>
      <c r="D4350" s="28" t="s">
        <v>1750</v>
      </c>
      <c r="E4350" s="29" t="s">
        <v>485</v>
      </c>
      <c r="F4350" s="29" t="s">
        <v>494</v>
      </c>
      <c r="G4350" s="25" t="s">
        <v>6057</v>
      </c>
      <c r="H4350" s="26">
        <v>-0.74504999999999999</v>
      </c>
      <c r="I4350" s="26"/>
      <c r="J4350" s="26" t="s">
        <v>512</v>
      </c>
      <c r="K4350" s="25" t="s">
        <v>513</v>
      </c>
    </row>
    <row r="4351" spans="1:11" ht="25.5" x14ac:dyDescent="0.25">
      <c r="A4351" s="22">
        <v>2026</v>
      </c>
      <c r="B4351" s="28" t="s">
        <v>203</v>
      </c>
      <c r="C4351" s="28" t="s">
        <v>97</v>
      </c>
      <c r="D4351" s="28" t="s">
        <v>1750</v>
      </c>
      <c r="E4351" s="29" t="s">
        <v>485</v>
      </c>
      <c r="F4351" s="29" t="s">
        <v>494</v>
      </c>
      <c r="G4351" s="25" t="s">
        <v>6058</v>
      </c>
      <c r="H4351" s="26">
        <v>-0.52764738424000002</v>
      </c>
      <c r="I4351" s="26"/>
      <c r="J4351" s="26" t="s">
        <v>512</v>
      </c>
      <c r="K4351" s="25" t="s">
        <v>513</v>
      </c>
    </row>
    <row r="4352" spans="1:11" ht="25.5" x14ac:dyDescent="0.25">
      <c r="A4352" s="22">
        <v>2026</v>
      </c>
      <c r="B4352" s="28" t="s">
        <v>203</v>
      </c>
      <c r="C4352" s="28" t="s">
        <v>97</v>
      </c>
      <c r="D4352" s="28" t="s">
        <v>1750</v>
      </c>
      <c r="E4352" s="29" t="s">
        <v>485</v>
      </c>
      <c r="F4352" s="29" t="s">
        <v>494</v>
      </c>
      <c r="G4352" s="25" t="s">
        <v>6059</v>
      </c>
      <c r="H4352" s="26">
        <v>-7.1237757330000012E-2</v>
      </c>
      <c r="I4352" s="26"/>
      <c r="J4352" s="26" t="s">
        <v>512</v>
      </c>
      <c r="K4352" s="25" t="s">
        <v>513</v>
      </c>
    </row>
    <row r="4353" spans="1:11" ht="25.5" x14ac:dyDescent="0.25">
      <c r="A4353" s="22">
        <v>2026</v>
      </c>
      <c r="B4353" s="28" t="s">
        <v>203</v>
      </c>
      <c r="C4353" s="28" t="s">
        <v>97</v>
      </c>
      <c r="D4353" s="28" t="s">
        <v>265</v>
      </c>
      <c r="E4353" s="29" t="s">
        <v>485</v>
      </c>
      <c r="F4353" s="29" t="s">
        <v>325</v>
      </c>
      <c r="G4353" s="25" t="s">
        <v>6060</v>
      </c>
      <c r="H4353" s="26">
        <v>-9.7767000000000007E-2</v>
      </c>
      <c r="I4353" s="26"/>
      <c r="J4353" s="26" t="s">
        <v>512</v>
      </c>
      <c r="K4353" s="25" t="s">
        <v>513</v>
      </c>
    </row>
    <row r="4354" spans="1:11" ht="25.5" x14ac:dyDescent="0.25">
      <c r="A4354" s="22">
        <v>2026</v>
      </c>
      <c r="B4354" s="28" t="s">
        <v>203</v>
      </c>
      <c r="C4354" s="28" t="s">
        <v>97</v>
      </c>
      <c r="D4354" s="28" t="s">
        <v>265</v>
      </c>
      <c r="E4354" s="29" t="s">
        <v>485</v>
      </c>
      <c r="F4354" s="29" t="s">
        <v>325</v>
      </c>
      <c r="G4354" s="25" t="s">
        <v>6061</v>
      </c>
      <c r="H4354" s="26">
        <v>-4.8000899999999999E-3</v>
      </c>
      <c r="I4354" s="26"/>
      <c r="J4354" s="26" t="s">
        <v>512</v>
      </c>
      <c r="K4354" s="25" t="s">
        <v>513</v>
      </c>
    </row>
    <row r="4355" spans="1:11" ht="25.5" x14ac:dyDescent="0.25">
      <c r="A4355" s="22">
        <v>2026</v>
      </c>
      <c r="B4355" s="28" t="s">
        <v>203</v>
      </c>
      <c r="C4355" s="28" t="s">
        <v>97</v>
      </c>
      <c r="D4355" s="28" t="s">
        <v>265</v>
      </c>
      <c r="E4355" s="29" t="s">
        <v>485</v>
      </c>
      <c r="F4355" s="29" t="s">
        <v>325</v>
      </c>
      <c r="G4355" s="25" t="s">
        <v>6062</v>
      </c>
      <c r="H4355" s="26">
        <v>-1.78169816E-2</v>
      </c>
      <c r="I4355" s="26"/>
      <c r="J4355" s="26" t="s">
        <v>512</v>
      </c>
      <c r="K4355" s="25" t="s">
        <v>513</v>
      </c>
    </row>
    <row r="4356" spans="1:11" ht="25.5" x14ac:dyDescent="0.25">
      <c r="A4356" s="22">
        <v>2026</v>
      </c>
      <c r="B4356" s="28" t="s">
        <v>203</v>
      </c>
      <c r="C4356" s="28" t="s">
        <v>97</v>
      </c>
      <c r="D4356" s="28" t="s">
        <v>1751</v>
      </c>
      <c r="E4356" s="29" t="s">
        <v>485</v>
      </c>
      <c r="F4356" s="29" t="s">
        <v>353</v>
      </c>
      <c r="G4356" s="25" t="s">
        <v>6063</v>
      </c>
      <c r="H4356" s="26">
        <v>-0.10199999999999999</v>
      </c>
      <c r="I4356" s="26"/>
      <c r="J4356" s="26" t="s">
        <v>512</v>
      </c>
      <c r="K4356" s="25" t="s">
        <v>513</v>
      </c>
    </row>
    <row r="4357" spans="1:11" ht="25.5" x14ac:dyDescent="0.25">
      <c r="A4357" s="22">
        <v>2026</v>
      </c>
      <c r="B4357" s="28" t="s">
        <v>203</v>
      </c>
      <c r="C4357" s="28" t="s">
        <v>97</v>
      </c>
      <c r="D4357" s="28" t="s">
        <v>1751</v>
      </c>
      <c r="E4357" s="29" t="s">
        <v>485</v>
      </c>
      <c r="F4357" s="29" t="s">
        <v>353</v>
      </c>
      <c r="G4357" s="25" t="s">
        <v>6064</v>
      </c>
      <c r="H4357" s="26">
        <v>-0.10125000000000001</v>
      </c>
      <c r="I4357" s="26"/>
      <c r="J4357" s="26" t="s">
        <v>512</v>
      </c>
      <c r="K4357" s="25" t="s">
        <v>513</v>
      </c>
    </row>
    <row r="4358" spans="1:11" ht="25.5" x14ac:dyDescent="0.25">
      <c r="A4358" s="22">
        <v>2026</v>
      </c>
      <c r="B4358" s="28" t="s">
        <v>203</v>
      </c>
      <c r="C4358" s="28" t="s">
        <v>97</v>
      </c>
      <c r="D4358" s="28" t="s">
        <v>1751</v>
      </c>
      <c r="E4358" s="29" t="s">
        <v>485</v>
      </c>
      <c r="F4358" s="29" t="s">
        <v>353</v>
      </c>
      <c r="G4358" s="25" t="s">
        <v>6065</v>
      </c>
      <c r="H4358" s="26">
        <v>-5.2200000000000003E-2</v>
      </c>
      <c r="I4358" s="26"/>
      <c r="J4358" s="26" t="s">
        <v>512</v>
      </c>
      <c r="K4358" s="25" t="s">
        <v>513</v>
      </c>
    </row>
    <row r="4359" spans="1:11" ht="25.5" x14ac:dyDescent="0.25">
      <c r="A4359" s="22">
        <v>2026</v>
      </c>
      <c r="B4359" s="28" t="s">
        <v>203</v>
      </c>
      <c r="C4359" s="28" t="s">
        <v>97</v>
      </c>
      <c r="D4359" s="28" t="s">
        <v>1751</v>
      </c>
      <c r="E4359" s="29" t="s">
        <v>485</v>
      </c>
      <c r="F4359" s="29" t="s">
        <v>353</v>
      </c>
      <c r="G4359" s="25" t="s">
        <v>6066</v>
      </c>
      <c r="H4359" s="26">
        <v>-0.10434450000000001</v>
      </c>
      <c r="I4359" s="26"/>
      <c r="J4359" s="26" t="s">
        <v>512</v>
      </c>
      <c r="K4359" s="25" t="s">
        <v>513</v>
      </c>
    </row>
    <row r="4360" spans="1:11" ht="25.5" x14ac:dyDescent="0.25">
      <c r="A4360" s="22">
        <v>2026</v>
      </c>
      <c r="B4360" s="28" t="s">
        <v>203</v>
      </c>
      <c r="C4360" s="28" t="s">
        <v>97</v>
      </c>
      <c r="D4360" s="28" t="s">
        <v>1751</v>
      </c>
      <c r="E4360" s="29" t="s">
        <v>485</v>
      </c>
      <c r="F4360" s="29" t="s">
        <v>353</v>
      </c>
      <c r="G4360" s="25" t="s">
        <v>6067</v>
      </c>
      <c r="H4360" s="26">
        <v>-0.10455</v>
      </c>
      <c r="I4360" s="26"/>
      <c r="J4360" s="26" t="s">
        <v>512</v>
      </c>
      <c r="K4360" s="25" t="s">
        <v>513</v>
      </c>
    </row>
    <row r="4361" spans="1:11" ht="25.5" x14ac:dyDescent="0.25">
      <c r="A4361" s="22">
        <v>2026</v>
      </c>
      <c r="B4361" s="28" t="s">
        <v>203</v>
      </c>
      <c r="C4361" s="28" t="s">
        <v>97</v>
      </c>
      <c r="D4361" s="28" t="s">
        <v>1751</v>
      </c>
      <c r="E4361" s="29" t="s">
        <v>485</v>
      </c>
      <c r="F4361" s="29" t="s">
        <v>353</v>
      </c>
      <c r="G4361" s="25" t="s">
        <v>4904</v>
      </c>
      <c r="H4361" s="26">
        <v>-6.9400000000000003E-2</v>
      </c>
      <c r="I4361" s="26"/>
      <c r="J4361" s="26" t="s">
        <v>512</v>
      </c>
      <c r="K4361" s="25" t="s">
        <v>513</v>
      </c>
    </row>
    <row r="4362" spans="1:11" ht="25.5" x14ac:dyDescent="0.25">
      <c r="A4362" s="22">
        <v>2026</v>
      </c>
      <c r="B4362" s="28" t="s">
        <v>203</v>
      </c>
      <c r="C4362" s="28" t="s">
        <v>97</v>
      </c>
      <c r="D4362" s="28" t="s">
        <v>1751</v>
      </c>
      <c r="E4362" s="29" t="s">
        <v>485</v>
      </c>
      <c r="F4362" s="29" t="s">
        <v>353</v>
      </c>
      <c r="G4362" s="25" t="s">
        <v>6068</v>
      </c>
      <c r="H4362" s="26">
        <v>-0.10509990000000001</v>
      </c>
      <c r="I4362" s="26"/>
      <c r="J4362" s="26" t="s">
        <v>512</v>
      </c>
      <c r="K4362" s="25" t="s">
        <v>513</v>
      </c>
    </row>
    <row r="4363" spans="1:11" ht="25.5" x14ac:dyDescent="0.25">
      <c r="A4363" s="22">
        <v>2026</v>
      </c>
      <c r="B4363" s="28" t="s">
        <v>203</v>
      </c>
      <c r="C4363" s="28" t="s">
        <v>97</v>
      </c>
      <c r="D4363" s="28" t="s">
        <v>1751</v>
      </c>
      <c r="E4363" s="29" t="s">
        <v>485</v>
      </c>
      <c r="F4363" s="29" t="s">
        <v>353</v>
      </c>
      <c r="G4363" s="25" t="s">
        <v>6069</v>
      </c>
      <c r="H4363" s="26">
        <v>-0.1762</v>
      </c>
      <c r="I4363" s="26"/>
      <c r="J4363" s="26" t="s">
        <v>512</v>
      </c>
      <c r="K4363" s="25" t="s">
        <v>513</v>
      </c>
    </row>
    <row r="4364" spans="1:11" ht="25.5" x14ac:dyDescent="0.25">
      <c r="A4364" s="22">
        <v>2026</v>
      </c>
      <c r="B4364" s="28" t="s">
        <v>203</v>
      </c>
      <c r="C4364" s="28" t="s">
        <v>97</v>
      </c>
      <c r="D4364" s="28" t="s">
        <v>1751</v>
      </c>
      <c r="E4364" s="29" t="s">
        <v>485</v>
      </c>
      <c r="F4364" s="29" t="s">
        <v>353</v>
      </c>
      <c r="G4364" s="25" t="s">
        <v>6070</v>
      </c>
      <c r="H4364" s="26">
        <v>-0.17755000000000001</v>
      </c>
      <c r="I4364" s="26"/>
      <c r="J4364" s="26" t="s">
        <v>512</v>
      </c>
      <c r="K4364" s="25" t="s">
        <v>513</v>
      </c>
    </row>
    <row r="4365" spans="1:11" ht="25.5" x14ac:dyDescent="0.25">
      <c r="A4365" s="22">
        <v>2026</v>
      </c>
      <c r="B4365" s="28" t="s">
        <v>203</v>
      </c>
      <c r="C4365" s="28" t="s">
        <v>97</v>
      </c>
      <c r="D4365" s="28" t="s">
        <v>1751</v>
      </c>
      <c r="E4365" s="29" t="s">
        <v>485</v>
      </c>
      <c r="F4365" s="29" t="s">
        <v>353</v>
      </c>
      <c r="G4365" s="25" t="s">
        <v>6071</v>
      </c>
      <c r="H4365" s="26">
        <v>-0.10971959999999999</v>
      </c>
      <c r="I4365" s="26"/>
      <c r="J4365" s="26" t="s">
        <v>512</v>
      </c>
      <c r="K4365" s="25" t="s">
        <v>513</v>
      </c>
    </row>
    <row r="4366" spans="1:11" ht="25.5" x14ac:dyDescent="0.25">
      <c r="A4366" s="22">
        <v>2026</v>
      </c>
      <c r="B4366" s="28" t="s">
        <v>203</v>
      </c>
      <c r="C4366" s="28" t="s">
        <v>97</v>
      </c>
      <c r="D4366" s="28" t="s">
        <v>1751</v>
      </c>
      <c r="E4366" s="29" t="s">
        <v>485</v>
      </c>
      <c r="F4366" s="29" t="s">
        <v>353</v>
      </c>
      <c r="G4366" s="25" t="s">
        <v>6072</v>
      </c>
      <c r="H4366" s="26">
        <v>-9.0005000000000002E-2</v>
      </c>
      <c r="I4366" s="26"/>
      <c r="J4366" s="26" t="s">
        <v>512</v>
      </c>
      <c r="K4366" s="25" t="s">
        <v>513</v>
      </c>
    </row>
    <row r="4367" spans="1:11" ht="25.5" x14ac:dyDescent="0.25">
      <c r="A4367" s="22">
        <v>2026</v>
      </c>
      <c r="B4367" s="28" t="s">
        <v>203</v>
      </c>
      <c r="C4367" s="28" t="s">
        <v>97</v>
      </c>
      <c r="D4367" s="28" t="s">
        <v>1751</v>
      </c>
      <c r="E4367" s="29" t="s">
        <v>485</v>
      </c>
      <c r="F4367" s="29" t="s">
        <v>353</v>
      </c>
      <c r="G4367" s="25" t="s">
        <v>6073</v>
      </c>
      <c r="H4367" s="26">
        <v>-0.1077</v>
      </c>
      <c r="I4367" s="26"/>
      <c r="J4367" s="26" t="s">
        <v>512</v>
      </c>
      <c r="K4367" s="25" t="s">
        <v>513</v>
      </c>
    </row>
    <row r="4368" spans="1:11" ht="25.5" x14ac:dyDescent="0.25">
      <c r="A4368" s="22">
        <v>2026</v>
      </c>
      <c r="B4368" s="28" t="s">
        <v>203</v>
      </c>
      <c r="C4368" s="28" t="s">
        <v>97</v>
      </c>
      <c r="D4368" s="28" t="s">
        <v>1751</v>
      </c>
      <c r="E4368" s="29" t="s">
        <v>485</v>
      </c>
      <c r="F4368" s="29" t="s">
        <v>353</v>
      </c>
      <c r="G4368" s="25" t="s">
        <v>6074</v>
      </c>
      <c r="H4368" s="26">
        <v>-0.10625280000000001</v>
      </c>
      <c r="I4368" s="26"/>
      <c r="J4368" s="26" t="s">
        <v>512</v>
      </c>
      <c r="K4368" s="25" t="s">
        <v>513</v>
      </c>
    </row>
    <row r="4369" spans="1:11" ht="25.5" x14ac:dyDescent="0.25">
      <c r="A4369" s="22">
        <v>2026</v>
      </c>
      <c r="B4369" s="28" t="s">
        <v>203</v>
      </c>
      <c r="C4369" s="28" t="s">
        <v>97</v>
      </c>
      <c r="D4369" s="28" t="s">
        <v>1751</v>
      </c>
      <c r="E4369" s="29" t="s">
        <v>485</v>
      </c>
      <c r="F4369" s="29" t="s">
        <v>353</v>
      </c>
      <c r="G4369" s="25" t="s">
        <v>6075</v>
      </c>
      <c r="H4369" s="26">
        <v>-5.3149950000000001E-2</v>
      </c>
      <c r="I4369" s="26"/>
      <c r="J4369" s="26" t="s">
        <v>512</v>
      </c>
      <c r="K4369" s="25" t="s">
        <v>513</v>
      </c>
    </row>
    <row r="4370" spans="1:11" ht="25.5" x14ac:dyDescent="0.25">
      <c r="A4370" s="22">
        <v>2026</v>
      </c>
      <c r="B4370" s="28" t="s">
        <v>203</v>
      </c>
      <c r="C4370" s="28" t="s">
        <v>97</v>
      </c>
      <c r="D4370" s="28" t="s">
        <v>1751</v>
      </c>
      <c r="E4370" s="29" t="s">
        <v>485</v>
      </c>
      <c r="F4370" s="29" t="s">
        <v>353</v>
      </c>
      <c r="G4370" s="25" t="s">
        <v>6076</v>
      </c>
      <c r="H4370" s="26">
        <v>-5.3022E-2</v>
      </c>
      <c r="I4370" s="26"/>
      <c r="J4370" s="26" t="s">
        <v>512</v>
      </c>
      <c r="K4370" s="25" t="s">
        <v>513</v>
      </c>
    </row>
    <row r="4371" spans="1:11" ht="25.5" x14ac:dyDescent="0.25">
      <c r="A4371" s="22">
        <v>2026</v>
      </c>
      <c r="B4371" s="28" t="s">
        <v>203</v>
      </c>
      <c r="C4371" s="28" t="s">
        <v>97</v>
      </c>
      <c r="D4371" s="28" t="s">
        <v>1751</v>
      </c>
      <c r="E4371" s="29" t="s">
        <v>485</v>
      </c>
      <c r="F4371" s="29" t="s">
        <v>353</v>
      </c>
      <c r="G4371" s="25" t="s">
        <v>6077</v>
      </c>
      <c r="H4371" s="26">
        <v>-5.2309949999999994E-2</v>
      </c>
      <c r="I4371" s="26"/>
      <c r="J4371" s="26" t="s">
        <v>512</v>
      </c>
      <c r="K4371" s="25" t="s">
        <v>513</v>
      </c>
    </row>
    <row r="4372" spans="1:11" ht="25.5" x14ac:dyDescent="0.25">
      <c r="A4372" s="22">
        <v>2026</v>
      </c>
      <c r="B4372" s="28" t="s">
        <v>203</v>
      </c>
      <c r="C4372" s="28" t="s">
        <v>97</v>
      </c>
      <c r="D4372" s="28" t="s">
        <v>1751</v>
      </c>
      <c r="E4372" s="29" t="s">
        <v>485</v>
      </c>
      <c r="F4372" s="29" t="s">
        <v>353</v>
      </c>
      <c r="G4372" s="25" t="s">
        <v>6078</v>
      </c>
      <c r="H4372" s="26">
        <v>-7.0150000000000004E-2</v>
      </c>
      <c r="I4372" s="26"/>
      <c r="J4372" s="26" t="s">
        <v>512</v>
      </c>
      <c r="K4372" s="25" t="s">
        <v>513</v>
      </c>
    </row>
    <row r="4373" spans="1:11" ht="25.5" x14ac:dyDescent="0.25">
      <c r="A4373" s="22">
        <v>2026</v>
      </c>
      <c r="B4373" s="28" t="s">
        <v>203</v>
      </c>
      <c r="C4373" s="28" t="s">
        <v>97</v>
      </c>
      <c r="D4373" s="28" t="s">
        <v>539</v>
      </c>
      <c r="E4373" s="29" t="s">
        <v>485</v>
      </c>
      <c r="F4373" s="29" t="s">
        <v>566</v>
      </c>
      <c r="G4373" s="25" t="s">
        <v>6079</v>
      </c>
      <c r="H4373" s="26">
        <v>-0.10332229228999999</v>
      </c>
      <c r="I4373" s="26"/>
      <c r="J4373" s="26" t="s">
        <v>512</v>
      </c>
      <c r="K4373" s="25" t="s">
        <v>513</v>
      </c>
    </row>
    <row r="4374" spans="1:11" ht="25.5" x14ac:dyDescent="0.25">
      <c r="A4374" s="22">
        <v>2026</v>
      </c>
      <c r="B4374" s="28" t="s">
        <v>203</v>
      </c>
      <c r="C4374" s="28" t="s">
        <v>97</v>
      </c>
      <c r="D4374" s="28" t="s">
        <v>539</v>
      </c>
      <c r="E4374" s="29" t="s">
        <v>485</v>
      </c>
      <c r="F4374" s="29" t="s">
        <v>566</v>
      </c>
      <c r="G4374" s="25" t="s">
        <v>6080</v>
      </c>
      <c r="H4374" s="26">
        <v>-7.3091841800000001E-2</v>
      </c>
      <c r="I4374" s="26"/>
      <c r="J4374" s="26" t="s">
        <v>512</v>
      </c>
      <c r="K4374" s="25" t="s">
        <v>513</v>
      </c>
    </row>
    <row r="4375" spans="1:11" ht="25.5" x14ac:dyDescent="0.25">
      <c r="A4375" s="22">
        <v>2026</v>
      </c>
      <c r="B4375" s="28" t="s">
        <v>203</v>
      </c>
      <c r="C4375" s="28" t="s">
        <v>97</v>
      </c>
      <c r="D4375" s="28" t="s">
        <v>539</v>
      </c>
      <c r="E4375" s="29" t="s">
        <v>485</v>
      </c>
      <c r="F4375" s="29" t="s">
        <v>566</v>
      </c>
      <c r="G4375" s="25" t="s">
        <v>6081</v>
      </c>
      <c r="H4375" s="26">
        <v>-0.15800207396999999</v>
      </c>
      <c r="I4375" s="26"/>
      <c r="J4375" s="26" t="s">
        <v>512</v>
      </c>
      <c r="K4375" s="25" t="s">
        <v>513</v>
      </c>
    </row>
    <row r="4376" spans="1:11" ht="25.5" x14ac:dyDescent="0.25">
      <c r="A4376" s="22">
        <v>2026</v>
      </c>
      <c r="B4376" s="28" t="s">
        <v>203</v>
      </c>
      <c r="C4376" s="28" t="s">
        <v>97</v>
      </c>
      <c r="D4376" s="28" t="s">
        <v>539</v>
      </c>
      <c r="E4376" s="29" t="s">
        <v>485</v>
      </c>
      <c r="F4376" s="29" t="s">
        <v>566</v>
      </c>
      <c r="G4376" s="25" t="s">
        <v>6082</v>
      </c>
      <c r="H4376" s="26">
        <v>-0.12830493000000001</v>
      </c>
      <c r="I4376" s="26"/>
      <c r="J4376" s="26" t="s">
        <v>512</v>
      </c>
      <c r="K4376" s="25" t="s">
        <v>513</v>
      </c>
    </row>
    <row r="4377" spans="1:11" ht="25.5" x14ac:dyDescent="0.25">
      <c r="A4377" s="22">
        <v>2026</v>
      </c>
      <c r="B4377" s="28" t="s">
        <v>203</v>
      </c>
      <c r="C4377" s="28" t="s">
        <v>97</v>
      </c>
      <c r="D4377" s="28" t="s">
        <v>539</v>
      </c>
      <c r="E4377" s="29" t="s">
        <v>485</v>
      </c>
      <c r="F4377" s="29" t="s">
        <v>566</v>
      </c>
      <c r="G4377" s="25" t="s">
        <v>6083</v>
      </c>
      <c r="H4377" s="26">
        <v>-0.10800984999999999</v>
      </c>
      <c r="I4377" s="26"/>
      <c r="J4377" s="26" t="s">
        <v>512</v>
      </c>
      <c r="K4377" s="25" t="s">
        <v>513</v>
      </c>
    </row>
    <row r="4378" spans="1:11" ht="25.5" x14ac:dyDescent="0.25">
      <c r="A4378" s="22">
        <v>2026</v>
      </c>
      <c r="B4378" s="28" t="s">
        <v>203</v>
      </c>
      <c r="C4378" s="28" t="s">
        <v>97</v>
      </c>
      <c r="D4378" s="28" t="s">
        <v>539</v>
      </c>
      <c r="E4378" s="29" t="s">
        <v>485</v>
      </c>
      <c r="F4378" s="29" t="s">
        <v>566</v>
      </c>
      <c r="G4378" s="25" t="s">
        <v>6084</v>
      </c>
      <c r="H4378" s="26">
        <v>-8.3073039999999987E-2</v>
      </c>
      <c r="I4378" s="26"/>
      <c r="J4378" s="26" t="s">
        <v>512</v>
      </c>
      <c r="K4378" s="25" t="s">
        <v>513</v>
      </c>
    </row>
    <row r="4379" spans="1:11" ht="25.5" x14ac:dyDescent="0.25">
      <c r="A4379" s="22">
        <v>2026</v>
      </c>
      <c r="B4379" s="28" t="s">
        <v>203</v>
      </c>
      <c r="C4379" s="28" t="s">
        <v>97</v>
      </c>
      <c r="D4379" s="28" t="s">
        <v>539</v>
      </c>
      <c r="E4379" s="29" t="s">
        <v>485</v>
      </c>
      <c r="F4379" s="29" t="s">
        <v>566</v>
      </c>
      <c r="G4379" s="25" t="s">
        <v>6085</v>
      </c>
      <c r="H4379" s="26">
        <v>-0.10428304671000001</v>
      </c>
      <c r="I4379" s="26"/>
      <c r="J4379" s="26" t="s">
        <v>512</v>
      </c>
      <c r="K4379" s="25" t="s">
        <v>513</v>
      </c>
    </row>
    <row r="4380" spans="1:11" ht="25.5" x14ac:dyDescent="0.25">
      <c r="A4380" s="22">
        <v>2026</v>
      </c>
      <c r="B4380" s="28" t="s">
        <v>203</v>
      </c>
      <c r="C4380" s="28" t="s">
        <v>97</v>
      </c>
      <c r="D4380" s="28" t="s">
        <v>539</v>
      </c>
      <c r="E4380" s="29" t="s">
        <v>485</v>
      </c>
      <c r="F4380" s="29" t="s">
        <v>566</v>
      </c>
      <c r="G4380" s="25" t="s">
        <v>6086</v>
      </c>
      <c r="H4380" s="26">
        <v>-0.17199200000000001</v>
      </c>
      <c r="I4380" s="26"/>
      <c r="J4380" s="26" t="s">
        <v>512</v>
      </c>
      <c r="K4380" s="25" t="s">
        <v>513</v>
      </c>
    </row>
    <row r="4381" spans="1:11" ht="25.5" x14ac:dyDescent="0.25">
      <c r="A4381" s="22">
        <v>2026</v>
      </c>
      <c r="B4381" s="28" t="s">
        <v>203</v>
      </c>
      <c r="C4381" s="28" t="s">
        <v>97</v>
      </c>
      <c r="D4381" s="28" t="s">
        <v>539</v>
      </c>
      <c r="E4381" s="29" t="s">
        <v>485</v>
      </c>
      <c r="F4381" s="29" t="s">
        <v>566</v>
      </c>
      <c r="G4381" s="25" t="s">
        <v>6087</v>
      </c>
      <c r="H4381" s="26">
        <v>-0.11957306399999999</v>
      </c>
      <c r="I4381" s="26"/>
      <c r="J4381" s="26" t="s">
        <v>512</v>
      </c>
      <c r="K4381" s="25" t="s">
        <v>513</v>
      </c>
    </row>
    <row r="4382" spans="1:11" ht="25.5" x14ac:dyDescent="0.25">
      <c r="A4382" s="22">
        <v>2026</v>
      </c>
      <c r="B4382" s="28" t="s">
        <v>203</v>
      </c>
      <c r="C4382" s="28" t="s">
        <v>97</v>
      </c>
      <c r="D4382" s="28" t="s">
        <v>539</v>
      </c>
      <c r="E4382" s="29" t="s">
        <v>485</v>
      </c>
      <c r="F4382" s="29" t="s">
        <v>566</v>
      </c>
      <c r="G4382" s="25" t="s">
        <v>6088</v>
      </c>
      <c r="H4382" s="26">
        <v>-0.167578</v>
      </c>
      <c r="I4382" s="26"/>
      <c r="J4382" s="26" t="s">
        <v>512</v>
      </c>
      <c r="K4382" s="25" t="s">
        <v>513</v>
      </c>
    </row>
    <row r="4383" spans="1:11" ht="25.5" x14ac:dyDescent="0.25">
      <c r="A4383" s="22">
        <v>2026</v>
      </c>
      <c r="B4383" s="28" t="s">
        <v>203</v>
      </c>
      <c r="C4383" s="28" t="s">
        <v>97</v>
      </c>
      <c r="D4383" s="28" t="s">
        <v>539</v>
      </c>
      <c r="E4383" s="29" t="s">
        <v>485</v>
      </c>
      <c r="F4383" s="29" t="s">
        <v>566</v>
      </c>
      <c r="G4383" s="25" t="s">
        <v>6089</v>
      </c>
      <c r="H4383" s="26">
        <v>-8.1537282529999991E-2</v>
      </c>
      <c r="I4383" s="26"/>
      <c r="J4383" s="26" t="s">
        <v>512</v>
      </c>
      <c r="K4383" s="25" t="s">
        <v>513</v>
      </c>
    </row>
    <row r="4384" spans="1:11" ht="25.5" x14ac:dyDescent="0.25">
      <c r="A4384" s="22">
        <v>2026</v>
      </c>
      <c r="B4384" s="28" t="s">
        <v>203</v>
      </c>
      <c r="C4384" s="28" t="s">
        <v>97</v>
      </c>
      <c r="D4384" s="28" t="s">
        <v>539</v>
      </c>
      <c r="E4384" s="29" t="s">
        <v>485</v>
      </c>
      <c r="F4384" s="29" t="s">
        <v>566</v>
      </c>
      <c r="G4384" s="25" t="s">
        <v>6090</v>
      </c>
      <c r="H4384" s="26">
        <v>-6.1626810000000004E-2</v>
      </c>
      <c r="I4384" s="26"/>
      <c r="J4384" s="26" t="s">
        <v>512</v>
      </c>
      <c r="K4384" s="25" t="s">
        <v>513</v>
      </c>
    </row>
    <row r="4385" spans="1:11" ht="25.5" x14ac:dyDescent="0.25">
      <c r="A4385" s="22">
        <v>2026</v>
      </c>
      <c r="B4385" s="28" t="s">
        <v>203</v>
      </c>
      <c r="C4385" s="28" t="s">
        <v>97</v>
      </c>
      <c r="D4385" s="28" t="s">
        <v>1752</v>
      </c>
      <c r="E4385" s="29" t="s">
        <v>485</v>
      </c>
      <c r="F4385" s="29" t="s">
        <v>937</v>
      </c>
      <c r="G4385" s="25" t="s">
        <v>6091</v>
      </c>
      <c r="H4385" s="26">
        <v>-0.24990697000000001</v>
      </c>
      <c r="I4385" s="26"/>
      <c r="J4385" s="26" t="s">
        <v>512</v>
      </c>
      <c r="K4385" s="25" t="s">
        <v>513</v>
      </c>
    </row>
    <row r="4386" spans="1:11" ht="25.5" x14ac:dyDescent="0.25">
      <c r="A4386" s="22">
        <v>2026</v>
      </c>
      <c r="B4386" s="28" t="s">
        <v>203</v>
      </c>
      <c r="C4386" s="28" t="s">
        <v>97</v>
      </c>
      <c r="D4386" s="28" t="s">
        <v>1752</v>
      </c>
      <c r="E4386" s="29" t="s">
        <v>485</v>
      </c>
      <c r="F4386" s="29" t="s">
        <v>937</v>
      </c>
      <c r="G4386" s="25" t="s">
        <v>6092</v>
      </c>
      <c r="H4386" s="26">
        <v>-0.25659969999999999</v>
      </c>
      <c r="I4386" s="26"/>
      <c r="J4386" s="26" t="s">
        <v>512</v>
      </c>
      <c r="K4386" s="25" t="s">
        <v>513</v>
      </c>
    </row>
    <row r="4387" spans="1:11" ht="25.5" x14ac:dyDescent="0.25">
      <c r="A4387" s="22">
        <v>2026</v>
      </c>
      <c r="B4387" s="28" t="s">
        <v>203</v>
      </c>
      <c r="C4387" s="28" t="s">
        <v>97</v>
      </c>
      <c r="D4387" s="28" t="s">
        <v>1752</v>
      </c>
      <c r="E4387" s="29" t="s">
        <v>485</v>
      </c>
      <c r="F4387" s="29" t="s">
        <v>937</v>
      </c>
      <c r="G4387" s="25" t="s">
        <v>6093</v>
      </c>
      <c r="H4387" s="26">
        <v>-0.377</v>
      </c>
      <c r="I4387" s="26"/>
      <c r="J4387" s="26" t="s">
        <v>512</v>
      </c>
      <c r="K4387" s="25" t="s">
        <v>513</v>
      </c>
    </row>
    <row r="4388" spans="1:11" ht="25.5" x14ac:dyDescent="0.25">
      <c r="A4388" s="22">
        <v>2026</v>
      </c>
      <c r="B4388" s="28" t="s">
        <v>203</v>
      </c>
      <c r="C4388" s="28" t="s">
        <v>97</v>
      </c>
      <c r="D4388" s="28" t="s">
        <v>1752</v>
      </c>
      <c r="E4388" s="29" t="s">
        <v>485</v>
      </c>
      <c r="F4388" s="29" t="s">
        <v>937</v>
      </c>
      <c r="G4388" s="25" t="s">
        <v>6094</v>
      </c>
      <c r="H4388" s="26">
        <v>-0.68748480000000001</v>
      </c>
      <c r="I4388" s="26"/>
      <c r="J4388" s="26" t="s">
        <v>512</v>
      </c>
      <c r="K4388" s="25" t="s">
        <v>513</v>
      </c>
    </row>
    <row r="4389" spans="1:11" ht="25.5" x14ac:dyDescent="0.25">
      <c r="A4389" s="22">
        <v>2026</v>
      </c>
      <c r="B4389" s="28" t="s">
        <v>203</v>
      </c>
      <c r="C4389" s="28" t="s">
        <v>97</v>
      </c>
      <c r="D4389" s="28" t="s">
        <v>1752</v>
      </c>
      <c r="E4389" s="29" t="s">
        <v>485</v>
      </c>
      <c r="F4389" s="29" t="s">
        <v>937</v>
      </c>
      <c r="G4389" s="25" t="s">
        <v>6095</v>
      </c>
      <c r="H4389" s="26">
        <v>-0.28987499999999999</v>
      </c>
      <c r="I4389" s="26"/>
      <c r="J4389" s="26" t="s">
        <v>512</v>
      </c>
      <c r="K4389" s="25" t="s">
        <v>513</v>
      </c>
    </row>
    <row r="4390" spans="1:11" ht="25.5" x14ac:dyDescent="0.25">
      <c r="A4390" s="22">
        <v>2026</v>
      </c>
      <c r="B4390" s="28" t="s">
        <v>203</v>
      </c>
      <c r="C4390" s="28" t="s">
        <v>97</v>
      </c>
      <c r="D4390" s="28" t="s">
        <v>1752</v>
      </c>
      <c r="E4390" s="29" t="s">
        <v>485</v>
      </c>
      <c r="F4390" s="29" t="s">
        <v>937</v>
      </c>
      <c r="G4390" s="25" t="s">
        <v>6096</v>
      </c>
      <c r="H4390" s="26">
        <v>-0.27437573999999998</v>
      </c>
      <c r="I4390" s="26"/>
      <c r="J4390" s="26" t="s">
        <v>512</v>
      </c>
      <c r="K4390" s="25" t="s">
        <v>513</v>
      </c>
    </row>
    <row r="4391" spans="1:11" ht="25.5" x14ac:dyDescent="0.25">
      <c r="A4391" s="22">
        <v>2026</v>
      </c>
      <c r="B4391" s="28" t="s">
        <v>203</v>
      </c>
      <c r="C4391" s="28" t="s">
        <v>97</v>
      </c>
      <c r="D4391" s="28" t="s">
        <v>1752</v>
      </c>
      <c r="E4391" s="29" t="s">
        <v>485</v>
      </c>
      <c r="F4391" s="29" t="s">
        <v>937</v>
      </c>
      <c r="G4391" s="25" t="s">
        <v>6097</v>
      </c>
      <c r="H4391" s="26">
        <v>-0.43901110000000004</v>
      </c>
      <c r="I4391" s="26"/>
      <c r="J4391" s="26" t="s">
        <v>512</v>
      </c>
      <c r="K4391" s="25" t="s">
        <v>513</v>
      </c>
    </row>
    <row r="4392" spans="1:11" ht="25.5" x14ac:dyDescent="0.25">
      <c r="A4392" s="22">
        <v>2026</v>
      </c>
      <c r="B4392" s="28" t="s">
        <v>203</v>
      </c>
      <c r="C4392" s="28" t="s">
        <v>97</v>
      </c>
      <c r="D4392" s="28" t="s">
        <v>260</v>
      </c>
      <c r="E4392" s="29" t="s">
        <v>485</v>
      </c>
      <c r="F4392" s="29" t="s">
        <v>386</v>
      </c>
      <c r="G4392" s="25" t="s">
        <v>6098</v>
      </c>
      <c r="H4392" s="26">
        <v>-6.9000000000000006E-2</v>
      </c>
      <c r="I4392" s="26"/>
      <c r="J4392" s="26" t="s">
        <v>512</v>
      </c>
      <c r="K4392" s="25" t="s">
        <v>513</v>
      </c>
    </row>
    <row r="4393" spans="1:11" ht="25.5" x14ac:dyDescent="0.25">
      <c r="A4393" s="22">
        <v>2026</v>
      </c>
      <c r="B4393" s="28" t="s">
        <v>203</v>
      </c>
      <c r="C4393" s="28" t="s">
        <v>97</v>
      </c>
      <c r="D4393" s="28" t="s">
        <v>260</v>
      </c>
      <c r="E4393" s="29" t="s">
        <v>485</v>
      </c>
      <c r="F4393" s="29" t="s">
        <v>386</v>
      </c>
      <c r="G4393" s="25" t="s">
        <v>6099</v>
      </c>
      <c r="H4393" s="26">
        <v>-7.2554264999999993E-2</v>
      </c>
      <c r="I4393" s="26"/>
      <c r="J4393" s="26" t="s">
        <v>512</v>
      </c>
      <c r="K4393" s="25" t="s">
        <v>513</v>
      </c>
    </row>
    <row r="4394" spans="1:11" ht="25.5" x14ac:dyDescent="0.25">
      <c r="A4394" s="22">
        <v>2026</v>
      </c>
      <c r="B4394" s="28" t="s">
        <v>203</v>
      </c>
      <c r="C4394" s="28" t="s">
        <v>97</v>
      </c>
      <c r="D4394" s="28" t="s">
        <v>260</v>
      </c>
      <c r="E4394" s="29" t="s">
        <v>485</v>
      </c>
      <c r="F4394" s="29" t="s">
        <v>386</v>
      </c>
      <c r="G4394" s="25" t="s">
        <v>6100</v>
      </c>
      <c r="H4394" s="26">
        <v>-7.1518999999999999E-2</v>
      </c>
      <c r="I4394" s="26"/>
      <c r="J4394" s="26" t="s">
        <v>512</v>
      </c>
      <c r="K4394" s="25" t="s">
        <v>513</v>
      </c>
    </row>
    <row r="4395" spans="1:11" ht="25.5" x14ac:dyDescent="0.25">
      <c r="A4395" s="22">
        <v>2026</v>
      </c>
      <c r="B4395" s="28" t="s">
        <v>203</v>
      </c>
      <c r="C4395" s="28" t="s">
        <v>97</v>
      </c>
      <c r="D4395" s="28" t="s">
        <v>260</v>
      </c>
      <c r="E4395" s="29" t="s">
        <v>485</v>
      </c>
      <c r="F4395" s="29" t="s">
        <v>386</v>
      </c>
      <c r="G4395" s="25" t="s">
        <v>6101</v>
      </c>
      <c r="H4395" s="26">
        <v>-0.1090725</v>
      </c>
      <c r="I4395" s="26"/>
      <c r="J4395" s="26" t="s">
        <v>512</v>
      </c>
      <c r="K4395" s="25" t="s">
        <v>513</v>
      </c>
    </row>
    <row r="4396" spans="1:11" ht="25.5" x14ac:dyDescent="0.25">
      <c r="A4396" s="22">
        <v>2026</v>
      </c>
      <c r="B4396" s="28" t="s">
        <v>203</v>
      </c>
      <c r="C4396" s="28" t="s">
        <v>97</v>
      </c>
      <c r="D4396" s="28" t="s">
        <v>260</v>
      </c>
      <c r="E4396" s="29" t="s">
        <v>485</v>
      </c>
      <c r="F4396" s="29" t="s">
        <v>386</v>
      </c>
      <c r="G4396" s="25" t="s">
        <v>6102</v>
      </c>
      <c r="H4396" s="26">
        <v>-0.14760000000000001</v>
      </c>
      <c r="I4396" s="26"/>
      <c r="J4396" s="26" t="s">
        <v>512</v>
      </c>
      <c r="K4396" s="25" t="s">
        <v>513</v>
      </c>
    </row>
    <row r="4397" spans="1:11" ht="25.5" x14ac:dyDescent="0.25">
      <c r="A4397" s="22">
        <v>2026</v>
      </c>
      <c r="B4397" s="28" t="s">
        <v>203</v>
      </c>
      <c r="C4397" s="28" t="s">
        <v>97</v>
      </c>
      <c r="D4397" s="28" t="s">
        <v>260</v>
      </c>
      <c r="E4397" s="29" t="s">
        <v>485</v>
      </c>
      <c r="F4397" s="29" t="s">
        <v>386</v>
      </c>
      <c r="G4397" s="25" t="s">
        <v>6103</v>
      </c>
      <c r="H4397" s="26">
        <v>-7.3999999999999996E-2</v>
      </c>
      <c r="I4397" s="26"/>
      <c r="J4397" s="26" t="s">
        <v>512</v>
      </c>
      <c r="K4397" s="25" t="s">
        <v>513</v>
      </c>
    </row>
    <row r="4398" spans="1:11" ht="25.5" x14ac:dyDescent="0.25">
      <c r="A4398" s="22">
        <v>2026</v>
      </c>
      <c r="B4398" s="28" t="s">
        <v>203</v>
      </c>
      <c r="C4398" s="28" t="s">
        <v>97</v>
      </c>
      <c r="D4398" s="28" t="s">
        <v>260</v>
      </c>
      <c r="E4398" s="29" t="s">
        <v>485</v>
      </c>
      <c r="F4398" s="29" t="s">
        <v>386</v>
      </c>
      <c r="G4398" s="25" t="s">
        <v>6104</v>
      </c>
      <c r="H4398" s="26">
        <v>-7.3649000000000006E-2</v>
      </c>
      <c r="I4398" s="26"/>
      <c r="J4398" s="26" t="s">
        <v>512</v>
      </c>
      <c r="K4398" s="25" t="s">
        <v>513</v>
      </c>
    </row>
    <row r="4399" spans="1:11" ht="25.5" x14ac:dyDescent="0.25">
      <c r="A4399" s="22">
        <v>2026</v>
      </c>
      <c r="B4399" s="28" t="s">
        <v>203</v>
      </c>
      <c r="C4399" s="28" t="s">
        <v>97</v>
      </c>
      <c r="D4399" s="28" t="s">
        <v>260</v>
      </c>
      <c r="E4399" s="29" t="s">
        <v>485</v>
      </c>
      <c r="F4399" s="29" t="s">
        <v>386</v>
      </c>
      <c r="G4399" s="25" t="s">
        <v>6105</v>
      </c>
      <c r="H4399" s="26">
        <v>-7.2499999999999995E-2</v>
      </c>
      <c r="I4399" s="26"/>
      <c r="J4399" s="26" t="s">
        <v>512</v>
      </c>
      <c r="K4399" s="25" t="s">
        <v>513</v>
      </c>
    </row>
    <row r="4400" spans="1:11" ht="25.5" x14ac:dyDescent="0.25">
      <c r="A4400" s="22">
        <v>2026</v>
      </c>
      <c r="B4400" s="28" t="s">
        <v>203</v>
      </c>
      <c r="C4400" s="28" t="s">
        <v>97</v>
      </c>
      <c r="D4400" s="28" t="s">
        <v>260</v>
      </c>
      <c r="E4400" s="29" t="s">
        <v>485</v>
      </c>
      <c r="F4400" s="29" t="s">
        <v>386</v>
      </c>
      <c r="G4400" s="25" t="s">
        <v>6106</v>
      </c>
      <c r="H4400" s="26">
        <v>-0.1427764</v>
      </c>
      <c r="I4400" s="26"/>
      <c r="J4400" s="26" t="s">
        <v>512</v>
      </c>
      <c r="K4400" s="25" t="s">
        <v>513</v>
      </c>
    </row>
    <row r="4401" spans="1:11" ht="25.5" x14ac:dyDescent="0.25">
      <c r="A4401" s="22">
        <v>2026</v>
      </c>
      <c r="B4401" s="28" t="s">
        <v>203</v>
      </c>
      <c r="C4401" s="28" t="s">
        <v>97</v>
      </c>
      <c r="D4401" s="28" t="s">
        <v>1753</v>
      </c>
      <c r="E4401" s="29" t="s">
        <v>331</v>
      </c>
      <c r="F4401" s="29" t="s">
        <v>335</v>
      </c>
      <c r="G4401" s="25" t="s">
        <v>6107</v>
      </c>
      <c r="H4401" s="26">
        <v>-0.99756</v>
      </c>
      <c r="I4401" s="26"/>
      <c r="J4401" s="26" t="s">
        <v>512</v>
      </c>
      <c r="K4401" s="25" t="s">
        <v>513</v>
      </c>
    </row>
    <row r="4402" spans="1:11" ht="25.5" x14ac:dyDescent="0.25">
      <c r="A4402" s="22">
        <v>2026</v>
      </c>
      <c r="B4402" s="28" t="s">
        <v>203</v>
      </c>
      <c r="C4402" s="28" t="s">
        <v>97</v>
      </c>
      <c r="D4402" s="28" t="s">
        <v>1753</v>
      </c>
      <c r="E4402" s="29" t="s">
        <v>331</v>
      </c>
      <c r="F4402" s="29" t="s">
        <v>335</v>
      </c>
      <c r="G4402" s="25" t="s">
        <v>6108</v>
      </c>
      <c r="H4402" s="26">
        <v>-0.99358000000000002</v>
      </c>
      <c r="I4402" s="26"/>
      <c r="J4402" s="26" t="s">
        <v>512</v>
      </c>
      <c r="K4402" s="25" t="s">
        <v>513</v>
      </c>
    </row>
    <row r="4403" spans="1:11" ht="25.5" x14ac:dyDescent="0.25">
      <c r="A4403" s="22">
        <v>2026</v>
      </c>
      <c r="B4403" s="28" t="s">
        <v>203</v>
      </c>
      <c r="C4403" s="28" t="s">
        <v>97</v>
      </c>
      <c r="D4403" s="28" t="s">
        <v>1753</v>
      </c>
      <c r="E4403" s="29" t="s">
        <v>331</v>
      </c>
      <c r="F4403" s="29" t="s">
        <v>335</v>
      </c>
      <c r="G4403" s="25" t="s">
        <v>6109</v>
      </c>
      <c r="H4403" s="26">
        <v>-0.99794000000000005</v>
      </c>
      <c r="I4403" s="26"/>
      <c r="J4403" s="26" t="s">
        <v>512</v>
      </c>
      <c r="K4403" s="25" t="s">
        <v>513</v>
      </c>
    </row>
    <row r="4404" spans="1:11" ht="25.5" x14ac:dyDescent="0.25">
      <c r="A4404" s="22">
        <v>2026</v>
      </c>
      <c r="B4404" s="28" t="s">
        <v>203</v>
      </c>
      <c r="C4404" s="28" t="s">
        <v>97</v>
      </c>
      <c r="D4404" s="28" t="s">
        <v>1753</v>
      </c>
      <c r="E4404" s="29" t="s">
        <v>331</v>
      </c>
      <c r="F4404" s="29" t="s">
        <v>335</v>
      </c>
      <c r="G4404" s="25" t="s">
        <v>6110</v>
      </c>
      <c r="H4404" s="26">
        <v>-1.0188999999999999</v>
      </c>
      <c r="I4404" s="26"/>
      <c r="J4404" s="26" t="s">
        <v>512</v>
      </c>
      <c r="K4404" s="25" t="s">
        <v>513</v>
      </c>
    </row>
    <row r="4405" spans="1:11" ht="25.5" x14ac:dyDescent="0.25">
      <c r="A4405" s="22">
        <v>2026</v>
      </c>
      <c r="B4405" s="28" t="s">
        <v>203</v>
      </c>
      <c r="C4405" s="28" t="s">
        <v>97</v>
      </c>
      <c r="D4405" s="28" t="s">
        <v>1753</v>
      </c>
      <c r="E4405" s="29" t="s">
        <v>331</v>
      </c>
      <c r="F4405" s="29" t="s">
        <v>335</v>
      </c>
      <c r="G4405" s="25" t="s">
        <v>6111</v>
      </c>
      <c r="H4405" s="26">
        <v>-1.0138199999999999</v>
      </c>
      <c r="I4405" s="26"/>
      <c r="J4405" s="26" t="s">
        <v>512</v>
      </c>
      <c r="K4405" s="25" t="s">
        <v>513</v>
      </c>
    </row>
    <row r="4406" spans="1:11" ht="25.5" x14ac:dyDescent="0.25">
      <c r="A4406" s="22">
        <v>2026</v>
      </c>
      <c r="B4406" s="28" t="s">
        <v>203</v>
      </c>
      <c r="C4406" s="28" t="s">
        <v>97</v>
      </c>
      <c r="D4406" s="28" t="s">
        <v>1753</v>
      </c>
      <c r="E4406" s="29" t="s">
        <v>331</v>
      </c>
      <c r="F4406" s="29" t="s">
        <v>335</v>
      </c>
      <c r="G4406" s="25" t="s">
        <v>6112</v>
      </c>
      <c r="H4406" s="26">
        <v>-1.0193199999999998</v>
      </c>
      <c r="I4406" s="26"/>
      <c r="J4406" s="26" t="s">
        <v>512</v>
      </c>
      <c r="K4406" s="25" t="s">
        <v>513</v>
      </c>
    </row>
    <row r="4407" spans="1:11" ht="25.5" x14ac:dyDescent="0.25">
      <c r="A4407" s="22">
        <v>2026</v>
      </c>
      <c r="B4407" s="28" t="s">
        <v>203</v>
      </c>
      <c r="C4407" s="28" t="s">
        <v>97</v>
      </c>
      <c r="D4407" s="28" t="s">
        <v>1753</v>
      </c>
      <c r="E4407" s="29" t="s">
        <v>331</v>
      </c>
      <c r="F4407" s="29" t="s">
        <v>335</v>
      </c>
      <c r="G4407" s="25" t="s">
        <v>6113</v>
      </c>
      <c r="H4407" s="26">
        <v>-1.01502</v>
      </c>
      <c r="I4407" s="26"/>
      <c r="J4407" s="26" t="s">
        <v>512</v>
      </c>
      <c r="K4407" s="25" t="s">
        <v>513</v>
      </c>
    </row>
    <row r="4408" spans="1:11" ht="25.5" x14ac:dyDescent="0.25">
      <c r="A4408" s="22">
        <v>2026</v>
      </c>
      <c r="B4408" s="28" t="s">
        <v>203</v>
      </c>
      <c r="C4408" s="28" t="s">
        <v>97</v>
      </c>
      <c r="D4408" s="28" t="s">
        <v>1753</v>
      </c>
      <c r="E4408" s="29" t="s">
        <v>331</v>
      </c>
      <c r="F4408" s="29" t="s">
        <v>335</v>
      </c>
      <c r="G4408" s="25" t="s">
        <v>6114</v>
      </c>
      <c r="H4408" s="26">
        <v>-1.02416</v>
      </c>
      <c r="I4408" s="26"/>
      <c r="J4408" s="26" t="s">
        <v>512</v>
      </c>
      <c r="K4408" s="25" t="s">
        <v>513</v>
      </c>
    </row>
    <row r="4409" spans="1:11" ht="25.5" x14ac:dyDescent="0.25">
      <c r="A4409" s="22">
        <v>2026</v>
      </c>
      <c r="B4409" s="28" t="s">
        <v>203</v>
      </c>
      <c r="C4409" s="28" t="s">
        <v>97</v>
      </c>
      <c r="D4409" s="28" t="s">
        <v>1753</v>
      </c>
      <c r="E4409" s="29" t="s">
        <v>331</v>
      </c>
      <c r="F4409" s="29" t="s">
        <v>335</v>
      </c>
      <c r="G4409" s="25" t="s">
        <v>6115</v>
      </c>
      <c r="H4409" s="26">
        <v>-1.01996</v>
      </c>
      <c r="I4409" s="26"/>
      <c r="J4409" s="26" t="s">
        <v>512</v>
      </c>
      <c r="K4409" s="25" t="s">
        <v>513</v>
      </c>
    </row>
    <row r="4410" spans="1:11" ht="25.5" x14ac:dyDescent="0.25">
      <c r="A4410" s="22">
        <v>2026</v>
      </c>
      <c r="B4410" s="28" t="s">
        <v>203</v>
      </c>
      <c r="C4410" s="28" t="s">
        <v>97</v>
      </c>
      <c r="D4410" s="28" t="s">
        <v>1753</v>
      </c>
      <c r="E4410" s="29" t="s">
        <v>331</v>
      </c>
      <c r="F4410" s="29" t="s">
        <v>335</v>
      </c>
      <c r="G4410" s="25" t="s">
        <v>6116</v>
      </c>
      <c r="H4410" s="26">
        <v>-1.0246600000000001</v>
      </c>
      <c r="I4410" s="26"/>
      <c r="J4410" s="26" t="s">
        <v>512</v>
      </c>
      <c r="K4410" s="25" t="s">
        <v>513</v>
      </c>
    </row>
    <row r="4411" spans="1:11" ht="25.5" x14ac:dyDescent="0.25">
      <c r="A4411" s="22">
        <v>2026</v>
      </c>
      <c r="B4411" s="28" t="s">
        <v>203</v>
      </c>
      <c r="C4411" s="28" t="s">
        <v>97</v>
      </c>
      <c r="D4411" s="28" t="s">
        <v>1753</v>
      </c>
      <c r="E4411" s="29" t="s">
        <v>331</v>
      </c>
      <c r="F4411" s="29" t="s">
        <v>335</v>
      </c>
      <c r="G4411" s="25" t="s">
        <v>6117</v>
      </c>
      <c r="H4411" s="26">
        <v>-1.0461800000000001</v>
      </c>
      <c r="I4411" s="26"/>
      <c r="J4411" s="26" t="s">
        <v>512</v>
      </c>
      <c r="K4411" s="25" t="s">
        <v>513</v>
      </c>
    </row>
    <row r="4412" spans="1:11" ht="25.5" x14ac:dyDescent="0.25">
      <c r="A4412" s="22">
        <v>2026</v>
      </c>
      <c r="B4412" s="28" t="s">
        <v>203</v>
      </c>
      <c r="C4412" s="28" t="s">
        <v>97</v>
      </c>
      <c r="D4412" s="28" t="s">
        <v>1753</v>
      </c>
      <c r="E4412" s="29" t="s">
        <v>331</v>
      </c>
      <c r="F4412" s="29" t="s">
        <v>335</v>
      </c>
      <c r="G4412" s="25" t="s">
        <v>6118</v>
      </c>
      <c r="H4412" s="26">
        <v>-1.04274</v>
      </c>
      <c r="I4412" s="26"/>
      <c r="J4412" s="26" t="s">
        <v>512</v>
      </c>
      <c r="K4412" s="25" t="s">
        <v>513</v>
      </c>
    </row>
    <row r="4413" spans="1:11" ht="25.5" x14ac:dyDescent="0.25">
      <c r="A4413" s="22">
        <v>2026</v>
      </c>
      <c r="B4413" s="28" t="s">
        <v>203</v>
      </c>
      <c r="C4413" s="28" t="s">
        <v>97</v>
      </c>
      <c r="D4413" s="28" t="s">
        <v>1753</v>
      </c>
      <c r="E4413" s="29" t="s">
        <v>331</v>
      </c>
      <c r="F4413" s="29" t="s">
        <v>335</v>
      </c>
      <c r="G4413" s="25" t="s">
        <v>6119</v>
      </c>
      <c r="H4413" s="26">
        <v>-1.04586</v>
      </c>
      <c r="I4413" s="26"/>
      <c r="J4413" s="26" t="s">
        <v>512</v>
      </c>
      <c r="K4413" s="25" t="s">
        <v>513</v>
      </c>
    </row>
    <row r="4414" spans="1:11" ht="25.5" x14ac:dyDescent="0.25">
      <c r="A4414" s="22">
        <v>2026</v>
      </c>
      <c r="B4414" s="28" t="s">
        <v>203</v>
      </c>
      <c r="C4414" s="28" t="s">
        <v>97</v>
      </c>
      <c r="D4414" s="28" t="s">
        <v>1753</v>
      </c>
      <c r="E4414" s="29" t="s">
        <v>331</v>
      </c>
      <c r="F4414" s="29" t="s">
        <v>335</v>
      </c>
      <c r="G4414" s="25" t="s">
        <v>6120</v>
      </c>
      <c r="H4414" s="26">
        <v>-1.0460400000000001</v>
      </c>
      <c r="I4414" s="26"/>
      <c r="J4414" s="26" t="s">
        <v>512</v>
      </c>
      <c r="K4414" s="25" t="s">
        <v>513</v>
      </c>
    </row>
    <row r="4415" spans="1:11" ht="25.5" x14ac:dyDescent="0.25">
      <c r="A4415" s="22">
        <v>2026</v>
      </c>
      <c r="B4415" s="28" t="s">
        <v>203</v>
      </c>
      <c r="C4415" s="28" t="s">
        <v>97</v>
      </c>
      <c r="D4415" s="28" t="s">
        <v>1753</v>
      </c>
      <c r="E4415" s="29" t="s">
        <v>331</v>
      </c>
      <c r="F4415" s="29" t="s">
        <v>335</v>
      </c>
      <c r="G4415" s="25" t="s">
        <v>6121</v>
      </c>
      <c r="H4415" s="26">
        <v>-1.0515600000000001</v>
      </c>
      <c r="I4415" s="26"/>
      <c r="J4415" s="26" t="s">
        <v>512</v>
      </c>
      <c r="K4415" s="25" t="s">
        <v>513</v>
      </c>
    </row>
    <row r="4416" spans="1:11" ht="25.5" x14ac:dyDescent="0.25">
      <c r="A4416" s="22">
        <v>2026</v>
      </c>
      <c r="B4416" s="28" t="s">
        <v>203</v>
      </c>
      <c r="C4416" s="28" t="s">
        <v>97</v>
      </c>
      <c r="D4416" s="28" t="s">
        <v>1753</v>
      </c>
      <c r="E4416" s="29" t="s">
        <v>331</v>
      </c>
      <c r="F4416" s="29" t="s">
        <v>335</v>
      </c>
      <c r="G4416" s="25" t="s">
        <v>6122</v>
      </c>
      <c r="H4416" s="26">
        <v>-1.05142</v>
      </c>
      <c r="I4416" s="26"/>
      <c r="J4416" s="26" t="s">
        <v>512</v>
      </c>
      <c r="K4416" s="25" t="s">
        <v>513</v>
      </c>
    </row>
    <row r="4417" spans="1:11" ht="25.5" x14ac:dyDescent="0.25">
      <c r="A4417" s="22">
        <v>2026</v>
      </c>
      <c r="B4417" s="28" t="s">
        <v>203</v>
      </c>
      <c r="C4417" s="28" t="s">
        <v>97</v>
      </c>
      <c r="D4417" s="28" t="s">
        <v>1753</v>
      </c>
      <c r="E4417" s="29" t="s">
        <v>331</v>
      </c>
      <c r="F4417" s="29" t="s">
        <v>335</v>
      </c>
      <c r="G4417" s="25" t="s">
        <v>6123</v>
      </c>
      <c r="H4417" s="26">
        <v>-1.0515000000000001</v>
      </c>
      <c r="I4417" s="26"/>
      <c r="J4417" s="26" t="s">
        <v>512</v>
      </c>
      <c r="K4417" s="25" t="s">
        <v>513</v>
      </c>
    </row>
    <row r="4418" spans="1:11" ht="25.5" x14ac:dyDescent="0.25">
      <c r="A4418" s="22">
        <v>2026</v>
      </c>
      <c r="B4418" s="28" t="s">
        <v>203</v>
      </c>
      <c r="C4418" s="28" t="s">
        <v>97</v>
      </c>
      <c r="D4418" s="28" t="s">
        <v>1753</v>
      </c>
      <c r="E4418" s="29" t="s">
        <v>331</v>
      </c>
      <c r="F4418" s="29" t="s">
        <v>335</v>
      </c>
      <c r="G4418" s="25" t="s">
        <v>6124</v>
      </c>
      <c r="H4418" s="26">
        <v>-1.0450799999999998</v>
      </c>
      <c r="I4418" s="26"/>
      <c r="J4418" s="26" t="s">
        <v>512</v>
      </c>
      <c r="K4418" s="25" t="s">
        <v>513</v>
      </c>
    </row>
    <row r="4419" spans="1:11" ht="25.5" x14ac:dyDescent="0.25">
      <c r="A4419" s="22">
        <v>2026</v>
      </c>
      <c r="B4419" s="28" t="s">
        <v>203</v>
      </c>
      <c r="C4419" s="28" t="s">
        <v>97</v>
      </c>
      <c r="D4419" s="28" t="s">
        <v>1753</v>
      </c>
      <c r="E4419" s="29" t="s">
        <v>331</v>
      </c>
      <c r="F4419" s="29" t="s">
        <v>335</v>
      </c>
      <c r="G4419" s="25" t="s">
        <v>6125</v>
      </c>
      <c r="H4419" s="26">
        <v>-1.0431999999999999</v>
      </c>
      <c r="I4419" s="26"/>
      <c r="J4419" s="26" t="s">
        <v>512</v>
      </c>
      <c r="K4419" s="25" t="s">
        <v>513</v>
      </c>
    </row>
    <row r="4420" spans="1:11" ht="25.5" x14ac:dyDescent="0.25">
      <c r="A4420" s="22">
        <v>2026</v>
      </c>
      <c r="B4420" s="28" t="s">
        <v>203</v>
      </c>
      <c r="C4420" s="28" t="s">
        <v>97</v>
      </c>
      <c r="D4420" s="28" t="s">
        <v>1753</v>
      </c>
      <c r="E4420" s="29" t="s">
        <v>331</v>
      </c>
      <c r="F4420" s="29" t="s">
        <v>335</v>
      </c>
      <c r="G4420" s="25" t="s">
        <v>6126</v>
      </c>
      <c r="H4420" s="26">
        <v>-1.04816</v>
      </c>
      <c r="I4420" s="26"/>
      <c r="J4420" s="26" t="s">
        <v>512</v>
      </c>
      <c r="K4420" s="25" t="s">
        <v>513</v>
      </c>
    </row>
    <row r="4421" spans="1:11" ht="25.5" x14ac:dyDescent="0.25">
      <c r="A4421" s="22">
        <v>2026</v>
      </c>
      <c r="B4421" s="28" t="s">
        <v>203</v>
      </c>
      <c r="C4421" s="28" t="s">
        <v>97</v>
      </c>
      <c r="D4421" s="28" t="s">
        <v>542</v>
      </c>
      <c r="E4421" s="29" t="s">
        <v>575</v>
      </c>
      <c r="F4421" s="29" t="s">
        <v>576</v>
      </c>
      <c r="G4421" s="25" t="s">
        <v>6127</v>
      </c>
      <c r="H4421" s="26">
        <v>-6.3000000000000003E-4</v>
      </c>
      <c r="I4421" s="26"/>
      <c r="J4421" s="26" t="s">
        <v>512</v>
      </c>
      <c r="K4421" s="25" t="s">
        <v>513</v>
      </c>
    </row>
    <row r="4422" spans="1:11" ht="25.5" x14ac:dyDescent="0.25">
      <c r="A4422" s="22">
        <v>2026</v>
      </c>
      <c r="B4422" s="28" t="s">
        <v>203</v>
      </c>
      <c r="C4422" s="28" t="s">
        <v>97</v>
      </c>
      <c r="D4422" s="28" t="s">
        <v>542</v>
      </c>
      <c r="E4422" s="29" t="s">
        <v>575</v>
      </c>
      <c r="F4422" s="29" t="s">
        <v>576</v>
      </c>
      <c r="G4422" s="25" t="s">
        <v>6128</v>
      </c>
      <c r="H4422" s="26">
        <v>-0.19875000000000001</v>
      </c>
      <c r="I4422" s="26"/>
      <c r="J4422" s="26" t="s">
        <v>512</v>
      </c>
      <c r="K4422" s="25" t="s">
        <v>513</v>
      </c>
    </row>
    <row r="4423" spans="1:11" ht="25.5" x14ac:dyDescent="0.25">
      <c r="A4423" s="22">
        <v>2026</v>
      </c>
      <c r="B4423" s="28" t="s">
        <v>203</v>
      </c>
      <c r="C4423" s="28" t="s">
        <v>97</v>
      </c>
      <c r="D4423" s="28" t="s">
        <v>542</v>
      </c>
      <c r="E4423" s="29" t="s">
        <v>575</v>
      </c>
      <c r="F4423" s="29" t="s">
        <v>576</v>
      </c>
      <c r="G4423" s="25" t="s">
        <v>6129</v>
      </c>
      <c r="H4423" s="26">
        <v>-6.6750000000000004E-2</v>
      </c>
      <c r="I4423" s="26"/>
      <c r="J4423" s="26" t="s">
        <v>512</v>
      </c>
      <c r="K4423" s="25" t="s">
        <v>513</v>
      </c>
    </row>
    <row r="4424" spans="1:11" ht="25.5" x14ac:dyDescent="0.25">
      <c r="A4424" s="22">
        <v>2026</v>
      </c>
      <c r="B4424" s="28" t="s">
        <v>203</v>
      </c>
      <c r="C4424" s="28" t="s">
        <v>97</v>
      </c>
      <c r="D4424" s="28" t="s">
        <v>542</v>
      </c>
      <c r="E4424" s="29" t="s">
        <v>575</v>
      </c>
      <c r="F4424" s="29" t="s">
        <v>576</v>
      </c>
      <c r="G4424" s="25" t="s">
        <v>6130</v>
      </c>
      <c r="H4424" s="26">
        <v>-0.20100000000000001</v>
      </c>
      <c r="I4424" s="26"/>
      <c r="J4424" s="26" t="s">
        <v>512</v>
      </c>
      <c r="K4424" s="25" t="s">
        <v>513</v>
      </c>
    </row>
    <row r="4425" spans="1:11" ht="25.5" x14ac:dyDescent="0.25">
      <c r="A4425" s="22">
        <v>2026</v>
      </c>
      <c r="B4425" s="28" t="s">
        <v>203</v>
      </c>
      <c r="C4425" s="28" t="s">
        <v>97</v>
      </c>
      <c r="D4425" s="28" t="s">
        <v>542</v>
      </c>
      <c r="E4425" s="29" t="s">
        <v>575</v>
      </c>
      <c r="F4425" s="29" t="s">
        <v>576</v>
      </c>
      <c r="G4425" s="25" t="s">
        <v>6131</v>
      </c>
      <c r="H4425" s="26">
        <v>-4.0500000000000001E-2</v>
      </c>
      <c r="I4425" s="26"/>
      <c r="J4425" s="26" t="s">
        <v>512</v>
      </c>
      <c r="K4425" s="25" t="s">
        <v>513</v>
      </c>
    </row>
    <row r="4426" spans="1:11" ht="25.5" x14ac:dyDescent="0.25">
      <c r="A4426" s="22">
        <v>2026</v>
      </c>
      <c r="B4426" s="28" t="s">
        <v>203</v>
      </c>
      <c r="C4426" s="28" t="s">
        <v>97</v>
      </c>
      <c r="D4426" s="28" t="s">
        <v>542</v>
      </c>
      <c r="E4426" s="29" t="s">
        <v>575</v>
      </c>
      <c r="F4426" s="29" t="s">
        <v>576</v>
      </c>
      <c r="G4426" s="25" t="s">
        <v>6132</v>
      </c>
      <c r="H4426" s="26">
        <v>-0.1072</v>
      </c>
      <c r="I4426" s="26"/>
      <c r="J4426" s="26" t="s">
        <v>512</v>
      </c>
      <c r="K4426" s="25" t="s">
        <v>513</v>
      </c>
    </row>
    <row r="4427" spans="1:11" ht="25.5" x14ac:dyDescent="0.25">
      <c r="A4427" s="22">
        <v>2026</v>
      </c>
      <c r="B4427" s="28" t="s">
        <v>203</v>
      </c>
      <c r="C4427" s="28" t="s">
        <v>97</v>
      </c>
      <c r="D4427" s="28" t="s">
        <v>1789</v>
      </c>
      <c r="E4427" s="29" t="s">
        <v>1800</v>
      </c>
      <c r="F4427" s="29" t="s">
        <v>374</v>
      </c>
      <c r="G4427" s="25" t="s">
        <v>6133</v>
      </c>
      <c r="H4427" s="26">
        <v>-0.32486999999999999</v>
      </c>
      <c r="I4427" s="26"/>
      <c r="J4427" s="26" t="s">
        <v>514</v>
      </c>
      <c r="K4427" s="25" t="s">
        <v>513</v>
      </c>
    </row>
    <row r="4428" spans="1:11" ht="25.5" x14ac:dyDescent="0.25">
      <c r="A4428" s="22">
        <v>2026</v>
      </c>
      <c r="B4428" s="28" t="s">
        <v>203</v>
      </c>
      <c r="C4428" s="28" t="s">
        <v>97</v>
      </c>
      <c r="D4428" s="28" t="s">
        <v>1789</v>
      </c>
      <c r="E4428" s="29" t="s">
        <v>1800</v>
      </c>
      <c r="F4428" s="29" t="s">
        <v>374</v>
      </c>
      <c r="G4428" s="25" t="s">
        <v>6134</v>
      </c>
      <c r="H4428" s="26">
        <v>-0.38140000000000002</v>
      </c>
      <c r="I4428" s="26"/>
      <c r="J4428" s="26" t="s">
        <v>514</v>
      </c>
      <c r="K4428" s="25" t="s">
        <v>513</v>
      </c>
    </row>
    <row r="4429" spans="1:11" ht="25.5" x14ac:dyDescent="0.25">
      <c r="A4429" s="22">
        <v>2026</v>
      </c>
      <c r="B4429" s="28" t="s">
        <v>203</v>
      </c>
      <c r="C4429" s="28" t="s">
        <v>97</v>
      </c>
      <c r="D4429" s="28" t="s">
        <v>1789</v>
      </c>
      <c r="E4429" s="29" t="s">
        <v>1800</v>
      </c>
      <c r="F4429" s="29" t="s">
        <v>374</v>
      </c>
      <c r="G4429" s="25" t="s">
        <v>6135</v>
      </c>
      <c r="H4429" s="26">
        <v>-0.52357482980000003</v>
      </c>
      <c r="I4429" s="26"/>
      <c r="J4429" s="26" t="s">
        <v>514</v>
      </c>
      <c r="K4429" s="25" t="s">
        <v>513</v>
      </c>
    </row>
    <row r="4430" spans="1:11" ht="25.5" x14ac:dyDescent="0.25">
      <c r="A4430" s="22">
        <v>2026</v>
      </c>
      <c r="B4430" s="28" t="s">
        <v>203</v>
      </c>
      <c r="C4430" s="28" t="s">
        <v>97</v>
      </c>
      <c r="D4430" s="28" t="s">
        <v>1789</v>
      </c>
      <c r="E4430" s="29" t="s">
        <v>1800</v>
      </c>
      <c r="F4430" s="29" t="s">
        <v>374</v>
      </c>
      <c r="G4430" s="25" t="s">
        <v>6136</v>
      </c>
      <c r="H4430" s="26">
        <v>-0.60324930050000003</v>
      </c>
      <c r="I4430" s="26"/>
      <c r="J4430" s="26" t="s">
        <v>514</v>
      </c>
      <c r="K4430" s="25" t="s">
        <v>513</v>
      </c>
    </row>
    <row r="4431" spans="1:11" ht="25.5" x14ac:dyDescent="0.25">
      <c r="A4431" s="22">
        <v>2026</v>
      </c>
      <c r="B4431" s="28" t="s">
        <v>203</v>
      </c>
      <c r="C4431" s="28" t="s">
        <v>97</v>
      </c>
      <c r="D4431" s="28" t="s">
        <v>1789</v>
      </c>
      <c r="E4431" s="29" t="s">
        <v>1800</v>
      </c>
      <c r="F4431" s="29" t="s">
        <v>374</v>
      </c>
      <c r="G4431" s="25" t="s">
        <v>6137</v>
      </c>
      <c r="H4431" s="26">
        <v>-0.44437645650000002</v>
      </c>
      <c r="I4431" s="26"/>
      <c r="J4431" s="26" t="s">
        <v>514</v>
      </c>
      <c r="K4431" s="25" t="s">
        <v>513</v>
      </c>
    </row>
    <row r="4432" spans="1:11" ht="25.5" x14ac:dyDescent="0.25">
      <c r="A4432" s="22">
        <v>2026</v>
      </c>
      <c r="B4432" s="28" t="s">
        <v>203</v>
      </c>
      <c r="C4432" s="28" t="s">
        <v>97</v>
      </c>
      <c r="D4432" s="28" t="s">
        <v>1789</v>
      </c>
      <c r="E4432" s="29" t="s">
        <v>1800</v>
      </c>
      <c r="F4432" s="29" t="s">
        <v>374</v>
      </c>
      <c r="G4432" s="25" t="s">
        <v>6138</v>
      </c>
      <c r="H4432" s="26">
        <v>-0.70128000000000001</v>
      </c>
      <c r="I4432" s="26"/>
      <c r="J4432" s="26" t="s">
        <v>514</v>
      </c>
      <c r="K4432" s="25" t="s">
        <v>513</v>
      </c>
    </row>
    <row r="4433" spans="1:11" ht="25.5" x14ac:dyDescent="0.25">
      <c r="A4433" s="22">
        <v>2026</v>
      </c>
      <c r="B4433" s="28" t="s">
        <v>203</v>
      </c>
      <c r="C4433" s="28" t="s">
        <v>97</v>
      </c>
      <c r="D4433" s="28" t="s">
        <v>1789</v>
      </c>
      <c r="E4433" s="29" t="s">
        <v>1800</v>
      </c>
      <c r="F4433" s="29" t="s">
        <v>374</v>
      </c>
      <c r="G4433" s="25" t="s">
        <v>6139</v>
      </c>
      <c r="H4433" s="26">
        <v>-0.31506262200000001</v>
      </c>
      <c r="I4433" s="26"/>
      <c r="J4433" s="26" t="s">
        <v>514</v>
      </c>
      <c r="K4433" s="25" t="s">
        <v>513</v>
      </c>
    </row>
    <row r="4434" spans="1:11" ht="25.5" x14ac:dyDescent="0.25">
      <c r="A4434" s="22">
        <v>2026</v>
      </c>
      <c r="B4434" s="28" t="s">
        <v>203</v>
      </c>
      <c r="C4434" s="28" t="s">
        <v>97</v>
      </c>
      <c r="D4434" s="28" t="s">
        <v>1789</v>
      </c>
      <c r="E4434" s="29" t="s">
        <v>1800</v>
      </c>
      <c r="F4434" s="29" t="s">
        <v>374</v>
      </c>
      <c r="G4434" s="25" t="s">
        <v>6140</v>
      </c>
      <c r="H4434" s="26">
        <v>-0.17624200000000001</v>
      </c>
      <c r="I4434" s="26"/>
      <c r="J4434" s="26" t="s">
        <v>514</v>
      </c>
      <c r="K4434" s="25" t="s">
        <v>513</v>
      </c>
    </row>
    <row r="4435" spans="1:11" ht="25.5" x14ac:dyDescent="0.25">
      <c r="A4435" s="22">
        <v>2026</v>
      </c>
      <c r="B4435" s="28" t="s">
        <v>203</v>
      </c>
      <c r="C4435" s="28" t="s">
        <v>97</v>
      </c>
      <c r="D4435" s="28" t="s">
        <v>1789</v>
      </c>
      <c r="E4435" s="29" t="s">
        <v>1800</v>
      </c>
      <c r="F4435" s="29" t="s">
        <v>374</v>
      </c>
      <c r="G4435" s="25" t="s">
        <v>6141</v>
      </c>
      <c r="H4435" s="26">
        <v>-0.28234870230000003</v>
      </c>
      <c r="I4435" s="26"/>
      <c r="J4435" s="26" t="s">
        <v>514</v>
      </c>
      <c r="K4435" s="25" t="s">
        <v>513</v>
      </c>
    </row>
    <row r="4436" spans="1:11" ht="25.5" x14ac:dyDescent="0.25">
      <c r="A4436" s="22">
        <v>2026</v>
      </c>
      <c r="B4436" s="28" t="s">
        <v>203</v>
      </c>
      <c r="C4436" s="28" t="s">
        <v>97</v>
      </c>
      <c r="D4436" s="28" t="s">
        <v>1789</v>
      </c>
      <c r="E4436" s="29" t="s">
        <v>1800</v>
      </c>
      <c r="F4436" s="29" t="s">
        <v>374</v>
      </c>
      <c r="G4436" s="25" t="s">
        <v>6142</v>
      </c>
      <c r="H4436" s="26">
        <v>-0.46602735540000001</v>
      </c>
      <c r="I4436" s="26"/>
      <c r="J4436" s="26" t="s">
        <v>514</v>
      </c>
      <c r="K4436" s="25" t="s">
        <v>513</v>
      </c>
    </row>
    <row r="4437" spans="1:11" ht="25.5" x14ac:dyDescent="0.25">
      <c r="A4437" s="22">
        <v>2026</v>
      </c>
      <c r="B4437" s="28" t="s">
        <v>203</v>
      </c>
      <c r="C4437" s="28" t="s">
        <v>97</v>
      </c>
      <c r="D4437" s="28" t="s">
        <v>1789</v>
      </c>
      <c r="E4437" s="29" t="s">
        <v>1800</v>
      </c>
      <c r="F4437" s="29" t="s">
        <v>374</v>
      </c>
      <c r="G4437" s="25" t="s">
        <v>6143</v>
      </c>
      <c r="H4437" s="26">
        <v>-0.32419999999999999</v>
      </c>
      <c r="I4437" s="26"/>
      <c r="J4437" s="26" t="s">
        <v>514</v>
      </c>
      <c r="K4437" s="25" t="s">
        <v>513</v>
      </c>
    </row>
    <row r="4438" spans="1:11" ht="25.5" x14ac:dyDescent="0.25">
      <c r="A4438" s="22">
        <v>2026</v>
      </c>
      <c r="B4438" s="28" t="s">
        <v>203</v>
      </c>
      <c r="C4438" s="28" t="s">
        <v>97</v>
      </c>
      <c r="D4438" s="28" t="s">
        <v>1789</v>
      </c>
      <c r="E4438" s="29" t="s">
        <v>1800</v>
      </c>
      <c r="F4438" s="29" t="s">
        <v>374</v>
      </c>
      <c r="G4438" s="25" t="s">
        <v>6144</v>
      </c>
      <c r="H4438" s="26">
        <v>-0.35233390079999999</v>
      </c>
      <c r="I4438" s="26"/>
      <c r="J4438" s="26" t="s">
        <v>514</v>
      </c>
      <c r="K4438" s="25" t="s">
        <v>513</v>
      </c>
    </row>
    <row r="4439" spans="1:11" ht="25.5" x14ac:dyDescent="0.25">
      <c r="A4439" s="22">
        <v>2026</v>
      </c>
      <c r="B4439" s="28" t="s">
        <v>203</v>
      </c>
      <c r="C4439" s="28" t="s">
        <v>97</v>
      </c>
      <c r="D4439" s="28" t="s">
        <v>1789</v>
      </c>
      <c r="E4439" s="29" t="s">
        <v>1800</v>
      </c>
      <c r="F4439" s="29" t="s">
        <v>374</v>
      </c>
      <c r="G4439" s="25" t="s">
        <v>6145</v>
      </c>
      <c r="H4439" s="26">
        <v>-0.35697200000000001</v>
      </c>
      <c r="I4439" s="26"/>
      <c r="J4439" s="26" t="s">
        <v>514</v>
      </c>
      <c r="K4439" s="25" t="s">
        <v>513</v>
      </c>
    </row>
    <row r="4440" spans="1:11" ht="25.5" x14ac:dyDescent="0.25">
      <c r="A4440" s="22">
        <v>2026</v>
      </c>
      <c r="B4440" s="28" t="s">
        <v>203</v>
      </c>
      <c r="C4440" s="28" t="s">
        <v>97</v>
      </c>
      <c r="D4440" s="28" t="s">
        <v>1789</v>
      </c>
      <c r="E4440" s="29" t="s">
        <v>1800</v>
      </c>
      <c r="F4440" s="29" t="s">
        <v>374</v>
      </c>
      <c r="G4440" s="25" t="s">
        <v>6146</v>
      </c>
      <c r="H4440" s="26">
        <v>-0.37495657640000002</v>
      </c>
      <c r="I4440" s="26"/>
      <c r="J4440" s="26" t="s">
        <v>514</v>
      </c>
      <c r="K4440" s="25" t="s">
        <v>513</v>
      </c>
    </row>
    <row r="4441" spans="1:11" ht="25.5" x14ac:dyDescent="0.25">
      <c r="A4441" s="22">
        <v>2026</v>
      </c>
      <c r="B4441" s="28" t="s">
        <v>203</v>
      </c>
      <c r="C4441" s="28" t="s">
        <v>97</v>
      </c>
      <c r="D4441" s="28" t="s">
        <v>1789</v>
      </c>
      <c r="E4441" s="29" t="s">
        <v>1800</v>
      </c>
      <c r="F4441" s="29" t="s">
        <v>374</v>
      </c>
      <c r="G4441" s="25" t="s">
        <v>6147</v>
      </c>
      <c r="H4441" s="26">
        <v>-0.26601249999999999</v>
      </c>
      <c r="I4441" s="26"/>
      <c r="J4441" s="26" t="s">
        <v>514</v>
      </c>
      <c r="K4441" s="25" t="s">
        <v>513</v>
      </c>
    </row>
    <row r="4442" spans="1:11" ht="25.5" x14ac:dyDescent="0.25">
      <c r="A4442" s="22">
        <v>2026</v>
      </c>
      <c r="B4442" s="28" t="s">
        <v>203</v>
      </c>
      <c r="C4442" s="28" t="s">
        <v>97</v>
      </c>
      <c r="D4442" s="28" t="s">
        <v>1789</v>
      </c>
      <c r="E4442" s="29" t="s">
        <v>1800</v>
      </c>
      <c r="F4442" s="29" t="s">
        <v>374</v>
      </c>
      <c r="G4442" s="25" t="s">
        <v>6148</v>
      </c>
      <c r="H4442" s="26">
        <v>-0.2540575739</v>
      </c>
      <c r="I4442" s="26"/>
      <c r="J4442" s="26" t="s">
        <v>514</v>
      </c>
      <c r="K4442" s="25" t="s">
        <v>513</v>
      </c>
    </row>
    <row r="4443" spans="1:11" ht="25.5" x14ac:dyDescent="0.25">
      <c r="A4443" s="22">
        <v>2026</v>
      </c>
      <c r="B4443" s="28" t="s">
        <v>203</v>
      </c>
      <c r="C4443" s="28" t="s">
        <v>97</v>
      </c>
      <c r="D4443" s="28" t="s">
        <v>1789</v>
      </c>
      <c r="E4443" s="29" t="s">
        <v>1800</v>
      </c>
      <c r="F4443" s="29" t="s">
        <v>374</v>
      </c>
      <c r="G4443" s="25" t="s">
        <v>6149</v>
      </c>
      <c r="H4443" s="26">
        <v>-0.30877279199999996</v>
      </c>
      <c r="I4443" s="26"/>
      <c r="J4443" s="26" t="s">
        <v>514</v>
      </c>
      <c r="K4443" s="25" t="s">
        <v>513</v>
      </c>
    </row>
    <row r="4444" spans="1:11" ht="25.5" x14ac:dyDescent="0.25">
      <c r="A4444" s="22">
        <v>2026</v>
      </c>
      <c r="B4444" s="28" t="s">
        <v>203</v>
      </c>
      <c r="C4444" s="28" t="s">
        <v>97</v>
      </c>
      <c r="D4444" s="28" t="s">
        <v>1789</v>
      </c>
      <c r="E4444" s="29" t="s">
        <v>1800</v>
      </c>
      <c r="F4444" s="29" t="s">
        <v>374</v>
      </c>
      <c r="G4444" s="25" t="s">
        <v>6150</v>
      </c>
      <c r="H4444" s="26">
        <v>-0.248604036</v>
      </c>
      <c r="I4444" s="26"/>
      <c r="J4444" s="26" t="s">
        <v>514</v>
      </c>
      <c r="K4444" s="25" t="s">
        <v>513</v>
      </c>
    </row>
    <row r="4445" spans="1:11" ht="25.5" x14ac:dyDescent="0.25">
      <c r="A4445" s="22">
        <v>2026</v>
      </c>
      <c r="B4445" s="28" t="s">
        <v>203</v>
      </c>
      <c r="C4445" s="28" t="s">
        <v>97</v>
      </c>
      <c r="D4445" s="28" t="s">
        <v>1789</v>
      </c>
      <c r="E4445" s="29" t="s">
        <v>1800</v>
      </c>
      <c r="F4445" s="29" t="s">
        <v>374</v>
      </c>
      <c r="G4445" s="25" t="s">
        <v>6151</v>
      </c>
      <c r="H4445" s="26">
        <v>-0.28619581770000002</v>
      </c>
      <c r="I4445" s="26"/>
      <c r="J4445" s="26" t="s">
        <v>514</v>
      </c>
      <c r="K4445" s="25" t="s">
        <v>513</v>
      </c>
    </row>
    <row r="4446" spans="1:11" ht="25.5" x14ac:dyDescent="0.25">
      <c r="A4446" s="22">
        <v>2026</v>
      </c>
      <c r="B4446" s="28" t="s">
        <v>203</v>
      </c>
      <c r="C4446" s="28" t="s">
        <v>97</v>
      </c>
      <c r="D4446" s="28" t="s">
        <v>1789</v>
      </c>
      <c r="E4446" s="29" t="s">
        <v>1800</v>
      </c>
      <c r="F4446" s="29" t="s">
        <v>374</v>
      </c>
      <c r="G4446" s="25" t="s">
        <v>6152</v>
      </c>
      <c r="H4446" s="26">
        <v>-0.32321435399999998</v>
      </c>
      <c r="I4446" s="26"/>
      <c r="J4446" s="26" t="s">
        <v>514</v>
      </c>
      <c r="K4446" s="25" t="s">
        <v>513</v>
      </c>
    </row>
    <row r="4447" spans="1:11" ht="25.5" x14ac:dyDescent="0.25">
      <c r="A4447" s="22">
        <v>2026</v>
      </c>
      <c r="B4447" s="28" t="s">
        <v>203</v>
      </c>
      <c r="C4447" s="28" t="s">
        <v>97</v>
      </c>
      <c r="D4447" s="28" t="s">
        <v>191</v>
      </c>
      <c r="E4447" s="29" t="s">
        <v>643</v>
      </c>
      <c r="F4447" s="29" t="s">
        <v>343</v>
      </c>
      <c r="G4447" s="25" t="s">
        <v>6153</v>
      </c>
      <c r="H4447" s="26">
        <v>-0.25237500000000002</v>
      </c>
      <c r="I4447" s="26"/>
      <c r="J4447" s="26" t="s">
        <v>512</v>
      </c>
      <c r="K4447" s="25" t="s">
        <v>513</v>
      </c>
    </row>
    <row r="4448" spans="1:11" ht="25.5" x14ac:dyDescent="0.25">
      <c r="A4448" s="22">
        <v>2026</v>
      </c>
      <c r="B4448" s="28" t="s">
        <v>203</v>
      </c>
      <c r="C4448" s="28" t="s">
        <v>97</v>
      </c>
      <c r="D4448" s="28" t="s">
        <v>191</v>
      </c>
      <c r="E4448" s="29" t="s">
        <v>643</v>
      </c>
      <c r="F4448" s="29" t="s">
        <v>343</v>
      </c>
      <c r="G4448" s="25" t="s">
        <v>6154</v>
      </c>
      <c r="H4448" s="26">
        <v>-3.3500000000000002E-2</v>
      </c>
      <c r="I4448" s="26"/>
      <c r="J4448" s="26" t="s">
        <v>512</v>
      </c>
      <c r="K4448" s="25" t="s">
        <v>513</v>
      </c>
    </row>
    <row r="4449" spans="1:11" ht="25.5" x14ac:dyDescent="0.25">
      <c r="A4449" s="22">
        <v>2026</v>
      </c>
      <c r="B4449" s="28" t="s">
        <v>203</v>
      </c>
      <c r="C4449" s="28" t="s">
        <v>97</v>
      </c>
      <c r="D4449" s="28" t="s">
        <v>191</v>
      </c>
      <c r="E4449" s="29" t="s">
        <v>643</v>
      </c>
      <c r="F4449" s="29" t="s">
        <v>343</v>
      </c>
      <c r="G4449" s="25" t="s">
        <v>6155</v>
      </c>
      <c r="H4449" s="26">
        <v>-0.23425499999999999</v>
      </c>
      <c r="I4449" s="26"/>
      <c r="J4449" s="26" t="s">
        <v>512</v>
      </c>
      <c r="K4449" s="25" t="s">
        <v>513</v>
      </c>
    </row>
    <row r="4450" spans="1:11" ht="25.5" x14ac:dyDescent="0.25">
      <c r="A4450" s="22">
        <v>2026</v>
      </c>
      <c r="B4450" s="28" t="s">
        <v>203</v>
      </c>
      <c r="C4450" s="28" t="s">
        <v>97</v>
      </c>
      <c r="D4450" s="28" t="s">
        <v>191</v>
      </c>
      <c r="E4450" s="29" t="s">
        <v>643</v>
      </c>
      <c r="F4450" s="29" t="s">
        <v>343</v>
      </c>
      <c r="G4450" s="25" t="s">
        <v>6156</v>
      </c>
      <c r="H4450" s="26">
        <v>-0.30720599999999998</v>
      </c>
      <c r="I4450" s="26"/>
      <c r="J4450" s="26" t="s">
        <v>512</v>
      </c>
      <c r="K4450" s="25" t="s">
        <v>513</v>
      </c>
    </row>
    <row r="4451" spans="1:11" ht="25.5" x14ac:dyDescent="0.25">
      <c r="A4451" s="22">
        <v>2026</v>
      </c>
      <c r="B4451" s="28" t="s">
        <v>203</v>
      </c>
      <c r="C4451" s="28" t="s">
        <v>97</v>
      </c>
      <c r="D4451" s="28" t="s">
        <v>191</v>
      </c>
      <c r="E4451" s="29" t="s">
        <v>643</v>
      </c>
      <c r="F4451" s="29" t="s">
        <v>343</v>
      </c>
      <c r="G4451" s="25" t="s">
        <v>4725</v>
      </c>
      <c r="H4451" s="26">
        <v>-0.17199999999999999</v>
      </c>
      <c r="I4451" s="26"/>
      <c r="J4451" s="26" t="s">
        <v>512</v>
      </c>
      <c r="K4451" s="25" t="s">
        <v>513</v>
      </c>
    </row>
    <row r="4452" spans="1:11" ht="25.5" x14ac:dyDescent="0.25">
      <c r="A4452" s="22">
        <v>2026</v>
      </c>
      <c r="B4452" s="28" t="s">
        <v>203</v>
      </c>
      <c r="C4452" s="28" t="s">
        <v>97</v>
      </c>
      <c r="D4452" s="28" t="s">
        <v>191</v>
      </c>
      <c r="E4452" s="29" t="s">
        <v>643</v>
      </c>
      <c r="F4452" s="29" t="s">
        <v>343</v>
      </c>
      <c r="G4452" s="25" t="s">
        <v>6157</v>
      </c>
      <c r="H4452" s="26">
        <v>-0.1214885</v>
      </c>
      <c r="I4452" s="26"/>
      <c r="J4452" s="26" t="s">
        <v>512</v>
      </c>
      <c r="K4452" s="25" t="s">
        <v>513</v>
      </c>
    </row>
    <row r="4453" spans="1:11" ht="25.5" x14ac:dyDescent="0.25">
      <c r="A4453" s="22">
        <v>2026</v>
      </c>
      <c r="B4453" s="28" t="s">
        <v>203</v>
      </c>
      <c r="C4453" s="28" t="s">
        <v>97</v>
      </c>
      <c r="D4453" s="28" t="s">
        <v>191</v>
      </c>
      <c r="E4453" s="29" t="s">
        <v>643</v>
      </c>
      <c r="F4453" s="29" t="s">
        <v>343</v>
      </c>
      <c r="G4453" s="25" t="s">
        <v>6158</v>
      </c>
      <c r="H4453" s="26">
        <v>-8.5750000000000007E-2</v>
      </c>
      <c r="I4453" s="26"/>
      <c r="J4453" s="26" t="s">
        <v>512</v>
      </c>
      <c r="K4453" s="25" t="s">
        <v>513</v>
      </c>
    </row>
    <row r="4454" spans="1:11" ht="25.5" x14ac:dyDescent="0.25">
      <c r="A4454" s="22">
        <v>2026</v>
      </c>
      <c r="B4454" s="28" t="s">
        <v>203</v>
      </c>
      <c r="C4454" s="28" t="s">
        <v>97</v>
      </c>
      <c r="D4454" s="28" t="s">
        <v>191</v>
      </c>
      <c r="E4454" s="29" t="s">
        <v>643</v>
      </c>
      <c r="F4454" s="29" t="s">
        <v>343</v>
      </c>
      <c r="G4454" s="25" t="s">
        <v>4900</v>
      </c>
      <c r="H4454" s="26">
        <v>-8.6749999999999994E-2</v>
      </c>
      <c r="I4454" s="26"/>
      <c r="J4454" s="26" t="s">
        <v>512</v>
      </c>
      <c r="K4454" s="25" t="s">
        <v>513</v>
      </c>
    </row>
    <row r="4455" spans="1:11" ht="25.5" x14ac:dyDescent="0.25">
      <c r="A4455" s="22">
        <v>2026</v>
      </c>
      <c r="B4455" s="28" t="s">
        <v>203</v>
      </c>
      <c r="C4455" s="28" t="s">
        <v>97</v>
      </c>
      <c r="D4455" s="28" t="s">
        <v>191</v>
      </c>
      <c r="E4455" s="29" t="s">
        <v>643</v>
      </c>
      <c r="F4455" s="29" t="s">
        <v>343</v>
      </c>
      <c r="G4455" s="25" t="s">
        <v>6159</v>
      </c>
      <c r="H4455" s="26">
        <v>-8.7999999999999995E-2</v>
      </c>
      <c r="I4455" s="26"/>
      <c r="J4455" s="26" t="s">
        <v>512</v>
      </c>
      <c r="K4455" s="25" t="s">
        <v>513</v>
      </c>
    </row>
    <row r="4456" spans="1:11" ht="25.5" x14ac:dyDescent="0.25">
      <c r="A4456" s="22">
        <v>2026</v>
      </c>
      <c r="B4456" s="28" t="s">
        <v>203</v>
      </c>
      <c r="C4456" s="28" t="s">
        <v>97</v>
      </c>
      <c r="D4456" s="28" t="s">
        <v>191</v>
      </c>
      <c r="E4456" s="29" t="s">
        <v>643</v>
      </c>
      <c r="F4456" s="29" t="s">
        <v>343</v>
      </c>
      <c r="G4456" s="25" t="s">
        <v>6160</v>
      </c>
      <c r="H4456" s="26">
        <v>-8.8624999999999995E-2</v>
      </c>
      <c r="I4456" s="26"/>
      <c r="J4456" s="26" t="s">
        <v>512</v>
      </c>
      <c r="K4456" s="25" t="s">
        <v>513</v>
      </c>
    </row>
    <row r="4457" spans="1:11" ht="25.5" x14ac:dyDescent="0.25">
      <c r="A4457" s="22">
        <v>2026</v>
      </c>
      <c r="B4457" s="28" t="s">
        <v>203</v>
      </c>
      <c r="C4457" s="28" t="s">
        <v>97</v>
      </c>
      <c r="D4457" s="28" t="s">
        <v>543</v>
      </c>
      <c r="E4457" s="29" t="s">
        <v>578</v>
      </c>
      <c r="F4457" s="29" t="s">
        <v>335</v>
      </c>
      <c r="G4457" s="25" t="s">
        <v>6161</v>
      </c>
      <c r="H4457" s="26">
        <v>-0.1085</v>
      </c>
      <c r="I4457" s="26"/>
      <c r="J4457" s="26" t="s">
        <v>512</v>
      </c>
      <c r="K4457" s="25" t="s">
        <v>513</v>
      </c>
    </row>
    <row r="4458" spans="1:11" ht="25.5" x14ac:dyDescent="0.25">
      <c r="A4458" s="22">
        <v>2026</v>
      </c>
      <c r="B4458" s="28" t="s">
        <v>203</v>
      </c>
      <c r="C4458" s="28" t="s">
        <v>97</v>
      </c>
      <c r="D4458" s="28" t="s">
        <v>543</v>
      </c>
      <c r="E4458" s="29" t="s">
        <v>578</v>
      </c>
      <c r="F4458" s="29" t="s">
        <v>335</v>
      </c>
      <c r="G4458" s="25" t="s">
        <v>6162</v>
      </c>
      <c r="H4458" s="26">
        <v>-0.57349760000000005</v>
      </c>
      <c r="I4458" s="26"/>
      <c r="J4458" s="26" t="s">
        <v>512</v>
      </c>
      <c r="K4458" s="25" t="s">
        <v>513</v>
      </c>
    </row>
    <row r="4459" spans="1:11" ht="25.5" x14ac:dyDescent="0.25">
      <c r="A4459" s="22">
        <v>2026</v>
      </c>
      <c r="B4459" s="28" t="s">
        <v>203</v>
      </c>
      <c r="C4459" s="28" t="s">
        <v>97</v>
      </c>
      <c r="D4459" s="28" t="s">
        <v>543</v>
      </c>
      <c r="E4459" s="29" t="s">
        <v>578</v>
      </c>
      <c r="F4459" s="29" t="s">
        <v>335</v>
      </c>
      <c r="G4459" s="25" t="s">
        <v>6163</v>
      </c>
      <c r="H4459" s="26">
        <v>-0.19620000000000001</v>
      </c>
      <c r="I4459" s="26"/>
      <c r="J4459" s="26" t="s">
        <v>512</v>
      </c>
      <c r="K4459" s="25" t="s">
        <v>513</v>
      </c>
    </row>
    <row r="4460" spans="1:11" ht="25.5" x14ac:dyDescent="0.25">
      <c r="A4460" s="22">
        <v>2026</v>
      </c>
      <c r="B4460" s="28" t="s">
        <v>203</v>
      </c>
      <c r="C4460" s="28" t="s">
        <v>97</v>
      </c>
      <c r="D4460" s="28" t="s">
        <v>543</v>
      </c>
      <c r="E4460" s="29" t="s">
        <v>578</v>
      </c>
      <c r="F4460" s="29" t="s">
        <v>335</v>
      </c>
      <c r="G4460" s="25" t="s">
        <v>6164</v>
      </c>
      <c r="H4460" s="26">
        <v>-0.13200000000000001</v>
      </c>
      <c r="I4460" s="26"/>
      <c r="J4460" s="26" t="s">
        <v>512</v>
      </c>
      <c r="K4460" s="25" t="s">
        <v>513</v>
      </c>
    </row>
    <row r="4461" spans="1:11" ht="25.5" x14ac:dyDescent="0.25">
      <c r="A4461" s="22">
        <v>2026</v>
      </c>
      <c r="B4461" s="28" t="s">
        <v>203</v>
      </c>
      <c r="C4461" s="28" t="s">
        <v>97</v>
      </c>
      <c r="D4461" s="28" t="s">
        <v>543</v>
      </c>
      <c r="E4461" s="29" t="s">
        <v>578</v>
      </c>
      <c r="F4461" s="29" t="s">
        <v>335</v>
      </c>
      <c r="G4461" s="25" t="s">
        <v>6165</v>
      </c>
      <c r="H4461" s="26">
        <v>-0.33249899999999999</v>
      </c>
      <c r="I4461" s="26"/>
      <c r="J4461" s="26" t="s">
        <v>512</v>
      </c>
      <c r="K4461" s="25" t="s">
        <v>513</v>
      </c>
    </row>
    <row r="4462" spans="1:11" ht="25.5" x14ac:dyDescent="0.25">
      <c r="A4462" s="22">
        <v>2026</v>
      </c>
      <c r="B4462" s="28" t="s">
        <v>203</v>
      </c>
      <c r="C4462" s="28" t="s">
        <v>97</v>
      </c>
      <c r="D4462" s="28" t="s">
        <v>543</v>
      </c>
      <c r="E4462" s="29" t="s">
        <v>578</v>
      </c>
      <c r="F4462" s="29" t="s">
        <v>335</v>
      </c>
      <c r="G4462" s="25" t="s">
        <v>6166</v>
      </c>
      <c r="H4462" s="26">
        <v>-0.40332419999999997</v>
      </c>
      <c r="I4462" s="26"/>
      <c r="J4462" s="26" t="s">
        <v>512</v>
      </c>
      <c r="K4462" s="25" t="s">
        <v>513</v>
      </c>
    </row>
    <row r="4463" spans="1:11" ht="25.5" x14ac:dyDescent="0.25">
      <c r="A4463" s="22">
        <v>2026</v>
      </c>
      <c r="B4463" s="28" t="s">
        <v>203</v>
      </c>
      <c r="C4463" s="28" t="s">
        <v>97</v>
      </c>
      <c r="D4463" s="28" t="s">
        <v>543</v>
      </c>
      <c r="E4463" s="29" t="s">
        <v>578</v>
      </c>
      <c r="F4463" s="29" t="s">
        <v>335</v>
      </c>
      <c r="G4463" s="25" t="s">
        <v>6167</v>
      </c>
      <c r="H4463" s="26">
        <v>-0.11175</v>
      </c>
      <c r="I4463" s="26"/>
      <c r="J4463" s="26" t="s">
        <v>512</v>
      </c>
      <c r="K4463" s="25" t="s">
        <v>513</v>
      </c>
    </row>
    <row r="4464" spans="1:11" ht="25.5" x14ac:dyDescent="0.25">
      <c r="A4464" s="22">
        <v>2026</v>
      </c>
      <c r="B4464" s="28" t="s">
        <v>203</v>
      </c>
      <c r="C4464" s="28" t="s">
        <v>97</v>
      </c>
      <c r="D4464" s="28" t="s">
        <v>543</v>
      </c>
      <c r="E4464" s="29" t="s">
        <v>578</v>
      </c>
      <c r="F4464" s="29" t="s">
        <v>335</v>
      </c>
      <c r="G4464" s="25" t="s">
        <v>3706</v>
      </c>
      <c r="H4464" s="26">
        <v>-0.166875</v>
      </c>
      <c r="I4464" s="26"/>
      <c r="J4464" s="26" t="s">
        <v>512</v>
      </c>
      <c r="K4464" s="25" t="s">
        <v>513</v>
      </c>
    </row>
    <row r="4465" spans="1:11" ht="25.5" x14ac:dyDescent="0.25">
      <c r="A4465" s="22">
        <v>2026</v>
      </c>
      <c r="B4465" s="28" t="s">
        <v>203</v>
      </c>
      <c r="C4465" s="28" t="s">
        <v>97</v>
      </c>
      <c r="D4465" s="28" t="s">
        <v>543</v>
      </c>
      <c r="E4465" s="29" t="s">
        <v>578</v>
      </c>
      <c r="F4465" s="29" t="s">
        <v>335</v>
      </c>
      <c r="G4465" s="25" t="s">
        <v>6168</v>
      </c>
      <c r="H4465" s="26">
        <v>-0.22200000000000003</v>
      </c>
      <c r="I4465" s="26"/>
      <c r="J4465" s="26" t="s">
        <v>512</v>
      </c>
      <c r="K4465" s="25" t="s">
        <v>513</v>
      </c>
    </row>
    <row r="4466" spans="1:11" ht="25.5" x14ac:dyDescent="0.25">
      <c r="A4466" s="22">
        <v>2026</v>
      </c>
      <c r="B4466" s="28" t="s">
        <v>203</v>
      </c>
      <c r="C4466" s="28" t="s">
        <v>97</v>
      </c>
      <c r="D4466" s="28" t="s">
        <v>543</v>
      </c>
      <c r="E4466" s="29" t="s">
        <v>578</v>
      </c>
      <c r="F4466" s="29" t="s">
        <v>335</v>
      </c>
      <c r="G4466" s="25" t="s">
        <v>6169</v>
      </c>
      <c r="H4466" s="26">
        <v>-0.28860000000000002</v>
      </c>
      <c r="I4466" s="26"/>
      <c r="J4466" s="26" t="s">
        <v>512</v>
      </c>
      <c r="K4466" s="25" t="s">
        <v>513</v>
      </c>
    </row>
    <row r="4467" spans="1:11" ht="25.5" x14ac:dyDescent="0.25">
      <c r="A4467" s="22">
        <v>2026</v>
      </c>
      <c r="B4467" s="28" t="s">
        <v>203</v>
      </c>
      <c r="C4467" s="28" t="s">
        <v>97</v>
      </c>
      <c r="D4467" s="28" t="s">
        <v>543</v>
      </c>
      <c r="E4467" s="29" t="s">
        <v>578</v>
      </c>
      <c r="F4467" s="29" t="s">
        <v>335</v>
      </c>
      <c r="G4467" s="25" t="s">
        <v>6170</v>
      </c>
      <c r="H4467" s="26">
        <v>-0.12155000000000001</v>
      </c>
      <c r="I4467" s="26"/>
      <c r="J4467" s="26" t="s">
        <v>512</v>
      </c>
      <c r="K4467" s="25" t="s">
        <v>513</v>
      </c>
    </row>
    <row r="4468" spans="1:11" ht="25.5" x14ac:dyDescent="0.25">
      <c r="A4468" s="22">
        <v>2026</v>
      </c>
      <c r="B4468" s="28" t="s">
        <v>203</v>
      </c>
      <c r="C4468" s="28" t="s">
        <v>97</v>
      </c>
      <c r="D4468" s="28" t="s">
        <v>534</v>
      </c>
      <c r="E4468" s="29" t="s">
        <v>337</v>
      </c>
      <c r="F4468" s="29" t="s">
        <v>287</v>
      </c>
      <c r="G4468" s="25" t="s">
        <v>6171</v>
      </c>
      <c r="H4468" s="26">
        <v>-0.88052628480000006</v>
      </c>
      <c r="I4468" s="26"/>
      <c r="J4468" s="26" t="s">
        <v>512</v>
      </c>
      <c r="K4468" s="25" t="s">
        <v>526</v>
      </c>
    </row>
    <row r="4469" spans="1:11" ht="25.5" x14ac:dyDescent="0.25">
      <c r="A4469" s="22">
        <v>2026</v>
      </c>
      <c r="B4469" s="28" t="s">
        <v>203</v>
      </c>
      <c r="C4469" s="28" t="s">
        <v>97</v>
      </c>
      <c r="D4469" s="28" t="s">
        <v>534</v>
      </c>
      <c r="E4469" s="29" t="s">
        <v>337</v>
      </c>
      <c r="F4469" s="29" t="s">
        <v>287</v>
      </c>
      <c r="G4469" s="25" t="s">
        <v>6172</v>
      </c>
      <c r="H4469" s="26">
        <v>-0.15374060000000001</v>
      </c>
      <c r="I4469" s="26"/>
      <c r="J4469" s="26" t="s">
        <v>512</v>
      </c>
      <c r="K4469" s="25" t="s">
        <v>526</v>
      </c>
    </row>
    <row r="4470" spans="1:11" ht="25.5" x14ac:dyDescent="0.25">
      <c r="A4470" s="22">
        <v>2026</v>
      </c>
      <c r="B4470" s="28" t="s">
        <v>203</v>
      </c>
      <c r="C4470" s="28" t="s">
        <v>97</v>
      </c>
      <c r="D4470" s="28" t="s">
        <v>534</v>
      </c>
      <c r="E4470" s="29" t="s">
        <v>337</v>
      </c>
      <c r="F4470" s="29" t="s">
        <v>287</v>
      </c>
      <c r="G4470" s="25" t="s">
        <v>6173</v>
      </c>
      <c r="H4470" s="26">
        <v>-4.3260560000000003E-2</v>
      </c>
      <c r="I4470" s="26"/>
      <c r="J4470" s="26" t="s">
        <v>512</v>
      </c>
      <c r="K4470" s="25" t="s">
        <v>526</v>
      </c>
    </row>
    <row r="4471" spans="1:11" ht="25.5" x14ac:dyDescent="0.25">
      <c r="A4471" s="22">
        <v>2026</v>
      </c>
      <c r="B4471" s="28" t="s">
        <v>203</v>
      </c>
      <c r="C4471" s="28" t="s">
        <v>97</v>
      </c>
      <c r="D4471" s="28" t="s">
        <v>534</v>
      </c>
      <c r="E4471" s="29" t="s">
        <v>337</v>
      </c>
      <c r="F4471" s="29" t="s">
        <v>287</v>
      </c>
      <c r="G4471" s="25" t="s">
        <v>6174</v>
      </c>
      <c r="H4471" s="26">
        <v>-0.13375000000000001</v>
      </c>
      <c r="I4471" s="26"/>
      <c r="J4471" s="26" t="s">
        <v>512</v>
      </c>
      <c r="K4471" s="25" t="s">
        <v>526</v>
      </c>
    </row>
    <row r="4472" spans="1:11" ht="25.5" x14ac:dyDescent="0.25">
      <c r="A4472" s="22">
        <v>2026</v>
      </c>
      <c r="B4472" s="28" t="s">
        <v>203</v>
      </c>
      <c r="C4472" s="28" t="s">
        <v>97</v>
      </c>
      <c r="D4472" s="28" t="s">
        <v>534</v>
      </c>
      <c r="E4472" s="29" t="s">
        <v>337</v>
      </c>
      <c r="F4472" s="29" t="s">
        <v>287</v>
      </c>
      <c r="G4472" s="25" t="s">
        <v>6175</v>
      </c>
      <c r="H4472" s="26">
        <v>-0.62957257500000008</v>
      </c>
      <c r="I4472" s="26"/>
      <c r="J4472" s="26" t="s">
        <v>512</v>
      </c>
      <c r="K4472" s="25" t="s">
        <v>526</v>
      </c>
    </row>
    <row r="4473" spans="1:11" ht="25.5" x14ac:dyDescent="0.25">
      <c r="A4473" s="22">
        <v>2026</v>
      </c>
      <c r="B4473" s="28" t="s">
        <v>203</v>
      </c>
      <c r="C4473" s="28" t="s">
        <v>97</v>
      </c>
      <c r="D4473" s="28" t="s">
        <v>534</v>
      </c>
      <c r="E4473" s="29" t="s">
        <v>337</v>
      </c>
      <c r="F4473" s="29" t="s">
        <v>287</v>
      </c>
      <c r="G4473" s="25" t="s">
        <v>6176</v>
      </c>
      <c r="H4473" s="26">
        <v>-0.98968311120000008</v>
      </c>
      <c r="I4473" s="26"/>
      <c r="J4473" s="26" t="s">
        <v>512</v>
      </c>
      <c r="K4473" s="25" t="s">
        <v>526</v>
      </c>
    </row>
    <row r="4474" spans="1:11" ht="25.5" x14ac:dyDescent="0.25">
      <c r="A4474" s="22">
        <v>2026</v>
      </c>
      <c r="B4474" s="28" t="s">
        <v>203</v>
      </c>
      <c r="C4474" s="28" t="s">
        <v>97</v>
      </c>
      <c r="D4474" s="28" t="s">
        <v>534</v>
      </c>
      <c r="E4474" s="29" t="s">
        <v>337</v>
      </c>
      <c r="F4474" s="29" t="s">
        <v>287</v>
      </c>
      <c r="G4474" s="25" t="s">
        <v>6177</v>
      </c>
      <c r="H4474" s="26">
        <v>-0.98979773789999992</v>
      </c>
      <c r="I4474" s="26"/>
      <c r="J4474" s="26" t="s">
        <v>512</v>
      </c>
      <c r="K4474" s="25" t="s">
        <v>526</v>
      </c>
    </row>
    <row r="4475" spans="1:11" ht="25.5" x14ac:dyDescent="0.25">
      <c r="A4475" s="22">
        <v>2026</v>
      </c>
      <c r="B4475" s="28" t="s">
        <v>203</v>
      </c>
      <c r="C4475" s="28" t="s">
        <v>97</v>
      </c>
      <c r="D4475" s="28" t="s">
        <v>534</v>
      </c>
      <c r="E4475" s="29" t="s">
        <v>337</v>
      </c>
      <c r="F4475" s="29" t="s">
        <v>287</v>
      </c>
      <c r="G4475" s="25" t="s">
        <v>6178</v>
      </c>
      <c r="H4475" s="26">
        <v>-1.1362107456000001</v>
      </c>
      <c r="I4475" s="26"/>
      <c r="J4475" s="26" t="s">
        <v>512</v>
      </c>
      <c r="K4475" s="25" t="s">
        <v>526</v>
      </c>
    </row>
    <row r="4476" spans="1:11" ht="25.5" x14ac:dyDescent="0.25">
      <c r="A4476" s="22">
        <v>2026</v>
      </c>
      <c r="B4476" s="28" t="s">
        <v>203</v>
      </c>
      <c r="C4476" s="28" t="s">
        <v>97</v>
      </c>
      <c r="D4476" s="28" t="s">
        <v>534</v>
      </c>
      <c r="E4476" s="29" t="s">
        <v>337</v>
      </c>
      <c r="F4476" s="29" t="s">
        <v>287</v>
      </c>
      <c r="G4476" s="25" t="s">
        <v>6179</v>
      </c>
      <c r="H4476" s="26">
        <v>-0.52451349659999991</v>
      </c>
      <c r="I4476" s="26"/>
      <c r="J4476" s="26" t="s">
        <v>512</v>
      </c>
      <c r="K4476" s="25" t="s">
        <v>526</v>
      </c>
    </row>
    <row r="4477" spans="1:11" ht="25.5" x14ac:dyDescent="0.25">
      <c r="A4477" s="22">
        <v>2026</v>
      </c>
      <c r="B4477" s="28" t="s">
        <v>203</v>
      </c>
      <c r="C4477" s="28" t="s">
        <v>97</v>
      </c>
      <c r="D4477" s="28" t="s">
        <v>534</v>
      </c>
      <c r="E4477" s="29" t="s">
        <v>337</v>
      </c>
      <c r="F4477" s="29" t="s">
        <v>287</v>
      </c>
      <c r="G4477" s="25" t="s">
        <v>6180</v>
      </c>
      <c r="H4477" s="26">
        <v>-1.13896</v>
      </c>
      <c r="I4477" s="26"/>
      <c r="J4477" s="26" t="s">
        <v>512</v>
      </c>
      <c r="K4477" s="25" t="s">
        <v>526</v>
      </c>
    </row>
    <row r="4478" spans="1:11" ht="25.5" x14ac:dyDescent="0.25">
      <c r="A4478" s="22">
        <v>2026</v>
      </c>
      <c r="B4478" s="28" t="s">
        <v>203</v>
      </c>
      <c r="C4478" s="28" t="s">
        <v>97</v>
      </c>
      <c r="D4478" s="28" t="s">
        <v>534</v>
      </c>
      <c r="E4478" s="29" t="s">
        <v>337</v>
      </c>
      <c r="F4478" s="29" t="s">
        <v>287</v>
      </c>
      <c r="G4478" s="25" t="s">
        <v>6181</v>
      </c>
      <c r="H4478" s="26">
        <v>-2.8485999999999998</v>
      </c>
      <c r="I4478" s="26"/>
      <c r="J4478" s="26" t="s">
        <v>512</v>
      </c>
      <c r="K4478" s="25" t="s">
        <v>526</v>
      </c>
    </row>
    <row r="4479" spans="1:11" ht="25.5" x14ac:dyDescent="0.25">
      <c r="A4479" s="22">
        <v>2026</v>
      </c>
      <c r="B4479" s="28" t="s">
        <v>203</v>
      </c>
      <c r="C4479" s="28" t="s">
        <v>97</v>
      </c>
      <c r="D4479" s="28" t="s">
        <v>1754</v>
      </c>
      <c r="E4479" s="29" t="s">
        <v>569</v>
      </c>
      <c r="F4479" s="29" t="s">
        <v>474</v>
      </c>
      <c r="G4479" s="25" t="s">
        <v>6182</v>
      </c>
      <c r="H4479" s="26">
        <v>-0.54287313138000004</v>
      </c>
      <c r="I4479" s="26"/>
      <c r="J4479" s="26" t="s">
        <v>512</v>
      </c>
      <c r="K4479" s="25" t="s">
        <v>513</v>
      </c>
    </row>
    <row r="4480" spans="1:11" ht="25.5" x14ac:dyDescent="0.25">
      <c r="A4480" s="22">
        <v>2026</v>
      </c>
      <c r="B4480" s="28" t="s">
        <v>203</v>
      </c>
      <c r="C4480" s="28" t="s">
        <v>97</v>
      </c>
      <c r="D4480" s="28" t="s">
        <v>1754</v>
      </c>
      <c r="E4480" s="29" t="s">
        <v>569</v>
      </c>
      <c r="F4480" s="29" t="s">
        <v>474</v>
      </c>
      <c r="G4480" s="25" t="s">
        <v>6183</v>
      </c>
      <c r="H4480" s="26">
        <v>-0.208057086</v>
      </c>
      <c r="I4480" s="26"/>
      <c r="J4480" s="26" t="s">
        <v>512</v>
      </c>
      <c r="K4480" s="25" t="s">
        <v>513</v>
      </c>
    </row>
    <row r="4481" spans="1:11" ht="25.5" x14ac:dyDescent="0.25">
      <c r="A4481" s="22">
        <v>2026</v>
      </c>
      <c r="B4481" s="28" t="s">
        <v>203</v>
      </c>
      <c r="C4481" s="28" t="s">
        <v>97</v>
      </c>
      <c r="D4481" s="28" t="s">
        <v>1754</v>
      </c>
      <c r="E4481" s="29" t="s">
        <v>569</v>
      </c>
      <c r="F4481" s="29" t="s">
        <v>474</v>
      </c>
      <c r="G4481" s="25" t="s">
        <v>6184</v>
      </c>
      <c r="H4481" s="26">
        <v>-0.1563245754</v>
      </c>
      <c r="I4481" s="26"/>
      <c r="J4481" s="26" t="s">
        <v>512</v>
      </c>
      <c r="K4481" s="25" t="s">
        <v>513</v>
      </c>
    </row>
    <row r="4482" spans="1:11" ht="25.5" x14ac:dyDescent="0.25">
      <c r="A4482" s="22">
        <v>2026</v>
      </c>
      <c r="B4482" s="28" t="s">
        <v>203</v>
      </c>
      <c r="C4482" s="28" t="s">
        <v>97</v>
      </c>
      <c r="D4482" s="28" t="s">
        <v>1754</v>
      </c>
      <c r="E4482" s="29" t="s">
        <v>569</v>
      </c>
      <c r="F4482" s="29" t="s">
        <v>474</v>
      </c>
      <c r="G4482" s="25" t="s">
        <v>6185</v>
      </c>
      <c r="H4482" s="26">
        <v>-0.43130213664000006</v>
      </c>
      <c r="I4482" s="26"/>
      <c r="J4482" s="26" t="s">
        <v>512</v>
      </c>
      <c r="K4482" s="25" t="s">
        <v>513</v>
      </c>
    </row>
    <row r="4483" spans="1:11" ht="25.5" x14ac:dyDescent="0.25">
      <c r="A4483" s="22">
        <v>2026</v>
      </c>
      <c r="B4483" s="28" t="s">
        <v>203</v>
      </c>
      <c r="C4483" s="28" t="s">
        <v>97</v>
      </c>
      <c r="D4483" s="28" t="s">
        <v>1754</v>
      </c>
      <c r="E4483" s="29" t="s">
        <v>569</v>
      </c>
      <c r="F4483" s="29" t="s">
        <v>474</v>
      </c>
      <c r="G4483" s="25" t="s">
        <v>6186</v>
      </c>
      <c r="H4483" s="26">
        <v>-0.29737198575000001</v>
      </c>
      <c r="I4483" s="26"/>
      <c r="J4483" s="26" t="s">
        <v>512</v>
      </c>
      <c r="K4483" s="25" t="s">
        <v>513</v>
      </c>
    </row>
    <row r="4484" spans="1:11" ht="25.5" x14ac:dyDescent="0.25">
      <c r="A4484" s="22">
        <v>2026</v>
      </c>
      <c r="B4484" s="28" t="s">
        <v>203</v>
      </c>
      <c r="C4484" s="28" t="s">
        <v>97</v>
      </c>
      <c r="D4484" s="28" t="s">
        <v>1754</v>
      </c>
      <c r="E4484" s="29" t="s">
        <v>569</v>
      </c>
      <c r="F4484" s="29" t="s">
        <v>474</v>
      </c>
      <c r="G4484" s="25" t="s">
        <v>6187</v>
      </c>
      <c r="H4484" s="26">
        <v>-1.1408199999999999</v>
      </c>
      <c r="I4484" s="26"/>
      <c r="J4484" s="26" t="s">
        <v>512</v>
      </c>
      <c r="K4484" s="25" t="s">
        <v>513</v>
      </c>
    </row>
    <row r="4485" spans="1:11" ht="25.5" x14ac:dyDescent="0.25">
      <c r="A4485" s="22">
        <v>2026</v>
      </c>
      <c r="B4485" s="28" t="s">
        <v>203</v>
      </c>
      <c r="C4485" s="28" t="s">
        <v>97</v>
      </c>
      <c r="D4485" s="28" t="s">
        <v>1754</v>
      </c>
      <c r="E4485" s="29" t="s">
        <v>569</v>
      </c>
      <c r="F4485" s="29" t="s">
        <v>474</v>
      </c>
      <c r="G4485" s="25" t="s">
        <v>6188</v>
      </c>
      <c r="H4485" s="26">
        <v>-1.1357999999999999</v>
      </c>
      <c r="I4485" s="26"/>
      <c r="J4485" s="26" t="s">
        <v>512</v>
      </c>
      <c r="K4485" s="25" t="s">
        <v>513</v>
      </c>
    </row>
    <row r="4486" spans="1:11" ht="25.5" x14ac:dyDescent="0.25">
      <c r="A4486" s="22">
        <v>2026</v>
      </c>
      <c r="B4486" s="28" t="s">
        <v>203</v>
      </c>
      <c r="C4486" s="28" t="s">
        <v>97</v>
      </c>
      <c r="D4486" s="28" t="s">
        <v>1754</v>
      </c>
      <c r="E4486" s="29" t="s">
        <v>569</v>
      </c>
      <c r="F4486" s="29" t="s">
        <v>474</v>
      </c>
      <c r="G4486" s="25" t="s">
        <v>6189</v>
      </c>
      <c r="H4486" s="26">
        <v>-1.05808607436</v>
      </c>
      <c r="I4486" s="26"/>
      <c r="J4486" s="26" t="s">
        <v>512</v>
      </c>
      <c r="K4486" s="25" t="s">
        <v>513</v>
      </c>
    </row>
    <row r="4487" spans="1:11" ht="25.5" x14ac:dyDescent="0.25">
      <c r="A4487" s="22">
        <v>2026</v>
      </c>
      <c r="B4487" s="28" t="s">
        <v>203</v>
      </c>
      <c r="C4487" s="28" t="s">
        <v>97</v>
      </c>
      <c r="D4487" s="28" t="s">
        <v>1754</v>
      </c>
      <c r="E4487" s="29" t="s">
        <v>569</v>
      </c>
      <c r="F4487" s="29" t="s">
        <v>474</v>
      </c>
      <c r="G4487" s="25" t="s">
        <v>6190</v>
      </c>
      <c r="H4487" s="26">
        <v>-1.1312249999999999</v>
      </c>
      <c r="I4487" s="26"/>
      <c r="J4487" s="26" t="s">
        <v>512</v>
      </c>
      <c r="K4487" s="25" t="s">
        <v>513</v>
      </c>
    </row>
    <row r="4488" spans="1:11" ht="25.5" x14ac:dyDescent="0.25">
      <c r="A4488" s="22">
        <v>2026</v>
      </c>
      <c r="B4488" s="28" t="s">
        <v>203</v>
      </c>
      <c r="C4488" s="28" t="s">
        <v>97</v>
      </c>
      <c r="D4488" s="28" t="s">
        <v>1754</v>
      </c>
      <c r="E4488" s="29" t="s">
        <v>569</v>
      </c>
      <c r="F4488" s="29" t="s">
        <v>474</v>
      </c>
      <c r="G4488" s="25" t="s">
        <v>6191</v>
      </c>
      <c r="H4488" s="26">
        <v>-0.20755471</v>
      </c>
      <c r="I4488" s="26"/>
      <c r="J4488" s="26" t="s">
        <v>512</v>
      </c>
      <c r="K4488" s="25" t="s">
        <v>513</v>
      </c>
    </row>
    <row r="4489" spans="1:11" ht="25.5" x14ac:dyDescent="0.25">
      <c r="A4489" s="22">
        <v>2026</v>
      </c>
      <c r="B4489" s="28" t="s">
        <v>203</v>
      </c>
      <c r="C4489" s="28" t="s">
        <v>97</v>
      </c>
      <c r="D4489" s="28" t="s">
        <v>1755</v>
      </c>
      <c r="E4489" s="29" t="s">
        <v>923</v>
      </c>
      <c r="F4489" s="29" t="s">
        <v>340</v>
      </c>
      <c r="G4489" s="25" t="s">
        <v>6192</v>
      </c>
      <c r="H4489" s="26">
        <v>-0.16073999999999999</v>
      </c>
      <c r="I4489" s="26"/>
      <c r="J4489" s="26" t="s">
        <v>512</v>
      </c>
      <c r="K4489" s="25" t="s">
        <v>513</v>
      </c>
    </row>
    <row r="4490" spans="1:11" ht="25.5" x14ac:dyDescent="0.25">
      <c r="A4490" s="22">
        <v>2026</v>
      </c>
      <c r="B4490" s="28" t="s">
        <v>203</v>
      </c>
      <c r="C4490" s="28" t="s">
        <v>97</v>
      </c>
      <c r="D4490" s="28" t="s">
        <v>1755</v>
      </c>
      <c r="E4490" s="29" t="s">
        <v>923</v>
      </c>
      <c r="F4490" s="29" t="s">
        <v>340</v>
      </c>
      <c r="G4490" s="25" t="s">
        <v>6193</v>
      </c>
      <c r="H4490" s="26">
        <v>-7.3440000000000005E-2</v>
      </c>
      <c r="I4490" s="26"/>
      <c r="J4490" s="26" t="s">
        <v>512</v>
      </c>
      <c r="K4490" s="25" t="s">
        <v>513</v>
      </c>
    </row>
    <row r="4491" spans="1:11" ht="25.5" x14ac:dyDescent="0.25">
      <c r="A4491" s="22">
        <v>2026</v>
      </c>
      <c r="B4491" s="28" t="s">
        <v>203</v>
      </c>
      <c r="C4491" s="28" t="s">
        <v>97</v>
      </c>
      <c r="D4491" s="28" t="s">
        <v>1755</v>
      </c>
      <c r="E4491" s="29" t="s">
        <v>923</v>
      </c>
      <c r="F4491" s="29" t="s">
        <v>340</v>
      </c>
      <c r="G4491" s="25" t="s">
        <v>6194</v>
      </c>
      <c r="H4491" s="26">
        <v>-0.17046</v>
      </c>
      <c r="I4491" s="26"/>
      <c r="J4491" s="26" t="s">
        <v>512</v>
      </c>
      <c r="K4491" s="25" t="s">
        <v>513</v>
      </c>
    </row>
    <row r="4492" spans="1:11" ht="25.5" x14ac:dyDescent="0.25">
      <c r="A4492" s="22">
        <v>2026</v>
      </c>
      <c r="B4492" s="28" t="s">
        <v>203</v>
      </c>
      <c r="C4492" s="28" t="s">
        <v>97</v>
      </c>
      <c r="D4492" s="28" t="s">
        <v>1755</v>
      </c>
      <c r="E4492" s="29" t="s">
        <v>923</v>
      </c>
      <c r="F4492" s="29" t="s">
        <v>340</v>
      </c>
      <c r="G4492" s="25" t="s">
        <v>6195</v>
      </c>
      <c r="H4492" s="26">
        <v>-0.18940000000000001</v>
      </c>
      <c r="I4492" s="26"/>
      <c r="J4492" s="26" t="s">
        <v>512</v>
      </c>
      <c r="K4492" s="25" t="s">
        <v>513</v>
      </c>
    </row>
    <row r="4493" spans="1:11" ht="25.5" x14ac:dyDescent="0.25">
      <c r="A4493" s="22">
        <v>2026</v>
      </c>
      <c r="B4493" s="28" t="s">
        <v>203</v>
      </c>
      <c r="C4493" s="28" t="s">
        <v>97</v>
      </c>
      <c r="D4493" s="28" t="s">
        <v>1755</v>
      </c>
      <c r="E4493" s="29" t="s">
        <v>923</v>
      </c>
      <c r="F4493" s="29" t="s">
        <v>340</v>
      </c>
      <c r="G4493" s="25" t="s">
        <v>6196</v>
      </c>
      <c r="H4493" s="26">
        <v>-0.328685</v>
      </c>
      <c r="I4493" s="26"/>
      <c r="J4493" s="26" t="s">
        <v>512</v>
      </c>
      <c r="K4493" s="25" t="s">
        <v>513</v>
      </c>
    </row>
    <row r="4494" spans="1:11" ht="25.5" x14ac:dyDescent="0.25">
      <c r="A4494" s="22">
        <v>2026</v>
      </c>
      <c r="B4494" s="28" t="s">
        <v>203</v>
      </c>
      <c r="C4494" s="28" t="s">
        <v>97</v>
      </c>
      <c r="D4494" s="28" t="s">
        <v>1755</v>
      </c>
      <c r="E4494" s="29" t="s">
        <v>923</v>
      </c>
      <c r="F4494" s="29" t="s">
        <v>340</v>
      </c>
      <c r="G4494" s="25" t="s">
        <v>5036</v>
      </c>
      <c r="H4494" s="26">
        <v>-0.32690000000000002</v>
      </c>
      <c r="I4494" s="26"/>
      <c r="J4494" s="26" t="s">
        <v>512</v>
      </c>
      <c r="K4494" s="25" t="s">
        <v>513</v>
      </c>
    </row>
    <row r="4495" spans="1:11" ht="25.5" x14ac:dyDescent="0.25">
      <c r="A4495" s="22">
        <v>2026</v>
      </c>
      <c r="B4495" s="28" t="s">
        <v>203</v>
      </c>
      <c r="C4495" s="28" t="s">
        <v>97</v>
      </c>
      <c r="D4495" s="28" t="s">
        <v>1755</v>
      </c>
      <c r="E4495" s="29" t="s">
        <v>923</v>
      </c>
      <c r="F4495" s="29" t="s">
        <v>340</v>
      </c>
      <c r="G4495" s="25" t="s">
        <v>6197</v>
      </c>
      <c r="H4495" s="26">
        <v>-0.93415000000000004</v>
      </c>
      <c r="I4495" s="26"/>
      <c r="J4495" s="26" t="s">
        <v>512</v>
      </c>
      <c r="K4495" s="25" t="s">
        <v>513</v>
      </c>
    </row>
    <row r="4496" spans="1:11" ht="25.5" x14ac:dyDescent="0.25">
      <c r="A4496" s="22">
        <v>2026</v>
      </c>
      <c r="B4496" s="28" t="s">
        <v>203</v>
      </c>
      <c r="C4496" s="28" t="s">
        <v>97</v>
      </c>
      <c r="D4496" s="28" t="s">
        <v>1755</v>
      </c>
      <c r="E4496" s="29" t="s">
        <v>923</v>
      </c>
      <c r="F4496" s="29" t="s">
        <v>340</v>
      </c>
      <c r="G4496" s="25" t="s">
        <v>6198</v>
      </c>
      <c r="H4496" s="26">
        <v>-5.6399999999999999E-2</v>
      </c>
      <c r="I4496" s="26"/>
      <c r="J4496" s="26" t="s">
        <v>512</v>
      </c>
      <c r="K4496" s="25" t="s">
        <v>513</v>
      </c>
    </row>
    <row r="4497" spans="1:11" ht="25.5" x14ac:dyDescent="0.25">
      <c r="A4497" s="22">
        <v>2026</v>
      </c>
      <c r="B4497" s="28" t="s">
        <v>203</v>
      </c>
      <c r="C4497" s="28" t="s">
        <v>97</v>
      </c>
      <c r="D4497" s="28" t="s">
        <v>1790</v>
      </c>
      <c r="E4497" s="29" t="s">
        <v>1781</v>
      </c>
      <c r="F4497" s="29" t="s">
        <v>287</v>
      </c>
      <c r="G4497" s="25" t="s">
        <v>6199</v>
      </c>
      <c r="H4497" s="26">
        <v>-0.27650000000000002</v>
      </c>
      <c r="I4497" s="26"/>
      <c r="J4497" s="26" t="s">
        <v>512</v>
      </c>
      <c r="K4497" s="25" t="s">
        <v>513</v>
      </c>
    </row>
    <row r="4498" spans="1:11" ht="25.5" x14ac:dyDescent="0.25">
      <c r="A4498" s="22">
        <v>2026</v>
      </c>
      <c r="B4498" s="28" t="s">
        <v>203</v>
      </c>
      <c r="C4498" s="28" t="s">
        <v>97</v>
      </c>
      <c r="D4498" s="28" t="s">
        <v>1790</v>
      </c>
      <c r="E4498" s="29" t="s">
        <v>1781</v>
      </c>
      <c r="F4498" s="29" t="s">
        <v>287</v>
      </c>
      <c r="G4498" s="25" t="s">
        <v>6200</v>
      </c>
      <c r="H4498" s="26">
        <v>-0.13950000000000001</v>
      </c>
      <c r="I4498" s="26"/>
      <c r="J4498" s="26" t="s">
        <v>512</v>
      </c>
      <c r="K4498" s="25" t="s">
        <v>513</v>
      </c>
    </row>
    <row r="4499" spans="1:11" ht="25.5" x14ac:dyDescent="0.25">
      <c r="A4499" s="22">
        <v>2026</v>
      </c>
      <c r="B4499" s="28" t="s">
        <v>203</v>
      </c>
      <c r="C4499" s="28" t="s">
        <v>97</v>
      </c>
      <c r="D4499" s="28" t="s">
        <v>1790</v>
      </c>
      <c r="E4499" s="29" t="s">
        <v>1781</v>
      </c>
      <c r="F4499" s="29" t="s">
        <v>287</v>
      </c>
      <c r="G4499" s="25" t="s">
        <v>6201</v>
      </c>
      <c r="H4499" s="26">
        <v>-0.13850000000000001</v>
      </c>
      <c r="I4499" s="26"/>
      <c r="J4499" s="26" t="s">
        <v>512</v>
      </c>
      <c r="K4499" s="25" t="s">
        <v>513</v>
      </c>
    </row>
    <row r="4500" spans="1:11" ht="25.5" x14ac:dyDescent="0.25">
      <c r="A4500" s="22">
        <v>2026</v>
      </c>
      <c r="B4500" s="28" t="s">
        <v>203</v>
      </c>
      <c r="C4500" s="28" t="s">
        <v>97</v>
      </c>
      <c r="D4500" s="28" t="s">
        <v>1790</v>
      </c>
      <c r="E4500" s="29" t="s">
        <v>1781</v>
      </c>
      <c r="F4500" s="29" t="s">
        <v>287</v>
      </c>
      <c r="G4500" s="25" t="s">
        <v>6202</v>
      </c>
      <c r="H4500" s="26">
        <v>-0.15140500000000001</v>
      </c>
      <c r="I4500" s="26"/>
      <c r="J4500" s="26" t="s">
        <v>512</v>
      </c>
      <c r="K4500" s="25" t="s">
        <v>513</v>
      </c>
    </row>
    <row r="4501" spans="1:11" ht="25.5" x14ac:dyDescent="0.25">
      <c r="A4501" s="22">
        <v>2026</v>
      </c>
      <c r="B4501" s="28" t="s">
        <v>203</v>
      </c>
      <c r="C4501" s="28" t="s">
        <v>97</v>
      </c>
      <c r="D4501" s="28" t="s">
        <v>1790</v>
      </c>
      <c r="E4501" s="29" t="s">
        <v>1781</v>
      </c>
      <c r="F4501" s="29" t="s">
        <v>287</v>
      </c>
      <c r="G4501" s="25" t="s">
        <v>6203</v>
      </c>
      <c r="H4501" s="26">
        <v>-0.144875</v>
      </c>
      <c r="I4501" s="26"/>
      <c r="J4501" s="26" t="s">
        <v>512</v>
      </c>
      <c r="K4501" s="25" t="s">
        <v>513</v>
      </c>
    </row>
    <row r="4502" spans="1:11" ht="25.5" x14ac:dyDescent="0.25">
      <c r="A4502" s="22">
        <v>2026</v>
      </c>
      <c r="B4502" s="28" t="s">
        <v>203</v>
      </c>
      <c r="C4502" s="28" t="s">
        <v>97</v>
      </c>
      <c r="D4502" s="28" t="s">
        <v>1790</v>
      </c>
      <c r="E4502" s="29" t="s">
        <v>1781</v>
      </c>
      <c r="F4502" s="29" t="s">
        <v>287</v>
      </c>
      <c r="G4502" s="25" t="s">
        <v>6204</v>
      </c>
      <c r="H4502" s="26">
        <v>-1.23224</v>
      </c>
      <c r="I4502" s="26"/>
      <c r="J4502" s="26" t="s">
        <v>512</v>
      </c>
      <c r="K4502" s="25" t="s">
        <v>513</v>
      </c>
    </row>
    <row r="4503" spans="1:11" ht="25.5" x14ac:dyDescent="0.25">
      <c r="A4503" s="22">
        <v>2026</v>
      </c>
      <c r="B4503" s="28" t="s">
        <v>203</v>
      </c>
      <c r="C4503" s="28" t="s">
        <v>97</v>
      </c>
      <c r="D4503" s="28" t="s">
        <v>1790</v>
      </c>
      <c r="E4503" s="29" t="s">
        <v>1781</v>
      </c>
      <c r="F4503" s="29" t="s">
        <v>287</v>
      </c>
      <c r="G4503" s="25" t="s">
        <v>6205</v>
      </c>
      <c r="H4503" s="26">
        <v>-0.29544999999999999</v>
      </c>
      <c r="I4503" s="26"/>
      <c r="J4503" s="26" t="s">
        <v>512</v>
      </c>
      <c r="K4503" s="25" t="s">
        <v>513</v>
      </c>
    </row>
    <row r="4504" spans="1:11" ht="25.5" x14ac:dyDescent="0.25">
      <c r="A4504" s="22">
        <v>2026</v>
      </c>
      <c r="B4504" s="28" t="s">
        <v>203</v>
      </c>
      <c r="C4504" s="28" t="s">
        <v>97</v>
      </c>
      <c r="D4504" s="28" t="s">
        <v>1790</v>
      </c>
      <c r="E4504" s="29" t="s">
        <v>1781</v>
      </c>
      <c r="F4504" s="29" t="s">
        <v>287</v>
      </c>
      <c r="G4504" s="25" t="s">
        <v>6206</v>
      </c>
      <c r="H4504" s="26">
        <v>-0.22482750000000001</v>
      </c>
      <c r="I4504" s="26"/>
      <c r="J4504" s="26" t="s">
        <v>512</v>
      </c>
      <c r="K4504" s="25" t="s">
        <v>513</v>
      </c>
    </row>
    <row r="4505" spans="1:11" ht="25.5" x14ac:dyDescent="0.25">
      <c r="A4505" s="22">
        <v>2026</v>
      </c>
      <c r="B4505" s="28" t="s">
        <v>203</v>
      </c>
      <c r="C4505" s="28" t="s">
        <v>97</v>
      </c>
      <c r="D4505" s="28" t="s">
        <v>1790</v>
      </c>
      <c r="E4505" s="29" t="s">
        <v>1781</v>
      </c>
      <c r="F4505" s="29" t="s">
        <v>287</v>
      </c>
      <c r="G4505" s="25" t="s">
        <v>6207</v>
      </c>
      <c r="H4505" s="26">
        <v>-9.4921599999999995E-2</v>
      </c>
      <c r="I4505" s="26"/>
      <c r="J4505" s="26" t="s">
        <v>512</v>
      </c>
      <c r="K4505" s="25" t="s">
        <v>513</v>
      </c>
    </row>
    <row r="4506" spans="1:11" ht="25.5" x14ac:dyDescent="0.25">
      <c r="A4506" s="22">
        <v>2026</v>
      </c>
      <c r="B4506" s="28" t="s">
        <v>203</v>
      </c>
      <c r="C4506" s="28" t="s">
        <v>97</v>
      </c>
      <c r="D4506" s="28" t="s">
        <v>1790</v>
      </c>
      <c r="E4506" s="29" t="s">
        <v>1781</v>
      </c>
      <c r="F4506" s="29" t="s">
        <v>287</v>
      </c>
      <c r="G4506" s="25" t="s">
        <v>6208</v>
      </c>
      <c r="H4506" s="26">
        <v>-7.4249999999999997E-2</v>
      </c>
      <c r="I4506" s="26"/>
      <c r="J4506" s="26" t="s">
        <v>512</v>
      </c>
      <c r="K4506" s="25" t="s">
        <v>513</v>
      </c>
    </row>
    <row r="4507" spans="1:11" ht="25.5" x14ac:dyDescent="0.25">
      <c r="A4507" s="22">
        <v>2026</v>
      </c>
      <c r="B4507" s="28" t="s">
        <v>203</v>
      </c>
      <c r="C4507" s="28" t="s">
        <v>97</v>
      </c>
      <c r="D4507" s="28" t="s">
        <v>1790</v>
      </c>
      <c r="E4507" s="29" t="s">
        <v>1781</v>
      </c>
      <c r="F4507" s="29" t="s">
        <v>287</v>
      </c>
      <c r="G4507" s="25" t="s">
        <v>6209</v>
      </c>
      <c r="H4507" s="26">
        <v>-0.22125</v>
      </c>
      <c r="I4507" s="26"/>
      <c r="J4507" s="26" t="s">
        <v>512</v>
      </c>
      <c r="K4507" s="25" t="s">
        <v>513</v>
      </c>
    </row>
    <row r="4508" spans="1:11" ht="25.5" x14ac:dyDescent="0.25">
      <c r="A4508" s="22">
        <v>2026</v>
      </c>
      <c r="B4508" s="28" t="s">
        <v>203</v>
      </c>
      <c r="C4508" s="28" t="s">
        <v>97</v>
      </c>
      <c r="D4508" s="28" t="s">
        <v>1790</v>
      </c>
      <c r="E4508" s="29" t="s">
        <v>1781</v>
      </c>
      <c r="F4508" s="29" t="s">
        <v>287</v>
      </c>
      <c r="G4508" s="25" t="s">
        <v>6210</v>
      </c>
      <c r="H4508" s="26">
        <v>-0.14574999999999999</v>
      </c>
      <c r="I4508" s="26"/>
      <c r="J4508" s="26" t="s">
        <v>512</v>
      </c>
      <c r="K4508" s="25" t="s">
        <v>513</v>
      </c>
    </row>
    <row r="4509" spans="1:11" ht="25.5" x14ac:dyDescent="0.25">
      <c r="A4509" s="22">
        <v>2026</v>
      </c>
      <c r="B4509" s="28" t="s">
        <v>203</v>
      </c>
      <c r="C4509" s="28" t="s">
        <v>97</v>
      </c>
      <c r="D4509" s="28" t="s">
        <v>1790</v>
      </c>
      <c r="E4509" s="29" t="s">
        <v>1781</v>
      </c>
      <c r="F4509" s="29" t="s">
        <v>287</v>
      </c>
      <c r="G4509" s="25" t="s">
        <v>5502</v>
      </c>
      <c r="H4509" s="26">
        <v>-0.14499999999999999</v>
      </c>
      <c r="I4509" s="26"/>
      <c r="J4509" s="26" t="s">
        <v>512</v>
      </c>
      <c r="K4509" s="25" t="s">
        <v>513</v>
      </c>
    </row>
    <row r="4510" spans="1:11" ht="25.5" x14ac:dyDescent="0.25">
      <c r="A4510" s="22">
        <v>2026</v>
      </c>
      <c r="B4510" s="28" t="s">
        <v>203</v>
      </c>
      <c r="C4510" s="28" t="s">
        <v>97</v>
      </c>
      <c r="D4510" s="28" t="s">
        <v>1790</v>
      </c>
      <c r="E4510" s="29" t="s">
        <v>1781</v>
      </c>
      <c r="F4510" s="29" t="s">
        <v>287</v>
      </c>
      <c r="G4510" s="25" t="s">
        <v>6211</v>
      </c>
      <c r="H4510" s="26">
        <v>-0.14349999999999999</v>
      </c>
      <c r="I4510" s="26"/>
      <c r="J4510" s="26" t="s">
        <v>512</v>
      </c>
      <c r="K4510" s="25" t="s">
        <v>513</v>
      </c>
    </row>
    <row r="4511" spans="1:11" ht="25.5" x14ac:dyDescent="0.25">
      <c r="A4511" s="22">
        <v>2026</v>
      </c>
      <c r="B4511" s="28" t="s">
        <v>203</v>
      </c>
      <c r="C4511" s="28" t="s">
        <v>97</v>
      </c>
      <c r="D4511" s="28" t="s">
        <v>1790</v>
      </c>
      <c r="E4511" s="29" t="s">
        <v>1781</v>
      </c>
      <c r="F4511" s="29" t="s">
        <v>287</v>
      </c>
      <c r="G4511" s="25" t="s">
        <v>6212</v>
      </c>
      <c r="H4511" s="26">
        <v>-0.43154999999999993</v>
      </c>
      <c r="I4511" s="26"/>
      <c r="J4511" s="26" t="s">
        <v>512</v>
      </c>
      <c r="K4511" s="25" t="s">
        <v>513</v>
      </c>
    </row>
    <row r="4512" spans="1:11" ht="25.5" x14ac:dyDescent="0.25">
      <c r="A4512" s="22">
        <v>2026</v>
      </c>
      <c r="B4512" s="28" t="s">
        <v>203</v>
      </c>
      <c r="C4512" s="28" t="s">
        <v>97</v>
      </c>
      <c r="D4512" s="28" t="s">
        <v>1790</v>
      </c>
      <c r="E4512" s="29" t="s">
        <v>1781</v>
      </c>
      <c r="F4512" s="29" t="s">
        <v>287</v>
      </c>
      <c r="G4512" s="25" t="s">
        <v>6213</v>
      </c>
      <c r="H4512" s="26">
        <v>-0.14424999999999999</v>
      </c>
      <c r="I4512" s="26"/>
      <c r="J4512" s="26" t="s">
        <v>512</v>
      </c>
      <c r="K4512" s="25" t="s">
        <v>513</v>
      </c>
    </row>
    <row r="4513" spans="1:11" ht="25.5" x14ac:dyDescent="0.25">
      <c r="A4513" s="22">
        <v>2026</v>
      </c>
      <c r="B4513" s="28" t="s">
        <v>203</v>
      </c>
      <c r="C4513" s="28" t="s">
        <v>97</v>
      </c>
      <c r="D4513" s="28" t="s">
        <v>1323</v>
      </c>
      <c r="E4513" s="29" t="s">
        <v>1324</v>
      </c>
      <c r="F4513" s="29" t="s">
        <v>503</v>
      </c>
      <c r="G4513" s="25" t="s">
        <v>6214</v>
      </c>
      <c r="H4513" s="26">
        <v>-0.1719</v>
      </c>
      <c r="I4513" s="26"/>
      <c r="J4513" s="26" t="s">
        <v>512</v>
      </c>
      <c r="K4513" s="25" t="s">
        <v>513</v>
      </c>
    </row>
    <row r="4514" spans="1:11" ht="25.5" x14ac:dyDescent="0.25">
      <c r="A4514" s="22">
        <v>2026</v>
      </c>
      <c r="B4514" s="28" t="s">
        <v>203</v>
      </c>
      <c r="C4514" s="28" t="s">
        <v>97</v>
      </c>
      <c r="D4514" s="28" t="s">
        <v>182</v>
      </c>
      <c r="E4514" s="29" t="s">
        <v>321</v>
      </c>
      <c r="F4514" s="29" t="s">
        <v>322</v>
      </c>
      <c r="G4514" s="25" t="s">
        <v>6215</v>
      </c>
      <c r="H4514" s="26">
        <v>-1.5101633047999998</v>
      </c>
      <c r="I4514" s="26"/>
      <c r="J4514" s="26" t="s">
        <v>519</v>
      </c>
      <c r="K4514" s="25" t="s">
        <v>513</v>
      </c>
    </row>
    <row r="4515" spans="1:11" ht="25.5" x14ac:dyDescent="0.25">
      <c r="A4515" s="22">
        <v>2026</v>
      </c>
      <c r="B4515" s="28" t="s">
        <v>203</v>
      </c>
      <c r="C4515" s="28" t="s">
        <v>97</v>
      </c>
      <c r="D4515" s="28" t="s">
        <v>182</v>
      </c>
      <c r="E4515" s="29" t="s">
        <v>321</v>
      </c>
      <c r="F4515" s="29" t="s">
        <v>322</v>
      </c>
      <c r="G4515" s="25" t="s">
        <v>6216</v>
      </c>
      <c r="H4515" s="26">
        <v>-0.91102431750000001</v>
      </c>
      <c r="I4515" s="26"/>
      <c r="J4515" s="26" t="s">
        <v>519</v>
      </c>
      <c r="K4515" s="25" t="s">
        <v>513</v>
      </c>
    </row>
    <row r="4516" spans="1:11" ht="25.5" x14ac:dyDescent="0.25">
      <c r="A4516" s="22">
        <v>2026</v>
      </c>
      <c r="B4516" s="28" t="s">
        <v>203</v>
      </c>
      <c r="C4516" s="28" t="s">
        <v>97</v>
      </c>
      <c r="D4516" s="28" t="s">
        <v>182</v>
      </c>
      <c r="E4516" s="29" t="s">
        <v>321</v>
      </c>
      <c r="F4516" s="29" t="s">
        <v>322</v>
      </c>
      <c r="G4516" s="25" t="s">
        <v>6217</v>
      </c>
      <c r="H4516" s="26">
        <v>-1.0849949999999999</v>
      </c>
      <c r="I4516" s="26"/>
      <c r="J4516" s="26" t="s">
        <v>519</v>
      </c>
      <c r="K4516" s="25" t="s">
        <v>513</v>
      </c>
    </row>
    <row r="4517" spans="1:11" ht="25.5" x14ac:dyDescent="0.25">
      <c r="A4517" s="22">
        <v>2026</v>
      </c>
      <c r="B4517" s="28" t="s">
        <v>203</v>
      </c>
      <c r="C4517" s="28" t="s">
        <v>97</v>
      </c>
      <c r="D4517" s="28" t="s">
        <v>182</v>
      </c>
      <c r="E4517" s="29" t="s">
        <v>321</v>
      </c>
      <c r="F4517" s="29" t="s">
        <v>322</v>
      </c>
      <c r="G4517" s="25" t="s">
        <v>5788</v>
      </c>
      <c r="H4517" s="26">
        <v>-0.745</v>
      </c>
      <c r="I4517" s="26"/>
      <c r="J4517" s="26" t="s">
        <v>519</v>
      </c>
      <c r="K4517" s="25" t="s">
        <v>513</v>
      </c>
    </row>
    <row r="4518" spans="1:11" ht="25.5" x14ac:dyDescent="0.25">
      <c r="A4518" s="22">
        <v>2026</v>
      </c>
      <c r="B4518" s="28" t="s">
        <v>203</v>
      </c>
      <c r="C4518" s="28" t="s">
        <v>97</v>
      </c>
      <c r="D4518" s="28" t="s">
        <v>182</v>
      </c>
      <c r="E4518" s="29" t="s">
        <v>321</v>
      </c>
      <c r="F4518" s="29" t="s">
        <v>322</v>
      </c>
      <c r="G4518" s="25" t="s">
        <v>6218</v>
      </c>
      <c r="H4518" s="26">
        <v>-1.0227742896000001</v>
      </c>
      <c r="I4518" s="26"/>
      <c r="J4518" s="26" t="s">
        <v>519</v>
      </c>
      <c r="K4518" s="25" t="s">
        <v>513</v>
      </c>
    </row>
    <row r="4519" spans="1:11" ht="25.5" x14ac:dyDescent="0.25">
      <c r="A4519" s="22">
        <v>2026</v>
      </c>
      <c r="B4519" s="28" t="s">
        <v>203</v>
      </c>
      <c r="C4519" s="28" t="s">
        <v>97</v>
      </c>
      <c r="D4519" s="28" t="s">
        <v>182</v>
      </c>
      <c r="E4519" s="29" t="s">
        <v>321</v>
      </c>
      <c r="F4519" s="29" t="s">
        <v>322</v>
      </c>
      <c r="G4519" s="25" t="s">
        <v>6219</v>
      </c>
      <c r="H4519" s="26">
        <v>-1.2300180000000001</v>
      </c>
      <c r="I4519" s="26"/>
      <c r="J4519" s="26" t="s">
        <v>519</v>
      </c>
      <c r="K4519" s="25" t="s">
        <v>513</v>
      </c>
    </row>
    <row r="4520" spans="1:11" ht="25.5" x14ac:dyDescent="0.25">
      <c r="A4520" s="22">
        <v>2026</v>
      </c>
      <c r="B4520" s="28" t="s">
        <v>203</v>
      </c>
      <c r="C4520" s="28" t="s">
        <v>97</v>
      </c>
      <c r="D4520" s="28" t="s">
        <v>182</v>
      </c>
      <c r="E4520" s="29" t="s">
        <v>321</v>
      </c>
      <c r="F4520" s="29" t="s">
        <v>322</v>
      </c>
      <c r="G4520" s="25" t="s">
        <v>6220</v>
      </c>
      <c r="H4520" s="26">
        <v>-0.44579999999999997</v>
      </c>
      <c r="I4520" s="26"/>
      <c r="J4520" s="26" t="s">
        <v>519</v>
      </c>
      <c r="K4520" s="25" t="s">
        <v>513</v>
      </c>
    </row>
    <row r="4521" spans="1:11" ht="25.5" x14ac:dyDescent="0.25">
      <c r="A4521" s="22">
        <v>2026</v>
      </c>
      <c r="B4521" s="28" t="s">
        <v>203</v>
      </c>
      <c r="C4521" s="28" t="s">
        <v>97</v>
      </c>
      <c r="D4521" s="28" t="s">
        <v>182</v>
      </c>
      <c r="E4521" s="29" t="s">
        <v>321</v>
      </c>
      <c r="F4521" s="29" t="s">
        <v>322</v>
      </c>
      <c r="G4521" s="25" t="s">
        <v>6221</v>
      </c>
      <c r="H4521" s="26">
        <v>-1.3107223288000001</v>
      </c>
      <c r="I4521" s="26"/>
      <c r="J4521" s="26" t="s">
        <v>519</v>
      </c>
      <c r="K4521" s="25" t="s">
        <v>513</v>
      </c>
    </row>
    <row r="4522" spans="1:11" ht="25.5" x14ac:dyDescent="0.25">
      <c r="A4522" s="22">
        <v>2026</v>
      </c>
      <c r="B4522" s="28" t="s">
        <v>203</v>
      </c>
      <c r="C4522" s="28" t="s">
        <v>97</v>
      </c>
      <c r="D4522" s="28" t="s">
        <v>182</v>
      </c>
      <c r="E4522" s="29" t="s">
        <v>321</v>
      </c>
      <c r="F4522" s="29" t="s">
        <v>322</v>
      </c>
      <c r="G4522" s="25" t="s">
        <v>6222</v>
      </c>
      <c r="H4522" s="26">
        <v>-0.19024331999999999</v>
      </c>
      <c r="I4522" s="26"/>
      <c r="J4522" s="26" t="s">
        <v>519</v>
      </c>
      <c r="K4522" s="25" t="s">
        <v>513</v>
      </c>
    </row>
    <row r="4523" spans="1:11" ht="25.5" x14ac:dyDescent="0.25">
      <c r="A4523" s="22">
        <v>2026</v>
      </c>
      <c r="B4523" s="28" t="s">
        <v>203</v>
      </c>
      <c r="C4523" s="28" t="s">
        <v>97</v>
      </c>
      <c r="D4523" s="28" t="s">
        <v>1757</v>
      </c>
      <c r="E4523" s="29" t="s">
        <v>1783</v>
      </c>
      <c r="F4523" s="29" t="s">
        <v>322</v>
      </c>
      <c r="G4523" s="25" t="s">
        <v>6223</v>
      </c>
      <c r="H4523" s="26">
        <v>-0.11385808</v>
      </c>
      <c r="I4523" s="26"/>
      <c r="J4523" s="26" t="s">
        <v>514</v>
      </c>
      <c r="K4523" s="25" t="s">
        <v>1768</v>
      </c>
    </row>
    <row r="4524" spans="1:11" ht="25.5" x14ac:dyDescent="0.25">
      <c r="A4524" s="22">
        <v>2026</v>
      </c>
      <c r="B4524" s="28" t="s">
        <v>203</v>
      </c>
      <c r="C4524" s="28" t="s">
        <v>97</v>
      </c>
      <c r="D4524" s="28" t="s">
        <v>1757</v>
      </c>
      <c r="E4524" s="29" t="s">
        <v>1783</v>
      </c>
      <c r="F4524" s="29" t="s">
        <v>322</v>
      </c>
      <c r="G4524" s="25" t="s">
        <v>6224</v>
      </c>
      <c r="H4524" s="26">
        <v>-9.1249999999999998E-2</v>
      </c>
      <c r="I4524" s="26"/>
      <c r="J4524" s="26" t="s">
        <v>514</v>
      </c>
      <c r="K4524" s="25" t="s">
        <v>1768</v>
      </c>
    </row>
    <row r="4525" spans="1:11" ht="25.5" x14ac:dyDescent="0.25">
      <c r="A4525" s="22">
        <v>2026</v>
      </c>
      <c r="B4525" s="28" t="s">
        <v>203</v>
      </c>
      <c r="C4525" s="28" t="s">
        <v>97</v>
      </c>
      <c r="D4525" s="28" t="s">
        <v>1757</v>
      </c>
      <c r="E4525" s="29" t="s">
        <v>1783</v>
      </c>
      <c r="F4525" s="29" t="s">
        <v>322</v>
      </c>
      <c r="G4525" s="25" t="s">
        <v>6225</v>
      </c>
      <c r="H4525" s="26">
        <v>-6.4095299999999994E-2</v>
      </c>
      <c r="I4525" s="26"/>
      <c r="J4525" s="26" t="s">
        <v>514</v>
      </c>
      <c r="K4525" s="25" t="s">
        <v>1768</v>
      </c>
    </row>
    <row r="4526" spans="1:11" ht="25.5" x14ac:dyDescent="0.25">
      <c r="A4526" s="22">
        <v>2026</v>
      </c>
      <c r="B4526" s="28" t="s">
        <v>203</v>
      </c>
      <c r="C4526" s="28" t="s">
        <v>97</v>
      </c>
      <c r="D4526" s="28" t="s">
        <v>1757</v>
      </c>
      <c r="E4526" s="29" t="s">
        <v>1783</v>
      </c>
      <c r="F4526" s="29" t="s">
        <v>322</v>
      </c>
      <c r="G4526" s="25" t="s">
        <v>6226</v>
      </c>
      <c r="H4526" s="26">
        <v>-8.697858E-2</v>
      </c>
      <c r="I4526" s="26"/>
      <c r="J4526" s="26" t="s">
        <v>514</v>
      </c>
      <c r="K4526" s="25" t="s">
        <v>1768</v>
      </c>
    </row>
    <row r="4527" spans="1:11" ht="25.5" x14ac:dyDescent="0.25">
      <c r="A4527" s="22">
        <v>2026</v>
      </c>
      <c r="B4527" s="28" t="s">
        <v>203</v>
      </c>
      <c r="C4527" s="28" t="s">
        <v>97</v>
      </c>
      <c r="D4527" s="28" t="s">
        <v>531</v>
      </c>
      <c r="E4527" s="29" t="s">
        <v>551</v>
      </c>
      <c r="F4527" s="29" t="s">
        <v>322</v>
      </c>
      <c r="G4527" s="25" t="s">
        <v>6227</v>
      </c>
      <c r="H4527" s="26">
        <v>-0.55403633628000004</v>
      </c>
      <c r="I4527" s="26"/>
      <c r="J4527" s="26" t="s">
        <v>514</v>
      </c>
      <c r="K4527" s="25" t="s">
        <v>513</v>
      </c>
    </row>
    <row r="4528" spans="1:11" ht="25.5" x14ac:dyDescent="0.25">
      <c r="A4528" s="22">
        <v>2026</v>
      </c>
      <c r="B4528" s="28" t="s">
        <v>203</v>
      </c>
      <c r="C4528" s="28" t="s">
        <v>97</v>
      </c>
      <c r="D4528" s="28" t="s">
        <v>531</v>
      </c>
      <c r="E4528" s="29" t="s">
        <v>551</v>
      </c>
      <c r="F4528" s="29" t="s">
        <v>322</v>
      </c>
      <c r="G4528" s="25" t="s">
        <v>6228</v>
      </c>
      <c r="H4528" s="26">
        <v>-0.461086</v>
      </c>
      <c r="I4528" s="26"/>
      <c r="J4528" s="26" t="s">
        <v>514</v>
      </c>
      <c r="K4528" s="25" t="s">
        <v>513</v>
      </c>
    </row>
    <row r="4529" spans="1:11" ht="25.5" x14ac:dyDescent="0.25">
      <c r="A4529" s="22">
        <v>2026</v>
      </c>
      <c r="B4529" s="28" t="s">
        <v>203</v>
      </c>
      <c r="C4529" s="28" t="s">
        <v>97</v>
      </c>
      <c r="D4529" s="28" t="s">
        <v>531</v>
      </c>
      <c r="E4529" s="29" t="s">
        <v>551</v>
      </c>
      <c r="F4529" s="29" t="s">
        <v>322</v>
      </c>
      <c r="G4529" s="25" t="s">
        <v>6229</v>
      </c>
      <c r="H4529" s="26">
        <v>-0.13800000000000001</v>
      </c>
      <c r="I4529" s="26"/>
      <c r="J4529" s="26" t="s">
        <v>514</v>
      </c>
      <c r="K4529" s="25" t="s">
        <v>513</v>
      </c>
    </row>
    <row r="4530" spans="1:11" ht="25.5" x14ac:dyDescent="0.25">
      <c r="A4530" s="22">
        <v>2026</v>
      </c>
      <c r="B4530" s="28" t="s">
        <v>203</v>
      </c>
      <c r="C4530" s="28" t="s">
        <v>97</v>
      </c>
      <c r="D4530" s="28" t="s">
        <v>531</v>
      </c>
      <c r="E4530" s="29" t="s">
        <v>551</v>
      </c>
      <c r="F4530" s="29" t="s">
        <v>322</v>
      </c>
      <c r="G4530" s="25" t="s">
        <v>6230</v>
      </c>
      <c r="H4530" s="26">
        <v>-0.14606746409999999</v>
      </c>
      <c r="I4530" s="26"/>
      <c r="J4530" s="26" t="s">
        <v>514</v>
      </c>
      <c r="K4530" s="25" t="s">
        <v>513</v>
      </c>
    </row>
    <row r="4531" spans="1:11" ht="25.5" x14ac:dyDescent="0.25">
      <c r="A4531" s="22">
        <v>2026</v>
      </c>
      <c r="B4531" s="28" t="s">
        <v>203</v>
      </c>
      <c r="C4531" s="28" t="s">
        <v>97</v>
      </c>
      <c r="D4531" s="28" t="s">
        <v>531</v>
      </c>
      <c r="E4531" s="29" t="s">
        <v>551</v>
      </c>
      <c r="F4531" s="29" t="s">
        <v>322</v>
      </c>
      <c r="G4531" s="25" t="s">
        <v>6231</v>
      </c>
      <c r="H4531" s="26">
        <v>-0.1932920887</v>
      </c>
      <c r="I4531" s="26"/>
      <c r="J4531" s="26" t="s">
        <v>514</v>
      </c>
      <c r="K4531" s="25" t="s">
        <v>513</v>
      </c>
    </row>
    <row r="4532" spans="1:11" ht="25.5" x14ac:dyDescent="0.25">
      <c r="A4532" s="22">
        <v>2026</v>
      </c>
      <c r="B4532" s="28" t="s">
        <v>203</v>
      </c>
      <c r="C4532" s="28" t="s">
        <v>97</v>
      </c>
      <c r="D4532" s="28" t="s">
        <v>531</v>
      </c>
      <c r="E4532" s="29" t="s">
        <v>551</v>
      </c>
      <c r="F4532" s="29" t="s">
        <v>322</v>
      </c>
      <c r="G4532" s="25" t="s">
        <v>6232</v>
      </c>
      <c r="H4532" s="26">
        <v>-7.9747578690000001E-2</v>
      </c>
      <c r="I4532" s="26"/>
      <c r="J4532" s="26" t="s">
        <v>514</v>
      </c>
      <c r="K4532" s="25" t="s">
        <v>513</v>
      </c>
    </row>
    <row r="4533" spans="1:11" ht="25.5" x14ac:dyDescent="0.25">
      <c r="A4533" s="22">
        <v>2026</v>
      </c>
      <c r="B4533" s="28" t="s">
        <v>203</v>
      </c>
      <c r="C4533" s="28" t="s">
        <v>97</v>
      </c>
      <c r="D4533" s="28" t="s">
        <v>531</v>
      </c>
      <c r="E4533" s="29" t="s">
        <v>551</v>
      </c>
      <c r="F4533" s="29" t="s">
        <v>322</v>
      </c>
      <c r="G4533" s="25" t="s">
        <v>6233</v>
      </c>
      <c r="H4533" s="26">
        <v>-0.23530600000000004</v>
      </c>
      <c r="I4533" s="26"/>
      <c r="J4533" s="26" t="s">
        <v>514</v>
      </c>
      <c r="K4533" s="25" t="s">
        <v>513</v>
      </c>
    </row>
    <row r="4534" spans="1:11" ht="25.5" x14ac:dyDescent="0.25">
      <c r="A4534" s="22">
        <v>2026</v>
      </c>
      <c r="B4534" s="28" t="s">
        <v>203</v>
      </c>
      <c r="C4534" s="28" t="s">
        <v>97</v>
      </c>
      <c r="D4534" s="28" t="s">
        <v>531</v>
      </c>
      <c r="E4534" s="29" t="s">
        <v>551</v>
      </c>
      <c r="F4534" s="29" t="s">
        <v>322</v>
      </c>
      <c r="G4534" s="25" t="s">
        <v>6234</v>
      </c>
      <c r="H4534" s="26">
        <v>-0.10498199915</v>
      </c>
      <c r="I4534" s="26"/>
      <c r="J4534" s="26" t="s">
        <v>514</v>
      </c>
      <c r="K4534" s="25" t="s">
        <v>513</v>
      </c>
    </row>
    <row r="4535" spans="1:11" ht="25.5" x14ac:dyDescent="0.25">
      <c r="A4535" s="22">
        <v>2026</v>
      </c>
      <c r="B4535" s="28" t="s">
        <v>203</v>
      </c>
      <c r="C4535" s="28" t="s">
        <v>97</v>
      </c>
      <c r="D4535" s="28" t="s">
        <v>531</v>
      </c>
      <c r="E4535" s="29" t="s">
        <v>551</v>
      </c>
      <c r="F4535" s="29" t="s">
        <v>322</v>
      </c>
      <c r="G4535" s="25" t="s">
        <v>6235</v>
      </c>
      <c r="H4535" s="26">
        <v>-0.11634724999999999</v>
      </c>
      <c r="I4535" s="26"/>
      <c r="J4535" s="26" t="s">
        <v>514</v>
      </c>
      <c r="K4535" s="25" t="s">
        <v>513</v>
      </c>
    </row>
    <row r="4536" spans="1:11" ht="25.5" x14ac:dyDescent="0.25">
      <c r="A4536" s="22">
        <v>2026</v>
      </c>
      <c r="B4536" s="28" t="s">
        <v>203</v>
      </c>
      <c r="C4536" s="28" t="s">
        <v>97</v>
      </c>
      <c r="D4536" s="28" t="s">
        <v>531</v>
      </c>
      <c r="E4536" s="29" t="s">
        <v>551</v>
      </c>
      <c r="F4536" s="29" t="s">
        <v>322</v>
      </c>
      <c r="G4536" s="25" t="s">
        <v>6236</v>
      </c>
      <c r="H4536" s="26">
        <v>-0.46448099999999992</v>
      </c>
      <c r="I4536" s="26"/>
      <c r="J4536" s="26" t="s">
        <v>514</v>
      </c>
      <c r="K4536" s="25" t="s">
        <v>513</v>
      </c>
    </row>
    <row r="4537" spans="1:11" ht="25.5" x14ac:dyDescent="0.25">
      <c r="A4537" s="22">
        <v>2026</v>
      </c>
      <c r="B4537" s="28" t="s">
        <v>203</v>
      </c>
      <c r="C4537" s="28" t="s">
        <v>97</v>
      </c>
      <c r="D4537" s="28" t="s">
        <v>531</v>
      </c>
      <c r="E4537" s="29" t="s">
        <v>551</v>
      </c>
      <c r="F4537" s="29" t="s">
        <v>322</v>
      </c>
      <c r="G4537" s="25" t="s">
        <v>6237</v>
      </c>
      <c r="H4537" s="26">
        <v>-0.184448</v>
      </c>
      <c r="I4537" s="26"/>
      <c r="J4537" s="26" t="s">
        <v>514</v>
      </c>
      <c r="K4537" s="25" t="s">
        <v>513</v>
      </c>
    </row>
    <row r="4538" spans="1:11" ht="25.5" x14ac:dyDescent="0.25">
      <c r="A4538" s="22">
        <v>2026</v>
      </c>
      <c r="B4538" s="28" t="s">
        <v>203</v>
      </c>
      <c r="C4538" s="28" t="s">
        <v>97</v>
      </c>
      <c r="D4538" s="28" t="s">
        <v>531</v>
      </c>
      <c r="E4538" s="29" t="s">
        <v>551</v>
      </c>
      <c r="F4538" s="29" t="s">
        <v>322</v>
      </c>
      <c r="G4538" s="25" t="s">
        <v>6238</v>
      </c>
      <c r="H4538" s="26">
        <v>-0.18283426657999999</v>
      </c>
      <c r="I4538" s="26"/>
      <c r="J4538" s="26" t="s">
        <v>514</v>
      </c>
      <c r="K4538" s="25" t="s">
        <v>513</v>
      </c>
    </row>
    <row r="4539" spans="1:11" ht="25.5" x14ac:dyDescent="0.25">
      <c r="A4539" s="22">
        <v>2026</v>
      </c>
      <c r="B4539" s="28" t="s">
        <v>203</v>
      </c>
      <c r="C4539" s="28" t="s">
        <v>97</v>
      </c>
      <c r="D4539" s="28" t="s">
        <v>228</v>
      </c>
      <c r="E4539" s="29" t="s">
        <v>411</v>
      </c>
      <c r="F4539" s="29" t="s">
        <v>350</v>
      </c>
      <c r="G4539" s="25" t="s">
        <v>6239</v>
      </c>
      <c r="H4539" s="26">
        <v>-0.86160000000000003</v>
      </c>
      <c r="I4539" s="26"/>
      <c r="J4539" s="26" t="s">
        <v>512</v>
      </c>
      <c r="K4539" s="25" t="s">
        <v>513</v>
      </c>
    </row>
    <row r="4540" spans="1:11" ht="25.5" x14ac:dyDescent="0.25">
      <c r="A4540" s="22">
        <v>2026</v>
      </c>
      <c r="B4540" s="28" t="s">
        <v>203</v>
      </c>
      <c r="C4540" s="28" t="s">
        <v>97</v>
      </c>
      <c r="D4540" s="28" t="s">
        <v>228</v>
      </c>
      <c r="E4540" s="29" t="s">
        <v>411</v>
      </c>
      <c r="F4540" s="29" t="s">
        <v>350</v>
      </c>
      <c r="G4540" s="25" t="s">
        <v>6240</v>
      </c>
      <c r="H4540" s="26">
        <v>-4.8167</v>
      </c>
      <c r="I4540" s="26"/>
      <c r="J4540" s="26" t="s">
        <v>512</v>
      </c>
      <c r="K4540" s="25" t="s">
        <v>513</v>
      </c>
    </row>
    <row r="4541" spans="1:11" ht="25.5" x14ac:dyDescent="0.25">
      <c r="A4541" s="22">
        <v>2026</v>
      </c>
      <c r="B4541" s="28" t="s">
        <v>203</v>
      </c>
      <c r="C4541" s="28" t="s">
        <v>97</v>
      </c>
      <c r="D4541" s="28" t="s">
        <v>228</v>
      </c>
      <c r="E4541" s="29" t="s">
        <v>411</v>
      </c>
      <c r="F4541" s="29" t="s">
        <v>350</v>
      </c>
      <c r="G4541" s="25" t="s">
        <v>6241</v>
      </c>
      <c r="H4541" s="26">
        <v>-3.4613999999999998</v>
      </c>
      <c r="I4541" s="26"/>
      <c r="J4541" s="26" t="s">
        <v>512</v>
      </c>
      <c r="K4541" s="25" t="s">
        <v>513</v>
      </c>
    </row>
    <row r="4542" spans="1:11" ht="25.5" x14ac:dyDescent="0.25">
      <c r="A4542" s="22">
        <v>2026</v>
      </c>
      <c r="B4542" s="28" t="s">
        <v>203</v>
      </c>
      <c r="C4542" s="28" t="s">
        <v>97</v>
      </c>
      <c r="D4542" s="28" t="s">
        <v>228</v>
      </c>
      <c r="E4542" s="29" t="s">
        <v>411</v>
      </c>
      <c r="F4542" s="29" t="s">
        <v>350</v>
      </c>
      <c r="G4542" s="25" t="s">
        <v>6242</v>
      </c>
      <c r="H4542" s="26">
        <v>-2.9592749999999999</v>
      </c>
      <c r="I4542" s="26"/>
      <c r="J4542" s="26" t="s">
        <v>512</v>
      </c>
      <c r="K4542" s="25" t="s">
        <v>513</v>
      </c>
    </row>
    <row r="4543" spans="1:11" ht="25.5" x14ac:dyDescent="0.25">
      <c r="A4543" s="22">
        <v>2026</v>
      </c>
      <c r="B4543" s="28" t="s">
        <v>203</v>
      </c>
      <c r="C4543" s="28" t="s">
        <v>97</v>
      </c>
      <c r="D4543" s="28" t="s">
        <v>228</v>
      </c>
      <c r="E4543" s="29" t="s">
        <v>411</v>
      </c>
      <c r="F4543" s="29" t="s">
        <v>350</v>
      </c>
      <c r="G4543" s="25" t="s">
        <v>6243</v>
      </c>
      <c r="H4543" s="26">
        <v>-3.5313328386</v>
      </c>
      <c r="I4543" s="26"/>
      <c r="J4543" s="26" t="s">
        <v>512</v>
      </c>
      <c r="K4543" s="25" t="s">
        <v>513</v>
      </c>
    </row>
    <row r="4544" spans="1:11" ht="25.5" x14ac:dyDescent="0.25">
      <c r="A4544" s="22">
        <v>2026</v>
      </c>
      <c r="B4544" s="28" t="s">
        <v>203</v>
      </c>
      <c r="C4544" s="28" t="s">
        <v>97</v>
      </c>
      <c r="D4544" s="28" t="s">
        <v>228</v>
      </c>
      <c r="E4544" s="29" t="s">
        <v>411</v>
      </c>
      <c r="F4544" s="29" t="s">
        <v>350</v>
      </c>
      <c r="G4544" s="25" t="s">
        <v>6244</v>
      </c>
      <c r="H4544" s="26">
        <v>-2.2199450000000001</v>
      </c>
      <c r="I4544" s="26"/>
      <c r="J4544" s="26" t="s">
        <v>512</v>
      </c>
      <c r="K4544" s="25" t="s">
        <v>513</v>
      </c>
    </row>
    <row r="4545" spans="1:11" ht="25.5" x14ac:dyDescent="0.25">
      <c r="A4545" s="22">
        <v>2026</v>
      </c>
      <c r="B4545" s="28" t="s">
        <v>203</v>
      </c>
      <c r="C4545" s="28" t="s">
        <v>97</v>
      </c>
      <c r="D4545" s="28" t="s">
        <v>228</v>
      </c>
      <c r="E4545" s="29" t="s">
        <v>411</v>
      </c>
      <c r="F4545" s="29" t="s">
        <v>350</v>
      </c>
      <c r="G4545" s="25" t="s">
        <v>6245</v>
      </c>
      <c r="H4545" s="26">
        <v>-4.1662499999999998</v>
      </c>
      <c r="I4545" s="26"/>
      <c r="J4545" s="26" t="s">
        <v>512</v>
      </c>
      <c r="K4545" s="25" t="s">
        <v>513</v>
      </c>
    </row>
    <row r="4546" spans="1:11" ht="25.5" x14ac:dyDescent="0.25">
      <c r="A4546" s="22">
        <v>2026</v>
      </c>
      <c r="B4546" s="28" t="s">
        <v>222</v>
      </c>
      <c r="C4546" s="28" t="s">
        <v>97</v>
      </c>
      <c r="D4546" s="28" t="s">
        <v>1691</v>
      </c>
      <c r="E4546" s="29" t="s">
        <v>1691</v>
      </c>
      <c r="F4546" s="29" t="s">
        <v>284</v>
      </c>
      <c r="G4546" s="25" t="s">
        <v>6246</v>
      </c>
      <c r="H4546" s="26">
        <v>-6.7680261222000002</v>
      </c>
      <c r="I4546" s="26"/>
      <c r="J4546" s="26" t="s">
        <v>512</v>
      </c>
      <c r="K4546" s="25" t="s">
        <v>513</v>
      </c>
    </row>
    <row r="4547" spans="1:11" ht="25.5" x14ac:dyDescent="0.25">
      <c r="A4547" s="22">
        <v>2026</v>
      </c>
      <c r="B4547" s="28" t="s">
        <v>222</v>
      </c>
      <c r="C4547" s="28" t="s">
        <v>97</v>
      </c>
      <c r="D4547" s="28" t="s">
        <v>1691</v>
      </c>
      <c r="E4547" s="29" t="s">
        <v>1691</v>
      </c>
      <c r="F4547" s="29" t="s">
        <v>284</v>
      </c>
      <c r="G4547" s="25" t="s">
        <v>6247</v>
      </c>
      <c r="H4547" s="26">
        <v>-8.2708671135999996</v>
      </c>
      <c r="I4547" s="26"/>
      <c r="J4547" s="26" t="s">
        <v>512</v>
      </c>
      <c r="K4547" s="25" t="s">
        <v>513</v>
      </c>
    </row>
    <row r="4548" spans="1:11" ht="25.5" x14ac:dyDescent="0.25">
      <c r="A4548" s="22">
        <v>2026</v>
      </c>
      <c r="B4548" s="28" t="s">
        <v>222</v>
      </c>
      <c r="C4548" s="28" t="s">
        <v>97</v>
      </c>
      <c r="D4548" s="28" t="s">
        <v>1691</v>
      </c>
      <c r="E4548" s="29" t="s">
        <v>1691</v>
      </c>
      <c r="F4548" s="29" t="s">
        <v>284</v>
      </c>
      <c r="G4548" s="25" t="s">
        <v>6248</v>
      </c>
      <c r="H4548" s="26">
        <v>-8.1972459705999992</v>
      </c>
      <c r="I4548" s="26"/>
      <c r="J4548" s="26" t="s">
        <v>512</v>
      </c>
      <c r="K4548" s="25" t="s">
        <v>513</v>
      </c>
    </row>
    <row r="4549" spans="1:11" ht="25.5" x14ac:dyDescent="0.25">
      <c r="A4549" s="22">
        <v>2026</v>
      </c>
      <c r="B4549" s="28" t="s">
        <v>222</v>
      </c>
      <c r="C4549" s="28" t="s">
        <v>97</v>
      </c>
      <c r="D4549" s="28" t="s">
        <v>1691</v>
      </c>
      <c r="E4549" s="29" t="s">
        <v>1691</v>
      </c>
      <c r="F4549" s="29" t="s">
        <v>284</v>
      </c>
      <c r="G4549" s="25" t="s">
        <v>6249</v>
      </c>
      <c r="H4549" s="26">
        <v>-8.8153499804999988</v>
      </c>
      <c r="I4549" s="26"/>
      <c r="J4549" s="26" t="s">
        <v>512</v>
      </c>
      <c r="K4549" s="25" t="s">
        <v>513</v>
      </c>
    </row>
    <row r="4550" spans="1:11" ht="25.5" x14ac:dyDescent="0.25">
      <c r="A4550" s="22">
        <v>2026</v>
      </c>
      <c r="B4550" s="28" t="s">
        <v>222</v>
      </c>
      <c r="C4550" s="28" t="s">
        <v>97</v>
      </c>
      <c r="D4550" s="28" t="s">
        <v>1691</v>
      </c>
      <c r="E4550" s="29" t="s">
        <v>1691</v>
      </c>
      <c r="F4550" s="29" t="s">
        <v>284</v>
      </c>
      <c r="G4550" s="25" t="s">
        <v>6250</v>
      </c>
      <c r="H4550" s="26">
        <v>-8.8873360302000002</v>
      </c>
      <c r="I4550" s="26"/>
      <c r="J4550" s="26" t="s">
        <v>512</v>
      </c>
      <c r="K4550" s="25" t="s">
        <v>513</v>
      </c>
    </row>
    <row r="4551" spans="1:11" ht="25.5" x14ac:dyDescent="0.25">
      <c r="A4551" s="22">
        <v>2026</v>
      </c>
      <c r="B4551" s="28" t="s">
        <v>222</v>
      </c>
      <c r="C4551" s="28" t="s">
        <v>97</v>
      </c>
      <c r="D4551" s="28" t="s">
        <v>1691</v>
      </c>
      <c r="E4551" s="29" t="s">
        <v>1691</v>
      </c>
      <c r="F4551" s="29" t="s">
        <v>284</v>
      </c>
      <c r="G4551" s="25" t="s">
        <v>6251</v>
      </c>
      <c r="H4551" s="26">
        <v>-9.4459136525999998</v>
      </c>
      <c r="I4551" s="26"/>
      <c r="J4551" s="26" t="s">
        <v>512</v>
      </c>
      <c r="K4551" s="25" t="s">
        <v>513</v>
      </c>
    </row>
    <row r="4552" spans="1:11" ht="25.5" x14ac:dyDescent="0.25">
      <c r="A4552" s="22">
        <v>2026</v>
      </c>
      <c r="B4552" s="28" t="s">
        <v>222</v>
      </c>
      <c r="C4552" s="28" t="s">
        <v>97</v>
      </c>
      <c r="D4552" s="28" t="s">
        <v>1691</v>
      </c>
      <c r="E4552" s="29" t="s">
        <v>1691</v>
      </c>
      <c r="F4552" s="29" t="s">
        <v>284</v>
      </c>
      <c r="G4552" s="25" t="s">
        <v>6252</v>
      </c>
      <c r="H4552" s="26">
        <v>-3.073738074</v>
      </c>
      <c r="I4552" s="26"/>
      <c r="J4552" s="26" t="s">
        <v>512</v>
      </c>
      <c r="K4552" s="25" t="s">
        <v>513</v>
      </c>
    </row>
    <row r="4553" spans="1:11" ht="25.5" x14ac:dyDescent="0.25">
      <c r="A4553" s="22">
        <v>2026</v>
      </c>
      <c r="B4553" s="28" t="s">
        <v>222</v>
      </c>
      <c r="C4553" s="28" t="s">
        <v>97</v>
      </c>
      <c r="D4553" s="28" t="s">
        <v>1691</v>
      </c>
      <c r="E4553" s="29" t="s">
        <v>1691</v>
      </c>
      <c r="F4553" s="29" t="s">
        <v>284</v>
      </c>
      <c r="G4553" s="25" t="s">
        <v>6253</v>
      </c>
      <c r="H4553" s="26">
        <v>-0.19373310320000001</v>
      </c>
      <c r="I4553" s="26"/>
      <c r="J4553" s="26" t="s">
        <v>512</v>
      </c>
      <c r="K4553" s="25" t="s">
        <v>513</v>
      </c>
    </row>
    <row r="4554" spans="1:11" ht="25.5" x14ac:dyDescent="0.25">
      <c r="A4554" s="22">
        <v>2026</v>
      </c>
      <c r="B4554" s="28" t="s">
        <v>222</v>
      </c>
      <c r="C4554" s="28" t="s">
        <v>97</v>
      </c>
      <c r="D4554" s="28" t="s">
        <v>1691</v>
      </c>
      <c r="E4554" s="29" t="s">
        <v>1691</v>
      </c>
      <c r="F4554" s="29" t="s">
        <v>284</v>
      </c>
      <c r="G4554" s="25" t="s">
        <v>6254</v>
      </c>
      <c r="H4554" s="26">
        <v>-8.9767105463999997</v>
      </c>
      <c r="I4554" s="26"/>
      <c r="J4554" s="26" t="s">
        <v>512</v>
      </c>
      <c r="K4554" s="25" t="s">
        <v>513</v>
      </c>
    </row>
    <row r="4555" spans="1:11" ht="25.5" x14ac:dyDescent="0.25">
      <c r="A4555" s="22">
        <v>2026</v>
      </c>
      <c r="B4555" s="28" t="s">
        <v>222</v>
      </c>
      <c r="C4555" s="28" t="s">
        <v>97</v>
      </c>
      <c r="D4555" s="28" t="s">
        <v>1691</v>
      </c>
      <c r="E4555" s="29" t="s">
        <v>1691</v>
      </c>
      <c r="F4555" s="29" t="s">
        <v>284</v>
      </c>
      <c r="G4555" s="25" t="s">
        <v>6255</v>
      </c>
      <c r="H4555" s="26">
        <v>-8.7928790147999987</v>
      </c>
      <c r="I4555" s="26"/>
      <c r="J4555" s="26" t="s">
        <v>512</v>
      </c>
      <c r="K4555" s="25" t="s">
        <v>513</v>
      </c>
    </row>
    <row r="4556" spans="1:11" ht="25.5" x14ac:dyDescent="0.25">
      <c r="A4556" s="22">
        <v>2026</v>
      </c>
      <c r="B4556" s="28" t="s">
        <v>222</v>
      </c>
      <c r="C4556" s="28" t="s">
        <v>97</v>
      </c>
      <c r="D4556" s="28" t="s">
        <v>1691</v>
      </c>
      <c r="E4556" s="29" t="s">
        <v>1691</v>
      </c>
      <c r="F4556" s="29" t="s">
        <v>284</v>
      </c>
      <c r="G4556" s="25" t="s">
        <v>6256</v>
      </c>
      <c r="H4556" s="26">
        <v>-8.8396223387999999</v>
      </c>
      <c r="I4556" s="26"/>
      <c r="J4556" s="26" t="s">
        <v>512</v>
      </c>
      <c r="K4556" s="25" t="s">
        <v>513</v>
      </c>
    </row>
    <row r="4557" spans="1:11" ht="25.5" x14ac:dyDescent="0.25">
      <c r="A4557" s="22">
        <v>2026</v>
      </c>
      <c r="B4557" s="28" t="s">
        <v>222</v>
      </c>
      <c r="C4557" s="28" t="s">
        <v>97</v>
      </c>
      <c r="D4557" s="28" t="s">
        <v>1692</v>
      </c>
      <c r="E4557" s="29" t="s">
        <v>352</v>
      </c>
      <c r="F4557" s="29" t="s">
        <v>576</v>
      </c>
      <c r="G4557" s="25" t="s">
        <v>6273</v>
      </c>
      <c r="H4557" s="26">
        <v>-9.0399999999999994E-2</v>
      </c>
      <c r="I4557" s="26"/>
      <c r="J4557" s="26" t="s">
        <v>512</v>
      </c>
      <c r="K4557" s="25" t="s">
        <v>513</v>
      </c>
    </row>
    <row r="4558" spans="1:11" ht="25.5" x14ac:dyDescent="0.25">
      <c r="A4558" s="22">
        <v>2026</v>
      </c>
      <c r="B4558" s="28" t="s">
        <v>222</v>
      </c>
      <c r="C4558" s="28" t="s">
        <v>97</v>
      </c>
      <c r="D4558" s="28" t="s">
        <v>1692</v>
      </c>
      <c r="E4558" s="29" t="s">
        <v>352</v>
      </c>
      <c r="F4558" s="29" t="s">
        <v>576</v>
      </c>
      <c r="G4558" s="25" t="s">
        <v>6274</v>
      </c>
      <c r="H4558" s="26">
        <v>-0.22020000000000001</v>
      </c>
      <c r="I4558" s="26"/>
      <c r="J4558" s="26" t="s">
        <v>512</v>
      </c>
      <c r="K4558" s="25" t="s">
        <v>513</v>
      </c>
    </row>
    <row r="4559" spans="1:11" ht="25.5" x14ac:dyDescent="0.25">
      <c r="A4559" s="22">
        <v>2026</v>
      </c>
      <c r="B4559" s="28" t="s">
        <v>222</v>
      </c>
      <c r="C4559" s="28" t="s">
        <v>97</v>
      </c>
      <c r="D4559" s="28" t="s">
        <v>1692</v>
      </c>
      <c r="E4559" s="29" t="s">
        <v>352</v>
      </c>
      <c r="F4559" s="29" t="s">
        <v>576</v>
      </c>
      <c r="G4559" s="25" t="s">
        <v>6275</v>
      </c>
      <c r="H4559" s="26">
        <v>-0.10367999999999999</v>
      </c>
      <c r="I4559" s="26"/>
      <c r="J4559" s="26" t="s">
        <v>512</v>
      </c>
      <c r="K4559" s="25" t="s">
        <v>513</v>
      </c>
    </row>
    <row r="4560" spans="1:11" ht="25.5" x14ac:dyDescent="0.25">
      <c r="A4560" s="22">
        <v>2026</v>
      </c>
      <c r="B4560" s="28" t="s">
        <v>222</v>
      </c>
      <c r="C4560" s="28" t="s">
        <v>97</v>
      </c>
      <c r="D4560" s="28" t="s">
        <v>1692</v>
      </c>
      <c r="E4560" s="29" t="s">
        <v>352</v>
      </c>
      <c r="F4560" s="29" t="s">
        <v>576</v>
      </c>
      <c r="G4560" s="25" t="s">
        <v>6276</v>
      </c>
      <c r="H4560" s="26">
        <v>-0.58455000000000001</v>
      </c>
      <c r="I4560" s="26"/>
      <c r="J4560" s="26" t="s">
        <v>512</v>
      </c>
      <c r="K4560" s="25" t="s">
        <v>513</v>
      </c>
    </row>
    <row r="4561" spans="1:11" ht="25.5" x14ac:dyDescent="0.25">
      <c r="A4561" s="22">
        <v>2026</v>
      </c>
      <c r="B4561" s="28" t="s">
        <v>222</v>
      </c>
      <c r="C4561" s="28" t="s">
        <v>97</v>
      </c>
      <c r="D4561" s="28" t="s">
        <v>1692</v>
      </c>
      <c r="E4561" s="29" t="s">
        <v>352</v>
      </c>
      <c r="F4561" s="29" t="s">
        <v>576</v>
      </c>
      <c r="G4561" s="25" t="s">
        <v>6277</v>
      </c>
      <c r="H4561" s="26">
        <v>-0.875</v>
      </c>
      <c r="I4561" s="26"/>
      <c r="J4561" s="26" t="s">
        <v>512</v>
      </c>
      <c r="K4561" s="25" t="s">
        <v>513</v>
      </c>
    </row>
    <row r="4562" spans="1:11" ht="25.5" x14ac:dyDescent="0.25">
      <c r="A4562" s="22">
        <v>2026</v>
      </c>
      <c r="B4562" s="28" t="s">
        <v>222</v>
      </c>
      <c r="C4562" s="28" t="s">
        <v>97</v>
      </c>
      <c r="D4562" s="28" t="s">
        <v>1693</v>
      </c>
      <c r="E4562" s="29" t="s">
        <v>352</v>
      </c>
      <c r="F4562" s="29" t="s">
        <v>903</v>
      </c>
      <c r="G4562" s="25" t="s">
        <v>6278</v>
      </c>
      <c r="H4562" s="26">
        <v>-0.1011</v>
      </c>
      <c r="I4562" s="26"/>
      <c r="J4562" s="26" t="s">
        <v>512</v>
      </c>
      <c r="K4562" s="25" t="s">
        <v>513</v>
      </c>
    </row>
    <row r="4563" spans="1:11" ht="25.5" x14ac:dyDescent="0.25">
      <c r="A4563" s="22">
        <v>2026</v>
      </c>
      <c r="B4563" s="28" t="s">
        <v>222</v>
      </c>
      <c r="C4563" s="28" t="s">
        <v>97</v>
      </c>
      <c r="D4563" s="28" t="s">
        <v>1693</v>
      </c>
      <c r="E4563" s="29" t="s">
        <v>352</v>
      </c>
      <c r="F4563" s="29" t="s">
        <v>903</v>
      </c>
      <c r="G4563" s="25" t="s">
        <v>6279</v>
      </c>
      <c r="H4563" s="26">
        <v>-0.17022100000000001</v>
      </c>
      <c r="I4563" s="26"/>
      <c r="J4563" s="26" t="s">
        <v>512</v>
      </c>
      <c r="K4563" s="25" t="s">
        <v>513</v>
      </c>
    </row>
    <row r="4564" spans="1:11" ht="25.5" x14ac:dyDescent="0.25">
      <c r="A4564" s="22">
        <v>2026</v>
      </c>
      <c r="B4564" s="28" t="s">
        <v>222</v>
      </c>
      <c r="C4564" s="28" t="s">
        <v>97</v>
      </c>
      <c r="D4564" s="28" t="s">
        <v>1693</v>
      </c>
      <c r="E4564" s="29" t="s">
        <v>352</v>
      </c>
      <c r="F4564" s="29" t="s">
        <v>903</v>
      </c>
      <c r="G4564" s="25" t="s">
        <v>6280</v>
      </c>
      <c r="H4564" s="26">
        <v>-0.17146149999999999</v>
      </c>
      <c r="I4564" s="26"/>
      <c r="J4564" s="26" t="s">
        <v>512</v>
      </c>
      <c r="K4564" s="25" t="s">
        <v>513</v>
      </c>
    </row>
    <row r="4565" spans="1:11" ht="25.5" x14ac:dyDescent="0.25">
      <c r="A4565" s="22">
        <v>2026</v>
      </c>
      <c r="B4565" s="28" t="s">
        <v>222</v>
      </c>
      <c r="C4565" s="28" t="s">
        <v>97</v>
      </c>
      <c r="D4565" s="28" t="s">
        <v>1693</v>
      </c>
      <c r="E4565" s="29" t="s">
        <v>352</v>
      </c>
      <c r="F4565" s="29" t="s">
        <v>903</v>
      </c>
      <c r="G4565" s="25" t="s">
        <v>6281</v>
      </c>
      <c r="H4565" s="26">
        <v>-0.10257464999999999</v>
      </c>
      <c r="I4565" s="26"/>
      <c r="J4565" s="26" t="s">
        <v>512</v>
      </c>
      <c r="K4565" s="25" t="s">
        <v>513</v>
      </c>
    </row>
    <row r="4566" spans="1:11" ht="25.5" x14ac:dyDescent="0.25">
      <c r="A4566" s="22">
        <v>2026</v>
      </c>
      <c r="B4566" s="28" t="s">
        <v>222</v>
      </c>
      <c r="C4566" s="28" t="s">
        <v>97</v>
      </c>
      <c r="D4566" s="28" t="s">
        <v>1693</v>
      </c>
      <c r="E4566" s="29" t="s">
        <v>352</v>
      </c>
      <c r="F4566" s="29" t="s">
        <v>903</v>
      </c>
      <c r="G4566" s="25" t="s">
        <v>6282</v>
      </c>
      <c r="H4566" s="26">
        <v>-0.20955720999999999</v>
      </c>
      <c r="I4566" s="26"/>
      <c r="J4566" s="26" t="s">
        <v>512</v>
      </c>
      <c r="K4566" s="25" t="s">
        <v>513</v>
      </c>
    </row>
    <row r="4567" spans="1:11" ht="25.5" x14ac:dyDescent="0.25">
      <c r="A4567" s="22">
        <v>2026</v>
      </c>
      <c r="B4567" s="28" t="s">
        <v>222</v>
      </c>
      <c r="C4567" s="28" t="s">
        <v>97</v>
      </c>
      <c r="D4567" s="28" t="s">
        <v>1693</v>
      </c>
      <c r="E4567" s="29" t="s">
        <v>352</v>
      </c>
      <c r="F4567" s="29" t="s">
        <v>903</v>
      </c>
      <c r="G4567" s="25" t="s">
        <v>6283</v>
      </c>
      <c r="H4567" s="26">
        <v>-9.997992E-2</v>
      </c>
      <c r="I4567" s="26"/>
      <c r="J4567" s="26" t="s">
        <v>512</v>
      </c>
      <c r="K4567" s="25" t="s">
        <v>513</v>
      </c>
    </row>
    <row r="4568" spans="1:11" ht="25.5" x14ac:dyDescent="0.25">
      <c r="A4568" s="22">
        <v>2026</v>
      </c>
      <c r="B4568" s="28" t="s">
        <v>222</v>
      </c>
      <c r="C4568" s="28" t="s">
        <v>97</v>
      </c>
      <c r="D4568" s="28" t="s">
        <v>1693</v>
      </c>
      <c r="E4568" s="29" t="s">
        <v>352</v>
      </c>
      <c r="F4568" s="29" t="s">
        <v>903</v>
      </c>
      <c r="G4568" s="25" t="s">
        <v>6284</v>
      </c>
      <c r="H4568" s="26">
        <v>-6.311047568E-2</v>
      </c>
      <c r="I4568" s="26"/>
      <c r="J4568" s="26" t="s">
        <v>512</v>
      </c>
      <c r="K4568" s="25" t="s">
        <v>513</v>
      </c>
    </row>
    <row r="4569" spans="1:11" ht="25.5" x14ac:dyDescent="0.25">
      <c r="A4569" s="22">
        <v>2026</v>
      </c>
      <c r="B4569" s="28" t="s">
        <v>222</v>
      </c>
      <c r="C4569" s="28" t="s">
        <v>97</v>
      </c>
      <c r="D4569" s="28" t="s">
        <v>1693</v>
      </c>
      <c r="E4569" s="29" t="s">
        <v>352</v>
      </c>
      <c r="F4569" s="29" t="s">
        <v>903</v>
      </c>
      <c r="G4569" s="25" t="s">
        <v>6285</v>
      </c>
      <c r="H4569" s="26">
        <v>-0.17597113</v>
      </c>
      <c r="I4569" s="26"/>
      <c r="J4569" s="26" t="s">
        <v>512</v>
      </c>
      <c r="K4569" s="25" t="s">
        <v>513</v>
      </c>
    </row>
    <row r="4570" spans="1:11" ht="25.5" x14ac:dyDescent="0.25">
      <c r="A4570" s="22">
        <v>2026</v>
      </c>
      <c r="B4570" s="28" t="s">
        <v>222</v>
      </c>
      <c r="C4570" s="28" t="s">
        <v>97</v>
      </c>
      <c r="D4570" s="28" t="s">
        <v>1693</v>
      </c>
      <c r="E4570" s="29" t="s">
        <v>352</v>
      </c>
      <c r="F4570" s="29" t="s">
        <v>903</v>
      </c>
      <c r="G4570" s="25" t="s">
        <v>6286</v>
      </c>
      <c r="H4570" s="26">
        <v>-7.9680000000000001E-2</v>
      </c>
      <c r="I4570" s="26"/>
      <c r="J4570" s="26" t="s">
        <v>512</v>
      </c>
      <c r="K4570" s="25" t="s">
        <v>513</v>
      </c>
    </row>
    <row r="4571" spans="1:11" ht="25.5" x14ac:dyDescent="0.25">
      <c r="A4571" s="22">
        <v>2026</v>
      </c>
      <c r="B4571" s="28" t="s">
        <v>222</v>
      </c>
      <c r="C4571" s="28" t="s">
        <v>97</v>
      </c>
      <c r="D4571" s="28" t="s">
        <v>1693</v>
      </c>
      <c r="E4571" s="29" t="s">
        <v>352</v>
      </c>
      <c r="F4571" s="29" t="s">
        <v>903</v>
      </c>
      <c r="G4571" s="25" t="s">
        <v>6287</v>
      </c>
      <c r="H4571" s="26">
        <v>-0.16597899999999999</v>
      </c>
      <c r="I4571" s="26"/>
      <c r="J4571" s="26" t="s">
        <v>512</v>
      </c>
      <c r="K4571" s="25" t="s">
        <v>513</v>
      </c>
    </row>
    <row r="4572" spans="1:11" ht="25.5" x14ac:dyDescent="0.25">
      <c r="A4572" s="22">
        <v>2026</v>
      </c>
      <c r="B4572" s="28" t="s">
        <v>222</v>
      </c>
      <c r="C4572" s="28" t="s">
        <v>97</v>
      </c>
      <c r="D4572" s="28" t="s">
        <v>1693</v>
      </c>
      <c r="E4572" s="29" t="s">
        <v>352</v>
      </c>
      <c r="F4572" s="29" t="s">
        <v>903</v>
      </c>
      <c r="G4572" s="25" t="s">
        <v>6288</v>
      </c>
      <c r="H4572" s="26">
        <v>-0.11186</v>
      </c>
      <c r="I4572" s="26"/>
      <c r="J4572" s="26" t="s">
        <v>512</v>
      </c>
      <c r="K4572" s="25" t="s">
        <v>513</v>
      </c>
    </row>
    <row r="4573" spans="1:11" ht="25.5" x14ac:dyDescent="0.25">
      <c r="A4573" s="22">
        <v>2026</v>
      </c>
      <c r="B4573" s="28" t="s">
        <v>222</v>
      </c>
      <c r="C4573" s="28" t="s">
        <v>97</v>
      </c>
      <c r="D4573" s="28" t="s">
        <v>1693</v>
      </c>
      <c r="E4573" s="29" t="s">
        <v>352</v>
      </c>
      <c r="F4573" s="29" t="s">
        <v>903</v>
      </c>
      <c r="G4573" s="25" t="s">
        <v>6289</v>
      </c>
      <c r="H4573" s="26">
        <v>-0.1056</v>
      </c>
      <c r="I4573" s="26"/>
      <c r="J4573" s="26" t="s">
        <v>512</v>
      </c>
      <c r="K4573" s="25" t="s">
        <v>513</v>
      </c>
    </row>
    <row r="4574" spans="1:11" ht="25.5" x14ac:dyDescent="0.25">
      <c r="A4574" s="22">
        <v>2026</v>
      </c>
      <c r="B4574" s="28" t="s">
        <v>222</v>
      </c>
      <c r="C4574" s="28" t="s">
        <v>97</v>
      </c>
      <c r="D4574" s="28" t="s">
        <v>1693</v>
      </c>
      <c r="E4574" s="29" t="s">
        <v>352</v>
      </c>
      <c r="F4574" s="29" t="s">
        <v>903</v>
      </c>
      <c r="G4574" s="25" t="s">
        <v>6290</v>
      </c>
      <c r="H4574" s="26">
        <v>-0.23246020000000001</v>
      </c>
      <c r="I4574" s="26"/>
      <c r="J4574" s="26" t="s">
        <v>512</v>
      </c>
      <c r="K4574" s="25" t="s">
        <v>513</v>
      </c>
    </row>
    <row r="4575" spans="1:11" ht="25.5" x14ac:dyDescent="0.25">
      <c r="A4575" s="22">
        <v>2026</v>
      </c>
      <c r="B4575" s="28" t="s">
        <v>222</v>
      </c>
      <c r="C4575" s="28" t="s">
        <v>97</v>
      </c>
      <c r="D4575" s="28" t="s">
        <v>1693</v>
      </c>
      <c r="E4575" s="29" t="s">
        <v>352</v>
      </c>
      <c r="F4575" s="29" t="s">
        <v>903</v>
      </c>
      <c r="G4575" s="25" t="s">
        <v>6291</v>
      </c>
      <c r="H4575" s="26">
        <v>-0.20292089999999999</v>
      </c>
      <c r="I4575" s="26"/>
      <c r="J4575" s="26" t="s">
        <v>512</v>
      </c>
      <c r="K4575" s="25" t="s">
        <v>513</v>
      </c>
    </row>
    <row r="4576" spans="1:11" ht="25.5" x14ac:dyDescent="0.25">
      <c r="A4576" s="22">
        <v>2026</v>
      </c>
      <c r="B4576" s="28" t="s">
        <v>222</v>
      </c>
      <c r="C4576" s="28" t="s">
        <v>97</v>
      </c>
      <c r="D4576" s="28" t="s">
        <v>1693</v>
      </c>
      <c r="E4576" s="29" t="s">
        <v>352</v>
      </c>
      <c r="F4576" s="29" t="s">
        <v>903</v>
      </c>
      <c r="G4576" s="25" t="s">
        <v>6292</v>
      </c>
      <c r="H4576" s="26">
        <v>-8.927243E-2</v>
      </c>
      <c r="I4576" s="26"/>
      <c r="J4576" s="26" t="s">
        <v>512</v>
      </c>
      <c r="K4576" s="25" t="s">
        <v>513</v>
      </c>
    </row>
    <row r="4577" spans="1:11" ht="25.5" x14ac:dyDescent="0.25">
      <c r="A4577" s="22">
        <v>2026</v>
      </c>
      <c r="B4577" s="28" t="s">
        <v>222</v>
      </c>
      <c r="C4577" s="28" t="s">
        <v>97</v>
      </c>
      <c r="D4577" s="28" t="s">
        <v>1693</v>
      </c>
      <c r="E4577" s="29" t="s">
        <v>352</v>
      </c>
      <c r="F4577" s="29" t="s">
        <v>903</v>
      </c>
      <c r="G4577" s="25" t="s">
        <v>6293</v>
      </c>
      <c r="H4577" s="26">
        <v>-7.4950589999999997E-2</v>
      </c>
      <c r="I4577" s="26"/>
      <c r="J4577" s="26" t="s">
        <v>512</v>
      </c>
      <c r="K4577" s="25" t="s">
        <v>513</v>
      </c>
    </row>
    <row r="4578" spans="1:11" ht="25.5" x14ac:dyDescent="0.25">
      <c r="A4578" s="22">
        <v>2026</v>
      </c>
      <c r="B4578" s="28" t="s">
        <v>222</v>
      </c>
      <c r="C4578" s="28" t="s">
        <v>97</v>
      </c>
      <c r="D4578" s="28" t="s">
        <v>1693</v>
      </c>
      <c r="E4578" s="29" t="s">
        <v>352</v>
      </c>
      <c r="F4578" s="29" t="s">
        <v>903</v>
      </c>
      <c r="G4578" s="25" t="s">
        <v>6294</v>
      </c>
      <c r="H4578" s="26">
        <v>-8.1451559999999992E-2</v>
      </c>
      <c r="I4578" s="26"/>
      <c r="J4578" s="26" t="s">
        <v>512</v>
      </c>
      <c r="K4578" s="25" t="s">
        <v>513</v>
      </c>
    </row>
    <row r="4579" spans="1:11" ht="25.5" x14ac:dyDescent="0.25">
      <c r="A4579" s="22">
        <v>2026</v>
      </c>
      <c r="B4579" s="28" t="s">
        <v>222</v>
      </c>
      <c r="C4579" s="28" t="s">
        <v>97</v>
      </c>
      <c r="D4579" s="28" t="s">
        <v>1693</v>
      </c>
      <c r="E4579" s="29" t="s">
        <v>352</v>
      </c>
      <c r="F4579" s="29" t="s">
        <v>903</v>
      </c>
      <c r="G4579" s="25" t="s">
        <v>6295</v>
      </c>
      <c r="H4579" s="26">
        <v>-8.1516240000000004E-2</v>
      </c>
      <c r="I4579" s="26"/>
      <c r="J4579" s="26" t="s">
        <v>512</v>
      </c>
      <c r="K4579" s="25" t="s">
        <v>513</v>
      </c>
    </row>
    <row r="4580" spans="1:11" ht="25.5" x14ac:dyDescent="0.25">
      <c r="A4580" s="22">
        <v>2026</v>
      </c>
      <c r="B4580" s="28" t="s">
        <v>222</v>
      </c>
      <c r="C4580" s="28" t="s">
        <v>97</v>
      </c>
      <c r="D4580" s="28" t="s">
        <v>1694</v>
      </c>
      <c r="E4580" s="29" t="s">
        <v>352</v>
      </c>
      <c r="F4580" s="29" t="s">
        <v>343</v>
      </c>
      <c r="G4580" s="25" t="s">
        <v>6296</v>
      </c>
      <c r="H4580" s="26">
        <v>-0.16834276264</v>
      </c>
      <c r="I4580" s="26"/>
      <c r="J4580" s="26" t="s">
        <v>512</v>
      </c>
      <c r="K4580" s="25" t="s">
        <v>513</v>
      </c>
    </row>
    <row r="4581" spans="1:11" ht="25.5" x14ac:dyDescent="0.25">
      <c r="A4581" s="22">
        <v>2026</v>
      </c>
      <c r="B4581" s="28" t="s">
        <v>222</v>
      </c>
      <c r="C4581" s="28" t="s">
        <v>97</v>
      </c>
      <c r="D4581" s="28" t="s">
        <v>1694</v>
      </c>
      <c r="E4581" s="29" t="s">
        <v>352</v>
      </c>
      <c r="F4581" s="29" t="s">
        <v>343</v>
      </c>
      <c r="G4581" s="25" t="s">
        <v>6297</v>
      </c>
      <c r="H4581" s="26">
        <v>-0.20313136199999998</v>
      </c>
      <c r="I4581" s="26"/>
      <c r="J4581" s="26" t="s">
        <v>512</v>
      </c>
      <c r="K4581" s="25" t="s">
        <v>513</v>
      </c>
    </row>
    <row r="4582" spans="1:11" ht="25.5" x14ac:dyDescent="0.25">
      <c r="A4582" s="22">
        <v>2026</v>
      </c>
      <c r="B4582" s="28" t="s">
        <v>222</v>
      </c>
      <c r="C4582" s="28" t="s">
        <v>97</v>
      </c>
      <c r="D4582" s="28" t="s">
        <v>1694</v>
      </c>
      <c r="E4582" s="29" t="s">
        <v>352</v>
      </c>
      <c r="F4582" s="29" t="s">
        <v>343</v>
      </c>
      <c r="G4582" s="25" t="s">
        <v>6298</v>
      </c>
      <c r="H4582" s="26">
        <v>-0.18770690754</v>
      </c>
      <c r="I4582" s="26"/>
      <c r="J4582" s="26" t="s">
        <v>512</v>
      </c>
      <c r="K4582" s="25" t="s">
        <v>513</v>
      </c>
    </row>
    <row r="4583" spans="1:11" ht="25.5" x14ac:dyDescent="0.25">
      <c r="A4583" s="22">
        <v>2026</v>
      </c>
      <c r="B4583" s="28" t="s">
        <v>222</v>
      </c>
      <c r="C4583" s="28" t="s">
        <v>97</v>
      </c>
      <c r="D4583" s="28" t="s">
        <v>1694</v>
      </c>
      <c r="E4583" s="29" t="s">
        <v>352</v>
      </c>
      <c r="F4583" s="29" t="s">
        <v>343</v>
      </c>
      <c r="G4583" s="25" t="s">
        <v>6299</v>
      </c>
      <c r="H4583" s="26">
        <v>-0.45947652</v>
      </c>
      <c r="I4583" s="26"/>
      <c r="J4583" s="26" t="s">
        <v>512</v>
      </c>
      <c r="K4583" s="25" t="s">
        <v>513</v>
      </c>
    </row>
    <row r="4584" spans="1:11" ht="25.5" x14ac:dyDescent="0.25">
      <c r="A4584" s="22">
        <v>2026</v>
      </c>
      <c r="B4584" s="28" t="s">
        <v>222</v>
      </c>
      <c r="C4584" s="28" t="s">
        <v>97</v>
      </c>
      <c r="D4584" s="28" t="s">
        <v>1694</v>
      </c>
      <c r="E4584" s="29" t="s">
        <v>352</v>
      </c>
      <c r="F4584" s="29" t="s">
        <v>343</v>
      </c>
      <c r="G4584" s="25" t="s">
        <v>6300</v>
      </c>
      <c r="H4584" s="26">
        <v>-0.22586000000000001</v>
      </c>
      <c r="I4584" s="26"/>
      <c r="J4584" s="26" t="s">
        <v>512</v>
      </c>
      <c r="K4584" s="25" t="s">
        <v>513</v>
      </c>
    </row>
    <row r="4585" spans="1:11" ht="25.5" x14ac:dyDescent="0.25">
      <c r="A4585" s="22">
        <v>2026</v>
      </c>
      <c r="B4585" s="28" t="s">
        <v>222</v>
      </c>
      <c r="C4585" s="28" t="s">
        <v>97</v>
      </c>
      <c r="D4585" s="28" t="s">
        <v>1694</v>
      </c>
      <c r="E4585" s="29" t="s">
        <v>352</v>
      </c>
      <c r="F4585" s="29" t="s">
        <v>343</v>
      </c>
      <c r="G4585" s="25" t="s">
        <v>6301</v>
      </c>
      <c r="H4585" s="26">
        <v>-0.332401</v>
      </c>
      <c r="I4585" s="26"/>
      <c r="J4585" s="26" t="s">
        <v>512</v>
      </c>
      <c r="K4585" s="25" t="s">
        <v>513</v>
      </c>
    </row>
    <row r="4586" spans="1:11" ht="25.5" x14ac:dyDescent="0.25">
      <c r="A4586" s="22">
        <v>2026</v>
      </c>
      <c r="B4586" s="28" t="s">
        <v>222</v>
      </c>
      <c r="C4586" s="28" t="s">
        <v>97</v>
      </c>
      <c r="D4586" s="28" t="s">
        <v>1694</v>
      </c>
      <c r="E4586" s="29" t="s">
        <v>352</v>
      </c>
      <c r="F4586" s="29" t="s">
        <v>343</v>
      </c>
      <c r="G4586" s="25" t="s">
        <v>6302</v>
      </c>
      <c r="H4586" s="26">
        <v>-0.35336673759999998</v>
      </c>
      <c r="I4586" s="26"/>
      <c r="J4586" s="26" t="s">
        <v>512</v>
      </c>
      <c r="K4586" s="25" t="s">
        <v>513</v>
      </c>
    </row>
    <row r="4587" spans="1:11" ht="25.5" x14ac:dyDescent="0.25">
      <c r="A4587" s="22">
        <v>2026</v>
      </c>
      <c r="B4587" s="28" t="s">
        <v>222</v>
      </c>
      <c r="C4587" s="28" t="s">
        <v>97</v>
      </c>
      <c r="D4587" s="28" t="s">
        <v>1694</v>
      </c>
      <c r="E4587" s="29" t="s">
        <v>352</v>
      </c>
      <c r="F4587" s="29" t="s">
        <v>343</v>
      </c>
      <c r="G4587" s="25" t="s">
        <v>6303</v>
      </c>
      <c r="H4587" s="26">
        <v>-0.40574960148</v>
      </c>
      <c r="I4587" s="26"/>
      <c r="J4587" s="26" t="s">
        <v>512</v>
      </c>
      <c r="K4587" s="25" t="s">
        <v>513</v>
      </c>
    </row>
    <row r="4588" spans="1:11" ht="25.5" x14ac:dyDescent="0.25">
      <c r="A4588" s="22">
        <v>2026</v>
      </c>
      <c r="B4588" s="28" t="s">
        <v>222</v>
      </c>
      <c r="C4588" s="28" t="s">
        <v>97</v>
      </c>
      <c r="D4588" s="28" t="s">
        <v>1694</v>
      </c>
      <c r="E4588" s="29" t="s">
        <v>352</v>
      </c>
      <c r="F4588" s="29" t="s">
        <v>343</v>
      </c>
      <c r="G4588" s="25" t="s">
        <v>6304</v>
      </c>
      <c r="H4588" s="26">
        <v>-0.1885725</v>
      </c>
      <c r="I4588" s="26"/>
      <c r="J4588" s="26" t="s">
        <v>512</v>
      </c>
      <c r="K4588" s="25" t="s">
        <v>513</v>
      </c>
    </row>
    <row r="4589" spans="1:11" ht="25.5" x14ac:dyDescent="0.25">
      <c r="A4589" s="22">
        <v>2026</v>
      </c>
      <c r="B4589" s="28" t="s">
        <v>222</v>
      </c>
      <c r="C4589" s="28" t="s">
        <v>97</v>
      </c>
      <c r="D4589" s="28" t="s">
        <v>1694</v>
      </c>
      <c r="E4589" s="29" t="s">
        <v>352</v>
      </c>
      <c r="F4589" s="29" t="s">
        <v>343</v>
      </c>
      <c r="G4589" s="25" t="s">
        <v>6305</v>
      </c>
      <c r="H4589" s="26">
        <v>-0.20002938816000002</v>
      </c>
      <c r="I4589" s="26"/>
      <c r="J4589" s="26" t="s">
        <v>512</v>
      </c>
      <c r="K4589" s="25" t="s">
        <v>513</v>
      </c>
    </row>
    <row r="4590" spans="1:11" ht="25.5" x14ac:dyDescent="0.25">
      <c r="A4590" s="22">
        <v>2026</v>
      </c>
      <c r="B4590" s="28" t="s">
        <v>222</v>
      </c>
      <c r="C4590" s="28" t="s">
        <v>97</v>
      </c>
      <c r="D4590" s="28" t="s">
        <v>1694</v>
      </c>
      <c r="E4590" s="29" t="s">
        <v>352</v>
      </c>
      <c r="F4590" s="29" t="s">
        <v>343</v>
      </c>
      <c r="G4590" s="25" t="s">
        <v>6306</v>
      </c>
      <c r="H4590" s="26">
        <v>-9.0015954670000009E-2</v>
      </c>
      <c r="I4590" s="26"/>
      <c r="J4590" s="26" t="s">
        <v>512</v>
      </c>
      <c r="K4590" s="25" t="s">
        <v>513</v>
      </c>
    </row>
    <row r="4591" spans="1:11" ht="25.5" x14ac:dyDescent="0.25">
      <c r="A4591" s="22">
        <v>2026</v>
      </c>
      <c r="B4591" s="28" t="s">
        <v>222</v>
      </c>
      <c r="C4591" s="28" t="s">
        <v>97</v>
      </c>
      <c r="D4591" s="28" t="s">
        <v>1694</v>
      </c>
      <c r="E4591" s="29" t="s">
        <v>352</v>
      </c>
      <c r="F4591" s="29" t="s">
        <v>343</v>
      </c>
      <c r="G4591" s="25" t="s">
        <v>6307</v>
      </c>
      <c r="H4591" s="26">
        <v>-0.15188791239999999</v>
      </c>
      <c r="I4591" s="26"/>
      <c r="J4591" s="26" t="s">
        <v>512</v>
      </c>
      <c r="K4591" s="25" t="s">
        <v>513</v>
      </c>
    </row>
    <row r="4592" spans="1:11" ht="25.5" x14ac:dyDescent="0.25">
      <c r="A4592" s="22">
        <v>2026</v>
      </c>
      <c r="B4592" s="28" t="s">
        <v>222</v>
      </c>
      <c r="C4592" s="28" t="s">
        <v>97</v>
      </c>
      <c r="D4592" s="28" t="s">
        <v>1694</v>
      </c>
      <c r="E4592" s="29" t="s">
        <v>352</v>
      </c>
      <c r="F4592" s="29" t="s">
        <v>343</v>
      </c>
      <c r="G4592" s="25" t="s">
        <v>6308</v>
      </c>
      <c r="H4592" s="26">
        <v>-0.17137208231999998</v>
      </c>
      <c r="I4592" s="26"/>
      <c r="J4592" s="26" t="s">
        <v>512</v>
      </c>
      <c r="K4592" s="25" t="s">
        <v>513</v>
      </c>
    </row>
    <row r="4593" spans="1:11" ht="25.5" x14ac:dyDescent="0.25">
      <c r="A4593" s="22">
        <v>2026</v>
      </c>
      <c r="B4593" s="28" t="s">
        <v>222</v>
      </c>
      <c r="C4593" s="28" t="s">
        <v>97</v>
      </c>
      <c r="D4593" s="28" t="s">
        <v>1694</v>
      </c>
      <c r="E4593" s="29" t="s">
        <v>352</v>
      </c>
      <c r="F4593" s="29" t="s">
        <v>343</v>
      </c>
      <c r="G4593" s="25" t="s">
        <v>6309</v>
      </c>
      <c r="H4593" s="26">
        <v>-0.18281999879999999</v>
      </c>
      <c r="I4593" s="26"/>
      <c r="J4593" s="26" t="s">
        <v>512</v>
      </c>
      <c r="K4593" s="25" t="s">
        <v>513</v>
      </c>
    </row>
    <row r="4594" spans="1:11" ht="25.5" x14ac:dyDescent="0.25">
      <c r="A4594" s="22">
        <v>2026</v>
      </c>
      <c r="B4594" s="28" t="s">
        <v>222</v>
      </c>
      <c r="C4594" s="28" t="s">
        <v>97</v>
      </c>
      <c r="D4594" s="28" t="s">
        <v>1694</v>
      </c>
      <c r="E4594" s="29" t="s">
        <v>352</v>
      </c>
      <c r="F4594" s="29" t="s">
        <v>343</v>
      </c>
      <c r="G4594" s="25" t="s">
        <v>6310</v>
      </c>
      <c r="H4594" s="26">
        <v>-0.11208272113000001</v>
      </c>
      <c r="I4594" s="26"/>
      <c r="J4594" s="26" t="s">
        <v>512</v>
      </c>
      <c r="K4594" s="25" t="s">
        <v>513</v>
      </c>
    </row>
    <row r="4595" spans="1:11" ht="25.5" x14ac:dyDescent="0.25">
      <c r="A4595" s="22">
        <v>2026</v>
      </c>
      <c r="B4595" s="28" t="s">
        <v>222</v>
      </c>
      <c r="C4595" s="28" t="s">
        <v>97</v>
      </c>
      <c r="D4595" s="28" t="s">
        <v>530</v>
      </c>
      <c r="E4595" s="29" t="s">
        <v>548</v>
      </c>
      <c r="F4595" s="29" t="s">
        <v>343</v>
      </c>
      <c r="G4595" s="25" t="s">
        <v>6257</v>
      </c>
      <c r="H4595" s="26">
        <v>-0.33729982000000003</v>
      </c>
      <c r="I4595" s="26"/>
      <c r="J4595" s="26" t="s">
        <v>512</v>
      </c>
      <c r="K4595" s="25" t="s">
        <v>513</v>
      </c>
    </row>
    <row r="4596" spans="1:11" ht="25.5" x14ac:dyDescent="0.25">
      <c r="A4596" s="22">
        <v>2026</v>
      </c>
      <c r="B4596" s="28" t="s">
        <v>222</v>
      </c>
      <c r="C4596" s="28" t="s">
        <v>97</v>
      </c>
      <c r="D4596" s="28" t="s">
        <v>530</v>
      </c>
      <c r="E4596" s="29" t="s">
        <v>548</v>
      </c>
      <c r="F4596" s="29" t="s">
        <v>343</v>
      </c>
      <c r="G4596" s="25" t="s">
        <v>6258</v>
      </c>
      <c r="H4596" s="26">
        <v>-0.384496</v>
      </c>
      <c r="I4596" s="26"/>
      <c r="J4596" s="26" t="s">
        <v>512</v>
      </c>
      <c r="K4596" s="25" t="s">
        <v>513</v>
      </c>
    </row>
    <row r="4597" spans="1:11" ht="25.5" x14ac:dyDescent="0.25">
      <c r="A4597" s="22">
        <v>2026</v>
      </c>
      <c r="B4597" s="28" t="s">
        <v>222</v>
      </c>
      <c r="C4597" s="28" t="s">
        <v>97</v>
      </c>
      <c r="D4597" s="28" t="s">
        <v>530</v>
      </c>
      <c r="E4597" s="29" t="s">
        <v>548</v>
      </c>
      <c r="F4597" s="29" t="s">
        <v>343</v>
      </c>
      <c r="G4597" s="25" t="s">
        <v>6259</v>
      </c>
      <c r="H4597" s="26">
        <v>-0.155</v>
      </c>
      <c r="I4597" s="26"/>
      <c r="J4597" s="26" t="s">
        <v>512</v>
      </c>
      <c r="K4597" s="25" t="s">
        <v>513</v>
      </c>
    </row>
    <row r="4598" spans="1:11" ht="25.5" x14ac:dyDescent="0.25">
      <c r="A4598" s="22">
        <v>2026</v>
      </c>
      <c r="B4598" s="28" t="s">
        <v>222</v>
      </c>
      <c r="C4598" s="28" t="s">
        <v>97</v>
      </c>
      <c r="D4598" s="28" t="s">
        <v>530</v>
      </c>
      <c r="E4598" s="29" t="s">
        <v>548</v>
      </c>
      <c r="F4598" s="29" t="s">
        <v>343</v>
      </c>
      <c r="G4598" s="25" t="s">
        <v>6260</v>
      </c>
      <c r="H4598" s="26">
        <v>-0.5443998000000001</v>
      </c>
      <c r="I4598" s="26"/>
      <c r="J4598" s="26" t="s">
        <v>512</v>
      </c>
      <c r="K4598" s="25" t="s">
        <v>513</v>
      </c>
    </row>
    <row r="4599" spans="1:11" ht="25.5" x14ac:dyDescent="0.25">
      <c r="A4599" s="22">
        <v>2026</v>
      </c>
      <c r="B4599" s="28" t="s">
        <v>222</v>
      </c>
      <c r="C4599" s="28" t="s">
        <v>97</v>
      </c>
      <c r="D4599" s="28" t="s">
        <v>530</v>
      </c>
      <c r="E4599" s="29" t="s">
        <v>548</v>
      </c>
      <c r="F4599" s="29" t="s">
        <v>343</v>
      </c>
      <c r="G4599" s="25" t="s">
        <v>6261</v>
      </c>
      <c r="H4599" s="26">
        <v>-0.31180000000000002</v>
      </c>
      <c r="I4599" s="26"/>
      <c r="J4599" s="26" t="s">
        <v>512</v>
      </c>
      <c r="K4599" s="25" t="s">
        <v>513</v>
      </c>
    </row>
    <row r="4600" spans="1:11" ht="25.5" x14ac:dyDescent="0.25">
      <c r="A4600" s="22">
        <v>2026</v>
      </c>
      <c r="B4600" s="28" t="s">
        <v>222</v>
      </c>
      <c r="C4600" s="28" t="s">
        <v>97</v>
      </c>
      <c r="D4600" s="28" t="s">
        <v>530</v>
      </c>
      <c r="E4600" s="29" t="s">
        <v>548</v>
      </c>
      <c r="F4600" s="29" t="s">
        <v>343</v>
      </c>
      <c r="G4600" s="25" t="s">
        <v>6262</v>
      </c>
      <c r="H4600" s="26">
        <v>-0.15540000000000001</v>
      </c>
      <c r="I4600" s="26"/>
      <c r="J4600" s="26" t="s">
        <v>512</v>
      </c>
      <c r="K4600" s="25" t="s">
        <v>513</v>
      </c>
    </row>
    <row r="4601" spans="1:11" ht="25.5" x14ac:dyDescent="0.25">
      <c r="A4601" s="22">
        <v>2026</v>
      </c>
      <c r="B4601" s="28" t="s">
        <v>222</v>
      </c>
      <c r="C4601" s="28" t="s">
        <v>97</v>
      </c>
      <c r="D4601" s="28" t="s">
        <v>530</v>
      </c>
      <c r="E4601" s="29" t="s">
        <v>548</v>
      </c>
      <c r="F4601" s="29" t="s">
        <v>343</v>
      </c>
      <c r="G4601" s="25" t="s">
        <v>6263</v>
      </c>
      <c r="H4601" s="26">
        <v>-0.46013490000000001</v>
      </c>
      <c r="I4601" s="26"/>
      <c r="J4601" s="26" t="s">
        <v>512</v>
      </c>
      <c r="K4601" s="25" t="s">
        <v>513</v>
      </c>
    </row>
    <row r="4602" spans="1:11" ht="25.5" x14ac:dyDescent="0.25">
      <c r="A4602" s="22">
        <v>2026</v>
      </c>
      <c r="B4602" s="28" t="s">
        <v>222</v>
      </c>
      <c r="C4602" s="28" t="s">
        <v>97</v>
      </c>
      <c r="D4602" s="28" t="s">
        <v>530</v>
      </c>
      <c r="E4602" s="29" t="s">
        <v>548</v>
      </c>
      <c r="F4602" s="29" t="s">
        <v>343</v>
      </c>
      <c r="G4602" s="25" t="s">
        <v>6264</v>
      </c>
      <c r="H4602" s="26">
        <v>-0.22914989999999999</v>
      </c>
      <c r="I4602" s="26"/>
      <c r="J4602" s="26" t="s">
        <v>512</v>
      </c>
      <c r="K4602" s="25" t="s">
        <v>513</v>
      </c>
    </row>
    <row r="4603" spans="1:11" ht="25.5" x14ac:dyDescent="0.25">
      <c r="A4603" s="22">
        <v>2026</v>
      </c>
      <c r="B4603" s="28" t="s">
        <v>222</v>
      </c>
      <c r="C4603" s="28" t="s">
        <v>97</v>
      </c>
      <c r="D4603" s="28" t="s">
        <v>530</v>
      </c>
      <c r="E4603" s="29" t="s">
        <v>548</v>
      </c>
      <c r="F4603" s="29" t="s">
        <v>343</v>
      </c>
      <c r="G4603" s="25" t="s">
        <v>6265</v>
      </c>
      <c r="H4603" s="26">
        <v>-0.30814999999999998</v>
      </c>
      <c r="I4603" s="26"/>
      <c r="J4603" s="26" t="s">
        <v>512</v>
      </c>
      <c r="K4603" s="25" t="s">
        <v>513</v>
      </c>
    </row>
    <row r="4604" spans="1:11" ht="25.5" x14ac:dyDescent="0.25">
      <c r="A4604" s="22">
        <v>2026</v>
      </c>
      <c r="B4604" s="28" t="s">
        <v>222</v>
      </c>
      <c r="C4604" s="28" t="s">
        <v>97</v>
      </c>
      <c r="D4604" s="28" t="s">
        <v>530</v>
      </c>
      <c r="E4604" s="29" t="s">
        <v>548</v>
      </c>
      <c r="F4604" s="29" t="s">
        <v>343</v>
      </c>
      <c r="G4604" s="25" t="s">
        <v>6266</v>
      </c>
      <c r="H4604" s="26">
        <v>-0.24415999999999999</v>
      </c>
      <c r="I4604" s="26"/>
      <c r="J4604" s="26" t="s">
        <v>512</v>
      </c>
      <c r="K4604" s="25" t="s">
        <v>513</v>
      </c>
    </row>
    <row r="4605" spans="1:11" ht="25.5" x14ac:dyDescent="0.25">
      <c r="A4605" s="22">
        <v>2026</v>
      </c>
      <c r="B4605" s="28" t="s">
        <v>222</v>
      </c>
      <c r="C4605" s="28" t="s">
        <v>97</v>
      </c>
      <c r="D4605" s="28" t="s">
        <v>530</v>
      </c>
      <c r="E4605" s="29" t="s">
        <v>548</v>
      </c>
      <c r="F4605" s="29" t="s">
        <v>343</v>
      </c>
      <c r="G4605" s="25" t="s">
        <v>6267</v>
      </c>
      <c r="H4605" s="26">
        <v>-0.56520682</v>
      </c>
      <c r="I4605" s="26"/>
      <c r="J4605" s="26" t="s">
        <v>512</v>
      </c>
      <c r="K4605" s="25" t="s">
        <v>513</v>
      </c>
    </row>
    <row r="4606" spans="1:11" ht="25.5" x14ac:dyDescent="0.25">
      <c r="A4606" s="22">
        <v>2026</v>
      </c>
      <c r="B4606" s="28" t="s">
        <v>222</v>
      </c>
      <c r="C4606" s="28" t="s">
        <v>97</v>
      </c>
      <c r="D4606" s="28" t="s">
        <v>530</v>
      </c>
      <c r="E4606" s="29" t="s">
        <v>548</v>
      </c>
      <c r="F4606" s="29" t="s">
        <v>343</v>
      </c>
      <c r="G4606" s="25" t="s">
        <v>6268</v>
      </c>
      <c r="H4606" s="26">
        <v>-0.53972484999999992</v>
      </c>
      <c r="I4606" s="26"/>
      <c r="J4606" s="26" t="s">
        <v>512</v>
      </c>
      <c r="K4606" s="25" t="s">
        <v>513</v>
      </c>
    </row>
    <row r="4607" spans="1:11" ht="25.5" x14ac:dyDescent="0.25">
      <c r="A4607" s="22">
        <v>2026</v>
      </c>
      <c r="B4607" s="28" t="s">
        <v>222</v>
      </c>
      <c r="C4607" s="28" t="s">
        <v>97</v>
      </c>
      <c r="D4607" s="28" t="s">
        <v>530</v>
      </c>
      <c r="E4607" s="29" t="s">
        <v>548</v>
      </c>
      <c r="F4607" s="29" t="s">
        <v>343</v>
      </c>
      <c r="G4607" s="25" t="s">
        <v>6269</v>
      </c>
      <c r="H4607" s="26">
        <v>-0.40583200000000003</v>
      </c>
      <c r="I4607" s="26"/>
      <c r="J4607" s="26" t="s">
        <v>512</v>
      </c>
      <c r="K4607" s="25" t="s">
        <v>513</v>
      </c>
    </row>
    <row r="4608" spans="1:11" ht="25.5" x14ac:dyDescent="0.25">
      <c r="A4608" s="22">
        <v>2026</v>
      </c>
      <c r="B4608" s="28" t="s">
        <v>222</v>
      </c>
      <c r="C4608" s="28" t="s">
        <v>97</v>
      </c>
      <c r="D4608" s="28" t="s">
        <v>530</v>
      </c>
      <c r="E4608" s="29" t="s">
        <v>548</v>
      </c>
      <c r="F4608" s="29" t="s">
        <v>343</v>
      </c>
      <c r="G4608" s="25" t="s">
        <v>6270</v>
      </c>
      <c r="H4608" s="26">
        <v>-0.16270000000000001</v>
      </c>
      <c r="I4608" s="26"/>
      <c r="J4608" s="26" t="s">
        <v>512</v>
      </c>
      <c r="K4608" s="25" t="s">
        <v>513</v>
      </c>
    </row>
    <row r="4609" spans="1:11" ht="25.5" x14ac:dyDescent="0.25">
      <c r="A4609" s="22">
        <v>2026</v>
      </c>
      <c r="B4609" s="28" t="s">
        <v>222</v>
      </c>
      <c r="C4609" s="28" t="s">
        <v>97</v>
      </c>
      <c r="D4609" s="28" t="s">
        <v>530</v>
      </c>
      <c r="E4609" s="29" t="s">
        <v>548</v>
      </c>
      <c r="F4609" s="29" t="s">
        <v>343</v>
      </c>
      <c r="G4609" s="25" t="s">
        <v>6271</v>
      </c>
      <c r="H4609" s="26">
        <v>-0.2426499</v>
      </c>
      <c r="I4609" s="26"/>
      <c r="J4609" s="26" t="s">
        <v>512</v>
      </c>
      <c r="K4609" s="25" t="s">
        <v>513</v>
      </c>
    </row>
    <row r="4610" spans="1:11" ht="25.5" x14ac:dyDescent="0.25">
      <c r="A4610" s="22">
        <v>2026</v>
      </c>
      <c r="B4610" s="28" t="s">
        <v>222</v>
      </c>
      <c r="C4610" s="28" t="s">
        <v>97</v>
      </c>
      <c r="D4610" s="28" t="s">
        <v>530</v>
      </c>
      <c r="E4610" s="29" t="s">
        <v>548</v>
      </c>
      <c r="F4610" s="29" t="s">
        <v>343</v>
      </c>
      <c r="G4610" s="25" t="s">
        <v>6272</v>
      </c>
      <c r="H4610" s="26">
        <v>-0.40695949999999997</v>
      </c>
      <c r="I4610" s="26"/>
      <c r="J4610" s="26" t="s">
        <v>512</v>
      </c>
      <c r="K4610" s="25" t="s">
        <v>513</v>
      </c>
    </row>
    <row r="4611" spans="1:11" ht="25.5" x14ac:dyDescent="0.25">
      <c r="A4611" s="22">
        <v>2026</v>
      </c>
      <c r="B4611" s="28" t="s">
        <v>222</v>
      </c>
      <c r="C4611" s="28" t="s">
        <v>97</v>
      </c>
      <c r="D4611" s="28" t="s">
        <v>541</v>
      </c>
      <c r="E4611" s="29" t="s">
        <v>572</v>
      </c>
      <c r="F4611" s="29" t="s">
        <v>298</v>
      </c>
      <c r="G4611" s="25" t="s">
        <v>6311</v>
      </c>
      <c r="H4611" s="26">
        <v>-0.64</v>
      </c>
      <c r="I4611" s="26"/>
      <c r="J4611" s="26" t="s">
        <v>512</v>
      </c>
      <c r="K4611" s="25" t="s">
        <v>513</v>
      </c>
    </row>
    <row r="4612" spans="1:11" ht="25.5" x14ac:dyDescent="0.25">
      <c r="A4612" s="22">
        <v>2026</v>
      </c>
      <c r="B4612" s="28" t="s">
        <v>222</v>
      </c>
      <c r="C4612" s="28" t="s">
        <v>97</v>
      </c>
      <c r="D4612" s="28" t="s">
        <v>541</v>
      </c>
      <c r="E4612" s="29" t="s">
        <v>572</v>
      </c>
      <c r="F4612" s="29" t="s">
        <v>298</v>
      </c>
      <c r="G4612" s="25" t="s">
        <v>6312</v>
      </c>
      <c r="H4612" s="26">
        <v>-0.96</v>
      </c>
      <c r="I4612" s="26"/>
      <c r="J4612" s="26" t="s">
        <v>512</v>
      </c>
      <c r="K4612" s="25" t="s">
        <v>513</v>
      </c>
    </row>
    <row r="4613" spans="1:11" ht="25.5" x14ac:dyDescent="0.25">
      <c r="A4613" s="22">
        <v>2026</v>
      </c>
      <c r="B4613" s="28" t="s">
        <v>222</v>
      </c>
      <c r="C4613" s="28" t="s">
        <v>97</v>
      </c>
      <c r="D4613" s="28" t="s">
        <v>541</v>
      </c>
      <c r="E4613" s="29" t="s">
        <v>572</v>
      </c>
      <c r="F4613" s="29" t="s">
        <v>298</v>
      </c>
      <c r="G4613" s="25" t="s">
        <v>6313</v>
      </c>
      <c r="H4613" s="26">
        <v>-2.6097380000000001</v>
      </c>
      <c r="I4613" s="26"/>
      <c r="J4613" s="26" t="s">
        <v>512</v>
      </c>
      <c r="K4613" s="25" t="s">
        <v>513</v>
      </c>
    </row>
    <row r="4614" spans="1:11" ht="25.5" x14ac:dyDescent="0.25">
      <c r="A4614" s="22">
        <v>2026</v>
      </c>
      <c r="B4614" s="28" t="s">
        <v>222</v>
      </c>
      <c r="C4614" s="28" t="s">
        <v>97</v>
      </c>
      <c r="D4614" s="28" t="s">
        <v>541</v>
      </c>
      <c r="E4614" s="29" t="s">
        <v>572</v>
      </c>
      <c r="F4614" s="29" t="s">
        <v>298</v>
      </c>
      <c r="G4614" s="25" t="s">
        <v>6314</v>
      </c>
      <c r="H4614" s="26">
        <v>-1.296983</v>
      </c>
      <c r="I4614" s="26"/>
      <c r="J4614" s="26" t="s">
        <v>512</v>
      </c>
      <c r="K4614" s="25" t="s">
        <v>513</v>
      </c>
    </row>
    <row r="4615" spans="1:11" ht="25.5" x14ac:dyDescent="0.25">
      <c r="A4615" s="22">
        <v>2026</v>
      </c>
      <c r="B4615" s="28" t="s">
        <v>222</v>
      </c>
      <c r="C4615" s="28" t="s">
        <v>97</v>
      </c>
      <c r="D4615" s="28" t="s">
        <v>541</v>
      </c>
      <c r="E4615" s="29" t="s">
        <v>572</v>
      </c>
      <c r="F4615" s="29" t="s">
        <v>298</v>
      </c>
      <c r="G4615" s="25" t="s">
        <v>6315</v>
      </c>
      <c r="H4615" s="26">
        <v>-3.2183999999999999</v>
      </c>
      <c r="I4615" s="26"/>
      <c r="J4615" s="26" t="s">
        <v>512</v>
      </c>
      <c r="K4615" s="25" t="s">
        <v>513</v>
      </c>
    </row>
    <row r="4616" spans="1:11" ht="25.5" x14ac:dyDescent="0.25">
      <c r="A4616" s="22">
        <v>2026</v>
      </c>
      <c r="B4616" s="28" t="s">
        <v>222</v>
      </c>
      <c r="C4616" s="28" t="s">
        <v>97</v>
      </c>
      <c r="D4616" s="28" t="s">
        <v>541</v>
      </c>
      <c r="E4616" s="29" t="s">
        <v>572</v>
      </c>
      <c r="F4616" s="29" t="s">
        <v>298</v>
      </c>
      <c r="G4616" s="25" t="s">
        <v>6316</v>
      </c>
      <c r="H4616" s="26">
        <v>-3.0882000000000001</v>
      </c>
      <c r="I4616" s="26"/>
      <c r="J4616" s="26" t="s">
        <v>512</v>
      </c>
      <c r="K4616" s="25" t="s">
        <v>513</v>
      </c>
    </row>
    <row r="4617" spans="1:11" ht="25.5" x14ac:dyDescent="0.25">
      <c r="A4617" s="22">
        <v>2026</v>
      </c>
      <c r="B4617" s="28" t="s">
        <v>222</v>
      </c>
      <c r="C4617" s="28" t="s">
        <v>97</v>
      </c>
      <c r="D4617" s="28" t="s">
        <v>541</v>
      </c>
      <c r="E4617" s="29" t="s">
        <v>572</v>
      </c>
      <c r="F4617" s="29" t="s">
        <v>298</v>
      </c>
      <c r="G4617" s="25" t="s">
        <v>6317</v>
      </c>
      <c r="H4617" s="26">
        <v>-2.9886729000000001</v>
      </c>
      <c r="I4617" s="26"/>
      <c r="J4617" s="26" t="s">
        <v>512</v>
      </c>
      <c r="K4617" s="25" t="s">
        <v>513</v>
      </c>
    </row>
    <row r="4618" spans="1:11" ht="25.5" x14ac:dyDescent="0.25">
      <c r="A4618" s="22">
        <v>2026</v>
      </c>
      <c r="B4618" s="28" t="s">
        <v>222</v>
      </c>
      <c r="C4618" s="28" t="s">
        <v>97</v>
      </c>
      <c r="D4618" s="28" t="s">
        <v>541</v>
      </c>
      <c r="E4618" s="29" t="s">
        <v>572</v>
      </c>
      <c r="F4618" s="29" t="s">
        <v>298</v>
      </c>
      <c r="G4618" s="25" t="s">
        <v>6318</v>
      </c>
      <c r="H4618" s="26">
        <v>-3.2634850000000002</v>
      </c>
      <c r="I4618" s="26"/>
      <c r="J4618" s="26" t="s">
        <v>512</v>
      </c>
      <c r="K4618" s="25" t="s">
        <v>513</v>
      </c>
    </row>
    <row r="4619" spans="1:11" ht="25.5" x14ac:dyDescent="0.25">
      <c r="A4619" s="22">
        <v>2026</v>
      </c>
      <c r="B4619" s="28" t="s">
        <v>222</v>
      </c>
      <c r="C4619" s="28" t="s">
        <v>97</v>
      </c>
      <c r="D4619" s="28" t="s">
        <v>541</v>
      </c>
      <c r="E4619" s="29" t="s">
        <v>572</v>
      </c>
      <c r="F4619" s="29" t="s">
        <v>298</v>
      </c>
      <c r="G4619" s="25" t="s">
        <v>6319</v>
      </c>
      <c r="H4619" s="26">
        <v>-3.2524250000000001</v>
      </c>
      <c r="I4619" s="26"/>
      <c r="J4619" s="26" t="s">
        <v>512</v>
      </c>
      <c r="K4619" s="25" t="s">
        <v>513</v>
      </c>
    </row>
    <row r="4620" spans="1:11" ht="25.5" x14ac:dyDescent="0.25">
      <c r="A4620" s="22">
        <v>2026</v>
      </c>
      <c r="B4620" s="28" t="s">
        <v>222</v>
      </c>
      <c r="C4620" s="28" t="s">
        <v>97</v>
      </c>
      <c r="D4620" s="28" t="s">
        <v>541</v>
      </c>
      <c r="E4620" s="29" t="s">
        <v>572</v>
      </c>
      <c r="F4620" s="29" t="s">
        <v>298</v>
      </c>
      <c r="G4620" s="25" t="s">
        <v>6320</v>
      </c>
      <c r="H4620" s="26">
        <v>-2.0720048000000002</v>
      </c>
      <c r="I4620" s="26"/>
      <c r="J4620" s="26" t="s">
        <v>512</v>
      </c>
      <c r="K4620" s="25" t="s">
        <v>513</v>
      </c>
    </row>
    <row r="4621" spans="1:11" ht="25.5" x14ac:dyDescent="0.25">
      <c r="A4621" s="22">
        <v>2026</v>
      </c>
      <c r="B4621" s="28" t="s">
        <v>222</v>
      </c>
      <c r="C4621" s="28" t="s">
        <v>97</v>
      </c>
      <c r="D4621" s="28" t="s">
        <v>541</v>
      </c>
      <c r="E4621" s="29" t="s">
        <v>572</v>
      </c>
      <c r="F4621" s="29" t="s">
        <v>298</v>
      </c>
      <c r="G4621" s="25" t="s">
        <v>6321</v>
      </c>
      <c r="H4621" s="26">
        <v>-0.65390950000000003</v>
      </c>
      <c r="I4621" s="26"/>
      <c r="J4621" s="26" t="s">
        <v>512</v>
      </c>
      <c r="K4621" s="25" t="s">
        <v>513</v>
      </c>
    </row>
    <row r="4622" spans="1:11" ht="25.5" x14ac:dyDescent="0.25">
      <c r="A4622" s="22">
        <v>2026</v>
      </c>
      <c r="B4622" s="28" t="s">
        <v>222</v>
      </c>
      <c r="C4622" s="28" t="s">
        <v>97</v>
      </c>
      <c r="D4622" s="28" t="s">
        <v>541</v>
      </c>
      <c r="E4622" s="29" t="s">
        <v>572</v>
      </c>
      <c r="F4622" s="29" t="s">
        <v>298</v>
      </c>
      <c r="G4622" s="25" t="s">
        <v>6322</v>
      </c>
      <c r="H4622" s="26">
        <v>-0.65745149999999997</v>
      </c>
      <c r="I4622" s="26"/>
      <c r="J4622" s="26" t="s">
        <v>512</v>
      </c>
      <c r="K4622" s="25" t="s">
        <v>513</v>
      </c>
    </row>
    <row r="4623" spans="1:11" ht="25.5" x14ac:dyDescent="0.25">
      <c r="A4623" s="22">
        <v>2026</v>
      </c>
      <c r="B4623" s="28" t="s">
        <v>222</v>
      </c>
      <c r="C4623" s="28" t="s">
        <v>97</v>
      </c>
      <c r="D4623" s="28" t="s">
        <v>541</v>
      </c>
      <c r="E4623" s="29" t="s">
        <v>572</v>
      </c>
      <c r="F4623" s="29" t="s">
        <v>298</v>
      </c>
      <c r="G4623" s="25" t="s">
        <v>6323</v>
      </c>
      <c r="H4623" s="26">
        <v>-0.33050000000000002</v>
      </c>
      <c r="I4623" s="26"/>
      <c r="J4623" s="26" t="s">
        <v>512</v>
      </c>
      <c r="K4623" s="25" t="s">
        <v>513</v>
      </c>
    </row>
    <row r="4624" spans="1:11" ht="25.5" x14ac:dyDescent="0.25">
      <c r="A4624" s="22">
        <v>2026</v>
      </c>
      <c r="B4624" s="28" t="s">
        <v>222</v>
      </c>
      <c r="C4624" s="28" t="s">
        <v>97</v>
      </c>
      <c r="D4624" s="28" t="s">
        <v>541</v>
      </c>
      <c r="E4624" s="29" t="s">
        <v>572</v>
      </c>
      <c r="F4624" s="29" t="s">
        <v>298</v>
      </c>
      <c r="G4624" s="25" t="s">
        <v>6324</v>
      </c>
      <c r="H4624" s="26">
        <v>-0.52880000000000005</v>
      </c>
      <c r="I4624" s="26"/>
      <c r="J4624" s="26" t="s">
        <v>512</v>
      </c>
      <c r="K4624" s="25" t="s">
        <v>513</v>
      </c>
    </row>
    <row r="4625" spans="1:11" ht="25.5" x14ac:dyDescent="0.25">
      <c r="A4625" s="22">
        <v>2026</v>
      </c>
      <c r="B4625" s="28" t="s">
        <v>222</v>
      </c>
      <c r="C4625" s="28" t="s">
        <v>97</v>
      </c>
      <c r="D4625" s="28" t="s">
        <v>1695</v>
      </c>
      <c r="E4625" s="29" t="s">
        <v>1758</v>
      </c>
      <c r="F4625" s="29" t="s">
        <v>1759</v>
      </c>
      <c r="G4625" s="25" t="s">
        <v>6325</v>
      </c>
      <c r="H4625" s="26">
        <v>-3.1193499999999998</v>
      </c>
      <c r="I4625" s="26"/>
      <c r="J4625" s="26" t="s">
        <v>512</v>
      </c>
      <c r="K4625" s="25" t="s">
        <v>513</v>
      </c>
    </row>
    <row r="4626" spans="1:11" ht="25.5" x14ac:dyDescent="0.25">
      <c r="A4626" s="22">
        <v>2026</v>
      </c>
      <c r="B4626" s="28" t="s">
        <v>222</v>
      </c>
      <c r="C4626" s="28" t="s">
        <v>97</v>
      </c>
      <c r="D4626" s="28" t="s">
        <v>1695</v>
      </c>
      <c r="E4626" s="29" t="s">
        <v>1758</v>
      </c>
      <c r="F4626" s="29" t="s">
        <v>1759</v>
      </c>
      <c r="G4626" s="25" t="s">
        <v>6326</v>
      </c>
      <c r="H4626" s="26">
        <v>-3.4815</v>
      </c>
      <c r="I4626" s="26"/>
      <c r="J4626" s="26" t="s">
        <v>512</v>
      </c>
      <c r="K4626" s="25" t="s">
        <v>513</v>
      </c>
    </row>
    <row r="4627" spans="1:11" ht="25.5" x14ac:dyDescent="0.25">
      <c r="A4627" s="22">
        <v>2026</v>
      </c>
      <c r="B4627" s="28" t="s">
        <v>222</v>
      </c>
      <c r="C4627" s="28" t="s">
        <v>97</v>
      </c>
      <c r="D4627" s="28" t="s">
        <v>1695</v>
      </c>
      <c r="E4627" s="29" t="s">
        <v>1758</v>
      </c>
      <c r="F4627" s="29" t="s">
        <v>1759</v>
      </c>
      <c r="G4627" s="25" t="s">
        <v>6327</v>
      </c>
      <c r="H4627" s="26">
        <v>-3.3712</v>
      </c>
      <c r="I4627" s="26"/>
      <c r="J4627" s="26" t="s">
        <v>512</v>
      </c>
      <c r="K4627" s="25" t="s">
        <v>513</v>
      </c>
    </row>
    <row r="4628" spans="1:11" ht="25.5" x14ac:dyDescent="0.25">
      <c r="A4628" s="22">
        <v>2026</v>
      </c>
      <c r="B4628" s="28" t="s">
        <v>222</v>
      </c>
      <c r="C4628" s="28" t="s">
        <v>97</v>
      </c>
      <c r="D4628" s="28" t="s">
        <v>1695</v>
      </c>
      <c r="E4628" s="29" t="s">
        <v>1758</v>
      </c>
      <c r="F4628" s="29" t="s">
        <v>1759</v>
      </c>
      <c r="G4628" s="25" t="s">
        <v>6328</v>
      </c>
      <c r="H4628" s="26">
        <v>-1.6537500000000001</v>
      </c>
      <c r="I4628" s="26"/>
      <c r="J4628" s="26" t="s">
        <v>512</v>
      </c>
      <c r="K4628" s="25" t="s">
        <v>513</v>
      </c>
    </row>
    <row r="4629" spans="1:11" ht="25.5" x14ac:dyDescent="0.25">
      <c r="A4629" s="22">
        <v>2026</v>
      </c>
      <c r="B4629" s="28" t="s">
        <v>222</v>
      </c>
      <c r="C4629" s="28" t="s">
        <v>97</v>
      </c>
      <c r="D4629" s="28" t="s">
        <v>1695</v>
      </c>
      <c r="E4629" s="29" t="s">
        <v>1758</v>
      </c>
      <c r="F4629" s="29" t="s">
        <v>1759</v>
      </c>
      <c r="G4629" s="25" t="s">
        <v>6329</v>
      </c>
      <c r="H4629" s="26">
        <v>-2.4436693254999997</v>
      </c>
      <c r="I4629" s="26"/>
      <c r="J4629" s="26" t="s">
        <v>512</v>
      </c>
      <c r="K4629" s="25" t="s">
        <v>513</v>
      </c>
    </row>
    <row r="4630" spans="1:11" ht="25.5" x14ac:dyDescent="0.25">
      <c r="A4630" s="22">
        <v>2026</v>
      </c>
      <c r="B4630" s="28" t="s">
        <v>222</v>
      </c>
      <c r="C4630" s="28" t="s">
        <v>97</v>
      </c>
      <c r="D4630" s="28" t="s">
        <v>1696</v>
      </c>
      <c r="E4630" s="29" t="s">
        <v>1760</v>
      </c>
      <c r="F4630" s="29" t="s">
        <v>343</v>
      </c>
      <c r="G4630" s="25" t="s">
        <v>6330</v>
      </c>
      <c r="H4630" s="26">
        <v>-3.2496773919999999E-2</v>
      </c>
      <c r="I4630" s="26"/>
      <c r="J4630" s="26" t="s">
        <v>512</v>
      </c>
      <c r="K4630" s="25" t="s">
        <v>513</v>
      </c>
    </row>
    <row r="4631" spans="1:11" ht="25.5" x14ac:dyDescent="0.25">
      <c r="A4631" s="22">
        <v>2026</v>
      </c>
      <c r="B4631" s="28" t="s">
        <v>222</v>
      </c>
      <c r="C4631" s="28" t="s">
        <v>97</v>
      </c>
      <c r="D4631" s="28" t="s">
        <v>1696</v>
      </c>
      <c r="E4631" s="29" t="s">
        <v>1760</v>
      </c>
      <c r="F4631" s="29" t="s">
        <v>343</v>
      </c>
      <c r="G4631" s="25" t="s">
        <v>6331</v>
      </c>
      <c r="H4631" s="26">
        <v>-2.92199312E-2</v>
      </c>
      <c r="I4631" s="26"/>
      <c r="J4631" s="26" t="s">
        <v>512</v>
      </c>
      <c r="K4631" s="25" t="s">
        <v>513</v>
      </c>
    </row>
    <row r="4632" spans="1:11" ht="25.5" x14ac:dyDescent="0.25">
      <c r="A4632" s="22">
        <v>2026</v>
      </c>
      <c r="B4632" s="28" t="s">
        <v>222</v>
      </c>
      <c r="C4632" s="28" t="s">
        <v>97</v>
      </c>
      <c r="D4632" s="28" t="s">
        <v>1696</v>
      </c>
      <c r="E4632" s="29" t="s">
        <v>1760</v>
      </c>
      <c r="F4632" s="29" t="s">
        <v>343</v>
      </c>
      <c r="G4632" s="25" t="s">
        <v>6332</v>
      </c>
      <c r="H4632" s="26">
        <v>-3.2725505750000002E-2</v>
      </c>
      <c r="I4632" s="26"/>
      <c r="J4632" s="26" t="s">
        <v>512</v>
      </c>
      <c r="K4632" s="25" t="s">
        <v>513</v>
      </c>
    </row>
    <row r="4633" spans="1:11" ht="25.5" x14ac:dyDescent="0.25">
      <c r="A4633" s="22">
        <v>2026</v>
      </c>
      <c r="B4633" s="28" t="s">
        <v>222</v>
      </c>
      <c r="C4633" s="28" t="s">
        <v>97</v>
      </c>
      <c r="D4633" s="28" t="s">
        <v>1696</v>
      </c>
      <c r="E4633" s="29" t="s">
        <v>1760</v>
      </c>
      <c r="F4633" s="29" t="s">
        <v>343</v>
      </c>
      <c r="G4633" s="25" t="s">
        <v>6333</v>
      </c>
      <c r="H4633" s="26">
        <v>-4.06613766E-2</v>
      </c>
      <c r="I4633" s="26"/>
      <c r="J4633" s="26" t="s">
        <v>512</v>
      </c>
      <c r="K4633" s="25" t="s">
        <v>513</v>
      </c>
    </row>
    <row r="4634" spans="1:11" ht="25.5" x14ac:dyDescent="0.25">
      <c r="A4634" s="22">
        <v>2026</v>
      </c>
      <c r="B4634" s="28" t="s">
        <v>222</v>
      </c>
      <c r="C4634" s="28" t="s">
        <v>97</v>
      </c>
      <c r="D4634" s="28" t="s">
        <v>1696</v>
      </c>
      <c r="E4634" s="29" t="s">
        <v>1760</v>
      </c>
      <c r="F4634" s="29" t="s">
        <v>343</v>
      </c>
      <c r="G4634" s="25" t="s">
        <v>6334</v>
      </c>
      <c r="H4634" s="26">
        <v>-2.0628748800000003E-2</v>
      </c>
      <c r="I4634" s="26"/>
      <c r="J4634" s="26" t="s">
        <v>512</v>
      </c>
      <c r="K4634" s="25" t="s">
        <v>513</v>
      </c>
    </row>
    <row r="4635" spans="1:11" ht="25.5" x14ac:dyDescent="0.25">
      <c r="A4635" s="22">
        <v>2026</v>
      </c>
      <c r="B4635" s="28" t="s">
        <v>222</v>
      </c>
      <c r="C4635" s="28" t="s">
        <v>97</v>
      </c>
      <c r="D4635" s="28" t="s">
        <v>1696</v>
      </c>
      <c r="E4635" s="29" t="s">
        <v>1760</v>
      </c>
      <c r="F4635" s="29" t="s">
        <v>343</v>
      </c>
      <c r="G4635" s="25" t="s">
        <v>6335</v>
      </c>
      <c r="H4635" s="26">
        <v>-4.2222719999999998E-2</v>
      </c>
      <c r="I4635" s="26"/>
      <c r="J4635" s="26" t="s">
        <v>512</v>
      </c>
      <c r="K4635" s="25" t="s">
        <v>513</v>
      </c>
    </row>
    <row r="4636" spans="1:11" ht="25.5" x14ac:dyDescent="0.25">
      <c r="A4636" s="22">
        <v>2026</v>
      </c>
      <c r="B4636" s="28" t="s">
        <v>222</v>
      </c>
      <c r="C4636" s="28" t="s">
        <v>97</v>
      </c>
      <c r="D4636" s="28" t="s">
        <v>1696</v>
      </c>
      <c r="E4636" s="29" t="s">
        <v>1760</v>
      </c>
      <c r="F4636" s="29" t="s">
        <v>343</v>
      </c>
      <c r="G4636" s="25" t="s">
        <v>6336</v>
      </c>
      <c r="H4636" s="26">
        <v>-5.7704399999999999E-3</v>
      </c>
      <c r="I4636" s="26"/>
      <c r="J4636" s="26" t="s">
        <v>512</v>
      </c>
      <c r="K4636" s="25" t="s">
        <v>513</v>
      </c>
    </row>
    <row r="4637" spans="1:11" ht="25.5" x14ac:dyDescent="0.25">
      <c r="A4637" s="22">
        <v>2026</v>
      </c>
      <c r="B4637" s="28" t="s">
        <v>222</v>
      </c>
      <c r="C4637" s="28" t="s">
        <v>97</v>
      </c>
      <c r="D4637" s="28" t="s">
        <v>1696</v>
      </c>
      <c r="E4637" s="29" t="s">
        <v>1760</v>
      </c>
      <c r="F4637" s="29" t="s">
        <v>343</v>
      </c>
      <c r="G4637" s="25" t="s">
        <v>6337</v>
      </c>
      <c r="H4637" s="26">
        <v>-2.0833155699999998E-2</v>
      </c>
      <c r="I4637" s="26"/>
      <c r="J4637" s="26" t="s">
        <v>512</v>
      </c>
      <c r="K4637" s="25" t="s">
        <v>513</v>
      </c>
    </row>
    <row r="4638" spans="1:11" ht="25.5" x14ac:dyDescent="0.25">
      <c r="A4638" s="22">
        <v>2026</v>
      </c>
      <c r="B4638" s="28" t="s">
        <v>222</v>
      </c>
      <c r="C4638" s="28" t="s">
        <v>97</v>
      </c>
      <c r="D4638" s="28" t="s">
        <v>1696</v>
      </c>
      <c r="E4638" s="29" t="s">
        <v>1760</v>
      </c>
      <c r="F4638" s="29" t="s">
        <v>343</v>
      </c>
      <c r="G4638" s="25" t="s">
        <v>6338</v>
      </c>
      <c r="H4638" s="26">
        <v>-4.589E-2</v>
      </c>
      <c r="I4638" s="26"/>
      <c r="J4638" s="26" t="s">
        <v>512</v>
      </c>
      <c r="K4638" s="25" t="s">
        <v>513</v>
      </c>
    </row>
    <row r="4639" spans="1:11" ht="25.5" x14ac:dyDescent="0.25">
      <c r="A4639" s="22">
        <v>2026</v>
      </c>
      <c r="B4639" s="28" t="s">
        <v>222</v>
      </c>
      <c r="C4639" s="28" t="s">
        <v>97</v>
      </c>
      <c r="D4639" s="28" t="s">
        <v>1696</v>
      </c>
      <c r="E4639" s="29" t="s">
        <v>1760</v>
      </c>
      <c r="F4639" s="29" t="s">
        <v>343</v>
      </c>
      <c r="G4639" s="25" t="s">
        <v>6339</v>
      </c>
      <c r="H4639" s="26">
        <v>-2.1105180000000001E-2</v>
      </c>
      <c r="I4639" s="26"/>
      <c r="J4639" s="26" t="s">
        <v>512</v>
      </c>
      <c r="K4639" s="25" t="s">
        <v>513</v>
      </c>
    </row>
    <row r="4640" spans="1:11" ht="25.5" x14ac:dyDescent="0.25">
      <c r="A4640" s="22">
        <v>2026</v>
      </c>
      <c r="B4640" s="28" t="s">
        <v>222</v>
      </c>
      <c r="C4640" s="28" t="s">
        <v>97</v>
      </c>
      <c r="D4640" s="28" t="s">
        <v>1696</v>
      </c>
      <c r="E4640" s="29" t="s">
        <v>1760</v>
      </c>
      <c r="F4640" s="29" t="s">
        <v>343</v>
      </c>
      <c r="G4640" s="25" t="s">
        <v>6340</v>
      </c>
      <c r="H4640" s="26">
        <v>-6.1616078699999995E-3</v>
      </c>
      <c r="I4640" s="26"/>
      <c r="J4640" s="26" t="s">
        <v>512</v>
      </c>
      <c r="K4640" s="25" t="s">
        <v>513</v>
      </c>
    </row>
    <row r="4641" spans="1:11" ht="25.5" x14ac:dyDescent="0.25">
      <c r="A4641" s="22">
        <v>2026</v>
      </c>
      <c r="B4641" s="28" t="s">
        <v>222</v>
      </c>
      <c r="C4641" s="28" t="s">
        <v>97</v>
      </c>
      <c r="D4641" s="28" t="s">
        <v>1696</v>
      </c>
      <c r="E4641" s="29" t="s">
        <v>1760</v>
      </c>
      <c r="F4641" s="29" t="s">
        <v>343</v>
      </c>
      <c r="G4641" s="25" t="s">
        <v>6341</v>
      </c>
      <c r="H4641" s="26">
        <v>-4.6929999999999999E-2</v>
      </c>
      <c r="I4641" s="26"/>
      <c r="J4641" s="26" t="s">
        <v>512</v>
      </c>
      <c r="K4641" s="25" t="s">
        <v>513</v>
      </c>
    </row>
    <row r="4642" spans="1:11" ht="25.5" x14ac:dyDescent="0.25">
      <c r="A4642" s="22">
        <v>2026</v>
      </c>
      <c r="B4642" s="28" t="s">
        <v>222</v>
      </c>
      <c r="C4642" s="28" t="s">
        <v>97</v>
      </c>
      <c r="D4642" s="28" t="s">
        <v>1696</v>
      </c>
      <c r="E4642" s="29" t="s">
        <v>1760</v>
      </c>
      <c r="F4642" s="29" t="s">
        <v>343</v>
      </c>
      <c r="G4642" s="25" t="s">
        <v>6342</v>
      </c>
      <c r="H4642" s="26">
        <v>-1.9683014999999998E-2</v>
      </c>
      <c r="I4642" s="26"/>
      <c r="J4642" s="26" t="s">
        <v>512</v>
      </c>
      <c r="K4642" s="25" t="s">
        <v>513</v>
      </c>
    </row>
    <row r="4643" spans="1:11" ht="25.5" x14ac:dyDescent="0.25">
      <c r="A4643" s="22">
        <v>2026</v>
      </c>
      <c r="B4643" s="28" t="s">
        <v>222</v>
      </c>
      <c r="C4643" s="28" t="s">
        <v>97</v>
      </c>
      <c r="D4643" s="28" t="s">
        <v>1697</v>
      </c>
      <c r="E4643" s="29" t="s">
        <v>1761</v>
      </c>
      <c r="F4643" s="29" t="s">
        <v>386</v>
      </c>
      <c r="G4643" s="25" t="s">
        <v>6343</v>
      </c>
      <c r="H4643" s="26">
        <v>-6.0330750000000002E-2</v>
      </c>
      <c r="I4643" s="26"/>
      <c r="J4643" s="26" t="s">
        <v>512</v>
      </c>
      <c r="K4643" s="25" t="s">
        <v>513</v>
      </c>
    </row>
    <row r="4644" spans="1:11" ht="25.5" x14ac:dyDescent="0.25">
      <c r="A4644" s="22">
        <v>2026</v>
      </c>
      <c r="B4644" s="28" t="s">
        <v>222</v>
      </c>
      <c r="C4644" s="28" t="s">
        <v>97</v>
      </c>
      <c r="D4644" s="28" t="s">
        <v>1697</v>
      </c>
      <c r="E4644" s="29" t="s">
        <v>1761</v>
      </c>
      <c r="F4644" s="29" t="s">
        <v>386</v>
      </c>
      <c r="G4644" s="25" t="s">
        <v>6344</v>
      </c>
      <c r="H4644" s="26">
        <v>-6.0401999999999997E-2</v>
      </c>
      <c r="I4644" s="26"/>
      <c r="J4644" s="26" t="s">
        <v>512</v>
      </c>
      <c r="K4644" s="25" t="s">
        <v>513</v>
      </c>
    </row>
    <row r="4645" spans="1:11" ht="25.5" x14ac:dyDescent="0.25">
      <c r="A4645" s="22">
        <v>2026</v>
      </c>
      <c r="B4645" s="28" t="s">
        <v>222</v>
      </c>
      <c r="C4645" s="28" t="s">
        <v>97</v>
      </c>
      <c r="D4645" s="28" t="s">
        <v>1697</v>
      </c>
      <c r="E4645" s="29" t="s">
        <v>1761</v>
      </c>
      <c r="F4645" s="29" t="s">
        <v>386</v>
      </c>
      <c r="G4645" s="25" t="s">
        <v>6345</v>
      </c>
      <c r="H4645" s="26">
        <v>-6.6301339300000012E-2</v>
      </c>
      <c r="I4645" s="26"/>
      <c r="J4645" s="26" t="s">
        <v>512</v>
      </c>
      <c r="K4645" s="25" t="s">
        <v>513</v>
      </c>
    </row>
    <row r="4646" spans="1:11" ht="25.5" x14ac:dyDescent="0.25">
      <c r="A4646" s="22">
        <v>2026</v>
      </c>
      <c r="B4646" s="28" t="s">
        <v>222</v>
      </c>
      <c r="C4646" s="28" t="s">
        <v>97</v>
      </c>
      <c r="D4646" s="28" t="s">
        <v>1697</v>
      </c>
      <c r="E4646" s="29" t="s">
        <v>1761</v>
      </c>
      <c r="F4646" s="29" t="s">
        <v>386</v>
      </c>
      <c r="G4646" s="25" t="s">
        <v>6346</v>
      </c>
      <c r="H4646" s="26">
        <v>-6.2303194719999996E-2</v>
      </c>
      <c r="I4646" s="26"/>
      <c r="J4646" s="26" t="s">
        <v>512</v>
      </c>
      <c r="K4646" s="25" t="s">
        <v>513</v>
      </c>
    </row>
    <row r="4647" spans="1:11" ht="25.5" x14ac:dyDescent="0.25">
      <c r="A4647" s="22">
        <v>2026</v>
      </c>
      <c r="B4647" s="28" t="s">
        <v>222</v>
      </c>
      <c r="C4647" s="28" t="s">
        <v>97</v>
      </c>
      <c r="D4647" s="28" t="s">
        <v>1697</v>
      </c>
      <c r="E4647" s="29" t="s">
        <v>1761</v>
      </c>
      <c r="F4647" s="29" t="s">
        <v>386</v>
      </c>
      <c r="G4647" s="25" t="s">
        <v>6347</v>
      </c>
      <c r="H4647" s="26">
        <v>-8.1877249999999999E-2</v>
      </c>
      <c r="I4647" s="26"/>
      <c r="J4647" s="26" t="s">
        <v>512</v>
      </c>
      <c r="K4647" s="25" t="s">
        <v>513</v>
      </c>
    </row>
    <row r="4648" spans="1:11" ht="25.5" x14ac:dyDescent="0.25">
      <c r="A4648" s="22">
        <v>2026</v>
      </c>
      <c r="B4648" s="28" t="s">
        <v>222</v>
      </c>
      <c r="C4648" s="28" t="s">
        <v>97</v>
      </c>
      <c r="D4648" s="28" t="s">
        <v>1697</v>
      </c>
      <c r="E4648" s="29" t="s">
        <v>1761</v>
      </c>
      <c r="F4648" s="29" t="s">
        <v>386</v>
      </c>
      <c r="G4648" s="25" t="s">
        <v>6348</v>
      </c>
      <c r="H4648" s="26">
        <v>-5.7549999999999997E-2</v>
      </c>
      <c r="I4648" s="26"/>
      <c r="J4648" s="26" t="s">
        <v>512</v>
      </c>
      <c r="K4648" s="25" t="s">
        <v>513</v>
      </c>
    </row>
    <row r="4649" spans="1:11" ht="25.5" x14ac:dyDescent="0.25">
      <c r="A4649" s="22">
        <v>2026</v>
      </c>
      <c r="B4649" s="28" t="s">
        <v>222</v>
      </c>
      <c r="C4649" s="28" t="s">
        <v>97</v>
      </c>
      <c r="D4649" s="28" t="s">
        <v>1697</v>
      </c>
      <c r="E4649" s="29" t="s">
        <v>1761</v>
      </c>
      <c r="F4649" s="29" t="s">
        <v>386</v>
      </c>
      <c r="G4649" s="25" t="s">
        <v>6349</v>
      </c>
      <c r="H4649" s="26">
        <v>-2.4330800400000002E-2</v>
      </c>
      <c r="I4649" s="26"/>
      <c r="J4649" s="26" t="s">
        <v>512</v>
      </c>
      <c r="K4649" s="25" t="s">
        <v>513</v>
      </c>
    </row>
    <row r="4650" spans="1:11" ht="25.5" x14ac:dyDescent="0.25">
      <c r="A4650" s="22">
        <v>2026</v>
      </c>
      <c r="B4650" s="28" t="s">
        <v>222</v>
      </c>
      <c r="C4650" s="28" t="s">
        <v>97</v>
      </c>
      <c r="D4650" s="28" t="s">
        <v>1697</v>
      </c>
      <c r="E4650" s="29" t="s">
        <v>1761</v>
      </c>
      <c r="F4650" s="29" t="s">
        <v>386</v>
      </c>
      <c r="G4650" s="25" t="s">
        <v>6350</v>
      </c>
      <c r="H4650" s="26">
        <v>-6.7809864799999999E-3</v>
      </c>
      <c r="I4650" s="26"/>
      <c r="J4650" s="26" t="s">
        <v>512</v>
      </c>
      <c r="K4650" s="25" t="s">
        <v>513</v>
      </c>
    </row>
    <row r="4651" spans="1:11" ht="25.5" x14ac:dyDescent="0.25">
      <c r="A4651" s="22">
        <v>2026</v>
      </c>
      <c r="B4651" s="28" t="s">
        <v>222</v>
      </c>
      <c r="C4651" s="28" t="s">
        <v>97</v>
      </c>
      <c r="D4651" s="28" t="s">
        <v>1697</v>
      </c>
      <c r="E4651" s="29" t="s">
        <v>1761</v>
      </c>
      <c r="F4651" s="29" t="s">
        <v>386</v>
      </c>
      <c r="G4651" s="25" t="s">
        <v>6351</v>
      </c>
      <c r="H4651" s="26">
        <v>-3.9245E-3</v>
      </c>
      <c r="I4651" s="26"/>
      <c r="J4651" s="26" t="s">
        <v>512</v>
      </c>
      <c r="K4651" s="25" t="s">
        <v>513</v>
      </c>
    </row>
    <row r="4652" spans="1:11" ht="25.5" x14ac:dyDescent="0.25">
      <c r="A4652" s="22">
        <v>2026</v>
      </c>
      <c r="B4652" s="28" t="s">
        <v>222</v>
      </c>
      <c r="C4652" s="28" t="s">
        <v>97</v>
      </c>
      <c r="D4652" s="28" t="s">
        <v>1697</v>
      </c>
      <c r="E4652" s="29" t="s">
        <v>1761</v>
      </c>
      <c r="F4652" s="29" t="s">
        <v>386</v>
      </c>
      <c r="G4652" s="25" t="s">
        <v>6352</v>
      </c>
      <c r="H4652" s="26">
        <v>-8.4466799999999998E-3</v>
      </c>
      <c r="I4652" s="26"/>
      <c r="J4652" s="26" t="s">
        <v>512</v>
      </c>
      <c r="K4652" s="25" t="s">
        <v>513</v>
      </c>
    </row>
    <row r="4653" spans="1:11" ht="25.5" x14ac:dyDescent="0.25">
      <c r="A4653" s="22">
        <v>2026</v>
      </c>
      <c r="B4653" s="28" t="s">
        <v>222</v>
      </c>
      <c r="C4653" s="28" t="s">
        <v>97</v>
      </c>
      <c r="D4653" s="28" t="s">
        <v>1697</v>
      </c>
      <c r="E4653" s="29" t="s">
        <v>1761</v>
      </c>
      <c r="F4653" s="29" t="s">
        <v>386</v>
      </c>
      <c r="G4653" s="25" t="s">
        <v>6353</v>
      </c>
      <c r="H4653" s="26">
        <v>-1.7056784540000001E-2</v>
      </c>
      <c r="I4653" s="26"/>
      <c r="J4653" s="26" t="s">
        <v>512</v>
      </c>
      <c r="K4653" s="25" t="s">
        <v>513</v>
      </c>
    </row>
    <row r="4654" spans="1:11" ht="25.5" x14ac:dyDescent="0.25">
      <c r="A4654" s="22">
        <v>2026</v>
      </c>
      <c r="B4654" s="28" t="s">
        <v>222</v>
      </c>
      <c r="C4654" s="28" t="s">
        <v>97</v>
      </c>
      <c r="D4654" s="28" t="s">
        <v>1697</v>
      </c>
      <c r="E4654" s="29" t="s">
        <v>1761</v>
      </c>
      <c r="F4654" s="29" t="s">
        <v>386</v>
      </c>
      <c r="G4654" s="25" t="s">
        <v>6354</v>
      </c>
      <c r="H4654" s="26">
        <v>-7.6229656700000009E-2</v>
      </c>
      <c r="I4654" s="26"/>
      <c r="J4654" s="26" t="s">
        <v>512</v>
      </c>
      <c r="K4654" s="25" t="s">
        <v>513</v>
      </c>
    </row>
    <row r="4655" spans="1:11" ht="25.5" x14ac:dyDescent="0.25">
      <c r="A4655" s="22">
        <v>2026</v>
      </c>
      <c r="B4655" s="28" t="s">
        <v>222</v>
      </c>
      <c r="C4655" s="28" t="s">
        <v>97</v>
      </c>
      <c r="D4655" s="28" t="s">
        <v>1697</v>
      </c>
      <c r="E4655" s="29" t="s">
        <v>1761</v>
      </c>
      <c r="F4655" s="29" t="s">
        <v>386</v>
      </c>
      <c r="G4655" s="25" t="s">
        <v>6355</v>
      </c>
      <c r="H4655" s="26">
        <v>-1.3343879999999999E-2</v>
      </c>
      <c r="I4655" s="26"/>
      <c r="J4655" s="26" t="s">
        <v>512</v>
      </c>
      <c r="K4655" s="25" t="s">
        <v>513</v>
      </c>
    </row>
    <row r="4656" spans="1:11" ht="25.5" x14ac:dyDescent="0.25">
      <c r="A4656" s="22">
        <v>2026</v>
      </c>
      <c r="B4656" s="28" t="s">
        <v>222</v>
      </c>
      <c r="C4656" s="28" t="s">
        <v>97</v>
      </c>
      <c r="D4656" s="28" t="s">
        <v>1697</v>
      </c>
      <c r="E4656" s="29" t="s">
        <v>1761</v>
      </c>
      <c r="F4656" s="29" t="s">
        <v>386</v>
      </c>
      <c r="G4656" s="25" t="s">
        <v>6356</v>
      </c>
      <c r="H4656" s="26">
        <v>-5.9910593999999998E-2</v>
      </c>
      <c r="I4656" s="26"/>
      <c r="J4656" s="26" t="s">
        <v>512</v>
      </c>
      <c r="K4656" s="25" t="s">
        <v>513</v>
      </c>
    </row>
    <row r="4657" spans="1:11" ht="25.5" x14ac:dyDescent="0.25">
      <c r="A4657" s="22">
        <v>2026</v>
      </c>
      <c r="B4657" s="28" t="s">
        <v>222</v>
      </c>
      <c r="C4657" s="28" t="s">
        <v>97</v>
      </c>
      <c r="D4657" s="28" t="s">
        <v>1698</v>
      </c>
      <c r="E4657" s="29" t="s">
        <v>315</v>
      </c>
      <c r="F4657" s="29" t="s">
        <v>298</v>
      </c>
      <c r="G4657" s="25" t="s">
        <v>6357</v>
      </c>
      <c r="H4657" s="26">
        <v>-0.65369999999999995</v>
      </c>
      <c r="I4657" s="26"/>
      <c r="J4657" s="26" t="s">
        <v>512</v>
      </c>
      <c r="K4657" s="25" t="s">
        <v>513</v>
      </c>
    </row>
    <row r="4658" spans="1:11" ht="25.5" x14ac:dyDescent="0.25">
      <c r="A4658" s="22">
        <v>2026</v>
      </c>
      <c r="B4658" s="28" t="s">
        <v>222</v>
      </c>
      <c r="C4658" s="28" t="s">
        <v>97</v>
      </c>
      <c r="D4658" s="28" t="s">
        <v>1698</v>
      </c>
      <c r="E4658" s="29" t="s">
        <v>315</v>
      </c>
      <c r="F4658" s="29" t="s">
        <v>298</v>
      </c>
      <c r="G4658" s="25" t="s">
        <v>6358</v>
      </c>
      <c r="H4658" s="26">
        <v>-0.53029999999999999</v>
      </c>
      <c r="I4658" s="26"/>
      <c r="J4658" s="26" t="s">
        <v>512</v>
      </c>
      <c r="K4658" s="25" t="s">
        <v>513</v>
      </c>
    </row>
    <row r="4659" spans="1:11" ht="25.5" x14ac:dyDescent="0.25">
      <c r="A4659" s="22">
        <v>2026</v>
      </c>
      <c r="B4659" s="28" t="s">
        <v>222</v>
      </c>
      <c r="C4659" s="28" t="s">
        <v>97</v>
      </c>
      <c r="D4659" s="28" t="s">
        <v>1698</v>
      </c>
      <c r="E4659" s="29" t="s">
        <v>315</v>
      </c>
      <c r="F4659" s="29" t="s">
        <v>298</v>
      </c>
      <c r="G4659" s="25" t="s">
        <v>6359</v>
      </c>
      <c r="H4659" s="26">
        <v>-0.40009499999999998</v>
      </c>
      <c r="I4659" s="26"/>
      <c r="J4659" s="26" t="s">
        <v>512</v>
      </c>
      <c r="K4659" s="25" t="s">
        <v>513</v>
      </c>
    </row>
    <row r="4660" spans="1:11" ht="25.5" x14ac:dyDescent="0.25">
      <c r="A4660" s="22">
        <v>2026</v>
      </c>
      <c r="B4660" s="28" t="s">
        <v>222</v>
      </c>
      <c r="C4660" s="28" t="s">
        <v>97</v>
      </c>
      <c r="D4660" s="28" t="s">
        <v>1698</v>
      </c>
      <c r="E4660" s="29" t="s">
        <v>315</v>
      </c>
      <c r="F4660" s="29" t="s">
        <v>298</v>
      </c>
      <c r="G4660" s="25" t="s">
        <v>6360</v>
      </c>
      <c r="H4660" s="26">
        <v>-0.64429999999999998</v>
      </c>
      <c r="I4660" s="26"/>
      <c r="J4660" s="26" t="s">
        <v>512</v>
      </c>
      <c r="K4660" s="25" t="s">
        <v>513</v>
      </c>
    </row>
    <row r="4661" spans="1:11" ht="25.5" x14ac:dyDescent="0.25">
      <c r="A4661" s="22">
        <v>2026</v>
      </c>
      <c r="B4661" s="28" t="s">
        <v>222</v>
      </c>
      <c r="C4661" s="28" t="s">
        <v>97</v>
      </c>
      <c r="D4661" s="28" t="s">
        <v>1698</v>
      </c>
      <c r="E4661" s="29" t="s">
        <v>315</v>
      </c>
      <c r="F4661" s="29" t="s">
        <v>298</v>
      </c>
      <c r="G4661" s="25" t="s">
        <v>6361</v>
      </c>
      <c r="H4661" s="26">
        <v>-0.26074999999999998</v>
      </c>
      <c r="I4661" s="26"/>
      <c r="J4661" s="26" t="s">
        <v>512</v>
      </c>
      <c r="K4661" s="25" t="s">
        <v>513</v>
      </c>
    </row>
    <row r="4662" spans="1:11" ht="25.5" x14ac:dyDescent="0.25">
      <c r="A4662" s="22">
        <v>2026</v>
      </c>
      <c r="B4662" s="28" t="s">
        <v>222</v>
      </c>
      <c r="C4662" s="28" t="s">
        <v>97</v>
      </c>
      <c r="D4662" s="28" t="s">
        <v>1698</v>
      </c>
      <c r="E4662" s="29" t="s">
        <v>315</v>
      </c>
      <c r="F4662" s="29" t="s">
        <v>298</v>
      </c>
      <c r="G4662" s="25" t="s">
        <v>6362</v>
      </c>
      <c r="H4662" s="26">
        <v>-0.63052799999999998</v>
      </c>
      <c r="I4662" s="26"/>
      <c r="J4662" s="26" t="s">
        <v>512</v>
      </c>
      <c r="K4662" s="25" t="s">
        <v>513</v>
      </c>
    </row>
    <row r="4663" spans="1:11" ht="25.5" x14ac:dyDescent="0.25">
      <c r="A4663" s="22">
        <v>2026</v>
      </c>
      <c r="B4663" s="28" t="s">
        <v>222</v>
      </c>
      <c r="C4663" s="28" t="s">
        <v>97</v>
      </c>
      <c r="D4663" s="28" t="s">
        <v>1698</v>
      </c>
      <c r="E4663" s="29" t="s">
        <v>315</v>
      </c>
      <c r="F4663" s="29" t="s">
        <v>298</v>
      </c>
      <c r="G4663" s="25" t="s">
        <v>6363</v>
      </c>
      <c r="H4663" s="26">
        <v>-0.15870000000000001</v>
      </c>
      <c r="I4663" s="26"/>
      <c r="J4663" s="26" t="s">
        <v>512</v>
      </c>
      <c r="K4663" s="25" t="s">
        <v>513</v>
      </c>
    </row>
    <row r="4664" spans="1:11" ht="25.5" x14ac:dyDescent="0.25">
      <c r="A4664" s="22">
        <v>2026</v>
      </c>
      <c r="B4664" s="28" t="s">
        <v>222</v>
      </c>
      <c r="C4664" s="28" t="s">
        <v>97</v>
      </c>
      <c r="D4664" s="28" t="s">
        <v>1698</v>
      </c>
      <c r="E4664" s="29" t="s">
        <v>315</v>
      </c>
      <c r="F4664" s="29" t="s">
        <v>298</v>
      </c>
      <c r="G4664" s="25" t="s">
        <v>6364</v>
      </c>
      <c r="H4664" s="26">
        <v>-0.13150000000000001</v>
      </c>
      <c r="I4664" s="26"/>
      <c r="J4664" s="26" t="s">
        <v>512</v>
      </c>
      <c r="K4664" s="25" t="s">
        <v>513</v>
      </c>
    </row>
    <row r="4665" spans="1:11" ht="25.5" x14ac:dyDescent="0.25">
      <c r="A4665" s="22">
        <v>2026</v>
      </c>
      <c r="B4665" s="28" t="s">
        <v>222</v>
      </c>
      <c r="C4665" s="28" t="s">
        <v>97</v>
      </c>
      <c r="D4665" s="28" t="s">
        <v>1699</v>
      </c>
      <c r="E4665" s="29" t="s">
        <v>331</v>
      </c>
      <c r="F4665" s="29" t="s">
        <v>1762</v>
      </c>
      <c r="G4665" s="25" t="s">
        <v>6365</v>
      </c>
      <c r="H4665" s="26">
        <v>-8.51795625E-2</v>
      </c>
      <c r="I4665" s="26"/>
      <c r="J4665" s="26" t="s">
        <v>512</v>
      </c>
      <c r="K4665" s="25" t="s">
        <v>513</v>
      </c>
    </row>
    <row r="4666" spans="1:11" ht="25.5" x14ac:dyDescent="0.25">
      <c r="A4666" s="22">
        <v>2026</v>
      </c>
      <c r="B4666" s="28" t="s">
        <v>222</v>
      </c>
      <c r="C4666" s="28" t="s">
        <v>97</v>
      </c>
      <c r="D4666" s="28" t="s">
        <v>1699</v>
      </c>
      <c r="E4666" s="29" t="s">
        <v>331</v>
      </c>
      <c r="F4666" s="29" t="s">
        <v>1762</v>
      </c>
      <c r="G4666" s="25" t="s">
        <v>6366</v>
      </c>
      <c r="H4666" s="26">
        <v>-6.3785999999999995E-2</v>
      </c>
      <c r="I4666" s="26"/>
      <c r="J4666" s="26" t="s">
        <v>512</v>
      </c>
      <c r="K4666" s="25" t="s">
        <v>513</v>
      </c>
    </row>
    <row r="4667" spans="1:11" ht="25.5" x14ac:dyDescent="0.25">
      <c r="A4667" s="22">
        <v>2026</v>
      </c>
      <c r="B4667" s="28" t="s">
        <v>222</v>
      </c>
      <c r="C4667" s="28" t="s">
        <v>97</v>
      </c>
      <c r="D4667" s="28" t="s">
        <v>1699</v>
      </c>
      <c r="E4667" s="29" t="s">
        <v>331</v>
      </c>
      <c r="F4667" s="29" t="s">
        <v>1762</v>
      </c>
      <c r="G4667" s="25" t="s">
        <v>6367</v>
      </c>
      <c r="H4667" s="26">
        <v>-0.12861273000000001</v>
      </c>
      <c r="I4667" s="26"/>
      <c r="J4667" s="26" t="s">
        <v>512</v>
      </c>
      <c r="K4667" s="25" t="s">
        <v>513</v>
      </c>
    </row>
    <row r="4668" spans="1:11" ht="25.5" x14ac:dyDescent="0.25">
      <c r="A4668" s="22">
        <v>2026</v>
      </c>
      <c r="B4668" s="28" t="s">
        <v>222</v>
      </c>
      <c r="C4668" s="28" t="s">
        <v>97</v>
      </c>
      <c r="D4668" s="28" t="s">
        <v>1699</v>
      </c>
      <c r="E4668" s="29" t="s">
        <v>331</v>
      </c>
      <c r="F4668" s="29" t="s">
        <v>1762</v>
      </c>
      <c r="G4668" s="25" t="s">
        <v>6368</v>
      </c>
      <c r="H4668" s="26">
        <v>-8.9880000000000002E-2</v>
      </c>
      <c r="I4668" s="26"/>
      <c r="J4668" s="26" t="s">
        <v>512</v>
      </c>
      <c r="K4668" s="25" t="s">
        <v>513</v>
      </c>
    </row>
    <row r="4669" spans="1:11" ht="25.5" x14ac:dyDescent="0.25">
      <c r="A4669" s="22">
        <v>2026</v>
      </c>
      <c r="B4669" s="28" t="s">
        <v>222</v>
      </c>
      <c r="C4669" s="28" t="s">
        <v>97</v>
      </c>
      <c r="D4669" s="28" t="s">
        <v>1699</v>
      </c>
      <c r="E4669" s="29" t="s">
        <v>331</v>
      </c>
      <c r="F4669" s="29" t="s">
        <v>1762</v>
      </c>
      <c r="G4669" s="25" t="s">
        <v>6369</v>
      </c>
      <c r="H4669" s="26">
        <v>-1.9256265299999999E-2</v>
      </c>
      <c r="I4669" s="26"/>
      <c r="J4669" s="26" t="s">
        <v>512</v>
      </c>
      <c r="K4669" s="25" t="s">
        <v>513</v>
      </c>
    </row>
    <row r="4670" spans="1:11" ht="25.5" x14ac:dyDescent="0.25">
      <c r="A4670" s="22">
        <v>2026</v>
      </c>
      <c r="B4670" s="28" t="s">
        <v>222</v>
      </c>
      <c r="C4670" s="28" t="s">
        <v>97</v>
      </c>
      <c r="D4670" s="28" t="s">
        <v>1699</v>
      </c>
      <c r="E4670" s="29" t="s">
        <v>331</v>
      </c>
      <c r="F4670" s="29" t="s">
        <v>1762</v>
      </c>
      <c r="G4670" s="25" t="s">
        <v>6370</v>
      </c>
      <c r="H4670" s="26">
        <v>-1.37725959E-2</v>
      </c>
      <c r="I4670" s="26"/>
      <c r="J4670" s="26" t="s">
        <v>512</v>
      </c>
      <c r="K4670" s="25" t="s">
        <v>513</v>
      </c>
    </row>
    <row r="4671" spans="1:11" ht="25.5" x14ac:dyDescent="0.25">
      <c r="A4671" s="22">
        <v>2026</v>
      </c>
      <c r="B4671" s="28" t="s">
        <v>222</v>
      </c>
      <c r="C4671" s="28" t="s">
        <v>97</v>
      </c>
      <c r="D4671" s="28" t="s">
        <v>1699</v>
      </c>
      <c r="E4671" s="29" t="s">
        <v>331</v>
      </c>
      <c r="F4671" s="29" t="s">
        <v>1762</v>
      </c>
      <c r="G4671" s="25" t="s">
        <v>6371</v>
      </c>
      <c r="H4671" s="26">
        <v>-5.8540179900000003E-2</v>
      </c>
      <c r="I4671" s="26"/>
      <c r="J4671" s="26" t="s">
        <v>512</v>
      </c>
      <c r="K4671" s="25" t="s">
        <v>513</v>
      </c>
    </row>
    <row r="4672" spans="1:11" ht="25.5" x14ac:dyDescent="0.25">
      <c r="A4672" s="22">
        <v>2026</v>
      </c>
      <c r="B4672" s="28" t="s">
        <v>222</v>
      </c>
      <c r="C4672" s="28" t="s">
        <v>97</v>
      </c>
      <c r="D4672" s="28" t="s">
        <v>1699</v>
      </c>
      <c r="E4672" s="29" t="s">
        <v>331</v>
      </c>
      <c r="F4672" s="29" t="s">
        <v>1762</v>
      </c>
      <c r="G4672" s="25" t="s">
        <v>6372</v>
      </c>
      <c r="H4672" s="26">
        <v>-8.1744606799999994E-2</v>
      </c>
      <c r="I4672" s="26"/>
      <c r="J4672" s="26" t="s">
        <v>512</v>
      </c>
      <c r="K4672" s="25" t="s">
        <v>513</v>
      </c>
    </row>
    <row r="4673" spans="1:11" ht="25.5" x14ac:dyDescent="0.25">
      <c r="A4673" s="22">
        <v>2026</v>
      </c>
      <c r="B4673" s="28" t="s">
        <v>222</v>
      </c>
      <c r="C4673" s="28" t="s">
        <v>97</v>
      </c>
      <c r="D4673" s="28" t="s">
        <v>1699</v>
      </c>
      <c r="E4673" s="29" t="s">
        <v>331</v>
      </c>
      <c r="F4673" s="29" t="s">
        <v>1762</v>
      </c>
      <c r="G4673" s="25" t="s">
        <v>6373</v>
      </c>
      <c r="H4673" s="26">
        <v>-0.12723027749999999</v>
      </c>
      <c r="I4673" s="26"/>
      <c r="J4673" s="26" t="s">
        <v>512</v>
      </c>
      <c r="K4673" s="25" t="s">
        <v>513</v>
      </c>
    </row>
    <row r="4674" spans="1:11" ht="25.5" x14ac:dyDescent="0.25">
      <c r="A4674" s="22">
        <v>2026</v>
      </c>
      <c r="B4674" s="28" t="s">
        <v>222</v>
      </c>
      <c r="C4674" s="28" t="s">
        <v>97</v>
      </c>
      <c r="D4674" s="28" t="s">
        <v>1699</v>
      </c>
      <c r="E4674" s="29" t="s">
        <v>331</v>
      </c>
      <c r="F4674" s="29" t="s">
        <v>1762</v>
      </c>
      <c r="G4674" s="25" t="s">
        <v>6374</v>
      </c>
      <c r="H4674" s="26">
        <v>-0.10154727000000001</v>
      </c>
      <c r="I4674" s="26"/>
      <c r="J4674" s="26" t="s">
        <v>512</v>
      </c>
      <c r="K4674" s="25" t="s">
        <v>513</v>
      </c>
    </row>
    <row r="4675" spans="1:11" ht="25.5" x14ac:dyDescent="0.25">
      <c r="A4675" s="22">
        <v>2026</v>
      </c>
      <c r="B4675" s="28" t="s">
        <v>222</v>
      </c>
      <c r="C4675" s="28" t="s">
        <v>97</v>
      </c>
      <c r="D4675" s="28" t="s">
        <v>1699</v>
      </c>
      <c r="E4675" s="29" t="s">
        <v>331</v>
      </c>
      <c r="F4675" s="29" t="s">
        <v>1762</v>
      </c>
      <c r="G4675" s="25" t="s">
        <v>6375</v>
      </c>
      <c r="H4675" s="26">
        <v>-8.6831249999999999E-2</v>
      </c>
      <c r="I4675" s="26"/>
      <c r="J4675" s="26" t="s">
        <v>512</v>
      </c>
      <c r="K4675" s="25" t="s">
        <v>513</v>
      </c>
    </row>
    <row r="4676" spans="1:11" ht="25.5" x14ac:dyDescent="0.25">
      <c r="A4676" s="22">
        <v>2026</v>
      </c>
      <c r="B4676" s="28" t="s">
        <v>222</v>
      </c>
      <c r="C4676" s="28" t="s">
        <v>97</v>
      </c>
      <c r="D4676" s="28" t="s">
        <v>1699</v>
      </c>
      <c r="E4676" s="29" t="s">
        <v>331</v>
      </c>
      <c r="F4676" s="29" t="s">
        <v>1762</v>
      </c>
      <c r="G4676" s="25" t="s">
        <v>6376</v>
      </c>
      <c r="H4676" s="26">
        <v>-2.3442150000000002E-2</v>
      </c>
      <c r="I4676" s="26"/>
      <c r="J4676" s="26" t="s">
        <v>512</v>
      </c>
      <c r="K4676" s="25" t="s">
        <v>513</v>
      </c>
    </row>
    <row r="4677" spans="1:11" ht="25.5" x14ac:dyDescent="0.25">
      <c r="A4677" s="22">
        <v>2026</v>
      </c>
      <c r="B4677" s="28" t="s">
        <v>222</v>
      </c>
      <c r="C4677" s="28" t="s">
        <v>97</v>
      </c>
      <c r="D4677" s="28" t="s">
        <v>1699</v>
      </c>
      <c r="E4677" s="29" t="s">
        <v>331</v>
      </c>
      <c r="F4677" s="29" t="s">
        <v>1762</v>
      </c>
      <c r="G4677" s="25" t="s">
        <v>6377</v>
      </c>
      <c r="H4677" s="26">
        <v>-2.6825632000000002E-2</v>
      </c>
      <c r="I4677" s="26"/>
      <c r="J4677" s="26" t="s">
        <v>512</v>
      </c>
      <c r="K4677" s="25" t="s">
        <v>513</v>
      </c>
    </row>
    <row r="4678" spans="1:11" ht="25.5" x14ac:dyDescent="0.25">
      <c r="A4678" s="22">
        <v>2026</v>
      </c>
      <c r="B4678" s="28" t="s">
        <v>222</v>
      </c>
      <c r="C4678" s="28" t="s">
        <v>97</v>
      </c>
      <c r="D4678" s="28" t="s">
        <v>1699</v>
      </c>
      <c r="E4678" s="29" t="s">
        <v>331</v>
      </c>
      <c r="F4678" s="29" t="s">
        <v>1762</v>
      </c>
      <c r="G4678" s="25" t="s">
        <v>6378</v>
      </c>
      <c r="H4678" s="26">
        <v>-3.1149510500000002E-2</v>
      </c>
      <c r="I4678" s="26"/>
      <c r="J4678" s="26" t="s">
        <v>512</v>
      </c>
      <c r="K4678" s="25" t="s">
        <v>513</v>
      </c>
    </row>
    <row r="4679" spans="1:11" ht="25.5" x14ac:dyDescent="0.25">
      <c r="A4679" s="22">
        <v>2026</v>
      </c>
      <c r="B4679" s="28" t="s">
        <v>222</v>
      </c>
      <c r="C4679" s="28" t="s">
        <v>97</v>
      </c>
      <c r="D4679" s="28" t="s">
        <v>1700</v>
      </c>
      <c r="E4679" s="29" t="s">
        <v>331</v>
      </c>
      <c r="F4679" s="29" t="s">
        <v>483</v>
      </c>
      <c r="G4679" s="25" t="s">
        <v>6379</v>
      </c>
      <c r="H4679" s="26">
        <v>-0.2026</v>
      </c>
      <c r="I4679" s="26"/>
      <c r="J4679" s="26" t="s">
        <v>512</v>
      </c>
      <c r="K4679" s="25" t="s">
        <v>513</v>
      </c>
    </row>
    <row r="4680" spans="1:11" ht="25.5" x14ac:dyDescent="0.25">
      <c r="A4680" s="22">
        <v>2026</v>
      </c>
      <c r="B4680" s="28" t="s">
        <v>222</v>
      </c>
      <c r="C4680" s="28" t="s">
        <v>97</v>
      </c>
      <c r="D4680" s="28" t="s">
        <v>1700</v>
      </c>
      <c r="E4680" s="29" t="s">
        <v>331</v>
      </c>
      <c r="F4680" s="29" t="s">
        <v>483</v>
      </c>
      <c r="G4680" s="25" t="s">
        <v>6380</v>
      </c>
      <c r="H4680" s="26">
        <v>-9.9559999999999996E-2</v>
      </c>
      <c r="I4680" s="26"/>
      <c r="J4680" s="26" t="s">
        <v>512</v>
      </c>
      <c r="K4680" s="25" t="s">
        <v>513</v>
      </c>
    </row>
    <row r="4681" spans="1:11" ht="25.5" x14ac:dyDescent="0.25">
      <c r="A4681" s="22">
        <v>2026</v>
      </c>
      <c r="B4681" s="28" t="s">
        <v>222</v>
      </c>
      <c r="C4681" s="28" t="s">
        <v>97</v>
      </c>
      <c r="D4681" s="28" t="s">
        <v>1700</v>
      </c>
      <c r="E4681" s="29" t="s">
        <v>331</v>
      </c>
      <c r="F4681" s="29" t="s">
        <v>483</v>
      </c>
      <c r="G4681" s="25" t="s">
        <v>6381</v>
      </c>
      <c r="H4681" s="26">
        <v>-7.6867500000000005E-2</v>
      </c>
      <c r="I4681" s="26"/>
      <c r="J4681" s="26" t="s">
        <v>512</v>
      </c>
      <c r="K4681" s="25" t="s">
        <v>513</v>
      </c>
    </row>
    <row r="4682" spans="1:11" ht="25.5" x14ac:dyDescent="0.25">
      <c r="A4682" s="22">
        <v>2026</v>
      </c>
      <c r="B4682" s="28" t="s">
        <v>222</v>
      </c>
      <c r="C4682" s="28" t="s">
        <v>97</v>
      </c>
      <c r="D4682" s="28" t="s">
        <v>1700</v>
      </c>
      <c r="E4682" s="29" t="s">
        <v>331</v>
      </c>
      <c r="F4682" s="29" t="s">
        <v>483</v>
      </c>
      <c r="G4682" s="25" t="s">
        <v>6382</v>
      </c>
      <c r="H4682" s="26">
        <v>-5.1249999999999997E-2</v>
      </c>
      <c r="I4682" s="26"/>
      <c r="J4682" s="26" t="s">
        <v>512</v>
      </c>
      <c r="K4682" s="25" t="s">
        <v>513</v>
      </c>
    </row>
    <row r="4683" spans="1:11" ht="25.5" x14ac:dyDescent="0.25">
      <c r="A4683" s="22">
        <v>2026</v>
      </c>
      <c r="B4683" s="28" t="s">
        <v>222</v>
      </c>
      <c r="C4683" s="28" t="s">
        <v>97</v>
      </c>
      <c r="D4683" s="28" t="s">
        <v>1700</v>
      </c>
      <c r="E4683" s="29" t="s">
        <v>331</v>
      </c>
      <c r="F4683" s="29" t="s">
        <v>483</v>
      </c>
      <c r="G4683" s="25" t="s">
        <v>6383</v>
      </c>
      <c r="H4683" s="26">
        <v>-0.20300000000000001</v>
      </c>
      <c r="I4683" s="26"/>
      <c r="J4683" s="26" t="s">
        <v>512</v>
      </c>
      <c r="K4683" s="25" t="s">
        <v>513</v>
      </c>
    </row>
    <row r="4684" spans="1:11" ht="25.5" x14ac:dyDescent="0.25">
      <c r="A4684" s="22">
        <v>2026</v>
      </c>
      <c r="B4684" s="28" t="s">
        <v>222</v>
      </c>
      <c r="C4684" s="28" t="s">
        <v>97</v>
      </c>
      <c r="D4684" s="28" t="s">
        <v>1700</v>
      </c>
      <c r="E4684" s="29" t="s">
        <v>331</v>
      </c>
      <c r="F4684" s="29" t="s">
        <v>483</v>
      </c>
      <c r="G4684" s="25" t="s">
        <v>6384</v>
      </c>
      <c r="H4684" s="26">
        <v>-0.10009999999999999</v>
      </c>
      <c r="I4684" s="26"/>
      <c r="J4684" s="26" t="s">
        <v>512</v>
      </c>
      <c r="K4684" s="25" t="s">
        <v>513</v>
      </c>
    </row>
    <row r="4685" spans="1:11" ht="25.5" x14ac:dyDescent="0.25">
      <c r="A4685" s="22">
        <v>2026</v>
      </c>
      <c r="B4685" s="28" t="s">
        <v>222</v>
      </c>
      <c r="C4685" s="28" t="s">
        <v>97</v>
      </c>
      <c r="D4685" s="28" t="s">
        <v>1700</v>
      </c>
      <c r="E4685" s="29" t="s">
        <v>331</v>
      </c>
      <c r="F4685" s="29" t="s">
        <v>483</v>
      </c>
      <c r="G4685" s="25" t="s">
        <v>6385</v>
      </c>
      <c r="H4685" s="26">
        <v>-9.9080000000000001E-2</v>
      </c>
      <c r="I4685" s="26"/>
      <c r="J4685" s="26" t="s">
        <v>512</v>
      </c>
      <c r="K4685" s="25" t="s">
        <v>513</v>
      </c>
    </row>
    <row r="4686" spans="1:11" ht="25.5" x14ac:dyDescent="0.25">
      <c r="A4686" s="22">
        <v>2026</v>
      </c>
      <c r="B4686" s="28" t="s">
        <v>222</v>
      </c>
      <c r="C4686" s="28" t="s">
        <v>97</v>
      </c>
      <c r="D4686" s="28" t="s">
        <v>1700</v>
      </c>
      <c r="E4686" s="29" t="s">
        <v>331</v>
      </c>
      <c r="F4686" s="29" t="s">
        <v>483</v>
      </c>
      <c r="G4686" s="25" t="s">
        <v>6386</v>
      </c>
      <c r="H4686" s="26">
        <v>-9.9400000000000002E-2</v>
      </c>
      <c r="I4686" s="26"/>
      <c r="J4686" s="26" t="s">
        <v>512</v>
      </c>
      <c r="K4686" s="25" t="s">
        <v>513</v>
      </c>
    </row>
    <row r="4687" spans="1:11" ht="25.5" x14ac:dyDescent="0.25">
      <c r="A4687" s="22">
        <v>2026</v>
      </c>
      <c r="B4687" s="28" t="s">
        <v>222</v>
      </c>
      <c r="C4687" s="28" t="s">
        <v>97</v>
      </c>
      <c r="D4687" s="28" t="s">
        <v>1700</v>
      </c>
      <c r="E4687" s="29" t="s">
        <v>331</v>
      </c>
      <c r="F4687" s="29" t="s">
        <v>483</v>
      </c>
      <c r="G4687" s="25" t="s">
        <v>6387</v>
      </c>
      <c r="H4687" s="26">
        <v>-0.1</v>
      </c>
      <c r="I4687" s="26"/>
      <c r="J4687" s="26" t="s">
        <v>512</v>
      </c>
      <c r="K4687" s="25" t="s">
        <v>513</v>
      </c>
    </row>
    <row r="4688" spans="1:11" ht="25.5" x14ac:dyDescent="0.25">
      <c r="A4688" s="22">
        <v>2026</v>
      </c>
      <c r="B4688" s="28" t="s">
        <v>222</v>
      </c>
      <c r="C4688" s="28" t="s">
        <v>97</v>
      </c>
      <c r="D4688" s="28" t="s">
        <v>1700</v>
      </c>
      <c r="E4688" s="29" t="s">
        <v>331</v>
      </c>
      <c r="F4688" s="29" t="s">
        <v>483</v>
      </c>
      <c r="G4688" s="25" t="s">
        <v>6388</v>
      </c>
      <c r="H4688" s="26">
        <v>-9.9360000000000004E-2</v>
      </c>
      <c r="I4688" s="26"/>
      <c r="J4688" s="26" t="s">
        <v>512</v>
      </c>
      <c r="K4688" s="25" t="s">
        <v>513</v>
      </c>
    </row>
    <row r="4689" spans="1:11" ht="25.5" x14ac:dyDescent="0.25">
      <c r="A4689" s="22">
        <v>2026</v>
      </c>
      <c r="B4689" s="28" t="s">
        <v>222</v>
      </c>
      <c r="C4689" s="28" t="s">
        <v>97</v>
      </c>
      <c r="D4689" s="28" t="s">
        <v>1700</v>
      </c>
      <c r="E4689" s="29" t="s">
        <v>331</v>
      </c>
      <c r="F4689" s="29" t="s">
        <v>483</v>
      </c>
      <c r="G4689" s="25" t="s">
        <v>6389</v>
      </c>
      <c r="H4689" s="26">
        <v>-2.4692499999999999E-2</v>
      </c>
      <c r="I4689" s="26"/>
      <c r="J4689" s="26" t="s">
        <v>512</v>
      </c>
      <c r="K4689" s="25" t="s">
        <v>513</v>
      </c>
    </row>
    <row r="4690" spans="1:11" ht="25.5" x14ac:dyDescent="0.25">
      <c r="A4690" s="22">
        <v>2026</v>
      </c>
      <c r="B4690" s="28" t="s">
        <v>222</v>
      </c>
      <c r="C4690" s="28" t="s">
        <v>97</v>
      </c>
      <c r="D4690" s="28" t="s">
        <v>1700</v>
      </c>
      <c r="E4690" s="29" t="s">
        <v>331</v>
      </c>
      <c r="F4690" s="29" t="s">
        <v>483</v>
      </c>
      <c r="G4690" s="25" t="s">
        <v>6390</v>
      </c>
      <c r="H4690" s="26">
        <v>-4.99E-2</v>
      </c>
      <c r="I4690" s="26"/>
      <c r="J4690" s="26" t="s">
        <v>512</v>
      </c>
      <c r="K4690" s="25" t="s">
        <v>513</v>
      </c>
    </row>
    <row r="4691" spans="1:11" ht="25.5" x14ac:dyDescent="0.25">
      <c r="A4691" s="22">
        <v>2026</v>
      </c>
      <c r="B4691" s="28" t="s">
        <v>222</v>
      </c>
      <c r="C4691" s="28" t="s">
        <v>97</v>
      </c>
      <c r="D4691" s="28" t="s">
        <v>1700</v>
      </c>
      <c r="E4691" s="29" t="s">
        <v>331</v>
      </c>
      <c r="F4691" s="29" t="s">
        <v>483</v>
      </c>
      <c r="G4691" s="25" t="s">
        <v>6391</v>
      </c>
      <c r="H4691" s="26">
        <v>-2.5125000000000001E-2</v>
      </c>
      <c r="I4691" s="26"/>
      <c r="J4691" s="26" t="s">
        <v>512</v>
      </c>
      <c r="K4691" s="25" t="s">
        <v>513</v>
      </c>
    </row>
    <row r="4692" spans="1:11" ht="25.5" x14ac:dyDescent="0.25">
      <c r="A4692" s="22">
        <v>2026</v>
      </c>
      <c r="B4692" s="28" t="s">
        <v>222</v>
      </c>
      <c r="C4692" s="28" t="s">
        <v>97</v>
      </c>
      <c r="D4692" s="28" t="s">
        <v>1700</v>
      </c>
      <c r="E4692" s="29" t="s">
        <v>331</v>
      </c>
      <c r="F4692" s="29" t="s">
        <v>483</v>
      </c>
      <c r="G4692" s="25" t="s">
        <v>6392</v>
      </c>
      <c r="H4692" s="26">
        <v>-5.1499999999999997E-2</v>
      </c>
      <c r="I4692" s="26"/>
      <c r="J4692" s="26" t="s">
        <v>512</v>
      </c>
      <c r="K4692" s="25" t="s">
        <v>513</v>
      </c>
    </row>
    <row r="4693" spans="1:11" ht="25.5" x14ac:dyDescent="0.25">
      <c r="A4693" s="22">
        <v>2026</v>
      </c>
      <c r="B4693" s="28" t="s">
        <v>222</v>
      </c>
      <c r="C4693" s="28" t="s">
        <v>97</v>
      </c>
      <c r="D4693" s="28" t="s">
        <v>1701</v>
      </c>
      <c r="E4693" s="29" t="s">
        <v>331</v>
      </c>
      <c r="F4693" s="29" t="s">
        <v>566</v>
      </c>
      <c r="G4693" s="25" t="s">
        <v>6393</v>
      </c>
      <c r="H4693" s="26">
        <v>-1.8814200000000001</v>
      </c>
      <c r="I4693" s="26"/>
      <c r="J4693" s="26" t="s">
        <v>512</v>
      </c>
      <c r="K4693" s="25" t="s">
        <v>513</v>
      </c>
    </row>
    <row r="4694" spans="1:11" ht="25.5" x14ac:dyDescent="0.25">
      <c r="A4694" s="22">
        <v>2026</v>
      </c>
      <c r="B4694" s="28" t="s">
        <v>222</v>
      </c>
      <c r="C4694" s="28" t="s">
        <v>97</v>
      </c>
      <c r="D4694" s="28" t="s">
        <v>1701</v>
      </c>
      <c r="E4694" s="29" t="s">
        <v>331</v>
      </c>
      <c r="F4694" s="29" t="s">
        <v>566</v>
      </c>
      <c r="G4694" s="25" t="s">
        <v>6394</v>
      </c>
      <c r="H4694" s="26">
        <v>-0.94496000000000002</v>
      </c>
      <c r="I4694" s="26"/>
      <c r="J4694" s="26" t="s">
        <v>512</v>
      </c>
      <c r="K4694" s="25" t="s">
        <v>513</v>
      </c>
    </row>
    <row r="4695" spans="1:11" ht="25.5" x14ac:dyDescent="0.25">
      <c r="A4695" s="22">
        <v>2026</v>
      </c>
      <c r="B4695" s="28" t="s">
        <v>222</v>
      </c>
      <c r="C4695" s="28" t="s">
        <v>97</v>
      </c>
      <c r="D4695" s="28" t="s">
        <v>1701</v>
      </c>
      <c r="E4695" s="29" t="s">
        <v>331</v>
      </c>
      <c r="F4695" s="29" t="s">
        <v>566</v>
      </c>
      <c r="G4695" s="25" t="s">
        <v>6395</v>
      </c>
      <c r="H4695" s="26">
        <v>-0.71475</v>
      </c>
      <c r="I4695" s="26"/>
      <c r="J4695" s="26" t="s">
        <v>512</v>
      </c>
      <c r="K4695" s="25" t="s">
        <v>513</v>
      </c>
    </row>
    <row r="4696" spans="1:11" ht="25.5" x14ac:dyDescent="0.25">
      <c r="A4696" s="22">
        <v>2026</v>
      </c>
      <c r="B4696" s="28" t="s">
        <v>222</v>
      </c>
      <c r="C4696" s="28" t="s">
        <v>97</v>
      </c>
      <c r="D4696" s="28" t="s">
        <v>1701</v>
      </c>
      <c r="E4696" s="29" t="s">
        <v>331</v>
      </c>
      <c r="F4696" s="29" t="s">
        <v>566</v>
      </c>
      <c r="G4696" s="25" t="s">
        <v>6396</v>
      </c>
      <c r="H4696" s="26">
        <v>-0.38159999999999999</v>
      </c>
      <c r="I4696" s="26"/>
      <c r="J4696" s="26" t="s">
        <v>512</v>
      </c>
      <c r="K4696" s="25" t="s">
        <v>513</v>
      </c>
    </row>
    <row r="4697" spans="1:11" ht="25.5" x14ac:dyDescent="0.25">
      <c r="A4697" s="22">
        <v>2026</v>
      </c>
      <c r="B4697" s="28" t="s">
        <v>222</v>
      </c>
      <c r="C4697" s="28" t="s">
        <v>97</v>
      </c>
      <c r="D4697" s="28" t="s">
        <v>1701</v>
      </c>
      <c r="E4697" s="29" t="s">
        <v>331</v>
      </c>
      <c r="F4697" s="29" t="s">
        <v>566</v>
      </c>
      <c r="G4697" s="25" t="s">
        <v>6397</v>
      </c>
      <c r="H4697" s="26">
        <v>-0.95796999999999999</v>
      </c>
      <c r="I4697" s="26"/>
      <c r="J4697" s="26" t="s">
        <v>512</v>
      </c>
      <c r="K4697" s="25" t="s">
        <v>513</v>
      </c>
    </row>
    <row r="4698" spans="1:11" ht="25.5" x14ac:dyDescent="0.25">
      <c r="A4698" s="22">
        <v>2026</v>
      </c>
      <c r="B4698" s="28" t="s">
        <v>222</v>
      </c>
      <c r="C4698" s="28" t="s">
        <v>97</v>
      </c>
      <c r="D4698" s="28" t="s">
        <v>1701</v>
      </c>
      <c r="E4698" s="29" t="s">
        <v>331</v>
      </c>
      <c r="F4698" s="29" t="s">
        <v>566</v>
      </c>
      <c r="G4698" s="25" t="s">
        <v>6398</v>
      </c>
      <c r="H4698" s="26">
        <v>-0.47349999999999998</v>
      </c>
      <c r="I4698" s="26"/>
      <c r="J4698" s="26" t="s">
        <v>512</v>
      </c>
      <c r="K4698" s="25" t="s">
        <v>513</v>
      </c>
    </row>
    <row r="4699" spans="1:11" ht="25.5" x14ac:dyDescent="0.25">
      <c r="A4699" s="22">
        <v>2026</v>
      </c>
      <c r="B4699" s="28" t="s">
        <v>222</v>
      </c>
      <c r="C4699" s="28" t="s">
        <v>97</v>
      </c>
      <c r="D4699" s="28" t="s">
        <v>1701</v>
      </c>
      <c r="E4699" s="29" t="s">
        <v>331</v>
      </c>
      <c r="F4699" s="29" t="s">
        <v>566</v>
      </c>
      <c r="G4699" s="25" t="s">
        <v>6399</v>
      </c>
      <c r="H4699" s="26">
        <v>-1.90002</v>
      </c>
      <c r="I4699" s="26"/>
      <c r="J4699" s="26" t="s">
        <v>512</v>
      </c>
      <c r="K4699" s="25" t="s">
        <v>513</v>
      </c>
    </row>
    <row r="4700" spans="1:11" ht="25.5" x14ac:dyDescent="0.25">
      <c r="A4700" s="22">
        <v>2026</v>
      </c>
      <c r="B4700" s="28" t="s">
        <v>222</v>
      </c>
      <c r="C4700" s="28" t="s">
        <v>97</v>
      </c>
      <c r="D4700" s="28" t="s">
        <v>1701</v>
      </c>
      <c r="E4700" s="29" t="s">
        <v>331</v>
      </c>
      <c r="F4700" s="29" t="s">
        <v>566</v>
      </c>
      <c r="G4700" s="25" t="s">
        <v>6400</v>
      </c>
      <c r="H4700" s="26">
        <v>-0.95499999999999996</v>
      </c>
      <c r="I4700" s="26"/>
      <c r="J4700" s="26" t="s">
        <v>512</v>
      </c>
      <c r="K4700" s="25" t="s">
        <v>513</v>
      </c>
    </row>
    <row r="4701" spans="1:11" ht="25.5" x14ac:dyDescent="0.25">
      <c r="A4701" s="22">
        <v>2026</v>
      </c>
      <c r="B4701" s="28" t="s">
        <v>222</v>
      </c>
      <c r="C4701" s="28" t="s">
        <v>97</v>
      </c>
      <c r="D4701" s="28" t="s">
        <v>1701</v>
      </c>
      <c r="E4701" s="29" t="s">
        <v>331</v>
      </c>
      <c r="F4701" s="29" t="s">
        <v>566</v>
      </c>
      <c r="G4701" s="25" t="s">
        <v>6401</v>
      </c>
      <c r="H4701" s="26">
        <v>-0.98499999999999999</v>
      </c>
      <c r="I4701" s="26"/>
      <c r="J4701" s="26" t="s">
        <v>512</v>
      </c>
      <c r="K4701" s="25" t="s">
        <v>513</v>
      </c>
    </row>
    <row r="4702" spans="1:11" ht="25.5" x14ac:dyDescent="0.25">
      <c r="A4702" s="22">
        <v>2026</v>
      </c>
      <c r="B4702" s="28" t="s">
        <v>222</v>
      </c>
      <c r="C4702" s="28" t="s">
        <v>97</v>
      </c>
      <c r="D4702" s="28" t="s">
        <v>201</v>
      </c>
      <c r="E4702" s="29" t="s">
        <v>331</v>
      </c>
      <c r="F4702" s="29" t="s">
        <v>316</v>
      </c>
      <c r="G4702" s="25" t="s">
        <v>6402</v>
      </c>
      <c r="H4702" s="26">
        <v>-0.23296</v>
      </c>
      <c r="I4702" s="26"/>
      <c r="J4702" s="26" t="s">
        <v>512</v>
      </c>
      <c r="K4702" s="25" t="s">
        <v>513</v>
      </c>
    </row>
    <row r="4703" spans="1:11" ht="25.5" x14ac:dyDescent="0.25">
      <c r="A4703" s="22">
        <v>2026</v>
      </c>
      <c r="B4703" s="28" t="s">
        <v>222</v>
      </c>
      <c r="C4703" s="28" t="s">
        <v>97</v>
      </c>
      <c r="D4703" s="28" t="s">
        <v>201</v>
      </c>
      <c r="E4703" s="29" t="s">
        <v>331</v>
      </c>
      <c r="F4703" s="29" t="s">
        <v>316</v>
      </c>
      <c r="G4703" s="25" t="s">
        <v>6403</v>
      </c>
      <c r="H4703" s="26">
        <v>-0.14599999999999999</v>
      </c>
      <c r="I4703" s="26"/>
      <c r="J4703" s="26" t="s">
        <v>512</v>
      </c>
      <c r="K4703" s="25" t="s">
        <v>513</v>
      </c>
    </row>
    <row r="4704" spans="1:11" ht="25.5" x14ac:dyDescent="0.25">
      <c r="A4704" s="22">
        <v>2026</v>
      </c>
      <c r="B4704" s="28" t="s">
        <v>222</v>
      </c>
      <c r="C4704" s="28" t="s">
        <v>97</v>
      </c>
      <c r="D4704" s="28" t="s">
        <v>201</v>
      </c>
      <c r="E4704" s="29" t="s">
        <v>331</v>
      </c>
      <c r="F4704" s="29" t="s">
        <v>316</v>
      </c>
      <c r="G4704" s="25" t="s">
        <v>6404</v>
      </c>
      <c r="H4704" s="26">
        <v>-8.3267999999999995E-2</v>
      </c>
      <c r="I4704" s="26"/>
      <c r="J4704" s="26" t="s">
        <v>512</v>
      </c>
      <c r="K4704" s="25" t="s">
        <v>513</v>
      </c>
    </row>
    <row r="4705" spans="1:11" ht="25.5" x14ac:dyDescent="0.25">
      <c r="A4705" s="22">
        <v>2026</v>
      </c>
      <c r="B4705" s="28" t="s">
        <v>222</v>
      </c>
      <c r="C4705" s="28" t="s">
        <v>97</v>
      </c>
      <c r="D4705" s="28" t="s">
        <v>201</v>
      </c>
      <c r="E4705" s="29" t="s">
        <v>331</v>
      </c>
      <c r="F4705" s="29" t="s">
        <v>316</v>
      </c>
      <c r="G4705" s="25" t="s">
        <v>6405</v>
      </c>
      <c r="H4705" s="26">
        <v>-3.8492309999999995E-2</v>
      </c>
      <c r="I4705" s="26"/>
      <c r="J4705" s="26" t="s">
        <v>512</v>
      </c>
      <c r="K4705" s="25" t="s">
        <v>513</v>
      </c>
    </row>
    <row r="4706" spans="1:11" ht="25.5" x14ac:dyDescent="0.25">
      <c r="A4706" s="22">
        <v>2026</v>
      </c>
      <c r="B4706" s="28" t="s">
        <v>222</v>
      </c>
      <c r="C4706" s="28" t="s">
        <v>97</v>
      </c>
      <c r="D4706" s="28" t="s">
        <v>532</v>
      </c>
      <c r="E4706" s="29" t="s">
        <v>331</v>
      </c>
      <c r="F4706" s="29" t="s">
        <v>386</v>
      </c>
      <c r="G4706" s="25" t="s">
        <v>6406</v>
      </c>
      <c r="H4706" s="26">
        <v>-3.5903999999999998E-2</v>
      </c>
      <c r="I4706" s="26"/>
      <c r="J4706" s="26" t="s">
        <v>512</v>
      </c>
      <c r="K4706" s="25" t="s">
        <v>513</v>
      </c>
    </row>
    <row r="4707" spans="1:11" ht="25.5" x14ac:dyDescent="0.25">
      <c r="A4707" s="22">
        <v>2026</v>
      </c>
      <c r="B4707" s="28" t="s">
        <v>222</v>
      </c>
      <c r="C4707" s="28" t="s">
        <v>97</v>
      </c>
      <c r="D4707" s="28" t="s">
        <v>532</v>
      </c>
      <c r="E4707" s="29" t="s">
        <v>331</v>
      </c>
      <c r="F4707" s="29" t="s">
        <v>386</v>
      </c>
      <c r="G4707" s="25" t="s">
        <v>6407</v>
      </c>
      <c r="H4707" s="26">
        <v>-8.4575399999999995E-2</v>
      </c>
      <c r="I4707" s="26"/>
      <c r="J4707" s="26" t="s">
        <v>512</v>
      </c>
      <c r="K4707" s="25" t="s">
        <v>513</v>
      </c>
    </row>
    <row r="4708" spans="1:11" ht="25.5" x14ac:dyDescent="0.25">
      <c r="A4708" s="22">
        <v>2026</v>
      </c>
      <c r="B4708" s="28" t="s">
        <v>222</v>
      </c>
      <c r="C4708" s="28" t="s">
        <v>97</v>
      </c>
      <c r="D4708" s="28" t="s">
        <v>532</v>
      </c>
      <c r="E4708" s="29" t="s">
        <v>331</v>
      </c>
      <c r="F4708" s="29" t="s">
        <v>386</v>
      </c>
      <c r="G4708" s="25" t="s">
        <v>6408</v>
      </c>
      <c r="H4708" s="26">
        <v>-0.14630000000000001</v>
      </c>
      <c r="I4708" s="26"/>
      <c r="J4708" s="26" t="s">
        <v>512</v>
      </c>
      <c r="K4708" s="25" t="s">
        <v>513</v>
      </c>
    </row>
    <row r="4709" spans="1:11" ht="25.5" x14ac:dyDescent="0.25">
      <c r="A4709" s="22">
        <v>2026</v>
      </c>
      <c r="B4709" s="28" t="s">
        <v>222</v>
      </c>
      <c r="C4709" s="28" t="s">
        <v>97</v>
      </c>
      <c r="D4709" s="28" t="s">
        <v>532</v>
      </c>
      <c r="E4709" s="29" t="s">
        <v>331</v>
      </c>
      <c r="F4709" s="29" t="s">
        <v>386</v>
      </c>
      <c r="G4709" s="25" t="s">
        <v>6409</v>
      </c>
      <c r="H4709" s="26">
        <v>-0.15038000000000001</v>
      </c>
      <c r="I4709" s="26"/>
      <c r="J4709" s="26" t="s">
        <v>512</v>
      </c>
      <c r="K4709" s="25" t="s">
        <v>513</v>
      </c>
    </row>
    <row r="4710" spans="1:11" ht="25.5" x14ac:dyDescent="0.25">
      <c r="A4710" s="22">
        <v>2026</v>
      </c>
      <c r="B4710" s="28" t="s">
        <v>222</v>
      </c>
      <c r="C4710" s="28" t="s">
        <v>97</v>
      </c>
      <c r="D4710" s="28" t="s">
        <v>532</v>
      </c>
      <c r="E4710" s="29" t="s">
        <v>331</v>
      </c>
      <c r="F4710" s="29" t="s">
        <v>386</v>
      </c>
      <c r="G4710" s="25" t="s">
        <v>6410</v>
      </c>
      <c r="H4710" s="26">
        <v>-0.21260399999999999</v>
      </c>
      <c r="I4710" s="26"/>
      <c r="J4710" s="26" t="s">
        <v>512</v>
      </c>
      <c r="K4710" s="25" t="s">
        <v>513</v>
      </c>
    </row>
    <row r="4711" spans="1:11" ht="25.5" x14ac:dyDescent="0.25">
      <c r="A4711" s="22">
        <v>2026</v>
      </c>
      <c r="B4711" s="28" t="s">
        <v>222</v>
      </c>
      <c r="C4711" s="28" t="s">
        <v>97</v>
      </c>
      <c r="D4711" s="28" t="s">
        <v>532</v>
      </c>
      <c r="E4711" s="29" t="s">
        <v>331</v>
      </c>
      <c r="F4711" s="29" t="s">
        <v>386</v>
      </c>
      <c r="G4711" s="25" t="s">
        <v>6411</v>
      </c>
      <c r="H4711" s="26">
        <v>-5.5350000000000003E-2</v>
      </c>
      <c r="I4711" s="26"/>
      <c r="J4711" s="26" t="s">
        <v>512</v>
      </c>
      <c r="K4711" s="25" t="s">
        <v>513</v>
      </c>
    </row>
    <row r="4712" spans="1:11" ht="25.5" x14ac:dyDescent="0.25">
      <c r="A4712" s="22">
        <v>2026</v>
      </c>
      <c r="B4712" s="28" t="s">
        <v>222</v>
      </c>
      <c r="C4712" s="28" t="s">
        <v>97</v>
      </c>
      <c r="D4712" s="28" t="s">
        <v>532</v>
      </c>
      <c r="E4712" s="29" t="s">
        <v>331</v>
      </c>
      <c r="F4712" s="29" t="s">
        <v>386</v>
      </c>
      <c r="G4712" s="25" t="s">
        <v>6412</v>
      </c>
      <c r="H4712" s="26">
        <v>-0.21936800380000002</v>
      </c>
      <c r="I4712" s="26"/>
      <c r="J4712" s="26" t="s">
        <v>512</v>
      </c>
      <c r="K4712" s="25" t="s">
        <v>513</v>
      </c>
    </row>
    <row r="4713" spans="1:11" ht="25.5" x14ac:dyDescent="0.25">
      <c r="A4713" s="22">
        <v>2026</v>
      </c>
      <c r="B4713" s="28" t="s">
        <v>222</v>
      </c>
      <c r="C4713" s="28" t="s">
        <v>97</v>
      </c>
      <c r="D4713" s="28" t="s">
        <v>532</v>
      </c>
      <c r="E4713" s="29" t="s">
        <v>331</v>
      </c>
      <c r="F4713" s="29" t="s">
        <v>386</v>
      </c>
      <c r="G4713" s="25" t="s">
        <v>6413</v>
      </c>
      <c r="H4713" s="26">
        <v>-9.3050999999999995E-2</v>
      </c>
      <c r="I4713" s="26"/>
      <c r="J4713" s="26" t="s">
        <v>512</v>
      </c>
      <c r="K4713" s="25" t="s">
        <v>513</v>
      </c>
    </row>
    <row r="4714" spans="1:11" ht="25.5" x14ac:dyDescent="0.25">
      <c r="A4714" s="22">
        <v>2026</v>
      </c>
      <c r="B4714" s="28" t="s">
        <v>222</v>
      </c>
      <c r="C4714" s="28" t="s">
        <v>97</v>
      </c>
      <c r="D4714" s="28" t="s">
        <v>532</v>
      </c>
      <c r="E4714" s="29" t="s">
        <v>331</v>
      </c>
      <c r="F4714" s="29" t="s">
        <v>386</v>
      </c>
      <c r="G4714" s="25" t="s">
        <v>6414</v>
      </c>
      <c r="H4714" s="26">
        <v>-0.21489</v>
      </c>
      <c r="I4714" s="26"/>
      <c r="J4714" s="26" t="s">
        <v>512</v>
      </c>
      <c r="K4714" s="25" t="s">
        <v>513</v>
      </c>
    </row>
    <row r="4715" spans="1:11" ht="25.5" x14ac:dyDescent="0.25">
      <c r="A4715" s="22">
        <v>2026</v>
      </c>
      <c r="B4715" s="28" t="s">
        <v>222</v>
      </c>
      <c r="C4715" s="28" t="s">
        <v>97</v>
      </c>
      <c r="D4715" s="28" t="s">
        <v>532</v>
      </c>
      <c r="E4715" s="29" t="s">
        <v>331</v>
      </c>
      <c r="F4715" s="29" t="s">
        <v>386</v>
      </c>
      <c r="G4715" s="25" t="s">
        <v>6415</v>
      </c>
      <c r="H4715" s="26">
        <v>-0.17715565559999999</v>
      </c>
      <c r="I4715" s="26"/>
      <c r="J4715" s="26" t="s">
        <v>512</v>
      </c>
      <c r="K4715" s="25" t="s">
        <v>513</v>
      </c>
    </row>
    <row r="4716" spans="1:11" ht="25.5" x14ac:dyDescent="0.25">
      <c r="A4716" s="22">
        <v>2026</v>
      </c>
      <c r="B4716" s="28" t="s">
        <v>222</v>
      </c>
      <c r="C4716" s="28" t="s">
        <v>97</v>
      </c>
      <c r="D4716" s="28" t="s">
        <v>532</v>
      </c>
      <c r="E4716" s="29" t="s">
        <v>331</v>
      </c>
      <c r="F4716" s="29" t="s">
        <v>386</v>
      </c>
      <c r="G4716" s="25" t="s">
        <v>6416</v>
      </c>
      <c r="H4716" s="26">
        <v>-5.9135073600000004E-2</v>
      </c>
      <c r="I4716" s="26"/>
      <c r="J4716" s="26" t="s">
        <v>512</v>
      </c>
      <c r="K4716" s="25" t="s">
        <v>513</v>
      </c>
    </row>
    <row r="4717" spans="1:11" ht="25.5" x14ac:dyDescent="0.25">
      <c r="A4717" s="22">
        <v>2026</v>
      </c>
      <c r="B4717" s="28" t="s">
        <v>222</v>
      </c>
      <c r="C4717" s="28" t="s">
        <v>97</v>
      </c>
      <c r="D4717" s="28" t="s">
        <v>532</v>
      </c>
      <c r="E4717" s="29" t="s">
        <v>331</v>
      </c>
      <c r="F4717" s="29" t="s">
        <v>386</v>
      </c>
      <c r="G4717" s="25" t="s">
        <v>6417</v>
      </c>
      <c r="H4717" s="26">
        <v>-4.3157673000000001E-2</v>
      </c>
      <c r="I4717" s="26"/>
      <c r="J4717" s="26" t="s">
        <v>512</v>
      </c>
      <c r="K4717" s="25" t="s">
        <v>513</v>
      </c>
    </row>
    <row r="4718" spans="1:11" ht="25.5" x14ac:dyDescent="0.25">
      <c r="A4718" s="22">
        <v>2026</v>
      </c>
      <c r="B4718" s="28" t="s">
        <v>222</v>
      </c>
      <c r="C4718" s="28" t="s">
        <v>97</v>
      </c>
      <c r="D4718" s="28" t="s">
        <v>1702</v>
      </c>
      <c r="E4718" s="29" t="s">
        <v>1763</v>
      </c>
      <c r="F4718" s="29" t="s">
        <v>378</v>
      </c>
      <c r="G4718" s="25" t="s">
        <v>6418</v>
      </c>
      <c r="H4718" s="26">
        <v>-1.6428150000000002E-2</v>
      </c>
      <c r="I4718" s="26"/>
      <c r="J4718" s="26" t="s">
        <v>514</v>
      </c>
      <c r="K4718" s="25" t="s">
        <v>513</v>
      </c>
    </row>
    <row r="4719" spans="1:11" ht="25.5" x14ac:dyDescent="0.25">
      <c r="A4719" s="22">
        <v>2026</v>
      </c>
      <c r="B4719" s="28" t="s">
        <v>222</v>
      </c>
      <c r="C4719" s="28" t="s">
        <v>97</v>
      </c>
      <c r="D4719" s="28" t="s">
        <v>1702</v>
      </c>
      <c r="E4719" s="29" t="s">
        <v>1763</v>
      </c>
      <c r="F4719" s="29" t="s">
        <v>378</v>
      </c>
      <c r="G4719" s="25" t="s">
        <v>6419</v>
      </c>
      <c r="H4719" s="26">
        <v>-1.9199999999999998E-2</v>
      </c>
      <c r="I4719" s="26"/>
      <c r="J4719" s="26" t="s">
        <v>514</v>
      </c>
      <c r="K4719" s="25" t="s">
        <v>513</v>
      </c>
    </row>
    <row r="4720" spans="1:11" ht="25.5" x14ac:dyDescent="0.25">
      <c r="A4720" s="22">
        <v>2026</v>
      </c>
      <c r="B4720" s="28" t="s">
        <v>222</v>
      </c>
      <c r="C4720" s="28" t="s">
        <v>97</v>
      </c>
      <c r="D4720" s="28" t="s">
        <v>1702</v>
      </c>
      <c r="E4720" s="29" t="s">
        <v>1763</v>
      </c>
      <c r="F4720" s="29" t="s">
        <v>378</v>
      </c>
      <c r="G4720" s="25" t="s">
        <v>6420</v>
      </c>
      <c r="H4720" s="26">
        <v>-7.8204460000000003E-2</v>
      </c>
      <c r="I4720" s="26"/>
      <c r="J4720" s="26" t="s">
        <v>514</v>
      </c>
      <c r="K4720" s="25" t="s">
        <v>513</v>
      </c>
    </row>
    <row r="4721" spans="1:11" ht="25.5" x14ac:dyDescent="0.25">
      <c r="A4721" s="22">
        <v>2026</v>
      </c>
      <c r="B4721" s="28" t="s">
        <v>222</v>
      </c>
      <c r="C4721" s="28" t="s">
        <v>97</v>
      </c>
      <c r="D4721" s="28" t="s">
        <v>1702</v>
      </c>
      <c r="E4721" s="29" t="s">
        <v>1763</v>
      </c>
      <c r="F4721" s="29" t="s">
        <v>378</v>
      </c>
      <c r="G4721" s="25" t="s">
        <v>6421</v>
      </c>
      <c r="H4721" s="26">
        <v>-4.3325099999999998E-2</v>
      </c>
      <c r="I4721" s="26"/>
      <c r="J4721" s="26" t="s">
        <v>514</v>
      </c>
      <c r="K4721" s="25" t="s">
        <v>513</v>
      </c>
    </row>
    <row r="4722" spans="1:11" ht="25.5" x14ac:dyDescent="0.25">
      <c r="A4722" s="22">
        <v>2026</v>
      </c>
      <c r="B4722" s="28" t="s">
        <v>222</v>
      </c>
      <c r="C4722" s="28" t="s">
        <v>97</v>
      </c>
      <c r="D4722" s="28" t="s">
        <v>1702</v>
      </c>
      <c r="E4722" s="29" t="s">
        <v>1763</v>
      </c>
      <c r="F4722" s="29" t="s">
        <v>378</v>
      </c>
      <c r="G4722" s="25" t="s">
        <v>6422</v>
      </c>
      <c r="H4722" s="26">
        <v>-3.4770000000000002E-2</v>
      </c>
      <c r="I4722" s="26"/>
      <c r="J4722" s="26" t="s">
        <v>514</v>
      </c>
      <c r="K4722" s="25" t="s">
        <v>513</v>
      </c>
    </row>
    <row r="4723" spans="1:11" ht="25.5" x14ac:dyDescent="0.25">
      <c r="A4723" s="22">
        <v>2026</v>
      </c>
      <c r="B4723" s="28" t="s">
        <v>222</v>
      </c>
      <c r="C4723" s="28" t="s">
        <v>97</v>
      </c>
      <c r="D4723" s="28" t="s">
        <v>1702</v>
      </c>
      <c r="E4723" s="29" t="s">
        <v>1763</v>
      </c>
      <c r="F4723" s="29" t="s">
        <v>378</v>
      </c>
      <c r="G4723" s="25" t="s">
        <v>6423</v>
      </c>
      <c r="H4723" s="26">
        <v>-2.9812499999999999E-2</v>
      </c>
      <c r="I4723" s="26"/>
      <c r="J4723" s="26" t="s">
        <v>514</v>
      </c>
      <c r="K4723" s="25" t="s">
        <v>513</v>
      </c>
    </row>
    <row r="4724" spans="1:11" ht="25.5" x14ac:dyDescent="0.25">
      <c r="A4724" s="22">
        <v>2026</v>
      </c>
      <c r="B4724" s="28" t="s">
        <v>222</v>
      </c>
      <c r="C4724" s="28" t="s">
        <v>97</v>
      </c>
      <c r="D4724" s="28" t="s">
        <v>1703</v>
      </c>
      <c r="E4724" s="29" t="s">
        <v>569</v>
      </c>
      <c r="F4724" s="29" t="s">
        <v>298</v>
      </c>
      <c r="G4724" s="25" t="s">
        <v>6424</v>
      </c>
      <c r="H4724" s="26">
        <v>-0.70336500000000002</v>
      </c>
      <c r="I4724" s="26"/>
      <c r="J4724" s="26" t="s">
        <v>512</v>
      </c>
      <c r="K4724" s="25" t="s">
        <v>526</v>
      </c>
    </row>
    <row r="4725" spans="1:11" ht="25.5" x14ac:dyDescent="0.25">
      <c r="A4725" s="22">
        <v>2026</v>
      </c>
      <c r="B4725" s="28" t="s">
        <v>222</v>
      </c>
      <c r="C4725" s="28" t="s">
        <v>97</v>
      </c>
      <c r="D4725" s="28" t="s">
        <v>1703</v>
      </c>
      <c r="E4725" s="29" t="s">
        <v>569</v>
      </c>
      <c r="F4725" s="29" t="s">
        <v>298</v>
      </c>
      <c r="G4725" s="25" t="s">
        <v>6425</v>
      </c>
      <c r="H4725" s="26">
        <v>-0.51788028549999998</v>
      </c>
      <c r="I4725" s="26"/>
      <c r="J4725" s="26" t="s">
        <v>512</v>
      </c>
      <c r="K4725" s="25" t="s">
        <v>526</v>
      </c>
    </row>
    <row r="4726" spans="1:11" ht="25.5" x14ac:dyDescent="0.25">
      <c r="A4726" s="22">
        <v>2026</v>
      </c>
      <c r="B4726" s="28" t="s">
        <v>222</v>
      </c>
      <c r="C4726" s="28" t="s">
        <v>97</v>
      </c>
      <c r="D4726" s="28" t="s">
        <v>1703</v>
      </c>
      <c r="E4726" s="29" t="s">
        <v>569</v>
      </c>
      <c r="F4726" s="29" t="s">
        <v>298</v>
      </c>
      <c r="G4726" s="25" t="s">
        <v>6426</v>
      </c>
      <c r="H4726" s="26">
        <v>-0.60020309967999996</v>
      </c>
      <c r="I4726" s="26"/>
      <c r="J4726" s="26" t="s">
        <v>512</v>
      </c>
      <c r="K4726" s="25" t="s">
        <v>526</v>
      </c>
    </row>
    <row r="4727" spans="1:11" ht="25.5" x14ac:dyDescent="0.25">
      <c r="A4727" s="22">
        <v>2026</v>
      </c>
      <c r="B4727" s="28" t="s">
        <v>222</v>
      </c>
      <c r="C4727" s="28" t="s">
        <v>97</v>
      </c>
      <c r="D4727" s="28" t="s">
        <v>1703</v>
      </c>
      <c r="E4727" s="29" t="s">
        <v>569</v>
      </c>
      <c r="F4727" s="29" t="s">
        <v>298</v>
      </c>
      <c r="G4727" s="25" t="s">
        <v>6427</v>
      </c>
      <c r="H4727" s="26">
        <v>-0.45832804048000003</v>
      </c>
      <c r="I4727" s="26"/>
      <c r="J4727" s="26" t="s">
        <v>512</v>
      </c>
      <c r="K4727" s="25" t="s">
        <v>526</v>
      </c>
    </row>
    <row r="4728" spans="1:11" ht="25.5" x14ac:dyDescent="0.25">
      <c r="A4728" s="22">
        <v>2026</v>
      </c>
      <c r="B4728" s="28" t="s">
        <v>222</v>
      </c>
      <c r="C4728" s="28" t="s">
        <v>97</v>
      </c>
      <c r="D4728" s="28" t="s">
        <v>1703</v>
      </c>
      <c r="E4728" s="29" t="s">
        <v>569</v>
      </c>
      <c r="F4728" s="29" t="s">
        <v>298</v>
      </c>
      <c r="G4728" s="25" t="s">
        <v>6428</v>
      </c>
      <c r="H4728" s="26">
        <v>-0.71443999999999996</v>
      </c>
      <c r="I4728" s="26"/>
      <c r="J4728" s="26" t="s">
        <v>512</v>
      </c>
      <c r="K4728" s="25" t="s">
        <v>526</v>
      </c>
    </row>
    <row r="4729" spans="1:11" ht="25.5" x14ac:dyDescent="0.25">
      <c r="A4729" s="22">
        <v>2026</v>
      </c>
      <c r="B4729" s="28" t="s">
        <v>222</v>
      </c>
      <c r="C4729" s="28" t="s">
        <v>97</v>
      </c>
      <c r="D4729" s="28" t="s">
        <v>1703</v>
      </c>
      <c r="E4729" s="29" t="s">
        <v>569</v>
      </c>
      <c r="F4729" s="29" t="s">
        <v>298</v>
      </c>
      <c r="G4729" s="25" t="s">
        <v>6429</v>
      </c>
      <c r="H4729" s="26">
        <v>-0.42979200000000001</v>
      </c>
      <c r="I4729" s="26"/>
      <c r="J4729" s="26" t="s">
        <v>512</v>
      </c>
      <c r="K4729" s="25" t="s">
        <v>526</v>
      </c>
    </row>
    <row r="4730" spans="1:11" ht="25.5" x14ac:dyDescent="0.25">
      <c r="A4730" s="22">
        <v>2026</v>
      </c>
      <c r="B4730" s="28" t="s">
        <v>222</v>
      </c>
      <c r="C4730" s="28" t="s">
        <v>97</v>
      </c>
      <c r="D4730" s="28" t="s">
        <v>1703</v>
      </c>
      <c r="E4730" s="29" t="s">
        <v>569</v>
      </c>
      <c r="F4730" s="29" t="s">
        <v>298</v>
      </c>
      <c r="G4730" s="25" t="s">
        <v>6430</v>
      </c>
      <c r="H4730" s="26">
        <v>-0.71711499999999995</v>
      </c>
      <c r="I4730" s="26"/>
      <c r="J4730" s="26" t="s">
        <v>512</v>
      </c>
      <c r="K4730" s="25" t="s">
        <v>526</v>
      </c>
    </row>
    <row r="4731" spans="1:11" ht="25.5" x14ac:dyDescent="0.25">
      <c r="A4731" s="22">
        <v>2026</v>
      </c>
      <c r="B4731" s="28" t="s">
        <v>222</v>
      </c>
      <c r="C4731" s="28" t="s">
        <v>97</v>
      </c>
      <c r="D4731" s="28" t="s">
        <v>1703</v>
      </c>
      <c r="E4731" s="29" t="s">
        <v>569</v>
      </c>
      <c r="F4731" s="29" t="s">
        <v>298</v>
      </c>
      <c r="G4731" s="25" t="s">
        <v>6431</v>
      </c>
      <c r="H4731" s="26">
        <v>-0.72287500000000005</v>
      </c>
      <c r="I4731" s="26"/>
      <c r="J4731" s="26" t="s">
        <v>512</v>
      </c>
      <c r="K4731" s="25" t="s">
        <v>526</v>
      </c>
    </row>
    <row r="4732" spans="1:11" ht="25.5" x14ac:dyDescent="0.25">
      <c r="A4732" s="22">
        <v>2026</v>
      </c>
      <c r="B4732" s="28" t="s">
        <v>222</v>
      </c>
      <c r="C4732" s="28" t="s">
        <v>97</v>
      </c>
      <c r="D4732" s="28" t="s">
        <v>1703</v>
      </c>
      <c r="E4732" s="29" t="s">
        <v>569</v>
      </c>
      <c r="F4732" s="29" t="s">
        <v>298</v>
      </c>
      <c r="G4732" s="25" t="s">
        <v>6432</v>
      </c>
      <c r="H4732" s="26">
        <v>-0.73485500000000004</v>
      </c>
      <c r="I4732" s="26"/>
      <c r="J4732" s="26" t="s">
        <v>512</v>
      </c>
      <c r="K4732" s="25" t="s">
        <v>526</v>
      </c>
    </row>
    <row r="4733" spans="1:11" ht="25.5" x14ac:dyDescent="0.25">
      <c r="A4733" s="22">
        <v>2026</v>
      </c>
      <c r="B4733" s="28" t="s">
        <v>222</v>
      </c>
      <c r="C4733" s="28" t="s">
        <v>97</v>
      </c>
      <c r="D4733" s="28" t="s">
        <v>1703</v>
      </c>
      <c r="E4733" s="29" t="s">
        <v>569</v>
      </c>
      <c r="F4733" s="29" t="s">
        <v>298</v>
      </c>
      <c r="G4733" s="25" t="s">
        <v>6433</v>
      </c>
      <c r="H4733" s="26">
        <v>-0.73305500000000001</v>
      </c>
      <c r="I4733" s="26"/>
      <c r="J4733" s="26" t="s">
        <v>512</v>
      </c>
      <c r="K4733" s="25" t="s">
        <v>526</v>
      </c>
    </row>
    <row r="4734" spans="1:11" ht="25.5" x14ac:dyDescent="0.25">
      <c r="A4734" s="22">
        <v>2026</v>
      </c>
      <c r="B4734" s="28" t="s">
        <v>222</v>
      </c>
      <c r="C4734" s="28" t="s">
        <v>97</v>
      </c>
      <c r="D4734" s="28" t="s">
        <v>1703</v>
      </c>
      <c r="E4734" s="29" t="s">
        <v>569</v>
      </c>
      <c r="F4734" s="29" t="s">
        <v>298</v>
      </c>
      <c r="G4734" s="25" t="s">
        <v>6434</v>
      </c>
      <c r="H4734" s="26">
        <v>-0.72658</v>
      </c>
      <c r="I4734" s="26"/>
      <c r="J4734" s="26" t="s">
        <v>512</v>
      </c>
      <c r="K4734" s="25" t="s">
        <v>526</v>
      </c>
    </row>
    <row r="4735" spans="1:11" ht="25.5" x14ac:dyDescent="0.25">
      <c r="A4735" s="22">
        <v>2026</v>
      </c>
      <c r="B4735" s="28" t="s">
        <v>222</v>
      </c>
      <c r="C4735" s="28" t="s">
        <v>97</v>
      </c>
      <c r="D4735" s="28" t="s">
        <v>1703</v>
      </c>
      <c r="E4735" s="29" t="s">
        <v>569</v>
      </c>
      <c r="F4735" s="29" t="s">
        <v>298</v>
      </c>
      <c r="G4735" s="25" t="s">
        <v>6435</v>
      </c>
      <c r="H4735" s="26">
        <v>-0.72303499999999998</v>
      </c>
      <c r="I4735" s="26"/>
      <c r="J4735" s="26" t="s">
        <v>512</v>
      </c>
      <c r="K4735" s="25" t="s">
        <v>526</v>
      </c>
    </row>
    <row r="4736" spans="1:11" ht="25.5" x14ac:dyDescent="0.25">
      <c r="A4736" s="22">
        <v>2026</v>
      </c>
      <c r="B4736" s="28" t="s">
        <v>222</v>
      </c>
      <c r="C4736" s="28" t="s">
        <v>97</v>
      </c>
      <c r="D4736" s="28" t="s">
        <v>1703</v>
      </c>
      <c r="E4736" s="29" t="s">
        <v>569</v>
      </c>
      <c r="F4736" s="29" t="s">
        <v>298</v>
      </c>
      <c r="G4736" s="25" t="s">
        <v>6436</v>
      </c>
      <c r="H4736" s="26">
        <v>-0.580708</v>
      </c>
      <c r="I4736" s="26"/>
      <c r="J4736" s="26" t="s">
        <v>512</v>
      </c>
      <c r="K4736" s="25" t="s">
        <v>526</v>
      </c>
    </row>
    <row r="4737" spans="1:11" ht="25.5" x14ac:dyDescent="0.25">
      <c r="A4737" s="22">
        <v>2026</v>
      </c>
      <c r="B4737" s="28" t="s">
        <v>222</v>
      </c>
      <c r="C4737" s="28" t="s">
        <v>97</v>
      </c>
      <c r="D4737" s="28" t="s">
        <v>1703</v>
      </c>
      <c r="E4737" s="29" t="s">
        <v>569</v>
      </c>
      <c r="F4737" s="29" t="s">
        <v>298</v>
      </c>
      <c r="G4737" s="25" t="s">
        <v>6437</v>
      </c>
      <c r="H4737" s="26">
        <v>-0.58387999999999995</v>
      </c>
      <c r="I4737" s="26"/>
      <c r="J4737" s="26" t="s">
        <v>512</v>
      </c>
      <c r="K4737" s="25" t="s">
        <v>526</v>
      </c>
    </row>
    <row r="4738" spans="1:11" ht="25.5" x14ac:dyDescent="0.25">
      <c r="A4738" s="22">
        <v>2026</v>
      </c>
      <c r="B4738" s="28" t="s">
        <v>222</v>
      </c>
      <c r="C4738" s="28" t="s">
        <v>97</v>
      </c>
      <c r="D4738" s="28" t="s">
        <v>1703</v>
      </c>
      <c r="E4738" s="29" t="s">
        <v>569</v>
      </c>
      <c r="F4738" s="29" t="s">
        <v>298</v>
      </c>
      <c r="G4738" s="25" t="s">
        <v>6438</v>
      </c>
      <c r="H4738" s="26">
        <v>-0.17483908103999998</v>
      </c>
      <c r="I4738" s="26"/>
      <c r="J4738" s="26" t="s">
        <v>512</v>
      </c>
      <c r="K4738" s="25" t="s">
        <v>526</v>
      </c>
    </row>
    <row r="4739" spans="1:11" ht="25.5" x14ac:dyDescent="0.25">
      <c r="A4739" s="22">
        <v>2026</v>
      </c>
      <c r="B4739" s="28" t="s">
        <v>222</v>
      </c>
      <c r="C4739" s="28" t="s">
        <v>97</v>
      </c>
      <c r="D4739" s="28" t="s">
        <v>1703</v>
      </c>
      <c r="E4739" s="29" t="s">
        <v>569</v>
      </c>
      <c r="F4739" s="29" t="s">
        <v>298</v>
      </c>
      <c r="G4739" s="25" t="s">
        <v>6439</v>
      </c>
      <c r="H4739" s="26">
        <v>-0.59561600000000003</v>
      </c>
      <c r="I4739" s="26"/>
      <c r="J4739" s="26" t="s">
        <v>512</v>
      </c>
      <c r="K4739" s="25" t="s">
        <v>526</v>
      </c>
    </row>
    <row r="4740" spans="1:11" ht="25.5" x14ac:dyDescent="0.25">
      <c r="A4740" s="22">
        <v>2026</v>
      </c>
      <c r="B4740" s="28" t="s">
        <v>222</v>
      </c>
      <c r="C4740" s="28" t="s">
        <v>97</v>
      </c>
      <c r="D4740" s="28" t="s">
        <v>1703</v>
      </c>
      <c r="E4740" s="29" t="s">
        <v>569</v>
      </c>
      <c r="F4740" s="29" t="s">
        <v>298</v>
      </c>
      <c r="G4740" s="25" t="s">
        <v>6440</v>
      </c>
      <c r="H4740" s="26">
        <v>-0.59694000000000003</v>
      </c>
      <c r="I4740" s="26"/>
      <c r="J4740" s="26" t="s">
        <v>512</v>
      </c>
      <c r="K4740" s="25" t="s">
        <v>526</v>
      </c>
    </row>
    <row r="4741" spans="1:11" ht="25.5" x14ac:dyDescent="0.25">
      <c r="A4741" s="22">
        <v>2026</v>
      </c>
      <c r="B4741" s="28" t="s">
        <v>222</v>
      </c>
      <c r="C4741" s="28" t="s">
        <v>97</v>
      </c>
      <c r="D4741" s="28" t="s">
        <v>1703</v>
      </c>
      <c r="E4741" s="29" t="s">
        <v>569</v>
      </c>
      <c r="F4741" s="29" t="s">
        <v>298</v>
      </c>
      <c r="G4741" s="25" t="s">
        <v>6441</v>
      </c>
      <c r="H4741" s="26">
        <v>-1.1167499999999999</v>
      </c>
      <c r="I4741" s="26"/>
      <c r="J4741" s="26" t="s">
        <v>512</v>
      </c>
      <c r="K4741" s="25" t="s">
        <v>526</v>
      </c>
    </row>
    <row r="4742" spans="1:11" ht="25.5" x14ac:dyDescent="0.25">
      <c r="A4742" s="22">
        <v>2026</v>
      </c>
      <c r="B4742" s="28" t="s">
        <v>222</v>
      </c>
      <c r="C4742" s="28" t="s">
        <v>97</v>
      </c>
      <c r="D4742" s="28" t="s">
        <v>1704</v>
      </c>
      <c r="E4742" s="29" t="s">
        <v>1764</v>
      </c>
      <c r="F4742" s="29" t="s">
        <v>287</v>
      </c>
      <c r="G4742" s="25" t="s">
        <v>6442</v>
      </c>
      <c r="H4742" s="26">
        <v>-5.1399894999999994E-2</v>
      </c>
      <c r="I4742" s="26"/>
      <c r="J4742" s="26" t="s">
        <v>512</v>
      </c>
      <c r="K4742" s="25" t="s">
        <v>513</v>
      </c>
    </row>
    <row r="4743" spans="1:11" ht="25.5" x14ac:dyDescent="0.25">
      <c r="A4743" s="22">
        <v>2026</v>
      </c>
      <c r="B4743" s="28" t="s">
        <v>222</v>
      </c>
      <c r="C4743" s="28" t="s">
        <v>97</v>
      </c>
      <c r="D4743" s="28" t="s">
        <v>1705</v>
      </c>
      <c r="E4743" s="29" t="s">
        <v>1765</v>
      </c>
      <c r="F4743" s="29" t="s">
        <v>1766</v>
      </c>
      <c r="G4743" s="25" t="s">
        <v>6461</v>
      </c>
      <c r="H4743" s="26">
        <v>-3.4754609999999998E-2</v>
      </c>
      <c r="I4743" s="26"/>
      <c r="J4743" s="26" t="s">
        <v>514</v>
      </c>
      <c r="K4743" s="25" t="s">
        <v>513</v>
      </c>
    </row>
    <row r="4744" spans="1:11" ht="25.5" x14ac:dyDescent="0.25">
      <c r="A4744" s="22">
        <v>2026</v>
      </c>
      <c r="B4744" s="28" t="s">
        <v>222</v>
      </c>
      <c r="C4744" s="28" t="s">
        <v>97</v>
      </c>
      <c r="D4744" s="28" t="s">
        <v>1705</v>
      </c>
      <c r="E4744" s="29" t="s">
        <v>1765</v>
      </c>
      <c r="F4744" s="29" t="s">
        <v>1766</v>
      </c>
      <c r="G4744" s="25" t="s">
        <v>6462</v>
      </c>
      <c r="H4744" s="26">
        <v>-0.217</v>
      </c>
      <c r="I4744" s="26"/>
      <c r="J4744" s="26" t="s">
        <v>514</v>
      </c>
      <c r="K4744" s="25" t="s">
        <v>513</v>
      </c>
    </row>
    <row r="4745" spans="1:11" ht="25.5" x14ac:dyDescent="0.25">
      <c r="A4745" s="22">
        <v>2026</v>
      </c>
      <c r="B4745" s="28" t="s">
        <v>222</v>
      </c>
      <c r="C4745" s="28" t="s">
        <v>97</v>
      </c>
      <c r="D4745" s="28" t="s">
        <v>1705</v>
      </c>
      <c r="E4745" s="29" t="s">
        <v>1765</v>
      </c>
      <c r="F4745" s="29" t="s">
        <v>1766</v>
      </c>
      <c r="G4745" s="25" t="s">
        <v>6463</v>
      </c>
      <c r="H4745" s="26">
        <v>-0.1935423</v>
      </c>
      <c r="I4745" s="26"/>
      <c r="J4745" s="26" t="s">
        <v>514</v>
      </c>
      <c r="K4745" s="25" t="s">
        <v>513</v>
      </c>
    </row>
    <row r="4746" spans="1:11" ht="25.5" x14ac:dyDescent="0.25">
      <c r="A4746" s="22">
        <v>2026</v>
      </c>
      <c r="B4746" s="28" t="s">
        <v>222</v>
      </c>
      <c r="C4746" s="28" t="s">
        <v>97</v>
      </c>
      <c r="D4746" s="28" t="s">
        <v>1705</v>
      </c>
      <c r="E4746" s="29" t="s">
        <v>1765</v>
      </c>
      <c r="F4746" s="29" t="s">
        <v>1766</v>
      </c>
      <c r="G4746" s="25" t="s">
        <v>6464</v>
      </c>
      <c r="H4746" s="26">
        <v>-0.67156292000000006</v>
      </c>
      <c r="I4746" s="26"/>
      <c r="J4746" s="26" t="s">
        <v>514</v>
      </c>
      <c r="K4746" s="25" t="s">
        <v>513</v>
      </c>
    </row>
    <row r="4747" spans="1:11" ht="25.5" x14ac:dyDescent="0.25">
      <c r="A4747" s="22">
        <v>2026</v>
      </c>
      <c r="B4747" s="28" t="s">
        <v>222</v>
      </c>
      <c r="C4747" s="28" t="s">
        <v>97</v>
      </c>
      <c r="D4747" s="28" t="s">
        <v>1705</v>
      </c>
      <c r="E4747" s="29" t="s">
        <v>1765</v>
      </c>
      <c r="F4747" s="29" t="s">
        <v>1766</v>
      </c>
      <c r="G4747" s="25" t="s">
        <v>6465</v>
      </c>
      <c r="H4747" s="26">
        <v>-1.127594</v>
      </c>
      <c r="I4747" s="26"/>
      <c r="J4747" s="26" t="s">
        <v>514</v>
      </c>
      <c r="K4747" s="25" t="s">
        <v>513</v>
      </c>
    </row>
    <row r="4748" spans="1:11" ht="25.5" x14ac:dyDescent="0.25">
      <c r="A4748" s="22">
        <v>2026</v>
      </c>
      <c r="B4748" s="28" t="s">
        <v>222</v>
      </c>
      <c r="C4748" s="28" t="s">
        <v>97</v>
      </c>
      <c r="D4748" s="28" t="s">
        <v>1705</v>
      </c>
      <c r="E4748" s="29" t="s">
        <v>1765</v>
      </c>
      <c r="F4748" s="29" t="s">
        <v>1766</v>
      </c>
      <c r="G4748" s="25" t="s">
        <v>6466</v>
      </c>
      <c r="H4748" s="26">
        <v>-1.3277920000000001</v>
      </c>
      <c r="I4748" s="26"/>
      <c r="J4748" s="26" t="s">
        <v>514</v>
      </c>
      <c r="K4748" s="25" t="s">
        <v>513</v>
      </c>
    </row>
    <row r="4749" spans="1:11" ht="25.5" x14ac:dyDescent="0.25">
      <c r="A4749" s="22">
        <v>2026</v>
      </c>
      <c r="B4749" s="28" t="s">
        <v>222</v>
      </c>
      <c r="C4749" s="28" t="s">
        <v>97</v>
      </c>
      <c r="D4749" s="28" t="s">
        <v>1705</v>
      </c>
      <c r="E4749" s="29" t="s">
        <v>1765</v>
      </c>
      <c r="F4749" s="29" t="s">
        <v>1766</v>
      </c>
      <c r="G4749" s="25" t="s">
        <v>6467</v>
      </c>
      <c r="H4749" s="26">
        <v>-0.98130016319999991</v>
      </c>
      <c r="I4749" s="26"/>
      <c r="J4749" s="26" t="s">
        <v>514</v>
      </c>
      <c r="K4749" s="25" t="s">
        <v>513</v>
      </c>
    </row>
    <row r="4750" spans="1:11" ht="25.5" x14ac:dyDescent="0.25">
      <c r="A4750" s="22">
        <v>2026</v>
      </c>
      <c r="B4750" s="28" t="s">
        <v>222</v>
      </c>
      <c r="C4750" s="28" t="s">
        <v>97</v>
      </c>
      <c r="D4750" s="28" t="s">
        <v>1705</v>
      </c>
      <c r="E4750" s="29" t="s">
        <v>1765</v>
      </c>
      <c r="F4750" s="29" t="s">
        <v>1766</v>
      </c>
      <c r="G4750" s="25" t="s">
        <v>6468</v>
      </c>
      <c r="H4750" s="26">
        <v>-1.3057722</v>
      </c>
      <c r="I4750" s="26"/>
      <c r="J4750" s="26" t="s">
        <v>514</v>
      </c>
      <c r="K4750" s="25" t="s">
        <v>513</v>
      </c>
    </row>
    <row r="4751" spans="1:11" ht="25.5" x14ac:dyDescent="0.25">
      <c r="A4751" s="22">
        <v>2026</v>
      </c>
      <c r="B4751" s="28" t="s">
        <v>222</v>
      </c>
      <c r="C4751" s="28" t="s">
        <v>97</v>
      </c>
      <c r="D4751" s="28" t="s">
        <v>1705</v>
      </c>
      <c r="E4751" s="29" t="s">
        <v>1765</v>
      </c>
      <c r="F4751" s="29" t="s">
        <v>1766</v>
      </c>
      <c r="G4751" s="25" t="s">
        <v>6469</v>
      </c>
      <c r="H4751" s="26">
        <v>-1.0810064372000001</v>
      </c>
      <c r="I4751" s="26"/>
      <c r="J4751" s="26" t="s">
        <v>514</v>
      </c>
      <c r="K4751" s="25" t="s">
        <v>513</v>
      </c>
    </row>
    <row r="4752" spans="1:11" ht="25.5" x14ac:dyDescent="0.25">
      <c r="A4752" s="22">
        <v>2026</v>
      </c>
      <c r="B4752" s="28" t="s">
        <v>222</v>
      </c>
      <c r="C4752" s="28" t="s">
        <v>97</v>
      </c>
      <c r="D4752" s="28" t="s">
        <v>1705</v>
      </c>
      <c r="E4752" s="29" t="s">
        <v>1765</v>
      </c>
      <c r="F4752" s="29" t="s">
        <v>1766</v>
      </c>
      <c r="G4752" s="25" t="s">
        <v>6470</v>
      </c>
      <c r="H4752" s="26">
        <v>-0.95563455929999996</v>
      </c>
      <c r="I4752" s="26"/>
      <c r="J4752" s="26" t="s">
        <v>514</v>
      </c>
      <c r="K4752" s="25" t="s">
        <v>513</v>
      </c>
    </row>
    <row r="4753" spans="1:11" ht="25.5" x14ac:dyDescent="0.25">
      <c r="A4753" s="22">
        <v>2026</v>
      </c>
      <c r="B4753" s="28" t="s">
        <v>222</v>
      </c>
      <c r="C4753" s="28" t="s">
        <v>97</v>
      </c>
      <c r="D4753" s="28" t="s">
        <v>1705</v>
      </c>
      <c r="E4753" s="29" t="s">
        <v>1765</v>
      </c>
      <c r="F4753" s="29" t="s">
        <v>1766</v>
      </c>
      <c r="G4753" s="25" t="s">
        <v>6471</v>
      </c>
      <c r="H4753" s="26">
        <v>-0.4238189403</v>
      </c>
      <c r="I4753" s="26"/>
      <c r="J4753" s="26" t="s">
        <v>514</v>
      </c>
      <c r="K4753" s="25" t="s">
        <v>513</v>
      </c>
    </row>
    <row r="4754" spans="1:11" ht="25.5" x14ac:dyDescent="0.25">
      <c r="A4754" s="22">
        <v>2026</v>
      </c>
      <c r="B4754" s="28" t="s">
        <v>222</v>
      </c>
      <c r="C4754" s="28" t="s">
        <v>97</v>
      </c>
      <c r="D4754" s="28" t="s">
        <v>1705</v>
      </c>
      <c r="E4754" s="29" t="s">
        <v>1765</v>
      </c>
      <c r="F4754" s="29" t="s">
        <v>1766</v>
      </c>
      <c r="G4754" s="25" t="s">
        <v>6472</v>
      </c>
      <c r="H4754" s="26">
        <v>-0.60613359999999994</v>
      </c>
      <c r="I4754" s="26"/>
      <c r="J4754" s="26" t="s">
        <v>514</v>
      </c>
      <c r="K4754" s="25" t="s">
        <v>513</v>
      </c>
    </row>
    <row r="4755" spans="1:11" ht="25.5" x14ac:dyDescent="0.25">
      <c r="A4755" s="22">
        <v>2026</v>
      </c>
      <c r="B4755" s="28" t="s">
        <v>222</v>
      </c>
      <c r="C4755" s="28" t="s">
        <v>97</v>
      </c>
      <c r="D4755" s="28" t="s">
        <v>1706</v>
      </c>
      <c r="E4755" s="29" t="s">
        <v>1765</v>
      </c>
      <c r="F4755" s="29" t="s">
        <v>1766</v>
      </c>
      <c r="G4755" s="25" t="s">
        <v>6473</v>
      </c>
      <c r="H4755" s="26">
        <v>-1.2959999999999999E-2</v>
      </c>
      <c r="I4755" s="26"/>
      <c r="J4755" s="26" t="s">
        <v>514</v>
      </c>
      <c r="K4755" s="25" t="s">
        <v>513</v>
      </c>
    </row>
    <row r="4756" spans="1:11" ht="25.5" x14ac:dyDescent="0.25">
      <c r="A4756" s="22">
        <v>2026</v>
      </c>
      <c r="B4756" s="28" t="s">
        <v>222</v>
      </c>
      <c r="C4756" s="28" t="s">
        <v>97</v>
      </c>
      <c r="D4756" s="28" t="s">
        <v>1706</v>
      </c>
      <c r="E4756" s="29" t="s">
        <v>1765</v>
      </c>
      <c r="F4756" s="29" t="s">
        <v>1766</v>
      </c>
      <c r="G4756" s="25" t="s">
        <v>6474</v>
      </c>
      <c r="H4756" s="26">
        <v>-1.7867520000000001E-2</v>
      </c>
      <c r="I4756" s="26"/>
      <c r="J4756" s="26" t="s">
        <v>514</v>
      </c>
      <c r="K4756" s="25" t="s">
        <v>513</v>
      </c>
    </row>
    <row r="4757" spans="1:11" ht="25.5" x14ac:dyDescent="0.25">
      <c r="A4757" s="22">
        <v>2026</v>
      </c>
      <c r="B4757" s="28" t="s">
        <v>222</v>
      </c>
      <c r="C4757" s="28" t="s">
        <v>97</v>
      </c>
      <c r="D4757" s="28" t="s">
        <v>1706</v>
      </c>
      <c r="E4757" s="29" t="s">
        <v>1765</v>
      </c>
      <c r="F4757" s="29" t="s">
        <v>1766</v>
      </c>
      <c r="G4757" s="25" t="s">
        <v>6475</v>
      </c>
      <c r="H4757" s="26">
        <v>-5.1839999999999997E-2</v>
      </c>
      <c r="I4757" s="26"/>
      <c r="J4757" s="26" t="s">
        <v>514</v>
      </c>
      <c r="K4757" s="25" t="s">
        <v>513</v>
      </c>
    </row>
    <row r="4758" spans="1:11" ht="25.5" x14ac:dyDescent="0.25">
      <c r="A4758" s="22">
        <v>2026</v>
      </c>
      <c r="B4758" s="28" t="s">
        <v>222</v>
      </c>
      <c r="C4758" s="28" t="s">
        <v>97</v>
      </c>
      <c r="D4758" s="28" t="s">
        <v>1706</v>
      </c>
      <c r="E4758" s="29" t="s">
        <v>1765</v>
      </c>
      <c r="F4758" s="29" t="s">
        <v>1766</v>
      </c>
      <c r="G4758" s="25" t="s">
        <v>6476</v>
      </c>
      <c r="H4758" s="26">
        <v>-4.3472160000000003E-2</v>
      </c>
      <c r="I4758" s="26"/>
      <c r="J4758" s="26" t="s">
        <v>514</v>
      </c>
      <c r="K4758" s="25" t="s">
        <v>513</v>
      </c>
    </row>
    <row r="4759" spans="1:11" ht="25.5" x14ac:dyDescent="0.25">
      <c r="A4759" s="22">
        <v>2026</v>
      </c>
      <c r="B4759" s="28" t="s">
        <v>222</v>
      </c>
      <c r="C4759" s="28" t="s">
        <v>97</v>
      </c>
      <c r="D4759" s="28" t="s">
        <v>1706</v>
      </c>
      <c r="E4759" s="29" t="s">
        <v>1765</v>
      </c>
      <c r="F4759" s="29" t="s">
        <v>1766</v>
      </c>
      <c r="G4759" s="25" t="s">
        <v>6477</v>
      </c>
      <c r="H4759" s="26">
        <v>-7.3240199999999991E-2</v>
      </c>
      <c r="I4759" s="26"/>
      <c r="J4759" s="26" t="s">
        <v>514</v>
      </c>
      <c r="K4759" s="25" t="s">
        <v>513</v>
      </c>
    </row>
    <row r="4760" spans="1:11" ht="25.5" x14ac:dyDescent="0.25">
      <c r="A4760" s="22">
        <v>2026</v>
      </c>
      <c r="B4760" s="28" t="s">
        <v>222</v>
      </c>
      <c r="C4760" s="28" t="s">
        <v>97</v>
      </c>
      <c r="D4760" s="28" t="s">
        <v>1706</v>
      </c>
      <c r="E4760" s="29" t="s">
        <v>1765</v>
      </c>
      <c r="F4760" s="29" t="s">
        <v>1766</v>
      </c>
      <c r="G4760" s="25" t="s">
        <v>6478</v>
      </c>
      <c r="H4760" s="26">
        <v>-3.5520000000000003E-2</v>
      </c>
      <c r="I4760" s="26"/>
      <c r="J4760" s="26" t="s">
        <v>514</v>
      </c>
      <c r="K4760" s="25" t="s">
        <v>513</v>
      </c>
    </row>
    <row r="4761" spans="1:11" ht="25.5" x14ac:dyDescent="0.25">
      <c r="A4761" s="22">
        <v>2026</v>
      </c>
      <c r="B4761" s="28" t="s">
        <v>222</v>
      </c>
      <c r="C4761" s="28" t="s">
        <v>97</v>
      </c>
      <c r="D4761" s="28" t="s">
        <v>1706</v>
      </c>
      <c r="E4761" s="29" t="s">
        <v>1765</v>
      </c>
      <c r="F4761" s="29" t="s">
        <v>1766</v>
      </c>
      <c r="G4761" s="25" t="s">
        <v>6479</v>
      </c>
      <c r="H4761" s="26">
        <v>-7.5881249999999997E-2</v>
      </c>
      <c r="I4761" s="26"/>
      <c r="J4761" s="26" t="s">
        <v>514</v>
      </c>
      <c r="K4761" s="25" t="s">
        <v>513</v>
      </c>
    </row>
    <row r="4762" spans="1:11" ht="25.5" x14ac:dyDescent="0.25">
      <c r="A4762" s="22">
        <v>2026</v>
      </c>
      <c r="B4762" s="28" t="s">
        <v>222</v>
      </c>
      <c r="C4762" s="28" t="s">
        <v>97</v>
      </c>
      <c r="D4762" s="28" t="s">
        <v>1706</v>
      </c>
      <c r="E4762" s="29" t="s">
        <v>1765</v>
      </c>
      <c r="F4762" s="29" t="s">
        <v>1766</v>
      </c>
      <c r="G4762" s="25" t="s">
        <v>6480</v>
      </c>
      <c r="H4762" s="26">
        <v>-5.812208E-2</v>
      </c>
      <c r="I4762" s="26"/>
      <c r="J4762" s="26" t="s">
        <v>514</v>
      </c>
      <c r="K4762" s="25" t="s">
        <v>513</v>
      </c>
    </row>
    <row r="4763" spans="1:11" ht="25.5" x14ac:dyDescent="0.25">
      <c r="A4763" s="22">
        <v>2026</v>
      </c>
      <c r="B4763" s="28" t="s">
        <v>222</v>
      </c>
      <c r="C4763" s="28" t="s">
        <v>97</v>
      </c>
      <c r="D4763" s="28" t="s">
        <v>1706</v>
      </c>
      <c r="E4763" s="29" t="s">
        <v>1765</v>
      </c>
      <c r="F4763" s="29" t="s">
        <v>1766</v>
      </c>
      <c r="G4763" s="25" t="s">
        <v>6481</v>
      </c>
      <c r="H4763" s="26">
        <v>-5.2121999999999997E-4</v>
      </c>
      <c r="I4763" s="26"/>
      <c r="J4763" s="26" t="s">
        <v>514</v>
      </c>
      <c r="K4763" s="25" t="s">
        <v>513</v>
      </c>
    </row>
    <row r="4764" spans="1:11" ht="25.5" x14ac:dyDescent="0.25">
      <c r="A4764" s="22">
        <v>2026</v>
      </c>
      <c r="B4764" s="28" t="s">
        <v>222</v>
      </c>
      <c r="C4764" s="28" t="s">
        <v>97</v>
      </c>
      <c r="D4764" s="28" t="s">
        <v>1706</v>
      </c>
      <c r="E4764" s="29" t="s">
        <v>1765</v>
      </c>
      <c r="F4764" s="29" t="s">
        <v>1766</v>
      </c>
      <c r="G4764" s="25" t="s">
        <v>6482</v>
      </c>
      <c r="H4764" s="26">
        <v>-1.8698220000000002E-2</v>
      </c>
      <c r="I4764" s="26"/>
      <c r="J4764" s="26" t="s">
        <v>514</v>
      </c>
      <c r="K4764" s="25" t="s">
        <v>513</v>
      </c>
    </row>
    <row r="4765" spans="1:11" ht="25.5" x14ac:dyDescent="0.25">
      <c r="A4765" s="22">
        <v>2026</v>
      </c>
      <c r="B4765" s="28" t="s">
        <v>222</v>
      </c>
      <c r="C4765" s="28" t="s">
        <v>97</v>
      </c>
      <c r="D4765" s="28" t="s">
        <v>1706</v>
      </c>
      <c r="E4765" s="29" t="s">
        <v>1765</v>
      </c>
      <c r="F4765" s="29" t="s">
        <v>1766</v>
      </c>
      <c r="G4765" s="25" t="s">
        <v>6483</v>
      </c>
      <c r="H4765" s="26">
        <v>-1.16508E-3</v>
      </c>
      <c r="I4765" s="26"/>
      <c r="J4765" s="26" t="s">
        <v>514</v>
      </c>
      <c r="K4765" s="25" t="s">
        <v>513</v>
      </c>
    </row>
    <row r="4766" spans="1:11" ht="25.5" x14ac:dyDescent="0.25">
      <c r="A4766" s="22">
        <v>2026</v>
      </c>
      <c r="B4766" s="28" t="s">
        <v>222</v>
      </c>
      <c r="C4766" s="28" t="s">
        <v>97</v>
      </c>
      <c r="D4766" s="28" t="s">
        <v>1706</v>
      </c>
      <c r="E4766" s="29" t="s">
        <v>1765</v>
      </c>
      <c r="F4766" s="29" t="s">
        <v>1766</v>
      </c>
      <c r="G4766" s="25" t="s">
        <v>6484</v>
      </c>
      <c r="H4766" s="26">
        <v>-4.4293239999999998E-2</v>
      </c>
      <c r="I4766" s="26"/>
      <c r="J4766" s="26" t="s">
        <v>514</v>
      </c>
      <c r="K4766" s="25" t="s">
        <v>513</v>
      </c>
    </row>
    <row r="4767" spans="1:11" ht="25.5" x14ac:dyDescent="0.25">
      <c r="A4767" s="22">
        <v>2026</v>
      </c>
      <c r="B4767" s="28" t="s">
        <v>222</v>
      </c>
      <c r="C4767" s="28" t="s">
        <v>97</v>
      </c>
      <c r="D4767" s="28" t="s">
        <v>1706</v>
      </c>
      <c r="E4767" s="29" t="s">
        <v>1765</v>
      </c>
      <c r="F4767" s="29" t="s">
        <v>1766</v>
      </c>
      <c r="G4767" s="25" t="s">
        <v>6485</v>
      </c>
      <c r="H4767" s="26">
        <v>-5.0139999999999997E-2</v>
      </c>
      <c r="I4767" s="26"/>
      <c r="J4767" s="26" t="s">
        <v>514</v>
      </c>
      <c r="K4767" s="25" t="s">
        <v>513</v>
      </c>
    </row>
    <row r="4768" spans="1:11" ht="25.5" x14ac:dyDescent="0.25">
      <c r="A4768" s="22">
        <v>2026</v>
      </c>
      <c r="B4768" s="28" t="s">
        <v>222</v>
      </c>
      <c r="C4768" s="28" t="s">
        <v>97</v>
      </c>
      <c r="D4768" s="28" t="s">
        <v>1706</v>
      </c>
      <c r="E4768" s="29" t="s">
        <v>1765</v>
      </c>
      <c r="F4768" s="29" t="s">
        <v>1766</v>
      </c>
      <c r="G4768" s="25" t="s">
        <v>6486</v>
      </c>
      <c r="H4768" s="26">
        <v>-2.6159999999999999E-2</v>
      </c>
      <c r="I4768" s="26"/>
      <c r="J4768" s="26" t="s">
        <v>514</v>
      </c>
      <c r="K4768" s="25" t="s">
        <v>513</v>
      </c>
    </row>
    <row r="4769" spans="1:11" ht="25.5" x14ac:dyDescent="0.25">
      <c r="A4769" s="22">
        <v>2026</v>
      </c>
      <c r="B4769" s="28" t="s">
        <v>222</v>
      </c>
      <c r="C4769" s="28" t="s">
        <v>97</v>
      </c>
      <c r="D4769" s="28" t="s">
        <v>1797</v>
      </c>
      <c r="E4769" s="29" t="s">
        <v>1805</v>
      </c>
      <c r="F4769" s="29" t="s">
        <v>431</v>
      </c>
      <c r="G4769" s="25" t="s">
        <v>6487</v>
      </c>
      <c r="H4769" s="26">
        <v>-0.46920000000000001</v>
      </c>
      <c r="I4769" s="26"/>
      <c r="J4769" s="26" t="s">
        <v>512</v>
      </c>
      <c r="K4769" s="25" t="s">
        <v>513</v>
      </c>
    </row>
    <row r="4770" spans="1:11" ht="25.5" x14ac:dyDescent="0.25">
      <c r="A4770" s="22">
        <v>2026</v>
      </c>
      <c r="B4770" s="28" t="s">
        <v>222</v>
      </c>
      <c r="C4770" s="28" t="s">
        <v>97</v>
      </c>
      <c r="D4770" s="28" t="s">
        <v>1797</v>
      </c>
      <c r="E4770" s="29" t="s">
        <v>1805</v>
      </c>
      <c r="F4770" s="29" t="s">
        <v>431</v>
      </c>
      <c r="G4770" s="25" t="s">
        <v>6488</v>
      </c>
      <c r="H4770" s="26">
        <v>-4.7E-2</v>
      </c>
      <c r="I4770" s="26"/>
      <c r="J4770" s="26" t="s">
        <v>512</v>
      </c>
      <c r="K4770" s="25" t="s">
        <v>513</v>
      </c>
    </row>
    <row r="4771" spans="1:11" ht="25.5" x14ac:dyDescent="0.25">
      <c r="A4771" s="22">
        <v>2026</v>
      </c>
      <c r="B4771" s="28" t="s">
        <v>222</v>
      </c>
      <c r="C4771" s="28" t="s">
        <v>97</v>
      </c>
      <c r="D4771" s="28" t="s">
        <v>1797</v>
      </c>
      <c r="E4771" s="29" t="s">
        <v>1805</v>
      </c>
      <c r="F4771" s="29" t="s">
        <v>431</v>
      </c>
      <c r="G4771" s="25" t="s">
        <v>6489</v>
      </c>
      <c r="H4771" s="26">
        <v>-0.95</v>
      </c>
      <c r="I4771" s="26"/>
      <c r="J4771" s="26" t="s">
        <v>512</v>
      </c>
      <c r="K4771" s="25" t="s">
        <v>513</v>
      </c>
    </row>
    <row r="4772" spans="1:11" ht="25.5" x14ac:dyDescent="0.25">
      <c r="A4772" s="22">
        <v>2026</v>
      </c>
      <c r="B4772" s="28" t="s">
        <v>222</v>
      </c>
      <c r="C4772" s="28" t="s">
        <v>97</v>
      </c>
      <c r="D4772" s="28" t="s">
        <v>1797</v>
      </c>
      <c r="E4772" s="29" t="s">
        <v>1805</v>
      </c>
      <c r="F4772" s="29" t="s">
        <v>431</v>
      </c>
      <c r="G4772" s="25" t="s">
        <v>6490</v>
      </c>
      <c r="H4772" s="26">
        <v>-0.23749999999999999</v>
      </c>
      <c r="I4772" s="26"/>
      <c r="J4772" s="26" t="s">
        <v>512</v>
      </c>
      <c r="K4772" s="25" t="s">
        <v>513</v>
      </c>
    </row>
    <row r="4773" spans="1:11" ht="25.5" x14ac:dyDescent="0.25">
      <c r="A4773" s="22">
        <v>2026</v>
      </c>
      <c r="B4773" s="28" t="s">
        <v>222</v>
      </c>
      <c r="C4773" s="28" t="s">
        <v>97</v>
      </c>
      <c r="D4773" s="28" t="s">
        <v>1797</v>
      </c>
      <c r="E4773" s="29" t="s">
        <v>1805</v>
      </c>
      <c r="F4773" s="29" t="s">
        <v>431</v>
      </c>
      <c r="G4773" s="25" t="s">
        <v>6491</v>
      </c>
      <c r="H4773" s="26">
        <v>-0.76</v>
      </c>
      <c r="I4773" s="26"/>
      <c r="J4773" s="26" t="s">
        <v>512</v>
      </c>
      <c r="K4773" s="25" t="s">
        <v>513</v>
      </c>
    </row>
    <row r="4774" spans="1:11" ht="25.5" x14ac:dyDescent="0.25">
      <c r="A4774" s="22">
        <v>2026</v>
      </c>
      <c r="B4774" s="28" t="s">
        <v>222</v>
      </c>
      <c r="C4774" s="28" t="s">
        <v>97</v>
      </c>
      <c r="D4774" s="28" t="s">
        <v>1797</v>
      </c>
      <c r="E4774" s="29" t="s">
        <v>1805</v>
      </c>
      <c r="F4774" s="29" t="s">
        <v>431</v>
      </c>
      <c r="G4774" s="25" t="s">
        <v>6492</v>
      </c>
      <c r="H4774" s="26">
        <v>-0.14249999999999999</v>
      </c>
      <c r="I4774" s="26"/>
      <c r="J4774" s="26" t="s">
        <v>512</v>
      </c>
      <c r="K4774" s="25" t="s">
        <v>513</v>
      </c>
    </row>
    <row r="4775" spans="1:11" ht="25.5" x14ac:dyDescent="0.25">
      <c r="A4775" s="22">
        <v>2026</v>
      </c>
      <c r="B4775" s="28" t="s">
        <v>222</v>
      </c>
      <c r="C4775" s="28" t="s">
        <v>97</v>
      </c>
      <c r="D4775" s="28" t="s">
        <v>224</v>
      </c>
      <c r="E4775" s="29" t="s">
        <v>411</v>
      </c>
      <c r="F4775" s="29" t="s">
        <v>412</v>
      </c>
      <c r="G4775" s="25" t="s">
        <v>6493</v>
      </c>
      <c r="H4775" s="26">
        <v>-0.25034528039999998</v>
      </c>
      <c r="I4775" s="26"/>
      <c r="J4775" s="26" t="s">
        <v>512</v>
      </c>
      <c r="K4775" s="25" t="s">
        <v>513</v>
      </c>
    </row>
    <row r="4776" spans="1:11" ht="25.5" x14ac:dyDescent="0.25">
      <c r="A4776" s="22">
        <v>2026</v>
      </c>
      <c r="B4776" s="28" t="s">
        <v>222</v>
      </c>
      <c r="C4776" s="28" t="s">
        <v>97</v>
      </c>
      <c r="D4776" s="28" t="s">
        <v>224</v>
      </c>
      <c r="E4776" s="29" t="s">
        <v>411</v>
      </c>
      <c r="F4776" s="29" t="s">
        <v>412</v>
      </c>
      <c r="G4776" s="25" t="s">
        <v>6494</v>
      </c>
      <c r="H4776" s="26">
        <v>-0.56578039560000004</v>
      </c>
      <c r="I4776" s="26"/>
      <c r="J4776" s="26" t="s">
        <v>512</v>
      </c>
      <c r="K4776" s="25" t="s">
        <v>513</v>
      </c>
    </row>
    <row r="4777" spans="1:11" ht="25.5" x14ac:dyDescent="0.25">
      <c r="A4777" s="22">
        <v>2026</v>
      </c>
      <c r="B4777" s="28" t="s">
        <v>222</v>
      </c>
      <c r="C4777" s="28" t="s">
        <v>97</v>
      </c>
      <c r="D4777" s="28" t="s">
        <v>224</v>
      </c>
      <c r="E4777" s="29" t="s">
        <v>411</v>
      </c>
      <c r="F4777" s="29" t="s">
        <v>412</v>
      </c>
      <c r="G4777" s="25" t="s">
        <v>6495</v>
      </c>
      <c r="H4777" s="26">
        <v>-0.93579020079999997</v>
      </c>
      <c r="I4777" s="26"/>
      <c r="J4777" s="26" t="s">
        <v>512</v>
      </c>
      <c r="K4777" s="25" t="s">
        <v>513</v>
      </c>
    </row>
    <row r="4778" spans="1:11" ht="25.5" x14ac:dyDescent="0.25">
      <c r="A4778" s="22">
        <v>2026</v>
      </c>
      <c r="B4778" s="28" t="s">
        <v>222</v>
      </c>
      <c r="C4778" s="28" t="s">
        <v>97</v>
      </c>
      <c r="D4778" s="28" t="s">
        <v>224</v>
      </c>
      <c r="E4778" s="29" t="s">
        <v>411</v>
      </c>
      <c r="F4778" s="29" t="s">
        <v>412</v>
      </c>
      <c r="G4778" s="25" t="s">
        <v>6496</v>
      </c>
      <c r="H4778" s="26">
        <v>-0.77106600000000003</v>
      </c>
      <c r="I4778" s="26"/>
      <c r="J4778" s="26" t="s">
        <v>512</v>
      </c>
      <c r="K4778" s="25" t="s">
        <v>513</v>
      </c>
    </row>
    <row r="4779" spans="1:11" ht="25.5" x14ac:dyDescent="0.25">
      <c r="A4779" s="22">
        <v>2026</v>
      </c>
      <c r="B4779" s="28" t="s">
        <v>222</v>
      </c>
      <c r="C4779" s="28" t="s">
        <v>97</v>
      </c>
      <c r="D4779" s="28" t="s">
        <v>224</v>
      </c>
      <c r="E4779" s="29" t="s">
        <v>411</v>
      </c>
      <c r="F4779" s="29" t="s">
        <v>412</v>
      </c>
      <c r="G4779" s="25" t="s">
        <v>6497</v>
      </c>
      <c r="H4779" s="26">
        <v>-0.1242853428</v>
      </c>
      <c r="I4779" s="26"/>
      <c r="J4779" s="26" t="s">
        <v>512</v>
      </c>
      <c r="K4779" s="25" t="s">
        <v>513</v>
      </c>
    </row>
    <row r="4780" spans="1:11" ht="25.5" x14ac:dyDescent="0.25">
      <c r="A4780" s="22">
        <v>2026</v>
      </c>
      <c r="B4780" s="28" t="s">
        <v>222</v>
      </c>
      <c r="C4780" s="28" t="s">
        <v>97</v>
      </c>
      <c r="D4780" s="28" t="s">
        <v>1707</v>
      </c>
      <c r="E4780" s="29" t="s">
        <v>369</v>
      </c>
      <c r="F4780" s="29" t="s">
        <v>378</v>
      </c>
      <c r="G4780" s="25" t="s">
        <v>6498</v>
      </c>
      <c r="H4780" s="26">
        <v>-4.3544599999999996E-2</v>
      </c>
      <c r="I4780" s="26"/>
      <c r="J4780" s="26" t="s">
        <v>512</v>
      </c>
      <c r="K4780" s="25" t="s">
        <v>513</v>
      </c>
    </row>
    <row r="4781" spans="1:11" ht="25.5" x14ac:dyDescent="0.25">
      <c r="A4781" s="22">
        <v>2026</v>
      </c>
      <c r="B4781" s="28" t="s">
        <v>222</v>
      </c>
      <c r="C4781" s="28" t="s">
        <v>97</v>
      </c>
      <c r="D4781" s="28" t="s">
        <v>1707</v>
      </c>
      <c r="E4781" s="29" t="s">
        <v>369</v>
      </c>
      <c r="F4781" s="29" t="s">
        <v>378</v>
      </c>
      <c r="G4781" s="25" t="s">
        <v>6499</v>
      </c>
      <c r="H4781" s="26">
        <v>-2.0632500000000002E-2</v>
      </c>
      <c r="I4781" s="26"/>
      <c r="J4781" s="26" t="s">
        <v>512</v>
      </c>
      <c r="K4781" s="25" t="s">
        <v>513</v>
      </c>
    </row>
    <row r="4782" spans="1:11" ht="25.5" x14ac:dyDescent="0.25">
      <c r="A4782" s="22">
        <v>2026</v>
      </c>
      <c r="B4782" s="28" t="s">
        <v>222</v>
      </c>
      <c r="C4782" s="28" t="s">
        <v>97</v>
      </c>
      <c r="D4782" s="28" t="s">
        <v>1708</v>
      </c>
      <c r="E4782" s="29" t="s">
        <v>369</v>
      </c>
      <c r="F4782" s="29" t="s">
        <v>483</v>
      </c>
      <c r="G4782" s="25" t="s">
        <v>6500</v>
      </c>
      <c r="H4782" s="26">
        <v>-0.13633000000000001</v>
      </c>
      <c r="I4782" s="26"/>
      <c r="J4782" s="26" t="s">
        <v>512</v>
      </c>
      <c r="K4782" s="25" t="s">
        <v>513</v>
      </c>
    </row>
    <row r="4783" spans="1:11" ht="25.5" x14ac:dyDescent="0.25">
      <c r="A4783" s="22">
        <v>2026</v>
      </c>
      <c r="B4783" s="28" t="s">
        <v>222</v>
      </c>
      <c r="C4783" s="28" t="s">
        <v>97</v>
      </c>
      <c r="D4783" s="28" t="s">
        <v>1708</v>
      </c>
      <c r="E4783" s="29" t="s">
        <v>369</v>
      </c>
      <c r="F4783" s="29" t="s">
        <v>483</v>
      </c>
      <c r="G4783" s="25" t="s">
        <v>6501</v>
      </c>
      <c r="H4783" s="26">
        <v>-0.1009162971</v>
      </c>
      <c r="I4783" s="26"/>
      <c r="J4783" s="26" t="s">
        <v>512</v>
      </c>
      <c r="K4783" s="25" t="s">
        <v>513</v>
      </c>
    </row>
    <row r="4784" spans="1:11" ht="25.5" x14ac:dyDescent="0.25">
      <c r="A4784" s="22">
        <v>2026</v>
      </c>
      <c r="B4784" s="28" t="s">
        <v>222</v>
      </c>
      <c r="C4784" s="28" t="s">
        <v>97</v>
      </c>
      <c r="D4784" s="28" t="s">
        <v>1708</v>
      </c>
      <c r="E4784" s="29" t="s">
        <v>369</v>
      </c>
      <c r="F4784" s="29" t="s">
        <v>483</v>
      </c>
      <c r="G4784" s="25" t="s">
        <v>6502</v>
      </c>
      <c r="H4784" s="26">
        <v>-6.6474393600000001E-2</v>
      </c>
      <c r="I4784" s="26"/>
      <c r="J4784" s="26" t="s">
        <v>512</v>
      </c>
      <c r="K4784" s="25" t="s">
        <v>513</v>
      </c>
    </row>
    <row r="4785" spans="1:11" ht="25.5" x14ac:dyDescent="0.25">
      <c r="A4785" s="22">
        <v>2026</v>
      </c>
      <c r="B4785" s="28" t="s">
        <v>222</v>
      </c>
      <c r="C4785" s="28" t="s">
        <v>97</v>
      </c>
      <c r="D4785" s="28" t="s">
        <v>1708</v>
      </c>
      <c r="E4785" s="29" t="s">
        <v>369</v>
      </c>
      <c r="F4785" s="29" t="s">
        <v>483</v>
      </c>
      <c r="G4785" s="25" t="s">
        <v>6503</v>
      </c>
      <c r="H4785" s="26">
        <v>-6.5012878999999996E-2</v>
      </c>
      <c r="I4785" s="26"/>
      <c r="J4785" s="26" t="s">
        <v>512</v>
      </c>
      <c r="K4785" s="25" t="s">
        <v>513</v>
      </c>
    </row>
    <row r="4786" spans="1:11" ht="25.5" x14ac:dyDescent="0.25">
      <c r="A4786" s="22">
        <v>2026</v>
      </c>
      <c r="B4786" s="28" t="s">
        <v>222</v>
      </c>
      <c r="C4786" s="28" t="s">
        <v>97</v>
      </c>
      <c r="D4786" s="28" t="s">
        <v>1708</v>
      </c>
      <c r="E4786" s="29" t="s">
        <v>369</v>
      </c>
      <c r="F4786" s="29" t="s">
        <v>483</v>
      </c>
      <c r="G4786" s="25" t="s">
        <v>6504</v>
      </c>
      <c r="H4786" s="26">
        <v>-0.14291499999999999</v>
      </c>
      <c r="I4786" s="26"/>
      <c r="J4786" s="26" t="s">
        <v>512</v>
      </c>
      <c r="K4786" s="25" t="s">
        <v>513</v>
      </c>
    </row>
    <row r="4787" spans="1:11" ht="25.5" x14ac:dyDescent="0.25">
      <c r="A4787" s="22">
        <v>2026</v>
      </c>
      <c r="B4787" s="28" t="s">
        <v>222</v>
      </c>
      <c r="C4787" s="28" t="s">
        <v>97</v>
      </c>
      <c r="D4787" s="28" t="s">
        <v>1708</v>
      </c>
      <c r="E4787" s="29" t="s">
        <v>369</v>
      </c>
      <c r="F4787" s="29" t="s">
        <v>483</v>
      </c>
      <c r="G4787" s="25" t="s">
        <v>6505</v>
      </c>
      <c r="H4787" s="26">
        <v>-0.14337</v>
      </c>
      <c r="I4787" s="26"/>
      <c r="J4787" s="26" t="s">
        <v>512</v>
      </c>
      <c r="K4787" s="25" t="s">
        <v>513</v>
      </c>
    </row>
    <row r="4788" spans="1:11" ht="25.5" x14ac:dyDescent="0.25">
      <c r="A4788" s="22">
        <v>2026</v>
      </c>
      <c r="B4788" s="28" t="s">
        <v>222</v>
      </c>
      <c r="C4788" s="28" t="s">
        <v>97</v>
      </c>
      <c r="D4788" s="28" t="s">
        <v>1708</v>
      </c>
      <c r="E4788" s="29" t="s">
        <v>369</v>
      </c>
      <c r="F4788" s="29" t="s">
        <v>483</v>
      </c>
      <c r="G4788" s="25" t="s">
        <v>6506</v>
      </c>
      <c r="H4788" s="26">
        <v>-0.14133999999999999</v>
      </c>
      <c r="I4788" s="26"/>
      <c r="J4788" s="26" t="s">
        <v>512</v>
      </c>
      <c r="K4788" s="25" t="s">
        <v>513</v>
      </c>
    </row>
    <row r="4789" spans="1:11" ht="25.5" x14ac:dyDescent="0.25">
      <c r="A4789" s="22">
        <v>2026</v>
      </c>
      <c r="B4789" s="28" t="s">
        <v>222</v>
      </c>
      <c r="C4789" s="28" t="s">
        <v>97</v>
      </c>
      <c r="D4789" s="28" t="s">
        <v>1708</v>
      </c>
      <c r="E4789" s="29" t="s">
        <v>369</v>
      </c>
      <c r="F4789" s="29" t="s">
        <v>483</v>
      </c>
      <c r="G4789" s="25" t="s">
        <v>6507</v>
      </c>
      <c r="H4789" s="26">
        <v>-8.8550316800000001E-2</v>
      </c>
      <c r="I4789" s="26"/>
      <c r="J4789" s="26" t="s">
        <v>512</v>
      </c>
      <c r="K4789" s="25" t="s">
        <v>513</v>
      </c>
    </row>
    <row r="4790" spans="1:11" ht="25.5" x14ac:dyDescent="0.25">
      <c r="A4790" s="22">
        <v>2026</v>
      </c>
      <c r="B4790" s="28" t="s">
        <v>222</v>
      </c>
      <c r="C4790" s="28" t="s">
        <v>97</v>
      </c>
      <c r="D4790" s="28" t="s">
        <v>1708</v>
      </c>
      <c r="E4790" s="29" t="s">
        <v>369</v>
      </c>
      <c r="F4790" s="29" t="s">
        <v>483</v>
      </c>
      <c r="G4790" s="25" t="s">
        <v>6508</v>
      </c>
      <c r="H4790" s="26">
        <v>-0.13957249999999999</v>
      </c>
      <c r="I4790" s="26"/>
      <c r="J4790" s="26" t="s">
        <v>512</v>
      </c>
      <c r="K4790" s="25" t="s">
        <v>513</v>
      </c>
    </row>
    <row r="4791" spans="1:11" ht="25.5" x14ac:dyDescent="0.25">
      <c r="A4791" s="22">
        <v>2026</v>
      </c>
      <c r="B4791" s="28" t="s">
        <v>222</v>
      </c>
      <c r="C4791" s="28" t="s">
        <v>97</v>
      </c>
      <c r="D4791" s="28" t="s">
        <v>1708</v>
      </c>
      <c r="E4791" s="29" t="s">
        <v>369</v>
      </c>
      <c r="F4791" s="29" t="s">
        <v>483</v>
      </c>
      <c r="G4791" s="25" t="s">
        <v>6509</v>
      </c>
      <c r="H4791" s="26">
        <v>-0.13921749999999999</v>
      </c>
      <c r="I4791" s="26"/>
      <c r="J4791" s="26" t="s">
        <v>512</v>
      </c>
      <c r="K4791" s="25" t="s">
        <v>513</v>
      </c>
    </row>
    <row r="4792" spans="1:11" ht="25.5" x14ac:dyDescent="0.25">
      <c r="A4792" s="22">
        <v>2026</v>
      </c>
      <c r="B4792" s="28" t="s">
        <v>222</v>
      </c>
      <c r="C4792" s="28" t="s">
        <v>97</v>
      </c>
      <c r="D4792" s="28" t="s">
        <v>1708</v>
      </c>
      <c r="E4792" s="29" t="s">
        <v>369</v>
      </c>
      <c r="F4792" s="29" t="s">
        <v>483</v>
      </c>
      <c r="G4792" s="25" t="s">
        <v>6510</v>
      </c>
      <c r="H4792" s="26">
        <v>-0.22455966399999999</v>
      </c>
      <c r="I4792" s="26"/>
      <c r="J4792" s="26" t="s">
        <v>512</v>
      </c>
      <c r="K4792" s="25" t="s">
        <v>513</v>
      </c>
    </row>
    <row r="4793" spans="1:11" ht="25.5" x14ac:dyDescent="0.25">
      <c r="A4793" s="22">
        <v>2026</v>
      </c>
      <c r="B4793" s="28" t="s">
        <v>222</v>
      </c>
      <c r="C4793" s="28" t="s">
        <v>97</v>
      </c>
      <c r="D4793" s="28" t="s">
        <v>1708</v>
      </c>
      <c r="E4793" s="29" t="s">
        <v>369</v>
      </c>
      <c r="F4793" s="29" t="s">
        <v>483</v>
      </c>
      <c r="G4793" s="25" t="s">
        <v>6511</v>
      </c>
      <c r="H4793" s="26">
        <v>-0.13919500000000001</v>
      </c>
      <c r="I4793" s="26"/>
      <c r="J4793" s="26" t="s">
        <v>512</v>
      </c>
      <c r="K4793" s="25" t="s">
        <v>513</v>
      </c>
    </row>
    <row r="4794" spans="1:11" ht="25.5" x14ac:dyDescent="0.25">
      <c r="A4794" s="22">
        <v>2026</v>
      </c>
      <c r="B4794" s="28" t="s">
        <v>222</v>
      </c>
      <c r="C4794" s="28" t="s">
        <v>97</v>
      </c>
      <c r="D4794" s="28" t="s">
        <v>1708</v>
      </c>
      <c r="E4794" s="29" t="s">
        <v>369</v>
      </c>
      <c r="F4794" s="29" t="s">
        <v>483</v>
      </c>
      <c r="G4794" s="25" t="s">
        <v>6512</v>
      </c>
      <c r="H4794" s="26">
        <v>-0.13963</v>
      </c>
      <c r="I4794" s="26"/>
      <c r="J4794" s="26" t="s">
        <v>512</v>
      </c>
      <c r="K4794" s="25" t="s">
        <v>513</v>
      </c>
    </row>
    <row r="4795" spans="1:11" ht="25.5" x14ac:dyDescent="0.25">
      <c r="A4795" s="22">
        <v>2026</v>
      </c>
      <c r="B4795" s="28" t="s">
        <v>222</v>
      </c>
      <c r="C4795" s="28" t="s">
        <v>97</v>
      </c>
      <c r="D4795" s="28" t="s">
        <v>1708</v>
      </c>
      <c r="E4795" s="29" t="s">
        <v>369</v>
      </c>
      <c r="F4795" s="29" t="s">
        <v>483</v>
      </c>
      <c r="G4795" s="25" t="s">
        <v>6513</v>
      </c>
      <c r="H4795" s="26">
        <v>-9.9224999999999994E-2</v>
      </c>
      <c r="I4795" s="26"/>
      <c r="J4795" s="26" t="s">
        <v>512</v>
      </c>
      <c r="K4795" s="25" t="s">
        <v>513</v>
      </c>
    </row>
    <row r="4796" spans="1:11" ht="25.5" x14ac:dyDescent="0.25">
      <c r="A4796" s="22">
        <v>2026</v>
      </c>
      <c r="B4796" s="28" t="s">
        <v>222</v>
      </c>
      <c r="C4796" s="28" t="s">
        <v>97</v>
      </c>
      <c r="D4796" s="28" t="s">
        <v>1708</v>
      </c>
      <c r="E4796" s="29" t="s">
        <v>369</v>
      </c>
      <c r="F4796" s="29" t="s">
        <v>483</v>
      </c>
      <c r="G4796" s="25" t="s">
        <v>6514</v>
      </c>
      <c r="H4796" s="26">
        <v>-0.14249999999999999</v>
      </c>
      <c r="I4796" s="26"/>
      <c r="J4796" s="26" t="s">
        <v>512</v>
      </c>
      <c r="K4796" s="25" t="s">
        <v>513</v>
      </c>
    </row>
    <row r="4797" spans="1:11" ht="25.5" x14ac:dyDescent="0.25">
      <c r="A4797" s="22">
        <v>2026</v>
      </c>
      <c r="B4797" s="28" t="s">
        <v>222</v>
      </c>
      <c r="C4797" s="28" t="s">
        <v>97</v>
      </c>
      <c r="D4797" s="28" t="s">
        <v>1708</v>
      </c>
      <c r="E4797" s="29" t="s">
        <v>369</v>
      </c>
      <c r="F4797" s="29" t="s">
        <v>483</v>
      </c>
      <c r="G4797" s="25" t="s">
        <v>6515</v>
      </c>
      <c r="H4797" s="26">
        <v>-9.6231566200000007E-2</v>
      </c>
      <c r="I4797" s="26"/>
      <c r="J4797" s="26" t="s">
        <v>512</v>
      </c>
      <c r="K4797" s="25" t="s">
        <v>513</v>
      </c>
    </row>
    <row r="4798" spans="1:11" ht="25.5" x14ac:dyDescent="0.25">
      <c r="A4798" s="22">
        <v>2026</v>
      </c>
      <c r="B4798" s="28" t="s">
        <v>222</v>
      </c>
      <c r="C4798" s="28" t="s">
        <v>97</v>
      </c>
      <c r="D4798" s="28" t="s">
        <v>1708</v>
      </c>
      <c r="E4798" s="29" t="s">
        <v>369</v>
      </c>
      <c r="F4798" s="29" t="s">
        <v>483</v>
      </c>
      <c r="G4798" s="25" t="s">
        <v>6516</v>
      </c>
      <c r="H4798" s="26">
        <v>-9.4803608900000003E-2</v>
      </c>
      <c r="I4798" s="26"/>
      <c r="J4798" s="26" t="s">
        <v>512</v>
      </c>
      <c r="K4798" s="25" t="s">
        <v>513</v>
      </c>
    </row>
    <row r="4799" spans="1:11" ht="25.5" x14ac:dyDescent="0.25">
      <c r="A4799" s="22">
        <v>2026</v>
      </c>
      <c r="B4799" s="28" t="s">
        <v>222</v>
      </c>
      <c r="C4799" s="28" t="s">
        <v>97</v>
      </c>
      <c r="D4799" s="28" t="s">
        <v>1708</v>
      </c>
      <c r="E4799" s="29" t="s">
        <v>369</v>
      </c>
      <c r="F4799" s="29" t="s">
        <v>483</v>
      </c>
      <c r="G4799" s="25" t="s">
        <v>6517</v>
      </c>
      <c r="H4799" s="26">
        <v>-0.11538127770000001</v>
      </c>
      <c r="I4799" s="26"/>
      <c r="J4799" s="26" t="s">
        <v>512</v>
      </c>
      <c r="K4799" s="25" t="s">
        <v>513</v>
      </c>
    </row>
    <row r="4800" spans="1:11" ht="25.5" x14ac:dyDescent="0.25">
      <c r="A4800" s="22">
        <v>2026</v>
      </c>
      <c r="B4800" s="28" t="s">
        <v>222</v>
      </c>
      <c r="C4800" s="28" t="s">
        <v>97</v>
      </c>
      <c r="D4800" s="28" t="s">
        <v>211</v>
      </c>
      <c r="E4800" s="29" t="s">
        <v>369</v>
      </c>
      <c r="F4800" s="29" t="s">
        <v>343</v>
      </c>
      <c r="G4800" s="25" t="s">
        <v>6518</v>
      </c>
      <c r="H4800" s="26">
        <v>-0.19470000000000001</v>
      </c>
      <c r="I4800" s="26"/>
      <c r="J4800" s="26" t="s">
        <v>512</v>
      </c>
      <c r="K4800" s="25" t="s">
        <v>513</v>
      </c>
    </row>
    <row r="4801" spans="1:11" ht="25.5" x14ac:dyDescent="0.25">
      <c r="A4801" s="22">
        <v>2026</v>
      </c>
      <c r="B4801" s="28" t="s">
        <v>222</v>
      </c>
      <c r="C4801" s="28" t="s">
        <v>97</v>
      </c>
      <c r="D4801" s="28" t="s">
        <v>211</v>
      </c>
      <c r="E4801" s="29" t="s">
        <v>369</v>
      </c>
      <c r="F4801" s="29" t="s">
        <v>343</v>
      </c>
      <c r="G4801" s="25" t="s">
        <v>6519</v>
      </c>
      <c r="H4801" s="26">
        <v>-0.1954005</v>
      </c>
      <c r="I4801" s="26"/>
      <c r="J4801" s="26" t="s">
        <v>512</v>
      </c>
      <c r="K4801" s="25" t="s">
        <v>513</v>
      </c>
    </row>
    <row r="4802" spans="1:11" ht="25.5" x14ac:dyDescent="0.25">
      <c r="A4802" s="22">
        <v>2026</v>
      </c>
      <c r="B4802" s="28" t="s">
        <v>222</v>
      </c>
      <c r="C4802" s="28" t="s">
        <v>97</v>
      </c>
      <c r="D4802" s="28" t="s">
        <v>211</v>
      </c>
      <c r="E4802" s="29" t="s">
        <v>369</v>
      </c>
      <c r="F4802" s="29" t="s">
        <v>343</v>
      </c>
      <c r="G4802" s="25" t="s">
        <v>6520</v>
      </c>
      <c r="H4802" s="26">
        <v>-0.192</v>
      </c>
      <c r="I4802" s="26"/>
      <c r="J4802" s="26" t="s">
        <v>512</v>
      </c>
      <c r="K4802" s="25" t="s">
        <v>513</v>
      </c>
    </row>
    <row r="4803" spans="1:11" ht="25.5" x14ac:dyDescent="0.25">
      <c r="A4803" s="22">
        <v>2026</v>
      </c>
      <c r="B4803" s="28" t="s">
        <v>222</v>
      </c>
      <c r="C4803" s="28" t="s">
        <v>97</v>
      </c>
      <c r="D4803" s="28" t="s">
        <v>211</v>
      </c>
      <c r="E4803" s="29" t="s">
        <v>369</v>
      </c>
      <c r="F4803" s="29" t="s">
        <v>343</v>
      </c>
      <c r="G4803" s="25" t="s">
        <v>6521</v>
      </c>
      <c r="H4803" s="26">
        <v>-0.1908</v>
      </c>
      <c r="I4803" s="26"/>
      <c r="J4803" s="26" t="s">
        <v>512</v>
      </c>
      <c r="K4803" s="25" t="s">
        <v>513</v>
      </c>
    </row>
    <row r="4804" spans="1:11" ht="25.5" x14ac:dyDescent="0.25">
      <c r="A4804" s="22">
        <v>2026</v>
      </c>
      <c r="B4804" s="28" t="s">
        <v>222</v>
      </c>
      <c r="C4804" s="28" t="s">
        <v>97</v>
      </c>
      <c r="D4804" s="28" t="s">
        <v>211</v>
      </c>
      <c r="E4804" s="29" t="s">
        <v>369</v>
      </c>
      <c r="F4804" s="29" t="s">
        <v>343</v>
      </c>
      <c r="G4804" s="25" t="s">
        <v>6518</v>
      </c>
      <c r="H4804" s="26">
        <v>-0.19470000000000001</v>
      </c>
      <c r="I4804" s="26"/>
      <c r="J4804" s="26" t="s">
        <v>512</v>
      </c>
      <c r="K4804" s="25" t="s">
        <v>513</v>
      </c>
    </row>
    <row r="4805" spans="1:11" ht="25.5" x14ac:dyDescent="0.25">
      <c r="A4805" s="22">
        <v>2026</v>
      </c>
      <c r="B4805" s="28" t="s">
        <v>222</v>
      </c>
      <c r="C4805" s="28" t="s">
        <v>97</v>
      </c>
      <c r="D4805" s="28" t="s">
        <v>211</v>
      </c>
      <c r="E4805" s="29" t="s">
        <v>369</v>
      </c>
      <c r="F4805" s="29" t="s">
        <v>343</v>
      </c>
      <c r="G4805" s="25" t="s">
        <v>6520</v>
      </c>
      <c r="H4805" s="26">
        <v>-0.192</v>
      </c>
      <c r="I4805" s="26"/>
      <c r="J4805" s="26" t="s">
        <v>512</v>
      </c>
      <c r="K4805" s="25" t="s">
        <v>513</v>
      </c>
    </row>
    <row r="4806" spans="1:11" ht="25.5" x14ac:dyDescent="0.25">
      <c r="A4806" s="22">
        <v>2026</v>
      </c>
      <c r="B4806" s="28" t="s">
        <v>222</v>
      </c>
      <c r="C4806" s="28" t="s">
        <v>97</v>
      </c>
      <c r="D4806" s="28" t="s">
        <v>211</v>
      </c>
      <c r="E4806" s="29" t="s">
        <v>369</v>
      </c>
      <c r="F4806" s="29" t="s">
        <v>343</v>
      </c>
      <c r="G4806" s="25" t="s">
        <v>6522</v>
      </c>
      <c r="H4806" s="26">
        <v>-0.1923</v>
      </c>
      <c r="I4806" s="26"/>
      <c r="J4806" s="26" t="s">
        <v>512</v>
      </c>
      <c r="K4806" s="25" t="s">
        <v>513</v>
      </c>
    </row>
    <row r="4807" spans="1:11" ht="25.5" x14ac:dyDescent="0.25">
      <c r="A4807" s="22">
        <v>2026</v>
      </c>
      <c r="B4807" s="28" t="s">
        <v>222</v>
      </c>
      <c r="C4807" s="28" t="s">
        <v>97</v>
      </c>
      <c r="D4807" s="28" t="s">
        <v>211</v>
      </c>
      <c r="E4807" s="29" t="s">
        <v>369</v>
      </c>
      <c r="F4807" s="29" t="s">
        <v>343</v>
      </c>
      <c r="G4807" s="25" t="s">
        <v>6523</v>
      </c>
      <c r="H4807" s="26">
        <v>-0.19259999999999999</v>
      </c>
      <c r="I4807" s="26"/>
      <c r="J4807" s="26" t="s">
        <v>512</v>
      </c>
      <c r="K4807" s="25" t="s">
        <v>513</v>
      </c>
    </row>
    <row r="4808" spans="1:11" ht="25.5" x14ac:dyDescent="0.25">
      <c r="A4808" s="22">
        <v>2026</v>
      </c>
      <c r="B4808" s="28" t="s">
        <v>222</v>
      </c>
      <c r="C4808" s="28" t="s">
        <v>97</v>
      </c>
      <c r="D4808" s="28" t="s">
        <v>211</v>
      </c>
      <c r="E4808" s="29" t="s">
        <v>369</v>
      </c>
      <c r="F4808" s="29" t="s">
        <v>343</v>
      </c>
      <c r="G4808" s="25" t="s">
        <v>6524</v>
      </c>
      <c r="H4808" s="26">
        <v>-0.19289999999999999</v>
      </c>
      <c r="I4808" s="26"/>
      <c r="J4808" s="26" t="s">
        <v>512</v>
      </c>
      <c r="K4808" s="25" t="s">
        <v>513</v>
      </c>
    </row>
    <row r="4809" spans="1:11" ht="25.5" x14ac:dyDescent="0.25">
      <c r="A4809" s="22">
        <v>2026</v>
      </c>
      <c r="B4809" s="28" t="s">
        <v>222</v>
      </c>
      <c r="C4809" s="28" t="s">
        <v>97</v>
      </c>
      <c r="D4809" s="28" t="s">
        <v>211</v>
      </c>
      <c r="E4809" s="29" t="s">
        <v>369</v>
      </c>
      <c r="F4809" s="29" t="s">
        <v>343</v>
      </c>
      <c r="G4809" s="25" t="s">
        <v>6518</v>
      </c>
      <c r="H4809" s="26">
        <v>-0.19470000000000001</v>
      </c>
      <c r="I4809" s="26"/>
      <c r="J4809" s="26" t="s">
        <v>512</v>
      </c>
      <c r="K4809" s="25" t="s">
        <v>513</v>
      </c>
    </row>
    <row r="4810" spans="1:11" ht="25.5" x14ac:dyDescent="0.25">
      <c r="A4810" s="22">
        <v>2026</v>
      </c>
      <c r="B4810" s="28" t="s">
        <v>222</v>
      </c>
      <c r="C4810" s="28" t="s">
        <v>97</v>
      </c>
      <c r="D4810" s="28" t="s">
        <v>211</v>
      </c>
      <c r="E4810" s="29" t="s">
        <v>369</v>
      </c>
      <c r="F4810" s="29" t="s">
        <v>343</v>
      </c>
      <c r="G4810" s="25" t="s">
        <v>6525</v>
      </c>
      <c r="H4810" s="26">
        <v>-0.19758149999999999</v>
      </c>
      <c r="I4810" s="26"/>
      <c r="J4810" s="26" t="s">
        <v>512</v>
      </c>
      <c r="K4810" s="25" t="s">
        <v>513</v>
      </c>
    </row>
    <row r="4811" spans="1:11" ht="25.5" x14ac:dyDescent="0.25">
      <c r="A4811" s="22">
        <v>2026</v>
      </c>
      <c r="B4811" s="28" t="s">
        <v>222</v>
      </c>
      <c r="C4811" s="28" t="s">
        <v>97</v>
      </c>
      <c r="D4811" s="28" t="s">
        <v>211</v>
      </c>
      <c r="E4811" s="29" t="s">
        <v>369</v>
      </c>
      <c r="F4811" s="29" t="s">
        <v>343</v>
      </c>
      <c r="G4811" s="25" t="s">
        <v>6526</v>
      </c>
      <c r="H4811" s="26">
        <v>-0.19919999999999999</v>
      </c>
      <c r="I4811" s="26"/>
      <c r="J4811" s="26" t="s">
        <v>512</v>
      </c>
      <c r="K4811" s="25" t="s">
        <v>513</v>
      </c>
    </row>
    <row r="4812" spans="1:11" ht="25.5" x14ac:dyDescent="0.25">
      <c r="A4812" s="22">
        <v>2026</v>
      </c>
      <c r="B4812" s="28" t="s">
        <v>222</v>
      </c>
      <c r="C4812" s="28" t="s">
        <v>97</v>
      </c>
      <c r="D4812" s="28" t="s">
        <v>211</v>
      </c>
      <c r="E4812" s="29" t="s">
        <v>369</v>
      </c>
      <c r="F4812" s="29" t="s">
        <v>343</v>
      </c>
      <c r="G4812" s="25" t="s">
        <v>6527</v>
      </c>
      <c r="H4812" s="26">
        <v>-0.2001</v>
      </c>
      <c r="I4812" s="26"/>
      <c r="J4812" s="26" t="s">
        <v>512</v>
      </c>
      <c r="K4812" s="25" t="s">
        <v>513</v>
      </c>
    </row>
    <row r="4813" spans="1:11" ht="25.5" x14ac:dyDescent="0.25">
      <c r="A4813" s="22">
        <v>2026</v>
      </c>
      <c r="B4813" s="28" t="s">
        <v>222</v>
      </c>
      <c r="C4813" s="28" t="s">
        <v>97</v>
      </c>
      <c r="D4813" s="28" t="s">
        <v>1710</v>
      </c>
      <c r="E4813" s="29" t="s">
        <v>1767</v>
      </c>
      <c r="F4813" s="29" t="s">
        <v>564</v>
      </c>
      <c r="G4813" s="25" t="s">
        <v>6528</v>
      </c>
      <c r="H4813" s="26">
        <v>-7.2165000000000007E-2</v>
      </c>
      <c r="I4813" s="26"/>
      <c r="J4813" s="26" t="s">
        <v>512</v>
      </c>
      <c r="K4813" s="25" t="s">
        <v>513</v>
      </c>
    </row>
    <row r="4814" spans="1:11" ht="25.5" x14ac:dyDescent="0.25">
      <c r="A4814" s="22">
        <v>2026</v>
      </c>
      <c r="B4814" s="28" t="s">
        <v>222</v>
      </c>
      <c r="C4814" s="28" t="s">
        <v>97</v>
      </c>
      <c r="D4814" s="28" t="s">
        <v>1710</v>
      </c>
      <c r="E4814" s="29" t="s">
        <v>1767</v>
      </c>
      <c r="F4814" s="29" t="s">
        <v>564</v>
      </c>
      <c r="G4814" s="25" t="s">
        <v>6529</v>
      </c>
      <c r="H4814" s="26">
        <v>-6.4125000000000001E-2</v>
      </c>
      <c r="I4814" s="26"/>
      <c r="J4814" s="26" t="s">
        <v>512</v>
      </c>
      <c r="K4814" s="25" t="s">
        <v>513</v>
      </c>
    </row>
    <row r="4815" spans="1:11" ht="25.5" x14ac:dyDescent="0.25">
      <c r="A4815" s="22">
        <v>2026</v>
      </c>
      <c r="B4815" s="28" t="s">
        <v>222</v>
      </c>
      <c r="C4815" s="28" t="s">
        <v>97</v>
      </c>
      <c r="D4815" s="28" t="s">
        <v>1710</v>
      </c>
      <c r="E4815" s="29" t="s">
        <v>1767</v>
      </c>
      <c r="F4815" s="29" t="s">
        <v>564</v>
      </c>
      <c r="G4815" s="25" t="s">
        <v>6530</v>
      </c>
      <c r="H4815" s="26">
        <v>-4.2900000000000001E-2</v>
      </c>
      <c r="I4815" s="26"/>
      <c r="J4815" s="26" t="s">
        <v>512</v>
      </c>
      <c r="K4815" s="25" t="s">
        <v>513</v>
      </c>
    </row>
    <row r="4816" spans="1:11" ht="25.5" x14ac:dyDescent="0.25">
      <c r="A4816" s="22">
        <v>2026</v>
      </c>
      <c r="B4816" s="28" t="s">
        <v>222</v>
      </c>
      <c r="C4816" s="28" t="s">
        <v>97</v>
      </c>
      <c r="D4816" s="28" t="s">
        <v>1710</v>
      </c>
      <c r="E4816" s="29" t="s">
        <v>1767</v>
      </c>
      <c r="F4816" s="29" t="s">
        <v>564</v>
      </c>
      <c r="G4816" s="25" t="s">
        <v>6531</v>
      </c>
      <c r="H4816" s="26">
        <v>-5.3406000000000002E-2</v>
      </c>
      <c r="I4816" s="26"/>
      <c r="J4816" s="26" t="s">
        <v>512</v>
      </c>
      <c r="K4816" s="25" t="s">
        <v>513</v>
      </c>
    </row>
    <row r="4817" spans="1:11" ht="25.5" x14ac:dyDescent="0.25">
      <c r="A4817" s="22">
        <v>2026</v>
      </c>
      <c r="B4817" s="28" t="s">
        <v>222</v>
      </c>
      <c r="C4817" s="28" t="s">
        <v>97</v>
      </c>
      <c r="D4817" s="28" t="s">
        <v>1710</v>
      </c>
      <c r="E4817" s="29" t="s">
        <v>1767</v>
      </c>
      <c r="F4817" s="29" t="s">
        <v>564</v>
      </c>
      <c r="G4817" s="25" t="s">
        <v>6532</v>
      </c>
      <c r="H4817" s="26">
        <v>-0.14297750000000001</v>
      </c>
      <c r="I4817" s="26"/>
      <c r="J4817" s="26" t="s">
        <v>512</v>
      </c>
      <c r="K4817" s="25" t="s">
        <v>513</v>
      </c>
    </row>
    <row r="4818" spans="1:11" ht="25.5" x14ac:dyDescent="0.25">
      <c r="A4818" s="22">
        <v>2026</v>
      </c>
      <c r="B4818" s="28" t="s">
        <v>222</v>
      </c>
      <c r="C4818" s="28" t="s">
        <v>97</v>
      </c>
      <c r="D4818" s="28" t="s">
        <v>1710</v>
      </c>
      <c r="E4818" s="29" t="s">
        <v>1767</v>
      </c>
      <c r="F4818" s="29" t="s">
        <v>564</v>
      </c>
      <c r="G4818" s="25" t="s">
        <v>6533</v>
      </c>
      <c r="H4818" s="26">
        <v>-0.14299999999999999</v>
      </c>
      <c r="I4818" s="26"/>
      <c r="J4818" s="26" t="s">
        <v>512</v>
      </c>
      <c r="K4818" s="25" t="s">
        <v>513</v>
      </c>
    </row>
    <row r="4819" spans="1:11" ht="25.5" x14ac:dyDescent="0.25">
      <c r="A4819" s="22">
        <v>2026</v>
      </c>
      <c r="B4819" s="28" t="s">
        <v>222</v>
      </c>
      <c r="C4819" s="28" t="s">
        <v>97</v>
      </c>
      <c r="D4819" s="28" t="s">
        <v>1710</v>
      </c>
      <c r="E4819" s="29" t="s">
        <v>1767</v>
      </c>
      <c r="F4819" s="29" t="s">
        <v>564</v>
      </c>
      <c r="G4819" s="25" t="s">
        <v>6534</v>
      </c>
      <c r="H4819" s="26">
        <v>-0.14399999999999999</v>
      </c>
      <c r="I4819" s="26"/>
      <c r="J4819" s="26" t="s">
        <v>512</v>
      </c>
      <c r="K4819" s="25" t="s">
        <v>513</v>
      </c>
    </row>
    <row r="4820" spans="1:11" ht="25.5" x14ac:dyDescent="0.25">
      <c r="A4820" s="22">
        <v>2026</v>
      </c>
      <c r="B4820" s="28" t="s">
        <v>222</v>
      </c>
      <c r="C4820" s="28" t="s">
        <v>97</v>
      </c>
      <c r="D4820" s="28" t="s">
        <v>1710</v>
      </c>
      <c r="E4820" s="29" t="s">
        <v>1767</v>
      </c>
      <c r="F4820" s="29" t="s">
        <v>564</v>
      </c>
      <c r="G4820" s="25" t="s">
        <v>6535</v>
      </c>
      <c r="H4820" s="26">
        <v>-7.1499999999999994E-2</v>
      </c>
      <c r="I4820" s="26"/>
      <c r="J4820" s="26" t="s">
        <v>512</v>
      </c>
      <c r="K4820" s="25" t="s">
        <v>513</v>
      </c>
    </row>
    <row r="4821" spans="1:11" ht="25.5" x14ac:dyDescent="0.25">
      <c r="A4821" s="22">
        <v>2026</v>
      </c>
      <c r="B4821" s="28" t="s">
        <v>222</v>
      </c>
      <c r="C4821" s="28" t="s">
        <v>97</v>
      </c>
      <c r="D4821" s="28" t="s">
        <v>1710</v>
      </c>
      <c r="E4821" s="29" t="s">
        <v>1767</v>
      </c>
      <c r="F4821" s="29" t="s">
        <v>564</v>
      </c>
      <c r="G4821" s="25" t="s">
        <v>6533</v>
      </c>
      <c r="H4821" s="26">
        <v>-0.14299999999999999</v>
      </c>
      <c r="I4821" s="26"/>
      <c r="J4821" s="26" t="s">
        <v>512</v>
      </c>
      <c r="K4821" s="25" t="s">
        <v>513</v>
      </c>
    </row>
    <row r="4822" spans="1:11" ht="25.5" x14ac:dyDescent="0.25">
      <c r="A4822" s="22">
        <v>2026</v>
      </c>
      <c r="B4822" s="28" t="s">
        <v>222</v>
      </c>
      <c r="C4822" s="28" t="s">
        <v>97</v>
      </c>
      <c r="D4822" s="28" t="s">
        <v>1710</v>
      </c>
      <c r="E4822" s="29" t="s">
        <v>1767</v>
      </c>
      <c r="F4822" s="29" t="s">
        <v>564</v>
      </c>
      <c r="G4822" s="25" t="s">
        <v>6536</v>
      </c>
      <c r="H4822" s="26">
        <v>-9.2624999999999999E-2</v>
      </c>
      <c r="I4822" s="26"/>
      <c r="J4822" s="26" t="s">
        <v>512</v>
      </c>
      <c r="K4822" s="25" t="s">
        <v>513</v>
      </c>
    </row>
    <row r="4823" spans="1:11" ht="25.5" x14ac:dyDescent="0.25">
      <c r="A4823" s="22">
        <v>2026</v>
      </c>
      <c r="B4823" s="28" t="s">
        <v>222</v>
      </c>
      <c r="C4823" s="28" t="s">
        <v>97</v>
      </c>
      <c r="D4823" s="28" t="s">
        <v>1710</v>
      </c>
      <c r="E4823" s="29" t="s">
        <v>1767</v>
      </c>
      <c r="F4823" s="29" t="s">
        <v>564</v>
      </c>
      <c r="G4823" s="25" t="s">
        <v>6537</v>
      </c>
      <c r="H4823" s="26">
        <v>-0.107775</v>
      </c>
      <c r="I4823" s="26"/>
      <c r="J4823" s="26" t="s">
        <v>512</v>
      </c>
      <c r="K4823" s="25" t="s">
        <v>513</v>
      </c>
    </row>
    <row r="4824" spans="1:11" ht="25.5" x14ac:dyDescent="0.25">
      <c r="A4824" s="22">
        <v>2026</v>
      </c>
      <c r="B4824" s="28" t="s">
        <v>222</v>
      </c>
      <c r="C4824" s="28" t="s">
        <v>97</v>
      </c>
      <c r="D4824" s="28" t="s">
        <v>1710</v>
      </c>
      <c r="E4824" s="29" t="s">
        <v>1767</v>
      </c>
      <c r="F4824" s="29" t="s">
        <v>564</v>
      </c>
      <c r="G4824" s="25" t="s">
        <v>6538</v>
      </c>
      <c r="H4824" s="26">
        <v>-7.2624999999999995E-2</v>
      </c>
      <c r="I4824" s="26"/>
      <c r="J4824" s="26" t="s">
        <v>512</v>
      </c>
      <c r="K4824" s="25" t="s">
        <v>513</v>
      </c>
    </row>
    <row r="4825" spans="1:11" ht="25.5" x14ac:dyDescent="0.25">
      <c r="A4825" s="22">
        <v>2026</v>
      </c>
      <c r="B4825" s="28" t="s">
        <v>222</v>
      </c>
      <c r="C4825" s="28" t="s">
        <v>97</v>
      </c>
      <c r="D4825" s="28" t="s">
        <v>1710</v>
      </c>
      <c r="E4825" s="29" t="s">
        <v>1767</v>
      </c>
      <c r="F4825" s="29" t="s">
        <v>564</v>
      </c>
      <c r="G4825" s="25" t="s">
        <v>6539</v>
      </c>
      <c r="H4825" s="26">
        <v>-0.14732000000000001</v>
      </c>
      <c r="I4825" s="26"/>
      <c r="J4825" s="26" t="s">
        <v>512</v>
      </c>
      <c r="K4825" s="25" t="s">
        <v>513</v>
      </c>
    </row>
    <row r="4826" spans="1:11" ht="25.5" x14ac:dyDescent="0.25">
      <c r="A4826" s="22">
        <v>2026</v>
      </c>
      <c r="B4826" s="28" t="s">
        <v>222</v>
      </c>
      <c r="C4826" s="28" t="s">
        <v>97</v>
      </c>
      <c r="D4826" s="28" t="s">
        <v>1711</v>
      </c>
      <c r="E4826" s="29" t="s">
        <v>1758</v>
      </c>
      <c r="F4826" s="29" t="s">
        <v>298</v>
      </c>
      <c r="G4826" s="25" t="s">
        <v>6540</v>
      </c>
      <c r="H4826" s="26">
        <v>-2.8325860200000001E-2</v>
      </c>
      <c r="I4826" s="26"/>
      <c r="J4826" s="26" t="s">
        <v>512</v>
      </c>
      <c r="K4826" s="25" t="s">
        <v>513</v>
      </c>
    </row>
    <row r="4827" spans="1:11" ht="25.5" x14ac:dyDescent="0.25">
      <c r="A4827" s="22">
        <v>2026</v>
      </c>
      <c r="B4827" s="28" t="s">
        <v>222</v>
      </c>
      <c r="C4827" s="28" t="s">
        <v>97</v>
      </c>
      <c r="D4827" s="28" t="s">
        <v>1712</v>
      </c>
      <c r="E4827" s="29" t="s">
        <v>1712</v>
      </c>
      <c r="F4827" s="29" t="s">
        <v>325</v>
      </c>
      <c r="G4827" s="25" t="s">
        <v>6541</v>
      </c>
      <c r="H4827" s="26">
        <v>-0.43337074819999999</v>
      </c>
      <c r="I4827" s="26"/>
      <c r="J4827" s="26" t="s">
        <v>512</v>
      </c>
      <c r="K4827" s="25" t="s">
        <v>513</v>
      </c>
    </row>
    <row r="4828" spans="1:11" ht="25.5" x14ac:dyDescent="0.25">
      <c r="A4828" s="22">
        <v>2026</v>
      </c>
      <c r="B4828" s="28" t="s">
        <v>222</v>
      </c>
      <c r="C4828" s="28" t="s">
        <v>97</v>
      </c>
      <c r="D4828" s="28" t="s">
        <v>1712</v>
      </c>
      <c r="E4828" s="29" t="s">
        <v>1712</v>
      </c>
      <c r="F4828" s="29" t="s">
        <v>325</v>
      </c>
      <c r="G4828" s="25" t="s">
        <v>6542</v>
      </c>
      <c r="H4828" s="26">
        <v>-0.41861664179999997</v>
      </c>
      <c r="I4828" s="26"/>
      <c r="J4828" s="26" t="s">
        <v>512</v>
      </c>
      <c r="K4828" s="25" t="s">
        <v>513</v>
      </c>
    </row>
    <row r="4829" spans="1:11" ht="25.5" x14ac:dyDescent="0.25">
      <c r="A4829" s="22">
        <v>2026</v>
      </c>
      <c r="B4829" s="28" t="s">
        <v>222</v>
      </c>
      <c r="C4829" s="28" t="s">
        <v>97</v>
      </c>
      <c r="D4829" s="28" t="s">
        <v>1712</v>
      </c>
      <c r="E4829" s="29" t="s">
        <v>1712</v>
      </c>
      <c r="F4829" s="29" t="s">
        <v>325</v>
      </c>
      <c r="G4829" s="25" t="s">
        <v>6543</v>
      </c>
      <c r="H4829" s="26">
        <v>-0.42407650679999997</v>
      </c>
      <c r="I4829" s="26"/>
      <c r="J4829" s="26" t="s">
        <v>512</v>
      </c>
      <c r="K4829" s="25" t="s">
        <v>513</v>
      </c>
    </row>
    <row r="4830" spans="1:11" ht="25.5" x14ac:dyDescent="0.25">
      <c r="A4830" s="22">
        <v>2026</v>
      </c>
      <c r="B4830" s="28" t="s">
        <v>222</v>
      </c>
      <c r="C4830" s="28" t="s">
        <v>97</v>
      </c>
      <c r="D4830" s="28" t="s">
        <v>1712</v>
      </c>
      <c r="E4830" s="29" t="s">
        <v>1712</v>
      </c>
      <c r="F4830" s="29" t="s">
        <v>325</v>
      </c>
      <c r="G4830" s="25" t="s">
        <v>6544</v>
      </c>
      <c r="H4830" s="26">
        <v>-0.54541499999999998</v>
      </c>
      <c r="I4830" s="26"/>
      <c r="J4830" s="26" t="s">
        <v>512</v>
      </c>
      <c r="K4830" s="25" t="s">
        <v>513</v>
      </c>
    </row>
    <row r="4831" spans="1:11" ht="25.5" x14ac:dyDescent="0.25">
      <c r="A4831" s="22">
        <v>2026</v>
      </c>
      <c r="B4831" s="28" t="s">
        <v>222</v>
      </c>
      <c r="C4831" s="28" t="s">
        <v>97</v>
      </c>
      <c r="D4831" s="28" t="s">
        <v>1712</v>
      </c>
      <c r="E4831" s="29" t="s">
        <v>1712</v>
      </c>
      <c r="F4831" s="29" t="s">
        <v>325</v>
      </c>
      <c r="G4831" s="25" t="s">
        <v>6545</v>
      </c>
      <c r="H4831" s="26">
        <v>-0.72292539</v>
      </c>
      <c r="I4831" s="26"/>
      <c r="J4831" s="26" t="s">
        <v>512</v>
      </c>
      <c r="K4831" s="25" t="s">
        <v>513</v>
      </c>
    </row>
    <row r="4832" spans="1:11" ht="25.5" x14ac:dyDescent="0.25">
      <c r="A4832" s="22">
        <v>2026</v>
      </c>
      <c r="B4832" s="28" t="s">
        <v>222</v>
      </c>
      <c r="C4832" s="28" t="s">
        <v>97</v>
      </c>
      <c r="D4832" s="28" t="s">
        <v>1712</v>
      </c>
      <c r="E4832" s="29" t="s">
        <v>1712</v>
      </c>
      <c r="F4832" s="29" t="s">
        <v>325</v>
      </c>
      <c r="G4832" s="25" t="s">
        <v>6546</v>
      </c>
      <c r="H4832" s="26">
        <v>-0.57087459539999996</v>
      </c>
      <c r="I4832" s="26"/>
      <c r="J4832" s="26" t="s">
        <v>512</v>
      </c>
      <c r="K4832" s="25" t="s">
        <v>513</v>
      </c>
    </row>
    <row r="4833" spans="1:11" ht="25.5" x14ac:dyDescent="0.25">
      <c r="A4833" s="22">
        <v>2026</v>
      </c>
      <c r="B4833" s="28" t="s">
        <v>222</v>
      </c>
      <c r="C4833" s="28" t="s">
        <v>97</v>
      </c>
      <c r="D4833" s="28" t="s">
        <v>1712</v>
      </c>
      <c r="E4833" s="29" t="s">
        <v>1712</v>
      </c>
      <c r="F4833" s="29" t="s">
        <v>325</v>
      </c>
      <c r="G4833" s="25" t="s">
        <v>6547</v>
      </c>
      <c r="H4833" s="26">
        <v>-0.58112671469999999</v>
      </c>
      <c r="I4833" s="26"/>
      <c r="J4833" s="26" t="s">
        <v>512</v>
      </c>
      <c r="K4833" s="25" t="s">
        <v>513</v>
      </c>
    </row>
    <row r="4834" spans="1:11" ht="25.5" x14ac:dyDescent="0.25">
      <c r="A4834" s="22">
        <v>2026</v>
      </c>
      <c r="B4834" s="28" t="s">
        <v>222</v>
      </c>
      <c r="C4834" s="28" t="s">
        <v>97</v>
      </c>
      <c r="D4834" s="28" t="s">
        <v>1712</v>
      </c>
      <c r="E4834" s="29" t="s">
        <v>1712</v>
      </c>
      <c r="F4834" s="29" t="s">
        <v>325</v>
      </c>
      <c r="G4834" s="25" t="s">
        <v>6548</v>
      </c>
      <c r="H4834" s="26">
        <v>-0.44589600000000001</v>
      </c>
      <c r="I4834" s="26"/>
      <c r="J4834" s="26" t="s">
        <v>512</v>
      </c>
      <c r="K4834" s="25" t="s">
        <v>513</v>
      </c>
    </row>
    <row r="4835" spans="1:11" ht="25.5" x14ac:dyDescent="0.25">
      <c r="A4835" s="22">
        <v>2026</v>
      </c>
      <c r="B4835" s="28" t="s">
        <v>222</v>
      </c>
      <c r="C4835" s="28" t="s">
        <v>97</v>
      </c>
      <c r="D4835" s="28" t="s">
        <v>1712</v>
      </c>
      <c r="E4835" s="29" t="s">
        <v>1712</v>
      </c>
      <c r="F4835" s="29" t="s">
        <v>325</v>
      </c>
      <c r="G4835" s="25" t="s">
        <v>6549</v>
      </c>
      <c r="H4835" s="26">
        <v>-0.53753356799999996</v>
      </c>
      <c r="I4835" s="26"/>
      <c r="J4835" s="26" t="s">
        <v>512</v>
      </c>
      <c r="K4835" s="25" t="s">
        <v>513</v>
      </c>
    </row>
    <row r="4836" spans="1:11" ht="25.5" x14ac:dyDescent="0.25">
      <c r="A4836" s="22">
        <v>2026</v>
      </c>
      <c r="B4836" s="28" t="s">
        <v>222</v>
      </c>
      <c r="C4836" s="28" t="s">
        <v>97</v>
      </c>
      <c r="D4836" s="28" t="s">
        <v>1712</v>
      </c>
      <c r="E4836" s="29" t="s">
        <v>1712</v>
      </c>
      <c r="F4836" s="29" t="s">
        <v>325</v>
      </c>
      <c r="G4836" s="25" t="s">
        <v>6550</v>
      </c>
      <c r="H4836" s="26">
        <v>-0.64300667599999994</v>
      </c>
      <c r="I4836" s="26"/>
      <c r="J4836" s="26" t="s">
        <v>512</v>
      </c>
      <c r="K4836" s="25" t="s">
        <v>513</v>
      </c>
    </row>
    <row r="4837" spans="1:11" ht="25.5" x14ac:dyDescent="0.25">
      <c r="A4837" s="22">
        <v>2026</v>
      </c>
      <c r="B4837" s="28" t="s">
        <v>222</v>
      </c>
      <c r="C4837" s="28" t="s">
        <v>97</v>
      </c>
      <c r="D4837" s="28" t="s">
        <v>1712</v>
      </c>
      <c r="E4837" s="29" t="s">
        <v>1712</v>
      </c>
      <c r="F4837" s="29" t="s">
        <v>325</v>
      </c>
      <c r="G4837" s="25" t="s">
        <v>6551</v>
      </c>
      <c r="H4837" s="26">
        <v>-0.37665318739999998</v>
      </c>
      <c r="I4837" s="26"/>
      <c r="J4837" s="26" t="s">
        <v>512</v>
      </c>
      <c r="K4837" s="25" t="s">
        <v>513</v>
      </c>
    </row>
    <row r="4838" spans="1:11" ht="25.5" x14ac:dyDescent="0.25">
      <c r="A4838" s="22">
        <v>2026</v>
      </c>
      <c r="B4838" s="28" t="s">
        <v>222</v>
      </c>
      <c r="C4838" s="28" t="s">
        <v>97</v>
      </c>
      <c r="D4838" s="28" t="s">
        <v>1712</v>
      </c>
      <c r="E4838" s="29" t="s">
        <v>1712</v>
      </c>
      <c r="F4838" s="29" t="s">
        <v>325</v>
      </c>
      <c r="G4838" s="25" t="s">
        <v>6552</v>
      </c>
      <c r="H4838" s="26">
        <v>-0.55290569599999995</v>
      </c>
      <c r="I4838" s="26"/>
      <c r="J4838" s="26" t="s">
        <v>512</v>
      </c>
      <c r="K4838" s="25" t="s">
        <v>513</v>
      </c>
    </row>
    <row r="4839" spans="1:11" ht="25.5" x14ac:dyDescent="0.25">
      <c r="A4839" s="22">
        <v>2026</v>
      </c>
      <c r="B4839" s="28" t="s">
        <v>222</v>
      </c>
      <c r="C4839" s="28" t="s">
        <v>97</v>
      </c>
      <c r="D4839" s="28" t="s">
        <v>1712</v>
      </c>
      <c r="E4839" s="29" t="s">
        <v>1712</v>
      </c>
      <c r="F4839" s="29" t="s">
        <v>325</v>
      </c>
      <c r="G4839" s="25" t="s">
        <v>6553</v>
      </c>
      <c r="H4839" s="26">
        <v>-0.5586279126</v>
      </c>
      <c r="I4839" s="26"/>
      <c r="J4839" s="26" t="s">
        <v>512</v>
      </c>
      <c r="K4839" s="25" t="s">
        <v>513</v>
      </c>
    </row>
    <row r="4840" spans="1:11" ht="25.5" x14ac:dyDescent="0.25">
      <c r="A4840" s="22">
        <v>2026</v>
      </c>
      <c r="B4840" s="28" t="s">
        <v>222</v>
      </c>
      <c r="C4840" s="28" t="s">
        <v>97</v>
      </c>
      <c r="D4840" s="28" t="s">
        <v>1712</v>
      </c>
      <c r="E4840" s="29" t="s">
        <v>1712</v>
      </c>
      <c r="F4840" s="29" t="s">
        <v>325</v>
      </c>
      <c r="G4840" s="25" t="s">
        <v>6554</v>
      </c>
      <c r="H4840" s="26">
        <v>-0.27293250000000002</v>
      </c>
      <c r="I4840" s="26"/>
      <c r="J4840" s="26" t="s">
        <v>512</v>
      </c>
      <c r="K4840" s="25" t="s">
        <v>513</v>
      </c>
    </row>
    <row r="4841" spans="1:11" ht="25.5" x14ac:dyDescent="0.25">
      <c r="A4841" s="22">
        <v>2026</v>
      </c>
      <c r="B4841" s="28" t="s">
        <v>222</v>
      </c>
      <c r="C4841" s="28" t="s">
        <v>97</v>
      </c>
      <c r="D4841" s="28" t="s">
        <v>1712</v>
      </c>
      <c r="E4841" s="29" t="s">
        <v>1712</v>
      </c>
      <c r="F4841" s="29" t="s">
        <v>325</v>
      </c>
      <c r="G4841" s="25" t="s">
        <v>6555</v>
      </c>
      <c r="H4841" s="26">
        <v>-0.26521972399999999</v>
      </c>
      <c r="I4841" s="26"/>
      <c r="J4841" s="26" t="s">
        <v>512</v>
      </c>
      <c r="K4841" s="25" t="s">
        <v>513</v>
      </c>
    </row>
    <row r="4842" spans="1:11" ht="25.5" x14ac:dyDescent="0.25">
      <c r="A4842" s="22">
        <v>2026</v>
      </c>
      <c r="B4842" s="28" t="s">
        <v>222</v>
      </c>
      <c r="C4842" s="28" t="s">
        <v>97</v>
      </c>
      <c r="D4842" s="28" t="s">
        <v>1712</v>
      </c>
      <c r="E4842" s="29" t="s">
        <v>1712</v>
      </c>
      <c r="F4842" s="29" t="s">
        <v>325</v>
      </c>
      <c r="G4842" s="25" t="s">
        <v>6556</v>
      </c>
      <c r="H4842" s="26">
        <v>-0.29837086619999997</v>
      </c>
      <c r="I4842" s="26"/>
      <c r="J4842" s="26" t="s">
        <v>512</v>
      </c>
      <c r="K4842" s="25" t="s">
        <v>513</v>
      </c>
    </row>
    <row r="4843" spans="1:11" ht="25.5" x14ac:dyDescent="0.25">
      <c r="A4843" s="22">
        <v>2026</v>
      </c>
      <c r="B4843" s="28" t="s">
        <v>222</v>
      </c>
      <c r="C4843" s="28" t="s">
        <v>97</v>
      </c>
      <c r="D4843" s="28" t="s">
        <v>1712</v>
      </c>
      <c r="E4843" s="29" t="s">
        <v>1712</v>
      </c>
      <c r="F4843" s="29" t="s">
        <v>325</v>
      </c>
      <c r="G4843" s="25" t="s">
        <v>6557</v>
      </c>
      <c r="H4843" s="26">
        <v>-0.30049689839999999</v>
      </c>
      <c r="I4843" s="26"/>
      <c r="J4843" s="26" t="s">
        <v>512</v>
      </c>
      <c r="K4843" s="25" t="s">
        <v>513</v>
      </c>
    </row>
    <row r="4844" spans="1:11" ht="25.5" x14ac:dyDescent="0.25">
      <c r="A4844" s="22">
        <v>2026</v>
      </c>
      <c r="B4844" s="28" t="s">
        <v>222</v>
      </c>
      <c r="C4844" s="28" t="s">
        <v>97</v>
      </c>
      <c r="D4844" s="28" t="s">
        <v>250</v>
      </c>
      <c r="E4844" s="29" t="s">
        <v>463</v>
      </c>
      <c r="F4844" s="29" t="s">
        <v>325</v>
      </c>
      <c r="G4844" s="25" t="s">
        <v>6558</v>
      </c>
      <c r="H4844" s="26">
        <v>-4.1327999999999998E-3</v>
      </c>
      <c r="I4844" s="26"/>
      <c r="J4844" s="26" t="s">
        <v>512</v>
      </c>
      <c r="K4844" s="25" t="s">
        <v>513</v>
      </c>
    </row>
    <row r="4845" spans="1:11" ht="25.5" x14ac:dyDescent="0.25">
      <c r="A4845" s="22">
        <v>2026</v>
      </c>
      <c r="B4845" s="28" t="s">
        <v>222</v>
      </c>
      <c r="C4845" s="28" t="s">
        <v>97</v>
      </c>
      <c r="D4845" s="28" t="s">
        <v>250</v>
      </c>
      <c r="E4845" s="29" t="s">
        <v>463</v>
      </c>
      <c r="F4845" s="29" t="s">
        <v>325</v>
      </c>
      <c r="G4845" s="25" t="s">
        <v>6559</v>
      </c>
      <c r="H4845" s="26">
        <v>-8.3439399999999997E-2</v>
      </c>
      <c r="I4845" s="26"/>
      <c r="J4845" s="26" t="s">
        <v>512</v>
      </c>
      <c r="K4845" s="25" t="s">
        <v>513</v>
      </c>
    </row>
    <row r="4846" spans="1:11" ht="25.5" x14ac:dyDescent="0.25">
      <c r="A4846" s="22">
        <v>2026</v>
      </c>
      <c r="B4846" s="28" t="s">
        <v>222</v>
      </c>
      <c r="C4846" s="28" t="s">
        <v>97</v>
      </c>
      <c r="D4846" s="28" t="s">
        <v>250</v>
      </c>
      <c r="E4846" s="29" t="s">
        <v>463</v>
      </c>
      <c r="F4846" s="29" t="s">
        <v>325</v>
      </c>
      <c r="G4846" s="25" t="s">
        <v>6560</v>
      </c>
      <c r="H4846" s="26">
        <v>-3.4983E-2</v>
      </c>
      <c r="I4846" s="26"/>
      <c r="J4846" s="26" t="s">
        <v>512</v>
      </c>
      <c r="K4846" s="25" t="s">
        <v>513</v>
      </c>
    </row>
    <row r="4847" spans="1:11" ht="25.5" x14ac:dyDescent="0.25">
      <c r="A4847" s="22">
        <v>2026</v>
      </c>
      <c r="B4847" s="28" t="s">
        <v>222</v>
      </c>
      <c r="C4847" s="28" t="s">
        <v>97</v>
      </c>
      <c r="D4847" s="28" t="s">
        <v>250</v>
      </c>
      <c r="E4847" s="29" t="s">
        <v>463</v>
      </c>
      <c r="F4847" s="29" t="s">
        <v>325</v>
      </c>
      <c r="G4847" s="25" t="s">
        <v>6561</v>
      </c>
      <c r="H4847" s="26">
        <v>-1.95316E-2</v>
      </c>
      <c r="I4847" s="26"/>
      <c r="J4847" s="26" t="s">
        <v>512</v>
      </c>
      <c r="K4847" s="25" t="s">
        <v>513</v>
      </c>
    </row>
    <row r="4848" spans="1:11" ht="25.5" x14ac:dyDescent="0.25">
      <c r="A4848" s="22">
        <v>2026</v>
      </c>
      <c r="B4848" s="28" t="s">
        <v>222</v>
      </c>
      <c r="C4848" s="28" t="s">
        <v>97</v>
      </c>
      <c r="D4848" s="28" t="s">
        <v>250</v>
      </c>
      <c r="E4848" s="29" t="s">
        <v>463</v>
      </c>
      <c r="F4848" s="29" t="s">
        <v>325</v>
      </c>
      <c r="G4848" s="25" t="s">
        <v>6562</v>
      </c>
      <c r="H4848" s="26">
        <v>-1.9989014500000003E-2</v>
      </c>
      <c r="I4848" s="26"/>
      <c r="J4848" s="26" t="s">
        <v>512</v>
      </c>
      <c r="K4848" s="25" t="s">
        <v>513</v>
      </c>
    </row>
    <row r="4849" spans="1:11" ht="25.5" x14ac:dyDescent="0.25">
      <c r="A4849" s="22">
        <v>2026</v>
      </c>
      <c r="B4849" s="28" t="s">
        <v>222</v>
      </c>
      <c r="C4849" s="28" t="s">
        <v>97</v>
      </c>
      <c r="D4849" s="28" t="s">
        <v>250</v>
      </c>
      <c r="E4849" s="29" t="s">
        <v>463</v>
      </c>
      <c r="F4849" s="29" t="s">
        <v>325</v>
      </c>
      <c r="G4849" s="25" t="s">
        <v>6563</v>
      </c>
      <c r="H4849" s="26">
        <v>-1.1154000000000001E-3</v>
      </c>
      <c r="I4849" s="26"/>
      <c r="J4849" s="26" t="s">
        <v>512</v>
      </c>
      <c r="K4849" s="25" t="s">
        <v>513</v>
      </c>
    </row>
    <row r="4850" spans="1:11" ht="25.5" x14ac:dyDescent="0.25">
      <c r="A4850" s="22">
        <v>2026</v>
      </c>
      <c r="B4850" s="28" t="s">
        <v>222</v>
      </c>
      <c r="C4850" s="28" t="s">
        <v>97</v>
      </c>
      <c r="D4850" s="28" t="s">
        <v>250</v>
      </c>
      <c r="E4850" s="29" t="s">
        <v>463</v>
      </c>
      <c r="F4850" s="29" t="s">
        <v>325</v>
      </c>
      <c r="G4850" s="25" t="s">
        <v>6564</v>
      </c>
      <c r="H4850" s="26">
        <v>-0.8976942</v>
      </c>
      <c r="I4850" s="26"/>
      <c r="J4850" s="26" t="s">
        <v>512</v>
      </c>
      <c r="K4850" s="25" t="s">
        <v>513</v>
      </c>
    </row>
    <row r="4851" spans="1:11" ht="25.5" x14ac:dyDescent="0.25">
      <c r="A4851" s="22">
        <v>2026</v>
      </c>
      <c r="B4851" s="28" t="s">
        <v>222</v>
      </c>
      <c r="C4851" s="28" t="s">
        <v>97</v>
      </c>
      <c r="D4851" s="28" t="s">
        <v>250</v>
      </c>
      <c r="E4851" s="29" t="s">
        <v>463</v>
      </c>
      <c r="F4851" s="29" t="s">
        <v>325</v>
      </c>
      <c r="G4851" s="25" t="s">
        <v>6565</v>
      </c>
      <c r="H4851" s="26">
        <v>-0.94276997039999999</v>
      </c>
      <c r="I4851" s="26"/>
      <c r="J4851" s="26" t="s">
        <v>512</v>
      </c>
      <c r="K4851" s="25" t="s">
        <v>513</v>
      </c>
    </row>
    <row r="4852" spans="1:11" ht="25.5" x14ac:dyDescent="0.25">
      <c r="A4852" s="22">
        <v>2026</v>
      </c>
      <c r="B4852" s="28" t="s">
        <v>222</v>
      </c>
      <c r="C4852" s="28" t="s">
        <v>97</v>
      </c>
      <c r="D4852" s="28" t="s">
        <v>250</v>
      </c>
      <c r="E4852" s="29" t="s">
        <v>463</v>
      </c>
      <c r="F4852" s="29" t="s">
        <v>325</v>
      </c>
      <c r="G4852" s="25" t="s">
        <v>6566</v>
      </c>
      <c r="H4852" s="26">
        <v>-2.5349999999999999E-3</v>
      </c>
      <c r="I4852" s="26"/>
      <c r="J4852" s="26" t="s">
        <v>512</v>
      </c>
      <c r="K4852" s="25" t="s">
        <v>513</v>
      </c>
    </row>
    <row r="4853" spans="1:11" ht="25.5" x14ac:dyDescent="0.25">
      <c r="A4853" s="22">
        <v>2026</v>
      </c>
      <c r="B4853" s="28" t="s">
        <v>222</v>
      </c>
      <c r="C4853" s="28" t="s">
        <v>97</v>
      </c>
      <c r="D4853" s="28" t="s">
        <v>250</v>
      </c>
      <c r="E4853" s="29" t="s">
        <v>463</v>
      </c>
      <c r="F4853" s="29" t="s">
        <v>325</v>
      </c>
      <c r="G4853" s="25" t="s">
        <v>6567</v>
      </c>
      <c r="H4853" s="26">
        <v>-1.3536899999999999E-2</v>
      </c>
      <c r="I4853" s="26"/>
      <c r="J4853" s="26" t="s">
        <v>512</v>
      </c>
      <c r="K4853" s="25" t="s">
        <v>513</v>
      </c>
    </row>
    <row r="4854" spans="1:11" ht="25.5" x14ac:dyDescent="0.25">
      <c r="A4854" s="22">
        <v>2026</v>
      </c>
      <c r="B4854" s="28" t="s">
        <v>222</v>
      </c>
      <c r="C4854" s="28" t="s">
        <v>97</v>
      </c>
      <c r="D4854" s="28" t="s">
        <v>1001</v>
      </c>
      <c r="E4854" s="29" t="s">
        <v>491</v>
      </c>
      <c r="F4854" s="29" t="s">
        <v>378</v>
      </c>
      <c r="G4854" s="25" t="s">
        <v>6568</v>
      </c>
      <c r="H4854" s="26">
        <v>-4.4687499999999998E-2</v>
      </c>
      <c r="I4854" s="26"/>
      <c r="J4854" s="26" t="s">
        <v>512</v>
      </c>
      <c r="K4854" s="25" t="s">
        <v>513</v>
      </c>
    </row>
    <row r="4855" spans="1:11" ht="25.5" x14ac:dyDescent="0.25">
      <c r="A4855" s="22">
        <v>2026</v>
      </c>
      <c r="B4855" s="28" t="s">
        <v>222</v>
      </c>
      <c r="C4855" s="28" t="s">
        <v>97</v>
      </c>
      <c r="D4855" s="28" t="s">
        <v>922</v>
      </c>
      <c r="E4855" s="29" t="s">
        <v>923</v>
      </c>
      <c r="F4855" s="29" t="s">
        <v>325</v>
      </c>
      <c r="G4855" s="25" t="s">
        <v>6569</v>
      </c>
      <c r="H4855" s="26">
        <v>-0.152</v>
      </c>
      <c r="I4855" s="26"/>
      <c r="J4855" s="26" t="s">
        <v>512</v>
      </c>
      <c r="K4855" s="25" t="s">
        <v>513</v>
      </c>
    </row>
    <row r="4856" spans="1:11" ht="25.5" x14ac:dyDescent="0.25">
      <c r="A4856" s="22">
        <v>2026</v>
      </c>
      <c r="B4856" s="28" t="s">
        <v>222</v>
      </c>
      <c r="C4856" s="28" t="s">
        <v>97</v>
      </c>
      <c r="D4856" s="28" t="s">
        <v>922</v>
      </c>
      <c r="E4856" s="29" t="s">
        <v>923</v>
      </c>
      <c r="F4856" s="29" t="s">
        <v>325</v>
      </c>
      <c r="G4856" s="25" t="s">
        <v>6570</v>
      </c>
      <c r="H4856" s="26">
        <v>-0.16</v>
      </c>
      <c r="I4856" s="26"/>
      <c r="J4856" s="26" t="s">
        <v>512</v>
      </c>
      <c r="K4856" s="25" t="s">
        <v>513</v>
      </c>
    </row>
    <row r="4857" spans="1:11" ht="25.5" x14ac:dyDescent="0.25">
      <c r="A4857" s="22">
        <v>2026</v>
      </c>
      <c r="B4857" s="28" t="s">
        <v>222</v>
      </c>
      <c r="C4857" s="28" t="s">
        <v>97</v>
      </c>
      <c r="D4857" s="28" t="s">
        <v>198</v>
      </c>
      <c r="E4857" s="29" t="s">
        <v>923</v>
      </c>
      <c r="F4857" s="29" t="s">
        <v>412</v>
      </c>
      <c r="G4857" s="25" t="s">
        <v>6443</v>
      </c>
      <c r="H4857" s="26">
        <v>-2.6657782200000001E-2</v>
      </c>
      <c r="I4857" s="26"/>
      <c r="J4857" s="26" t="s">
        <v>512</v>
      </c>
      <c r="K4857" s="25" t="s">
        <v>513</v>
      </c>
    </row>
    <row r="4858" spans="1:11" ht="25.5" x14ac:dyDescent="0.25">
      <c r="A4858" s="22">
        <v>2026</v>
      </c>
      <c r="B4858" s="28" t="s">
        <v>222</v>
      </c>
      <c r="C4858" s="28" t="s">
        <v>97</v>
      </c>
      <c r="D4858" s="28" t="s">
        <v>198</v>
      </c>
      <c r="E4858" s="29" t="s">
        <v>923</v>
      </c>
      <c r="F4858" s="29" t="s">
        <v>412</v>
      </c>
      <c r="G4858" s="25" t="s">
        <v>6444</v>
      </c>
      <c r="H4858" s="26">
        <v>-2.0110108E-3</v>
      </c>
      <c r="I4858" s="26"/>
      <c r="J4858" s="26" t="s">
        <v>512</v>
      </c>
      <c r="K4858" s="25" t="s">
        <v>513</v>
      </c>
    </row>
    <row r="4859" spans="1:11" ht="25.5" x14ac:dyDescent="0.25">
      <c r="A4859" s="22">
        <v>2026</v>
      </c>
      <c r="B4859" s="28" t="s">
        <v>222</v>
      </c>
      <c r="C4859" s="28" t="s">
        <v>97</v>
      </c>
      <c r="D4859" s="28" t="s">
        <v>198</v>
      </c>
      <c r="E4859" s="29" t="s">
        <v>923</v>
      </c>
      <c r="F4859" s="29" t="s">
        <v>412</v>
      </c>
      <c r="G4859" s="25" t="s">
        <v>6445</v>
      </c>
      <c r="H4859" s="26">
        <v>-2.9470349999999999E-2</v>
      </c>
      <c r="I4859" s="26"/>
      <c r="J4859" s="26" t="s">
        <v>512</v>
      </c>
      <c r="K4859" s="25" t="s">
        <v>513</v>
      </c>
    </row>
    <row r="4860" spans="1:11" ht="25.5" x14ac:dyDescent="0.25">
      <c r="A4860" s="22">
        <v>2026</v>
      </c>
      <c r="B4860" s="28" t="s">
        <v>222</v>
      </c>
      <c r="C4860" s="28" t="s">
        <v>97</v>
      </c>
      <c r="D4860" s="28" t="s">
        <v>198</v>
      </c>
      <c r="E4860" s="29" t="s">
        <v>923</v>
      </c>
      <c r="F4860" s="29" t="s">
        <v>412</v>
      </c>
      <c r="G4860" s="25" t="s">
        <v>6446</v>
      </c>
      <c r="H4860" s="26">
        <v>-7.2965380499999996E-2</v>
      </c>
      <c r="I4860" s="26"/>
      <c r="J4860" s="26" t="s">
        <v>512</v>
      </c>
      <c r="K4860" s="25" t="s">
        <v>513</v>
      </c>
    </row>
    <row r="4861" spans="1:11" ht="25.5" x14ac:dyDescent="0.25">
      <c r="A4861" s="22">
        <v>2026</v>
      </c>
      <c r="B4861" s="28" t="s">
        <v>222</v>
      </c>
      <c r="C4861" s="28" t="s">
        <v>97</v>
      </c>
      <c r="D4861" s="28" t="s">
        <v>198</v>
      </c>
      <c r="E4861" s="29" t="s">
        <v>923</v>
      </c>
      <c r="F4861" s="29" t="s">
        <v>412</v>
      </c>
      <c r="G4861" s="25" t="s">
        <v>6447</v>
      </c>
      <c r="H4861" s="26">
        <v>-6.4026766400000004E-2</v>
      </c>
      <c r="I4861" s="26"/>
      <c r="J4861" s="26" t="s">
        <v>512</v>
      </c>
      <c r="K4861" s="25" t="s">
        <v>513</v>
      </c>
    </row>
    <row r="4862" spans="1:11" ht="25.5" x14ac:dyDescent="0.25">
      <c r="A4862" s="22">
        <v>2026</v>
      </c>
      <c r="B4862" s="28" t="s">
        <v>222</v>
      </c>
      <c r="C4862" s="28" t="s">
        <v>97</v>
      </c>
      <c r="D4862" s="28" t="s">
        <v>198</v>
      </c>
      <c r="E4862" s="29" t="s">
        <v>923</v>
      </c>
      <c r="F4862" s="29" t="s">
        <v>412</v>
      </c>
      <c r="G4862" s="25" t="s">
        <v>6448</v>
      </c>
      <c r="H4862" s="26">
        <v>-5.3131999999999999E-2</v>
      </c>
      <c r="I4862" s="26"/>
      <c r="J4862" s="26" t="s">
        <v>512</v>
      </c>
      <c r="K4862" s="25" t="s">
        <v>513</v>
      </c>
    </row>
    <row r="4863" spans="1:11" ht="25.5" x14ac:dyDescent="0.25">
      <c r="A4863" s="22">
        <v>2026</v>
      </c>
      <c r="B4863" s="28" t="s">
        <v>222</v>
      </c>
      <c r="C4863" s="28" t="s">
        <v>97</v>
      </c>
      <c r="D4863" s="28" t="s">
        <v>198</v>
      </c>
      <c r="E4863" s="29" t="s">
        <v>923</v>
      </c>
      <c r="F4863" s="29" t="s">
        <v>412</v>
      </c>
      <c r="G4863" s="25" t="s">
        <v>6449</v>
      </c>
      <c r="H4863" s="26">
        <v>-5.0141700000000001E-3</v>
      </c>
      <c r="I4863" s="26"/>
      <c r="J4863" s="26" t="s">
        <v>512</v>
      </c>
      <c r="K4863" s="25" t="s">
        <v>513</v>
      </c>
    </row>
    <row r="4864" spans="1:11" ht="25.5" x14ac:dyDescent="0.25">
      <c r="A4864" s="22">
        <v>2026</v>
      </c>
      <c r="B4864" s="28" t="s">
        <v>222</v>
      </c>
      <c r="C4864" s="28" t="s">
        <v>97</v>
      </c>
      <c r="D4864" s="28" t="s">
        <v>198</v>
      </c>
      <c r="E4864" s="29" t="s">
        <v>923</v>
      </c>
      <c r="F4864" s="29" t="s">
        <v>412</v>
      </c>
      <c r="G4864" s="25" t="s">
        <v>6450</v>
      </c>
      <c r="H4864" s="26">
        <v>-1.6248872000000001E-2</v>
      </c>
      <c r="I4864" s="26"/>
      <c r="J4864" s="26" t="s">
        <v>512</v>
      </c>
      <c r="K4864" s="25" t="s">
        <v>513</v>
      </c>
    </row>
    <row r="4865" spans="1:11" ht="25.5" x14ac:dyDescent="0.25">
      <c r="A4865" s="22">
        <v>2026</v>
      </c>
      <c r="B4865" s="28" t="s">
        <v>222</v>
      </c>
      <c r="C4865" s="28" t="s">
        <v>97</v>
      </c>
      <c r="D4865" s="28" t="s">
        <v>198</v>
      </c>
      <c r="E4865" s="29" t="s">
        <v>923</v>
      </c>
      <c r="F4865" s="29" t="s">
        <v>412</v>
      </c>
      <c r="G4865" s="25" t="s">
        <v>6451</v>
      </c>
      <c r="H4865" s="26">
        <v>-0.10130564169999999</v>
      </c>
      <c r="I4865" s="26"/>
      <c r="J4865" s="26" t="s">
        <v>512</v>
      </c>
      <c r="K4865" s="25" t="s">
        <v>513</v>
      </c>
    </row>
    <row r="4866" spans="1:11" ht="25.5" x14ac:dyDescent="0.25">
      <c r="A4866" s="22">
        <v>2026</v>
      </c>
      <c r="B4866" s="28" t="s">
        <v>222</v>
      </c>
      <c r="C4866" s="28" t="s">
        <v>97</v>
      </c>
      <c r="D4866" s="28" t="s">
        <v>198</v>
      </c>
      <c r="E4866" s="29" t="s">
        <v>923</v>
      </c>
      <c r="F4866" s="29" t="s">
        <v>412</v>
      </c>
      <c r="G4866" s="25" t="s">
        <v>6452</v>
      </c>
      <c r="H4866" s="26">
        <v>-5.4379737000000004E-2</v>
      </c>
      <c r="I4866" s="26"/>
      <c r="J4866" s="26" t="s">
        <v>512</v>
      </c>
      <c r="K4866" s="25" t="s">
        <v>513</v>
      </c>
    </row>
    <row r="4867" spans="1:11" ht="25.5" x14ac:dyDescent="0.25">
      <c r="A4867" s="22">
        <v>2026</v>
      </c>
      <c r="B4867" s="28" t="s">
        <v>222</v>
      </c>
      <c r="C4867" s="28" t="s">
        <v>97</v>
      </c>
      <c r="D4867" s="28" t="s">
        <v>198</v>
      </c>
      <c r="E4867" s="29" t="s">
        <v>923</v>
      </c>
      <c r="F4867" s="29" t="s">
        <v>412</v>
      </c>
      <c r="G4867" s="25" t="s">
        <v>6453</v>
      </c>
      <c r="H4867" s="26">
        <v>-5.0008962599999998E-2</v>
      </c>
      <c r="I4867" s="26"/>
      <c r="J4867" s="26" t="s">
        <v>512</v>
      </c>
      <c r="K4867" s="25" t="s">
        <v>513</v>
      </c>
    </row>
    <row r="4868" spans="1:11" ht="25.5" x14ac:dyDescent="0.25">
      <c r="A4868" s="22">
        <v>2026</v>
      </c>
      <c r="B4868" s="28" t="s">
        <v>222</v>
      </c>
      <c r="C4868" s="28" t="s">
        <v>97</v>
      </c>
      <c r="D4868" s="28" t="s">
        <v>198</v>
      </c>
      <c r="E4868" s="29" t="s">
        <v>923</v>
      </c>
      <c r="F4868" s="29" t="s">
        <v>412</v>
      </c>
      <c r="G4868" s="25" t="s">
        <v>6454</v>
      </c>
      <c r="H4868" s="26">
        <v>-8.8558724800000002E-2</v>
      </c>
      <c r="I4868" s="26"/>
      <c r="J4868" s="26" t="s">
        <v>512</v>
      </c>
      <c r="K4868" s="25" t="s">
        <v>513</v>
      </c>
    </row>
    <row r="4869" spans="1:11" ht="25.5" x14ac:dyDescent="0.25">
      <c r="A4869" s="22">
        <v>2026</v>
      </c>
      <c r="B4869" s="28" t="s">
        <v>222</v>
      </c>
      <c r="C4869" s="28" t="s">
        <v>97</v>
      </c>
      <c r="D4869" s="28" t="s">
        <v>198</v>
      </c>
      <c r="E4869" s="29" t="s">
        <v>923</v>
      </c>
      <c r="F4869" s="29" t="s">
        <v>412</v>
      </c>
      <c r="G4869" s="25" t="s">
        <v>6455</v>
      </c>
      <c r="H4869" s="26">
        <v>-4.2244836000000001E-2</v>
      </c>
      <c r="I4869" s="26"/>
      <c r="J4869" s="26" t="s">
        <v>512</v>
      </c>
      <c r="K4869" s="25" t="s">
        <v>513</v>
      </c>
    </row>
    <row r="4870" spans="1:11" ht="25.5" x14ac:dyDescent="0.25">
      <c r="A4870" s="22">
        <v>2026</v>
      </c>
      <c r="B4870" s="28" t="s">
        <v>222</v>
      </c>
      <c r="C4870" s="28" t="s">
        <v>97</v>
      </c>
      <c r="D4870" s="28" t="s">
        <v>198</v>
      </c>
      <c r="E4870" s="29" t="s">
        <v>923</v>
      </c>
      <c r="F4870" s="29" t="s">
        <v>412</v>
      </c>
      <c r="G4870" s="25" t="s">
        <v>6456</v>
      </c>
      <c r="H4870" s="26">
        <v>-4.7542280800000003E-2</v>
      </c>
      <c r="I4870" s="26"/>
      <c r="J4870" s="26" t="s">
        <v>512</v>
      </c>
      <c r="K4870" s="25" t="s">
        <v>513</v>
      </c>
    </row>
    <row r="4871" spans="1:11" ht="25.5" x14ac:dyDescent="0.25">
      <c r="A4871" s="22">
        <v>2026</v>
      </c>
      <c r="B4871" s="28" t="s">
        <v>222</v>
      </c>
      <c r="C4871" s="28" t="s">
        <v>97</v>
      </c>
      <c r="D4871" s="28" t="s">
        <v>198</v>
      </c>
      <c r="E4871" s="29" t="s">
        <v>923</v>
      </c>
      <c r="F4871" s="29" t="s">
        <v>412</v>
      </c>
      <c r="G4871" s="25" t="s">
        <v>6457</v>
      </c>
      <c r="H4871" s="26">
        <v>-2.9939799999999998E-3</v>
      </c>
      <c r="I4871" s="26"/>
      <c r="J4871" s="26" t="s">
        <v>512</v>
      </c>
      <c r="K4871" s="25" t="s">
        <v>513</v>
      </c>
    </row>
    <row r="4872" spans="1:11" ht="25.5" x14ac:dyDescent="0.25">
      <c r="A4872" s="22">
        <v>2026</v>
      </c>
      <c r="B4872" s="28" t="s">
        <v>222</v>
      </c>
      <c r="C4872" s="28" t="s">
        <v>97</v>
      </c>
      <c r="D4872" s="28" t="s">
        <v>198</v>
      </c>
      <c r="E4872" s="29" t="s">
        <v>923</v>
      </c>
      <c r="F4872" s="29" t="s">
        <v>412</v>
      </c>
      <c r="G4872" s="25" t="s">
        <v>6458</v>
      </c>
      <c r="H4872" s="26">
        <v>-4.3389752000000002E-3</v>
      </c>
      <c r="I4872" s="26"/>
      <c r="J4872" s="26" t="s">
        <v>512</v>
      </c>
      <c r="K4872" s="25" t="s">
        <v>513</v>
      </c>
    </row>
    <row r="4873" spans="1:11" ht="25.5" x14ac:dyDescent="0.25">
      <c r="A4873" s="22">
        <v>2026</v>
      </c>
      <c r="B4873" s="28" t="s">
        <v>222</v>
      </c>
      <c r="C4873" s="28" t="s">
        <v>97</v>
      </c>
      <c r="D4873" s="28" t="s">
        <v>198</v>
      </c>
      <c r="E4873" s="29" t="s">
        <v>923</v>
      </c>
      <c r="F4873" s="29" t="s">
        <v>412</v>
      </c>
      <c r="G4873" s="25" t="s">
        <v>6459</v>
      </c>
      <c r="H4873" s="26">
        <v>-1.1230726500000001E-2</v>
      </c>
      <c r="I4873" s="26"/>
      <c r="J4873" s="26" t="s">
        <v>512</v>
      </c>
      <c r="K4873" s="25" t="s">
        <v>513</v>
      </c>
    </row>
    <row r="4874" spans="1:11" ht="25.5" x14ac:dyDescent="0.25">
      <c r="A4874" s="22">
        <v>2026</v>
      </c>
      <c r="B4874" s="28" t="s">
        <v>222</v>
      </c>
      <c r="C4874" s="28" t="s">
        <v>97</v>
      </c>
      <c r="D4874" s="28" t="s">
        <v>198</v>
      </c>
      <c r="E4874" s="29" t="s">
        <v>923</v>
      </c>
      <c r="F4874" s="29" t="s">
        <v>412</v>
      </c>
      <c r="G4874" s="25" t="s">
        <v>6460</v>
      </c>
      <c r="H4874" s="26">
        <v>-8.2613787299999991E-2</v>
      </c>
      <c r="I4874" s="26"/>
      <c r="J4874" s="26" t="s">
        <v>512</v>
      </c>
      <c r="K4874" s="25" t="s">
        <v>513</v>
      </c>
    </row>
    <row r="4875" spans="1:11" ht="25.5" x14ac:dyDescent="0.25">
      <c r="A4875" s="22">
        <v>2026</v>
      </c>
      <c r="B4875" s="28" t="s">
        <v>222</v>
      </c>
      <c r="C4875" s="28" t="s">
        <v>97</v>
      </c>
      <c r="D4875" s="28" t="s">
        <v>1714</v>
      </c>
      <c r="E4875" s="29" t="s">
        <v>923</v>
      </c>
      <c r="F4875" s="29" t="s">
        <v>353</v>
      </c>
      <c r="G4875" s="25" t="s">
        <v>6571</v>
      </c>
      <c r="H4875" s="26">
        <v>-0.34350000000000003</v>
      </c>
      <c r="I4875" s="26"/>
      <c r="J4875" s="26" t="s">
        <v>512</v>
      </c>
      <c r="K4875" s="25" t="s">
        <v>513</v>
      </c>
    </row>
    <row r="4876" spans="1:11" ht="25.5" x14ac:dyDescent="0.25">
      <c r="A4876" s="22">
        <v>2026</v>
      </c>
      <c r="B4876" s="28" t="s">
        <v>222</v>
      </c>
      <c r="C4876" s="28" t="s">
        <v>97</v>
      </c>
      <c r="D4876" s="28" t="s">
        <v>1714</v>
      </c>
      <c r="E4876" s="29" t="s">
        <v>923</v>
      </c>
      <c r="F4876" s="29" t="s">
        <v>353</v>
      </c>
      <c r="G4876" s="25" t="s">
        <v>6572</v>
      </c>
      <c r="H4876" s="26">
        <v>-0.77175000000000005</v>
      </c>
      <c r="I4876" s="26"/>
      <c r="J4876" s="26" t="s">
        <v>512</v>
      </c>
      <c r="K4876" s="25" t="s">
        <v>513</v>
      </c>
    </row>
    <row r="4877" spans="1:11" ht="25.5" x14ac:dyDescent="0.25">
      <c r="A4877" s="22">
        <v>2026</v>
      </c>
      <c r="B4877" s="28" t="s">
        <v>222</v>
      </c>
      <c r="C4877" s="28" t="s">
        <v>97</v>
      </c>
      <c r="D4877" s="28" t="s">
        <v>1715</v>
      </c>
      <c r="E4877" s="29" t="s">
        <v>352</v>
      </c>
      <c r="F4877" s="29" t="s">
        <v>353</v>
      </c>
      <c r="G4877" s="25" t="s">
        <v>6573</v>
      </c>
      <c r="H4877" s="26">
        <v>-1.058682E-2</v>
      </c>
      <c r="I4877" s="26"/>
      <c r="J4877" s="26" t="s">
        <v>512</v>
      </c>
      <c r="K4877" s="25" t="s">
        <v>513</v>
      </c>
    </row>
    <row r="4878" spans="1:11" ht="25.5" x14ac:dyDescent="0.25">
      <c r="A4878" s="22">
        <v>2026</v>
      </c>
      <c r="B4878" s="28" t="s">
        <v>222</v>
      </c>
      <c r="C4878" s="28" t="s">
        <v>97</v>
      </c>
      <c r="D4878" s="28" t="s">
        <v>1715</v>
      </c>
      <c r="E4878" s="29" t="s">
        <v>352</v>
      </c>
      <c r="F4878" s="29" t="s">
        <v>353</v>
      </c>
      <c r="G4878" s="25" t="s">
        <v>6574</v>
      </c>
      <c r="H4878" s="26">
        <v>-6.1399999999999997E-6</v>
      </c>
      <c r="I4878" s="26"/>
      <c r="J4878" s="26" t="s">
        <v>512</v>
      </c>
      <c r="K4878" s="25" t="s">
        <v>513</v>
      </c>
    </row>
    <row r="4879" spans="1:11" ht="25.5" x14ac:dyDescent="0.25">
      <c r="A4879" s="22">
        <v>2026</v>
      </c>
      <c r="B4879" s="28" t="s">
        <v>222</v>
      </c>
      <c r="C4879" s="28" t="s">
        <v>97</v>
      </c>
      <c r="D4879" s="28" t="s">
        <v>1716</v>
      </c>
      <c r="E4879" s="29" t="s">
        <v>446</v>
      </c>
      <c r="F4879" s="29" t="s">
        <v>353</v>
      </c>
      <c r="G4879" s="25" t="s">
        <v>6575</v>
      </c>
      <c r="H4879" s="26">
        <v>-0.67574999999999996</v>
      </c>
      <c r="I4879" s="26"/>
      <c r="J4879" s="26" t="s">
        <v>512</v>
      </c>
      <c r="K4879" s="25" t="s">
        <v>513</v>
      </c>
    </row>
    <row r="4880" spans="1:11" ht="25.5" x14ac:dyDescent="0.25">
      <c r="A4880" s="22">
        <v>2026</v>
      </c>
      <c r="B4880" s="28" t="s">
        <v>222</v>
      </c>
      <c r="C4880" s="28" t="s">
        <v>97</v>
      </c>
      <c r="D4880" s="28" t="s">
        <v>1716</v>
      </c>
      <c r="E4880" s="29" t="s">
        <v>446</v>
      </c>
      <c r="F4880" s="29" t="s">
        <v>353</v>
      </c>
      <c r="G4880" s="25" t="s">
        <v>6576</v>
      </c>
      <c r="H4880" s="26">
        <v>-0.33150000000000002</v>
      </c>
      <c r="I4880" s="26"/>
      <c r="J4880" s="26" t="s">
        <v>512</v>
      </c>
      <c r="K4880" s="25" t="s">
        <v>513</v>
      </c>
    </row>
    <row r="4881" spans="1:11" ht="25.5" x14ac:dyDescent="0.25">
      <c r="A4881" s="22">
        <v>2026</v>
      </c>
      <c r="B4881" s="28" t="s">
        <v>222</v>
      </c>
      <c r="C4881" s="28" t="s">
        <v>97</v>
      </c>
      <c r="D4881" s="28" t="s">
        <v>1716</v>
      </c>
      <c r="E4881" s="29" t="s">
        <v>446</v>
      </c>
      <c r="F4881" s="29" t="s">
        <v>353</v>
      </c>
      <c r="G4881" s="25" t="s">
        <v>6577</v>
      </c>
      <c r="H4881" s="26">
        <v>-0.67423699999999998</v>
      </c>
      <c r="I4881" s="26"/>
      <c r="J4881" s="26" t="s">
        <v>512</v>
      </c>
      <c r="K4881" s="25" t="s">
        <v>513</v>
      </c>
    </row>
    <row r="4882" spans="1:11" ht="25.5" x14ac:dyDescent="0.25">
      <c r="A4882" s="22">
        <v>2026</v>
      </c>
      <c r="B4882" s="28" t="s">
        <v>222</v>
      </c>
      <c r="C4882" s="28" t="s">
        <v>97</v>
      </c>
      <c r="D4882" s="28" t="s">
        <v>1716</v>
      </c>
      <c r="E4882" s="29" t="s">
        <v>446</v>
      </c>
      <c r="F4882" s="29" t="s">
        <v>353</v>
      </c>
      <c r="G4882" s="25" t="s">
        <v>6578</v>
      </c>
      <c r="H4882" s="26">
        <v>-0.66851649999999996</v>
      </c>
      <c r="I4882" s="26"/>
      <c r="J4882" s="26" t="s">
        <v>512</v>
      </c>
      <c r="K4882" s="25" t="s">
        <v>513</v>
      </c>
    </row>
    <row r="4883" spans="1:11" ht="25.5" x14ac:dyDescent="0.25">
      <c r="A4883" s="22">
        <v>2026</v>
      </c>
      <c r="B4883" s="28" t="s">
        <v>222</v>
      </c>
      <c r="C4883" s="28" t="s">
        <v>97</v>
      </c>
      <c r="D4883" s="28" t="s">
        <v>1716</v>
      </c>
      <c r="E4883" s="29" t="s">
        <v>446</v>
      </c>
      <c r="F4883" s="29" t="s">
        <v>353</v>
      </c>
      <c r="G4883" s="25" t="s">
        <v>6579</v>
      </c>
      <c r="H4883" s="26">
        <v>-0.66211600000000004</v>
      </c>
      <c r="I4883" s="26"/>
      <c r="J4883" s="26" t="s">
        <v>512</v>
      </c>
      <c r="K4883" s="25" t="s">
        <v>513</v>
      </c>
    </row>
    <row r="4884" spans="1:11" ht="25.5" x14ac:dyDescent="0.25">
      <c r="A4884" s="22">
        <v>2026</v>
      </c>
      <c r="B4884" s="28" t="s">
        <v>222</v>
      </c>
      <c r="C4884" s="28" t="s">
        <v>97</v>
      </c>
      <c r="D4884" s="28" t="s">
        <v>1716</v>
      </c>
      <c r="E4884" s="29" t="s">
        <v>446</v>
      </c>
      <c r="F4884" s="29" t="s">
        <v>353</v>
      </c>
      <c r="G4884" s="25" t="s">
        <v>6580</v>
      </c>
      <c r="H4884" s="26">
        <v>-0.97286249999999996</v>
      </c>
      <c r="I4884" s="26"/>
      <c r="J4884" s="26" t="s">
        <v>512</v>
      </c>
      <c r="K4884" s="25" t="s">
        <v>513</v>
      </c>
    </row>
    <row r="4885" spans="1:11" ht="25.5" x14ac:dyDescent="0.25">
      <c r="A4885" s="22">
        <v>2026</v>
      </c>
      <c r="B4885" s="28" t="s">
        <v>222</v>
      </c>
      <c r="C4885" s="28" t="s">
        <v>97</v>
      </c>
      <c r="D4885" s="28" t="s">
        <v>1716</v>
      </c>
      <c r="E4885" s="29" t="s">
        <v>446</v>
      </c>
      <c r="F4885" s="29" t="s">
        <v>353</v>
      </c>
      <c r="G4885" s="25" t="s">
        <v>6581</v>
      </c>
      <c r="H4885" s="26">
        <v>-0.65874149999999998</v>
      </c>
      <c r="I4885" s="26"/>
      <c r="J4885" s="26" t="s">
        <v>512</v>
      </c>
      <c r="K4885" s="25" t="s">
        <v>513</v>
      </c>
    </row>
    <row r="4886" spans="1:11" ht="25.5" x14ac:dyDescent="0.25">
      <c r="A4886" s="22">
        <v>2026</v>
      </c>
      <c r="B4886" s="28" t="s">
        <v>222</v>
      </c>
      <c r="C4886" s="28" t="s">
        <v>97</v>
      </c>
      <c r="D4886" s="28" t="s">
        <v>1716</v>
      </c>
      <c r="E4886" s="29" t="s">
        <v>446</v>
      </c>
      <c r="F4886" s="29" t="s">
        <v>353</v>
      </c>
      <c r="G4886" s="25" t="s">
        <v>6582</v>
      </c>
      <c r="H4886" s="26">
        <v>-0.65873300000000001</v>
      </c>
      <c r="I4886" s="26"/>
      <c r="J4886" s="26" t="s">
        <v>512</v>
      </c>
      <c r="K4886" s="25" t="s">
        <v>513</v>
      </c>
    </row>
    <row r="4887" spans="1:11" ht="25.5" x14ac:dyDescent="0.25">
      <c r="A4887" s="22">
        <v>2026</v>
      </c>
      <c r="B4887" s="28" t="s">
        <v>222</v>
      </c>
      <c r="C4887" s="28" t="s">
        <v>97</v>
      </c>
      <c r="D4887" s="28" t="s">
        <v>1716</v>
      </c>
      <c r="E4887" s="29" t="s">
        <v>446</v>
      </c>
      <c r="F4887" s="29" t="s">
        <v>353</v>
      </c>
      <c r="G4887" s="25" t="s">
        <v>6583</v>
      </c>
      <c r="H4887" s="26">
        <v>-0.66379900000000003</v>
      </c>
      <c r="I4887" s="26"/>
      <c r="J4887" s="26" t="s">
        <v>512</v>
      </c>
      <c r="K4887" s="25" t="s">
        <v>513</v>
      </c>
    </row>
    <row r="4888" spans="1:11" ht="25.5" x14ac:dyDescent="0.25">
      <c r="A4888" s="22">
        <v>2026</v>
      </c>
      <c r="B4888" s="28" t="s">
        <v>222</v>
      </c>
      <c r="C4888" s="28" t="s">
        <v>97</v>
      </c>
      <c r="D4888" s="28" t="s">
        <v>1716</v>
      </c>
      <c r="E4888" s="29" t="s">
        <v>446</v>
      </c>
      <c r="F4888" s="29" t="s">
        <v>353</v>
      </c>
      <c r="G4888" s="25" t="s">
        <v>6584</v>
      </c>
      <c r="H4888" s="26">
        <v>-0.65620000000000001</v>
      </c>
      <c r="I4888" s="26"/>
      <c r="J4888" s="26" t="s">
        <v>512</v>
      </c>
      <c r="K4888" s="25" t="s">
        <v>513</v>
      </c>
    </row>
    <row r="4889" spans="1:11" ht="25.5" x14ac:dyDescent="0.25">
      <c r="A4889" s="22">
        <v>2026</v>
      </c>
      <c r="B4889" s="28" t="s">
        <v>222</v>
      </c>
      <c r="C4889" s="28" t="s">
        <v>97</v>
      </c>
      <c r="D4889" s="28" t="s">
        <v>1716</v>
      </c>
      <c r="E4889" s="29" t="s">
        <v>446</v>
      </c>
      <c r="F4889" s="29" t="s">
        <v>353</v>
      </c>
      <c r="G4889" s="25" t="s">
        <v>6585</v>
      </c>
      <c r="H4889" s="26">
        <v>-0.97543749999999996</v>
      </c>
      <c r="I4889" s="26"/>
      <c r="J4889" s="26" t="s">
        <v>512</v>
      </c>
      <c r="K4889" s="25" t="s">
        <v>513</v>
      </c>
    </row>
    <row r="4890" spans="1:11" ht="25.5" x14ac:dyDescent="0.25">
      <c r="A4890" s="22">
        <v>2026</v>
      </c>
      <c r="B4890" s="28" t="s">
        <v>222</v>
      </c>
      <c r="C4890" s="28" t="s">
        <v>97</v>
      </c>
      <c r="D4890" s="28" t="s">
        <v>1716</v>
      </c>
      <c r="E4890" s="29" t="s">
        <v>446</v>
      </c>
      <c r="F4890" s="29" t="s">
        <v>353</v>
      </c>
      <c r="G4890" s="25" t="s">
        <v>6586</v>
      </c>
      <c r="H4890" s="26">
        <v>-0.66841450000000002</v>
      </c>
      <c r="I4890" s="26"/>
      <c r="J4890" s="26" t="s">
        <v>512</v>
      </c>
      <c r="K4890" s="25" t="s">
        <v>513</v>
      </c>
    </row>
    <row r="4891" spans="1:11" ht="25.5" x14ac:dyDescent="0.25">
      <c r="A4891" s="22">
        <v>2026</v>
      </c>
      <c r="B4891" s="28" t="s">
        <v>222</v>
      </c>
      <c r="C4891" s="28" t="s">
        <v>97</v>
      </c>
      <c r="D4891" s="28" t="s">
        <v>1716</v>
      </c>
      <c r="E4891" s="29" t="s">
        <v>446</v>
      </c>
      <c r="F4891" s="29" t="s">
        <v>353</v>
      </c>
      <c r="G4891" s="25" t="s">
        <v>6587</v>
      </c>
      <c r="H4891" s="26">
        <v>-0.67405000000000004</v>
      </c>
      <c r="I4891" s="26"/>
      <c r="J4891" s="26" t="s">
        <v>512</v>
      </c>
      <c r="K4891" s="25" t="s">
        <v>513</v>
      </c>
    </row>
    <row r="4892" spans="1:11" ht="25.5" x14ac:dyDescent="0.25">
      <c r="A4892" s="22">
        <v>2026</v>
      </c>
      <c r="B4892" s="28" t="s">
        <v>222</v>
      </c>
      <c r="C4892" s="28" t="s">
        <v>97</v>
      </c>
      <c r="D4892" s="28" t="s">
        <v>1716</v>
      </c>
      <c r="E4892" s="29" t="s">
        <v>446</v>
      </c>
      <c r="F4892" s="29" t="s">
        <v>353</v>
      </c>
      <c r="G4892" s="25" t="s">
        <v>6588</v>
      </c>
      <c r="H4892" s="26">
        <v>-0.67447500000000005</v>
      </c>
      <c r="I4892" s="26"/>
      <c r="J4892" s="26" t="s">
        <v>512</v>
      </c>
      <c r="K4892" s="25" t="s">
        <v>513</v>
      </c>
    </row>
    <row r="4893" spans="1:11" ht="25.5" x14ac:dyDescent="0.25">
      <c r="A4893" s="22">
        <v>2026</v>
      </c>
      <c r="B4893" s="28" t="s">
        <v>222</v>
      </c>
      <c r="C4893" s="28" t="s">
        <v>97</v>
      </c>
      <c r="D4893" s="28" t="s">
        <v>1716</v>
      </c>
      <c r="E4893" s="29" t="s">
        <v>446</v>
      </c>
      <c r="F4893" s="29" t="s">
        <v>353</v>
      </c>
      <c r="G4893" s="25" t="s">
        <v>6589</v>
      </c>
      <c r="H4893" s="26">
        <v>-0.67771349999999997</v>
      </c>
      <c r="I4893" s="26"/>
      <c r="J4893" s="26" t="s">
        <v>512</v>
      </c>
      <c r="K4893" s="25" t="s">
        <v>513</v>
      </c>
    </row>
    <row r="4894" spans="1:11" ht="25.5" x14ac:dyDescent="0.25">
      <c r="A4894" s="22">
        <v>2026</v>
      </c>
      <c r="B4894" s="28" t="s">
        <v>222</v>
      </c>
      <c r="C4894" s="28" t="s">
        <v>97</v>
      </c>
      <c r="D4894" s="28" t="s">
        <v>1716</v>
      </c>
      <c r="E4894" s="29" t="s">
        <v>446</v>
      </c>
      <c r="F4894" s="29" t="s">
        <v>353</v>
      </c>
      <c r="G4894" s="25" t="s">
        <v>6590</v>
      </c>
      <c r="H4894" s="26">
        <v>-0.68169999999999997</v>
      </c>
      <c r="I4894" s="26"/>
      <c r="J4894" s="26" t="s">
        <v>512</v>
      </c>
      <c r="K4894" s="25" t="s">
        <v>513</v>
      </c>
    </row>
    <row r="4895" spans="1:11" ht="25.5" x14ac:dyDescent="0.25">
      <c r="A4895" s="22">
        <v>2026</v>
      </c>
      <c r="B4895" s="28" t="s">
        <v>222</v>
      </c>
      <c r="C4895" s="28" t="s">
        <v>97</v>
      </c>
      <c r="D4895" s="28" t="s">
        <v>1716</v>
      </c>
      <c r="E4895" s="29" t="s">
        <v>446</v>
      </c>
      <c r="F4895" s="29" t="s">
        <v>353</v>
      </c>
      <c r="G4895" s="25" t="s">
        <v>6591</v>
      </c>
      <c r="H4895" s="26">
        <v>-0.68327249999999995</v>
      </c>
      <c r="I4895" s="26"/>
      <c r="J4895" s="26" t="s">
        <v>512</v>
      </c>
      <c r="K4895" s="25" t="s">
        <v>513</v>
      </c>
    </row>
    <row r="4896" spans="1:11" ht="25.5" x14ac:dyDescent="0.25">
      <c r="A4896" s="22">
        <v>2026</v>
      </c>
      <c r="B4896" s="28" t="s">
        <v>222</v>
      </c>
      <c r="C4896" s="28" t="s">
        <v>97</v>
      </c>
      <c r="D4896" s="28" t="s">
        <v>1716</v>
      </c>
      <c r="E4896" s="29" t="s">
        <v>446</v>
      </c>
      <c r="F4896" s="29" t="s">
        <v>353</v>
      </c>
      <c r="G4896" s="25" t="s">
        <v>6592</v>
      </c>
      <c r="H4896" s="26">
        <v>-0.67743299999999995</v>
      </c>
      <c r="I4896" s="26"/>
      <c r="J4896" s="26" t="s">
        <v>512</v>
      </c>
      <c r="K4896" s="25" t="s">
        <v>513</v>
      </c>
    </row>
    <row r="4897" spans="1:11" ht="25.5" x14ac:dyDescent="0.25">
      <c r="A4897" s="22">
        <v>2026</v>
      </c>
      <c r="B4897" s="28" t="s">
        <v>222</v>
      </c>
      <c r="C4897" s="28" t="s">
        <v>97</v>
      </c>
      <c r="D4897" s="28" t="s">
        <v>1716</v>
      </c>
      <c r="E4897" s="29" t="s">
        <v>446</v>
      </c>
      <c r="F4897" s="29" t="s">
        <v>353</v>
      </c>
      <c r="G4897" s="25" t="s">
        <v>6593</v>
      </c>
      <c r="H4897" s="26">
        <v>-0.40150000000000002</v>
      </c>
      <c r="I4897" s="26"/>
      <c r="J4897" s="26" t="s">
        <v>512</v>
      </c>
      <c r="K4897" s="25" t="s">
        <v>513</v>
      </c>
    </row>
    <row r="4898" spans="1:11" ht="25.5" x14ac:dyDescent="0.25">
      <c r="A4898" s="22">
        <v>2026</v>
      </c>
      <c r="B4898" s="28" t="s">
        <v>222</v>
      </c>
      <c r="C4898" s="28" t="s">
        <v>97</v>
      </c>
      <c r="D4898" s="28" t="s">
        <v>229</v>
      </c>
      <c r="E4898" s="29" t="s">
        <v>923</v>
      </c>
      <c r="F4898" s="29" t="s">
        <v>298</v>
      </c>
      <c r="G4898" s="25" t="s">
        <v>6594</v>
      </c>
      <c r="H4898" s="26">
        <v>-0.63773484499999999</v>
      </c>
      <c r="I4898" s="26"/>
      <c r="J4898" s="26" t="s">
        <v>512</v>
      </c>
      <c r="K4898" s="25" t="s">
        <v>526</v>
      </c>
    </row>
    <row r="4899" spans="1:11" ht="25.5" x14ac:dyDescent="0.25">
      <c r="A4899" s="22">
        <v>2026</v>
      </c>
      <c r="B4899" s="28" t="s">
        <v>222</v>
      </c>
      <c r="C4899" s="28" t="s">
        <v>97</v>
      </c>
      <c r="D4899" s="28" t="s">
        <v>229</v>
      </c>
      <c r="E4899" s="29" t="s">
        <v>923</v>
      </c>
      <c r="F4899" s="29" t="s">
        <v>298</v>
      </c>
      <c r="G4899" s="25" t="s">
        <v>6595</v>
      </c>
      <c r="H4899" s="26">
        <v>-0.79239034476000003</v>
      </c>
      <c r="I4899" s="26"/>
      <c r="J4899" s="26" t="s">
        <v>512</v>
      </c>
      <c r="K4899" s="25" t="s">
        <v>526</v>
      </c>
    </row>
    <row r="4900" spans="1:11" ht="25.5" x14ac:dyDescent="0.25">
      <c r="A4900" s="22">
        <v>2026</v>
      </c>
      <c r="B4900" s="28" t="s">
        <v>222</v>
      </c>
      <c r="C4900" s="28" t="s">
        <v>97</v>
      </c>
      <c r="D4900" s="28" t="s">
        <v>229</v>
      </c>
      <c r="E4900" s="29" t="s">
        <v>923</v>
      </c>
      <c r="F4900" s="29" t="s">
        <v>298</v>
      </c>
      <c r="G4900" s="25" t="s">
        <v>6596</v>
      </c>
      <c r="H4900" s="26">
        <v>-0.62331205128</v>
      </c>
      <c r="I4900" s="26"/>
      <c r="J4900" s="26" t="s">
        <v>512</v>
      </c>
      <c r="K4900" s="25" t="s">
        <v>526</v>
      </c>
    </row>
    <row r="4901" spans="1:11" ht="25.5" x14ac:dyDescent="0.25">
      <c r="A4901" s="22">
        <v>2026</v>
      </c>
      <c r="B4901" s="28" t="s">
        <v>222</v>
      </c>
      <c r="C4901" s="28" t="s">
        <v>97</v>
      </c>
      <c r="D4901" s="28" t="s">
        <v>229</v>
      </c>
      <c r="E4901" s="29" t="s">
        <v>923</v>
      </c>
      <c r="F4901" s="29" t="s">
        <v>298</v>
      </c>
      <c r="G4901" s="25" t="s">
        <v>6597</v>
      </c>
      <c r="H4901" s="26">
        <v>-0.2452095</v>
      </c>
      <c r="I4901" s="26"/>
      <c r="J4901" s="26" t="s">
        <v>512</v>
      </c>
      <c r="K4901" s="25" t="s">
        <v>526</v>
      </c>
    </row>
    <row r="4902" spans="1:11" ht="25.5" x14ac:dyDescent="0.25">
      <c r="A4902" s="22">
        <v>2026</v>
      </c>
      <c r="B4902" s="28" t="s">
        <v>222</v>
      </c>
      <c r="C4902" s="28" t="s">
        <v>97</v>
      </c>
      <c r="D4902" s="28" t="s">
        <v>229</v>
      </c>
      <c r="E4902" s="29" t="s">
        <v>923</v>
      </c>
      <c r="F4902" s="29" t="s">
        <v>298</v>
      </c>
      <c r="G4902" s="25" t="s">
        <v>6598</v>
      </c>
      <c r="H4902" s="26">
        <v>-0.329204</v>
      </c>
      <c r="I4902" s="26"/>
      <c r="J4902" s="26" t="s">
        <v>512</v>
      </c>
      <c r="K4902" s="25" t="s">
        <v>526</v>
      </c>
    </row>
    <row r="4903" spans="1:11" ht="25.5" x14ac:dyDescent="0.25">
      <c r="A4903" s="22">
        <v>2026</v>
      </c>
      <c r="B4903" s="28" t="s">
        <v>222</v>
      </c>
      <c r="C4903" s="28" t="s">
        <v>97</v>
      </c>
      <c r="D4903" s="28" t="s">
        <v>229</v>
      </c>
      <c r="E4903" s="29" t="s">
        <v>923</v>
      </c>
      <c r="F4903" s="29" t="s">
        <v>298</v>
      </c>
      <c r="G4903" s="25" t="s">
        <v>6599</v>
      </c>
      <c r="H4903" s="26">
        <v>-0.15986287954</v>
      </c>
      <c r="I4903" s="26"/>
      <c r="J4903" s="26" t="s">
        <v>512</v>
      </c>
      <c r="K4903" s="25" t="s">
        <v>526</v>
      </c>
    </row>
    <row r="4904" spans="1:11" ht="25.5" x14ac:dyDescent="0.25">
      <c r="A4904" s="22">
        <v>2026</v>
      </c>
      <c r="B4904" s="28" t="s">
        <v>222</v>
      </c>
      <c r="C4904" s="28" t="s">
        <v>97</v>
      </c>
      <c r="D4904" s="28" t="s">
        <v>229</v>
      </c>
      <c r="E4904" s="29" t="s">
        <v>923</v>
      </c>
      <c r="F4904" s="29" t="s">
        <v>298</v>
      </c>
      <c r="G4904" s="25" t="s">
        <v>6600</v>
      </c>
      <c r="H4904" s="26">
        <v>-0.2796942</v>
      </c>
      <c r="I4904" s="26"/>
      <c r="J4904" s="26" t="s">
        <v>512</v>
      </c>
      <c r="K4904" s="25" t="s">
        <v>526</v>
      </c>
    </row>
    <row r="4905" spans="1:11" ht="25.5" x14ac:dyDescent="0.25">
      <c r="A4905" s="22">
        <v>2026</v>
      </c>
      <c r="B4905" s="28" t="s">
        <v>222</v>
      </c>
      <c r="C4905" s="28" t="s">
        <v>97</v>
      </c>
      <c r="D4905" s="28" t="s">
        <v>229</v>
      </c>
      <c r="E4905" s="29" t="s">
        <v>923</v>
      </c>
      <c r="F4905" s="29" t="s">
        <v>298</v>
      </c>
      <c r="G4905" s="25" t="s">
        <v>6601</v>
      </c>
      <c r="H4905" s="26">
        <v>-0.29646</v>
      </c>
      <c r="I4905" s="26"/>
      <c r="J4905" s="26" t="s">
        <v>512</v>
      </c>
      <c r="K4905" s="25" t="s">
        <v>526</v>
      </c>
    </row>
    <row r="4906" spans="1:11" ht="25.5" x14ac:dyDescent="0.25">
      <c r="A4906" s="22">
        <v>2026</v>
      </c>
      <c r="B4906" s="28" t="s">
        <v>222</v>
      </c>
      <c r="C4906" s="28" t="s">
        <v>97</v>
      </c>
      <c r="D4906" s="28" t="s">
        <v>229</v>
      </c>
      <c r="E4906" s="29" t="s">
        <v>923</v>
      </c>
      <c r="F4906" s="29" t="s">
        <v>298</v>
      </c>
      <c r="G4906" s="25" t="s">
        <v>6602</v>
      </c>
      <c r="H4906" s="26">
        <v>-0.65515199999999996</v>
      </c>
      <c r="I4906" s="26"/>
      <c r="J4906" s="26" t="s">
        <v>512</v>
      </c>
      <c r="K4906" s="25" t="s">
        <v>526</v>
      </c>
    </row>
    <row r="4907" spans="1:11" ht="25.5" x14ac:dyDescent="0.25">
      <c r="A4907" s="22">
        <v>2026</v>
      </c>
      <c r="B4907" s="28" t="s">
        <v>222</v>
      </c>
      <c r="C4907" s="28" t="s">
        <v>97</v>
      </c>
      <c r="D4907" s="28" t="s">
        <v>229</v>
      </c>
      <c r="E4907" s="29" t="s">
        <v>923</v>
      </c>
      <c r="F4907" s="29" t="s">
        <v>298</v>
      </c>
      <c r="G4907" s="25" t="s">
        <v>6603</v>
      </c>
      <c r="H4907" s="26">
        <v>-0.32958700000000002</v>
      </c>
      <c r="I4907" s="26"/>
      <c r="J4907" s="26" t="s">
        <v>512</v>
      </c>
      <c r="K4907" s="25" t="s">
        <v>526</v>
      </c>
    </row>
    <row r="4908" spans="1:11" ht="25.5" x14ac:dyDescent="0.25">
      <c r="A4908" s="22">
        <v>2026</v>
      </c>
      <c r="B4908" s="28" t="s">
        <v>222</v>
      </c>
      <c r="C4908" s="28" t="s">
        <v>97</v>
      </c>
      <c r="D4908" s="28" t="s">
        <v>229</v>
      </c>
      <c r="E4908" s="29" t="s">
        <v>923</v>
      </c>
      <c r="F4908" s="29" t="s">
        <v>298</v>
      </c>
      <c r="G4908" s="25" t="s">
        <v>6604</v>
      </c>
      <c r="H4908" s="26">
        <v>-0.66308599999999995</v>
      </c>
      <c r="I4908" s="26"/>
      <c r="J4908" s="26" t="s">
        <v>512</v>
      </c>
      <c r="K4908" s="25" t="s">
        <v>526</v>
      </c>
    </row>
    <row r="4909" spans="1:11" ht="25.5" x14ac:dyDescent="0.25">
      <c r="A4909" s="22">
        <v>2026</v>
      </c>
      <c r="B4909" s="28" t="s">
        <v>222</v>
      </c>
      <c r="C4909" s="28" t="s">
        <v>97</v>
      </c>
      <c r="D4909" s="28" t="s">
        <v>229</v>
      </c>
      <c r="E4909" s="29" t="s">
        <v>923</v>
      </c>
      <c r="F4909" s="29" t="s">
        <v>298</v>
      </c>
      <c r="G4909" s="25" t="s">
        <v>6605</v>
      </c>
      <c r="H4909" s="26">
        <v>-1.3413120000000001</v>
      </c>
      <c r="I4909" s="26"/>
      <c r="J4909" s="26" t="s">
        <v>512</v>
      </c>
      <c r="K4909" s="25" t="s">
        <v>526</v>
      </c>
    </row>
    <row r="4910" spans="1:11" ht="25.5" x14ac:dyDescent="0.25">
      <c r="A4910" s="22">
        <v>2026</v>
      </c>
      <c r="B4910" s="28" t="s">
        <v>222</v>
      </c>
      <c r="C4910" s="28" t="s">
        <v>97</v>
      </c>
      <c r="D4910" s="28" t="s">
        <v>229</v>
      </c>
      <c r="E4910" s="29" t="s">
        <v>923</v>
      </c>
      <c r="F4910" s="29" t="s">
        <v>298</v>
      </c>
      <c r="G4910" s="25" t="s">
        <v>6606</v>
      </c>
      <c r="H4910" s="26">
        <v>-9.9146432000000007E-2</v>
      </c>
      <c r="I4910" s="26"/>
      <c r="J4910" s="26" t="s">
        <v>512</v>
      </c>
      <c r="K4910" s="25" t="s">
        <v>526</v>
      </c>
    </row>
    <row r="4911" spans="1:11" ht="25.5" x14ac:dyDescent="0.25">
      <c r="A4911" s="22">
        <v>2026</v>
      </c>
      <c r="B4911" s="28" t="s">
        <v>222</v>
      </c>
      <c r="C4911" s="28" t="s">
        <v>97</v>
      </c>
      <c r="D4911" s="28" t="s">
        <v>229</v>
      </c>
      <c r="E4911" s="29" t="s">
        <v>923</v>
      </c>
      <c r="F4911" s="29" t="s">
        <v>298</v>
      </c>
      <c r="G4911" s="25" t="s">
        <v>6607</v>
      </c>
      <c r="H4911" s="26">
        <v>-2.0936639999999999E-2</v>
      </c>
      <c r="I4911" s="26"/>
      <c r="J4911" s="26" t="s">
        <v>512</v>
      </c>
      <c r="K4911" s="25" t="s">
        <v>526</v>
      </c>
    </row>
    <row r="4912" spans="1:11" ht="25.5" x14ac:dyDescent="0.25">
      <c r="A4912" s="22">
        <v>2026</v>
      </c>
      <c r="B4912" s="28" t="s">
        <v>222</v>
      </c>
      <c r="C4912" s="28" t="s">
        <v>97</v>
      </c>
      <c r="D4912" s="28" t="s">
        <v>229</v>
      </c>
      <c r="E4912" s="29" t="s">
        <v>923</v>
      </c>
      <c r="F4912" s="29" t="s">
        <v>298</v>
      </c>
      <c r="G4912" s="25" t="s">
        <v>6608</v>
      </c>
      <c r="H4912" s="26">
        <v>-3.9360099999999995E-2</v>
      </c>
      <c r="I4912" s="26"/>
      <c r="J4912" s="26" t="s">
        <v>512</v>
      </c>
      <c r="K4912" s="25" t="s">
        <v>526</v>
      </c>
    </row>
    <row r="4913" spans="1:11" ht="25.5" x14ac:dyDescent="0.25">
      <c r="A4913" s="22">
        <v>2026</v>
      </c>
      <c r="B4913" s="28" t="s">
        <v>222</v>
      </c>
      <c r="C4913" s="28" t="s">
        <v>97</v>
      </c>
      <c r="D4913" s="28" t="s">
        <v>229</v>
      </c>
      <c r="E4913" s="29" t="s">
        <v>923</v>
      </c>
      <c r="F4913" s="29" t="s">
        <v>298</v>
      </c>
      <c r="G4913" s="25" t="s">
        <v>6609</v>
      </c>
      <c r="H4913" s="26">
        <v>-0.67901800000000001</v>
      </c>
      <c r="I4913" s="26"/>
      <c r="J4913" s="26" t="s">
        <v>512</v>
      </c>
      <c r="K4913" s="25" t="s">
        <v>526</v>
      </c>
    </row>
    <row r="4914" spans="1:11" ht="25.5" x14ac:dyDescent="0.25">
      <c r="A4914" s="22">
        <v>2026</v>
      </c>
      <c r="B4914" s="28" t="s">
        <v>222</v>
      </c>
      <c r="C4914" s="28" t="s">
        <v>97</v>
      </c>
      <c r="D4914" s="28" t="s">
        <v>1717</v>
      </c>
      <c r="E4914" s="29" t="s">
        <v>1084</v>
      </c>
      <c r="F4914" s="29" t="s">
        <v>576</v>
      </c>
      <c r="G4914" s="25" t="s">
        <v>6610</v>
      </c>
      <c r="H4914" s="26">
        <v>-9.5591066500000002E-2</v>
      </c>
      <c r="I4914" s="26"/>
      <c r="J4914" s="26" t="s">
        <v>512</v>
      </c>
      <c r="K4914" s="25" t="s">
        <v>513</v>
      </c>
    </row>
    <row r="4915" spans="1:11" ht="25.5" x14ac:dyDescent="0.25">
      <c r="A4915" s="22">
        <v>2026</v>
      </c>
      <c r="B4915" s="28" t="s">
        <v>222</v>
      </c>
      <c r="C4915" s="28" t="s">
        <v>97</v>
      </c>
      <c r="D4915" s="28" t="s">
        <v>1717</v>
      </c>
      <c r="E4915" s="29" t="s">
        <v>1084</v>
      </c>
      <c r="F4915" s="29" t="s">
        <v>576</v>
      </c>
      <c r="G4915" s="25" t="s">
        <v>6611</v>
      </c>
      <c r="H4915" s="26">
        <v>-2.1278950400000003E-2</v>
      </c>
      <c r="I4915" s="26"/>
      <c r="J4915" s="26" t="s">
        <v>512</v>
      </c>
      <c r="K4915" s="25" t="s">
        <v>513</v>
      </c>
    </row>
    <row r="4916" spans="1:11" ht="25.5" x14ac:dyDescent="0.25">
      <c r="A4916" s="22">
        <v>2026</v>
      </c>
      <c r="B4916" s="28" t="s">
        <v>222</v>
      </c>
      <c r="C4916" s="28" t="s">
        <v>97</v>
      </c>
      <c r="D4916" s="28" t="s">
        <v>1717</v>
      </c>
      <c r="E4916" s="29" t="s">
        <v>1084</v>
      </c>
      <c r="F4916" s="29" t="s">
        <v>576</v>
      </c>
      <c r="G4916" s="25" t="s">
        <v>6612</v>
      </c>
      <c r="H4916" s="26">
        <v>-1.9701060000000003E-2</v>
      </c>
      <c r="I4916" s="26"/>
      <c r="J4916" s="26" t="s">
        <v>512</v>
      </c>
      <c r="K4916" s="25" t="s">
        <v>513</v>
      </c>
    </row>
    <row r="4917" spans="1:11" ht="25.5" x14ac:dyDescent="0.25">
      <c r="A4917" s="22">
        <v>2026</v>
      </c>
      <c r="B4917" s="28" t="s">
        <v>222</v>
      </c>
      <c r="C4917" s="28" t="s">
        <v>97</v>
      </c>
      <c r="D4917" s="28" t="s">
        <v>1717</v>
      </c>
      <c r="E4917" s="29" t="s">
        <v>1084</v>
      </c>
      <c r="F4917" s="29" t="s">
        <v>576</v>
      </c>
      <c r="G4917" s="25" t="s">
        <v>6613</v>
      </c>
      <c r="H4917" s="26">
        <v>-0.11804784</v>
      </c>
      <c r="I4917" s="26"/>
      <c r="J4917" s="26" t="s">
        <v>512</v>
      </c>
      <c r="K4917" s="25" t="s">
        <v>513</v>
      </c>
    </row>
    <row r="4918" spans="1:11" ht="25.5" x14ac:dyDescent="0.25">
      <c r="A4918" s="22">
        <v>2026</v>
      </c>
      <c r="B4918" s="28" t="s">
        <v>222</v>
      </c>
      <c r="C4918" s="28" t="s">
        <v>97</v>
      </c>
      <c r="D4918" s="28" t="s">
        <v>1718</v>
      </c>
      <c r="E4918" s="29" t="s">
        <v>1084</v>
      </c>
      <c r="F4918" s="29" t="s">
        <v>1762</v>
      </c>
      <c r="G4918" s="25" t="s">
        <v>6614</v>
      </c>
      <c r="H4918" s="26">
        <v>-0.29698999999999998</v>
      </c>
      <c r="I4918" s="26"/>
      <c r="J4918" s="26" t="s">
        <v>512</v>
      </c>
      <c r="K4918" s="25" t="s">
        <v>513</v>
      </c>
    </row>
    <row r="4919" spans="1:11" ht="25.5" x14ac:dyDescent="0.25">
      <c r="A4919" s="22">
        <v>2026</v>
      </c>
      <c r="B4919" s="28" t="s">
        <v>222</v>
      </c>
      <c r="C4919" s="28" t="s">
        <v>97</v>
      </c>
      <c r="D4919" s="28" t="s">
        <v>1718</v>
      </c>
      <c r="E4919" s="29" t="s">
        <v>1084</v>
      </c>
      <c r="F4919" s="29" t="s">
        <v>1762</v>
      </c>
      <c r="G4919" s="25" t="s">
        <v>6615</v>
      </c>
      <c r="H4919" s="26">
        <v>-0.57793194969999995</v>
      </c>
      <c r="I4919" s="26"/>
      <c r="J4919" s="26" t="s">
        <v>512</v>
      </c>
      <c r="K4919" s="25" t="s">
        <v>513</v>
      </c>
    </row>
    <row r="4920" spans="1:11" ht="25.5" x14ac:dyDescent="0.25">
      <c r="A4920" s="22">
        <v>2026</v>
      </c>
      <c r="B4920" s="28" t="s">
        <v>222</v>
      </c>
      <c r="C4920" s="28" t="s">
        <v>97</v>
      </c>
      <c r="D4920" s="28" t="s">
        <v>1718</v>
      </c>
      <c r="E4920" s="29" t="s">
        <v>1084</v>
      </c>
      <c r="F4920" s="29" t="s">
        <v>1762</v>
      </c>
      <c r="G4920" s="25" t="s">
        <v>6616</v>
      </c>
      <c r="H4920" s="26">
        <v>-0.75063636869999995</v>
      </c>
      <c r="I4920" s="26"/>
      <c r="J4920" s="26" t="s">
        <v>512</v>
      </c>
      <c r="K4920" s="25" t="s">
        <v>513</v>
      </c>
    </row>
    <row r="4921" spans="1:11" ht="25.5" x14ac:dyDescent="0.25">
      <c r="A4921" s="22">
        <v>2026</v>
      </c>
      <c r="B4921" s="28" t="s">
        <v>222</v>
      </c>
      <c r="C4921" s="28" t="s">
        <v>97</v>
      </c>
      <c r="D4921" s="28" t="s">
        <v>1718</v>
      </c>
      <c r="E4921" s="29" t="s">
        <v>1084</v>
      </c>
      <c r="F4921" s="29" t="s">
        <v>1762</v>
      </c>
      <c r="G4921" s="25" t="s">
        <v>6617</v>
      </c>
      <c r="H4921" s="26">
        <v>-0.14402424960000001</v>
      </c>
      <c r="I4921" s="26"/>
      <c r="J4921" s="26" t="s">
        <v>512</v>
      </c>
      <c r="K4921" s="25" t="s">
        <v>513</v>
      </c>
    </row>
    <row r="4922" spans="1:11" ht="25.5" x14ac:dyDescent="0.25">
      <c r="A4922" s="22">
        <v>2026</v>
      </c>
      <c r="B4922" s="28" t="s">
        <v>222</v>
      </c>
      <c r="C4922" s="28" t="s">
        <v>97</v>
      </c>
      <c r="D4922" s="28" t="s">
        <v>1719</v>
      </c>
      <c r="E4922" s="29" t="s">
        <v>1084</v>
      </c>
      <c r="F4922" s="29" t="s">
        <v>287</v>
      </c>
      <c r="G4922" s="25" t="s">
        <v>6618</v>
      </c>
      <c r="H4922" s="26">
        <v>-0.81367379520000005</v>
      </c>
      <c r="I4922" s="26"/>
      <c r="J4922" s="26" t="s">
        <v>514</v>
      </c>
      <c r="K4922" s="25" t="s">
        <v>513</v>
      </c>
    </row>
    <row r="4923" spans="1:11" ht="25.5" x14ac:dyDescent="0.25">
      <c r="A4923" s="22">
        <v>2026</v>
      </c>
      <c r="B4923" s="28" t="s">
        <v>222</v>
      </c>
      <c r="C4923" s="28" t="s">
        <v>97</v>
      </c>
      <c r="D4923" s="28" t="s">
        <v>1719</v>
      </c>
      <c r="E4923" s="29" t="s">
        <v>1084</v>
      </c>
      <c r="F4923" s="29" t="s">
        <v>287</v>
      </c>
      <c r="G4923" s="25" t="s">
        <v>6619</v>
      </c>
      <c r="H4923" s="26">
        <v>-0.78919442909999993</v>
      </c>
      <c r="I4923" s="26"/>
      <c r="J4923" s="26" t="s">
        <v>514</v>
      </c>
      <c r="K4923" s="25" t="s">
        <v>513</v>
      </c>
    </row>
    <row r="4924" spans="1:11" ht="25.5" x14ac:dyDescent="0.25">
      <c r="A4924" s="22">
        <v>2026</v>
      </c>
      <c r="B4924" s="28" t="s">
        <v>222</v>
      </c>
      <c r="C4924" s="28" t="s">
        <v>97</v>
      </c>
      <c r="D4924" s="28" t="s">
        <v>1719</v>
      </c>
      <c r="E4924" s="29" t="s">
        <v>1084</v>
      </c>
      <c r="F4924" s="29" t="s">
        <v>287</v>
      </c>
      <c r="G4924" s="25" t="s">
        <v>6620</v>
      </c>
      <c r="H4924" s="26">
        <v>-1.2636571680000002</v>
      </c>
      <c r="I4924" s="26"/>
      <c r="J4924" s="26" t="s">
        <v>514</v>
      </c>
      <c r="K4924" s="25" t="s">
        <v>513</v>
      </c>
    </row>
    <row r="4925" spans="1:11" ht="25.5" x14ac:dyDescent="0.25">
      <c r="A4925" s="22">
        <v>2026</v>
      </c>
      <c r="B4925" s="28" t="s">
        <v>222</v>
      </c>
      <c r="C4925" s="28" t="s">
        <v>97</v>
      </c>
      <c r="D4925" s="28" t="s">
        <v>1719</v>
      </c>
      <c r="E4925" s="29" t="s">
        <v>1084</v>
      </c>
      <c r="F4925" s="29" t="s">
        <v>287</v>
      </c>
      <c r="G4925" s="25" t="s">
        <v>6621</v>
      </c>
      <c r="H4925" s="26">
        <v>-0.749130348</v>
      </c>
      <c r="I4925" s="26"/>
      <c r="J4925" s="26" t="s">
        <v>514</v>
      </c>
      <c r="K4925" s="25" t="s">
        <v>513</v>
      </c>
    </row>
    <row r="4926" spans="1:11" ht="25.5" x14ac:dyDescent="0.25">
      <c r="A4926" s="22">
        <v>2026</v>
      </c>
      <c r="B4926" s="28" t="s">
        <v>222</v>
      </c>
      <c r="C4926" s="28" t="s">
        <v>97</v>
      </c>
      <c r="D4926" s="28" t="s">
        <v>1719</v>
      </c>
      <c r="E4926" s="29" t="s">
        <v>1084</v>
      </c>
      <c r="F4926" s="29" t="s">
        <v>287</v>
      </c>
      <c r="G4926" s="25" t="s">
        <v>6622</v>
      </c>
      <c r="H4926" s="26">
        <v>-1.0537026162000001</v>
      </c>
      <c r="I4926" s="26"/>
      <c r="J4926" s="26" t="s">
        <v>514</v>
      </c>
      <c r="K4926" s="25" t="s">
        <v>513</v>
      </c>
    </row>
    <row r="4927" spans="1:11" ht="25.5" x14ac:dyDescent="0.25">
      <c r="A4927" s="22">
        <v>2026</v>
      </c>
      <c r="B4927" s="28" t="s">
        <v>222</v>
      </c>
      <c r="C4927" s="28" t="s">
        <v>97</v>
      </c>
      <c r="D4927" s="28" t="s">
        <v>1719</v>
      </c>
      <c r="E4927" s="29" t="s">
        <v>1084</v>
      </c>
      <c r="F4927" s="29" t="s">
        <v>287</v>
      </c>
      <c r="G4927" s="25" t="s">
        <v>6623</v>
      </c>
      <c r="H4927" s="26">
        <v>-0.69380108909999993</v>
      </c>
      <c r="I4927" s="26"/>
      <c r="J4927" s="26" t="s">
        <v>514</v>
      </c>
      <c r="K4927" s="25" t="s">
        <v>513</v>
      </c>
    </row>
    <row r="4928" spans="1:11" ht="25.5" x14ac:dyDescent="0.25">
      <c r="A4928" s="22">
        <v>2026</v>
      </c>
      <c r="B4928" s="28" t="s">
        <v>222</v>
      </c>
      <c r="C4928" s="28" t="s">
        <v>97</v>
      </c>
      <c r="D4928" s="28" t="s">
        <v>1719</v>
      </c>
      <c r="E4928" s="29" t="s">
        <v>1084</v>
      </c>
      <c r="F4928" s="29" t="s">
        <v>287</v>
      </c>
      <c r="G4928" s="25" t="s">
        <v>6624</v>
      </c>
      <c r="H4928" s="26">
        <v>-0.50013600000000002</v>
      </c>
      <c r="I4928" s="26"/>
      <c r="J4928" s="26" t="s">
        <v>514</v>
      </c>
      <c r="K4928" s="25" t="s">
        <v>513</v>
      </c>
    </row>
    <row r="4929" spans="1:11" ht="25.5" x14ac:dyDescent="0.25">
      <c r="A4929" s="22">
        <v>2026</v>
      </c>
      <c r="B4929" s="28" t="s">
        <v>222</v>
      </c>
      <c r="C4929" s="28" t="s">
        <v>97</v>
      </c>
      <c r="D4929" s="28" t="s">
        <v>1719</v>
      </c>
      <c r="E4929" s="29" t="s">
        <v>1084</v>
      </c>
      <c r="F4929" s="29" t="s">
        <v>287</v>
      </c>
      <c r="G4929" s="25" t="s">
        <v>6625</v>
      </c>
      <c r="H4929" s="26">
        <v>-1.2037849350000001</v>
      </c>
      <c r="I4929" s="26"/>
      <c r="J4929" s="26" t="s">
        <v>514</v>
      </c>
      <c r="K4929" s="25" t="s">
        <v>513</v>
      </c>
    </row>
    <row r="4930" spans="1:11" ht="25.5" x14ac:dyDescent="0.25">
      <c r="A4930" s="22">
        <v>2026</v>
      </c>
      <c r="B4930" s="28" t="s">
        <v>222</v>
      </c>
      <c r="C4930" s="28" t="s">
        <v>97</v>
      </c>
      <c r="D4930" s="28" t="s">
        <v>1719</v>
      </c>
      <c r="E4930" s="29" t="s">
        <v>1084</v>
      </c>
      <c r="F4930" s="29" t="s">
        <v>287</v>
      </c>
      <c r="G4930" s="25" t="s">
        <v>6626</v>
      </c>
      <c r="H4930" s="26">
        <v>-0.73434905779999993</v>
      </c>
      <c r="I4930" s="26"/>
      <c r="J4930" s="26" t="s">
        <v>514</v>
      </c>
      <c r="K4930" s="25" t="s">
        <v>513</v>
      </c>
    </row>
    <row r="4931" spans="1:11" ht="25.5" x14ac:dyDescent="0.25">
      <c r="A4931" s="22">
        <v>2026</v>
      </c>
      <c r="B4931" s="28" t="s">
        <v>222</v>
      </c>
      <c r="C4931" s="28" t="s">
        <v>97</v>
      </c>
      <c r="D4931" s="28" t="s">
        <v>1719</v>
      </c>
      <c r="E4931" s="29" t="s">
        <v>1084</v>
      </c>
      <c r="F4931" s="29" t="s">
        <v>287</v>
      </c>
      <c r="G4931" s="25" t="s">
        <v>6627</v>
      </c>
      <c r="H4931" s="26">
        <v>-0.61783876699999996</v>
      </c>
      <c r="I4931" s="26"/>
      <c r="J4931" s="26" t="s">
        <v>514</v>
      </c>
      <c r="K4931" s="25" t="s">
        <v>513</v>
      </c>
    </row>
    <row r="4932" spans="1:11" ht="25.5" x14ac:dyDescent="0.25">
      <c r="A4932" s="22">
        <v>2026</v>
      </c>
      <c r="B4932" s="28" t="s">
        <v>222</v>
      </c>
      <c r="C4932" s="28" t="s">
        <v>97</v>
      </c>
      <c r="D4932" s="28" t="s">
        <v>1719</v>
      </c>
      <c r="E4932" s="29" t="s">
        <v>1084</v>
      </c>
      <c r="F4932" s="29" t="s">
        <v>287</v>
      </c>
      <c r="G4932" s="25" t="s">
        <v>6628</v>
      </c>
      <c r="H4932" s="26">
        <v>-0.35149999999999998</v>
      </c>
      <c r="I4932" s="26"/>
      <c r="J4932" s="26" t="s">
        <v>514</v>
      </c>
      <c r="K4932" s="25" t="s">
        <v>513</v>
      </c>
    </row>
    <row r="4933" spans="1:11" ht="25.5" x14ac:dyDescent="0.25">
      <c r="A4933" s="22">
        <v>2026</v>
      </c>
      <c r="B4933" s="28" t="s">
        <v>222</v>
      </c>
      <c r="C4933" s="28" t="s">
        <v>97</v>
      </c>
      <c r="D4933" s="28" t="s">
        <v>1719</v>
      </c>
      <c r="E4933" s="29" t="s">
        <v>1084</v>
      </c>
      <c r="F4933" s="29" t="s">
        <v>287</v>
      </c>
      <c r="G4933" s="25" t="s">
        <v>6629</v>
      </c>
      <c r="H4933" s="26">
        <v>-0.80444788089999997</v>
      </c>
      <c r="I4933" s="26"/>
      <c r="J4933" s="26" t="s">
        <v>514</v>
      </c>
      <c r="K4933" s="25" t="s">
        <v>513</v>
      </c>
    </row>
    <row r="4934" spans="1:11" ht="25.5" x14ac:dyDescent="0.25">
      <c r="A4934" s="22">
        <v>2026</v>
      </c>
      <c r="B4934" s="28" t="s">
        <v>222</v>
      </c>
      <c r="C4934" s="28" t="s">
        <v>97</v>
      </c>
      <c r="D4934" s="28" t="s">
        <v>1719</v>
      </c>
      <c r="E4934" s="29" t="s">
        <v>1084</v>
      </c>
      <c r="F4934" s="29" t="s">
        <v>287</v>
      </c>
      <c r="G4934" s="25" t="s">
        <v>6630</v>
      </c>
      <c r="H4934" s="26">
        <v>-1.6029675723000001</v>
      </c>
      <c r="I4934" s="26"/>
      <c r="J4934" s="26" t="s">
        <v>514</v>
      </c>
      <c r="K4934" s="25" t="s">
        <v>513</v>
      </c>
    </row>
    <row r="4935" spans="1:11" ht="25.5" x14ac:dyDescent="0.25">
      <c r="A4935" s="22">
        <v>2026</v>
      </c>
      <c r="B4935" s="28" t="s">
        <v>222</v>
      </c>
      <c r="C4935" s="28" t="s">
        <v>97</v>
      </c>
      <c r="D4935" s="28" t="s">
        <v>1719</v>
      </c>
      <c r="E4935" s="29" t="s">
        <v>1084</v>
      </c>
      <c r="F4935" s="29" t="s">
        <v>287</v>
      </c>
      <c r="G4935" s="25" t="s">
        <v>6631</v>
      </c>
      <c r="H4935" s="26">
        <v>-0.23306879999999999</v>
      </c>
      <c r="I4935" s="26"/>
      <c r="J4935" s="26" t="s">
        <v>514</v>
      </c>
      <c r="K4935" s="25" t="s">
        <v>513</v>
      </c>
    </row>
    <row r="4936" spans="1:11" ht="25.5" x14ac:dyDescent="0.25">
      <c r="A4936" s="22">
        <v>2026</v>
      </c>
      <c r="B4936" s="28" t="s">
        <v>222</v>
      </c>
      <c r="C4936" s="28" t="s">
        <v>97</v>
      </c>
      <c r="D4936" s="28" t="s">
        <v>1720</v>
      </c>
      <c r="E4936" s="29" t="s">
        <v>1084</v>
      </c>
      <c r="F4936" s="29" t="s">
        <v>483</v>
      </c>
      <c r="G4936" s="25" t="s">
        <v>6632</v>
      </c>
      <c r="H4936" s="26">
        <v>-1.2045300000000001</v>
      </c>
      <c r="I4936" s="26"/>
      <c r="J4936" s="26" t="s">
        <v>512</v>
      </c>
      <c r="K4936" s="25" t="s">
        <v>513</v>
      </c>
    </row>
    <row r="4937" spans="1:11" ht="25.5" x14ac:dyDescent="0.25">
      <c r="A4937" s="22">
        <v>2026</v>
      </c>
      <c r="B4937" s="28" t="s">
        <v>222</v>
      </c>
      <c r="C4937" s="28" t="s">
        <v>97</v>
      </c>
      <c r="D4937" s="28" t="s">
        <v>1720</v>
      </c>
      <c r="E4937" s="29" t="s">
        <v>1084</v>
      </c>
      <c r="F4937" s="29" t="s">
        <v>483</v>
      </c>
      <c r="G4937" s="25" t="s">
        <v>6633</v>
      </c>
      <c r="H4937" s="26">
        <v>-1.23516</v>
      </c>
      <c r="I4937" s="26"/>
      <c r="J4937" s="26" t="s">
        <v>512</v>
      </c>
      <c r="K4937" s="25" t="s">
        <v>513</v>
      </c>
    </row>
    <row r="4938" spans="1:11" ht="25.5" x14ac:dyDescent="0.25">
      <c r="A4938" s="22">
        <v>2026</v>
      </c>
      <c r="B4938" s="28" t="s">
        <v>222</v>
      </c>
      <c r="C4938" s="28" t="s">
        <v>97</v>
      </c>
      <c r="D4938" s="28" t="s">
        <v>1720</v>
      </c>
      <c r="E4938" s="29" t="s">
        <v>1084</v>
      </c>
      <c r="F4938" s="29" t="s">
        <v>483</v>
      </c>
      <c r="G4938" s="25" t="s">
        <v>6634</v>
      </c>
      <c r="H4938" s="26">
        <v>-1.2233700000000001</v>
      </c>
      <c r="I4938" s="26"/>
      <c r="J4938" s="26" t="s">
        <v>512</v>
      </c>
      <c r="K4938" s="25" t="s">
        <v>513</v>
      </c>
    </row>
    <row r="4939" spans="1:11" ht="25.5" x14ac:dyDescent="0.25">
      <c r="A4939" s="22">
        <v>2026</v>
      </c>
      <c r="B4939" s="28" t="s">
        <v>222</v>
      </c>
      <c r="C4939" s="28" t="s">
        <v>97</v>
      </c>
      <c r="D4939" s="28" t="s">
        <v>1720</v>
      </c>
      <c r="E4939" s="29" t="s">
        <v>1084</v>
      </c>
      <c r="F4939" s="29" t="s">
        <v>483</v>
      </c>
      <c r="G4939" s="25" t="s">
        <v>6635</v>
      </c>
      <c r="H4939" s="26">
        <v>-2.0246</v>
      </c>
      <c r="I4939" s="26"/>
      <c r="J4939" s="26" t="s">
        <v>512</v>
      </c>
      <c r="K4939" s="25" t="s">
        <v>513</v>
      </c>
    </row>
    <row r="4940" spans="1:11" ht="25.5" x14ac:dyDescent="0.25">
      <c r="A4940" s="22">
        <v>2026</v>
      </c>
      <c r="B4940" s="28" t="s">
        <v>222</v>
      </c>
      <c r="C4940" s="28" t="s">
        <v>97</v>
      </c>
      <c r="D4940" s="28" t="s">
        <v>1720</v>
      </c>
      <c r="E4940" s="29" t="s">
        <v>1084</v>
      </c>
      <c r="F4940" s="29" t="s">
        <v>483</v>
      </c>
      <c r="G4940" s="25" t="s">
        <v>6636</v>
      </c>
      <c r="H4940" s="26">
        <v>-2.4175200000000001</v>
      </c>
      <c r="I4940" s="26"/>
      <c r="J4940" s="26" t="s">
        <v>512</v>
      </c>
      <c r="K4940" s="25" t="s">
        <v>513</v>
      </c>
    </row>
    <row r="4941" spans="1:11" ht="25.5" x14ac:dyDescent="0.25">
      <c r="A4941" s="22">
        <v>2026</v>
      </c>
      <c r="B4941" s="28" t="s">
        <v>222</v>
      </c>
      <c r="C4941" s="28" t="s">
        <v>97</v>
      </c>
      <c r="D4941" s="28" t="s">
        <v>1720</v>
      </c>
      <c r="E4941" s="29" t="s">
        <v>1084</v>
      </c>
      <c r="F4941" s="29" t="s">
        <v>483</v>
      </c>
      <c r="G4941" s="25" t="s">
        <v>6637</v>
      </c>
      <c r="H4941" s="26">
        <v>-2.0280999999999998</v>
      </c>
      <c r="I4941" s="26"/>
      <c r="J4941" s="26" t="s">
        <v>512</v>
      </c>
      <c r="K4941" s="25" t="s">
        <v>513</v>
      </c>
    </row>
    <row r="4942" spans="1:11" ht="25.5" x14ac:dyDescent="0.25">
      <c r="A4942" s="22">
        <v>2026</v>
      </c>
      <c r="B4942" s="28" t="s">
        <v>222</v>
      </c>
      <c r="C4942" s="28" t="s">
        <v>97</v>
      </c>
      <c r="D4942" s="28" t="s">
        <v>1720</v>
      </c>
      <c r="E4942" s="29" t="s">
        <v>1084</v>
      </c>
      <c r="F4942" s="29" t="s">
        <v>483</v>
      </c>
      <c r="G4942" s="25" t="s">
        <v>6638</v>
      </c>
      <c r="H4942" s="26">
        <v>-1.6059600000000001</v>
      </c>
      <c r="I4942" s="26"/>
      <c r="J4942" s="26" t="s">
        <v>512</v>
      </c>
      <c r="K4942" s="25" t="s">
        <v>513</v>
      </c>
    </row>
    <row r="4943" spans="1:11" ht="25.5" x14ac:dyDescent="0.25">
      <c r="A4943" s="22">
        <v>2026</v>
      </c>
      <c r="B4943" s="28" t="s">
        <v>222</v>
      </c>
      <c r="C4943" s="28" t="s">
        <v>97</v>
      </c>
      <c r="D4943" s="28" t="s">
        <v>1720</v>
      </c>
      <c r="E4943" s="29" t="s">
        <v>1084</v>
      </c>
      <c r="F4943" s="29" t="s">
        <v>483</v>
      </c>
      <c r="G4943" s="25" t="s">
        <v>6639</v>
      </c>
      <c r="H4943" s="26">
        <v>-1.4136500000000001</v>
      </c>
      <c r="I4943" s="26"/>
      <c r="J4943" s="26" t="s">
        <v>512</v>
      </c>
      <c r="K4943" s="25" t="s">
        <v>513</v>
      </c>
    </row>
    <row r="4944" spans="1:11" ht="25.5" x14ac:dyDescent="0.25">
      <c r="A4944" s="22">
        <v>2026</v>
      </c>
      <c r="B4944" s="28" t="s">
        <v>222</v>
      </c>
      <c r="C4944" s="28" t="s">
        <v>97</v>
      </c>
      <c r="D4944" s="28" t="s">
        <v>1720</v>
      </c>
      <c r="E4944" s="29" t="s">
        <v>1084</v>
      </c>
      <c r="F4944" s="29" t="s">
        <v>483</v>
      </c>
      <c r="G4944" s="25" t="s">
        <v>6640</v>
      </c>
      <c r="H4944" s="26">
        <v>-1.6308800000000001</v>
      </c>
      <c r="I4944" s="26"/>
      <c r="J4944" s="26" t="s">
        <v>512</v>
      </c>
      <c r="K4944" s="25" t="s">
        <v>513</v>
      </c>
    </row>
    <row r="4945" spans="1:11" ht="25.5" x14ac:dyDescent="0.25">
      <c r="A4945" s="22">
        <v>2026</v>
      </c>
      <c r="B4945" s="28" t="s">
        <v>222</v>
      </c>
      <c r="C4945" s="28" t="s">
        <v>97</v>
      </c>
      <c r="D4945" s="28" t="s">
        <v>1720</v>
      </c>
      <c r="E4945" s="29" t="s">
        <v>1084</v>
      </c>
      <c r="F4945" s="29" t="s">
        <v>483</v>
      </c>
      <c r="G4945" s="25" t="s">
        <v>6641</v>
      </c>
      <c r="H4945" s="26">
        <v>-2.0659000000000001</v>
      </c>
      <c r="I4945" s="26"/>
      <c r="J4945" s="26" t="s">
        <v>512</v>
      </c>
      <c r="K4945" s="25" t="s">
        <v>513</v>
      </c>
    </row>
    <row r="4946" spans="1:11" ht="25.5" x14ac:dyDescent="0.25">
      <c r="A4946" s="22">
        <v>2026</v>
      </c>
      <c r="B4946" s="28" t="s">
        <v>222</v>
      </c>
      <c r="C4946" s="28" t="s">
        <v>97</v>
      </c>
      <c r="D4946" s="28" t="s">
        <v>1720</v>
      </c>
      <c r="E4946" s="29" t="s">
        <v>1084</v>
      </c>
      <c r="F4946" s="29" t="s">
        <v>483</v>
      </c>
      <c r="G4946" s="25" t="s">
        <v>6642</v>
      </c>
      <c r="H4946" s="26">
        <v>-1.6797599999999999</v>
      </c>
      <c r="I4946" s="26"/>
      <c r="J4946" s="26" t="s">
        <v>512</v>
      </c>
      <c r="K4946" s="25" t="s">
        <v>513</v>
      </c>
    </row>
    <row r="4947" spans="1:11" ht="25.5" x14ac:dyDescent="0.25">
      <c r="A4947" s="22">
        <v>2026</v>
      </c>
      <c r="B4947" s="28" t="s">
        <v>222</v>
      </c>
      <c r="C4947" s="28" t="s">
        <v>97</v>
      </c>
      <c r="D4947" s="28" t="s">
        <v>1720</v>
      </c>
      <c r="E4947" s="29" t="s">
        <v>1084</v>
      </c>
      <c r="F4947" s="29" t="s">
        <v>483</v>
      </c>
      <c r="G4947" s="25" t="s">
        <v>6643</v>
      </c>
      <c r="H4947" s="26">
        <v>-1.6798</v>
      </c>
      <c r="I4947" s="26"/>
      <c r="J4947" s="26" t="s">
        <v>512</v>
      </c>
      <c r="K4947" s="25" t="s">
        <v>513</v>
      </c>
    </row>
    <row r="4948" spans="1:11" ht="25.5" x14ac:dyDescent="0.25">
      <c r="A4948" s="22">
        <v>2026</v>
      </c>
      <c r="B4948" s="28" t="s">
        <v>222</v>
      </c>
      <c r="C4948" s="28" t="s">
        <v>97</v>
      </c>
      <c r="D4948" s="28" t="s">
        <v>1721</v>
      </c>
      <c r="E4948" s="29" t="s">
        <v>411</v>
      </c>
      <c r="F4948" s="29" t="s">
        <v>353</v>
      </c>
      <c r="G4948" s="25" t="s">
        <v>6644</v>
      </c>
      <c r="H4948" s="26">
        <v>-1.0153756501</v>
      </c>
      <c r="I4948" s="26"/>
      <c r="J4948" s="26" t="s">
        <v>512</v>
      </c>
      <c r="K4948" s="25" t="s">
        <v>513</v>
      </c>
    </row>
    <row r="4949" spans="1:11" ht="25.5" x14ac:dyDescent="0.25">
      <c r="A4949" s="22">
        <v>2026</v>
      </c>
      <c r="B4949" s="28" t="s">
        <v>222</v>
      </c>
      <c r="C4949" s="28" t="s">
        <v>97</v>
      </c>
      <c r="D4949" s="28" t="s">
        <v>1721</v>
      </c>
      <c r="E4949" s="29" t="s">
        <v>411</v>
      </c>
      <c r="F4949" s="29" t="s">
        <v>353</v>
      </c>
      <c r="G4949" s="25" t="s">
        <v>6645</v>
      </c>
      <c r="H4949" s="26">
        <v>-1.1410499999999999</v>
      </c>
      <c r="I4949" s="26"/>
      <c r="J4949" s="26" t="s">
        <v>512</v>
      </c>
      <c r="K4949" s="25" t="s">
        <v>513</v>
      </c>
    </row>
    <row r="4950" spans="1:11" ht="25.5" x14ac:dyDescent="0.25">
      <c r="A4950" s="22">
        <v>2026</v>
      </c>
      <c r="B4950" s="28" t="s">
        <v>222</v>
      </c>
      <c r="C4950" s="28" t="s">
        <v>97</v>
      </c>
      <c r="D4950" s="28" t="s">
        <v>1721</v>
      </c>
      <c r="E4950" s="29" t="s">
        <v>411</v>
      </c>
      <c r="F4950" s="29" t="s">
        <v>353</v>
      </c>
      <c r="G4950" s="25" t="s">
        <v>6646</v>
      </c>
      <c r="H4950" s="26">
        <v>-1.8870499999999999</v>
      </c>
      <c r="I4950" s="26"/>
      <c r="J4950" s="26" t="s">
        <v>512</v>
      </c>
      <c r="K4950" s="25" t="s">
        <v>513</v>
      </c>
    </row>
    <row r="4951" spans="1:11" ht="25.5" x14ac:dyDescent="0.25">
      <c r="A4951" s="22">
        <v>2026</v>
      </c>
      <c r="B4951" s="28" t="s">
        <v>222</v>
      </c>
      <c r="C4951" s="28" t="s">
        <v>97</v>
      </c>
      <c r="D4951" s="28" t="s">
        <v>1721</v>
      </c>
      <c r="E4951" s="29" t="s">
        <v>411</v>
      </c>
      <c r="F4951" s="29" t="s">
        <v>353</v>
      </c>
      <c r="G4951" s="25" t="s">
        <v>6647</v>
      </c>
      <c r="H4951" s="26">
        <v>-1.49654</v>
      </c>
      <c r="I4951" s="26"/>
      <c r="J4951" s="26" t="s">
        <v>512</v>
      </c>
      <c r="K4951" s="25" t="s">
        <v>513</v>
      </c>
    </row>
    <row r="4952" spans="1:11" ht="25.5" x14ac:dyDescent="0.25">
      <c r="A4952" s="22">
        <v>2026</v>
      </c>
      <c r="B4952" s="28" t="s">
        <v>222</v>
      </c>
      <c r="C4952" s="28" t="s">
        <v>97</v>
      </c>
      <c r="D4952" s="28" t="s">
        <v>1721</v>
      </c>
      <c r="E4952" s="29" t="s">
        <v>411</v>
      </c>
      <c r="F4952" s="29" t="s">
        <v>353</v>
      </c>
      <c r="G4952" s="25" t="s">
        <v>6648</v>
      </c>
      <c r="H4952" s="26">
        <v>-1.12791</v>
      </c>
      <c r="I4952" s="26"/>
      <c r="J4952" s="26" t="s">
        <v>512</v>
      </c>
      <c r="K4952" s="25" t="s">
        <v>513</v>
      </c>
    </row>
    <row r="4953" spans="1:11" ht="25.5" x14ac:dyDescent="0.25">
      <c r="A4953" s="22">
        <v>2026</v>
      </c>
      <c r="B4953" s="28" t="s">
        <v>222</v>
      </c>
      <c r="C4953" s="28" t="s">
        <v>97</v>
      </c>
      <c r="D4953" s="28" t="s">
        <v>1721</v>
      </c>
      <c r="E4953" s="29" t="s">
        <v>411</v>
      </c>
      <c r="F4953" s="29" t="s">
        <v>353</v>
      </c>
      <c r="G4953" s="25" t="s">
        <v>6649</v>
      </c>
      <c r="H4953" s="26">
        <v>-1.4850399999999999</v>
      </c>
      <c r="I4953" s="26"/>
      <c r="J4953" s="26" t="s">
        <v>512</v>
      </c>
      <c r="K4953" s="25" t="s">
        <v>513</v>
      </c>
    </row>
    <row r="4954" spans="1:11" ht="25.5" x14ac:dyDescent="0.25">
      <c r="A4954" s="22">
        <v>2026</v>
      </c>
      <c r="B4954" s="28" t="s">
        <v>222</v>
      </c>
      <c r="C4954" s="28" t="s">
        <v>97</v>
      </c>
      <c r="D4954" s="28" t="s">
        <v>1721</v>
      </c>
      <c r="E4954" s="29" t="s">
        <v>411</v>
      </c>
      <c r="F4954" s="29" t="s">
        <v>353</v>
      </c>
      <c r="G4954" s="25" t="s">
        <v>6650</v>
      </c>
      <c r="H4954" s="26">
        <v>-0.68388031400000004</v>
      </c>
      <c r="I4954" s="26"/>
      <c r="J4954" s="26" t="s">
        <v>512</v>
      </c>
      <c r="K4954" s="25" t="s">
        <v>513</v>
      </c>
    </row>
    <row r="4955" spans="1:11" ht="25.5" x14ac:dyDescent="0.25">
      <c r="A4955" s="22">
        <v>2026</v>
      </c>
      <c r="B4955" s="28" t="s">
        <v>222</v>
      </c>
      <c r="C4955" s="28" t="s">
        <v>97</v>
      </c>
      <c r="D4955" s="28" t="s">
        <v>1721</v>
      </c>
      <c r="E4955" s="29" t="s">
        <v>411</v>
      </c>
      <c r="F4955" s="29" t="s">
        <v>353</v>
      </c>
      <c r="G4955" s="25" t="s">
        <v>6651</v>
      </c>
      <c r="H4955" s="26">
        <v>-1.4162030000000001</v>
      </c>
      <c r="I4955" s="26"/>
      <c r="J4955" s="26" t="s">
        <v>512</v>
      </c>
      <c r="K4955" s="25" t="s">
        <v>513</v>
      </c>
    </row>
    <row r="4956" spans="1:11" ht="25.5" x14ac:dyDescent="0.25">
      <c r="A4956" s="22">
        <v>2026</v>
      </c>
      <c r="B4956" s="28" t="s">
        <v>222</v>
      </c>
      <c r="C4956" s="28" t="s">
        <v>97</v>
      </c>
      <c r="D4956" s="28" t="s">
        <v>1721</v>
      </c>
      <c r="E4956" s="29" t="s">
        <v>411</v>
      </c>
      <c r="F4956" s="29" t="s">
        <v>353</v>
      </c>
      <c r="G4956" s="25" t="s">
        <v>6652</v>
      </c>
      <c r="H4956" s="26">
        <v>-1.36422</v>
      </c>
      <c r="I4956" s="26"/>
      <c r="J4956" s="26" t="s">
        <v>512</v>
      </c>
      <c r="K4956" s="25" t="s">
        <v>513</v>
      </c>
    </row>
    <row r="4957" spans="1:11" ht="25.5" x14ac:dyDescent="0.25">
      <c r="A4957" s="22">
        <v>2026</v>
      </c>
      <c r="B4957" s="28" t="s">
        <v>222</v>
      </c>
      <c r="C4957" s="28" t="s">
        <v>97</v>
      </c>
      <c r="D4957" s="28" t="s">
        <v>1721</v>
      </c>
      <c r="E4957" s="29" t="s">
        <v>411</v>
      </c>
      <c r="F4957" s="29" t="s">
        <v>353</v>
      </c>
      <c r="G4957" s="25" t="s">
        <v>6653</v>
      </c>
      <c r="H4957" s="26">
        <v>-0.95956249999999998</v>
      </c>
      <c r="I4957" s="26"/>
      <c r="J4957" s="26" t="s">
        <v>512</v>
      </c>
      <c r="K4957" s="25" t="s">
        <v>513</v>
      </c>
    </row>
    <row r="4958" spans="1:11" ht="25.5" x14ac:dyDescent="0.25">
      <c r="A4958" s="22">
        <v>2026</v>
      </c>
      <c r="B4958" s="28" t="s">
        <v>222</v>
      </c>
      <c r="C4958" s="28" t="s">
        <v>97</v>
      </c>
      <c r="D4958" s="28" t="s">
        <v>1721</v>
      </c>
      <c r="E4958" s="29" t="s">
        <v>411</v>
      </c>
      <c r="F4958" s="29" t="s">
        <v>353</v>
      </c>
      <c r="G4958" s="25" t="s">
        <v>6654</v>
      </c>
      <c r="H4958" s="26">
        <v>-0.93739530000000004</v>
      </c>
      <c r="I4958" s="26"/>
      <c r="J4958" s="26" t="s">
        <v>512</v>
      </c>
      <c r="K4958" s="25" t="s">
        <v>513</v>
      </c>
    </row>
    <row r="4959" spans="1:11" ht="25.5" x14ac:dyDescent="0.25">
      <c r="A4959" s="22">
        <v>2026</v>
      </c>
      <c r="B4959" s="28" t="s">
        <v>222</v>
      </c>
      <c r="C4959" s="28" t="s">
        <v>97</v>
      </c>
      <c r="D4959" s="28" t="s">
        <v>1721</v>
      </c>
      <c r="E4959" s="29" t="s">
        <v>411</v>
      </c>
      <c r="F4959" s="29" t="s">
        <v>353</v>
      </c>
      <c r="G4959" s="25" t="s">
        <v>6655</v>
      </c>
      <c r="H4959" s="26">
        <v>-1.0664359999999999</v>
      </c>
      <c r="I4959" s="26"/>
      <c r="J4959" s="26" t="s">
        <v>512</v>
      </c>
      <c r="K4959" s="25" t="s">
        <v>513</v>
      </c>
    </row>
    <row r="4960" spans="1:11" ht="25.5" x14ac:dyDescent="0.25">
      <c r="A4960" s="22">
        <v>2026</v>
      </c>
      <c r="B4960" s="28" t="s">
        <v>222</v>
      </c>
      <c r="C4960" s="28" t="s">
        <v>97</v>
      </c>
      <c r="D4960" s="28" t="s">
        <v>1721</v>
      </c>
      <c r="E4960" s="29" t="s">
        <v>411</v>
      </c>
      <c r="F4960" s="29" t="s">
        <v>353</v>
      </c>
      <c r="G4960" s="25" t="s">
        <v>6656</v>
      </c>
      <c r="H4960" s="26">
        <v>-1.429826</v>
      </c>
      <c r="I4960" s="26"/>
      <c r="J4960" s="26" t="s">
        <v>512</v>
      </c>
      <c r="K4960" s="25" t="s">
        <v>513</v>
      </c>
    </row>
    <row r="4961" spans="1:11" ht="25.5" x14ac:dyDescent="0.25">
      <c r="A4961" s="22">
        <v>2026</v>
      </c>
      <c r="B4961" s="28" t="s">
        <v>222</v>
      </c>
      <c r="C4961" s="28" t="s">
        <v>97</v>
      </c>
      <c r="D4961" s="28" t="s">
        <v>1722</v>
      </c>
      <c r="E4961" s="29" t="s">
        <v>640</v>
      </c>
      <c r="F4961" s="29" t="s">
        <v>282</v>
      </c>
      <c r="G4961" s="25" t="s">
        <v>6657</v>
      </c>
      <c r="H4961" s="26">
        <v>-3.0850901E-2</v>
      </c>
      <c r="I4961" s="26"/>
      <c r="J4961" s="26" t="s">
        <v>521</v>
      </c>
      <c r="K4961" s="25" t="s">
        <v>513</v>
      </c>
    </row>
    <row r="4962" spans="1:11" ht="25.5" x14ac:dyDescent="0.25">
      <c r="A4962" s="22">
        <v>2026</v>
      </c>
      <c r="B4962" s="28" t="s">
        <v>222</v>
      </c>
      <c r="C4962" s="28" t="s">
        <v>97</v>
      </c>
      <c r="D4962" s="28" t="s">
        <v>1722</v>
      </c>
      <c r="E4962" s="29" t="s">
        <v>640</v>
      </c>
      <c r="F4962" s="29" t="s">
        <v>282</v>
      </c>
      <c r="G4962" s="25" t="s">
        <v>6658</v>
      </c>
      <c r="H4962" s="26">
        <v>-3.8970423000000004E-2</v>
      </c>
      <c r="I4962" s="26"/>
      <c r="J4962" s="26" t="s">
        <v>521</v>
      </c>
      <c r="K4962" s="25" t="s">
        <v>513</v>
      </c>
    </row>
    <row r="4963" spans="1:11" ht="25.5" x14ac:dyDescent="0.25">
      <c r="A4963" s="22">
        <v>2026</v>
      </c>
      <c r="B4963" s="28" t="s">
        <v>222</v>
      </c>
      <c r="C4963" s="28" t="s">
        <v>97</v>
      </c>
      <c r="D4963" s="28" t="s">
        <v>1722</v>
      </c>
      <c r="E4963" s="29" t="s">
        <v>640</v>
      </c>
      <c r="F4963" s="29" t="s">
        <v>282</v>
      </c>
      <c r="G4963" s="25" t="s">
        <v>6659</v>
      </c>
      <c r="H4963" s="26">
        <v>-2.97704146E-2</v>
      </c>
      <c r="I4963" s="26"/>
      <c r="J4963" s="26" t="s">
        <v>521</v>
      </c>
      <c r="K4963" s="25" t="s">
        <v>513</v>
      </c>
    </row>
    <row r="4964" spans="1:11" ht="25.5" x14ac:dyDescent="0.25">
      <c r="A4964" s="22">
        <v>2026</v>
      </c>
      <c r="B4964" s="28" t="s">
        <v>222</v>
      </c>
      <c r="C4964" s="28" t="s">
        <v>97</v>
      </c>
      <c r="D4964" s="28" t="s">
        <v>1722</v>
      </c>
      <c r="E4964" s="29" t="s">
        <v>640</v>
      </c>
      <c r="F4964" s="29" t="s">
        <v>282</v>
      </c>
      <c r="G4964" s="25" t="s">
        <v>6660</v>
      </c>
      <c r="H4964" s="26">
        <v>-2.8326594400000002E-2</v>
      </c>
      <c r="I4964" s="26"/>
      <c r="J4964" s="26" t="s">
        <v>521</v>
      </c>
      <c r="K4964" s="25" t="s">
        <v>513</v>
      </c>
    </row>
    <row r="4965" spans="1:11" ht="25.5" x14ac:dyDescent="0.25">
      <c r="A4965" s="22">
        <v>2026</v>
      </c>
      <c r="B4965" s="28" t="s">
        <v>222</v>
      </c>
      <c r="C4965" s="28" t="s">
        <v>97</v>
      </c>
      <c r="D4965" s="28" t="s">
        <v>1722</v>
      </c>
      <c r="E4965" s="29" t="s">
        <v>640</v>
      </c>
      <c r="F4965" s="29" t="s">
        <v>282</v>
      </c>
      <c r="G4965" s="25" t="s">
        <v>6661</v>
      </c>
      <c r="H4965" s="26">
        <v>-4.84792E-2</v>
      </c>
      <c r="I4965" s="26"/>
      <c r="J4965" s="26" t="s">
        <v>521</v>
      </c>
      <c r="K4965" s="25" t="s">
        <v>513</v>
      </c>
    </row>
    <row r="4966" spans="1:11" ht="25.5" x14ac:dyDescent="0.25">
      <c r="A4966" s="22">
        <v>2026</v>
      </c>
      <c r="B4966" s="28" t="s">
        <v>222</v>
      </c>
      <c r="C4966" s="28" t="s">
        <v>97</v>
      </c>
      <c r="D4966" s="28" t="s">
        <v>1722</v>
      </c>
      <c r="E4966" s="29" t="s">
        <v>640</v>
      </c>
      <c r="F4966" s="29" t="s">
        <v>282</v>
      </c>
      <c r="G4966" s="25" t="s">
        <v>6662</v>
      </c>
      <c r="H4966" s="26">
        <v>-2.22129488E-2</v>
      </c>
      <c r="I4966" s="26"/>
      <c r="J4966" s="26" t="s">
        <v>521</v>
      </c>
      <c r="K4966" s="25" t="s">
        <v>513</v>
      </c>
    </row>
    <row r="4967" spans="1:11" ht="25.5" x14ac:dyDescent="0.25">
      <c r="A4967" s="22">
        <v>2026</v>
      </c>
      <c r="B4967" s="28" t="s">
        <v>222</v>
      </c>
      <c r="C4967" s="28" t="s">
        <v>97</v>
      </c>
      <c r="D4967" s="28" t="s">
        <v>1722</v>
      </c>
      <c r="E4967" s="29" t="s">
        <v>640</v>
      </c>
      <c r="F4967" s="29" t="s">
        <v>282</v>
      </c>
      <c r="G4967" s="25" t="s">
        <v>6663</v>
      </c>
      <c r="H4967" s="26">
        <v>-2.8089735499999997E-2</v>
      </c>
      <c r="I4967" s="26"/>
      <c r="J4967" s="26" t="s">
        <v>521</v>
      </c>
      <c r="K4967" s="25" t="s">
        <v>513</v>
      </c>
    </row>
    <row r="4968" spans="1:11" ht="25.5" x14ac:dyDescent="0.25">
      <c r="A4968" s="22">
        <v>2026</v>
      </c>
      <c r="B4968" s="28" t="s">
        <v>222</v>
      </c>
      <c r="C4968" s="28" t="s">
        <v>97</v>
      </c>
      <c r="D4968" s="28" t="s">
        <v>1722</v>
      </c>
      <c r="E4968" s="29" t="s">
        <v>640</v>
      </c>
      <c r="F4968" s="29" t="s">
        <v>282</v>
      </c>
      <c r="G4968" s="25" t="s">
        <v>6664</v>
      </c>
      <c r="H4968" s="26">
        <v>-2.7182553199999997E-2</v>
      </c>
      <c r="I4968" s="26"/>
      <c r="J4968" s="26" t="s">
        <v>521</v>
      </c>
      <c r="K4968" s="25" t="s">
        <v>513</v>
      </c>
    </row>
    <row r="4969" spans="1:11" ht="25.5" x14ac:dyDescent="0.25">
      <c r="A4969" s="22">
        <v>2026</v>
      </c>
      <c r="B4969" s="28" t="s">
        <v>222</v>
      </c>
      <c r="C4969" s="28" t="s">
        <v>97</v>
      </c>
      <c r="D4969" s="28" t="s">
        <v>1722</v>
      </c>
      <c r="E4969" s="29" t="s">
        <v>640</v>
      </c>
      <c r="F4969" s="29" t="s">
        <v>282</v>
      </c>
      <c r="G4969" s="25" t="s">
        <v>6665</v>
      </c>
      <c r="H4969" s="26">
        <v>-2.1338249E-2</v>
      </c>
      <c r="I4969" s="26"/>
      <c r="J4969" s="26" t="s">
        <v>521</v>
      </c>
      <c r="K4969" s="25" t="s">
        <v>513</v>
      </c>
    </row>
    <row r="4970" spans="1:11" ht="25.5" x14ac:dyDescent="0.25">
      <c r="A4970" s="22">
        <v>2026</v>
      </c>
      <c r="B4970" s="28" t="s">
        <v>222</v>
      </c>
      <c r="C4970" s="28" t="s">
        <v>97</v>
      </c>
      <c r="D4970" s="28" t="s">
        <v>1722</v>
      </c>
      <c r="E4970" s="29" t="s">
        <v>640</v>
      </c>
      <c r="F4970" s="29" t="s">
        <v>282</v>
      </c>
      <c r="G4970" s="25" t="s">
        <v>6666</v>
      </c>
      <c r="H4970" s="26">
        <v>-2.5537461500000001E-2</v>
      </c>
      <c r="I4970" s="26"/>
      <c r="J4970" s="26" t="s">
        <v>521</v>
      </c>
      <c r="K4970" s="25" t="s">
        <v>513</v>
      </c>
    </row>
    <row r="4971" spans="1:11" ht="25.5" x14ac:dyDescent="0.25">
      <c r="A4971" s="22">
        <v>2026</v>
      </c>
      <c r="B4971" s="28" t="s">
        <v>222</v>
      </c>
      <c r="C4971" s="28" t="s">
        <v>97</v>
      </c>
      <c r="D4971" s="28" t="s">
        <v>1722</v>
      </c>
      <c r="E4971" s="29" t="s">
        <v>640</v>
      </c>
      <c r="F4971" s="29" t="s">
        <v>282</v>
      </c>
      <c r="G4971" s="25" t="s">
        <v>6667</v>
      </c>
      <c r="H4971" s="26">
        <v>-1.27641696E-2</v>
      </c>
      <c r="I4971" s="26"/>
      <c r="J4971" s="26" t="s">
        <v>521</v>
      </c>
      <c r="K4971" s="25" t="s">
        <v>513</v>
      </c>
    </row>
    <row r="4972" spans="1:11" ht="25.5" x14ac:dyDescent="0.25">
      <c r="A4972" s="22">
        <v>2026</v>
      </c>
      <c r="B4972" s="28" t="s">
        <v>222</v>
      </c>
      <c r="C4972" s="28" t="s">
        <v>97</v>
      </c>
      <c r="D4972" s="28" t="s">
        <v>1722</v>
      </c>
      <c r="E4972" s="29" t="s">
        <v>640</v>
      </c>
      <c r="F4972" s="29" t="s">
        <v>282</v>
      </c>
      <c r="G4972" s="25" t="s">
        <v>6668</v>
      </c>
      <c r="H4972" s="26">
        <v>-7.0005494999999997E-3</v>
      </c>
      <c r="I4972" s="26"/>
      <c r="J4972" s="26" t="s">
        <v>521</v>
      </c>
      <c r="K4972" s="25" t="s">
        <v>513</v>
      </c>
    </row>
    <row r="4973" spans="1:11" ht="25.5" x14ac:dyDescent="0.25">
      <c r="A4973" s="22">
        <v>2026</v>
      </c>
      <c r="B4973" s="28" t="s">
        <v>222</v>
      </c>
      <c r="C4973" s="28" t="s">
        <v>97</v>
      </c>
      <c r="D4973" s="28" t="s">
        <v>1722</v>
      </c>
      <c r="E4973" s="29" t="s">
        <v>640</v>
      </c>
      <c r="F4973" s="29" t="s">
        <v>282</v>
      </c>
      <c r="G4973" s="25" t="s">
        <v>6669</v>
      </c>
      <c r="H4973" s="26">
        <v>-1.3016093999999999E-2</v>
      </c>
      <c r="I4973" s="26"/>
      <c r="J4973" s="26" t="s">
        <v>521</v>
      </c>
      <c r="K4973" s="25" t="s">
        <v>513</v>
      </c>
    </row>
    <row r="4974" spans="1:11" ht="25.5" x14ac:dyDescent="0.25">
      <c r="A4974" s="22">
        <v>2026</v>
      </c>
      <c r="B4974" s="28" t="s">
        <v>222</v>
      </c>
      <c r="C4974" s="28" t="s">
        <v>97</v>
      </c>
      <c r="D4974" s="28" t="s">
        <v>1722</v>
      </c>
      <c r="E4974" s="29" t="s">
        <v>640</v>
      </c>
      <c r="F4974" s="29" t="s">
        <v>282</v>
      </c>
      <c r="G4974" s="25" t="s">
        <v>6670</v>
      </c>
      <c r="H4974" s="26">
        <v>-1.6324999999999999E-2</v>
      </c>
      <c r="I4974" s="26"/>
      <c r="J4974" s="26" t="s">
        <v>521</v>
      </c>
      <c r="K4974" s="25" t="s">
        <v>513</v>
      </c>
    </row>
    <row r="4975" spans="1:11" ht="25.5" x14ac:dyDescent="0.25">
      <c r="A4975" s="22">
        <v>2026</v>
      </c>
      <c r="B4975" s="28" t="s">
        <v>222</v>
      </c>
      <c r="C4975" s="28" t="s">
        <v>97</v>
      </c>
      <c r="D4975" s="28" t="s">
        <v>1722</v>
      </c>
      <c r="E4975" s="29" t="s">
        <v>640</v>
      </c>
      <c r="F4975" s="29" t="s">
        <v>282</v>
      </c>
      <c r="G4975" s="25" t="s">
        <v>6671</v>
      </c>
      <c r="H4975" s="26">
        <v>-1.1669370300000001E-2</v>
      </c>
      <c r="I4975" s="26"/>
      <c r="J4975" s="26" t="s">
        <v>521</v>
      </c>
      <c r="K4975" s="25" t="s">
        <v>513</v>
      </c>
    </row>
    <row r="4976" spans="1:11" ht="25.5" x14ac:dyDescent="0.25">
      <c r="A4976" s="22">
        <v>2026</v>
      </c>
      <c r="B4976" s="28" t="s">
        <v>222</v>
      </c>
      <c r="C4976" s="28" t="s">
        <v>97</v>
      </c>
      <c r="D4976" s="28" t="s">
        <v>1722</v>
      </c>
      <c r="E4976" s="29" t="s">
        <v>640</v>
      </c>
      <c r="F4976" s="29" t="s">
        <v>282</v>
      </c>
      <c r="G4976" s="25" t="s">
        <v>6672</v>
      </c>
      <c r="H4976" s="26">
        <v>-1.3203192499999999E-2</v>
      </c>
      <c r="I4976" s="26"/>
      <c r="J4976" s="26" t="s">
        <v>521</v>
      </c>
      <c r="K4976" s="25" t="s">
        <v>513</v>
      </c>
    </row>
    <row r="4977" spans="1:11" ht="25.5" x14ac:dyDescent="0.25">
      <c r="A4977" s="22">
        <v>2026</v>
      </c>
      <c r="B4977" s="28" t="s">
        <v>222</v>
      </c>
      <c r="C4977" s="28" t="s">
        <v>97</v>
      </c>
      <c r="D4977" s="28" t="s">
        <v>1722</v>
      </c>
      <c r="E4977" s="29" t="s">
        <v>640</v>
      </c>
      <c r="F4977" s="29" t="s">
        <v>282</v>
      </c>
      <c r="G4977" s="25" t="s">
        <v>6673</v>
      </c>
      <c r="H4977" s="26">
        <v>-9.2170440000000006E-3</v>
      </c>
      <c r="I4977" s="26"/>
      <c r="J4977" s="26" t="s">
        <v>521</v>
      </c>
      <c r="K4977" s="25" t="s">
        <v>513</v>
      </c>
    </row>
    <row r="4978" spans="1:11" ht="25.5" x14ac:dyDescent="0.25">
      <c r="A4978" s="22">
        <v>2026</v>
      </c>
      <c r="B4978" s="28" t="s">
        <v>222</v>
      </c>
      <c r="C4978" s="28" t="s">
        <v>97</v>
      </c>
      <c r="D4978" s="28" t="s">
        <v>1722</v>
      </c>
      <c r="E4978" s="29" t="s">
        <v>640</v>
      </c>
      <c r="F4978" s="29" t="s">
        <v>282</v>
      </c>
      <c r="G4978" s="25" t="s">
        <v>6674</v>
      </c>
      <c r="H4978" s="26">
        <v>-1.0766794499999999E-2</v>
      </c>
      <c r="I4978" s="26"/>
      <c r="J4978" s="26" t="s">
        <v>521</v>
      </c>
      <c r="K4978" s="25" t="s">
        <v>513</v>
      </c>
    </row>
    <row r="4979" spans="1:11" ht="25.5" x14ac:dyDescent="0.25">
      <c r="A4979" s="22">
        <v>2026</v>
      </c>
      <c r="B4979" s="28" t="s">
        <v>222</v>
      </c>
      <c r="C4979" s="28" t="s">
        <v>97</v>
      </c>
      <c r="D4979" s="28" t="s">
        <v>1723</v>
      </c>
      <c r="E4979" s="29" t="s">
        <v>437</v>
      </c>
      <c r="F4979" s="29" t="s">
        <v>374</v>
      </c>
      <c r="G4979" s="25" t="s">
        <v>6675</v>
      </c>
      <c r="H4979" s="26">
        <v>-0.35431567619999998</v>
      </c>
      <c r="I4979" s="26"/>
      <c r="J4979" s="26" t="s">
        <v>521</v>
      </c>
      <c r="K4979" s="25" t="s">
        <v>513</v>
      </c>
    </row>
    <row r="4980" spans="1:11" ht="25.5" x14ac:dyDescent="0.25">
      <c r="A4980" s="22">
        <v>2026</v>
      </c>
      <c r="B4980" s="28" t="s">
        <v>222</v>
      </c>
      <c r="C4980" s="28" t="s">
        <v>97</v>
      </c>
      <c r="D4980" s="28" t="s">
        <v>1723</v>
      </c>
      <c r="E4980" s="29" t="s">
        <v>437</v>
      </c>
      <c r="F4980" s="29" t="s">
        <v>374</v>
      </c>
      <c r="G4980" s="25" t="s">
        <v>6676</v>
      </c>
      <c r="H4980" s="26">
        <v>-0.20511190909999999</v>
      </c>
      <c r="I4980" s="26"/>
      <c r="J4980" s="26" t="s">
        <v>521</v>
      </c>
      <c r="K4980" s="25" t="s">
        <v>513</v>
      </c>
    </row>
    <row r="4981" spans="1:11" ht="25.5" x14ac:dyDescent="0.25">
      <c r="A4981" s="22">
        <v>2026</v>
      </c>
      <c r="B4981" s="28" t="s">
        <v>222</v>
      </c>
      <c r="C4981" s="28" t="s">
        <v>97</v>
      </c>
      <c r="D4981" s="28" t="s">
        <v>1723</v>
      </c>
      <c r="E4981" s="29" t="s">
        <v>437</v>
      </c>
      <c r="F4981" s="29" t="s">
        <v>374</v>
      </c>
      <c r="G4981" s="25" t="s">
        <v>6677</v>
      </c>
      <c r="H4981" s="26">
        <v>-0.39418990320000002</v>
      </c>
      <c r="I4981" s="26"/>
      <c r="J4981" s="26" t="s">
        <v>521</v>
      </c>
      <c r="K4981" s="25" t="s">
        <v>513</v>
      </c>
    </row>
    <row r="4982" spans="1:11" ht="25.5" x14ac:dyDescent="0.25">
      <c r="A4982" s="22">
        <v>2026</v>
      </c>
      <c r="B4982" s="28" t="s">
        <v>222</v>
      </c>
      <c r="C4982" s="28" t="s">
        <v>97</v>
      </c>
      <c r="D4982" s="28" t="s">
        <v>1723</v>
      </c>
      <c r="E4982" s="29" t="s">
        <v>437</v>
      </c>
      <c r="F4982" s="29" t="s">
        <v>374</v>
      </c>
      <c r="G4982" s="25" t="s">
        <v>6678</v>
      </c>
      <c r="H4982" s="26">
        <v>-0.23832263879999999</v>
      </c>
      <c r="I4982" s="26"/>
      <c r="J4982" s="26" t="s">
        <v>521</v>
      </c>
      <c r="K4982" s="25" t="s">
        <v>513</v>
      </c>
    </row>
    <row r="4983" spans="1:11" ht="25.5" x14ac:dyDescent="0.25">
      <c r="A4983" s="22">
        <v>2026</v>
      </c>
      <c r="B4983" s="28" t="s">
        <v>222</v>
      </c>
      <c r="C4983" s="28" t="s">
        <v>97</v>
      </c>
      <c r="D4983" s="28" t="s">
        <v>1723</v>
      </c>
      <c r="E4983" s="29" t="s">
        <v>437</v>
      </c>
      <c r="F4983" s="29" t="s">
        <v>374</v>
      </c>
      <c r="G4983" s="25" t="s">
        <v>6679</v>
      </c>
      <c r="H4983" s="26">
        <v>-0.2013746337</v>
      </c>
      <c r="I4983" s="26"/>
      <c r="J4983" s="26" t="s">
        <v>521</v>
      </c>
      <c r="K4983" s="25" t="s">
        <v>513</v>
      </c>
    </row>
    <row r="4984" spans="1:11" ht="25.5" x14ac:dyDescent="0.25">
      <c r="A4984" s="22">
        <v>2026</v>
      </c>
      <c r="B4984" s="28" t="s">
        <v>222</v>
      </c>
      <c r="C4984" s="28" t="s">
        <v>97</v>
      </c>
      <c r="D4984" s="28" t="s">
        <v>1723</v>
      </c>
      <c r="E4984" s="29" t="s">
        <v>437</v>
      </c>
      <c r="F4984" s="29" t="s">
        <v>374</v>
      </c>
      <c r="G4984" s="25" t="s">
        <v>6680</v>
      </c>
      <c r="H4984" s="26">
        <v>-6.8119576400000006E-2</v>
      </c>
      <c r="I4984" s="26"/>
      <c r="J4984" s="26" t="s">
        <v>521</v>
      </c>
      <c r="K4984" s="25" t="s">
        <v>513</v>
      </c>
    </row>
    <row r="4985" spans="1:11" ht="25.5" x14ac:dyDescent="0.25">
      <c r="A4985" s="22">
        <v>2026</v>
      </c>
      <c r="B4985" s="28" t="s">
        <v>222</v>
      </c>
      <c r="C4985" s="28" t="s">
        <v>97</v>
      </c>
      <c r="D4985" s="28" t="s">
        <v>1723</v>
      </c>
      <c r="E4985" s="29" t="s">
        <v>437</v>
      </c>
      <c r="F4985" s="29" t="s">
        <v>374</v>
      </c>
      <c r="G4985" s="25" t="s">
        <v>6681</v>
      </c>
      <c r="H4985" s="26">
        <v>-6.1801740000000001E-2</v>
      </c>
      <c r="I4985" s="26"/>
      <c r="J4985" s="26" t="s">
        <v>521</v>
      </c>
      <c r="K4985" s="25" t="s">
        <v>513</v>
      </c>
    </row>
    <row r="4986" spans="1:11" ht="25.5" x14ac:dyDescent="0.25">
      <c r="A4986" s="22">
        <v>2026</v>
      </c>
      <c r="B4986" s="28" t="s">
        <v>222</v>
      </c>
      <c r="C4986" s="28" t="s">
        <v>97</v>
      </c>
      <c r="D4986" s="28" t="s">
        <v>1723</v>
      </c>
      <c r="E4986" s="29" t="s">
        <v>437</v>
      </c>
      <c r="F4986" s="29" t="s">
        <v>374</v>
      </c>
      <c r="G4986" s="25" t="s">
        <v>6682</v>
      </c>
      <c r="H4986" s="26">
        <v>-0.18801060879999998</v>
      </c>
      <c r="I4986" s="26"/>
      <c r="J4986" s="26" t="s">
        <v>521</v>
      </c>
      <c r="K4986" s="25" t="s">
        <v>513</v>
      </c>
    </row>
    <row r="4987" spans="1:11" ht="25.5" x14ac:dyDescent="0.25">
      <c r="A4987" s="22">
        <v>2026</v>
      </c>
      <c r="B4987" s="28" t="s">
        <v>222</v>
      </c>
      <c r="C4987" s="28" t="s">
        <v>97</v>
      </c>
      <c r="D4987" s="28" t="s">
        <v>1723</v>
      </c>
      <c r="E4987" s="29" t="s">
        <v>437</v>
      </c>
      <c r="F4987" s="29" t="s">
        <v>374</v>
      </c>
      <c r="G4987" s="25" t="s">
        <v>6683</v>
      </c>
      <c r="H4987" s="26">
        <v>-0.33196796159999997</v>
      </c>
      <c r="I4987" s="26"/>
      <c r="J4987" s="26" t="s">
        <v>521</v>
      </c>
      <c r="K4987" s="25" t="s">
        <v>513</v>
      </c>
    </row>
    <row r="4988" spans="1:11" ht="25.5" x14ac:dyDescent="0.25">
      <c r="A4988" s="22">
        <v>2026</v>
      </c>
      <c r="B4988" s="28" t="s">
        <v>222</v>
      </c>
      <c r="C4988" s="28" t="s">
        <v>97</v>
      </c>
      <c r="D4988" s="28" t="s">
        <v>1723</v>
      </c>
      <c r="E4988" s="29" t="s">
        <v>437</v>
      </c>
      <c r="F4988" s="29" t="s">
        <v>374</v>
      </c>
      <c r="G4988" s="25" t="s">
        <v>6684</v>
      </c>
      <c r="H4988" s="26">
        <v>-0.31209187050000003</v>
      </c>
      <c r="I4988" s="26"/>
      <c r="J4988" s="26" t="s">
        <v>521</v>
      </c>
      <c r="K4988" s="25" t="s">
        <v>513</v>
      </c>
    </row>
    <row r="4989" spans="1:11" ht="25.5" x14ac:dyDescent="0.25">
      <c r="A4989" s="22">
        <v>2026</v>
      </c>
      <c r="B4989" s="28" t="s">
        <v>222</v>
      </c>
      <c r="C4989" s="28" t="s">
        <v>97</v>
      </c>
      <c r="D4989" s="28" t="s">
        <v>1723</v>
      </c>
      <c r="E4989" s="29" t="s">
        <v>437</v>
      </c>
      <c r="F4989" s="29" t="s">
        <v>374</v>
      </c>
      <c r="G4989" s="25" t="s">
        <v>6685</v>
      </c>
      <c r="H4989" s="26">
        <v>-0.27202060259999999</v>
      </c>
      <c r="I4989" s="26"/>
      <c r="J4989" s="26" t="s">
        <v>521</v>
      </c>
      <c r="K4989" s="25" t="s">
        <v>513</v>
      </c>
    </row>
    <row r="4990" spans="1:11" ht="25.5" x14ac:dyDescent="0.25">
      <c r="A4990" s="22">
        <v>2026</v>
      </c>
      <c r="B4990" s="28" t="s">
        <v>222</v>
      </c>
      <c r="C4990" s="28" t="s">
        <v>97</v>
      </c>
      <c r="D4990" s="28" t="s">
        <v>1723</v>
      </c>
      <c r="E4990" s="29" t="s">
        <v>437</v>
      </c>
      <c r="F4990" s="29" t="s">
        <v>374</v>
      </c>
      <c r="G4990" s="25" t="s">
        <v>6686</v>
      </c>
      <c r="H4990" s="26">
        <v>-0.32271124600000001</v>
      </c>
      <c r="I4990" s="26"/>
      <c r="J4990" s="26" t="s">
        <v>521</v>
      </c>
      <c r="K4990" s="25" t="s">
        <v>513</v>
      </c>
    </row>
    <row r="4991" spans="1:11" ht="25.5" x14ac:dyDescent="0.25">
      <c r="A4991" s="22">
        <v>2026</v>
      </c>
      <c r="B4991" s="28" t="s">
        <v>222</v>
      </c>
      <c r="C4991" s="28" t="s">
        <v>97</v>
      </c>
      <c r="D4991" s="28" t="s">
        <v>1723</v>
      </c>
      <c r="E4991" s="29" t="s">
        <v>437</v>
      </c>
      <c r="F4991" s="29" t="s">
        <v>374</v>
      </c>
      <c r="G4991" s="25" t="s">
        <v>6687</v>
      </c>
      <c r="H4991" s="26">
        <v>-0.1103838288</v>
      </c>
      <c r="I4991" s="26"/>
      <c r="J4991" s="26" t="s">
        <v>521</v>
      </c>
      <c r="K4991" s="25" t="s">
        <v>513</v>
      </c>
    </row>
    <row r="4992" spans="1:11" ht="25.5" x14ac:dyDescent="0.25">
      <c r="A4992" s="22">
        <v>2026</v>
      </c>
      <c r="B4992" s="28" t="s">
        <v>222</v>
      </c>
      <c r="C4992" s="28" t="s">
        <v>97</v>
      </c>
      <c r="D4992" s="28" t="s">
        <v>1723</v>
      </c>
      <c r="E4992" s="29" t="s">
        <v>437</v>
      </c>
      <c r="F4992" s="29" t="s">
        <v>374</v>
      </c>
      <c r="G4992" s="25" t="s">
        <v>6688</v>
      </c>
      <c r="H4992" s="26">
        <v>-0.30878264159999996</v>
      </c>
      <c r="I4992" s="26"/>
      <c r="J4992" s="26" t="s">
        <v>521</v>
      </c>
      <c r="K4992" s="25" t="s">
        <v>513</v>
      </c>
    </row>
    <row r="4993" spans="1:11" ht="25.5" x14ac:dyDescent="0.25">
      <c r="A4993" s="22">
        <v>2026</v>
      </c>
      <c r="B4993" s="28" t="s">
        <v>222</v>
      </c>
      <c r="C4993" s="28" t="s">
        <v>97</v>
      </c>
      <c r="D4993" s="28" t="s">
        <v>1723</v>
      </c>
      <c r="E4993" s="29" t="s">
        <v>437</v>
      </c>
      <c r="F4993" s="29" t="s">
        <v>374</v>
      </c>
      <c r="G4993" s="25" t="s">
        <v>6689</v>
      </c>
      <c r="H4993" s="26">
        <v>-0.1159773439</v>
      </c>
      <c r="I4993" s="26"/>
      <c r="J4993" s="26" t="s">
        <v>521</v>
      </c>
      <c r="K4993" s="25" t="s">
        <v>513</v>
      </c>
    </row>
    <row r="4994" spans="1:11" ht="25.5" x14ac:dyDescent="0.25">
      <c r="A4994" s="22">
        <v>2026</v>
      </c>
      <c r="B4994" s="28" t="s">
        <v>222</v>
      </c>
      <c r="C4994" s="28" t="s">
        <v>97</v>
      </c>
      <c r="D4994" s="28" t="s">
        <v>1723</v>
      </c>
      <c r="E4994" s="29" t="s">
        <v>437</v>
      </c>
      <c r="F4994" s="29" t="s">
        <v>374</v>
      </c>
      <c r="G4994" s="25" t="s">
        <v>6690</v>
      </c>
      <c r="H4994" s="26">
        <v>-0.25254418979999999</v>
      </c>
      <c r="I4994" s="26"/>
      <c r="J4994" s="26" t="s">
        <v>521</v>
      </c>
      <c r="K4994" s="25" t="s">
        <v>513</v>
      </c>
    </row>
    <row r="4995" spans="1:11" ht="25.5" x14ac:dyDescent="0.25">
      <c r="A4995" s="22">
        <v>2026</v>
      </c>
      <c r="B4995" s="28" t="s">
        <v>222</v>
      </c>
      <c r="C4995" s="28" t="s">
        <v>97</v>
      </c>
      <c r="D4995" s="28" t="s">
        <v>1723</v>
      </c>
      <c r="E4995" s="29" t="s">
        <v>437</v>
      </c>
      <c r="F4995" s="29" t="s">
        <v>374</v>
      </c>
      <c r="G4995" s="25" t="s">
        <v>6691</v>
      </c>
      <c r="H4995" s="26">
        <v>-0.3366377196</v>
      </c>
      <c r="I4995" s="26"/>
      <c r="J4995" s="26" t="s">
        <v>521</v>
      </c>
      <c r="K4995" s="25" t="s">
        <v>513</v>
      </c>
    </row>
    <row r="4996" spans="1:11" ht="25.5" x14ac:dyDescent="0.25">
      <c r="A4996" s="22">
        <v>2026</v>
      </c>
      <c r="B4996" s="28" t="s">
        <v>222</v>
      </c>
      <c r="C4996" s="28" t="s">
        <v>97</v>
      </c>
      <c r="D4996" s="28" t="s">
        <v>1723</v>
      </c>
      <c r="E4996" s="29" t="s">
        <v>437</v>
      </c>
      <c r="F4996" s="29" t="s">
        <v>374</v>
      </c>
      <c r="G4996" s="25" t="s">
        <v>6692</v>
      </c>
      <c r="H4996" s="26">
        <v>-6.9523994399999997E-2</v>
      </c>
      <c r="I4996" s="26"/>
      <c r="J4996" s="26" t="s">
        <v>521</v>
      </c>
      <c r="K4996" s="25" t="s">
        <v>513</v>
      </c>
    </row>
    <row r="4997" spans="1:11" ht="25.5" x14ac:dyDescent="0.25">
      <c r="A4997" s="22">
        <v>2026</v>
      </c>
      <c r="B4997" s="28" t="s">
        <v>222</v>
      </c>
      <c r="C4997" s="28" t="s">
        <v>97</v>
      </c>
      <c r="D4997" s="28" t="s">
        <v>269</v>
      </c>
      <c r="E4997" s="29" t="s">
        <v>491</v>
      </c>
      <c r="F4997" s="29" t="s">
        <v>378</v>
      </c>
      <c r="G4997" s="25" t="s">
        <v>6693</v>
      </c>
      <c r="H4997" s="26">
        <v>-0.65872259999999994</v>
      </c>
      <c r="I4997" s="26"/>
      <c r="J4997" s="26" t="s">
        <v>514</v>
      </c>
      <c r="K4997" s="25" t="s">
        <v>1768</v>
      </c>
    </row>
    <row r="4998" spans="1:11" ht="25.5" x14ac:dyDescent="0.25">
      <c r="A4998" s="22">
        <v>2026</v>
      </c>
      <c r="B4998" s="28" t="s">
        <v>222</v>
      </c>
      <c r="C4998" s="28" t="s">
        <v>97</v>
      </c>
      <c r="D4998" s="28" t="s">
        <v>269</v>
      </c>
      <c r="E4998" s="29" t="s">
        <v>491</v>
      </c>
      <c r="F4998" s="29" t="s">
        <v>378</v>
      </c>
      <c r="G4998" s="25" t="s">
        <v>6694</v>
      </c>
      <c r="H4998" s="26">
        <v>-0.20943999999999999</v>
      </c>
      <c r="I4998" s="26"/>
      <c r="J4998" s="26" t="s">
        <v>514</v>
      </c>
      <c r="K4998" s="25" t="s">
        <v>1768</v>
      </c>
    </row>
    <row r="4999" spans="1:11" ht="25.5" x14ac:dyDescent="0.25">
      <c r="A4999" s="22">
        <v>2026</v>
      </c>
      <c r="B4999" s="28" t="s">
        <v>222</v>
      </c>
      <c r="C4999" s="28" t="s">
        <v>97</v>
      </c>
      <c r="D4999" s="28" t="s">
        <v>269</v>
      </c>
      <c r="E4999" s="29" t="s">
        <v>491</v>
      </c>
      <c r="F4999" s="29" t="s">
        <v>378</v>
      </c>
      <c r="G4999" s="25" t="s">
        <v>6695</v>
      </c>
      <c r="H4999" s="26">
        <v>-0.13387499999999999</v>
      </c>
      <c r="I4999" s="26"/>
      <c r="J4999" s="26" t="s">
        <v>514</v>
      </c>
      <c r="K4999" s="25" t="s">
        <v>1768</v>
      </c>
    </row>
    <row r="5000" spans="1:11" ht="25.5" x14ac:dyDescent="0.25">
      <c r="A5000" s="22">
        <v>2026</v>
      </c>
      <c r="B5000" s="28" t="s">
        <v>222</v>
      </c>
      <c r="C5000" s="28" t="s">
        <v>97</v>
      </c>
      <c r="D5000" s="28" t="s">
        <v>269</v>
      </c>
      <c r="E5000" s="29" t="s">
        <v>491</v>
      </c>
      <c r="F5000" s="29" t="s">
        <v>378</v>
      </c>
      <c r="G5000" s="25" t="s">
        <v>6696</v>
      </c>
      <c r="H5000" s="26">
        <v>-0.38625999999999999</v>
      </c>
      <c r="I5000" s="26"/>
      <c r="J5000" s="26" t="s">
        <v>514</v>
      </c>
      <c r="K5000" s="25" t="s">
        <v>1768</v>
      </c>
    </row>
    <row r="5001" spans="1:11" ht="25.5" x14ac:dyDescent="0.25">
      <c r="A5001" s="22">
        <v>2026</v>
      </c>
      <c r="B5001" s="28" t="s">
        <v>222</v>
      </c>
      <c r="C5001" s="28" t="s">
        <v>97</v>
      </c>
      <c r="D5001" s="28" t="s">
        <v>269</v>
      </c>
      <c r="E5001" s="29" t="s">
        <v>491</v>
      </c>
      <c r="F5001" s="29" t="s">
        <v>378</v>
      </c>
      <c r="G5001" s="25" t="s">
        <v>6697</v>
      </c>
      <c r="H5001" s="26">
        <v>-0.71095569999999997</v>
      </c>
      <c r="I5001" s="26"/>
      <c r="J5001" s="26" t="s">
        <v>514</v>
      </c>
      <c r="K5001" s="25" t="s">
        <v>1768</v>
      </c>
    </row>
    <row r="5002" spans="1:11" ht="25.5" x14ac:dyDescent="0.25">
      <c r="A5002" s="22">
        <v>2026</v>
      </c>
      <c r="B5002" s="28" t="s">
        <v>222</v>
      </c>
      <c r="C5002" s="28" t="s">
        <v>97</v>
      </c>
      <c r="D5002" s="28" t="s">
        <v>269</v>
      </c>
      <c r="E5002" s="29" t="s">
        <v>491</v>
      </c>
      <c r="F5002" s="29" t="s">
        <v>378</v>
      </c>
      <c r="G5002" s="25" t="s">
        <v>6698</v>
      </c>
      <c r="H5002" s="26">
        <v>-0.76727250000000002</v>
      </c>
      <c r="I5002" s="26"/>
      <c r="J5002" s="26" t="s">
        <v>514</v>
      </c>
      <c r="K5002" s="25" t="s">
        <v>1768</v>
      </c>
    </row>
    <row r="5003" spans="1:11" ht="25.5" x14ac:dyDescent="0.25">
      <c r="A5003" s="22">
        <v>2026</v>
      </c>
      <c r="B5003" s="28" t="s">
        <v>222</v>
      </c>
      <c r="C5003" s="28" t="s">
        <v>97</v>
      </c>
      <c r="D5003" s="28" t="s">
        <v>269</v>
      </c>
      <c r="E5003" s="29" t="s">
        <v>491</v>
      </c>
      <c r="F5003" s="29" t="s">
        <v>378</v>
      </c>
      <c r="G5003" s="25" t="s">
        <v>6699</v>
      </c>
      <c r="H5003" s="26">
        <v>-0.2612025</v>
      </c>
      <c r="I5003" s="26"/>
      <c r="J5003" s="26" t="s">
        <v>514</v>
      </c>
      <c r="K5003" s="25" t="s">
        <v>1768</v>
      </c>
    </row>
    <row r="5004" spans="1:11" ht="25.5" x14ac:dyDescent="0.25">
      <c r="A5004" s="22">
        <v>2026</v>
      </c>
      <c r="B5004" s="28" t="s">
        <v>222</v>
      </c>
      <c r="C5004" s="28" t="s">
        <v>97</v>
      </c>
      <c r="D5004" s="28" t="s">
        <v>269</v>
      </c>
      <c r="E5004" s="29" t="s">
        <v>491</v>
      </c>
      <c r="F5004" s="29" t="s">
        <v>378</v>
      </c>
      <c r="G5004" s="25" t="s">
        <v>6700</v>
      </c>
      <c r="H5004" s="26">
        <v>-0.52883999999999998</v>
      </c>
      <c r="I5004" s="26"/>
      <c r="J5004" s="26" t="s">
        <v>514</v>
      </c>
      <c r="K5004" s="25" t="s">
        <v>1768</v>
      </c>
    </row>
    <row r="5005" spans="1:11" ht="25.5" x14ac:dyDescent="0.25">
      <c r="A5005" s="22">
        <v>2026</v>
      </c>
      <c r="B5005" s="28" t="s">
        <v>222</v>
      </c>
      <c r="C5005" s="28" t="s">
        <v>97</v>
      </c>
      <c r="D5005" s="28" t="s">
        <v>269</v>
      </c>
      <c r="E5005" s="29" t="s">
        <v>491</v>
      </c>
      <c r="F5005" s="29" t="s">
        <v>378</v>
      </c>
      <c r="G5005" s="25" t="s">
        <v>6701</v>
      </c>
      <c r="H5005" s="26">
        <v>-0.45602749999999997</v>
      </c>
      <c r="I5005" s="26"/>
      <c r="J5005" s="26" t="s">
        <v>514</v>
      </c>
      <c r="K5005" s="25" t="s">
        <v>1768</v>
      </c>
    </row>
    <row r="5006" spans="1:11" ht="25.5" x14ac:dyDescent="0.25">
      <c r="A5006" s="22">
        <v>2026</v>
      </c>
      <c r="B5006" s="28" t="s">
        <v>222</v>
      </c>
      <c r="C5006" s="28" t="s">
        <v>97</v>
      </c>
      <c r="D5006" s="28" t="s">
        <v>269</v>
      </c>
      <c r="E5006" s="29" t="s">
        <v>491</v>
      </c>
      <c r="F5006" s="29" t="s">
        <v>378</v>
      </c>
      <c r="G5006" s="25" t="s">
        <v>6702</v>
      </c>
      <c r="H5006" s="26">
        <v>-0.63148171799999997</v>
      </c>
      <c r="I5006" s="26"/>
      <c r="J5006" s="26" t="s">
        <v>514</v>
      </c>
      <c r="K5006" s="25" t="s">
        <v>1768</v>
      </c>
    </row>
    <row r="5007" spans="1:11" ht="25.5" x14ac:dyDescent="0.25">
      <c r="A5007" s="22">
        <v>2026</v>
      </c>
      <c r="B5007" s="28" t="s">
        <v>222</v>
      </c>
      <c r="C5007" s="28" t="s">
        <v>97</v>
      </c>
      <c r="D5007" s="28" t="s">
        <v>269</v>
      </c>
      <c r="E5007" s="29" t="s">
        <v>491</v>
      </c>
      <c r="F5007" s="29" t="s">
        <v>378</v>
      </c>
      <c r="G5007" s="25" t="s">
        <v>6703</v>
      </c>
      <c r="H5007" s="26">
        <v>-0.65891999999999995</v>
      </c>
      <c r="I5007" s="26"/>
      <c r="J5007" s="26" t="s">
        <v>514</v>
      </c>
      <c r="K5007" s="25" t="s">
        <v>1768</v>
      </c>
    </row>
    <row r="5008" spans="1:11" ht="25.5" x14ac:dyDescent="0.25">
      <c r="A5008" s="22">
        <v>2026</v>
      </c>
      <c r="B5008" s="28" t="s">
        <v>222</v>
      </c>
      <c r="C5008" s="28" t="s">
        <v>97</v>
      </c>
      <c r="D5008" s="28" t="s">
        <v>269</v>
      </c>
      <c r="E5008" s="29" t="s">
        <v>491</v>
      </c>
      <c r="F5008" s="29" t="s">
        <v>378</v>
      </c>
      <c r="G5008" s="25" t="s">
        <v>6704</v>
      </c>
      <c r="H5008" s="26">
        <v>-0.15884999999999999</v>
      </c>
      <c r="I5008" s="26"/>
      <c r="J5008" s="26" t="s">
        <v>514</v>
      </c>
      <c r="K5008" s="25" t="s">
        <v>1768</v>
      </c>
    </row>
    <row r="5009" spans="1:11" ht="25.5" x14ac:dyDescent="0.25">
      <c r="A5009" s="22">
        <v>2026</v>
      </c>
      <c r="B5009" s="28" t="s">
        <v>222</v>
      </c>
      <c r="C5009" s="28" t="s">
        <v>97</v>
      </c>
      <c r="D5009" s="28" t="s">
        <v>269</v>
      </c>
      <c r="E5009" s="29" t="s">
        <v>491</v>
      </c>
      <c r="F5009" s="29" t="s">
        <v>378</v>
      </c>
      <c r="G5009" s="25" t="s">
        <v>6705</v>
      </c>
      <c r="H5009" s="26">
        <v>-0.22468029149999999</v>
      </c>
      <c r="I5009" s="26"/>
      <c r="J5009" s="26" t="s">
        <v>514</v>
      </c>
      <c r="K5009" s="25" t="s">
        <v>1768</v>
      </c>
    </row>
    <row r="5010" spans="1:11" ht="25.5" x14ac:dyDescent="0.25">
      <c r="A5010" s="22">
        <v>2026</v>
      </c>
      <c r="B5010" s="28" t="s">
        <v>222</v>
      </c>
      <c r="C5010" s="28" t="s">
        <v>97</v>
      </c>
      <c r="D5010" s="28" t="s">
        <v>269</v>
      </c>
      <c r="E5010" s="29" t="s">
        <v>491</v>
      </c>
      <c r="F5010" s="29" t="s">
        <v>378</v>
      </c>
      <c r="G5010" s="25" t="s">
        <v>6706</v>
      </c>
      <c r="H5010" s="26">
        <v>-4.57762154E-2</v>
      </c>
      <c r="I5010" s="26"/>
      <c r="J5010" s="26" t="s">
        <v>514</v>
      </c>
      <c r="K5010" s="25" t="s">
        <v>1768</v>
      </c>
    </row>
    <row r="5011" spans="1:11" ht="25.5" x14ac:dyDescent="0.25">
      <c r="A5011" s="22">
        <v>2026</v>
      </c>
      <c r="B5011" s="28" t="s">
        <v>222</v>
      </c>
      <c r="C5011" s="28" t="s">
        <v>97</v>
      </c>
      <c r="D5011" s="28" t="s">
        <v>269</v>
      </c>
      <c r="E5011" s="29" t="s">
        <v>491</v>
      </c>
      <c r="F5011" s="29" t="s">
        <v>378</v>
      </c>
      <c r="G5011" s="25" t="s">
        <v>6707</v>
      </c>
      <c r="H5011" s="26">
        <v>-3.1812E-2</v>
      </c>
      <c r="I5011" s="26"/>
      <c r="J5011" s="26" t="s">
        <v>514</v>
      </c>
      <c r="K5011" s="25" t="s">
        <v>1768</v>
      </c>
    </row>
    <row r="5012" spans="1:11" ht="25.5" x14ac:dyDescent="0.25">
      <c r="A5012" s="22">
        <v>2026</v>
      </c>
      <c r="B5012" s="28" t="s">
        <v>222</v>
      </c>
      <c r="C5012" s="28" t="s">
        <v>97</v>
      </c>
      <c r="D5012" s="28" t="s">
        <v>269</v>
      </c>
      <c r="E5012" s="29" t="s">
        <v>491</v>
      </c>
      <c r="F5012" s="29" t="s">
        <v>378</v>
      </c>
      <c r="G5012" s="25" t="s">
        <v>6708</v>
      </c>
      <c r="H5012" s="26">
        <v>-0.21154000000000001</v>
      </c>
      <c r="I5012" s="26"/>
      <c r="J5012" s="26" t="s">
        <v>514</v>
      </c>
      <c r="K5012" s="25" t="s">
        <v>1768</v>
      </c>
    </row>
    <row r="5013" spans="1:11" ht="25.5" x14ac:dyDescent="0.25">
      <c r="A5013" s="22">
        <v>2026</v>
      </c>
      <c r="B5013" s="28" t="s">
        <v>222</v>
      </c>
      <c r="C5013" s="28" t="s">
        <v>97</v>
      </c>
      <c r="D5013" s="28" t="s">
        <v>269</v>
      </c>
      <c r="E5013" s="29" t="s">
        <v>491</v>
      </c>
      <c r="F5013" s="29" t="s">
        <v>378</v>
      </c>
      <c r="G5013" s="25" t="s">
        <v>6709</v>
      </c>
      <c r="H5013" s="26">
        <v>-5.2200000000000003E-2</v>
      </c>
      <c r="I5013" s="26"/>
      <c r="J5013" s="26" t="s">
        <v>514</v>
      </c>
      <c r="K5013" s="25" t="s">
        <v>1768</v>
      </c>
    </row>
    <row r="5014" spans="1:11" ht="25.5" x14ac:dyDescent="0.25">
      <c r="A5014" s="22">
        <v>2026</v>
      </c>
      <c r="B5014" s="28" t="s">
        <v>222</v>
      </c>
      <c r="C5014" s="28" t="s">
        <v>97</v>
      </c>
      <c r="D5014" s="28" t="s">
        <v>269</v>
      </c>
      <c r="E5014" s="29" t="s">
        <v>491</v>
      </c>
      <c r="F5014" s="29" t="s">
        <v>378</v>
      </c>
      <c r="G5014" s="25" t="s">
        <v>6710</v>
      </c>
      <c r="H5014" s="26">
        <v>-0.17641799999999999</v>
      </c>
      <c r="I5014" s="26"/>
      <c r="J5014" s="26" t="s">
        <v>514</v>
      </c>
      <c r="K5014" s="25" t="s">
        <v>1768</v>
      </c>
    </row>
    <row r="5015" spans="1:11" ht="25.5" x14ac:dyDescent="0.25">
      <c r="A5015" s="22">
        <v>2026</v>
      </c>
      <c r="B5015" s="28" t="s">
        <v>222</v>
      </c>
      <c r="C5015" s="28" t="s">
        <v>97</v>
      </c>
      <c r="D5015" s="28" t="s">
        <v>1724</v>
      </c>
      <c r="E5015" s="29" t="s">
        <v>1769</v>
      </c>
      <c r="F5015" s="29" t="s">
        <v>282</v>
      </c>
      <c r="G5015" s="25" t="s">
        <v>6711</v>
      </c>
      <c r="H5015" s="26">
        <v>-0.21553028640000002</v>
      </c>
      <c r="I5015" s="26"/>
      <c r="J5015" s="26" t="s">
        <v>1770</v>
      </c>
      <c r="K5015" s="25" t="s">
        <v>1771</v>
      </c>
    </row>
    <row r="5016" spans="1:11" ht="25.5" x14ac:dyDescent="0.25">
      <c r="A5016" s="22">
        <v>2026</v>
      </c>
      <c r="B5016" s="28" t="s">
        <v>222</v>
      </c>
      <c r="C5016" s="28" t="s">
        <v>97</v>
      </c>
      <c r="D5016" s="28" t="s">
        <v>1724</v>
      </c>
      <c r="E5016" s="29" t="s">
        <v>1769</v>
      </c>
      <c r="F5016" s="29" t="s">
        <v>282</v>
      </c>
      <c r="G5016" s="25" t="s">
        <v>6712</v>
      </c>
      <c r="H5016" s="26">
        <v>-0.28424469000000002</v>
      </c>
      <c r="I5016" s="26"/>
      <c r="J5016" s="26" t="s">
        <v>1770</v>
      </c>
      <c r="K5016" s="25" t="s">
        <v>1771</v>
      </c>
    </row>
    <row r="5017" spans="1:11" ht="25.5" x14ac:dyDescent="0.25">
      <c r="A5017" s="22">
        <v>2026</v>
      </c>
      <c r="B5017" s="28" t="s">
        <v>222</v>
      </c>
      <c r="C5017" s="28" t="s">
        <v>97</v>
      </c>
      <c r="D5017" s="28" t="s">
        <v>1724</v>
      </c>
      <c r="E5017" s="29" t="s">
        <v>1769</v>
      </c>
      <c r="F5017" s="29" t="s">
        <v>282</v>
      </c>
      <c r="G5017" s="25" t="s">
        <v>6713</v>
      </c>
      <c r="H5017" s="26">
        <v>-0.24344011439999999</v>
      </c>
      <c r="I5017" s="26"/>
      <c r="J5017" s="26" t="s">
        <v>1770</v>
      </c>
      <c r="K5017" s="25" t="s">
        <v>1771</v>
      </c>
    </row>
    <row r="5018" spans="1:11" ht="25.5" x14ac:dyDescent="0.25">
      <c r="A5018" s="22">
        <v>2026</v>
      </c>
      <c r="B5018" s="28" t="s">
        <v>222</v>
      </c>
      <c r="C5018" s="28" t="s">
        <v>97</v>
      </c>
      <c r="D5018" s="28" t="s">
        <v>1724</v>
      </c>
      <c r="E5018" s="29" t="s">
        <v>1769</v>
      </c>
      <c r="F5018" s="29" t="s">
        <v>282</v>
      </c>
      <c r="G5018" s="25" t="s">
        <v>6714</v>
      </c>
      <c r="H5018" s="26">
        <v>-0.1980037566</v>
      </c>
      <c r="I5018" s="26"/>
      <c r="J5018" s="26" t="s">
        <v>1770</v>
      </c>
      <c r="K5018" s="25" t="s">
        <v>1771</v>
      </c>
    </row>
    <row r="5019" spans="1:11" ht="25.5" x14ac:dyDescent="0.25">
      <c r="A5019" s="22">
        <v>2026</v>
      </c>
      <c r="B5019" s="28" t="s">
        <v>222</v>
      </c>
      <c r="C5019" s="28" t="s">
        <v>97</v>
      </c>
      <c r="D5019" s="28" t="s">
        <v>1724</v>
      </c>
      <c r="E5019" s="29" t="s">
        <v>1769</v>
      </c>
      <c r="F5019" s="29" t="s">
        <v>282</v>
      </c>
      <c r="G5019" s="25" t="s">
        <v>6715</v>
      </c>
      <c r="H5019" s="26">
        <v>-0.2132764238</v>
      </c>
      <c r="I5019" s="26"/>
      <c r="J5019" s="26" t="s">
        <v>1770</v>
      </c>
      <c r="K5019" s="25" t="s">
        <v>1771</v>
      </c>
    </row>
    <row r="5020" spans="1:11" ht="25.5" x14ac:dyDescent="0.25">
      <c r="A5020" s="22">
        <v>2026</v>
      </c>
      <c r="B5020" s="28" t="s">
        <v>222</v>
      </c>
      <c r="C5020" s="28" t="s">
        <v>97</v>
      </c>
      <c r="D5020" s="28" t="s">
        <v>1724</v>
      </c>
      <c r="E5020" s="29" t="s">
        <v>1769</v>
      </c>
      <c r="F5020" s="29" t="s">
        <v>282</v>
      </c>
      <c r="G5020" s="25" t="s">
        <v>6716</v>
      </c>
      <c r="H5020" s="26">
        <v>-0.28721249999999998</v>
      </c>
      <c r="I5020" s="26"/>
      <c r="J5020" s="26" t="s">
        <v>1770</v>
      </c>
      <c r="K5020" s="25" t="s">
        <v>1771</v>
      </c>
    </row>
    <row r="5021" spans="1:11" ht="25.5" x14ac:dyDescent="0.25">
      <c r="A5021" s="22">
        <v>2026</v>
      </c>
      <c r="B5021" s="28" t="s">
        <v>222</v>
      </c>
      <c r="C5021" s="28" t="s">
        <v>97</v>
      </c>
      <c r="D5021" s="28" t="s">
        <v>1724</v>
      </c>
      <c r="E5021" s="29" t="s">
        <v>1769</v>
      </c>
      <c r="F5021" s="29" t="s">
        <v>282</v>
      </c>
      <c r="G5021" s="25" t="s">
        <v>6717</v>
      </c>
      <c r="H5021" s="26">
        <v>-0.18616633499999999</v>
      </c>
      <c r="I5021" s="26"/>
      <c r="J5021" s="26" t="s">
        <v>1770</v>
      </c>
      <c r="K5021" s="25" t="s">
        <v>1771</v>
      </c>
    </row>
    <row r="5022" spans="1:11" ht="25.5" x14ac:dyDescent="0.25">
      <c r="A5022" s="22">
        <v>2026</v>
      </c>
      <c r="B5022" s="28" t="s">
        <v>222</v>
      </c>
      <c r="C5022" s="28" t="s">
        <v>97</v>
      </c>
      <c r="D5022" s="28" t="s">
        <v>1724</v>
      </c>
      <c r="E5022" s="29" t="s">
        <v>1769</v>
      </c>
      <c r="F5022" s="29" t="s">
        <v>282</v>
      </c>
      <c r="G5022" s="25" t="s">
        <v>6718</v>
      </c>
      <c r="H5022" s="26">
        <v>-0.25381767799999999</v>
      </c>
      <c r="I5022" s="26"/>
      <c r="J5022" s="26" t="s">
        <v>1770</v>
      </c>
      <c r="K5022" s="25" t="s">
        <v>1771</v>
      </c>
    </row>
    <row r="5023" spans="1:11" ht="25.5" x14ac:dyDescent="0.25">
      <c r="A5023" s="22">
        <v>2026</v>
      </c>
      <c r="B5023" s="28" t="s">
        <v>222</v>
      </c>
      <c r="C5023" s="28" t="s">
        <v>97</v>
      </c>
      <c r="D5023" s="28" t="s">
        <v>1724</v>
      </c>
      <c r="E5023" s="29" t="s">
        <v>1769</v>
      </c>
      <c r="F5023" s="29" t="s">
        <v>282</v>
      </c>
      <c r="G5023" s="25" t="s">
        <v>6719</v>
      </c>
      <c r="H5023" s="26">
        <v>-0.17760411499999998</v>
      </c>
      <c r="I5023" s="26"/>
      <c r="J5023" s="26" t="s">
        <v>1770</v>
      </c>
      <c r="K5023" s="25" t="s">
        <v>1771</v>
      </c>
    </row>
    <row r="5024" spans="1:11" ht="25.5" x14ac:dyDescent="0.25">
      <c r="A5024" s="22">
        <v>2026</v>
      </c>
      <c r="B5024" s="28" t="s">
        <v>222</v>
      </c>
      <c r="C5024" s="28" t="s">
        <v>97</v>
      </c>
      <c r="D5024" s="28" t="s">
        <v>1724</v>
      </c>
      <c r="E5024" s="29" t="s">
        <v>1769</v>
      </c>
      <c r="F5024" s="29" t="s">
        <v>282</v>
      </c>
      <c r="G5024" s="25" t="s">
        <v>6720</v>
      </c>
      <c r="H5024" s="26">
        <v>-0.2900625</v>
      </c>
      <c r="I5024" s="26"/>
      <c r="J5024" s="26" t="s">
        <v>1770</v>
      </c>
      <c r="K5024" s="25" t="s">
        <v>1771</v>
      </c>
    </row>
    <row r="5025" spans="1:11" ht="25.5" x14ac:dyDescent="0.25">
      <c r="A5025" s="22">
        <v>2026</v>
      </c>
      <c r="B5025" s="28" t="s">
        <v>222</v>
      </c>
      <c r="C5025" s="28" t="s">
        <v>97</v>
      </c>
      <c r="D5025" s="28" t="s">
        <v>1724</v>
      </c>
      <c r="E5025" s="29" t="s">
        <v>1769</v>
      </c>
      <c r="F5025" s="29" t="s">
        <v>282</v>
      </c>
      <c r="G5025" s="25" t="s">
        <v>6721</v>
      </c>
      <c r="H5025" s="26">
        <v>-0.26088908550000001</v>
      </c>
      <c r="I5025" s="26"/>
      <c r="J5025" s="26" t="s">
        <v>1770</v>
      </c>
      <c r="K5025" s="25" t="s">
        <v>1771</v>
      </c>
    </row>
    <row r="5026" spans="1:11" ht="25.5" x14ac:dyDescent="0.25">
      <c r="A5026" s="22">
        <v>2026</v>
      </c>
      <c r="B5026" s="28" t="s">
        <v>222</v>
      </c>
      <c r="C5026" s="28" t="s">
        <v>97</v>
      </c>
      <c r="D5026" s="28" t="s">
        <v>1724</v>
      </c>
      <c r="E5026" s="29" t="s">
        <v>1769</v>
      </c>
      <c r="F5026" s="29" t="s">
        <v>282</v>
      </c>
      <c r="G5026" s="25" t="s">
        <v>6722</v>
      </c>
      <c r="H5026" s="26">
        <v>-0.24391664000000002</v>
      </c>
      <c r="I5026" s="26"/>
      <c r="J5026" s="26" t="s">
        <v>1770</v>
      </c>
      <c r="K5026" s="25" t="s">
        <v>1771</v>
      </c>
    </row>
    <row r="5027" spans="1:11" ht="25.5" x14ac:dyDescent="0.25">
      <c r="A5027" s="22">
        <v>2026</v>
      </c>
      <c r="B5027" s="28" t="s">
        <v>222</v>
      </c>
      <c r="C5027" s="28" t="s">
        <v>97</v>
      </c>
      <c r="D5027" s="28" t="s">
        <v>1724</v>
      </c>
      <c r="E5027" s="29" t="s">
        <v>1769</v>
      </c>
      <c r="F5027" s="29" t="s">
        <v>282</v>
      </c>
      <c r="G5027" s="25" t="s">
        <v>6723</v>
      </c>
      <c r="H5027" s="26">
        <v>-0.1889145072</v>
      </c>
      <c r="I5027" s="26"/>
      <c r="J5027" s="26" t="s">
        <v>1770</v>
      </c>
      <c r="K5027" s="25" t="s">
        <v>1771</v>
      </c>
    </row>
    <row r="5028" spans="1:11" ht="25.5" x14ac:dyDescent="0.25">
      <c r="A5028" s="22">
        <v>2026</v>
      </c>
      <c r="B5028" s="28" t="s">
        <v>222</v>
      </c>
      <c r="C5028" s="28" t="s">
        <v>97</v>
      </c>
      <c r="D5028" s="28" t="s">
        <v>1724</v>
      </c>
      <c r="E5028" s="29" t="s">
        <v>1769</v>
      </c>
      <c r="F5028" s="29" t="s">
        <v>282</v>
      </c>
      <c r="G5028" s="25" t="s">
        <v>6724</v>
      </c>
      <c r="H5028" s="26">
        <v>-0.14351931400000001</v>
      </c>
      <c r="I5028" s="26"/>
      <c r="J5028" s="26" t="s">
        <v>1770</v>
      </c>
      <c r="K5028" s="25" t="s">
        <v>1771</v>
      </c>
    </row>
    <row r="5029" spans="1:11" ht="25.5" x14ac:dyDescent="0.25">
      <c r="A5029" s="22">
        <v>2026</v>
      </c>
      <c r="B5029" s="28" t="s">
        <v>222</v>
      </c>
      <c r="C5029" s="28" t="s">
        <v>97</v>
      </c>
      <c r="D5029" s="28" t="s">
        <v>1724</v>
      </c>
      <c r="E5029" s="29" t="s">
        <v>1769</v>
      </c>
      <c r="F5029" s="29" t="s">
        <v>282</v>
      </c>
      <c r="G5029" s="25" t="s">
        <v>6725</v>
      </c>
      <c r="H5029" s="26">
        <v>-0.17136750000000001</v>
      </c>
      <c r="I5029" s="26"/>
      <c r="J5029" s="26" t="s">
        <v>1770</v>
      </c>
      <c r="K5029" s="25" t="s">
        <v>1771</v>
      </c>
    </row>
    <row r="5030" spans="1:11" ht="25.5" x14ac:dyDescent="0.25">
      <c r="A5030" s="22">
        <v>2026</v>
      </c>
      <c r="B5030" s="28" t="s">
        <v>222</v>
      </c>
      <c r="C5030" s="28" t="s">
        <v>97</v>
      </c>
      <c r="D5030" s="28" t="s">
        <v>1724</v>
      </c>
      <c r="E5030" s="29" t="s">
        <v>1769</v>
      </c>
      <c r="F5030" s="29" t="s">
        <v>282</v>
      </c>
      <c r="G5030" s="25" t="s">
        <v>6726</v>
      </c>
      <c r="H5030" s="26">
        <v>-7.0955818799999987E-2</v>
      </c>
      <c r="I5030" s="26"/>
      <c r="J5030" s="26" t="s">
        <v>1770</v>
      </c>
      <c r="K5030" s="25" t="s">
        <v>1771</v>
      </c>
    </row>
    <row r="5031" spans="1:11" ht="25.5" x14ac:dyDescent="0.25">
      <c r="A5031" s="22">
        <v>2026</v>
      </c>
      <c r="B5031" s="28" t="s">
        <v>222</v>
      </c>
      <c r="C5031" s="28" t="s">
        <v>97</v>
      </c>
      <c r="D5031" s="28" t="s">
        <v>1724</v>
      </c>
      <c r="E5031" s="29" t="s">
        <v>1769</v>
      </c>
      <c r="F5031" s="29" t="s">
        <v>282</v>
      </c>
      <c r="G5031" s="25" t="s">
        <v>6727</v>
      </c>
      <c r="H5031" s="26">
        <v>-0.13723493940000001</v>
      </c>
      <c r="I5031" s="26"/>
      <c r="J5031" s="26" t="s">
        <v>1770</v>
      </c>
      <c r="K5031" s="25" t="s">
        <v>1771</v>
      </c>
    </row>
    <row r="5032" spans="1:11" ht="25.5" x14ac:dyDescent="0.25">
      <c r="A5032" s="22">
        <v>2026</v>
      </c>
      <c r="B5032" s="28" t="s">
        <v>222</v>
      </c>
      <c r="C5032" s="28" t="s">
        <v>97</v>
      </c>
      <c r="D5032" s="28" t="s">
        <v>1724</v>
      </c>
      <c r="E5032" s="29" t="s">
        <v>1769</v>
      </c>
      <c r="F5032" s="29" t="s">
        <v>282</v>
      </c>
      <c r="G5032" s="25" t="s">
        <v>6728</v>
      </c>
      <c r="H5032" s="26">
        <v>-0.1625893635</v>
      </c>
      <c r="I5032" s="26"/>
      <c r="J5032" s="26" t="s">
        <v>1770</v>
      </c>
      <c r="K5032" s="25" t="s">
        <v>1771</v>
      </c>
    </row>
    <row r="5033" spans="1:11" ht="25.5" x14ac:dyDescent="0.25">
      <c r="A5033" s="22">
        <v>2026</v>
      </c>
      <c r="B5033" s="28" t="s">
        <v>222</v>
      </c>
      <c r="C5033" s="28" t="s">
        <v>97</v>
      </c>
      <c r="D5033" s="28" t="s">
        <v>1725</v>
      </c>
      <c r="E5033" s="29" t="s">
        <v>1772</v>
      </c>
      <c r="F5033" s="29" t="s">
        <v>325</v>
      </c>
      <c r="G5033" s="25" t="s">
        <v>6729</v>
      </c>
      <c r="H5033" s="26">
        <v>-8.3699999999999997E-2</v>
      </c>
      <c r="I5033" s="26"/>
      <c r="J5033" s="26" t="s">
        <v>1773</v>
      </c>
      <c r="K5033" s="25" t="s">
        <v>513</v>
      </c>
    </row>
    <row r="5034" spans="1:11" ht="25.5" x14ac:dyDescent="0.25">
      <c r="A5034" s="22">
        <v>2026</v>
      </c>
      <c r="B5034" s="28" t="s">
        <v>222</v>
      </c>
      <c r="C5034" s="28" t="s">
        <v>97</v>
      </c>
      <c r="D5034" s="28" t="s">
        <v>1725</v>
      </c>
      <c r="E5034" s="29" t="s">
        <v>1772</v>
      </c>
      <c r="F5034" s="29" t="s">
        <v>325</v>
      </c>
      <c r="G5034" s="25" t="s">
        <v>6730</v>
      </c>
      <c r="H5034" s="26">
        <v>-0.25109999999999999</v>
      </c>
      <c r="I5034" s="26"/>
      <c r="J5034" s="26" t="s">
        <v>1773</v>
      </c>
      <c r="K5034" s="25" t="s">
        <v>513</v>
      </c>
    </row>
    <row r="5035" spans="1:11" ht="25.5" x14ac:dyDescent="0.25">
      <c r="A5035" s="22">
        <v>2026</v>
      </c>
      <c r="B5035" s="28" t="s">
        <v>222</v>
      </c>
      <c r="C5035" s="28" t="s">
        <v>97</v>
      </c>
      <c r="D5035" s="28" t="s">
        <v>1725</v>
      </c>
      <c r="E5035" s="29" t="s">
        <v>1772</v>
      </c>
      <c r="F5035" s="29" t="s">
        <v>325</v>
      </c>
      <c r="G5035" s="25" t="s">
        <v>6731</v>
      </c>
      <c r="H5035" s="26">
        <v>-0.15867500000000001</v>
      </c>
      <c r="I5035" s="26"/>
      <c r="J5035" s="26" t="s">
        <v>1773</v>
      </c>
      <c r="K5035" s="25" t="s">
        <v>513</v>
      </c>
    </row>
    <row r="5036" spans="1:11" ht="25.5" x14ac:dyDescent="0.25">
      <c r="A5036" s="22">
        <v>2026</v>
      </c>
      <c r="B5036" s="28" t="s">
        <v>222</v>
      </c>
      <c r="C5036" s="28" t="s">
        <v>97</v>
      </c>
      <c r="D5036" s="28" t="s">
        <v>1725</v>
      </c>
      <c r="E5036" s="29" t="s">
        <v>1772</v>
      </c>
      <c r="F5036" s="29" t="s">
        <v>325</v>
      </c>
      <c r="G5036" s="25" t="s">
        <v>6732</v>
      </c>
      <c r="H5036" s="26">
        <v>-0.27761279999999999</v>
      </c>
      <c r="I5036" s="26"/>
      <c r="J5036" s="26" t="s">
        <v>1773</v>
      </c>
      <c r="K5036" s="25" t="s">
        <v>513</v>
      </c>
    </row>
    <row r="5037" spans="1:11" ht="25.5" x14ac:dyDescent="0.25">
      <c r="A5037" s="22">
        <v>2026</v>
      </c>
      <c r="B5037" s="28" t="s">
        <v>222</v>
      </c>
      <c r="C5037" s="28" t="s">
        <v>97</v>
      </c>
      <c r="D5037" s="28" t="s">
        <v>1725</v>
      </c>
      <c r="E5037" s="29" t="s">
        <v>1772</v>
      </c>
      <c r="F5037" s="29" t="s">
        <v>325</v>
      </c>
      <c r="G5037" s="25" t="s">
        <v>6733</v>
      </c>
      <c r="H5037" s="26">
        <v>-9.8599999999999993E-2</v>
      </c>
      <c r="I5037" s="26"/>
      <c r="J5037" s="26" t="s">
        <v>1773</v>
      </c>
      <c r="K5037" s="25" t="s">
        <v>513</v>
      </c>
    </row>
    <row r="5038" spans="1:11" ht="25.5" x14ac:dyDescent="0.25">
      <c r="A5038" s="22">
        <v>2026</v>
      </c>
      <c r="B5038" s="28" t="s">
        <v>222</v>
      </c>
      <c r="C5038" s="28" t="s">
        <v>97</v>
      </c>
      <c r="D5038" s="28" t="s">
        <v>1725</v>
      </c>
      <c r="E5038" s="29" t="s">
        <v>1772</v>
      </c>
      <c r="F5038" s="29" t="s">
        <v>325</v>
      </c>
      <c r="G5038" s="25" t="s">
        <v>6734</v>
      </c>
      <c r="H5038" s="26">
        <v>-9.4500000000000001E-2</v>
      </c>
      <c r="I5038" s="26"/>
      <c r="J5038" s="26" t="s">
        <v>1773</v>
      </c>
      <c r="K5038" s="25" t="s">
        <v>513</v>
      </c>
    </row>
    <row r="5039" spans="1:11" ht="25.5" x14ac:dyDescent="0.25">
      <c r="A5039" s="22">
        <v>2026</v>
      </c>
      <c r="B5039" s="28" t="s">
        <v>222</v>
      </c>
      <c r="C5039" s="28" t="s">
        <v>97</v>
      </c>
      <c r="D5039" s="28" t="s">
        <v>272</v>
      </c>
      <c r="E5039" s="29" t="s">
        <v>500</v>
      </c>
      <c r="F5039" s="29" t="s">
        <v>284</v>
      </c>
      <c r="G5039" s="25" t="s">
        <v>6735</v>
      </c>
      <c r="H5039" s="26">
        <v>-0.48949995000000002</v>
      </c>
      <c r="I5039" s="26"/>
      <c r="J5039" s="26" t="s">
        <v>514</v>
      </c>
      <c r="K5039" s="25" t="s">
        <v>513</v>
      </c>
    </row>
    <row r="5040" spans="1:11" ht="25.5" x14ac:dyDescent="0.25">
      <c r="A5040" s="22">
        <v>2026</v>
      </c>
      <c r="B5040" s="28" t="s">
        <v>222</v>
      </c>
      <c r="C5040" s="28" t="s">
        <v>97</v>
      </c>
      <c r="D5040" s="28" t="s">
        <v>272</v>
      </c>
      <c r="E5040" s="29" t="s">
        <v>500</v>
      </c>
      <c r="F5040" s="29" t="s">
        <v>284</v>
      </c>
      <c r="G5040" s="25" t="s">
        <v>6736</v>
      </c>
      <c r="H5040" s="26">
        <v>-0.58385052000000004</v>
      </c>
      <c r="I5040" s="26"/>
      <c r="J5040" s="26" t="s">
        <v>514</v>
      </c>
      <c r="K5040" s="25" t="s">
        <v>513</v>
      </c>
    </row>
    <row r="5041" spans="1:11" ht="25.5" x14ac:dyDescent="0.25">
      <c r="A5041" s="22">
        <v>2026</v>
      </c>
      <c r="B5041" s="28" t="s">
        <v>222</v>
      </c>
      <c r="C5041" s="28" t="s">
        <v>97</v>
      </c>
      <c r="D5041" s="28" t="s">
        <v>272</v>
      </c>
      <c r="E5041" s="29" t="s">
        <v>500</v>
      </c>
      <c r="F5041" s="29" t="s">
        <v>284</v>
      </c>
      <c r="G5041" s="25" t="s">
        <v>6737</v>
      </c>
      <c r="H5041" s="26">
        <v>-0.51968000000000003</v>
      </c>
      <c r="I5041" s="26"/>
      <c r="J5041" s="26" t="s">
        <v>514</v>
      </c>
      <c r="K5041" s="25" t="s">
        <v>513</v>
      </c>
    </row>
    <row r="5042" spans="1:11" ht="25.5" x14ac:dyDescent="0.25">
      <c r="A5042" s="22">
        <v>2026</v>
      </c>
      <c r="B5042" s="28" t="s">
        <v>222</v>
      </c>
      <c r="C5042" s="28" t="s">
        <v>97</v>
      </c>
      <c r="D5042" s="28" t="s">
        <v>272</v>
      </c>
      <c r="E5042" s="29" t="s">
        <v>500</v>
      </c>
      <c r="F5042" s="29" t="s">
        <v>284</v>
      </c>
      <c r="G5042" s="25" t="s">
        <v>6738</v>
      </c>
      <c r="H5042" s="26">
        <v>-0.48594990000000005</v>
      </c>
      <c r="I5042" s="26"/>
      <c r="J5042" s="26" t="s">
        <v>514</v>
      </c>
      <c r="K5042" s="25" t="s">
        <v>513</v>
      </c>
    </row>
    <row r="5043" spans="1:11" ht="25.5" x14ac:dyDescent="0.25">
      <c r="A5043" s="22">
        <v>2026</v>
      </c>
      <c r="B5043" s="28" t="s">
        <v>222</v>
      </c>
      <c r="C5043" s="28" t="s">
        <v>97</v>
      </c>
      <c r="D5043" s="28" t="s">
        <v>272</v>
      </c>
      <c r="E5043" s="29" t="s">
        <v>500</v>
      </c>
      <c r="F5043" s="29" t="s">
        <v>284</v>
      </c>
      <c r="G5043" s="25" t="s">
        <v>6739</v>
      </c>
      <c r="H5043" s="26">
        <v>-0.28763883623999997</v>
      </c>
      <c r="I5043" s="26"/>
      <c r="J5043" s="26" t="s">
        <v>514</v>
      </c>
      <c r="K5043" s="25" t="s">
        <v>513</v>
      </c>
    </row>
    <row r="5044" spans="1:11" ht="25.5" x14ac:dyDescent="0.25">
      <c r="A5044" s="22">
        <v>2026</v>
      </c>
      <c r="B5044" s="28" t="s">
        <v>222</v>
      </c>
      <c r="C5044" s="28" t="s">
        <v>97</v>
      </c>
      <c r="D5044" s="28" t="s">
        <v>272</v>
      </c>
      <c r="E5044" s="29" t="s">
        <v>500</v>
      </c>
      <c r="F5044" s="29" t="s">
        <v>284</v>
      </c>
      <c r="G5044" s="25" t="s">
        <v>6740</v>
      </c>
      <c r="H5044" s="26">
        <v>-0.51574991999999997</v>
      </c>
      <c r="I5044" s="26"/>
      <c r="J5044" s="26" t="s">
        <v>514</v>
      </c>
      <c r="K5044" s="25" t="s">
        <v>513</v>
      </c>
    </row>
    <row r="5045" spans="1:11" ht="25.5" x14ac:dyDescent="0.25">
      <c r="A5045" s="22">
        <v>2026</v>
      </c>
      <c r="B5045" s="28" t="s">
        <v>222</v>
      </c>
      <c r="C5045" s="28" t="s">
        <v>97</v>
      </c>
      <c r="D5045" s="28" t="s">
        <v>272</v>
      </c>
      <c r="E5045" s="29" t="s">
        <v>500</v>
      </c>
      <c r="F5045" s="29" t="s">
        <v>284</v>
      </c>
      <c r="G5045" s="25" t="s">
        <v>6741</v>
      </c>
      <c r="H5045" s="26">
        <v>-0.48535695000000001</v>
      </c>
      <c r="I5045" s="26"/>
      <c r="J5045" s="26" t="s">
        <v>514</v>
      </c>
      <c r="K5045" s="25" t="s">
        <v>513</v>
      </c>
    </row>
    <row r="5046" spans="1:11" ht="25.5" x14ac:dyDescent="0.25">
      <c r="A5046" s="22">
        <v>2026</v>
      </c>
      <c r="B5046" s="28" t="s">
        <v>222</v>
      </c>
      <c r="C5046" s="28" t="s">
        <v>97</v>
      </c>
      <c r="D5046" s="28" t="s">
        <v>272</v>
      </c>
      <c r="E5046" s="29" t="s">
        <v>500</v>
      </c>
      <c r="F5046" s="29" t="s">
        <v>284</v>
      </c>
      <c r="G5046" s="25" t="s">
        <v>6742</v>
      </c>
      <c r="H5046" s="26">
        <v>-0.48165000000000002</v>
      </c>
      <c r="I5046" s="26"/>
      <c r="J5046" s="26" t="s">
        <v>514</v>
      </c>
      <c r="K5046" s="25" t="s">
        <v>513</v>
      </c>
    </row>
    <row r="5047" spans="1:11" ht="25.5" x14ac:dyDescent="0.25">
      <c r="A5047" s="22">
        <v>2026</v>
      </c>
      <c r="B5047" s="28" t="s">
        <v>222</v>
      </c>
      <c r="C5047" s="28" t="s">
        <v>97</v>
      </c>
      <c r="D5047" s="28" t="s">
        <v>272</v>
      </c>
      <c r="E5047" s="29" t="s">
        <v>500</v>
      </c>
      <c r="F5047" s="29" t="s">
        <v>284</v>
      </c>
      <c r="G5047" s="25" t="s">
        <v>6743</v>
      </c>
      <c r="H5047" s="26">
        <v>-0.52239999999999998</v>
      </c>
      <c r="I5047" s="26"/>
      <c r="J5047" s="26" t="s">
        <v>514</v>
      </c>
      <c r="K5047" s="25" t="s">
        <v>513</v>
      </c>
    </row>
    <row r="5048" spans="1:11" ht="25.5" x14ac:dyDescent="0.25">
      <c r="A5048" s="22">
        <v>2026</v>
      </c>
      <c r="B5048" s="28" t="s">
        <v>222</v>
      </c>
      <c r="C5048" s="28" t="s">
        <v>97</v>
      </c>
      <c r="D5048" s="28" t="s">
        <v>272</v>
      </c>
      <c r="E5048" s="29" t="s">
        <v>500</v>
      </c>
      <c r="F5048" s="29" t="s">
        <v>284</v>
      </c>
      <c r="G5048" s="25" t="s">
        <v>6744</v>
      </c>
      <c r="H5048" s="26">
        <v>-0.16400000000000001</v>
      </c>
      <c r="I5048" s="26"/>
      <c r="J5048" s="26" t="s">
        <v>514</v>
      </c>
      <c r="K5048" s="25" t="s">
        <v>513</v>
      </c>
    </row>
    <row r="5049" spans="1:11" ht="25.5" x14ac:dyDescent="0.25">
      <c r="A5049" s="22">
        <v>2026</v>
      </c>
      <c r="B5049" s="28" t="s">
        <v>222</v>
      </c>
      <c r="C5049" s="28" t="s">
        <v>97</v>
      </c>
      <c r="D5049" s="28" t="s">
        <v>272</v>
      </c>
      <c r="E5049" s="29" t="s">
        <v>500</v>
      </c>
      <c r="F5049" s="29" t="s">
        <v>284</v>
      </c>
      <c r="G5049" s="25" t="s">
        <v>6745</v>
      </c>
      <c r="H5049" s="26">
        <v>-0.35902998999999997</v>
      </c>
      <c r="I5049" s="26"/>
      <c r="J5049" s="26" t="s">
        <v>514</v>
      </c>
      <c r="K5049" s="25" t="s">
        <v>513</v>
      </c>
    </row>
    <row r="5050" spans="1:11" ht="25.5" x14ac:dyDescent="0.25">
      <c r="A5050" s="22">
        <v>2026</v>
      </c>
      <c r="B5050" s="28" t="s">
        <v>222</v>
      </c>
      <c r="C5050" s="28" t="s">
        <v>97</v>
      </c>
      <c r="D5050" s="28" t="s">
        <v>272</v>
      </c>
      <c r="E5050" s="29" t="s">
        <v>500</v>
      </c>
      <c r="F5050" s="29" t="s">
        <v>284</v>
      </c>
      <c r="G5050" s="25" t="s">
        <v>6746</v>
      </c>
      <c r="H5050" s="26">
        <v>-0.35491379000000001</v>
      </c>
      <c r="I5050" s="26"/>
      <c r="J5050" s="26" t="s">
        <v>514</v>
      </c>
      <c r="K5050" s="25" t="s">
        <v>513</v>
      </c>
    </row>
    <row r="5051" spans="1:11" ht="25.5" x14ac:dyDescent="0.25">
      <c r="A5051" s="22">
        <v>2026</v>
      </c>
      <c r="B5051" s="28" t="s">
        <v>222</v>
      </c>
      <c r="C5051" s="28" t="s">
        <v>97</v>
      </c>
      <c r="D5051" s="28" t="s">
        <v>272</v>
      </c>
      <c r="E5051" s="29" t="s">
        <v>500</v>
      </c>
      <c r="F5051" s="29" t="s">
        <v>284</v>
      </c>
      <c r="G5051" s="25" t="s">
        <v>6747</v>
      </c>
      <c r="H5051" s="26">
        <v>-0.17631250000000001</v>
      </c>
      <c r="I5051" s="26"/>
      <c r="J5051" s="26" t="s">
        <v>514</v>
      </c>
      <c r="K5051" s="25" t="s">
        <v>513</v>
      </c>
    </row>
    <row r="5052" spans="1:11" ht="25.5" x14ac:dyDescent="0.25">
      <c r="A5052" s="22">
        <v>2026</v>
      </c>
      <c r="B5052" s="28" t="s">
        <v>222</v>
      </c>
      <c r="C5052" s="28" t="s">
        <v>97</v>
      </c>
      <c r="D5052" s="28" t="s">
        <v>272</v>
      </c>
      <c r="E5052" s="29" t="s">
        <v>500</v>
      </c>
      <c r="F5052" s="29" t="s">
        <v>284</v>
      </c>
      <c r="G5052" s="25" t="s">
        <v>6748</v>
      </c>
      <c r="H5052" s="26">
        <v>-0.29160000000000003</v>
      </c>
      <c r="I5052" s="26"/>
      <c r="J5052" s="26" t="s">
        <v>514</v>
      </c>
      <c r="K5052" s="25" t="s">
        <v>513</v>
      </c>
    </row>
    <row r="5053" spans="1:11" ht="25.5" x14ac:dyDescent="0.25">
      <c r="A5053" s="22">
        <v>2026</v>
      </c>
      <c r="B5053" s="28" t="s">
        <v>222</v>
      </c>
      <c r="C5053" s="28" t="s">
        <v>97</v>
      </c>
      <c r="D5053" s="28" t="s">
        <v>272</v>
      </c>
      <c r="E5053" s="29" t="s">
        <v>500</v>
      </c>
      <c r="F5053" s="29" t="s">
        <v>284</v>
      </c>
      <c r="G5053" s="25" t="s">
        <v>6749</v>
      </c>
      <c r="H5053" s="26">
        <v>-0.29472497999999997</v>
      </c>
      <c r="I5053" s="26"/>
      <c r="J5053" s="26" t="s">
        <v>514</v>
      </c>
      <c r="K5053" s="25" t="s">
        <v>513</v>
      </c>
    </row>
    <row r="5054" spans="1:11" ht="25.5" x14ac:dyDescent="0.25">
      <c r="A5054" s="22">
        <v>2026</v>
      </c>
      <c r="B5054" s="28" t="s">
        <v>222</v>
      </c>
      <c r="C5054" s="28" t="s">
        <v>97</v>
      </c>
      <c r="D5054" s="28" t="s">
        <v>272</v>
      </c>
      <c r="E5054" s="29" t="s">
        <v>500</v>
      </c>
      <c r="F5054" s="29" t="s">
        <v>284</v>
      </c>
      <c r="G5054" s="25" t="s">
        <v>6750</v>
      </c>
      <c r="H5054" s="26">
        <v>-0.28050000000000003</v>
      </c>
      <c r="I5054" s="26"/>
      <c r="J5054" s="26" t="s">
        <v>514</v>
      </c>
      <c r="K5054" s="25" t="s">
        <v>513</v>
      </c>
    </row>
    <row r="5055" spans="1:11" ht="25.5" x14ac:dyDescent="0.25">
      <c r="A5055" s="22">
        <v>2026</v>
      </c>
      <c r="B5055" s="28" t="s">
        <v>222</v>
      </c>
      <c r="C5055" s="28" t="s">
        <v>97</v>
      </c>
      <c r="D5055" s="28" t="s">
        <v>272</v>
      </c>
      <c r="E5055" s="29" t="s">
        <v>500</v>
      </c>
      <c r="F5055" s="29" t="s">
        <v>284</v>
      </c>
      <c r="G5055" s="25" t="s">
        <v>6751</v>
      </c>
      <c r="H5055" s="26">
        <v>-1.0081608</v>
      </c>
      <c r="I5055" s="26"/>
      <c r="J5055" s="26" t="s">
        <v>514</v>
      </c>
      <c r="K5055" s="25" t="s">
        <v>513</v>
      </c>
    </row>
    <row r="5056" spans="1:11" ht="25.5" x14ac:dyDescent="0.25">
      <c r="A5056" s="22">
        <v>2026</v>
      </c>
      <c r="B5056" s="28" t="s">
        <v>222</v>
      </c>
      <c r="C5056" s="28" t="s">
        <v>97</v>
      </c>
      <c r="D5056" s="28" t="s">
        <v>272</v>
      </c>
      <c r="E5056" s="29" t="s">
        <v>500</v>
      </c>
      <c r="F5056" s="29" t="s">
        <v>284</v>
      </c>
      <c r="G5056" s="25" t="s">
        <v>6752</v>
      </c>
      <c r="H5056" s="26">
        <v>-1.0117499999999999</v>
      </c>
      <c r="I5056" s="26"/>
      <c r="J5056" s="26" t="s">
        <v>514</v>
      </c>
      <c r="K5056" s="25" t="s">
        <v>513</v>
      </c>
    </row>
    <row r="5057" spans="1:11" ht="25.5" x14ac:dyDescent="0.25">
      <c r="A5057" s="22">
        <v>2026</v>
      </c>
      <c r="B5057" s="28" t="s">
        <v>222</v>
      </c>
      <c r="C5057" s="28" t="s">
        <v>97</v>
      </c>
      <c r="D5057" s="28" t="s">
        <v>272</v>
      </c>
      <c r="E5057" s="29" t="s">
        <v>500</v>
      </c>
      <c r="F5057" s="29" t="s">
        <v>284</v>
      </c>
      <c r="G5057" s="25" t="s">
        <v>6753</v>
      </c>
      <c r="H5057" s="26">
        <v>-0.51946650000000005</v>
      </c>
      <c r="I5057" s="26"/>
      <c r="J5057" s="26" t="s">
        <v>514</v>
      </c>
      <c r="K5057" s="25" t="s">
        <v>513</v>
      </c>
    </row>
    <row r="5058" spans="1:11" ht="25.5" x14ac:dyDescent="0.25">
      <c r="A5058" s="22">
        <v>2026</v>
      </c>
      <c r="B5058" s="28" t="s">
        <v>222</v>
      </c>
      <c r="C5058" s="28" t="s">
        <v>97</v>
      </c>
      <c r="D5058" s="28" t="s">
        <v>1726</v>
      </c>
      <c r="E5058" s="29" t="s">
        <v>569</v>
      </c>
      <c r="F5058" s="29" t="s">
        <v>343</v>
      </c>
      <c r="G5058" s="25" t="s">
        <v>6754</v>
      </c>
      <c r="H5058" s="26">
        <v>-0.17299999999999999</v>
      </c>
      <c r="I5058" s="26"/>
      <c r="J5058" s="26" t="s">
        <v>512</v>
      </c>
      <c r="K5058" s="25" t="s">
        <v>513</v>
      </c>
    </row>
    <row r="5059" spans="1:11" ht="25.5" x14ac:dyDescent="0.25">
      <c r="A5059" s="22">
        <v>2026</v>
      </c>
      <c r="B5059" s="28" t="s">
        <v>222</v>
      </c>
      <c r="C5059" s="28" t="s">
        <v>97</v>
      </c>
      <c r="D5059" s="28" t="s">
        <v>1726</v>
      </c>
      <c r="E5059" s="29" t="s">
        <v>569</v>
      </c>
      <c r="F5059" s="29" t="s">
        <v>343</v>
      </c>
      <c r="G5059" s="25" t="s">
        <v>6755</v>
      </c>
      <c r="H5059" s="26">
        <v>-0.33033172</v>
      </c>
      <c r="I5059" s="26"/>
      <c r="J5059" s="26" t="s">
        <v>512</v>
      </c>
      <c r="K5059" s="25" t="s">
        <v>513</v>
      </c>
    </row>
    <row r="5060" spans="1:11" ht="25.5" x14ac:dyDescent="0.25">
      <c r="A5060" s="22">
        <v>2026</v>
      </c>
      <c r="B5060" s="28" t="s">
        <v>222</v>
      </c>
      <c r="C5060" s="28" t="s">
        <v>97</v>
      </c>
      <c r="D5060" s="28" t="s">
        <v>1726</v>
      </c>
      <c r="E5060" s="29" t="s">
        <v>569</v>
      </c>
      <c r="F5060" s="29" t="s">
        <v>343</v>
      </c>
      <c r="G5060" s="25" t="s">
        <v>6756</v>
      </c>
      <c r="H5060" s="26">
        <v>-0.28326047999999998</v>
      </c>
      <c r="I5060" s="26"/>
      <c r="J5060" s="26" t="s">
        <v>512</v>
      </c>
      <c r="K5060" s="25" t="s">
        <v>513</v>
      </c>
    </row>
    <row r="5061" spans="1:11" ht="25.5" x14ac:dyDescent="0.25">
      <c r="A5061" s="22">
        <v>2026</v>
      </c>
      <c r="B5061" s="28" t="s">
        <v>222</v>
      </c>
      <c r="C5061" s="28" t="s">
        <v>97</v>
      </c>
      <c r="D5061" s="28" t="s">
        <v>1726</v>
      </c>
      <c r="E5061" s="29" t="s">
        <v>569</v>
      </c>
      <c r="F5061" s="29" t="s">
        <v>343</v>
      </c>
      <c r="G5061" s="25" t="s">
        <v>6757</v>
      </c>
      <c r="H5061" s="26">
        <v>-2.1564399999999999</v>
      </c>
      <c r="I5061" s="26"/>
      <c r="J5061" s="26" t="s">
        <v>512</v>
      </c>
      <c r="K5061" s="25" t="s">
        <v>513</v>
      </c>
    </row>
    <row r="5062" spans="1:11" ht="25.5" x14ac:dyDescent="0.25">
      <c r="A5062" s="22">
        <v>2026</v>
      </c>
      <c r="B5062" s="28" t="s">
        <v>222</v>
      </c>
      <c r="C5062" s="28" t="s">
        <v>97</v>
      </c>
      <c r="D5062" s="28" t="s">
        <v>1726</v>
      </c>
      <c r="E5062" s="29" t="s">
        <v>569</v>
      </c>
      <c r="F5062" s="29" t="s">
        <v>343</v>
      </c>
      <c r="G5062" s="25" t="s">
        <v>6758</v>
      </c>
      <c r="H5062" s="26">
        <v>-0.95507730000000002</v>
      </c>
      <c r="I5062" s="26"/>
      <c r="J5062" s="26" t="s">
        <v>512</v>
      </c>
      <c r="K5062" s="25" t="s">
        <v>513</v>
      </c>
    </row>
    <row r="5063" spans="1:11" ht="25.5" x14ac:dyDescent="0.25">
      <c r="A5063" s="22">
        <v>2026</v>
      </c>
      <c r="B5063" s="28" t="s">
        <v>222</v>
      </c>
      <c r="C5063" s="28" t="s">
        <v>97</v>
      </c>
      <c r="D5063" s="28" t="s">
        <v>1726</v>
      </c>
      <c r="E5063" s="29" t="s">
        <v>569</v>
      </c>
      <c r="F5063" s="29" t="s">
        <v>343</v>
      </c>
      <c r="G5063" s="25" t="s">
        <v>6759</v>
      </c>
      <c r="H5063" s="26">
        <v>-0.47439957528999999</v>
      </c>
      <c r="I5063" s="26"/>
      <c r="J5063" s="26" t="s">
        <v>512</v>
      </c>
      <c r="K5063" s="25" t="s">
        <v>513</v>
      </c>
    </row>
    <row r="5064" spans="1:11" ht="25.5" x14ac:dyDescent="0.25">
      <c r="A5064" s="22">
        <v>2026</v>
      </c>
      <c r="B5064" s="28" t="s">
        <v>222</v>
      </c>
      <c r="C5064" s="28" t="s">
        <v>97</v>
      </c>
      <c r="D5064" s="28" t="s">
        <v>1726</v>
      </c>
      <c r="E5064" s="29" t="s">
        <v>569</v>
      </c>
      <c r="F5064" s="29" t="s">
        <v>343</v>
      </c>
      <c r="G5064" s="25" t="s">
        <v>6760</v>
      </c>
      <c r="H5064" s="26">
        <v>-1.1996853359999999</v>
      </c>
      <c r="I5064" s="26"/>
      <c r="J5064" s="26" t="s">
        <v>512</v>
      </c>
      <c r="K5064" s="25" t="s">
        <v>513</v>
      </c>
    </row>
    <row r="5065" spans="1:11" ht="25.5" x14ac:dyDescent="0.25">
      <c r="A5065" s="22">
        <v>2026</v>
      </c>
      <c r="B5065" s="28" t="s">
        <v>222</v>
      </c>
      <c r="C5065" s="28" t="s">
        <v>97</v>
      </c>
      <c r="D5065" s="28" t="s">
        <v>1726</v>
      </c>
      <c r="E5065" s="29" t="s">
        <v>569</v>
      </c>
      <c r="F5065" s="29" t="s">
        <v>343</v>
      </c>
      <c r="G5065" s="25" t="s">
        <v>6761</v>
      </c>
      <c r="H5065" s="26">
        <v>-0.38593592109000002</v>
      </c>
      <c r="I5065" s="26"/>
      <c r="J5065" s="26" t="s">
        <v>512</v>
      </c>
      <c r="K5065" s="25" t="s">
        <v>513</v>
      </c>
    </row>
    <row r="5066" spans="1:11" ht="25.5" x14ac:dyDescent="0.25">
      <c r="A5066" s="22">
        <v>2026</v>
      </c>
      <c r="B5066" s="28" t="s">
        <v>222</v>
      </c>
      <c r="C5066" s="28" t="s">
        <v>97</v>
      </c>
      <c r="D5066" s="28" t="s">
        <v>1726</v>
      </c>
      <c r="E5066" s="29" t="s">
        <v>569</v>
      </c>
      <c r="F5066" s="29" t="s">
        <v>343</v>
      </c>
      <c r="G5066" s="25" t="s">
        <v>6762</v>
      </c>
      <c r="H5066" s="26">
        <v>-0.10222155424</v>
      </c>
      <c r="I5066" s="26"/>
      <c r="J5066" s="26" t="s">
        <v>512</v>
      </c>
      <c r="K5066" s="25" t="s">
        <v>513</v>
      </c>
    </row>
    <row r="5067" spans="1:11" ht="25.5" x14ac:dyDescent="0.25">
      <c r="A5067" s="22">
        <v>2026</v>
      </c>
      <c r="B5067" s="28" t="s">
        <v>222</v>
      </c>
      <c r="C5067" s="28" t="s">
        <v>97</v>
      </c>
      <c r="D5067" s="28" t="s">
        <v>1726</v>
      </c>
      <c r="E5067" s="29" t="s">
        <v>569</v>
      </c>
      <c r="F5067" s="29" t="s">
        <v>343</v>
      </c>
      <c r="G5067" s="25" t="s">
        <v>6763</v>
      </c>
      <c r="H5067" s="26">
        <v>-9.8320239180000005E-2</v>
      </c>
      <c r="I5067" s="26"/>
      <c r="J5067" s="26" t="s">
        <v>512</v>
      </c>
      <c r="K5067" s="25" t="s">
        <v>513</v>
      </c>
    </row>
    <row r="5068" spans="1:11" ht="25.5" x14ac:dyDescent="0.25">
      <c r="A5068" s="22">
        <v>2026</v>
      </c>
      <c r="B5068" s="28" t="s">
        <v>222</v>
      </c>
      <c r="C5068" s="28" t="s">
        <v>97</v>
      </c>
      <c r="D5068" s="28" t="s">
        <v>1726</v>
      </c>
      <c r="E5068" s="29" t="s">
        <v>569</v>
      </c>
      <c r="F5068" s="29" t="s">
        <v>343</v>
      </c>
      <c r="G5068" s="25" t="s">
        <v>6764</v>
      </c>
      <c r="H5068" s="26">
        <v>-0.22700000000000001</v>
      </c>
      <c r="I5068" s="26"/>
      <c r="J5068" s="26" t="s">
        <v>512</v>
      </c>
      <c r="K5068" s="25" t="s">
        <v>513</v>
      </c>
    </row>
    <row r="5069" spans="1:11" ht="25.5" x14ac:dyDescent="0.25">
      <c r="A5069" s="22">
        <v>2026</v>
      </c>
      <c r="B5069" s="28" t="s">
        <v>222</v>
      </c>
      <c r="C5069" s="28" t="s">
        <v>97</v>
      </c>
      <c r="D5069" s="28" t="s">
        <v>1726</v>
      </c>
      <c r="E5069" s="29" t="s">
        <v>569</v>
      </c>
      <c r="F5069" s="29" t="s">
        <v>343</v>
      </c>
      <c r="G5069" s="25" t="s">
        <v>6765</v>
      </c>
      <c r="H5069" s="26">
        <v>-0.45732149999999999</v>
      </c>
      <c r="I5069" s="26"/>
      <c r="J5069" s="26" t="s">
        <v>512</v>
      </c>
      <c r="K5069" s="25" t="s">
        <v>513</v>
      </c>
    </row>
    <row r="5070" spans="1:11" ht="25.5" x14ac:dyDescent="0.25">
      <c r="A5070" s="22">
        <v>2026</v>
      </c>
      <c r="B5070" s="28" t="s">
        <v>222</v>
      </c>
      <c r="C5070" s="28" t="s">
        <v>97</v>
      </c>
      <c r="D5070" s="28" t="s">
        <v>1726</v>
      </c>
      <c r="E5070" s="29" t="s">
        <v>569</v>
      </c>
      <c r="F5070" s="29" t="s">
        <v>343</v>
      </c>
      <c r="G5070" s="25" t="s">
        <v>6766</v>
      </c>
      <c r="H5070" s="26">
        <v>-0.32348212259999998</v>
      </c>
      <c r="I5070" s="26"/>
      <c r="J5070" s="26" t="s">
        <v>512</v>
      </c>
      <c r="K5070" s="25" t="s">
        <v>513</v>
      </c>
    </row>
    <row r="5071" spans="1:11" ht="25.5" x14ac:dyDescent="0.25">
      <c r="A5071" s="22">
        <v>2026</v>
      </c>
      <c r="B5071" s="28" t="s">
        <v>222</v>
      </c>
      <c r="C5071" s="28" t="s">
        <v>97</v>
      </c>
      <c r="D5071" s="28" t="s">
        <v>535</v>
      </c>
      <c r="E5071" s="29" t="s">
        <v>558</v>
      </c>
      <c r="F5071" s="29" t="s">
        <v>374</v>
      </c>
      <c r="G5071" s="25" t="s">
        <v>6767</v>
      </c>
      <c r="H5071" s="26">
        <v>-0.38100000000000001</v>
      </c>
      <c r="I5071" s="26"/>
      <c r="J5071" s="26" t="s">
        <v>512</v>
      </c>
      <c r="K5071" s="25" t="s">
        <v>513</v>
      </c>
    </row>
    <row r="5072" spans="1:11" ht="25.5" x14ac:dyDescent="0.25">
      <c r="A5072" s="22">
        <v>2026</v>
      </c>
      <c r="B5072" s="28" t="s">
        <v>222</v>
      </c>
      <c r="C5072" s="28" t="s">
        <v>97</v>
      </c>
      <c r="D5072" s="28" t="s">
        <v>535</v>
      </c>
      <c r="E5072" s="29" t="s">
        <v>558</v>
      </c>
      <c r="F5072" s="29" t="s">
        <v>374</v>
      </c>
      <c r="G5072" s="25" t="s">
        <v>6768</v>
      </c>
      <c r="H5072" s="26">
        <v>-1.8894899999999999</v>
      </c>
      <c r="I5072" s="26"/>
      <c r="J5072" s="26" t="s">
        <v>512</v>
      </c>
      <c r="K5072" s="25" t="s">
        <v>513</v>
      </c>
    </row>
    <row r="5073" spans="1:11" ht="25.5" x14ac:dyDescent="0.25">
      <c r="A5073" s="22">
        <v>2026</v>
      </c>
      <c r="B5073" s="28" t="s">
        <v>222</v>
      </c>
      <c r="C5073" s="28" t="s">
        <v>97</v>
      </c>
      <c r="D5073" s="28" t="s">
        <v>535</v>
      </c>
      <c r="E5073" s="29" t="s">
        <v>558</v>
      </c>
      <c r="F5073" s="29" t="s">
        <v>374</v>
      </c>
      <c r="G5073" s="25" t="s">
        <v>6769</v>
      </c>
      <c r="H5073" s="26">
        <v>-1.9061399999999999</v>
      </c>
      <c r="I5073" s="26"/>
      <c r="J5073" s="26" t="s">
        <v>512</v>
      </c>
      <c r="K5073" s="25" t="s">
        <v>513</v>
      </c>
    </row>
    <row r="5074" spans="1:11" ht="25.5" x14ac:dyDescent="0.25">
      <c r="A5074" s="22">
        <v>2026</v>
      </c>
      <c r="B5074" s="28" t="s">
        <v>222</v>
      </c>
      <c r="C5074" s="28" t="s">
        <v>97</v>
      </c>
      <c r="D5074" s="28" t="s">
        <v>535</v>
      </c>
      <c r="E5074" s="29" t="s">
        <v>558</v>
      </c>
      <c r="F5074" s="29" t="s">
        <v>374</v>
      </c>
      <c r="G5074" s="25" t="s">
        <v>6770</v>
      </c>
      <c r="H5074" s="26">
        <v>-1.57945</v>
      </c>
      <c r="I5074" s="26"/>
      <c r="J5074" s="26" t="s">
        <v>512</v>
      </c>
      <c r="K5074" s="25" t="s">
        <v>513</v>
      </c>
    </row>
    <row r="5075" spans="1:11" ht="25.5" x14ac:dyDescent="0.25">
      <c r="A5075" s="22">
        <v>2026</v>
      </c>
      <c r="B5075" s="28" t="s">
        <v>222</v>
      </c>
      <c r="C5075" s="28" t="s">
        <v>97</v>
      </c>
      <c r="D5075" s="28" t="s">
        <v>535</v>
      </c>
      <c r="E5075" s="29" t="s">
        <v>558</v>
      </c>
      <c r="F5075" s="29" t="s">
        <v>374</v>
      </c>
      <c r="G5075" s="25" t="s">
        <v>6771</v>
      </c>
      <c r="H5075" s="26">
        <v>-1.26386</v>
      </c>
      <c r="I5075" s="26"/>
      <c r="J5075" s="26" t="s">
        <v>512</v>
      </c>
      <c r="K5075" s="25" t="s">
        <v>513</v>
      </c>
    </row>
    <row r="5076" spans="1:11" ht="25.5" x14ac:dyDescent="0.25">
      <c r="A5076" s="22">
        <v>2026</v>
      </c>
      <c r="B5076" s="28" t="s">
        <v>222</v>
      </c>
      <c r="C5076" s="28" t="s">
        <v>97</v>
      </c>
      <c r="D5076" s="28" t="s">
        <v>535</v>
      </c>
      <c r="E5076" s="29" t="s">
        <v>558</v>
      </c>
      <c r="F5076" s="29" t="s">
        <v>374</v>
      </c>
      <c r="G5076" s="25" t="s">
        <v>6772</v>
      </c>
      <c r="H5076" s="26">
        <v>-1.5696625</v>
      </c>
      <c r="I5076" s="26"/>
      <c r="J5076" s="26" t="s">
        <v>512</v>
      </c>
      <c r="K5076" s="25" t="s">
        <v>513</v>
      </c>
    </row>
    <row r="5077" spans="1:11" ht="25.5" x14ac:dyDescent="0.25">
      <c r="A5077" s="22">
        <v>2026</v>
      </c>
      <c r="B5077" s="28" t="s">
        <v>222</v>
      </c>
      <c r="C5077" s="28" t="s">
        <v>97</v>
      </c>
      <c r="D5077" s="28" t="s">
        <v>535</v>
      </c>
      <c r="E5077" s="29" t="s">
        <v>558</v>
      </c>
      <c r="F5077" s="29" t="s">
        <v>374</v>
      </c>
      <c r="G5077" s="25" t="s">
        <v>6773</v>
      </c>
      <c r="H5077" s="26">
        <v>-1.22821</v>
      </c>
      <c r="I5077" s="26"/>
      <c r="J5077" s="26" t="s">
        <v>512</v>
      </c>
      <c r="K5077" s="25" t="s">
        <v>513</v>
      </c>
    </row>
    <row r="5078" spans="1:11" ht="25.5" x14ac:dyDescent="0.25">
      <c r="A5078" s="22">
        <v>2026</v>
      </c>
      <c r="B5078" s="28" t="s">
        <v>222</v>
      </c>
      <c r="C5078" s="28" t="s">
        <v>97</v>
      </c>
      <c r="D5078" s="28" t="s">
        <v>535</v>
      </c>
      <c r="E5078" s="29" t="s">
        <v>558</v>
      </c>
      <c r="F5078" s="29" t="s">
        <v>374</v>
      </c>
      <c r="G5078" s="25" t="s">
        <v>6774</v>
      </c>
      <c r="H5078" s="26">
        <v>-1.2236100000000001</v>
      </c>
      <c r="I5078" s="26"/>
      <c r="J5078" s="26" t="s">
        <v>512</v>
      </c>
      <c r="K5078" s="25" t="s">
        <v>513</v>
      </c>
    </row>
    <row r="5079" spans="1:11" ht="25.5" x14ac:dyDescent="0.25">
      <c r="A5079" s="22">
        <v>2026</v>
      </c>
      <c r="B5079" s="28" t="s">
        <v>222</v>
      </c>
      <c r="C5079" s="28" t="s">
        <v>97</v>
      </c>
      <c r="D5079" s="28" t="s">
        <v>535</v>
      </c>
      <c r="E5079" s="29" t="s">
        <v>558</v>
      </c>
      <c r="F5079" s="29" t="s">
        <v>374</v>
      </c>
      <c r="G5079" s="25" t="s">
        <v>6775</v>
      </c>
      <c r="H5079" s="26">
        <v>-0.84826975000000004</v>
      </c>
      <c r="I5079" s="26"/>
      <c r="J5079" s="26" t="s">
        <v>512</v>
      </c>
      <c r="K5079" s="25" t="s">
        <v>513</v>
      </c>
    </row>
    <row r="5080" spans="1:11" ht="25.5" x14ac:dyDescent="0.25">
      <c r="A5080" s="22">
        <v>2026</v>
      </c>
      <c r="B5080" s="28" t="s">
        <v>222</v>
      </c>
      <c r="C5080" s="28" t="s">
        <v>97</v>
      </c>
      <c r="D5080" s="28" t="s">
        <v>535</v>
      </c>
      <c r="E5080" s="29" t="s">
        <v>558</v>
      </c>
      <c r="F5080" s="29" t="s">
        <v>374</v>
      </c>
      <c r="G5080" s="25" t="s">
        <v>6776</v>
      </c>
      <c r="H5080" s="26">
        <v>-0.61563999999999997</v>
      </c>
      <c r="I5080" s="26"/>
      <c r="J5080" s="26" t="s">
        <v>512</v>
      </c>
      <c r="K5080" s="25" t="s">
        <v>513</v>
      </c>
    </row>
    <row r="5081" spans="1:11" ht="25.5" x14ac:dyDescent="0.25">
      <c r="A5081" s="22">
        <v>2026</v>
      </c>
      <c r="B5081" s="28" t="s">
        <v>222</v>
      </c>
      <c r="C5081" s="28" t="s">
        <v>97</v>
      </c>
      <c r="D5081" s="28" t="s">
        <v>535</v>
      </c>
      <c r="E5081" s="29" t="s">
        <v>558</v>
      </c>
      <c r="F5081" s="29" t="s">
        <v>374</v>
      </c>
      <c r="G5081" s="25" t="s">
        <v>6777</v>
      </c>
      <c r="H5081" s="26">
        <v>-1.0480415000000001</v>
      </c>
      <c r="I5081" s="26"/>
      <c r="J5081" s="26" t="s">
        <v>512</v>
      </c>
      <c r="K5081" s="25" t="s">
        <v>513</v>
      </c>
    </row>
    <row r="5082" spans="1:11" ht="25.5" x14ac:dyDescent="0.25">
      <c r="A5082" s="22">
        <v>2026</v>
      </c>
      <c r="B5082" s="28" t="s">
        <v>222</v>
      </c>
      <c r="C5082" s="28" t="s">
        <v>97</v>
      </c>
      <c r="D5082" s="28" t="s">
        <v>535</v>
      </c>
      <c r="E5082" s="29" t="s">
        <v>558</v>
      </c>
      <c r="F5082" s="29" t="s">
        <v>374</v>
      </c>
      <c r="G5082" s="25" t="s">
        <v>6778</v>
      </c>
      <c r="H5082" s="26">
        <v>-0.99639999999999995</v>
      </c>
      <c r="I5082" s="26"/>
      <c r="J5082" s="26" t="s">
        <v>512</v>
      </c>
      <c r="K5082" s="25" t="s">
        <v>513</v>
      </c>
    </row>
    <row r="5083" spans="1:11" ht="25.5" x14ac:dyDescent="0.25">
      <c r="A5083" s="22">
        <v>2026</v>
      </c>
      <c r="B5083" s="28" t="s">
        <v>222</v>
      </c>
      <c r="C5083" s="28" t="s">
        <v>97</v>
      </c>
      <c r="D5083" s="28" t="s">
        <v>535</v>
      </c>
      <c r="E5083" s="29" t="s">
        <v>558</v>
      </c>
      <c r="F5083" s="29" t="s">
        <v>374</v>
      </c>
      <c r="G5083" s="25" t="s">
        <v>6779</v>
      </c>
      <c r="H5083" s="26">
        <v>-0.68835800000000003</v>
      </c>
      <c r="I5083" s="26"/>
      <c r="J5083" s="26" t="s">
        <v>512</v>
      </c>
      <c r="K5083" s="25" t="s">
        <v>513</v>
      </c>
    </row>
    <row r="5084" spans="1:11" ht="25.5" x14ac:dyDescent="0.25">
      <c r="A5084" s="22">
        <v>2026</v>
      </c>
      <c r="B5084" s="28" t="s">
        <v>222</v>
      </c>
      <c r="C5084" s="28" t="s">
        <v>97</v>
      </c>
      <c r="D5084" s="28" t="s">
        <v>533</v>
      </c>
      <c r="E5084" s="29" t="s">
        <v>554</v>
      </c>
      <c r="F5084" s="29" t="s">
        <v>284</v>
      </c>
      <c r="G5084" s="25" t="s">
        <v>6780</v>
      </c>
      <c r="H5084" s="26">
        <v>-0.10844311999999999</v>
      </c>
      <c r="I5084" s="26"/>
      <c r="J5084" s="26" t="s">
        <v>512</v>
      </c>
      <c r="K5084" s="25" t="s">
        <v>513</v>
      </c>
    </row>
    <row r="5085" spans="1:11" ht="25.5" x14ac:dyDescent="0.25">
      <c r="A5085" s="22">
        <v>2026</v>
      </c>
      <c r="B5085" s="28" t="s">
        <v>222</v>
      </c>
      <c r="C5085" s="28" t="s">
        <v>97</v>
      </c>
      <c r="D5085" s="28" t="s">
        <v>533</v>
      </c>
      <c r="E5085" s="29" t="s">
        <v>554</v>
      </c>
      <c r="F5085" s="29" t="s">
        <v>284</v>
      </c>
      <c r="G5085" s="25" t="s">
        <v>6781</v>
      </c>
      <c r="H5085" s="26">
        <v>-0.20849999999999999</v>
      </c>
      <c r="I5085" s="26"/>
      <c r="J5085" s="26" t="s">
        <v>512</v>
      </c>
      <c r="K5085" s="25" t="s">
        <v>513</v>
      </c>
    </row>
    <row r="5086" spans="1:11" ht="25.5" x14ac:dyDescent="0.25">
      <c r="A5086" s="22">
        <v>2026</v>
      </c>
      <c r="B5086" s="28" t="s">
        <v>222</v>
      </c>
      <c r="C5086" s="28" t="s">
        <v>97</v>
      </c>
      <c r="D5086" s="28" t="s">
        <v>533</v>
      </c>
      <c r="E5086" s="29" t="s">
        <v>554</v>
      </c>
      <c r="F5086" s="29" t="s">
        <v>284</v>
      </c>
      <c r="G5086" s="25" t="s">
        <v>6782</v>
      </c>
      <c r="H5086" s="26">
        <v>-0.1376</v>
      </c>
      <c r="I5086" s="26"/>
      <c r="J5086" s="26" t="s">
        <v>512</v>
      </c>
      <c r="K5086" s="25" t="s">
        <v>513</v>
      </c>
    </row>
    <row r="5087" spans="1:11" ht="25.5" x14ac:dyDescent="0.25">
      <c r="A5087" s="22">
        <v>2026</v>
      </c>
      <c r="B5087" s="28" t="s">
        <v>222</v>
      </c>
      <c r="C5087" s="28" t="s">
        <v>97</v>
      </c>
      <c r="D5087" s="28" t="s">
        <v>533</v>
      </c>
      <c r="E5087" s="29" t="s">
        <v>554</v>
      </c>
      <c r="F5087" s="29" t="s">
        <v>284</v>
      </c>
      <c r="G5087" s="25" t="s">
        <v>6783</v>
      </c>
      <c r="H5087" s="26">
        <v>-0.37530000000000002</v>
      </c>
      <c r="I5087" s="26"/>
      <c r="J5087" s="26" t="s">
        <v>512</v>
      </c>
      <c r="K5087" s="25" t="s">
        <v>513</v>
      </c>
    </row>
    <row r="5088" spans="1:11" ht="25.5" x14ac:dyDescent="0.25">
      <c r="A5088" s="22">
        <v>2026</v>
      </c>
      <c r="B5088" s="28" t="s">
        <v>222</v>
      </c>
      <c r="C5088" s="28" t="s">
        <v>97</v>
      </c>
      <c r="D5088" s="28" t="s">
        <v>533</v>
      </c>
      <c r="E5088" s="29" t="s">
        <v>554</v>
      </c>
      <c r="F5088" s="29" t="s">
        <v>284</v>
      </c>
      <c r="G5088" s="25" t="s">
        <v>6784</v>
      </c>
      <c r="H5088" s="26">
        <v>-1.7375</v>
      </c>
      <c r="I5088" s="26"/>
      <c r="J5088" s="26" t="s">
        <v>512</v>
      </c>
      <c r="K5088" s="25" t="s">
        <v>513</v>
      </c>
    </row>
    <row r="5089" spans="1:11" ht="25.5" x14ac:dyDescent="0.25">
      <c r="A5089" s="22">
        <v>2026</v>
      </c>
      <c r="B5089" s="28" t="s">
        <v>222</v>
      </c>
      <c r="C5089" s="28" t="s">
        <v>97</v>
      </c>
      <c r="D5089" s="28" t="s">
        <v>533</v>
      </c>
      <c r="E5089" s="29" t="s">
        <v>554</v>
      </c>
      <c r="F5089" s="29" t="s">
        <v>284</v>
      </c>
      <c r="G5089" s="25" t="s">
        <v>6785</v>
      </c>
      <c r="H5089" s="26">
        <v>-0.20594999999999999</v>
      </c>
      <c r="I5089" s="26"/>
      <c r="J5089" s="26" t="s">
        <v>512</v>
      </c>
      <c r="K5089" s="25" t="s">
        <v>513</v>
      </c>
    </row>
    <row r="5090" spans="1:11" ht="25.5" x14ac:dyDescent="0.25">
      <c r="A5090" s="22">
        <v>2026</v>
      </c>
      <c r="B5090" s="28" t="s">
        <v>222</v>
      </c>
      <c r="C5090" s="28" t="s">
        <v>97</v>
      </c>
      <c r="D5090" s="28" t="s">
        <v>533</v>
      </c>
      <c r="E5090" s="29" t="s">
        <v>554</v>
      </c>
      <c r="F5090" s="29" t="s">
        <v>284</v>
      </c>
      <c r="G5090" s="25" t="s">
        <v>6786</v>
      </c>
      <c r="H5090" s="26">
        <v>-0.11877404</v>
      </c>
      <c r="I5090" s="26"/>
      <c r="J5090" s="26" t="s">
        <v>512</v>
      </c>
      <c r="K5090" s="25" t="s">
        <v>513</v>
      </c>
    </row>
    <row r="5091" spans="1:11" ht="25.5" x14ac:dyDescent="0.25">
      <c r="A5091" s="22">
        <v>2026</v>
      </c>
      <c r="B5091" s="28" t="s">
        <v>222</v>
      </c>
      <c r="C5091" s="28" t="s">
        <v>97</v>
      </c>
      <c r="D5091" s="28" t="s">
        <v>533</v>
      </c>
      <c r="E5091" s="29" t="s">
        <v>554</v>
      </c>
      <c r="F5091" s="29" t="s">
        <v>284</v>
      </c>
      <c r="G5091" s="25" t="s">
        <v>6787</v>
      </c>
      <c r="H5091" s="26">
        <v>-0.1366</v>
      </c>
      <c r="I5091" s="26"/>
      <c r="J5091" s="26" t="s">
        <v>512</v>
      </c>
      <c r="K5091" s="25" t="s">
        <v>513</v>
      </c>
    </row>
    <row r="5092" spans="1:11" ht="25.5" x14ac:dyDescent="0.25">
      <c r="A5092" s="22">
        <v>2026</v>
      </c>
      <c r="B5092" s="28" t="s">
        <v>222</v>
      </c>
      <c r="C5092" s="28" t="s">
        <v>97</v>
      </c>
      <c r="D5092" s="28" t="s">
        <v>533</v>
      </c>
      <c r="E5092" s="29" t="s">
        <v>554</v>
      </c>
      <c r="F5092" s="29" t="s">
        <v>284</v>
      </c>
      <c r="G5092" s="25" t="s">
        <v>6788</v>
      </c>
      <c r="H5092" s="26">
        <v>-1.70625</v>
      </c>
      <c r="I5092" s="26"/>
      <c r="J5092" s="26" t="s">
        <v>512</v>
      </c>
      <c r="K5092" s="25" t="s">
        <v>513</v>
      </c>
    </row>
    <row r="5093" spans="1:11" ht="25.5" x14ac:dyDescent="0.25">
      <c r="A5093" s="22">
        <v>2026</v>
      </c>
      <c r="B5093" s="28" t="s">
        <v>222</v>
      </c>
      <c r="C5093" s="28" t="s">
        <v>97</v>
      </c>
      <c r="D5093" s="28" t="s">
        <v>533</v>
      </c>
      <c r="E5093" s="29" t="s">
        <v>554</v>
      </c>
      <c r="F5093" s="29" t="s">
        <v>284</v>
      </c>
      <c r="G5093" s="25" t="s">
        <v>6789</v>
      </c>
      <c r="H5093" s="26">
        <v>-0.20250000000000001</v>
      </c>
      <c r="I5093" s="26"/>
      <c r="J5093" s="26" t="s">
        <v>512</v>
      </c>
      <c r="K5093" s="25" t="s">
        <v>513</v>
      </c>
    </row>
    <row r="5094" spans="1:11" ht="25.5" x14ac:dyDescent="0.25">
      <c r="A5094" s="22">
        <v>2026</v>
      </c>
      <c r="B5094" s="28" t="s">
        <v>222</v>
      </c>
      <c r="C5094" s="28" t="s">
        <v>97</v>
      </c>
      <c r="D5094" s="28" t="s">
        <v>533</v>
      </c>
      <c r="E5094" s="29" t="s">
        <v>554</v>
      </c>
      <c r="F5094" s="29" t="s">
        <v>284</v>
      </c>
      <c r="G5094" s="25" t="s">
        <v>6790</v>
      </c>
      <c r="H5094" s="26">
        <v>-0.1356</v>
      </c>
      <c r="I5094" s="26"/>
      <c r="J5094" s="26" t="s">
        <v>512</v>
      </c>
      <c r="K5094" s="25" t="s">
        <v>513</v>
      </c>
    </row>
    <row r="5095" spans="1:11" ht="25.5" x14ac:dyDescent="0.25">
      <c r="A5095" s="22">
        <v>2026</v>
      </c>
      <c r="B5095" s="28" t="s">
        <v>222</v>
      </c>
      <c r="C5095" s="28" t="s">
        <v>97</v>
      </c>
      <c r="D5095" s="28" t="s">
        <v>533</v>
      </c>
      <c r="E5095" s="29" t="s">
        <v>554</v>
      </c>
      <c r="F5095" s="29" t="s">
        <v>284</v>
      </c>
      <c r="G5095" s="25" t="s">
        <v>6791</v>
      </c>
      <c r="H5095" s="26">
        <v>-0.20100000000000001</v>
      </c>
      <c r="I5095" s="26"/>
      <c r="J5095" s="26" t="s">
        <v>512</v>
      </c>
      <c r="K5095" s="25" t="s">
        <v>513</v>
      </c>
    </row>
    <row r="5096" spans="1:11" ht="25.5" x14ac:dyDescent="0.25">
      <c r="A5096" s="22">
        <v>2026</v>
      </c>
      <c r="B5096" s="28" t="s">
        <v>222</v>
      </c>
      <c r="C5096" s="28" t="s">
        <v>97</v>
      </c>
      <c r="D5096" s="28" t="s">
        <v>533</v>
      </c>
      <c r="E5096" s="29" t="s">
        <v>554</v>
      </c>
      <c r="F5096" s="29" t="s">
        <v>284</v>
      </c>
      <c r="G5096" s="25" t="s">
        <v>6792</v>
      </c>
      <c r="H5096" s="26">
        <v>-0.20144999999999999</v>
      </c>
      <c r="I5096" s="26"/>
      <c r="J5096" s="26" t="s">
        <v>512</v>
      </c>
      <c r="K5096" s="25" t="s">
        <v>513</v>
      </c>
    </row>
    <row r="5097" spans="1:11" ht="25.5" x14ac:dyDescent="0.25">
      <c r="A5097" s="22">
        <v>2026</v>
      </c>
      <c r="B5097" s="28" t="s">
        <v>222</v>
      </c>
      <c r="C5097" s="28" t="s">
        <v>97</v>
      </c>
      <c r="D5097" s="28" t="s">
        <v>234</v>
      </c>
      <c r="E5097" s="29" t="s">
        <v>427</v>
      </c>
      <c r="F5097" s="29" t="s">
        <v>428</v>
      </c>
      <c r="G5097" s="25" t="s">
        <v>6793</v>
      </c>
      <c r="H5097" s="26">
        <v>-0.54867500000000002</v>
      </c>
      <c r="I5097" s="26"/>
      <c r="J5097" s="26" t="s">
        <v>512</v>
      </c>
      <c r="K5097" s="25" t="s">
        <v>513</v>
      </c>
    </row>
    <row r="5098" spans="1:11" ht="25.5" x14ac:dyDescent="0.25">
      <c r="A5098" s="22">
        <v>2026</v>
      </c>
      <c r="B5098" s="28" t="s">
        <v>222</v>
      </c>
      <c r="C5098" s="28" t="s">
        <v>97</v>
      </c>
      <c r="D5098" s="28" t="s">
        <v>234</v>
      </c>
      <c r="E5098" s="29" t="s">
        <v>427</v>
      </c>
      <c r="F5098" s="29" t="s">
        <v>428</v>
      </c>
      <c r="G5098" s="25" t="s">
        <v>6794</v>
      </c>
      <c r="H5098" s="26">
        <v>-0.33171980000000001</v>
      </c>
      <c r="I5098" s="26"/>
      <c r="J5098" s="26" t="s">
        <v>512</v>
      </c>
      <c r="K5098" s="25" t="s">
        <v>513</v>
      </c>
    </row>
    <row r="5099" spans="1:11" ht="25.5" x14ac:dyDescent="0.25">
      <c r="A5099" s="22">
        <v>2026</v>
      </c>
      <c r="B5099" s="28" t="s">
        <v>222</v>
      </c>
      <c r="C5099" s="28" t="s">
        <v>97</v>
      </c>
      <c r="D5099" s="28" t="s">
        <v>234</v>
      </c>
      <c r="E5099" s="29" t="s">
        <v>427</v>
      </c>
      <c r="F5099" s="29" t="s">
        <v>428</v>
      </c>
      <c r="G5099" s="25" t="s">
        <v>6795</v>
      </c>
      <c r="H5099" s="26">
        <v>-0.46621574999999998</v>
      </c>
      <c r="I5099" s="26"/>
      <c r="J5099" s="26" t="s">
        <v>512</v>
      </c>
      <c r="K5099" s="25" t="s">
        <v>513</v>
      </c>
    </row>
    <row r="5100" spans="1:11" ht="25.5" x14ac:dyDescent="0.25">
      <c r="A5100" s="22">
        <v>2026</v>
      </c>
      <c r="B5100" s="28" t="s">
        <v>222</v>
      </c>
      <c r="C5100" s="28" t="s">
        <v>97</v>
      </c>
      <c r="D5100" s="28" t="s">
        <v>234</v>
      </c>
      <c r="E5100" s="29" t="s">
        <v>427</v>
      </c>
      <c r="F5100" s="29" t="s">
        <v>428</v>
      </c>
      <c r="G5100" s="25" t="s">
        <v>6796</v>
      </c>
      <c r="H5100" s="26">
        <v>-0.66983999999999999</v>
      </c>
      <c r="I5100" s="26"/>
      <c r="J5100" s="26" t="s">
        <v>512</v>
      </c>
      <c r="K5100" s="25" t="s">
        <v>513</v>
      </c>
    </row>
    <row r="5101" spans="1:11" ht="25.5" x14ac:dyDescent="0.25">
      <c r="A5101" s="22">
        <v>2026</v>
      </c>
      <c r="B5101" s="28" t="s">
        <v>222</v>
      </c>
      <c r="C5101" s="28" t="s">
        <v>97</v>
      </c>
      <c r="D5101" s="28" t="s">
        <v>234</v>
      </c>
      <c r="E5101" s="29" t="s">
        <v>427</v>
      </c>
      <c r="F5101" s="29" t="s">
        <v>428</v>
      </c>
      <c r="G5101" s="25" t="s">
        <v>6797</v>
      </c>
      <c r="H5101" s="26">
        <v>-0.56167500000000004</v>
      </c>
      <c r="I5101" s="26"/>
      <c r="J5101" s="26" t="s">
        <v>512</v>
      </c>
      <c r="K5101" s="25" t="s">
        <v>513</v>
      </c>
    </row>
    <row r="5102" spans="1:11" ht="25.5" x14ac:dyDescent="0.25">
      <c r="A5102" s="22">
        <v>2026</v>
      </c>
      <c r="B5102" s="28" t="s">
        <v>222</v>
      </c>
      <c r="C5102" s="28" t="s">
        <v>97</v>
      </c>
      <c r="D5102" s="28" t="s">
        <v>234</v>
      </c>
      <c r="E5102" s="29" t="s">
        <v>427</v>
      </c>
      <c r="F5102" s="29" t="s">
        <v>428</v>
      </c>
      <c r="G5102" s="25" t="s">
        <v>6798</v>
      </c>
      <c r="H5102" s="26">
        <v>-0.4440674</v>
      </c>
      <c r="I5102" s="26"/>
      <c r="J5102" s="26" t="s">
        <v>512</v>
      </c>
      <c r="K5102" s="25" t="s">
        <v>513</v>
      </c>
    </row>
    <row r="5103" spans="1:11" ht="25.5" x14ac:dyDescent="0.25">
      <c r="A5103" s="22">
        <v>2026</v>
      </c>
      <c r="B5103" s="28" t="s">
        <v>222</v>
      </c>
      <c r="C5103" s="28" t="s">
        <v>97</v>
      </c>
      <c r="D5103" s="28" t="s">
        <v>234</v>
      </c>
      <c r="E5103" s="29" t="s">
        <v>427</v>
      </c>
      <c r="F5103" s="29" t="s">
        <v>428</v>
      </c>
      <c r="G5103" s="25" t="s">
        <v>6799</v>
      </c>
      <c r="H5103" s="26">
        <v>-0.40297045659999997</v>
      </c>
      <c r="I5103" s="26"/>
      <c r="J5103" s="26" t="s">
        <v>512</v>
      </c>
      <c r="K5103" s="25" t="s">
        <v>513</v>
      </c>
    </row>
    <row r="5104" spans="1:11" ht="25.5" x14ac:dyDescent="0.25">
      <c r="A5104" s="22">
        <v>2026</v>
      </c>
      <c r="B5104" s="28" t="s">
        <v>222</v>
      </c>
      <c r="C5104" s="28" t="s">
        <v>97</v>
      </c>
      <c r="D5104" s="28" t="s">
        <v>234</v>
      </c>
      <c r="E5104" s="29" t="s">
        <v>427</v>
      </c>
      <c r="F5104" s="29" t="s">
        <v>428</v>
      </c>
      <c r="G5104" s="25" t="s">
        <v>6800</v>
      </c>
      <c r="H5104" s="26">
        <v>-0.56510000000000005</v>
      </c>
      <c r="I5104" s="26"/>
      <c r="J5104" s="26" t="s">
        <v>512</v>
      </c>
      <c r="K5104" s="25" t="s">
        <v>513</v>
      </c>
    </row>
    <row r="5105" spans="1:11" ht="25.5" x14ac:dyDescent="0.25">
      <c r="A5105" s="22">
        <v>2026</v>
      </c>
      <c r="B5105" s="28" t="s">
        <v>222</v>
      </c>
      <c r="C5105" s="28" t="s">
        <v>97</v>
      </c>
      <c r="D5105" s="28" t="s">
        <v>234</v>
      </c>
      <c r="E5105" s="29" t="s">
        <v>427</v>
      </c>
      <c r="F5105" s="29" t="s">
        <v>428</v>
      </c>
      <c r="G5105" s="25" t="s">
        <v>6801</v>
      </c>
      <c r="H5105" s="26">
        <v>-0.11670352319999999</v>
      </c>
      <c r="I5105" s="26"/>
      <c r="J5105" s="26" t="s">
        <v>512</v>
      </c>
      <c r="K5105" s="25" t="s">
        <v>513</v>
      </c>
    </row>
    <row r="5106" spans="1:11" ht="25.5" x14ac:dyDescent="0.25">
      <c r="A5106" s="22">
        <v>2026</v>
      </c>
      <c r="B5106" s="28" t="s">
        <v>222</v>
      </c>
      <c r="C5106" s="28" t="s">
        <v>97</v>
      </c>
      <c r="D5106" s="28" t="s">
        <v>234</v>
      </c>
      <c r="E5106" s="29" t="s">
        <v>427</v>
      </c>
      <c r="F5106" s="29" t="s">
        <v>428</v>
      </c>
      <c r="G5106" s="25" t="s">
        <v>6802</v>
      </c>
      <c r="H5106" s="26">
        <v>-0.45904</v>
      </c>
      <c r="I5106" s="26"/>
      <c r="J5106" s="26" t="s">
        <v>512</v>
      </c>
      <c r="K5106" s="25" t="s">
        <v>513</v>
      </c>
    </row>
    <row r="5107" spans="1:11" ht="25.5" x14ac:dyDescent="0.25">
      <c r="A5107" s="22">
        <v>2026</v>
      </c>
      <c r="B5107" s="28" t="s">
        <v>222</v>
      </c>
      <c r="C5107" s="28" t="s">
        <v>97</v>
      </c>
      <c r="D5107" s="28" t="s">
        <v>234</v>
      </c>
      <c r="E5107" s="29" t="s">
        <v>427</v>
      </c>
      <c r="F5107" s="29" t="s">
        <v>428</v>
      </c>
      <c r="G5107" s="25" t="s">
        <v>6803</v>
      </c>
      <c r="H5107" s="26">
        <v>-0.46407999999999999</v>
      </c>
      <c r="I5107" s="26"/>
      <c r="J5107" s="26" t="s">
        <v>512</v>
      </c>
      <c r="K5107" s="25" t="s">
        <v>513</v>
      </c>
    </row>
    <row r="5108" spans="1:11" ht="25.5" x14ac:dyDescent="0.25">
      <c r="A5108" s="22">
        <v>2026</v>
      </c>
      <c r="B5108" s="28" t="s">
        <v>222</v>
      </c>
      <c r="C5108" s="28" t="s">
        <v>97</v>
      </c>
      <c r="D5108" s="28" t="s">
        <v>234</v>
      </c>
      <c r="E5108" s="29" t="s">
        <v>427</v>
      </c>
      <c r="F5108" s="29" t="s">
        <v>428</v>
      </c>
      <c r="G5108" s="25" t="s">
        <v>6804</v>
      </c>
      <c r="H5108" s="26">
        <v>-0.46011999999999997</v>
      </c>
      <c r="I5108" s="26"/>
      <c r="J5108" s="26" t="s">
        <v>512</v>
      </c>
      <c r="K5108" s="25" t="s">
        <v>513</v>
      </c>
    </row>
    <row r="5109" spans="1:11" ht="25.5" x14ac:dyDescent="0.25">
      <c r="A5109" s="22">
        <v>2026</v>
      </c>
      <c r="B5109" s="28" t="s">
        <v>222</v>
      </c>
      <c r="C5109" s="28" t="s">
        <v>97</v>
      </c>
      <c r="D5109" s="28" t="s">
        <v>234</v>
      </c>
      <c r="E5109" s="29" t="s">
        <v>427</v>
      </c>
      <c r="F5109" s="29" t="s">
        <v>428</v>
      </c>
      <c r="G5109" s="25" t="s">
        <v>6805</v>
      </c>
      <c r="H5109" s="26">
        <v>-0.46181</v>
      </c>
      <c r="I5109" s="26"/>
      <c r="J5109" s="26" t="s">
        <v>512</v>
      </c>
      <c r="K5109" s="25" t="s">
        <v>513</v>
      </c>
    </row>
    <row r="5110" spans="1:11" ht="25.5" x14ac:dyDescent="0.25">
      <c r="A5110" s="22">
        <v>2026</v>
      </c>
      <c r="B5110" s="28" t="s">
        <v>222</v>
      </c>
      <c r="C5110" s="28" t="s">
        <v>97</v>
      </c>
      <c r="D5110" s="28" t="s">
        <v>1727</v>
      </c>
      <c r="E5110" s="29" t="s">
        <v>305</v>
      </c>
      <c r="F5110" s="29" t="s">
        <v>903</v>
      </c>
      <c r="G5110" s="25" t="s">
        <v>6806</v>
      </c>
      <c r="H5110" s="26">
        <v>-3.85E-2</v>
      </c>
      <c r="I5110" s="26"/>
      <c r="J5110" s="26" t="s">
        <v>514</v>
      </c>
      <c r="K5110" s="25" t="s">
        <v>513</v>
      </c>
    </row>
    <row r="5111" spans="1:11" ht="25.5" x14ac:dyDescent="0.25">
      <c r="A5111" s="22">
        <v>2026</v>
      </c>
      <c r="B5111" s="28" t="s">
        <v>222</v>
      </c>
      <c r="C5111" s="28" t="s">
        <v>97</v>
      </c>
      <c r="D5111" s="28" t="s">
        <v>1727</v>
      </c>
      <c r="E5111" s="29" t="s">
        <v>305</v>
      </c>
      <c r="F5111" s="29" t="s">
        <v>903</v>
      </c>
      <c r="G5111" s="25" t="s">
        <v>6807</v>
      </c>
      <c r="H5111" s="26">
        <v>-0.11525025</v>
      </c>
      <c r="I5111" s="26"/>
      <c r="J5111" s="26" t="s">
        <v>514</v>
      </c>
      <c r="K5111" s="25" t="s">
        <v>513</v>
      </c>
    </row>
    <row r="5112" spans="1:11" ht="25.5" x14ac:dyDescent="0.25">
      <c r="A5112" s="22">
        <v>2026</v>
      </c>
      <c r="B5112" s="28" t="s">
        <v>222</v>
      </c>
      <c r="C5112" s="28" t="s">
        <v>97</v>
      </c>
      <c r="D5112" s="28" t="s">
        <v>1727</v>
      </c>
      <c r="E5112" s="29" t="s">
        <v>305</v>
      </c>
      <c r="F5112" s="29" t="s">
        <v>903</v>
      </c>
      <c r="G5112" s="25" t="s">
        <v>6808</v>
      </c>
      <c r="H5112" s="26">
        <v>-7.9750000000000001E-2</v>
      </c>
      <c r="I5112" s="26"/>
      <c r="J5112" s="26" t="s">
        <v>514</v>
      </c>
      <c r="K5112" s="25" t="s">
        <v>513</v>
      </c>
    </row>
    <row r="5113" spans="1:11" ht="25.5" x14ac:dyDescent="0.25">
      <c r="A5113" s="22">
        <v>2026</v>
      </c>
      <c r="B5113" s="28" t="s">
        <v>222</v>
      </c>
      <c r="C5113" s="28" t="s">
        <v>97</v>
      </c>
      <c r="D5113" s="28" t="s">
        <v>1728</v>
      </c>
      <c r="E5113" s="29" t="s">
        <v>1775</v>
      </c>
      <c r="F5113" s="29" t="s">
        <v>374</v>
      </c>
      <c r="G5113" s="25" t="s">
        <v>6809</v>
      </c>
      <c r="H5113" s="26">
        <v>-0.18493999999999999</v>
      </c>
      <c r="I5113" s="26"/>
      <c r="J5113" s="26" t="s">
        <v>514</v>
      </c>
      <c r="K5113" s="25" t="s">
        <v>513</v>
      </c>
    </row>
    <row r="5114" spans="1:11" ht="25.5" x14ac:dyDescent="0.25">
      <c r="A5114" s="22">
        <v>2026</v>
      </c>
      <c r="B5114" s="28" t="s">
        <v>222</v>
      </c>
      <c r="C5114" s="28" t="s">
        <v>97</v>
      </c>
      <c r="D5114" s="28" t="s">
        <v>1728</v>
      </c>
      <c r="E5114" s="29" t="s">
        <v>1775</v>
      </c>
      <c r="F5114" s="29" t="s">
        <v>374</v>
      </c>
      <c r="G5114" s="25" t="s">
        <v>6810</v>
      </c>
      <c r="H5114" s="26">
        <v>-0.19814999999999999</v>
      </c>
      <c r="I5114" s="26"/>
      <c r="J5114" s="26" t="s">
        <v>514</v>
      </c>
      <c r="K5114" s="25" t="s">
        <v>513</v>
      </c>
    </row>
    <row r="5115" spans="1:11" ht="25.5" x14ac:dyDescent="0.25">
      <c r="A5115" s="22">
        <v>2026</v>
      </c>
      <c r="B5115" s="28" t="s">
        <v>222</v>
      </c>
      <c r="C5115" s="28" t="s">
        <v>97</v>
      </c>
      <c r="D5115" s="28" t="s">
        <v>1728</v>
      </c>
      <c r="E5115" s="29" t="s">
        <v>1775</v>
      </c>
      <c r="F5115" s="29" t="s">
        <v>374</v>
      </c>
      <c r="G5115" s="25" t="s">
        <v>6811</v>
      </c>
      <c r="H5115" s="26">
        <v>-4.6773323999999998E-2</v>
      </c>
      <c r="I5115" s="26"/>
      <c r="J5115" s="26" t="s">
        <v>514</v>
      </c>
      <c r="K5115" s="25" t="s">
        <v>513</v>
      </c>
    </row>
    <row r="5116" spans="1:11" ht="25.5" x14ac:dyDescent="0.25">
      <c r="A5116" s="22">
        <v>2026</v>
      </c>
      <c r="B5116" s="28" t="s">
        <v>222</v>
      </c>
      <c r="C5116" s="28" t="s">
        <v>97</v>
      </c>
      <c r="D5116" s="28" t="s">
        <v>1728</v>
      </c>
      <c r="E5116" s="29" t="s">
        <v>1775</v>
      </c>
      <c r="F5116" s="29" t="s">
        <v>374</v>
      </c>
      <c r="G5116" s="25" t="s">
        <v>6812</v>
      </c>
      <c r="H5116" s="26">
        <v>-0.20039999999999999</v>
      </c>
      <c r="I5116" s="26"/>
      <c r="J5116" s="26" t="s">
        <v>514</v>
      </c>
      <c r="K5116" s="25" t="s">
        <v>513</v>
      </c>
    </row>
    <row r="5117" spans="1:11" ht="25.5" x14ac:dyDescent="0.25">
      <c r="A5117" s="22">
        <v>2026</v>
      </c>
      <c r="B5117" s="28" t="s">
        <v>222</v>
      </c>
      <c r="C5117" s="28" t="s">
        <v>97</v>
      </c>
      <c r="D5117" s="28" t="s">
        <v>1728</v>
      </c>
      <c r="E5117" s="29" t="s">
        <v>1775</v>
      </c>
      <c r="F5117" s="29" t="s">
        <v>374</v>
      </c>
      <c r="G5117" s="25" t="s">
        <v>6813</v>
      </c>
      <c r="H5117" s="26">
        <v>-0.19905</v>
      </c>
      <c r="I5117" s="26"/>
      <c r="J5117" s="26" t="s">
        <v>514</v>
      </c>
      <c r="K5117" s="25" t="s">
        <v>513</v>
      </c>
    </row>
    <row r="5118" spans="1:11" ht="25.5" x14ac:dyDescent="0.25">
      <c r="A5118" s="22">
        <v>2026</v>
      </c>
      <c r="B5118" s="28" t="s">
        <v>222</v>
      </c>
      <c r="C5118" s="28" t="s">
        <v>97</v>
      </c>
      <c r="D5118" s="28" t="s">
        <v>1728</v>
      </c>
      <c r="E5118" s="29" t="s">
        <v>1775</v>
      </c>
      <c r="F5118" s="29" t="s">
        <v>374</v>
      </c>
      <c r="G5118" s="25" t="s">
        <v>6814</v>
      </c>
      <c r="H5118" s="26">
        <v>-0.19964999999999999</v>
      </c>
      <c r="I5118" s="26"/>
      <c r="J5118" s="26" t="s">
        <v>514</v>
      </c>
      <c r="K5118" s="25" t="s">
        <v>513</v>
      </c>
    </row>
    <row r="5119" spans="1:11" ht="25.5" x14ac:dyDescent="0.25">
      <c r="A5119" s="22">
        <v>2026</v>
      </c>
      <c r="B5119" s="28" t="s">
        <v>222</v>
      </c>
      <c r="C5119" s="28" t="s">
        <v>97</v>
      </c>
      <c r="D5119" s="28" t="s">
        <v>1728</v>
      </c>
      <c r="E5119" s="29" t="s">
        <v>1775</v>
      </c>
      <c r="F5119" s="29" t="s">
        <v>374</v>
      </c>
      <c r="G5119" s="25" t="s">
        <v>6815</v>
      </c>
      <c r="H5119" s="26">
        <v>-0.19589999999999999</v>
      </c>
      <c r="I5119" s="26"/>
      <c r="J5119" s="26" t="s">
        <v>514</v>
      </c>
      <c r="K5119" s="25" t="s">
        <v>513</v>
      </c>
    </row>
    <row r="5120" spans="1:11" ht="25.5" x14ac:dyDescent="0.25">
      <c r="A5120" s="22">
        <v>2026</v>
      </c>
      <c r="B5120" s="28" t="s">
        <v>222</v>
      </c>
      <c r="C5120" s="28" t="s">
        <v>97</v>
      </c>
      <c r="D5120" s="28" t="s">
        <v>1728</v>
      </c>
      <c r="E5120" s="29" t="s">
        <v>1775</v>
      </c>
      <c r="F5120" s="29" t="s">
        <v>374</v>
      </c>
      <c r="G5120" s="25" t="s">
        <v>6816</v>
      </c>
      <c r="H5120" s="26">
        <v>-0.38700000000000001</v>
      </c>
      <c r="I5120" s="26"/>
      <c r="J5120" s="26" t="s">
        <v>514</v>
      </c>
      <c r="K5120" s="25" t="s">
        <v>513</v>
      </c>
    </row>
    <row r="5121" spans="1:11" ht="25.5" x14ac:dyDescent="0.25">
      <c r="A5121" s="22">
        <v>2026</v>
      </c>
      <c r="B5121" s="28" t="s">
        <v>222</v>
      </c>
      <c r="C5121" s="28" t="s">
        <v>97</v>
      </c>
      <c r="D5121" s="28" t="s">
        <v>1728</v>
      </c>
      <c r="E5121" s="29" t="s">
        <v>1775</v>
      </c>
      <c r="F5121" s="29" t="s">
        <v>374</v>
      </c>
      <c r="G5121" s="25" t="s">
        <v>6817</v>
      </c>
      <c r="H5121" s="26">
        <v>-0.19500000000000001</v>
      </c>
      <c r="I5121" s="26"/>
      <c r="J5121" s="26" t="s">
        <v>514</v>
      </c>
      <c r="K5121" s="25" t="s">
        <v>513</v>
      </c>
    </row>
    <row r="5122" spans="1:11" ht="25.5" x14ac:dyDescent="0.25">
      <c r="A5122" s="22">
        <v>2026</v>
      </c>
      <c r="B5122" s="28" t="s">
        <v>222</v>
      </c>
      <c r="C5122" s="28" t="s">
        <v>97</v>
      </c>
      <c r="D5122" s="28" t="s">
        <v>1728</v>
      </c>
      <c r="E5122" s="29" t="s">
        <v>1775</v>
      </c>
      <c r="F5122" s="29" t="s">
        <v>374</v>
      </c>
      <c r="G5122" s="25" t="s">
        <v>6818</v>
      </c>
      <c r="H5122" s="26">
        <v>-0.37309512699999997</v>
      </c>
      <c r="I5122" s="26"/>
      <c r="J5122" s="26" t="s">
        <v>514</v>
      </c>
      <c r="K5122" s="25" t="s">
        <v>513</v>
      </c>
    </row>
    <row r="5123" spans="1:11" ht="25.5" x14ac:dyDescent="0.25">
      <c r="A5123" s="22">
        <v>2026</v>
      </c>
      <c r="B5123" s="28" t="s">
        <v>222</v>
      </c>
      <c r="C5123" s="28" t="s">
        <v>97</v>
      </c>
      <c r="D5123" s="28" t="s">
        <v>1728</v>
      </c>
      <c r="E5123" s="29" t="s">
        <v>1775</v>
      </c>
      <c r="F5123" s="29" t="s">
        <v>374</v>
      </c>
      <c r="G5123" s="25" t="s">
        <v>6819</v>
      </c>
      <c r="H5123" s="26">
        <v>-0.19409999999999999</v>
      </c>
      <c r="I5123" s="26"/>
      <c r="J5123" s="26" t="s">
        <v>514</v>
      </c>
      <c r="K5123" s="25" t="s">
        <v>513</v>
      </c>
    </row>
    <row r="5124" spans="1:11" ht="25.5" x14ac:dyDescent="0.25">
      <c r="A5124" s="22">
        <v>2026</v>
      </c>
      <c r="B5124" s="28" t="s">
        <v>222</v>
      </c>
      <c r="C5124" s="28" t="s">
        <v>97</v>
      </c>
      <c r="D5124" s="28" t="s">
        <v>1728</v>
      </c>
      <c r="E5124" s="29" t="s">
        <v>1775</v>
      </c>
      <c r="F5124" s="29" t="s">
        <v>374</v>
      </c>
      <c r="G5124" s="25" t="s">
        <v>6817</v>
      </c>
      <c r="H5124" s="26">
        <v>-0.19500000000000001</v>
      </c>
      <c r="I5124" s="26"/>
      <c r="J5124" s="26" t="s">
        <v>514</v>
      </c>
      <c r="K5124" s="25" t="s">
        <v>513</v>
      </c>
    </row>
    <row r="5125" spans="1:11" ht="25.5" x14ac:dyDescent="0.25">
      <c r="A5125" s="22">
        <v>2026</v>
      </c>
      <c r="B5125" s="28" t="s">
        <v>222</v>
      </c>
      <c r="C5125" s="28" t="s">
        <v>97</v>
      </c>
      <c r="D5125" s="28" t="s">
        <v>1728</v>
      </c>
      <c r="E5125" s="29" t="s">
        <v>1775</v>
      </c>
      <c r="F5125" s="29" t="s">
        <v>374</v>
      </c>
      <c r="G5125" s="25" t="s">
        <v>6820</v>
      </c>
      <c r="H5125" s="26">
        <v>-0.19485</v>
      </c>
      <c r="I5125" s="26"/>
      <c r="J5125" s="26" t="s">
        <v>514</v>
      </c>
      <c r="K5125" s="25" t="s">
        <v>513</v>
      </c>
    </row>
    <row r="5126" spans="1:11" ht="25.5" x14ac:dyDescent="0.25">
      <c r="A5126" s="22">
        <v>2026</v>
      </c>
      <c r="B5126" s="28" t="s">
        <v>222</v>
      </c>
      <c r="C5126" s="28" t="s">
        <v>97</v>
      </c>
      <c r="D5126" s="28" t="s">
        <v>1728</v>
      </c>
      <c r="E5126" s="29" t="s">
        <v>1775</v>
      </c>
      <c r="F5126" s="29" t="s">
        <v>374</v>
      </c>
      <c r="G5126" s="25" t="s">
        <v>6821</v>
      </c>
      <c r="H5126" s="26">
        <v>-0.19650000000000001</v>
      </c>
      <c r="I5126" s="26"/>
      <c r="J5126" s="26" t="s">
        <v>514</v>
      </c>
      <c r="K5126" s="25" t="s">
        <v>513</v>
      </c>
    </row>
    <row r="5127" spans="1:11" ht="25.5" x14ac:dyDescent="0.25">
      <c r="A5127" s="22">
        <v>2026</v>
      </c>
      <c r="B5127" s="28" t="s">
        <v>222</v>
      </c>
      <c r="C5127" s="28" t="s">
        <v>97</v>
      </c>
      <c r="D5127" s="28" t="s">
        <v>1728</v>
      </c>
      <c r="E5127" s="29" t="s">
        <v>1775</v>
      </c>
      <c r="F5127" s="29" t="s">
        <v>374</v>
      </c>
      <c r="G5127" s="25" t="s">
        <v>6822</v>
      </c>
      <c r="H5127" s="26">
        <v>-0.1968</v>
      </c>
      <c r="I5127" s="26"/>
      <c r="J5127" s="26" t="s">
        <v>514</v>
      </c>
      <c r="K5127" s="25" t="s">
        <v>513</v>
      </c>
    </row>
    <row r="5128" spans="1:11" ht="25.5" x14ac:dyDescent="0.25">
      <c r="A5128" s="22">
        <v>2026</v>
      </c>
      <c r="B5128" s="28" t="s">
        <v>222</v>
      </c>
      <c r="C5128" s="28" t="s">
        <v>97</v>
      </c>
      <c r="D5128" s="28" t="s">
        <v>1728</v>
      </c>
      <c r="E5128" s="29" t="s">
        <v>1775</v>
      </c>
      <c r="F5128" s="29" t="s">
        <v>374</v>
      </c>
      <c r="G5128" s="25" t="s">
        <v>6823</v>
      </c>
      <c r="H5128" s="26">
        <v>-3.9348525000000002E-2</v>
      </c>
      <c r="I5128" s="26"/>
      <c r="J5128" s="26" t="s">
        <v>514</v>
      </c>
      <c r="K5128" s="25" t="s">
        <v>513</v>
      </c>
    </row>
    <row r="5129" spans="1:11" ht="25.5" x14ac:dyDescent="0.25">
      <c r="A5129" s="22">
        <v>2026</v>
      </c>
      <c r="B5129" s="28" t="s">
        <v>222</v>
      </c>
      <c r="C5129" s="28" t="s">
        <v>97</v>
      </c>
      <c r="D5129" s="28" t="s">
        <v>1729</v>
      </c>
      <c r="E5129" s="29" t="s">
        <v>334</v>
      </c>
      <c r="F5129" s="29" t="s">
        <v>937</v>
      </c>
      <c r="G5129" s="25" t="s">
        <v>6824</v>
      </c>
      <c r="H5129" s="26">
        <v>-0.35475000000000001</v>
      </c>
      <c r="I5129" s="26"/>
      <c r="J5129" s="26" t="s">
        <v>512</v>
      </c>
      <c r="K5129" s="25" t="s">
        <v>513</v>
      </c>
    </row>
    <row r="5130" spans="1:11" ht="25.5" x14ac:dyDescent="0.25">
      <c r="A5130" s="22">
        <v>2026</v>
      </c>
      <c r="B5130" s="28" t="s">
        <v>222</v>
      </c>
      <c r="C5130" s="28" t="s">
        <v>97</v>
      </c>
      <c r="D5130" s="28" t="s">
        <v>1729</v>
      </c>
      <c r="E5130" s="29" t="s">
        <v>334</v>
      </c>
      <c r="F5130" s="29" t="s">
        <v>937</v>
      </c>
      <c r="G5130" s="25" t="s">
        <v>6825</v>
      </c>
      <c r="H5130" s="26">
        <v>-0.34987499999999999</v>
      </c>
      <c r="I5130" s="26"/>
      <c r="J5130" s="26" t="s">
        <v>512</v>
      </c>
      <c r="K5130" s="25" t="s">
        <v>513</v>
      </c>
    </row>
    <row r="5131" spans="1:11" ht="25.5" x14ac:dyDescent="0.25">
      <c r="A5131" s="22">
        <v>2026</v>
      </c>
      <c r="B5131" s="28" t="s">
        <v>222</v>
      </c>
      <c r="C5131" s="28" t="s">
        <v>97</v>
      </c>
      <c r="D5131" s="28" t="s">
        <v>1729</v>
      </c>
      <c r="E5131" s="29" t="s">
        <v>334</v>
      </c>
      <c r="F5131" s="29" t="s">
        <v>937</v>
      </c>
      <c r="G5131" s="25" t="s">
        <v>6826</v>
      </c>
      <c r="H5131" s="26">
        <v>-0.36148124999999998</v>
      </c>
      <c r="I5131" s="26"/>
      <c r="J5131" s="26" t="s">
        <v>512</v>
      </c>
      <c r="K5131" s="25" t="s">
        <v>513</v>
      </c>
    </row>
    <row r="5132" spans="1:11" ht="25.5" x14ac:dyDescent="0.25">
      <c r="A5132" s="22">
        <v>2026</v>
      </c>
      <c r="B5132" s="28" t="s">
        <v>222</v>
      </c>
      <c r="C5132" s="28" t="s">
        <v>97</v>
      </c>
      <c r="D5132" s="28" t="s">
        <v>1729</v>
      </c>
      <c r="E5132" s="29" t="s">
        <v>334</v>
      </c>
      <c r="F5132" s="29" t="s">
        <v>937</v>
      </c>
      <c r="G5132" s="25" t="s">
        <v>6827</v>
      </c>
      <c r="H5132" s="26">
        <v>-0.47199999999999998</v>
      </c>
      <c r="I5132" s="26"/>
      <c r="J5132" s="26" t="s">
        <v>512</v>
      </c>
      <c r="K5132" s="25" t="s">
        <v>513</v>
      </c>
    </row>
    <row r="5133" spans="1:11" ht="25.5" x14ac:dyDescent="0.25">
      <c r="A5133" s="22">
        <v>2026</v>
      </c>
      <c r="B5133" s="28" t="s">
        <v>222</v>
      </c>
      <c r="C5133" s="28" t="s">
        <v>97</v>
      </c>
      <c r="D5133" s="28" t="s">
        <v>1729</v>
      </c>
      <c r="E5133" s="29" t="s">
        <v>334</v>
      </c>
      <c r="F5133" s="29" t="s">
        <v>937</v>
      </c>
      <c r="G5133" s="25" t="s">
        <v>6828</v>
      </c>
      <c r="H5133" s="26">
        <v>-0.47849999999999998</v>
      </c>
      <c r="I5133" s="26"/>
      <c r="J5133" s="26" t="s">
        <v>512</v>
      </c>
      <c r="K5133" s="25" t="s">
        <v>513</v>
      </c>
    </row>
    <row r="5134" spans="1:11" ht="25.5" x14ac:dyDescent="0.25">
      <c r="A5134" s="22">
        <v>2026</v>
      </c>
      <c r="B5134" s="28" t="s">
        <v>222</v>
      </c>
      <c r="C5134" s="28" t="s">
        <v>97</v>
      </c>
      <c r="D5134" s="28" t="s">
        <v>1729</v>
      </c>
      <c r="E5134" s="29" t="s">
        <v>334</v>
      </c>
      <c r="F5134" s="29" t="s">
        <v>937</v>
      </c>
      <c r="G5134" s="25" t="s">
        <v>6829</v>
      </c>
      <c r="H5134" s="26">
        <v>-0.14399999999999999</v>
      </c>
      <c r="I5134" s="26"/>
      <c r="J5134" s="26" t="s">
        <v>512</v>
      </c>
      <c r="K5134" s="25" t="s">
        <v>513</v>
      </c>
    </row>
    <row r="5135" spans="1:11" ht="25.5" x14ac:dyDescent="0.25">
      <c r="A5135" s="22">
        <v>2026</v>
      </c>
      <c r="B5135" s="28" t="s">
        <v>222</v>
      </c>
      <c r="C5135" s="28" t="s">
        <v>97</v>
      </c>
      <c r="D5135" s="28" t="s">
        <v>1729</v>
      </c>
      <c r="E5135" s="29" t="s">
        <v>334</v>
      </c>
      <c r="F5135" s="29" t="s">
        <v>937</v>
      </c>
      <c r="G5135" s="25" t="s">
        <v>6830</v>
      </c>
      <c r="H5135" s="26">
        <v>-0.24675</v>
      </c>
      <c r="I5135" s="26"/>
      <c r="J5135" s="26" t="s">
        <v>512</v>
      </c>
      <c r="K5135" s="25" t="s">
        <v>513</v>
      </c>
    </row>
    <row r="5136" spans="1:11" ht="25.5" x14ac:dyDescent="0.25">
      <c r="A5136" s="22">
        <v>2026</v>
      </c>
      <c r="B5136" s="28" t="s">
        <v>222</v>
      </c>
      <c r="C5136" s="28" t="s">
        <v>97</v>
      </c>
      <c r="D5136" s="28" t="s">
        <v>1730</v>
      </c>
      <c r="E5136" s="29" t="s">
        <v>309</v>
      </c>
      <c r="F5136" s="29" t="s">
        <v>1274</v>
      </c>
      <c r="G5136" s="25" t="s">
        <v>6831</v>
      </c>
      <c r="H5136" s="26">
        <v>-0.66487623400000007</v>
      </c>
      <c r="I5136" s="26"/>
      <c r="J5136" s="26" t="s">
        <v>512</v>
      </c>
      <c r="K5136" s="25" t="s">
        <v>513</v>
      </c>
    </row>
    <row r="5137" spans="1:11" ht="25.5" x14ac:dyDescent="0.25">
      <c r="A5137" s="22">
        <v>2026</v>
      </c>
      <c r="B5137" s="28" t="s">
        <v>222</v>
      </c>
      <c r="C5137" s="28" t="s">
        <v>97</v>
      </c>
      <c r="D5137" s="28" t="s">
        <v>1730</v>
      </c>
      <c r="E5137" s="29" t="s">
        <v>309</v>
      </c>
      <c r="F5137" s="29" t="s">
        <v>1274</v>
      </c>
      <c r="G5137" s="25" t="s">
        <v>6832</v>
      </c>
      <c r="H5137" s="26">
        <v>-0.42798009539999998</v>
      </c>
      <c r="I5137" s="26"/>
      <c r="J5137" s="26" t="s">
        <v>512</v>
      </c>
      <c r="K5137" s="25" t="s">
        <v>513</v>
      </c>
    </row>
    <row r="5138" spans="1:11" ht="25.5" x14ac:dyDescent="0.25">
      <c r="A5138" s="22">
        <v>2026</v>
      </c>
      <c r="B5138" s="28" t="s">
        <v>222</v>
      </c>
      <c r="C5138" s="28" t="s">
        <v>97</v>
      </c>
      <c r="D5138" s="28" t="s">
        <v>1730</v>
      </c>
      <c r="E5138" s="29" t="s">
        <v>309</v>
      </c>
      <c r="F5138" s="29" t="s">
        <v>1274</v>
      </c>
      <c r="G5138" s="25" t="s">
        <v>6833</v>
      </c>
      <c r="H5138" s="26">
        <v>-0.33023901960000002</v>
      </c>
      <c r="I5138" s="26"/>
      <c r="J5138" s="26" t="s">
        <v>512</v>
      </c>
      <c r="K5138" s="25" t="s">
        <v>513</v>
      </c>
    </row>
    <row r="5139" spans="1:11" ht="25.5" x14ac:dyDescent="0.25">
      <c r="A5139" s="22">
        <v>2026</v>
      </c>
      <c r="B5139" s="28" t="s">
        <v>222</v>
      </c>
      <c r="C5139" s="28" t="s">
        <v>97</v>
      </c>
      <c r="D5139" s="28" t="s">
        <v>1730</v>
      </c>
      <c r="E5139" s="29" t="s">
        <v>309</v>
      </c>
      <c r="F5139" s="29" t="s">
        <v>1274</v>
      </c>
      <c r="G5139" s="25" t="s">
        <v>6834</v>
      </c>
      <c r="H5139" s="26">
        <v>-0.86385407559999994</v>
      </c>
      <c r="I5139" s="26"/>
      <c r="J5139" s="26" t="s">
        <v>512</v>
      </c>
      <c r="K5139" s="25" t="s">
        <v>513</v>
      </c>
    </row>
    <row r="5140" spans="1:11" ht="25.5" x14ac:dyDescent="0.25">
      <c r="A5140" s="22">
        <v>2026</v>
      </c>
      <c r="B5140" s="28" t="s">
        <v>222</v>
      </c>
      <c r="C5140" s="28" t="s">
        <v>97</v>
      </c>
      <c r="D5140" s="28" t="s">
        <v>1730</v>
      </c>
      <c r="E5140" s="29" t="s">
        <v>309</v>
      </c>
      <c r="F5140" s="29" t="s">
        <v>1274</v>
      </c>
      <c r="G5140" s="25" t="s">
        <v>6835</v>
      </c>
      <c r="H5140" s="26">
        <v>-0.26660018749999997</v>
      </c>
      <c r="I5140" s="26"/>
      <c r="J5140" s="26" t="s">
        <v>512</v>
      </c>
      <c r="K5140" s="25" t="s">
        <v>513</v>
      </c>
    </row>
    <row r="5141" spans="1:11" ht="25.5" x14ac:dyDescent="0.25">
      <c r="A5141" s="22">
        <v>2026</v>
      </c>
      <c r="B5141" s="28" t="s">
        <v>222</v>
      </c>
      <c r="C5141" s="28" t="s">
        <v>97</v>
      </c>
      <c r="D5141" s="28" t="s">
        <v>1730</v>
      </c>
      <c r="E5141" s="29" t="s">
        <v>309</v>
      </c>
      <c r="F5141" s="29" t="s">
        <v>1274</v>
      </c>
      <c r="G5141" s="25" t="s">
        <v>6836</v>
      </c>
      <c r="H5141" s="26">
        <v>-0.24099599999999999</v>
      </c>
      <c r="I5141" s="26"/>
      <c r="J5141" s="26" t="s">
        <v>512</v>
      </c>
      <c r="K5141" s="25" t="s">
        <v>513</v>
      </c>
    </row>
    <row r="5142" spans="1:11" ht="25.5" x14ac:dyDescent="0.25">
      <c r="A5142" s="22">
        <v>2026</v>
      </c>
      <c r="B5142" s="28" t="s">
        <v>222</v>
      </c>
      <c r="C5142" s="28" t="s">
        <v>97</v>
      </c>
      <c r="D5142" s="28" t="s">
        <v>1730</v>
      </c>
      <c r="E5142" s="29" t="s">
        <v>309</v>
      </c>
      <c r="F5142" s="29" t="s">
        <v>1274</v>
      </c>
      <c r="G5142" s="25" t="s">
        <v>6837</v>
      </c>
      <c r="H5142" s="26">
        <v>-0.53676000000000001</v>
      </c>
      <c r="I5142" s="26"/>
      <c r="J5142" s="26" t="s">
        <v>512</v>
      </c>
      <c r="K5142" s="25" t="s">
        <v>513</v>
      </c>
    </row>
    <row r="5143" spans="1:11" ht="25.5" x14ac:dyDescent="0.25">
      <c r="A5143" s="22">
        <v>2026</v>
      </c>
      <c r="B5143" s="28" t="s">
        <v>222</v>
      </c>
      <c r="C5143" s="28" t="s">
        <v>97</v>
      </c>
      <c r="D5143" s="28" t="s">
        <v>1730</v>
      </c>
      <c r="E5143" s="29" t="s">
        <v>309</v>
      </c>
      <c r="F5143" s="29" t="s">
        <v>1274</v>
      </c>
      <c r="G5143" s="25" t="s">
        <v>6838</v>
      </c>
      <c r="H5143" s="26">
        <v>-0.35775899999999999</v>
      </c>
      <c r="I5143" s="26"/>
      <c r="J5143" s="26" t="s">
        <v>512</v>
      </c>
      <c r="K5143" s="25" t="s">
        <v>513</v>
      </c>
    </row>
    <row r="5144" spans="1:11" ht="25.5" x14ac:dyDescent="0.25">
      <c r="A5144" s="22">
        <v>2026</v>
      </c>
      <c r="B5144" s="28" t="s">
        <v>222</v>
      </c>
      <c r="C5144" s="28" t="s">
        <v>97</v>
      </c>
      <c r="D5144" s="28" t="s">
        <v>1730</v>
      </c>
      <c r="E5144" s="29" t="s">
        <v>309</v>
      </c>
      <c r="F5144" s="29" t="s">
        <v>1274</v>
      </c>
      <c r="G5144" s="25" t="s">
        <v>6839</v>
      </c>
      <c r="H5144" s="26">
        <v>-0.48038359999999997</v>
      </c>
      <c r="I5144" s="26"/>
      <c r="J5144" s="26" t="s">
        <v>512</v>
      </c>
      <c r="K5144" s="25" t="s">
        <v>513</v>
      </c>
    </row>
    <row r="5145" spans="1:11" ht="25.5" x14ac:dyDescent="0.25">
      <c r="A5145" s="22">
        <v>2026</v>
      </c>
      <c r="B5145" s="28" t="s">
        <v>222</v>
      </c>
      <c r="C5145" s="28" t="s">
        <v>97</v>
      </c>
      <c r="D5145" s="28" t="s">
        <v>1730</v>
      </c>
      <c r="E5145" s="29" t="s">
        <v>309</v>
      </c>
      <c r="F5145" s="29" t="s">
        <v>1274</v>
      </c>
      <c r="G5145" s="25" t="s">
        <v>6840</v>
      </c>
      <c r="H5145" s="26">
        <v>-0.48265440000000004</v>
      </c>
      <c r="I5145" s="26"/>
      <c r="J5145" s="26" t="s">
        <v>512</v>
      </c>
      <c r="K5145" s="25" t="s">
        <v>513</v>
      </c>
    </row>
    <row r="5146" spans="1:11" ht="25.5" x14ac:dyDescent="0.25">
      <c r="A5146" s="22">
        <v>2026</v>
      </c>
      <c r="B5146" s="28" t="s">
        <v>222</v>
      </c>
      <c r="C5146" s="28" t="s">
        <v>97</v>
      </c>
      <c r="D5146" s="28" t="s">
        <v>1731</v>
      </c>
      <c r="E5146" s="29" t="s">
        <v>309</v>
      </c>
      <c r="F5146" s="29" t="s">
        <v>1762</v>
      </c>
      <c r="G5146" s="25" t="s">
        <v>6841</v>
      </c>
      <c r="H5146" s="26">
        <v>-0.114384</v>
      </c>
      <c r="I5146" s="26"/>
      <c r="J5146" s="26" t="s">
        <v>512</v>
      </c>
      <c r="K5146" s="25" t="s">
        <v>513</v>
      </c>
    </row>
    <row r="5147" spans="1:11" ht="25.5" x14ac:dyDescent="0.25">
      <c r="A5147" s="22">
        <v>2026</v>
      </c>
      <c r="B5147" s="28" t="s">
        <v>222</v>
      </c>
      <c r="C5147" s="28" t="s">
        <v>97</v>
      </c>
      <c r="D5147" s="28" t="s">
        <v>1731</v>
      </c>
      <c r="E5147" s="29" t="s">
        <v>309</v>
      </c>
      <c r="F5147" s="29" t="s">
        <v>1762</v>
      </c>
      <c r="G5147" s="25" t="s">
        <v>6842</v>
      </c>
      <c r="H5147" s="26">
        <v>-0.28778999999999999</v>
      </c>
      <c r="I5147" s="26"/>
      <c r="J5147" s="26" t="s">
        <v>512</v>
      </c>
      <c r="K5147" s="25" t="s">
        <v>513</v>
      </c>
    </row>
    <row r="5148" spans="1:11" ht="25.5" x14ac:dyDescent="0.25">
      <c r="A5148" s="22">
        <v>2026</v>
      </c>
      <c r="B5148" s="28" t="s">
        <v>222</v>
      </c>
      <c r="C5148" s="28" t="s">
        <v>97</v>
      </c>
      <c r="D5148" s="28" t="s">
        <v>1731</v>
      </c>
      <c r="E5148" s="29" t="s">
        <v>309</v>
      </c>
      <c r="F5148" s="29" t="s">
        <v>1762</v>
      </c>
      <c r="G5148" s="25" t="s">
        <v>6843</v>
      </c>
      <c r="H5148" s="26">
        <v>-0.28588000000000002</v>
      </c>
      <c r="I5148" s="26"/>
      <c r="J5148" s="26" t="s">
        <v>512</v>
      </c>
      <c r="K5148" s="25" t="s">
        <v>513</v>
      </c>
    </row>
    <row r="5149" spans="1:11" ht="25.5" x14ac:dyDescent="0.25">
      <c r="A5149" s="22">
        <v>2026</v>
      </c>
      <c r="B5149" s="28" t="s">
        <v>222</v>
      </c>
      <c r="C5149" s="28" t="s">
        <v>97</v>
      </c>
      <c r="D5149" s="28" t="s">
        <v>1731</v>
      </c>
      <c r="E5149" s="29" t="s">
        <v>309</v>
      </c>
      <c r="F5149" s="29" t="s">
        <v>1762</v>
      </c>
      <c r="G5149" s="25" t="s">
        <v>6844</v>
      </c>
      <c r="H5149" s="26">
        <v>-0.29041</v>
      </c>
      <c r="I5149" s="26"/>
      <c r="J5149" s="26" t="s">
        <v>512</v>
      </c>
      <c r="K5149" s="25" t="s">
        <v>513</v>
      </c>
    </row>
    <row r="5150" spans="1:11" ht="25.5" x14ac:dyDescent="0.25">
      <c r="A5150" s="22">
        <v>2026</v>
      </c>
      <c r="B5150" s="28" t="s">
        <v>222</v>
      </c>
      <c r="C5150" s="28" t="s">
        <v>97</v>
      </c>
      <c r="D5150" s="28" t="s">
        <v>1731</v>
      </c>
      <c r="E5150" s="29" t="s">
        <v>309</v>
      </c>
      <c r="F5150" s="29" t="s">
        <v>1762</v>
      </c>
      <c r="G5150" s="25" t="s">
        <v>6845</v>
      </c>
      <c r="H5150" s="26">
        <v>-0.28610999999999998</v>
      </c>
      <c r="I5150" s="26"/>
      <c r="J5150" s="26" t="s">
        <v>512</v>
      </c>
      <c r="K5150" s="25" t="s">
        <v>513</v>
      </c>
    </row>
    <row r="5151" spans="1:11" ht="25.5" x14ac:dyDescent="0.25">
      <c r="A5151" s="22">
        <v>2026</v>
      </c>
      <c r="B5151" s="28" t="s">
        <v>222</v>
      </c>
      <c r="C5151" s="28" t="s">
        <v>97</v>
      </c>
      <c r="D5151" s="28" t="s">
        <v>1731</v>
      </c>
      <c r="E5151" s="29" t="s">
        <v>309</v>
      </c>
      <c r="F5151" s="29" t="s">
        <v>1762</v>
      </c>
      <c r="G5151" s="25" t="s">
        <v>6846</v>
      </c>
      <c r="H5151" s="26">
        <v>-0.28650999999999999</v>
      </c>
      <c r="I5151" s="26"/>
      <c r="J5151" s="26" t="s">
        <v>512</v>
      </c>
      <c r="K5151" s="25" t="s">
        <v>513</v>
      </c>
    </row>
    <row r="5152" spans="1:11" ht="25.5" x14ac:dyDescent="0.25">
      <c r="A5152" s="22">
        <v>2026</v>
      </c>
      <c r="B5152" s="28" t="s">
        <v>222</v>
      </c>
      <c r="C5152" s="28" t="s">
        <v>97</v>
      </c>
      <c r="D5152" s="28" t="s">
        <v>1731</v>
      </c>
      <c r="E5152" s="29" t="s">
        <v>309</v>
      </c>
      <c r="F5152" s="29" t="s">
        <v>1762</v>
      </c>
      <c r="G5152" s="25" t="s">
        <v>6847</v>
      </c>
      <c r="H5152" s="26">
        <v>-0.28559000000000001</v>
      </c>
      <c r="I5152" s="26"/>
      <c r="J5152" s="26" t="s">
        <v>512</v>
      </c>
      <c r="K5152" s="25" t="s">
        <v>513</v>
      </c>
    </row>
    <row r="5153" spans="1:11" ht="25.5" x14ac:dyDescent="0.25">
      <c r="A5153" s="22">
        <v>2026</v>
      </c>
      <c r="B5153" s="28" t="s">
        <v>222</v>
      </c>
      <c r="C5153" s="28" t="s">
        <v>97</v>
      </c>
      <c r="D5153" s="28" t="s">
        <v>1731</v>
      </c>
      <c r="E5153" s="29" t="s">
        <v>309</v>
      </c>
      <c r="F5153" s="29" t="s">
        <v>1762</v>
      </c>
      <c r="G5153" s="25" t="s">
        <v>6848</v>
      </c>
      <c r="H5153" s="26">
        <v>-7.8964647500000013E-2</v>
      </c>
      <c r="I5153" s="26"/>
      <c r="J5153" s="26" t="s">
        <v>512</v>
      </c>
      <c r="K5153" s="25" t="s">
        <v>513</v>
      </c>
    </row>
    <row r="5154" spans="1:11" ht="25.5" x14ac:dyDescent="0.25">
      <c r="A5154" s="22">
        <v>2026</v>
      </c>
      <c r="B5154" s="28" t="s">
        <v>222</v>
      </c>
      <c r="C5154" s="28" t="s">
        <v>97</v>
      </c>
      <c r="D5154" s="28" t="s">
        <v>1731</v>
      </c>
      <c r="E5154" s="29" t="s">
        <v>309</v>
      </c>
      <c r="F5154" s="29" t="s">
        <v>1762</v>
      </c>
      <c r="G5154" s="25" t="s">
        <v>6849</v>
      </c>
      <c r="H5154" s="26">
        <v>-0.28549999999999998</v>
      </c>
      <c r="I5154" s="26"/>
      <c r="J5154" s="26" t="s">
        <v>512</v>
      </c>
      <c r="K5154" s="25" t="s">
        <v>513</v>
      </c>
    </row>
    <row r="5155" spans="1:11" ht="25.5" x14ac:dyDescent="0.25">
      <c r="A5155" s="22">
        <v>2026</v>
      </c>
      <c r="B5155" s="28" t="s">
        <v>222</v>
      </c>
      <c r="C5155" s="28" t="s">
        <v>97</v>
      </c>
      <c r="D5155" s="28" t="s">
        <v>1731</v>
      </c>
      <c r="E5155" s="29" t="s">
        <v>309</v>
      </c>
      <c r="F5155" s="29" t="s">
        <v>1762</v>
      </c>
      <c r="G5155" s="25" t="s">
        <v>6850</v>
      </c>
      <c r="H5155" s="26">
        <v>-0.1814168608</v>
      </c>
      <c r="I5155" s="26"/>
      <c r="J5155" s="26" t="s">
        <v>512</v>
      </c>
      <c r="K5155" s="25" t="s">
        <v>513</v>
      </c>
    </row>
    <row r="5156" spans="1:11" ht="25.5" x14ac:dyDescent="0.25">
      <c r="A5156" s="22">
        <v>2026</v>
      </c>
      <c r="B5156" s="28" t="s">
        <v>222</v>
      </c>
      <c r="C5156" s="28" t="s">
        <v>97</v>
      </c>
      <c r="D5156" s="28" t="s">
        <v>179</v>
      </c>
      <c r="E5156" s="29" t="s">
        <v>309</v>
      </c>
      <c r="F5156" s="29" t="s">
        <v>287</v>
      </c>
      <c r="G5156" s="25" t="s">
        <v>6871</v>
      </c>
      <c r="H5156" s="26">
        <v>-0.103588471</v>
      </c>
      <c r="I5156" s="26"/>
      <c r="J5156" s="26" t="s">
        <v>512</v>
      </c>
      <c r="K5156" s="25" t="s">
        <v>513</v>
      </c>
    </row>
    <row r="5157" spans="1:11" ht="25.5" x14ac:dyDescent="0.25">
      <c r="A5157" s="22">
        <v>2026</v>
      </c>
      <c r="B5157" s="28" t="s">
        <v>222</v>
      </c>
      <c r="C5157" s="28" t="s">
        <v>97</v>
      </c>
      <c r="D5157" s="28" t="s">
        <v>179</v>
      </c>
      <c r="E5157" s="29" t="s">
        <v>309</v>
      </c>
      <c r="F5157" s="29" t="s">
        <v>287</v>
      </c>
      <c r="G5157" s="25" t="s">
        <v>6872</v>
      </c>
      <c r="H5157" s="26">
        <v>-0.24419352499999999</v>
      </c>
      <c r="I5157" s="26"/>
      <c r="J5157" s="26" t="s">
        <v>512</v>
      </c>
      <c r="K5157" s="25" t="s">
        <v>513</v>
      </c>
    </row>
    <row r="5158" spans="1:11" ht="25.5" x14ac:dyDescent="0.25">
      <c r="A5158" s="22">
        <v>2026</v>
      </c>
      <c r="B5158" s="28" t="s">
        <v>222</v>
      </c>
      <c r="C5158" s="28" t="s">
        <v>97</v>
      </c>
      <c r="D5158" s="28" t="s">
        <v>179</v>
      </c>
      <c r="E5158" s="29" t="s">
        <v>309</v>
      </c>
      <c r="F5158" s="29" t="s">
        <v>287</v>
      </c>
      <c r="G5158" s="25" t="s">
        <v>6873</v>
      </c>
      <c r="H5158" s="26">
        <v>-0.39494000000000001</v>
      </c>
      <c r="I5158" s="26"/>
      <c r="J5158" s="26" t="s">
        <v>512</v>
      </c>
      <c r="K5158" s="25" t="s">
        <v>513</v>
      </c>
    </row>
    <row r="5159" spans="1:11" ht="25.5" x14ac:dyDescent="0.25">
      <c r="A5159" s="22">
        <v>2026</v>
      </c>
      <c r="B5159" s="28" t="s">
        <v>222</v>
      </c>
      <c r="C5159" s="28" t="s">
        <v>97</v>
      </c>
      <c r="D5159" s="28" t="s">
        <v>179</v>
      </c>
      <c r="E5159" s="29" t="s">
        <v>309</v>
      </c>
      <c r="F5159" s="29" t="s">
        <v>287</v>
      </c>
      <c r="G5159" s="25" t="s">
        <v>6874</v>
      </c>
      <c r="H5159" s="26">
        <v>-3.461674E-2</v>
      </c>
      <c r="I5159" s="26"/>
      <c r="J5159" s="26" t="s">
        <v>512</v>
      </c>
      <c r="K5159" s="25" t="s">
        <v>513</v>
      </c>
    </row>
    <row r="5160" spans="1:11" ht="25.5" x14ac:dyDescent="0.25">
      <c r="A5160" s="22">
        <v>2026</v>
      </c>
      <c r="B5160" s="28" t="s">
        <v>222</v>
      </c>
      <c r="C5160" s="28" t="s">
        <v>97</v>
      </c>
      <c r="D5160" s="28" t="s">
        <v>179</v>
      </c>
      <c r="E5160" s="29" t="s">
        <v>309</v>
      </c>
      <c r="F5160" s="29" t="s">
        <v>287</v>
      </c>
      <c r="G5160" s="25" t="s">
        <v>6875</v>
      </c>
      <c r="H5160" s="26">
        <v>-0.11986632000000001</v>
      </c>
      <c r="I5160" s="26"/>
      <c r="J5160" s="26" t="s">
        <v>512</v>
      </c>
      <c r="K5160" s="25" t="s">
        <v>513</v>
      </c>
    </row>
    <row r="5161" spans="1:11" ht="25.5" x14ac:dyDescent="0.25">
      <c r="A5161" s="22">
        <v>2026</v>
      </c>
      <c r="B5161" s="28" t="s">
        <v>222</v>
      </c>
      <c r="C5161" s="28" t="s">
        <v>97</v>
      </c>
      <c r="D5161" s="28" t="s">
        <v>1732</v>
      </c>
      <c r="E5161" s="29" t="s">
        <v>309</v>
      </c>
      <c r="F5161" s="29" t="s">
        <v>287</v>
      </c>
      <c r="G5161" s="25" t="s">
        <v>6851</v>
      </c>
      <c r="H5161" s="26">
        <v>-0.4513840314</v>
      </c>
      <c r="I5161" s="26"/>
      <c r="J5161" s="26" t="s">
        <v>512</v>
      </c>
      <c r="K5161" s="25" t="s">
        <v>513</v>
      </c>
    </row>
    <row r="5162" spans="1:11" ht="25.5" x14ac:dyDescent="0.25">
      <c r="A5162" s="22">
        <v>2026</v>
      </c>
      <c r="B5162" s="28" t="s">
        <v>222</v>
      </c>
      <c r="C5162" s="28" t="s">
        <v>97</v>
      </c>
      <c r="D5162" s="28" t="s">
        <v>1732</v>
      </c>
      <c r="E5162" s="29" t="s">
        <v>309</v>
      </c>
      <c r="F5162" s="29" t="s">
        <v>287</v>
      </c>
      <c r="G5162" s="25" t="s">
        <v>6852</v>
      </c>
      <c r="H5162" s="26">
        <v>-0.63904000000000005</v>
      </c>
      <c r="I5162" s="26"/>
      <c r="J5162" s="26" t="s">
        <v>512</v>
      </c>
      <c r="K5162" s="25" t="s">
        <v>513</v>
      </c>
    </row>
    <row r="5163" spans="1:11" ht="25.5" x14ac:dyDescent="0.25">
      <c r="A5163" s="22">
        <v>2026</v>
      </c>
      <c r="B5163" s="28" t="s">
        <v>222</v>
      </c>
      <c r="C5163" s="28" t="s">
        <v>97</v>
      </c>
      <c r="D5163" s="28" t="s">
        <v>1732</v>
      </c>
      <c r="E5163" s="29" t="s">
        <v>309</v>
      </c>
      <c r="F5163" s="29" t="s">
        <v>287</v>
      </c>
      <c r="G5163" s="25" t="s">
        <v>6853</v>
      </c>
      <c r="H5163" s="26">
        <v>-0.65544000000000002</v>
      </c>
      <c r="I5163" s="26"/>
      <c r="J5163" s="26" t="s">
        <v>512</v>
      </c>
      <c r="K5163" s="25" t="s">
        <v>513</v>
      </c>
    </row>
    <row r="5164" spans="1:11" ht="25.5" x14ac:dyDescent="0.25">
      <c r="A5164" s="22">
        <v>2026</v>
      </c>
      <c r="B5164" s="28" t="s">
        <v>222</v>
      </c>
      <c r="C5164" s="28" t="s">
        <v>97</v>
      </c>
      <c r="D5164" s="28" t="s">
        <v>1732</v>
      </c>
      <c r="E5164" s="29" t="s">
        <v>309</v>
      </c>
      <c r="F5164" s="29" t="s">
        <v>287</v>
      </c>
      <c r="G5164" s="25" t="s">
        <v>6854</v>
      </c>
      <c r="H5164" s="26">
        <v>-0.70350220992000001</v>
      </c>
      <c r="I5164" s="26"/>
      <c r="J5164" s="26" t="s">
        <v>512</v>
      </c>
      <c r="K5164" s="25" t="s">
        <v>513</v>
      </c>
    </row>
    <row r="5165" spans="1:11" ht="25.5" x14ac:dyDescent="0.25">
      <c r="A5165" s="22">
        <v>2026</v>
      </c>
      <c r="B5165" s="28" t="s">
        <v>222</v>
      </c>
      <c r="C5165" s="28" t="s">
        <v>97</v>
      </c>
      <c r="D5165" s="28" t="s">
        <v>1732</v>
      </c>
      <c r="E5165" s="29" t="s">
        <v>309</v>
      </c>
      <c r="F5165" s="29" t="s">
        <v>287</v>
      </c>
      <c r="G5165" s="25" t="s">
        <v>6855</v>
      </c>
      <c r="H5165" s="26">
        <v>-0.32098700000000002</v>
      </c>
      <c r="I5165" s="26"/>
      <c r="J5165" s="26" t="s">
        <v>512</v>
      </c>
      <c r="K5165" s="25" t="s">
        <v>513</v>
      </c>
    </row>
    <row r="5166" spans="1:11" ht="25.5" x14ac:dyDescent="0.25">
      <c r="A5166" s="22">
        <v>2026</v>
      </c>
      <c r="B5166" s="28" t="s">
        <v>222</v>
      </c>
      <c r="C5166" s="28" t="s">
        <v>97</v>
      </c>
      <c r="D5166" s="28" t="s">
        <v>1732</v>
      </c>
      <c r="E5166" s="29" t="s">
        <v>309</v>
      </c>
      <c r="F5166" s="29" t="s">
        <v>287</v>
      </c>
      <c r="G5166" s="25" t="s">
        <v>6856</v>
      </c>
      <c r="H5166" s="26">
        <v>-0.29329920000000004</v>
      </c>
      <c r="I5166" s="26"/>
      <c r="J5166" s="26" t="s">
        <v>512</v>
      </c>
      <c r="K5166" s="25" t="s">
        <v>513</v>
      </c>
    </row>
    <row r="5167" spans="1:11" ht="25.5" x14ac:dyDescent="0.25">
      <c r="A5167" s="22">
        <v>2026</v>
      </c>
      <c r="B5167" s="28" t="s">
        <v>222</v>
      </c>
      <c r="C5167" s="28" t="s">
        <v>97</v>
      </c>
      <c r="D5167" s="28" t="s">
        <v>1733</v>
      </c>
      <c r="E5167" s="29" t="s">
        <v>309</v>
      </c>
      <c r="F5167" s="29" t="s">
        <v>474</v>
      </c>
      <c r="G5167" s="25" t="s">
        <v>6857</v>
      </c>
      <c r="H5167" s="26">
        <v>-0.18887126399999998</v>
      </c>
      <c r="I5167" s="26"/>
      <c r="J5167" s="26" t="s">
        <v>512</v>
      </c>
      <c r="K5167" s="25" t="s">
        <v>513</v>
      </c>
    </row>
    <row r="5168" spans="1:11" ht="25.5" x14ac:dyDescent="0.25">
      <c r="A5168" s="22">
        <v>2026</v>
      </c>
      <c r="B5168" s="28" t="s">
        <v>222</v>
      </c>
      <c r="C5168" s="28" t="s">
        <v>97</v>
      </c>
      <c r="D5168" s="28" t="s">
        <v>1733</v>
      </c>
      <c r="E5168" s="29" t="s">
        <v>309</v>
      </c>
      <c r="F5168" s="29" t="s">
        <v>474</v>
      </c>
      <c r="G5168" s="25" t="s">
        <v>6858</v>
      </c>
      <c r="H5168" s="26">
        <v>-0.48889300720000001</v>
      </c>
      <c r="I5168" s="26"/>
      <c r="J5168" s="26" t="s">
        <v>512</v>
      </c>
      <c r="K5168" s="25" t="s">
        <v>513</v>
      </c>
    </row>
    <row r="5169" spans="1:11" ht="25.5" x14ac:dyDescent="0.25">
      <c r="A5169" s="22">
        <v>2026</v>
      </c>
      <c r="B5169" s="28" t="s">
        <v>222</v>
      </c>
      <c r="C5169" s="28" t="s">
        <v>97</v>
      </c>
      <c r="D5169" s="28" t="s">
        <v>1733</v>
      </c>
      <c r="E5169" s="29" t="s">
        <v>309</v>
      </c>
      <c r="F5169" s="29" t="s">
        <v>474</v>
      </c>
      <c r="G5169" s="25" t="s">
        <v>6859</v>
      </c>
      <c r="H5169" s="26">
        <v>-2.8842739290000002E-2</v>
      </c>
      <c r="I5169" s="26"/>
      <c r="J5169" s="26" t="s">
        <v>512</v>
      </c>
      <c r="K5169" s="25" t="s">
        <v>513</v>
      </c>
    </row>
    <row r="5170" spans="1:11" ht="25.5" x14ac:dyDescent="0.25">
      <c r="A5170" s="22">
        <v>2026</v>
      </c>
      <c r="B5170" s="28" t="s">
        <v>222</v>
      </c>
      <c r="C5170" s="28" t="s">
        <v>97</v>
      </c>
      <c r="D5170" s="28" t="s">
        <v>1733</v>
      </c>
      <c r="E5170" s="29" t="s">
        <v>309</v>
      </c>
      <c r="F5170" s="29" t="s">
        <v>474</v>
      </c>
      <c r="G5170" s="25" t="s">
        <v>6860</v>
      </c>
      <c r="H5170" s="26">
        <v>-6.4525293359999999E-2</v>
      </c>
      <c r="I5170" s="26"/>
      <c r="J5170" s="26" t="s">
        <v>512</v>
      </c>
      <c r="K5170" s="25" t="s">
        <v>513</v>
      </c>
    </row>
    <row r="5171" spans="1:11" ht="25.5" x14ac:dyDescent="0.25">
      <c r="A5171" s="22">
        <v>2026</v>
      </c>
      <c r="B5171" s="28" t="s">
        <v>222</v>
      </c>
      <c r="C5171" s="28" t="s">
        <v>97</v>
      </c>
      <c r="D5171" s="28" t="s">
        <v>1733</v>
      </c>
      <c r="E5171" s="29" t="s">
        <v>309</v>
      </c>
      <c r="F5171" s="29" t="s">
        <v>474</v>
      </c>
      <c r="G5171" s="25" t="s">
        <v>6861</v>
      </c>
      <c r="H5171" s="26">
        <v>-0.31421350422</v>
      </c>
      <c r="I5171" s="26"/>
      <c r="J5171" s="26" t="s">
        <v>512</v>
      </c>
      <c r="K5171" s="25" t="s">
        <v>513</v>
      </c>
    </row>
    <row r="5172" spans="1:11" ht="25.5" x14ac:dyDescent="0.25">
      <c r="A5172" s="22">
        <v>2026</v>
      </c>
      <c r="B5172" s="28" t="s">
        <v>222</v>
      </c>
      <c r="C5172" s="28" t="s">
        <v>97</v>
      </c>
      <c r="D5172" s="28" t="s">
        <v>1733</v>
      </c>
      <c r="E5172" s="29" t="s">
        <v>309</v>
      </c>
      <c r="F5172" s="29" t="s">
        <v>474</v>
      </c>
      <c r="G5172" s="25" t="s">
        <v>6862</v>
      </c>
      <c r="H5172" s="26">
        <v>-0.23520437150000001</v>
      </c>
      <c r="I5172" s="26"/>
      <c r="J5172" s="26" t="s">
        <v>512</v>
      </c>
      <c r="K5172" s="25" t="s">
        <v>513</v>
      </c>
    </row>
    <row r="5173" spans="1:11" ht="25.5" x14ac:dyDescent="0.25">
      <c r="A5173" s="22">
        <v>2026</v>
      </c>
      <c r="B5173" s="28" t="s">
        <v>222</v>
      </c>
      <c r="C5173" s="28" t="s">
        <v>97</v>
      </c>
      <c r="D5173" s="28" t="s">
        <v>1733</v>
      </c>
      <c r="E5173" s="29" t="s">
        <v>309</v>
      </c>
      <c r="F5173" s="29" t="s">
        <v>474</v>
      </c>
      <c r="G5173" s="25" t="s">
        <v>6863</v>
      </c>
      <c r="H5173" s="26">
        <v>-3.9124399510000005E-2</v>
      </c>
      <c r="I5173" s="26"/>
      <c r="J5173" s="26" t="s">
        <v>512</v>
      </c>
      <c r="K5173" s="25" t="s">
        <v>513</v>
      </c>
    </row>
    <row r="5174" spans="1:11" ht="25.5" x14ac:dyDescent="0.25">
      <c r="A5174" s="22">
        <v>2026</v>
      </c>
      <c r="B5174" s="28" t="s">
        <v>222</v>
      </c>
      <c r="C5174" s="28" t="s">
        <v>97</v>
      </c>
      <c r="D5174" s="28" t="s">
        <v>1733</v>
      </c>
      <c r="E5174" s="29" t="s">
        <v>309</v>
      </c>
      <c r="F5174" s="29" t="s">
        <v>474</v>
      </c>
      <c r="G5174" s="25" t="s">
        <v>6864</v>
      </c>
      <c r="H5174" s="26">
        <v>-0.31892011337999998</v>
      </c>
      <c r="I5174" s="26"/>
      <c r="J5174" s="26" t="s">
        <v>512</v>
      </c>
      <c r="K5174" s="25" t="s">
        <v>513</v>
      </c>
    </row>
    <row r="5175" spans="1:11" ht="25.5" x14ac:dyDescent="0.25">
      <c r="A5175" s="22">
        <v>2026</v>
      </c>
      <c r="B5175" s="28" t="s">
        <v>222</v>
      </c>
      <c r="C5175" s="28" t="s">
        <v>97</v>
      </c>
      <c r="D5175" s="28" t="s">
        <v>1733</v>
      </c>
      <c r="E5175" s="29" t="s">
        <v>309</v>
      </c>
      <c r="F5175" s="29" t="s">
        <v>474</v>
      </c>
      <c r="G5175" s="25" t="s">
        <v>6865</v>
      </c>
      <c r="H5175" s="26">
        <v>-0.28887585506999996</v>
      </c>
      <c r="I5175" s="26"/>
      <c r="J5175" s="26" t="s">
        <v>512</v>
      </c>
      <c r="K5175" s="25" t="s">
        <v>513</v>
      </c>
    </row>
    <row r="5176" spans="1:11" ht="25.5" x14ac:dyDescent="0.25">
      <c r="A5176" s="22">
        <v>2026</v>
      </c>
      <c r="B5176" s="28" t="s">
        <v>222</v>
      </c>
      <c r="C5176" s="28" t="s">
        <v>97</v>
      </c>
      <c r="D5176" s="28" t="s">
        <v>1733</v>
      </c>
      <c r="E5176" s="29" t="s">
        <v>309</v>
      </c>
      <c r="F5176" s="29" t="s">
        <v>474</v>
      </c>
      <c r="G5176" s="25" t="s">
        <v>6866</v>
      </c>
      <c r="H5176" s="26">
        <v>-0.30370220994999997</v>
      </c>
      <c r="I5176" s="26"/>
      <c r="J5176" s="26" t="s">
        <v>512</v>
      </c>
      <c r="K5176" s="25" t="s">
        <v>513</v>
      </c>
    </row>
    <row r="5177" spans="1:11" ht="25.5" x14ac:dyDescent="0.25">
      <c r="A5177" s="22">
        <v>2026</v>
      </c>
      <c r="B5177" s="28" t="s">
        <v>222</v>
      </c>
      <c r="C5177" s="28" t="s">
        <v>97</v>
      </c>
      <c r="D5177" s="28" t="s">
        <v>1733</v>
      </c>
      <c r="E5177" s="29" t="s">
        <v>309</v>
      </c>
      <c r="F5177" s="29" t="s">
        <v>474</v>
      </c>
      <c r="G5177" s="25" t="s">
        <v>6867</v>
      </c>
      <c r="H5177" s="26">
        <v>-0.18927210843</v>
      </c>
      <c r="I5177" s="26"/>
      <c r="J5177" s="26" t="s">
        <v>512</v>
      </c>
      <c r="K5177" s="25" t="s">
        <v>513</v>
      </c>
    </row>
    <row r="5178" spans="1:11" ht="25.5" x14ac:dyDescent="0.25">
      <c r="A5178" s="22">
        <v>2026</v>
      </c>
      <c r="B5178" s="28" t="s">
        <v>222</v>
      </c>
      <c r="C5178" s="28" t="s">
        <v>97</v>
      </c>
      <c r="D5178" s="28" t="s">
        <v>1733</v>
      </c>
      <c r="E5178" s="29" t="s">
        <v>309</v>
      </c>
      <c r="F5178" s="29" t="s">
        <v>474</v>
      </c>
      <c r="G5178" s="25" t="s">
        <v>6868</v>
      </c>
      <c r="H5178" s="26">
        <v>-9.2639114809999992E-2</v>
      </c>
      <c r="I5178" s="26"/>
      <c r="J5178" s="26" t="s">
        <v>512</v>
      </c>
      <c r="K5178" s="25" t="s">
        <v>513</v>
      </c>
    </row>
    <row r="5179" spans="1:11" ht="25.5" x14ac:dyDescent="0.25">
      <c r="A5179" s="22">
        <v>2026</v>
      </c>
      <c r="B5179" s="28" t="s">
        <v>222</v>
      </c>
      <c r="C5179" s="28" t="s">
        <v>97</v>
      </c>
      <c r="D5179" s="28" t="s">
        <v>1733</v>
      </c>
      <c r="E5179" s="29" t="s">
        <v>309</v>
      </c>
      <c r="F5179" s="29" t="s">
        <v>474</v>
      </c>
      <c r="G5179" s="25" t="s">
        <v>6869</v>
      </c>
      <c r="H5179" s="26">
        <v>-0.15176316000000001</v>
      </c>
      <c r="I5179" s="26"/>
      <c r="J5179" s="26" t="s">
        <v>512</v>
      </c>
      <c r="K5179" s="25" t="s">
        <v>513</v>
      </c>
    </row>
    <row r="5180" spans="1:11" ht="25.5" x14ac:dyDescent="0.25">
      <c r="A5180" s="22">
        <v>2026</v>
      </c>
      <c r="B5180" s="28" t="s">
        <v>222</v>
      </c>
      <c r="C5180" s="28" t="s">
        <v>97</v>
      </c>
      <c r="D5180" s="28" t="s">
        <v>1733</v>
      </c>
      <c r="E5180" s="29" t="s">
        <v>309</v>
      </c>
      <c r="F5180" s="29" t="s">
        <v>474</v>
      </c>
      <c r="G5180" s="25" t="s">
        <v>6870</v>
      </c>
      <c r="H5180" s="26">
        <v>-8.0581692240000002E-2</v>
      </c>
      <c r="I5180" s="26"/>
      <c r="J5180" s="26" t="s">
        <v>512</v>
      </c>
      <c r="K5180" s="25" t="s">
        <v>513</v>
      </c>
    </row>
    <row r="5181" spans="1:11" ht="25.5" x14ac:dyDescent="0.25">
      <c r="A5181" s="22">
        <v>2026</v>
      </c>
      <c r="B5181" s="28" t="s">
        <v>222</v>
      </c>
      <c r="C5181" s="28" t="s">
        <v>97</v>
      </c>
      <c r="D5181" s="28" t="s">
        <v>1734</v>
      </c>
      <c r="E5181" s="29" t="s">
        <v>309</v>
      </c>
      <c r="F5181" s="29" t="s">
        <v>903</v>
      </c>
      <c r="G5181" s="25" t="s">
        <v>6876</v>
      </c>
      <c r="H5181" s="26">
        <v>-8.3529800000000001E-2</v>
      </c>
      <c r="I5181" s="26"/>
      <c r="J5181" s="26" t="s">
        <v>512</v>
      </c>
      <c r="K5181" s="25" t="s">
        <v>513</v>
      </c>
    </row>
    <row r="5182" spans="1:11" ht="25.5" x14ac:dyDescent="0.25">
      <c r="A5182" s="22">
        <v>2026</v>
      </c>
      <c r="B5182" s="28" t="s">
        <v>222</v>
      </c>
      <c r="C5182" s="28" t="s">
        <v>97</v>
      </c>
      <c r="D5182" s="28" t="s">
        <v>1734</v>
      </c>
      <c r="E5182" s="29" t="s">
        <v>309</v>
      </c>
      <c r="F5182" s="29" t="s">
        <v>903</v>
      </c>
      <c r="G5182" s="25" t="s">
        <v>6877</v>
      </c>
      <c r="H5182" s="26">
        <v>-0.50080800000000003</v>
      </c>
      <c r="I5182" s="26"/>
      <c r="J5182" s="26" t="s">
        <v>512</v>
      </c>
      <c r="K5182" s="25" t="s">
        <v>513</v>
      </c>
    </row>
    <row r="5183" spans="1:11" ht="25.5" x14ac:dyDescent="0.25">
      <c r="A5183" s="22">
        <v>2026</v>
      </c>
      <c r="B5183" s="28" t="s">
        <v>222</v>
      </c>
      <c r="C5183" s="28" t="s">
        <v>97</v>
      </c>
      <c r="D5183" s="28" t="s">
        <v>1734</v>
      </c>
      <c r="E5183" s="29" t="s">
        <v>309</v>
      </c>
      <c r="F5183" s="29" t="s">
        <v>903</v>
      </c>
      <c r="G5183" s="25" t="s">
        <v>6878</v>
      </c>
      <c r="H5183" s="26">
        <v>-8.4230100000000002E-2</v>
      </c>
      <c r="I5183" s="26"/>
      <c r="J5183" s="26" t="s">
        <v>512</v>
      </c>
      <c r="K5183" s="25" t="s">
        <v>513</v>
      </c>
    </row>
    <row r="5184" spans="1:11" ht="25.5" x14ac:dyDescent="0.25">
      <c r="A5184" s="22">
        <v>2026</v>
      </c>
      <c r="B5184" s="28" t="s">
        <v>222</v>
      </c>
      <c r="C5184" s="28" t="s">
        <v>97</v>
      </c>
      <c r="D5184" s="28" t="s">
        <v>1734</v>
      </c>
      <c r="E5184" s="29" t="s">
        <v>309</v>
      </c>
      <c r="F5184" s="29" t="s">
        <v>903</v>
      </c>
      <c r="G5184" s="25" t="s">
        <v>6879</v>
      </c>
      <c r="H5184" s="26">
        <v>-8.5021399999999997E-2</v>
      </c>
      <c r="I5184" s="26"/>
      <c r="J5184" s="26" t="s">
        <v>512</v>
      </c>
      <c r="K5184" s="25" t="s">
        <v>513</v>
      </c>
    </row>
    <row r="5185" spans="1:11" ht="25.5" x14ac:dyDescent="0.25">
      <c r="A5185" s="22">
        <v>2026</v>
      </c>
      <c r="B5185" s="28" t="s">
        <v>222</v>
      </c>
      <c r="C5185" s="28" t="s">
        <v>97</v>
      </c>
      <c r="D5185" s="28" t="s">
        <v>1734</v>
      </c>
      <c r="E5185" s="29" t="s">
        <v>309</v>
      </c>
      <c r="F5185" s="29" t="s">
        <v>903</v>
      </c>
      <c r="G5185" s="25" t="s">
        <v>6880</v>
      </c>
      <c r="H5185" s="26">
        <v>-8.4344600000000006E-2</v>
      </c>
      <c r="I5185" s="26"/>
      <c r="J5185" s="26" t="s">
        <v>512</v>
      </c>
      <c r="K5185" s="25" t="s">
        <v>513</v>
      </c>
    </row>
    <row r="5186" spans="1:11" ht="25.5" x14ac:dyDescent="0.25">
      <c r="A5186" s="22">
        <v>2026</v>
      </c>
      <c r="B5186" s="28" t="s">
        <v>222</v>
      </c>
      <c r="C5186" s="28" t="s">
        <v>97</v>
      </c>
      <c r="D5186" s="28" t="s">
        <v>1734</v>
      </c>
      <c r="E5186" s="29" t="s">
        <v>309</v>
      </c>
      <c r="F5186" s="29" t="s">
        <v>903</v>
      </c>
      <c r="G5186" s="25" t="s">
        <v>6881</v>
      </c>
      <c r="H5186" s="26">
        <v>-8.3064399999999997E-2</v>
      </c>
      <c r="I5186" s="26"/>
      <c r="J5186" s="26" t="s">
        <v>512</v>
      </c>
      <c r="K5186" s="25" t="s">
        <v>513</v>
      </c>
    </row>
    <row r="5187" spans="1:11" ht="25.5" x14ac:dyDescent="0.25">
      <c r="A5187" s="22">
        <v>2026</v>
      </c>
      <c r="B5187" s="28" t="s">
        <v>222</v>
      </c>
      <c r="C5187" s="28" t="s">
        <v>97</v>
      </c>
      <c r="D5187" s="28" t="s">
        <v>1734</v>
      </c>
      <c r="E5187" s="29" t="s">
        <v>309</v>
      </c>
      <c r="F5187" s="29" t="s">
        <v>903</v>
      </c>
      <c r="G5187" s="25" t="s">
        <v>6882</v>
      </c>
      <c r="H5187" s="26">
        <v>-8.0877199999999996E-2</v>
      </c>
      <c r="I5187" s="26"/>
      <c r="J5187" s="26" t="s">
        <v>512</v>
      </c>
      <c r="K5187" s="25" t="s">
        <v>513</v>
      </c>
    </row>
    <row r="5188" spans="1:11" ht="25.5" x14ac:dyDescent="0.25">
      <c r="A5188" s="22">
        <v>2026</v>
      </c>
      <c r="B5188" s="28" t="s">
        <v>222</v>
      </c>
      <c r="C5188" s="28" t="s">
        <v>97</v>
      </c>
      <c r="D5188" s="28" t="s">
        <v>1734</v>
      </c>
      <c r="E5188" s="29" t="s">
        <v>309</v>
      </c>
      <c r="F5188" s="29" t="s">
        <v>903</v>
      </c>
      <c r="G5188" s="25" t="s">
        <v>6883</v>
      </c>
      <c r="H5188" s="26">
        <v>-0.48599999999999999</v>
      </c>
      <c r="I5188" s="26"/>
      <c r="J5188" s="26" t="s">
        <v>512</v>
      </c>
      <c r="K5188" s="25" t="s">
        <v>513</v>
      </c>
    </row>
    <row r="5189" spans="1:11" ht="25.5" x14ac:dyDescent="0.25">
      <c r="A5189" s="22">
        <v>2026</v>
      </c>
      <c r="B5189" s="28" t="s">
        <v>222</v>
      </c>
      <c r="C5189" s="28" t="s">
        <v>97</v>
      </c>
      <c r="D5189" s="28" t="s">
        <v>1734</v>
      </c>
      <c r="E5189" s="29" t="s">
        <v>309</v>
      </c>
      <c r="F5189" s="29" t="s">
        <v>903</v>
      </c>
      <c r="G5189" s="25" t="s">
        <v>6884</v>
      </c>
      <c r="H5189" s="26">
        <v>-0.2060225</v>
      </c>
      <c r="I5189" s="26"/>
      <c r="J5189" s="26" t="s">
        <v>512</v>
      </c>
      <c r="K5189" s="25" t="s">
        <v>513</v>
      </c>
    </row>
    <row r="5190" spans="1:11" ht="25.5" x14ac:dyDescent="0.25">
      <c r="A5190" s="22">
        <v>2026</v>
      </c>
      <c r="B5190" s="28" t="s">
        <v>222</v>
      </c>
      <c r="C5190" s="28" t="s">
        <v>97</v>
      </c>
      <c r="D5190" s="28" t="s">
        <v>1734</v>
      </c>
      <c r="E5190" s="29" t="s">
        <v>309</v>
      </c>
      <c r="F5190" s="29" t="s">
        <v>903</v>
      </c>
      <c r="G5190" s="25" t="s">
        <v>6885</v>
      </c>
      <c r="H5190" s="26">
        <v>-4.7626679999999998E-2</v>
      </c>
      <c r="I5190" s="26"/>
      <c r="J5190" s="26" t="s">
        <v>512</v>
      </c>
      <c r="K5190" s="25" t="s">
        <v>513</v>
      </c>
    </row>
    <row r="5191" spans="1:11" ht="25.5" x14ac:dyDescent="0.25">
      <c r="A5191" s="22">
        <v>2026</v>
      </c>
      <c r="B5191" s="28" t="s">
        <v>222</v>
      </c>
      <c r="C5191" s="28" t="s">
        <v>97</v>
      </c>
      <c r="D5191" s="28" t="s">
        <v>1734</v>
      </c>
      <c r="E5191" s="29" t="s">
        <v>309</v>
      </c>
      <c r="F5191" s="29" t="s">
        <v>903</v>
      </c>
      <c r="G5191" s="25" t="s">
        <v>6886</v>
      </c>
      <c r="H5191" s="26">
        <v>-0.20764025</v>
      </c>
      <c r="I5191" s="26"/>
      <c r="J5191" s="26" t="s">
        <v>512</v>
      </c>
      <c r="K5191" s="25" t="s">
        <v>513</v>
      </c>
    </row>
    <row r="5192" spans="1:11" ht="25.5" x14ac:dyDescent="0.25">
      <c r="A5192" s="22">
        <v>2026</v>
      </c>
      <c r="B5192" s="28" t="s">
        <v>222</v>
      </c>
      <c r="C5192" s="28" t="s">
        <v>97</v>
      </c>
      <c r="D5192" s="28" t="s">
        <v>1734</v>
      </c>
      <c r="E5192" s="29" t="s">
        <v>309</v>
      </c>
      <c r="F5192" s="29" t="s">
        <v>903</v>
      </c>
      <c r="G5192" s="25" t="s">
        <v>6887</v>
      </c>
      <c r="H5192" s="26">
        <v>-5.709184992E-2</v>
      </c>
      <c r="I5192" s="26"/>
      <c r="J5192" s="26" t="s">
        <v>512</v>
      </c>
      <c r="K5192" s="25" t="s">
        <v>513</v>
      </c>
    </row>
    <row r="5193" spans="1:11" ht="25.5" x14ac:dyDescent="0.25">
      <c r="A5193" s="22">
        <v>2026</v>
      </c>
      <c r="B5193" s="28" t="s">
        <v>222</v>
      </c>
      <c r="C5193" s="28" t="s">
        <v>97</v>
      </c>
      <c r="D5193" s="28" t="s">
        <v>1734</v>
      </c>
      <c r="E5193" s="29" t="s">
        <v>309</v>
      </c>
      <c r="F5193" s="29" t="s">
        <v>903</v>
      </c>
      <c r="G5193" s="25" t="s">
        <v>6888</v>
      </c>
      <c r="H5193" s="26">
        <v>-0.210781</v>
      </c>
      <c r="I5193" s="26"/>
      <c r="J5193" s="26" t="s">
        <v>512</v>
      </c>
      <c r="K5193" s="25" t="s">
        <v>513</v>
      </c>
    </row>
    <row r="5194" spans="1:11" ht="25.5" x14ac:dyDescent="0.25">
      <c r="A5194" s="22">
        <v>2026</v>
      </c>
      <c r="B5194" s="28" t="s">
        <v>222</v>
      </c>
      <c r="C5194" s="28" t="s">
        <v>97</v>
      </c>
      <c r="D5194" s="28" t="s">
        <v>1734</v>
      </c>
      <c r="E5194" s="29" t="s">
        <v>309</v>
      </c>
      <c r="F5194" s="29" t="s">
        <v>903</v>
      </c>
      <c r="G5194" s="25" t="s">
        <v>6889</v>
      </c>
      <c r="H5194" s="26">
        <v>-0.20904975000000001</v>
      </c>
      <c r="I5194" s="26"/>
      <c r="J5194" s="26" t="s">
        <v>512</v>
      </c>
      <c r="K5194" s="25" t="s">
        <v>513</v>
      </c>
    </row>
    <row r="5195" spans="1:11" ht="25.5" x14ac:dyDescent="0.25">
      <c r="A5195" s="22">
        <v>2026</v>
      </c>
      <c r="B5195" s="28" t="s">
        <v>222</v>
      </c>
      <c r="C5195" s="28" t="s">
        <v>97</v>
      </c>
      <c r="D5195" s="28" t="s">
        <v>1734</v>
      </c>
      <c r="E5195" s="29" t="s">
        <v>309</v>
      </c>
      <c r="F5195" s="29" t="s">
        <v>903</v>
      </c>
      <c r="G5195" s="25" t="s">
        <v>6890</v>
      </c>
      <c r="H5195" s="26">
        <v>-0.11494392</v>
      </c>
      <c r="I5195" s="26"/>
      <c r="J5195" s="26" t="s">
        <v>512</v>
      </c>
      <c r="K5195" s="25" t="s">
        <v>513</v>
      </c>
    </row>
    <row r="5196" spans="1:11" ht="25.5" x14ac:dyDescent="0.25">
      <c r="A5196" s="22">
        <v>2026</v>
      </c>
      <c r="B5196" s="28" t="s">
        <v>222</v>
      </c>
      <c r="C5196" s="28" t="s">
        <v>97</v>
      </c>
      <c r="D5196" s="28" t="s">
        <v>1734</v>
      </c>
      <c r="E5196" s="29" t="s">
        <v>309</v>
      </c>
      <c r="F5196" s="29" t="s">
        <v>903</v>
      </c>
      <c r="G5196" s="25" t="s">
        <v>6891</v>
      </c>
      <c r="H5196" s="26">
        <v>-8.4306699999999998E-2</v>
      </c>
      <c r="I5196" s="26"/>
      <c r="J5196" s="26" t="s">
        <v>512</v>
      </c>
      <c r="K5196" s="25" t="s">
        <v>513</v>
      </c>
    </row>
    <row r="5197" spans="1:11" ht="25.5" x14ac:dyDescent="0.25">
      <c r="A5197" s="22">
        <v>2026</v>
      </c>
      <c r="B5197" s="28" t="s">
        <v>222</v>
      </c>
      <c r="C5197" s="28" t="s">
        <v>97</v>
      </c>
      <c r="D5197" s="28" t="s">
        <v>1735</v>
      </c>
      <c r="E5197" s="29" t="s">
        <v>309</v>
      </c>
      <c r="F5197" s="29" t="s">
        <v>566</v>
      </c>
      <c r="G5197" s="25" t="s">
        <v>6892</v>
      </c>
      <c r="H5197" s="26">
        <v>-0.5625</v>
      </c>
      <c r="I5197" s="26"/>
      <c r="J5197" s="26" t="s">
        <v>512</v>
      </c>
      <c r="K5197" s="25" t="s">
        <v>513</v>
      </c>
    </row>
    <row r="5198" spans="1:11" ht="25.5" x14ac:dyDescent="0.25">
      <c r="A5198" s="22">
        <v>2026</v>
      </c>
      <c r="B5198" s="28" t="s">
        <v>222</v>
      </c>
      <c r="C5198" s="28" t="s">
        <v>97</v>
      </c>
      <c r="D5198" s="28" t="s">
        <v>1735</v>
      </c>
      <c r="E5198" s="29" t="s">
        <v>309</v>
      </c>
      <c r="F5198" s="29" t="s">
        <v>566</v>
      </c>
      <c r="G5198" s="25" t="s">
        <v>6893</v>
      </c>
      <c r="H5198" s="26">
        <v>-0.77700000000000002</v>
      </c>
      <c r="I5198" s="26"/>
      <c r="J5198" s="26" t="s">
        <v>512</v>
      </c>
      <c r="K5198" s="25" t="s">
        <v>513</v>
      </c>
    </row>
    <row r="5199" spans="1:11" ht="25.5" x14ac:dyDescent="0.25">
      <c r="A5199" s="22">
        <v>2026</v>
      </c>
      <c r="B5199" s="28" t="s">
        <v>222</v>
      </c>
      <c r="C5199" s="28" t="s">
        <v>97</v>
      </c>
      <c r="D5199" s="28" t="s">
        <v>1735</v>
      </c>
      <c r="E5199" s="29" t="s">
        <v>309</v>
      </c>
      <c r="F5199" s="29" t="s">
        <v>566</v>
      </c>
      <c r="G5199" s="25" t="s">
        <v>6894</v>
      </c>
      <c r="H5199" s="26">
        <v>-0.19625000000000001</v>
      </c>
      <c r="I5199" s="26"/>
      <c r="J5199" s="26" t="s">
        <v>512</v>
      </c>
      <c r="K5199" s="25" t="s">
        <v>513</v>
      </c>
    </row>
    <row r="5200" spans="1:11" ht="25.5" x14ac:dyDescent="0.25">
      <c r="A5200" s="22">
        <v>2026</v>
      </c>
      <c r="B5200" s="28" t="s">
        <v>222</v>
      </c>
      <c r="C5200" s="28" t="s">
        <v>97</v>
      </c>
      <c r="D5200" s="28" t="s">
        <v>1735</v>
      </c>
      <c r="E5200" s="29" t="s">
        <v>309</v>
      </c>
      <c r="F5200" s="29" t="s">
        <v>566</v>
      </c>
      <c r="G5200" s="25" t="s">
        <v>6895</v>
      </c>
      <c r="H5200" s="26">
        <v>-0.59099999999999997</v>
      </c>
      <c r="I5200" s="26"/>
      <c r="J5200" s="26" t="s">
        <v>512</v>
      </c>
      <c r="K5200" s="25" t="s">
        <v>513</v>
      </c>
    </row>
    <row r="5201" spans="1:11" ht="25.5" x14ac:dyDescent="0.25">
      <c r="A5201" s="22">
        <v>2026</v>
      </c>
      <c r="B5201" s="28" t="s">
        <v>222</v>
      </c>
      <c r="C5201" s="28" t="s">
        <v>97</v>
      </c>
      <c r="D5201" s="28" t="s">
        <v>1735</v>
      </c>
      <c r="E5201" s="29" t="s">
        <v>309</v>
      </c>
      <c r="F5201" s="29" t="s">
        <v>566</v>
      </c>
      <c r="G5201" s="25" t="s">
        <v>6896</v>
      </c>
      <c r="H5201" s="26">
        <v>-0.59175</v>
      </c>
      <c r="I5201" s="26"/>
      <c r="J5201" s="26" t="s">
        <v>512</v>
      </c>
      <c r="K5201" s="25" t="s">
        <v>513</v>
      </c>
    </row>
    <row r="5202" spans="1:11" ht="25.5" x14ac:dyDescent="0.25">
      <c r="A5202" s="22">
        <v>2026</v>
      </c>
      <c r="B5202" s="28" t="s">
        <v>222</v>
      </c>
      <c r="C5202" s="28" t="s">
        <v>97</v>
      </c>
      <c r="D5202" s="28" t="s">
        <v>1735</v>
      </c>
      <c r="E5202" s="29" t="s">
        <v>309</v>
      </c>
      <c r="F5202" s="29" t="s">
        <v>566</v>
      </c>
      <c r="G5202" s="25" t="s">
        <v>6897</v>
      </c>
      <c r="H5202" s="26">
        <v>-1.1924999999999999</v>
      </c>
      <c r="I5202" s="26"/>
      <c r="J5202" s="26" t="s">
        <v>512</v>
      </c>
      <c r="K5202" s="25" t="s">
        <v>513</v>
      </c>
    </row>
    <row r="5203" spans="1:11" ht="25.5" x14ac:dyDescent="0.25">
      <c r="A5203" s="22">
        <v>2026</v>
      </c>
      <c r="B5203" s="28" t="s">
        <v>222</v>
      </c>
      <c r="C5203" s="28" t="s">
        <v>97</v>
      </c>
      <c r="D5203" s="28" t="s">
        <v>1735</v>
      </c>
      <c r="E5203" s="29" t="s">
        <v>309</v>
      </c>
      <c r="F5203" s="29" t="s">
        <v>566</v>
      </c>
      <c r="G5203" s="25" t="s">
        <v>6898</v>
      </c>
      <c r="H5203" s="26">
        <v>-1.1639999999999999</v>
      </c>
      <c r="I5203" s="26"/>
      <c r="J5203" s="26" t="s">
        <v>512</v>
      </c>
      <c r="K5203" s="25" t="s">
        <v>513</v>
      </c>
    </row>
    <row r="5204" spans="1:11" ht="25.5" x14ac:dyDescent="0.25">
      <c r="A5204" s="22">
        <v>2026</v>
      </c>
      <c r="B5204" s="28" t="s">
        <v>222</v>
      </c>
      <c r="C5204" s="28" t="s">
        <v>97</v>
      </c>
      <c r="D5204" s="28" t="s">
        <v>1735</v>
      </c>
      <c r="E5204" s="29" t="s">
        <v>309</v>
      </c>
      <c r="F5204" s="29" t="s">
        <v>566</v>
      </c>
      <c r="G5204" s="25" t="s">
        <v>6899</v>
      </c>
      <c r="H5204" s="26">
        <v>-0.96125000000000005</v>
      </c>
      <c r="I5204" s="26"/>
      <c r="J5204" s="26" t="s">
        <v>512</v>
      </c>
      <c r="K5204" s="25" t="s">
        <v>513</v>
      </c>
    </row>
    <row r="5205" spans="1:11" ht="25.5" x14ac:dyDescent="0.25">
      <c r="A5205" s="22">
        <v>2026</v>
      </c>
      <c r="B5205" s="28" t="s">
        <v>222</v>
      </c>
      <c r="C5205" s="28" t="s">
        <v>97</v>
      </c>
      <c r="D5205" s="28" t="s">
        <v>1735</v>
      </c>
      <c r="E5205" s="29" t="s">
        <v>309</v>
      </c>
      <c r="F5205" s="29" t="s">
        <v>566</v>
      </c>
      <c r="G5205" s="25" t="s">
        <v>6900</v>
      </c>
      <c r="H5205" s="26">
        <v>-0.50829999999999997</v>
      </c>
      <c r="I5205" s="26"/>
      <c r="J5205" s="26" t="s">
        <v>512</v>
      </c>
      <c r="K5205" s="25" t="s">
        <v>513</v>
      </c>
    </row>
    <row r="5206" spans="1:11" ht="25.5" x14ac:dyDescent="0.25">
      <c r="A5206" s="22">
        <v>2026</v>
      </c>
      <c r="B5206" s="28" t="s">
        <v>222</v>
      </c>
      <c r="C5206" s="28" t="s">
        <v>97</v>
      </c>
      <c r="D5206" s="28" t="s">
        <v>1735</v>
      </c>
      <c r="E5206" s="29" t="s">
        <v>309</v>
      </c>
      <c r="F5206" s="29" t="s">
        <v>566</v>
      </c>
      <c r="G5206" s="25" t="s">
        <v>6901</v>
      </c>
      <c r="H5206" s="26">
        <v>-1.212</v>
      </c>
      <c r="I5206" s="26"/>
      <c r="J5206" s="26" t="s">
        <v>512</v>
      </c>
      <c r="K5206" s="25" t="s">
        <v>513</v>
      </c>
    </row>
    <row r="5207" spans="1:11" ht="25.5" x14ac:dyDescent="0.25">
      <c r="A5207" s="22">
        <v>2026</v>
      </c>
      <c r="B5207" s="28" t="s">
        <v>222</v>
      </c>
      <c r="C5207" s="28" t="s">
        <v>97</v>
      </c>
      <c r="D5207" s="28" t="s">
        <v>1735</v>
      </c>
      <c r="E5207" s="29" t="s">
        <v>309</v>
      </c>
      <c r="F5207" s="29" t="s">
        <v>566</v>
      </c>
      <c r="G5207" s="25" t="s">
        <v>6902</v>
      </c>
      <c r="H5207" s="26">
        <v>-0.8</v>
      </c>
      <c r="I5207" s="26"/>
      <c r="J5207" s="26" t="s">
        <v>512</v>
      </c>
      <c r="K5207" s="25" t="s">
        <v>513</v>
      </c>
    </row>
    <row r="5208" spans="1:11" ht="25.5" x14ac:dyDescent="0.25">
      <c r="A5208" s="22">
        <v>2026</v>
      </c>
      <c r="B5208" s="28" t="s">
        <v>222</v>
      </c>
      <c r="C5208" s="28" t="s">
        <v>97</v>
      </c>
      <c r="D5208" s="28" t="s">
        <v>1735</v>
      </c>
      <c r="E5208" s="29" t="s">
        <v>309</v>
      </c>
      <c r="F5208" s="29" t="s">
        <v>566</v>
      </c>
      <c r="G5208" s="25" t="s">
        <v>6903</v>
      </c>
      <c r="H5208" s="26">
        <v>-0.59850000000000003</v>
      </c>
      <c r="I5208" s="26"/>
      <c r="J5208" s="26" t="s">
        <v>512</v>
      </c>
      <c r="K5208" s="25" t="s">
        <v>513</v>
      </c>
    </row>
    <row r="5209" spans="1:11" ht="25.5" x14ac:dyDescent="0.25">
      <c r="A5209" s="22">
        <v>2026</v>
      </c>
      <c r="B5209" s="28" t="s">
        <v>222</v>
      </c>
      <c r="C5209" s="28" t="s">
        <v>97</v>
      </c>
      <c r="D5209" s="28" t="s">
        <v>1735</v>
      </c>
      <c r="E5209" s="29" t="s">
        <v>309</v>
      </c>
      <c r="F5209" s="29" t="s">
        <v>566</v>
      </c>
      <c r="G5209" s="25" t="s">
        <v>6904</v>
      </c>
      <c r="H5209" s="26">
        <v>-0.80300000000000005</v>
      </c>
      <c r="I5209" s="26"/>
      <c r="J5209" s="26" t="s">
        <v>512</v>
      </c>
      <c r="K5209" s="25" t="s">
        <v>513</v>
      </c>
    </row>
    <row r="5210" spans="1:11" ht="25.5" x14ac:dyDescent="0.25">
      <c r="A5210" s="22">
        <v>2026</v>
      </c>
      <c r="B5210" s="28" t="s">
        <v>222</v>
      </c>
      <c r="C5210" s="28" t="s">
        <v>97</v>
      </c>
      <c r="D5210" s="28" t="s">
        <v>1736</v>
      </c>
      <c r="E5210" s="29" t="s">
        <v>309</v>
      </c>
      <c r="F5210" s="29" t="s">
        <v>343</v>
      </c>
      <c r="G5210" s="25" t="s">
        <v>6905</v>
      </c>
      <c r="H5210" s="26">
        <v>-0.24149999999999999</v>
      </c>
      <c r="I5210" s="26"/>
      <c r="J5210" s="26" t="s">
        <v>512</v>
      </c>
      <c r="K5210" s="25" t="s">
        <v>513</v>
      </c>
    </row>
    <row r="5211" spans="1:11" ht="25.5" x14ac:dyDescent="0.25">
      <c r="A5211" s="22">
        <v>2026</v>
      </c>
      <c r="B5211" s="28" t="s">
        <v>222</v>
      </c>
      <c r="C5211" s="28" t="s">
        <v>97</v>
      </c>
      <c r="D5211" s="28" t="s">
        <v>1736</v>
      </c>
      <c r="E5211" s="29" t="s">
        <v>309</v>
      </c>
      <c r="F5211" s="29" t="s">
        <v>343</v>
      </c>
      <c r="G5211" s="25" t="s">
        <v>6906</v>
      </c>
      <c r="H5211" s="26">
        <v>-0.2406645</v>
      </c>
      <c r="I5211" s="26"/>
      <c r="J5211" s="26" t="s">
        <v>512</v>
      </c>
      <c r="K5211" s="25" t="s">
        <v>513</v>
      </c>
    </row>
    <row r="5212" spans="1:11" ht="25.5" x14ac:dyDescent="0.25">
      <c r="A5212" s="22">
        <v>2026</v>
      </c>
      <c r="B5212" s="28" t="s">
        <v>222</v>
      </c>
      <c r="C5212" s="28" t="s">
        <v>97</v>
      </c>
      <c r="D5212" s="28" t="s">
        <v>1736</v>
      </c>
      <c r="E5212" s="29" t="s">
        <v>309</v>
      </c>
      <c r="F5212" s="29" t="s">
        <v>343</v>
      </c>
      <c r="G5212" s="25" t="s">
        <v>6907</v>
      </c>
      <c r="H5212" s="26">
        <v>-0.2302699</v>
      </c>
      <c r="I5212" s="26"/>
      <c r="J5212" s="26" t="s">
        <v>512</v>
      </c>
      <c r="K5212" s="25" t="s">
        <v>513</v>
      </c>
    </row>
    <row r="5213" spans="1:11" ht="25.5" x14ac:dyDescent="0.25">
      <c r="A5213" s="22">
        <v>2026</v>
      </c>
      <c r="B5213" s="28" t="s">
        <v>222</v>
      </c>
      <c r="C5213" s="28" t="s">
        <v>97</v>
      </c>
      <c r="D5213" s="28" t="s">
        <v>1736</v>
      </c>
      <c r="E5213" s="29" t="s">
        <v>309</v>
      </c>
      <c r="F5213" s="29" t="s">
        <v>343</v>
      </c>
      <c r="G5213" s="25" t="s">
        <v>6908</v>
      </c>
      <c r="H5213" s="26">
        <v>-0.16400000000000001</v>
      </c>
      <c r="I5213" s="26"/>
      <c r="J5213" s="26" t="s">
        <v>512</v>
      </c>
      <c r="K5213" s="25" t="s">
        <v>513</v>
      </c>
    </row>
    <row r="5214" spans="1:11" ht="25.5" x14ac:dyDescent="0.25">
      <c r="A5214" s="22">
        <v>2026</v>
      </c>
      <c r="B5214" s="28" t="s">
        <v>222</v>
      </c>
      <c r="C5214" s="28" t="s">
        <v>97</v>
      </c>
      <c r="D5214" s="28" t="s">
        <v>1736</v>
      </c>
      <c r="E5214" s="29" t="s">
        <v>309</v>
      </c>
      <c r="F5214" s="29" t="s">
        <v>343</v>
      </c>
      <c r="G5214" s="25" t="s">
        <v>6909</v>
      </c>
      <c r="H5214" s="26">
        <v>-0.12911239999999999</v>
      </c>
      <c r="I5214" s="26"/>
      <c r="J5214" s="26" t="s">
        <v>512</v>
      </c>
      <c r="K5214" s="25" t="s">
        <v>513</v>
      </c>
    </row>
    <row r="5215" spans="1:11" ht="25.5" x14ac:dyDescent="0.25">
      <c r="A5215" s="22">
        <v>2026</v>
      </c>
      <c r="B5215" s="28" t="s">
        <v>222</v>
      </c>
      <c r="C5215" s="28" t="s">
        <v>97</v>
      </c>
      <c r="D5215" s="28" t="s">
        <v>1736</v>
      </c>
      <c r="E5215" s="29" t="s">
        <v>309</v>
      </c>
      <c r="F5215" s="29" t="s">
        <v>343</v>
      </c>
      <c r="G5215" s="25" t="s">
        <v>6910</v>
      </c>
      <c r="H5215" s="26">
        <v>-0.20951839999999999</v>
      </c>
      <c r="I5215" s="26"/>
      <c r="J5215" s="26" t="s">
        <v>512</v>
      </c>
      <c r="K5215" s="25" t="s">
        <v>513</v>
      </c>
    </row>
    <row r="5216" spans="1:11" ht="25.5" x14ac:dyDescent="0.25">
      <c r="A5216" s="22">
        <v>2026</v>
      </c>
      <c r="B5216" s="28" t="s">
        <v>222</v>
      </c>
      <c r="C5216" s="28" t="s">
        <v>97</v>
      </c>
      <c r="D5216" s="28" t="s">
        <v>1736</v>
      </c>
      <c r="E5216" s="29" t="s">
        <v>309</v>
      </c>
      <c r="F5216" s="29" t="s">
        <v>343</v>
      </c>
      <c r="G5216" s="25" t="s">
        <v>6911</v>
      </c>
      <c r="H5216" s="26">
        <v>-0.24299999999999999</v>
      </c>
      <c r="I5216" s="26"/>
      <c r="J5216" s="26" t="s">
        <v>512</v>
      </c>
      <c r="K5216" s="25" t="s">
        <v>513</v>
      </c>
    </row>
    <row r="5217" spans="1:11" ht="25.5" x14ac:dyDescent="0.25">
      <c r="A5217" s="22">
        <v>2026</v>
      </c>
      <c r="B5217" s="28" t="s">
        <v>222</v>
      </c>
      <c r="C5217" s="28" t="s">
        <v>97</v>
      </c>
      <c r="D5217" s="28" t="s">
        <v>1736</v>
      </c>
      <c r="E5217" s="29" t="s">
        <v>309</v>
      </c>
      <c r="F5217" s="29" t="s">
        <v>343</v>
      </c>
      <c r="G5217" s="25" t="s">
        <v>6912</v>
      </c>
      <c r="H5217" s="26">
        <v>-0.20819954999999998</v>
      </c>
      <c r="I5217" s="26"/>
      <c r="J5217" s="26" t="s">
        <v>512</v>
      </c>
      <c r="K5217" s="25" t="s">
        <v>513</v>
      </c>
    </row>
    <row r="5218" spans="1:11" ht="25.5" x14ac:dyDescent="0.25">
      <c r="A5218" s="22">
        <v>2026</v>
      </c>
      <c r="B5218" s="28" t="s">
        <v>222</v>
      </c>
      <c r="C5218" s="28" t="s">
        <v>97</v>
      </c>
      <c r="D5218" s="28" t="s">
        <v>1736</v>
      </c>
      <c r="E5218" s="29" t="s">
        <v>309</v>
      </c>
      <c r="F5218" s="29" t="s">
        <v>343</v>
      </c>
      <c r="G5218" s="25" t="s">
        <v>6905</v>
      </c>
      <c r="H5218" s="26">
        <v>-0.24149999999999999</v>
      </c>
      <c r="I5218" s="26"/>
      <c r="J5218" s="26" t="s">
        <v>512</v>
      </c>
      <c r="K5218" s="25" t="s">
        <v>513</v>
      </c>
    </row>
    <row r="5219" spans="1:11" ht="25.5" x14ac:dyDescent="0.25">
      <c r="A5219" s="22">
        <v>2026</v>
      </c>
      <c r="B5219" s="28" t="s">
        <v>222</v>
      </c>
      <c r="C5219" s="28" t="s">
        <v>97</v>
      </c>
      <c r="D5219" s="28" t="s">
        <v>1736</v>
      </c>
      <c r="E5219" s="29" t="s">
        <v>309</v>
      </c>
      <c r="F5219" s="29" t="s">
        <v>343</v>
      </c>
      <c r="G5219" s="25" t="s">
        <v>6913</v>
      </c>
      <c r="H5219" s="26">
        <v>-0.24214949999999999</v>
      </c>
      <c r="I5219" s="26"/>
      <c r="J5219" s="26" t="s">
        <v>512</v>
      </c>
      <c r="K5219" s="25" t="s">
        <v>513</v>
      </c>
    </row>
    <row r="5220" spans="1:11" ht="25.5" x14ac:dyDescent="0.25">
      <c r="A5220" s="22">
        <v>2026</v>
      </c>
      <c r="B5220" s="28" t="s">
        <v>222</v>
      </c>
      <c r="C5220" s="28" t="s">
        <v>97</v>
      </c>
      <c r="D5220" s="28" t="s">
        <v>1736</v>
      </c>
      <c r="E5220" s="29" t="s">
        <v>309</v>
      </c>
      <c r="F5220" s="29" t="s">
        <v>343</v>
      </c>
      <c r="G5220" s="25" t="s">
        <v>6914</v>
      </c>
      <c r="H5220" s="26">
        <v>-0.48951</v>
      </c>
      <c r="I5220" s="26"/>
      <c r="J5220" s="26" t="s">
        <v>512</v>
      </c>
      <c r="K5220" s="25" t="s">
        <v>513</v>
      </c>
    </row>
    <row r="5221" spans="1:11" ht="25.5" x14ac:dyDescent="0.25">
      <c r="A5221" s="22">
        <v>2026</v>
      </c>
      <c r="B5221" s="28" t="s">
        <v>222</v>
      </c>
      <c r="C5221" s="28" t="s">
        <v>97</v>
      </c>
      <c r="D5221" s="28" t="s">
        <v>1736</v>
      </c>
      <c r="E5221" s="29" t="s">
        <v>309</v>
      </c>
      <c r="F5221" s="29" t="s">
        <v>343</v>
      </c>
      <c r="G5221" s="25" t="s">
        <v>6915</v>
      </c>
      <c r="H5221" s="26">
        <v>-0.32281500000000002</v>
      </c>
      <c r="I5221" s="26"/>
      <c r="J5221" s="26" t="s">
        <v>512</v>
      </c>
      <c r="K5221" s="25" t="s">
        <v>513</v>
      </c>
    </row>
    <row r="5222" spans="1:11" ht="25.5" x14ac:dyDescent="0.25">
      <c r="A5222" s="22">
        <v>2026</v>
      </c>
      <c r="B5222" s="28" t="s">
        <v>222</v>
      </c>
      <c r="C5222" s="28" t="s">
        <v>97</v>
      </c>
      <c r="D5222" s="28" t="s">
        <v>1736</v>
      </c>
      <c r="E5222" s="29" t="s">
        <v>309</v>
      </c>
      <c r="F5222" s="29" t="s">
        <v>343</v>
      </c>
      <c r="G5222" s="25" t="s">
        <v>6916</v>
      </c>
      <c r="H5222" s="26">
        <v>-0.48666749999999998</v>
      </c>
      <c r="I5222" s="26"/>
      <c r="J5222" s="26" t="s">
        <v>512</v>
      </c>
      <c r="K5222" s="25" t="s">
        <v>513</v>
      </c>
    </row>
    <row r="5223" spans="1:11" ht="25.5" x14ac:dyDescent="0.25">
      <c r="A5223" s="22">
        <v>2026</v>
      </c>
      <c r="B5223" s="28" t="s">
        <v>222</v>
      </c>
      <c r="C5223" s="28" t="s">
        <v>97</v>
      </c>
      <c r="D5223" s="28" t="s">
        <v>1736</v>
      </c>
      <c r="E5223" s="29" t="s">
        <v>309</v>
      </c>
      <c r="F5223" s="29" t="s">
        <v>343</v>
      </c>
      <c r="G5223" s="25" t="s">
        <v>6917</v>
      </c>
      <c r="H5223" s="26">
        <v>-0.492948</v>
      </c>
      <c r="I5223" s="26"/>
      <c r="J5223" s="26" t="s">
        <v>512</v>
      </c>
      <c r="K5223" s="25" t="s">
        <v>513</v>
      </c>
    </row>
    <row r="5224" spans="1:11" ht="25.5" x14ac:dyDescent="0.25">
      <c r="A5224" s="22">
        <v>2026</v>
      </c>
      <c r="B5224" s="28" t="s">
        <v>222</v>
      </c>
      <c r="C5224" s="28" t="s">
        <v>97</v>
      </c>
      <c r="D5224" s="28" t="s">
        <v>1736</v>
      </c>
      <c r="E5224" s="29" t="s">
        <v>309</v>
      </c>
      <c r="F5224" s="29" t="s">
        <v>343</v>
      </c>
      <c r="G5224" s="25" t="s">
        <v>6918</v>
      </c>
      <c r="H5224" s="26">
        <v>-0.16450000000000001</v>
      </c>
      <c r="I5224" s="26"/>
      <c r="J5224" s="26" t="s">
        <v>512</v>
      </c>
      <c r="K5224" s="25" t="s">
        <v>513</v>
      </c>
    </row>
    <row r="5225" spans="1:11" ht="25.5" x14ac:dyDescent="0.25">
      <c r="A5225" s="22">
        <v>2026</v>
      </c>
      <c r="B5225" s="28" t="s">
        <v>222</v>
      </c>
      <c r="C5225" s="28" t="s">
        <v>97</v>
      </c>
      <c r="D5225" s="28" t="s">
        <v>538</v>
      </c>
      <c r="E5225" s="29" t="s">
        <v>309</v>
      </c>
      <c r="F5225" s="29" t="s">
        <v>564</v>
      </c>
      <c r="G5225" s="25" t="s">
        <v>6919</v>
      </c>
      <c r="H5225" s="26">
        <v>-6.225E-2</v>
      </c>
      <c r="I5225" s="26"/>
      <c r="J5225" s="26" t="s">
        <v>512</v>
      </c>
      <c r="K5225" s="25" t="s">
        <v>513</v>
      </c>
    </row>
    <row r="5226" spans="1:11" ht="25.5" x14ac:dyDescent="0.25">
      <c r="A5226" s="22">
        <v>2026</v>
      </c>
      <c r="B5226" s="28" t="s">
        <v>222</v>
      </c>
      <c r="C5226" s="28" t="s">
        <v>97</v>
      </c>
      <c r="D5226" s="28" t="s">
        <v>538</v>
      </c>
      <c r="E5226" s="29" t="s">
        <v>309</v>
      </c>
      <c r="F5226" s="29" t="s">
        <v>564</v>
      </c>
      <c r="G5226" s="25" t="s">
        <v>6920</v>
      </c>
      <c r="H5226" s="26">
        <v>-0.12465</v>
      </c>
      <c r="I5226" s="26"/>
      <c r="J5226" s="26" t="s">
        <v>512</v>
      </c>
      <c r="K5226" s="25" t="s">
        <v>513</v>
      </c>
    </row>
    <row r="5227" spans="1:11" ht="25.5" x14ac:dyDescent="0.25">
      <c r="A5227" s="22">
        <v>2026</v>
      </c>
      <c r="B5227" s="28" t="s">
        <v>222</v>
      </c>
      <c r="C5227" s="28" t="s">
        <v>97</v>
      </c>
      <c r="D5227" s="28" t="s">
        <v>538</v>
      </c>
      <c r="E5227" s="29" t="s">
        <v>309</v>
      </c>
      <c r="F5227" s="29" t="s">
        <v>564</v>
      </c>
      <c r="G5227" s="25" t="s">
        <v>6921</v>
      </c>
      <c r="H5227" s="26">
        <v>-0.21012500000000001</v>
      </c>
      <c r="I5227" s="26"/>
      <c r="J5227" s="26" t="s">
        <v>512</v>
      </c>
      <c r="K5227" s="25" t="s">
        <v>513</v>
      </c>
    </row>
    <row r="5228" spans="1:11" ht="25.5" x14ac:dyDescent="0.25">
      <c r="A5228" s="22">
        <v>2026</v>
      </c>
      <c r="B5228" s="28" t="s">
        <v>222</v>
      </c>
      <c r="C5228" s="28" t="s">
        <v>97</v>
      </c>
      <c r="D5228" s="28" t="s">
        <v>538</v>
      </c>
      <c r="E5228" s="29" t="s">
        <v>309</v>
      </c>
      <c r="F5228" s="29" t="s">
        <v>564</v>
      </c>
      <c r="G5228" s="25" t="s">
        <v>6922</v>
      </c>
      <c r="H5228" s="26">
        <v>-0.12584999999999999</v>
      </c>
      <c r="I5228" s="26"/>
      <c r="J5228" s="26" t="s">
        <v>512</v>
      </c>
      <c r="K5228" s="25" t="s">
        <v>513</v>
      </c>
    </row>
    <row r="5229" spans="1:11" ht="25.5" x14ac:dyDescent="0.25">
      <c r="A5229" s="22">
        <v>2026</v>
      </c>
      <c r="B5229" s="28" t="s">
        <v>222</v>
      </c>
      <c r="C5229" s="28" t="s">
        <v>97</v>
      </c>
      <c r="D5229" s="28" t="s">
        <v>538</v>
      </c>
      <c r="E5229" s="29" t="s">
        <v>309</v>
      </c>
      <c r="F5229" s="29" t="s">
        <v>564</v>
      </c>
      <c r="G5229" s="25" t="s">
        <v>6923</v>
      </c>
      <c r="H5229" s="26">
        <v>-0.1477</v>
      </c>
      <c r="I5229" s="26"/>
      <c r="J5229" s="26" t="s">
        <v>512</v>
      </c>
      <c r="K5229" s="25" t="s">
        <v>513</v>
      </c>
    </row>
    <row r="5230" spans="1:11" ht="25.5" x14ac:dyDescent="0.25">
      <c r="A5230" s="22">
        <v>2026</v>
      </c>
      <c r="B5230" s="28" t="s">
        <v>222</v>
      </c>
      <c r="C5230" s="28" t="s">
        <v>97</v>
      </c>
      <c r="D5230" s="28" t="s">
        <v>538</v>
      </c>
      <c r="E5230" s="29" t="s">
        <v>309</v>
      </c>
      <c r="F5230" s="29" t="s">
        <v>564</v>
      </c>
      <c r="G5230" s="25" t="s">
        <v>6923</v>
      </c>
      <c r="H5230" s="26">
        <v>-0.1477</v>
      </c>
      <c r="I5230" s="26"/>
      <c r="J5230" s="26" t="s">
        <v>512</v>
      </c>
      <c r="K5230" s="25" t="s">
        <v>513</v>
      </c>
    </row>
    <row r="5231" spans="1:11" ht="25.5" x14ac:dyDescent="0.25">
      <c r="A5231" s="22">
        <v>2026</v>
      </c>
      <c r="B5231" s="28" t="s">
        <v>222</v>
      </c>
      <c r="C5231" s="28" t="s">
        <v>97</v>
      </c>
      <c r="D5231" s="28" t="s">
        <v>538</v>
      </c>
      <c r="E5231" s="29" t="s">
        <v>309</v>
      </c>
      <c r="F5231" s="29" t="s">
        <v>564</v>
      </c>
      <c r="G5231" s="25" t="s">
        <v>6924</v>
      </c>
      <c r="H5231" s="26">
        <v>-0.16800000000000001</v>
      </c>
      <c r="I5231" s="26"/>
      <c r="J5231" s="26" t="s">
        <v>512</v>
      </c>
      <c r="K5231" s="25" t="s">
        <v>513</v>
      </c>
    </row>
    <row r="5232" spans="1:11" ht="25.5" x14ac:dyDescent="0.25">
      <c r="A5232" s="22">
        <v>2026</v>
      </c>
      <c r="B5232" s="28" t="s">
        <v>222</v>
      </c>
      <c r="C5232" s="28" t="s">
        <v>97</v>
      </c>
      <c r="D5232" s="28" t="s">
        <v>538</v>
      </c>
      <c r="E5232" s="29" t="s">
        <v>309</v>
      </c>
      <c r="F5232" s="29" t="s">
        <v>564</v>
      </c>
      <c r="G5232" s="25" t="s">
        <v>6925</v>
      </c>
      <c r="H5232" s="26">
        <v>-0.25319999999999998</v>
      </c>
      <c r="I5232" s="26"/>
      <c r="J5232" s="26" t="s">
        <v>512</v>
      </c>
      <c r="K5232" s="25" t="s">
        <v>513</v>
      </c>
    </row>
    <row r="5233" spans="1:11" ht="25.5" x14ac:dyDescent="0.25">
      <c r="A5233" s="22">
        <v>2026</v>
      </c>
      <c r="B5233" s="28" t="s">
        <v>222</v>
      </c>
      <c r="C5233" s="28" t="s">
        <v>97</v>
      </c>
      <c r="D5233" s="28" t="s">
        <v>538</v>
      </c>
      <c r="E5233" s="29" t="s">
        <v>309</v>
      </c>
      <c r="F5233" s="29" t="s">
        <v>564</v>
      </c>
      <c r="G5233" s="25" t="s">
        <v>6926</v>
      </c>
      <c r="H5233" s="26">
        <v>-0.37957409999999997</v>
      </c>
      <c r="I5233" s="26"/>
      <c r="J5233" s="26" t="s">
        <v>512</v>
      </c>
      <c r="K5233" s="25" t="s">
        <v>513</v>
      </c>
    </row>
    <row r="5234" spans="1:11" ht="25.5" x14ac:dyDescent="0.25">
      <c r="A5234" s="22">
        <v>2026</v>
      </c>
      <c r="B5234" s="28" t="s">
        <v>222</v>
      </c>
      <c r="C5234" s="28" t="s">
        <v>97</v>
      </c>
      <c r="D5234" s="28" t="s">
        <v>538</v>
      </c>
      <c r="E5234" s="29" t="s">
        <v>309</v>
      </c>
      <c r="F5234" s="29" t="s">
        <v>564</v>
      </c>
      <c r="G5234" s="25" t="s">
        <v>6927</v>
      </c>
      <c r="H5234" s="26">
        <v>-0.21</v>
      </c>
      <c r="I5234" s="26"/>
      <c r="J5234" s="26" t="s">
        <v>512</v>
      </c>
      <c r="K5234" s="25" t="s">
        <v>513</v>
      </c>
    </row>
    <row r="5235" spans="1:11" ht="25.5" x14ac:dyDescent="0.25">
      <c r="A5235" s="22">
        <v>2026</v>
      </c>
      <c r="B5235" s="28" t="s">
        <v>222</v>
      </c>
      <c r="C5235" s="28" t="s">
        <v>97</v>
      </c>
      <c r="D5235" s="28" t="s">
        <v>538</v>
      </c>
      <c r="E5235" s="29" t="s">
        <v>309</v>
      </c>
      <c r="F5235" s="29" t="s">
        <v>564</v>
      </c>
      <c r="G5235" s="25" t="s">
        <v>6922</v>
      </c>
      <c r="H5235" s="26">
        <v>-0.12584999999999999</v>
      </c>
      <c r="I5235" s="26"/>
      <c r="J5235" s="26" t="s">
        <v>512</v>
      </c>
      <c r="K5235" s="25" t="s">
        <v>513</v>
      </c>
    </row>
    <row r="5236" spans="1:11" ht="25.5" x14ac:dyDescent="0.25">
      <c r="A5236" s="22">
        <v>2026</v>
      </c>
      <c r="B5236" s="28" t="s">
        <v>222</v>
      </c>
      <c r="C5236" s="28" t="s">
        <v>97</v>
      </c>
      <c r="D5236" s="28" t="s">
        <v>538</v>
      </c>
      <c r="E5236" s="29" t="s">
        <v>309</v>
      </c>
      <c r="F5236" s="29" t="s">
        <v>564</v>
      </c>
      <c r="G5236" s="25" t="s">
        <v>6928</v>
      </c>
      <c r="H5236" s="26">
        <v>-0.18787499999999999</v>
      </c>
      <c r="I5236" s="26"/>
      <c r="J5236" s="26" t="s">
        <v>512</v>
      </c>
      <c r="K5236" s="25" t="s">
        <v>513</v>
      </c>
    </row>
    <row r="5237" spans="1:11" ht="25.5" x14ac:dyDescent="0.25">
      <c r="A5237" s="22">
        <v>2026</v>
      </c>
      <c r="B5237" s="28" t="s">
        <v>222</v>
      </c>
      <c r="C5237" s="28" t="s">
        <v>97</v>
      </c>
      <c r="D5237" s="28" t="s">
        <v>538</v>
      </c>
      <c r="E5237" s="29" t="s">
        <v>309</v>
      </c>
      <c r="F5237" s="29" t="s">
        <v>564</v>
      </c>
      <c r="G5237" s="25" t="s">
        <v>6929</v>
      </c>
      <c r="H5237" s="26">
        <v>-0.14699999999999999</v>
      </c>
      <c r="I5237" s="26"/>
      <c r="J5237" s="26" t="s">
        <v>512</v>
      </c>
      <c r="K5237" s="25" t="s">
        <v>513</v>
      </c>
    </row>
    <row r="5238" spans="1:11" ht="25.5" x14ac:dyDescent="0.25">
      <c r="A5238" s="22">
        <v>2026</v>
      </c>
      <c r="B5238" s="28" t="s">
        <v>222</v>
      </c>
      <c r="C5238" s="28" t="s">
        <v>97</v>
      </c>
      <c r="D5238" s="28" t="s">
        <v>538</v>
      </c>
      <c r="E5238" s="29" t="s">
        <v>309</v>
      </c>
      <c r="F5238" s="29" t="s">
        <v>564</v>
      </c>
      <c r="G5238" s="25" t="s">
        <v>6930</v>
      </c>
      <c r="H5238" s="26">
        <v>-0.18970379999999998</v>
      </c>
      <c r="I5238" s="26"/>
      <c r="J5238" s="26" t="s">
        <v>512</v>
      </c>
      <c r="K5238" s="25" t="s">
        <v>513</v>
      </c>
    </row>
    <row r="5239" spans="1:11" ht="25.5" x14ac:dyDescent="0.25">
      <c r="A5239" s="22">
        <v>2026</v>
      </c>
      <c r="B5239" s="28" t="s">
        <v>222</v>
      </c>
      <c r="C5239" s="28" t="s">
        <v>97</v>
      </c>
      <c r="D5239" s="28" t="s">
        <v>538</v>
      </c>
      <c r="E5239" s="29" t="s">
        <v>309</v>
      </c>
      <c r="F5239" s="29" t="s">
        <v>564</v>
      </c>
      <c r="G5239" s="25" t="s">
        <v>6931</v>
      </c>
      <c r="H5239" s="26">
        <v>-0.17135039999999999</v>
      </c>
      <c r="I5239" s="26"/>
      <c r="J5239" s="26" t="s">
        <v>512</v>
      </c>
      <c r="K5239" s="25" t="s">
        <v>513</v>
      </c>
    </row>
    <row r="5240" spans="1:11" ht="25.5" x14ac:dyDescent="0.25">
      <c r="A5240" s="22">
        <v>2026</v>
      </c>
      <c r="B5240" s="28" t="s">
        <v>222</v>
      </c>
      <c r="C5240" s="28" t="s">
        <v>97</v>
      </c>
      <c r="D5240" s="28" t="s">
        <v>538</v>
      </c>
      <c r="E5240" s="29" t="s">
        <v>309</v>
      </c>
      <c r="F5240" s="29" t="s">
        <v>564</v>
      </c>
      <c r="G5240" s="25" t="s">
        <v>6932</v>
      </c>
      <c r="H5240" s="26">
        <v>-8.5650000000000004E-2</v>
      </c>
      <c r="I5240" s="26"/>
      <c r="J5240" s="26" t="s">
        <v>512</v>
      </c>
      <c r="K5240" s="25" t="s">
        <v>513</v>
      </c>
    </row>
    <row r="5241" spans="1:11" ht="25.5" x14ac:dyDescent="0.25">
      <c r="A5241" s="22">
        <v>2026</v>
      </c>
      <c r="B5241" s="28" t="s">
        <v>222</v>
      </c>
      <c r="C5241" s="28" t="s">
        <v>97</v>
      </c>
      <c r="D5241" s="28" t="s">
        <v>538</v>
      </c>
      <c r="E5241" s="29" t="s">
        <v>309</v>
      </c>
      <c r="F5241" s="29" t="s">
        <v>564</v>
      </c>
      <c r="G5241" s="25" t="s">
        <v>6933</v>
      </c>
      <c r="H5241" s="26">
        <v>-8.5603600000000002E-2</v>
      </c>
      <c r="I5241" s="26"/>
      <c r="J5241" s="26" t="s">
        <v>512</v>
      </c>
      <c r="K5241" s="25" t="s">
        <v>513</v>
      </c>
    </row>
    <row r="5242" spans="1:11" ht="25.5" x14ac:dyDescent="0.25">
      <c r="A5242" s="22">
        <v>2026</v>
      </c>
      <c r="B5242" s="28" t="s">
        <v>222</v>
      </c>
      <c r="C5242" s="28" t="s">
        <v>97</v>
      </c>
      <c r="D5242" s="28" t="s">
        <v>538</v>
      </c>
      <c r="E5242" s="29" t="s">
        <v>309</v>
      </c>
      <c r="F5242" s="29" t="s">
        <v>564</v>
      </c>
      <c r="G5242" s="25" t="s">
        <v>6934</v>
      </c>
      <c r="H5242" s="26">
        <v>-4.2649199999999998E-2</v>
      </c>
      <c r="I5242" s="26"/>
      <c r="J5242" s="26" t="s">
        <v>512</v>
      </c>
      <c r="K5242" s="25" t="s">
        <v>513</v>
      </c>
    </row>
    <row r="5243" spans="1:11" ht="25.5" x14ac:dyDescent="0.25">
      <c r="A5243" s="22">
        <v>2026</v>
      </c>
      <c r="B5243" s="28" t="s">
        <v>222</v>
      </c>
      <c r="C5243" s="28" t="s">
        <v>97</v>
      </c>
      <c r="D5243" s="28" t="s">
        <v>1794</v>
      </c>
      <c r="E5243" s="29" t="s">
        <v>1803</v>
      </c>
      <c r="F5243" s="29" t="s">
        <v>4596</v>
      </c>
      <c r="G5243" s="25" t="s">
        <v>6935</v>
      </c>
      <c r="H5243" s="26">
        <v>-0.17449999999999999</v>
      </c>
      <c r="I5243" s="26"/>
      <c r="J5243" s="26" t="s">
        <v>512</v>
      </c>
      <c r="K5243" s="25" t="s">
        <v>515</v>
      </c>
    </row>
    <row r="5244" spans="1:11" ht="25.5" x14ac:dyDescent="0.25">
      <c r="A5244" s="22">
        <v>2026</v>
      </c>
      <c r="B5244" s="28" t="s">
        <v>222</v>
      </c>
      <c r="C5244" s="28" t="s">
        <v>97</v>
      </c>
      <c r="D5244" s="28" t="s">
        <v>1794</v>
      </c>
      <c r="E5244" s="29" t="s">
        <v>1803</v>
      </c>
      <c r="F5244" s="29" t="s">
        <v>4596</v>
      </c>
      <c r="G5244" s="25" t="s">
        <v>6936</v>
      </c>
      <c r="H5244" s="26">
        <v>-0.17549999999999999</v>
      </c>
      <c r="I5244" s="26"/>
      <c r="J5244" s="26" t="s">
        <v>512</v>
      </c>
      <c r="K5244" s="25" t="s">
        <v>515</v>
      </c>
    </row>
    <row r="5245" spans="1:11" ht="25.5" x14ac:dyDescent="0.25">
      <c r="A5245" s="22">
        <v>2026</v>
      </c>
      <c r="B5245" s="28" t="s">
        <v>222</v>
      </c>
      <c r="C5245" s="28" t="s">
        <v>97</v>
      </c>
      <c r="D5245" s="28" t="s">
        <v>1794</v>
      </c>
      <c r="E5245" s="29" t="s">
        <v>1803</v>
      </c>
      <c r="F5245" s="29" t="s">
        <v>4596</v>
      </c>
      <c r="G5245" s="25" t="s">
        <v>6937</v>
      </c>
      <c r="H5245" s="26">
        <v>-0.52949999999999997</v>
      </c>
      <c r="I5245" s="26"/>
      <c r="J5245" s="26" t="s">
        <v>512</v>
      </c>
      <c r="K5245" s="25" t="s">
        <v>515</v>
      </c>
    </row>
    <row r="5246" spans="1:11" ht="25.5" x14ac:dyDescent="0.25">
      <c r="A5246" s="22">
        <v>2026</v>
      </c>
      <c r="B5246" s="28" t="s">
        <v>222</v>
      </c>
      <c r="C5246" s="28" t="s">
        <v>97</v>
      </c>
      <c r="D5246" s="28" t="s">
        <v>1794</v>
      </c>
      <c r="E5246" s="29" t="s">
        <v>1803</v>
      </c>
      <c r="F5246" s="29" t="s">
        <v>4596</v>
      </c>
      <c r="G5246" s="25" t="s">
        <v>6938</v>
      </c>
      <c r="H5246" s="26">
        <v>-0.17749999999999999</v>
      </c>
      <c r="I5246" s="26"/>
      <c r="J5246" s="26" t="s">
        <v>512</v>
      </c>
      <c r="K5246" s="25" t="s">
        <v>515</v>
      </c>
    </row>
    <row r="5247" spans="1:11" ht="25.5" x14ac:dyDescent="0.25">
      <c r="A5247" s="22">
        <v>2026</v>
      </c>
      <c r="B5247" s="28" t="s">
        <v>222</v>
      </c>
      <c r="C5247" s="28" t="s">
        <v>97</v>
      </c>
      <c r="D5247" s="28" t="s">
        <v>1794</v>
      </c>
      <c r="E5247" s="29" t="s">
        <v>1803</v>
      </c>
      <c r="F5247" s="29" t="s">
        <v>4596</v>
      </c>
      <c r="G5247" s="25" t="s">
        <v>6939</v>
      </c>
      <c r="H5247" s="26">
        <v>-0.53249999999999997</v>
      </c>
      <c r="I5247" s="26"/>
      <c r="J5247" s="26" t="s">
        <v>512</v>
      </c>
      <c r="K5247" s="25" t="s">
        <v>515</v>
      </c>
    </row>
    <row r="5248" spans="1:11" ht="25.5" x14ac:dyDescent="0.25">
      <c r="A5248" s="22">
        <v>2026</v>
      </c>
      <c r="B5248" s="28" t="s">
        <v>222</v>
      </c>
      <c r="C5248" s="28" t="s">
        <v>97</v>
      </c>
      <c r="D5248" s="28" t="s">
        <v>1794</v>
      </c>
      <c r="E5248" s="29" t="s">
        <v>1803</v>
      </c>
      <c r="F5248" s="29" t="s">
        <v>4596</v>
      </c>
      <c r="G5248" s="25" t="s">
        <v>6940</v>
      </c>
      <c r="H5248" s="26">
        <v>-0.26624999999999999</v>
      </c>
      <c r="I5248" s="26"/>
      <c r="J5248" s="26" t="s">
        <v>512</v>
      </c>
      <c r="K5248" s="25" t="s">
        <v>515</v>
      </c>
    </row>
    <row r="5249" spans="1:11" ht="25.5" x14ac:dyDescent="0.25">
      <c r="A5249" s="22">
        <v>2026</v>
      </c>
      <c r="B5249" s="28" t="s">
        <v>222</v>
      </c>
      <c r="C5249" s="28" t="s">
        <v>97</v>
      </c>
      <c r="D5249" s="28" t="s">
        <v>1794</v>
      </c>
      <c r="E5249" s="29" t="s">
        <v>1803</v>
      </c>
      <c r="F5249" s="29" t="s">
        <v>4596</v>
      </c>
      <c r="G5249" s="25" t="s">
        <v>6938</v>
      </c>
      <c r="H5249" s="26">
        <v>-0.17749999999999999</v>
      </c>
      <c r="I5249" s="26"/>
      <c r="J5249" s="26" t="s">
        <v>512</v>
      </c>
      <c r="K5249" s="25" t="s">
        <v>515</v>
      </c>
    </row>
    <row r="5250" spans="1:11" ht="25.5" x14ac:dyDescent="0.25">
      <c r="A5250" s="22">
        <v>2026</v>
      </c>
      <c r="B5250" s="28" t="s">
        <v>222</v>
      </c>
      <c r="C5250" s="28" t="s">
        <v>97</v>
      </c>
      <c r="D5250" s="28" t="s">
        <v>1737</v>
      </c>
      <c r="E5250" s="29" t="s">
        <v>569</v>
      </c>
      <c r="F5250" s="29" t="s">
        <v>353</v>
      </c>
      <c r="G5250" s="25" t="s">
        <v>6941</v>
      </c>
      <c r="H5250" s="26">
        <v>-7.7292609999999998E-2</v>
      </c>
      <c r="I5250" s="26"/>
      <c r="J5250" s="26" t="s">
        <v>512</v>
      </c>
      <c r="K5250" s="25" t="s">
        <v>513</v>
      </c>
    </row>
    <row r="5251" spans="1:11" ht="25.5" x14ac:dyDescent="0.25">
      <c r="A5251" s="22">
        <v>2026</v>
      </c>
      <c r="B5251" s="28" t="s">
        <v>222</v>
      </c>
      <c r="C5251" s="28" t="s">
        <v>97</v>
      </c>
      <c r="D5251" s="28" t="s">
        <v>1737</v>
      </c>
      <c r="E5251" s="29" t="s">
        <v>569</v>
      </c>
      <c r="F5251" s="29" t="s">
        <v>353</v>
      </c>
      <c r="G5251" s="25" t="s">
        <v>6942</v>
      </c>
      <c r="H5251" s="26">
        <v>-0.13407439999999998</v>
      </c>
      <c r="I5251" s="26"/>
      <c r="J5251" s="26" t="s">
        <v>512</v>
      </c>
      <c r="K5251" s="25" t="s">
        <v>513</v>
      </c>
    </row>
    <row r="5252" spans="1:11" ht="25.5" x14ac:dyDescent="0.25">
      <c r="A5252" s="22">
        <v>2026</v>
      </c>
      <c r="B5252" s="28" t="s">
        <v>222</v>
      </c>
      <c r="C5252" s="28" t="s">
        <v>97</v>
      </c>
      <c r="D5252" s="28" t="s">
        <v>1737</v>
      </c>
      <c r="E5252" s="29" t="s">
        <v>569</v>
      </c>
      <c r="F5252" s="29" t="s">
        <v>353</v>
      </c>
      <c r="G5252" s="25" t="s">
        <v>6943</v>
      </c>
      <c r="H5252" s="26">
        <v>-0.1179486</v>
      </c>
      <c r="I5252" s="26"/>
      <c r="J5252" s="26" t="s">
        <v>512</v>
      </c>
      <c r="K5252" s="25" t="s">
        <v>513</v>
      </c>
    </row>
    <row r="5253" spans="1:11" ht="25.5" x14ac:dyDescent="0.25">
      <c r="A5253" s="22">
        <v>2026</v>
      </c>
      <c r="B5253" s="28" t="s">
        <v>222</v>
      </c>
      <c r="C5253" s="28" t="s">
        <v>97</v>
      </c>
      <c r="D5253" s="28" t="s">
        <v>1737</v>
      </c>
      <c r="E5253" s="29" t="s">
        <v>569</v>
      </c>
      <c r="F5253" s="29" t="s">
        <v>353</v>
      </c>
      <c r="G5253" s="25" t="s">
        <v>6944</v>
      </c>
      <c r="H5253" s="26">
        <v>-7.85507607E-2</v>
      </c>
      <c r="I5253" s="26"/>
      <c r="J5253" s="26" t="s">
        <v>512</v>
      </c>
      <c r="K5253" s="25" t="s">
        <v>513</v>
      </c>
    </row>
    <row r="5254" spans="1:11" ht="25.5" x14ac:dyDescent="0.25">
      <c r="A5254" s="22">
        <v>2026</v>
      </c>
      <c r="B5254" s="28" t="s">
        <v>222</v>
      </c>
      <c r="C5254" s="28" t="s">
        <v>97</v>
      </c>
      <c r="D5254" s="28" t="s">
        <v>1737</v>
      </c>
      <c r="E5254" s="29" t="s">
        <v>569</v>
      </c>
      <c r="F5254" s="29" t="s">
        <v>353</v>
      </c>
      <c r="G5254" s="25" t="s">
        <v>6945</v>
      </c>
      <c r="H5254" s="26">
        <v>-6.7599999999999993E-2</v>
      </c>
      <c r="I5254" s="26"/>
      <c r="J5254" s="26" t="s">
        <v>512</v>
      </c>
      <c r="K5254" s="25" t="s">
        <v>513</v>
      </c>
    </row>
    <row r="5255" spans="1:11" ht="25.5" x14ac:dyDescent="0.25">
      <c r="A5255" s="22">
        <v>2026</v>
      </c>
      <c r="B5255" s="28" t="s">
        <v>222</v>
      </c>
      <c r="C5255" s="28" t="s">
        <v>97</v>
      </c>
      <c r="D5255" s="28" t="s">
        <v>1737</v>
      </c>
      <c r="E5255" s="29" t="s">
        <v>569</v>
      </c>
      <c r="F5255" s="29" t="s">
        <v>353</v>
      </c>
      <c r="G5255" s="25" t="s">
        <v>6946</v>
      </c>
      <c r="H5255" s="26">
        <v>-3.5012480399999997E-2</v>
      </c>
      <c r="I5255" s="26"/>
      <c r="J5255" s="26" t="s">
        <v>512</v>
      </c>
      <c r="K5255" s="25" t="s">
        <v>513</v>
      </c>
    </row>
    <row r="5256" spans="1:11" ht="25.5" x14ac:dyDescent="0.25">
      <c r="A5256" s="22">
        <v>2026</v>
      </c>
      <c r="B5256" s="28" t="s">
        <v>222</v>
      </c>
      <c r="C5256" s="28" t="s">
        <v>97</v>
      </c>
      <c r="D5256" s="28" t="s">
        <v>1737</v>
      </c>
      <c r="E5256" s="29" t="s">
        <v>569</v>
      </c>
      <c r="F5256" s="29" t="s">
        <v>353</v>
      </c>
      <c r="G5256" s="25" t="s">
        <v>6947</v>
      </c>
      <c r="H5256" s="26">
        <v>-4.6335870000000001E-2</v>
      </c>
      <c r="I5256" s="26"/>
      <c r="J5256" s="26" t="s">
        <v>512</v>
      </c>
      <c r="K5256" s="25" t="s">
        <v>513</v>
      </c>
    </row>
    <row r="5257" spans="1:11" ht="25.5" x14ac:dyDescent="0.25">
      <c r="A5257" s="22">
        <v>2026</v>
      </c>
      <c r="B5257" s="28" t="s">
        <v>222</v>
      </c>
      <c r="C5257" s="28" t="s">
        <v>97</v>
      </c>
      <c r="D5257" s="28" t="s">
        <v>1737</v>
      </c>
      <c r="E5257" s="29" t="s">
        <v>569</v>
      </c>
      <c r="F5257" s="29" t="s">
        <v>353</v>
      </c>
      <c r="G5257" s="25" t="s">
        <v>6948</v>
      </c>
      <c r="H5257" s="26">
        <v>-0.13155634845</v>
      </c>
      <c r="I5257" s="26"/>
      <c r="J5257" s="26" t="s">
        <v>512</v>
      </c>
      <c r="K5257" s="25" t="s">
        <v>513</v>
      </c>
    </row>
    <row r="5258" spans="1:11" ht="25.5" x14ac:dyDescent="0.25">
      <c r="A5258" s="22">
        <v>2026</v>
      </c>
      <c r="B5258" s="28" t="s">
        <v>222</v>
      </c>
      <c r="C5258" s="28" t="s">
        <v>97</v>
      </c>
      <c r="D5258" s="28" t="s">
        <v>1737</v>
      </c>
      <c r="E5258" s="29" t="s">
        <v>569</v>
      </c>
      <c r="F5258" s="29" t="s">
        <v>353</v>
      </c>
      <c r="G5258" s="25" t="s">
        <v>6949</v>
      </c>
      <c r="H5258" s="26">
        <v>-3.0561825000000001E-2</v>
      </c>
      <c r="I5258" s="26"/>
      <c r="J5258" s="26" t="s">
        <v>512</v>
      </c>
      <c r="K5258" s="25" t="s">
        <v>513</v>
      </c>
    </row>
    <row r="5259" spans="1:11" ht="25.5" x14ac:dyDescent="0.25">
      <c r="A5259" s="22">
        <v>2026</v>
      </c>
      <c r="B5259" s="28" t="s">
        <v>222</v>
      </c>
      <c r="C5259" s="28" t="s">
        <v>97</v>
      </c>
      <c r="D5259" s="28" t="s">
        <v>1738</v>
      </c>
      <c r="E5259" s="29" t="s">
        <v>309</v>
      </c>
      <c r="F5259" s="29" t="s">
        <v>386</v>
      </c>
      <c r="G5259" s="25" t="s">
        <v>6950</v>
      </c>
      <c r="H5259" s="26">
        <v>-1.4985191776</v>
      </c>
      <c r="I5259" s="26"/>
      <c r="J5259" s="26" t="s">
        <v>512</v>
      </c>
      <c r="K5259" s="25" t="s">
        <v>513</v>
      </c>
    </row>
    <row r="5260" spans="1:11" ht="25.5" x14ac:dyDescent="0.25">
      <c r="A5260" s="22">
        <v>2026</v>
      </c>
      <c r="B5260" s="28" t="s">
        <v>222</v>
      </c>
      <c r="C5260" s="28" t="s">
        <v>97</v>
      </c>
      <c r="D5260" s="28" t="s">
        <v>1738</v>
      </c>
      <c r="E5260" s="29" t="s">
        <v>309</v>
      </c>
      <c r="F5260" s="29" t="s">
        <v>386</v>
      </c>
      <c r="G5260" s="25" t="s">
        <v>6951</v>
      </c>
      <c r="H5260" s="26">
        <v>-0.39150000000000001</v>
      </c>
      <c r="I5260" s="26"/>
      <c r="J5260" s="26" t="s">
        <v>512</v>
      </c>
      <c r="K5260" s="25" t="s">
        <v>513</v>
      </c>
    </row>
    <row r="5261" spans="1:11" ht="25.5" x14ac:dyDescent="0.25">
      <c r="A5261" s="22">
        <v>2026</v>
      </c>
      <c r="B5261" s="28" t="s">
        <v>222</v>
      </c>
      <c r="C5261" s="28" t="s">
        <v>97</v>
      </c>
      <c r="D5261" s="28" t="s">
        <v>1738</v>
      </c>
      <c r="E5261" s="29" t="s">
        <v>309</v>
      </c>
      <c r="F5261" s="29" t="s">
        <v>386</v>
      </c>
      <c r="G5261" s="25" t="s">
        <v>6952</v>
      </c>
      <c r="H5261" s="26">
        <v>-2.0017499999999999</v>
      </c>
      <c r="I5261" s="26"/>
      <c r="J5261" s="26" t="s">
        <v>512</v>
      </c>
      <c r="K5261" s="25" t="s">
        <v>513</v>
      </c>
    </row>
    <row r="5262" spans="1:11" ht="25.5" x14ac:dyDescent="0.25">
      <c r="A5262" s="22">
        <v>2026</v>
      </c>
      <c r="B5262" s="28" t="s">
        <v>222</v>
      </c>
      <c r="C5262" s="28" t="s">
        <v>97</v>
      </c>
      <c r="D5262" s="28" t="s">
        <v>1738</v>
      </c>
      <c r="E5262" s="29" t="s">
        <v>309</v>
      </c>
      <c r="F5262" s="29" t="s">
        <v>386</v>
      </c>
      <c r="G5262" s="25" t="s">
        <v>6953</v>
      </c>
      <c r="H5262" s="26">
        <v>-1.2191271420000001</v>
      </c>
      <c r="I5262" s="26"/>
      <c r="J5262" s="26" t="s">
        <v>512</v>
      </c>
      <c r="K5262" s="25" t="s">
        <v>513</v>
      </c>
    </row>
    <row r="5263" spans="1:11" ht="25.5" x14ac:dyDescent="0.25">
      <c r="A5263" s="22">
        <v>2026</v>
      </c>
      <c r="B5263" s="28" t="s">
        <v>222</v>
      </c>
      <c r="C5263" s="28" t="s">
        <v>97</v>
      </c>
      <c r="D5263" s="28" t="s">
        <v>1738</v>
      </c>
      <c r="E5263" s="29" t="s">
        <v>309</v>
      </c>
      <c r="F5263" s="29" t="s">
        <v>386</v>
      </c>
      <c r="G5263" s="25" t="s">
        <v>6954</v>
      </c>
      <c r="H5263" s="26">
        <v>-1.990875</v>
      </c>
      <c r="I5263" s="26"/>
      <c r="J5263" s="26" t="s">
        <v>512</v>
      </c>
      <c r="K5263" s="25" t="s">
        <v>513</v>
      </c>
    </row>
    <row r="5264" spans="1:11" ht="25.5" x14ac:dyDescent="0.25">
      <c r="A5264" s="22">
        <v>2026</v>
      </c>
      <c r="B5264" s="28" t="s">
        <v>222</v>
      </c>
      <c r="C5264" s="28" t="s">
        <v>97</v>
      </c>
      <c r="D5264" s="28" t="s">
        <v>1738</v>
      </c>
      <c r="E5264" s="29" t="s">
        <v>309</v>
      </c>
      <c r="F5264" s="29" t="s">
        <v>386</v>
      </c>
      <c r="G5264" s="25" t="s">
        <v>6955</v>
      </c>
      <c r="H5264" s="26">
        <v>-1.480996384</v>
      </c>
      <c r="I5264" s="26"/>
      <c r="J5264" s="26" t="s">
        <v>512</v>
      </c>
      <c r="K5264" s="25" t="s">
        <v>513</v>
      </c>
    </row>
    <row r="5265" spans="1:11" ht="25.5" x14ac:dyDescent="0.25">
      <c r="A5265" s="22">
        <v>2026</v>
      </c>
      <c r="B5265" s="28" t="s">
        <v>222</v>
      </c>
      <c r="C5265" s="28" t="s">
        <v>97</v>
      </c>
      <c r="D5265" s="28" t="s">
        <v>1738</v>
      </c>
      <c r="E5265" s="29" t="s">
        <v>309</v>
      </c>
      <c r="F5265" s="29" t="s">
        <v>386</v>
      </c>
      <c r="G5265" s="25" t="s">
        <v>6956</v>
      </c>
      <c r="H5265" s="26">
        <v>-0.46586899999999998</v>
      </c>
      <c r="I5265" s="26"/>
      <c r="J5265" s="26" t="s">
        <v>512</v>
      </c>
      <c r="K5265" s="25" t="s">
        <v>513</v>
      </c>
    </row>
    <row r="5266" spans="1:11" ht="25.5" x14ac:dyDescent="0.25">
      <c r="A5266" s="22">
        <v>2026</v>
      </c>
      <c r="B5266" s="28" t="s">
        <v>222</v>
      </c>
      <c r="C5266" s="28" t="s">
        <v>97</v>
      </c>
      <c r="D5266" s="28" t="s">
        <v>1738</v>
      </c>
      <c r="E5266" s="29" t="s">
        <v>309</v>
      </c>
      <c r="F5266" s="29" t="s">
        <v>386</v>
      </c>
      <c r="G5266" s="25" t="s">
        <v>6957</v>
      </c>
      <c r="H5266" s="26">
        <v>-1.1348001805000001</v>
      </c>
      <c r="I5266" s="26"/>
      <c r="J5266" s="26" t="s">
        <v>512</v>
      </c>
      <c r="K5266" s="25" t="s">
        <v>513</v>
      </c>
    </row>
    <row r="5267" spans="1:11" ht="25.5" x14ac:dyDescent="0.25">
      <c r="A5267" s="22">
        <v>2026</v>
      </c>
      <c r="B5267" s="28" t="s">
        <v>222</v>
      </c>
      <c r="C5267" s="28" t="s">
        <v>97</v>
      </c>
      <c r="D5267" s="28" t="s">
        <v>1738</v>
      </c>
      <c r="E5267" s="29" t="s">
        <v>309</v>
      </c>
      <c r="F5267" s="29" t="s">
        <v>386</v>
      </c>
      <c r="G5267" s="25" t="s">
        <v>6958</v>
      </c>
      <c r="H5267" s="26">
        <v>-1.5407956554</v>
      </c>
      <c r="I5267" s="26"/>
      <c r="J5267" s="26" t="s">
        <v>512</v>
      </c>
      <c r="K5267" s="25" t="s">
        <v>513</v>
      </c>
    </row>
    <row r="5268" spans="1:11" ht="25.5" x14ac:dyDescent="0.25">
      <c r="A5268" s="22">
        <v>2026</v>
      </c>
      <c r="B5268" s="28" t="s">
        <v>222</v>
      </c>
      <c r="C5268" s="28" t="s">
        <v>97</v>
      </c>
      <c r="D5268" s="28" t="s">
        <v>1738</v>
      </c>
      <c r="E5268" s="29" t="s">
        <v>309</v>
      </c>
      <c r="F5268" s="29" t="s">
        <v>386</v>
      </c>
      <c r="G5268" s="25" t="s">
        <v>6959</v>
      </c>
      <c r="H5268" s="26">
        <v>-1.9196249999999999</v>
      </c>
      <c r="I5268" s="26"/>
      <c r="J5268" s="26" t="s">
        <v>512</v>
      </c>
      <c r="K5268" s="25" t="s">
        <v>513</v>
      </c>
    </row>
    <row r="5269" spans="1:11" ht="25.5" x14ac:dyDescent="0.25">
      <c r="A5269" s="22">
        <v>2026</v>
      </c>
      <c r="B5269" s="28" t="s">
        <v>222</v>
      </c>
      <c r="C5269" s="28" t="s">
        <v>97</v>
      </c>
      <c r="D5269" s="28" t="s">
        <v>1738</v>
      </c>
      <c r="E5269" s="29" t="s">
        <v>309</v>
      </c>
      <c r="F5269" s="29" t="s">
        <v>386</v>
      </c>
      <c r="G5269" s="25" t="s">
        <v>6960</v>
      </c>
      <c r="H5269" s="26">
        <v>-1.9259999999999999</v>
      </c>
      <c r="I5269" s="26"/>
      <c r="J5269" s="26" t="s">
        <v>512</v>
      </c>
      <c r="K5269" s="25" t="s">
        <v>513</v>
      </c>
    </row>
    <row r="5270" spans="1:11" ht="25.5" x14ac:dyDescent="0.25">
      <c r="A5270" s="22">
        <v>2026</v>
      </c>
      <c r="B5270" s="28" t="s">
        <v>222</v>
      </c>
      <c r="C5270" s="28" t="s">
        <v>97</v>
      </c>
      <c r="D5270" s="28" t="s">
        <v>1738</v>
      </c>
      <c r="E5270" s="29" t="s">
        <v>309</v>
      </c>
      <c r="F5270" s="29" t="s">
        <v>386</v>
      </c>
      <c r="G5270" s="25" t="s">
        <v>6961</v>
      </c>
      <c r="H5270" s="26">
        <v>-1.6767682386</v>
      </c>
      <c r="I5270" s="26"/>
      <c r="J5270" s="26" t="s">
        <v>512</v>
      </c>
      <c r="K5270" s="25" t="s">
        <v>513</v>
      </c>
    </row>
    <row r="5271" spans="1:11" ht="25.5" x14ac:dyDescent="0.25">
      <c r="A5271" s="22">
        <v>2026</v>
      </c>
      <c r="B5271" s="28" t="s">
        <v>222</v>
      </c>
      <c r="C5271" s="28" t="s">
        <v>97</v>
      </c>
      <c r="D5271" s="28" t="s">
        <v>1738</v>
      </c>
      <c r="E5271" s="29" t="s">
        <v>309</v>
      </c>
      <c r="F5271" s="29" t="s">
        <v>386</v>
      </c>
      <c r="G5271" s="25" t="s">
        <v>6962</v>
      </c>
      <c r="H5271" s="26">
        <v>-1.3151999999999999</v>
      </c>
      <c r="I5271" s="26"/>
      <c r="J5271" s="26" t="s">
        <v>512</v>
      </c>
      <c r="K5271" s="25" t="s">
        <v>513</v>
      </c>
    </row>
    <row r="5272" spans="1:11" ht="25.5" x14ac:dyDescent="0.25">
      <c r="A5272" s="22">
        <v>2026</v>
      </c>
      <c r="B5272" s="28" t="s">
        <v>222</v>
      </c>
      <c r="C5272" s="28" t="s">
        <v>97</v>
      </c>
      <c r="D5272" s="28" t="s">
        <v>1738</v>
      </c>
      <c r="E5272" s="29" t="s">
        <v>309</v>
      </c>
      <c r="F5272" s="29" t="s">
        <v>386</v>
      </c>
      <c r="G5272" s="25" t="s">
        <v>6963</v>
      </c>
      <c r="H5272" s="26">
        <v>-1.337</v>
      </c>
      <c r="I5272" s="26"/>
      <c r="J5272" s="26" t="s">
        <v>512</v>
      </c>
      <c r="K5272" s="25" t="s">
        <v>513</v>
      </c>
    </row>
    <row r="5273" spans="1:11" ht="25.5" x14ac:dyDescent="0.25">
      <c r="A5273" s="22">
        <v>2026</v>
      </c>
      <c r="B5273" s="28" t="s">
        <v>222</v>
      </c>
      <c r="C5273" s="28" t="s">
        <v>97</v>
      </c>
      <c r="D5273" s="28" t="s">
        <v>1738</v>
      </c>
      <c r="E5273" s="29" t="s">
        <v>309</v>
      </c>
      <c r="F5273" s="29" t="s">
        <v>386</v>
      </c>
      <c r="G5273" s="25" t="s">
        <v>6964</v>
      </c>
      <c r="H5273" s="26">
        <v>-1.3515999999999999</v>
      </c>
      <c r="I5273" s="26"/>
      <c r="J5273" s="26" t="s">
        <v>512</v>
      </c>
      <c r="K5273" s="25" t="s">
        <v>513</v>
      </c>
    </row>
    <row r="5274" spans="1:11" ht="25.5" x14ac:dyDescent="0.25">
      <c r="A5274" s="22">
        <v>2026</v>
      </c>
      <c r="B5274" s="28" t="s">
        <v>222</v>
      </c>
      <c r="C5274" s="28" t="s">
        <v>97</v>
      </c>
      <c r="D5274" s="28" t="s">
        <v>1738</v>
      </c>
      <c r="E5274" s="29" t="s">
        <v>309</v>
      </c>
      <c r="F5274" s="29" t="s">
        <v>386</v>
      </c>
      <c r="G5274" s="25" t="s">
        <v>6965</v>
      </c>
      <c r="H5274" s="26">
        <v>-0.156215675</v>
      </c>
      <c r="I5274" s="26"/>
      <c r="J5274" s="26" t="s">
        <v>512</v>
      </c>
      <c r="K5274" s="25" t="s">
        <v>513</v>
      </c>
    </row>
    <row r="5275" spans="1:11" ht="25.5" x14ac:dyDescent="0.25">
      <c r="A5275" s="22">
        <v>2026</v>
      </c>
      <c r="B5275" s="28" t="s">
        <v>222</v>
      </c>
      <c r="C5275" s="28" t="s">
        <v>97</v>
      </c>
      <c r="D5275" s="28" t="s">
        <v>537</v>
      </c>
      <c r="E5275" s="29" t="s">
        <v>561</v>
      </c>
      <c r="F5275" s="29" t="s">
        <v>298</v>
      </c>
      <c r="G5275" s="25" t="s">
        <v>6966</v>
      </c>
      <c r="H5275" s="26">
        <v>-0.182</v>
      </c>
      <c r="I5275" s="26"/>
      <c r="J5275" s="26" t="s">
        <v>512</v>
      </c>
      <c r="K5275" s="25" t="s">
        <v>513</v>
      </c>
    </row>
    <row r="5276" spans="1:11" ht="25.5" x14ac:dyDescent="0.25">
      <c r="A5276" s="22">
        <v>2026</v>
      </c>
      <c r="B5276" s="28" t="s">
        <v>222</v>
      </c>
      <c r="C5276" s="28" t="s">
        <v>97</v>
      </c>
      <c r="D5276" s="28" t="s">
        <v>537</v>
      </c>
      <c r="E5276" s="29" t="s">
        <v>561</v>
      </c>
      <c r="F5276" s="29" t="s">
        <v>298</v>
      </c>
      <c r="G5276" s="25" t="s">
        <v>6967</v>
      </c>
      <c r="H5276" s="26">
        <v>-0.47644999999999998</v>
      </c>
      <c r="I5276" s="26"/>
      <c r="J5276" s="26" t="s">
        <v>512</v>
      </c>
      <c r="K5276" s="25" t="s">
        <v>513</v>
      </c>
    </row>
    <row r="5277" spans="1:11" ht="25.5" x14ac:dyDescent="0.25">
      <c r="A5277" s="22">
        <v>2026</v>
      </c>
      <c r="B5277" s="28" t="s">
        <v>222</v>
      </c>
      <c r="C5277" s="28" t="s">
        <v>97</v>
      </c>
      <c r="D5277" s="28" t="s">
        <v>537</v>
      </c>
      <c r="E5277" s="29" t="s">
        <v>561</v>
      </c>
      <c r="F5277" s="29" t="s">
        <v>298</v>
      </c>
      <c r="G5277" s="25" t="s">
        <v>6968</v>
      </c>
      <c r="H5277" s="26">
        <v>-0.75904919999999998</v>
      </c>
      <c r="I5277" s="26"/>
      <c r="J5277" s="26" t="s">
        <v>512</v>
      </c>
      <c r="K5277" s="25" t="s">
        <v>513</v>
      </c>
    </row>
    <row r="5278" spans="1:11" ht="25.5" x14ac:dyDescent="0.25">
      <c r="A5278" s="22">
        <v>2026</v>
      </c>
      <c r="B5278" s="28" t="s">
        <v>222</v>
      </c>
      <c r="C5278" s="28" t="s">
        <v>97</v>
      </c>
      <c r="D5278" s="28" t="s">
        <v>537</v>
      </c>
      <c r="E5278" s="29" t="s">
        <v>561</v>
      </c>
      <c r="F5278" s="29" t="s">
        <v>298</v>
      </c>
      <c r="G5278" s="25" t="s">
        <v>6969</v>
      </c>
      <c r="H5278" s="26">
        <v>-0.36225000000000002</v>
      </c>
      <c r="I5278" s="26"/>
      <c r="J5278" s="26" t="s">
        <v>512</v>
      </c>
      <c r="K5278" s="25" t="s">
        <v>513</v>
      </c>
    </row>
    <row r="5279" spans="1:11" ht="25.5" x14ac:dyDescent="0.25">
      <c r="A5279" s="22">
        <v>2026</v>
      </c>
      <c r="B5279" s="28" t="s">
        <v>222</v>
      </c>
      <c r="C5279" s="28" t="s">
        <v>97</v>
      </c>
      <c r="D5279" s="28" t="s">
        <v>537</v>
      </c>
      <c r="E5279" s="29" t="s">
        <v>561</v>
      </c>
      <c r="F5279" s="29" t="s">
        <v>298</v>
      </c>
      <c r="G5279" s="25" t="s">
        <v>6970</v>
      </c>
      <c r="H5279" s="26">
        <v>-0.18137500000000001</v>
      </c>
      <c r="I5279" s="26"/>
      <c r="J5279" s="26" t="s">
        <v>512</v>
      </c>
      <c r="K5279" s="25" t="s">
        <v>513</v>
      </c>
    </row>
    <row r="5280" spans="1:11" ht="25.5" x14ac:dyDescent="0.25">
      <c r="A5280" s="22">
        <v>2026</v>
      </c>
      <c r="B5280" s="28" t="s">
        <v>222</v>
      </c>
      <c r="C5280" s="28" t="s">
        <v>97</v>
      </c>
      <c r="D5280" s="28" t="s">
        <v>537</v>
      </c>
      <c r="E5280" s="29" t="s">
        <v>561</v>
      </c>
      <c r="F5280" s="29" t="s">
        <v>298</v>
      </c>
      <c r="G5280" s="25" t="s">
        <v>6971</v>
      </c>
      <c r="H5280" s="26">
        <v>-0.18187500000000001</v>
      </c>
      <c r="I5280" s="26"/>
      <c r="J5280" s="26" t="s">
        <v>512</v>
      </c>
      <c r="K5280" s="25" t="s">
        <v>513</v>
      </c>
    </row>
    <row r="5281" spans="1:11" ht="25.5" x14ac:dyDescent="0.25">
      <c r="A5281" s="22">
        <v>2026</v>
      </c>
      <c r="B5281" s="28" t="s">
        <v>222</v>
      </c>
      <c r="C5281" s="28" t="s">
        <v>97</v>
      </c>
      <c r="D5281" s="28" t="s">
        <v>537</v>
      </c>
      <c r="E5281" s="29" t="s">
        <v>561</v>
      </c>
      <c r="F5281" s="29" t="s">
        <v>298</v>
      </c>
      <c r="G5281" s="25" t="s">
        <v>6967</v>
      </c>
      <c r="H5281" s="26">
        <v>-0.47644999999999998</v>
      </c>
      <c r="I5281" s="26"/>
      <c r="J5281" s="26" t="s">
        <v>512</v>
      </c>
      <c r="K5281" s="25" t="s">
        <v>513</v>
      </c>
    </row>
    <row r="5282" spans="1:11" ht="25.5" x14ac:dyDescent="0.25">
      <c r="A5282" s="22">
        <v>2026</v>
      </c>
      <c r="B5282" s="28" t="s">
        <v>222</v>
      </c>
      <c r="C5282" s="28" t="s">
        <v>97</v>
      </c>
      <c r="D5282" s="28" t="s">
        <v>537</v>
      </c>
      <c r="E5282" s="29" t="s">
        <v>561</v>
      </c>
      <c r="F5282" s="29" t="s">
        <v>298</v>
      </c>
      <c r="G5282" s="25" t="s">
        <v>6972</v>
      </c>
      <c r="H5282" s="26">
        <v>-0.18275</v>
      </c>
      <c r="I5282" s="26"/>
      <c r="J5282" s="26" t="s">
        <v>512</v>
      </c>
      <c r="K5282" s="25" t="s">
        <v>513</v>
      </c>
    </row>
    <row r="5283" spans="1:11" ht="25.5" x14ac:dyDescent="0.25">
      <c r="A5283" s="22">
        <v>2026</v>
      </c>
      <c r="B5283" s="28" t="s">
        <v>222</v>
      </c>
      <c r="C5283" s="28" t="s">
        <v>97</v>
      </c>
      <c r="D5283" s="28" t="s">
        <v>537</v>
      </c>
      <c r="E5283" s="29" t="s">
        <v>561</v>
      </c>
      <c r="F5283" s="29" t="s">
        <v>298</v>
      </c>
      <c r="G5283" s="25" t="s">
        <v>6973</v>
      </c>
      <c r="H5283" s="26">
        <v>-0.185</v>
      </c>
      <c r="I5283" s="26"/>
      <c r="J5283" s="26" t="s">
        <v>512</v>
      </c>
      <c r="K5283" s="25" t="s">
        <v>513</v>
      </c>
    </row>
    <row r="5284" spans="1:11" ht="25.5" x14ac:dyDescent="0.25">
      <c r="A5284" s="22">
        <v>2026</v>
      </c>
      <c r="B5284" s="28" t="s">
        <v>222</v>
      </c>
      <c r="C5284" s="28" t="s">
        <v>97</v>
      </c>
      <c r="D5284" s="28" t="s">
        <v>537</v>
      </c>
      <c r="E5284" s="29" t="s">
        <v>561</v>
      </c>
      <c r="F5284" s="29" t="s">
        <v>298</v>
      </c>
      <c r="G5284" s="25" t="s">
        <v>6973</v>
      </c>
      <c r="H5284" s="26">
        <v>-0.185</v>
      </c>
      <c r="I5284" s="26"/>
      <c r="J5284" s="26" t="s">
        <v>512</v>
      </c>
      <c r="K5284" s="25" t="s">
        <v>513</v>
      </c>
    </row>
    <row r="5285" spans="1:11" ht="25.5" x14ac:dyDescent="0.25">
      <c r="A5285" s="22">
        <v>2026</v>
      </c>
      <c r="B5285" s="28" t="s">
        <v>222</v>
      </c>
      <c r="C5285" s="28" t="s">
        <v>97</v>
      </c>
      <c r="D5285" s="28" t="s">
        <v>1739</v>
      </c>
      <c r="E5285" s="29" t="s">
        <v>331</v>
      </c>
      <c r="F5285" s="29" t="s">
        <v>298</v>
      </c>
      <c r="G5285" s="25" t="s">
        <v>6974</v>
      </c>
      <c r="H5285" s="26">
        <v>-0.47399999999999998</v>
      </c>
      <c r="I5285" s="26"/>
      <c r="J5285" s="26" t="s">
        <v>512</v>
      </c>
      <c r="K5285" s="25" t="s">
        <v>513</v>
      </c>
    </row>
    <row r="5286" spans="1:11" ht="25.5" x14ac:dyDescent="0.25">
      <c r="A5286" s="22">
        <v>2026</v>
      </c>
      <c r="B5286" s="28" t="s">
        <v>222</v>
      </c>
      <c r="C5286" s="28" t="s">
        <v>97</v>
      </c>
      <c r="D5286" s="28" t="s">
        <v>1739</v>
      </c>
      <c r="E5286" s="29" t="s">
        <v>331</v>
      </c>
      <c r="F5286" s="29" t="s">
        <v>298</v>
      </c>
      <c r="G5286" s="25" t="s">
        <v>6975</v>
      </c>
      <c r="H5286" s="26">
        <v>-5.2997670000000001</v>
      </c>
      <c r="I5286" s="26"/>
      <c r="J5286" s="26" t="s">
        <v>512</v>
      </c>
      <c r="K5286" s="25" t="s">
        <v>513</v>
      </c>
    </row>
    <row r="5287" spans="1:11" ht="25.5" x14ac:dyDescent="0.25">
      <c r="A5287" s="22">
        <v>2026</v>
      </c>
      <c r="B5287" s="28" t="s">
        <v>222</v>
      </c>
      <c r="C5287" s="28" t="s">
        <v>97</v>
      </c>
      <c r="D5287" s="28" t="s">
        <v>1739</v>
      </c>
      <c r="E5287" s="29" t="s">
        <v>331</v>
      </c>
      <c r="F5287" s="29" t="s">
        <v>298</v>
      </c>
      <c r="G5287" s="25" t="s">
        <v>6976</v>
      </c>
      <c r="H5287" s="26">
        <v>-3.1364200000000002</v>
      </c>
      <c r="I5287" s="26"/>
      <c r="J5287" s="26" t="s">
        <v>512</v>
      </c>
      <c r="K5287" s="25" t="s">
        <v>513</v>
      </c>
    </row>
    <row r="5288" spans="1:11" ht="25.5" x14ac:dyDescent="0.25">
      <c r="A5288" s="22">
        <v>2026</v>
      </c>
      <c r="B5288" s="28" t="s">
        <v>222</v>
      </c>
      <c r="C5288" s="28" t="s">
        <v>97</v>
      </c>
      <c r="D5288" s="28" t="s">
        <v>1739</v>
      </c>
      <c r="E5288" s="29" t="s">
        <v>331</v>
      </c>
      <c r="F5288" s="29" t="s">
        <v>298</v>
      </c>
      <c r="G5288" s="25" t="s">
        <v>6977</v>
      </c>
      <c r="H5288" s="26">
        <v>-1.3477855000000001</v>
      </c>
      <c r="I5288" s="26"/>
      <c r="J5288" s="26" t="s">
        <v>512</v>
      </c>
      <c r="K5288" s="25" t="s">
        <v>513</v>
      </c>
    </row>
    <row r="5289" spans="1:11" ht="25.5" x14ac:dyDescent="0.25">
      <c r="A5289" s="22">
        <v>2026</v>
      </c>
      <c r="B5289" s="28" t="s">
        <v>222</v>
      </c>
      <c r="C5289" s="28" t="s">
        <v>97</v>
      </c>
      <c r="D5289" s="28" t="s">
        <v>1739</v>
      </c>
      <c r="E5289" s="29" t="s">
        <v>331</v>
      </c>
      <c r="F5289" s="29" t="s">
        <v>298</v>
      </c>
      <c r="G5289" s="25" t="s">
        <v>6978</v>
      </c>
      <c r="H5289" s="26">
        <v>-1.3452014999999999</v>
      </c>
      <c r="I5289" s="26"/>
      <c r="J5289" s="26" t="s">
        <v>512</v>
      </c>
      <c r="K5289" s="25" t="s">
        <v>513</v>
      </c>
    </row>
    <row r="5290" spans="1:11" ht="25.5" x14ac:dyDescent="0.25">
      <c r="A5290" s="22">
        <v>2026</v>
      </c>
      <c r="B5290" s="28" t="s">
        <v>222</v>
      </c>
      <c r="C5290" s="28" t="s">
        <v>97</v>
      </c>
      <c r="D5290" s="28" t="s">
        <v>1739</v>
      </c>
      <c r="E5290" s="29" t="s">
        <v>331</v>
      </c>
      <c r="F5290" s="29" t="s">
        <v>298</v>
      </c>
      <c r="G5290" s="25" t="s">
        <v>6979</v>
      </c>
      <c r="H5290" s="26">
        <v>-2.3603550000000002</v>
      </c>
      <c r="I5290" s="26"/>
      <c r="J5290" s="26" t="s">
        <v>512</v>
      </c>
      <c r="K5290" s="25" t="s">
        <v>513</v>
      </c>
    </row>
    <row r="5291" spans="1:11" ht="25.5" x14ac:dyDescent="0.25">
      <c r="A5291" s="22">
        <v>2026</v>
      </c>
      <c r="B5291" s="28" t="s">
        <v>222</v>
      </c>
      <c r="C5291" s="28" t="s">
        <v>97</v>
      </c>
      <c r="D5291" s="28" t="s">
        <v>254</v>
      </c>
      <c r="E5291" s="29" t="s">
        <v>473</v>
      </c>
      <c r="F5291" s="29" t="s">
        <v>474</v>
      </c>
      <c r="G5291" s="25" t="s">
        <v>6980</v>
      </c>
      <c r="H5291" s="26">
        <v>-8.8270323999999997E-2</v>
      </c>
      <c r="I5291" s="26"/>
      <c r="J5291" s="26" t="s">
        <v>512</v>
      </c>
      <c r="K5291" s="25" t="s">
        <v>513</v>
      </c>
    </row>
    <row r="5292" spans="1:11" ht="25.5" x14ac:dyDescent="0.25">
      <c r="A5292" s="22">
        <v>2026</v>
      </c>
      <c r="B5292" s="28" t="s">
        <v>222</v>
      </c>
      <c r="C5292" s="28" t="s">
        <v>97</v>
      </c>
      <c r="D5292" s="28" t="s">
        <v>254</v>
      </c>
      <c r="E5292" s="29" t="s">
        <v>473</v>
      </c>
      <c r="F5292" s="29" t="s">
        <v>474</v>
      </c>
      <c r="G5292" s="25" t="s">
        <v>6981</v>
      </c>
      <c r="H5292" s="26">
        <v>-0.20958926778</v>
      </c>
      <c r="I5292" s="26"/>
      <c r="J5292" s="26" t="s">
        <v>512</v>
      </c>
      <c r="K5292" s="25" t="s">
        <v>513</v>
      </c>
    </row>
    <row r="5293" spans="1:11" ht="25.5" x14ac:dyDescent="0.25">
      <c r="A5293" s="22">
        <v>2026</v>
      </c>
      <c r="B5293" s="28" t="s">
        <v>222</v>
      </c>
      <c r="C5293" s="28" t="s">
        <v>97</v>
      </c>
      <c r="D5293" s="28" t="s">
        <v>254</v>
      </c>
      <c r="E5293" s="29" t="s">
        <v>473</v>
      </c>
      <c r="F5293" s="29" t="s">
        <v>474</v>
      </c>
      <c r="G5293" s="25" t="s">
        <v>6982</v>
      </c>
      <c r="H5293" s="26">
        <v>-2.8128455E-2</v>
      </c>
      <c r="I5293" s="26"/>
      <c r="J5293" s="26" t="s">
        <v>512</v>
      </c>
      <c r="K5293" s="25" t="s">
        <v>513</v>
      </c>
    </row>
    <row r="5294" spans="1:11" ht="25.5" x14ac:dyDescent="0.25">
      <c r="A5294" s="22">
        <v>2026</v>
      </c>
      <c r="B5294" s="28" t="s">
        <v>222</v>
      </c>
      <c r="C5294" s="28" t="s">
        <v>97</v>
      </c>
      <c r="D5294" s="28" t="s">
        <v>254</v>
      </c>
      <c r="E5294" s="29" t="s">
        <v>473</v>
      </c>
      <c r="F5294" s="29" t="s">
        <v>474</v>
      </c>
      <c r="G5294" s="25" t="s">
        <v>6983</v>
      </c>
      <c r="H5294" s="26">
        <v>-3.0755420799999999E-2</v>
      </c>
      <c r="I5294" s="26"/>
      <c r="J5294" s="26" t="s">
        <v>512</v>
      </c>
      <c r="K5294" s="25" t="s">
        <v>513</v>
      </c>
    </row>
    <row r="5295" spans="1:11" ht="25.5" x14ac:dyDescent="0.25">
      <c r="A5295" s="22">
        <v>2026</v>
      </c>
      <c r="B5295" s="28" t="s">
        <v>222</v>
      </c>
      <c r="C5295" s="28" t="s">
        <v>97</v>
      </c>
      <c r="D5295" s="28" t="s">
        <v>254</v>
      </c>
      <c r="E5295" s="29" t="s">
        <v>473</v>
      </c>
      <c r="F5295" s="29" t="s">
        <v>474</v>
      </c>
      <c r="G5295" s="25" t="s">
        <v>6984</v>
      </c>
      <c r="H5295" s="26">
        <v>-0.1920949485</v>
      </c>
      <c r="I5295" s="26"/>
      <c r="J5295" s="26" t="s">
        <v>512</v>
      </c>
      <c r="K5295" s="25" t="s">
        <v>513</v>
      </c>
    </row>
    <row r="5296" spans="1:11" ht="25.5" x14ac:dyDescent="0.25">
      <c r="A5296" s="22">
        <v>2026</v>
      </c>
      <c r="B5296" s="28" t="s">
        <v>222</v>
      </c>
      <c r="C5296" s="28" t="s">
        <v>97</v>
      </c>
      <c r="D5296" s="28" t="s">
        <v>254</v>
      </c>
      <c r="E5296" s="29" t="s">
        <v>473</v>
      </c>
      <c r="F5296" s="29" t="s">
        <v>474</v>
      </c>
      <c r="G5296" s="25" t="s">
        <v>6985</v>
      </c>
      <c r="H5296" s="26">
        <v>-9.0364787200000005E-2</v>
      </c>
      <c r="I5296" s="26"/>
      <c r="J5296" s="26" t="s">
        <v>512</v>
      </c>
      <c r="K5296" s="25" t="s">
        <v>513</v>
      </c>
    </row>
    <row r="5297" spans="1:11" ht="25.5" x14ac:dyDescent="0.25">
      <c r="A5297" s="22">
        <v>2026</v>
      </c>
      <c r="B5297" s="28" t="s">
        <v>222</v>
      </c>
      <c r="C5297" s="28" t="s">
        <v>97</v>
      </c>
      <c r="D5297" s="28" t="s">
        <v>254</v>
      </c>
      <c r="E5297" s="29" t="s">
        <v>473</v>
      </c>
      <c r="F5297" s="29" t="s">
        <v>474</v>
      </c>
      <c r="G5297" s="25" t="s">
        <v>6986</v>
      </c>
      <c r="H5297" s="26">
        <v>-7.8510272950000001E-2</v>
      </c>
      <c r="I5297" s="26"/>
      <c r="J5297" s="26" t="s">
        <v>512</v>
      </c>
      <c r="K5297" s="25" t="s">
        <v>513</v>
      </c>
    </row>
    <row r="5298" spans="1:11" ht="25.5" x14ac:dyDescent="0.25">
      <c r="A5298" s="22">
        <v>2026</v>
      </c>
      <c r="B5298" s="28" t="s">
        <v>222</v>
      </c>
      <c r="C5298" s="28" t="s">
        <v>97</v>
      </c>
      <c r="D5298" s="28" t="s">
        <v>254</v>
      </c>
      <c r="E5298" s="29" t="s">
        <v>473</v>
      </c>
      <c r="F5298" s="29" t="s">
        <v>474</v>
      </c>
      <c r="G5298" s="25" t="s">
        <v>6987</v>
      </c>
      <c r="H5298" s="26">
        <v>-0.1175940052</v>
      </c>
      <c r="I5298" s="26"/>
      <c r="J5298" s="26" t="s">
        <v>512</v>
      </c>
      <c r="K5298" s="25" t="s">
        <v>513</v>
      </c>
    </row>
    <row r="5299" spans="1:11" ht="25.5" x14ac:dyDescent="0.25">
      <c r="A5299" s="22">
        <v>2026</v>
      </c>
      <c r="B5299" s="28" t="s">
        <v>222</v>
      </c>
      <c r="C5299" s="28" t="s">
        <v>97</v>
      </c>
      <c r="D5299" s="28" t="s">
        <v>254</v>
      </c>
      <c r="E5299" s="29" t="s">
        <v>473</v>
      </c>
      <c r="F5299" s="29" t="s">
        <v>474</v>
      </c>
      <c r="G5299" s="25" t="s">
        <v>6988</v>
      </c>
      <c r="H5299" s="26">
        <v>-1.8532245400000001E-2</v>
      </c>
      <c r="I5299" s="26"/>
      <c r="J5299" s="26" t="s">
        <v>512</v>
      </c>
      <c r="K5299" s="25" t="s">
        <v>513</v>
      </c>
    </row>
    <row r="5300" spans="1:11" ht="25.5" x14ac:dyDescent="0.25">
      <c r="A5300" s="22">
        <v>2026</v>
      </c>
      <c r="B5300" s="28" t="s">
        <v>222</v>
      </c>
      <c r="C5300" s="28" t="s">
        <v>97</v>
      </c>
      <c r="D5300" s="28" t="s">
        <v>254</v>
      </c>
      <c r="E5300" s="29" t="s">
        <v>473</v>
      </c>
      <c r="F5300" s="29" t="s">
        <v>474</v>
      </c>
      <c r="G5300" s="25" t="s">
        <v>6989</v>
      </c>
      <c r="H5300" s="26">
        <v>-5.2967788800000006E-2</v>
      </c>
      <c r="I5300" s="26"/>
      <c r="J5300" s="26" t="s">
        <v>512</v>
      </c>
      <c r="K5300" s="25" t="s">
        <v>513</v>
      </c>
    </row>
    <row r="5301" spans="1:11" ht="25.5" x14ac:dyDescent="0.25">
      <c r="A5301" s="22">
        <v>2026</v>
      </c>
      <c r="B5301" s="28" t="s">
        <v>222</v>
      </c>
      <c r="C5301" s="28" t="s">
        <v>97</v>
      </c>
      <c r="D5301" s="28" t="s">
        <v>254</v>
      </c>
      <c r="E5301" s="29" t="s">
        <v>473</v>
      </c>
      <c r="F5301" s="29" t="s">
        <v>474</v>
      </c>
      <c r="G5301" s="25" t="s">
        <v>6990</v>
      </c>
      <c r="H5301" s="26">
        <v>-7.5637800000000005E-2</v>
      </c>
      <c r="I5301" s="26"/>
      <c r="J5301" s="26" t="s">
        <v>512</v>
      </c>
      <c r="K5301" s="25" t="s">
        <v>513</v>
      </c>
    </row>
    <row r="5302" spans="1:11" ht="25.5" x14ac:dyDescent="0.25">
      <c r="A5302" s="22">
        <v>2026</v>
      </c>
      <c r="B5302" s="28" t="s">
        <v>222</v>
      </c>
      <c r="C5302" s="28" t="s">
        <v>97</v>
      </c>
      <c r="D5302" s="28" t="s">
        <v>254</v>
      </c>
      <c r="E5302" s="29" t="s">
        <v>473</v>
      </c>
      <c r="F5302" s="29" t="s">
        <v>474</v>
      </c>
      <c r="G5302" s="25" t="s">
        <v>6991</v>
      </c>
      <c r="H5302" s="26">
        <v>-6.8609263500000003E-2</v>
      </c>
      <c r="I5302" s="26"/>
      <c r="J5302" s="26" t="s">
        <v>512</v>
      </c>
      <c r="K5302" s="25" t="s">
        <v>513</v>
      </c>
    </row>
    <row r="5303" spans="1:11" ht="25.5" x14ac:dyDescent="0.25">
      <c r="A5303" s="22">
        <v>2026</v>
      </c>
      <c r="B5303" s="28" t="s">
        <v>222</v>
      </c>
      <c r="C5303" s="28" t="s">
        <v>97</v>
      </c>
      <c r="D5303" s="28" t="s">
        <v>254</v>
      </c>
      <c r="E5303" s="29" t="s">
        <v>473</v>
      </c>
      <c r="F5303" s="29" t="s">
        <v>474</v>
      </c>
      <c r="G5303" s="25" t="s">
        <v>6992</v>
      </c>
      <c r="H5303" s="26">
        <v>-0.20203232800000001</v>
      </c>
      <c r="I5303" s="26"/>
      <c r="J5303" s="26" t="s">
        <v>512</v>
      </c>
      <c r="K5303" s="25" t="s">
        <v>513</v>
      </c>
    </row>
    <row r="5304" spans="1:11" ht="25.5" x14ac:dyDescent="0.25">
      <c r="A5304" s="22">
        <v>2026</v>
      </c>
      <c r="B5304" s="28" t="s">
        <v>222</v>
      </c>
      <c r="C5304" s="28" t="s">
        <v>97</v>
      </c>
      <c r="D5304" s="28" t="s">
        <v>254</v>
      </c>
      <c r="E5304" s="29" t="s">
        <v>473</v>
      </c>
      <c r="F5304" s="29" t="s">
        <v>474</v>
      </c>
      <c r="G5304" s="25" t="s">
        <v>6993</v>
      </c>
      <c r="H5304" s="26">
        <v>-4.7617693199999998E-2</v>
      </c>
      <c r="I5304" s="26"/>
      <c r="J5304" s="26" t="s">
        <v>512</v>
      </c>
      <c r="K5304" s="25" t="s">
        <v>513</v>
      </c>
    </row>
    <row r="5305" spans="1:11" ht="25.5" x14ac:dyDescent="0.25">
      <c r="A5305" s="22">
        <v>2026</v>
      </c>
      <c r="B5305" s="28" t="s">
        <v>222</v>
      </c>
      <c r="C5305" s="28" t="s">
        <v>97</v>
      </c>
      <c r="D5305" s="28" t="s">
        <v>254</v>
      </c>
      <c r="E5305" s="29" t="s">
        <v>473</v>
      </c>
      <c r="F5305" s="29" t="s">
        <v>474</v>
      </c>
      <c r="G5305" s="25" t="s">
        <v>6994</v>
      </c>
      <c r="H5305" s="26">
        <v>-9.4713148050000001E-2</v>
      </c>
      <c r="I5305" s="26"/>
      <c r="J5305" s="26" t="s">
        <v>512</v>
      </c>
      <c r="K5305" s="25" t="s">
        <v>513</v>
      </c>
    </row>
    <row r="5306" spans="1:11" ht="25.5" x14ac:dyDescent="0.25">
      <c r="A5306" s="22">
        <v>2026</v>
      </c>
      <c r="B5306" s="28" t="s">
        <v>222</v>
      </c>
      <c r="C5306" s="28" t="s">
        <v>97</v>
      </c>
      <c r="D5306" s="28" t="s">
        <v>1740</v>
      </c>
      <c r="E5306" s="29" t="s">
        <v>473</v>
      </c>
      <c r="F5306" s="29" t="s">
        <v>343</v>
      </c>
      <c r="G5306" s="25" t="s">
        <v>6995</v>
      </c>
      <c r="H5306" s="26">
        <v>-8.4244050000000001E-2</v>
      </c>
      <c r="I5306" s="26"/>
      <c r="J5306" s="26" t="s">
        <v>512</v>
      </c>
      <c r="K5306" s="25" t="s">
        <v>513</v>
      </c>
    </row>
    <row r="5307" spans="1:11" ht="25.5" x14ac:dyDescent="0.25">
      <c r="A5307" s="22">
        <v>2026</v>
      </c>
      <c r="B5307" s="28" t="s">
        <v>222</v>
      </c>
      <c r="C5307" s="28" t="s">
        <v>97</v>
      </c>
      <c r="D5307" s="28" t="s">
        <v>1740</v>
      </c>
      <c r="E5307" s="29" t="s">
        <v>473</v>
      </c>
      <c r="F5307" s="29" t="s">
        <v>343</v>
      </c>
      <c r="G5307" s="25" t="s">
        <v>6996</v>
      </c>
      <c r="H5307" s="26">
        <v>-4.9068622320000005E-2</v>
      </c>
      <c r="I5307" s="26"/>
      <c r="J5307" s="26" t="s">
        <v>512</v>
      </c>
      <c r="K5307" s="25" t="s">
        <v>513</v>
      </c>
    </row>
    <row r="5308" spans="1:11" ht="25.5" x14ac:dyDescent="0.25">
      <c r="A5308" s="22">
        <v>2026</v>
      </c>
      <c r="B5308" s="28" t="s">
        <v>222</v>
      </c>
      <c r="C5308" s="28" t="s">
        <v>97</v>
      </c>
      <c r="D5308" s="28" t="s">
        <v>1740</v>
      </c>
      <c r="E5308" s="29" t="s">
        <v>473</v>
      </c>
      <c r="F5308" s="29" t="s">
        <v>343</v>
      </c>
      <c r="G5308" s="25" t="s">
        <v>6997</v>
      </c>
      <c r="H5308" s="26">
        <v>-0.106477</v>
      </c>
      <c r="I5308" s="26"/>
      <c r="J5308" s="26" t="s">
        <v>512</v>
      </c>
      <c r="K5308" s="25" t="s">
        <v>513</v>
      </c>
    </row>
    <row r="5309" spans="1:11" ht="25.5" x14ac:dyDescent="0.25">
      <c r="A5309" s="22">
        <v>2026</v>
      </c>
      <c r="B5309" s="28" t="s">
        <v>222</v>
      </c>
      <c r="C5309" s="28" t="s">
        <v>97</v>
      </c>
      <c r="D5309" s="28" t="s">
        <v>1740</v>
      </c>
      <c r="E5309" s="29" t="s">
        <v>473</v>
      </c>
      <c r="F5309" s="29" t="s">
        <v>343</v>
      </c>
      <c r="G5309" s="25" t="s">
        <v>6998</v>
      </c>
      <c r="H5309" s="26">
        <v>-0.105777</v>
      </c>
      <c r="I5309" s="26"/>
      <c r="J5309" s="26" t="s">
        <v>512</v>
      </c>
      <c r="K5309" s="25" t="s">
        <v>513</v>
      </c>
    </row>
    <row r="5310" spans="1:11" ht="25.5" x14ac:dyDescent="0.25">
      <c r="A5310" s="22">
        <v>2026</v>
      </c>
      <c r="B5310" s="28" t="s">
        <v>222</v>
      </c>
      <c r="C5310" s="28" t="s">
        <v>97</v>
      </c>
      <c r="D5310" s="28" t="s">
        <v>1740</v>
      </c>
      <c r="E5310" s="29" t="s">
        <v>473</v>
      </c>
      <c r="F5310" s="29" t="s">
        <v>343</v>
      </c>
      <c r="G5310" s="25" t="s">
        <v>6999</v>
      </c>
      <c r="H5310" s="26">
        <v>-0.10451000000000001</v>
      </c>
      <c r="I5310" s="26"/>
      <c r="J5310" s="26" t="s">
        <v>512</v>
      </c>
      <c r="K5310" s="25" t="s">
        <v>513</v>
      </c>
    </row>
    <row r="5311" spans="1:11" ht="25.5" x14ac:dyDescent="0.25">
      <c r="A5311" s="22">
        <v>2026</v>
      </c>
      <c r="B5311" s="28" t="s">
        <v>222</v>
      </c>
      <c r="C5311" s="28" t="s">
        <v>97</v>
      </c>
      <c r="D5311" s="28" t="s">
        <v>1740</v>
      </c>
      <c r="E5311" s="29" t="s">
        <v>473</v>
      </c>
      <c r="F5311" s="29" t="s">
        <v>343</v>
      </c>
      <c r="G5311" s="25" t="s">
        <v>7000</v>
      </c>
      <c r="H5311" s="26">
        <v>-0.26262750000000001</v>
      </c>
      <c r="I5311" s="26"/>
      <c r="J5311" s="26" t="s">
        <v>512</v>
      </c>
      <c r="K5311" s="25" t="s">
        <v>513</v>
      </c>
    </row>
    <row r="5312" spans="1:11" ht="25.5" x14ac:dyDescent="0.25">
      <c r="A5312" s="22">
        <v>2026</v>
      </c>
      <c r="B5312" s="28" t="s">
        <v>222</v>
      </c>
      <c r="C5312" s="28" t="s">
        <v>97</v>
      </c>
      <c r="D5312" s="28" t="s">
        <v>1740</v>
      </c>
      <c r="E5312" s="29" t="s">
        <v>473</v>
      </c>
      <c r="F5312" s="29" t="s">
        <v>343</v>
      </c>
      <c r="G5312" s="25" t="s">
        <v>7001</v>
      </c>
      <c r="H5312" s="26">
        <v>-0.16905830790000001</v>
      </c>
      <c r="I5312" s="26"/>
      <c r="J5312" s="26" t="s">
        <v>512</v>
      </c>
      <c r="K5312" s="25" t="s">
        <v>513</v>
      </c>
    </row>
    <row r="5313" spans="1:11" ht="25.5" x14ac:dyDescent="0.25">
      <c r="A5313" s="22">
        <v>2026</v>
      </c>
      <c r="B5313" s="28" t="s">
        <v>222</v>
      </c>
      <c r="C5313" s="28" t="s">
        <v>97</v>
      </c>
      <c r="D5313" s="28" t="s">
        <v>1740</v>
      </c>
      <c r="E5313" s="29" t="s">
        <v>473</v>
      </c>
      <c r="F5313" s="29" t="s">
        <v>343</v>
      </c>
      <c r="G5313" s="25" t="s">
        <v>7002</v>
      </c>
      <c r="H5313" s="26">
        <v>-7.8975000000000004E-2</v>
      </c>
      <c r="I5313" s="26"/>
      <c r="J5313" s="26" t="s">
        <v>512</v>
      </c>
      <c r="K5313" s="25" t="s">
        <v>513</v>
      </c>
    </row>
    <row r="5314" spans="1:11" ht="25.5" x14ac:dyDescent="0.25">
      <c r="A5314" s="22">
        <v>2026</v>
      </c>
      <c r="B5314" s="28" t="s">
        <v>222</v>
      </c>
      <c r="C5314" s="28" t="s">
        <v>97</v>
      </c>
      <c r="D5314" s="28" t="s">
        <v>1740</v>
      </c>
      <c r="E5314" s="29" t="s">
        <v>473</v>
      </c>
      <c r="F5314" s="29" t="s">
        <v>343</v>
      </c>
      <c r="G5314" s="25" t="s">
        <v>7003</v>
      </c>
      <c r="H5314" s="26">
        <v>-8.5991374500000009E-2</v>
      </c>
      <c r="I5314" s="26"/>
      <c r="J5314" s="26" t="s">
        <v>512</v>
      </c>
      <c r="K5314" s="25" t="s">
        <v>513</v>
      </c>
    </row>
    <row r="5315" spans="1:11" ht="25.5" x14ac:dyDescent="0.25">
      <c r="A5315" s="22">
        <v>2026</v>
      </c>
      <c r="B5315" s="28" t="s">
        <v>222</v>
      </c>
      <c r="C5315" s="28" t="s">
        <v>97</v>
      </c>
      <c r="D5315" s="28" t="s">
        <v>1740</v>
      </c>
      <c r="E5315" s="29" t="s">
        <v>473</v>
      </c>
      <c r="F5315" s="29" t="s">
        <v>343</v>
      </c>
      <c r="G5315" s="25" t="s">
        <v>7004</v>
      </c>
      <c r="H5315" s="26">
        <v>-5.2515127999999994E-2</v>
      </c>
      <c r="I5315" s="26"/>
      <c r="J5315" s="26" t="s">
        <v>512</v>
      </c>
      <c r="K5315" s="25" t="s">
        <v>513</v>
      </c>
    </row>
    <row r="5316" spans="1:11" ht="25.5" x14ac:dyDescent="0.25">
      <c r="A5316" s="22">
        <v>2026</v>
      </c>
      <c r="B5316" s="28" t="s">
        <v>222</v>
      </c>
      <c r="C5316" s="28" t="s">
        <v>97</v>
      </c>
      <c r="D5316" s="28" t="s">
        <v>1740</v>
      </c>
      <c r="E5316" s="29" t="s">
        <v>473</v>
      </c>
      <c r="F5316" s="29" t="s">
        <v>343</v>
      </c>
      <c r="G5316" s="25" t="s">
        <v>7005</v>
      </c>
      <c r="H5316" s="26">
        <v>-1.53908911E-2</v>
      </c>
      <c r="I5316" s="26"/>
      <c r="J5316" s="26" t="s">
        <v>512</v>
      </c>
      <c r="K5316" s="25" t="s">
        <v>513</v>
      </c>
    </row>
    <row r="5317" spans="1:11" ht="25.5" x14ac:dyDescent="0.25">
      <c r="A5317" s="22">
        <v>2026</v>
      </c>
      <c r="B5317" s="28" t="s">
        <v>222</v>
      </c>
      <c r="C5317" s="28" t="s">
        <v>97</v>
      </c>
      <c r="D5317" s="28" t="s">
        <v>1740</v>
      </c>
      <c r="E5317" s="29" t="s">
        <v>473</v>
      </c>
      <c r="F5317" s="29" t="s">
        <v>343</v>
      </c>
      <c r="G5317" s="25" t="s">
        <v>7006</v>
      </c>
      <c r="H5317" s="26">
        <v>-4.7421927900000001E-2</v>
      </c>
      <c r="I5317" s="26"/>
      <c r="J5317" s="26" t="s">
        <v>512</v>
      </c>
      <c r="K5317" s="25" t="s">
        <v>513</v>
      </c>
    </row>
    <row r="5318" spans="1:11" ht="25.5" x14ac:dyDescent="0.25">
      <c r="A5318" s="22">
        <v>2026</v>
      </c>
      <c r="B5318" s="28" t="s">
        <v>222</v>
      </c>
      <c r="C5318" s="28" t="s">
        <v>97</v>
      </c>
      <c r="D5318" s="28" t="s">
        <v>1740</v>
      </c>
      <c r="E5318" s="29" t="s">
        <v>473</v>
      </c>
      <c r="F5318" s="29" t="s">
        <v>343</v>
      </c>
      <c r="G5318" s="25" t="s">
        <v>7007</v>
      </c>
      <c r="H5318" s="26">
        <v>-6.7219726079999986E-2</v>
      </c>
      <c r="I5318" s="26"/>
      <c r="J5318" s="26" t="s">
        <v>512</v>
      </c>
      <c r="K5318" s="25" t="s">
        <v>513</v>
      </c>
    </row>
    <row r="5319" spans="1:11" ht="25.5" x14ac:dyDescent="0.25">
      <c r="A5319" s="22">
        <v>2026</v>
      </c>
      <c r="B5319" s="28" t="s">
        <v>222</v>
      </c>
      <c r="C5319" s="28" t="s">
        <v>97</v>
      </c>
      <c r="D5319" s="28" t="s">
        <v>1740</v>
      </c>
      <c r="E5319" s="29" t="s">
        <v>473</v>
      </c>
      <c r="F5319" s="29" t="s">
        <v>343</v>
      </c>
      <c r="G5319" s="25" t="s">
        <v>7008</v>
      </c>
      <c r="H5319" s="26">
        <v>-1.31091352E-2</v>
      </c>
      <c r="I5319" s="26"/>
      <c r="J5319" s="26" t="s">
        <v>512</v>
      </c>
      <c r="K5319" s="25" t="s">
        <v>513</v>
      </c>
    </row>
    <row r="5320" spans="1:11" ht="25.5" x14ac:dyDescent="0.25">
      <c r="A5320" s="22">
        <v>2026</v>
      </c>
      <c r="B5320" s="28" t="s">
        <v>222</v>
      </c>
      <c r="C5320" s="28" t="s">
        <v>97</v>
      </c>
      <c r="D5320" s="28" t="s">
        <v>1740</v>
      </c>
      <c r="E5320" s="29" t="s">
        <v>473</v>
      </c>
      <c r="F5320" s="29" t="s">
        <v>343</v>
      </c>
      <c r="G5320" s="25" t="s">
        <v>7009</v>
      </c>
      <c r="H5320" s="26">
        <v>-3.0462176590000001E-2</v>
      </c>
      <c r="I5320" s="26"/>
      <c r="J5320" s="26" t="s">
        <v>512</v>
      </c>
      <c r="K5320" s="25" t="s">
        <v>513</v>
      </c>
    </row>
    <row r="5321" spans="1:11" ht="25.5" x14ac:dyDescent="0.25">
      <c r="A5321" s="22">
        <v>2026</v>
      </c>
      <c r="B5321" s="28" t="s">
        <v>222</v>
      </c>
      <c r="C5321" s="28" t="s">
        <v>97</v>
      </c>
      <c r="D5321" s="28" t="s">
        <v>1740</v>
      </c>
      <c r="E5321" s="29" t="s">
        <v>473</v>
      </c>
      <c r="F5321" s="29" t="s">
        <v>343</v>
      </c>
      <c r="G5321" s="25" t="s">
        <v>7010</v>
      </c>
      <c r="H5321" s="26">
        <v>-4.8822239070000002E-2</v>
      </c>
      <c r="I5321" s="26"/>
      <c r="J5321" s="26" t="s">
        <v>512</v>
      </c>
      <c r="K5321" s="25" t="s">
        <v>513</v>
      </c>
    </row>
    <row r="5322" spans="1:11" ht="25.5" x14ac:dyDescent="0.25">
      <c r="A5322" s="22">
        <v>2026</v>
      </c>
      <c r="B5322" s="28" t="s">
        <v>222</v>
      </c>
      <c r="C5322" s="28" t="s">
        <v>97</v>
      </c>
      <c r="D5322" s="28" t="s">
        <v>195</v>
      </c>
      <c r="E5322" s="29" t="s">
        <v>1760</v>
      </c>
      <c r="F5322" s="29" t="s">
        <v>353</v>
      </c>
      <c r="G5322" s="25" t="s">
        <v>7011</v>
      </c>
      <c r="H5322" s="26">
        <v>-0.91700000000000004</v>
      </c>
      <c r="I5322" s="26"/>
      <c r="J5322" s="26" t="s">
        <v>512</v>
      </c>
      <c r="K5322" s="25" t="s">
        <v>513</v>
      </c>
    </row>
    <row r="5323" spans="1:11" ht="25.5" x14ac:dyDescent="0.25">
      <c r="A5323" s="22">
        <v>2026</v>
      </c>
      <c r="B5323" s="28" t="s">
        <v>222</v>
      </c>
      <c r="C5323" s="28" t="s">
        <v>97</v>
      </c>
      <c r="D5323" s="28" t="s">
        <v>195</v>
      </c>
      <c r="E5323" s="29" t="s">
        <v>1760</v>
      </c>
      <c r="F5323" s="29" t="s">
        <v>353</v>
      </c>
      <c r="G5323" s="25" t="s">
        <v>7012</v>
      </c>
      <c r="H5323" s="26">
        <v>-0.92200000000000004</v>
      </c>
      <c r="I5323" s="26"/>
      <c r="J5323" s="26" t="s">
        <v>512</v>
      </c>
      <c r="K5323" s="25" t="s">
        <v>513</v>
      </c>
    </row>
    <row r="5324" spans="1:11" ht="38.25" x14ac:dyDescent="0.25">
      <c r="A5324" s="22">
        <v>2026</v>
      </c>
      <c r="B5324" s="28" t="s">
        <v>222</v>
      </c>
      <c r="C5324" s="28" t="s">
        <v>97</v>
      </c>
      <c r="D5324" s="28" t="s">
        <v>244</v>
      </c>
      <c r="E5324" s="29" t="s">
        <v>448</v>
      </c>
      <c r="F5324" s="29" t="s">
        <v>284</v>
      </c>
      <c r="G5324" s="25" t="s">
        <v>7013</v>
      </c>
      <c r="H5324" s="26">
        <v>-2.314896E-2</v>
      </c>
      <c r="I5324" s="26"/>
      <c r="J5324" s="26" t="s">
        <v>514</v>
      </c>
      <c r="K5324" s="25" t="s">
        <v>528</v>
      </c>
    </row>
    <row r="5325" spans="1:11" ht="38.25" x14ac:dyDescent="0.25">
      <c r="A5325" s="22">
        <v>2026</v>
      </c>
      <c r="B5325" s="28" t="s">
        <v>222</v>
      </c>
      <c r="C5325" s="28" t="s">
        <v>97</v>
      </c>
      <c r="D5325" s="28" t="s">
        <v>244</v>
      </c>
      <c r="E5325" s="29" t="s">
        <v>448</v>
      </c>
      <c r="F5325" s="29" t="s">
        <v>284</v>
      </c>
      <c r="G5325" s="25" t="s">
        <v>7014</v>
      </c>
      <c r="H5325" s="26">
        <v>-0.1406</v>
      </c>
      <c r="I5325" s="26"/>
      <c r="J5325" s="26" t="s">
        <v>514</v>
      </c>
      <c r="K5325" s="25" t="s">
        <v>528</v>
      </c>
    </row>
    <row r="5326" spans="1:11" ht="38.25" x14ac:dyDescent="0.25">
      <c r="A5326" s="22">
        <v>2026</v>
      </c>
      <c r="B5326" s="28" t="s">
        <v>222</v>
      </c>
      <c r="C5326" s="28" t="s">
        <v>97</v>
      </c>
      <c r="D5326" s="28" t="s">
        <v>244</v>
      </c>
      <c r="E5326" s="29" t="s">
        <v>448</v>
      </c>
      <c r="F5326" s="29" t="s">
        <v>284</v>
      </c>
      <c r="G5326" s="25" t="s">
        <v>7015</v>
      </c>
      <c r="H5326" s="26">
        <v>-3.4879529999999999E-2</v>
      </c>
      <c r="I5326" s="26"/>
      <c r="J5326" s="26" t="s">
        <v>514</v>
      </c>
      <c r="K5326" s="25" t="s">
        <v>528</v>
      </c>
    </row>
    <row r="5327" spans="1:11" ht="38.25" x14ac:dyDescent="0.25">
      <c r="A5327" s="22">
        <v>2026</v>
      </c>
      <c r="B5327" s="28" t="s">
        <v>222</v>
      </c>
      <c r="C5327" s="28" t="s">
        <v>97</v>
      </c>
      <c r="D5327" s="28" t="s">
        <v>244</v>
      </c>
      <c r="E5327" s="29" t="s">
        <v>448</v>
      </c>
      <c r="F5327" s="29" t="s">
        <v>284</v>
      </c>
      <c r="G5327" s="25" t="s">
        <v>7016</v>
      </c>
      <c r="H5327" s="26">
        <v>-0.118428885</v>
      </c>
      <c r="I5327" s="26"/>
      <c r="J5327" s="26" t="s">
        <v>514</v>
      </c>
      <c r="K5327" s="25" t="s">
        <v>528</v>
      </c>
    </row>
    <row r="5328" spans="1:11" ht="38.25" x14ac:dyDescent="0.25">
      <c r="A5328" s="22">
        <v>2026</v>
      </c>
      <c r="B5328" s="28" t="s">
        <v>222</v>
      </c>
      <c r="C5328" s="28" t="s">
        <v>97</v>
      </c>
      <c r="D5328" s="28" t="s">
        <v>244</v>
      </c>
      <c r="E5328" s="29" t="s">
        <v>448</v>
      </c>
      <c r="F5328" s="29" t="s">
        <v>284</v>
      </c>
      <c r="G5328" s="25" t="s">
        <v>7017</v>
      </c>
      <c r="H5328" s="26">
        <v>-0.13950000000000001</v>
      </c>
      <c r="I5328" s="26"/>
      <c r="J5328" s="26" t="s">
        <v>514</v>
      </c>
      <c r="K5328" s="25" t="s">
        <v>528</v>
      </c>
    </row>
    <row r="5329" spans="1:11" ht="38.25" x14ac:dyDescent="0.25">
      <c r="A5329" s="22">
        <v>2026</v>
      </c>
      <c r="B5329" s="28" t="s">
        <v>222</v>
      </c>
      <c r="C5329" s="28" t="s">
        <v>97</v>
      </c>
      <c r="D5329" s="28" t="s">
        <v>244</v>
      </c>
      <c r="E5329" s="29" t="s">
        <v>448</v>
      </c>
      <c r="F5329" s="29" t="s">
        <v>284</v>
      </c>
      <c r="G5329" s="25" t="s">
        <v>7018</v>
      </c>
      <c r="H5329" s="26">
        <v>-0.20745</v>
      </c>
      <c r="I5329" s="26"/>
      <c r="J5329" s="26" t="s">
        <v>514</v>
      </c>
      <c r="K5329" s="25" t="s">
        <v>528</v>
      </c>
    </row>
    <row r="5330" spans="1:11" ht="38.25" x14ac:dyDescent="0.25">
      <c r="A5330" s="22">
        <v>2026</v>
      </c>
      <c r="B5330" s="28" t="s">
        <v>222</v>
      </c>
      <c r="C5330" s="28" t="s">
        <v>97</v>
      </c>
      <c r="D5330" s="28" t="s">
        <v>244</v>
      </c>
      <c r="E5330" s="29" t="s">
        <v>448</v>
      </c>
      <c r="F5330" s="29" t="s">
        <v>284</v>
      </c>
      <c r="G5330" s="25" t="s">
        <v>7019</v>
      </c>
      <c r="H5330" s="26">
        <v>-0.27760000000000001</v>
      </c>
      <c r="I5330" s="26"/>
      <c r="J5330" s="26" t="s">
        <v>514</v>
      </c>
      <c r="K5330" s="25" t="s">
        <v>528</v>
      </c>
    </row>
    <row r="5331" spans="1:11" ht="38.25" x14ac:dyDescent="0.25">
      <c r="A5331" s="22">
        <v>2026</v>
      </c>
      <c r="B5331" s="28" t="s">
        <v>222</v>
      </c>
      <c r="C5331" s="28" t="s">
        <v>97</v>
      </c>
      <c r="D5331" s="28" t="s">
        <v>244</v>
      </c>
      <c r="E5331" s="29" t="s">
        <v>448</v>
      </c>
      <c r="F5331" s="29" t="s">
        <v>284</v>
      </c>
      <c r="G5331" s="25" t="s">
        <v>7020</v>
      </c>
      <c r="H5331" s="26">
        <v>-7.7321119999999993E-2</v>
      </c>
      <c r="I5331" s="26"/>
      <c r="J5331" s="26" t="s">
        <v>514</v>
      </c>
      <c r="K5331" s="25" t="s">
        <v>528</v>
      </c>
    </row>
    <row r="5332" spans="1:11" ht="38.25" x14ac:dyDescent="0.25">
      <c r="A5332" s="22">
        <v>2026</v>
      </c>
      <c r="B5332" s="28" t="s">
        <v>222</v>
      </c>
      <c r="C5332" s="28" t="s">
        <v>97</v>
      </c>
      <c r="D5332" s="28" t="s">
        <v>244</v>
      </c>
      <c r="E5332" s="29" t="s">
        <v>448</v>
      </c>
      <c r="F5332" s="29" t="s">
        <v>284</v>
      </c>
      <c r="G5332" s="25" t="s">
        <v>7021</v>
      </c>
      <c r="H5332" s="26">
        <v>-0.34250000000000003</v>
      </c>
      <c r="I5332" s="26"/>
      <c r="J5332" s="26" t="s">
        <v>514</v>
      </c>
      <c r="K5332" s="25" t="s">
        <v>528</v>
      </c>
    </row>
    <row r="5333" spans="1:11" ht="38.25" x14ac:dyDescent="0.25">
      <c r="A5333" s="22">
        <v>2026</v>
      </c>
      <c r="B5333" s="28" t="s">
        <v>222</v>
      </c>
      <c r="C5333" s="28" t="s">
        <v>97</v>
      </c>
      <c r="D5333" s="28" t="s">
        <v>244</v>
      </c>
      <c r="E5333" s="29" t="s">
        <v>448</v>
      </c>
      <c r="F5333" s="29" t="s">
        <v>284</v>
      </c>
      <c r="G5333" s="25" t="s">
        <v>6787</v>
      </c>
      <c r="H5333" s="26">
        <v>-0.1366</v>
      </c>
      <c r="I5333" s="26"/>
      <c r="J5333" s="26" t="s">
        <v>514</v>
      </c>
      <c r="K5333" s="25" t="s">
        <v>528</v>
      </c>
    </row>
    <row r="5334" spans="1:11" ht="38.25" x14ac:dyDescent="0.25">
      <c r="A5334" s="22">
        <v>2026</v>
      </c>
      <c r="B5334" s="28" t="s">
        <v>222</v>
      </c>
      <c r="C5334" s="28" t="s">
        <v>97</v>
      </c>
      <c r="D5334" s="28" t="s">
        <v>244</v>
      </c>
      <c r="E5334" s="29" t="s">
        <v>448</v>
      </c>
      <c r="F5334" s="29" t="s">
        <v>284</v>
      </c>
      <c r="G5334" s="25" t="s">
        <v>7022</v>
      </c>
      <c r="H5334" s="26">
        <v>-0.54879999999999995</v>
      </c>
      <c r="I5334" s="26"/>
      <c r="J5334" s="26" t="s">
        <v>514</v>
      </c>
      <c r="K5334" s="25" t="s">
        <v>528</v>
      </c>
    </row>
    <row r="5335" spans="1:11" ht="38.25" x14ac:dyDescent="0.25">
      <c r="A5335" s="22">
        <v>2026</v>
      </c>
      <c r="B5335" s="28" t="s">
        <v>222</v>
      </c>
      <c r="C5335" s="28" t="s">
        <v>97</v>
      </c>
      <c r="D5335" s="28" t="s">
        <v>244</v>
      </c>
      <c r="E5335" s="29" t="s">
        <v>448</v>
      </c>
      <c r="F5335" s="29" t="s">
        <v>284</v>
      </c>
      <c r="G5335" s="25" t="s">
        <v>7023</v>
      </c>
      <c r="H5335" s="26">
        <v>-0.20399999999999999</v>
      </c>
      <c r="I5335" s="26"/>
      <c r="J5335" s="26" t="s">
        <v>514</v>
      </c>
      <c r="K5335" s="25" t="s">
        <v>528</v>
      </c>
    </row>
    <row r="5336" spans="1:11" ht="38.25" x14ac:dyDescent="0.25">
      <c r="A5336" s="22">
        <v>2026</v>
      </c>
      <c r="B5336" s="28" t="s">
        <v>222</v>
      </c>
      <c r="C5336" s="28" t="s">
        <v>97</v>
      </c>
      <c r="D5336" s="28" t="s">
        <v>244</v>
      </c>
      <c r="E5336" s="29" t="s">
        <v>448</v>
      </c>
      <c r="F5336" s="29" t="s">
        <v>284</v>
      </c>
      <c r="G5336" s="25" t="s">
        <v>7023</v>
      </c>
      <c r="H5336" s="26">
        <v>-0.20399999999999999</v>
      </c>
      <c r="I5336" s="26"/>
      <c r="J5336" s="26" t="s">
        <v>514</v>
      </c>
      <c r="K5336" s="25" t="s">
        <v>528</v>
      </c>
    </row>
    <row r="5337" spans="1:11" ht="38.25" x14ac:dyDescent="0.25">
      <c r="A5337" s="22">
        <v>2026</v>
      </c>
      <c r="B5337" s="28" t="s">
        <v>222</v>
      </c>
      <c r="C5337" s="28" t="s">
        <v>97</v>
      </c>
      <c r="D5337" s="28" t="s">
        <v>244</v>
      </c>
      <c r="E5337" s="29" t="s">
        <v>448</v>
      </c>
      <c r="F5337" s="29" t="s">
        <v>284</v>
      </c>
      <c r="G5337" s="25" t="s">
        <v>7024</v>
      </c>
      <c r="H5337" s="26">
        <v>-0.16007904000000001</v>
      </c>
      <c r="I5337" s="26"/>
      <c r="J5337" s="26" t="s">
        <v>514</v>
      </c>
      <c r="K5337" s="25" t="s">
        <v>528</v>
      </c>
    </row>
    <row r="5338" spans="1:11" ht="38.25" x14ac:dyDescent="0.25">
      <c r="A5338" s="22">
        <v>2026</v>
      </c>
      <c r="B5338" s="28" t="s">
        <v>222</v>
      </c>
      <c r="C5338" s="28" t="s">
        <v>97</v>
      </c>
      <c r="D5338" s="28" t="s">
        <v>244</v>
      </c>
      <c r="E5338" s="29" t="s">
        <v>448</v>
      </c>
      <c r="F5338" s="29" t="s">
        <v>284</v>
      </c>
      <c r="G5338" s="25" t="s">
        <v>7025</v>
      </c>
      <c r="H5338" s="26">
        <v>-0.36239688000000003</v>
      </c>
      <c r="I5338" s="26"/>
      <c r="J5338" s="26" t="s">
        <v>514</v>
      </c>
      <c r="K5338" s="25" t="s">
        <v>528</v>
      </c>
    </row>
    <row r="5339" spans="1:11" ht="38.25" x14ac:dyDescent="0.25">
      <c r="A5339" s="22">
        <v>2026</v>
      </c>
      <c r="B5339" s="28" t="s">
        <v>222</v>
      </c>
      <c r="C5339" s="28" t="s">
        <v>97</v>
      </c>
      <c r="D5339" s="28" t="s">
        <v>244</v>
      </c>
      <c r="E5339" s="29" t="s">
        <v>448</v>
      </c>
      <c r="F5339" s="29" t="s">
        <v>284</v>
      </c>
      <c r="G5339" s="25" t="s">
        <v>7026</v>
      </c>
      <c r="H5339" s="26">
        <v>-1.69591392</v>
      </c>
      <c r="I5339" s="26"/>
      <c r="J5339" s="26" t="s">
        <v>514</v>
      </c>
      <c r="K5339" s="25" t="s">
        <v>528</v>
      </c>
    </row>
    <row r="5340" spans="1:11" ht="38.25" x14ac:dyDescent="0.25">
      <c r="A5340" s="22">
        <v>2026</v>
      </c>
      <c r="B5340" s="28" t="s">
        <v>222</v>
      </c>
      <c r="C5340" s="28" t="s">
        <v>97</v>
      </c>
      <c r="D5340" s="28" t="s">
        <v>244</v>
      </c>
      <c r="E5340" s="29" t="s">
        <v>448</v>
      </c>
      <c r="F5340" s="29" t="s">
        <v>284</v>
      </c>
      <c r="G5340" s="25" t="s">
        <v>7027</v>
      </c>
      <c r="H5340" s="26">
        <v>-3.2277915000000004E-2</v>
      </c>
      <c r="I5340" s="26"/>
      <c r="J5340" s="26" t="s">
        <v>514</v>
      </c>
      <c r="K5340" s="25" t="s">
        <v>528</v>
      </c>
    </row>
    <row r="5341" spans="1:11" ht="25.5" x14ac:dyDescent="0.25">
      <c r="A5341" s="22">
        <v>2026</v>
      </c>
      <c r="B5341" s="28" t="s">
        <v>222</v>
      </c>
      <c r="C5341" s="28" t="s">
        <v>97</v>
      </c>
      <c r="D5341" s="28" t="s">
        <v>1741</v>
      </c>
      <c r="E5341" s="29" t="s">
        <v>985</v>
      </c>
      <c r="F5341" s="29" t="s">
        <v>340</v>
      </c>
      <c r="G5341" s="25" t="s">
        <v>7028</v>
      </c>
      <c r="H5341" s="26">
        <v>-0.87</v>
      </c>
      <c r="I5341" s="26"/>
      <c r="J5341" s="26" t="s">
        <v>512</v>
      </c>
      <c r="K5341" s="25" t="s">
        <v>513</v>
      </c>
    </row>
    <row r="5342" spans="1:11" ht="25.5" x14ac:dyDescent="0.25">
      <c r="A5342" s="22">
        <v>2026</v>
      </c>
      <c r="B5342" s="28" t="s">
        <v>222</v>
      </c>
      <c r="C5342" s="28" t="s">
        <v>97</v>
      </c>
      <c r="D5342" s="28" t="s">
        <v>1741</v>
      </c>
      <c r="E5342" s="29" t="s">
        <v>985</v>
      </c>
      <c r="F5342" s="29" t="s">
        <v>340</v>
      </c>
      <c r="G5342" s="25" t="s">
        <v>7029</v>
      </c>
      <c r="H5342" s="26">
        <v>-0.30700250000000001</v>
      </c>
      <c r="I5342" s="26"/>
      <c r="J5342" s="26" t="s">
        <v>512</v>
      </c>
      <c r="K5342" s="25" t="s">
        <v>513</v>
      </c>
    </row>
    <row r="5343" spans="1:11" ht="25.5" x14ac:dyDescent="0.25">
      <c r="A5343" s="22">
        <v>2026</v>
      </c>
      <c r="B5343" s="28" t="s">
        <v>222</v>
      </c>
      <c r="C5343" s="28" t="s">
        <v>97</v>
      </c>
      <c r="D5343" s="28" t="s">
        <v>1741</v>
      </c>
      <c r="E5343" s="29" t="s">
        <v>985</v>
      </c>
      <c r="F5343" s="29" t="s">
        <v>340</v>
      </c>
      <c r="G5343" s="25" t="s">
        <v>7030</v>
      </c>
      <c r="H5343" s="26">
        <v>-0.36481200000000003</v>
      </c>
      <c r="I5343" s="26"/>
      <c r="J5343" s="26" t="s">
        <v>512</v>
      </c>
      <c r="K5343" s="25" t="s">
        <v>513</v>
      </c>
    </row>
    <row r="5344" spans="1:11" ht="25.5" x14ac:dyDescent="0.25">
      <c r="A5344" s="22">
        <v>2026</v>
      </c>
      <c r="B5344" s="28" t="s">
        <v>222</v>
      </c>
      <c r="C5344" s="28" t="s">
        <v>97</v>
      </c>
      <c r="D5344" s="28" t="s">
        <v>1741</v>
      </c>
      <c r="E5344" s="29" t="s">
        <v>985</v>
      </c>
      <c r="F5344" s="29" t="s">
        <v>340</v>
      </c>
      <c r="G5344" s="25" t="s">
        <v>7031</v>
      </c>
      <c r="H5344" s="26">
        <v>-0.109926</v>
      </c>
      <c r="I5344" s="26"/>
      <c r="J5344" s="26" t="s">
        <v>512</v>
      </c>
      <c r="K5344" s="25" t="s">
        <v>513</v>
      </c>
    </row>
    <row r="5345" spans="1:11" ht="25.5" x14ac:dyDescent="0.25">
      <c r="A5345" s="22">
        <v>2026</v>
      </c>
      <c r="B5345" s="28" t="s">
        <v>222</v>
      </c>
      <c r="C5345" s="28" t="s">
        <v>97</v>
      </c>
      <c r="D5345" s="28" t="s">
        <v>1741</v>
      </c>
      <c r="E5345" s="29" t="s">
        <v>985</v>
      </c>
      <c r="F5345" s="29" t="s">
        <v>340</v>
      </c>
      <c r="G5345" s="25" t="s">
        <v>7032</v>
      </c>
      <c r="H5345" s="26">
        <v>-0.38150000000000001</v>
      </c>
      <c r="I5345" s="26"/>
      <c r="J5345" s="26" t="s">
        <v>512</v>
      </c>
      <c r="K5345" s="25" t="s">
        <v>513</v>
      </c>
    </row>
    <row r="5346" spans="1:11" ht="25.5" x14ac:dyDescent="0.25">
      <c r="A5346" s="22">
        <v>2026</v>
      </c>
      <c r="B5346" s="28" t="s">
        <v>222</v>
      </c>
      <c r="C5346" s="28" t="s">
        <v>97</v>
      </c>
      <c r="D5346" s="28" t="s">
        <v>1742</v>
      </c>
      <c r="E5346" s="29" t="s">
        <v>1742</v>
      </c>
      <c r="F5346" s="29" t="s">
        <v>284</v>
      </c>
      <c r="G5346" s="25" t="s">
        <v>7033</v>
      </c>
      <c r="H5346" s="26">
        <v>-3.127098E-3</v>
      </c>
      <c r="I5346" s="26"/>
      <c r="J5346" s="26" t="s">
        <v>1773</v>
      </c>
      <c r="K5346" s="25" t="s">
        <v>513</v>
      </c>
    </row>
    <row r="5347" spans="1:11" ht="25.5" x14ac:dyDescent="0.25">
      <c r="A5347" s="22">
        <v>2026</v>
      </c>
      <c r="B5347" s="28" t="s">
        <v>222</v>
      </c>
      <c r="C5347" s="28" t="s">
        <v>97</v>
      </c>
      <c r="D5347" s="28" t="s">
        <v>1742</v>
      </c>
      <c r="E5347" s="29" t="s">
        <v>1742</v>
      </c>
      <c r="F5347" s="29" t="s">
        <v>284</v>
      </c>
      <c r="G5347" s="25" t="s">
        <v>7034</v>
      </c>
      <c r="H5347" s="26">
        <v>-0.46195999999999998</v>
      </c>
      <c r="I5347" s="26"/>
      <c r="J5347" s="26" t="s">
        <v>1773</v>
      </c>
      <c r="K5347" s="25" t="s">
        <v>513</v>
      </c>
    </row>
    <row r="5348" spans="1:11" ht="25.5" x14ac:dyDescent="0.25">
      <c r="A5348" s="22">
        <v>2026</v>
      </c>
      <c r="B5348" s="28" t="s">
        <v>222</v>
      </c>
      <c r="C5348" s="28" t="s">
        <v>97</v>
      </c>
      <c r="D5348" s="28" t="s">
        <v>1742</v>
      </c>
      <c r="E5348" s="29" t="s">
        <v>1742</v>
      </c>
      <c r="F5348" s="29" t="s">
        <v>284</v>
      </c>
      <c r="G5348" s="25" t="s">
        <v>7035</v>
      </c>
      <c r="H5348" s="26">
        <v>-0.47881000000000001</v>
      </c>
      <c r="I5348" s="26"/>
      <c r="J5348" s="26" t="s">
        <v>1773</v>
      </c>
      <c r="K5348" s="25" t="s">
        <v>513</v>
      </c>
    </row>
    <row r="5349" spans="1:11" ht="25.5" x14ac:dyDescent="0.25">
      <c r="A5349" s="22">
        <v>2026</v>
      </c>
      <c r="B5349" s="28" t="s">
        <v>222</v>
      </c>
      <c r="C5349" s="28" t="s">
        <v>97</v>
      </c>
      <c r="D5349" s="28" t="s">
        <v>1742</v>
      </c>
      <c r="E5349" s="29" t="s">
        <v>1742</v>
      </c>
      <c r="F5349" s="29" t="s">
        <v>284</v>
      </c>
      <c r="G5349" s="25" t="s">
        <v>7036</v>
      </c>
      <c r="H5349" s="26">
        <v>-0.48004000000000002</v>
      </c>
      <c r="I5349" s="26"/>
      <c r="J5349" s="26" t="s">
        <v>1773</v>
      </c>
      <c r="K5349" s="25" t="s">
        <v>513</v>
      </c>
    </row>
    <row r="5350" spans="1:11" ht="25.5" x14ac:dyDescent="0.25">
      <c r="A5350" s="22">
        <v>2026</v>
      </c>
      <c r="B5350" s="28" t="s">
        <v>222</v>
      </c>
      <c r="C5350" s="28" t="s">
        <v>97</v>
      </c>
      <c r="D5350" s="28" t="s">
        <v>1742</v>
      </c>
      <c r="E5350" s="29" t="s">
        <v>1742</v>
      </c>
      <c r="F5350" s="29" t="s">
        <v>284</v>
      </c>
      <c r="G5350" s="25" t="s">
        <v>7037</v>
      </c>
      <c r="H5350" s="26">
        <v>-0.50166999999999995</v>
      </c>
      <c r="I5350" s="26"/>
      <c r="J5350" s="26" t="s">
        <v>1773</v>
      </c>
      <c r="K5350" s="25" t="s">
        <v>513</v>
      </c>
    </row>
    <row r="5351" spans="1:11" ht="25.5" x14ac:dyDescent="0.25">
      <c r="A5351" s="22">
        <v>2026</v>
      </c>
      <c r="B5351" s="28" t="s">
        <v>222</v>
      </c>
      <c r="C5351" s="28" t="s">
        <v>97</v>
      </c>
      <c r="D5351" s="28" t="s">
        <v>1742</v>
      </c>
      <c r="E5351" s="29" t="s">
        <v>1742</v>
      </c>
      <c r="F5351" s="29" t="s">
        <v>284</v>
      </c>
      <c r="G5351" s="25" t="s">
        <v>7038</v>
      </c>
      <c r="H5351" s="26">
        <v>-0.51395999999999997</v>
      </c>
      <c r="I5351" s="26"/>
      <c r="J5351" s="26" t="s">
        <v>1773</v>
      </c>
      <c r="K5351" s="25" t="s">
        <v>513</v>
      </c>
    </row>
    <row r="5352" spans="1:11" ht="25.5" x14ac:dyDescent="0.25">
      <c r="A5352" s="22">
        <v>2026</v>
      </c>
      <c r="B5352" s="28" t="s">
        <v>222</v>
      </c>
      <c r="C5352" s="28" t="s">
        <v>97</v>
      </c>
      <c r="D5352" s="28" t="s">
        <v>1743</v>
      </c>
      <c r="E5352" s="29" t="s">
        <v>331</v>
      </c>
      <c r="F5352" s="29" t="s">
        <v>494</v>
      </c>
      <c r="G5352" s="25" t="s">
        <v>7039</v>
      </c>
      <c r="H5352" s="26">
        <v>-2.4146509530000002</v>
      </c>
      <c r="I5352" s="26"/>
      <c r="J5352" s="26" t="s">
        <v>512</v>
      </c>
      <c r="K5352" s="25" t="s">
        <v>513</v>
      </c>
    </row>
    <row r="5353" spans="1:11" ht="25.5" x14ac:dyDescent="0.25">
      <c r="A5353" s="22">
        <v>2026</v>
      </c>
      <c r="B5353" s="28" t="s">
        <v>222</v>
      </c>
      <c r="C5353" s="28" t="s">
        <v>97</v>
      </c>
      <c r="D5353" s="28" t="s">
        <v>1743</v>
      </c>
      <c r="E5353" s="29" t="s">
        <v>331</v>
      </c>
      <c r="F5353" s="29" t="s">
        <v>494</v>
      </c>
      <c r="G5353" s="25" t="s">
        <v>7040</v>
      </c>
      <c r="H5353" s="26">
        <v>-1.9370050000000001</v>
      </c>
      <c r="I5353" s="26"/>
      <c r="J5353" s="26" t="s">
        <v>512</v>
      </c>
      <c r="K5353" s="25" t="s">
        <v>513</v>
      </c>
    </row>
    <row r="5354" spans="1:11" ht="25.5" x14ac:dyDescent="0.25">
      <c r="A5354" s="22">
        <v>2026</v>
      </c>
      <c r="B5354" s="28" t="s">
        <v>222</v>
      </c>
      <c r="C5354" s="28" t="s">
        <v>97</v>
      </c>
      <c r="D5354" s="28" t="s">
        <v>1743</v>
      </c>
      <c r="E5354" s="29" t="s">
        <v>331</v>
      </c>
      <c r="F5354" s="29" t="s">
        <v>494</v>
      </c>
      <c r="G5354" s="25" t="s">
        <v>7041</v>
      </c>
      <c r="H5354" s="26">
        <v>-0.22028400000000001</v>
      </c>
      <c r="I5354" s="26"/>
      <c r="J5354" s="26" t="s">
        <v>512</v>
      </c>
      <c r="K5354" s="25" t="s">
        <v>513</v>
      </c>
    </row>
    <row r="5355" spans="1:11" ht="25.5" x14ac:dyDescent="0.25">
      <c r="A5355" s="22">
        <v>2026</v>
      </c>
      <c r="B5355" s="28" t="s">
        <v>222</v>
      </c>
      <c r="C5355" s="28" t="s">
        <v>97</v>
      </c>
      <c r="D5355" s="28" t="s">
        <v>1743</v>
      </c>
      <c r="E5355" s="29" t="s">
        <v>331</v>
      </c>
      <c r="F5355" s="29" t="s">
        <v>494</v>
      </c>
      <c r="G5355" s="25" t="s">
        <v>7042</v>
      </c>
      <c r="H5355" s="26">
        <v>-1.63446</v>
      </c>
      <c r="I5355" s="26"/>
      <c r="J5355" s="26" t="s">
        <v>512</v>
      </c>
      <c r="K5355" s="25" t="s">
        <v>513</v>
      </c>
    </row>
    <row r="5356" spans="1:11" ht="25.5" x14ac:dyDescent="0.25">
      <c r="A5356" s="22">
        <v>2026</v>
      </c>
      <c r="B5356" s="28" t="s">
        <v>222</v>
      </c>
      <c r="C5356" s="28" t="s">
        <v>97</v>
      </c>
      <c r="D5356" s="28" t="s">
        <v>1743</v>
      </c>
      <c r="E5356" s="29" t="s">
        <v>331</v>
      </c>
      <c r="F5356" s="29" t="s">
        <v>494</v>
      </c>
      <c r="G5356" s="25" t="s">
        <v>7043</v>
      </c>
      <c r="H5356" s="26">
        <v>-0.57437388470000006</v>
      </c>
      <c r="I5356" s="26"/>
      <c r="J5356" s="26" t="s">
        <v>512</v>
      </c>
      <c r="K5356" s="25" t="s">
        <v>513</v>
      </c>
    </row>
    <row r="5357" spans="1:11" ht="25.5" x14ac:dyDescent="0.25">
      <c r="A5357" s="22">
        <v>2026</v>
      </c>
      <c r="B5357" s="28" t="s">
        <v>222</v>
      </c>
      <c r="C5357" s="28" t="s">
        <v>97</v>
      </c>
      <c r="D5357" s="28" t="s">
        <v>1743</v>
      </c>
      <c r="E5357" s="29" t="s">
        <v>331</v>
      </c>
      <c r="F5357" s="29" t="s">
        <v>494</v>
      </c>
      <c r="G5357" s="25" t="s">
        <v>7044</v>
      </c>
      <c r="H5357" s="26">
        <v>-1.1624300000000001</v>
      </c>
      <c r="I5357" s="26"/>
      <c r="J5357" s="26" t="s">
        <v>512</v>
      </c>
      <c r="K5357" s="25" t="s">
        <v>513</v>
      </c>
    </row>
    <row r="5358" spans="1:11" ht="25.5" x14ac:dyDescent="0.25">
      <c r="A5358" s="22">
        <v>2026</v>
      </c>
      <c r="B5358" s="28" t="s">
        <v>222</v>
      </c>
      <c r="C5358" s="28" t="s">
        <v>97</v>
      </c>
      <c r="D5358" s="28" t="s">
        <v>1743</v>
      </c>
      <c r="E5358" s="29" t="s">
        <v>331</v>
      </c>
      <c r="F5358" s="29" t="s">
        <v>494</v>
      </c>
      <c r="G5358" s="25" t="s">
        <v>7045</v>
      </c>
      <c r="H5358" s="26">
        <v>-0.23131599999999999</v>
      </c>
      <c r="I5358" s="26"/>
      <c r="J5358" s="26" t="s">
        <v>512</v>
      </c>
      <c r="K5358" s="25" t="s">
        <v>513</v>
      </c>
    </row>
    <row r="5359" spans="1:11" ht="25.5" x14ac:dyDescent="0.25">
      <c r="A5359" s="22">
        <v>2026</v>
      </c>
      <c r="B5359" s="28" t="s">
        <v>222</v>
      </c>
      <c r="C5359" s="28" t="s">
        <v>97</v>
      </c>
      <c r="D5359" s="28" t="s">
        <v>1743</v>
      </c>
      <c r="E5359" s="29" t="s">
        <v>331</v>
      </c>
      <c r="F5359" s="29" t="s">
        <v>494</v>
      </c>
      <c r="G5359" s="25" t="s">
        <v>7046</v>
      </c>
      <c r="H5359" s="26">
        <v>-0.81300099999999997</v>
      </c>
      <c r="I5359" s="26"/>
      <c r="J5359" s="26" t="s">
        <v>512</v>
      </c>
      <c r="K5359" s="25" t="s">
        <v>513</v>
      </c>
    </row>
    <row r="5360" spans="1:11" ht="25.5" x14ac:dyDescent="0.25">
      <c r="A5360" s="22">
        <v>2026</v>
      </c>
      <c r="B5360" s="28" t="s">
        <v>222</v>
      </c>
      <c r="C5360" s="28" t="s">
        <v>97</v>
      </c>
      <c r="D5360" s="28" t="s">
        <v>545</v>
      </c>
      <c r="E5360" s="29" t="s">
        <v>583</v>
      </c>
      <c r="F5360" s="29" t="s">
        <v>284</v>
      </c>
      <c r="G5360" s="25" t="s">
        <v>7047</v>
      </c>
      <c r="H5360" s="26">
        <v>-0.45656060463999998</v>
      </c>
      <c r="I5360" s="26"/>
      <c r="J5360" s="26" t="s">
        <v>512</v>
      </c>
      <c r="K5360" s="25" t="s">
        <v>513</v>
      </c>
    </row>
    <row r="5361" spans="1:11" ht="25.5" x14ac:dyDescent="0.25">
      <c r="A5361" s="22">
        <v>2026</v>
      </c>
      <c r="B5361" s="28" t="s">
        <v>222</v>
      </c>
      <c r="C5361" s="28" t="s">
        <v>97</v>
      </c>
      <c r="D5361" s="28" t="s">
        <v>545</v>
      </c>
      <c r="E5361" s="29" t="s">
        <v>583</v>
      </c>
      <c r="F5361" s="29" t="s">
        <v>284</v>
      </c>
      <c r="G5361" s="25" t="s">
        <v>7048</v>
      </c>
      <c r="H5361" s="26">
        <v>-0.15293166480000001</v>
      </c>
      <c r="I5361" s="26"/>
      <c r="J5361" s="26" t="s">
        <v>512</v>
      </c>
      <c r="K5361" s="25" t="s">
        <v>513</v>
      </c>
    </row>
    <row r="5362" spans="1:11" ht="25.5" x14ac:dyDescent="0.25">
      <c r="A5362" s="22">
        <v>2026</v>
      </c>
      <c r="B5362" s="28" t="s">
        <v>222</v>
      </c>
      <c r="C5362" s="28" t="s">
        <v>97</v>
      </c>
      <c r="D5362" s="28" t="s">
        <v>545</v>
      </c>
      <c r="E5362" s="29" t="s">
        <v>583</v>
      </c>
      <c r="F5362" s="29" t="s">
        <v>284</v>
      </c>
      <c r="G5362" s="25" t="s">
        <v>7049</v>
      </c>
      <c r="H5362" s="26">
        <v>-0.27654029070999997</v>
      </c>
      <c r="I5362" s="26"/>
      <c r="J5362" s="26" t="s">
        <v>512</v>
      </c>
      <c r="K5362" s="25" t="s">
        <v>513</v>
      </c>
    </row>
    <row r="5363" spans="1:11" ht="25.5" x14ac:dyDescent="0.25">
      <c r="A5363" s="22">
        <v>2026</v>
      </c>
      <c r="B5363" s="28" t="s">
        <v>222</v>
      </c>
      <c r="C5363" s="28" t="s">
        <v>97</v>
      </c>
      <c r="D5363" s="28" t="s">
        <v>545</v>
      </c>
      <c r="E5363" s="29" t="s">
        <v>583</v>
      </c>
      <c r="F5363" s="29" t="s">
        <v>284</v>
      </c>
      <c r="G5363" s="25" t="s">
        <v>7050</v>
      </c>
      <c r="H5363" s="26">
        <v>-0.46737672099999999</v>
      </c>
      <c r="I5363" s="26"/>
      <c r="J5363" s="26" t="s">
        <v>512</v>
      </c>
      <c r="K5363" s="25" t="s">
        <v>513</v>
      </c>
    </row>
    <row r="5364" spans="1:11" ht="25.5" x14ac:dyDescent="0.25">
      <c r="A5364" s="22">
        <v>2026</v>
      </c>
      <c r="B5364" s="28" t="s">
        <v>222</v>
      </c>
      <c r="C5364" s="28" t="s">
        <v>97</v>
      </c>
      <c r="D5364" s="28" t="s">
        <v>545</v>
      </c>
      <c r="E5364" s="29" t="s">
        <v>583</v>
      </c>
      <c r="F5364" s="29" t="s">
        <v>284</v>
      </c>
      <c r="G5364" s="25" t="s">
        <v>7051</v>
      </c>
      <c r="H5364" s="26">
        <v>-0.38644800000000001</v>
      </c>
      <c r="I5364" s="26"/>
      <c r="J5364" s="26" t="s">
        <v>512</v>
      </c>
      <c r="K5364" s="25" t="s">
        <v>513</v>
      </c>
    </row>
    <row r="5365" spans="1:11" ht="25.5" x14ac:dyDescent="0.25">
      <c r="A5365" s="22">
        <v>2026</v>
      </c>
      <c r="B5365" s="28" t="s">
        <v>222</v>
      </c>
      <c r="C5365" s="28" t="s">
        <v>97</v>
      </c>
      <c r="D5365" s="28" t="s">
        <v>545</v>
      </c>
      <c r="E5365" s="29" t="s">
        <v>583</v>
      </c>
      <c r="F5365" s="29" t="s">
        <v>284</v>
      </c>
      <c r="G5365" s="25" t="s">
        <v>7052</v>
      </c>
      <c r="H5365" s="26">
        <v>-0.3795</v>
      </c>
      <c r="I5365" s="26"/>
      <c r="J5365" s="26" t="s">
        <v>512</v>
      </c>
      <c r="K5365" s="25" t="s">
        <v>513</v>
      </c>
    </row>
    <row r="5366" spans="1:11" ht="25.5" x14ac:dyDescent="0.25">
      <c r="A5366" s="22">
        <v>2026</v>
      </c>
      <c r="B5366" s="28" t="s">
        <v>222</v>
      </c>
      <c r="C5366" s="28" t="s">
        <v>97</v>
      </c>
      <c r="D5366" s="28" t="s">
        <v>545</v>
      </c>
      <c r="E5366" s="29" t="s">
        <v>583</v>
      </c>
      <c r="F5366" s="29" t="s">
        <v>284</v>
      </c>
      <c r="G5366" s="25" t="s">
        <v>7053</v>
      </c>
      <c r="H5366" s="26">
        <v>-2.7925985</v>
      </c>
      <c r="I5366" s="26"/>
      <c r="J5366" s="26" t="s">
        <v>512</v>
      </c>
      <c r="K5366" s="25" t="s">
        <v>513</v>
      </c>
    </row>
    <row r="5367" spans="1:11" ht="25.5" x14ac:dyDescent="0.25">
      <c r="A5367" s="22">
        <v>2026</v>
      </c>
      <c r="B5367" s="28" t="s">
        <v>222</v>
      </c>
      <c r="C5367" s="28" t="s">
        <v>97</v>
      </c>
      <c r="D5367" s="28" t="s">
        <v>545</v>
      </c>
      <c r="E5367" s="29" t="s">
        <v>583</v>
      </c>
      <c r="F5367" s="29" t="s">
        <v>284</v>
      </c>
      <c r="G5367" s="25" t="s">
        <v>7054</v>
      </c>
      <c r="H5367" s="26">
        <v>-2.5759605299999997</v>
      </c>
      <c r="I5367" s="26"/>
      <c r="J5367" s="26" t="s">
        <v>512</v>
      </c>
      <c r="K5367" s="25" t="s">
        <v>513</v>
      </c>
    </row>
    <row r="5368" spans="1:11" ht="25.5" x14ac:dyDescent="0.25">
      <c r="A5368" s="22">
        <v>2026</v>
      </c>
      <c r="B5368" s="28" t="s">
        <v>222</v>
      </c>
      <c r="C5368" s="28" t="s">
        <v>97</v>
      </c>
      <c r="D5368" s="28" t="s">
        <v>545</v>
      </c>
      <c r="E5368" s="29" t="s">
        <v>583</v>
      </c>
      <c r="F5368" s="29" t="s">
        <v>284</v>
      </c>
      <c r="G5368" s="25" t="s">
        <v>7055</v>
      </c>
      <c r="H5368" s="26">
        <v>-4.7039879999999998</v>
      </c>
      <c r="I5368" s="26"/>
      <c r="J5368" s="26" t="s">
        <v>512</v>
      </c>
      <c r="K5368" s="25" t="s">
        <v>513</v>
      </c>
    </row>
    <row r="5369" spans="1:11" ht="25.5" x14ac:dyDescent="0.25">
      <c r="A5369" s="22">
        <v>2026</v>
      </c>
      <c r="B5369" s="28" t="s">
        <v>222</v>
      </c>
      <c r="C5369" s="28" t="s">
        <v>97</v>
      </c>
      <c r="D5369" s="28" t="s">
        <v>545</v>
      </c>
      <c r="E5369" s="29" t="s">
        <v>583</v>
      </c>
      <c r="F5369" s="29" t="s">
        <v>284</v>
      </c>
      <c r="G5369" s="25" t="s">
        <v>7056</v>
      </c>
      <c r="H5369" s="26">
        <v>-4.7874359999999996</v>
      </c>
      <c r="I5369" s="26"/>
      <c r="J5369" s="26" t="s">
        <v>512</v>
      </c>
      <c r="K5369" s="25" t="s">
        <v>513</v>
      </c>
    </row>
    <row r="5370" spans="1:11" ht="25.5" x14ac:dyDescent="0.25">
      <c r="A5370" s="22">
        <v>2026</v>
      </c>
      <c r="B5370" s="28" t="s">
        <v>222</v>
      </c>
      <c r="C5370" s="28" t="s">
        <v>97</v>
      </c>
      <c r="D5370" s="28" t="s">
        <v>545</v>
      </c>
      <c r="E5370" s="29" t="s">
        <v>583</v>
      </c>
      <c r="F5370" s="29" t="s">
        <v>284</v>
      </c>
      <c r="G5370" s="25" t="s">
        <v>7057</v>
      </c>
      <c r="H5370" s="26">
        <v>-3.0944110561000002</v>
      </c>
      <c r="I5370" s="26"/>
      <c r="J5370" s="26" t="s">
        <v>512</v>
      </c>
      <c r="K5370" s="25" t="s">
        <v>513</v>
      </c>
    </row>
    <row r="5371" spans="1:11" ht="25.5" x14ac:dyDescent="0.25">
      <c r="A5371" s="22">
        <v>2026</v>
      </c>
      <c r="B5371" s="28" t="s">
        <v>222</v>
      </c>
      <c r="C5371" s="28" t="s">
        <v>97</v>
      </c>
      <c r="D5371" s="28" t="s">
        <v>545</v>
      </c>
      <c r="E5371" s="29" t="s">
        <v>583</v>
      </c>
      <c r="F5371" s="29" t="s">
        <v>284</v>
      </c>
      <c r="G5371" s="25" t="s">
        <v>7058</v>
      </c>
      <c r="H5371" s="26">
        <v>-3.1618431810000001</v>
      </c>
      <c r="I5371" s="26"/>
      <c r="J5371" s="26" t="s">
        <v>512</v>
      </c>
      <c r="K5371" s="25" t="s">
        <v>513</v>
      </c>
    </row>
    <row r="5372" spans="1:11" ht="25.5" x14ac:dyDescent="0.25">
      <c r="A5372" s="22">
        <v>2026</v>
      </c>
      <c r="B5372" s="28" t="s">
        <v>222</v>
      </c>
      <c r="C5372" s="28" t="s">
        <v>97</v>
      </c>
      <c r="D5372" s="28" t="s">
        <v>545</v>
      </c>
      <c r="E5372" s="29" t="s">
        <v>583</v>
      </c>
      <c r="F5372" s="29" t="s">
        <v>284</v>
      </c>
      <c r="G5372" s="25" t="s">
        <v>7059</v>
      </c>
      <c r="H5372" s="26">
        <v>-1.7063600270400001</v>
      </c>
      <c r="I5372" s="26"/>
      <c r="J5372" s="26" t="s">
        <v>512</v>
      </c>
      <c r="K5372" s="25" t="s">
        <v>513</v>
      </c>
    </row>
    <row r="5373" spans="1:11" ht="25.5" x14ac:dyDescent="0.25">
      <c r="A5373" s="22">
        <v>2026</v>
      </c>
      <c r="B5373" s="28" t="s">
        <v>222</v>
      </c>
      <c r="C5373" s="28" t="s">
        <v>97</v>
      </c>
      <c r="D5373" s="28" t="s">
        <v>545</v>
      </c>
      <c r="E5373" s="29" t="s">
        <v>583</v>
      </c>
      <c r="F5373" s="29" t="s">
        <v>284</v>
      </c>
      <c r="G5373" s="25" t="s">
        <v>7060</v>
      </c>
      <c r="H5373" s="26">
        <v>-2.0143703828500001</v>
      </c>
      <c r="I5373" s="26"/>
      <c r="J5373" s="26" t="s">
        <v>512</v>
      </c>
      <c r="K5373" s="25" t="s">
        <v>513</v>
      </c>
    </row>
    <row r="5374" spans="1:11" ht="25.5" x14ac:dyDescent="0.25">
      <c r="A5374" s="22">
        <v>2026</v>
      </c>
      <c r="B5374" s="28" t="s">
        <v>222</v>
      </c>
      <c r="C5374" s="28" t="s">
        <v>97</v>
      </c>
      <c r="D5374" s="28" t="s">
        <v>545</v>
      </c>
      <c r="E5374" s="29" t="s">
        <v>583</v>
      </c>
      <c r="F5374" s="29" t="s">
        <v>284</v>
      </c>
      <c r="G5374" s="25" t="s">
        <v>7061</v>
      </c>
      <c r="H5374" s="26">
        <v>-1.6364312997399999</v>
      </c>
      <c r="I5374" s="26"/>
      <c r="J5374" s="26" t="s">
        <v>512</v>
      </c>
      <c r="K5374" s="25" t="s">
        <v>513</v>
      </c>
    </row>
    <row r="5375" spans="1:11" ht="25.5" x14ac:dyDescent="0.25">
      <c r="A5375" s="22">
        <v>2026</v>
      </c>
      <c r="B5375" s="28" t="s">
        <v>222</v>
      </c>
      <c r="C5375" s="28" t="s">
        <v>97</v>
      </c>
      <c r="D5375" s="28" t="s">
        <v>545</v>
      </c>
      <c r="E5375" s="29" t="s">
        <v>583</v>
      </c>
      <c r="F5375" s="29" t="s">
        <v>284</v>
      </c>
      <c r="G5375" s="25" t="s">
        <v>7062</v>
      </c>
      <c r="H5375" s="26">
        <v>-2.3130679242299998</v>
      </c>
      <c r="I5375" s="26"/>
      <c r="J5375" s="26" t="s">
        <v>512</v>
      </c>
      <c r="K5375" s="25" t="s">
        <v>513</v>
      </c>
    </row>
    <row r="5376" spans="1:11" ht="25.5" x14ac:dyDescent="0.25">
      <c r="A5376" s="22">
        <v>2026</v>
      </c>
      <c r="B5376" s="28" t="s">
        <v>222</v>
      </c>
      <c r="C5376" s="28" t="s">
        <v>97</v>
      </c>
      <c r="D5376" s="28" t="s">
        <v>545</v>
      </c>
      <c r="E5376" s="29" t="s">
        <v>583</v>
      </c>
      <c r="F5376" s="29" t="s">
        <v>284</v>
      </c>
      <c r="G5376" s="25" t="s">
        <v>7063</v>
      </c>
      <c r="H5376" s="26">
        <v>-1.1516999995500001</v>
      </c>
      <c r="I5376" s="26"/>
      <c r="J5376" s="26" t="s">
        <v>512</v>
      </c>
      <c r="K5376" s="25" t="s">
        <v>513</v>
      </c>
    </row>
    <row r="5377" spans="1:11" ht="25.5" x14ac:dyDescent="0.25">
      <c r="A5377" s="22">
        <v>2026</v>
      </c>
      <c r="B5377" s="28" t="s">
        <v>222</v>
      </c>
      <c r="C5377" s="28" t="s">
        <v>97</v>
      </c>
      <c r="D5377" s="28" t="s">
        <v>545</v>
      </c>
      <c r="E5377" s="29" t="s">
        <v>583</v>
      </c>
      <c r="F5377" s="29" t="s">
        <v>284</v>
      </c>
      <c r="G5377" s="25" t="s">
        <v>7064</v>
      </c>
      <c r="H5377" s="26">
        <v>-3.8309985000000002</v>
      </c>
      <c r="I5377" s="26"/>
      <c r="J5377" s="26" t="s">
        <v>512</v>
      </c>
      <c r="K5377" s="25" t="s">
        <v>513</v>
      </c>
    </row>
    <row r="5378" spans="1:11" ht="25.5" x14ac:dyDescent="0.25">
      <c r="A5378" s="22">
        <v>2026</v>
      </c>
      <c r="B5378" s="28" t="s">
        <v>222</v>
      </c>
      <c r="C5378" s="28" t="s">
        <v>97</v>
      </c>
      <c r="D5378" s="28" t="s">
        <v>545</v>
      </c>
      <c r="E5378" s="29" t="s">
        <v>583</v>
      </c>
      <c r="F5378" s="29" t="s">
        <v>284</v>
      </c>
      <c r="G5378" s="25" t="s">
        <v>7065</v>
      </c>
      <c r="H5378" s="26">
        <v>-2.1002800000000001</v>
      </c>
      <c r="I5378" s="26"/>
      <c r="J5378" s="26" t="s">
        <v>512</v>
      </c>
      <c r="K5378" s="25" t="s">
        <v>513</v>
      </c>
    </row>
    <row r="5379" spans="1:11" ht="25.5" x14ac:dyDescent="0.25">
      <c r="A5379" s="22">
        <v>2026</v>
      </c>
      <c r="B5379" s="28" t="s">
        <v>222</v>
      </c>
      <c r="C5379" s="28" t="s">
        <v>97</v>
      </c>
      <c r="D5379" s="28" t="s">
        <v>1745</v>
      </c>
      <c r="E5379" s="29" t="s">
        <v>1777</v>
      </c>
      <c r="F5379" s="29" t="s">
        <v>284</v>
      </c>
      <c r="G5379" s="25" t="s">
        <v>7066</v>
      </c>
      <c r="H5379" s="26">
        <v>-6.0199999999999997E-2</v>
      </c>
      <c r="I5379" s="26"/>
      <c r="J5379" s="26" t="s">
        <v>512</v>
      </c>
      <c r="K5379" s="25" t="s">
        <v>513</v>
      </c>
    </row>
    <row r="5380" spans="1:11" ht="25.5" x14ac:dyDescent="0.25">
      <c r="A5380" s="22">
        <v>2026</v>
      </c>
      <c r="B5380" s="28" t="s">
        <v>222</v>
      </c>
      <c r="C5380" s="28" t="s">
        <v>97</v>
      </c>
      <c r="D5380" s="28" t="s">
        <v>1745</v>
      </c>
      <c r="E5380" s="29" t="s">
        <v>1777</v>
      </c>
      <c r="F5380" s="29" t="s">
        <v>284</v>
      </c>
      <c r="G5380" s="25" t="s">
        <v>7067</v>
      </c>
      <c r="H5380" s="26">
        <v>-0.27179999999999999</v>
      </c>
      <c r="I5380" s="26"/>
      <c r="J5380" s="26" t="s">
        <v>512</v>
      </c>
      <c r="K5380" s="25" t="s">
        <v>513</v>
      </c>
    </row>
    <row r="5381" spans="1:11" ht="25.5" x14ac:dyDescent="0.25">
      <c r="A5381" s="22">
        <v>2026</v>
      </c>
      <c r="B5381" s="28" t="s">
        <v>222</v>
      </c>
      <c r="C5381" s="28" t="s">
        <v>97</v>
      </c>
      <c r="D5381" s="28" t="s">
        <v>1745</v>
      </c>
      <c r="E5381" s="29" t="s">
        <v>1777</v>
      </c>
      <c r="F5381" s="29" t="s">
        <v>284</v>
      </c>
      <c r="G5381" s="25" t="s">
        <v>7068</v>
      </c>
      <c r="H5381" s="26">
        <v>-9.6640000000000004E-2</v>
      </c>
      <c r="I5381" s="26"/>
      <c r="J5381" s="26" t="s">
        <v>512</v>
      </c>
      <c r="K5381" s="25" t="s">
        <v>513</v>
      </c>
    </row>
    <row r="5382" spans="1:11" ht="25.5" x14ac:dyDescent="0.25">
      <c r="A5382" s="22">
        <v>2026</v>
      </c>
      <c r="B5382" s="28" t="s">
        <v>222</v>
      </c>
      <c r="C5382" s="28" t="s">
        <v>97</v>
      </c>
      <c r="D5382" s="28" t="s">
        <v>1745</v>
      </c>
      <c r="E5382" s="29" t="s">
        <v>1777</v>
      </c>
      <c r="F5382" s="29" t="s">
        <v>284</v>
      </c>
      <c r="G5382" s="25" t="s">
        <v>7069</v>
      </c>
      <c r="H5382" s="26">
        <v>-0.24160000000000001</v>
      </c>
      <c r="I5382" s="26"/>
      <c r="J5382" s="26" t="s">
        <v>512</v>
      </c>
      <c r="K5382" s="25" t="s">
        <v>513</v>
      </c>
    </row>
    <row r="5383" spans="1:11" ht="25.5" x14ac:dyDescent="0.25">
      <c r="A5383" s="22">
        <v>2026</v>
      </c>
      <c r="B5383" s="28" t="s">
        <v>222</v>
      </c>
      <c r="C5383" s="28" t="s">
        <v>97</v>
      </c>
      <c r="D5383" s="28" t="s">
        <v>1745</v>
      </c>
      <c r="E5383" s="29" t="s">
        <v>1777</v>
      </c>
      <c r="F5383" s="29" t="s">
        <v>284</v>
      </c>
      <c r="G5383" s="25" t="s">
        <v>7070</v>
      </c>
      <c r="H5383" s="26">
        <v>-6.0600000000000001E-2</v>
      </c>
      <c r="I5383" s="26"/>
      <c r="J5383" s="26" t="s">
        <v>512</v>
      </c>
      <c r="K5383" s="25" t="s">
        <v>513</v>
      </c>
    </row>
    <row r="5384" spans="1:11" ht="25.5" x14ac:dyDescent="0.25">
      <c r="A5384" s="22">
        <v>2026</v>
      </c>
      <c r="B5384" s="28" t="s">
        <v>222</v>
      </c>
      <c r="C5384" s="28" t="s">
        <v>97</v>
      </c>
      <c r="D5384" s="28" t="s">
        <v>1746</v>
      </c>
      <c r="E5384" s="29" t="s">
        <v>1778</v>
      </c>
      <c r="F5384" s="29" t="s">
        <v>1274</v>
      </c>
      <c r="G5384" s="25" t="s">
        <v>7071</v>
      </c>
      <c r="H5384" s="26">
        <v>-0.16806847499999999</v>
      </c>
      <c r="I5384" s="26"/>
      <c r="J5384" s="26" t="s">
        <v>514</v>
      </c>
      <c r="K5384" s="25" t="s">
        <v>513</v>
      </c>
    </row>
    <row r="5385" spans="1:11" ht="25.5" x14ac:dyDescent="0.25">
      <c r="A5385" s="22">
        <v>2026</v>
      </c>
      <c r="B5385" s="28" t="s">
        <v>222</v>
      </c>
      <c r="C5385" s="28" t="s">
        <v>97</v>
      </c>
      <c r="D5385" s="28" t="s">
        <v>1746</v>
      </c>
      <c r="E5385" s="29" t="s">
        <v>1778</v>
      </c>
      <c r="F5385" s="29" t="s">
        <v>1274</v>
      </c>
      <c r="G5385" s="25" t="s">
        <v>7072</v>
      </c>
      <c r="H5385" s="26">
        <v>-0.72362210380000003</v>
      </c>
      <c r="I5385" s="26"/>
      <c r="J5385" s="26" t="s">
        <v>514</v>
      </c>
      <c r="K5385" s="25" t="s">
        <v>513</v>
      </c>
    </row>
    <row r="5386" spans="1:11" ht="25.5" x14ac:dyDescent="0.25">
      <c r="A5386" s="22">
        <v>2026</v>
      </c>
      <c r="B5386" s="28" t="s">
        <v>222</v>
      </c>
      <c r="C5386" s="28" t="s">
        <v>97</v>
      </c>
      <c r="D5386" s="28" t="s">
        <v>1746</v>
      </c>
      <c r="E5386" s="29" t="s">
        <v>1778</v>
      </c>
      <c r="F5386" s="29" t="s">
        <v>1274</v>
      </c>
      <c r="G5386" s="25" t="s">
        <v>7073</v>
      </c>
      <c r="H5386" s="26">
        <v>-0.73436213100000003</v>
      </c>
      <c r="I5386" s="26"/>
      <c r="J5386" s="26" t="s">
        <v>514</v>
      </c>
      <c r="K5386" s="25" t="s">
        <v>513</v>
      </c>
    </row>
    <row r="5387" spans="1:11" ht="25.5" x14ac:dyDescent="0.25">
      <c r="A5387" s="22">
        <v>2026</v>
      </c>
      <c r="B5387" s="28" t="s">
        <v>222</v>
      </c>
      <c r="C5387" s="28" t="s">
        <v>97</v>
      </c>
      <c r="D5387" s="28" t="s">
        <v>1746</v>
      </c>
      <c r="E5387" s="29" t="s">
        <v>1778</v>
      </c>
      <c r="F5387" s="29" t="s">
        <v>1274</v>
      </c>
      <c r="G5387" s="25" t="s">
        <v>7074</v>
      </c>
      <c r="H5387" s="26">
        <v>-0.75499896779999998</v>
      </c>
      <c r="I5387" s="26"/>
      <c r="J5387" s="26" t="s">
        <v>514</v>
      </c>
      <c r="K5387" s="25" t="s">
        <v>513</v>
      </c>
    </row>
    <row r="5388" spans="1:11" ht="25.5" x14ac:dyDescent="0.25">
      <c r="A5388" s="22">
        <v>2026</v>
      </c>
      <c r="B5388" s="28" t="s">
        <v>222</v>
      </c>
      <c r="C5388" s="28" t="s">
        <v>97</v>
      </c>
      <c r="D5388" s="28" t="s">
        <v>1746</v>
      </c>
      <c r="E5388" s="29" t="s">
        <v>1778</v>
      </c>
      <c r="F5388" s="29" t="s">
        <v>1274</v>
      </c>
      <c r="G5388" s="25" t="s">
        <v>7075</v>
      </c>
      <c r="H5388" s="26">
        <v>-0.76032507689999995</v>
      </c>
      <c r="I5388" s="26"/>
      <c r="J5388" s="26" t="s">
        <v>514</v>
      </c>
      <c r="K5388" s="25" t="s">
        <v>513</v>
      </c>
    </row>
    <row r="5389" spans="1:11" ht="25.5" x14ac:dyDescent="0.25">
      <c r="A5389" s="22">
        <v>2026</v>
      </c>
      <c r="B5389" s="28" t="s">
        <v>222</v>
      </c>
      <c r="C5389" s="28" t="s">
        <v>97</v>
      </c>
      <c r="D5389" s="28" t="s">
        <v>1746</v>
      </c>
      <c r="E5389" s="29" t="s">
        <v>1778</v>
      </c>
      <c r="F5389" s="29" t="s">
        <v>1274</v>
      </c>
      <c r="G5389" s="25" t="s">
        <v>7076</v>
      </c>
      <c r="H5389" s="26">
        <v>-0.77299156619999998</v>
      </c>
      <c r="I5389" s="26"/>
      <c r="J5389" s="26" t="s">
        <v>514</v>
      </c>
      <c r="K5389" s="25" t="s">
        <v>513</v>
      </c>
    </row>
    <row r="5390" spans="1:11" ht="25.5" x14ac:dyDescent="0.25">
      <c r="A5390" s="22">
        <v>2026</v>
      </c>
      <c r="B5390" s="28" t="s">
        <v>222</v>
      </c>
      <c r="C5390" s="28" t="s">
        <v>97</v>
      </c>
      <c r="D5390" s="28" t="s">
        <v>1746</v>
      </c>
      <c r="E5390" s="29" t="s">
        <v>1778</v>
      </c>
      <c r="F5390" s="29" t="s">
        <v>1274</v>
      </c>
      <c r="G5390" s="25" t="s">
        <v>7077</v>
      </c>
      <c r="H5390" s="26">
        <v>-0.77468201459999997</v>
      </c>
      <c r="I5390" s="26"/>
      <c r="J5390" s="26" t="s">
        <v>514</v>
      </c>
      <c r="K5390" s="25" t="s">
        <v>513</v>
      </c>
    </row>
    <row r="5391" spans="1:11" ht="25.5" x14ac:dyDescent="0.25">
      <c r="A5391" s="22">
        <v>2026</v>
      </c>
      <c r="B5391" s="28" t="s">
        <v>222</v>
      </c>
      <c r="C5391" s="28" t="s">
        <v>97</v>
      </c>
      <c r="D5391" s="28" t="s">
        <v>1746</v>
      </c>
      <c r="E5391" s="29" t="s">
        <v>1778</v>
      </c>
      <c r="F5391" s="29" t="s">
        <v>1274</v>
      </c>
      <c r="G5391" s="25" t="s">
        <v>7078</v>
      </c>
      <c r="H5391" s="26">
        <v>-0.78667196279999996</v>
      </c>
      <c r="I5391" s="26"/>
      <c r="J5391" s="26" t="s">
        <v>514</v>
      </c>
      <c r="K5391" s="25" t="s">
        <v>513</v>
      </c>
    </row>
    <row r="5392" spans="1:11" ht="25.5" x14ac:dyDescent="0.25">
      <c r="A5392" s="22">
        <v>2026</v>
      </c>
      <c r="B5392" s="28" t="s">
        <v>222</v>
      </c>
      <c r="C5392" s="28" t="s">
        <v>97</v>
      </c>
      <c r="D5392" s="28" t="s">
        <v>1746</v>
      </c>
      <c r="E5392" s="29" t="s">
        <v>1778</v>
      </c>
      <c r="F5392" s="29" t="s">
        <v>1274</v>
      </c>
      <c r="G5392" s="25" t="s">
        <v>7079</v>
      </c>
      <c r="H5392" s="26">
        <v>-0.8137434389</v>
      </c>
      <c r="I5392" s="26"/>
      <c r="J5392" s="26" t="s">
        <v>514</v>
      </c>
      <c r="K5392" s="25" t="s">
        <v>513</v>
      </c>
    </row>
    <row r="5393" spans="1:11" ht="25.5" x14ac:dyDescent="0.25">
      <c r="A5393" s="22">
        <v>2026</v>
      </c>
      <c r="B5393" s="28" t="s">
        <v>222</v>
      </c>
      <c r="C5393" s="28" t="s">
        <v>97</v>
      </c>
      <c r="D5393" s="28" t="s">
        <v>1033</v>
      </c>
      <c r="E5393" s="29" t="s">
        <v>578</v>
      </c>
      <c r="F5393" s="29" t="s">
        <v>325</v>
      </c>
      <c r="G5393" s="25" t="s">
        <v>7080</v>
      </c>
      <c r="H5393" s="26">
        <v>-0.32178000000000001</v>
      </c>
      <c r="I5393" s="26"/>
      <c r="J5393" s="26" t="s">
        <v>512</v>
      </c>
      <c r="K5393" s="25" t="s">
        <v>513</v>
      </c>
    </row>
    <row r="5394" spans="1:11" ht="25.5" x14ac:dyDescent="0.25">
      <c r="A5394" s="22">
        <v>2026</v>
      </c>
      <c r="B5394" s="28" t="s">
        <v>222</v>
      </c>
      <c r="C5394" s="28" t="s">
        <v>97</v>
      </c>
      <c r="D5394" s="28" t="s">
        <v>1033</v>
      </c>
      <c r="E5394" s="29" t="s">
        <v>578</v>
      </c>
      <c r="F5394" s="29" t="s">
        <v>325</v>
      </c>
      <c r="G5394" s="25" t="s">
        <v>7081</v>
      </c>
      <c r="H5394" s="26">
        <v>-0.26674999999999999</v>
      </c>
      <c r="I5394" s="26"/>
      <c r="J5394" s="26" t="s">
        <v>512</v>
      </c>
      <c r="K5394" s="25" t="s">
        <v>513</v>
      </c>
    </row>
    <row r="5395" spans="1:11" ht="25.5" x14ac:dyDescent="0.25">
      <c r="A5395" s="22">
        <v>2026</v>
      </c>
      <c r="B5395" s="28" t="s">
        <v>222</v>
      </c>
      <c r="C5395" s="28" t="s">
        <v>97</v>
      </c>
      <c r="D5395" s="28" t="s">
        <v>1033</v>
      </c>
      <c r="E5395" s="29" t="s">
        <v>578</v>
      </c>
      <c r="F5395" s="29" t="s">
        <v>325</v>
      </c>
      <c r="G5395" s="25" t="s">
        <v>7082</v>
      </c>
      <c r="H5395" s="26">
        <v>-0.53510000000000002</v>
      </c>
      <c r="I5395" s="26"/>
      <c r="J5395" s="26" t="s">
        <v>512</v>
      </c>
      <c r="K5395" s="25" t="s">
        <v>513</v>
      </c>
    </row>
    <row r="5396" spans="1:11" ht="25.5" x14ac:dyDescent="0.25">
      <c r="A5396" s="22">
        <v>2026</v>
      </c>
      <c r="B5396" s="28" t="s">
        <v>222</v>
      </c>
      <c r="C5396" s="28" t="s">
        <v>97</v>
      </c>
      <c r="D5396" s="28" t="s">
        <v>1033</v>
      </c>
      <c r="E5396" s="29" t="s">
        <v>578</v>
      </c>
      <c r="F5396" s="29" t="s">
        <v>325</v>
      </c>
      <c r="G5396" s="25" t="s">
        <v>7083</v>
      </c>
      <c r="H5396" s="26">
        <v>-2.8859706000000003</v>
      </c>
      <c r="I5396" s="26"/>
      <c r="J5396" s="26" t="s">
        <v>512</v>
      </c>
      <c r="K5396" s="25" t="s">
        <v>513</v>
      </c>
    </row>
    <row r="5397" spans="1:11" ht="25.5" x14ac:dyDescent="0.25">
      <c r="A5397" s="22">
        <v>2026</v>
      </c>
      <c r="B5397" s="28" t="s">
        <v>222</v>
      </c>
      <c r="C5397" s="28" t="s">
        <v>97</v>
      </c>
      <c r="D5397" s="28" t="s">
        <v>1033</v>
      </c>
      <c r="E5397" s="29" t="s">
        <v>578</v>
      </c>
      <c r="F5397" s="29" t="s">
        <v>325</v>
      </c>
      <c r="G5397" s="25" t="s">
        <v>7084</v>
      </c>
      <c r="H5397" s="26">
        <v>-1.5298828500000001</v>
      </c>
      <c r="I5397" s="26"/>
      <c r="J5397" s="26" t="s">
        <v>512</v>
      </c>
      <c r="K5397" s="25" t="s">
        <v>513</v>
      </c>
    </row>
    <row r="5398" spans="1:11" ht="25.5" x14ac:dyDescent="0.25">
      <c r="A5398" s="22">
        <v>2026</v>
      </c>
      <c r="B5398" s="28" t="s">
        <v>222</v>
      </c>
      <c r="C5398" s="28" t="s">
        <v>97</v>
      </c>
      <c r="D5398" s="28" t="s">
        <v>1033</v>
      </c>
      <c r="E5398" s="29" t="s">
        <v>578</v>
      </c>
      <c r="F5398" s="29" t="s">
        <v>325</v>
      </c>
      <c r="G5398" s="25" t="s">
        <v>7085</v>
      </c>
      <c r="H5398" s="26">
        <v>-1.4805725000000001</v>
      </c>
      <c r="I5398" s="26"/>
      <c r="J5398" s="26" t="s">
        <v>512</v>
      </c>
      <c r="K5398" s="25" t="s">
        <v>513</v>
      </c>
    </row>
    <row r="5399" spans="1:11" ht="25.5" x14ac:dyDescent="0.25">
      <c r="A5399" s="22">
        <v>2026</v>
      </c>
      <c r="B5399" s="28" t="s">
        <v>222</v>
      </c>
      <c r="C5399" s="28" t="s">
        <v>97</v>
      </c>
      <c r="D5399" s="28" t="s">
        <v>1033</v>
      </c>
      <c r="E5399" s="29" t="s">
        <v>578</v>
      </c>
      <c r="F5399" s="29" t="s">
        <v>325</v>
      </c>
      <c r="G5399" s="25" t="s">
        <v>7086</v>
      </c>
      <c r="H5399" s="26">
        <v>-0.53649999999999998</v>
      </c>
      <c r="I5399" s="26"/>
      <c r="J5399" s="26" t="s">
        <v>512</v>
      </c>
      <c r="K5399" s="25" t="s">
        <v>513</v>
      </c>
    </row>
    <row r="5400" spans="1:11" ht="25.5" x14ac:dyDescent="0.25">
      <c r="A5400" s="22">
        <v>2026</v>
      </c>
      <c r="B5400" s="28" t="s">
        <v>222</v>
      </c>
      <c r="C5400" s="28" t="s">
        <v>97</v>
      </c>
      <c r="D5400" s="28" t="s">
        <v>1747</v>
      </c>
      <c r="E5400" s="29" t="s">
        <v>415</v>
      </c>
      <c r="F5400" s="29" t="s">
        <v>1779</v>
      </c>
      <c r="G5400" s="25" t="s">
        <v>7087</v>
      </c>
      <c r="H5400" s="26">
        <v>-0.30516950016</v>
      </c>
      <c r="I5400" s="26"/>
      <c r="J5400" s="26" t="s">
        <v>512</v>
      </c>
      <c r="K5400" s="25" t="s">
        <v>513</v>
      </c>
    </row>
    <row r="5401" spans="1:11" ht="25.5" x14ac:dyDescent="0.25">
      <c r="A5401" s="22">
        <v>2026</v>
      </c>
      <c r="B5401" s="28" t="s">
        <v>222</v>
      </c>
      <c r="C5401" s="28" t="s">
        <v>97</v>
      </c>
      <c r="D5401" s="28" t="s">
        <v>1747</v>
      </c>
      <c r="E5401" s="29" t="s">
        <v>415</v>
      </c>
      <c r="F5401" s="29" t="s">
        <v>1779</v>
      </c>
      <c r="G5401" s="25" t="s">
        <v>7088</v>
      </c>
      <c r="H5401" s="26">
        <v>-2.2200000000000001E-2</v>
      </c>
      <c r="I5401" s="26"/>
      <c r="J5401" s="26" t="s">
        <v>512</v>
      </c>
      <c r="K5401" s="25" t="s">
        <v>513</v>
      </c>
    </row>
    <row r="5402" spans="1:11" ht="25.5" x14ac:dyDescent="0.25">
      <c r="A5402" s="22">
        <v>2026</v>
      </c>
      <c r="B5402" s="28" t="s">
        <v>222</v>
      </c>
      <c r="C5402" s="28" t="s">
        <v>97</v>
      </c>
      <c r="D5402" s="28" t="s">
        <v>1747</v>
      </c>
      <c r="E5402" s="29" t="s">
        <v>415</v>
      </c>
      <c r="F5402" s="29" t="s">
        <v>1779</v>
      </c>
      <c r="G5402" s="25" t="s">
        <v>7089</v>
      </c>
      <c r="H5402" s="26">
        <v>-6.154577E-2</v>
      </c>
      <c r="I5402" s="26"/>
      <c r="J5402" s="26" t="s">
        <v>512</v>
      </c>
      <c r="K5402" s="25" t="s">
        <v>513</v>
      </c>
    </row>
    <row r="5403" spans="1:11" ht="25.5" x14ac:dyDescent="0.25">
      <c r="A5403" s="22">
        <v>2026</v>
      </c>
      <c r="B5403" s="28" t="s">
        <v>222</v>
      </c>
      <c r="C5403" s="28" t="s">
        <v>97</v>
      </c>
      <c r="D5403" s="28" t="s">
        <v>1747</v>
      </c>
      <c r="E5403" s="29" t="s">
        <v>415</v>
      </c>
      <c r="F5403" s="29" t="s">
        <v>1779</v>
      </c>
      <c r="G5403" s="25" t="s">
        <v>7090</v>
      </c>
      <c r="H5403" s="26">
        <v>-0.23104052048000001</v>
      </c>
      <c r="I5403" s="26"/>
      <c r="J5403" s="26" t="s">
        <v>512</v>
      </c>
      <c r="K5403" s="25" t="s">
        <v>513</v>
      </c>
    </row>
    <row r="5404" spans="1:11" ht="25.5" x14ac:dyDescent="0.25">
      <c r="A5404" s="22">
        <v>2026</v>
      </c>
      <c r="B5404" s="28" t="s">
        <v>222</v>
      </c>
      <c r="C5404" s="28" t="s">
        <v>97</v>
      </c>
      <c r="D5404" s="28" t="s">
        <v>1747</v>
      </c>
      <c r="E5404" s="29" t="s">
        <v>415</v>
      </c>
      <c r="F5404" s="29" t="s">
        <v>1779</v>
      </c>
      <c r="G5404" s="25" t="s">
        <v>7091</v>
      </c>
      <c r="H5404" s="26">
        <v>-0.1162805319</v>
      </c>
      <c r="I5404" s="26"/>
      <c r="J5404" s="26" t="s">
        <v>512</v>
      </c>
      <c r="K5404" s="25" t="s">
        <v>513</v>
      </c>
    </row>
    <row r="5405" spans="1:11" ht="25.5" x14ac:dyDescent="0.25">
      <c r="A5405" s="22">
        <v>2026</v>
      </c>
      <c r="B5405" s="28" t="s">
        <v>222</v>
      </c>
      <c r="C5405" s="28" t="s">
        <v>97</v>
      </c>
      <c r="D5405" s="28" t="s">
        <v>1747</v>
      </c>
      <c r="E5405" s="29" t="s">
        <v>415</v>
      </c>
      <c r="F5405" s="29" t="s">
        <v>1779</v>
      </c>
      <c r="G5405" s="25" t="s">
        <v>7092</v>
      </c>
      <c r="H5405" s="26">
        <v>-5.0299923959999999E-2</v>
      </c>
      <c r="I5405" s="26"/>
      <c r="J5405" s="26" t="s">
        <v>512</v>
      </c>
      <c r="K5405" s="25" t="s">
        <v>513</v>
      </c>
    </row>
    <row r="5406" spans="1:11" ht="25.5" x14ac:dyDescent="0.25">
      <c r="A5406" s="22">
        <v>2026</v>
      </c>
      <c r="B5406" s="28" t="s">
        <v>222</v>
      </c>
      <c r="C5406" s="28" t="s">
        <v>97</v>
      </c>
      <c r="D5406" s="28" t="s">
        <v>1748</v>
      </c>
      <c r="E5406" s="29" t="s">
        <v>415</v>
      </c>
      <c r="F5406" s="29" t="s">
        <v>1759</v>
      </c>
      <c r="G5406" s="25" t="s">
        <v>7093</v>
      </c>
      <c r="H5406" s="26">
        <v>-1.1510773522000002</v>
      </c>
      <c r="I5406" s="26"/>
      <c r="J5406" s="26" t="s">
        <v>512</v>
      </c>
      <c r="K5406" s="25" t="s">
        <v>513</v>
      </c>
    </row>
    <row r="5407" spans="1:11" ht="25.5" x14ac:dyDescent="0.25">
      <c r="A5407" s="22">
        <v>2026</v>
      </c>
      <c r="B5407" s="28" t="s">
        <v>222</v>
      </c>
      <c r="C5407" s="28" t="s">
        <v>97</v>
      </c>
      <c r="D5407" s="28" t="s">
        <v>1748</v>
      </c>
      <c r="E5407" s="29" t="s">
        <v>415</v>
      </c>
      <c r="F5407" s="29" t="s">
        <v>1759</v>
      </c>
      <c r="G5407" s="25" t="s">
        <v>7094</v>
      </c>
      <c r="H5407" s="26">
        <v>-4.837917</v>
      </c>
      <c r="I5407" s="26"/>
      <c r="J5407" s="26" t="s">
        <v>512</v>
      </c>
      <c r="K5407" s="25" t="s">
        <v>513</v>
      </c>
    </row>
    <row r="5408" spans="1:11" ht="25.5" x14ac:dyDescent="0.25">
      <c r="A5408" s="22">
        <v>2026</v>
      </c>
      <c r="B5408" s="28" t="s">
        <v>222</v>
      </c>
      <c r="C5408" s="28" t="s">
        <v>97</v>
      </c>
      <c r="D5408" s="28" t="s">
        <v>536</v>
      </c>
      <c r="E5408" s="29" t="s">
        <v>558</v>
      </c>
      <c r="F5408" s="29" t="s">
        <v>282</v>
      </c>
      <c r="G5408" s="25" t="s">
        <v>7095</v>
      </c>
      <c r="H5408" s="26">
        <v>-0.39933180000000001</v>
      </c>
      <c r="I5408" s="26"/>
      <c r="J5408" s="26" t="s">
        <v>514</v>
      </c>
      <c r="K5408" s="25" t="s">
        <v>513</v>
      </c>
    </row>
    <row r="5409" spans="1:11" ht="25.5" x14ac:dyDescent="0.25">
      <c r="A5409" s="22">
        <v>2026</v>
      </c>
      <c r="B5409" s="28" t="s">
        <v>222</v>
      </c>
      <c r="C5409" s="28" t="s">
        <v>97</v>
      </c>
      <c r="D5409" s="28" t="s">
        <v>536</v>
      </c>
      <c r="E5409" s="29" t="s">
        <v>558</v>
      </c>
      <c r="F5409" s="29" t="s">
        <v>282</v>
      </c>
      <c r="G5409" s="25" t="s">
        <v>7096</v>
      </c>
      <c r="H5409" s="26">
        <v>-0.39900000000000002</v>
      </c>
      <c r="I5409" s="26"/>
      <c r="J5409" s="26" t="s">
        <v>514</v>
      </c>
      <c r="K5409" s="25" t="s">
        <v>513</v>
      </c>
    </row>
    <row r="5410" spans="1:11" ht="25.5" x14ac:dyDescent="0.25">
      <c r="A5410" s="22">
        <v>2026</v>
      </c>
      <c r="B5410" s="28" t="s">
        <v>222</v>
      </c>
      <c r="C5410" s="28" t="s">
        <v>97</v>
      </c>
      <c r="D5410" s="28" t="s">
        <v>536</v>
      </c>
      <c r="E5410" s="29" t="s">
        <v>558</v>
      </c>
      <c r="F5410" s="29" t="s">
        <v>282</v>
      </c>
      <c r="G5410" s="25" t="s">
        <v>7097</v>
      </c>
      <c r="H5410" s="26">
        <v>-0.164872239</v>
      </c>
      <c r="I5410" s="26"/>
      <c r="J5410" s="26" t="s">
        <v>514</v>
      </c>
      <c r="K5410" s="25" t="s">
        <v>513</v>
      </c>
    </row>
    <row r="5411" spans="1:11" ht="25.5" x14ac:dyDescent="0.25">
      <c r="A5411" s="22">
        <v>2026</v>
      </c>
      <c r="B5411" s="28" t="s">
        <v>222</v>
      </c>
      <c r="C5411" s="28" t="s">
        <v>97</v>
      </c>
      <c r="D5411" s="28" t="s">
        <v>536</v>
      </c>
      <c r="E5411" s="29" t="s">
        <v>558</v>
      </c>
      <c r="F5411" s="29" t="s">
        <v>282</v>
      </c>
      <c r="G5411" s="25" t="s">
        <v>7098</v>
      </c>
      <c r="H5411" s="26">
        <v>-0.38003350000000002</v>
      </c>
      <c r="I5411" s="26"/>
      <c r="J5411" s="26" t="s">
        <v>514</v>
      </c>
      <c r="K5411" s="25" t="s">
        <v>513</v>
      </c>
    </row>
    <row r="5412" spans="1:11" ht="25.5" x14ac:dyDescent="0.25">
      <c r="A5412" s="22">
        <v>2026</v>
      </c>
      <c r="B5412" s="28" t="s">
        <v>222</v>
      </c>
      <c r="C5412" s="28" t="s">
        <v>97</v>
      </c>
      <c r="D5412" s="28" t="s">
        <v>536</v>
      </c>
      <c r="E5412" s="29" t="s">
        <v>558</v>
      </c>
      <c r="F5412" s="29" t="s">
        <v>282</v>
      </c>
      <c r="G5412" s="25" t="s">
        <v>7099</v>
      </c>
      <c r="H5412" s="26">
        <v>-0.39638140000000005</v>
      </c>
      <c r="I5412" s="26"/>
      <c r="J5412" s="26" t="s">
        <v>514</v>
      </c>
      <c r="K5412" s="25" t="s">
        <v>513</v>
      </c>
    </row>
    <row r="5413" spans="1:11" ht="25.5" x14ac:dyDescent="0.25">
      <c r="A5413" s="22">
        <v>2026</v>
      </c>
      <c r="B5413" s="28" t="s">
        <v>222</v>
      </c>
      <c r="C5413" s="28" t="s">
        <v>97</v>
      </c>
      <c r="D5413" s="28" t="s">
        <v>536</v>
      </c>
      <c r="E5413" s="29" t="s">
        <v>558</v>
      </c>
      <c r="F5413" s="29" t="s">
        <v>282</v>
      </c>
      <c r="G5413" s="25" t="s">
        <v>7100</v>
      </c>
      <c r="H5413" s="26">
        <v>-0.39888029999999997</v>
      </c>
      <c r="I5413" s="26"/>
      <c r="J5413" s="26" t="s">
        <v>514</v>
      </c>
      <c r="K5413" s="25" t="s">
        <v>513</v>
      </c>
    </row>
    <row r="5414" spans="1:11" ht="25.5" x14ac:dyDescent="0.25">
      <c r="A5414" s="22">
        <v>2026</v>
      </c>
      <c r="B5414" s="28" t="s">
        <v>222</v>
      </c>
      <c r="C5414" s="28" t="s">
        <v>97</v>
      </c>
      <c r="D5414" s="28" t="s">
        <v>536</v>
      </c>
      <c r="E5414" s="29" t="s">
        <v>558</v>
      </c>
      <c r="F5414" s="29" t="s">
        <v>282</v>
      </c>
      <c r="G5414" s="25" t="s">
        <v>7101</v>
      </c>
      <c r="H5414" s="26">
        <v>-0.39837870000000003</v>
      </c>
      <c r="I5414" s="26"/>
      <c r="J5414" s="26" t="s">
        <v>514</v>
      </c>
      <c r="K5414" s="25" t="s">
        <v>513</v>
      </c>
    </row>
    <row r="5415" spans="1:11" ht="25.5" x14ac:dyDescent="0.25">
      <c r="A5415" s="22">
        <v>2026</v>
      </c>
      <c r="B5415" s="28" t="s">
        <v>222</v>
      </c>
      <c r="C5415" s="28" t="s">
        <v>97</v>
      </c>
      <c r="D5415" s="28" t="s">
        <v>536</v>
      </c>
      <c r="E5415" s="29" t="s">
        <v>558</v>
      </c>
      <c r="F5415" s="29" t="s">
        <v>282</v>
      </c>
      <c r="G5415" s="25" t="s">
        <v>7102</v>
      </c>
      <c r="H5415" s="26">
        <v>-0.39836720000000003</v>
      </c>
      <c r="I5415" s="26"/>
      <c r="J5415" s="26" t="s">
        <v>514</v>
      </c>
      <c r="K5415" s="25" t="s">
        <v>513</v>
      </c>
    </row>
    <row r="5416" spans="1:11" ht="25.5" x14ac:dyDescent="0.25">
      <c r="A5416" s="22">
        <v>2026</v>
      </c>
      <c r="B5416" s="28" t="s">
        <v>222</v>
      </c>
      <c r="C5416" s="28" t="s">
        <v>97</v>
      </c>
      <c r="D5416" s="28" t="s">
        <v>536</v>
      </c>
      <c r="E5416" s="29" t="s">
        <v>558</v>
      </c>
      <c r="F5416" s="29" t="s">
        <v>282</v>
      </c>
      <c r="G5416" s="25" t="s">
        <v>7103</v>
      </c>
      <c r="H5416" s="26">
        <v>-0.39401040000000004</v>
      </c>
      <c r="I5416" s="26"/>
      <c r="J5416" s="26" t="s">
        <v>514</v>
      </c>
      <c r="K5416" s="25" t="s">
        <v>513</v>
      </c>
    </row>
    <row r="5417" spans="1:11" ht="25.5" x14ac:dyDescent="0.25">
      <c r="A5417" s="22">
        <v>2026</v>
      </c>
      <c r="B5417" s="28" t="s">
        <v>222</v>
      </c>
      <c r="C5417" s="28" t="s">
        <v>97</v>
      </c>
      <c r="D5417" s="28" t="s">
        <v>536</v>
      </c>
      <c r="E5417" s="29" t="s">
        <v>558</v>
      </c>
      <c r="F5417" s="29" t="s">
        <v>282</v>
      </c>
      <c r="G5417" s="25" t="s">
        <v>7104</v>
      </c>
      <c r="H5417" s="26">
        <v>-0.39774559999999998</v>
      </c>
      <c r="I5417" s="26"/>
      <c r="J5417" s="26" t="s">
        <v>514</v>
      </c>
      <c r="K5417" s="25" t="s">
        <v>513</v>
      </c>
    </row>
    <row r="5418" spans="1:11" ht="25.5" x14ac:dyDescent="0.25">
      <c r="A5418" s="22">
        <v>2026</v>
      </c>
      <c r="B5418" s="28" t="s">
        <v>222</v>
      </c>
      <c r="C5418" s="28" t="s">
        <v>97</v>
      </c>
      <c r="D5418" s="28" t="s">
        <v>536</v>
      </c>
      <c r="E5418" s="29" t="s">
        <v>558</v>
      </c>
      <c r="F5418" s="29" t="s">
        <v>282</v>
      </c>
      <c r="G5418" s="25" t="s">
        <v>7105</v>
      </c>
      <c r="H5418" s="26">
        <v>-0.39504850000000002</v>
      </c>
      <c r="I5418" s="26"/>
      <c r="J5418" s="26" t="s">
        <v>514</v>
      </c>
      <c r="K5418" s="25" t="s">
        <v>513</v>
      </c>
    </row>
    <row r="5419" spans="1:11" ht="25.5" x14ac:dyDescent="0.25">
      <c r="A5419" s="22">
        <v>2026</v>
      </c>
      <c r="B5419" s="28" t="s">
        <v>222</v>
      </c>
      <c r="C5419" s="28" t="s">
        <v>97</v>
      </c>
      <c r="D5419" s="28" t="s">
        <v>536</v>
      </c>
      <c r="E5419" s="29" t="s">
        <v>558</v>
      </c>
      <c r="F5419" s="29" t="s">
        <v>282</v>
      </c>
      <c r="G5419" s="25" t="s">
        <v>7106</v>
      </c>
      <c r="H5419" s="26">
        <v>-0.39605499999999999</v>
      </c>
      <c r="I5419" s="26"/>
      <c r="J5419" s="26" t="s">
        <v>514</v>
      </c>
      <c r="K5419" s="25" t="s">
        <v>513</v>
      </c>
    </row>
    <row r="5420" spans="1:11" ht="25.5" x14ac:dyDescent="0.25">
      <c r="A5420" s="22">
        <v>2026</v>
      </c>
      <c r="B5420" s="28" t="s">
        <v>222</v>
      </c>
      <c r="C5420" s="28" t="s">
        <v>97</v>
      </c>
      <c r="D5420" s="28" t="s">
        <v>536</v>
      </c>
      <c r="E5420" s="29" t="s">
        <v>558</v>
      </c>
      <c r="F5420" s="29" t="s">
        <v>282</v>
      </c>
      <c r="G5420" s="25" t="s">
        <v>7107</v>
      </c>
      <c r="H5420" s="26">
        <v>-0.39753840000000001</v>
      </c>
      <c r="I5420" s="26"/>
      <c r="J5420" s="26" t="s">
        <v>514</v>
      </c>
      <c r="K5420" s="25" t="s">
        <v>513</v>
      </c>
    </row>
    <row r="5421" spans="1:11" ht="25.5" x14ac:dyDescent="0.25">
      <c r="A5421" s="22">
        <v>2026</v>
      </c>
      <c r="B5421" s="28" t="s">
        <v>222</v>
      </c>
      <c r="C5421" s="28" t="s">
        <v>97</v>
      </c>
      <c r="D5421" s="28" t="s">
        <v>536</v>
      </c>
      <c r="E5421" s="29" t="s">
        <v>558</v>
      </c>
      <c r="F5421" s="29" t="s">
        <v>282</v>
      </c>
      <c r="G5421" s="25" t="s">
        <v>7108</v>
      </c>
      <c r="H5421" s="26">
        <v>-0.39797450000000001</v>
      </c>
      <c r="I5421" s="26"/>
      <c r="J5421" s="26" t="s">
        <v>514</v>
      </c>
      <c r="K5421" s="25" t="s">
        <v>513</v>
      </c>
    </row>
    <row r="5422" spans="1:11" ht="25.5" x14ac:dyDescent="0.25">
      <c r="A5422" s="22">
        <v>2026</v>
      </c>
      <c r="B5422" s="28" t="s">
        <v>222</v>
      </c>
      <c r="C5422" s="28" t="s">
        <v>97</v>
      </c>
      <c r="D5422" s="28" t="s">
        <v>536</v>
      </c>
      <c r="E5422" s="29" t="s">
        <v>558</v>
      </c>
      <c r="F5422" s="29" t="s">
        <v>282</v>
      </c>
      <c r="G5422" s="25" t="s">
        <v>7109</v>
      </c>
      <c r="H5422" s="26">
        <v>-0.39042540000000003</v>
      </c>
      <c r="I5422" s="26"/>
      <c r="J5422" s="26" t="s">
        <v>514</v>
      </c>
      <c r="K5422" s="25" t="s">
        <v>513</v>
      </c>
    </row>
    <row r="5423" spans="1:11" ht="25.5" x14ac:dyDescent="0.25">
      <c r="A5423" s="22">
        <v>2026</v>
      </c>
      <c r="B5423" s="28" t="s">
        <v>222</v>
      </c>
      <c r="C5423" s="28" t="s">
        <v>97</v>
      </c>
      <c r="D5423" s="28" t="s">
        <v>536</v>
      </c>
      <c r="E5423" s="29" t="s">
        <v>558</v>
      </c>
      <c r="F5423" s="29" t="s">
        <v>282</v>
      </c>
      <c r="G5423" s="25" t="s">
        <v>7110</v>
      </c>
      <c r="H5423" s="26">
        <v>-0.39668370000000003</v>
      </c>
      <c r="I5423" s="26"/>
      <c r="J5423" s="26" t="s">
        <v>514</v>
      </c>
      <c r="K5423" s="25" t="s">
        <v>513</v>
      </c>
    </row>
    <row r="5424" spans="1:11" ht="25.5" x14ac:dyDescent="0.25">
      <c r="A5424" s="22">
        <v>2026</v>
      </c>
      <c r="B5424" s="28" t="s">
        <v>222</v>
      </c>
      <c r="C5424" s="28" t="s">
        <v>97</v>
      </c>
      <c r="D5424" s="28" t="s">
        <v>536</v>
      </c>
      <c r="E5424" s="29" t="s">
        <v>558</v>
      </c>
      <c r="F5424" s="29" t="s">
        <v>282</v>
      </c>
      <c r="G5424" s="25" t="s">
        <v>7111</v>
      </c>
      <c r="H5424" s="26">
        <v>-0.39609509999999998</v>
      </c>
      <c r="I5424" s="26"/>
      <c r="J5424" s="26" t="s">
        <v>514</v>
      </c>
      <c r="K5424" s="25" t="s">
        <v>513</v>
      </c>
    </row>
    <row r="5425" spans="1:11" ht="25.5" x14ac:dyDescent="0.25">
      <c r="A5425" s="22">
        <v>2026</v>
      </c>
      <c r="B5425" s="28" t="s">
        <v>222</v>
      </c>
      <c r="C5425" s="28" t="s">
        <v>97</v>
      </c>
      <c r="D5425" s="28" t="s">
        <v>536</v>
      </c>
      <c r="E5425" s="29" t="s">
        <v>558</v>
      </c>
      <c r="F5425" s="29" t="s">
        <v>282</v>
      </c>
      <c r="G5425" s="25" t="s">
        <v>7112</v>
      </c>
      <c r="H5425" s="26">
        <v>-0.39667859999999999</v>
      </c>
      <c r="I5425" s="26"/>
      <c r="J5425" s="26" t="s">
        <v>514</v>
      </c>
      <c r="K5425" s="25" t="s">
        <v>513</v>
      </c>
    </row>
    <row r="5426" spans="1:11" ht="25.5" x14ac:dyDescent="0.25">
      <c r="A5426" s="22">
        <v>2026</v>
      </c>
      <c r="B5426" s="28" t="s">
        <v>222</v>
      </c>
      <c r="C5426" s="28" t="s">
        <v>97</v>
      </c>
      <c r="D5426" s="28" t="s">
        <v>1749</v>
      </c>
      <c r="E5426" s="29" t="s">
        <v>1780</v>
      </c>
      <c r="F5426" s="29" t="s">
        <v>343</v>
      </c>
      <c r="G5426" s="25" t="s">
        <v>7113</v>
      </c>
      <c r="H5426" s="26">
        <v>-2.0799999999999999E-2</v>
      </c>
      <c r="I5426" s="26"/>
      <c r="J5426" s="26" t="s">
        <v>512</v>
      </c>
      <c r="K5426" s="25" t="s">
        <v>513</v>
      </c>
    </row>
    <row r="5427" spans="1:11" ht="25.5" x14ac:dyDescent="0.25">
      <c r="A5427" s="22">
        <v>2026</v>
      </c>
      <c r="B5427" s="28" t="s">
        <v>222</v>
      </c>
      <c r="C5427" s="28" t="s">
        <v>97</v>
      </c>
      <c r="D5427" s="28" t="s">
        <v>1749</v>
      </c>
      <c r="E5427" s="29" t="s">
        <v>1780</v>
      </c>
      <c r="F5427" s="29" t="s">
        <v>343</v>
      </c>
      <c r="G5427" s="25" t="s">
        <v>7114</v>
      </c>
      <c r="H5427" s="26">
        <v>-0.15704325</v>
      </c>
      <c r="I5427" s="26"/>
      <c r="J5427" s="26" t="s">
        <v>512</v>
      </c>
      <c r="K5427" s="25" t="s">
        <v>513</v>
      </c>
    </row>
    <row r="5428" spans="1:11" ht="25.5" x14ac:dyDescent="0.25">
      <c r="A5428" s="22">
        <v>2026</v>
      </c>
      <c r="B5428" s="28" t="s">
        <v>222</v>
      </c>
      <c r="C5428" s="28" t="s">
        <v>97</v>
      </c>
      <c r="D5428" s="28" t="s">
        <v>1749</v>
      </c>
      <c r="E5428" s="29" t="s">
        <v>1780</v>
      </c>
      <c r="F5428" s="29" t="s">
        <v>343</v>
      </c>
      <c r="G5428" s="25" t="s">
        <v>7115</v>
      </c>
      <c r="H5428" s="26">
        <v>-5.3749999999999999E-2</v>
      </c>
      <c r="I5428" s="26"/>
      <c r="J5428" s="26" t="s">
        <v>512</v>
      </c>
      <c r="K5428" s="25" t="s">
        <v>513</v>
      </c>
    </row>
    <row r="5429" spans="1:11" ht="25.5" x14ac:dyDescent="0.25">
      <c r="A5429" s="22">
        <v>2026</v>
      </c>
      <c r="B5429" s="28" t="s">
        <v>222</v>
      </c>
      <c r="C5429" s="28" t="s">
        <v>97</v>
      </c>
      <c r="D5429" s="28" t="s">
        <v>1749</v>
      </c>
      <c r="E5429" s="29" t="s">
        <v>1780</v>
      </c>
      <c r="F5429" s="29" t="s">
        <v>343</v>
      </c>
      <c r="G5429" s="25" t="s">
        <v>7116</v>
      </c>
      <c r="H5429" s="26">
        <v>-6.5100000000000005E-2</v>
      </c>
      <c r="I5429" s="26"/>
      <c r="J5429" s="26" t="s">
        <v>512</v>
      </c>
      <c r="K5429" s="25" t="s">
        <v>513</v>
      </c>
    </row>
    <row r="5430" spans="1:11" ht="25.5" x14ac:dyDescent="0.25">
      <c r="A5430" s="22">
        <v>2026</v>
      </c>
      <c r="B5430" s="28" t="s">
        <v>222</v>
      </c>
      <c r="C5430" s="28" t="s">
        <v>97</v>
      </c>
      <c r="D5430" s="28" t="s">
        <v>1749</v>
      </c>
      <c r="E5430" s="29" t="s">
        <v>1780</v>
      </c>
      <c r="F5430" s="29" t="s">
        <v>343</v>
      </c>
      <c r="G5430" s="25" t="s">
        <v>7117</v>
      </c>
      <c r="H5430" s="26">
        <v>-6.54E-2</v>
      </c>
      <c r="I5430" s="26"/>
      <c r="J5430" s="26" t="s">
        <v>512</v>
      </c>
      <c r="K5430" s="25" t="s">
        <v>513</v>
      </c>
    </row>
    <row r="5431" spans="1:11" ht="25.5" x14ac:dyDescent="0.25">
      <c r="A5431" s="22">
        <v>2026</v>
      </c>
      <c r="B5431" s="28" t="s">
        <v>222</v>
      </c>
      <c r="C5431" s="28" t="s">
        <v>97</v>
      </c>
      <c r="D5431" s="28" t="s">
        <v>1749</v>
      </c>
      <c r="E5431" s="29" t="s">
        <v>1780</v>
      </c>
      <c r="F5431" s="29" t="s">
        <v>343</v>
      </c>
      <c r="G5431" s="25" t="s">
        <v>7118</v>
      </c>
      <c r="H5431" s="26">
        <v>-6.5063999999999997E-2</v>
      </c>
      <c r="I5431" s="26"/>
      <c r="J5431" s="26" t="s">
        <v>512</v>
      </c>
      <c r="K5431" s="25" t="s">
        <v>513</v>
      </c>
    </row>
    <row r="5432" spans="1:11" ht="25.5" x14ac:dyDescent="0.25">
      <c r="A5432" s="22">
        <v>2026</v>
      </c>
      <c r="B5432" s="28" t="s">
        <v>222</v>
      </c>
      <c r="C5432" s="28" t="s">
        <v>97</v>
      </c>
      <c r="D5432" s="28" t="s">
        <v>1749</v>
      </c>
      <c r="E5432" s="29" t="s">
        <v>1780</v>
      </c>
      <c r="F5432" s="29" t="s">
        <v>343</v>
      </c>
      <c r="G5432" s="25" t="s">
        <v>7119</v>
      </c>
      <c r="H5432" s="26">
        <v>-4.36E-2</v>
      </c>
      <c r="I5432" s="26"/>
      <c r="J5432" s="26" t="s">
        <v>512</v>
      </c>
      <c r="K5432" s="25" t="s">
        <v>513</v>
      </c>
    </row>
    <row r="5433" spans="1:11" ht="25.5" x14ac:dyDescent="0.25">
      <c r="A5433" s="22">
        <v>2026</v>
      </c>
      <c r="B5433" s="28" t="s">
        <v>222</v>
      </c>
      <c r="C5433" s="28" t="s">
        <v>97</v>
      </c>
      <c r="D5433" s="28" t="s">
        <v>1749</v>
      </c>
      <c r="E5433" s="29" t="s">
        <v>1780</v>
      </c>
      <c r="F5433" s="29" t="s">
        <v>343</v>
      </c>
      <c r="G5433" s="25" t="s">
        <v>7120</v>
      </c>
      <c r="H5433" s="26">
        <v>-0.14002107999999999</v>
      </c>
      <c r="I5433" s="26"/>
      <c r="J5433" s="26" t="s">
        <v>512</v>
      </c>
      <c r="K5433" s="25" t="s">
        <v>513</v>
      </c>
    </row>
    <row r="5434" spans="1:11" ht="25.5" x14ac:dyDescent="0.25">
      <c r="A5434" s="22">
        <v>2026</v>
      </c>
      <c r="B5434" s="28" t="s">
        <v>222</v>
      </c>
      <c r="C5434" s="28" t="s">
        <v>97</v>
      </c>
      <c r="D5434" s="28" t="s">
        <v>1749</v>
      </c>
      <c r="E5434" s="29" t="s">
        <v>1780</v>
      </c>
      <c r="F5434" s="29" t="s">
        <v>343</v>
      </c>
      <c r="G5434" s="25" t="s">
        <v>7121</v>
      </c>
      <c r="H5434" s="26">
        <v>-4.3999999999999997E-2</v>
      </c>
      <c r="I5434" s="26"/>
      <c r="J5434" s="26" t="s">
        <v>512</v>
      </c>
      <c r="K5434" s="25" t="s">
        <v>513</v>
      </c>
    </row>
    <row r="5435" spans="1:11" ht="25.5" x14ac:dyDescent="0.25">
      <c r="A5435" s="22">
        <v>2026</v>
      </c>
      <c r="B5435" s="28" t="s">
        <v>222</v>
      </c>
      <c r="C5435" s="28" t="s">
        <v>97</v>
      </c>
      <c r="D5435" s="28" t="s">
        <v>1749</v>
      </c>
      <c r="E5435" s="29" t="s">
        <v>1780</v>
      </c>
      <c r="F5435" s="29" t="s">
        <v>343</v>
      </c>
      <c r="G5435" s="25" t="s">
        <v>7122</v>
      </c>
      <c r="H5435" s="26">
        <v>-5.5E-2</v>
      </c>
      <c r="I5435" s="26"/>
      <c r="J5435" s="26" t="s">
        <v>512</v>
      </c>
      <c r="K5435" s="25" t="s">
        <v>513</v>
      </c>
    </row>
    <row r="5436" spans="1:11" ht="25.5" x14ac:dyDescent="0.25">
      <c r="A5436" s="22">
        <v>2026</v>
      </c>
      <c r="B5436" s="28" t="s">
        <v>222</v>
      </c>
      <c r="C5436" s="28" t="s">
        <v>97</v>
      </c>
      <c r="D5436" s="28" t="s">
        <v>1749</v>
      </c>
      <c r="E5436" s="29" t="s">
        <v>1780</v>
      </c>
      <c r="F5436" s="29" t="s">
        <v>343</v>
      </c>
      <c r="G5436" s="25" t="s">
        <v>7123</v>
      </c>
      <c r="H5436" s="26">
        <v>-6.6000000000000003E-2</v>
      </c>
      <c r="I5436" s="26"/>
      <c r="J5436" s="26" t="s">
        <v>512</v>
      </c>
      <c r="K5436" s="25" t="s">
        <v>513</v>
      </c>
    </row>
    <row r="5437" spans="1:11" ht="25.5" x14ac:dyDescent="0.25">
      <c r="A5437" s="22">
        <v>2026</v>
      </c>
      <c r="B5437" s="28" t="s">
        <v>222</v>
      </c>
      <c r="C5437" s="28" t="s">
        <v>97</v>
      </c>
      <c r="D5437" s="28" t="s">
        <v>255</v>
      </c>
      <c r="E5437" s="29" t="s">
        <v>255</v>
      </c>
      <c r="F5437" s="29" t="s">
        <v>325</v>
      </c>
      <c r="G5437" s="25" t="s">
        <v>7124</v>
      </c>
      <c r="H5437" s="26">
        <v>-0.65969999999999995</v>
      </c>
      <c r="I5437" s="26"/>
      <c r="J5437" s="26" t="s">
        <v>512</v>
      </c>
      <c r="K5437" s="25" t="s">
        <v>513</v>
      </c>
    </row>
    <row r="5438" spans="1:11" ht="25.5" x14ac:dyDescent="0.25">
      <c r="A5438" s="22">
        <v>2026</v>
      </c>
      <c r="B5438" s="28" t="s">
        <v>222</v>
      </c>
      <c r="C5438" s="28" t="s">
        <v>97</v>
      </c>
      <c r="D5438" s="28" t="s">
        <v>255</v>
      </c>
      <c r="E5438" s="29" t="s">
        <v>255</v>
      </c>
      <c r="F5438" s="29" t="s">
        <v>325</v>
      </c>
      <c r="G5438" s="25" t="s">
        <v>7125</v>
      </c>
      <c r="H5438" s="26">
        <v>-0.26279999999999998</v>
      </c>
      <c r="I5438" s="26"/>
      <c r="J5438" s="26" t="s">
        <v>512</v>
      </c>
      <c r="K5438" s="25" t="s">
        <v>513</v>
      </c>
    </row>
    <row r="5439" spans="1:11" ht="25.5" x14ac:dyDescent="0.25">
      <c r="A5439" s="22">
        <v>2026</v>
      </c>
      <c r="B5439" s="28" t="s">
        <v>222</v>
      </c>
      <c r="C5439" s="28" t="s">
        <v>97</v>
      </c>
      <c r="D5439" s="28" t="s">
        <v>255</v>
      </c>
      <c r="E5439" s="29" t="s">
        <v>255</v>
      </c>
      <c r="F5439" s="29" t="s">
        <v>325</v>
      </c>
      <c r="G5439" s="25" t="s">
        <v>7126</v>
      </c>
      <c r="H5439" s="26">
        <v>-0.43959999999999999</v>
      </c>
      <c r="I5439" s="26"/>
      <c r="J5439" s="26" t="s">
        <v>512</v>
      </c>
      <c r="K5439" s="25" t="s">
        <v>513</v>
      </c>
    </row>
    <row r="5440" spans="1:11" ht="25.5" x14ac:dyDescent="0.25">
      <c r="A5440" s="22">
        <v>2026</v>
      </c>
      <c r="B5440" s="28" t="s">
        <v>222</v>
      </c>
      <c r="C5440" s="28" t="s">
        <v>97</v>
      </c>
      <c r="D5440" s="28" t="s">
        <v>255</v>
      </c>
      <c r="E5440" s="29" t="s">
        <v>255</v>
      </c>
      <c r="F5440" s="29" t="s">
        <v>325</v>
      </c>
      <c r="G5440" s="25" t="s">
        <v>7127</v>
      </c>
      <c r="H5440" s="26">
        <v>-0.22070000000000001</v>
      </c>
      <c r="I5440" s="26"/>
      <c r="J5440" s="26" t="s">
        <v>512</v>
      </c>
      <c r="K5440" s="25" t="s">
        <v>513</v>
      </c>
    </row>
    <row r="5441" spans="1:11" ht="25.5" x14ac:dyDescent="0.25">
      <c r="A5441" s="22">
        <v>2026</v>
      </c>
      <c r="B5441" s="28" t="s">
        <v>222</v>
      </c>
      <c r="C5441" s="28" t="s">
        <v>97</v>
      </c>
      <c r="D5441" s="28" t="s">
        <v>255</v>
      </c>
      <c r="E5441" s="29" t="s">
        <v>255</v>
      </c>
      <c r="F5441" s="29" t="s">
        <v>325</v>
      </c>
      <c r="G5441" s="25" t="s">
        <v>7128</v>
      </c>
      <c r="H5441" s="26">
        <v>-0.44540000000000002</v>
      </c>
      <c r="I5441" s="26"/>
      <c r="J5441" s="26" t="s">
        <v>512</v>
      </c>
      <c r="K5441" s="25" t="s">
        <v>513</v>
      </c>
    </row>
    <row r="5442" spans="1:11" ht="25.5" x14ac:dyDescent="0.25">
      <c r="A5442" s="22">
        <v>2026</v>
      </c>
      <c r="B5442" s="28" t="s">
        <v>222</v>
      </c>
      <c r="C5442" s="28" t="s">
        <v>97</v>
      </c>
      <c r="D5442" s="28" t="s">
        <v>255</v>
      </c>
      <c r="E5442" s="29" t="s">
        <v>255</v>
      </c>
      <c r="F5442" s="29" t="s">
        <v>325</v>
      </c>
      <c r="G5442" s="25" t="s">
        <v>7129</v>
      </c>
      <c r="H5442" s="26">
        <v>-1.115</v>
      </c>
      <c r="I5442" s="26"/>
      <c r="J5442" s="26" t="s">
        <v>512</v>
      </c>
      <c r="K5442" s="25" t="s">
        <v>513</v>
      </c>
    </row>
    <row r="5443" spans="1:11" ht="25.5" x14ac:dyDescent="0.25">
      <c r="A5443" s="22">
        <v>2026</v>
      </c>
      <c r="B5443" s="28" t="s">
        <v>222</v>
      </c>
      <c r="C5443" s="28" t="s">
        <v>97</v>
      </c>
      <c r="D5443" s="28" t="s">
        <v>255</v>
      </c>
      <c r="E5443" s="29" t="s">
        <v>255</v>
      </c>
      <c r="F5443" s="29" t="s">
        <v>325</v>
      </c>
      <c r="G5443" s="25" t="s">
        <v>7130</v>
      </c>
      <c r="H5443" s="26">
        <v>-3.3795000000000002</v>
      </c>
      <c r="I5443" s="26"/>
      <c r="J5443" s="26" t="s">
        <v>512</v>
      </c>
      <c r="K5443" s="25" t="s">
        <v>513</v>
      </c>
    </row>
    <row r="5444" spans="1:11" ht="25.5" x14ac:dyDescent="0.25">
      <c r="A5444" s="22">
        <v>2026</v>
      </c>
      <c r="B5444" s="28" t="s">
        <v>222</v>
      </c>
      <c r="C5444" s="28" t="s">
        <v>97</v>
      </c>
      <c r="D5444" s="28" t="s">
        <v>255</v>
      </c>
      <c r="E5444" s="29" t="s">
        <v>255</v>
      </c>
      <c r="F5444" s="29" t="s">
        <v>325</v>
      </c>
      <c r="G5444" s="25" t="s">
        <v>7131</v>
      </c>
      <c r="H5444" s="26">
        <v>-0.18301679999999998</v>
      </c>
      <c r="I5444" s="26"/>
      <c r="J5444" s="26" t="s">
        <v>512</v>
      </c>
      <c r="K5444" s="25" t="s">
        <v>513</v>
      </c>
    </row>
    <row r="5445" spans="1:11" ht="25.5" x14ac:dyDescent="0.25">
      <c r="A5445" s="22">
        <v>2026</v>
      </c>
      <c r="B5445" s="28" t="s">
        <v>222</v>
      </c>
      <c r="C5445" s="28" t="s">
        <v>97</v>
      </c>
      <c r="D5445" s="28" t="s">
        <v>243</v>
      </c>
      <c r="E5445" s="29" t="s">
        <v>1799</v>
      </c>
      <c r="F5445" s="29" t="s">
        <v>343</v>
      </c>
      <c r="G5445" s="25" t="s">
        <v>7132</v>
      </c>
      <c r="H5445" s="26">
        <v>-2.24E-2</v>
      </c>
      <c r="I5445" s="26"/>
      <c r="J5445" s="26" t="s">
        <v>514</v>
      </c>
      <c r="K5445" s="25" t="s">
        <v>513</v>
      </c>
    </row>
    <row r="5446" spans="1:11" ht="25.5" x14ac:dyDescent="0.25">
      <c r="A5446" s="22">
        <v>2026</v>
      </c>
      <c r="B5446" s="28" t="s">
        <v>222</v>
      </c>
      <c r="C5446" s="28" t="s">
        <v>97</v>
      </c>
      <c r="D5446" s="28" t="s">
        <v>243</v>
      </c>
      <c r="E5446" s="29" t="s">
        <v>1799</v>
      </c>
      <c r="F5446" s="29" t="s">
        <v>343</v>
      </c>
      <c r="G5446" s="25" t="s">
        <v>7133</v>
      </c>
      <c r="H5446" s="26">
        <v>-5.802496E-2</v>
      </c>
      <c r="I5446" s="26"/>
      <c r="J5446" s="26" t="s">
        <v>514</v>
      </c>
      <c r="K5446" s="25" t="s">
        <v>513</v>
      </c>
    </row>
    <row r="5447" spans="1:11" ht="25.5" x14ac:dyDescent="0.25">
      <c r="A5447" s="22">
        <v>2026</v>
      </c>
      <c r="B5447" s="28" t="s">
        <v>222</v>
      </c>
      <c r="C5447" s="28" t="s">
        <v>97</v>
      </c>
      <c r="D5447" s="28" t="s">
        <v>243</v>
      </c>
      <c r="E5447" s="29" t="s">
        <v>1799</v>
      </c>
      <c r="F5447" s="29" t="s">
        <v>343</v>
      </c>
      <c r="G5447" s="25" t="s">
        <v>7132</v>
      </c>
      <c r="H5447" s="26">
        <v>-2.24E-2</v>
      </c>
      <c r="I5447" s="26"/>
      <c r="J5447" s="26" t="s">
        <v>514</v>
      </c>
      <c r="K5447" s="25" t="s">
        <v>513</v>
      </c>
    </row>
    <row r="5448" spans="1:11" ht="25.5" x14ac:dyDescent="0.25">
      <c r="A5448" s="22">
        <v>2026</v>
      </c>
      <c r="B5448" s="28" t="s">
        <v>222</v>
      </c>
      <c r="C5448" s="28" t="s">
        <v>97</v>
      </c>
      <c r="D5448" s="28" t="s">
        <v>243</v>
      </c>
      <c r="E5448" s="29" t="s">
        <v>1799</v>
      </c>
      <c r="F5448" s="29" t="s">
        <v>343</v>
      </c>
      <c r="G5448" s="25" t="s">
        <v>7134</v>
      </c>
      <c r="H5448" s="26">
        <v>-2.2599999999999999E-2</v>
      </c>
      <c r="I5448" s="26"/>
      <c r="J5448" s="26" t="s">
        <v>514</v>
      </c>
      <c r="K5448" s="25" t="s">
        <v>513</v>
      </c>
    </row>
    <row r="5449" spans="1:11" ht="25.5" x14ac:dyDescent="0.25">
      <c r="A5449" s="22">
        <v>2026</v>
      </c>
      <c r="B5449" s="28" t="s">
        <v>222</v>
      </c>
      <c r="C5449" s="28" t="s">
        <v>97</v>
      </c>
      <c r="D5449" s="28" t="s">
        <v>243</v>
      </c>
      <c r="E5449" s="29" t="s">
        <v>1799</v>
      </c>
      <c r="F5449" s="29" t="s">
        <v>343</v>
      </c>
      <c r="G5449" s="25" t="s">
        <v>7135</v>
      </c>
      <c r="H5449" s="26">
        <v>-1.15E-2</v>
      </c>
      <c r="I5449" s="26"/>
      <c r="J5449" s="26" t="s">
        <v>514</v>
      </c>
      <c r="K5449" s="25" t="s">
        <v>513</v>
      </c>
    </row>
    <row r="5450" spans="1:11" ht="25.5" x14ac:dyDescent="0.25">
      <c r="A5450" s="22">
        <v>2026</v>
      </c>
      <c r="B5450" s="28" t="s">
        <v>222</v>
      </c>
      <c r="C5450" s="28" t="s">
        <v>97</v>
      </c>
      <c r="D5450" s="28" t="s">
        <v>227</v>
      </c>
      <c r="E5450" s="29" t="s">
        <v>416</v>
      </c>
      <c r="F5450" s="29" t="s">
        <v>412</v>
      </c>
      <c r="G5450" s="25" t="s">
        <v>7136</v>
      </c>
      <c r="H5450" s="26">
        <v>-0.217</v>
      </c>
      <c r="I5450" s="26"/>
      <c r="J5450" s="26" t="s">
        <v>514</v>
      </c>
      <c r="K5450" s="25" t="s">
        <v>513</v>
      </c>
    </row>
    <row r="5451" spans="1:11" ht="25.5" x14ac:dyDescent="0.25">
      <c r="A5451" s="22">
        <v>2026</v>
      </c>
      <c r="B5451" s="28" t="s">
        <v>222</v>
      </c>
      <c r="C5451" s="28" t="s">
        <v>97</v>
      </c>
      <c r="D5451" s="28" t="s">
        <v>270</v>
      </c>
      <c r="E5451" s="29" t="s">
        <v>485</v>
      </c>
      <c r="F5451" s="29" t="s">
        <v>494</v>
      </c>
      <c r="G5451" s="25" t="s">
        <v>7137</v>
      </c>
      <c r="H5451" s="26">
        <v>-0.11355999999999999</v>
      </c>
      <c r="I5451" s="26"/>
      <c r="J5451" s="26" t="s">
        <v>512</v>
      </c>
      <c r="K5451" s="25" t="s">
        <v>513</v>
      </c>
    </row>
    <row r="5452" spans="1:11" ht="25.5" x14ac:dyDescent="0.25">
      <c r="A5452" s="22">
        <v>2026</v>
      </c>
      <c r="B5452" s="28" t="s">
        <v>222</v>
      </c>
      <c r="C5452" s="28" t="s">
        <v>97</v>
      </c>
      <c r="D5452" s="28" t="s">
        <v>270</v>
      </c>
      <c r="E5452" s="29" t="s">
        <v>485</v>
      </c>
      <c r="F5452" s="29" t="s">
        <v>494</v>
      </c>
      <c r="G5452" s="25" t="s">
        <v>7138</v>
      </c>
      <c r="H5452" s="26">
        <v>-0.166700076</v>
      </c>
      <c r="I5452" s="26"/>
      <c r="J5452" s="26" t="s">
        <v>512</v>
      </c>
      <c r="K5452" s="25" t="s">
        <v>513</v>
      </c>
    </row>
    <row r="5453" spans="1:11" ht="25.5" x14ac:dyDescent="0.25">
      <c r="A5453" s="22">
        <v>2026</v>
      </c>
      <c r="B5453" s="28" t="s">
        <v>222</v>
      </c>
      <c r="C5453" s="28" t="s">
        <v>97</v>
      </c>
      <c r="D5453" s="28" t="s">
        <v>1750</v>
      </c>
      <c r="E5453" s="29" t="s">
        <v>485</v>
      </c>
      <c r="F5453" s="29" t="s">
        <v>494</v>
      </c>
      <c r="G5453" s="25" t="s">
        <v>7139</v>
      </c>
      <c r="H5453" s="26">
        <v>-0.60375000000000001</v>
      </c>
      <c r="I5453" s="26"/>
      <c r="J5453" s="26" t="s">
        <v>512</v>
      </c>
      <c r="K5453" s="25" t="s">
        <v>513</v>
      </c>
    </row>
    <row r="5454" spans="1:11" ht="25.5" x14ac:dyDescent="0.25">
      <c r="A5454" s="22">
        <v>2026</v>
      </c>
      <c r="B5454" s="28" t="s">
        <v>222</v>
      </c>
      <c r="C5454" s="28" t="s">
        <v>97</v>
      </c>
      <c r="D5454" s="28" t="s">
        <v>1750</v>
      </c>
      <c r="E5454" s="29" t="s">
        <v>485</v>
      </c>
      <c r="F5454" s="29" t="s">
        <v>494</v>
      </c>
      <c r="G5454" s="25" t="s">
        <v>7140</v>
      </c>
      <c r="H5454" s="26">
        <v>-0.55697180000000002</v>
      </c>
      <c r="I5454" s="26"/>
      <c r="J5454" s="26" t="s">
        <v>512</v>
      </c>
      <c r="K5454" s="25" t="s">
        <v>513</v>
      </c>
    </row>
    <row r="5455" spans="1:11" ht="25.5" x14ac:dyDescent="0.25">
      <c r="A5455" s="22">
        <v>2026</v>
      </c>
      <c r="B5455" s="28" t="s">
        <v>222</v>
      </c>
      <c r="C5455" s="28" t="s">
        <v>97</v>
      </c>
      <c r="D5455" s="28" t="s">
        <v>1750</v>
      </c>
      <c r="E5455" s="29" t="s">
        <v>485</v>
      </c>
      <c r="F5455" s="29" t="s">
        <v>494</v>
      </c>
      <c r="G5455" s="25" t="s">
        <v>7141</v>
      </c>
      <c r="H5455" s="26">
        <v>-0.19491432</v>
      </c>
      <c r="I5455" s="26"/>
      <c r="J5455" s="26" t="s">
        <v>512</v>
      </c>
      <c r="K5455" s="25" t="s">
        <v>513</v>
      </c>
    </row>
    <row r="5456" spans="1:11" ht="25.5" x14ac:dyDescent="0.25">
      <c r="A5456" s="22">
        <v>2026</v>
      </c>
      <c r="B5456" s="28" t="s">
        <v>222</v>
      </c>
      <c r="C5456" s="28" t="s">
        <v>97</v>
      </c>
      <c r="D5456" s="28" t="s">
        <v>1750</v>
      </c>
      <c r="E5456" s="29" t="s">
        <v>485</v>
      </c>
      <c r="F5456" s="29" t="s">
        <v>494</v>
      </c>
      <c r="G5456" s="25" t="s">
        <v>7142</v>
      </c>
      <c r="H5456" s="26">
        <v>-0.81139099999999997</v>
      </c>
      <c r="I5456" s="26"/>
      <c r="J5456" s="26" t="s">
        <v>512</v>
      </c>
      <c r="K5456" s="25" t="s">
        <v>513</v>
      </c>
    </row>
    <row r="5457" spans="1:11" ht="25.5" x14ac:dyDescent="0.25">
      <c r="A5457" s="22">
        <v>2026</v>
      </c>
      <c r="B5457" s="28" t="s">
        <v>222</v>
      </c>
      <c r="C5457" s="28" t="s">
        <v>97</v>
      </c>
      <c r="D5457" s="28" t="s">
        <v>1750</v>
      </c>
      <c r="E5457" s="29" t="s">
        <v>485</v>
      </c>
      <c r="F5457" s="29" t="s">
        <v>494</v>
      </c>
      <c r="G5457" s="25" t="s">
        <v>7143</v>
      </c>
      <c r="H5457" s="26">
        <v>-0.46771141999999999</v>
      </c>
      <c r="I5457" s="26"/>
      <c r="J5457" s="26" t="s">
        <v>512</v>
      </c>
      <c r="K5457" s="25" t="s">
        <v>513</v>
      </c>
    </row>
    <row r="5458" spans="1:11" ht="25.5" x14ac:dyDescent="0.25">
      <c r="A5458" s="22">
        <v>2026</v>
      </c>
      <c r="B5458" s="28" t="s">
        <v>222</v>
      </c>
      <c r="C5458" s="28" t="s">
        <v>97</v>
      </c>
      <c r="D5458" s="28" t="s">
        <v>1750</v>
      </c>
      <c r="E5458" s="29" t="s">
        <v>485</v>
      </c>
      <c r="F5458" s="29" t="s">
        <v>494</v>
      </c>
      <c r="G5458" s="25" t="s">
        <v>7144</v>
      </c>
      <c r="H5458" s="26">
        <v>-0.55765359999999997</v>
      </c>
      <c r="I5458" s="26"/>
      <c r="J5458" s="26" t="s">
        <v>512</v>
      </c>
      <c r="K5458" s="25" t="s">
        <v>513</v>
      </c>
    </row>
    <row r="5459" spans="1:11" ht="25.5" x14ac:dyDescent="0.25">
      <c r="A5459" s="22">
        <v>2026</v>
      </c>
      <c r="B5459" s="28" t="s">
        <v>222</v>
      </c>
      <c r="C5459" s="28" t="s">
        <v>97</v>
      </c>
      <c r="D5459" s="28" t="s">
        <v>1750</v>
      </c>
      <c r="E5459" s="29" t="s">
        <v>485</v>
      </c>
      <c r="F5459" s="29" t="s">
        <v>494</v>
      </c>
      <c r="G5459" s="25" t="s">
        <v>7145</v>
      </c>
      <c r="H5459" s="26">
        <v>-0.13089653958</v>
      </c>
      <c r="I5459" s="26"/>
      <c r="J5459" s="26" t="s">
        <v>512</v>
      </c>
      <c r="K5459" s="25" t="s">
        <v>513</v>
      </c>
    </row>
    <row r="5460" spans="1:11" ht="25.5" x14ac:dyDescent="0.25">
      <c r="A5460" s="22">
        <v>2026</v>
      </c>
      <c r="B5460" s="28" t="s">
        <v>222</v>
      </c>
      <c r="C5460" s="28" t="s">
        <v>97</v>
      </c>
      <c r="D5460" s="28" t="s">
        <v>1750</v>
      </c>
      <c r="E5460" s="29" t="s">
        <v>485</v>
      </c>
      <c r="F5460" s="29" t="s">
        <v>494</v>
      </c>
      <c r="G5460" s="25" t="s">
        <v>7146</v>
      </c>
      <c r="H5460" s="26">
        <v>-0.203375</v>
      </c>
      <c r="I5460" s="26"/>
      <c r="J5460" s="26" t="s">
        <v>512</v>
      </c>
      <c r="K5460" s="25" t="s">
        <v>513</v>
      </c>
    </row>
    <row r="5461" spans="1:11" ht="25.5" x14ac:dyDescent="0.25">
      <c r="A5461" s="22">
        <v>2026</v>
      </c>
      <c r="B5461" s="28" t="s">
        <v>222</v>
      </c>
      <c r="C5461" s="28" t="s">
        <v>97</v>
      </c>
      <c r="D5461" s="28" t="s">
        <v>265</v>
      </c>
      <c r="E5461" s="29" t="s">
        <v>485</v>
      </c>
      <c r="F5461" s="29" t="s">
        <v>325</v>
      </c>
      <c r="G5461" s="25" t="s">
        <v>7147</v>
      </c>
      <c r="H5461" s="26">
        <v>-9.375E-2</v>
      </c>
      <c r="I5461" s="26"/>
      <c r="J5461" s="26" t="s">
        <v>512</v>
      </c>
      <c r="K5461" s="25" t="s">
        <v>513</v>
      </c>
    </row>
    <row r="5462" spans="1:11" ht="25.5" x14ac:dyDescent="0.25">
      <c r="A5462" s="22">
        <v>2026</v>
      </c>
      <c r="B5462" s="28" t="s">
        <v>222</v>
      </c>
      <c r="C5462" s="28" t="s">
        <v>97</v>
      </c>
      <c r="D5462" s="28" t="s">
        <v>265</v>
      </c>
      <c r="E5462" s="29" t="s">
        <v>485</v>
      </c>
      <c r="F5462" s="29" t="s">
        <v>325</v>
      </c>
      <c r="G5462" s="25" t="s">
        <v>7148</v>
      </c>
      <c r="H5462" s="26">
        <v>-0.16250000000000001</v>
      </c>
      <c r="I5462" s="26"/>
      <c r="J5462" s="26" t="s">
        <v>512</v>
      </c>
      <c r="K5462" s="25" t="s">
        <v>513</v>
      </c>
    </row>
    <row r="5463" spans="1:11" ht="25.5" x14ac:dyDescent="0.25">
      <c r="A5463" s="22">
        <v>2026</v>
      </c>
      <c r="B5463" s="28" t="s">
        <v>222</v>
      </c>
      <c r="C5463" s="28" t="s">
        <v>97</v>
      </c>
      <c r="D5463" s="28" t="s">
        <v>1751</v>
      </c>
      <c r="E5463" s="29" t="s">
        <v>485</v>
      </c>
      <c r="F5463" s="29" t="s">
        <v>353</v>
      </c>
      <c r="G5463" s="25" t="s">
        <v>7149</v>
      </c>
      <c r="H5463" s="26">
        <v>-7.0382800000000009E-2</v>
      </c>
      <c r="I5463" s="26"/>
      <c r="J5463" s="26" t="s">
        <v>512</v>
      </c>
      <c r="K5463" s="25" t="s">
        <v>513</v>
      </c>
    </row>
    <row r="5464" spans="1:11" ht="25.5" x14ac:dyDescent="0.25">
      <c r="A5464" s="22">
        <v>2026</v>
      </c>
      <c r="B5464" s="28" t="s">
        <v>222</v>
      </c>
      <c r="C5464" s="28" t="s">
        <v>97</v>
      </c>
      <c r="D5464" s="28" t="s">
        <v>1751</v>
      </c>
      <c r="E5464" s="29" t="s">
        <v>485</v>
      </c>
      <c r="F5464" s="29" t="s">
        <v>353</v>
      </c>
      <c r="G5464" s="25" t="s">
        <v>7150</v>
      </c>
      <c r="H5464" s="26">
        <v>-0.10407839999999999</v>
      </c>
      <c r="I5464" s="26"/>
      <c r="J5464" s="26" t="s">
        <v>512</v>
      </c>
      <c r="K5464" s="25" t="s">
        <v>513</v>
      </c>
    </row>
    <row r="5465" spans="1:11" ht="25.5" x14ac:dyDescent="0.25">
      <c r="A5465" s="22">
        <v>2026</v>
      </c>
      <c r="B5465" s="28" t="s">
        <v>222</v>
      </c>
      <c r="C5465" s="28" t="s">
        <v>97</v>
      </c>
      <c r="D5465" s="28" t="s">
        <v>1751</v>
      </c>
      <c r="E5465" s="29" t="s">
        <v>485</v>
      </c>
      <c r="F5465" s="29" t="s">
        <v>353</v>
      </c>
      <c r="G5465" s="25" t="s">
        <v>7151</v>
      </c>
      <c r="H5465" s="26">
        <v>-0.10575</v>
      </c>
      <c r="I5465" s="26"/>
      <c r="J5465" s="26" t="s">
        <v>512</v>
      </c>
      <c r="K5465" s="25" t="s">
        <v>513</v>
      </c>
    </row>
    <row r="5466" spans="1:11" ht="25.5" x14ac:dyDescent="0.25">
      <c r="A5466" s="22">
        <v>2026</v>
      </c>
      <c r="B5466" s="28" t="s">
        <v>222</v>
      </c>
      <c r="C5466" s="28" t="s">
        <v>97</v>
      </c>
      <c r="D5466" s="28" t="s">
        <v>1751</v>
      </c>
      <c r="E5466" s="29" t="s">
        <v>485</v>
      </c>
      <c r="F5466" s="29" t="s">
        <v>353</v>
      </c>
      <c r="G5466" s="25" t="s">
        <v>7152</v>
      </c>
      <c r="H5466" s="26">
        <v>-7.0000000000000007E-2</v>
      </c>
      <c r="I5466" s="26"/>
      <c r="J5466" s="26" t="s">
        <v>512</v>
      </c>
      <c r="K5466" s="25" t="s">
        <v>513</v>
      </c>
    </row>
    <row r="5467" spans="1:11" ht="25.5" x14ac:dyDescent="0.25">
      <c r="A5467" s="22">
        <v>2026</v>
      </c>
      <c r="B5467" s="28" t="s">
        <v>222</v>
      </c>
      <c r="C5467" s="28" t="s">
        <v>97</v>
      </c>
      <c r="D5467" s="28" t="s">
        <v>1751</v>
      </c>
      <c r="E5467" s="29" t="s">
        <v>485</v>
      </c>
      <c r="F5467" s="29" t="s">
        <v>353</v>
      </c>
      <c r="G5467" s="25" t="s">
        <v>7152</v>
      </c>
      <c r="H5467" s="26">
        <v>-7.0000000000000007E-2</v>
      </c>
      <c r="I5467" s="26"/>
      <c r="J5467" s="26" t="s">
        <v>512</v>
      </c>
      <c r="K5467" s="25" t="s">
        <v>513</v>
      </c>
    </row>
    <row r="5468" spans="1:11" ht="25.5" x14ac:dyDescent="0.25">
      <c r="A5468" s="22">
        <v>2026</v>
      </c>
      <c r="B5468" s="28" t="s">
        <v>222</v>
      </c>
      <c r="C5468" s="28" t="s">
        <v>97</v>
      </c>
      <c r="D5468" s="28" t="s">
        <v>1751</v>
      </c>
      <c r="E5468" s="29" t="s">
        <v>485</v>
      </c>
      <c r="F5468" s="29" t="s">
        <v>353</v>
      </c>
      <c r="G5468" s="25" t="s">
        <v>7153</v>
      </c>
      <c r="H5468" s="26">
        <v>-8.8968000000000005E-2</v>
      </c>
      <c r="I5468" s="26"/>
      <c r="J5468" s="26" t="s">
        <v>512</v>
      </c>
      <c r="K5468" s="25" t="s">
        <v>513</v>
      </c>
    </row>
    <row r="5469" spans="1:11" ht="25.5" x14ac:dyDescent="0.25">
      <c r="A5469" s="22">
        <v>2026</v>
      </c>
      <c r="B5469" s="28" t="s">
        <v>222</v>
      </c>
      <c r="C5469" s="28" t="s">
        <v>97</v>
      </c>
      <c r="D5469" s="28" t="s">
        <v>1751</v>
      </c>
      <c r="E5469" s="29" t="s">
        <v>485</v>
      </c>
      <c r="F5469" s="29" t="s">
        <v>353</v>
      </c>
      <c r="G5469" s="25" t="s">
        <v>7154</v>
      </c>
      <c r="H5469" s="26">
        <v>-7.0175000000000001E-2</v>
      </c>
      <c r="I5469" s="26"/>
      <c r="J5469" s="26" t="s">
        <v>512</v>
      </c>
      <c r="K5469" s="25" t="s">
        <v>513</v>
      </c>
    </row>
    <row r="5470" spans="1:11" ht="25.5" x14ac:dyDescent="0.25">
      <c r="A5470" s="22">
        <v>2026</v>
      </c>
      <c r="B5470" s="28" t="s">
        <v>222</v>
      </c>
      <c r="C5470" s="28" t="s">
        <v>97</v>
      </c>
      <c r="D5470" s="28" t="s">
        <v>1751</v>
      </c>
      <c r="E5470" s="29" t="s">
        <v>485</v>
      </c>
      <c r="F5470" s="29" t="s">
        <v>353</v>
      </c>
      <c r="G5470" s="25" t="s">
        <v>7155</v>
      </c>
      <c r="H5470" s="26">
        <v>-7.1400000000000005E-2</v>
      </c>
      <c r="I5470" s="26"/>
      <c r="J5470" s="26" t="s">
        <v>512</v>
      </c>
      <c r="K5470" s="25" t="s">
        <v>513</v>
      </c>
    </row>
    <row r="5471" spans="1:11" ht="25.5" x14ac:dyDescent="0.25">
      <c r="A5471" s="22">
        <v>2026</v>
      </c>
      <c r="B5471" s="28" t="s">
        <v>222</v>
      </c>
      <c r="C5471" s="28" t="s">
        <v>97</v>
      </c>
      <c r="D5471" s="28" t="s">
        <v>1751</v>
      </c>
      <c r="E5471" s="29" t="s">
        <v>485</v>
      </c>
      <c r="F5471" s="29" t="s">
        <v>353</v>
      </c>
      <c r="G5471" s="25" t="s">
        <v>7156</v>
      </c>
      <c r="H5471" s="26">
        <v>-5.4449999999999998E-2</v>
      </c>
      <c r="I5471" s="26"/>
      <c r="J5471" s="26" t="s">
        <v>512</v>
      </c>
      <c r="K5471" s="25" t="s">
        <v>513</v>
      </c>
    </row>
    <row r="5472" spans="1:11" ht="25.5" x14ac:dyDescent="0.25">
      <c r="A5472" s="22">
        <v>2026</v>
      </c>
      <c r="B5472" s="28" t="s">
        <v>222</v>
      </c>
      <c r="C5472" s="28" t="s">
        <v>97</v>
      </c>
      <c r="D5472" s="28" t="s">
        <v>1751</v>
      </c>
      <c r="E5472" s="29" t="s">
        <v>485</v>
      </c>
      <c r="F5472" s="29" t="s">
        <v>353</v>
      </c>
      <c r="G5472" s="25" t="s">
        <v>7157</v>
      </c>
      <c r="H5472" s="26">
        <v>-7.2186E-2</v>
      </c>
      <c r="I5472" s="26"/>
      <c r="J5472" s="26" t="s">
        <v>512</v>
      </c>
      <c r="K5472" s="25" t="s">
        <v>513</v>
      </c>
    </row>
    <row r="5473" spans="1:11" ht="25.5" x14ac:dyDescent="0.25">
      <c r="A5473" s="22">
        <v>2026</v>
      </c>
      <c r="B5473" s="28" t="s">
        <v>222</v>
      </c>
      <c r="C5473" s="28" t="s">
        <v>97</v>
      </c>
      <c r="D5473" s="28" t="s">
        <v>1751</v>
      </c>
      <c r="E5473" s="29" t="s">
        <v>485</v>
      </c>
      <c r="F5473" s="29" t="s">
        <v>353</v>
      </c>
      <c r="G5473" s="25" t="s">
        <v>7158</v>
      </c>
      <c r="H5473" s="26">
        <v>-3.6200000000000003E-2</v>
      </c>
      <c r="I5473" s="26"/>
      <c r="J5473" s="26" t="s">
        <v>512</v>
      </c>
      <c r="K5473" s="25" t="s">
        <v>513</v>
      </c>
    </row>
    <row r="5474" spans="1:11" ht="25.5" x14ac:dyDescent="0.25">
      <c r="A5474" s="22">
        <v>2026</v>
      </c>
      <c r="B5474" s="28" t="s">
        <v>222</v>
      </c>
      <c r="C5474" s="28" t="s">
        <v>97</v>
      </c>
      <c r="D5474" s="28" t="s">
        <v>539</v>
      </c>
      <c r="E5474" s="29" t="s">
        <v>485</v>
      </c>
      <c r="F5474" s="29" t="s">
        <v>566</v>
      </c>
      <c r="G5474" s="25" t="s">
        <v>7159</v>
      </c>
      <c r="H5474" s="26">
        <v>-6.8357199999999993E-2</v>
      </c>
      <c r="I5474" s="26"/>
      <c r="J5474" s="26" t="s">
        <v>512</v>
      </c>
      <c r="K5474" s="25" t="s">
        <v>513</v>
      </c>
    </row>
    <row r="5475" spans="1:11" ht="25.5" x14ac:dyDescent="0.25">
      <c r="A5475" s="22">
        <v>2026</v>
      </c>
      <c r="B5475" s="28" t="s">
        <v>222</v>
      </c>
      <c r="C5475" s="28" t="s">
        <v>97</v>
      </c>
      <c r="D5475" s="28" t="s">
        <v>539</v>
      </c>
      <c r="E5475" s="29" t="s">
        <v>485</v>
      </c>
      <c r="F5475" s="29" t="s">
        <v>566</v>
      </c>
      <c r="G5475" s="25" t="s">
        <v>7160</v>
      </c>
      <c r="H5475" s="26">
        <v>-0.16608219012</v>
      </c>
      <c r="I5475" s="26"/>
      <c r="J5475" s="26" t="s">
        <v>512</v>
      </c>
      <c r="K5475" s="25" t="s">
        <v>513</v>
      </c>
    </row>
    <row r="5476" spans="1:11" ht="25.5" x14ac:dyDescent="0.25">
      <c r="A5476" s="22">
        <v>2026</v>
      </c>
      <c r="B5476" s="28" t="s">
        <v>222</v>
      </c>
      <c r="C5476" s="28" t="s">
        <v>97</v>
      </c>
      <c r="D5476" s="28" t="s">
        <v>1752</v>
      </c>
      <c r="E5476" s="29" t="s">
        <v>485</v>
      </c>
      <c r="F5476" s="29" t="s">
        <v>937</v>
      </c>
      <c r="G5476" s="25" t="s">
        <v>7161</v>
      </c>
      <c r="H5476" s="26">
        <v>-0.31874999999999998</v>
      </c>
      <c r="I5476" s="26"/>
      <c r="J5476" s="26" t="s">
        <v>512</v>
      </c>
      <c r="K5476" s="25" t="s">
        <v>513</v>
      </c>
    </row>
    <row r="5477" spans="1:11" ht="25.5" x14ac:dyDescent="0.25">
      <c r="A5477" s="22">
        <v>2026</v>
      </c>
      <c r="B5477" s="28" t="s">
        <v>222</v>
      </c>
      <c r="C5477" s="28" t="s">
        <v>97</v>
      </c>
      <c r="D5477" s="28" t="s">
        <v>1752</v>
      </c>
      <c r="E5477" s="29" t="s">
        <v>485</v>
      </c>
      <c r="F5477" s="29" t="s">
        <v>937</v>
      </c>
      <c r="G5477" s="25" t="s">
        <v>7162</v>
      </c>
      <c r="H5477" s="26">
        <v>-0.42313200000000001</v>
      </c>
      <c r="I5477" s="26"/>
      <c r="J5477" s="26" t="s">
        <v>512</v>
      </c>
      <c r="K5477" s="25" t="s">
        <v>513</v>
      </c>
    </row>
    <row r="5478" spans="1:11" ht="25.5" x14ac:dyDescent="0.25">
      <c r="A5478" s="22">
        <v>2026</v>
      </c>
      <c r="B5478" s="28" t="s">
        <v>222</v>
      </c>
      <c r="C5478" s="28" t="s">
        <v>97</v>
      </c>
      <c r="D5478" s="28" t="s">
        <v>1752</v>
      </c>
      <c r="E5478" s="29" t="s">
        <v>485</v>
      </c>
      <c r="F5478" s="29" t="s">
        <v>937</v>
      </c>
      <c r="G5478" s="25" t="s">
        <v>7163</v>
      </c>
      <c r="H5478" s="26">
        <v>-0.36199411380000002</v>
      </c>
      <c r="I5478" s="26"/>
      <c r="J5478" s="26" t="s">
        <v>512</v>
      </c>
      <c r="K5478" s="25" t="s">
        <v>513</v>
      </c>
    </row>
    <row r="5479" spans="1:11" ht="25.5" x14ac:dyDescent="0.25">
      <c r="A5479" s="22">
        <v>2026</v>
      </c>
      <c r="B5479" s="28" t="s">
        <v>222</v>
      </c>
      <c r="C5479" s="28" t="s">
        <v>97</v>
      </c>
      <c r="D5479" s="28" t="s">
        <v>1752</v>
      </c>
      <c r="E5479" s="29" t="s">
        <v>485</v>
      </c>
      <c r="F5479" s="29" t="s">
        <v>937</v>
      </c>
      <c r="G5479" s="25" t="s">
        <v>7164</v>
      </c>
      <c r="H5479" s="26">
        <v>-0.17080000000000001</v>
      </c>
      <c r="I5479" s="26"/>
      <c r="J5479" s="26" t="s">
        <v>512</v>
      </c>
      <c r="K5479" s="25" t="s">
        <v>513</v>
      </c>
    </row>
    <row r="5480" spans="1:11" ht="25.5" x14ac:dyDescent="0.25">
      <c r="A5480" s="22">
        <v>2026</v>
      </c>
      <c r="B5480" s="28" t="s">
        <v>222</v>
      </c>
      <c r="C5480" s="28" t="s">
        <v>97</v>
      </c>
      <c r="D5480" s="28" t="s">
        <v>1752</v>
      </c>
      <c r="E5480" s="29" t="s">
        <v>485</v>
      </c>
      <c r="F5480" s="29" t="s">
        <v>937</v>
      </c>
      <c r="G5480" s="25" t="s">
        <v>7165</v>
      </c>
      <c r="H5480" s="26">
        <v>-0.211455</v>
      </c>
      <c r="I5480" s="26"/>
      <c r="J5480" s="26" t="s">
        <v>512</v>
      </c>
      <c r="K5480" s="25" t="s">
        <v>513</v>
      </c>
    </row>
    <row r="5481" spans="1:11" ht="25.5" x14ac:dyDescent="0.25">
      <c r="A5481" s="22">
        <v>2026</v>
      </c>
      <c r="B5481" s="28" t="s">
        <v>222</v>
      </c>
      <c r="C5481" s="28" t="s">
        <v>97</v>
      </c>
      <c r="D5481" s="28" t="s">
        <v>1752</v>
      </c>
      <c r="E5481" s="29" t="s">
        <v>485</v>
      </c>
      <c r="F5481" s="29" t="s">
        <v>937</v>
      </c>
      <c r="G5481" s="25" t="s">
        <v>7166</v>
      </c>
      <c r="H5481" s="26">
        <v>-0.2945082</v>
      </c>
      <c r="I5481" s="26"/>
      <c r="J5481" s="26" t="s">
        <v>512</v>
      </c>
      <c r="K5481" s="25" t="s">
        <v>513</v>
      </c>
    </row>
    <row r="5482" spans="1:11" ht="25.5" x14ac:dyDescent="0.25">
      <c r="A5482" s="22">
        <v>2026</v>
      </c>
      <c r="B5482" s="28" t="s">
        <v>222</v>
      </c>
      <c r="C5482" s="28" t="s">
        <v>97</v>
      </c>
      <c r="D5482" s="28" t="s">
        <v>1752</v>
      </c>
      <c r="E5482" s="29" t="s">
        <v>485</v>
      </c>
      <c r="F5482" s="29" t="s">
        <v>937</v>
      </c>
      <c r="G5482" s="25" t="s">
        <v>7167</v>
      </c>
      <c r="H5482" s="26">
        <v>-0.41631099999999999</v>
      </c>
      <c r="I5482" s="26"/>
      <c r="J5482" s="26" t="s">
        <v>512</v>
      </c>
      <c r="K5482" s="25" t="s">
        <v>513</v>
      </c>
    </row>
    <row r="5483" spans="1:11" ht="25.5" x14ac:dyDescent="0.25">
      <c r="A5483" s="22">
        <v>2026</v>
      </c>
      <c r="B5483" s="28" t="s">
        <v>222</v>
      </c>
      <c r="C5483" s="28" t="s">
        <v>97</v>
      </c>
      <c r="D5483" s="28" t="s">
        <v>1752</v>
      </c>
      <c r="E5483" s="29" t="s">
        <v>485</v>
      </c>
      <c r="F5483" s="29" t="s">
        <v>937</v>
      </c>
      <c r="G5483" s="25" t="s">
        <v>7168</v>
      </c>
      <c r="H5483" s="26">
        <v>-0.2169365</v>
      </c>
      <c r="I5483" s="26"/>
      <c r="J5483" s="26" t="s">
        <v>512</v>
      </c>
      <c r="K5483" s="25" t="s">
        <v>513</v>
      </c>
    </row>
    <row r="5484" spans="1:11" ht="25.5" x14ac:dyDescent="0.25">
      <c r="A5484" s="22">
        <v>2026</v>
      </c>
      <c r="B5484" s="28" t="s">
        <v>222</v>
      </c>
      <c r="C5484" s="28" t="s">
        <v>97</v>
      </c>
      <c r="D5484" s="28" t="s">
        <v>1752</v>
      </c>
      <c r="E5484" s="29" t="s">
        <v>485</v>
      </c>
      <c r="F5484" s="29" t="s">
        <v>937</v>
      </c>
      <c r="G5484" s="25" t="s">
        <v>7169</v>
      </c>
      <c r="H5484" s="26">
        <v>-0.3864358336</v>
      </c>
      <c r="I5484" s="26"/>
      <c r="J5484" s="26" t="s">
        <v>512</v>
      </c>
      <c r="K5484" s="25" t="s">
        <v>513</v>
      </c>
    </row>
    <row r="5485" spans="1:11" ht="25.5" x14ac:dyDescent="0.25">
      <c r="A5485" s="22">
        <v>2026</v>
      </c>
      <c r="B5485" s="28" t="s">
        <v>222</v>
      </c>
      <c r="C5485" s="28" t="s">
        <v>97</v>
      </c>
      <c r="D5485" s="28" t="s">
        <v>260</v>
      </c>
      <c r="E5485" s="29" t="s">
        <v>485</v>
      </c>
      <c r="F5485" s="29" t="s">
        <v>386</v>
      </c>
      <c r="G5485" s="25" t="s">
        <v>7170</v>
      </c>
      <c r="H5485" s="26">
        <v>-0.1424</v>
      </c>
      <c r="I5485" s="26"/>
      <c r="J5485" s="26" t="s">
        <v>512</v>
      </c>
      <c r="K5485" s="25" t="s">
        <v>513</v>
      </c>
    </row>
    <row r="5486" spans="1:11" ht="25.5" x14ac:dyDescent="0.25">
      <c r="A5486" s="22">
        <v>2026</v>
      </c>
      <c r="B5486" s="28" t="s">
        <v>222</v>
      </c>
      <c r="C5486" s="28" t="s">
        <v>97</v>
      </c>
      <c r="D5486" s="28" t="s">
        <v>260</v>
      </c>
      <c r="E5486" s="29" t="s">
        <v>485</v>
      </c>
      <c r="F5486" s="29" t="s">
        <v>386</v>
      </c>
      <c r="G5486" s="25" t="s">
        <v>7171</v>
      </c>
      <c r="H5486" s="26">
        <v>-0.14282600000000001</v>
      </c>
      <c r="I5486" s="26"/>
      <c r="J5486" s="26" t="s">
        <v>512</v>
      </c>
      <c r="K5486" s="25" t="s">
        <v>513</v>
      </c>
    </row>
    <row r="5487" spans="1:11" ht="25.5" x14ac:dyDescent="0.25">
      <c r="A5487" s="22">
        <v>2026</v>
      </c>
      <c r="B5487" s="28" t="s">
        <v>222</v>
      </c>
      <c r="C5487" s="28" t="s">
        <v>97</v>
      </c>
      <c r="D5487" s="28" t="s">
        <v>260</v>
      </c>
      <c r="E5487" s="29" t="s">
        <v>485</v>
      </c>
      <c r="F5487" s="29" t="s">
        <v>386</v>
      </c>
      <c r="G5487" s="25" t="s">
        <v>7172</v>
      </c>
      <c r="H5487" s="26">
        <v>-0.12614</v>
      </c>
      <c r="I5487" s="26"/>
      <c r="J5487" s="26" t="s">
        <v>512</v>
      </c>
      <c r="K5487" s="25" t="s">
        <v>513</v>
      </c>
    </row>
    <row r="5488" spans="1:11" ht="25.5" x14ac:dyDescent="0.25">
      <c r="A5488" s="22">
        <v>2026</v>
      </c>
      <c r="B5488" s="28" t="s">
        <v>222</v>
      </c>
      <c r="C5488" s="28" t="s">
        <v>97</v>
      </c>
      <c r="D5488" s="28" t="s">
        <v>260</v>
      </c>
      <c r="E5488" s="29" t="s">
        <v>485</v>
      </c>
      <c r="F5488" s="29" t="s">
        <v>386</v>
      </c>
      <c r="G5488" s="25" t="s">
        <v>7173</v>
      </c>
      <c r="H5488" s="26">
        <v>-0.14258120000000002</v>
      </c>
      <c r="I5488" s="26"/>
      <c r="J5488" s="26" t="s">
        <v>512</v>
      </c>
      <c r="K5488" s="25" t="s">
        <v>513</v>
      </c>
    </row>
    <row r="5489" spans="1:11" ht="25.5" x14ac:dyDescent="0.25">
      <c r="A5489" s="22">
        <v>2026</v>
      </c>
      <c r="B5489" s="28" t="s">
        <v>222</v>
      </c>
      <c r="C5489" s="28" t="s">
        <v>97</v>
      </c>
      <c r="D5489" s="28" t="s">
        <v>260</v>
      </c>
      <c r="E5489" s="29" t="s">
        <v>485</v>
      </c>
      <c r="F5489" s="29" t="s">
        <v>386</v>
      </c>
      <c r="G5489" s="25" t="s">
        <v>7174</v>
      </c>
      <c r="H5489" s="26">
        <v>-0.21189</v>
      </c>
      <c r="I5489" s="26"/>
      <c r="J5489" s="26" t="s">
        <v>512</v>
      </c>
      <c r="K5489" s="25" t="s">
        <v>513</v>
      </c>
    </row>
    <row r="5490" spans="1:11" ht="25.5" x14ac:dyDescent="0.25">
      <c r="A5490" s="22">
        <v>2026</v>
      </c>
      <c r="B5490" s="28" t="s">
        <v>222</v>
      </c>
      <c r="C5490" s="28" t="s">
        <v>97</v>
      </c>
      <c r="D5490" s="28" t="s">
        <v>260</v>
      </c>
      <c r="E5490" s="29" t="s">
        <v>485</v>
      </c>
      <c r="F5490" s="29" t="s">
        <v>386</v>
      </c>
      <c r="G5490" s="25" t="s">
        <v>7175</v>
      </c>
      <c r="H5490" s="26">
        <v>-0.69899999999999995</v>
      </c>
      <c r="I5490" s="26"/>
      <c r="J5490" s="26" t="s">
        <v>512</v>
      </c>
      <c r="K5490" s="25" t="s">
        <v>513</v>
      </c>
    </row>
    <row r="5491" spans="1:11" ht="25.5" x14ac:dyDescent="0.25">
      <c r="A5491" s="22">
        <v>2026</v>
      </c>
      <c r="B5491" s="28" t="s">
        <v>222</v>
      </c>
      <c r="C5491" s="28" t="s">
        <v>97</v>
      </c>
      <c r="D5491" s="28" t="s">
        <v>260</v>
      </c>
      <c r="E5491" s="29" t="s">
        <v>485</v>
      </c>
      <c r="F5491" s="29" t="s">
        <v>386</v>
      </c>
      <c r="G5491" s="25" t="s">
        <v>7176</v>
      </c>
      <c r="H5491" s="26">
        <v>-0.14180000000000001</v>
      </c>
      <c r="I5491" s="26"/>
      <c r="J5491" s="26" t="s">
        <v>512</v>
      </c>
      <c r="K5491" s="25" t="s">
        <v>513</v>
      </c>
    </row>
    <row r="5492" spans="1:11" ht="25.5" x14ac:dyDescent="0.25">
      <c r="A5492" s="22">
        <v>2026</v>
      </c>
      <c r="B5492" s="28" t="s">
        <v>222</v>
      </c>
      <c r="C5492" s="28" t="s">
        <v>97</v>
      </c>
      <c r="D5492" s="28" t="s">
        <v>260</v>
      </c>
      <c r="E5492" s="29" t="s">
        <v>485</v>
      </c>
      <c r="F5492" s="29" t="s">
        <v>386</v>
      </c>
      <c r="G5492" s="25" t="s">
        <v>7177</v>
      </c>
      <c r="H5492" s="26">
        <v>-0.181501</v>
      </c>
      <c r="I5492" s="26"/>
      <c r="J5492" s="26" t="s">
        <v>512</v>
      </c>
      <c r="K5492" s="25" t="s">
        <v>513</v>
      </c>
    </row>
    <row r="5493" spans="1:11" ht="25.5" x14ac:dyDescent="0.25">
      <c r="A5493" s="22">
        <v>2026</v>
      </c>
      <c r="B5493" s="28" t="s">
        <v>222</v>
      </c>
      <c r="C5493" s="28" t="s">
        <v>97</v>
      </c>
      <c r="D5493" s="28" t="s">
        <v>260</v>
      </c>
      <c r="E5493" s="29" t="s">
        <v>485</v>
      </c>
      <c r="F5493" s="29" t="s">
        <v>386</v>
      </c>
      <c r="G5493" s="25" t="s">
        <v>7178</v>
      </c>
      <c r="H5493" s="26">
        <v>-0.29552400000000001</v>
      </c>
      <c r="I5493" s="26"/>
      <c r="J5493" s="26" t="s">
        <v>512</v>
      </c>
      <c r="K5493" s="25" t="s">
        <v>513</v>
      </c>
    </row>
    <row r="5494" spans="1:11" ht="25.5" x14ac:dyDescent="0.25">
      <c r="A5494" s="22">
        <v>2026</v>
      </c>
      <c r="B5494" s="28" t="s">
        <v>222</v>
      </c>
      <c r="C5494" s="28" t="s">
        <v>97</v>
      </c>
      <c r="D5494" s="28" t="s">
        <v>260</v>
      </c>
      <c r="E5494" s="29" t="s">
        <v>485</v>
      </c>
      <c r="F5494" s="29" t="s">
        <v>386</v>
      </c>
      <c r="G5494" s="25" t="s">
        <v>7179</v>
      </c>
      <c r="H5494" s="26">
        <v>-0.73986200000000002</v>
      </c>
      <c r="I5494" s="26"/>
      <c r="J5494" s="26" t="s">
        <v>512</v>
      </c>
      <c r="K5494" s="25" t="s">
        <v>513</v>
      </c>
    </row>
    <row r="5495" spans="1:11" ht="25.5" x14ac:dyDescent="0.25">
      <c r="A5495" s="22">
        <v>2026</v>
      </c>
      <c r="B5495" s="28" t="s">
        <v>222</v>
      </c>
      <c r="C5495" s="28" t="s">
        <v>97</v>
      </c>
      <c r="D5495" s="28" t="s">
        <v>260</v>
      </c>
      <c r="E5495" s="29" t="s">
        <v>485</v>
      </c>
      <c r="F5495" s="29" t="s">
        <v>386</v>
      </c>
      <c r="G5495" s="25" t="s">
        <v>7180</v>
      </c>
      <c r="H5495" s="26">
        <v>-0.36708000000000002</v>
      </c>
      <c r="I5495" s="26"/>
      <c r="J5495" s="26" t="s">
        <v>512</v>
      </c>
      <c r="K5495" s="25" t="s">
        <v>513</v>
      </c>
    </row>
    <row r="5496" spans="1:11" ht="25.5" x14ac:dyDescent="0.25">
      <c r="A5496" s="22">
        <v>2026</v>
      </c>
      <c r="B5496" s="28" t="s">
        <v>222</v>
      </c>
      <c r="C5496" s="28" t="s">
        <v>97</v>
      </c>
      <c r="D5496" s="28" t="s">
        <v>1753</v>
      </c>
      <c r="E5496" s="29" t="s">
        <v>331</v>
      </c>
      <c r="F5496" s="29" t="s">
        <v>335</v>
      </c>
      <c r="G5496" s="25" t="s">
        <v>7181</v>
      </c>
      <c r="H5496" s="26">
        <v>-1.0540799999999999</v>
      </c>
      <c r="I5496" s="26"/>
      <c r="J5496" s="26" t="s">
        <v>512</v>
      </c>
      <c r="K5496" s="25" t="s">
        <v>513</v>
      </c>
    </row>
    <row r="5497" spans="1:11" ht="25.5" x14ac:dyDescent="0.25">
      <c r="A5497" s="22">
        <v>2026</v>
      </c>
      <c r="B5497" s="28" t="s">
        <v>222</v>
      </c>
      <c r="C5497" s="28" t="s">
        <v>97</v>
      </c>
      <c r="D5497" s="28" t="s">
        <v>1753</v>
      </c>
      <c r="E5497" s="29" t="s">
        <v>331</v>
      </c>
      <c r="F5497" s="29" t="s">
        <v>335</v>
      </c>
      <c r="G5497" s="25" t="s">
        <v>7182</v>
      </c>
      <c r="H5497" s="26">
        <v>-1.05586</v>
      </c>
      <c r="I5497" s="26"/>
      <c r="J5497" s="26" t="s">
        <v>512</v>
      </c>
      <c r="K5497" s="25" t="s">
        <v>513</v>
      </c>
    </row>
    <row r="5498" spans="1:11" ht="25.5" x14ac:dyDescent="0.25">
      <c r="A5498" s="22">
        <v>2026</v>
      </c>
      <c r="B5498" s="28" t="s">
        <v>222</v>
      </c>
      <c r="C5498" s="28" t="s">
        <v>97</v>
      </c>
      <c r="D5498" s="28" t="s">
        <v>1753</v>
      </c>
      <c r="E5498" s="29" t="s">
        <v>331</v>
      </c>
      <c r="F5498" s="29" t="s">
        <v>335</v>
      </c>
      <c r="G5498" s="25" t="s">
        <v>7183</v>
      </c>
      <c r="H5498" s="26">
        <v>-1.07</v>
      </c>
      <c r="I5498" s="26"/>
      <c r="J5498" s="26" t="s">
        <v>512</v>
      </c>
      <c r="K5498" s="25" t="s">
        <v>513</v>
      </c>
    </row>
    <row r="5499" spans="1:11" ht="25.5" x14ac:dyDescent="0.25">
      <c r="A5499" s="22">
        <v>2026</v>
      </c>
      <c r="B5499" s="28" t="s">
        <v>222</v>
      </c>
      <c r="C5499" s="28" t="s">
        <v>97</v>
      </c>
      <c r="D5499" s="28" t="s">
        <v>1753</v>
      </c>
      <c r="E5499" s="29" t="s">
        <v>331</v>
      </c>
      <c r="F5499" s="29" t="s">
        <v>335</v>
      </c>
      <c r="G5499" s="25" t="s">
        <v>7184</v>
      </c>
      <c r="H5499" s="26">
        <v>-1.0688599999999999</v>
      </c>
      <c r="I5499" s="26"/>
      <c r="J5499" s="26" t="s">
        <v>512</v>
      </c>
      <c r="K5499" s="25" t="s">
        <v>513</v>
      </c>
    </row>
    <row r="5500" spans="1:11" ht="25.5" x14ac:dyDescent="0.25">
      <c r="A5500" s="22">
        <v>2026</v>
      </c>
      <c r="B5500" s="28" t="s">
        <v>222</v>
      </c>
      <c r="C5500" s="28" t="s">
        <v>97</v>
      </c>
      <c r="D5500" s="28" t="s">
        <v>1753</v>
      </c>
      <c r="E5500" s="29" t="s">
        <v>331</v>
      </c>
      <c r="F5500" s="29" t="s">
        <v>335</v>
      </c>
      <c r="G5500" s="25" t="s">
        <v>7185</v>
      </c>
      <c r="H5500" s="26">
        <v>-1.0705199999999999</v>
      </c>
      <c r="I5500" s="26"/>
      <c r="J5500" s="26" t="s">
        <v>512</v>
      </c>
      <c r="K5500" s="25" t="s">
        <v>513</v>
      </c>
    </row>
    <row r="5501" spans="1:11" ht="25.5" x14ac:dyDescent="0.25">
      <c r="A5501" s="22">
        <v>2026</v>
      </c>
      <c r="B5501" s="28" t="s">
        <v>222</v>
      </c>
      <c r="C5501" s="28" t="s">
        <v>97</v>
      </c>
      <c r="D5501" s="28" t="s">
        <v>1753</v>
      </c>
      <c r="E5501" s="29" t="s">
        <v>331</v>
      </c>
      <c r="F5501" s="29" t="s">
        <v>335</v>
      </c>
      <c r="G5501" s="25" t="s">
        <v>7186</v>
      </c>
      <c r="H5501" s="26">
        <v>-1.0732999999999999</v>
      </c>
      <c r="I5501" s="26"/>
      <c r="J5501" s="26" t="s">
        <v>512</v>
      </c>
      <c r="K5501" s="25" t="s">
        <v>513</v>
      </c>
    </row>
    <row r="5502" spans="1:11" ht="25.5" x14ac:dyDescent="0.25">
      <c r="A5502" s="22">
        <v>2026</v>
      </c>
      <c r="B5502" s="28" t="s">
        <v>222</v>
      </c>
      <c r="C5502" s="28" t="s">
        <v>97</v>
      </c>
      <c r="D5502" s="28" t="s">
        <v>1753</v>
      </c>
      <c r="E5502" s="29" t="s">
        <v>331</v>
      </c>
      <c r="F5502" s="29" t="s">
        <v>335</v>
      </c>
      <c r="G5502" s="25" t="s">
        <v>7187</v>
      </c>
      <c r="H5502" s="26">
        <v>-1.07406</v>
      </c>
      <c r="I5502" s="26"/>
      <c r="J5502" s="26" t="s">
        <v>512</v>
      </c>
      <c r="K5502" s="25" t="s">
        <v>513</v>
      </c>
    </row>
    <row r="5503" spans="1:11" ht="25.5" x14ac:dyDescent="0.25">
      <c r="A5503" s="22">
        <v>2026</v>
      </c>
      <c r="B5503" s="28" t="s">
        <v>222</v>
      </c>
      <c r="C5503" s="28" t="s">
        <v>97</v>
      </c>
      <c r="D5503" s="28" t="s">
        <v>1753</v>
      </c>
      <c r="E5503" s="29" t="s">
        <v>331</v>
      </c>
      <c r="F5503" s="29" t="s">
        <v>335</v>
      </c>
      <c r="G5503" s="25" t="s">
        <v>7188</v>
      </c>
      <c r="H5503" s="26">
        <v>-1.07386</v>
      </c>
      <c r="I5503" s="26"/>
      <c r="J5503" s="26" t="s">
        <v>512</v>
      </c>
      <c r="K5503" s="25" t="s">
        <v>513</v>
      </c>
    </row>
    <row r="5504" spans="1:11" ht="25.5" x14ac:dyDescent="0.25">
      <c r="A5504" s="22">
        <v>2026</v>
      </c>
      <c r="B5504" s="28" t="s">
        <v>222</v>
      </c>
      <c r="C5504" s="28" t="s">
        <v>97</v>
      </c>
      <c r="D5504" s="28" t="s">
        <v>1753</v>
      </c>
      <c r="E5504" s="29" t="s">
        <v>331</v>
      </c>
      <c r="F5504" s="29" t="s">
        <v>335</v>
      </c>
      <c r="G5504" s="25" t="s">
        <v>7189</v>
      </c>
      <c r="H5504" s="26">
        <v>-1.0824400000000001</v>
      </c>
      <c r="I5504" s="26"/>
      <c r="J5504" s="26" t="s">
        <v>512</v>
      </c>
      <c r="K5504" s="25" t="s">
        <v>513</v>
      </c>
    </row>
    <row r="5505" spans="1:11" ht="25.5" x14ac:dyDescent="0.25">
      <c r="A5505" s="22">
        <v>2026</v>
      </c>
      <c r="B5505" s="28" t="s">
        <v>222</v>
      </c>
      <c r="C5505" s="28" t="s">
        <v>97</v>
      </c>
      <c r="D5505" s="28" t="s">
        <v>1753</v>
      </c>
      <c r="E5505" s="29" t="s">
        <v>331</v>
      </c>
      <c r="F5505" s="29" t="s">
        <v>335</v>
      </c>
      <c r="G5505" s="25" t="s">
        <v>7190</v>
      </c>
      <c r="H5505" s="26">
        <v>-1.08342</v>
      </c>
      <c r="I5505" s="26"/>
      <c r="J5505" s="26" t="s">
        <v>512</v>
      </c>
      <c r="K5505" s="25" t="s">
        <v>513</v>
      </c>
    </row>
    <row r="5506" spans="1:11" ht="25.5" x14ac:dyDescent="0.25">
      <c r="A5506" s="22">
        <v>2026</v>
      </c>
      <c r="B5506" s="28" t="s">
        <v>222</v>
      </c>
      <c r="C5506" s="28" t="s">
        <v>97</v>
      </c>
      <c r="D5506" s="28" t="s">
        <v>1753</v>
      </c>
      <c r="E5506" s="29" t="s">
        <v>331</v>
      </c>
      <c r="F5506" s="29" t="s">
        <v>335</v>
      </c>
      <c r="G5506" s="25" t="s">
        <v>7191</v>
      </c>
      <c r="H5506" s="26">
        <v>-1.0856399999999999</v>
      </c>
      <c r="I5506" s="26"/>
      <c r="J5506" s="26" t="s">
        <v>512</v>
      </c>
      <c r="K5506" s="25" t="s">
        <v>513</v>
      </c>
    </row>
    <row r="5507" spans="1:11" ht="25.5" x14ac:dyDescent="0.25">
      <c r="A5507" s="22">
        <v>2026</v>
      </c>
      <c r="B5507" s="28" t="s">
        <v>222</v>
      </c>
      <c r="C5507" s="28" t="s">
        <v>97</v>
      </c>
      <c r="D5507" s="28" t="s">
        <v>1753</v>
      </c>
      <c r="E5507" s="29" t="s">
        <v>331</v>
      </c>
      <c r="F5507" s="29" t="s">
        <v>335</v>
      </c>
      <c r="G5507" s="25" t="s">
        <v>7192</v>
      </c>
      <c r="H5507" s="26">
        <v>-1.0884199999999999</v>
      </c>
      <c r="I5507" s="26"/>
      <c r="J5507" s="26" t="s">
        <v>512</v>
      </c>
      <c r="K5507" s="25" t="s">
        <v>513</v>
      </c>
    </row>
    <row r="5508" spans="1:11" ht="25.5" x14ac:dyDescent="0.25">
      <c r="A5508" s="22">
        <v>2026</v>
      </c>
      <c r="B5508" s="28" t="s">
        <v>222</v>
      </c>
      <c r="C5508" s="28" t="s">
        <v>97</v>
      </c>
      <c r="D5508" s="28" t="s">
        <v>1753</v>
      </c>
      <c r="E5508" s="29" t="s">
        <v>331</v>
      </c>
      <c r="F5508" s="29" t="s">
        <v>335</v>
      </c>
      <c r="G5508" s="25" t="s">
        <v>7193</v>
      </c>
      <c r="H5508" s="26">
        <v>-0.81892500000000001</v>
      </c>
      <c r="I5508" s="26"/>
      <c r="J5508" s="26" t="s">
        <v>512</v>
      </c>
      <c r="K5508" s="25" t="s">
        <v>513</v>
      </c>
    </row>
    <row r="5509" spans="1:11" ht="25.5" x14ac:dyDescent="0.25">
      <c r="A5509" s="22">
        <v>2026</v>
      </c>
      <c r="B5509" s="28" t="s">
        <v>222</v>
      </c>
      <c r="C5509" s="28" t="s">
        <v>97</v>
      </c>
      <c r="D5509" s="28" t="s">
        <v>1753</v>
      </c>
      <c r="E5509" s="29" t="s">
        <v>331</v>
      </c>
      <c r="F5509" s="29" t="s">
        <v>335</v>
      </c>
      <c r="G5509" s="25" t="s">
        <v>7194</v>
      </c>
      <c r="H5509" s="26">
        <v>-0.68162500000000004</v>
      </c>
      <c r="I5509" s="26"/>
      <c r="J5509" s="26" t="s">
        <v>512</v>
      </c>
      <c r="K5509" s="25" t="s">
        <v>513</v>
      </c>
    </row>
    <row r="5510" spans="1:11" ht="25.5" x14ac:dyDescent="0.25">
      <c r="A5510" s="22">
        <v>2026</v>
      </c>
      <c r="B5510" s="28" t="s">
        <v>222</v>
      </c>
      <c r="C5510" s="28" t="s">
        <v>97</v>
      </c>
      <c r="D5510" s="28" t="s">
        <v>1753</v>
      </c>
      <c r="E5510" s="29" t="s">
        <v>331</v>
      </c>
      <c r="F5510" s="29" t="s">
        <v>335</v>
      </c>
      <c r="G5510" s="25" t="s">
        <v>7195</v>
      </c>
      <c r="H5510" s="26">
        <v>-0.27281499999999997</v>
      </c>
      <c r="I5510" s="26"/>
      <c r="J5510" s="26" t="s">
        <v>512</v>
      </c>
      <c r="K5510" s="25" t="s">
        <v>513</v>
      </c>
    </row>
    <row r="5511" spans="1:11" ht="25.5" x14ac:dyDescent="0.25">
      <c r="A5511" s="22">
        <v>2026</v>
      </c>
      <c r="B5511" s="28" t="s">
        <v>222</v>
      </c>
      <c r="C5511" s="28" t="s">
        <v>97</v>
      </c>
      <c r="D5511" s="28" t="s">
        <v>1753</v>
      </c>
      <c r="E5511" s="29" t="s">
        <v>331</v>
      </c>
      <c r="F5511" s="29" t="s">
        <v>335</v>
      </c>
      <c r="G5511" s="25" t="s">
        <v>7196</v>
      </c>
      <c r="H5511" s="26">
        <v>-1.1092200000000001</v>
      </c>
      <c r="I5511" s="26"/>
      <c r="J5511" s="26" t="s">
        <v>512</v>
      </c>
      <c r="K5511" s="25" t="s">
        <v>513</v>
      </c>
    </row>
    <row r="5512" spans="1:11" ht="25.5" x14ac:dyDescent="0.25">
      <c r="A5512" s="22">
        <v>2026</v>
      </c>
      <c r="B5512" s="28" t="s">
        <v>222</v>
      </c>
      <c r="C5512" s="28" t="s">
        <v>97</v>
      </c>
      <c r="D5512" s="28" t="s">
        <v>1753</v>
      </c>
      <c r="E5512" s="29" t="s">
        <v>331</v>
      </c>
      <c r="F5512" s="29" t="s">
        <v>335</v>
      </c>
      <c r="G5512" s="25" t="s">
        <v>7197</v>
      </c>
      <c r="H5512" s="26">
        <v>-1.1012200000000001</v>
      </c>
      <c r="I5512" s="26"/>
      <c r="J5512" s="26" t="s">
        <v>512</v>
      </c>
      <c r="K5512" s="25" t="s">
        <v>513</v>
      </c>
    </row>
    <row r="5513" spans="1:11" ht="25.5" x14ac:dyDescent="0.25">
      <c r="A5513" s="22">
        <v>2026</v>
      </c>
      <c r="B5513" s="28" t="s">
        <v>222</v>
      </c>
      <c r="C5513" s="28" t="s">
        <v>97</v>
      </c>
      <c r="D5513" s="28" t="s">
        <v>1753</v>
      </c>
      <c r="E5513" s="29" t="s">
        <v>331</v>
      </c>
      <c r="F5513" s="29" t="s">
        <v>335</v>
      </c>
      <c r="G5513" s="25" t="s">
        <v>7198</v>
      </c>
      <c r="H5513" s="26">
        <v>-1.1077999999999999</v>
      </c>
      <c r="I5513" s="26"/>
      <c r="J5513" s="26" t="s">
        <v>512</v>
      </c>
      <c r="K5513" s="25" t="s">
        <v>513</v>
      </c>
    </row>
    <row r="5514" spans="1:11" ht="25.5" x14ac:dyDescent="0.25">
      <c r="A5514" s="22">
        <v>2026</v>
      </c>
      <c r="B5514" s="28" t="s">
        <v>222</v>
      </c>
      <c r="C5514" s="28" t="s">
        <v>97</v>
      </c>
      <c r="D5514" s="28" t="s">
        <v>542</v>
      </c>
      <c r="E5514" s="29" t="s">
        <v>575</v>
      </c>
      <c r="F5514" s="29" t="s">
        <v>576</v>
      </c>
      <c r="G5514" s="25" t="s">
        <v>7199</v>
      </c>
      <c r="H5514" s="26">
        <v>-0.20849999999999999</v>
      </c>
      <c r="I5514" s="26"/>
      <c r="J5514" s="26" t="s">
        <v>512</v>
      </c>
      <c r="K5514" s="25" t="s">
        <v>513</v>
      </c>
    </row>
    <row r="5515" spans="1:11" ht="25.5" x14ac:dyDescent="0.25">
      <c r="A5515" s="22">
        <v>2026</v>
      </c>
      <c r="B5515" s="28" t="s">
        <v>222</v>
      </c>
      <c r="C5515" s="28" t="s">
        <v>97</v>
      </c>
      <c r="D5515" s="28" t="s">
        <v>542</v>
      </c>
      <c r="E5515" s="29" t="s">
        <v>575</v>
      </c>
      <c r="F5515" s="29" t="s">
        <v>576</v>
      </c>
      <c r="G5515" s="25" t="s">
        <v>7200</v>
      </c>
      <c r="H5515" s="26">
        <v>-6.8750000000000006E-2</v>
      </c>
      <c r="I5515" s="26"/>
      <c r="J5515" s="26" t="s">
        <v>512</v>
      </c>
      <c r="K5515" s="25" t="s">
        <v>513</v>
      </c>
    </row>
    <row r="5516" spans="1:11" ht="25.5" x14ac:dyDescent="0.25">
      <c r="A5516" s="22">
        <v>2026</v>
      </c>
      <c r="B5516" s="28" t="s">
        <v>222</v>
      </c>
      <c r="C5516" s="28" t="s">
        <v>97</v>
      </c>
      <c r="D5516" s="28" t="s">
        <v>542</v>
      </c>
      <c r="E5516" s="29" t="s">
        <v>575</v>
      </c>
      <c r="F5516" s="29" t="s">
        <v>576</v>
      </c>
      <c r="G5516" s="25" t="s">
        <v>7201</v>
      </c>
      <c r="H5516" s="26">
        <v>-8.0699999999999994E-2</v>
      </c>
      <c r="I5516" s="26"/>
      <c r="J5516" s="26" t="s">
        <v>512</v>
      </c>
      <c r="K5516" s="25" t="s">
        <v>513</v>
      </c>
    </row>
    <row r="5517" spans="1:11" ht="25.5" x14ac:dyDescent="0.25">
      <c r="A5517" s="22">
        <v>2026</v>
      </c>
      <c r="B5517" s="28" t="s">
        <v>222</v>
      </c>
      <c r="C5517" s="28" t="s">
        <v>97</v>
      </c>
      <c r="D5517" s="28" t="s">
        <v>542</v>
      </c>
      <c r="E5517" s="29" t="s">
        <v>575</v>
      </c>
      <c r="F5517" s="29" t="s">
        <v>576</v>
      </c>
      <c r="G5517" s="25" t="s">
        <v>7202</v>
      </c>
      <c r="H5517" s="26">
        <v>-0.10920000000000001</v>
      </c>
      <c r="I5517" s="26"/>
      <c r="J5517" s="26" t="s">
        <v>512</v>
      </c>
      <c r="K5517" s="25" t="s">
        <v>513</v>
      </c>
    </row>
    <row r="5518" spans="1:11" ht="25.5" x14ac:dyDescent="0.25">
      <c r="A5518" s="22">
        <v>2026</v>
      </c>
      <c r="B5518" s="28" t="s">
        <v>222</v>
      </c>
      <c r="C5518" s="28" t="s">
        <v>97</v>
      </c>
      <c r="D5518" s="28" t="s">
        <v>542</v>
      </c>
      <c r="E5518" s="29" t="s">
        <v>575</v>
      </c>
      <c r="F5518" s="29" t="s">
        <v>576</v>
      </c>
      <c r="G5518" s="25" t="s">
        <v>7203</v>
      </c>
      <c r="H5518" s="26">
        <v>-6.9000000000000006E-2</v>
      </c>
      <c r="I5518" s="26"/>
      <c r="J5518" s="26" t="s">
        <v>512</v>
      </c>
      <c r="K5518" s="25" t="s">
        <v>513</v>
      </c>
    </row>
    <row r="5519" spans="1:11" ht="25.5" x14ac:dyDescent="0.25">
      <c r="A5519" s="22">
        <v>2026</v>
      </c>
      <c r="B5519" s="28" t="s">
        <v>222</v>
      </c>
      <c r="C5519" s="28" t="s">
        <v>97</v>
      </c>
      <c r="D5519" s="28" t="s">
        <v>542</v>
      </c>
      <c r="E5519" s="29" t="s">
        <v>575</v>
      </c>
      <c r="F5519" s="29" t="s">
        <v>576</v>
      </c>
      <c r="G5519" s="25" t="s">
        <v>7204</v>
      </c>
      <c r="H5519" s="26">
        <v>-0.13950000000000001</v>
      </c>
      <c r="I5519" s="26"/>
      <c r="J5519" s="26" t="s">
        <v>512</v>
      </c>
      <c r="K5519" s="25" t="s">
        <v>513</v>
      </c>
    </row>
    <row r="5520" spans="1:11" ht="25.5" x14ac:dyDescent="0.25">
      <c r="A5520" s="22">
        <v>2026</v>
      </c>
      <c r="B5520" s="28" t="s">
        <v>222</v>
      </c>
      <c r="C5520" s="28" t="s">
        <v>97</v>
      </c>
      <c r="D5520" s="28" t="s">
        <v>542</v>
      </c>
      <c r="E5520" s="29" t="s">
        <v>575</v>
      </c>
      <c r="F5520" s="29" t="s">
        <v>576</v>
      </c>
      <c r="G5520" s="25" t="s">
        <v>7205</v>
      </c>
      <c r="H5520" s="26">
        <v>-5.5399999999999998E-2</v>
      </c>
      <c r="I5520" s="26"/>
      <c r="J5520" s="26" t="s">
        <v>512</v>
      </c>
      <c r="K5520" s="25" t="s">
        <v>513</v>
      </c>
    </row>
    <row r="5521" spans="1:11" ht="25.5" x14ac:dyDescent="0.25">
      <c r="A5521" s="22">
        <v>2026</v>
      </c>
      <c r="B5521" s="28" t="s">
        <v>222</v>
      </c>
      <c r="C5521" s="28" t="s">
        <v>97</v>
      </c>
      <c r="D5521" s="28" t="s">
        <v>1789</v>
      </c>
      <c r="E5521" s="29" t="s">
        <v>1800</v>
      </c>
      <c r="F5521" s="29" t="s">
        <v>374</v>
      </c>
      <c r="G5521" s="25" t="s">
        <v>7206</v>
      </c>
      <c r="H5521" s="26">
        <v>-0.25814228020000002</v>
      </c>
      <c r="I5521" s="26"/>
      <c r="J5521" s="26" t="s">
        <v>514</v>
      </c>
      <c r="K5521" s="25" t="s">
        <v>513</v>
      </c>
    </row>
    <row r="5522" spans="1:11" ht="25.5" x14ac:dyDescent="0.25">
      <c r="A5522" s="22">
        <v>2026</v>
      </c>
      <c r="B5522" s="28" t="s">
        <v>222</v>
      </c>
      <c r="C5522" s="28" t="s">
        <v>97</v>
      </c>
      <c r="D5522" s="28" t="s">
        <v>1789</v>
      </c>
      <c r="E5522" s="29" t="s">
        <v>1800</v>
      </c>
      <c r="F5522" s="29" t="s">
        <v>374</v>
      </c>
      <c r="G5522" s="25" t="s">
        <v>7207</v>
      </c>
      <c r="H5522" s="26">
        <v>-0.13434036799999999</v>
      </c>
      <c r="I5522" s="26"/>
      <c r="J5522" s="26" t="s">
        <v>514</v>
      </c>
      <c r="K5522" s="25" t="s">
        <v>513</v>
      </c>
    </row>
    <row r="5523" spans="1:11" ht="25.5" x14ac:dyDescent="0.25">
      <c r="A5523" s="22">
        <v>2026</v>
      </c>
      <c r="B5523" s="28" t="s">
        <v>222</v>
      </c>
      <c r="C5523" s="28" t="s">
        <v>97</v>
      </c>
      <c r="D5523" s="28" t="s">
        <v>1789</v>
      </c>
      <c r="E5523" s="29" t="s">
        <v>1800</v>
      </c>
      <c r="F5523" s="29" t="s">
        <v>374</v>
      </c>
      <c r="G5523" s="25" t="s">
        <v>7208</v>
      </c>
      <c r="H5523" s="26">
        <v>-0.39315</v>
      </c>
      <c r="I5523" s="26"/>
      <c r="J5523" s="26" t="s">
        <v>514</v>
      </c>
      <c r="K5523" s="25" t="s">
        <v>513</v>
      </c>
    </row>
    <row r="5524" spans="1:11" ht="25.5" x14ac:dyDescent="0.25">
      <c r="A5524" s="22">
        <v>2026</v>
      </c>
      <c r="B5524" s="28" t="s">
        <v>222</v>
      </c>
      <c r="C5524" s="28" t="s">
        <v>97</v>
      </c>
      <c r="D5524" s="28" t="s">
        <v>1789</v>
      </c>
      <c r="E5524" s="29" t="s">
        <v>1800</v>
      </c>
      <c r="F5524" s="29" t="s">
        <v>374</v>
      </c>
      <c r="G5524" s="25" t="s">
        <v>7209</v>
      </c>
      <c r="H5524" s="26">
        <v>-0.46707976000000001</v>
      </c>
      <c r="I5524" s="26"/>
      <c r="J5524" s="26" t="s">
        <v>514</v>
      </c>
      <c r="K5524" s="25" t="s">
        <v>513</v>
      </c>
    </row>
    <row r="5525" spans="1:11" ht="25.5" x14ac:dyDescent="0.25">
      <c r="A5525" s="22">
        <v>2026</v>
      </c>
      <c r="B5525" s="28" t="s">
        <v>222</v>
      </c>
      <c r="C5525" s="28" t="s">
        <v>97</v>
      </c>
      <c r="D5525" s="28" t="s">
        <v>1789</v>
      </c>
      <c r="E5525" s="29" t="s">
        <v>1800</v>
      </c>
      <c r="F5525" s="29" t="s">
        <v>374</v>
      </c>
      <c r="G5525" s="25" t="s">
        <v>7210</v>
      </c>
      <c r="H5525" s="26">
        <v>-0.35306999999999999</v>
      </c>
      <c r="I5525" s="26"/>
      <c r="J5525" s="26" t="s">
        <v>514</v>
      </c>
      <c r="K5525" s="25" t="s">
        <v>513</v>
      </c>
    </row>
    <row r="5526" spans="1:11" ht="25.5" x14ac:dyDescent="0.25">
      <c r="A5526" s="22">
        <v>2026</v>
      </c>
      <c r="B5526" s="28" t="s">
        <v>222</v>
      </c>
      <c r="C5526" s="28" t="s">
        <v>97</v>
      </c>
      <c r="D5526" s="28" t="s">
        <v>1789</v>
      </c>
      <c r="E5526" s="29" t="s">
        <v>1800</v>
      </c>
      <c r="F5526" s="29" t="s">
        <v>374</v>
      </c>
      <c r="G5526" s="25" t="s">
        <v>7211</v>
      </c>
      <c r="H5526" s="26">
        <v>-0.46872000000000003</v>
      </c>
      <c r="I5526" s="26"/>
      <c r="J5526" s="26" t="s">
        <v>514</v>
      </c>
      <c r="K5526" s="25" t="s">
        <v>513</v>
      </c>
    </row>
    <row r="5527" spans="1:11" ht="25.5" x14ac:dyDescent="0.25">
      <c r="A5527" s="22">
        <v>2026</v>
      </c>
      <c r="B5527" s="28" t="s">
        <v>222</v>
      </c>
      <c r="C5527" s="28" t="s">
        <v>97</v>
      </c>
      <c r="D5527" s="28" t="s">
        <v>1789</v>
      </c>
      <c r="E5527" s="29" t="s">
        <v>1800</v>
      </c>
      <c r="F5527" s="29" t="s">
        <v>374</v>
      </c>
      <c r="G5527" s="25" t="s">
        <v>7212</v>
      </c>
      <c r="H5527" s="26">
        <v>-0.1122155</v>
      </c>
      <c r="I5527" s="26"/>
      <c r="J5527" s="26" t="s">
        <v>514</v>
      </c>
      <c r="K5527" s="25" t="s">
        <v>513</v>
      </c>
    </row>
    <row r="5528" spans="1:11" ht="25.5" x14ac:dyDescent="0.25">
      <c r="A5528" s="22">
        <v>2026</v>
      </c>
      <c r="B5528" s="28" t="s">
        <v>222</v>
      </c>
      <c r="C5528" s="28" t="s">
        <v>97</v>
      </c>
      <c r="D5528" s="28" t="s">
        <v>1789</v>
      </c>
      <c r="E5528" s="29" t="s">
        <v>1800</v>
      </c>
      <c r="F5528" s="29" t="s">
        <v>374</v>
      </c>
      <c r="G5528" s="25" t="s">
        <v>7213</v>
      </c>
      <c r="H5528" s="26">
        <v>-0.15436</v>
      </c>
      <c r="I5528" s="26"/>
      <c r="J5528" s="26" t="s">
        <v>514</v>
      </c>
      <c r="K5528" s="25" t="s">
        <v>513</v>
      </c>
    </row>
    <row r="5529" spans="1:11" ht="25.5" x14ac:dyDescent="0.25">
      <c r="A5529" s="22">
        <v>2026</v>
      </c>
      <c r="B5529" s="28" t="s">
        <v>222</v>
      </c>
      <c r="C5529" s="28" t="s">
        <v>97</v>
      </c>
      <c r="D5529" s="28" t="s">
        <v>1789</v>
      </c>
      <c r="E5529" s="29" t="s">
        <v>1800</v>
      </c>
      <c r="F5529" s="29" t="s">
        <v>374</v>
      </c>
      <c r="G5529" s="25" t="s">
        <v>7214</v>
      </c>
      <c r="H5529" s="26">
        <v>-6.4135510999999992E-2</v>
      </c>
      <c r="I5529" s="26"/>
      <c r="J5529" s="26" t="s">
        <v>514</v>
      </c>
      <c r="K5529" s="25" t="s">
        <v>513</v>
      </c>
    </row>
    <row r="5530" spans="1:11" ht="25.5" x14ac:dyDescent="0.25">
      <c r="A5530" s="22">
        <v>2026</v>
      </c>
      <c r="B5530" s="28" t="s">
        <v>222</v>
      </c>
      <c r="C5530" s="28" t="s">
        <v>97</v>
      </c>
      <c r="D5530" s="28" t="s">
        <v>1789</v>
      </c>
      <c r="E5530" s="29" t="s">
        <v>1800</v>
      </c>
      <c r="F5530" s="29" t="s">
        <v>374</v>
      </c>
      <c r="G5530" s="25" t="s">
        <v>7215</v>
      </c>
      <c r="H5530" s="26">
        <v>-3.9050000000000001E-2</v>
      </c>
      <c r="I5530" s="26"/>
      <c r="J5530" s="26" t="s">
        <v>514</v>
      </c>
      <c r="K5530" s="25" t="s">
        <v>513</v>
      </c>
    </row>
    <row r="5531" spans="1:11" ht="25.5" x14ac:dyDescent="0.25">
      <c r="A5531" s="22">
        <v>2026</v>
      </c>
      <c r="B5531" s="28" t="s">
        <v>222</v>
      </c>
      <c r="C5531" s="28" t="s">
        <v>97</v>
      </c>
      <c r="D5531" s="28" t="s">
        <v>1789</v>
      </c>
      <c r="E5531" s="29" t="s">
        <v>1800</v>
      </c>
      <c r="F5531" s="29" t="s">
        <v>374</v>
      </c>
      <c r="G5531" s="25" t="s">
        <v>7216</v>
      </c>
      <c r="H5531" s="26">
        <v>-1.0204215000000001E-2</v>
      </c>
      <c r="I5531" s="26"/>
      <c r="J5531" s="26" t="s">
        <v>514</v>
      </c>
      <c r="K5531" s="25" t="s">
        <v>513</v>
      </c>
    </row>
    <row r="5532" spans="1:11" ht="25.5" x14ac:dyDescent="0.25">
      <c r="A5532" s="22">
        <v>2026</v>
      </c>
      <c r="B5532" s="28" t="s">
        <v>222</v>
      </c>
      <c r="C5532" s="28" t="s">
        <v>97</v>
      </c>
      <c r="D5532" s="28" t="s">
        <v>1789</v>
      </c>
      <c r="E5532" s="29" t="s">
        <v>1800</v>
      </c>
      <c r="F5532" s="29" t="s">
        <v>374</v>
      </c>
      <c r="G5532" s="25" t="s">
        <v>7217</v>
      </c>
      <c r="H5532" s="26">
        <v>-3.925E-2</v>
      </c>
      <c r="I5532" s="26"/>
      <c r="J5532" s="26" t="s">
        <v>514</v>
      </c>
      <c r="K5532" s="25" t="s">
        <v>513</v>
      </c>
    </row>
    <row r="5533" spans="1:11" ht="25.5" x14ac:dyDescent="0.25">
      <c r="A5533" s="22">
        <v>2026</v>
      </c>
      <c r="B5533" s="28" t="s">
        <v>222</v>
      </c>
      <c r="C5533" s="28" t="s">
        <v>97</v>
      </c>
      <c r="D5533" s="28" t="s">
        <v>191</v>
      </c>
      <c r="E5533" s="29" t="s">
        <v>643</v>
      </c>
      <c r="F5533" s="29" t="s">
        <v>343</v>
      </c>
      <c r="G5533" s="25" t="s">
        <v>7218</v>
      </c>
      <c r="H5533" s="26">
        <v>-8.9459999999999998E-2</v>
      </c>
      <c r="I5533" s="26"/>
      <c r="J5533" s="26" t="s">
        <v>512</v>
      </c>
      <c r="K5533" s="25" t="s">
        <v>513</v>
      </c>
    </row>
    <row r="5534" spans="1:11" ht="25.5" x14ac:dyDescent="0.25">
      <c r="A5534" s="22">
        <v>2026</v>
      </c>
      <c r="B5534" s="28" t="s">
        <v>222</v>
      </c>
      <c r="C5534" s="28" t="s">
        <v>97</v>
      </c>
      <c r="D5534" s="28" t="s">
        <v>191</v>
      </c>
      <c r="E5534" s="29" t="s">
        <v>643</v>
      </c>
      <c r="F5534" s="29" t="s">
        <v>343</v>
      </c>
      <c r="G5534" s="25" t="s">
        <v>7219</v>
      </c>
      <c r="H5534" s="26">
        <v>-9.0624999999999997E-2</v>
      </c>
      <c r="I5534" s="26"/>
      <c r="J5534" s="26" t="s">
        <v>512</v>
      </c>
      <c r="K5534" s="25" t="s">
        <v>513</v>
      </c>
    </row>
    <row r="5535" spans="1:11" ht="25.5" x14ac:dyDescent="0.25">
      <c r="A5535" s="22">
        <v>2026</v>
      </c>
      <c r="B5535" s="28" t="s">
        <v>222</v>
      </c>
      <c r="C5535" s="28" t="s">
        <v>97</v>
      </c>
      <c r="D5535" s="28" t="s">
        <v>191</v>
      </c>
      <c r="E5535" s="29" t="s">
        <v>643</v>
      </c>
      <c r="F5535" s="29" t="s">
        <v>343</v>
      </c>
      <c r="G5535" s="25" t="s">
        <v>7220</v>
      </c>
      <c r="H5535" s="26">
        <v>-9.1300000000000006E-2</v>
      </c>
      <c r="I5535" s="26"/>
      <c r="J5535" s="26" t="s">
        <v>512</v>
      </c>
      <c r="K5535" s="25" t="s">
        <v>513</v>
      </c>
    </row>
    <row r="5536" spans="1:11" ht="25.5" x14ac:dyDescent="0.25">
      <c r="A5536" s="22">
        <v>2026</v>
      </c>
      <c r="B5536" s="28" t="s">
        <v>222</v>
      </c>
      <c r="C5536" s="28" t="s">
        <v>97</v>
      </c>
      <c r="D5536" s="28" t="s">
        <v>191</v>
      </c>
      <c r="E5536" s="29" t="s">
        <v>643</v>
      </c>
      <c r="F5536" s="29" t="s">
        <v>343</v>
      </c>
      <c r="G5536" s="25" t="s">
        <v>7221</v>
      </c>
      <c r="H5536" s="26">
        <v>-0.1844375</v>
      </c>
      <c r="I5536" s="26"/>
      <c r="J5536" s="26" t="s">
        <v>512</v>
      </c>
      <c r="K5536" s="25" t="s">
        <v>513</v>
      </c>
    </row>
    <row r="5537" spans="1:11" ht="25.5" x14ac:dyDescent="0.25">
      <c r="A5537" s="22">
        <v>2026</v>
      </c>
      <c r="B5537" s="28" t="s">
        <v>222</v>
      </c>
      <c r="C5537" s="28" t="s">
        <v>97</v>
      </c>
      <c r="D5537" s="28" t="s">
        <v>191</v>
      </c>
      <c r="E5537" s="29" t="s">
        <v>643</v>
      </c>
      <c r="F5537" s="29" t="s">
        <v>343</v>
      </c>
      <c r="G5537" s="25" t="s">
        <v>7222</v>
      </c>
      <c r="H5537" s="26">
        <v>-9.2869999999999994E-2</v>
      </c>
      <c r="I5537" s="26"/>
      <c r="J5537" s="26" t="s">
        <v>512</v>
      </c>
      <c r="K5537" s="25" t="s">
        <v>513</v>
      </c>
    </row>
    <row r="5538" spans="1:11" ht="25.5" x14ac:dyDescent="0.25">
      <c r="A5538" s="22">
        <v>2026</v>
      </c>
      <c r="B5538" s="28" t="s">
        <v>222</v>
      </c>
      <c r="C5538" s="28" t="s">
        <v>97</v>
      </c>
      <c r="D5538" s="28" t="s">
        <v>191</v>
      </c>
      <c r="E5538" s="29" t="s">
        <v>643</v>
      </c>
      <c r="F5538" s="29" t="s">
        <v>343</v>
      </c>
      <c r="G5538" s="25" t="s">
        <v>7223</v>
      </c>
      <c r="H5538" s="26">
        <v>-0.18532499999999999</v>
      </c>
      <c r="I5538" s="26"/>
      <c r="J5538" s="26" t="s">
        <v>512</v>
      </c>
      <c r="K5538" s="25" t="s">
        <v>513</v>
      </c>
    </row>
    <row r="5539" spans="1:11" ht="25.5" x14ac:dyDescent="0.25">
      <c r="A5539" s="22">
        <v>2026</v>
      </c>
      <c r="B5539" s="28" t="s">
        <v>222</v>
      </c>
      <c r="C5539" s="28" t="s">
        <v>97</v>
      </c>
      <c r="D5539" s="28" t="s">
        <v>191</v>
      </c>
      <c r="E5539" s="29" t="s">
        <v>643</v>
      </c>
      <c r="F5539" s="29" t="s">
        <v>343</v>
      </c>
      <c r="G5539" s="25" t="s">
        <v>7224</v>
      </c>
      <c r="H5539" s="26">
        <v>-9.2999999999999999E-2</v>
      </c>
      <c r="I5539" s="26"/>
      <c r="J5539" s="26" t="s">
        <v>512</v>
      </c>
      <c r="K5539" s="25" t="s">
        <v>513</v>
      </c>
    </row>
    <row r="5540" spans="1:11" ht="25.5" x14ac:dyDescent="0.25">
      <c r="A5540" s="22">
        <v>2026</v>
      </c>
      <c r="B5540" s="28" t="s">
        <v>222</v>
      </c>
      <c r="C5540" s="28" t="s">
        <v>97</v>
      </c>
      <c r="D5540" s="28" t="s">
        <v>543</v>
      </c>
      <c r="E5540" s="29" t="s">
        <v>578</v>
      </c>
      <c r="F5540" s="29" t="s">
        <v>335</v>
      </c>
      <c r="G5540" s="25" t="s">
        <v>7225</v>
      </c>
      <c r="H5540" s="26">
        <v>-0.2676</v>
      </c>
      <c r="I5540" s="26"/>
      <c r="J5540" s="26" t="s">
        <v>512</v>
      </c>
      <c r="K5540" s="25" t="s">
        <v>513</v>
      </c>
    </row>
    <row r="5541" spans="1:11" ht="25.5" x14ac:dyDescent="0.25">
      <c r="A5541" s="22">
        <v>2026</v>
      </c>
      <c r="B5541" s="28" t="s">
        <v>222</v>
      </c>
      <c r="C5541" s="28" t="s">
        <v>97</v>
      </c>
      <c r="D5541" s="28" t="s">
        <v>543</v>
      </c>
      <c r="E5541" s="29" t="s">
        <v>578</v>
      </c>
      <c r="F5541" s="29" t="s">
        <v>335</v>
      </c>
      <c r="G5541" s="25" t="s">
        <v>7226</v>
      </c>
      <c r="H5541" s="26">
        <v>-0.13439999999999999</v>
      </c>
      <c r="I5541" s="26"/>
      <c r="J5541" s="26" t="s">
        <v>512</v>
      </c>
      <c r="K5541" s="25" t="s">
        <v>513</v>
      </c>
    </row>
    <row r="5542" spans="1:11" ht="25.5" x14ac:dyDescent="0.25">
      <c r="A5542" s="22">
        <v>2026</v>
      </c>
      <c r="B5542" s="28" t="s">
        <v>222</v>
      </c>
      <c r="C5542" s="28" t="s">
        <v>97</v>
      </c>
      <c r="D5542" s="28" t="s">
        <v>543</v>
      </c>
      <c r="E5542" s="29" t="s">
        <v>578</v>
      </c>
      <c r="F5542" s="29" t="s">
        <v>335</v>
      </c>
      <c r="G5542" s="25" t="s">
        <v>7227</v>
      </c>
      <c r="H5542" s="26">
        <v>-0.25657420000000003</v>
      </c>
      <c r="I5542" s="26"/>
      <c r="J5542" s="26" t="s">
        <v>512</v>
      </c>
      <c r="K5542" s="25" t="s">
        <v>513</v>
      </c>
    </row>
    <row r="5543" spans="1:11" ht="25.5" x14ac:dyDescent="0.25">
      <c r="A5543" s="22">
        <v>2026</v>
      </c>
      <c r="B5543" s="28" t="s">
        <v>222</v>
      </c>
      <c r="C5543" s="28" t="s">
        <v>97</v>
      </c>
      <c r="D5543" s="28" t="s">
        <v>543</v>
      </c>
      <c r="E5543" s="29" t="s">
        <v>578</v>
      </c>
      <c r="F5543" s="29" t="s">
        <v>335</v>
      </c>
      <c r="G5543" s="25" t="s">
        <v>7228</v>
      </c>
      <c r="H5543" s="26">
        <v>-0.37290000000000001</v>
      </c>
      <c r="I5543" s="26"/>
      <c r="J5543" s="26" t="s">
        <v>512</v>
      </c>
      <c r="K5543" s="25" t="s">
        <v>513</v>
      </c>
    </row>
    <row r="5544" spans="1:11" ht="25.5" x14ac:dyDescent="0.25">
      <c r="A5544" s="22">
        <v>2026</v>
      </c>
      <c r="B5544" s="28" t="s">
        <v>222</v>
      </c>
      <c r="C5544" s="28" t="s">
        <v>97</v>
      </c>
      <c r="D5544" s="28" t="s">
        <v>543</v>
      </c>
      <c r="E5544" s="29" t="s">
        <v>578</v>
      </c>
      <c r="F5544" s="29" t="s">
        <v>335</v>
      </c>
      <c r="G5544" s="25" t="s">
        <v>7229</v>
      </c>
      <c r="H5544" s="26">
        <v>-0.1135</v>
      </c>
      <c r="I5544" s="26"/>
      <c r="J5544" s="26" t="s">
        <v>512</v>
      </c>
      <c r="K5544" s="25" t="s">
        <v>513</v>
      </c>
    </row>
    <row r="5545" spans="1:11" ht="25.5" x14ac:dyDescent="0.25">
      <c r="A5545" s="22">
        <v>2026</v>
      </c>
      <c r="B5545" s="28" t="s">
        <v>222</v>
      </c>
      <c r="C5545" s="28" t="s">
        <v>97</v>
      </c>
      <c r="D5545" s="28" t="s">
        <v>543</v>
      </c>
      <c r="E5545" s="29" t="s">
        <v>578</v>
      </c>
      <c r="F5545" s="29" t="s">
        <v>335</v>
      </c>
      <c r="G5545" s="25" t="s">
        <v>7230</v>
      </c>
      <c r="H5545" s="26">
        <v>-0.11375</v>
      </c>
      <c r="I5545" s="26"/>
      <c r="J5545" s="26" t="s">
        <v>512</v>
      </c>
      <c r="K5545" s="25" t="s">
        <v>513</v>
      </c>
    </row>
    <row r="5546" spans="1:11" ht="25.5" x14ac:dyDescent="0.25">
      <c r="A5546" s="22">
        <v>2026</v>
      </c>
      <c r="B5546" s="28" t="s">
        <v>222</v>
      </c>
      <c r="C5546" s="28" t="s">
        <v>97</v>
      </c>
      <c r="D5546" s="28" t="s">
        <v>543</v>
      </c>
      <c r="E5546" s="29" t="s">
        <v>578</v>
      </c>
      <c r="F5546" s="29" t="s">
        <v>335</v>
      </c>
      <c r="G5546" s="25" t="s">
        <v>7231</v>
      </c>
      <c r="H5546" s="26">
        <v>-0.56840000000000002</v>
      </c>
      <c r="I5546" s="26"/>
      <c r="J5546" s="26" t="s">
        <v>512</v>
      </c>
      <c r="K5546" s="25" t="s">
        <v>513</v>
      </c>
    </row>
    <row r="5547" spans="1:11" ht="25.5" x14ac:dyDescent="0.25">
      <c r="A5547" s="22">
        <v>2026</v>
      </c>
      <c r="B5547" s="28" t="s">
        <v>222</v>
      </c>
      <c r="C5547" s="28" t="s">
        <v>97</v>
      </c>
      <c r="D5547" s="28" t="s">
        <v>543</v>
      </c>
      <c r="E5547" s="29" t="s">
        <v>578</v>
      </c>
      <c r="F5547" s="29" t="s">
        <v>335</v>
      </c>
      <c r="G5547" s="25" t="s">
        <v>7232</v>
      </c>
      <c r="H5547" s="26">
        <v>-0.23100000000000001</v>
      </c>
      <c r="I5547" s="26"/>
      <c r="J5547" s="26" t="s">
        <v>512</v>
      </c>
      <c r="K5547" s="25" t="s">
        <v>513</v>
      </c>
    </row>
    <row r="5548" spans="1:11" ht="25.5" x14ac:dyDescent="0.25">
      <c r="A5548" s="22">
        <v>2026</v>
      </c>
      <c r="B5548" s="28" t="s">
        <v>222</v>
      </c>
      <c r="C5548" s="28" t="s">
        <v>97</v>
      </c>
      <c r="D5548" s="28" t="s">
        <v>543</v>
      </c>
      <c r="E5548" s="29" t="s">
        <v>578</v>
      </c>
      <c r="F5548" s="29" t="s">
        <v>335</v>
      </c>
      <c r="G5548" s="25" t="s">
        <v>7233</v>
      </c>
      <c r="H5548" s="26">
        <v>-0.37119999999999997</v>
      </c>
      <c r="I5548" s="26"/>
      <c r="J5548" s="26" t="s">
        <v>512</v>
      </c>
      <c r="K5548" s="25" t="s">
        <v>513</v>
      </c>
    </row>
    <row r="5549" spans="1:11" ht="25.5" x14ac:dyDescent="0.25">
      <c r="A5549" s="22">
        <v>2026</v>
      </c>
      <c r="B5549" s="28" t="s">
        <v>222</v>
      </c>
      <c r="C5549" s="28" t="s">
        <v>97</v>
      </c>
      <c r="D5549" s="28" t="s">
        <v>543</v>
      </c>
      <c r="E5549" s="29" t="s">
        <v>578</v>
      </c>
      <c r="F5549" s="29" t="s">
        <v>335</v>
      </c>
      <c r="G5549" s="25" t="s">
        <v>7234</v>
      </c>
      <c r="H5549" s="26">
        <v>-0.34799999999999998</v>
      </c>
      <c r="I5549" s="26"/>
      <c r="J5549" s="26" t="s">
        <v>512</v>
      </c>
      <c r="K5549" s="25" t="s">
        <v>513</v>
      </c>
    </row>
    <row r="5550" spans="1:11" ht="25.5" x14ac:dyDescent="0.25">
      <c r="A5550" s="22">
        <v>2026</v>
      </c>
      <c r="B5550" s="28" t="s">
        <v>222</v>
      </c>
      <c r="C5550" s="28" t="s">
        <v>97</v>
      </c>
      <c r="D5550" s="28" t="s">
        <v>543</v>
      </c>
      <c r="E5550" s="29" t="s">
        <v>578</v>
      </c>
      <c r="F5550" s="29" t="s">
        <v>335</v>
      </c>
      <c r="G5550" s="25" t="s">
        <v>7235</v>
      </c>
      <c r="H5550" s="26">
        <v>-0.46274999999999999</v>
      </c>
      <c r="I5550" s="26"/>
      <c r="J5550" s="26" t="s">
        <v>512</v>
      </c>
      <c r="K5550" s="25" t="s">
        <v>513</v>
      </c>
    </row>
    <row r="5551" spans="1:11" ht="25.5" x14ac:dyDescent="0.25">
      <c r="A5551" s="22">
        <v>2026</v>
      </c>
      <c r="B5551" s="28" t="s">
        <v>222</v>
      </c>
      <c r="C5551" s="28" t="s">
        <v>97</v>
      </c>
      <c r="D5551" s="28" t="s">
        <v>534</v>
      </c>
      <c r="E5551" s="29" t="s">
        <v>337</v>
      </c>
      <c r="F5551" s="29" t="s">
        <v>287</v>
      </c>
      <c r="G5551" s="25" t="s">
        <v>7236</v>
      </c>
      <c r="H5551" s="26">
        <v>-1.172E-2</v>
      </c>
      <c r="I5551" s="26"/>
      <c r="J5551" s="26" t="s">
        <v>512</v>
      </c>
      <c r="K5551" s="25" t="s">
        <v>526</v>
      </c>
    </row>
    <row r="5552" spans="1:11" ht="25.5" x14ac:dyDescent="0.25">
      <c r="A5552" s="22">
        <v>2026</v>
      </c>
      <c r="B5552" s="28" t="s">
        <v>222</v>
      </c>
      <c r="C5552" s="28" t="s">
        <v>97</v>
      </c>
      <c r="D5552" s="28" t="s">
        <v>534</v>
      </c>
      <c r="E5552" s="29" t="s">
        <v>337</v>
      </c>
      <c r="F5552" s="29" t="s">
        <v>287</v>
      </c>
      <c r="G5552" s="25" t="s">
        <v>7237</v>
      </c>
      <c r="H5552" s="26">
        <v>-1.4688479999999999</v>
      </c>
      <c r="I5552" s="26"/>
      <c r="J5552" s="26" t="s">
        <v>512</v>
      </c>
      <c r="K5552" s="25" t="s">
        <v>526</v>
      </c>
    </row>
    <row r="5553" spans="1:11" ht="25.5" x14ac:dyDescent="0.25">
      <c r="A5553" s="22">
        <v>2026</v>
      </c>
      <c r="B5553" s="28" t="s">
        <v>222</v>
      </c>
      <c r="C5553" s="28" t="s">
        <v>97</v>
      </c>
      <c r="D5553" s="28" t="s">
        <v>534</v>
      </c>
      <c r="E5553" s="29" t="s">
        <v>337</v>
      </c>
      <c r="F5553" s="29" t="s">
        <v>287</v>
      </c>
      <c r="G5553" s="25" t="s">
        <v>7238</v>
      </c>
      <c r="H5553" s="26">
        <v>-1.4188700000000001</v>
      </c>
      <c r="I5553" s="26"/>
      <c r="J5553" s="26" t="s">
        <v>512</v>
      </c>
      <c r="K5553" s="25" t="s">
        <v>526</v>
      </c>
    </row>
    <row r="5554" spans="1:11" ht="25.5" x14ac:dyDescent="0.25">
      <c r="A5554" s="22">
        <v>2026</v>
      </c>
      <c r="B5554" s="28" t="s">
        <v>222</v>
      </c>
      <c r="C5554" s="28" t="s">
        <v>97</v>
      </c>
      <c r="D5554" s="28" t="s">
        <v>534</v>
      </c>
      <c r="E5554" s="29" t="s">
        <v>337</v>
      </c>
      <c r="F5554" s="29" t="s">
        <v>287</v>
      </c>
      <c r="G5554" s="25" t="s">
        <v>7239</v>
      </c>
      <c r="H5554" s="26">
        <v>-3.95811</v>
      </c>
      <c r="I5554" s="26"/>
      <c r="J5554" s="26" t="s">
        <v>512</v>
      </c>
      <c r="K5554" s="25" t="s">
        <v>526</v>
      </c>
    </row>
    <row r="5555" spans="1:11" ht="25.5" x14ac:dyDescent="0.25">
      <c r="A5555" s="22">
        <v>2026</v>
      </c>
      <c r="B5555" s="28" t="s">
        <v>222</v>
      </c>
      <c r="C5555" s="28" t="s">
        <v>97</v>
      </c>
      <c r="D5555" s="28" t="s">
        <v>534</v>
      </c>
      <c r="E5555" s="29" t="s">
        <v>337</v>
      </c>
      <c r="F5555" s="29" t="s">
        <v>287</v>
      </c>
      <c r="G5555" s="25" t="s">
        <v>7240</v>
      </c>
      <c r="H5555" s="26">
        <v>-0.41534569999999998</v>
      </c>
      <c r="I5555" s="26"/>
      <c r="J5555" s="26" t="s">
        <v>512</v>
      </c>
      <c r="K5555" s="25" t="s">
        <v>526</v>
      </c>
    </row>
    <row r="5556" spans="1:11" ht="25.5" x14ac:dyDescent="0.25">
      <c r="A5556" s="22">
        <v>2026</v>
      </c>
      <c r="B5556" s="28" t="s">
        <v>222</v>
      </c>
      <c r="C5556" s="28" t="s">
        <v>97</v>
      </c>
      <c r="D5556" s="28" t="s">
        <v>534</v>
      </c>
      <c r="E5556" s="29" t="s">
        <v>337</v>
      </c>
      <c r="F5556" s="29" t="s">
        <v>287</v>
      </c>
      <c r="G5556" s="25" t="s">
        <v>7241</v>
      </c>
      <c r="H5556" s="26">
        <v>-0.49654467540000002</v>
      </c>
      <c r="I5556" s="26"/>
      <c r="J5556" s="26" t="s">
        <v>512</v>
      </c>
      <c r="K5556" s="25" t="s">
        <v>526</v>
      </c>
    </row>
    <row r="5557" spans="1:11" ht="25.5" x14ac:dyDescent="0.25">
      <c r="A5557" s="22">
        <v>2026</v>
      </c>
      <c r="B5557" s="28" t="s">
        <v>222</v>
      </c>
      <c r="C5557" s="28" t="s">
        <v>97</v>
      </c>
      <c r="D5557" s="28" t="s">
        <v>534</v>
      </c>
      <c r="E5557" s="29" t="s">
        <v>337</v>
      </c>
      <c r="F5557" s="29" t="s">
        <v>287</v>
      </c>
      <c r="G5557" s="25" t="s">
        <v>7242</v>
      </c>
      <c r="H5557" s="26">
        <v>-1.3307339250000001</v>
      </c>
      <c r="I5557" s="26"/>
      <c r="J5557" s="26" t="s">
        <v>512</v>
      </c>
      <c r="K5557" s="25" t="s">
        <v>526</v>
      </c>
    </row>
    <row r="5558" spans="1:11" ht="25.5" x14ac:dyDescent="0.25">
      <c r="A5558" s="22">
        <v>2026</v>
      </c>
      <c r="B5558" s="28" t="s">
        <v>222</v>
      </c>
      <c r="C5558" s="28" t="s">
        <v>97</v>
      </c>
      <c r="D5558" s="28" t="s">
        <v>534</v>
      </c>
      <c r="E5558" s="29" t="s">
        <v>337</v>
      </c>
      <c r="F5558" s="29" t="s">
        <v>287</v>
      </c>
      <c r="G5558" s="25" t="s">
        <v>7243</v>
      </c>
      <c r="H5558" s="26">
        <v>-0.80673940249999998</v>
      </c>
      <c r="I5558" s="26"/>
      <c r="J5558" s="26" t="s">
        <v>512</v>
      </c>
      <c r="K5558" s="25" t="s">
        <v>526</v>
      </c>
    </row>
    <row r="5559" spans="1:11" ht="25.5" x14ac:dyDescent="0.25">
      <c r="A5559" s="22">
        <v>2026</v>
      </c>
      <c r="B5559" s="28" t="s">
        <v>222</v>
      </c>
      <c r="C5559" s="28" t="s">
        <v>97</v>
      </c>
      <c r="D5559" s="28" t="s">
        <v>534</v>
      </c>
      <c r="E5559" s="29" t="s">
        <v>337</v>
      </c>
      <c r="F5559" s="29" t="s">
        <v>287</v>
      </c>
      <c r="G5559" s="25" t="s">
        <v>7244</v>
      </c>
      <c r="H5559" s="26">
        <v>-0.232125</v>
      </c>
      <c r="I5559" s="26"/>
      <c r="J5559" s="26" t="s">
        <v>512</v>
      </c>
      <c r="K5559" s="25" t="s">
        <v>526</v>
      </c>
    </row>
    <row r="5560" spans="1:11" ht="25.5" x14ac:dyDescent="0.25">
      <c r="A5560" s="22">
        <v>2026</v>
      </c>
      <c r="B5560" s="28" t="s">
        <v>222</v>
      </c>
      <c r="C5560" s="28" t="s">
        <v>97</v>
      </c>
      <c r="D5560" s="28" t="s">
        <v>534</v>
      </c>
      <c r="E5560" s="29" t="s">
        <v>337</v>
      </c>
      <c r="F5560" s="29" t="s">
        <v>287</v>
      </c>
      <c r="G5560" s="25" t="s">
        <v>7245</v>
      </c>
      <c r="H5560" s="26">
        <v>-0.5079996</v>
      </c>
      <c r="I5560" s="26"/>
      <c r="J5560" s="26" t="s">
        <v>512</v>
      </c>
      <c r="K5560" s="25" t="s">
        <v>526</v>
      </c>
    </row>
    <row r="5561" spans="1:11" ht="25.5" x14ac:dyDescent="0.25">
      <c r="A5561" s="22">
        <v>2026</v>
      </c>
      <c r="B5561" s="28" t="s">
        <v>222</v>
      </c>
      <c r="C5561" s="28" t="s">
        <v>97</v>
      </c>
      <c r="D5561" s="28" t="s">
        <v>534</v>
      </c>
      <c r="E5561" s="29" t="s">
        <v>337</v>
      </c>
      <c r="F5561" s="29" t="s">
        <v>287</v>
      </c>
      <c r="G5561" s="25" t="s">
        <v>7246</v>
      </c>
      <c r="H5561" s="26">
        <v>-2.0603718995000002</v>
      </c>
      <c r="I5561" s="26"/>
      <c r="J5561" s="26" t="s">
        <v>512</v>
      </c>
      <c r="K5561" s="25" t="s">
        <v>526</v>
      </c>
    </row>
    <row r="5562" spans="1:11" ht="25.5" x14ac:dyDescent="0.25">
      <c r="A5562" s="22">
        <v>2026</v>
      </c>
      <c r="B5562" s="28" t="s">
        <v>222</v>
      </c>
      <c r="C5562" s="28" t="s">
        <v>97</v>
      </c>
      <c r="D5562" s="28" t="s">
        <v>534</v>
      </c>
      <c r="E5562" s="29" t="s">
        <v>337</v>
      </c>
      <c r="F5562" s="29" t="s">
        <v>287</v>
      </c>
      <c r="G5562" s="25" t="s">
        <v>7247</v>
      </c>
      <c r="H5562" s="26">
        <v>-1.3274649114000001</v>
      </c>
      <c r="I5562" s="26"/>
      <c r="J5562" s="26" t="s">
        <v>512</v>
      </c>
      <c r="K5562" s="25" t="s">
        <v>526</v>
      </c>
    </row>
    <row r="5563" spans="1:11" ht="25.5" x14ac:dyDescent="0.25">
      <c r="A5563" s="22">
        <v>2026</v>
      </c>
      <c r="B5563" s="28" t="s">
        <v>222</v>
      </c>
      <c r="C5563" s="28" t="s">
        <v>97</v>
      </c>
      <c r="D5563" s="28" t="s">
        <v>1754</v>
      </c>
      <c r="E5563" s="29" t="s">
        <v>569</v>
      </c>
      <c r="F5563" s="29" t="s">
        <v>474</v>
      </c>
      <c r="G5563" s="25" t="s">
        <v>7248</v>
      </c>
      <c r="H5563" s="26">
        <v>-0.18170833802</v>
      </c>
      <c r="I5563" s="26"/>
      <c r="J5563" s="26" t="s">
        <v>512</v>
      </c>
      <c r="K5563" s="25" t="s">
        <v>513</v>
      </c>
    </row>
    <row r="5564" spans="1:11" ht="25.5" x14ac:dyDescent="0.25">
      <c r="A5564" s="22">
        <v>2026</v>
      </c>
      <c r="B5564" s="28" t="s">
        <v>222</v>
      </c>
      <c r="C5564" s="28" t="s">
        <v>97</v>
      </c>
      <c r="D5564" s="28" t="s">
        <v>1754</v>
      </c>
      <c r="E5564" s="29" t="s">
        <v>569</v>
      </c>
      <c r="F5564" s="29" t="s">
        <v>474</v>
      </c>
      <c r="G5564" s="25" t="s">
        <v>7249</v>
      </c>
      <c r="H5564" s="26">
        <v>-0.34649999999999997</v>
      </c>
      <c r="I5564" s="26"/>
      <c r="J5564" s="26" t="s">
        <v>512</v>
      </c>
      <c r="K5564" s="25" t="s">
        <v>513</v>
      </c>
    </row>
    <row r="5565" spans="1:11" ht="25.5" x14ac:dyDescent="0.25">
      <c r="A5565" s="22">
        <v>2026</v>
      </c>
      <c r="B5565" s="28" t="s">
        <v>222</v>
      </c>
      <c r="C5565" s="28" t="s">
        <v>97</v>
      </c>
      <c r="D5565" s="28" t="s">
        <v>1754</v>
      </c>
      <c r="E5565" s="29" t="s">
        <v>569</v>
      </c>
      <c r="F5565" s="29" t="s">
        <v>474</v>
      </c>
      <c r="G5565" s="25" t="s">
        <v>7250</v>
      </c>
      <c r="H5565" s="26">
        <v>-0.5798875</v>
      </c>
      <c r="I5565" s="26"/>
      <c r="J5565" s="26" t="s">
        <v>512</v>
      </c>
      <c r="K5565" s="25" t="s">
        <v>513</v>
      </c>
    </row>
    <row r="5566" spans="1:11" ht="25.5" x14ac:dyDescent="0.25">
      <c r="A5566" s="22">
        <v>2026</v>
      </c>
      <c r="B5566" s="28" t="s">
        <v>222</v>
      </c>
      <c r="C5566" s="28" t="s">
        <v>97</v>
      </c>
      <c r="D5566" s="28" t="s">
        <v>1754</v>
      </c>
      <c r="E5566" s="29" t="s">
        <v>569</v>
      </c>
      <c r="F5566" s="29" t="s">
        <v>474</v>
      </c>
      <c r="G5566" s="25" t="s">
        <v>7251</v>
      </c>
      <c r="H5566" s="26">
        <v>-0.36744959999999999</v>
      </c>
      <c r="I5566" s="26"/>
      <c r="J5566" s="26" t="s">
        <v>512</v>
      </c>
      <c r="K5566" s="25" t="s">
        <v>513</v>
      </c>
    </row>
    <row r="5567" spans="1:11" ht="25.5" x14ac:dyDescent="0.25">
      <c r="A5567" s="22">
        <v>2026</v>
      </c>
      <c r="B5567" s="28" t="s">
        <v>222</v>
      </c>
      <c r="C5567" s="28" t="s">
        <v>97</v>
      </c>
      <c r="D5567" s="28" t="s">
        <v>1754</v>
      </c>
      <c r="E5567" s="29" t="s">
        <v>569</v>
      </c>
      <c r="F5567" s="29" t="s">
        <v>474</v>
      </c>
      <c r="G5567" s="25" t="s">
        <v>7252</v>
      </c>
      <c r="H5567" s="26">
        <v>-0.23050000000000001</v>
      </c>
      <c r="I5567" s="26"/>
      <c r="J5567" s="26" t="s">
        <v>512</v>
      </c>
      <c r="K5567" s="25" t="s">
        <v>513</v>
      </c>
    </row>
    <row r="5568" spans="1:11" ht="25.5" x14ac:dyDescent="0.25">
      <c r="A5568" s="22">
        <v>2026</v>
      </c>
      <c r="B5568" s="28" t="s">
        <v>222</v>
      </c>
      <c r="C5568" s="28" t="s">
        <v>97</v>
      </c>
      <c r="D5568" s="28" t="s">
        <v>1754</v>
      </c>
      <c r="E5568" s="29" t="s">
        <v>569</v>
      </c>
      <c r="F5568" s="29" t="s">
        <v>474</v>
      </c>
      <c r="G5568" s="25" t="s">
        <v>7253</v>
      </c>
      <c r="H5568" s="26">
        <v>-0.29830290035000001</v>
      </c>
      <c r="I5568" s="26"/>
      <c r="J5568" s="26" t="s">
        <v>512</v>
      </c>
      <c r="K5568" s="25" t="s">
        <v>513</v>
      </c>
    </row>
    <row r="5569" spans="1:11" ht="25.5" x14ac:dyDescent="0.25">
      <c r="A5569" s="22">
        <v>2026</v>
      </c>
      <c r="B5569" s="28" t="s">
        <v>222</v>
      </c>
      <c r="C5569" s="28" t="s">
        <v>97</v>
      </c>
      <c r="D5569" s="28" t="s">
        <v>1754</v>
      </c>
      <c r="E5569" s="29" t="s">
        <v>569</v>
      </c>
      <c r="F5569" s="29" t="s">
        <v>474</v>
      </c>
      <c r="G5569" s="25" t="s">
        <v>7254</v>
      </c>
      <c r="H5569" s="26">
        <v>-0.54846970128000005</v>
      </c>
      <c r="I5569" s="26"/>
      <c r="J5569" s="26" t="s">
        <v>512</v>
      </c>
      <c r="K5569" s="25" t="s">
        <v>513</v>
      </c>
    </row>
    <row r="5570" spans="1:11" ht="25.5" x14ac:dyDescent="0.25">
      <c r="A5570" s="22">
        <v>2026</v>
      </c>
      <c r="B5570" s="28" t="s">
        <v>222</v>
      </c>
      <c r="C5570" s="28" t="s">
        <v>97</v>
      </c>
      <c r="D5570" s="28" t="s">
        <v>1754</v>
      </c>
      <c r="E5570" s="29" t="s">
        <v>569</v>
      </c>
      <c r="F5570" s="29" t="s">
        <v>474</v>
      </c>
      <c r="G5570" s="25" t="s">
        <v>7255</v>
      </c>
      <c r="H5570" s="26">
        <v>-0.57974999999999999</v>
      </c>
      <c r="I5570" s="26"/>
      <c r="J5570" s="26" t="s">
        <v>512</v>
      </c>
      <c r="K5570" s="25" t="s">
        <v>513</v>
      </c>
    </row>
    <row r="5571" spans="1:11" ht="25.5" x14ac:dyDescent="0.25">
      <c r="A5571" s="22">
        <v>2026</v>
      </c>
      <c r="B5571" s="28" t="s">
        <v>222</v>
      </c>
      <c r="C5571" s="28" t="s">
        <v>97</v>
      </c>
      <c r="D5571" s="28" t="s">
        <v>1755</v>
      </c>
      <c r="E5571" s="29" t="s">
        <v>923</v>
      </c>
      <c r="F5571" s="29" t="s">
        <v>340</v>
      </c>
      <c r="G5571" s="25" t="s">
        <v>7256</v>
      </c>
      <c r="H5571" s="26">
        <v>-0.11292000000000001</v>
      </c>
      <c r="I5571" s="26"/>
      <c r="J5571" s="26" t="s">
        <v>512</v>
      </c>
      <c r="K5571" s="25" t="s">
        <v>513</v>
      </c>
    </row>
    <row r="5572" spans="1:11" ht="25.5" x14ac:dyDescent="0.25">
      <c r="A5572" s="22">
        <v>2026</v>
      </c>
      <c r="B5572" s="28" t="s">
        <v>222</v>
      </c>
      <c r="C5572" s="28" t="s">
        <v>97</v>
      </c>
      <c r="D5572" s="28" t="s">
        <v>1755</v>
      </c>
      <c r="E5572" s="29" t="s">
        <v>923</v>
      </c>
      <c r="F5572" s="29" t="s">
        <v>340</v>
      </c>
      <c r="G5572" s="25" t="s">
        <v>7257</v>
      </c>
      <c r="H5572" s="26">
        <v>-0.19</v>
      </c>
      <c r="I5572" s="26"/>
      <c r="J5572" s="26" t="s">
        <v>512</v>
      </c>
      <c r="K5572" s="25" t="s">
        <v>513</v>
      </c>
    </row>
    <row r="5573" spans="1:11" ht="25.5" x14ac:dyDescent="0.25">
      <c r="A5573" s="22">
        <v>2026</v>
      </c>
      <c r="B5573" s="28" t="s">
        <v>222</v>
      </c>
      <c r="C5573" s="28" t="s">
        <v>97</v>
      </c>
      <c r="D5573" s="28" t="s">
        <v>1755</v>
      </c>
      <c r="E5573" s="29" t="s">
        <v>923</v>
      </c>
      <c r="F5573" s="29" t="s">
        <v>340</v>
      </c>
      <c r="G5573" s="25" t="s">
        <v>7258</v>
      </c>
      <c r="H5573" s="26">
        <v>-0.33389999999999997</v>
      </c>
      <c r="I5573" s="26"/>
      <c r="J5573" s="26" t="s">
        <v>512</v>
      </c>
      <c r="K5573" s="25" t="s">
        <v>513</v>
      </c>
    </row>
    <row r="5574" spans="1:11" ht="25.5" x14ac:dyDescent="0.25">
      <c r="A5574" s="22">
        <v>2026</v>
      </c>
      <c r="B5574" s="28" t="s">
        <v>222</v>
      </c>
      <c r="C5574" s="28" t="s">
        <v>97</v>
      </c>
      <c r="D5574" s="28" t="s">
        <v>1755</v>
      </c>
      <c r="E5574" s="29" t="s">
        <v>923</v>
      </c>
      <c r="F5574" s="29" t="s">
        <v>340</v>
      </c>
      <c r="G5574" s="25" t="s">
        <v>7259</v>
      </c>
      <c r="H5574" s="26">
        <v>-0.33362000000000003</v>
      </c>
      <c r="I5574" s="26"/>
      <c r="J5574" s="26" t="s">
        <v>512</v>
      </c>
      <c r="K5574" s="25" t="s">
        <v>513</v>
      </c>
    </row>
    <row r="5575" spans="1:11" ht="25.5" x14ac:dyDescent="0.25">
      <c r="A5575" s="22">
        <v>2026</v>
      </c>
      <c r="B5575" s="28" t="s">
        <v>222</v>
      </c>
      <c r="C5575" s="28" t="s">
        <v>97</v>
      </c>
      <c r="D5575" s="28" t="s">
        <v>1755</v>
      </c>
      <c r="E5575" s="29" t="s">
        <v>923</v>
      </c>
      <c r="F5575" s="29" t="s">
        <v>340</v>
      </c>
      <c r="G5575" s="25" t="s">
        <v>7260</v>
      </c>
      <c r="H5575" s="26">
        <v>-0.3276</v>
      </c>
      <c r="I5575" s="26"/>
      <c r="J5575" s="26" t="s">
        <v>512</v>
      </c>
      <c r="K5575" s="25" t="s">
        <v>513</v>
      </c>
    </row>
    <row r="5576" spans="1:11" ht="25.5" x14ac:dyDescent="0.25">
      <c r="A5576" s="22">
        <v>2026</v>
      </c>
      <c r="B5576" s="28" t="s">
        <v>222</v>
      </c>
      <c r="C5576" s="28" t="s">
        <v>97</v>
      </c>
      <c r="D5576" s="28" t="s">
        <v>1755</v>
      </c>
      <c r="E5576" s="29" t="s">
        <v>923</v>
      </c>
      <c r="F5576" s="29" t="s">
        <v>340</v>
      </c>
      <c r="G5576" s="25" t="s">
        <v>7261</v>
      </c>
      <c r="H5576" s="26">
        <v>-0.33038250000000002</v>
      </c>
      <c r="I5576" s="26"/>
      <c r="J5576" s="26" t="s">
        <v>512</v>
      </c>
      <c r="K5576" s="25" t="s">
        <v>513</v>
      </c>
    </row>
    <row r="5577" spans="1:11" ht="25.5" x14ac:dyDescent="0.25">
      <c r="A5577" s="22">
        <v>2026</v>
      </c>
      <c r="B5577" s="28" t="s">
        <v>222</v>
      </c>
      <c r="C5577" s="28" t="s">
        <v>97</v>
      </c>
      <c r="D5577" s="28" t="s">
        <v>1755</v>
      </c>
      <c r="E5577" s="29" t="s">
        <v>923</v>
      </c>
      <c r="F5577" s="29" t="s">
        <v>340</v>
      </c>
      <c r="G5577" s="25" t="s">
        <v>7262</v>
      </c>
      <c r="H5577" s="26">
        <v>-0.65380000000000005</v>
      </c>
      <c r="I5577" s="26"/>
      <c r="J5577" s="26" t="s">
        <v>512</v>
      </c>
      <c r="K5577" s="25" t="s">
        <v>513</v>
      </c>
    </row>
    <row r="5578" spans="1:11" ht="25.5" x14ac:dyDescent="0.25">
      <c r="A5578" s="22">
        <v>2026</v>
      </c>
      <c r="B5578" s="28" t="s">
        <v>222</v>
      </c>
      <c r="C5578" s="28" t="s">
        <v>97</v>
      </c>
      <c r="D5578" s="28" t="s">
        <v>1755</v>
      </c>
      <c r="E5578" s="29" t="s">
        <v>923</v>
      </c>
      <c r="F5578" s="29" t="s">
        <v>340</v>
      </c>
      <c r="G5578" s="25" t="s">
        <v>7263</v>
      </c>
      <c r="H5578" s="26">
        <v>-0.32340000000000002</v>
      </c>
      <c r="I5578" s="26"/>
      <c r="J5578" s="26" t="s">
        <v>512</v>
      </c>
      <c r="K5578" s="25" t="s">
        <v>513</v>
      </c>
    </row>
    <row r="5579" spans="1:11" ht="25.5" x14ac:dyDescent="0.25">
      <c r="A5579" s="22">
        <v>2026</v>
      </c>
      <c r="B5579" s="28" t="s">
        <v>222</v>
      </c>
      <c r="C5579" s="28" t="s">
        <v>97</v>
      </c>
      <c r="D5579" s="28" t="s">
        <v>1755</v>
      </c>
      <c r="E5579" s="29" t="s">
        <v>923</v>
      </c>
      <c r="F5579" s="29" t="s">
        <v>340</v>
      </c>
      <c r="G5579" s="25" t="s">
        <v>7264</v>
      </c>
      <c r="H5579" s="26">
        <v>-0.18579999999999999</v>
      </c>
      <c r="I5579" s="26"/>
      <c r="J5579" s="26" t="s">
        <v>512</v>
      </c>
      <c r="K5579" s="25" t="s">
        <v>513</v>
      </c>
    </row>
    <row r="5580" spans="1:11" ht="25.5" x14ac:dyDescent="0.25">
      <c r="A5580" s="22">
        <v>2026</v>
      </c>
      <c r="B5580" s="28" t="s">
        <v>222</v>
      </c>
      <c r="C5580" s="28" t="s">
        <v>97</v>
      </c>
      <c r="D5580" s="28" t="s">
        <v>1755</v>
      </c>
      <c r="E5580" s="29" t="s">
        <v>923</v>
      </c>
      <c r="F5580" s="29" t="s">
        <v>340</v>
      </c>
      <c r="G5580" s="25" t="s">
        <v>7265</v>
      </c>
      <c r="H5580" s="26">
        <v>-0.46384999999999998</v>
      </c>
      <c r="I5580" s="26"/>
      <c r="J5580" s="26" t="s">
        <v>512</v>
      </c>
      <c r="K5580" s="25" t="s">
        <v>513</v>
      </c>
    </row>
    <row r="5581" spans="1:11" ht="25.5" x14ac:dyDescent="0.25">
      <c r="A5581" s="22">
        <v>2026</v>
      </c>
      <c r="B5581" s="28" t="s">
        <v>222</v>
      </c>
      <c r="C5581" s="28" t="s">
        <v>97</v>
      </c>
      <c r="D5581" s="28" t="s">
        <v>1755</v>
      </c>
      <c r="E5581" s="29" t="s">
        <v>923</v>
      </c>
      <c r="F5581" s="29" t="s">
        <v>340</v>
      </c>
      <c r="G5581" s="25" t="s">
        <v>7266</v>
      </c>
      <c r="H5581" s="26">
        <v>-0.32724999999999999</v>
      </c>
      <c r="I5581" s="26"/>
      <c r="J5581" s="26" t="s">
        <v>512</v>
      </c>
      <c r="K5581" s="25" t="s">
        <v>513</v>
      </c>
    </row>
    <row r="5582" spans="1:11" ht="25.5" x14ac:dyDescent="0.25">
      <c r="A5582" s="22">
        <v>2026</v>
      </c>
      <c r="B5582" s="28" t="s">
        <v>222</v>
      </c>
      <c r="C5582" s="28" t="s">
        <v>97</v>
      </c>
      <c r="D5582" s="28" t="s">
        <v>1755</v>
      </c>
      <c r="E5582" s="29" t="s">
        <v>923</v>
      </c>
      <c r="F5582" s="29" t="s">
        <v>340</v>
      </c>
      <c r="G5582" s="25" t="s">
        <v>7267</v>
      </c>
      <c r="H5582" s="26">
        <v>-0.33059250000000001</v>
      </c>
      <c r="I5582" s="26"/>
      <c r="J5582" s="26" t="s">
        <v>512</v>
      </c>
      <c r="K5582" s="25" t="s">
        <v>513</v>
      </c>
    </row>
    <row r="5583" spans="1:11" ht="25.5" x14ac:dyDescent="0.25">
      <c r="A5583" s="22">
        <v>2026</v>
      </c>
      <c r="B5583" s="28" t="s">
        <v>222</v>
      </c>
      <c r="C5583" s="28" t="s">
        <v>97</v>
      </c>
      <c r="D5583" s="28" t="s">
        <v>1755</v>
      </c>
      <c r="E5583" s="29" t="s">
        <v>923</v>
      </c>
      <c r="F5583" s="29" t="s">
        <v>340</v>
      </c>
      <c r="G5583" s="25" t="s">
        <v>7268</v>
      </c>
      <c r="H5583" s="26">
        <v>-0.61814999999999998</v>
      </c>
      <c r="I5583" s="26"/>
      <c r="J5583" s="26" t="s">
        <v>512</v>
      </c>
      <c r="K5583" s="25" t="s">
        <v>513</v>
      </c>
    </row>
    <row r="5584" spans="1:11" ht="25.5" x14ac:dyDescent="0.25">
      <c r="A5584" s="22">
        <v>2026</v>
      </c>
      <c r="B5584" s="28" t="s">
        <v>222</v>
      </c>
      <c r="C5584" s="28" t="s">
        <v>97</v>
      </c>
      <c r="D5584" s="28" t="s">
        <v>1755</v>
      </c>
      <c r="E5584" s="29" t="s">
        <v>923</v>
      </c>
      <c r="F5584" s="29" t="s">
        <v>340</v>
      </c>
      <c r="G5584" s="25" t="s">
        <v>7269</v>
      </c>
      <c r="H5584" s="26">
        <v>-0.33235999999999999</v>
      </c>
      <c r="I5584" s="26"/>
      <c r="J5584" s="26" t="s">
        <v>512</v>
      </c>
      <c r="K5584" s="25" t="s">
        <v>513</v>
      </c>
    </row>
    <row r="5585" spans="1:11" ht="25.5" x14ac:dyDescent="0.25">
      <c r="A5585" s="22">
        <v>2026</v>
      </c>
      <c r="B5585" s="28" t="s">
        <v>222</v>
      </c>
      <c r="C5585" s="28" t="s">
        <v>97</v>
      </c>
      <c r="D5585" s="28" t="s">
        <v>1755</v>
      </c>
      <c r="E5585" s="29" t="s">
        <v>923</v>
      </c>
      <c r="F5585" s="29" t="s">
        <v>340</v>
      </c>
      <c r="G5585" s="25" t="s">
        <v>7270</v>
      </c>
      <c r="H5585" s="26">
        <v>-0.1898</v>
      </c>
      <c r="I5585" s="26"/>
      <c r="J5585" s="26" t="s">
        <v>512</v>
      </c>
      <c r="K5585" s="25" t="s">
        <v>513</v>
      </c>
    </row>
    <row r="5586" spans="1:11" ht="25.5" x14ac:dyDescent="0.25">
      <c r="A5586" s="22">
        <v>2026</v>
      </c>
      <c r="B5586" s="28" t="s">
        <v>222</v>
      </c>
      <c r="C5586" s="28" t="s">
        <v>97</v>
      </c>
      <c r="D5586" s="28" t="s">
        <v>1790</v>
      </c>
      <c r="E5586" s="29" t="s">
        <v>1781</v>
      </c>
      <c r="F5586" s="29" t="s">
        <v>287</v>
      </c>
      <c r="G5586" s="25" t="s">
        <v>7271</v>
      </c>
      <c r="H5586" s="26">
        <v>-0.14499999999999999</v>
      </c>
      <c r="I5586" s="26"/>
      <c r="J5586" s="26" t="s">
        <v>512</v>
      </c>
      <c r="K5586" s="25" t="s">
        <v>513</v>
      </c>
    </row>
    <row r="5587" spans="1:11" ht="25.5" x14ac:dyDescent="0.25">
      <c r="A5587" s="22">
        <v>2026</v>
      </c>
      <c r="B5587" s="28" t="s">
        <v>222</v>
      </c>
      <c r="C5587" s="28" t="s">
        <v>97</v>
      </c>
      <c r="D5587" s="28" t="s">
        <v>1790</v>
      </c>
      <c r="E5587" s="29" t="s">
        <v>1781</v>
      </c>
      <c r="F5587" s="29" t="s">
        <v>287</v>
      </c>
      <c r="G5587" s="25" t="s">
        <v>7272</v>
      </c>
      <c r="H5587" s="26">
        <v>-0.14469000000000001</v>
      </c>
      <c r="I5587" s="26"/>
      <c r="J5587" s="26" t="s">
        <v>512</v>
      </c>
      <c r="K5587" s="25" t="s">
        <v>513</v>
      </c>
    </row>
    <row r="5588" spans="1:11" ht="25.5" x14ac:dyDescent="0.25">
      <c r="A5588" s="22">
        <v>2026</v>
      </c>
      <c r="B5588" s="28" t="s">
        <v>222</v>
      </c>
      <c r="C5588" s="28" t="s">
        <v>97</v>
      </c>
      <c r="D5588" s="28" t="s">
        <v>1790</v>
      </c>
      <c r="E5588" s="29" t="s">
        <v>1781</v>
      </c>
      <c r="F5588" s="29" t="s">
        <v>287</v>
      </c>
      <c r="G5588" s="25" t="s">
        <v>7273</v>
      </c>
      <c r="H5588" s="26">
        <v>-0.14622499999999999</v>
      </c>
      <c r="I5588" s="26"/>
      <c r="J5588" s="26" t="s">
        <v>512</v>
      </c>
      <c r="K5588" s="25" t="s">
        <v>513</v>
      </c>
    </row>
    <row r="5589" spans="1:11" ht="25.5" x14ac:dyDescent="0.25">
      <c r="A5589" s="22">
        <v>2026</v>
      </c>
      <c r="B5589" s="28" t="s">
        <v>222</v>
      </c>
      <c r="C5589" s="28" t="s">
        <v>97</v>
      </c>
      <c r="D5589" s="28" t="s">
        <v>1790</v>
      </c>
      <c r="E5589" s="29" t="s">
        <v>1781</v>
      </c>
      <c r="F5589" s="29" t="s">
        <v>287</v>
      </c>
      <c r="G5589" s="25" t="s">
        <v>7274</v>
      </c>
      <c r="H5589" s="26">
        <v>-0.1459</v>
      </c>
      <c r="I5589" s="26"/>
      <c r="J5589" s="26" t="s">
        <v>512</v>
      </c>
      <c r="K5589" s="25" t="s">
        <v>513</v>
      </c>
    </row>
    <row r="5590" spans="1:11" ht="25.5" x14ac:dyDescent="0.25">
      <c r="A5590" s="22">
        <v>2026</v>
      </c>
      <c r="B5590" s="28" t="s">
        <v>222</v>
      </c>
      <c r="C5590" s="28" t="s">
        <v>97</v>
      </c>
      <c r="D5590" s="28" t="s">
        <v>1790</v>
      </c>
      <c r="E5590" s="29" t="s">
        <v>1781</v>
      </c>
      <c r="F5590" s="29" t="s">
        <v>287</v>
      </c>
      <c r="G5590" s="25" t="s">
        <v>7275</v>
      </c>
      <c r="H5590" s="26">
        <v>-0.14449999999999999</v>
      </c>
      <c r="I5590" s="26"/>
      <c r="J5590" s="26" t="s">
        <v>512</v>
      </c>
      <c r="K5590" s="25" t="s">
        <v>513</v>
      </c>
    </row>
    <row r="5591" spans="1:11" ht="25.5" x14ac:dyDescent="0.25">
      <c r="A5591" s="22">
        <v>2026</v>
      </c>
      <c r="B5591" s="28" t="s">
        <v>222</v>
      </c>
      <c r="C5591" s="28" t="s">
        <v>97</v>
      </c>
      <c r="D5591" s="28" t="s">
        <v>1790</v>
      </c>
      <c r="E5591" s="29" t="s">
        <v>1781</v>
      </c>
      <c r="F5591" s="29" t="s">
        <v>287</v>
      </c>
      <c r="G5591" s="25" t="s">
        <v>7276</v>
      </c>
      <c r="H5591" s="26">
        <v>-0.21299999999999999</v>
      </c>
      <c r="I5591" s="26"/>
      <c r="J5591" s="26" t="s">
        <v>512</v>
      </c>
      <c r="K5591" s="25" t="s">
        <v>513</v>
      </c>
    </row>
    <row r="5592" spans="1:11" ht="25.5" x14ac:dyDescent="0.25">
      <c r="A5592" s="22">
        <v>2026</v>
      </c>
      <c r="B5592" s="28" t="s">
        <v>222</v>
      </c>
      <c r="C5592" s="28" t="s">
        <v>97</v>
      </c>
      <c r="D5592" s="28" t="s">
        <v>1790</v>
      </c>
      <c r="E5592" s="29" t="s">
        <v>1781</v>
      </c>
      <c r="F5592" s="29" t="s">
        <v>287</v>
      </c>
      <c r="G5592" s="25" t="s">
        <v>7277</v>
      </c>
      <c r="H5592" s="26">
        <v>-0.156552</v>
      </c>
      <c r="I5592" s="26"/>
      <c r="J5592" s="26" t="s">
        <v>512</v>
      </c>
      <c r="K5592" s="25" t="s">
        <v>513</v>
      </c>
    </row>
    <row r="5593" spans="1:11" ht="25.5" x14ac:dyDescent="0.25">
      <c r="A5593" s="22">
        <v>2026</v>
      </c>
      <c r="B5593" s="28" t="s">
        <v>222</v>
      </c>
      <c r="C5593" s="28" t="s">
        <v>97</v>
      </c>
      <c r="D5593" s="28" t="s">
        <v>1790</v>
      </c>
      <c r="E5593" s="29" t="s">
        <v>1781</v>
      </c>
      <c r="F5593" s="29" t="s">
        <v>287</v>
      </c>
      <c r="G5593" s="25" t="s">
        <v>7278</v>
      </c>
      <c r="H5593" s="26">
        <v>-7.0499999999999993E-2</v>
      </c>
      <c r="I5593" s="26"/>
      <c r="J5593" s="26" t="s">
        <v>512</v>
      </c>
      <c r="K5593" s="25" t="s">
        <v>513</v>
      </c>
    </row>
    <row r="5594" spans="1:11" ht="25.5" x14ac:dyDescent="0.25">
      <c r="A5594" s="22">
        <v>2026</v>
      </c>
      <c r="B5594" s="28" t="s">
        <v>222</v>
      </c>
      <c r="C5594" s="28" t="s">
        <v>97</v>
      </c>
      <c r="D5594" s="28" t="s">
        <v>1790</v>
      </c>
      <c r="E5594" s="29" t="s">
        <v>1781</v>
      </c>
      <c r="F5594" s="29" t="s">
        <v>287</v>
      </c>
      <c r="G5594" s="25" t="s">
        <v>7279</v>
      </c>
      <c r="H5594" s="26">
        <v>-7.9522999999999996E-2</v>
      </c>
      <c r="I5594" s="26"/>
      <c r="J5594" s="26" t="s">
        <v>512</v>
      </c>
      <c r="K5594" s="25" t="s">
        <v>513</v>
      </c>
    </row>
    <row r="5595" spans="1:11" ht="25.5" x14ac:dyDescent="0.25">
      <c r="A5595" s="22">
        <v>2026</v>
      </c>
      <c r="B5595" s="28" t="s">
        <v>222</v>
      </c>
      <c r="C5595" s="28" t="s">
        <v>97</v>
      </c>
      <c r="D5595" s="28" t="s">
        <v>1790</v>
      </c>
      <c r="E5595" s="29" t="s">
        <v>1781</v>
      </c>
      <c r="F5595" s="29" t="s">
        <v>287</v>
      </c>
      <c r="G5595" s="25" t="s">
        <v>7280</v>
      </c>
      <c r="H5595" s="26">
        <v>-2.835E-2</v>
      </c>
      <c r="I5595" s="26"/>
      <c r="J5595" s="26" t="s">
        <v>512</v>
      </c>
      <c r="K5595" s="25" t="s">
        <v>513</v>
      </c>
    </row>
    <row r="5596" spans="1:11" ht="25.5" x14ac:dyDescent="0.25">
      <c r="A5596" s="22">
        <v>2026</v>
      </c>
      <c r="B5596" s="28" t="s">
        <v>222</v>
      </c>
      <c r="C5596" s="28" t="s">
        <v>97</v>
      </c>
      <c r="D5596" s="28" t="s">
        <v>1790</v>
      </c>
      <c r="E5596" s="29" t="s">
        <v>1781</v>
      </c>
      <c r="F5596" s="29" t="s">
        <v>287</v>
      </c>
      <c r="G5596" s="25" t="s">
        <v>7281</v>
      </c>
      <c r="H5596" s="26">
        <v>-0.14149999999999999</v>
      </c>
      <c r="I5596" s="26"/>
      <c r="J5596" s="26" t="s">
        <v>512</v>
      </c>
      <c r="K5596" s="25" t="s">
        <v>513</v>
      </c>
    </row>
    <row r="5597" spans="1:11" ht="25.5" x14ac:dyDescent="0.25">
      <c r="A5597" s="22">
        <v>2026</v>
      </c>
      <c r="B5597" s="28" t="s">
        <v>222</v>
      </c>
      <c r="C5597" s="28" t="s">
        <v>97</v>
      </c>
      <c r="D5597" s="28" t="s">
        <v>1790</v>
      </c>
      <c r="E5597" s="29" t="s">
        <v>1781</v>
      </c>
      <c r="F5597" s="29" t="s">
        <v>287</v>
      </c>
      <c r="G5597" s="25" t="s">
        <v>7282</v>
      </c>
      <c r="H5597" s="26">
        <v>-0.114</v>
      </c>
      <c r="I5597" s="26"/>
      <c r="J5597" s="26" t="s">
        <v>512</v>
      </c>
      <c r="K5597" s="25" t="s">
        <v>513</v>
      </c>
    </row>
    <row r="5598" spans="1:11" ht="25.5" x14ac:dyDescent="0.25">
      <c r="A5598" s="22">
        <v>2026</v>
      </c>
      <c r="B5598" s="28" t="s">
        <v>222</v>
      </c>
      <c r="C5598" s="28" t="s">
        <v>97</v>
      </c>
      <c r="D5598" s="28" t="s">
        <v>1790</v>
      </c>
      <c r="E5598" s="29" t="s">
        <v>1781</v>
      </c>
      <c r="F5598" s="29" t="s">
        <v>287</v>
      </c>
      <c r="G5598" s="25" t="s">
        <v>7283</v>
      </c>
      <c r="H5598" s="26">
        <v>-7.0749999999999993E-2</v>
      </c>
      <c r="I5598" s="26"/>
      <c r="J5598" s="26" t="s">
        <v>512</v>
      </c>
      <c r="K5598" s="25" t="s">
        <v>513</v>
      </c>
    </row>
    <row r="5599" spans="1:11" ht="25.5" x14ac:dyDescent="0.25">
      <c r="A5599" s="22">
        <v>2026</v>
      </c>
      <c r="B5599" s="28" t="s">
        <v>222</v>
      </c>
      <c r="C5599" s="28" t="s">
        <v>97</v>
      </c>
      <c r="D5599" s="28" t="s">
        <v>1790</v>
      </c>
      <c r="E5599" s="29" t="s">
        <v>1781</v>
      </c>
      <c r="F5599" s="29" t="s">
        <v>287</v>
      </c>
      <c r="G5599" s="25" t="s">
        <v>7284</v>
      </c>
      <c r="H5599" s="26">
        <v>-0.14022000000000001</v>
      </c>
      <c r="I5599" s="26"/>
      <c r="J5599" s="26" t="s">
        <v>512</v>
      </c>
      <c r="K5599" s="25" t="s">
        <v>513</v>
      </c>
    </row>
    <row r="5600" spans="1:11" ht="25.5" x14ac:dyDescent="0.25">
      <c r="A5600" s="22">
        <v>2026</v>
      </c>
      <c r="B5600" s="28" t="s">
        <v>222</v>
      </c>
      <c r="C5600" s="28" t="s">
        <v>97</v>
      </c>
      <c r="D5600" s="28" t="s">
        <v>182</v>
      </c>
      <c r="E5600" s="29" t="s">
        <v>321</v>
      </c>
      <c r="F5600" s="29" t="s">
        <v>322</v>
      </c>
      <c r="G5600" s="25" t="s">
        <v>7285</v>
      </c>
      <c r="H5600" s="26">
        <v>-0.3042078708</v>
      </c>
      <c r="I5600" s="26"/>
      <c r="J5600" s="26" t="s">
        <v>519</v>
      </c>
      <c r="K5600" s="25" t="s">
        <v>513</v>
      </c>
    </row>
    <row r="5601" spans="1:12" ht="25.5" x14ac:dyDescent="0.25">
      <c r="A5601" s="22">
        <v>2026</v>
      </c>
      <c r="B5601" s="28" t="s">
        <v>222</v>
      </c>
      <c r="C5601" s="28" t="s">
        <v>97</v>
      </c>
      <c r="D5601" s="28" t="s">
        <v>182</v>
      </c>
      <c r="E5601" s="29" t="s">
        <v>321</v>
      </c>
      <c r="F5601" s="29" t="s">
        <v>322</v>
      </c>
      <c r="G5601" s="25" t="s">
        <v>7286</v>
      </c>
      <c r="H5601" s="26">
        <v>-0.95399999999999996</v>
      </c>
      <c r="I5601" s="26"/>
      <c r="J5601" s="26" t="s">
        <v>519</v>
      </c>
      <c r="K5601" s="25" t="s">
        <v>513</v>
      </c>
    </row>
    <row r="5602" spans="1:12" ht="25.5" x14ac:dyDescent="0.25">
      <c r="A5602" s="22">
        <v>2026</v>
      </c>
      <c r="B5602" s="28" t="s">
        <v>222</v>
      </c>
      <c r="C5602" s="28" t="s">
        <v>97</v>
      </c>
      <c r="D5602" s="28" t="s">
        <v>182</v>
      </c>
      <c r="E5602" s="29" t="s">
        <v>321</v>
      </c>
      <c r="F5602" s="29" t="s">
        <v>322</v>
      </c>
      <c r="G5602" s="25" t="s">
        <v>7287</v>
      </c>
      <c r="H5602" s="26">
        <v>-0.89831477249999991</v>
      </c>
      <c r="I5602" s="26"/>
      <c r="J5602" s="26" t="s">
        <v>519</v>
      </c>
      <c r="K5602" s="25" t="s">
        <v>513</v>
      </c>
    </row>
    <row r="5603" spans="1:12" ht="25.5" x14ac:dyDescent="0.25">
      <c r="A5603" s="22">
        <v>2026</v>
      </c>
      <c r="B5603" s="28" t="s">
        <v>222</v>
      </c>
      <c r="C5603" s="28" t="s">
        <v>97</v>
      </c>
      <c r="D5603" s="28" t="s">
        <v>182</v>
      </c>
      <c r="E5603" s="29" t="s">
        <v>321</v>
      </c>
      <c r="F5603" s="29" t="s">
        <v>322</v>
      </c>
      <c r="G5603" s="25" t="s">
        <v>7288</v>
      </c>
      <c r="H5603" s="26">
        <v>-0.1069658496</v>
      </c>
      <c r="I5603" s="26"/>
      <c r="J5603" s="26" t="s">
        <v>519</v>
      </c>
      <c r="K5603" s="25" t="s">
        <v>513</v>
      </c>
      <c r="L5603" s="8"/>
    </row>
    <row r="5604" spans="1:12" ht="25.5" x14ac:dyDescent="0.25">
      <c r="A5604" s="22">
        <v>2026</v>
      </c>
      <c r="B5604" s="28" t="s">
        <v>222</v>
      </c>
      <c r="C5604" s="28" t="s">
        <v>97</v>
      </c>
      <c r="D5604" s="28" t="s">
        <v>182</v>
      </c>
      <c r="E5604" s="29" t="s">
        <v>321</v>
      </c>
      <c r="F5604" s="29" t="s">
        <v>322</v>
      </c>
      <c r="G5604" s="25" t="s">
        <v>7289</v>
      </c>
      <c r="H5604" s="26">
        <v>-0.2316091518</v>
      </c>
      <c r="I5604" s="26"/>
      <c r="J5604" s="26" t="s">
        <v>519</v>
      </c>
      <c r="K5604" s="25" t="s">
        <v>513</v>
      </c>
      <c r="L5604" s="8"/>
    </row>
    <row r="5605" spans="1:12" ht="25.5" x14ac:dyDescent="0.25">
      <c r="A5605" s="22">
        <v>2026</v>
      </c>
      <c r="B5605" s="28" t="s">
        <v>222</v>
      </c>
      <c r="C5605" s="28" t="s">
        <v>97</v>
      </c>
      <c r="D5605" s="28" t="s">
        <v>182</v>
      </c>
      <c r="E5605" s="29" t="s">
        <v>321</v>
      </c>
      <c r="F5605" s="29" t="s">
        <v>322</v>
      </c>
      <c r="G5605" s="25" t="s">
        <v>7290</v>
      </c>
      <c r="H5605" s="26">
        <v>-0.1551415783</v>
      </c>
      <c r="I5605" s="26"/>
      <c r="J5605" s="26" t="s">
        <v>519</v>
      </c>
      <c r="K5605" s="25" t="s">
        <v>513</v>
      </c>
      <c r="L5605" s="8"/>
    </row>
    <row r="5606" spans="1:12" ht="25.5" x14ac:dyDescent="0.25">
      <c r="A5606" s="22">
        <v>2026</v>
      </c>
      <c r="B5606" s="28" t="s">
        <v>222</v>
      </c>
      <c r="C5606" s="28" t="s">
        <v>97</v>
      </c>
      <c r="D5606" s="28" t="s">
        <v>182</v>
      </c>
      <c r="E5606" s="29" t="s">
        <v>321</v>
      </c>
      <c r="F5606" s="29" t="s">
        <v>322</v>
      </c>
      <c r="G5606" s="25" t="s">
        <v>7291</v>
      </c>
      <c r="H5606" s="26">
        <v>-0.17880206060000001</v>
      </c>
      <c r="I5606" s="26"/>
      <c r="J5606" s="26" t="s">
        <v>519</v>
      </c>
      <c r="K5606" s="25" t="s">
        <v>513</v>
      </c>
      <c r="L5606" s="8"/>
    </row>
    <row r="5607" spans="1:12" ht="25.5" x14ac:dyDescent="0.25">
      <c r="A5607" s="22">
        <v>2026</v>
      </c>
      <c r="B5607" s="28" t="s">
        <v>222</v>
      </c>
      <c r="C5607" s="28" t="s">
        <v>97</v>
      </c>
      <c r="D5607" s="28" t="s">
        <v>182</v>
      </c>
      <c r="E5607" s="29" t="s">
        <v>321</v>
      </c>
      <c r="F5607" s="29" t="s">
        <v>322</v>
      </c>
      <c r="G5607" s="25" t="s">
        <v>7292</v>
      </c>
      <c r="H5607" s="26">
        <v>-0.33798525000000001</v>
      </c>
      <c r="I5607" s="26"/>
      <c r="J5607" s="26" t="s">
        <v>519</v>
      </c>
      <c r="K5607" s="25" t="s">
        <v>513</v>
      </c>
      <c r="L5607" s="8"/>
    </row>
    <row r="5608" spans="1:12" ht="25.5" x14ac:dyDescent="0.25">
      <c r="A5608" s="22">
        <v>2026</v>
      </c>
      <c r="B5608" s="28" t="s">
        <v>222</v>
      </c>
      <c r="C5608" s="28" t="s">
        <v>97</v>
      </c>
      <c r="D5608" s="28" t="s">
        <v>182</v>
      </c>
      <c r="E5608" s="29" t="s">
        <v>321</v>
      </c>
      <c r="F5608" s="29" t="s">
        <v>322</v>
      </c>
      <c r="G5608" s="25" t="s">
        <v>7293</v>
      </c>
      <c r="H5608" s="26">
        <v>-5.9655909600000001E-2</v>
      </c>
      <c r="I5608" s="26"/>
      <c r="J5608" s="26" t="s">
        <v>519</v>
      </c>
      <c r="K5608" s="25" t="s">
        <v>513</v>
      </c>
      <c r="L5608" s="8"/>
    </row>
    <row r="5609" spans="1:12" ht="25.5" x14ac:dyDescent="0.25">
      <c r="A5609" s="22">
        <v>2026</v>
      </c>
      <c r="B5609" s="28" t="s">
        <v>222</v>
      </c>
      <c r="C5609" s="28" t="s">
        <v>97</v>
      </c>
      <c r="D5609" s="28" t="s">
        <v>182</v>
      </c>
      <c r="E5609" s="29" t="s">
        <v>321</v>
      </c>
      <c r="F5609" s="29" t="s">
        <v>322</v>
      </c>
      <c r="G5609" s="25" t="s">
        <v>7294</v>
      </c>
      <c r="H5609" s="26">
        <v>-8.5502535300000002E-2</v>
      </c>
      <c r="I5609" s="26"/>
      <c r="J5609" s="26" t="s">
        <v>519</v>
      </c>
      <c r="K5609" s="25" t="s">
        <v>513</v>
      </c>
      <c r="L5609" s="8"/>
    </row>
    <row r="5610" spans="1:12" ht="25.5" x14ac:dyDescent="0.25">
      <c r="A5610" s="22">
        <v>2026</v>
      </c>
      <c r="B5610" s="28" t="s">
        <v>222</v>
      </c>
      <c r="C5610" s="28" t="s">
        <v>97</v>
      </c>
      <c r="D5610" s="28" t="s">
        <v>182</v>
      </c>
      <c r="E5610" s="29" t="s">
        <v>321</v>
      </c>
      <c r="F5610" s="29" t="s">
        <v>322</v>
      </c>
      <c r="G5610" s="25" t="s">
        <v>7295</v>
      </c>
      <c r="H5610" s="26">
        <v>-0.19512698219999999</v>
      </c>
      <c r="I5610" s="26"/>
      <c r="J5610" s="26" t="s">
        <v>519</v>
      </c>
      <c r="K5610" s="25" t="s">
        <v>513</v>
      </c>
      <c r="L5610" s="8"/>
    </row>
    <row r="5611" spans="1:12" ht="25.5" x14ac:dyDescent="0.25">
      <c r="A5611" s="22">
        <v>2026</v>
      </c>
      <c r="B5611" s="28" t="s">
        <v>222</v>
      </c>
      <c r="C5611" s="28" t="s">
        <v>97</v>
      </c>
      <c r="D5611" s="28" t="s">
        <v>1757</v>
      </c>
      <c r="E5611" s="29" t="s">
        <v>1783</v>
      </c>
      <c r="F5611" s="29" t="s">
        <v>322</v>
      </c>
      <c r="G5611" s="25" t="s">
        <v>7296</v>
      </c>
      <c r="H5611" s="26">
        <v>-0.16061298000000002</v>
      </c>
      <c r="I5611" s="26"/>
      <c r="J5611" s="26" t="s">
        <v>514</v>
      </c>
      <c r="K5611" s="25" t="s">
        <v>1768</v>
      </c>
      <c r="L5611" s="8"/>
    </row>
    <row r="5612" spans="1:12" ht="25.5" x14ac:dyDescent="0.25">
      <c r="A5612" s="22">
        <v>2026</v>
      </c>
      <c r="B5612" s="28" t="s">
        <v>222</v>
      </c>
      <c r="C5612" s="28" t="s">
        <v>97</v>
      </c>
      <c r="D5612" s="28" t="s">
        <v>1757</v>
      </c>
      <c r="E5612" s="29" t="s">
        <v>1783</v>
      </c>
      <c r="F5612" s="29" t="s">
        <v>322</v>
      </c>
      <c r="G5612" s="25" t="s">
        <v>7297</v>
      </c>
      <c r="H5612" s="26">
        <v>-0.26639880999999999</v>
      </c>
      <c r="I5612" s="26"/>
      <c r="J5612" s="26" t="s">
        <v>514</v>
      </c>
      <c r="K5612" s="25" t="s">
        <v>1768</v>
      </c>
      <c r="L5612" s="8"/>
    </row>
    <row r="5613" spans="1:12" ht="25.5" x14ac:dyDescent="0.25">
      <c r="A5613" s="22">
        <v>2026</v>
      </c>
      <c r="B5613" s="28" t="s">
        <v>222</v>
      </c>
      <c r="C5613" s="28" t="s">
        <v>97</v>
      </c>
      <c r="D5613" s="28" t="s">
        <v>1757</v>
      </c>
      <c r="E5613" s="29" t="s">
        <v>1783</v>
      </c>
      <c r="F5613" s="29" t="s">
        <v>322</v>
      </c>
      <c r="G5613" s="25" t="s">
        <v>7298</v>
      </c>
      <c r="H5613" s="26">
        <v>-0.33414159999999998</v>
      </c>
      <c r="I5613" s="26"/>
      <c r="J5613" s="26" t="s">
        <v>514</v>
      </c>
      <c r="K5613" s="25" t="s">
        <v>1768</v>
      </c>
      <c r="L5613" s="8"/>
    </row>
    <row r="5614" spans="1:12" ht="25.5" x14ac:dyDescent="0.25">
      <c r="A5614" s="22">
        <v>2026</v>
      </c>
      <c r="B5614" s="28" t="s">
        <v>222</v>
      </c>
      <c r="C5614" s="28" t="s">
        <v>97</v>
      </c>
      <c r="D5614" s="28" t="s">
        <v>1757</v>
      </c>
      <c r="E5614" s="29" t="s">
        <v>1783</v>
      </c>
      <c r="F5614" s="29" t="s">
        <v>322</v>
      </c>
      <c r="G5614" s="25" t="s">
        <v>7299</v>
      </c>
      <c r="H5614" s="26">
        <v>-0.23741227500000001</v>
      </c>
      <c r="I5614" s="26"/>
      <c r="J5614" s="26" t="s">
        <v>514</v>
      </c>
      <c r="K5614" s="25" t="s">
        <v>1768</v>
      </c>
      <c r="L5614" s="8"/>
    </row>
    <row r="5615" spans="1:12" ht="25.5" x14ac:dyDescent="0.25">
      <c r="A5615" s="22">
        <v>2026</v>
      </c>
      <c r="B5615" s="28" t="s">
        <v>222</v>
      </c>
      <c r="C5615" s="28" t="s">
        <v>97</v>
      </c>
      <c r="D5615" s="28" t="s">
        <v>531</v>
      </c>
      <c r="E5615" s="29" t="s">
        <v>551</v>
      </c>
      <c r="F5615" s="29" t="s">
        <v>322</v>
      </c>
      <c r="G5615" s="25" t="s">
        <v>7300</v>
      </c>
      <c r="H5615" s="26">
        <v>-0.17101269888000001</v>
      </c>
      <c r="I5615" s="26"/>
      <c r="J5615" s="26" t="s">
        <v>514</v>
      </c>
      <c r="K5615" s="25" t="s">
        <v>513</v>
      </c>
      <c r="L5615" s="8"/>
    </row>
    <row r="5616" spans="1:12" ht="25.5" x14ac:dyDescent="0.25">
      <c r="A5616" s="22">
        <v>2026</v>
      </c>
      <c r="B5616" s="28" t="s">
        <v>222</v>
      </c>
      <c r="C5616" s="28" t="s">
        <v>97</v>
      </c>
      <c r="D5616" s="28" t="s">
        <v>531</v>
      </c>
      <c r="E5616" s="29" t="s">
        <v>551</v>
      </c>
      <c r="F5616" s="29" t="s">
        <v>322</v>
      </c>
      <c r="G5616" s="25" t="s">
        <v>7301</v>
      </c>
      <c r="H5616" s="26">
        <v>-0.13059914223999999</v>
      </c>
      <c r="I5616" s="26"/>
      <c r="J5616" s="26" t="s">
        <v>514</v>
      </c>
      <c r="K5616" s="25" t="s">
        <v>513</v>
      </c>
      <c r="L5616" s="8"/>
    </row>
    <row r="5617" spans="1:12" ht="25.5" x14ac:dyDescent="0.25">
      <c r="A5617" s="22">
        <v>2026</v>
      </c>
      <c r="B5617" s="28" t="s">
        <v>222</v>
      </c>
      <c r="C5617" s="28" t="s">
        <v>97</v>
      </c>
      <c r="D5617" s="28" t="s">
        <v>531</v>
      </c>
      <c r="E5617" s="29" t="s">
        <v>551</v>
      </c>
      <c r="F5617" s="29" t="s">
        <v>322</v>
      </c>
      <c r="G5617" s="25" t="s">
        <v>7302</v>
      </c>
      <c r="H5617" s="26">
        <v>-0.11255153800000001</v>
      </c>
      <c r="I5617" s="26"/>
      <c r="J5617" s="26" t="s">
        <v>514</v>
      </c>
      <c r="K5617" s="25" t="s">
        <v>513</v>
      </c>
      <c r="L5617" s="8"/>
    </row>
    <row r="5618" spans="1:12" ht="25.5" x14ac:dyDescent="0.25">
      <c r="A5618" s="22">
        <v>2026</v>
      </c>
      <c r="B5618" s="28" t="s">
        <v>222</v>
      </c>
      <c r="C5618" s="28" t="s">
        <v>97</v>
      </c>
      <c r="D5618" s="28" t="s">
        <v>531</v>
      </c>
      <c r="E5618" s="29" t="s">
        <v>551</v>
      </c>
      <c r="F5618" s="29" t="s">
        <v>322</v>
      </c>
      <c r="G5618" s="25" t="s">
        <v>7303</v>
      </c>
      <c r="H5618" s="26">
        <v>-0.10211476</v>
      </c>
      <c r="I5618" s="26"/>
      <c r="J5618" s="26" t="s">
        <v>514</v>
      </c>
      <c r="K5618" s="25" t="s">
        <v>513</v>
      </c>
      <c r="L5618" s="8"/>
    </row>
    <row r="5619" spans="1:12" ht="25.5" x14ac:dyDescent="0.25">
      <c r="A5619" s="22">
        <v>2026</v>
      </c>
      <c r="B5619" s="28" t="s">
        <v>222</v>
      </c>
      <c r="C5619" s="28" t="s">
        <v>97</v>
      </c>
      <c r="D5619" s="28" t="s">
        <v>531</v>
      </c>
      <c r="E5619" s="29" t="s">
        <v>551</v>
      </c>
      <c r="F5619" s="29" t="s">
        <v>322</v>
      </c>
      <c r="G5619" s="25" t="s">
        <v>7304</v>
      </c>
      <c r="H5619" s="26">
        <v>-0.27801959999999998</v>
      </c>
      <c r="I5619" s="26"/>
      <c r="J5619" s="26" t="s">
        <v>514</v>
      </c>
      <c r="K5619" s="25" t="s">
        <v>513</v>
      </c>
      <c r="L5619" s="8"/>
    </row>
    <row r="5620" spans="1:12" ht="25.5" x14ac:dyDescent="0.25">
      <c r="A5620" s="22">
        <v>2026</v>
      </c>
      <c r="B5620" s="28" t="s">
        <v>222</v>
      </c>
      <c r="C5620" s="28" t="s">
        <v>97</v>
      </c>
      <c r="D5620" s="28" t="s">
        <v>531</v>
      </c>
      <c r="E5620" s="29" t="s">
        <v>551</v>
      </c>
      <c r="F5620" s="29" t="s">
        <v>322</v>
      </c>
      <c r="G5620" s="25" t="s">
        <v>7305</v>
      </c>
      <c r="H5620" s="26">
        <v>-0.13803029999999999</v>
      </c>
      <c r="I5620" s="26"/>
      <c r="J5620" s="26" t="s">
        <v>514</v>
      </c>
      <c r="K5620" s="25" t="s">
        <v>513</v>
      </c>
      <c r="L5620" s="8"/>
    </row>
    <row r="5621" spans="1:12" ht="25.5" x14ac:dyDescent="0.25">
      <c r="A5621" s="22">
        <v>2026</v>
      </c>
      <c r="B5621" s="28" t="s">
        <v>222</v>
      </c>
      <c r="C5621" s="28" t="s">
        <v>97</v>
      </c>
      <c r="D5621" s="28" t="s">
        <v>531</v>
      </c>
      <c r="E5621" s="29" t="s">
        <v>551</v>
      </c>
      <c r="F5621" s="29" t="s">
        <v>322</v>
      </c>
      <c r="G5621" s="25" t="s">
        <v>7306</v>
      </c>
      <c r="H5621" s="26">
        <v>-7.424E-2</v>
      </c>
      <c r="I5621" s="26"/>
      <c r="J5621" s="26" t="s">
        <v>514</v>
      </c>
      <c r="K5621" s="25" t="s">
        <v>513</v>
      </c>
      <c r="L5621" s="8"/>
    </row>
    <row r="5622" spans="1:12" ht="25.5" x14ac:dyDescent="0.25">
      <c r="A5622" s="22">
        <v>2026</v>
      </c>
      <c r="B5622" s="28" t="s">
        <v>222</v>
      </c>
      <c r="C5622" s="28" t="s">
        <v>97</v>
      </c>
      <c r="D5622" s="28" t="s">
        <v>531</v>
      </c>
      <c r="E5622" s="29" t="s">
        <v>551</v>
      </c>
      <c r="F5622" s="29" t="s">
        <v>322</v>
      </c>
      <c r="G5622" s="25" t="s">
        <v>7307</v>
      </c>
      <c r="H5622" s="26">
        <v>-0.23186300000000001</v>
      </c>
      <c r="I5622" s="26"/>
      <c r="J5622" s="26" t="s">
        <v>514</v>
      </c>
      <c r="K5622" s="25" t="s">
        <v>513</v>
      </c>
      <c r="L5622" s="8"/>
    </row>
    <row r="5623" spans="1:12" ht="25.5" x14ac:dyDescent="0.25">
      <c r="A5623" s="22">
        <v>2026</v>
      </c>
      <c r="B5623" s="28" t="s">
        <v>222</v>
      </c>
      <c r="C5623" s="28" t="s">
        <v>97</v>
      </c>
      <c r="D5623" s="28" t="s">
        <v>531</v>
      </c>
      <c r="E5623" s="29" t="s">
        <v>551</v>
      </c>
      <c r="F5623" s="29" t="s">
        <v>322</v>
      </c>
      <c r="G5623" s="25" t="s">
        <v>7308</v>
      </c>
      <c r="H5623" s="26">
        <v>-0.10072530267999999</v>
      </c>
      <c r="I5623" s="26"/>
      <c r="J5623" s="26" t="s">
        <v>514</v>
      </c>
      <c r="K5623" s="25" t="s">
        <v>513</v>
      </c>
      <c r="L5623" s="8"/>
    </row>
    <row r="5624" spans="1:12" ht="25.5" x14ac:dyDescent="0.25">
      <c r="A5624" s="22">
        <v>2026</v>
      </c>
      <c r="B5624" s="28" t="s">
        <v>222</v>
      </c>
      <c r="C5624" s="28" t="s">
        <v>97</v>
      </c>
      <c r="D5624" s="28" t="s">
        <v>531</v>
      </c>
      <c r="E5624" s="29" t="s">
        <v>551</v>
      </c>
      <c r="F5624" s="29" t="s">
        <v>322</v>
      </c>
      <c r="G5624" s="25" t="s">
        <v>7309</v>
      </c>
      <c r="H5624" s="26">
        <v>-0.34528199999999998</v>
      </c>
      <c r="I5624" s="26"/>
      <c r="J5624" s="26" t="s">
        <v>514</v>
      </c>
      <c r="K5624" s="25" t="s">
        <v>513</v>
      </c>
      <c r="L5624" s="8"/>
    </row>
    <row r="5625" spans="1:12" ht="25.5" x14ac:dyDescent="0.25">
      <c r="A5625" s="22">
        <v>2026</v>
      </c>
      <c r="B5625" s="28" t="s">
        <v>222</v>
      </c>
      <c r="C5625" s="28" t="s">
        <v>97</v>
      </c>
      <c r="D5625" s="28" t="s">
        <v>531</v>
      </c>
      <c r="E5625" s="29" t="s">
        <v>551</v>
      </c>
      <c r="F5625" s="29" t="s">
        <v>322</v>
      </c>
      <c r="G5625" s="25" t="s">
        <v>7310</v>
      </c>
      <c r="H5625" s="26">
        <v>-0.12079244022999999</v>
      </c>
      <c r="I5625" s="26"/>
      <c r="J5625" s="26" t="s">
        <v>514</v>
      </c>
      <c r="K5625" s="25" t="s">
        <v>513</v>
      </c>
      <c r="L5625" s="8"/>
    </row>
    <row r="5626" spans="1:12" ht="25.5" x14ac:dyDescent="0.25">
      <c r="A5626" s="22">
        <v>2026</v>
      </c>
      <c r="B5626" s="28" t="s">
        <v>222</v>
      </c>
      <c r="C5626" s="28" t="s">
        <v>97</v>
      </c>
      <c r="D5626" s="28" t="s">
        <v>531</v>
      </c>
      <c r="E5626" s="29" t="s">
        <v>551</v>
      </c>
      <c r="F5626" s="29" t="s">
        <v>322</v>
      </c>
      <c r="G5626" s="25" t="s">
        <v>7311</v>
      </c>
      <c r="H5626" s="26">
        <v>-0.230324</v>
      </c>
      <c r="I5626" s="26"/>
      <c r="J5626" s="26" t="s">
        <v>514</v>
      </c>
      <c r="K5626" s="25" t="s">
        <v>513</v>
      </c>
      <c r="L5626" s="8"/>
    </row>
    <row r="5627" spans="1:12" ht="25.5" x14ac:dyDescent="0.25">
      <c r="A5627" s="22">
        <v>2026</v>
      </c>
      <c r="B5627" s="28" t="s">
        <v>222</v>
      </c>
      <c r="C5627" s="28" t="s">
        <v>97</v>
      </c>
      <c r="D5627" s="28" t="s">
        <v>531</v>
      </c>
      <c r="E5627" s="29" t="s">
        <v>551</v>
      </c>
      <c r="F5627" s="29" t="s">
        <v>322</v>
      </c>
      <c r="G5627" s="25" t="s">
        <v>7312</v>
      </c>
      <c r="H5627" s="26">
        <v>-7.8473968229999996E-2</v>
      </c>
      <c r="I5627" s="26"/>
      <c r="J5627" s="26" t="s">
        <v>514</v>
      </c>
      <c r="K5627" s="25" t="s">
        <v>513</v>
      </c>
      <c r="L5627" s="8"/>
    </row>
    <row r="5628" spans="1:12" ht="25.5" x14ac:dyDescent="0.25">
      <c r="A5628" s="22">
        <v>2026</v>
      </c>
      <c r="B5628" s="28" t="s">
        <v>222</v>
      </c>
      <c r="C5628" s="28" t="s">
        <v>97</v>
      </c>
      <c r="D5628" s="28" t="s">
        <v>531</v>
      </c>
      <c r="E5628" s="29" t="s">
        <v>551</v>
      </c>
      <c r="F5628" s="29" t="s">
        <v>322</v>
      </c>
      <c r="G5628" s="25" t="s">
        <v>7313</v>
      </c>
      <c r="H5628" s="26">
        <v>-0.22600000000000001</v>
      </c>
      <c r="I5628" s="26"/>
      <c r="J5628" s="26" t="s">
        <v>514</v>
      </c>
      <c r="K5628" s="25" t="s">
        <v>513</v>
      </c>
      <c r="L5628" s="8"/>
    </row>
    <row r="5629" spans="1:12" ht="25.5" x14ac:dyDescent="0.25">
      <c r="A5629" s="22">
        <v>2026</v>
      </c>
      <c r="B5629" s="28" t="s">
        <v>222</v>
      </c>
      <c r="C5629" s="28" t="s">
        <v>97</v>
      </c>
      <c r="D5629" s="28" t="s">
        <v>531</v>
      </c>
      <c r="E5629" s="29" t="s">
        <v>551</v>
      </c>
      <c r="F5629" s="29" t="s">
        <v>322</v>
      </c>
      <c r="G5629" s="25" t="s">
        <v>7314</v>
      </c>
      <c r="H5629" s="26">
        <v>-0.4115820509</v>
      </c>
      <c r="I5629" s="26"/>
      <c r="J5629" s="26" t="s">
        <v>514</v>
      </c>
      <c r="K5629" s="25" t="s">
        <v>513</v>
      </c>
      <c r="L5629" s="8"/>
    </row>
    <row r="5630" spans="1:12" ht="25.5" x14ac:dyDescent="0.25">
      <c r="A5630" s="22">
        <v>2026</v>
      </c>
      <c r="B5630" s="28" t="s">
        <v>222</v>
      </c>
      <c r="C5630" s="28" t="s">
        <v>97</v>
      </c>
      <c r="D5630" s="28" t="s">
        <v>531</v>
      </c>
      <c r="E5630" s="29" t="s">
        <v>551</v>
      </c>
      <c r="F5630" s="29" t="s">
        <v>322</v>
      </c>
      <c r="G5630" s="25" t="s">
        <v>7315</v>
      </c>
      <c r="H5630" s="26">
        <v>-0.45600000000000002</v>
      </c>
      <c r="I5630" s="26"/>
      <c r="J5630" s="26" t="s">
        <v>514</v>
      </c>
      <c r="K5630" s="25" t="s">
        <v>513</v>
      </c>
      <c r="L5630" s="8"/>
    </row>
    <row r="5631" spans="1:12" ht="25.5" x14ac:dyDescent="0.25">
      <c r="A5631" s="22">
        <v>2026</v>
      </c>
      <c r="B5631" s="28" t="s">
        <v>222</v>
      </c>
      <c r="C5631" s="28" t="s">
        <v>97</v>
      </c>
      <c r="D5631" s="28" t="s">
        <v>228</v>
      </c>
      <c r="E5631" s="29" t="s">
        <v>411</v>
      </c>
      <c r="F5631" s="29" t="s">
        <v>412</v>
      </c>
      <c r="G5631" s="25" t="s">
        <v>7316</v>
      </c>
      <c r="H5631" s="26">
        <v>-2.0217000000000001</v>
      </c>
      <c r="I5631" s="26"/>
      <c r="J5631" s="26" t="s">
        <v>512</v>
      </c>
      <c r="K5631" s="25" t="s">
        <v>513</v>
      </c>
      <c r="L5631" s="8"/>
    </row>
    <row r="5632" spans="1:12" ht="25.5" x14ac:dyDescent="0.25">
      <c r="A5632" s="22">
        <v>2026</v>
      </c>
      <c r="B5632" s="28" t="s">
        <v>222</v>
      </c>
      <c r="C5632" s="28" t="s">
        <v>97</v>
      </c>
      <c r="D5632" s="28" t="s">
        <v>228</v>
      </c>
      <c r="E5632" s="29" t="s">
        <v>411</v>
      </c>
      <c r="F5632" s="29" t="s">
        <v>412</v>
      </c>
      <c r="G5632" s="25" t="s">
        <v>7317</v>
      </c>
      <c r="H5632" s="26">
        <v>-2.3770600000000002</v>
      </c>
      <c r="I5632" s="26"/>
      <c r="J5632" s="26" t="s">
        <v>512</v>
      </c>
      <c r="K5632" s="25" t="s">
        <v>513</v>
      </c>
      <c r="L5632" s="8"/>
    </row>
    <row r="5633" spans="1:12" ht="25.5" x14ac:dyDescent="0.25">
      <c r="A5633" s="22">
        <v>2026</v>
      </c>
      <c r="B5633" s="28" t="s">
        <v>222</v>
      </c>
      <c r="C5633" s="28" t="s">
        <v>97</v>
      </c>
      <c r="D5633" s="28" t="s">
        <v>228</v>
      </c>
      <c r="E5633" s="29" t="s">
        <v>411</v>
      </c>
      <c r="F5633" s="29" t="s">
        <v>412</v>
      </c>
      <c r="G5633" s="25" t="s">
        <v>7318</v>
      </c>
      <c r="H5633" s="26">
        <v>-1.1833453141999999</v>
      </c>
      <c r="I5633" s="26"/>
      <c r="J5633" s="26" t="s">
        <v>512</v>
      </c>
      <c r="K5633" s="25" t="s">
        <v>513</v>
      </c>
      <c r="L5633" s="8"/>
    </row>
    <row r="5634" spans="1:12" ht="25.5" x14ac:dyDescent="0.25">
      <c r="A5634" s="22">
        <v>2026</v>
      </c>
      <c r="B5634" s="28" t="s">
        <v>222</v>
      </c>
      <c r="C5634" s="28" t="s">
        <v>97</v>
      </c>
      <c r="D5634" s="28" t="s">
        <v>228</v>
      </c>
      <c r="E5634" s="29" t="s">
        <v>411</v>
      </c>
      <c r="F5634" s="29" t="s">
        <v>412</v>
      </c>
      <c r="G5634" s="25" t="s">
        <v>7319</v>
      </c>
      <c r="H5634" s="26">
        <v>-2.4307500000000002</v>
      </c>
      <c r="I5634" s="26"/>
      <c r="J5634" s="26" t="s">
        <v>512</v>
      </c>
      <c r="K5634" s="25" t="s">
        <v>513</v>
      </c>
      <c r="L5634" s="8"/>
    </row>
    <row r="5635" spans="1:12" ht="25.5" x14ac:dyDescent="0.25">
      <c r="A5635" s="22">
        <v>2026</v>
      </c>
      <c r="B5635" s="28" t="s">
        <v>222</v>
      </c>
      <c r="C5635" s="28" t="s">
        <v>97</v>
      </c>
      <c r="D5635" s="28" t="s">
        <v>228</v>
      </c>
      <c r="E5635" s="29" t="s">
        <v>411</v>
      </c>
      <c r="F5635" s="29" t="s">
        <v>412</v>
      </c>
      <c r="G5635" s="25" t="s">
        <v>7320</v>
      </c>
      <c r="H5635" s="26">
        <v>-2.2334472390999998</v>
      </c>
      <c r="I5635" s="26"/>
      <c r="J5635" s="26" t="s">
        <v>512</v>
      </c>
      <c r="K5635" s="25" t="s">
        <v>513</v>
      </c>
      <c r="L5635" s="8"/>
    </row>
    <row r="5636" spans="1:12" ht="25.5" x14ac:dyDescent="0.25">
      <c r="A5636" s="22">
        <v>2026</v>
      </c>
      <c r="B5636" s="28" t="s">
        <v>222</v>
      </c>
      <c r="C5636" s="28" t="s">
        <v>97</v>
      </c>
      <c r="D5636" s="28" t="s">
        <v>228</v>
      </c>
      <c r="E5636" s="29" t="s">
        <v>411</v>
      </c>
      <c r="F5636" s="29" t="s">
        <v>412</v>
      </c>
      <c r="G5636" s="25" t="s">
        <v>7321</v>
      </c>
      <c r="H5636" s="26">
        <v>-1.2347300000000001</v>
      </c>
      <c r="I5636" s="26"/>
      <c r="J5636" s="26" t="s">
        <v>512</v>
      </c>
      <c r="K5636" s="25" t="s">
        <v>513</v>
      </c>
      <c r="L5636" s="8"/>
    </row>
    <row r="5637" spans="1:12" ht="25.5" x14ac:dyDescent="0.25">
      <c r="A5637" s="22">
        <v>2026</v>
      </c>
      <c r="B5637" s="28" t="s">
        <v>237</v>
      </c>
      <c r="C5637" s="28" t="s">
        <v>97</v>
      </c>
      <c r="D5637" s="28" t="s">
        <v>1691</v>
      </c>
      <c r="E5637" s="29" t="s">
        <v>1691</v>
      </c>
      <c r="F5637" s="29" t="s">
        <v>284</v>
      </c>
      <c r="G5637" s="25" t="s">
        <v>7322</v>
      </c>
      <c r="H5637" s="26">
        <v>-8.5557772379999992</v>
      </c>
      <c r="I5637" s="26"/>
      <c r="J5637" s="26" t="s">
        <v>512</v>
      </c>
      <c r="K5637" s="25" t="s">
        <v>513</v>
      </c>
      <c r="L5637" s="8"/>
    </row>
    <row r="5638" spans="1:12" ht="25.5" x14ac:dyDescent="0.25">
      <c r="A5638" s="22">
        <v>2026</v>
      </c>
      <c r="B5638" s="28" t="s">
        <v>237</v>
      </c>
      <c r="C5638" s="28" t="s">
        <v>97</v>
      </c>
      <c r="D5638" s="28" t="s">
        <v>1691</v>
      </c>
      <c r="E5638" s="29" t="s">
        <v>1691</v>
      </c>
      <c r="F5638" s="29" t="s">
        <v>284</v>
      </c>
      <c r="G5638" s="25" t="s">
        <v>7323</v>
      </c>
      <c r="H5638" s="26">
        <v>-9.6082346305000002</v>
      </c>
      <c r="I5638" s="26"/>
      <c r="J5638" s="26" t="s">
        <v>512</v>
      </c>
      <c r="K5638" s="25" t="s">
        <v>513</v>
      </c>
      <c r="L5638" s="8"/>
    </row>
    <row r="5639" spans="1:12" ht="25.5" x14ac:dyDescent="0.25">
      <c r="A5639" s="22">
        <v>2026</v>
      </c>
      <c r="B5639" s="28" t="s">
        <v>237</v>
      </c>
      <c r="C5639" s="28" t="s">
        <v>97</v>
      </c>
      <c r="D5639" s="28" t="s">
        <v>1691</v>
      </c>
      <c r="E5639" s="29" t="s">
        <v>1691</v>
      </c>
      <c r="F5639" s="29" t="s">
        <v>284</v>
      </c>
      <c r="G5639" s="25" t="s">
        <v>7324</v>
      </c>
      <c r="H5639" s="26">
        <v>-9.4812921938999999</v>
      </c>
      <c r="I5639" s="26"/>
      <c r="J5639" s="26" t="s">
        <v>512</v>
      </c>
      <c r="K5639" s="25" t="s">
        <v>513</v>
      </c>
      <c r="L5639" s="8"/>
    </row>
    <row r="5640" spans="1:12" ht="25.5" x14ac:dyDescent="0.25">
      <c r="A5640" s="22">
        <v>2026</v>
      </c>
      <c r="B5640" s="28" t="s">
        <v>237</v>
      </c>
      <c r="C5640" s="28" t="s">
        <v>97</v>
      </c>
      <c r="D5640" s="28" t="s">
        <v>1691</v>
      </c>
      <c r="E5640" s="29" t="s">
        <v>1691</v>
      </c>
      <c r="F5640" s="29" t="s">
        <v>284</v>
      </c>
      <c r="G5640" s="25" t="s">
        <v>7325</v>
      </c>
      <c r="H5640" s="26">
        <v>-9.7505544180000001</v>
      </c>
      <c r="I5640" s="26"/>
      <c r="J5640" s="26" t="s">
        <v>512</v>
      </c>
      <c r="K5640" s="25" t="s">
        <v>513</v>
      </c>
      <c r="L5640" s="8"/>
    </row>
    <row r="5641" spans="1:12" ht="25.5" x14ac:dyDescent="0.25">
      <c r="A5641" s="22">
        <v>2026</v>
      </c>
      <c r="B5641" s="28" t="s">
        <v>237</v>
      </c>
      <c r="C5641" s="28" t="s">
        <v>97</v>
      </c>
      <c r="D5641" s="28" t="s">
        <v>1691</v>
      </c>
      <c r="E5641" s="29" t="s">
        <v>1691</v>
      </c>
      <c r="F5641" s="29" t="s">
        <v>284</v>
      </c>
      <c r="G5641" s="25" t="s">
        <v>7326</v>
      </c>
      <c r="H5641" s="26">
        <v>-9.8810123807999997</v>
      </c>
      <c r="I5641" s="26"/>
      <c r="J5641" s="26" t="s">
        <v>512</v>
      </c>
      <c r="K5641" s="25" t="s">
        <v>513</v>
      </c>
      <c r="L5641" s="8"/>
    </row>
    <row r="5642" spans="1:12" ht="25.5" x14ac:dyDescent="0.25">
      <c r="A5642" s="22">
        <v>2026</v>
      </c>
      <c r="B5642" s="28" t="s">
        <v>237</v>
      </c>
      <c r="C5642" s="28" t="s">
        <v>97</v>
      </c>
      <c r="D5642" s="28" t="s">
        <v>1691</v>
      </c>
      <c r="E5642" s="29" t="s">
        <v>1691</v>
      </c>
      <c r="F5642" s="29" t="s">
        <v>284</v>
      </c>
      <c r="G5642" s="25" t="s">
        <v>7327</v>
      </c>
      <c r="H5642" s="26">
        <v>-9.7657611743999997</v>
      </c>
      <c r="I5642" s="26"/>
      <c r="J5642" s="26" t="s">
        <v>512</v>
      </c>
      <c r="K5642" s="25" t="s">
        <v>513</v>
      </c>
      <c r="L5642" s="8"/>
    </row>
    <row r="5643" spans="1:12" ht="25.5" x14ac:dyDescent="0.25">
      <c r="A5643" s="22">
        <v>2026</v>
      </c>
      <c r="B5643" s="28" t="s">
        <v>237</v>
      </c>
      <c r="C5643" s="28" t="s">
        <v>97</v>
      </c>
      <c r="D5643" s="28" t="s">
        <v>1691</v>
      </c>
      <c r="E5643" s="29" t="s">
        <v>1691</v>
      </c>
      <c r="F5643" s="29" t="s">
        <v>284</v>
      </c>
      <c r="G5643" s="25" t="s">
        <v>7328</v>
      </c>
      <c r="H5643" s="26">
        <v>-9.8168060759999989</v>
      </c>
      <c r="I5643" s="26"/>
      <c r="J5643" s="26" t="s">
        <v>512</v>
      </c>
      <c r="K5643" s="25" t="s">
        <v>513</v>
      </c>
      <c r="L5643" s="8"/>
    </row>
    <row r="5644" spans="1:12" ht="25.5" x14ac:dyDescent="0.25">
      <c r="A5644" s="22">
        <v>2026</v>
      </c>
      <c r="B5644" s="28" t="s">
        <v>237</v>
      </c>
      <c r="C5644" s="28" t="s">
        <v>97</v>
      </c>
      <c r="D5644" s="28" t="s">
        <v>1691</v>
      </c>
      <c r="E5644" s="29" t="s">
        <v>1691</v>
      </c>
      <c r="F5644" s="29" t="s">
        <v>284</v>
      </c>
      <c r="G5644" s="25" t="s">
        <v>7329</v>
      </c>
      <c r="H5644" s="26">
        <v>-9.7668727793999999</v>
      </c>
      <c r="I5644" s="26"/>
      <c r="J5644" s="26" t="s">
        <v>512</v>
      </c>
      <c r="K5644" s="25" t="s">
        <v>513</v>
      </c>
      <c r="L5644" s="8"/>
    </row>
    <row r="5645" spans="1:12" ht="25.5" x14ac:dyDescent="0.25">
      <c r="A5645" s="22">
        <v>2026</v>
      </c>
      <c r="B5645" s="28" t="s">
        <v>237</v>
      </c>
      <c r="C5645" s="28" t="s">
        <v>97</v>
      </c>
      <c r="D5645" s="28" t="s">
        <v>1691</v>
      </c>
      <c r="E5645" s="29" t="s">
        <v>1691</v>
      </c>
      <c r="F5645" s="29" t="s">
        <v>284</v>
      </c>
      <c r="G5645" s="25" t="s">
        <v>7330</v>
      </c>
      <c r="H5645" s="26">
        <v>-8.5245263579999992</v>
      </c>
      <c r="I5645" s="26"/>
      <c r="J5645" s="26" t="s">
        <v>512</v>
      </c>
      <c r="K5645" s="25" t="s">
        <v>513</v>
      </c>
      <c r="L5645" s="8"/>
    </row>
    <row r="5646" spans="1:12" ht="25.5" x14ac:dyDescent="0.25">
      <c r="A5646" s="22">
        <v>2026</v>
      </c>
      <c r="B5646" s="28" t="s">
        <v>237</v>
      </c>
      <c r="C5646" s="28" t="s">
        <v>97</v>
      </c>
      <c r="D5646" s="28" t="s">
        <v>1691</v>
      </c>
      <c r="E5646" s="29" t="s">
        <v>1691</v>
      </c>
      <c r="F5646" s="29" t="s">
        <v>284</v>
      </c>
      <c r="G5646" s="25" t="s">
        <v>7331</v>
      </c>
      <c r="H5646" s="26">
        <v>-8.7799288151999999</v>
      </c>
      <c r="I5646" s="26"/>
      <c r="J5646" s="26" t="s">
        <v>512</v>
      </c>
      <c r="K5646" s="25" t="s">
        <v>513</v>
      </c>
      <c r="L5646" s="8"/>
    </row>
    <row r="5647" spans="1:12" ht="25.5" x14ac:dyDescent="0.25">
      <c r="A5647" s="22">
        <v>2026</v>
      </c>
      <c r="B5647" s="28" t="s">
        <v>237</v>
      </c>
      <c r="C5647" s="28" t="s">
        <v>97</v>
      </c>
      <c r="D5647" s="28" t="s">
        <v>1691</v>
      </c>
      <c r="E5647" s="29" t="s">
        <v>1691</v>
      </c>
      <c r="F5647" s="29" t="s">
        <v>284</v>
      </c>
      <c r="G5647" s="25" t="s">
        <v>7332</v>
      </c>
      <c r="H5647" s="26">
        <v>-8.8407544739999988</v>
      </c>
      <c r="I5647" s="26"/>
      <c r="J5647" s="26" t="s">
        <v>512</v>
      </c>
      <c r="K5647" s="25" t="s">
        <v>513</v>
      </c>
      <c r="L5647" s="8"/>
    </row>
    <row r="5648" spans="1:12" ht="25.5" x14ac:dyDescent="0.25">
      <c r="A5648" s="22">
        <v>2026</v>
      </c>
      <c r="B5648" s="28" t="s">
        <v>237</v>
      </c>
      <c r="C5648" s="28" t="s">
        <v>97</v>
      </c>
      <c r="D5648" s="28" t="s">
        <v>1691</v>
      </c>
      <c r="E5648" s="29" t="s">
        <v>1691</v>
      </c>
      <c r="F5648" s="29" t="s">
        <v>284</v>
      </c>
      <c r="G5648" s="25" t="s">
        <v>7333</v>
      </c>
      <c r="H5648" s="26">
        <v>-7.5389804568000001</v>
      </c>
      <c r="I5648" s="26"/>
      <c r="J5648" s="26" t="s">
        <v>512</v>
      </c>
      <c r="K5648" s="25" t="s">
        <v>513</v>
      </c>
      <c r="L5648" s="8"/>
    </row>
    <row r="5649" spans="1:12" ht="25.5" x14ac:dyDescent="0.25">
      <c r="A5649" s="22">
        <v>2026</v>
      </c>
      <c r="B5649" s="28" t="s">
        <v>237</v>
      </c>
      <c r="C5649" s="28" t="s">
        <v>97</v>
      </c>
      <c r="D5649" s="28" t="s">
        <v>1691</v>
      </c>
      <c r="E5649" s="29" t="s">
        <v>1691</v>
      </c>
      <c r="F5649" s="29" t="s">
        <v>284</v>
      </c>
      <c r="G5649" s="25" t="s">
        <v>7334</v>
      </c>
      <c r="H5649" s="26">
        <v>-8.9112912325</v>
      </c>
      <c r="I5649" s="26"/>
      <c r="J5649" s="26" t="s">
        <v>512</v>
      </c>
      <c r="K5649" s="25" t="s">
        <v>513</v>
      </c>
      <c r="L5649" s="8"/>
    </row>
    <row r="5650" spans="1:12" ht="25.5" x14ac:dyDescent="0.25">
      <c r="A5650" s="22">
        <v>2026</v>
      </c>
      <c r="B5650" s="28" t="s">
        <v>237</v>
      </c>
      <c r="C5650" s="28" t="s">
        <v>97</v>
      </c>
      <c r="D5650" s="28" t="s">
        <v>1691</v>
      </c>
      <c r="E5650" s="29" t="s">
        <v>1691</v>
      </c>
      <c r="F5650" s="29" t="s">
        <v>284</v>
      </c>
      <c r="G5650" s="25" t="s">
        <v>7335</v>
      </c>
      <c r="H5650" s="26">
        <v>-8.6510455510000011</v>
      </c>
      <c r="I5650" s="26"/>
      <c r="J5650" s="26" t="s">
        <v>512</v>
      </c>
      <c r="K5650" s="25" t="s">
        <v>513</v>
      </c>
      <c r="L5650" s="8"/>
    </row>
    <row r="5651" spans="1:12" ht="25.5" x14ac:dyDescent="0.25">
      <c r="A5651" s="22">
        <v>2026</v>
      </c>
      <c r="B5651" s="28" t="s">
        <v>237</v>
      </c>
      <c r="C5651" s="28" t="s">
        <v>97</v>
      </c>
      <c r="D5651" s="28" t="s">
        <v>1691</v>
      </c>
      <c r="E5651" s="29" t="s">
        <v>1691</v>
      </c>
      <c r="F5651" s="29" t="s">
        <v>284</v>
      </c>
      <c r="G5651" s="25" t="s">
        <v>7336</v>
      </c>
      <c r="H5651" s="26">
        <v>-8.6802143224999995</v>
      </c>
      <c r="I5651" s="26"/>
      <c r="J5651" s="26" t="s">
        <v>512</v>
      </c>
      <c r="K5651" s="25" t="s">
        <v>513</v>
      </c>
      <c r="L5651" s="8"/>
    </row>
    <row r="5652" spans="1:12" ht="25.5" x14ac:dyDescent="0.25">
      <c r="A5652" s="22">
        <v>2026</v>
      </c>
      <c r="B5652" s="28" t="s">
        <v>237</v>
      </c>
      <c r="C5652" s="28" t="s">
        <v>97</v>
      </c>
      <c r="D5652" s="28" t="s">
        <v>1691</v>
      </c>
      <c r="E5652" s="29" t="s">
        <v>1691</v>
      </c>
      <c r="F5652" s="29" t="s">
        <v>284</v>
      </c>
      <c r="G5652" s="25" t="s">
        <v>7337</v>
      </c>
      <c r="H5652" s="26">
        <v>-8.7836028699999993</v>
      </c>
      <c r="I5652" s="26"/>
      <c r="J5652" s="26" t="s">
        <v>512</v>
      </c>
      <c r="K5652" s="25" t="s">
        <v>513</v>
      </c>
      <c r="L5652" s="8"/>
    </row>
    <row r="5653" spans="1:12" ht="25.5" x14ac:dyDescent="0.25">
      <c r="A5653" s="22">
        <v>2026</v>
      </c>
      <c r="B5653" s="28" t="s">
        <v>237</v>
      </c>
      <c r="C5653" s="28" t="s">
        <v>97</v>
      </c>
      <c r="D5653" s="28" t="s">
        <v>1691</v>
      </c>
      <c r="E5653" s="29" t="s">
        <v>1691</v>
      </c>
      <c r="F5653" s="29" t="s">
        <v>284</v>
      </c>
      <c r="G5653" s="25" t="s">
        <v>7338</v>
      </c>
      <c r="H5653" s="26">
        <v>-8.8358256349999991</v>
      </c>
      <c r="I5653" s="26"/>
      <c r="J5653" s="26" t="s">
        <v>512</v>
      </c>
      <c r="K5653" s="25" t="s">
        <v>513</v>
      </c>
      <c r="L5653" s="8"/>
    </row>
    <row r="5654" spans="1:12" ht="25.5" x14ac:dyDescent="0.25">
      <c r="A5654" s="22">
        <v>2026</v>
      </c>
      <c r="B5654" s="28" t="s">
        <v>237</v>
      </c>
      <c r="C5654" s="28" t="s">
        <v>97</v>
      </c>
      <c r="D5654" s="28" t="s">
        <v>1691</v>
      </c>
      <c r="E5654" s="29" t="s">
        <v>1691</v>
      </c>
      <c r="F5654" s="29" t="s">
        <v>284</v>
      </c>
      <c r="G5654" s="25" t="s">
        <v>7339</v>
      </c>
      <c r="H5654" s="26">
        <v>-7.5660197976000001</v>
      </c>
      <c r="I5654" s="26"/>
      <c r="J5654" s="26" t="s">
        <v>512</v>
      </c>
      <c r="K5654" s="25" t="s">
        <v>513</v>
      </c>
      <c r="L5654" s="8"/>
    </row>
    <row r="5655" spans="1:12" ht="25.5" x14ac:dyDescent="0.25">
      <c r="A5655" s="22">
        <v>2026</v>
      </c>
      <c r="B5655" s="28" t="s">
        <v>237</v>
      </c>
      <c r="C5655" s="28" t="s">
        <v>97</v>
      </c>
      <c r="D5655" s="28" t="s">
        <v>1691</v>
      </c>
      <c r="E5655" s="29" t="s">
        <v>1691</v>
      </c>
      <c r="F5655" s="29" t="s">
        <v>284</v>
      </c>
      <c r="G5655" s="25" t="s">
        <v>7340</v>
      </c>
      <c r="H5655" s="26">
        <v>-5.7631052609999998</v>
      </c>
      <c r="I5655" s="26"/>
      <c r="J5655" s="26" t="s">
        <v>512</v>
      </c>
      <c r="K5655" s="25" t="s">
        <v>513</v>
      </c>
      <c r="L5655" s="8"/>
    </row>
    <row r="5656" spans="1:12" ht="25.5" x14ac:dyDescent="0.25">
      <c r="A5656" s="22">
        <v>2026</v>
      </c>
      <c r="B5656" s="28" t="s">
        <v>237</v>
      </c>
      <c r="C5656" s="28" t="s">
        <v>97</v>
      </c>
      <c r="D5656" s="28" t="s">
        <v>1691</v>
      </c>
      <c r="E5656" s="29" t="s">
        <v>1691</v>
      </c>
      <c r="F5656" s="29" t="s">
        <v>284</v>
      </c>
      <c r="G5656" s="25" t="s">
        <v>7341</v>
      </c>
      <c r="H5656" s="26">
        <v>-5.8336798269999992</v>
      </c>
      <c r="I5656" s="26"/>
      <c r="J5656" s="26" t="s">
        <v>512</v>
      </c>
      <c r="K5656" s="25" t="s">
        <v>513</v>
      </c>
      <c r="L5656" s="8"/>
    </row>
    <row r="5657" spans="1:12" ht="25.5" x14ac:dyDescent="0.25">
      <c r="A5657" s="22">
        <v>2026</v>
      </c>
      <c r="B5657" s="28" t="s">
        <v>237</v>
      </c>
      <c r="C5657" s="28" t="s">
        <v>97</v>
      </c>
      <c r="D5657" s="28" t="s">
        <v>1692</v>
      </c>
      <c r="E5657" s="29" t="s">
        <v>352</v>
      </c>
      <c r="F5657" s="29" t="s">
        <v>576</v>
      </c>
      <c r="G5657" s="25" t="s">
        <v>7363</v>
      </c>
      <c r="H5657" s="26">
        <v>-0.62036154228000007</v>
      </c>
      <c r="I5657" s="26"/>
      <c r="J5657" s="26" t="s">
        <v>512</v>
      </c>
      <c r="K5657" s="25" t="s">
        <v>513</v>
      </c>
      <c r="L5657" s="8"/>
    </row>
    <row r="5658" spans="1:12" ht="25.5" x14ac:dyDescent="0.25">
      <c r="A5658" s="22">
        <v>2026</v>
      </c>
      <c r="B5658" s="28" t="s">
        <v>237</v>
      </c>
      <c r="C5658" s="28" t="s">
        <v>97</v>
      </c>
      <c r="D5658" s="28" t="s">
        <v>1692</v>
      </c>
      <c r="E5658" s="29" t="s">
        <v>352</v>
      </c>
      <c r="F5658" s="29" t="s">
        <v>576</v>
      </c>
      <c r="G5658" s="25" t="s">
        <v>7364</v>
      </c>
      <c r="H5658" s="26">
        <v>-7.3960919999999999E-2</v>
      </c>
      <c r="I5658" s="26"/>
      <c r="J5658" s="26" t="s">
        <v>512</v>
      </c>
      <c r="K5658" s="25" t="s">
        <v>513</v>
      </c>
      <c r="L5658" s="8"/>
    </row>
    <row r="5659" spans="1:12" ht="25.5" x14ac:dyDescent="0.25">
      <c r="A5659" s="22">
        <v>2026</v>
      </c>
      <c r="B5659" s="28" t="s">
        <v>237</v>
      </c>
      <c r="C5659" s="28" t="s">
        <v>97</v>
      </c>
      <c r="D5659" s="28" t="s">
        <v>1692</v>
      </c>
      <c r="E5659" s="29" t="s">
        <v>352</v>
      </c>
      <c r="F5659" s="29" t="s">
        <v>576</v>
      </c>
      <c r="G5659" s="25" t="s">
        <v>7365</v>
      </c>
      <c r="H5659" s="26">
        <v>-0.66744899999999996</v>
      </c>
      <c r="I5659" s="26"/>
      <c r="J5659" s="26" t="s">
        <v>512</v>
      </c>
      <c r="K5659" s="25" t="s">
        <v>513</v>
      </c>
      <c r="L5659" s="8"/>
    </row>
    <row r="5660" spans="1:12" ht="25.5" x14ac:dyDescent="0.25">
      <c r="A5660" s="22">
        <v>2026</v>
      </c>
      <c r="B5660" s="28" t="s">
        <v>237</v>
      </c>
      <c r="C5660" s="28" t="s">
        <v>97</v>
      </c>
      <c r="D5660" s="28" t="s">
        <v>1692</v>
      </c>
      <c r="E5660" s="29" t="s">
        <v>352</v>
      </c>
      <c r="F5660" s="29" t="s">
        <v>576</v>
      </c>
      <c r="G5660" s="25" t="s">
        <v>7366</v>
      </c>
      <c r="H5660" s="26">
        <v>-0.14530182</v>
      </c>
      <c r="I5660" s="26"/>
      <c r="J5660" s="26" t="s">
        <v>512</v>
      </c>
      <c r="K5660" s="25" t="s">
        <v>513</v>
      </c>
      <c r="L5660" s="8"/>
    </row>
    <row r="5661" spans="1:12" ht="25.5" x14ac:dyDescent="0.25">
      <c r="A5661" s="22">
        <v>2026</v>
      </c>
      <c r="B5661" s="28" t="s">
        <v>237</v>
      </c>
      <c r="C5661" s="28" t="s">
        <v>97</v>
      </c>
      <c r="D5661" s="28" t="s">
        <v>1692</v>
      </c>
      <c r="E5661" s="29" t="s">
        <v>352</v>
      </c>
      <c r="F5661" s="29" t="s">
        <v>576</v>
      </c>
      <c r="G5661" s="25" t="s">
        <v>7367</v>
      </c>
      <c r="H5661" s="26">
        <v>-0.70122399999999996</v>
      </c>
      <c r="I5661" s="26"/>
      <c r="J5661" s="26" t="s">
        <v>512</v>
      </c>
      <c r="K5661" s="25" t="s">
        <v>513</v>
      </c>
      <c r="L5661" s="8"/>
    </row>
    <row r="5662" spans="1:12" ht="25.5" x14ac:dyDescent="0.25">
      <c r="A5662" s="22">
        <v>2026</v>
      </c>
      <c r="B5662" s="28" t="s">
        <v>237</v>
      </c>
      <c r="C5662" s="28" t="s">
        <v>97</v>
      </c>
      <c r="D5662" s="28" t="s">
        <v>1692</v>
      </c>
      <c r="E5662" s="29" t="s">
        <v>352</v>
      </c>
      <c r="F5662" s="29" t="s">
        <v>576</v>
      </c>
      <c r="G5662" s="25" t="s">
        <v>7368</v>
      </c>
      <c r="H5662" s="26">
        <v>-0.46058145</v>
      </c>
      <c r="I5662" s="26"/>
      <c r="J5662" s="26" t="s">
        <v>512</v>
      </c>
      <c r="K5662" s="25" t="s">
        <v>513</v>
      </c>
      <c r="L5662" s="8"/>
    </row>
    <row r="5663" spans="1:12" ht="25.5" x14ac:dyDescent="0.25">
      <c r="A5663" s="22">
        <v>2026</v>
      </c>
      <c r="B5663" s="28" t="s">
        <v>237</v>
      </c>
      <c r="C5663" s="28" t="s">
        <v>97</v>
      </c>
      <c r="D5663" s="28" t="s">
        <v>1692</v>
      </c>
      <c r="E5663" s="29" t="s">
        <v>352</v>
      </c>
      <c r="F5663" s="29" t="s">
        <v>576</v>
      </c>
      <c r="G5663" s="25" t="s">
        <v>7369</v>
      </c>
      <c r="H5663" s="26">
        <v>-0.75773309999999994</v>
      </c>
      <c r="I5663" s="26"/>
      <c r="J5663" s="26" t="s">
        <v>512</v>
      </c>
      <c r="K5663" s="25" t="s">
        <v>513</v>
      </c>
      <c r="L5663" s="8"/>
    </row>
    <row r="5664" spans="1:12" ht="25.5" x14ac:dyDescent="0.25">
      <c r="A5664" s="22">
        <v>2026</v>
      </c>
      <c r="B5664" s="28" t="s">
        <v>237</v>
      </c>
      <c r="C5664" s="28" t="s">
        <v>97</v>
      </c>
      <c r="D5664" s="28" t="s">
        <v>1692</v>
      </c>
      <c r="E5664" s="29" t="s">
        <v>352</v>
      </c>
      <c r="F5664" s="29" t="s">
        <v>576</v>
      </c>
      <c r="G5664" s="25" t="s">
        <v>7370</v>
      </c>
      <c r="H5664" s="26">
        <v>-0.37145</v>
      </c>
      <c r="I5664" s="26"/>
      <c r="J5664" s="26" t="s">
        <v>512</v>
      </c>
      <c r="K5664" s="25" t="s">
        <v>513</v>
      </c>
      <c r="L5664" s="8"/>
    </row>
    <row r="5665" spans="1:12" ht="25.5" x14ac:dyDescent="0.25">
      <c r="A5665" s="22">
        <v>2026</v>
      </c>
      <c r="B5665" s="28" t="s">
        <v>237</v>
      </c>
      <c r="C5665" s="28" t="s">
        <v>97</v>
      </c>
      <c r="D5665" s="28" t="s">
        <v>1693</v>
      </c>
      <c r="E5665" s="29" t="s">
        <v>352</v>
      </c>
      <c r="F5665" s="29" t="s">
        <v>903</v>
      </c>
      <c r="G5665" s="25" t="s">
        <v>7371</v>
      </c>
      <c r="H5665" s="26">
        <v>-9.3874059999999995E-2</v>
      </c>
      <c r="I5665" s="26"/>
      <c r="J5665" s="26" t="s">
        <v>512</v>
      </c>
      <c r="K5665" s="25" t="s">
        <v>513</v>
      </c>
      <c r="L5665" s="8"/>
    </row>
    <row r="5666" spans="1:12" ht="25.5" x14ac:dyDescent="0.25">
      <c r="A5666" s="22">
        <v>2026</v>
      </c>
      <c r="B5666" s="28" t="s">
        <v>237</v>
      </c>
      <c r="C5666" s="28" t="s">
        <v>97</v>
      </c>
      <c r="D5666" s="28" t="s">
        <v>1693</v>
      </c>
      <c r="E5666" s="29" t="s">
        <v>352</v>
      </c>
      <c r="F5666" s="29" t="s">
        <v>903</v>
      </c>
      <c r="G5666" s="25" t="s">
        <v>7372</v>
      </c>
      <c r="H5666" s="26">
        <v>-0.10031430000000001</v>
      </c>
      <c r="I5666" s="26"/>
      <c r="J5666" s="26" t="s">
        <v>512</v>
      </c>
      <c r="K5666" s="25" t="s">
        <v>513</v>
      </c>
      <c r="L5666" s="8"/>
    </row>
    <row r="5667" spans="1:12" ht="25.5" x14ac:dyDescent="0.25">
      <c r="A5667" s="22">
        <v>2026</v>
      </c>
      <c r="B5667" s="28" t="s">
        <v>237</v>
      </c>
      <c r="C5667" s="28" t="s">
        <v>97</v>
      </c>
      <c r="D5667" s="28" t="s">
        <v>1693</v>
      </c>
      <c r="E5667" s="29" t="s">
        <v>352</v>
      </c>
      <c r="F5667" s="29" t="s">
        <v>903</v>
      </c>
      <c r="G5667" s="25" t="s">
        <v>7373</v>
      </c>
      <c r="H5667" s="26">
        <v>-0.10653424</v>
      </c>
      <c r="I5667" s="26"/>
      <c r="J5667" s="26" t="s">
        <v>512</v>
      </c>
      <c r="K5667" s="25" t="s">
        <v>513</v>
      </c>
      <c r="L5667" s="8"/>
    </row>
    <row r="5668" spans="1:12" ht="25.5" x14ac:dyDescent="0.25">
      <c r="A5668" s="22">
        <v>2026</v>
      </c>
      <c r="B5668" s="28" t="s">
        <v>237</v>
      </c>
      <c r="C5668" s="28" t="s">
        <v>97</v>
      </c>
      <c r="D5668" s="28" t="s">
        <v>1693</v>
      </c>
      <c r="E5668" s="29" t="s">
        <v>352</v>
      </c>
      <c r="F5668" s="29" t="s">
        <v>903</v>
      </c>
      <c r="G5668" s="25" t="s">
        <v>7374</v>
      </c>
      <c r="H5668" s="26">
        <v>-0.11338541000000001</v>
      </c>
      <c r="I5668" s="26"/>
      <c r="J5668" s="26" t="s">
        <v>512</v>
      </c>
      <c r="K5668" s="25" t="s">
        <v>513</v>
      </c>
      <c r="L5668" s="8"/>
    </row>
    <row r="5669" spans="1:12" ht="25.5" x14ac:dyDescent="0.25">
      <c r="A5669" s="22">
        <v>2026</v>
      </c>
      <c r="B5669" s="28" t="s">
        <v>237</v>
      </c>
      <c r="C5669" s="28" t="s">
        <v>97</v>
      </c>
      <c r="D5669" s="28" t="s">
        <v>1693</v>
      </c>
      <c r="E5669" s="29" t="s">
        <v>352</v>
      </c>
      <c r="F5669" s="29" t="s">
        <v>903</v>
      </c>
      <c r="G5669" s="25" t="s">
        <v>7375</v>
      </c>
      <c r="H5669" s="26">
        <v>-9.2887339999999999E-2</v>
      </c>
      <c r="I5669" s="26"/>
      <c r="J5669" s="26" t="s">
        <v>512</v>
      </c>
      <c r="K5669" s="25" t="s">
        <v>513</v>
      </c>
      <c r="L5669" s="8"/>
    </row>
    <row r="5670" spans="1:12" ht="25.5" x14ac:dyDescent="0.25">
      <c r="A5670" s="22">
        <v>2026</v>
      </c>
      <c r="B5670" s="28" t="s">
        <v>237</v>
      </c>
      <c r="C5670" s="28" t="s">
        <v>97</v>
      </c>
      <c r="D5670" s="28" t="s">
        <v>1693</v>
      </c>
      <c r="E5670" s="29" t="s">
        <v>352</v>
      </c>
      <c r="F5670" s="29" t="s">
        <v>903</v>
      </c>
      <c r="G5670" s="25" t="s">
        <v>7376</v>
      </c>
      <c r="H5670" s="26">
        <v>-0.15274047192000001</v>
      </c>
      <c r="I5670" s="26"/>
      <c r="J5670" s="26" t="s">
        <v>512</v>
      </c>
      <c r="K5670" s="25" t="s">
        <v>513</v>
      </c>
      <c r="L5670" s="8"/>
    </row>
    <row r="5671" spans="1:12" ht="25.5" x14ac:dyDescent="0.25">
      <c r="A5671" s="22">
        <v>2026</v>
      </c>
      <c r="B5671" s="28" t="s">
        <v>237</v>
      </c>
      <c r="C5671" s="28" t="s">
        <v>97</v>
      </c>
      <c r="D5671" s="28" t="s">
        <v>1693</v>
      </c>
      <c r="E5671" s="29" t="s">
        <v>352</v>
      </c>
      <c r="F5671" s="29" t="s">
        <v>903</v>
      </c>
      <c r="G5671" s="25" t="s">
        <v>7377</v>
      </c>
      <c r="H5671" s="26">
        <v>-0.23507317899999999</v>
      </c>
      <c r="I5671" s="26"/>
      <c r="J5671" s="26" t="s">
        <v>512</v>
      </c>
      <c r="K5671" s="25" t="s">
        <v>513</v>
      </c>
      <c r="L5671" s="8"/>
    </row>
    <row r="5672" spans="1:12" ht="25.5" x14ac:dyDescent="0.25">
      <c r="A5672" s="22">
        <v>2026</v>
      </c>
      <c r="B5672" s="28" t="s">
        <v>237</v>
      </c>
      <c r="C5672" s="28" t="s">
        <v>97</v>
      </c>
      <c r="D5672" s="28" t="s">
        <v>1693</v>
      </c>
      <c r="E5672" s="29" t="s">
        <v>352</v>
      </c>
      <c r="F5672" s="29" t="s">
        <v>903</v>
      </c>
      <c r="G5672" s="25" t="s">
        <v>7378</v>
      </c>
      <c r="H5672" s="26">
        <v>-8.0018279999999997E-2</v>
      </c>
      <c r="I5672" s="26"/>
      <c r="J5672" s="26" t="s">
        <v>512</v>
      </c>
      <c r="K5672" s="25" t="s">
        <v>513</v>
      </c>
      <c r="L5672" s="8"/>
    </row>
    <row r="5673" spans="1:12" ht="25.5" x14ac:dyDescent="0.25">
      <c r="A5673" s="22">
        <v>2026</v>
      </c>
      <c r="B5673" s="28" t="s">
        <v>237</v>
      </c>
      <c r="C5673" s="28" t="s">
        <v>97</v>
      </c>
      <c r="D5673" s="28" t="s">
        <v>1693</v>
      </c>
      <c r="E5673" s="29" t="s">
        <v>352</v>
      </c>
      <c r="F5673" s="29" t="s">
        <v>903</v>
      </c>
      <c r="G5673" s="25" t="s">
        <v>7379</v>
      </c>
      <c r="H5673" s="26">
        <v>-8.1402719999999998E-2</v>
      </c>
      <c r="I5673" s="26"/>
      <c r="J5673" s="26" t="s">
        <v>512</v>
      </c>
      <c r="K5673" s="25" t="s">
        <v>513</v>
      </c>
      <c r="L5673" s="8"/>
    </row>
    <row r="5674" spans="1:12" ht="25.5" x14ac:dyDescent="0.25">
      <c r="A5674" s="22">
        <v>2026</v>
      </c>
      <c r="B5674" s="28" t="s">
        <v>237</v>
      </c>
      <c r="C5674" s="28" t="s">
        <v>97</v>
      </c>
      <c r="D5674" s="28" t="s">
        <v>1693</v>
      </c>
      <c r="E5674" s="29" t="s">
        <v>352</v>
      </c>
      <c r="F5674" s="29" t="s">
        <v>903</v>
      </c>
      <c r="G5674" s="25" t="s">
        <v>7380</v>
      </c>
      <c r="H5674" s="26">
        <v>-5.9156089999999995E-2</v>
      </c>
      <c r="I5674" s="26"/>
      <c r="J5674" s="26" t="s">
        <v>512</v>
      </c>
      <c r="K5674" s="25" t="s">
        <v>513</v>
      </c>
      <c r="L5674" s="8"/>
    </row>
    <row r="5675" spans="1:12" ht="25.5" x14ac:dyDescent="0.25">
      <c r="A5675" s="22">
        <v>2026</v>
      </c>
      <c r="B5675" s="28" t="s">
        <v>237</v>
      </c>
      <c r="C5675" s="28" t="s">
        <v>97</v>
      </c>
      <c r="D5675" s="28" t="s">
        <v>1693</v>
      </c>
      <c r="E5675" s="29" t="s">
        <v>352</v>
      </c>
      <c r="F5675" s="29" t="s">
        <v>903</v>
      </c>
      <c r="G5675" s="25" t="s">
        <v>7381</v>
      </c>
      <c r="H5675" s="26">
        <v>-0.16824496</v>
      </c>
      <c r="I5675" s="26"/>
      <c r="J5675" s="26" t="s">
        <v>512</v>
      </c>
      <c r="K5675" s="25" t="s">
        <v>513</v>
      </c>
      <c r="L5675" s="8"/>
    </row>
    <row r="5676" spans="1:12" ht="25.5" x14ac:dyDescent="0.25">
      <c r="A5676" s="22">
        <v>2026</v>
      </c>
      <c r="B5676" s="28" t="s">
        <v>237</v>
      </c>
      <c r="C5676" s="28" t="s">
        <v>97</v>
      </c>
      <c r="D5676" s="28" t="s">
        <v>1693</v>
      </c>
      <c r="E5676" s="29" t="s">
        <v>352</v>
      </c>
      <c r="F5676" s="29" t="s">
        <v>903</v>
      </c>
      <c r="G5676" s="25" t="s">
        <v>7382</v>
      </c>
      <c r="H5676" s="26">
        <v>-0.21604229999999999</v>
      </c>
      <c r="I5676" s="26"/>
      <c r="J5676" s="26" t="s">
        <v>512</v>
      </c>
      <c r="K5676" s="25" t="s">
        <v>513</v>
      </c>
      <c r="L5676" s="8"/>
    </row>
    <row r="5677" spans="1:12" ht="25.5" x14ac:dyDescent="0.25">
      <c r="A5677" s="22">
        <v>2026</v>
      </c>
      <c r="B5677" s="28" t="s">
        <v>237</v>
      </c>
      <c r="C5677" s="28" t="s">
        <v>97</v>
      </c>
      <c r="D5677" s="28" t="s">
        <v>1693</v>
      </c>
      <c r="E5677" s="29" t="s">
        <v>352</v>
      </c>
      <c r="F5677" s="29" t="s">
        <v>903</v>
      </c>
      <c r="G5677" s="25" t="s">
        <v>7383</v>
      </c>
      <c r="H5677" s="26">
        <v>-7.1753999999999998E-2</v>
      </c>
      <c r="I5677" s="26"/>
      <c r="J5677" s="26" t="s">
        <v>512</v>
      </c>
      <c r="K5677" s="25" t="s">
        <v>513</v>
      </c>
      <c r="L5677" s="8"/>
    </row>
    <row r="5678" spans="1:12" ht="25.5" x14ac:dyDescent="0.25">
      <c r="A5678" s="22">
        <v>2026</v>
      </c>
      <c r="B5678" s="28" t="s">
        <v>237</v>
      </c>
      <c r="C5678" s="28" t="s">
        <v>97</v>
      </c>
      <c r="D5678" s="28" t="s">
        <v>1693</v>
      </c>
      <c r="E5678" s="29" t="s">
        <v>352</v>
      </c>
      <c r="F5678" s="29" t="s">
        <v>903</v>
      </c>
      <c r="G5678" s="25" t="s">
        <v>7384</v>
      </c>
      <c r="H5678" s="26">
        <v>-0.14471579999999998</v>
      </c>
      <c r="I5678" s="26"/>
      <c r="J5678" s="26" t="s">
        <v>512</v>
      </c>
      <c r="K5678" s="25" t="s">
        <v>513</v>
      </c>
      <c r="L5678" s="8"/>
    </row>
    <row r="5679" spans="1:12" ht="25.5" x14ac:dyDescent="0.25">
      <c r="A5679" s="22">
        <v>2026</v>
      </c>
      <c r="B5679" s="28" t="s">
        <v>237</v>
      </c>
      <c r="C5679" s="28" t="s">
        <v>97</v>
      </c>
      <c r="D5679" s="28" t="s">
        <v>1694</v>
      </c>
      <c r="E5679" s="29" t="s">
        <v>352</v>
      </c>
      <c r="F5679" s="29" t="s">
        <v>343</v>
      </c>
      <c r="G5679" s="25" t="s">
        <v>7385</v>
      </c>
      <c r="H5679" s="26">
        <v>-0.37242655578</v>
      </c>
      <c r="I5679" s="26"/>
      <c r="J5679" s="26" t="s">
        <v>512</v>
      </c>
      <c r="K5679" s="25" t="s">
        <v>513</v>
      </c>
      <c r="L5679" s="8"/>
    </row>
    <row r="5680" spans="1:12" ht="25.5" x14ac:dyDescent="0.25">
      <c r="A5680" s="22">
        <v>2026</v>
      </c>
      <c r="B5680" s="28" t="s">
        <v>237</v>
      </c>
      <c r="C5680" s="28" t="s">
        <v>97</v>
      </c>
      <c r="D5680" s="28" t="s">
        <v>1694</v>
      </c>
      <c r="E5680" s="29" t="s">
        <v>352</v>
      </c>
      <c r="F5680" s="29" t="s">
        <v>343</v>
      </c>
      <c r="G5680" s="25" t="s">
        <v>7386</v>
      </c>
      <c r="H5680" s="26">
        <v>-0.17612578080000002</v>
      </c>
      <c r="I5680" s="26"/>
      <c r="J5680" s="26" t="s">
        <v>512</v>
      </c>
      <c r="K5680" s="25" t="s">
        <v>513</v>
      </c>
      <c r="L5680" s="8"/>
    </row>
    <row r="5681" spans="1:12" ht="25.5" x14ac:dyDescent="0.25">
      <c r="A5681" s="22">
        <v>2026</v>
      </c>
      <c r="B5681" s="28" t="s">
        <v>237</v>
      </c>
      <c r="C5681" s="28" t="s">
        <v>97</v>
      </c>
      <c r="D5681" s="28" t="s">
        <v>1694</v>
      </c>
      <c r="E5681" s="29" t="s">
        <v>352</v>
      </c>
      <c r="F5681" s="29" t="s">
        <v>343</v>
      </c>
      <c r="G5681" s="25" t="s">
        <v>7387</v>
      </c>
      <c r="H5681" s="26">
        <v>-0.22858793905999999</v>
      </c>
      <c r="I5681" s="26"/>
      <c r="J5681" s="26" t="s">
        <v>512</v>
      </c>
      <c r="K5681" s="25" t="s">
        <v>513</v>
      </c>
      <c r="L5681" s="8"/>
    </row>
    <row r="5682" spans="1:12" ht="25.5" x14ac:dyDescent="0.25">
      <c r="A5682" s="22">
        <v>2026</v>
      </c>
      <c r="B5682" s="28" t="s">
        <v>237</v>
      </c>
      <c r="C5682" s="28" t="s">
        <v>97</v>
      </c>
      <c r="D5682" s="28" t="s">
        <v>1694</v>
      </c>
      <c r="E5682" s="29" t="s">
        <v>352</v>
      </c>
      <c r="F5682" s="29" t="s">
        <v>343</v>
      </c>
      <c r="G5682" s="25" t="s">
        <v>7388</v>
      </c>
      <c r="H5682" s="26">
        <v>-0.11907096544</v>
      </c>
      <c r="I5682" s="26"/>
      <c r="J5682" s="26" t="s">
        <v>512</v>
      </c>
      <c r="K5682" s="25" t="s">
        <v>513</v>
      </c>
      <c r="L5682" s="8"/>
    </row>
    <row r="5683" spans="1:12" ht="25.5" x14ac:dyDescent="0.25">
      <c r="A5683" s="22">
        <v>2026</v>
      </c>
      <c r="B5683" s="28" t="s">
        <v>237</v>
      </c>
      <c r="C5683" s="28" t="s">
        <v>97</v>
      </c>
      <c r="D5683" s="28" t="s">
        <v>1694</v>
      </c>
      <c r="E5683" s="29" t="s">
        <v>352</v>
      </c>
      <c r="F5683" s="29" t="s">
        <v>343</v>
      </c>
      <c r="G5683" s="25" t="s">
        <v>7389</v>
      </c>
      <c r="H5683" s="26">
        <v>-0.11835131</v>
      </c>
      <c r="I5683" s="26"/>
      <c r="J5683" s="26" t="s">
        <v>512</v>
      </c>
      <c r="K5683" s="25" t="s">
        <v>513</v>
      </c>
      <c r="L5683" s="8"/>
    </row>
    <row r="5684" spans="1:12" ht="25.5" x14ac:dyDescent="0.25">
      <c r="A5684" s="22">
        <v>2026</v>
      </c>
      <c r="B5684" s="28" t="s">
        <v>237</v>
      </c>
      <c r="C5684" s="28" t="s">
        <v>97</v>
      </c>
      <c r="D5684" s="28" t="s">
        <v>1694</v>
      </c>
      <c r="E5684" s="29" t="s">
        <v>352</v>
      </c>
      <c r="F5684" s="29" t="s">
        <v>343</v>
      </c>
      <c r="G5684" s="25" t="s">
        <v>7390</v>
      </c>
      <c r="H5684" s="26">
        <v>-0.4333312131</v>
      </c>
      <c r="I5684" s="26"/>
      <c r="J5684" s="26" t="s">
        <v>512</v>
      </c>
      <c r="K5684" s="25" t="s">
        <v>513</v>
      </c>
      <c r="L5684" s="8"/>
    </row>
    <row r="5685" spans="1:12" ht="25.5" x14ac:dyDescent="0.25">
      <c r="A5685" s="22">
        <v>2026</v>
      </c>
      <c r="B5685" s="28" t="s">
        <v>237</v>
      </c>
      <c r="C5685" s="28" t="s">
        <v>97</v>
      </c>
      <c r="D5685" s="28" t="s">
        <v>1694</v>
      </c>
      <c r="E5685" s="29" t="s">
        <v>352</v>
      </c>
      <c r="F5685" s="29" t="s">
        <v>343</v>
      </c>
      <c r="G5685" s="25" t="s">
        <v>7391</v>
      </c>
      <c r="H5685" s="26">
        <v>-6.7652942460000004E-2</v>
      </c>
      <c r="I5685" s="26"/>
      <c r="J5685" s="26" t="s">
        <v>512</v>
      </c>
      <c r="K5685" s="25" t="s">
        <v>513</v>
      </c>
      <c r="L5685" s="8"/>
    </row>
    <row r="5686" spans="1:12" ht="25.5" x14ac:dyDescent="0.25">
      <c r="A5686" s="22">
        <v>2026</v>
      </c>
      <c r="B5686" s="28" t="s">
        <v>237</v>
      </c>
      <c r="C5686" s="28" t="s">
        <v>97</v>
      </c>
      <c r="D5686" s="28" t="s">
        <v>1694</v>
      </c>
      <c r="E5686" s="29" t="s">
        <v>352</v>
      </c>
      <c r="F5686" s="29" t="s">
        <v>343</v>
      </c>
      <c r="G5686" s="25" t="s">
        <v>7392</v>
      </c>
      <c r="H5686" s="26">
        <v>-5.8395000000000002E-2</v>
      </c>
      <c r="I5686" s="26"/>
      <c r="J5686" s="26" t="s">
        <v>512</v>
      </c>
      <c r="K5686" s="25" t="s">
        <v>513</v>
      </c>
      <c r="L5686" s="8"/>
    </row>
    <row r="5687" spans="1:12" ht="25.5" x14ac:dyDescent="0.25">
      <c r="A5687" s="22">
        <v>2026</v>
      </c>
      <c r="B5687" s="28" t="s">
        <v>237</v>
      </c>
      <c r="C5687" s="28" t="s">
        <v>97</v>
      </c>
      <c r="D5687" s="28" t="s">
        <v>1694</v>
      </c>
      <c r="E5687" s="29" t="s">
        <v>352</v>
      </c>
      <c r="F5687" s="29" t="s">
        <v>343</v>
      </c>
      <c r="G5687" s="25" t="s">
        <v>7393</v>
      </c>
      <c r="H5687" s="26">
        <v>-0.17126399232</v>
      </c>
      <c r="I5687" s="26"/>
      <c r="J5687" s="26" t="s">
        <v>512</v>
      </c>
      <c r="K5687" s="25" t="s">
        <v>513</v>
      </c>
      <c r="L5687" s="8"/>
    </row>
    <row r="5688" spans="1:12" ht="25.5" x14ac:dyDescent="0.25">
      <c r="A5688" s="22">
        <v>2026</v>
      </c>
      <c r="B5688" s="28" t="s">
        <v>237</v>
      </c>
      <c r="C5688" s="28" t="s">
        <v>97</v>
      </c>
      <c r="D5688" s="28" t="s">
        <v>1694</v>
      </c>
      <c r="E5688" s="29" t="s">
        <v>352</v>
      </c>
      <c r="F5688" s="29" t="s">
        <v>343</v>
      </c>
      <c r="G5688" s="25" t="s">
        <v>7394</v>
      </c>
      <c r="H5688" s="26">
        <v>-4.5969359199999997E-2</v>
      </c>
      <c r="I5688" s="26"/>
      <c r="J5688" s="26" t="s">
        <v>512</v>
      </c>
      <c r="K5688" s="25" t="s">
        <v>513</v>
      </c>
      <c r="L5688" s="8"/>
    </row>
    <row r="5689" spans="1:12" ht="25.5" x14ac:dyDescent="0.25">
      <c r="A5689" s="22">
        <v>2026</v>
      </c>
      <c r="B5689" s="28" t="s">
        <v>237</v>
      </c>
      <c r="C5689" s="28" t="s">
        <v>97</v>
      </c>
      <c r="D5689" s="28" t="s">
        <v>1694</v>
      </c>
      <c r="E5689" s="29" t="s">
        <v>352</v>
      </c>
      <c r="F5689" s="29" t="s">
        <v>343</v>
      </c>
      <c r="G5689" s="25" t="s">
        <v>7395</v>
      </c>
      <c r="H5689" s="26">
        <v>-8.2265730930000003E-2</v>
      </c>
      <c r="I5689" s="26"/>
      <c r="J5689" s="26" t="s">
        <v>512</v>
      </c>
      <c r="K5689" s="25" t="s">
        <v>513</v>
      </c>
      <c r="L5689" s="8"/>
    </row>
    <row r="5690" spans="1:12" ht="25.5" x14ac:dyDescent="0.25">
      <c r="A5690" s="22">
        <v>2026</v>
      </c>
      <c r="B5690" s="28" t="s">
        <v>237</v>
      </c>
      <c r="C5690" s="28" t="s">
        <v>97</v>
      </c>
      <c r="D5690" s="28" t="s">
        <v>1694</v>
      </c>
      <c r="E5690" s="29" t="s">
        <v>352</v>
      </c>
      <c r="F5690" s="29" t="s">
        <v>343</v>
      </c>
      <c r="G5690" s="25" t="s">
        <v>7396</v>
      </c>
      <c r="H5690" s="26">
        <v>-0.489983</v>
      </c>
      <c r="I5690" s="26"/>
      <c r="J5690" s="26" t="s">
        <v>512</v>
      </c>
      <c r="K5690" s="25" t="s">
        <v>513</v>
      </c>
      <c r="L5690" s="8"/>
    </row>
    <row r="5691" spans="1:12" ht="25.5" x14ac:dyDescent="0.25">
      <c r="A5691" s="22">
        <v>2026</v>
      </c>
      <c r="B5691" s="28" t="s">
        <v>237</v>
      </c>
      <c r="C5691" s="28" t="s">
        <v>97</v>
      </c>
      <c r="D5691" s="28" t="s">
        <v>1694</v>
      </c>
      <c r="E5691" s="29" t="s">
        <v>352</v>
      </c>
      <c r="F5691" s="29" t="s">
        <v>343</v>
      </c>
      <c r="G5691" s="25" t="s">
        <v>7397</v>
      </c>
      <c r="H5691" s="26">
        <v>-9.0330093360000002E-2</v>
      </c>
      <c r="I5691" s="26"/>
      <c r="J5691" s="26" t="s">
        <v>512</v>
      </c>
      <c r="K5691" s="25" t="s">
        <v>513</v>
      </c>
      <c r="L5691" s="8"/>
    </row>
    <row r="5692" spans="1:12" ht="25.5" x14ac:dyDescent="0.25">
      <c r="A5692" s="22">
        <v>2026</v>
      </c>
      <c r="B5692" s="28" t="s">
        <v>237</v>
      </c>
      <c r="C5692" s="28" t="s">
        <v>97</v>
      </c>
      <c r="D5692" s="28" t="s">
        <v>1694</v>
      </c>
      <c r="E5692" s="29" t="s">
        <v>352</v>
      </c>
      <c r="F5692" s="29" t="s">
        <v>343</v>
      </c>
      <c r="G5692" s="25" t="s">
        <v>7398</v>
      </c>
      <c r="H5692" s="26">
        <v>-9.6057500000000004E-2</v>
      </c>
      <c r="I5692" s="26"/>
      <c r="J5692" s="26" t="s">
        <v>512</v>
      </c>
      <c r="K5692" s="25" t="s">
        <v>513</v>
      </c>
      <c r="L5692" s="8"/>
    </row>
    <row r="5693" spans="1:12" ht="25.5" x14ac:dyDescent="0.25">
      <c r="A5693" s="22">
        <v>2026</v>
      </c>
      <c r="B5693" s="28" t="s">
        <v>237</v>
      </c>
      <c r="C5693" s="28" t="s">
        <v>97</v>
      </c>
      <c r="D5693" s="28" t="s">
        <v>1694</v>
      </c>
      <c r="E5693" s="29" t="s">
        <v>352</v>
      </c>
      <c r="F5693" s="29" t="s">
        <v>343</v>
      </c>
      <c r="G5693" s="25" t="s">
        <v>7399</v>
      </c>
      <c r="H5693" s="26">
        <v>-4.9518400000000004E-2</v>
      </c>
      <c r="I5693" s="26"/>
      <c r="J5693" s="26" t="s">
        <v>512</v>
      </c>
      <c r="K5693" s="25" t="s">
        <v>513</v>
      </c>
      <c r="L5693" s="8"/>
    </row>
    <row r="5694" spans="1:12" ht="25.5" x14ac:dyDescent="0.25">
      <c r="A5694" s="22">
        <v>2026</v>
      </c>
      <c r="B5694" s="28" t="s">
        <v>237</v>
      </c>
      <c r="C5694" s="28" t="s">
        <v>97</v>
      </c>
      <c r="D5694" s="28" t="s">
        <v>1694</v>
      </c>
      <c r="E5694" s="29" t="s">
        <v>352</v>
      </c>
      <c r="F5694" s="29" t="s">
        <v>343</v>
      </c>
      <c r="G5694" s="25" t="s">
        <v>7400</v>
      </c>
      <c r="H5694" s="26">
        <v>-0.49706400000000001</v>
      </c>
      <c r="I5694" s="26"/>
      <c r="J5694" s="26" t="s">
        <v>512</v>
      </c>
      <c r="K5694" s="25" t="s">
        <v>513</v>
      </c>
      <c r="L5694" s="8"/>
    </row>
    <row r="5695" spans="1:12" ht="25.5" x14ac:dyDescent="0.25">
      <c r="A5695" s="22">
        <v>2026</v>
      </c>
      <c r="B5695" s="28" t="s">
        <v>237</v>
      </c>
      <c r="C5695" s="28" t="s">
        <v>97</v>
      </c>
      <c r="D5695" s="28" t="s">
        <v>530</v>
      </c>
      <c r="E5695" s="29" t="s">
        <v>548</v>
      </c>
      <c r="F5695" s="29" t="s">
        <v>343</v>
      </c>
      <c r="G5695" s="25" t="s">
        <v>7342</v>
      </c>
      <c r="H5695" s="26">
        <v>-0.40555000000000002</v>
      </c>
      <c r="I5695" s="26"/>
      <c r="J5695" s="26" t="s">
        <v>512</v>
      </c>
      <c r="K5695" s="25" t="s">
        <v>513</v>
      </c>
      <c r="L5695" s="8"/>
    </row>
    <row r="5696" spans="1:12" ht="25.5" x14ac:dyDescent="0.25">
      <c r="A5696" s="22">
        <v>2026</v>
      </c>
      <c r="B5696" s="28" t="s">
        <v>237</v>
      </c>
      <c r="C5696" s="28" t="s">
        <v>97</v>
      </c>
      <c r="D5696" s="28" t="s">
        <v>530</v>
      </c>
      <c r="E5696" s="29" t="s">
        <v>548</v>
      </c>
      <c r="F5696" s="29" t="s">
        <v>343</v>
      </c>
      <c r="G5696" s="25" t="s">
        <v>7343</v>
      </c>
      <c r="H5696" s="26">
        <v>-0.26684987999999998</v>
      </c>
      <c r="I5696" s="26"/>
      <c r="J5696" s="26" t="s">
        <v>512</v>
      </c>
      <c r="K5696" s="25" t="s">
        <v>513</v>
      </c>
      <c r="L5696" s="8"/>
    </row>
    <row r="5697" spans="1:12" ht="25.5" x14ac:dyDescent="0.25">
      <c r="A5697" s="22">
        <v>2026</v>
      </c>
      <c r="B5697" s="28" t="s">
        <v>237</v>
      </c>
      <c r="C5697" s="28" t="s">
        <v>97</v>
      </c>
      <c r="D5697" s="28" t="s">
        <v>530</v>
      </c>
      <c r="E5697" s="29" t="s">
        <v>548</v>
      </c>
      <c r="F5697" s="29" t="s">
        <v>343</v>
      </c>
      <c r="G5697" s="25" t="s">
        <v>7344</v>
      </c>
      <c r="H5697" s="26">
        <v>-0.32179999999999997</v>
      </c>
      <c r="I5697" s="26"/>
      <c r="J5697" s="26" t="s">
        <v>512</v>
      </c>
      <c r="K5697" s="25" t="s">
        <v>513</v>
      </c>
      <c r="L5697" s="8"/>
    </row>
    <row r="5698" spans="1:12" ht="25.5" x14ac:dyDescent="0.25">
      <c r="A5698" s="22">
        <v>2026</v>
      </c>
      <c r="B5698" s="28" t="s">
        <v>237</v>
      </c>
      <c r="C5698" s="28" t="s">
        <v>97</v>
      </c>
      <c r="D5698" s="28" t="s">
        <v>530</v>
      </c>
      <c r="E5698" s="29" t="s">
        <v>548</v>
      </c>
      <c r="F5698" s="29" t="s">
        <v>343</v>
      </c>
      <c r="G5698" s="25" t="s">
        <v>7345</v>
      </c>
      <c r="H5698" s="26">
        <v>-0.241761</v>
      </c>
      <c r="I5698" s="26"/>
      <c r="J5698" s="26" t="s">
        <v>512</v>
      </c>
      <c r="K5698" s="25" t="s">
        <v>513</v>
      </c>
      <c r="L5698" s="8"/>
    </row>
    <row r="5699" spans="1:12" ht="25.5" x14ac:dyDescent="0.25">
      <c r="A5699" s="22">
        <v>2026</v>
      </c>
      <c r="B5699" s="28" t="s">
        <v>237</v>
      </c>
      <c r="C5699" s="28" t="s">
        <v>97</v>
      </c>
      <c r="D5699" s="28" t="s">
        <v>530</v>
      </c>
      <c r="E5699" s="29" t="s">
        <v>548</v>
      </c>
      <c r="F5699" s="29" t="s">
        <v>343</v>
      </c>
      <c r="G5699" s="25" t="s">
        <v>7346</v>
      </c>
      <c r="H5699" s="26">
        <v>-0.63939999999999997</v>
      </c>
      <c r="I5699" s="26"/>
      <c r="J5699" s="26" t="s">
        <v>512</v>
      </c>
      <c r="K5699" s="25" t="s">
        <v>513</v>
      </c>
      <c r="L5699" s="8"/>
    </row>
    <row r="5700" spans="1:12" ht="25.5" x14ac:dyDescent="0.25">
      <c r="A5700" s="22">
        <v>2026</v>
      </c>
      <c r="B5700" s="28" t="s">
        <v>237</v>
      </c>
      <c r="C5700" s="28" t="s">
        <v>97</v>
      </c>
      <c r="D5700" s="28" t="s">
        <v>530</v>
      </c>
      <c r="E5700" s="29" t="s">
        <v>548</v>
      </c>
      <c r="F5700" s="29" t="s">
        <v>343</v>
      </c>
      <c r="G5700" s="25" t="s">
        <v>7347</v>
      </c>
      <c r="H5700" s="26">
        <v>-0.3987</v>
      </c>
      <c r="I5700" s="26"/>
      <c r="J5700" s="26" t="s">
        <v>512</v>
      </c>
      <c r="K5700" s="25" t="s">
        <v>513</v>
      </c>
      <c r="L5700" s="8"/>
    </row>
    <row r="5701" spans="1:12" ht="25.5" x14ac:dyDescent="0.25">
      <c r="A5701" s="22">
        <v>2026</v>
      </c>
      <c r="B5701" s="28" t="s">
        <v>237</v>
      </c>
      <c r="C5701" s="28" t="s">
        <v>97</v>
      </c>
      <c r="D5701" s="28" t="s">
        <v>530</v>
      </c>
      <c r="E5701" s="29" t="s">
        <v>548</v>
      </c>
      <c r="F5701" s="29" t="s">
        <v>343</v>
      </c>
      <c r="G5701" s="25" t="s">
        <v>7348</v>
      </c>
      <c r="H5701" s="26">
        <v>-0.39749400000000001</v>
      </c>
      <c r="I5701" s="26"/>
      <c r="J5701" s="26" t="s">
        <v>512</v>
      </c>
      <c r="K5701" s="25" t="s">
        <v>513</v>
      </c>
      <c r="L5701" s="8"/>
    </row>
    <row r="5702" spans="1:12" ht="25.5" x14ac:dyDescent="0.25">
      <c r="A5702" s="22">
        <v>2026</v>
      </c>
      <c r="B5702" s="28" t="s">
        <v>237</v>
      </c>
      <c r="C5702" s="28" t="s">
        <v>97</v>
      </c>
      <c r="D5702" s="28" t="s">
        <v>530</v>
      </c>
      <c r="E5702" s="29" t="s">
        <v>548</v>
      </c>
      <c r="F5702" s="29" t="s">
        <v>343</v>
      </c>
      <c r="G5702" s="25" t="s">
        <v>7349</v>
      </c>
      <c r="H5702" s="26">
        <v>-0.24060000000000001</v>
      </c>
      <c r="I5702" s="26"/>
      <c r="J5702" s="26" t="s">
        <v>512</v>
      </c>
      <c r="K5702" s="25" t="s">
        <v>513</v>
      </c>
      <c r="L5702" s="8"/>
    </row>
    <row r="5703" spans="1:12" ht="25.5" x14ac:dyDescent="0.25">
      <c r="A5703" s="22">
        <v>2026</v>
      </c>
      <c r="B5703" s="28" t="s">
        <v>237</v>
      </c>
      <c r="C5703" s="28" t="s">
        <v>97</v>
      </c>
      <c r="D5703" s="28" t="s">
        <v>530</v>
      </c>
      <c r="E5703" s="29" t="s">
        <v>548</v>
      </c>
      <c r="F5703" s="29" t="s">
        <v>343</v>
      </c>
      <c r="G5703" s="25" t="s">
        <v>7350</v>
      </c>
      <c r="H5703" s="26">
        <v>-0.24586859999999999</v>
      </c>
      <c r="I5703" s="26"/>
      <c r="J5703" s="26" t="s">
        <v>512</v>
      </c>
      <c r="K5703" s="25" t="s">
        <v>513</v>
      </c>
      <c r="L5703" s="8"/>
    </row>
    <row r="5704" spans="1:12" ht="25.5" x14ac:dyDescent="0.25">
      <c r="A5704" s="22">
        <v>2026</v>
      </c>
      <c r="B5704" s="28" t="s">
        <v>237</v>
      </c>
      <c r="C5704" s="28" t="s">
        <v>97</v>
      </c>
      <c r="D5704" s="28" t="s">
        <v>530</v>
      </c>
      <c r="E5704" s="29" t="s">
        <v>548</v>
      </c>
      <c r="F5704" s="29" t="s">
        <v>343</v>
      </c>
      <c r="G5704" s="25" t="s">
        <v>7351</v>
      </c>
      <c r="H5704" s="26">
        <v>-0.4128</v>
      </c>
      <c r="I5704" s="26"/>
      <c r="J5704" s="26" t="s">
        <v>512</v>
      </c>
      <c r="K5704" s="25" t="s">
        <v>513</v>
      </c>
      <c r="L5704" s="8"/>
    </row>
    <row r="5705" spans="1:12" ht="25.5" x14ac:dyDescent="0.25">
      <c r="A5705" s="22">
        <v>2026</v>
      </c>
      <c r="B5705" s="28" t="s">
        <v>237</v>
      </c>
      <c r="C5705" s="28" t="s">
        <v>97</v>
      </c>
      <c r="D5705" s="28" t="s">
        <v>530</v>
      </c>
      <c r="E5705" s="29" t="s">
        <v>548</v>
      </c>
      <c r="F5705" s="29" t="s">
        <v>343</v>
      </c>
      <c r="G5705" s="25" t="s">
        <v>7352</v>
      </c>
      <c r="H5705" s="26">
        <v>-0.32926</v>
      </c>
      <c r="I5705" s="26"/>
      <c r="J5705" s="26" t="s">
        <v>512</v>
      </c>
      <c r="K5705" s="25" t="s">
        <v>513</v>
      </c>
      <c r="L5705" s="8"/>
    </row>
    <row r="5706" spans="1:12" ht="25.5" x14ac:dyDescent="0.25">
      <c r="A5706" s="22">
        <v>2026</v>
      </c>
      <c r="B5706" s="28" t="s">
        <v>237</v>
      </c>
      <c r="C5706" s="28" t="s">
        <v>97</v>
      </c>
      <c r="D5706" s="28" t="s">
        <v>530</v>
      </c>
      <c r="E5706" s="29" t="s">
        <v>548</v>
      </c>
      <c r="F5706" s="29" t="s">
        <v>343</v>
      </c>
      <c r="G5706" s="25" t="s">
        <v>7353</v>
      </c>
      <c r="H5706" s="26">
        <v>-0.49230000000000002</v>
      </c>
      <c r="I5706" s="26"/>
      <c r="J5706" s="26" t="s">
        <v>512</v>
      </c>
      <c r="K5706" s="25" t="s">
        <v>513</v>
      </c>
      <c r="L5706" s="8"/>
    </row>
    <row r="5707" spans="1:12" ht="25.5" x14ac:dyDescent="0.25">
      <c r="A5707" s="22">
        <v>2026</v>
      </c>
      <c r="B5707" s="28" t="s">
        <v>237</v>
      </c>
      <c r="C5707" s="28" t="s">
        <v>97</v>
      </c>
      <c r="D5707" s="28" t="s">
        <v>530</v>
      </c>
      <c r="E5707" s="29" t="s">
        <v>548</v>
      </c>
      <c r="F5707" s="29" t="s">
        <v>343</v>
      </c>
      <c r="G5707" s="25" t="s">
        <v>7354</v>
      </c>
      <c r="H5707" s="26">
        <v>-0.49007519999999999</v>
      </c>
      <c r="I5707" s="26"/>
      <c r="J5707" s="26" t="s">
        <v>512</v>
      </c>
      <c r="K5707" s="25" t="s">
        <v>513</v>
      </c>
      <c r="L5707" s="8"/>
    </row>
    <row r="5708" spans="1:12" ht="25.5" x14ac:dyDescent="0.25">
      <c r="A5708" s="22">
        <v>2026</v>
      </c>
      <c r="B5708" s="28" t="s">
        <v>237</v>
      </c>
      <c r="C5708" s="28" t="s">
        <v>97</v>
      </c>
      <c r="D5708" s="28" t="s">
        <v>530</v>
      </c>
      <c r="E5708" s="29" t="s">
        <v>548</v>
      </c>
      <c r="F5708" s="29" t="s">
        <v>343</v>
      </c>
      <c r="G5708" s="25" t="s">
        <v>7355</v>
      </c>
      <c r="H5708" s="26">
        <v>-0.29455991999999998</v>
      </c>
      <c r="I5708" s="26"/>
      <c r="J5708" s="26" t="s">
        <v>512</v>
      </c>
      <c r="K5708" s="25" t="s">
        <v>513</v>
      </c>
      <c r="L5708" s="8"/>
    </row>
    <row r="5709" spans="1:12" ht="25.5" x14ac:dyDescent="0.25">
      <c r="A5709" s="22">
        <v>2026</v>
      </c>
      <c r="B5709" s="28" t="s">
        <v>237</v>
      </c>
      <c r="C5709" s="28" t="s">
        <v>97</v>
      </c>
      <c r="D5709" s="28" t="s">
        <v>530</v>
      </c>
      <c r="E5709" s="29" t="s">
        <v>548</v>
      </c>
      <c r="F5709" s="29" t="s">
        <v>343</v>
      </c>
      <c r="G5709" s="25" t="s">
        <v>7356</v>
      </c>
      <c r="H5709" s="26">
        <v>-0.56687469999999995</v>
      </c>
      <c r="I5709" s="26"/>
      <c r="J5709" s="26" t="s">
        <v>512</v>
      </c>
      <c r="K5709" s="25" t="s">
        <v>513</v>
      </c>
      <c r="L5709" s="8"/>
    </row>
    <row r="5710" spans="1:12" ht="25.5" x14ac:dyDescent="0.25">
      <c r="A5710" s="22">
        <v>2026</v>
      </c>
      <c r="B5710" s="28" t="s">
        <v>237</v>
      </c>
      <c r="C5710" s="28" t="s">
        <v>97</v>
      </c>
      <c r="D5710" s="28" t="s">
        <v>530</v>
      </c>
      <c r="E5710" s="29" t="s">
        <v>548</v>
      </c>
      <c r="F5710" s="29" t="s">
        <v>343</v>
      </c>
      <c r="G5710" s="25" t="s">
        <v>7357</v>
      </c>
      <c r="H5710" s="26">
        <v>-7.9750000000000001E-2</v>
      </c>
      <c r="I5710" s="26"/>
      <c r="J5710" s="26" t="s">
        <v>512</v>
      </c>
      <c r="K5710" s="25" t="s">
        <v>513</v>
      </c>
      <c r="L5710" s="8"/>
    </row>
    <row r="5711" spans="1:12" ht="25.5" x14ac:dyDescent="0.25">
      <c r="A5711" s="22">
        <v>2026</v>
      </c>
      <c r="B5711" s="28" t="s">
        <v>237</v>
      </c>
      <c r="C5711" s="28" t="s">
        <v>97</v>
      </c>
      <c r="D5711" s="28" t="s">
        <v>530</v>
      </c>
      <c r="E5711" s="29" t="s">
        <v>548</v>
      </c>
      <c r="F5711" s="29" t="s">
        <v>343</v>
      </c>
      <c r="G5711" s="25" t="s">
        <v>7358</v>
      </c>
      <c r="H5711" s="26">
        <v>-0.15939999999999999</v>
      </c>
      <c r="I5711" s="26"/>
      <c r="J5711" s="26" t="s">
        <v>512</v>
      </c>
      <c r="K5711" s="25" t="s">
        <v>513</v>
      </c>
      <c r="L5711" s="8"/>
    </row>
    <row r="5712" spans="1:12" ht="25.5" x14ac:dyDescent="0.25">
      <c r="A5712" s="22">
        <v>2026</v>
      </c>
      <c r="B5712" s="28" t="s">
        <v>237</v>
      </c>
      <c r="C5712" s="28" t="s">
        <v>97</v>
      </c>
      <c r="D5712" s="28" t="s">
        <v>530</v>
      </c>
      <c r="E5712" s="29" t="s">
        <v>548</v>
      </c>
      <c r="F5712" s="29" t="s">
        <v>343</v>
      </c>
      <c r="G5712" s="25" t="s">
        <v>7359</v>
      </c>
      <c r="H5712" s="26">
        <v>-0.24345</v>
      </c>
      <c r="I5712" s="26"/>
      <c r="J5712" s="26" t="s">
        <v>512</v>
      </c>
      <c r="K5712" s="25" t="s">
        <v>513</v>
      </c>
      <c r="L5712" s="8"/>
    </row>
    <row r="5713" spans="1:12" ht="25.5" x14ac:dyDescent="0.25">
      <c r="A5713" s="22">
        <v>2026</v>
      </c>
      <c r="B5713" s="28" t="s">
        <v>237</v>
      </c>
      <c r="C5713" s="28" t="s">
        <v>97</v>
      </c>
      <c r="D5713" s="28" t="s">
        <v>530</v>
      </c>
      <c r="E5713" s="29" t="s">
        <v>548</v>
      </c>
      <c r="F5713" s="29" t="s">
        <v>343</v>
      </c>
      <c r="G5713" s="25" t="s">
        <v>7360</v>
      </c>
      <c r="H5713" s="26">
        <v>-0.16159999999999999</v>
      </c>
      <c r="I5713" s="26"/>
      <c r="J5713" s="26" t="s">
        <v>512</v>
      </c>
      <c r="K5713" s="25" t="s">
        <v>513</v>
      </c>
      <c r="L5713" s="8"/>
    </row>
    <row r="5714" spans="1:12" ht="25.5" x14ac:dyDescent="0.25">
      <c r="A5714" s="22">
        <v>2026</v>
      </c>
      <c r="B5714" s="28" t="s">
        <v>237</v>
      </c>
      <c r="C5714" s="28" t="s">
        <v>97</v>
      </c>
      <c r="D5714" s="28" t="s">
        <v>530</v>
      </c>
      <c r="E5714" s="29" t="s">
        <v>548</v>
      </c>
      <c r="F5714" s="29" t="s">
        <v>343</v>
      </c>
      <c r="G5714" s="25" t="s">
        <v>7361</v>
      </c>
      <c r="H5714" s="26">
        <v>-0.40773199999999998</v>
      </c>
      <c r="I5714" s="26"/>
      <c r="J5714" s="26" t="s">
        <v>512</v>
      </c>
      <c r="K5714" s="25" t="s">
        <v>513</v>
      </c>
      <c r="L5714" s="8"/>
    </row>
    <row r="5715" spans="1:12" ht="25.5" x14ac:dyDescent="0.25">
      <c r="A5715" s="22">
        <v>2026</v>
      </c>
      <c r="B5715" s="28" t="s">
        <v>237</v>
      </c>
      <c r="C5715" s="28" t="s">
        <v>97</v>
      </c>
      <c r="D5715" s="28" t="s">
        <v>530</v>
      </c>
      <c r="E5715" s="29" t="s">
        <v>548</v>
      </c>
      <c r="F5715" s="29" t="s">
        <v>343</v>
      </c>
      <c r="G5715" s="25" t="s">
        <v>7362</v>
      </c>
      <c r="H5715" s="26">
        <v>-0.40789999999999998</v>
      </c>
      <c r="I5715" s="26"/>
      <c r="J5715" s="26" t="s">
        <v>512</v>
      </c>
      <c r="K5715" s="25" t="s">
        <v>513</v>
      </c>
      <c r="L5715" s="8"/>
    </row>
    <row r="5716" spans="1:12" ht="25.5" x14ac:dyDescent="0.25">
      <c r="A5716" s="22">
        <v>2026</v>
      </c>
      <c r="B5716" s="28" t="s">
        <v>237</v>
      </c>
      <c r="C5716" s="28" t="s">
        <v>97</v>
      </c>
      <c r="D5716" s="28" t="s">
        <v>541</v>
      </c>
      <c r="E5716" s="29" t="s">
        <v>572</v>
      </c>
      <c r="F5716" s="29" t="s">
        <v>298</v>
      </c>
      <c r="G5716" s="25" t="s">
        <v>7401</v>
      </c>
      <c r="H5716" s="26">
        <v>-1.8540983999999998</v>
      </c>
      <c r="I5716" s="26"/>
      <c r="J5716" s="26" t="s">
        <v>512</v>
      </c>
      <c r="K5716" s="25" t="s">
        <v>513</v>
      </c>
      <c r="L5716" s="8"/>
    </row>
    <row r="5717" spans="1:12" ht="25.5" x14ac:dyDescent="0.25">
      <c r="A5717" s="22">
        <v>2026</v>
      </c>
      <c r="B5717" s="28" t="s">
        <v>237</v>
      </c>
      <c r="C5717" s="28" t="s">
        <v>97</v>
      </c>
      <c r="D5717" s="28" t="s">
        <v>541</v>
      </c>
      <c r="E5717" s="29" t="s">
        <v>572</v>
      </c>
      <c r="F5717" s="29" t="s">
        <v>298</v>
      </c>
      <c r="G5717" s="25" t="s">
        <v>7402</v>
      </c>
      <c r="H5717" s="26">
        <v>-1.7080609</v>
      </c>
      <c r="I5717" s="26"/>
      <c r="J5717" s="26" t="s">
        <v>512</v>
      </c>
      <c r="K5717" s="25" t="s">
        <v>513</v>
      </c>
      <c r="L5717" s="8"/>
    </row>
    <row r="5718" spans="1:12" ht="25.5" x14ac:dyDescent="0.25">
      <c r="A5718" s="22">
        <v>2026</v>
      </c>
      <c r="B5718" s="28" t="s">
        <v>237</v>
      </c>
      <c r="C5718" s="28" t="s">
        <v>97</v>
      </c>
      <c r="D5718" s="28" t="s">
        <v>541</v>
      </c>
      <c r="E5718" s="29" t="s">
        <v>572</v>
      </c>
      <c r="F5718" s="29" t="s">
        <v>298</v>
      </c>
      <c r="G5718" s="25" t="s">
        <v>7403</v>
      </c>
      <c r="H5718" s="26">
        <v>-0.92400000000000004</v>
      </c>
      <c r="I5718" s="26"/>
      <c r="J5718" s="26" t="s">
        <v>512</v>
      </c>
      <c r="K5718" s="25" t="s">
        <v>513</v>
      </c>
      <c r="L5718" s="8"/>
    </row>
    <row r="5719" spans="1:12" ht="25.5" x14ac:dyDescent="0.25">
      <c r="A5719" s="22">
        <v>2026</v>
      </c>
      <c r="B5719" s="28" t="s">
        <v>237</v>
      </c>
      <c r="C5719" s="28" t="s">
        <v>97</v>
      </c>
      <c r="D5719" s="28" t="s">
        <v>541</v>
      </c>
      <c r="E5719" s="29" t="s">
        <v>572</v>
      </c>
      <c r="F5719" s="29" t="s">
        <v>298</v>
      </c>
      <c r="G5719" s="25" t="s">
        <v>7404</v>
      </c>
      <c r="H5719" s="26">
        <v>-1.9763085</v>
      </c>
      <c r="I5719" s="26"/>
      <c r="J5719" s="26" t="s">
        <v>512</v>
      </c>
      <c r="K5719" s="25" t="s">
        <v>513</v>
      </c>
      <c r="L5719" s="8"/>
    </row>
    <row r="5720" spans="1:12" ht="25.5" x14ac:dyDescent="0.25">
      <c r="A5720" s="22">
        <v>2026</v>
      </c>
      <c r="B5720" s="28" t="s">
        <v>237</v>
      </c>
      <c r="C5720" s="28" t="s">
        <v>97</v>
      </c>
      <c r="D5720" s="28" t="s">
        <v>541</v>
      </c>
      <c r="E5720" s="29" t="s">
        <v>572</v>
      </c>
      <c r="F5720" s="29" t="s">
        <v>298</v>
      </c>
      <c r="G5720" s="25" t="s">
        <v>7405</v>
      </c>
      <c r="H5720" s="26">
        <v>-3.2524999999999999</v>
      </c>
      <c r="I5720" s="26"/>
      <c r="J5720" s="26" t="s">
        <v>512</v>
      </c>
      <c r="K5720" s="25" t="s">
        <v>513</v>
      </c>
      <c r="L5720" s="8"/>
    </row>
    <row r="5721" spans="1:12" ht="25.5" x14ac:dyDescent="0.25">
      <c r="A5721" s="22">
        <v>2026</v>
      </c>
      <c r="B5721" s="28" t="s">
        <v>237</v>
      </c>
      <c r="C5721" s="28" t="s">
        <v>97</v>
      </c>
      <c r="D5721" s="28" t="s">
        <v>541</v>
      </c>
      <c r="E5721" s="29" t="s">
        <v>572</v>
      </c>
      <c r="F5721" s="29" t="s">
        <v>298</v>
      </c>
      <c r="G5721" s="25" t="s">
        <v>7406</v>
      </c>
      <c r="H5721" s="26">
        <v>-0.32500000000000001</v>
      </c>
      <c r="I5721" s="26"/>
      <c r="J5721" s="26" t="s">
        <v>512</v>
      </c>
      <c r="K5721" s="25" t="s">
        <v>513</v>
      </c>
      <c r="L5721" s="8"/>
    </row>
    <row r="5722" spans="1:12" ht="25.5" x14ac:dyDescent="0.25">
      <c r="A5722" s="22">
        <v>2026</v>
      </c>
      <c r="B5722" s="28" t="s">
        <v>237</v>
      </c>
      <c r="C5722" s="28" t="s">
        <v>97</v>
      </c>
      <c r="D5722" s="28" t="s">
        <v>541</v>
      </c>
      <c r="E5722" s="29" t="s">
        <v>572</v>
      </c>
      <c r="F5722" s="29" t="s">
        <v>298</v>
      </c>
      <c r="G5722" s="25" t="s">
        <v>7407</v>
      </c>
      <c r="H5722" s="26">
        <v>-0.51839999999999997</v>
      </c>
      <c r="I5722" s="26"/>
      <c r="J5722" s="26" t="s">
        <v>512</v>
      </c>
      <c r="K5722" s="25" t="s">
        <v>513</v>
      </c>
      <c r="L5722" s="8"/>
    </row>
    <row r="5723" spans="1:12" ht="25.5" x14ac:dyDescent="0.25">
      <c r="A5723" s="22">
        <v>2026</v>
      </c>
      <c r="B5723" s="28" t="s">
        <v>237</v>
      </c>
      <c r="C5723" s="28" t="s">
        <v>97</v>
      </c>
      <c r="D5723" s="28" t="s">
        <v>541</v>
      </c>
      <c r="E5723" s="29" t="s">
        <v>572</v>
      </c>
      <c r="F5723" s="29" t="s">
        <v>298</v>
      </c>
      <c r="G5723" s="25" t="s">
        <v>7408</v>
      </c>
      <c r="H5723" s="26">
        <v>-2.1956319</v>
      </c>
      <c r="I5723" s="26"/>
      <c r="J5723" s="26" t="s">
        <v>512</v>
      </c>
      <c r="K5723" s="25" t="s">
        <v>513</v>
      </c>
      <c r="L5723" s="8"/>
    </row>
    <row r="5724" spans="1:12" ht="25.5" x14ac:dyDescent="0.25">
      <c r="A5724" s="22">
        <v>2026</v>
      </c>
      <c r="B5724" s="28" t="s">
        <v>237</v>
      </c>
      <c r="C5724" s="28" t="s">
        <v>97</v>
      </c>
      <c r="D5724" s="28" t="s">
        <v>541</v>
      </c>
      <c r="E5724" s="29" t="s">
        <v>572</v>
      </c>
      <c r="F5724" s="29" t="s">
        <v>298</v>
      </c>
      <c r="G5724" s="25" t="s">
        <v>7409</v>
      </c>
      <c r="H5724" s="26">
        <v>-3.3536225000000002</v>
      </c>
      <c r="I5724" s="26"/>
      <c r="J5724" s="26" t="s">
        <v>512</v>
      </c>
      <c r="K5724" s="25" t="s">
        <v>513</v>
      </c>
      <c r="L5724" s="8"/>
    </row>
    <row r="5725" spans="1:12" ht="25.5" x14ac:dyDescent="0.25">
      <c r="A5725" s="22">
        <v>2026</v>
      </c>
      <c r="B5725" s="28" t="s">
        <v>237</v>
      </c>
      <c r="C5725" s="28" t="s">
        <v>97</v>
      </c>
      <c r="D5725" s="28" t="s">
        <v>541</v>
      </c>
      <c r="E5725" s="29" t="s">
        <v>572</v>
      </c>
      <c r="F5725" s="29" t="s">
        <v>298</v>
      </c>
      <c r="G5725" s="25" t="s">
        <v>7410</v>
      </c>
      <c r="H5725" s="26">
        <v>-3.3428849999999999</v>
      </c>
      <c r="I5725" s="26"/>
      <c r="J5725" s="26" t="s">
        <v>512</v>
      </c>
      <c r="K5725" s="25" t="s">
        <v>513</v>
      </c>
      <c r="L5725" s="8"/>
    </row>
    <row r="5726" spans="1:12" ht="25.5" x14ac:dyDescent="0.25">
      <c r="A5726" s="22">
        <v>2026</v>
      </c>
      <c r="B5726" s="28" t="s">
        <v>237</v>
      </c>
      <c r="C5726" s="28" t="s">
        <v>97</v>
      </c>
      <c r="D5726" s="28" t="s">
        <v>541</v>
      </c>
      <c r="E5726" s="29" t="s">
        <v>572</v>
      </c>
      <c r="F5726" s="29" t="s">
        <v>298</v>
      </c>
      <c r="G5726" s="25" t="s">
        <v>7411</v>
      </c>
      <c r="H5726" s="26">
        <v>-1.1970000000000001</v>
      </c>
      <c r="I5726" s="26"/>
      <c r="J5726" s="26" t="s">
        <v>512</v>
      </c>
      <c r="K5726" s="25" t="s">
        <v>513</v>
      </c>
      <c r="L5726" s="8"/>
    </row>
    <row r="5727" spans="1:12" ht="25.5" x14ac:dyDescent="0.25">
      <c r="A5727" s="22">
        <v>2026</v>
      </c>
      <c r="B5727" s="28" t="s">
        <v>237</v>
      </c>
      <c r="C5727" s="28" t="s">
        <v>97</v>
      </c>
      <c r="D5727" s="28" t="s">
        <v>541</v>
      </c>
      <c r="E5727" s="29" t="s">
        <v>572</v>
      </c>
      <c r="F5727" s="29" t="s">
        <v>298</v>
      </c>
      <c r="G5727" s="25" t="s">
        <v>7412</v>
      </c>
      <c r="H5727" s="26">
        <v>-2.3899319999999999</v>
      </c>
      <c r="I5727" s="26"/>
      <c r="J5727" s="26" t="s">
        <v>512</v>
      </c>
      <c r="K5727" s="25" t="s">
        <v>513</v>
      </c>
      <c r="L5727" s="8"/>
    </row>
    <row r="5728" spans="1:12" ht="25.5" x14ac:dyDescent="0.25">
      <c r="A5728" s="22">
        <v>2026</v>
      </c>
      <c r="B5728" s="28" t="s">
        <v>237</v>
      </c>
      <c r="C5728" s="28" t="s">
        <v>97</v>
      </c>
      <c r="D5728" s="28" t="s">
        <v>541</v>
      </c>
      <c r="E5728" s="29" t="s">
        <v>572</v>
      </c>
      <c r="F5728" s="29" t="s">
        <v>298</v>
      </c>
      <c r="G5728" s="25" t="s">
        <v>7413</v>
      </c>
      <c r="H5728" s="26">
        <v>-4.01553</v>
      </c>
      <c r="I5728" s="26"/>
      <c r="J5728" s="26" t="s">
        <v>512</v>
      </c>
      <c r="K5728" s="25" t="s">
        <v>513</v>
      </c>
      <c r="L5728" s="8"/>
    </row>
    <row r="5729" spans="1:12" ht="25.5" x14ac:dyDescent="0.25">
      <c r="A5729" s="22">
        <v>2026</v>
      </c>
      <c r="B5729" s="28" t="s">
        <v>237</v>
      </c>
      <c r="C5729" s="28" t="s">
        <v>97</v>
      </c>
      <c r="D5729" s="28" t="s">
        <v>541</v>
      </c>
      <c r="E5729" s="29" t="s">
        <v>572</v>
      </c>
      <c r="F5729" s="29" t="s">
        <v>298</v>
      </c>
      <c r="G5729" s="25" t="s">
        <v>7414</v>
      </c>
      <c r="H5729" s="26">
        <v>-3.3407499999999999</v>
      </c>
      <c r="I5729" s="26"/>
      <c r="J5729" s="26" t="s">
        <v>512</v>
      </c>
      <c r="K5729" s="25" t="s">
        <v>513</v>
      </c>
      <c r="L5729" s="8"/>
    </row>
    <row r="5730" spans="1:12" ht="25.5" x14ac:dyDescent="0.25">
      <c r="A5730" s="22">
        <v>2026</v>
      </c>
      <c r="B5730" s="28" t="s">
        <v>237</v>
      </c>
      <c r="C5730" s="28" t="s">
        <v>97</v>
      </c>
      <c r="D5730" s="28" t="s">
        <v>541</v>
      </c>
      <c r="E5730" s="29" t="s">
        <v>572</v>
      </c>
      <c r="F5730" s="29" t="s">
        <v>298</v>
      </c>
      <c r="G5730" s="25" t="s">
        <v>7415</v>
      </c>
      <c r="H5730" s="26">
        <v>-1.203201</v>
      </c>
      <c r="I5730" s="26"/>
      <c r="J5730" s="26" t="s">
        <v>512</v>
      </c>
      <c r="K5730" s="25" t="s">
        <v>513</v>
      </c>
      <c r="L5730" s="8"/>
    </row>
    <row r="5731" spans="1:12" ht="25.5" x14ac:dyDescent="0.25">
      <c r="A5731" s="22">
        <v>2026</v>
      </c>
      <c r="B5731" s="28" t="s">
        <v>237</v>
      </c>
      <c r="C5731" s="28" t="s">
        <v>97</v>
      </c>
      <c r="D5731" s="28" t="s">
        <v>1695</v>
      </c>
      <c r="E5731" s="29" t="s">
        <v>1758</v>
      </c>
      <c r="F5731" s="29" t="s">
        <v>1759</v>
      </c>
      <c r="G5731" s="25" t="s">
        <v>7416</v>
      </c>
      <c r="H5731" s="26">
        <v>-1.228529005</v>
      </c>
      <c r="I5731" s="26"/>
      <c r="J5731" s="26" t="s">
        <v>512</v>
      </c>
      <c r="K5731" s="25" t="s">
        <v>513</v>
      </c>
      <c r="L5731" s="8"/>
    </row>
    <row r="5732" spans="1:12" ht="25.5" x14ac:dyDescent="0.25">
      <c r="A5732" s="22">
        <v>2026</v>
      </c>
      <c r="B5732" s="28" t="s">
        <v>237</v>
      </c>
      <c r="C5732" s="28" t="s">
        <v>97</v>
      </c>
      <c r="D5732" s="28" t="s">
        <v>1695</v>
      </c>
      <c r="E5732" s="29" t="s">
        <v>1758</v>
      </c>
      <c r="F5732" s="29" t="s">
        <v>1759</v>
      </c>
      <c r="G5732" s="25" t="s">
        <v>7417</v>
      </c>
      <c r="H5732" s="26">
        <v>-3.4095777360000001</v>
      </c>
      <c r="I5732" s="26"/>
      <c r="J5732" s="26" t="s">
        <v>512</v>
      </c>
      <c r="K5732" s="25" t="s">
        <v>513</v>
      </c>
      <c r="L5732" s="8"/>
    </row>
    <row r="5733" spans="1:12" ht="25.5" x14ac:dyDescent="0.25">
      <c r="A5733" s="22">
        <v>2026</v>
      </c>
      <c r="B5733" s="28" t="s">
        <v>237</v>
      </c>
      <c r="C5733" s="28" t="s">
        <v>97</v>
      </c>
      <c r="D5733" s="28" t="s">
        <v>1695</v>
      </c>
      <c r="E5733" s="29" t="s">
        <v>1758</v>
      </c>
      <c r="F5733" s="29" t="s">
        <v>1759</v>
      </c>
      <c r="G5733" s="25" t="s">
        <v>7418</v>
      </c>
      <c r="H5733" s="26">
        <v>-3.6086</v>
      </c>
      <c r="I5733" s="26"/>
      <c r="J5733" s="26" t="s">
        <v>512</v>
      </c>
      <c r="K5733" s="25" t="s">
        <v>513</v>
      </c>
      <c r="L5733" s="8"/>
    </row>
    <row r="5734" spans="1:12" ht="25.5" x14ac:dyDescent="0.25">
      <c r="A5734" s="22">
        <v>2026</v>
      </c>
      <c r="B5734" s="28" t="s">
        <v>237</v>
      </c>
      <c r="C5734" s="28" t="s">
        <v>97</v>
      </c>
      <c r="D5734" s="28" t="s">
        <v>1695</v>
      </c>
      <c r="E5734" s="29" t="s">
        <v>1758</v>
      </c>
      <c r="F5734" s="29" t="s">
        <v>1759</v>
      </c>
      <c r="G5734" s="25" t="s">
        <v>7419</v>
      </c>
      <c r="H5734" s="26">
        <v>-0.79471037410000001</v>
      </c>
      <c r="I5734" s="26"/>
      <c r="J5734" s="26" t="s">
        <v>512</v>
      </c>
      <c r="K5734" s="25" t="s">
        <v>513</v>
      </c>
      <c r="L5734" s="8"/>
    </row>
    <row r="5735" spans="1:12" ht="25.5" x14ac:dyDescent="0.25">
      <c r="A5735" s="22">
        <v>2026</v>
      </c>
      <c r="B5735" s="28" t="s">
        <v>237</v>
      </c>
      <c r="C5735" s="28" t="s">
        <v>97</v>
      </c>
      <c r="D5735" s="28" t="s">
        <v>1695</v>
      </c>
      <c r="E5735" s="29" t="s">
        <v>1758</v>
      </c>
      <c r="F5735" s="29" t="s">
        <v>1759</v>
      </c>
      <c r="G5735" s="25" t="s">
        <v>7420</v>
      </c>
      <c r="H5735" s="26">
        <v>-3.4654500000000001</v>
      </c>
      <c r="I5735" s="26"/>
      <c r="J5735" s="26" t="s">
        <v>512</v>
      </c>
      <c r="K5735" s="25" t="s">
        <v>513</v>
      </c>
      <c r="L5735" s="8"/>
    </row>
    <row r="5736" spans="1:12" ht="25.5" x14ac:dyDescent="0.25">
      <c r="A5736" s="22">
        <v>2026</v>
      </c>
      <c r="B5736" s="28" t="s">
        <v>237</v>
      </c>
      <c r="C5736" s="28" t="s">
        <v>97</v>
      </c>
      <c r="D5736" s="28" t="s">
        <v>1695</v>
      </c>
      <c r="E5736" s="29" t="s">
        <v>1758</v>
      </c>
      <c r="F5736" s="29" t="s">
        <v>1759</v>
      </c>
      <c r="G5736" s="25" t="s">
        <v>7421</v>
      </c>
      <c r="H5736" s="26">
        <v>-3.7799499999999999</v>
      </c>
      <c r="I5736" s="26"/>
      <c r="J5736" s="26" t="s">
        <v>512</v>
      </c>
      <c r="K5736" s="25" t="s">
        <v>513</v>
      </c>
      <c r="L5736" s="8"/>
    </row>
    <row r="5737" spans="1:12" ht="25.5" x14ac:dyDescent="0.25">
      <c r="A5737" s="22">
        <v>2026</v>
      </c>
      <c r="B5737" s="28" t="s">
        <v>237</v>
      </c>
      <c r="C5737" s="28" t="s">
        <v>97</v>
      </c>
      <c r="D5737" s="28" t="s">
        <v>1695</v>
      </c>
      <c r="E5737" s="29" t="s">
        <v>1758</v>
      </c>
      <c r="F5737" s="29" t="s">
        <v>1759</v>
      </c>
      <c r="G5737" s="25" t="s">
        <v>7422</v>
      </c>
      <c r="H5737" s="26">
        <v>-4.7661249999999997</v>
      </c>
      <c r="I5737" s="26"/>
      <c r="J5737" s="26" t="s">
        <v>512</v>
      </c>
      <c r="K5737" s="25" t="s">
        <v>513</v>
      </c>
      <c r="L5737" s="8"/>
    </row>
    <row r="5738" spans="1:12" ht="25.5" x14ac:dyDescent="0.25">
      <c r="A5738" s="22">
        <v>2026</v>
      </c>
      <c r="B5738" s="28" t="s">
        <v>237</v>
      </c>
      <c r="C5738" s="28" t="s">
        <v>97</v>
      </c>
      <c r="D5738" s="28" t="s">
        <v>1695</v>
      </c>
      <c r="E5738" s="29" t="s">
        <v>1758</v>
      </c>
      <c r="F5738" s="29" t="s">
        <v>1759</v>
      </c>
      <c r="G5738" s="25" t="s">
        <v>7423</v>
      </c>
      <c r="H5738" s="26">
        <v>-4.73421</v>
      </c>
      <c r="I5738" s="26"/>
      <c r="J5738" s="26" t="s">
        <v>512</v>
      </c>
      <c r="K5738" s="25" t="s">
        <v>513</v>
      </c>
      <c r="L5738" s="8"/>
    </row>
    <row r="5739" spans="1:12" ht="25.5" x14ac:dyDescent="0.25">
      <c r="A5739" s="22">
        <v>2026</v>
      </c>
      <c r="B5739" s="28" t="s">
        <v>237</v>
      </c>
      <c r="C5739" s="28" t="s">
        <v>97</v>
      </c>
      <c r="D5739" s="28" t="s">
        <v>1696</v>
      </c>
      <c r="E5739" s="29" t="s">
        <v>1760</v>
      </c>
      <c r="F5739" s="29" t="s">
        <v>343</v>
      </c>
      <c r="G5739" s="25" t="s">
        <v>7424</v>
      </c>
      <c r="H5739" s="26">
        <v>-2.8991396079999999E-2</v>
      </c>
      <c r="I5739" s="26"/>
      <c r="J5739" s="26" t="s">
        <v>512</v>
      </c>
      <c r="K5739" s="25" t="s">
        <v>513</v>
      </c>
      <c r="L5739" s="8"/>
    </row>
    <row r="5740" spans="1:12" ht="25.5" x14ac:dyDescent="0.25">
      <c r="A5740" s="22">
        <v>2026</v>
      </c>
      <c r="B5740" s="28" t="s">
        <v>237</v>
      </c>
      <c r="C5740" s="28" t="s">
        <v>97</v>
      </c>
      <c r="D5740" s="28" t="s">
        <v>1696</v>
      </c>
      <c r="E5740" s="29" t="s">
        <v>1760</v>
      </c>
      <c r="F5740" s="29" t="s">
        <v>343</v>
      </c>
      <c r="G5740" s="25" t="s">
        <v>7425</v>
      </c>
      <c r="H5740" s="26">
        <v>-4.3319999999999997E-2</v>
      </c>
      <c r="I5740" s="26"/>
      <c r="J5740" s="26" t="s">
        <v>512</v>
      </c>
      <c r="K5740" s="25" t="s">
        <v>513</v>
      </c>
      <c r="L5740" s="8"/>
    </row>
    <row r="5741" spans="1:12" ht="25.5" x14ac:dyDescent="0.25">
      <c r="A5741" s="22">
        <v>2026</v>
      </c>
      <c r="B5741" s="28" t="s">
        <v>237</v>
      </c>
      <c r="C5741" s="28" t="s">
        <v>97</v>
      </c>
      <c r="D5741" s="28" t="s">
        <v>1696</v>
      </c>
      <c r="E5741" s="29" t="s">
        <v>1760</v>
      </c>
      <c r="F5741" s="29" t="s">
        <v>343</v>
      </c>
      <c r="G5741" s="25" t="s">
        <v>7426</v>
      </c>
      <c r="H5741" s="26">
        <v>-4.6295158770000004E-2</v>
      </c>
      <c r="I5741" s="26"/>
      <c r="J5741" s="26" t="s">
        <v>512</v>
      </c>
      <c r="K5741" s="25" t="s">
        <v>513</v>
      </c>
      <c r="L5741" s="8"/>
    </row>
    <row r="5742" spans="1:12" ht="25.5" x14ac:dyDescent="0.25">
      <c r="A5742" s="22">
        <v>2026</v>
      </c>
      <c r="B5742" s="28" t="s">
        <v>237</v>
      </c>
      <c r="C5742" s="28" t="s">
        <v>97</v>
      </c>
      <c r="D5742" s="28" t="s">
        <v>1696</v>
      </c>
      <c r="E5742" s="29" t="s">
        <v>1760</v>
      </c>
      <c r="F5742" s="29" t="s">
        <v>343</v>
      </c>
      <c r="G5742" s="25" t="s">
        <v>7427</v>
      </c>
      <c r="H5742" s="26">
        <v>-4.5293533849999998E-2</v>
      </c>
      <c r="I5742" s="26"/>
      <c r="J5742" s="26" t="s">
        <v>512</v>
      </c>
      <c r="K5742" s="25" t="s">
        <v>513</v>
      </c>
      <c r="L5742" s="8"/>
    </row>
    <row r="5743" spans="1:12" ht="25.5" x14ac:dyDescent="0.25">
      <c r="A5743" s="22">
        <v>2026</v>
      </c>
      <c r="B5743" s="28" t="s">
        <v>237</v>
      </c>
      <c r="C5743" s="28" t="s">
        <v>97</v>
      </c>
      <c r="D5743" s="28" t="s">
        <v>1696</v>
      </c>
      <c r="E5743" s="29" t="s">
        <v>1760</v>
      </c>
      <c r="F5743" s="29" t="s">
        <v>343</v>
      </c>
      <c r="G5743" s="25" t="s">
        <v>7428</v>
      </c>
      <c r="H5743" s="26">
        <v>-4.0980644139999994E-2</v>
      </c>
      <c r="I5743" s="26"/>
      <c r="J5743" s="26" t="s">
        <v>512</v>
      </c>
      <c r="K5743" s="25" t="s">
        <v>513</v>
      </c>
      <c r="L5743" s="8"/>
    </row>
    <row r="5744" spans="1:12" ht="25.5" x14ac:dyDescent="0.25">
      <c r="A5744" s="22">
        <v>2026</v>
      </c>
      <c r="B5744" s="28" t="s">
        <v>237</v>
      </c>
      <c r="C5744" s="28" t="s">
        <v>97</v>
      </c>
      <c r="D5744" s="28" t="s">
        <v>1696</v>
      </c>
      <c r="E5744" s="29" t="s">
        <v>1760</v>
      </c>
      <c r="F5744" s="29" t="s">
        <v>343</v>
      </c>
      <c r="G5744" s="25" t="s">
        <v>7429</v>
      </c>
      <c r="H5744" s="26">
        <v>-2.7382959999999998E-2</v>
      </c>
      <c r="I5744" s="26"/>
      <c r="J5744" s="26" t="s">
        <v>512</v>
      </c>
      <c r="K5744" s="25" t="s">
        <v>513</v>
      </c>
      <c r="L5744" s="8"/>
    </row>
    <row r="5745" spans="1:12" ht="25.5" x14ac:dyDescent="0.25">
      <c r="A5745" s="22">
        <v>2026</v>
      </c>
      <c r="B5745" s="28" t="s">
        <v>237</v>
      </c>
      <c r="C5745" s="28" t="s">
        <v>97</v>
      </c>
      <c r="D5745" s="28" t="s">
        <v>1696</v>
      </c>
      <c r="E5745" s="29" t="s">
        <v>1760</v>
      </c>
      <c r="F5745" s="29" t="s">
        <v>343</v>
      </c>
      <c r="G5745" s="25" t="s">
        <v>7430</v>
      </c>
      <c r="H5745" s="26">
        <v>-3.3573022559999999E-2</v>
      </c>
      <c r="I5745" s="26"/>
      <c r="J5745" s="26" t="s">
        <v>512</v>
      </c>
      <c r="K5745" s="25" t="s">
        <v>513</v>
      </c>
      <c r="L5745" s="8"/>
    </row>
    <row r="5746" spans="1:12" ht="25.5" x14ac:dyDescent="0.25">
      <c r="A5746" s="22">
        <v>2026</v>
      </c>
      <c r="B5746" s="28" t="s">
        <v>237</v>
      </c>
      <c r="C5746" s="28" t="s">
        <v>97</v>
      </c>
      <c r="D5746" s="28" t="s">
        <v>1696</v>
      </c>
      <c r="E5746" s="29" t="s">
        <v>1760</v>
      </c>
      <c r="F5746" s="29" t="s">
        <v>343</v>
      </c>
      <c r="G5746" s="25" t="s">
        <v>7431</v>
      </c>
      <c r="H5746" s="26">
        <v>-2.4472069999999999E-2</v>
      </c>
      <c r="I5746" s="26"/>
      <c r="J5746" s="26" t="s">
        <v>512</v>
      </c>
      <c r="K5746" s="25" t="s">
        <v>513</v>
      </c>
      <c r="L5746" s="8"/>
    </row>
    <row r="5747" spans="1:12" ht="25.5" x14ac:dyDescent="0.25">
      <c r="A5747" s="22">
        <v>2026</v>
      </c>
      <c r="B5747" s="28" t="s">
        <v>237</v>
      </c>
      <c r="C5747" s="28" t="s">
        <v>97</v>
      </c>
      <c r="D5747" s="28" t="s">
        <v>1696</v>
      </c>
      <c r="E5747" s="29" t="s">
        <v>1760</v>
      </c>
      <c r="F5747" s="29" t="s">
        <v>343</v>
      </c>
      <c r="G5747" s="25" t="s">
        <v>7432</v>
      </c>
      <c r="H5747" s="26">
        <v>-3.1429979999999996E-2</v>
      </c>
      <c r="I5747" s="26"/>
      <c r="J5747" s="26" t="s">
        <v>512</v>
      </c>
      <c r="K5747" s="25" t="s">
        <v>513</v>
      </c>
      <c r="L5747" s="8"/>
    </row>
    <row r="5748" spans="1:12" ht="25.5" x14ac:dyDescent="0.25">
      <c r="A5748" s="22">
        <v>2026</v>
      </c>
      <c r="B5748" s="28" t="s">
        <v>237</v>
      </c>
      <c r="C5748" s="28" t="s">
        <v>97</v>
      </c>
      <c r="D5748" s="28" t="s">
        <v>1696</v>
      </c>
      <c r="E5748" s="29" t="s">
        <v>1760</v>
      </c>
      <c r="F5748" s="29" t="s">
        <v>343</v>
      </c>
      <c r="G5748" s="25" t="s">
        <v>7433</v>
      </c>
      <c r="H5748" s="26">
        <v>-4.1702400000000001E-2</v>
      </c>
      <c r="I5748" s="26"/>
      <c r="J5748" s="26" t="s">
        <v>512</v>
      </c>
      <c r="K5748" s="25" t="s">
        <v>513</v>
      </c>
      <c r="L5748" s="8"/>
    </row>
    <row r="5749" spans="1:12" ht="25.5" x14ac:dyDescent="0.25">
      <c r="A5749" s="22">
        <v>2026</v>
      </c>
      <c r="B5749" s="28" t="s">
        <v>237</v>
      </c>
      <c r="C5749" s="28" t="s">
        <v>97</v>
      </c>
      <c r="D5749" s="28" t="s">
        <v>1696</v>
      </c>
      <c r="E5749" s="29" t="s">
        <v>1760</v>
      </c>
      <c r="F5749" s="29" t="s">
        <v>343</v>
      </c>
      <c r="G5749" s="25" t="s">
        <v>7434</v>
      </c>
      <c r="H5749" s="26">
        <v>-4.0721789969999998E-2</v>
      </c>
      <c r="I5749" s="26"/>
      <c r="J5749" s="26" t="s">
        <v>512</v>
      </c>
      <c r="K5749" s="25" t="s">
        <v>513</v>
      </c>
      <c r="L5749" s="8"/>
    </row>
    <row r="5750" spans="1:12" ht="25.5" x14ac:dyDescent="0.25">
      <c r="A5750" s="22">
        <v>2026</v>
      </c>
      <c r="B5750" s="28" t="s">
        <v>237</v>
      </c>
      <c r="C5750" s="28" t="s">
        <v>97</v>
      </c>
      <c r="D5750" s="28" t="s">
        <v>1696</v>
      </c>
      <c r="E5750" s="29" t="s">
        <v>1760</v>
      </c>
      <c r="F5750" s="29" t="s">
        <v>343</v>
      </c>
      <c r="G5750" s="25" t="s">
        <v>7435</v>
      </c>
      <c r="H5750" s="26">
        <v>-2.8220493170000003E-2</v>
      </c>
      <c r="I5750" s="26"/>
      <c r="J5750" s="26" t="s">
        <v>512</v>
      </c>
      <c r="K5750" s="25" t="s">
        <v>513</v>
      </c>
      <c r="L5750" s="8"/>
    </row>
    <row r="5751" spans="1:12" ht="25.5" x14ac:dyDescent="0.25">
      <c r="A5751" s="22">
        <v>2026</v>
      </c>
      <c r="B5751" s="28" t="s">
        <v>237</v>
      </c>
      <c r="C5751" s="28" t="s">
        <v>97</v>
      </c>
      <c r="D5751" s="28" t="s">
        <v>1696</v>
      </c>
      <c r="E5751" s="29" t="s">
        <v>1760</v>
      </c>
      <c r="F5751" s="29" t="s">
        <v>343</v>
      </c>
      <c r="G5751" s="25" t="s">
        <v>7436</v>
      </c>
      <c r="H5751" s="26">
        <v>-4.2115440000000004E-2</v>
      </c>
      <c r="I5751" s="26"/>
      <c r="J5751" s="26" t="s">
        <v>512</v>
      </c>
      <c r="K5751" s="25" t="s">
        <v>513</v>
      </c>
      <c r="L5751" s="8"/>
    </row>
    <row r="5752" spans="1:12" ht="25.5" x14ac:dyDescent="0.25">
      <c r="A5752" s="22">
        <v>2026</v>
      </c>
      <c r="B5752" s="28" t="s">
        <v>237</v>
      </c>
      <c r="C5752" s="28" t="s">
        <v>97</v>
      </c>
      <c r="D5752" s="28" t="s">
        <v>1697</v>
      </c>
      <c r="E5752" s="29" t="s">
        <v>1761</v>
      </c>
      <c r="F5752" s="29" t="s">
        <v>386</v>
      </c>
      <c r="G5752" s="25" t="s">
        <v>7437</v>
      </c>
      <c r="H5752" s="26">
        <v>-4.4661224999999999E-2</v>
      </c>
      <c r="I5752" s="26"/>
      <c r="J5752" s="26" t="s">
        <v>512</v>
      </c>
      <c r="K5752" s="25" t="s">
        <v>513</v>
      </c>
      <c r="L5752" s="8"/>
    </row>
    <row r="5753" spans="1:12" ht="25.5" x14ac:dyDescent="0.25">
      <c r="A5753" s="22">
        <v>2026</v>
      </c>
      <c r="B5753" s="28" t="s">
        <v>237</v>
      </c>
      <c r="C5753" s="28" t="s">
        <v>97</v>
      </c>
      <c r="D5753" s="28" t="s">
        <v>1697</v>
      </c>
      <c r="E5753" s="29" t="s">
        <v>1761</v>
      </c>
      <c r="F5753" s="29" t="s">
        <v>386</v>
      </c>
      <c r="G5753" s="25" t="s">
        <v>7438</v>
      </c>
      <c r="H5753" s="26">
        <v>-0.06</v>
      </c>
      <c r="I5753" s="26"/>
      <c r="J5753" s="26" t="s">
        <v>512</v>
      </c>
      <c r="K5753" s="25" t="s">
        <v>513</v>
      </c>
      <c r="L5753" s="8"/>
    </row>
    <row r="5754" spans="1:12" ht="25.5" x14ac:dyDescent="0.25">
      <c r="A5754" s="22">
        <v>2026</v>
      </c>
      <c r="B5754" s="28" t="s">
        <v>237</v>
      </c>
      <c r="C5754" s="28" t="s">
        <v>97</v>
      </c>
      <c r="D5754" s="28" t="s">
        <v>1697</v>
      </c>
      <c r="E5754" s="29" t="s">
        <v>1761</v>
      </c>
      <c r="F5754" s="29" t="s">
        <v>386</v>
      </c>
      <c r="G5754" s="25" t="s">
        <v>7439</v>
      </c>
      <c r="H5754" s="26">
        <v>-3.5999999999999997E-2</v>
      </c>
      <c r="I5754" s="26"/>
      <c r="J5754" s="26" t="s">
        <v>512</v>
      </c>
      <c r="K5754" s="25" t="s">
        <v>513</v>
      </c>
      <c r="L5754" s="8"/>
    </row>
    <row r="5755" spans="1:12" ht="25.5" x14ac:dyDescent="0.25">
      <c r="A5755" s="22">
        <v>2026</v>
      </c>
      <c r="B5755" s="28" t="s">
        <v>237</v>
      </c>
      <c r="C5755" s="28" t="s">
        <v>97</v>
      </c>
      <c r="D5755" s="28" t="s">
        <v>1697</v>
      </c>
      <c r="E5755" s="29" t="s">
        <v>1761</v>
      </c>
      <c r="F5755" s="29" t="s">
        <v>386</v>
      </c>
      <c r="G5755" s="25" t="s">
        <v>7440</v>
      </c>
      <c r="H5755" s="26">
        <v>-0.17849999999999999</v>
      </c>
      <c r="I5755" s="26"/>
      <c r="J5755" s="26" t="s">
        <v>512</v>
      </c>
      <c r="K5755" s="25" t="s">
        <v>513</v>
      </c>
      <c r="L5755" s="8"/>
    </row>
    <row r="5756" spans="1:12" ht="25.5" x14ac:dyDescent="0.25">
      <c r="A5756" s="22">
        <v>2026</v>
      </c>
      <c r="B5756" s="28" t="s">
        <v>237</v>
      </c>
      <c r="C5756" s="28" t="s">
        <v>97</v>
      </c>
      <c r="D5756" s="28" t="s">
        <v>1697</v>
      </c>
      <c r="E5756" s="29" t="s">
        <v>1761</v>
      </c>
      <c r="F5756" s="29" t="s">
        <v>386</v>
      </c>
      <c r="G5756" s="25" t="s">
        <v>7441</v>
      </c>
      <c r="H5756" s="26">
        <v>-0.237319</v>
      </c>
      <c r="I5756" s="26"/>
      <c r="J5756" s="26" t="s">
        <v>512</v>
      </c>
      <c r="K5756" s="25" t="s">
        <v>513</v>
      </c>
      <c r="L5756" s="8"/>
    </row>
    <row r="5757" spans="1:12" ht="25.5" x14ac:dyDescent="0.25">
      <c r="A5757" s="22">
        <v>2026</v>
      </c>
      <c r="B5757" s="28" t="s">
        <v>237</v>
      </c>
      <c r="C5757" s="28" t="s">
        <v>97</v>
      </c>
      <c r="D5757" s="28" t="s">
        <v>1697</v>
      </c>
      <c r="E5757" s="29" t="s">
        <v>1761</v>
      </c>
      <c r="F5757" s="29" t="s">
        <v>386</v>
      </c>
      <c r="G5757" s="25" t="s">
        <v>7442</v>
      </c>
      <c r="H5757" s="26">
        <v>-0.23549999999999999</v>
      </c>
      <c r="I5757" s="26"/>
      <c r="J5757" s="26" t="s">
        <v>512</v>
      </c>
      <c r="K5757" s="25" t="s">
        <v>513</v>
      </c>
      <c r="L5757" s="8"/>
    </row>
    <row r="5758" spans="1:12" ht="25.5" x14ac:dyDescent="0.25">
      <c r="A5758" s="22">
        <v>2026</v>
      </c>
      <c r="B5758" s="28" t="s">
        <v>237</v>
      </c>
      <c r="C5758" s="28" t="s">
        <v>97</v>
      </c>
      <c r="D5758" s="28" t="s">
        <v>1697</v>
      </c>
      <c r="E5758" s="29" t="s">
        <v>1761</v>
      </c>
      <c r="F5758" s="29" t="s">
        <v>386</v>
      </c>
      <c r="G5758" s="25" t="s">
        <v>7443</v>
      </c>
      <c r="H5758" s="26">
        <v>-0.23674999999999999</v>
      </c>
      <c r="I5758" s="26"/>
      <c r="J5758" s="26" t="s">
        <v>512</v>
      </c>
      <c r="K5758" s="25" t="s">
        <v>513</v>
      </c>
      <c r="L5758" s="8"/>
    </row>
    <row r="5759" spans="1:12" ht="25.5" x14ac:dyDescent="0.25">
      <c r="A5759" s="22">
        <v>2026</v>
      </c>
      <c r="B5759" s="28" t="s">
        <v>237</v>
      </c>
      <c r="C5759" s="28" t="s">
        <v>97</v>
      </c>
      <c r="D5759" s="28" t="s">
        <v>1697</v>
      </c>
      <c r="E5759" s="29" t="s">
        <v>1761</v>
      </c>
      <c r="F5759" s="29" t="s">
        <v>386</v>
      </c>
      <c r="G5759" s="25" t="s">
        <v>7444</v>
      </c>
      <c r="H5759" s="26">
        <v>-0.24</v>
      </c>
      <c r="I5759" s="26"/>
      <c r="J5759" s="26" t="s">
        <v>512</v>
      </c>
      <c r="K5759" s="25" t="s">
        <v>513</v>
      </c>
      <c r="L5759" s="8"/>
    </row>
    <row r="5760" spans="1:12" ht="25.5" x14ac:dyDescent="0.25">
      <c r="A5760" s="22">
        <v>2026</v>
      </c>
      <c r="B5760" s="28" t="s">
        <v>237</v>
      </c>
      <c r="C5760" s="28" t="s">
        <v>97</v>
      </c>
      <c r="D5760" s="28" t="s">
        <v>1697</v>
      </c>
      <c r="E5760" s="29" t="s">
        <v>1761</v>
      </c>
      <c r="F5760" s="29" t="s">
        <v>386</v>
      </c>
      <c r="G5760" s="25" t="s">
        <v>7445</v>
      </c>
      <c r="H5760" s="26">
        <v>-0.1215</v>
      </c>
      <c r="I5760" s="26"/>
      <c r="J5760" s="26" t="s">
        <v>512</v>
      </c>
      <c r="K5760" s="25" t="s">
        <v>513</v>
      </c>
      <c r="L5760" s="8"/>
    </row>
    <row r="5761" spans="1:12" ht="25.5" x14ac:dyDescent="0.25">
      <c r="A5761" s="22">
        <v>2026</v>
      </c>
      <c r="B5761" s="28" t="s">
        <v>237</v>
      </c>
      <c r="C5761" s="28" t="s">
        <v>97</v>
      </c>
      <c r="D5761" s="28" t="s">
        <v>1697</v>
      </c>
      <c r="E5761" s="29" t="s">
        <v>1761</v>
      </c>
      <c r="F5761" s="29" t="s">
        <v>386</v>
      </c>
      <c r="G5761" s="25" t="s">
        <v>7446</v>
      </c>
      <c r="H5761" s="26">
        <v>-0.1195</v>
      </c>
      <c r="I5761" s="26"/>
      <c r="J5761" s="26" t="s">
        <v>512</v>
      </c>
      <c r="K5761" s="25" t="s">
        <v>513</v>
      </c>
      <c r="L5761" s="8"/>
    </row>
    <row r="5762" spans="1:12" ht="25.5" x14ac:dyDescent="0.25">
      <c r="A5762" s="22">
        <v>2026</v>
      </c>
      <c r="B5762" s="28" t="s">
        <v>237</v>
      </c>
      <c r="C5762" s="28" t="s">
        <v>97</v>
      </c>
      <c r="D5762" s="28" t="s">
        <v>1697</v>
      </c>
      <c r="E5762" s="29" t="s">
        <v>1761</v>
      </c>
      <c r="F5762" s="29" t="s">
        <v>386</v>
      </c>
      <c r="G5762" s="25" t="s">
        <v>7447</v>
      </c>
      <c r="H5762" s="26">
        <v>-0.1205</v>
      </c>
      <c r="I5762" s="26"/>
      <c r="J5762" s="26" t="s">
        <v>512</v>
      </c>
      <c r="K5762" s="25" t="s">
        <v>513</v>
      </c>
      <c r="L5762" s="8"/>
    </row>
    <row r="5763" spans="1:12" ht="25.5" x14ac:dyDescent="0.25">
      <c r="A5763" s="22">
        <v>2026</v>
      </c>
      <c r="B5763" s="28" t="s">
        <v>237</v>
      </c>
      <c r="C5763" s="28" t="s">
        <v>97</v>
      </c>
      <c r="D5763" s="28" t="s">
        <v>1697</v>
      </c>
      <c r="E5763" s="29" t="s">
        <v>1761</v>
      </c>
      <c r="F5763" s="29" t="s">
        <v>386</v>
      </c>
      <c r="G5763" s="25" t="s">
        <v>7448</v>
      </c>
      <c r="H5763" s="26">
        <v>-0.12025</v>
      </c>
      <c r="I5763" s="26"/>
      <c r="J5763" s="26" t="s">
        <v>512</v>
      </c>
      <c r="K5763" s="25" t="s">
        <v>513</v>
      </c>
      <c r="L5763" s="8"/>
    </row>
    <row r="5764" spans="1:12" ht="25.5" x14ac:dyDescent="0.25">
      <c r="A5764" s="22">
        <v>2026</v>
      </c>
      <c r="B5764" s="28" t="s">
        <v>237</v>
      </c>
      <c r="C5764" s="28" t="s">
        <v>97</v>
      </c>
      <c r="D5764" s="28" t="s">
        <v>1697</v>
      </c>
      <c r="E5764" s="29" t="s">
        <v>1761</v>
      </c>
      <c r="F5764" s="29" t="s">
        <v>386</v>
      </c>
      <c r="G5764" s="25" t="s">
        <v>7449</v>
      </c>
      <c r="H5764" s="26">
        <v>-0.11975</v>
      </c>
      <c r="I5764" s="26"/>
      <c r="J5764" s="26" t="s">
        <v>512</v>
      </c>
      <c r="K5764" s="25" t="s">
        <v>513</v>
      </c>
      <c r="L5764" s="8"/>
    </row>
    <row r="5765" spans="1:12" ht="25.5" x14ac:dyDescent="0.25">
      <c r="A5765" s="22">
        <v>2026</v>
      </c>
      <c r="B5765" s="28" t="s">
        <v>237</v>
      </c>
      <c r="C5765" s="28" t="s">
        <v>97</v>
      </c>
      <c r="D5765" s="28" t="s">
        <v>1697</v>
      </c>
      <c r="E5765" s="29" t="s">
        <v>1761</v>
      </c>
      <c r="F5765" s="29" t="s">
        <v>386</v>
      </c>
      <c r="G5765" s="25" t="s">
        <v>7449</v>
      </c>
      <c r="H5765" s="26">
        <v>-0.11975</v>
      </c>
      <c r="I5765" s="26"/>
      <c r="J5765" s="26" t="s">
        <v>512</v>
      </c>
      <c r="K5765" s="25" t="s">
        <v>513</v>
      </c>
      <c r="L5765" s="8"/>
    </row>
    <row r="5766" spans="1:12" ht="25.5" x14ac:dyDescent="0.25">
      <c r="A5766" s="22">
        <v>2026</v>
      </c>
      <c r="B5766" s="28" t="s">
        <v>237</v>
      </c>
      <c r="C5766" s="28" t="s">
        <v>97</v>
      </c>
      <c r="D5766" s="28" t="s">
        <v>1697</v>
      </c>
      <c r="E5766" s="29" t="s">
        <v>1761</v>
      </c>
      <c r="F5766" s="29" t="s">
        <v>386</v>
      </c>
      <c r="G5766" s="25" t="s">
        <v>7449</v>
      </c>
      <c r="H5766" s="26">
        <v>-0.11975</v>
      </c>
      <c r="I5766" s="26"/>
      <c r="J5766" s="26" t="s">
        <v>512</v>
      </c>
      <c r="K5766" s="25" t="s">
        <v>513</v>
      </c>
      <c r="L5766" s="8"/>
    </row>
    <row r="5767" spans="1:12" ht="25.5" x14ac:dyDescent="0.25">
      <c r="A5767" s="22">
        <v>2026</v>
      </c>
      <c r="B5767" s="28" t="s">
        <v>237</v>
      </c>
      <c r="C5767" s="28" t="s">
        <v>97</v>
      </c>
      <c r="D5767" s="28" t="s">
        <v>1697</v>
      </c>
      <c r="E5767" s="29" t="s">
        <v>1761</v>
      </c>
      <c r="F5767" s="29" t="s">
        <v>386</v>
      </c>
      <c r="G5767" s="25" t="s">
        <v>7450</v>
      </c>
      <c r="H5767" s="26">
        <v>-4.5567464999999995E-2</v>
      </c>
      <c r="I5767" s="26"/>
      <c r="J5767" s="26" t="s">
        <v>512</v>
      </c>
      <c r="K5767" s="25" t="s">
        <v>513</v>
      </c>
      <c r="L5767" s="8"/>
    </row>
    <row r="5768" spans="1:12" ht="25.5" x14ac:dyDescent="0.25">
      <c r="A5768" s="22">
        <v>2026</v>
      </c>
      <c r="B5768" s="28" t="s">
        <v>237</v>
      </c>
      <c r="C5768" s="28" t="s">
        <v>97</v>
      </c>
      <c r="D5768" s="28" t="s">
        <v>1697</v>
      </c>
      <c r="E5768" s="29" t="s">
        <v>1761</v>
      </c>
      <c r="F5768" s="29" t="s">
        <v>386</v>
      </c>
      <c r="G5768" s="25" t="s">
        <v>7451</v>
      </c>
      <c r="H5768" s="26">
        <v>-0.124083</v>
      </c>
      <c r="I5768" s="26"/>
      <c r="J5768" s="26" t="s">
        <v>512</v>
      </c>
      <c r="K5768" s="25" t="s">
        <v>513</v>
      </c>
      <c r="L5768" s="8"/>
    </row>
    <row r="5769" spans="1:12" ht="25.5" x14ac:dyDescent="0.25">
      <c r="A5769" s="22">
        <v>2026</v>
      </c>
      <c r="B5769" s="28" t="s">
        <v>237</v>
      </c>
      <c r="C5769" s="28" t="s">
        <v>97</v>
      </c>
      <c r="D5769" s="28" t="s">
        <v>1697</v>
      </c>
      <c r="E5769" s="29" t="s">
        <v>1761</v>
      </c>
      <c r="F5769" s="29" t="s">
        <v>386</v>
      </c>
      <c r="G5769" s="25" t="s">
        <v>7452</v>
      </c>
      <c r="H5769" s="26">
        <v>-6.1918750000000002E-2</v>
      </c>
      <c r="I5769" s="26"/>
      <c r="J5769" s="26" t="s">
        <v>512</v>
      </c>
      <c r="K5769" s="25" t="s">
        <v>513</v>
      </c>
      <c r="L5769" s="8"/>
    </row>
    <row r="5770" spans="1:12" ht="25.5" x14ac:dyDescent="0.25">
      <c r="A5770" s="22">
        <v>2026</v>
      </c>
      <c r="B5770" s="28" t="s">
        <v>237</v>
      </c>
      <c r="C5770" s="28" t="s">
        <v>97</v>
      </c>
      <c r="D5770" s="28" t="s">
        <v>1698</v>
      </c>
      <c r="E5770" s="29" t="s">
        <v>315</v>
      </c>
      <c r="F5770" s="29" t="s">
        <v>298</v>
      </c>
      <c r="G5770" s="25" t="s">
        <v>7453</v>
      </c>
      <c r="H5770" s="26">
        <v>-0.26534999999999997</v>
      </c>
      <c r="I5770" s="26"/>
      <c r="J5770" s="26" t="s">
        <v>512</v>
      </c>
      <c r="K5770" s="25" t="s">
        <v>513</v>
      </c>
      <c r="L5770" s="8"/>
    </row>
    <row r="5771" spans="1:12" ht="25.5" x14ac:dyDescent="0.25">
      <c r="A5771" s="22">
        <v>2026</v>
      </c>
      <c r="B5771" s="28" t="s">
        <v>237</v>
      </c>
      <c r="C5771" s="28" t="s">
        <v>97</v>
      </c>
      <c r="D5771" s="28" t="s">
        <v>1698</v>
      </c>
      <c r="E5771" s="29" t="s">
        <v>315</v>
      </c>
      <c r="F5771" s="29" t="s">
        <v>298</v>
      </c>
      <c r="G5771" s="25" t="s">
        <v>7454</v>
      </c>
      <c r="H5771" s="26">
        <v>-0.2601</v>
      </c>
      <c r="I5771" s="26"/>
      <c r="J5771" s="26" t="s">
        <v>512</v>
      </c>
      <c r="K5771" s="25" t="s">
        <v>513</v>
      </c>
      <c r="L5771" s="8"/>
    </row>
    <row r="5772" spans="1:12" ht="25.5" x14ac:dyDescent="0.25">
      <c r="A5772" s="22">
        <v>2026</v>
      </c>
      <c r="B5772" s="28" t="s">
        <v>237</v>
      </c>
      <c r="C5772" s="28" t="s">
        <v>97</v>
      </c>
      <c r="D5772" s="28" t="s">
        <v>1698</v>
      </c>
      <c r="E5772" s="29" t="s">
        <v>315</v>
      </c>
      <c r="F5772" s="29" t="s">
        <v>298</v>
      </c>
      <c r="G5772" s="25" t="s">
        <v>7455</v>
      </c>
      <c r="H5772" s="26">
        <v>-0.76724999999999999</v>
      </c>
      <c r="I5772" s="26"/>
      <c r="J5772" s="26" t="s">
        <v>512</v>
      </c>
      <c r="K5772" s="25" t="s">
        <v>513</v>
      </c>
      <c r="L5772" s="8"/>
    </row>
    <row r="5773" spans="1:12" ht="25.5" x14ac:dyDescent="0.25">
      <c r="A5773" s="22">
        <v>2026</v>
      </c>
      <c r="B5773" s="28" t="s">
        <v>237</v>
      </c>
      <c r="C5773" s="28" t="s">
        <v>97</v>
      </c>
      <c r="D5773" s="28" t="s">
        <v>1698</v>
      </c>
      <c r="E5773" s="29" t="s">
        <v>315</v>
      </c>
      <c r="F5773" s="29" t="s">
        <v>298</v>
      </c>
      <c r="G5773" s="25" t="s">
        <v>7456</v>
      </c>
      <c r="H5773" s="26">
        <v>-0.1985025</v>
      </c>
      <c r="I5773" s="26"/>
      <c r="J5773" s="26" t="s">
        <v>512</v>
      </c>
      <c r="K5773" s="25" t="s">
        <v>513</v>
      </c>
      <c r="L5773" s="8"/>
    </row>
    <row r="5774" spans="1:12" ht="25.5" x14ac:dyDescent="0.25">
      <c r="A5774" s="22">
        <v>2026</v>
      </c>
      <c r="B5774" s="28" t="s">
        <v>237</v>
      </c>
      <c r="C5774" s="28" t="s">
        <v>97</v>
      </c>
      <c r="D5774" s="28" t="s">
        <v>1698</v>
      </c>
      <c r="E5774" s="29" t="s">
        <v>315</v>
      </c>
      <c r="F5774" s="29" t="s">
        <v>298</v>
      </c>
      <c r="G5774" s="25" t="s">
        <v>7457</v>
      </c>
      <c r="H5774" s="26">
        <v>-0.52749999999999997</v>
      </c>
      <c r="I5774" s="26"/>
      <c r="J5774" s="26" t="s">
        <v>512</v>
      </c>
      <c r="K5774" s="25" t="s">
        <v>513</v>
      </c>
      <c r="L5774" s="8"/>
    </row>
    <row r="5775" spans="1:12" ht="25.5" x14ac:dyDescent="0.25">
      <c r="A5775" s="22">
        <v>2026</v>
      </c>
      <c r="B5775" s="28" t="s">
        <v>237</v>
      </c>
      <c r="C5775" s="28" t="s">
        <v>97</v>
      </c>
      <c r="D5775" s="28" t="s">
        <v>1698</v>
      </c>
      <c r="E5775" s="29" t="s">
        <v>315</v>
      </c>
      <c r="F5775" s="29" t="s">
        <v>298</v>
      </c>
      <c r="G5775" s="25" t="s">
        <v>7458</v>
      </c>
      <c r="H5775" s="26">
        <v>-0.50946000000000002</v>
      </c>
      <c r="I5775" s="26"/>
      <c r="J5775" s="26" t="s">
        <v>512</v>
      </c>
      <c r="K5775" s="25" t="s">
        <v>513</v>
      </c>
      <c r="L5775" s="8"/>
    </row>
    <row r="5776" spans="1:12" ht="25.5" x14ac:dyDescent="0.25">
      <c r="A5776" s="22">
        <v>2026</v>
      </c>
      <c r="B5776" s="28" t="s">
        <v>237</v>
      </c>
      <c r="C5776" s="28" t="s">
        <v>97</v>
      </c>
      <c r="D5776" s="28" t="s">
        <v>1698</v>
      </c>
      <c r="E5776" s="29" t="s">
        <v>315</v>
      </c>
      <c r="F5776" s="29" t="s">
        <v>298</v>
      </c>
      <c r="G5776" s="25" t="s">
        <v>7459</v>
      </c>
      <c r="H5776" s="26">
        <v>-0.25386999999999998</v>
      </c>
      <c r="I5776" s="26"/>
      <c r="J5776" s="26" t="s">
        <v>512</v>
      </c>
      <c r="K5776" s="25" t="s">
        <v>513</v>
      </c>
      <c r="L5776" s="8"/>
    </row>
    <row r="5777" spans="1:12" ht="25.5" x14ac:dyDescent="0.25">
      <c r="A5777" s="22">
        <v>2026</v>
      </c>
      <c r="B5777" s="28" t="s">
        <v>237</v>
      </c>
      <c r="C5777" s="28" t="s">
        <v>97</v>
      </c>
      <c r="D5777" s="28" t="s">
        <v>1699</v>
      </c>
      <c r="E5777" s="29" t="s">
        <v>331</v>
      </c>
      <c r="F5777" s="29" t="s">
        <v>1762</v>
      </c>
      <c r="G5777" s="25" t="s">
        <v>7460</v>
      </c>
      <c r="H5777" s="26">
        <v>-4.5022070800000001E-2</v>
      </c>
      <c r="I5777" s="26"/>
      <c r="J5777" s="26" t="s">
        <v>512</v>
      </c>
      <c r="K5777" s="25" t="s">
        <v>513</v>
      </c>
      <c r="L5777" s="8"/>
    </row>
    <row r="5778" spans="1:12" ht="25.5" x14ac:dyDescent="0.25">
      <c r="A5778" s="22">
        <v>2026</v>
      </c>
      <c r="B5778" s="28" t="s">
        <v>237</v>
      </c>
      <c r="C5778" s="28" t="s">
        <v>97</v>
      </c>
      <c r="D5778" s="28" t="s">
        <v>1700</v>
      </c>
      <c r="E5778" s="29" t="s">
        <v>331</v>
      </c>
      <c r="F5778" s="29" t="s">
        <v>483</v>
      </c>
      <c r="G5778" s="25" t="s">
        <v>7461</v>
      </c>
      <c r="H5778" s="26">
        <v>-0.105</v>
      </c>
      <c r="I5778" s="26"/>
      <c r="J5778" s="26" t="s">
        <v>512</v>
      </c>
      <c r="K5778" s="25" t="s">
        <v>513</v>
      </c>
      <c r="L5778" s="8"/>
    </row>
    <row r="5779" spans="1:12" ht="25.5" x14ac:dyDescent="0.25">
      <c r="A5779" s="22">
        <v>2026</v>
      </c>
      <c r="B5779" s="28" t="s">
        <v>237</v>
      </c>
      <c r="C5779" s="28" t="s">
        <v>97</v>
      </c>
      <c r="D5779" s="28" t="s">
        <v>1700</v>
      </c>
      <c r="E5779" s="29" t="s">
        <v>331</v>
      </c>
      <c r="F5779" s="29" t="s">
        <v>483</v>
      </c>
      <c r="G5779" s="25" t="s">
        <v>7462</v>
      </c>
      <c r="H5779" s="26">
        <v>-0.28125</v>
      </c>
      <c r="I5779" s="26"/>
      <c r="J5779" s="26" t="s">
        <v>512</v>
      </c>
      <c r="K5779" s="25" t="s">
        <v>513</v>
      </c>
      <c r="L5779" s="8"/>
    </row>
    <row r="5780" spans="1:12" ht="25.5" x14ac:dyDescent="0.25">
      <c r="A5780" s="22">
        <v>2026</v>
      </c>
      <c r="B5780" s="28" t="s">
        <v>237</v>
      </c>
      <c r="C5780" s="28" t="s">
        <v>97</v>
      </c>
      <c r="D5780" s="28" t="s">
        <v>1700</v>
      </c>
      <c r="E5780" s="29" t="s">
        <v>331</v>
      </c>
      <c r="F5780" s="29" t="s">
        <v>483</v>
      </c>
      <c r="G5780" s="25" t="s">
        <v>7463</v>
      </c>
      <c r="H5780" s="26">
        <v>-5.6000000000000001E-2</v>
      </c>
      <c r="I5780" s="26"/>
      <c r="J5780" s="26" t="s">
        <v>512</v>
      </c>
      <c r="K5780" s="25" t="s">
        <v>513</v>
      </c>
      <c r="L5780" s="8"/>
    </row>
    <row r="5781" spans="1:12" ht="25.5" x14ac:dyDescent="0.25">
      <c r="A5781" s="22">
        <v>2026</v>
      </c>
      <c r="B5781" s="28" t="s">
        <v>237</v>
      </c>
      <c r="C5781" s="28" t="s">
        <v>97</v>
      </c>
      <c r="D5781" s="28" t="s">
        <v>1700</v>
      </c>
      <c r="E5781" s="29" t="s">
        <v>331</v>
      </c>
      <c r="F5781" s="29" t="s">
        <v>483</v>
      </c>
      <c r="G5781" s="25" t="s">
        <v>7464</v>
      </c>
      <c r="H5781" s="26">
        <v>-5.525E-2</v>
      </c>
      <c r="I5781" s="26"/>
      <c r="J5781" s="26" t="s">
        <v>512</v>
      </c>
      <c r="K5781" s="25" t="s">
        <v>513</v>
      </c>
      <c r="L5781" s="8"/>
    </row>
    <row r="5782" spans="1:12" ht="25.5" x14ac:dyDescent="0.25">
      <c r="A5782" s="22">
        <v>2026</v>
      </c>
      <c r="B5782" s="28" t="s">
        <v>237</v>
      </c>
      <c r="C5782" s="28" t="s">
        <v>97</v>
      </c>
      <c r="D5782" s="28" t="s">
        <v>1700</v>
      </c>
      <c r="E5782" s="29" t="s">
        <v>331</v>
      </c>
      <c r="F5782" s="29" t="s">
        <v>483</v>
      </c>
      <c r="G5782" s="25" t="s">
        <v>7465</v>
      </c>
      <c r="H5782" s="26">
        <v>-5.425E-2</v>
      </c>
      <c r="I5782" s="26"/>
      <c r="J5782" s="26" t="s">
        <v>512</v>
      </c>
      <c r="K5782" s="25" t="s">
        <v>513</v>
      </c>
      <c r="L5782" s="8"/>
    </row>
    <row r="5783" spans="1:12" ht="25.5" x14ac:dyDescent="0.25">
      <c r="A5783" s="22">
        <v>2026</v>
      </c>
      <c r="B5783" s="28" t="s">
        <v>237</v>
      </c>
      <c r="C5783" s="28" t="s">
        <v>97</v>
      </c>
      <c r="D5783" s="28" t="s">
        <v>1700</v>
      </c>
      <c r="E5783" s="29" t="s">
        <v>331</v>
      </c>
      <c r="F5783" s="29" t="s">
        <v>483</v>
      </c>
      <c r="G5783" s="25" t="s">
        <v>7466</v>
      </c>
      <c r="H5783" s="26">
        <v>-5.475E-2</v>
      </c>
      <c r="I5783" s="26"/>
      <c r="J5783" s="26" t="s">
        <v>512</v>
      </c>
      <c r="K5783" s="25" t="s">
        <v>513</v>
      </c>
      <c r="L5783" s="8"/>
    </row>
    <row r="5784" spans="1:12" ht="25.5" x14ac:dyDescent="0.25">
      <c r="A5784" s="22">
        <v>2026</v>
      </c>
      <c r="B5784" s="28" t="s">
        <v>237</v>
      </c>
      <c r="C5784" s="28" t="s">
        <v>97</v>
      </c>
      <c r="D5784" s="28" t="s">
        <v>1700</v>
      </c>
      <c r="E5784" s="29" t="s">
        <v>331</v>
      </c>
      <c r="F5784" s="29" t="s">
        <v>483</v>
      </c>
      <c r="G5784" s="25" t="s">
        <v>7465</v>
      </c>
      <c r="H5784" s="26">
        <v>-5.425E-2</v>
      </c>
      <c r="I5784" s="26"/>
      <c r="J5784" s="26" t="s">
        <v>512</v>
      </c>
      <c r="K5784" s="25" t="s">
        <v>513</v>
      </c>
      <c r="L5784" s="8"/>
    </row>
    <row r="5785" spans="1:12" ht="25.5" x14ac:dyDescent="0.25">
      <c r="A5785" s="22">
        <v>2026</v>
      </c>
      <c r="B5785" s="28" t="s">
        <v>237</v>
      </c>
      <c r="C5785" s="28" t="s">
        <v>97</v>
      </c>
      <c r="D5785" s="28" t="s">
        <v>1701</v>
      </c>
      <c r="E5785" s="29" t="s">
        <v>331</v>
      </c>
      <c r="F5785" s="29" t="s">
        <v>566</v>
      </c>
      <c r="G5785" s="25" t="s">
        <v>7467</v>
      </c>
      <c r="H5785" s="26">
        <v>-0.40239999999999998</v>
      </c>
      <c r="I5785" s="26"/>
      <c r="J5785" s="26" t="s">
        <v>512</v>
      </c>
      <c r="K5785" s="25" t="s">
        <v>513</v>
      </c>
      <c r="L5785" s="8"/>
    </row>
    <row r="5786" spans="1:12" ht="25.5" x14ac:dyDescent="0.25">
      <c r="A5786" s="22">
        <v>2026</v>
      </c>
      <c r="B5786" s="28" t="s">
        <v>237</v>
      </c>
      <c r="C5786" s="28" t="s">
        <v>97</v>
      </c>
      <c r="D5786" s="28" t="s">
        <v>1701</v>
      </c>
      <c r="E5786" s="29" t="s">
        <v>331</v>
      </c>
      <c r="F5786" s="29" t="s">
        <v>566</v>
      </c>
      <c r="G5786" s="25" t="s">
        <v>7468</v>
      </c>
      <c r="H5786" s="26">
        <v>-0.98699999999999999</v>
      </c>
      <c r="I5786" s="26"/>
      <c r="J5786" s="26" t="s">
        <v>512</v>
      </c>
      <c r="K5786" s="25" t="s">
        <v>513</v>
      </c>
      <c r="L5786" s="8"/>
    </row>
    <row r="5787" spans="1:12" ht="25.5" x14ac:dyDescent="0.25">
      <c r="A5787" s="22">
        <v>2026</v>
      </c>
      <c r="B5787" s="28" t="s">
        <v>237</v>
      </c>
      <c r="C5787" s="28" t="s">
        <v>97</v>
      </c>
      <c r="D5787" s="28" t="s">
        <v>1701</v>
      </c>
      <c r="E5787" s="29" t="s">
        <v>331</v>
      </c>
      <c r="F5787" s="29" t="s">
        <v>566</v>
      </c>
      <c r="G5787" s="25" t="s">
        <v>7469</v>
      </c>
      <c r="H5787" s="26">
        <v>-0.97499999999999998</v>
      </c>
      <c r="I5787" s="26"/>
      <c r="J5787" s="26" t="s">
        <v>512</v>
      </c>
      <c r="K5787" s="25" t="s">
        <v>513</v>
      </c>
      <c r="L5787" s="8"/>
    </row>
    <row r="5788" spans="1:12" ht="25.5" x14ac:dyDescent="0.25">
      <c r="A5788" s="22">
        <v>2026</v>
      </c>
      <c r="B5788" s="28" t="s">
        <v>237</v>
      </c>
      <c r="C5788" s="28" t="s">
        <v>97</v>
      </c>
      <c r="D5788" s="28" t="s">
        <v>1701</v>
      </c>
      <c r="E5788" s="29" t="s">
        <v>331</v>
      </c>
      <c r="F5788" s="29" t="s">
        <v>566</v>
      </c>
      <c r="G5788" s="25" t="s">
        <v>7470</v>
      </c>
      <c r="H5788" s="26">
        <v>-1.9339999999999999</v>
      </c>
      <c r="I5788" s="26"/>
      <c r="J5788" s="26" t="s">
        <v>512</v>
      </c>
      <c r="K5788" s="25" t="s">
        <v>513</v>
      </c>
      <c r="L5788" s="8"/>
    </row>
    <row r="5789" spans="1:12" ht="25.5" x14ac:dyDescent="0.25">
      <c r="A5789" s="22">
        <v>2026</v>
      </c>
      <c r="B5789" s="28" t="s">
        <v>237</v>
      </c>
      <c r="C5789" s="28" t="s">
        <v>97</v>
      </c>
      <c r="D5789" s="28" t="s">
        <v>1701</v>
      </c>
      <c r="E5789" s="29" t="s">
        <v>331</v>
      </c>
      <c r="F5789" s="29" t="s">
        <v>566</v>
      </c>
      <c r="G5789" s="25" t="s">
        <v>7471</v>
      </c>
      <c r="H5789" s="26">
        <v>-1.1912499999999999</v>
      </c>
      <c r="I5789" s="26"/>
      <c r="J5789" s="26" t="s">
        <v>512</v>
      </c>
      <c r="K5789" s="25" t="s">
        <v>513</v>
      </c>
      <c r="L5789" s="8"/>
    </row>
    <row r="5790" spans="1:12" ht="25.5" x14ac:dyDescent="0.25">
      <c r="A5790" s="22">
        <v>2026</v>
      </c>
      <c r="B5790" s="28" t="s">
        <v>237</v>
      </c>
      <c r="C5790" s="28" t="s">
        <v>97</v>
      </c>
      <c r="D5790" s="28" t="s">
        <v>1701</v>
      </c>
      <c r="E5790" s="29" t="s">
        <v>331</v>
      </c>
      <c r="F5790" s="29" t="s">
        <v>566</v>
      </c>
      <c r="G5790" s="25" t="s">
        <v>7472</v>
      </c>
      <c r="H5790" s="26">
        <v>-0.68236699999999995</v>
      </c>
      <c r="I5790" s="26"/>
      <c r="J5790" s="26" t="s">
        <v>512</v>
      </c>
      <c r="K5790" s="25" t="s">
        <v>513</v>
      </c>
      <c r="L5790" s="8"/>
    </row>
    <row r="5791" spans="1:12" ht="25.5" x14ac:dyDescent="0.25">
      <c r="A5791" s="22">
        <v>2026</v>
      </c>
      <c r="B5791" s="28" t="s">
        <v>237</v>
      </c>
      <c r="C5791" s="28" t="s">
        <v>97</v>
      </c>
      <c r="D5791" s="28" t="s">
        <v>1701</v>
      </c>
      <c r="E5791" s="29" t="s">
        <v>331</v>
      </c>
      <c r="F5791" s="29" t="s">
        <v>566</v>
      </c>
      <c r="G5791" s="25" t="s">
        <v>7473</v>
      </c>
      <c r="H5791" s="26">
        <v>-0.59397599999999995</v>
      </c>
      <c r="I5791" s="26"/>
      <c r="J5791" s="26" t="s">
        <v>512</v>
      </c>
      <c r="K5791" s="25" t="s">
        <v>513</v>
      </c>
      <c r="L5791" s="8"/>
    </row>
    <row r="5792" spans="1:12" ht="25.5" x14ac:dyDescent="0.25">
      <c r="A5792" s="22">
        <v>2026</v>
      </c>
      <c r="B5792" s="28" t="s">
        <v>237</v>
      </c>
      <c r="C5792" s="28" t="s">
        <v>97</v>
      </c>
      <c r="D5792" s="28" t="s">
        <v>1701</v>
      </c>
      <c r="E5792" s="29" t="s">
        <v>331</v>
      </c>
      <c r="F5792" s="29" t="s">
        <v>566</v>
      </c>
      <c r="G5792" s="25" t="s">
        <v>7474</v>
      </c>
      <c r="H5792" s="26">
        <v>-0.74809499999999995</v>
      </c>
      <c r="I5792" s="26"/>
      <c r="J5792" s="26" t="s">
        <v>512</v>
      </c>
      <c r="K5792" s="25" t="s">
        <v>513</v>
      </c>
      <c r="L5792" s="8"/>
    </row>
    <row r="5793" spans="1:12" ht="25.5" x14ac:dyDescent="0.25">
      <c r="A5793" s="22">
        <v>2026</v>
      </c>
      <c r="B5793" s="28" t="s">
        <v>237</v>
      </c>
      <c r="C5793" s="28" t="s">
        <v>97</v>
      </c>
      <c r="D5793" s="28" t="s">
        <v>1701</v>
      </c>
      <c r="E5793" s="29" t="s">
        <v>331</v>
      </c>
      <c r="F5793" s="29" t="s">
        <v>566</v>
      </c>
      <c r="G5793" s="25" t="s">
        <v>7475</v>
      </c>
      <c r="H5793" s="26">
        <v>-1.9246000000000001</v>
      </c>
      <c r="I5793" s="26"/>
      <c r="J5793" s="26" t="s">
        <v>512</v>
      </c>
      <c r="K5793" s="25" t="s">
        <v>513</v>
      </c>
      <c r="L5793" s="8"/>
    </row>
    <row r="5794" spans="1:12" ht="25.5" x14ac:dyDescent="0.25">
      <c r="A5794" s="22">
        <v>2026</v>
      </c>
      <c r="B5794" s="28" t="s">
        <v>237</v>
      </c>
      <c r="C5794" s="28" t="s">
        <v>97</v>
      </c>
      <c r="D5794" s="28" t="s">
        <v>1701</v>
      </c>
      <c r="E5794" s="29" t="s">
        <v>331</v>
      </c>
      <c r="F5794" s="29" t="s">
        <v>566</v>
      </c>
      <c r="G5794" s="25" t="s">
        <v>7476</v>
      </c>
      <c r="H5794" s="26">
        <v>-0.72707250000000001</v>
      </c>
      <c r="I5794" s="26"/>
      <c r="J5794" s="26" t="s">
        <v>512</v>
      </c>
      <c r="K5794" s="25" t="s">
        <v>513</v>
      </c>
      <c r="L5794" s="8"/>
    </row>
    <row r="5795" spans="1:12" ht="25.5" x14ac:dyDescent="0.25">
      <c r="A5795" s="22">
        <v>2026</v>
      </c>
      <c r="B5795" s="28" t="s">
        <v>237</v>
      </c>
      <c r="C5795" s="28" t="s">
        <v>97</v>
      </c>
      <c r="D5795" s="28" t="s">
        <v>1701</v>
      </c>
      <c r="E5795" s="29" t="s">
        <v>331</v>
      </c>
      <c r="F5795" s="29" t="s">
        <v>566</v>
      </c>
      <c r="G5795" s="25" t="s">
        <v>7477</v>
      </c>
      <c r="H5795" s="26">
        <v>-1.93764</v>
      </c>
      <c r="I5795" s="26"/>
      <c r="J5795" s="26" t="s">
        <v>512</v>
      </c>
      <c r="K5795" s="25" t="s">
        <v>513</v>
      </c>
      <c r="L5795" s="8"/>
    </row>
    <row r="5796" spans="1:12" ht="25.5" x14ac:dyDescent="0.25">
      <c r="A5796" s="22">
        <v>2026</v>
      </c>
      <c r="B5796" s="28" t="s">
        <v>237</v>
      </c>
      <c r="C5796" s="28" t="s">
        <v>97</v>
      </c>
      <c r="D5796" s="28" t="s">
        <v>1701</v>
      </c>
      <c r="E5796" s="29" t="s">
        <v>331</v>
      </c>
      <c r="F5796" s="29" t="s">
        <v>566</v>
      </c>
      <c r="G5796" s="25" t="s">
        <v>7478</v>
      </c>
      <c r="H5796" s="26">
        <v>-1.2121124999999999</v>
      </c>
      <c r="I5796" s="26"/>
      <c r="J5796" s="26" t="s">
        <v>512</v>
      </c>
      <c r="K5796" s="25" t="s">
        <v>513</v>
      </c>
      <c r="L5796" s="8"/>
    </row>
    <row r="5797" spans="1:12" ht="25.5" x14ac:dyDescent="0.25">
      <c r="A5797" s="22">
        <v>2026</v>
      </c>
      <c r="B5797" s="28" t="s">
        <v>237</v>
      </c>
      <c r="C5797" s="28" t="s">
        <v>97</v>
      </c>
      <c r="D5797" s="28" t="s">
        <v>1701</v>
      </c>
      <c r="E5797" s="29" t="s">
        <v>331</v>
      </c>
      <c r="F5797" s="29" t="s">
        <v>566</v>
      </c>
      <c r="G5797" s="25" t="s">
        <v>7479</v>
      </c>
      <c r="H5797" s="26">
        <v>-0.34055000000000002</v>
      </c>
      <c r="I5797" s="26"/>
      <c r="J5797" s="26" t="s">
        <v>512</v>
      </c>
      <c r="K5797" s="25" t="s">
        <v>513</v>
      </c>
      <c r="L5797" s="8"/>
    </row>
    <row r="5798" spans="1:12" ht="25.5" x14ac:dyDescent="0.25">
      <c r="A5798" s="22">
        <v>2026</v>
      </c>
      <c r="B5798" s="28" t="s">
        <v>237</v>
      </c>
      <c r="C5798" s="28" t="s">
        <v>97</v>
      </c>
      <c r="D5798" s="28" t="s">
        <v>201</v>
      </c>
      <c r="E5798" s="29" t="s">
        <v>331</v>
      </c>
      <c r="F5798" s="29" t="s">
        <v>316</v>
      </c>
      <c r="G5798" s="25" t="s">
        <v>7480</v>
      </c>
      <c r="H5798" s="26">
        <v>-0.44840050919999996</v>
      </c>
      <c r="I5798" s="26"/>
      <c r="J5798" s="26" t="s">
        <v>512</v>
      </c>
      <c r="K5798" s="25" t="s">
        <v>513</v>
      </c>
      <c r="L5798" s="8"/>
    </row>
    <row r="5799" spans="1:12" ht="25.5" x14ac:dyDescent="0.25">
      <c r="A5799" s="22">
        <v>2026</v>
      </c>
      <c r="B5799" s="28" t="s">
        <v>237</v>
      </c>
      <c r="C5799" s="28" t="s">
        <v>97</v>
      </c>
      <c r="D5799" s="28" t="s">
        <v>201</v>
      </c>
      <c r="E5799" s="29" t="s">
        <v>331</v>
      </c>
      <c r="F5799" s="29" t="s">
        <v>316</v>
      </c>
      <c r="G5799" s="25" t="s">
        <v>7481</v>
      </c>
      <c r="H5799" s="26">
        <v>-0.10824</v>
      </c>
      <c r="I5799" s="26"/>
      <c r="J5799" s="26" t="s">
        <v>512</v>
      </c>
      <c r="K5799" s="25" t="s">
        <v>513</v>
      </c>
      <c r="L5799" s="8"/>
    </row>
    <row r="5800" spans="1:12" ht="25.5" x14ac:dyDescent="0.25">
      <c r="A5800" s="22">
        <v>2026</v>
      </c>
      <c r="B5800" s="28" t="s">
        <v>237</v>
      </c>
      <c r="C5800" s="28" t="s">
        <v>97</v>
      </c>
      <c r="D5800" s="28" t="s">
        <v>201</v>
      </c>
      <c r="E5800" s="29" t="s">
        <v>331</v>
      </c>
      <c r="F5800" s="29" t="s">
        <v>316</v>
      </c>
      <c r="G5800" s="25" t="s">
        <v>7482</v>
      </c>
      <c r="H5800" s="26">
        <v>-0.63948000000000005</v>
      </c>
      <c r="I5800" s="26"/>
      <c r="J5800" s="26" t="s">
        <v>512</v>
      </c>
      <c r="K5800" s="25" t="s">
        <v>513</v>
      </c>
      <c r="L5800" s="8"/>
    </row>
    <row r="5801" spans="1:12" ht="25.5" x14ac:dyDescent="0.25">
      <c r="A5801" s="22">
        <v>2026</v>
      </c>
      <c r="B5801" s="28" t="s">
        <v>237</v>
      </c>
      <c r="C5801" s="28" t="s">
        <v>97</v>
      </c>
      <c r="D5801" s="28" t="s">
        <v>201</v>
      </c>
      <c r="E5801" s="29" t="s">
        <v>331</v>
      </c>
      <c r="F5801" s="29" t="s">
        <v>316</v>
      </c>
      <c r="G5801" s="25" t="s">
        <v>7483</v>
      </c>
      <c r="H5801" s="26">
        <v>-0.17577999999999999</v>
      </c>
      <c r="I5801" s="26"/>
      <c r="J5801" s="26" t="s">
        <v>512</v>
      </c>
      <c r="K5801" s="25" t="s">
        <v>513</v>
      </c>
      <c r="L5801" s="8"/>
    </row>
    <row r="5802" spans="1:12" ht="25.5" x14ac:dyDescent="0.25">
      <c r="A5802" s="22">
        <v>2026</v>
      </c>
      <c r="B5802" s="28" t="s">
        <v>237</v>
      </c>
      <c r="C5802" s="28" t="s">
        <v>97</v>
      </c>
      <c r="D5802" s="28" t="s">
        <v>201</v>
      </c>
      <c r="E5802" s="29" t="s">
        <v>331</v>
      </c>
      <c r="F5802" s="29" t="s">
        <v>316</v>
      </c>
      <c r="G5802" s="25" t="s">
        <v>7484</v>
      </c>
      <c r="H5802" s="26">
        <v>-0.80520000000000003</v>
      </c>
      <c r="I5802" s="26"/>
      <c r="J5802" s="26" t="s">
        <v>512</v>
      </c>
      <c r="K5802" s="25" t="s">
        <v>513</v>
      </c>
      <c r="L5802" s="8"/>
    </row>
    <row r="5803" spans="1:12" ht="25.5" x14ac:dyDescent="0.25">
      <c r="A5803" s="22">
        <v>2026</v>
      </c>
      <c r="B5803" s="28" t="s">
        <v>237</v>
      </c>
      <c r="C5803" s="28" t="s">
        <v>97</v>
      </c>
      <c r="D5803" s="28" t="s">
        <v>201</v>
      </c>
      <c r="E5803" s="29" t="s">
        <v>331</v>
      </c>
      <c r="F5803" s="29" t="s">
        <v>316</v>
      </c>
      <c r="G5803" s="25" t="s">
        <v>7485</v>
      </c>
      <c r="H5803" s="26">
        <v>-0.68090632900000003</v>
      </c>
      <c r="I5803" s="26"/>
      <c r="J5803" s="26" t="s">
        <v>512</v>
      </c>
      <c r="K5803" s="25" t="s">
        <v>513</v>
      </c>
      <c r="L5803" s="8"/>
    </row>
    <row r="5804" spans="1:12" ht="25.5" x14ac:dyDescent="0.25">
      <c r="A5804" s="22">
        <v>2026</v>
      </c>
      <c r="B5804" s="28" t="s">
        <v>237</v>
      </c>
      <c r="C5804" s="28" t="s">
        <v>97</v>
      </c>
      <c r="D5804" s="28" t="s">
        <v>201</v>
      </c>
      <c r="E5804" s="29" t="s">
        <v>331</v>
      </c>
      <c r="F5804" s="29" t="s">
        <v>316</v>
      </c>
      <c r="G5804" s="25" t="s">
        <v>7486</v>
      </c>
      <c r="H5804" s="26">
        <v>-0.22797804930000001</v>
      </c>
      <c r="I5804" s="26"/>
      <c r="J5804" s="26" t="s">
        <v>512</v>
      </c>
      <c r="K5804" s="25" t="s">
        <v>513</v>
      </c>
      <c r="L5804" s="8"/>
    </row>
    <row r="5805" spans="1:12" ht="25.5" x14ac:dyDescent="0.25">
      <c r="A5805" s="22">
        <v>2026</v>
      </c>
      <c r="B5805" s="28" t="s">
        <v>237</v>
      </c>
      <c r="C5805" s="28" t="s">
        <v>97</v>
      </c>
      <c r="D5805" s="28" t="s">
        <v>201</v>
      </c>
      <c r="E5805" s="29" t="s">
        <v>331</v>
      </c>
      <c r="F5805" s="29" t="s">
        <v>316</v>
      </c>
      <c r="G5805" s="25" t="s">
        <v>7487</v>
      </c>
      <c r="H5805" s="26">
        <v>-4.4437512000000005E-2</v>
      </c>
      <c r="I5805" s="26"/>
      <c r="J5805" s="26" t="s">
        <v>512</v>
      </c>
      <c r="K5805" s="25" t="s">
        <v>513</v>
      </c>
      <c r="L5805" s="8"/>
    </row>
    <row r="5806" spans="1:12" ht="25.5" x14ac:dyDescent="0.25">
      <c r="A5806" s="22">
        <v>2026</v>
      </c>
      <c r="B5806" s="28" t="s">
        <v>237</v>
      </c>
      <c r="C5806" s="28" t="s">
        <v>97</v>
      </c>
      <c r="D5806" s="28" t="s">
        <v>532</v>
      </c>
      <c r="E5806" s="29" t="s">
        <v>331</v>
      </c>
      <c r="F5806" s="29" t="s">
        <v>386</v>
      </c>
      <c r="G5806" s="25" t="s">
        <v>7488</v>
      </c>
      <c r="H5806" s="26">
        <v>-0.21029119760000001</v>
      </c>
      <c r="I5806" s="26"/>
      <c r="J5806" s="26" t="s">
        <v>512</v>
      </c>
      <c r="K5806" s="25" t="s">
        <v>513</v>
      </c>
      <c r="L5806" s="8"/>
    </row>
    <row r="5807" spans="1:12" ht="25.5" x14ac:dyDescent="0.25">
      <c r="A5807" s="22">
        <v>2026</v>
      </c>
      <c r="B5807" s="28" t="s">
        <v>237</v>
      </c>
      <c r="C5807" s="28" t="s">
        <v>97</v>
      </c>
      <c r="D5807" s="28" t="s">
        <v>532</v>
      </c>
      <c r="E5807" s="29" t="s">
        <v>331</v>
      </c>
      <c r="F5807" s="29" t="s">
        <v>386</v>
      </c>
      <c r="G5807" s="25" t="s">
        <v>7489</v>
      </c>
      <c r="H5807" s="26">
        <v>-0.15775500000000001</v>
      </c>
      <c r="I5807" s="26"/>
      <c r="J5807" s="26" t="s">
        <v>512</v>
      </c>
      <c r="K5807" s="25" t="s">
        <v>513</v>
      </c>
      <c r="L5807" s="8"/>
    </row>
    <row r="5808" spans="1:12" ht="25.5" x14ac:dyDescent="0.25">
      <c r="A5808" s="22">
        <v>2026</v>
      </c>
      <c r="B5808" s="28" t="s">
        <v>237</v>
      </c>
      <c r="C5808" s="28" t="s">
        <v>97</v>
      </c>
      <c r="D5808" s="28" t="s">
        <v>532</v>
      </c>
      <c r="E5808" s="29" t="s">
        <v>331</v>
      </c>
      <c r="F5808" s="29" t="s">
        <v>386</v>
      </c>
      <c r="G5808" s="25" t="s">
        <v>7490</v>
      </c>
      <c r="H5808" s="26">
        <v>-0.1069725</v>
      </c>
      <c r="I5808" s="26"/>
      <c r="J5808" s="26" t="s">
        <v>512</v>
      </c>
      <c r="K5808" s="25" t="s">
        <v>513</v>
      </c>
      <c r="L5808" s="8"/>
    </row>
    <row r="5809" spans="1:12" ht="25.5" x14ac:dyDescent="0.25">
      <c r="A5809" s="22">
        <v>2026</v>
      </c>
      <c r="B5809" s="28" t="s">
        <v>237</v>
      </c>
      <c r="C5809" s="28" t="s">
        <v>97</v>
      </c>
      <c r="D5809" s="28" t="s">
        <v>532</v>
      </c>
      <c r="E5809" s="29" t="s">
        <v>331</v>
      </c>
      <c r="F5809" s="29" t="s">
        <v>386</v>
      </c>
      <c r="G5809" s="25" t="s">
        <v>7491</v>
      </c>
      <c r="H5809" s="26">
        <v>-0.2205</v>
      </c>
      <c r="I5809" s="26"/>
      <c r="J5809" s="26" t="s">
        <v>512</v>
      </c>
      <c r="K5809" s="25" t="s">
        <v>513</v>
      </c>
      <c r="L5809" s="8"/>
    </row>
    <row r="5810" spans="1:12" ht="25.5" x14ac:dyDescent="0.25">
      <c r="A5810" s="22">
        <v>2026</v>
      </c>
      <c r="B5810" s="28" t="s">
        <v>237</v>
      </c>
      <c r="C5810" s="28" t="s">
        <v>97</v>
      </c>
      <c r="D5810" s="28" t="s">
        <v>532</v>
      </c>
      <c r="E5810" s="29" t="s">
        <v>331</v>
      </c>
      <c r="F5810" s="29" t="s">
        <v>386</v>
      </c>
      <c r="G5810" s="25" t="s">
        <v>7492</v>
      </c>
      <c r="H5810" s="26">
        <v>-0.1273802</v>
      </c>
      <c r="I5810" s="26"/>
      <c r="J5810" s="26" t="s">
        <v>512</v>
      </c>
      <c r="K5810" s="25" t="s">
        <v>513</v>
      </c>
      <c r="L5810" s="8"/>
    </row>
    <row r="5811" spans="1:12" ht="25.5" x14ac:dyDescent="0.25">
      <c r="A5811" s="22">
        <v>2026</v>
      </c>
      <c r="B5811" s="28" t="s">
        <v>237</v>
      </c>
      <c r="C5811" s="28" t="s">
        <v>97</v>
      </c>
      <c r="D5811" s="28" t="s">
        <v>532</v>
      </c>
      <c r="E5811" s="29" t="s">
        <v>331</v>
      </c>
      <c r="F5811" s="29" t="s">
        <v>386</v>
      </c>
      <c r="G5811" s="25" t="s">
        <v>7493</v>
      </c>
      <c r="H5811" s="26">
        <v>-9.4698000000000004E-2</v>
      </c>
      <c r="I5811" s="26"/>
      <c r="J5811" s="26" t="s">
        <v>512</v>
      </c>
      <c r="K5811" s="25" t="s">
        <v>513</v>
      </c>
      <c r="L5811" s="8"/>
    </row>
    <row r="5812" spans="1:12" ht="25.5" x14ac:dyDescent="0.25">
      <c r="A5812" s="22">
        <v>2026</v>
      </c>
      <c r="B5812" s="28" t="s">
        <v>237</v>
      </c>
      <c r="C5812" s="28" t="s">
        <v>97</v>
      </c>
      <c r="D5812" s="28" t="s">
        <v>532</v>
      </c>
      <c r="E5812" s="29" t="s">
        <v>331</v>
      </c>
      <c r="F5812" s="29" t="s">
        <v>386</v>
      </c>
      <c r="G5812" s="25" t="s">
        <v>7494</v>
      </c>
      <c r="H5812" s="26">
        <v>-6.6319410000000009E-2</v>
      </c>
      <c r="I5812" s="26"/>
      <c r="J5812" s="26" t="s">
        <v>512</v>
      </c>
      <c r="K5812" s="25" t="s">
        <v>513</v>
      </c>
      <c r="L5812" s="8"/>
    </row>
    <row r="5813" spans="1:12" ht="25.5" x14ac:dyDescent="0.25">
      <c r="A5813" s="22">
        <v>2026</v>
      </c>
      <c r="B5813" s="28" t="s">
        <v>237</v>
      </c>
      <c r="C5813" s="28" t="s">
        <v>97</v>
      </c>
      <c r="D5813" s="28" t="s">
        <v>532</v>
      </c>
      <c r="E5813" s="29" t="s">
        <v>331</v>
      </c>
      <c r="F5813" s="29" t="s">
        <v>386</v>
      </c>
      <c r="G5813" s="25" t="s">
        <v>7495</v>
      </c>
      <c r="H5813" s="26">
        <v>-0.1278775056</v>
      </c>
      <c r="I5813" s="26"/>
      <c r="J5813" s="26" t="s">
        <v>512</v>
      </c>
      <c r="K5813" s="25" t="s">
        <v>513</v>
      </c>
      <c r="L5813" s="8"/>
    </row>
    <row r="5814" spans="1:12" ht="25.5" x14ac:dyDescent="0.25">
      <c r="A5814" s="22">
        <v>2026</v>
      </c>
      <c r="B5814" s="28" t="s">
        <v>237</v>
      </c>
      <c r="C5814" s="28" t="s">
        <v>97</v>
      </c>
      <c r="D5814" s="28" t="s">
        <v>532</v>
      </c>
      <c r="E5814" s="29" t="s">
        <v>331</v>
      </c>
      <c r="F5814" s="29" t="s">
        <v>386</v>
      </c>
      <c r="G5814" s="25" t="s">
        <v>7496</v>
      </c>
      <c r="H5814" s="26">
        <v>-5.2249999999999998E-2</v>
      </c>
      <c r="I5814" s="26"/>
      <c r="J5814" s="26" t="s">
        <v>512</v>
      </c>
      <c r="K5814" s="25" t="s">
        <v>513</v>
      </c>
      <c r="L5814" s="8"/>
    </row>
    <row r="5815" spans="1:12" ht="25.5" x14ac:dyDescent="0.25">
      <c r="A5815" s="22">
        <v>2026</v>
      </c>
      <c r="B5815" s="28" t="s">
        <v>237</v>
      </c>
      <c r="C5815" s="28" t="s">
        <v>97</v>
      </c>
      <c r="D5815" s="28" t="s">
        <v>532</v>
      </c>
      <c r="E5815" s="29" t="s">
        <v>331</v>
      </c>
      <c r="F5815" s="29" t="s">
        <v>386</v>
      </c>
      <c r="G5815" s="25" t="s">
        <v>7497</v>
      </c>
      <c r="H5815" s="26">
        <v>-2.5080000000000002E-2</v>
      </c>
      <c r="I5815" s="26"/>
      <c r="J5815" s="26" t="s">
        <v>512</v>
      </c>
      <c r="K5815" s="25" t="s">
        <v>513</v>
      </c>
      <c r="L5815" s="8"/>
    </row>
    <row r="5816" spans="1:12" ht="25.5" x14ac:dyDescent="0.25">
      <c r="A5816" s="22">
        <v>2026</v>
      </c>
      <c r="B5816" s="28" t="s">
        <v>237</v>
      </c>
      <c r="C5816" s="28" t="s">
        <v>97</v>
      </c>
      <c r="D5816" s="28" t="s">
        <v>532</v>
      </c>
      <c r="E5816" s="29" t="s">
        <v>331</v>
      </c>
      <c r="F5816" s="29" t="s">
        <v>386</v>
      </c>
      <c r="G5816" s="25" t="s">
        <v>7498</v>
      </c>
      <c r="H5816" s="26">
        <v>-0.24652560000000001</v>
      </c>
      <c r="I5816" s="26"/>
      <c r="J5816" s="26" t="s">
        <v>512</v>
      </c>
      <c r="K5816" s="25" t="s">
        <v>513</v>
      </c>
      <c r="L5816" s="8"/>
    </row>
    <row r="5817" spans="1:12" ht="25.5" x14ac:dyDescent="0.25">
      <c r="A5817" s="22">
        <v>2026</v>
      </c>
      <c r="B5817" s="28" t="s">
        <v>237</v>
      </c>
      <c r="C5817" s="28" t="s">
        <v>97</v>
      </c>
      <c r="D5817" s="28" t="s">
        <v>532</v>
      </c>
      <c r="E5817" s="29" t="s">
        <v>331</v>
      </c>
      <c r="F5817" s="29" t="s">
        <v>386</v>
      </c>
      <c r="G5817" s="25" t="s">
        <v>7499</v>
      </c>
      <c r="H5817" s="26">
        <v>-0.1095139</v>
      </c>
      <c r="I5817" s="26"/>
      <c r="J5817" s="26" t="s">
        <v>512</v>
      </c>
      <c r="K5817" s="25" t="s">
        <v>513</v>
      </c>
      <c r="L5817" s="8"/>
    </row>
    <row r="5818" spans="1:12" ht="25.5" x14ac:dyDescent="0.25">
      <c r="A5818" s="22">
        <v>2026</v>
      </c>
      <c r="B5818" s="28" t="s">
        <v>237</v>
      </c>
      <c r="C5818" s="28" t="s">
        <v>97</v>
      </c>
      <c r="D5818" s="28" t="s">
        <v>532</v>
      </c>
      <c r="E5818" s="29" t="s">
        <v>331</v>
      </c>
      <c r="F5818" s="29" t="s">
        <v>386</v>
      </c>
      <c r="G5818" s="25" t="s">
        <v>7500</v>
      </c>
      <c r="H5818" s="26">
        <v>-2.912E-2</v>
      </c>
      <c r="I5818" s="26"/>
      <c r="J5818" s="26" t="s">
        <v>512</v>
      </c>
      <c r="K5818" s="25" t="s">
        <v>513</v>
      </c>
      <c r="L5818" s="8"/>
    </row>
    <row r="5819" spans="1:12" ht="25.5" x14ac:dyDescent="0.25">
      <c r="A5819" s="22">
        <v>2026</v>
      </c>
      <c r="B5819" s="28" t="s">
        <v>237</v>
      </c>
      <c r="C5819" s="28" t="s">
        <v>97</v>
      </c>
      <c r="D5819" s="28" t="s">
        <v>532</v>
      </c>
      <c r="E5819" s="29" t="s">
        <v>331</v>
      </c>
      <c r="F5819" s="29" t="s">
        <v>386</v>
      </c>
      <c r="G5819" s="25" t="s">
        <v>7501</v>
      </c>
      <c r="H5819" s="26">
        <v>-0.1358381618</v>
      </c>
      <c r="I5819" s="26"/>
      <c r="J5819" s="26" t="s">
        <v>512</v>
      </c>
      <c r="K5819" s="25" t="s">
        <v>513</v>
      </c>
      <c r="L5819" s="8"/>
    </row>
    <row r="5820" spans="1:12" ht="25.5" x14ac:dyDescent="0.25">
      <c r="A5820" s="22">
        <v>2026</v>
      </c>
      <c r="B5820" s="28" t="s">
        <v>237</v>
      </c>
      <c r="C5820" s="28" t="s">
        <v>97</v>
      </c>
      <c r="D5820" s="28" t="s">
        <v>532</v>
      </c>
      <c r="E5820" s="29" t="s">
        <v>331</v>
      </c>
      <c r="F5820" s="29" t="s">
        <v>386</v>
      </c>
      <c r="G5820" s="25" t="s">
        <v>7502</v>
      </c>
      <c r="H5820" s="26">
        <v>-0.15971817399999999</v>
      </c>
      <c r="I5820" s="26"/>
      <c r="J5820" s="26" t="s">
        <v>512</v>
      </c>
      <c r="K5820" s="25" t="s">
        <v>513</v>
      </c>
      <c r="L5820" s="8"/>
    </row>
    <row r="5821" spans="1:12" ht="25.5" x14ac:dyDescent="0.25">
      <c r="A5821" s="22">
        <v>2026</v>
      </c>
      <c r="B5821" s="28" t="s">
        <v>237</v>
      </c>
      <c r="C5821" s="28" t="s">
        <v>97</v>
      </c>
      <c r="D5821" s="28" t="s">
        <v>532</v>
      </c>
      <c r="E5821" s="29" t="s">
        <v>331</v>
      </c>
      <c r="F5821" s="29" t="s">
        <v>386</v>
      </c>
      <c r="G5821" s="25" t="s">
        <v>7503</v>
      </c>
      <c r="H5821" s="26">
        <v>-9.4950000000000007E-2</v>
      </c>
      <c r="I5821" s="26"/>
      <c r="J5821" s="26" t="s">
        <v>512</v>
      </c>
      <c r="K5821" s="25" t="s">
        <v>513</v>
      </c>
      <c r="L5821" s="8"/>
    </row>
    <row r="5822" spans="1:12" ht="25.5" x14ac:dyDescent="0.25">
      <c r="A5822" s="22">
        <v>2026</v>
      </c>
      <c r="B5822" s="28" t="s">
        <v>237</v>
      </c>
      <c r="C5822" s="28" t="s">
        <v>97</v>
      </c>
      <c r="D5822" s="28" t="s">
        <v>532</v>
      </c>
      <c r="E5822" s="29" t="s">
        <v>331</v>
      </c>
      <c r="F5822" s="29" t="s">
        <v>386</v>
      </c>
      <c r="G5822" s="25" t="s">
        <v>7504</v>
      </c>
      <c r="H5822" s="26">
        <v>-8.839764E-2</v>
      </c>
      <c r="I5822" s="26"/>
      <c r="J5822" s="26" t="s">
        <v>512</v>
      </c>
      <c r="K5822" s="25" t="s">
        <v>513</v>
      </c>
      <c r="L5822" s="8"/>
    </row>
    <row r="5823" spans="1:12" ht="25.5" x14ac:dyDescent="0.25">
      <c r="A5823" s="22">
        <v>2026</v>
      </c>
      <c r="B5823" s="28" t="s">
        <v>237</v>
      </c>
      <c r="C5823" s="28" t="s">
        <v>97</v>
      </c>
      <c r="D5823" s="28" t="s">
        <v>1702</v>
      </c>
      <c r="E5823" s="29" t="s">
        <v>1763</v>
      </c>
      <c r="F5823" s="29" t="s">
        <v>378</v>
      </c>
      <c r="G5823" s="25" t="s">
        <v>7505</v>
      </c>
      <c r="H5823" s="26">
        <v>-5.7445050000000004E-2</v>
      </c>
      <c r="I5823" s="26"/>
      <c r="J5823" s="26" t="s">
        <v>514</v>
      </c>
      <c r="K5823" s="25" t="s">
        <v>513</v>
      </c>
      <c r="L5823" s="8"/>
    </row>
    <row r="5824" spans="1:12" ht="25.5" x14ac:dyDescent="0.25">
      <c r="A5824" s="22">
        <v>2026</v>
      </c>
      <c r="B5824" s="28" t="s">
        <v>237</v>
      </c>
      <c r="C5824" s="28" t="s">
        <v>97</v>
      </c>
      <c r="D5824" s="28" t="s">
        <v>1702</v>
      </c>
      <c r="E5824" s="29" t="s">
        <v>1763</v>
      </c>
      <c r="F5824" s="29" t="s">
        <v>378</v>
      </c>
      <c r="G5824" s="25" t="s">
        <v>7506</v>
      </c>
      <c r="H5824" s="26">
        <v>-3.4000000000000002E-2</v>
      </c>
      <c r="I5824" s="26"/>
      <c r="J5824" s="26" t="s">
        <v>514</v>
      </c>
      <c r="K5824" s="25" t="s">
        <v>513</v>
      </c>
      <c r="L5824" s="8"/>
    </row>
    <row r="5825" spans="1:12" ht="25.5" x14ac:dyDescent="0.25">
      <c r="A5825" s="22">
        <v>2026</v>
      </c>
      <c r="B5825" s="28" t="s">
        <v>237</v>
      </c>
      <c r="C5825" s="28" t="s">
        <v>97</v>
      </c>
      <c r="D5825" s="28" t="s">
        <v>1702</v>
      </c>
      <c r="E5825" s="29" t="s">
        <v>1763</v>
      </c>
      <c r="F5825" s="29" t="s">
        <v>378</v>
      </c>
      <c r="G5825" s="25" t="s">
        <v>7507</v>
      </c>
      <c r="H5825" s="26">
        <v>-3.92664E-2</v>
      </c>
      <c r="I5825" s="26"/>
      <c r="J5825" s="26" t="s">
        <v>514</v>
      </c>
      <c r="K5825" s="25" t="s">
        <v>513</v>
      </c>
      <c r="L5825" s="8"/>
    </row>
    <row r="5826" spans="1:12" ht="25.5" x14ac:dyDescent="0.25">
      <c r="A5826" s="22">
        <v>2026</v>
      </c>
      <c r="B5826" s="28" t="s">
        <v>237</v>
      </c>
      <c r="C5826" s="28" t="s">
        <v>97</v>
      </c>
      <c r="D5826" s="28" t="s">
        <v>1702</v>
      </c>
      <c r="E5826" s="29" t="s">
        <v>1763</v>
      </c>
      <c r="F5826" s="29" t="s">
        <v>378</v>
      </c>
      <c r="G5826" s="25" t="s">
        <v>7508</v>
      </c>
      <c r="H5826" s="26">
        <v>-3.1449999999999999E-2</v>
      </c>
      <c r="I5826" s="26"/>
      <c r="J5826" s="26" t="s">
        <v>514</v>
      </c>
      <c r="K5826" s="25" t="s">
        <v>513</v>
      </c>
      <c r="L5826" s="8"/>
    </row>
    <row r="5827" spans="1:12" ht="25.5" x14ac:dyDescent="0.25">
      <c r="A5827" s="22">
        <v>2026</v>
      </c>
      <c r="B5827" s="28" t="s">
        <v>237</v>
      </c>
      <c r="C5827" s="28" t="s">
        <v>97</v>
      </c>
      <c r="D5827" s="28" t="s">
        <v>1703</v>
      </c>
      <c r="E5827" s="29" t="s">
        <v>569</v>
      </c>
      <c r="F5827" s="29" t="s">
        <v>298</v>
      </c>
      <c r="G5827" s="25" t="s">
        <v>7509</v>
      </c>
      <c r="H5827" s="26">
        <v>-0.29934800919999999</v>
      </c>
      <c r="I5827" s="26"/>
      <c r="J5827" s="26" t="s">
        <v>512</v>
      </c>
      <c r="K5827" s="25" t="s">
        <v>526</v>
      </c>
      <c r="L5827" s="8"/>
    </row>
    <row r="5828" spans="1:12" ht="25.5" x14ac:dyDescent="0.25">
      <c r="A5828" s="22">
        <v>2026</v>
      </c>
      <c r="B5828" s="28" t="s">
        <v>237</v>
      </c>
      <c r="C5828" s="28" t="s">
        <v>97</v>
      </c>
      <c r="D5828" s="28" t="s">
        <v>1703</v>
      </c>
      <c r="E5828" s="29" t="s">
        <v>569</v>
      </c>
      <c r="F5828" s="29" t="s">
        <v>298</v>
      </c>
      <c r="G5828" s="25" t="s">
        <v>7510</v>
      </c>
      <c r="H5828" s="26">
        <v>-0.41855061112000003</v>
      </c>
      <c r="I5828" s="26"/>
      <c r="J5828" s="26" t="s">
        <v>512</v>
      </c>
      <c r="K5828" s="25" t="s">
        <v>526</v>
      </c>
      <c r="L5828" s="8"/>
    </row>
    <row r="5829" spans="1:12" ht="25.5" x14ac:dyDescent="0.25">
      <c r="A5829" s="22">
        <v>2026</v>
      </c>
      <c r="B5829" s="28" t="s">
        <v>237</v>
      </c>
      <c r="C5829" s="28" t="s">
        <v>97</v>
      </c>
      <c r="D5829" s="28" t="s">
        <v>1703</v>
      </c>
      <c r="E5829" s="29" t="s">
        <v>569</v>
      </c>
      <c r="F5829" s="29" t="s">
        <v>298</v>
      </c>
      <c r="G5829" s="25" t="s">
        <v>7511</v>
      </c>
      <c r="H5829" s="26">
        <v>-0.59937600000000002</v>
      </c>
      <c r="I5829" s="26"/>
      <c r="J5829" s="26" t="s">
        <v>512</v>
      </c>
      <c r="K5829" s="25" t="s">
        <v>526</v>
      </c>
      <c r="L5829" s="8"/>
    </row>
    <row r="5830" spans="1:12" ht="25.5" x14ac:dyDescent="0.25">
      <c r="A5830" s="22">
        <v>2026</v>
      </c>
      <c r="B5830" s="28" t="s">
        <v>237</v>
      </c>
      <c r="C5830" s="28" t="s">
        <v>97</v>
      </c>
      <c r="D5830" s="28" t="s">
        <v>1703</v>
      </c>
      <c r="E5830" s="29" t="s">
        <v>569</v>
      </c>
      <c r="F5830" s="29" t="s">
        <v>298</v>
      </c>
      <c r="G5830" s="25" t="s">
        <v>7512</v>
      </c>
      <c r="H5830" s="26">
        <v>-0.59084400000000004</v>
      </c>
      <c r="I5830" s="26"/>
      <c r="J5830" s="26" t="s">
        <v>512</v>
      </c>
      <c r="K5830" s="25" t="s">
        <v>526</v>
      </c>
      <c r="L5830" s="8"/>
    </row>
    <row r="5831" spans="1:12" ht="25.5" x14ac:dyDescent="0.25">
      <c r="A5831" s="22">
        <v>2026</v>
      </c>
      <c r="B5831" s="28" t="s">
        <v>237</v>
      </c>
      <c r="C5831" s="28" t="s">
        <v>97</v>
      </c>
      <c r="D5831" s="28" t="s">
        <v>1703</v>
      </c>
      <c r="E5831" s="29" t="s">
        <v>569</v>
      </c>
      <c r="F5831" s="29" t="s">
        <v>298</v>
      </c>
      <c r="G5831" s="25" t="s">
        <v>7513</v>
      </c>
      <c r="H5831" s="26">
        <v>-0.59011599999999997</v>
      </c>
      <c r="I5831" s="26"/>
      <c r="J5831" s="26" t="s">
        <v>512</v>
      </c>
      <c r="K5831" s="25" t="s">
        <v>526</v>
      </c>
      <c r="L5831" s="8"/>
    </row>
    <row r="5832" spans="1:12" ht="25.5" x14ac:dyDescent="0.25">
      <c r="A5832" s="22">
        <v>2026</v>
      </c>
      <c r="B5832" s="28" t="s">
        <v>237</v>
      </c>
      <c r="C5832" s="28" t="s">
        <v>97</v>
      </c>
      <c r="D5832" s="28" t="s">
        <v>1703</v>
      </c>
      <c r="E5832" s="29" t="s">
        <v>569</v>
      </c>
      <c r="F5832" s="29" t="s">
        <v>298</v>
      </c>
      <c r="G5832" s="25" t="s">
        <v>7514</v>
      </c>
      <c r="H5832" s="26">
        <v>-0.53184880000000001</v>
      </c>
      <c r="I5832" s="26"/>
      <c r="J5832" s="26" t="s">
        <v>512</v>
      </c>
      <c r="K5832" s="25" t="s">
        <v>526</v>
      </c>
      <c r="L5832" s="8"/>
    </row>
    <row r="5833" spans="1:12" ht="25.5" x14ac:dyDescent="0.25">
      <c r="A5833" s="22">
        <v>2026</v>
      </c>
      <c r="B5833" s="28" t="s">
        <v>237</v>
      </c>
      <c r="C5833" s="28" t="s">
        <v>97</v>
      </c>
      <c r="D5833" s="28" t="s">
        <v>1703</v>
      </c>
      <c r="E5833" s="29" t="s">
        <v>569</v>
      </c>
      <c r="F5833" s="29" t="s">
        <v>298</v>
      </c>
      <c r="G5833" s="25" t="s">
        <v>7515</v>
      </c>
      <c r="H5833" s="26">
        <v>-0.36426249999999999</v>
      </c>
      <c r="I5833" s="26"/>
      <c r="J5833" s="26" t="s">
        <v>512</v>
      </c>
      <c r="K5833" s="25" t="s">
        <v>526</v>
      </c>
      <c r="L5833" s="8"/>
    </row>
    <row r="5834" spans="1:12" ht="25.5" x14ac:dyDescent="0.25">
      <c r="A5834" s="22">
        <v>2026</v>
      </c>
      <c r="B5834" s="28" t="s">
        <v>237</v>
      </c>
      <c r="C5834" s="28" t="s">
        <v>97</v>
      </c>
      <c r="D5834" s="28" t="s">
        <v>1703</v>
      </c>
      <c r="E5834" s="29" t="s">
        <v>569</v>
      </c>
      <c r="F5834" s="29" t="s">
        <v>298</v>
      </c>
      <c r="G5834" s="25" t="s">
        <v>7516</v>
      </c>
      <c r="H5834" s="26">
        <v>-0.47332479999999999</v>
      </c>
      <c r="I5834" s="26"/>
      <c r="J5834" s="26" t="s">
        <v>512</v>
      </c>
      <c r="K5834" s="25" t="s">
        <v>526</v>
      </c>
      <c r="L5834" s="8"/>
    </row>
    <row r="5835" spans="1:12" ht="25.5" x14ac:dyDescent="0.25">
      <c r="A5835" s="22">
        <v>2026</v>
      </c>
      <c r="B5835" s="28" t="s">
        <v>237</v>
      </c>
      <c r="C5835" s="28" t="s">
        <v>97</v>
      </c>
      <c r="D5835" s="28" t="s">
        <v>1703</v>
      </c>
      <c r="E5835" s="29" t="s">
        <v>569</v>
      </c>
      <c r="F5835" s="29" t="s">
        <v>298</v>
      </c>
      <c r="G5835" s="25" t="s">
        <v>7517</v>
      </c>
      <c r="H5835" s="26">
        <v>-0.55399788928000004</v>
      </c>
      <c r="I5835" s="26"/>
      <c r="J5835" s="26" t="s">
        <v>512</v>
      </c>
      <c r="K5835" s="25" t="s">
        <v>526</v>
      </c>
      <c r="L5835" s="8"/>
    </row>
    <row r="5836" spans="1:12" ht="25.5" x14ac:dyDescent="0.25">
      <c r="A5836" s="22">
        <v>2026</v>
      </c>
      <c r="B5836" s="28" t="s">
        <v>237</v>
      </c>
      <c r="C5836" s="28" t="s">
        <v>97</v>
      </c>
      <c r="D5836" s="28" t="s">
        <v>1703</v>
      </c>
      <c r="E5836" s="29" t="s">
        <v>569</v>
      </c>
      <c r="F5836" s="29" t="s">
        <v>298</v>
      </c>
      <c r="G5836" s="25" t="s">
        <v>7518</v>
      </c>
      <c r="H5836" s="26">
        <v>-0.30242000000000002</v>
      </c>
      <c r="I5836" s="26"/>
      <c r="J5836" s="26" t="s">
        <v>512</v>
      </c>
      <c r="K5836" s="25" t="s">
        <v>526</v>
      </c>
      <c r="L5836" s="8"/>
    </row>
    <row r="5837" spans="1:12" ht="25.5" x14ac:dyDescent="0.25">
      <c r="A5837" s="22">
        <v>2026</v>
      </c>
      <c r="B5837" s="28" t="s">
        <v>237</v>
      </c>
      <c r="C5837" s="28" t="s">
        <v>97</v>
      </c>
      <c r="D5837" s="28" t="s">
        <v>1703</v>
      </c>
      <c r="E5837" s="29" t="s">
        <v>569</v>
      </c>
      <c r="F5837" s="29" t="s">
        <v>298</v>
      </c>
      <c r="G5837" s="25" t="s">
        <v>7519</v>
      </c>
      <c r="H5837" s="26">
        <v>-0.41323806632999999</v>
      </c>
      <c r="I5837" s="26"/>
      <c r="J5837" s="26" t="s">
        <v>512</v>
      </c>
      <c r="K5837" s="25" t="s">
        <v>526</v>
      </c>
      <c r="L5837" s="8"/>
    </row>
    <row r="5838" spans="1:12" ht="25.5" x14ac:dyDescent="0.25">
      <c r="A5838" s="22">
        <v>2026</v>
      </c>
      <c r="B5838" s="28" t="s">
        <v>237</v>
      </c>
      <c r="C5838" s="28" t="s">
        <v>97</v>
      </c>
      <c r="D5838" s="28" t="s">
        <v>1703</v>
      </c>
      <c r="E5838" s="29" t="s">
        <v>569</v>
      </c>
      <c r="F5838" s="29" t="s">
        <v>298</v>
      </c>
      <c r="G5838" s="25" t="s">
        <v>7520</v>
      </c>
      <c r="H5838" s="26">
        <v>-0.51066717247000004</v>
      </c>
      <c r="I5838" s="26"/>
      <c r="J5838" s="26" t="s">
        <v>512</v>
      </c>
      <c r="K5838" s="25" t="s">
        <v>526</v>
      </c>
      <c r="L5838" s="8"/>
    </row>
    <row r="5839" spans="1:12" ht="25.5" x14ac:dyDescent="0.25">
      <c r="A5839" s="22">
        <v>2026</v>
      </c>
      <c r="B5839" s="28" t="s">
        <v>237</v>
      </c>
      <c r="C5839" s="28" t="s">
        <v>97</v>
      </c>
      <c r="D5839" s="28" t="s">
        <v>1703</v>
      </c>
      <c r="E5839" s="29" t="s">
        <v>569</v>
      </c>
      <c r="F5839" s="29" t="s">
        <v>298</v>
      </c>
      <c r="G5839" s="25" t="s">
        <v>7521</v>
      </c>
      <c r="H5839" s="26">
        <v>-0.49136009999999997</v>
      </c>
      <c r="I5839" s="26"/>
      <c r="J5839" s="26" t="s">
        <v>512</v>
      </c>
      <c r="K5839" s="25" t="s">
        <v>526</v>
      </c>
      <c r="L5839" s="8"/>
    </row>
    <row r="5840" spans="1:12" ht="25.5" x14ac:dyDescent="0.25">
      <c r="A5840" s="22">
        <v>2026</v>
      </c>
      <c r="B5840" s="28" t="s">
        <v>237</v>
      </c>
      <c r="C5840" s="28" t="s">
        <v>97</v>
      </c>
      <c r="D5840" s="28" t="s">
        <v>1703</v>
      </c>
      <c r="E5840" s="29" t="s">
        <v>569</v>
      </c>
      <c r="F5840" s="29" t="s">
        <v>298</v>
      </c>
      <c r="G5840" s="25" t="s">
        <v>7522</v>
      </c>
      <c r="H5840" s="26">
        <v>-0.4840875</v>
      </c>
      <c r="I5840" s="26"/>
      <c r="J5840" s="26" t="s">
        <v>512</v>
      </c>
      <c r="K5840" s="25" t="s">
        <v>526</v>
      </c>
      <c r="L5840" s="8"/>
    </row>
    <row r="5841" spans="1:12" ht="25.5" x14ac:dyDescent="0.25">
      <c r="A5841" s="22">
        <v>2026</v>
      </c>
      <c r="B5841" s="28" t="s">
        <v>237</v>
      </c>
      <c r="C5841" s="28" t="s">
        <v>97</v>
      </c>
      <c r="D5841" s="28" t="s">
        <v>1703</v>
      </c>
      <c r="E5841" s="29" t="s">
        <v>569</v>
      </c>
      <c r="F5841" s="29" t="s">
        <v>298</v>
      </c>
      <c r="G5841" s="25" t="s">
        <v>7523</v>
      </c>
      <c r="H5841" s="26">
        <v>-0.53532433727999995</v>
      </c>
      <c r="I5841" s="26"/>
      <c r="J5841" s="26" t="s">
        <v>512</v>
      </c>
      <c r="K5841" s="25" t="s">
        <v>526</v>
      </c>
      <c r="L5841" s="8"/>
    </row>
    <row r="5842" spans="1:12" ht="25.5" x14ac:dyDescent="0.25">
      <c r="A5842" s="22">
        <v>2026</v>
      </c>
      <c r="B5842" s="28" t="s">
        <v>237</v>
      </c>
      <c r="C5842" s="28" t="s">
        <v>97</v>
      </c>
      <c r="D5842" s="28" t="s">
        <v>1703</v>
      </c>
      <c r="E5842" s="29" t="s">
        <v>569</v>
      </c>
      <c r="F5842" s="29" t="s">
        <v>298</v>
      </c>
      <c r="G5842" s="25" t="s">
        <v>7524</v>
      </c>
      <c r="H5842" s="26">
        <v>-0.41911197048000004</v>
      </c>
      <c r="I5842" s="26"/>
      <c r="J5842" s="26" t="s">
        <v>512</v>
      </c>
      <c r="K5842" s="25" t="s">
        <v>526</v>
      </c>
      <c r="L5842" s="8"/>
    </row>
    <row r="5843" spans="1:12" ht="25.5" x14ac:dyDescent="0.25">
      <c r="A5843" s="22">
        <v>2026</v>
      </c>
      <c r="B5843" s="28" t="s">
        <v>237</v>
      </c>
      <c r="C5843" s="28" t="s">
        <v>97</v>
      </c>
      <c r="D5843" s="28" t="s">
        <v>1704</v>
      </c>
      <c r="E5843" s="29" t="s">
        <v>1764</v>
      </c>
      <c r="F5843" s="29" t="s">
        <v>287</v>
      </c>
      <c r="G5843" s="25" t="s">
        <v>7525</v>
      </c>
      <c r="H5843" s="26">
        <v>-6.1437421999999998E-2</v>
      </c>
      <c r="I5843" s="26"/>
      <c r="J5843" s="26" t="s">
        <v>512</v>
      </c>
      <c r="K5843" s="25" t="s">
        <v>513</v>
      </c>
      <c r="L5843" s="8"/>
    </row>
    <row r="5844" spans="1:12" ht="25.5" x14ac:dyDescent="0.25">
      <c r="A5844" s="22">
        <v>2026</v>
      </c>
      <c r="B5844" s="28" t="s">
        <v>237</v>
      </c>
      <c r="C5844" s="28" t="s">
        <v>97</v>
      </c>
      <c r="D5844" s="28" t="s">
        <v>1704</v>
      </c>
      <c r="E5844" s="29" t="s">
        <v>1764</v>
      </c>
      <c r="F5844" s="29" t="s">
        <v>287</v>
      </c>
      <c r="G5844" s="25" t="s">
        <v>7526</v>
      </c>
      <c r="H5844" s="26">
        <v>-0.1118894</v>
      </c>
      <c r="I5844" s="26"/>
      <c r="J5844" s="26" t="s">
        <v>512</v>
      </c>
      <c r="K5844" s="25" t="s">
        <v>513</v>
      </c>
      <c r="L5844" s="8"/>
    </row>
    <row r="5845" spans="1:12" ht="25.5" x14ac:dyDescent="0.25">
      <c r="A5845" s="22">
        <v>2026</v>
      </c>
      <c r="B5845" s="28" t="s">
        <v>237</v>
      </c>
      <c r="C5845" s="28" t="s">
        <v>97</v>
      </c>
      <c r="D5845" s="28" t="s">
        <v>1704</v>
      </c>
      <c r="E5845" s="29" t="s">
        <v>1764</v>
      </c>
      <c r="F5845" s="29" t="s">
        <v>287</v>
      </c>
      <c r="G5845" s="25" t="s">
        <v>7527</v>
      </c>
      <c r="H5845" s="26">
        <v>-6.7729810500000001E-2</v>
      </c>
      <c r="I5845" s="26"/>
      <c r="J5845" s="26" t="s">
        <v>512</v>
      </c>
      <c r="K5845" s="25" t="s">
        <v>513</v>
      </c>
      <c r="L5845" s="8"/>
    </row>
    <row r="5846" spans="1:12" ht="25.5" x14ac:dyDescent="0.25">
      <c r="A5846" s="22">
        <v>2026</v>
      </c>
      <c r="B5846" s="28" t="s">
        <v>237</v>
      </c>
      <c r="C5846" s="28" t="s">
        <v>97</v>
      </c>
      <c r="D5846" s="28" t="s">
        <v>1704</v>
      </c>
      <c r="E5846" s="29" t="s">
        <v>1764</v>
      </c>
      <c r="F5846" s="29" t="s">
        <v>287</v>
      </c>
      <c r="G5846" s="25" t="s">
        <v>7528</v>
      </c>
      <c r="H5846" s="26">
        <v>-1.73938184E-2</v>
      </c>
      <c r="I5846" s="26"/>
      <c r="J5846" s="26" t="s">
        <v>512</v>
      </c>
      <c r="K5846" s="25" t="s">
        <v>513</v>
      </c>
      <c r="L5846" s="8"/>
    </row>
    <row r="5847" spans="1:12" ht="25.5" x14ac:dyDescent="0.25">
      <c r="A5847" s="22">
        <v>2026</v>
      </c>
      <c r="B5847" s="28" t="s">
        <v>237</v>
      </c>
      <c r="C5847" s="28" t="s">
        <v>97</v>
      </c>
      <c r="D5847" s="28" t="s">
        <v>1704</v>
      </c>
      <c r="E5847" s="29" t="s">
        <v>1764</v>
      </c>
      <c r="F5847" s="29" t="s">
        <v>287</v>
      </c>
      <c r="G5847" s="25" t="s">
        <v>7529</v>
      </c>
      <c r="H5847" s="26">
        <v>-0.11729132940000001</v>
      </c>
      <c r="I5847" s="26"/>
      <c r="J5847" s="26" t="s">
        <v>512</v>
      </c>
      <c r="K5847" s="25" t="s">
        <v>513</v>
      </c>
      <c r="L5847" s="8"/>
    </row>
    <row r="5848" spans="1:12" ht="25.5" x14ac:dyDescent="0.25">
      <c r="A5848" s="22">
        <v>2026</v>
      </c>
      <c r="B5848" s="28" t="s">
        <v>237</v>
      </c>
      <c r="C5848" s="28" t="s">
        <v>97</v>
      </c>
      <c r="D5848" s="28" t="s">
        <v>1704</v>
      </c>
      <c r="E5848" s="29" t="s">
        <v>1764</v>
      </c>
      <c r="F5848" s="29" t="s">
        <v>287</v>
      </c>
      <c r="G5848" s="25" t="s">
        <v>7530</v>
      </c>
      <c r="H5848" s="26">
        <v>-5.0105999999999998E-2</v>
      </c>
      <c r="I5848" s="26"/>
      <c r="J5848" s="26" t="s">
        <v>512</v>
      </c>
      <c r="K5848" s="25" t="s">
        <v>513</v>
      </c>
      <c r="L5848" s="8"/>
    </row>
    <row r="5849" spans="1:12" ht="25.5" x14ac:dyDescent="0.25">
      <c r="A5849" s="22">
        <v>2026</v>
      </c>
      <c r="B5849" s="28" t="s">
        <v>237</v>
      </c>
      <c r="C5849" s="28" t="s">
        <v>97</v>
      </c>
      <c r="D5849" s="28" t="s">
        <v>1705</v>
      </c>
      <c r="E5849" s="29" t="s">
        <v>1765</v>
      </c>
      <c r="F5849" s="29" t="s">
        <v>1766</v>
      </c>
      <c r="G5849" s="25" t="s">
        <v>7548</v>
      </c>
      <c r="H5849" s="26">
        <v>-0.85550000000000004</v>
      </c>
      <c r="I5849" s="26"/>
      <c r="J5849" s="26" t="s">
        <v>514</v>
      </c>
      <c r="K5849" s="25" t="s">
        <v>513</v>
      </c>
      <c r="L5849" s="8"/>
    </row>
    <row r="5850" spans="1:12" ht="25.5" x14ac:dyDescent="0.25">
      <c r="A5850" s="22">
        <v>2026</v>
      </c>
      <c r="B5850" s="28" t="s">
        <v>237</v>
      </c>
      <c r="C5850" s="28" t="s">
        <v>97</v>
      </c>
      <c r="D5850" s="28" t="s">
        <v>1705</v>
      </c>
      <c r="E5850" s="29" t="s">
        <v>1765</v>
      </c>
      <c r="F5850" s="29" t="s">
        <v>1766</v>
      </c>
      <c r="G5850" s="25" t="s">
        <v>7549</v>
      </c>
      <c r="H5850" s="26">
        <v>-5.3808160000000001E-2</v>
      </c>
      <c r="I5850" s="26"/>
      <c r="J5850" s="26" t="s">
        <v>514</v>
      </c>
      <c r="K5850" s="25" t="s">
        <v>513</v>
      </c>
      <c r="L5850" s="8"/>
    </row>
    <row r="5851" spans="1:12" ht="25.5" x14ac:dyDescent="0.25">
      <c r="A5851" s="22">
        <v>2026</v>
      </c>
      <c r="B5851" s="28" t="s">
        <v>237</v>
      </c>
      <c r="C5851" s="28" t="s">
        <v>97</v>
      </c>
      <c r="D5851" s="28" t="s">
        <v>1705</v>
      </c>
      <c r="E5851" s="29" t="s">
        <v>1765</v>
      </c>
      <c r="F5851" s="29" t="s">
        <v>1766</v>
      </c>
      <c r="G5851" s="25" t="s">
        <v>7550</v>
      </c>
      <c r="H5851" s="26">
        <v>-1.1078899228000001</v>
      </c>
      <c r="I5851" s="26"/>
      <c r="J5851" s="26" t="s">
        <v>514</v>
      </c>
      <c r="K5851" s="25" t="s">
        <v>513</v>
      </c>
      <c r="L5851" s="8"/>
    </row>
    <row r="5852" spans="1:12" ht="25.5" x14ac:dyDescent="0.25">
      <c r="A5852" s="22">
        <v>2026</v>
      </c>
      <c r="B5852" s="28" t="s">
        <v>237</v>
      </c>
      <c r="C5852" s="28" t="s">
        <v>97</v>
      </c>
      <c r="D5852" s="28" t="s">
        <v>1705</v>
      </c>
      <c r="E5852" s="29" t="s">
        <v>1765</v>
      </c>
      <c r="F5852" s="29" t="s">
        <v>1766</v>
      </c>
      <c r="G5852" s="25" t="s">
        <v>7551</v>
      </c>
      <c r="H5852" s="26">
        <v>-0.81833062289999992</v>
      </c>
      <c r="I5852" s="26"/>
      <c r="J5852" s="26" t="s">
        <v>514</v>
      </c>
      <c r="K5852" s="25" t="s">
        <v>513</v>
      </c>
      <c r="L5852" s="8"/>
    </row>
    <row r="5853" spans="1:12" ht="25.5" x14ac:dyDescent="0.25">
      <c r="A5853" s="22">
        <v>2026</v>
      </c>
      <c r="B5853" s="28" t="s">
        <v>237</v>
      </c>
      <c r="C5853" s="28" t="s">
        <v>97</v>
      </c>
      <c r="D5853" s="28" t="s">
        <v>1705</v>
      </c>
      <c r="E5853" s="29" t="s">
        <v>1765</v>
      </c>
      <c r="F5853" s="29" t="s">
        <v>1766</v>
      </c>
      <c r="G5853" s="25" t="s">
        <v>7552</v>
      </c>
      <c r="H5853" s="26">
        <v>-1.1299482552</v>
      </c>
      <c r="I5853" s="26"/>
      <c r="J5853" s="26" t="s">
        <v>514</v>
      </c>
      <c r="K5853" s="25" t="s">
        <v>513</v>
      </c>
      <c r="L5853" s="8"/>
    </row>
    <row r="5854" spans="1:12" ht="25.5" x14ac:dyDescent="0.25">
      <c r="A5854" s="22">
        <v>2026</v>
      </c>
      <c r="B5854" s="28" t="s">
        <v>237</v>
      </c>
      <c r="C5854" s="28" t="s">
        <v>97</v>
      </c>
      <c r="D5854" s="28" t="s">
        <v>1705</v>
      </c>
      <c r="E5854" s="29" t="s">
        <v>1765</v>
      </c>
      <c r="F5854" s="29" t="s">
        <v>1766</v>
      </c>
      <c r="G5854" s="25" t="s">
        <v>7553</v>
      </c>
      <c r="H5854" s="26">
        <v>-0.36395100000000002</v>
      </c>
      <c r="I5854" s="26"/>
      <c r="J5854" s="26" t="s">
        <v>514</v>
      </c>
      <c r="K5854" s="25" t="s">
        <v>513</v>
      </c>
      <c r="L5854" s="8"/>
    </row>
    <row r="5855" spans="1:12" ht="25.5" x14ac:dyDescent="0.25">
      <c r="A5855" s="22">
        <v>2026</v>
      </c>
      <c r="B5855" s="28" t="s">
        <v>237</v>
      </c>
      <c r="C5855" s="28" t="s">
        <v>97</v>
      </c>
      <c r="D5855" s="28" t="s">
        <v>1705</v>
      </c>
      <c r="E5855" s="29" t="s">
        <v>1765</v>
      </c>
      <c r="F5855" s="29" t="s">
        <v>1766</v>
      </c>
      <c r="G5855" s="25" t="s">
        <v>7554</v>
      </c>
      <c r="H5855" s="26">
        <v>-0.84407698199999992</v>
      </c>
      <c r="I5855" s="26"/>
      <c r="J5855" s="26" t="s">
        <v>514</v>
      </c>
      <c r="K5855" s="25" t="s">
        <v>513</v>
      </c>
      <c r="L5855" s="8"/>
    </row>
    <row r="5856" spans="1:12" ht="25.5" x14ac:dyDescent="0.25">
      <c r="A5856" s="22">
        <v>2026</v>
      </c>
      <c r="B5856" s="28" t="s">
        <v>237</v>
      </c>
      <c r="C5856" s="28" t="s">
        <v>97</v>
      </c>
      <c r="D5856" s="28" t="s">
        <v>1705</v>
      </c>
      <c r="E5856" s="29" t="s">
        <v>1765</v>
      </c>
      <c r="F5856" s="29" t="s">
        <v>1766</v>
      </c>
      <c r="G5856" s="25" t="s">
        <v>7555</v>
      </c>
      <c r="H5856" s="26">
        <v>-0.26150294339999997</v>
      </c>
      <c r="I5856" s="26"/>
      <c r="J5856" s="26" t="s">
        <v>514</v>
      </c>
      <c r="K5856" s="25" t="s">
        <v>513</v>
      </c>
      <c r="L5856" s="8"/>
    </row>
    <row r="5857" spans="1:12" ht="25.5" x14ac:dyDescent="0.25">
      <c r="A5857" s="22">
        <v>2026</v>
      </c>
      <c r="B5857" s="28" t="s">
        <v>237</v>
      </c>
      <c r="C5857" s="28" t="s">
        <v>97</v>
      </c>
      <c r="D5857" s="28" t="s">
        <v>1705</v>
      </c>
      <c r="E5857" s="29" t="s">
        <v>1765</v>
      </c>
      <c r="F5857" s="29" t="s">
        <v>1766</v>
      </c>
      <c r="G5857" s="25" t="s">
        <v>7556</v>
      </c>
      <c r="H5857" s="26">
        <v>-0.40717974339999996</v>
      </c>
      <c r="I5857" s="26"/>
      <c r="J5857" s="26" t="s">
        <v>514</v>
      </c>
      <c r="K5857" s="25" t="s">
        <v>513</v>
      </c>
      <c r="L5857" s="8"/>
    </row>
    <row r="5858" spans="1:12" ht="25.5" x14ac:dyDescent="0.25">
      <c r="A5858" s="22">
        <v>2026</v>
      </c>
      <c r="B5858" s="28" t="s">
        <v>237</v>
      </c>
      <c r="C5858" s="28" t="s">
        <v>97</v>
      </c>
      <c r="D5858" s="28" t="s">
        <v>1705</v>
      </c>
      <c r="E5858" s="29" t="s">
        <v>1765</v>
      </c>
      <c r="F5858" s="29" t="s">
        <v>1766</v>
      </c>
      <c r="G5858" s="25" t="s">
        <v>7557</v>
      </c>
      <c r="H5858" s="26">
        <v>-1.1287674999999999</v>
      </c>
      <c r="I5858" s="26"/>
      <c r="J5858" s="26" t="s">
        <v>514</v>
      </c>
      <c r="K5858" s="25" t="s">
        <v>513</v>
      </c>
      <c r="L5858" s="8"/>
    </row>
    <row r="5859" spans="1:12" ht="25.5" x14ac:dyDescent="0.25">
      <c r="A5859" s="22">
        <v>2026</v>
      </c>
      <c r="B5859" s="28" t="s">
        <v>237</v>
      </c>
      <c r="C5859" s="28" t="s">
        <v>97</v>
      </c>
      <c r="D5859" s="28" t="s">
        <v>1705</v>
      </c>
      <c r="E5859" s="29" t="s">
        <v>1765</v>
      </c>
      <c r="F5859" s="29" t="s">
        <v>1766</v>
      </c>
      <c r="G5859" s="25" t="s">
        <v>7558</v>
      </c>
      <c r="H5859" s="26">
        <v>-0.35527277370000004</v>
      </c>
      <c r="I5859" s="26"/>
      <c r="J5859" s="26" t="s">
        <v>514</v>
      </c>
      <c r="K5859" s="25" t="s">
        <v>513</v>
      </c>
      <c r="L5859" s="8"/>
    </row>
    <row r="5860" spans="1:12" ht="25.5" x14ac:dyDescent="0.25">
      <c r="A5860" s="22">
        <v>2026</v>
      </c>
      <c r="B5860" s="28" t="s">
        <v>237</v>
      </c>
      <c r="C5860" s="28" t="s">
        <v>97</v>
      </c>
      <c r="D5860" s="28" t="s">
        <v>1705</v>
      </c>
      <c r="E5860" s="29" t="s">
        <v>1765</v>
      </c>
      <c r="F5860" s="29" t="s">
        <v>1766</v>
      </c>
      <c r="G5860" s="25" t="s">
        <v>7559</v>
      </c>
      <c r="H5860" s="26">
        <v>-1.2005991999999999</v>
      </c>
      <c r="I5860" s="26"/>
      <c r="J5860" s="26" t="s">
        <v>514</v>
      </c>
      <c r="K5860" s="25" t="s">
        <v>513</v>
      </c>
      <c r="L5860" s="8"/>
    </row>
    <row r="5861" spans="1:12" ht="25.5" x14ac:dyDescent="0.25">
      <c r="A5861" s="22">
        <v>2026</v>
      </c>
      <c r="B5861" s="28" t="s">
        <v>237</v>
      </c>
      <c r="C5861" s="28" t="s">
        <v>97</v>
      </c>
      <c r="D5861" s="28" t="s">
        <v>1705</v>
      </c>
      <c r="E5861" s="29" t="s">
        <v>1765</v>
      </c>
      <c r="F5861" s="29" t="s">
        <v>1766</v>
      </c>
      <c r="G5861" s="25" t="s">
        <v>7560</v>
      </c>
      <c r="H5861" s="26">
        <v>-1.0783669062000001</v>
      </c>
      <c r="I5861" s="26"/>
      <c r="J5861" s="26" t="s">
        <v>514</v>
      </c>
      <c r="K5861" s="25" t="s">
        <v>513</v>
      </c>
      <c r="L5861" s="8"/>
    </row>
    <row r="5862" spans="1:12" ht="25.5" x14ac:dyDescent="0.25">
      <c r="A5862" s="22">
        <v>2026</v>
      </c>
      <c r="B5862" s="28" t="s">
        <v>237</v>
      </c>
      <c r="C5862" s="28" t="s">
        <v>97</v>
      </c>
      <c r="D5862" s="28" t="s">
        <v>1705</v>
      </c>
      <c r="E5862" s="29" t="s">
        <v>1765</v>
      </c>
      <c r="F5862" s="29" t="s">
        <v>1766</v>
      </c>
      <c r="G5862" s="25" t="s">
        <v>7561</v>
      </c>
      <c r="H5862" s="26">
        <v>-0.51021122559999998</v>
      </c>
      <c r="I5862" s="26"/>
      <c r="J5862" s="26" t="s">
        <v>514</v>
      </c>
      <c r="K5862" s="25" t="s">
        <v>513</v>
      </c>
      <c r="L5862" s="8"/>
    </row>
    <row r="5863" spans="1:12" ht="25.5" x14ac:dyDescent="0.25">
      <c r="A5863" s="22">
        <v>2026</v>
      </c>
      <c r="B5863" s="28" t="s">
        <v>237</v>
      </c>
      <c r="C5863" s="28" t="s">
        <v>97</v>
      </c>
      <c r="D5863" s="28" t="s">
        <v>1705</v>
      </c>
      <c r="E5863" s="29" t="s">
        <v>1765</v>
      </c>
      <c r="F5863" s="29" t="s">
        <v>1766</v>
      </c>
      <c r="G5863" s="25" t="s">
        <v>7562</v>
      </c>
      <c r="H5863" s="26">
        <v>-0.63083556360000004</v>
      </c>
      <c r="I5863" s="26"/>
      <c r="J5863" s="26" t="s">
        <v>514</v>
      </c>
      <c r="K5863" s="25" t="s">
        <v>513</v>
      </c>
      <c r="L5863" s="8"/>
    </row>
    <row r="5864" spans="1:12" ht="25.5" x14ac:dyDescent="0.25">
      <c r="A5864" s="22">
        <v>2026</v>
      </c>
      <c r="B5864" s="28" t="s">
        <v>237</v>
      </c>
      <c r="C5864" s="28" t="s">
        <v>97</v>
      </c>
      <c r="D5864" s="28" t="s">
        <v>1705</v>
      </c>
      <c r="E5864" s="29" t="s">
        <v>1765</v>
      </c>
      <c r="F5864" s="29" t="s">
        <v>1766</v>
      </c>
      <c r="G5864" s="25" t="s">
        <v>7563</v>
      </c>
      <c r="H5864" s="26">
        <v>-0.2857937337</v>
      </c>
      <c r="I5864" s="26"/>
      <c r="J5864" s="26" t="s">
        <v>514</v>
      </c>
      <c r="K5864" s="25" t="s">
        <v>513</v>
      </c>
      <c r="L5864" s="8"/>
    </row>
    <row r="5865" spans="1:12" ht="25.5" x14ac:dyDescent="0.25">
      <c r="A5865" s="22">
        <v>2026</v>
      </c>
      <c r="B5865" s="28" t="s">
        <v>237</v>
      </c>
      <c r="C5865" s="28" t="s">
        <v>97</v>
      </c>
      <c r="D5865" s="28" t="s">
        <v>1705</v>
      </c>
      <c r="E5865" s="29" t="s">
        <v>1765</v>
      </c>
      <c r="F5865" s="29" t="s">
        <v>1766</v>
      </c>
      <c r="G5865" s="25" t="s">
        <v>7564</v>
      </c>
      <c r="H5865" s="26">
        <v>-2.3062269999999999E-2</v>
      </c>
      <c r="I5865" s="26"/>
      <c r="J5865" s="26" t="s">
        <v>514</v>
      </c>
      <c r="K5865" s="25" t="s">
        <v>513</v>
      </c>
      <c r="L5865" s="8"/>
    </row>
    <row r="5866" spans="1:12" ht="25.5" x14ac:dyDescent="0.25">
      <c r="A5866" s="22">
        <v>2026</v>
      </c>
      <c r="B5866" s="28" t="s">
        <v>237</v>
      </c>
      <c r="C5866" s="28" t="s">
        <v>97</v>
      </c>
      <c r="D5866" s="28" t="s">
        <v>1705</v>
      </c>
      <c r="E5866" s="29" t="s">
        <v>1765</v>
      </c>
      <c r="F5866" s="29" t="s">
        <v>1766</v>
      </c>
      <c r="G5866" s="25" t="s">
        <v>7565</v>
      </c>
      <c r="H5866" s="26">
        <v>-0.50155842360000003</v>
      </c>
      <c r="I5866" s="26"/>
      <c r="J5866" s="26" t="s">
        <v>514</v>
      </c>
      <c r="K5866" s="25" t="s">
        <v>513</v>
      </c>
      <c r="L5866" s="8"/>
    </row>
    <row r="5867" spans="1:12" ht="25.5" x14ac:dyDescent="0.25">
      <c r="A5867" s="22">
        <v>2026</v>
      </c>
      <c r="B5867" s="28" t="s">
        <v>237</v>
      </c>
      <c r="C5867" s="28" t="s">
        <v>97</v>
      </c>
      <c r="D5867" s="28" t="s">
        <v>1705</v>
      </c>
      <c r="E5867" s="29" t="s">
        <v>1765</v>
      </c>
      <c r="F5867" s="29" t="s">
        <v>1766</v>
      </c>
      <c r="G5867" s="25" t="s">
        <v>7566</v>
      </c>
      <c r="H5867" s="26">
        <v>-0.48589386779999999</v>
      </c>
      <c r="I5867" s="26"/>
      <c r="J5867" s="26" t="s">
        <v>514</v>
      </c>
      <c r="K5867" s="25" t="s">
        <v>513</v>
      </c>
      <c r="L5867" s="8"/>
    </row>
    <row r="5868" spans="1:12" ht="25.5" x14ac:dyDescent="0.25">
      <c r="A5868" s="22">
        <v>2026</v>
      </c>
      <c r="B5868" s="28" t="s">
        <v>237</v>
      </c>
      <c r="C5868" s="28" t="s">
        <v>97</v>
      </c>
      <c r="D5868" s="28" t="s">
        <v>1706</v>
      </c>
      <c r="E5868" s="29" t="s">
        <v>1765</v>
      </c>
      <c r="F5868" s="29" t="s">
        <v>1766</v>
      </c>
      <c r="G5868" s="25" t="s">
        <v>7567</v>
      </c>
      <c r="H5868" s="26">
        <v>-6.4145099999999997E-2</v>
      </c>
      <c r="I5868" s="26"/>
      <c r="J5868" s="26" t="s">
        <v>514</v>
      </c>
      <c r="K5868" s="25" t="s">
        <v>513</v>
      </c>
      <c r="L5868" s="8"/>
    </row>
    <row r="5869" spans="1:12" ht="25.5" x14ac:dyDescent="0.25">
      <c r="A5869" s="22">
        <v>2026</v>
      </c>
      <c r="B5869" s="28" t="s">
        <v>237</v>
      </c>
      <c r="C5869" s="28" t="s">
        <v>97</v>
      </c>
      <c r="D5869" s="28" t="s">
        <v>1706</v>
      </c>
      <c r="E5869" s="29" t="s">
        <v>1765</v>
      </c>
      <c r="F5869" s="29" t="s">
        <v>1766</v>
      </c>
      <c r="G5869" s="25" t="s">
        <v>7568</v>
      </c>
      <c r="H5869" s="26">
        <v>-6.5133120000000003E-2</v>
      </c>
      <c r="I5869" s="26"/>
      <c r="J5869" s="26" t="s">
        <v>514</v>
      </c>
      <c r="K5869" s="25" t="s">
        <v>513</v>
      </c>
      <c r="L5869" s="8"/>
    </row>
    <row r="5870" spans="1:12" ht="25.5" x14ac:dyDescent="0.25">
      <c r="A5870" s="22">
        <v>2026</v>
      </c>
      <c r="B5870" s="28" t="s">
        <v>237</v>
      </c>
      <c r="C5870" s="28" t="s">
        <v>97</v>
      </c>
      <c r="D5870" s="28" t="s">
        <v>1706</v>
      </c>
      <c r="E5870" s="29" t="s">
        <v>1765</v>
      </c>
      <c r="F5870" s="29" t="s">
        <v>1766</v>
      </c>
      <c r="G5870" s="25" t="s">
        <v>7569</v>
      </c>
      <c r="H5870" s="26">
        <v>-7.2929999999999995E-2</v>
      </c>
      <c r="I5870" s="26"/>
      <c r="J5870" s="26" t="s">
        <v>514</v>
      </c>
      <c r="K5870" s="25" t="s">
        <v>513</v>
      </c>
      <c r="L5870" s="8"/>
    </row>
    <row r="5871" spans="1:12" ht="25.5" x14ac:dyDescent="0.25">
      <c r="A5871" s="22">
        <v>2026</v>
      </c>
      <c r="B5871" s="28" t="s">
        <v>237</v>
      </c>
      <c r="C5871" s="28" t="s">
        <v>97</v>
      </c>
      <c r="D5871" s="28" t="s">
        <v>1706</v>
      </c>
      <c r="E5871" s="29" t="s">
        <v>1765</v>
      </c>
      <c r="F5871" s="29" t="s">
        <v>1766</v>
      </c>
      <c r="G5871" s="25" t="s">
        <v>7570</v>
      </c>
      <c r="H5871" s="26">
        <v>-6.6299999999999998E-2</v>
      </c>
      <c r="I5871" s="26"/>
      <c r="J5871" s="26" t="s">
        <v>514</v>
      </c>
      <c r="K5871" s="25" t="s">
        <v>513</v>
      </c>
      <c r="L5871" s="8"/>
    </row>
    <row r="5872" spans="1:12" ht="25.5" x14ac:dyDescent="0.25">
      <c r="A5872" s="22">
        <v>2026</v>
      </c>
      <c r="B5872" s="28" t="s">
        <v>237</v>
      </c>
      <c r="C5872" s="28" t="s">
        <v>97</v>
      </c>
      <c r="D5872" s="28" t="s">
        <v>1706</v>
      </c>
      <c r="E5872" s="29" t="s">
        <v>1765</v>
      </c>
      <c r="F5872" s="29" t="s">
        <v>1766</v>
      </c>
      <c r="G5872" s="25" t="s">
        <v>7571</v>
      </c>
      <c r="H5872" s="26">
        <v>-6.6299999999999998E-2</v>
      </c>
      <c r="I5872" s="26"/>
      <c r="J5872" s="26" t="s">
        <v>514</v>
      </c>
      <c r="K5872" s="25" t="s">
        <v>513</v>
      </c>
      <c r="L5872" s="8"/>
    </row>
    <row r="5873" spans="1:12" ht="25.5" x14ac:dyDescent="0.25">
      <c r="A5873" s="22">
        <v>2026</v>
      </c>
      <c r="B5873" s="28" t="s">
        <v>237</v>
      </c>
      <c r="C5873" s="28" t="s">
        <v>97</v>
      </c>
      <c r="D5873" s="28" t="s">
        <v>1706</v>
      </c>
      <c r="E5873" s="29" t="s">
        <v>1765</v>
      </c>
      <c r="F5873" s="29" t="s">
        <v>1766</v>
      </c>
      <c r="G5873" s="25" t="s">
        <v>7572</v>
      </c>
      <c r="H5873" s="26">
        <v>-4.3796000000000002E-2</v>
      </c>
      <c r="I5873" s="26"/>
      <c r="J5873" s="26" t="s">
        <v>514</v>
      </c>
      <c r="K5873" s="25" t="s">
        <v>513</v>
      </c>
      <c r="L5873" s="8"/>
    </row>
    <row r="5874" spans="1:12" ht="25.5" x14ac:dyDescent="0.25">
      <c r="A5874" s="22">
        <v>2026</v>
      </c>
      <c r="B5874" s="28" t="s">
        <v>237</v>
      </c>
      <c r="C5874" s="28" t="s">
        <v>97</v>
      </c>
      <c r="D5874" s="28" t="s">
        <v>1706</v>
      </c>
      <c r="E5874" s="29" t="s">
        <v>1765</v>
      </c>
      <c r="F5874" s="29" t="s">
        <v>1766</v>
      </c>
      <c r="G5874" s="25" t="s">
        <v>7573</v>
      </c>
      <c r="H5874" s="26">
        <v>-7.85106E-2</v>
      </c>
      <c r="I5874" s="26"/>
      <c r="J5874" s="26" t="s">
        <v>514</v>
      </c>
      <c r="K5874" s="25" t="s">
        <v>513</v>
      </c>
      <c r="L5874" s="8"/>
    </row>
    <row r="5875" spans="1:12" ht="25.5" x14ac:dyDescent="0.25">
      <c r="A5875" s="22">
        <v>2026</v>
      </c>
      <c r="B5875" s="28" t="s">
        <v>237</v>
      </c>
      <c r="C5875" s="28" t="s">
        <v>97</v>
      </c>
      <c r="D5875" s="28" t="s">
        <v>1706</v>
      </c>
      <c r="E5875" s="29" t="s">
        <v>1765</v>
      </c>
      <c r="F5875" s="29" t="s">
        <v>1766</v>
      </c>
      <c r="G5875" s="25" t="s">
        <v>7574</v>
      </c>
      <c r="H5875" s="26">
        <v>-5.9511059999999998E-2</v>
      </c>
      <c r="I5875" s="26"/>
      <c r="J5875" s="26" t="s">
        <v>514</v>
      </c>
      <c r="K5875" s="25" t="s">
        <v>513</v>
      </c>
      <c r="L5875" s="8"/>
    </row>
    <row r="5876" spans="1:12" ht="25.5" x14ac:dyDescent="0.25">
      <c r="A5876" s="22">
        <v>2026</v>
      </c>
      <c r="B5876" s="28" t="s">
        <v>237</v>
      </c>
      <c r="C5876" s="28" t="s">
        <v>97</v>
      </c>
      <c r="D5876" s="28" t="s">
        <v>1706</v>
      </c>
      <c r="E5876" s="29" t="s">
        <v>1765</v>
      </c>
      <c r="F5876" s="29" t="s">
        <v>1766</v>
      </c>
      <c r="G5876" s="25" t="s">
        <v>7575</v>
      </c>
      <c r="H5876" s="26">
        <v>-4.90234269E-2</v>
      </c>
      <c r="I5876" s="26"/>
      <c r="J5876" s="26" t="s">
        <v>514</v>
      </c>
      <c r="K5876" s="25" t="s">
        <v>513</v>
      </c>
      <c r="L5876" s="8"/>
    </row>
    <row r="5877" spans="1:12" ht="25.5" x14ac:dyDescent="0.25">
      <c r="A5877" s="22">
        <v>2026</v>
      </c>
      <c r="B5877" s="28" t="s">
        <v>237</v>
      </c>
      <c r="C5877" s="28" t="s">
        <v>97</v>
      </c>
      <c r="D5877" s="28" t="s">
        <v>1706</v>
      </c>
      <c r="E5877" s="29" t="s">
        <v>1765</v>
      </c>
      <c r="F5877" s="29" t="s">
        <v>1766</v>
      </c>
      <c r="G5877" s="25" t="s">
        <v>7576</v>
      </c>
      <c r="H5877" s="26">
        <v>-5.6620199999999996E-2</v>
      </c>
      <c r="I5877" s="26"/>
      <c r="J5877" s="26" t="s">
        <v>514</v>
      </c>
      <c r="K5877" s="25" t="s">
        <v>513</v>
      </c>
      <c r="L5877" s="8"/>
    </row>
    <row r="5878" spans="1:12" ht="25.5" x14ac:dyDescent="0.25">
      <c r="A5878" s="22">
        <v>2026</v>
      </c>
      <c r="B5878" s="28" t="s">
        <v>237</v>
      </c>
      <c r="C5878" s="28" t="s">
        <v>97</v>
      </c>
      <c r="D5878" s="28" t="s">
        <v>1706</v>
      </c>
      <c r="E5878" s="29" t="s">
        <v>1765</v>
      </c>
      <c r="F5878" s="29" t="s">
        <v>1766</v>
      </c>
      <c r="G5878" s="25" t="s">
        <v>7577</v>
      </c>
      <c r="H5878" s="26">
        <v>-7.4501104000000012E-2</v>
      </c>
      <c r="I5878" s="26"/>
      <c r="J5878" s="26" t="s">
        <v>514</v>
      </c>
      <c r="K5878" s="25" t="s">
        <v>513</v>
      </c>
      <c r="L5878" s="8"/>
    </row>
    <row r="5879" spans="1:12" ht="25.5" x14ac:dyDescent="0.25">
      <c r="A5879" s="22">
        <v>2026</v>
      </c>
      <c r="B5879" s="28" t="s">
        <v>237</v>
      </c>
      <c r="C5879" s="28" t="s">
        <v>97</v>
      </c>
      <c r="D5879" s="28" t="s">
        <v>1706</v>
      </c>
      <c r="E5879" s="29" t="s">
        <v>1765</v>
      </c>
      <c r="F5879" s="29" t="s">
        <v>1766</v>
      </c>
      <c r="G5879" s="25" t="s">
        <v>7578</v>
      </c>
      <c r="H5879" s="26">
        <v>-4.36E-2</v>
      </c>
      <c r="I5879" s="26"/>
      <c r="J5879" s="26" t="s">
        <v>514</v>
      </c>
      <c r="K5879" s="25" t="s">
        <v>513</v>
      </c>
      <c r="L5879" s="8"/>
    </row>
    <row r="5880" spans="1:12" ht="25.5" x14ac:dyDescent="0.25">
      <c r="A5880" s="22">
        <v>2026</v>
      </c>
      <c r="B5880" s="28" t="s">
        <v>237</v>
      </c>
      <c r="C5880" s="28" t="s">
        <v>97</v>
      </c>
      <c r="D5880" s="28" t="s">
        <v>1706</v>
      </c>
      <c r="E5880" s="29" t="s">
        <v>1765</v>
      </c>
      <c r="F5880" s="29" t="s">
        <v>1766</v>
      </c>
      <c r="G5880" s="25" t="s">
        <v>7579</v>
      </c>
      <c r="H5880" s="26">
        <v>-7.0291963600000007E-2</v>
      </c>
      <c r="I5880" s="26"/>
      <c r="J5880" s="26" t="s">
        <v>514</v>
      </c>
      <c r="K5880" s="25" t="s">
        <v>513</v>
      </c>
      <c r="L5880" s="8"/>
    </row>
    <row r="5881" spans="1:12" ht="25.5" x14ac:dyDescent="0.25">
      <c r="A5881" s="22">
        <v>2026</v>
      </c>
      <c r="B5881" s="28" t="s">
        <v>237</v>
      </c>
      <c r="C5881" s="28" t="s">
        <v>97</v>
      </c>
      <c r="D5881" s="28" t="s">
        <v>1706</v>
      </c>
      <c r="E5881" s="29" t="s">
        <v>1765</v>
      </c>
      <c r="F5881" s="29" t="s">
        <v>1766</v>
      </c>
      <c r="G5881" s="25" t="s">
        <v>7580</v>
      </c>
      <c r="H5881" s="26">
        <v>-5.7165697600000002E-2</v>
      </c>
      <c r="I5881" s="26"/>
      <c r="J5881" s="26" t="s">
        <v>514</v>
      </c>
      <c r="K5881" s="25" t="s">
        <v>513</v>
      </c>
      <c r="L5881" s="8"/>
    </row>
    <row r="5882" spans="1:12" ht="25.5" x14ac:dyDescent="0.25">
      <c r="A5882" s="22">
        <v>2026</v>
      </c>
      <c r="B5882" s="28" t="s">
        <v>237</v>
      </c>
      <c r="C5882" s="28" t="s">
        <v>97</v>
      </c>
      <c r="D5882" s="28" t="s">
        <v>1706</v>
      </c>
      <c r="E5882" s="29" t="s">
        <v>1765</v>
      </c>
      <c r="F5882" s="29" t="s">
        <v>1766</v>
      </c>
      <c r="G5882" s="25" t="s">
        <v>7581</v>
      </c>
      <c r="H5882" s="26">
        <v>-1.308E-2</v>
      </c>
      <c r="I5882" s="26"/>
      <c r="J5882" s="26" t="s">
        <v>514</v>
      </c>
      <c r="K5882" s="25" t="s">
        <v>513</v>
      </c>
      <c r="L5882" s="8"/>
    </row>
    <row r="5883" spans="1:12" ht="25.5" x14ac:dyDescent="0.25">
      <c r="A5883" s="22">
        <v>2026</v>
      </c>
      <c r="B5883" s="28" t="s">
        <v>237</v>
      </c>
      <c r="C5883" s="28" t="s">
        <v>97</v>
      </c>
      <c r="D5883" s="28" t="s">
        <v>1706</v>
      </c>
      <c r="E5883" s="29" t="s">
        <v>1765</v>
      </c>
      <c r="F5883" s="29" t="s">
        <v>1766</v>
      </c>
      <c r="G5883" s="25" t="s">
        <v>7582</v>
      </c>
      <c r="H5883" s="26">
        <v>-6.3217099999999998E-2</v>
      </c>
      <c r="I5883" s="26"/>
      <c r="J5883" s="26" t="s">
        <v>514</v>
      </c>
      <c r="K5883" s="25" t="s">
        <v>513</v>
      </c>
      <c r="L5883" s="8"/>
    </row>
    <row r="5884" spans="1:12" ht="25.5" x14ac:dyDescent="0.25">
      <c r="A5884" s="22">
        <v>2026</v>
      </c>
      <c r="B5884" s="28" t="s">
        <v>237</v>
      </c>
      <c r="C5884" s="28" t="s">
        <v>97</v>
      </c>
      <c r="D5884" s="28" t="s">
        <v>1706</v>
      </c>
      <c r="E5884" s="29" t="s">
        <v>1765</v>
      </c>
      <c r="F5884" s="29" t="s">
        <v>1766</v>
      </c>
      <c r="G5884" s="25" t="s">
        <v>7583</v>
      </c>
      <c r="H5884" s="26">
        <v>-4.55877716E-2</v>
      </c>
      <c r="I5884" s="26"/>
      <c r="J5884" s="26" t="s">
        <v>514</v>
      </c>
      <c r="K5884" s="25" t="s">
        <v>513</v>
      </c>
      <c r="L5884" s="8"/>
    </row>
    <row r="5885" spans="1:12" ht="25.5" x14ac:dyDescent="0.25">
      <c r="A5885" s="22">
        <v>2026</v>
      </c>
      <c r="B5885" s="28" t="s">
        <v>237</v>
      </c>
      <c r="C5885" s="28" t="s">
        <v>97</v>
      </c>
      <c r="D5885" s="28" t="s">
        <v>224</v>
      </c>
      <c r="E5885" s="29" t="s">
        <v>411</v>
      </c>
      <c r="F5885" s="29" t="s">
        <v>412</v>
      </c>
      <c r="G5885" s="25" t="s">
        <v>7584</v>
      </c>
      <c r="H5885" s="26">
        <v>-0.67062272750000007</v>
      </c>
      <c r="I5885" s="26"/>
      <c r="J5885" s="26" t="s">
        <v>512</v>
      </c>
      <c r="K5885" s="25" t="s">
        <v>513</v>
      </c>
      <c r="L5885" s="8"/>
    </row>
    <row r="5886" spans="1:12" ht="25.5" x14ac:dyDescent="0.25">
      <c r="A5886" s="22">
        <v>2026</v>
      </c>
      <c r="B5886" s="28" t="s">
        <v>237</v>
      </c>
      <c r="C5886" s="28" t="s">
        <v>97</v>
      </c>
      <c r="D5886" s="28" t="s">
        <v>224</v>
      </c>
      <c r="E5886" s="29" t="s">
        <v>411</v>
      </c>
      <c r="F5886" s="29" t="s">
        <v>412</v>
      </c>
      <c r="G5886" s="25" t="s">
        <v>7585</v>
      </c>
      <c r="H5886" s="26">
        <v>-0.40774075439999996</v>
      </c>
      <c r="I5886" s="26"/>
      <c r="J5886" s="26" t="s">
        <v>512</v>
      </c>
      <c r="K5886" s="25" t="s">
        <v>513</v>
      </c>
      <c r="L5886" s="8"/>
    </row>
    <row r="5887" spans="1:12" ht="25.5" x14ac:dyDescent="0.25">
      <c r="A5887" s="22">
        <v>2026</v>
      </c>
      <c r="B5887" s="28" t="s">
        <v>237</v>
      </c>
      <c r="C5887" s="28" t="s">
        <v>97</v>
      </c>
      <c r="D5887" s="28" t="s">
        <v>224</v>
      </c>
      <c r="E5887" s="29" t="s">
        <v>411</v>
      </c>
      <c r="F5887" s="29" t="s">
        <v>412</v>
      </c>
      <c r="G5887" s="25" t="s">
        <v>7586</v>
      </c>
      <c r="H5887" s="26">
        <v>-0.74618562420000001</v>
      </c>
      <c r="I5887" s="26"/>
      <c r="J5887" s="26" t="s">
        <v>512</v>
      </c>
      <c r="K5887" s="25" t="s">
        <v>513</v>
      </c>
      <c r="L5887" s="8"/>
    </row>
    <row r="5888" spans="1:12" ht="25.5" x14ac:dyDescent="0.25">
      <c r="A5888" s="22">
        <v>2026</v>
      </c>
      <c r="B5888" s="28" t="s">
        <v>237</v>
      </c>
      <c r="C5888" s="28" t="s">
        <v>97</v>
      </c>
      <c r="D5888" s="28" t="s">
        <v>224</v>
      </c>
      <c r="E5888" s="29" t="s">
        <v>411</v>
      </c>
      <c r="F5888" s="29" t="s">
        <v>412</v>
      </c>
      <c r="G5888" s="25" t="s">
        <v>7587</v>
      </c>
      <c r="H5888" s="26">
        <v>-0.221135585</v>
      </c>
      <c r="I5888" s="26"/>
      <c r="J5888" s="26" t="s">
        <v>512</v>
      </c>
      <c r="K5888" s="25" t="s">
        <v>513</v>
      </c>
      <c r="L5888" s="8"/>
    </row>
    <row r="5889" spans="1:12" ht="25.5" x14ac:dyDescent="0.25">
      <c r="A5889" s="22">
        <v>2026</v>
      </c>
      <c r="B5889" s="28" t="s">
        <v>237</v>
      </c>
      <c r="C5889" s="28" t="s">
        <v>97</v>
      </c>
      <c r="D5889" s="28" t="s">
        <v>1707</v>
      </c>
      <c r="E5889" s="29" t="s">
        <v>369</v>
      </c>
      <c r="F5889" s="29" t="s">
        <v>378</v>
      </c>
      <c r="G5889" s="25" t="s">
        <v>7588</v>
      </c>
      <c r="H5889" s="26">
        <v>-5.6695000000000002E-2</v>
      </c>
      <c r="I5889" s="26"/>
      <c r="J5889" s="26" t="s">
        <v>512</v>
      </c>
      <c r="K5889" s="25" t="s">
        <v>513</v>
      </c>
      <c r="L5889" s="8"/>
    </row>
    <row r="5890" spans="1:12" ht="25.5" x14ac:dyDescent="0.25">
      <c r="A5890" s="22">
        <v>2026</v>
      </c>
      <c r="B5890" s="28" t="s">
        <v>237</v>
      </c>
      <c r="C5890" s="28" t="s">
        <v>97</v>
      </c>
      <c r="D5890" s="28" t="s">
        <v>1707</v>
      </c>
      <c r="E5890" s="29" t="s">
        <v>369</v>
      </c>
      <c r="F5890" s="29" t="s">
        <v>378</v>
      </c>
      <c r="G5890" s="25" t="s">
        <v>7589</v>
      </c>
      <c r="H5890" s="26">
        <v>-0.16814699999999999</v>
      </c>
      <c r="I5890" s="26"/>
      <c r="J5890" s="26" t="s">
        <v>512</v>
      </c>
      <c r="K5890" s="25" t="s">
        <v>513</v>
      </c>
      <c r="L5890" s="8"/>
    </row>
    <row r="5891" spans="1:12" ht="25.5" x14ac:dyDescent="0.25">
      <c r="A5891" s="22">
        <v>2026</v>
      </c>
      <c r="B5891" s="28" t="s">
        <v>237</v>
      </c>
      <c r="C5891" s="28" t="s">
        <v>97</v>
      </c>
      <c r="D5891" s="28" t="s">
        <v>1707</v>
      </c>
      <c r="E5891" s="29" t="s">
        <v>369</v>
      </c>
      <c r="F5891" s="29" t="s">
        <v>378</v>
      </c>
      <c r="G5891" s="25" t="s">
        <v>7590</v>
      </c>
      <c r="H5891" s="26">
        <v>-4.6080000000000003E-2</v>
      </c>
      <c r="I5891" s="26"/>
      <c r="J5891" s="26" t="s">
        <v>512</v>
      </c>
      <c r="K5891" s="25" t="s">
        <v>513</v>
      </c>
      <c r="L5891" s="8"/>
    </row>
    <row r="5892" spans="1:12" ht="25.5" x14ac:dyDescent="0.25">
      <c r="A5892" s="22">
        <v>2026</v>
      </c>
      <c r="B5892" s="28" t="s">
        <v>237</v>
      </c>
      <c r="C5892" s="28" t="s">
        <v>97</v>
      </c>
      <c r="D5892" s="28" t="s">
        <v>1707</v>
      </c>
      <c r="E5892" s="29" t="s">
        <v>369</v>
      </c>
      <c r="F5892" s="29" t="s">
        <v>378</v>
      </c>
      <c r="G5892" s="25" t="s">
        <v>7591</v>
      </c>
      <c r="H5892" s="26">
        <v>-1.337E-2</v>
      </c>
      <c r="I5892" s="26"/>
      <c r="J5892" s="26" t="s">
        <v>512</v>
      </c>
      <c r="K5892" s="25" t="s">
        <v>513</v>
      </c>
      <c r="L5892" s="8"/>
    </row>
    <row r="5893" spans="1:12" ht="25.5" x14ac:dyDescent="0.25">
      <c r="A5893" s="22">
        <v>2026</v>
      </c>
      <c r="B5893" s="28" t="s">
        <v>237</v>
      </c>
      <c r="C5893" s="28" t="s">
        <v>97</v>
      </c>
      <c r="D5893" s="28" t="s">
        <v>1707</v>
      </c>
      <c r="E5893" s="29" t="s">
        <v>369</v>
      </c>
      <c r="F5893" s="29" t="s">
        <v>378</v>
      </c>
      <c r="G5893" s="25" t="s">
        <v>7592</v>
      </c>
      <c r="H5893" s="26">
        <v>-0.12162149999999999</v>
      </c>
      <c r="I5893" s="26"/>
      <c r="J5893" s="26" t="s">
        <v>512</v>
      </c>
      <c r="K5893" s="25" t="s">
        <v>513</v>
      </c>
      <c r="L5893" s="8"/>
    </row>
    <row r="5894" spans="1:12" ht="25.5" x14ac:dyDescent="0.25">
      <c r="A5894" s="22">
        <v>2026</v>
      </c>
      <c r="B5894" s="28" t="s">
        <v>237</v>
      </c>
      <c r="C5894" s="28" t="s">
        <v>97</v>
      </c>
      <c r="D5894" s="28" t="s">
        <v>1707</v>
      </c>
      <c r="E5894" s="29" t="s">
        <v>369</v>
      </c>
      <c r="F5894" s="29" t="s">
        <v>378</v>
      </c>
      <c r="G5894" s="25" t="s">
        <v>7593</v>
      </c>
      <c r="H5894" s="26">
        <v>-0.1855</v>
      </c>
      <c r="I5894" s="26"/>
      <c r="J5894" s="26" t="s">
        <v>512</v>
      </c>
      <c r="K5894" s="25" t="s">
        <v>513</v>
      </c>
      <c r="L5894" s="8"/>
    </row>
    <row r="5895" spans="1:12" ht="25.5" x14ac:dyDescent="0.25">
      <c r="A5895" s="22">
        <v>2026</v>
      </c>
      <c r="B5895" s="28" t="s">
        <v>237</v>
      </c>
      <c r="C5895" s="28" t="s">
        <v>97</v>
      </c>
      <c r="D5895" s="28" t="s">
        <v>1707</v>
      </c>
      <c r="E5895" s="29" t="s">
        <v>369</v>
      </c>
      <c r="F5895" s="29" t="s">
        <v>378</v>
      </c>
      <c r="G5895" s="25" t="s">
        <v>7594</v>
      </c>
      <c r="H5895" s="26">
        <v>-0.13467000000000001</v>
      </c>
      <c r="I5895" s="26"/>
      <c r="J5895" s="26" t="s">
        <v>512</v>
      </c>
      <c r="K5895" s="25" t="s">
        <v>513</v>
      </c>
      <c r="L5895" s="8"/>
    </row>
    <row r="5896" spans="1:12" ht="25.5" x14ac:dyDescent="0.25">
      <c r="A5896" s="22">
        <v>2026</v>
      </c>
      <c r="B5896" s="28" t="s">
        <v>237</v>
      </c>
      <c r="C5896" s="28" t="s">
        <v>97</v>
      </c>
      <c r="D5896" s="28" t="s">
        <v>1707</v>
      </c>
      <c r="E5896" s="29" t="s">
        <v>369</v>
      </c>
      <c r="F5896" s="29" t="s">
        <v>378</v>
      </c>
      <c r="G5896" s="25" t="s">
        <v>7595</v>
      </c>
      <c r="H5896" s="26">
        <v>-6.2468000000000003E-2</v>
      </c>
      <c r="I5896" s="26"/>
      <c r="J5896" s="26" t="s">
        <v>512</v>
      </c>
      <c r="K5896" s="25" t="s">
        <v>513</v>
      </c>
      <c r="L5896" s="8"/>
    </row>
    <row r="5897" spans="1:12" ht="25.5" x14ac:dyDescent="0.25">
      <c r="A5897" s="22">
        <v>2026</v>
      </c>
      <c r="B5897" s="28" t="s">
        <v>237</v>
      </c>
      <c r="C5897" s="28" t="s">
        <v>97</v>
      </c>
      <c r="D5897" s="28" t="s">
        <v>1708</v>
      </c>
      <c r="E5897" s="29" t="s">
        <v>369</v>
      </c>
      <c r="F5897" s="29" t="s">
        <v>483</v>
      </c>
      <c r="G5897" s="25" t="s">
        <v>7596</v>
      </c>
      <c r="H5897" s="26">
        <v>-8.7690000000000004E-2</v>
      </c>
      <c r="I5897" s="26"/>
      <c r="J5897" s="26" t="s">
        <v>512</v>
      </c>
      <c r="K5897" s="25" t="s">
        <v>513</v>
      </c>
      <c r="L5897" s="8"/>
    </row>
    <row r="5898" spans="1:12" ht="25.5" x14ac:dyDescent="0.25">
      <c r="A5898" s="22">
        <v>2026</v>
      </c>
      <c r="B5898" s="28" t="s">
        <v>237</v>
      </c>
      <c r="C5898" s="28" t="s">
        <v>97</v>
      </c>
      <c r="D5898" s="28" t="s">
        <v>1708</v>
      </c>
      <c r="E5898" s="29" t="s">
        <v>369</v>
      </c>
      <c r="F5898" s="29" t="s">
        <v>483</v>
      </c>
      <c r="G5898" s="25" t="s">
        <v>7597</v>
      </c>
      <c r="H5898" s="26">
        <v>-0.14778250000000001</v>
      </c>
      <c r="I5898" s="26"/>
      <c r="J5898" s="26" t="s">
        <v>512</v>
      </c>
      <c r="K5898" s="25" t="s">
        <v>513</v>
      </c>
      <c r="L5898" s="8"/>
    </row>
    <row r="5899" spans="1:12" ht="25.5" x14ac:dyDescent="0.25">
      <c r="A5899" s="22">
        <v>2026</v>
      </c>
      <c r="B5899" s="28" t="s">
        <v>237</v>
      </c>
      <c r="C5899" s="28" t="s">
        <v>97</v>
      </c>
      <c r="D5899" s="28" t="s">
        <v>1708</v>
      </c>
      <c r="E5899" s="29" t="s">
        <v>369</v>
      </c>
      <c r="F5899" s="29" t="s">
        <v>483</v>
      </c>
      <c r="G5899" s="25" t="s">
        <v>7598</v>
      </c>
      <c r="H5899" s="26">
        <v>-7.6442008499999992E-2</v>
      </c>
      <c r="I5899" s="26"/>
      <c r="J5899" s="26" t="s">
        <v>512</v>
      </c>
      <c r="K5899" s="25" t="s">
        <v>513</v>
      </c>
      <c r="L5899" s="8"/>
    </row>
    <row r="5900" spans="1:12" ht="25.5" x14ac:dyDescent="0.25">
      <c r="A5900" s="22">
        <v>2026</v>
      </c>
      <c r="B5900" s="28" t="s">
        <v>237</v>
      </c>
      <c r="C5900" s="28" t="s">
        <v>97</v>
      </c>
      <c r="D5900" s="28" t="s">
        <v>1708</v>
      </c>
      <c r="E5900" s="29" t="s">
        <v>369</v>
      </c>
      <c r="F5900" s="29" t="s">
        <v>483</v>
      </c>
      <c r="G5900" s="25" t="s">
        <v>7599</v>
      </c>
      <c r="H5900" s="26">
        <v>-0.11378880620000001</v>
      </c>
      <c r="I5900" s="26"/>
      <c r="J5900" s="26" t="s">
        <v>512</v>
      </c>
      <c r="K5900" s="25" t="s">
        <v>513</v>
      </c>
      <c r="L5900" s="8"/>
    </row>
    <row r="5901" spans="1:12" ht="25.5" x14ac:dyDescent="0.25">
      <c r="A5901" s="22">
        <v>2026</v>
      </c>
      <c r="B5901" s="28" t="s">
        <v>237</v>
      </c>
      <c r="C5901" s="28" t="s">
        <v>97</v>
      </c>
      <c r="D5901" s="28" t="s">
        <v>1708</v>
      </c>
      <c r="E5901" s="29" t="s">
        <v>369</v>
      </c>
      <c r="F5901" s="29" t="s">
        <v>483</v>
      </c>
      <c r="G5901" s="25" t="s">
        <v>7600</v>
      </c>
      <c r="H5901" s="26">
        <v>-8.6930999999999994E-2</v>
      </c>
      <c r="I5901" s="26"/>
      <c r="J5901" s="26" t="s">
        <v>512</v>
      </c>
      <c r="K5901" s="25" t="s">
        <v>513</v>
      </c>
      <c r="L5901" s="8"/>
    </row>
    <row r="5902" spans="1:12" ht="25.5" x14ac:dyDescent="0.25">
      <c r="A5902" s="22">
        <v>2026</v>
      </c>
      <c r="B5902" s="28" t="s">
        <v>237</v>
      </c>
      <c r="C5902" s="28" t="s">
        <v>97</v>
      </c>
      <c r="D5902" s="28" t="s">
        <v>1708</v>
      </c>
      <c r="E5902" s="29" t="s">
        <v>369</v>
      </c>
      <c r="F5902" s="29" t="s">
        <v>483</v>
      </c>
      <c r="G5902" s="25" t="s">
        <v>7601</v>
      </c>
      <c r="H5902" s="26">
        <v>-0.14508750000000001</v>
      </c>
      <c r="I5902" s="26"/>
      <c r="J5902" s="26" t="s">
        <v>512</v>
      </c>
      <c r="K5902" s="25" t="s">
        <v>513</v>
      </c>
      <c r="L5902" s="8"/>
    </row>
    <row r="5903" spans="1:12" ht="25.5" x14ac:dyDescent="0.25">
      <c r="A5903" s="22">
        <v>2026</v>
      </c>
      <c r="B5903" s="28" t="s">
        <v>237</v>
      </c>
      <c r="C5903" s="28" t="s">
        <v>97</v>
      </c>
      <c r="D5903" s="28" t="s">
        <v>1708</v>
      </c>
      <c r="E5903" s="29" t="s">
        <v>369</v>
      </c>
      <c r="F5903" s="29" t="s">
        <v>483</v>
      </c>
      <c r="G5903" s="25" t="s">
        <v>7602</v>
      </c>
      <c r="H5903" s="26">
        <v>-0.14488500000000001</v>
      </c>
      <c r="I5903" s="26"/>
      <c r="J5903" s="26" t="s">
        <v>512</v>
      </c>
      <c r="K5903" s="25" t="s">
        <v>513</v>
      </c>
      <c r="L5903" s="8"/>
    </row>
    <row r="5904" spans="1:12" ht="25.5" x14ac:dyDescent="0.25">
      <c r="A5904" s="22">
        <v>2026</v>
      </c>
      <c r="B5904" s="28" t="s">
        <v>237</v>
      </c>
      <c r="C5904" s="28" t="s">
        <v>97</v>
      </c>
      <c r="D5904" s="28" t="s">
        <v>1708</v>
      </c>
      <c r="E5904" s="29" t="s">
        <v>369</v>
      </c>
      <c r="F5904" s="29" t="s">
        <v>483</v>
      </c>
      <c r="G5904" s="25" t="s">
        <v>7603</v>
      </c>
      <c r="H5904" s="26">
        <v>-0.144235</v>
      </c>
      <c r="I5904" s="26"/>
      <c r="J5904" s="26" t="s">
        <v>512</v>
      </c>
      <c r="K5904" s="25" t="s">
        <v>513</v>
      </c>
      <c r="L5904" s="8"/>
    </row>
    <row r="5905" spans="1:12" ht="25.5" x14ac:dyDescent="0.25">
      <c r="A5905" s="22">
        <v>2026</v>
      </c>
      <c r="B5905" s="28" t="s">
        <v>237</v>
      </c>
      <c r="C5905" s="28" t="s">
        <v>97</v>
      </c>
      <c r="D5905" s="28" t="s">
        <v>1708</v>
      </c>
      <c r="E5905" s="29" t="s">
        <v>369</v>
      </c>
      <c r="F5905" s="29" t="s">
        <v>483</v>
      </c>
      <c r="G5905" s="25" t="s">
        <v>7604</v>
      </c>
      <c r="H5905" s="26">
        <v>-0.144895</v>
      </c>
      <c r="I5905" s="26"/>
      <c r="J5905" s="26" t="s">
        <v>512</v>
      </c>
      <c r="K5905" s="25" t="s">
        <v>513</v>
      </c>
      <c r="L5905" s="8"/>
    </row>
    <row r="5906" spans="1:12" ht="25.5" x14ac:dyDescent="0.25">
      <c r="A5906" s="22">
        <v>2026</v>
      </c>
      <c r="B5906" s="28" t="s">
        <v>237</v>
      </c>
      <c r="C5906" s="28" t="s">
        <v>97</v>
      </c>
      <c r="D5906" s="28" t="s">
        <v>1708</v>
      </c>
      <c r="E5906" s="29" t="s">
        <v>369</v>
      </c>
      <c r="F5906" s="29" t="s">
        <v>483</v>
      </c>
      <c r="G5906" s="25" t="s">
        <v>7605</v>
      </c>
      <c r="H5906" s="26">
        <v>-0.143705</v>
      </c>
      <c r="I5906" s="26"/>
      <c r="J5906" s="26" t="s">
        <v>512</v>
      </c>
      <c r="K5906" s="25" t="s">
        <v>513</v>
      </c>
      <c r="L5906" s="8"/>
    </row>
    <row r="5907" spans="1:12" ht="25.5" x14ac:dyDescent="0.25">
      <c r="A5907" s="22">
        <v>2026</v>
      </c>
      <c r="B5907" s="28" t="s">
        <v>237</v>
      </c>
      <c r="C5907" s="28" t="s">
        <v>97</v>
      </c>
      <c r="D5907" s="28" t="s">
        <v>1708</v>
      </c>
      <c r="E5907" s="29" t="s">
        <v>369</v>
      </c>
      <c r="F5907" s="29" t="s">
        <v>483</v>
      </c>
      <c r="G5907" s="25" t="s">
        <v>7606</v>
      </c>
      <c r="H5907" s="26">
        <v>-0.116214</v>
      </c>
      <c r="I5907" s="26"/>
      <c r="J5907" s="26" t="s">
        <v>512</v>
      </c>
      <c r="K5907" s="25" t="s">
        <v>513</v>
      </c>
      <c r="L5907" s="8"/>
    </row>
    <row r="5908" spans="1:12" ht="25.5" x14ac:dyDescent="0.25">
      <c r="A5908" s="22">
        <v>2026</v>
      </c>
      <c r="B5908" s="28" t="s">
        <v>237</v>
      </c>
      <c r="C5908" s="28" t="s">
        <v>97</v>
      </c>
      <c r="D5908" s="28" t="s">
        <v>1708</v>
      </c>
      <c r="E5908" s="29" t="s">
        <v>369</v>
      </c>
      <c r="F5908" s="29" t="s">
        <v>483</v>
      </c>
      <c r="G5908" s="25" t="s">
        <v>7607</v>
      </c>
      <c r="H5908" s="26">
        <v>-0.13290723839999999</v>
      </c>
      <c r="I5908" s="26"/>
      <c r="J5908" s="26" t="s">
        <v>512</v>
      </c>
      <c r="K5908" s="25" t="s">
        <v>513</v>
      </c>
      <c r="L5908" s="8"/>
    </row>
    <row r="5909" spans="1:12" ht="25.5" x14ac:dyDescent="0.25">
      <c r="A5909" s="22">
        <v>2026</v>
      </c>
      <c r="B5909" s="28" t="s">
        <v>237</v>
      </c>
      <c r="C5909" s="28" t="s">
        <v>97</v>
      </c>
      <c r="D5909" s="28" t="s">
        <v>1708</v>
      </c>
      <c r="E5909" s="29" t="s">
        <v>369</v>
      </c>
      <c r="F5909" s="29" t="s">
        <v>483</v>
      </c>
      <c r="G5909" s="25" t="s">
        <v>7608</v>
      </c>
      <c r="H5909" s="26">
        <v>-0.13443672500000001</v>
      </c>
      <c r="I5909" s="26"/>
      <c r="J5909" s="26" t="s">
        <v>512</v>
      </c>
      <c r="K5909" s="25" t="s">
        <v>513</v>
      </c>
      <c r="L5909" s="8"/>
    </row>
    <row r="5910" spans="1:12" ht="25.5" x14ac:dyDescent="0.25">
      <c r="A5910" s="22">
        <v>2026</v>
      </c>
      <c r="B5910" s="28" t="s">
        <v>237</v>
      </c>
      <c r="C5910" s="28" t="s">
        <v>97</v>
      </c>
      <c r="D5910" s="28" t="s">
        <v>1708</v>
      </c>
      <c r="E5910" s="29" t="s">
        <v>369</v>
      </c>
      <c r="F5910" s="29" t="s">
        <v>483</v>
      </c>
      <c r="G5910" s="25" t="s">
        <v>7609</v>
      </c>
      <c r="H5910" s="26">
        <v>-0.14466608549999999</v>
      </c>
      <c r="I5910" s="26"/>
      <c r="J5910" s="26" t="s">
        <v>512</v>
      </c>
      <c r="K5910" s="25" t="s">
        <v>513</v>
      </c>
      <c r="L5910" s="8"/>
    </row>
    <row r="5911" spans="1:12" ht="25.5" x14ac:dyDescent="0.25">
      <c r="A5911" s="22">
        <v>2026</v>
      </c>
      <c r="B5911" s="28" t="s">
        <v>237</v>
      </c>
      <c r="C5911" s="28" t="s">
        <v>97</v>
      </c>
      <c r="D5911" s="28" t="s">
        <v>1708</v>
      </c>
      <c r="E5911" s="29" t="s">
        <v>369</v>
      </c>
      <c r="F5911" s="29" t="s">
        <v>483</v>
      </c>
      <c r="G5911" s="25" t="s">
        <v>7610</v>
      </c>
      <c r="H5911" s="26">
        <v>-9.1993500000000006E-2</v>
      </c>
      <c r="I5911" s="26"/>
      <c r="J5911" s="26" t="s">
        <v>512</v>
      </c>
      <c r="K5911" s="25" t="s">
        <v>513</v>
      </c>
      <c r="L5911" s="8"/>
    </row>
    <row r="5912" spans="1:12" ht="25.5" x14ac:dyDescent="0.25">
      <c r="A5912" s="22">
        <v>2026</v>
      </c>
      <c r="B5912" s="28" t="s">
        <v>237</v>
      </c>
      <c r="C5912" s="28" t="s">
        <v>97</v>
      </c>
      <c r="D5912" s="28" t="s">
        <v>1708</v>
      </c>
      <c r="E5912" s="29" t="s">
        <v>369</v>
      </c>
      <c r="F5912" s="29" t="s">
        <v>483</v>
      </c>
      <c r="G5912" s="25" t="s">
        <v>7611</v>
      </c>
      <c r="H5912" s="26">
        <v>-0.125530368</v>
      </c>
      <c r="I5912" s="26"/>
      <c r="J5912" s="26" t="s">
        <v>512</v>
      </c>
      <c r="K5912" s="25" t="s">
        <v>513</v>
      </c>
      <c r="L5912" s="8"/>
    </row>
    <row r="5913" spans="1:12" ht="25.5" x14ac:dyDescent="0.25">
      <c r="A5913" s="22">
        <v>2026</v>
      </c>
      <c r="B5913" s="28" t="s">
        <v>237</v>
      </c>
      <c r="C5913" s="28" t="s">
        <v>97</v>
      </c>
      <c r="D5913" s="28" t="s">
        <v>1708</v>
      </c>
      <c r="E5913" s="29" t="s">
        <v>369</v>
      </c>
      <c r="F5913" s="29" t="s">
        <v>483</v>
      </c>
      <c r="G5913" s="25" t="s">
        <v>7612</v>
      </c>
      <c r="H5913" s="26">
        <v>-0.15482750000000001</v>
      </c>
      <c r="I5913" s="26"/>
      <c r="J5913" s="26" t="s">
        <v>512</v>
      </c>
      <c r="K5913" s="25" t="s">
        <v>513</v>
      </c>
      <c r="L5913" s="8"/>
    </row>
    <row r="5914" spans="1:12" ht="25.5" x14ac:dyDescent="0.25">
      <c r="A5914" s="22">
        <v>2026</v>
      </c>
      <c r="B5914" s="28" t="s">
        <v>237</v>
      </c>
      <c r="C5914" s="28" t="s">
        <v>97</v>
      </c>
      <c r="D5914" s="28" t="s">
        <v>1708</v>
      </c>
      <c r="E5914" s="29" t="s">
        <v>369</v>
      </c>
      <c r="F5914" s="29" t="s">
        <v>483</v>
      </c>
      <c r="G5914" s="25" t="s">
        <v>7613</v>
      </c>
      <c r="H5914" s="26">
        <v>-5.6121041499999996E-2</v>
      </c>
      <c r="I5914" s="26"/>
      <c r="J5914" s="26" t="s">
        <v>512</v>
      </c>
      <c r="K5914" s="25" t="s">
        <v>513</v>
      </c>
      <c r="L5914" s="8"/>
    </row>
    <row r="5915" spans="1:12" ht="25.5" x14ac:dyDescent="0.25">
      <c r="A5915" s="22">
        <v>2026</v>
      </c>
      <c r="B5915" s="28" t="s">
        <v>237</v>
      </c>
      <c r="C5915" s="28" t="s">
        <v>97</v>
      </c>
      <c r="D5915" s="28" t="s">
        <v>1708</v>
      </c>
      <c r="E5915" s="29" t="s">
        <v>369</v>
      </c>
      <c r="F5915" s="29" t="s">
        <v>483</v>
      </c>
      <c r="G5915" s="25" t="s">
        <v>7614</v>
      </c>
      <c r="H5915" s="26">
        <v>-4.4018282800000003E-2</v>
      </c>
      <c r="I5915" s="26"/>
      <c r="J5915" s="26" t="s">
        <v>512</v>
      </c>
      <c r="K5915" s="25" t="s">
        <v>513</v>
      </c>
      <c r="L5915" s="8"/>
    </row>
    <row r="5916" spans="1:12" ht="25.5" x14ac:dyDescent="0.25">
      <c r="A5916" s="22">
        <v>2026</v>
      </c>
      <c r="B5916" s="28" t="s">
        <v>237</v>
      </c>
      <c r="C5916" s="28" t="s">
        <v>97</v>
      </c>
      <c r="D5916" s="28" t="s">
        <v>1708</v>
      </c>
      <c r="E5916" s="29" t="s">
        <v>369</v>
      </c>
      <c r="F5916" s="29" t="s">
        <v>483</v>
      </c>
      <c r="G5916" s="25" t="s">
        <v>7615</v>
      </c>
      <c r="H5916" s="26">
        <v>-9.2823436799999992E-2</v>
      </c>
      <c r="I5916" s="26"/>
      <c r="J5916" s="26" t="s">
        <v>512</v>
      </c>
      <c r="K5916" s="25" t="s">
        <v>513</v>
      </c>
      <c r="L5916" s="8"/>
    </row>
    <row r="5917" spans="1:12" ht="25.5" x14ac:dyDescent="0.25">
      <c r="A5917" s="22">
        <v>2026</v>
      </c>
      <c r="B5917" s="28" t="s">
        <v>237</v>
      </c>
      <c r="C5917" s="28" t="s">
        <v>97</v>
      </c>
      <c r="D5917" s="28" t="s">
        <v>1708</v>
      </c>
      <c r="E5917" s="29" t="s">
        <v>369</v>
      </c>
      <c r="F5917" s="29" t="s">
        <v>483</v>
      </c>
      <c r="G5917" s="25" t="s">
        <v>7616</v>
      </c>
      <c r="H5917" s="26">
        <v>-0.1527</v>
      </c>
      <c r="I5917" s="26"/>
      <c r="J5917" s="26" t="s">
        <v>512</v>
      </c>
      <c r="K5917" s="25" t="s">
        <v>513</v>
      </c>
      <c r="L5917" s="8"/>
    </row>
    <row r="5918" spans="1:12" ht="25.5" x14ac:dyDescent="0.25">
      <c r="A5918" s="22">
        <v>2026</v>
      </c>
      <c r="B5918" s="28" t="s">
        <v>237</v>
      </c>
      <c r="C5918" s="28" t="s">
        <v>97</v>
      </c>
      <c r="D5918" s="28" t="s">
        <v>1708</v>
      </c>
      <c r="E5918" s="29" t="s">
        <v>369</v>
      </c>
      <c r="F5918" s="29" t="s">
        <v>483</v>
      </c>
      <c r="G5918" s="25" t="s">
        <v>7617</v>
      </c>
      <c r="H5918" s="26">
        <v>-7.2092316600000012E-2</v>
      </c>
      <c r="I5918" s="26"/>
      <c r="J5918" s="26" t="s">
        <v>512</v>
      </c>
      <c r="K5918" s="25" t="s">
        <v>513</v>
      </c>
      <c r="L5918" s="8"/>
    </row>
    <row r="5919" spans="1:12" ht="25.5" x14ac:dyDescent="0.25">
      <c r="A5919" s="22">
        <v>2026</v>
      </c>
      <c r="B5919" s="28" t="s">
        <v>237</v>
      </c>
      <c r="C5919" s="28" t="s">
        <v>97</v>
      </c>
      <c r="D5919" s="28" t="s">
        <v>1709</v>
      </c>
      <c r="E5919" s="29" t="s">
        <v>369</v>
      </c>
      <c r="F5919" s="29" t="s">
        <v>353</v>
      </c>
      <c r="G5919" s="25" t="s">
        <v>7618</v>
      </c>
      <c r="H5919" s="26">
        <v>-2.1999999999999999E-2</v>
      </c>
      <c r="I5919" s="26"/>
      <c r="J5919" s="26" t="s">
        <v>512</v>
      </c>
      <c r="K5919" s="25" t="s">
        <v>513</v>
      </c>
      <c r="L5919" s="8"/>
    </row>
    <row r="5920" spans="1:12" ht="25.5" x14ac:dyDescent="0.25">
      <c r="A5920" s="22">
        <v>2026</v>
      </c>
      <c r="B5920" s="28" t="s">
        <v>237</v>
      </c>
      <c r="C5920" s="28" t="s">
        <v>97</v>
      </c>
      <c r="D5920" s="28" t="s">
        <v>211</v>
      </c>
      <c r="E5920" s="29" t="s">
        <v>369</v>
      </c>
      <c r="F5920" s="29" t="s">
        <v>343</v>
      </c>
      <c r="G5920" s="25" t="s">
        <v>7619</v>
      </c>
      <c r="H5920" s="26">
        <v>-0.2001</v>
      </c>
      <c r="I5920" s="26"/>
      <c r="J5920" s="26" t="s">
        <v>512</v>
      </c>
      <c r="K5920" s="25" t="s">
        <v>513</v>
      </c>
      <c r="L5920" s="8"/>
    </row>
    <row r="5921" spans="1:12" ht="25.5" x14ac:dyDescent="0.25">
      <c r="A5921" s="22">
        <v>2026</v>
      </c>
      <c r="B5921" s="28" t="s">
        <v>237</v>
      </c>
      <c r="C5921" s="28" t="s">
        <v>97</v>
      </c>
      <c r="D5921" s="28" t="s">
        <v>211</v>
      </c>
      <c r="E5921" s="29" t="s">
        <v>369</v>
      </c>
      <c r="F5921" s="29" t="s">
        <v>343</v>
      </c>
      <c r="G5921" s="25" t="s">
        <v>7620</v>
      </c>
      <c r="H5921" s="26">
        <v>-0.19889999999999999</v>
      </c>
      <c r="I5921" s="26"/>
      <c r="J5921" s="26" t="s">
        <v>512</v>
      </c>
      <c r="K5921" s="25" t="s">
        <v>513</v>
      </c>
      <c r="L5921" s="8"/>
    </row>
    <row r="5922" spans="1:12" ht="25.5" x14ac:dyDescent="0.25">
      <c r="A5922" s="22">
        <v>2026</v>
      </c>
      <c r="B5922" s="28" t="s">
        <v>237</v>
      </c>
      <c r="C5922" s="28" t="s">
        <v>97</v>
      </c>
      <c r="D5922" s="28" t="s">
        <v>211</v>
      </c>
      <c r="E5922" s="29" t="s">
        <v>369</v>
      </c>
      <c r="F5922" s="29" t="s">
        <v>343</v>
      </c>
      <c r="G5922" s="25" t="s">
        <v>7621</v>
      </c>
      <c r="H5922" s="26">
        <v>-0.19589999999999999</v>
      </c>
      <c r="I5922" s="26"/>
      <c r="J5922" s="26" t="s">
        <v>512</v>
      </c>
      <c r="K5922" s="25" t="s">
        <v>513</v>
      </c>
      <c r="L5922" s="8"/>
    </row>
    <row r="5923" spans="1:12" ht="25.5" x14ac:dyDescent="0.25">
      <c r="A5923" s="22">
        <v>2026</v>
      </c>
      <c r="B5923" s="28" t="s">
        <v>237</v>
      </c>
      <c r="C5923" s="28" t="s">
        <v>97</v>
      </c>
      <c r="D5923" s="28" t="s">
        <v>211</v>
      </c>
      <c r="E5923" s="29" t="s">
        <v>369</v>
      </c>
      <c r="F5923" s="29" t="s">
        <v>343</v>
      </c>
      <c r="G5923" s="25" t="s">
        <v>7620</v>
      </c>
      <c r="H5923" s="26">
        <v>-0.19889999999999999</v>
      </c>
      <c r="I5923" s="26"/>
      <c r="J5923" s="26" t="s">
        <v>512</v>
      </c>
      <c r="K5923" s="25" t="s">
        <v>513</v>
      </c>
      <c r="L5923" s="8"/>
    </row>
    <row r="5924" spans="1:12" ht="25.5" x14ac:dyDescent="0.25">
      <c r="A5924" s="22">
        <v>2026</v>
      </c>
      <c r="B5924" s="28" t="s">
        <v>237</v>
      </c>
      <c r="C5924" s="28" t="s">
        <v>97</v>
      </c>
      <c r="D5924" s="28" t="s">
        <v>211</v>
      </c>
      <c r="E5924" s="29" t="s">
        <v>369</v>
      </c>
      <c r="F5924" s="29" t="s">
        <v>343</v>
      </c>
      <c r="G5924" s="25" t="s">
        <v>7622</v>
      </c>
      <c r="H5924" s="26">
        <v>-0.19769999999999999</v>
      </c>
      <c r="I5924" s="26"/>
      <c r="J5924" s="26" t="s">
        <v>512</v>
      </c>
      <c r="K5924" s="25" t="s">
        <v>513</v>
      </c>
      <c r="L5924" s="8"/>
    </row>
    <row r="5925" spans="1:12" ht="25.5" x14ac:dyDescent="0.25">
      <c r="A5925" s="22">
        <v>2026</v>
      </c>
      <c r="B5925" s="28" t="s">
        <v>237</v>
      </c>
      <c r="C5925" s="28" t="s">
        <v>97</v>
      </c>
      <c r="D5925" s="28" t="s">
        <v>211</v>
      </c>
      <c r="E5925" s="29" t="s">
        <v>369</v>
      </c>
      <c r="F5925" s="29" t="s">
        <v>343</v>
      </c>
      <c r="G5925" s="25" t="s">
        <v>7623</v>
      </c>
      <c r="H5925" s="26">
        <v>-0.19739999999999999</v>
      </c>
      <c r="I5925" s="26"/>
      <c r="J5925" s="26" t="s">
        <v>512</v>
      </c>
      <c r="K5925" s="25" t="s">
        <v>513</v>
      </c>
      <c r="L5925" s="8"/>
    </row>
    <row r="5926" spans="1:12" ht="25.5" x14ac:dyDescent="0.25">
      <c r="A5926" s="22">
        <v>2026</v>
      </c>
      <c r="B5926" s="28" t="s">
        <v>237</v>
      </c>
      <c r="C5926" s="28" t="s">
        <v>97</v>
      </c>
      <c r="D5926" s="28" t="s">
        <v>211</v>
      </c>
      <c r="E5926" s="29" t="s">
        <v>369</v>
      </c>
      <c r="F5926" s="29" t="s">
        <v>343</v>
      </c>
      <c r="G5926" s="25" t="s">
        <v>7624</v>
      </c>
      <c r="H5926" s="26">
        <v>-0.19500000000000001</v>
      </c>
      <c r="I5926" s="26"/>
      <c r="J5926" s="26" t="s">
        <v>512</v>
      </c>
      <c r="K5926" s="25" t="s">
        <v>513</v>
      </c>
      <c r="L5926" s="8"/>
    </row>
    <row r="5927" spans="1:12" ht="25.5" x14ac:dyDescent="0.25">
      <c r="A5927" s="22">
        <v>2026</v>
      </c>
      <c r="B5927" s="28" t="s">
        <v>237</v>
      </c>
      <c r="C5927" s="28" t="s">
        <v>97</v>
      </c>
      <c r="D5927" s="28" t="s">
        <v>211</v>
      </c>
      <c r="E5927" s="29" t="s">
        <v>369</v>
      </c>
      <c r="F5927" s="29" t="s">
        <v>343</v>
      </c>
      <c r="G5927" s="25" t="s">
        <v>7625</v>
      </c>
      <c r="H5927" s="26">
        <v>-0.1956</v>
      </c>
      <c r="I5927" s="26"/>
      <c r="J5927" s="26" t="s">
        <v>512</v>
      </c>
      <c r="K5927" s="25" t="s">
        <v>513</v>
      </c>
      <c r="L5927" s="8"/>
    </row>
    <row r="5928" spans="1:12" ht="25.5" x14ac:dyDescent="0.25">
      <c r="A5928" s="22">
        <v>2026</v>
      </c>
      <c r="B5928" s="28" t="s">
        <v>237</v>
      </c>
      <c r="C5928" s="28" t="s">
        <v>97</v>
      </c>
      <c r="D5928" s="28" t="s">
        <v>211</v>
      </c>
      <c r="E5928" s="29" t="s">
        <v>369</v>
      </c>
      <c r="F5928" s="29" t="s">
        <v>343</v>
      </c>
      <c r="G5928" s="25" t="s">
        <v>7626</v>
      </c>
      <c r="H5928" s="26">
        <v>-0.19350000000000001</v>
      </c>
      <c r="I5928" s="26"/>
      <c r="J5928" s="26" t="s">
        <v>512</v>
      </c>
      <c r="K5928" s="25" t="s">
        <v>513</v>
      </c>
      <c r="L5928" s="8"/>
    </row>
    <row r="5929" spans="1:12" ht="25.5" x14ac:dyDescent="0.25">
      <c r="A5929" s="22">
        <v>2026</v>
      </c>
      <c r="B5929" s="28" t="s">
        <v>237</v>
      </c>
      <c r="C5929" s="28" t="s">
        <v>97</v>
      </c>
      <c r="D5929" s="28" t="s">
        <v>211</v>
      </c>
      <c r="E5929" s="29" t="s">
        <v>369</v>
      </c>
      <c r="F5929" s="29" t="s">
        <v>343</v>
      </c>
      <c r="G5929" s="25" t="s">
        <v>7621</v>
      </c>
      <c r="H5929" s="26">
        <v>-0.19589999999999999</v>
      </c>
      <c r="I5929" s="26"/>
      <c r="J5929" s="26" t="s">
        <v>512</v>
      </c>
      <c r="K5929" s="25" t="s">
        <v>513</v>
      </c>
      <c r="L5929" s="8"/>
    </row>
    <row r="5930" spans="1:12" ht="25.5" x14ac:dyDescent="0.25">
      <c r="A5930" s="22">
        <v>2026</v>
      </c>
      <c r="B5930" s="28" t="s">
        <v>237</v>
      </c>
      <c r="C5930" s="28" t="s">
        <v>97</v>
      </c>
      <c r="D5930" s="28" t="s">
        <v>211</v>
      </c>
      <c r="E5930" s="29" t="s">
        <v>369</v>
      </c>
      <c r="F5930" s="29" t="s">
        <v>343</v>
      </c>
      <c r="G5930" s="25" t="s">
        <v>7627</v>
      </c>
      <c r="H5930" s="26">
        <v>-0.19470000000000001</v>
      </c>
      <c r="I5930" s="26"/>
      <c r="J5930" s="26" t="s">
        <v>512</v>
      </c>
      <c r="K5930" s="25" t="s">
        <v>513</v>
      </c>
      <c r="L5930" s="8"/>
    </row>
    <row r="5931" spans="1:12" ht="25.5" x14ac:dyDescent="0.25">
      <c r="A5931" s="22">
        <v>2026</v>
      </c>
      <c r="B5931" s="28" t="s">
        <v>237</v>
      </c>
      <c r="C5931" s="28" t="s">
        <v>97</v>
      </c>
      <c r="D5931" s="28" t="s">
        <v>211</v>
      </c>
      <c r="E5931" s="29" t="s">
        <v>369</v>
      </c>
      <c r="F5931" s="29" t="s">
        <v>343</v>
      </c>
      <c r="G5931" s="25" t="s">
        <v>7620</v>
      </c>
      <c r="H5931" s="26">
        <v>-0.19889999999999999</v>
      </c>
      <c r="I5931" s="26"/>
      <c r="J5931" s="26" t="s">
        <v>512</v>
      </c>
      <c r="K5931" s="25" t="s">
        <v>513</v>
      </c>
      <c r="L5931" s="8"/>
    </row>
    <row r="5932" spans="1:12" ht="25.5" x14ac:dyDescent="0.25">
      <c r="A5932" s="22">
        <v>2026</v>
      </c>
      <c r="B5932" s="28" t="s">
        <v>237</v>
      </c>
      <c r="C5932" s="28" t="s">
        <v>97</v>
      </c>
      <c r="D5932" s="28" t="s">
        <v>211</v>
      </c>
      <c r="E5932" s="29" t="s">
        <v>369</v>
      </c>
      <c r="F5932" s="29" t="s">
        <v>343</v>
      </c>
      <c r="G5932" s="25" t="s">
        <v>7628</v>
      </c>
      <c r="H5932" s="26">
        <v>-0.1971</v>
      </c>
      <c r="I5932" s="26"/>
      <c r="J5932" s="26" t="s">
        <v>512</v>
      </c>
      <c r="K5932" s="25" t="s">
        <v>513</v>
      </c>
      <c r="L5932" s="8"/>
    </row>
    <row r="5933" spans="1:12" ht="25.5" x14ac:dyDescent="0.25">
      <c r="A5933" s="22">
        <v>2026</v>
      </c>
      <c r="B5933" s="28" t="s">
        <v>237</v>
      </c>
      <c r="C5933" s="28" t="s">
        <v>97</v>
      </c>
      <c r="D5933" s="28" t="s">
        <v>211</v>
      </c>
      <c r="E5933" s="29" t="s">
        <v>369</v>
      </c>
      <c r="F5933" s="29" t="s">
        <v>343</v>
      </c>
      <c r="G5933" s="25" t="s">
        <v>7629</v>
      </c>
      <c r="H5933" s="26">
        <v>-0.1968</v>
      </c>
      <c r="I5933" s="26"/>
      <c r="J5933" s="26" t="s">
        <v>512</v>
      </c>
      <c r="K5933" s="25" t="s">
        <v>513</v>
      </c>
      <c r="L5933" s="8"/>
    </row>
    <row r="5934" spans="1:12" ht="25.5" x14ac:dyDescent="0.25">
      <c r="A5934" s="22">
        <v>2026</v>
      </c>
      <c r="B5934" s="28" t="s">
        <v>237</v>
      </c>
      <c r="C5934" s="28" t="s">
        <v>97</v>
      </c>
      <c r="D5934" s="28" t="s">
        <v>211</v>
      </c>
      <c r="E5934" s="29" t="s">
        <v>369</v>
      </c>
      <c r="F5934" s="29" t="s">
        <v>343</v>
      </c>
      <c r="G5934" s="25" t="s">
        <v>7630</v>
      </c>
      <c r="H5934" s="26">
        <v>-0.19620000000000001</v>
      </c>
      <c r="I5934" s="26"/>
      <c r="J5934" s="26" t="s">
        <v>512</v>
      </c>
      <c r="K5934" s="25" t="s">
        <v>513</v>
      </c>
      <c r="L5934" s="8"/>
    </row>
    <row r="5935" spans="1:12" ht="25.5" x14ac:dyDescent="0.25">
      <c r="A5935" s="22">
        <v>2026</v>
      </c>
      <c r="B5935" s="28" t="s">
        <v>237</v>
      </c>
      <c r="C5935" s="28" t="s">
        <v>97</v>
      </c>
      <c r="D5935" s="28" t="s">
        <v>211</v>
      </c>
      <c r="E5935" s="29" t="s">
        <v>369</v>
      </c>
      <c r="F5935" s="29" t="s">
        <v>343</v>
      </c>
      <c r="G5935" s="25" t="s">
        <v>7628</v>
      </c>
      <c r="H5935" s="26">
        <v>-0.1971</v>
      </c>
      <c r="I5935" s="26"/>
      <c r="J5935" s="26" t="s">
        <v>512</v>
      </c>
      <c r="K5935" s="25" t="s">
        <v>513</v>
      </c>
      <c r="L5935" s="8"/>
    </row>
    <row r="5936" spans="1:12" ht="25.5" x14ac:dyDescent="0.25">
      <c r="A5936" s="22">
        <v>2026</v>
      </c>
      <c r="B5936" s="28" t="s">
        <v>237</v>
      </c>
      <c r="C5936" s="28" t="s">
        <v>97</v>
      </c>
      <c r="D5936" s="28" t="s">
        <v>211</v>
      </c>
      <c r="E5936" s="29" t="s">
        <v>369</v>
      </c>
      <c r="F5936" s="29" t="s">
        <v>343</v>
      </c>
      <c r="G5936" s="25" t="s">
        <v>7625</v>
      </c>
      <c r="H5936" s="26">
        <v>-0.1956</v>
      </c>
      <c r="I5936" s="26"/>
      <c r="J5936" s="26" t="s">
        <v>512</v>
      </c>
      <c r="K5936" s="25" t="s">
        <v>513</v>
      </c>
      <c r="L5936" s="8"/>
    </row>
    <row r="5937" spans="1:12" ht="25.5" x14ac:dyDescent="0.25">
      <c r="A5937" s="22">
        <v>2026</v>
      </c>
      <c r="B5937" s="28" t="s">
        <v>237</v>
      </c>
      <c r="C5937" s="28" t="s">
        <v>97</v>
      </c>
      <c r="D5937" s="28" t="s">
        <v>211</v>
      </c>
      <c r="E5937" s="29" t="s">
        <v>369</v>
      </c>
      <c r="F5937" s="29" t="s">
        <v>343</v>
      </c>
      <c r="G5937" s="25" t="s">
        <v>7631</v>
      </c>
      <c r="H5937" s="26">
        <v>-0.1953</v>
      </c>
      <c r="I5937" s="26"/>
      <c r="J5937" s="26" t="s">
        <v>512</v>
      </c>
      <c r="K5937" s="25" t="s">
        <v>513</v>
      </c>
      <c r="L5937" s="8"/>
    </row>
    <row r="5938" spans="1:12" ht="25.5" x14ac:dyDescent="0.25">
      <c r="A5938" s="22">
        <v>2026</v>
      </c>
      <c r="B5938" s="28" t="s">
        <v>237</v>
      </c>
      <c r="C5938" s="28" t="s">
        <v>97</v>
      </c>
      <c r="D5938" s="28" t="s">
        <v>1710</v>
      </c>
      <c r="E5938" s="29" t="s">
        <v>1767</v>
      </c>
      <c r="F5938" s="29" t="s">
        <v>564</v>
      </c>
      <c r="G5938" s="25" t="s">
        <v>7632</v>
      </c>
      <c r="H5938" s="26">
        <v>-5.1975E-2</v>
      </c>
      <c r="I5938" s="26"/>
      <c r="J5938" s="26" t="s">
        <v>512</v>
      </c>
      <c r="K5938" s="25" t="s">
        <v>513</v>
      </c>
      <c r="L5938" s="8"/>
    </row>
    <row r="5939" spans="1:12" ht="25.5" x14ac:dyDescent="0.25">
      <c r="A5939" s="22">
        <v>2026</v>
      </c>
      <c r="B5939" s="28" t="s">
        <v>237</v>
      </c>
      <c r="C5939" s="28" t="s">
        <v>97</v>
      </c>
      <c r="D5939" s="28" t="s">
        <v>1710</v>
      </c>
      <c r="E5939" s="29" t="s">
        <v>1767</v>
      </c>
      <c r="F5939" s="29" t="s">
        <v>564</v>
      </c>
      <c r="G5939" s="25" t="s">
        <v>7633</v>
      </c>
      <c r="H5939" s="26">
        <v>-7.3999999999999996E-2</v>
      </c>
      <c r="I5939" s="26"/>
      <c r="J5939" s="26" t="s">
        <v>512</v>
      </c>
      <c r="K5939" s="25" t="s">
        <v>513</v>
      </c>
      <c r="L5939" s="8"/>
    </row>
    <row r="5940" spans="1:12" ht="25.5" x14ac:dyDescent="0.25">
      <c r="A5940" s="22">
        <v>2026</v>
      </c>
      <c r="B5940" s="28" t="s">
        <v>237</v>
      </c>
      <c r="C5940" s="28" t="s">
        <v>97</v>
      </c>
      <c r="D5940" s="28" t="s">
        <v>1710</v>
      </c>
      <c r="E5940" s="29" t="s">
        <v>1767</v>
      </c>
      <c r="F5940" s="29" t="s">
        <v>564</v>
      </c>
      <c r="G5940" s="25" t="s">
        <v>7634</v>
      </c>
      <c r="H5940" s="26">
        <v>-0.14774999999999999</v>
      </c>
      <c r="I5940" s="26"/>
      <c r="J5940" s="26" t="s">
        <v>512</v>
      </c>
      <c r="K5940" s="25" t="s">
        <v>513</v>
      </c>
      <c r="L5940" s="8"/>
    </row>
    <row r="5941" spans="1:12" ht="25.5" x14ac:dyDescent="0.25">
      <c r="A5941" s="22">
        <v>2026</v>
      </c>
      <c r="B5941" s="28" t="s">
        <v>237</v>
      </c>
      <c r="C5941" s="28" t="s">
        <v>97</v>
      </c>
      <c r="D5941" s="28" t="s">
        <v>1710</v>
      </c>
      <c r="E5941" s="29" t="s">
        <v>1767</v>
      </c>
      <c r="F5941" s="29" t="s">
        <v>564</v>
      </c>
      <c r="G5941" s="25" t="s">
        <v>7635</v>
      </c>
      <c r="H5941" s="26">
        <v>-7.46E-2</v>
      </c>
      <c r="I5941" s="26"/>
      <c r="J5941" s="26" t="s">
        <v>512</v>
      </c>
      <c r="K5941" s="25" t="s">
        <v>513</v>
      </c>
      <c r="L5941" s="8"/>
    </row>
    <row r="5942" spans="1:12" ht="25.5" x14ac:dyDescent="0.25">
      <c r="A5942" s="22">
        <v>2026</v>
      </c>
      <c r="B5942" s="28" t="s">
        <v>237</v>
      </c>
      <c r="C5942" s="28" t="s">
        <v>97</v>
      </c>
      <c r="D5942" s="28" t="s">
        <v>1710</v>
      </c>
      <c r="E5942" s="29" t="s">
        <v>1767</v>
      </c>
      <c r="F5942" s="29" t="s">
        <v>564</v>
      </c>
      <c r="G5942" s="25" t="s">
        <v>7636</v>
      </c>
      <c r="H5942" s="26">
        <v>-2.2124999999999999E-2</v>
      </c>
      <c r="I5942" s="26"/>
      <c r="J5942" s="26" t="s">
        <v>512</v>
      </c>
      <c r="K5942" s="25" t="s">
        <v>513</v>
      </c>
      <c r="L5942" s="8"/>
    </row>
    <row r="5943" spans="1:12" ht="25.5" x14ac:dyDescent="0.25">
      <c r="A5943" s="22">
        <v>2026</v>
      </c>
      <c r="B5943" s="28" t="s">
        <v>237</v>
      </c>
      <c r="C5943" s="28" t="s">
        <v>97</v>
      </c>
      <c r="D5943" s="28" t="s">
        <v>1710</v>
      </c>
      <c r="E5943" s="29" t="s">
        <v>1767</v>
      </c>
      <c r="F5943" s="29" t="s">
        <v>564</v>
      </c>
      <c r="G5943" s="25" t="s">
        <v>7637</v>
      </c>
      <c r="H5943" s="26">
        <v>-0.146985</v>
      </c>
      <c r="I5943" s="26"/>
      <c r="J5943" s="26" t="s">
        <v>512</v>
      </c>
      <c r="K5943" s="25" t="s">
        <v>513</v>
      </c>
      <c r="L5943" s="8"/>
    </row>
    <row r="5944" spans="1:12" ht="25.5" x14ac:dyDescent="0.25">
      <c r="A5944" s="22">
        <v>2026</v>
      </c>
      <c r="B5944" s="28" t="s">
        <v>237</v>
      </c>
      <c r="C5944" s="28" t="s">
        <v>97</v>
      </c>
      <c r="D5944" s="28" t="s">
        <v>1710</v>
      </c>
      <c r="E5944" s="29" t="s">
        <v>1767</v>
      </c>
      <c r="F5944" s="29" t="s">
        <v>564</v>
      </c>
      <c r="G5944" s="25" t="s">
        <v>7638</v>
      </c>
      <c r="H5944" s="26">
        <v>-8.7319999999999995E-2</v>
      </c>
      <c r="I5944" s="26"/>
      <c r="J5944" s="26" t="s">
        <v>512</v>
      </c>
      <c r="K5944" s="25" t="s">
        <v>513</v>
      </c>
      <c r="L5944" s="8"/>
    </row>
    <row r="5945" spans="1:12" ht="25.5" x14ac:dyDescent="0.25">
      <c r="A5945" s="22">
        <v>2026</v>
      </c>
      <c r="B5945" s="28" t="s">
        <v>237</v>
      </c>
      <c r="C5945" s="28" t="s">
        <v>97</v>
      </c>
      <c r="D5945" s="28" t="s">
        <v>1710</v>
      </c>
      <c r="E5945" s="29" t="s">
        <v>1767</v>
      </c>
      <c r="F5945" s="29" t="s">
        <v>564</v>
      </c>
      <c r="G5945" s="25" t="s">
        <v>7639</v>
      </c>
      <c r="H5945" s="26">
        <v>-0.153476</v>
      </c>
      <c r="I5945" s="26"/>
      <c r="J5945" s="26" t="s">
        <v>512</v>
      </c>
      <c r="K5945" s="25" t="s">
        <v>513</v>
      </c>
      <c r="L5945" s="8"/>
    </row>
    <row r="5946" spans="1:12" ht="25.5" x14ac:dyDescent="0.25">
      <c r="A5946" s="22">
        <v>2026</v>
      </c>
      <c r="B5946" s="28" t="s">
        <v>237</v>
      </c>
      <c r="C5946" s="28" t="s">
        <v>97</v>
      </c>
      <c r="D5946" s="28" t="s">
        <v>1710</v>
      </c>
      <c r="E5946" s="29" t="s">
        <v>1767</v>
      </c>
      <c r="F5946" s="29" t="s">
        <v>564</v>
      </c>
      <c r="G5946" s="25" t="s">
        <v>7640</v>
      </c>
      <c r="H5946" s="26">
        <v>-5.7197416500000001E-2</v>
      </c>
      <c r="I5946" s="26"/>
      <c r="J5946" s="26" t="s">
        <v>512</v>
      </c>
      <c r="K5946" s="25" t="s">
        <v>513</v>
      </c>
      <c r="L5946" s="8"/>
    </row>
    <row r="5947" spans="1:12" ht="25.5" x14ac:dyDescent="0.25">
      <c r="A5947" s="22">
        <v>2026</v>
      </c>
      <c r="B5947" s="28" t="s">
        <v>237</v>
      </c>
      <c r="C5947" s="28" t="s">
        <v>97</v>
      </c>
      <c r="D5947" s="28" t="s">
        <v>1710</v>
      </c>
      <c r="E5947" s="29" t="s">
        <v>1767</v>
      </c>
      <c r="F5947" s="29" t="s">
        <v>564</v>
      </c>
      <c r="G5947" s="25" t="s">
        <v>7641</v>
      </c>
      <c r="H5947" s="26">
        <v>-0.15613199999999999</v>
      </c>
      <c r="I5947" s="26"/>
      <c r="J5947" s="26" t="s">
        <v>512</v>
      </c>
      <c r="K5947" s="25" t="s">
        <v>513</v>
      </c>
      <c r="L5947" s="8"/>
    </row>
    <row r="5948" spans="1:12" ht="25.5" x14ac:dyDescent="0.25">
      <c r="A5948" s="22">
        <v>2026</v>
      </c>
      <c r="B5948" s="28" t="s">
        <v>237</v>
      </c>
      <c r="C5948" s="28" t="s">
        <v>97</v>
      </c>
      <c r="D5948" s="28" t="s">
        <v>1710</v>
      </c>
      <c r="E5948" s="29" t="s">
        <v>1767</v>
      </c>
      <c r="F5948" s="29" t="s">
        <v>564</v>
      </c>
      <c r="G5948" s="25" t="s">
        <v>7642</v>
      </c>
      <c r="H5948" s="26">
        <v>-7.5063450000000004E-2</v>
      </c>
      <c r="I5948" s="26"/>
      <c r="J5948" s="26" t="s">
        <v>512</v>
      </c>
      <c r="K5948" s="25" t="s">
        <v>513</v>
      </c>
      <c r="L5948" s="8"/>
    </row>
    <row r="5949" spans="1:12" ht="25.5" x14ac:dyDescent="0.25">
      <c r="A5949" s="22">
        <v>2026</v>
      </c>
      <c r="B5949" s="28" t="s">
        <v>237</v>
      </c>
      <c r="C5949" s="28" t="s">
        <v>97</v>
      </c>
      <c r="D5949" s="28" t="s">
        <v>1710</v>
      </c>
      <c r="E5949" s="29" t="s">
        <v>1767</v>
      </c>
      <c r="F5949" s="29" t="s">
        <v>564</v>
      </c>
      <c r="G5949" s="25" t="s">
        <v>7643</v>
      </c>
      <c r="H5949" s="26">
        <v>-0.31397199999999997</v>
      </c>
      <c r="I5949" s="26"/>
      <c r="J5949" s="26" t="s">
        <v>512</v>
      </c>
      <c r="K5949" s="25" t="s">
        <v>513</v>
      </c>
      <c r="L5949" s="8"/>
    </row>
    <row r="5950" spans="1:12" ht="25.5" x14ac:dyDescent="0.25">
      <c r="A5950" s="22">
        <v>2026</v>
      </c>
      <c r="B5950" s="28" t="s">
        <v>237</v>
      </c>
      <c r="C5950" s="28" t="s">
        <v>97</v>
      </c>
      <c r="D5950" s="28" t="s">
        <v>1710</v>
      </c>
      <c r="E5950" s="29" t="s">
        <v>1767</v>
      </c>
      <c r="F5950" s="29" t="s">
        <v>564</v>
      </c>
      <c r="G5950" s="25" t="s">
        <v>7644</v>
      </c>
      <c r="H5950" s="26">
        <v>-7.8875000000000001E-2</v>
      </c>
      <c r="I5950" s="26"/>
      <c r="J5950" s="26" t="s">
        <v>512</v>
      </c>
      <c r="K5950" s="25" t="s">
        <v>513</v>
      </c>
      <c r="L5950" s="8"/>
    </row>
    <row r="5951" spans="1:12" ht="25.5" x14ac:dyDescent="0.25">
      <c r="A5951" s="22">
        <v>2026</v>
      </c>
      <c r="B5951" s="28" t="s">
        <v>237</v>
      </c>
      <c r="C5951" s="28" t="s">
        <v>97</v>
      </c>
      <c r="D5951" s="28" t="s">
        <v>1710</v>
      </c>
      <c r="E5951" s="29" t="s">
        <v>1767</v>
      </c>
      <c r="F5951" s="29" t="s">
        <v>564</v>
      </c>
      <c r="G5951" s="25" t="s">
        <v>7645</v>
      </c>
      <c r="H5951" s="26">
        <v>-0.20085749999999999</v>
      </c>
      <c r="I5951" s="26"/>
      <c r="J5951" s="26" t="s">
        <v>512</v>
      </c>
      <c r="K5951" s="25" t="s">
        <v>513</v>
      </c>
      <c r="L5951" s="8"/>
    </row>
    <row r="5952" spans="1:12" ht="25.5" x14ac:dyDescent="0.25">
      <c r="A5952" s="22">
        <v>2026</v>
      </c>
      <c r="B5952" s="28" t="s">
        <v>237</v>
      </c>
      <c r="C5952" s="28" t="s">
        <v>97</v>
      </c>
      <c r="D5952" s="28" t="s">
        <v>1711</v>
      </c>
      <c r="E5952" s="29" t="s">
        <v>1758</v>
      </c>
      <c r="F5952" s="29" t="s">
        <v>298</v>
      </c>
      <c r="G5952" s="25" t="s">
        <v>7646</v>
      </c>
      <c r="H5952" s="26">
        <v>-0.23938695000000002</v>
      </c>
      <c r="I5952" s="26"/>
      <c r="J5952" s="26" t="s">
        <v>512</v>
      </c>
      <c r="K5952" s="25" t="s">
        <v>513</v>
      </c>
      <c r="L5952" s="8"/>
    </row>
    <row r="5953" spans="1:12" ht="25.5" x14ac:dyDescent="0.25">
      <c r="A5953" s="22">
        <v>2026</v>
      </c>
      <c r="B5953" s="28" t="s">
        <v>237</v>
      </c>
      <c r="C5953" s="28" t="s">
        <v>97</v>
      </c>
      <c r="D5953" s="28" t="s">
        <v>1711</v>
      </c>
      <c r="E5953" s="29" t="s">
        <v>1758</v>
      </c>
      <c r="F5953" s="29" t="s">
        <v>298</v>
      </c>
      <c r="G5953" s="25" t="s">
        <v>7647</v>
      </c>
      <c r="H5953" s="26">
        <v>-0.23221285999999999</v>
      </c>
      <c r="I5953" s="26"/>
      <c r="J5953" s="26" t="s">
        <v>512</v>
      </c>
      <c r="K5953" s="25" t="s">
        <v>513</v>
      </c>
      <c r="L5953" s="8"/>
    </row>
    <row r="5954" spans="1:12" ht="25.5" x14ac:dyDescent="0.25">
      <c r="A5954" s="22">
        <v>2026</v>
      </c>
      <c r="B5954" s="28" t="s">
        <v>237</v>
      </c>
      <c r="C5954" s="28" t="s">
        <v>97</v>
      </c>
      <c r="D5954" s="28" t="s">
        <v>1711</v>
      </c>
      <c r="E5954" s="29" t="s">
        <v>1758</v>
      </c>
      <c r="F5954" s="29" t="s">
        <v>298</v>
      </c>
      <c r="G5954" s="25" t="s">
        <v>7648</v>
      </c>
      <c r="H5954" s="26">
        <v>-0.13282000899999999</v>
      </c>
      <c r="I5954" s="26"/>
      <c r="J5954" s="26" t="s">
        <v>512</v>
      </c>
      <c r="K5954" s="25" t="s">
        <v>513</v>
      </c>
      <c r="L5954" s="8"/>
    </row>
    <row r="5955" spans="1:12" ht="25.5" x14ac:dyDescent="0.25">
      <c r="A5955" s="22">
        <v>2026</v>
      </c>
      <c r="B5955" s="28" t="s">
        <v>237</v>
      </c>
      <c r="C5955" s="28" t="s">
        <v>97</v>
      </c>
      <c r="D5955" s="28" t="s">
        <v>1711</v>
      </c>
      <c r="E5955" s="29" t="s">
        <v>1758</v>
      </c>
      <c r="F5955" s="29" t="s">
        <v>298</v>
      </c>
      <c r="G5955" s="25" t="s">
        <v>7649</v>
      </c>
      <c r="H5955" s="26">
        <v>-0.20911351500000003</v>
      </c>
      <c r="I5955" s="26"/>
      <c r="J5955" s="26" t="s">
        <v>512</v>
      </c>
      <c r="K5955" s="25" t="s">
        <v>513</v>
      </c>
      <c r="L5955" s="8"/>
    </row>
    <row r="5956" spans="1:12" ht="25.5" x14ac:dyDescent="0.25">
      <c r="A5956" s="22">
        <v>2026</v>
      </c>
      <c r="B5956" s="28" t="s">
        <v>237</v>
      </c>
      <c r="C5956" s="28" t="s">
        <v>97</v>
      </c>
      <c r="D5956" s="28" t="s">
        <v>1711</v>
      </c>
      <c r="E5956" s="29" t="s">
        <v>1758</v>
      </c>
      <c r="F5956" s="29" t="s">
        <v>298</v>
      </c>
      <c r="G5956" s="25" t="s">
        <v>7650</v>
      </c>
      <c r="H5956" s="26">
        <v>-7.8114400000000001E-2</v>
      </c>
      <c r="I5956" s="26"/>
      <c r="J5956" s="26" t="s">
        <v>512</v>
      </c>
      <c r="K5956" s="25" t="s">
        <v>513</v>
      </c>
      <c r="L5956" s="8"/>
    </row>
    <row r="5957" spans="1:12" ht="25.5" x14ac:dyDescent="0.25">
      <c r="A5957" s="22">
        <v>2026</v>
      </c>
      <c r="B5957" s="28" t="s">
        <v>237</v>
      </c>
      <c r="C5957" s="28" t="s">
        <v>97</v>
      </c>
      <c r="D5957" s="28" t="s">
        <v>1711</v>
      </c>
      <c r="E5957" s="29" t="s">
        <v>1758</v>
      </c>
      <c r="F5957" s="29" t="s">
        <v>298</v>
      </c>
      <c r="G5957" s="25" t="s">
        <v>7651</v>
      </c>
      <c r="H5957" s="26">
        <v>-0.2044224882</v>
      </c>
      <c r="I5957" s="26"/>
      <c r="J5957" s="26" t="s">
        <v>512</v>
      </c>
      <c r="K5957" s="25" t="s">
        <v>513</v>
      </c>
      <c r="L5957" s="8"/>
    </row>
    <row r="5958" spans="1:12" ht="25.5" x14ac:dyDescent="0.25">
      <c r="A5958" s="22">
        <v>2026</v>
      </c>
      <c r="B5958" s="28" t="s">
        <v>237</v>
      </c>
      <c r="C5958" s="28" t="s">
        <v>97</v>
      </c>
      <c r="D5958" s="28" t="s">
        <v>1711</v>
      </c>
      <c r="E5958" s="29" t="s">
        <v>1758</v>
      </c>
      <c r="F5958" s="29" t="s">
        <v>298</v>
      </c>
      <c r="G5958" s="25" t="s">
        <v>7652</v>
      </c>
      <c r="H5958" s="26">
        <v>-0.136214487</v>
      </c>
      <c r="I5958" s="26"/>
      <c r="J5958" s="26" t="s">
        <v>512</v>
      </c>
      <c r="K5958" s="25" t="s">
        <v>513</v>
      </c>
      <c r="L5958" s="8"/>
    </row>
    <row r="5959" spans="1:12" ht="25.5" x14ac:dyDescent="0.25">
      <c r="A5959" s="22">
        <v>2026</v>
      </c>
      <c r="B5959" s="28" t="s">
        <v>237</v>
      </c>
      <c r="C5959" s="28" t="s">
        <v>97</v>
      </c>
      <c r="D5959" s="28" t="s">
        <v>1712</v>
      </c>
      <c r="E5959" s="29" t="s">
        <v>1712</v>
      </c>
      <c r="F5959" s="29" t="s">
        <v>325</v>
      </c>
      <c r="G5959" s="25" t="s">
        <v>7653</v>
      </c>
      <c r="H5959" s="26">
        <v>-0.31732428000000001</v>
      </c>
      <c r="I5959" s="26"/>
      <c r="J5959" s="26" t="s">
        <v>512</v>
      </c>
      <c r="K5959" s="25" t="s">
        <v>513</v>
      </c>
      <c r="L5959" s="8"/>
    </row>
    <row r="5960" spans="1:12" ht="25.5" x14ac:dyDescent="0.25">
      <c r="A5960" s="22">
        <v>2026</v>
      </c>
      <c r="B5960" s="28" t="s">
        <v>237</v>
      </c>
      <c r="C5960" s="28" t="s">
        <v>97</v>
      </c>
      <c r="D5960" s="28" t="s">
        <v>1712</v>
      </c>
      <c r="E5960" s="29" t="s">
        <v>1712</v>
      </c>
      <c r="F5960" s="29" t="s">
        <v>325</v>
      </c>
      <c r="G5960" s="25" t="s">
        <v>7654</v>
      </c>
      <c r="H5960" s="26">
        <v>-0.31915167999999999</v>
      </c>
      <c r="I5960" s="26"/>
      <c r="J5960" s="26" t="s">
        <v>512</v>
      </c>
      <c r="K5960" s="25" t="s">
        <v>513</v>
      </c>
      <c r="L5960" s="8"/>
    </row>
    <row r="5961" spans="1:12" ht="25.5" x14ac:dyDescent="0.25">
      <c r="A5961" s="22">
        <v>2026</v>
      </c>
      <c r="B5961" s="28" t="s">
        <v>237</v>
      </c>
      <c r="C5961" s="28" t="s">
        <v>97</v>
      </c>
      <c r="D5961" s="28" t="s">
        <v>1712</v>
      </c>
      <c r="E5961" s="29" t="s">
        <v>1712</v>
      </c>
      <c r="F5961" s="29" t="s">
        <v>325</v>
      </c>
      <c r="G5961" s="25" t="s">
        <v>7655</v>
      </c>
      <c r="H5961" s="26">
        <v>-0.27894681500000001</v>
      </c>
      <c r="I5961" s="26"/>
      <c r="J5961" s="26" t="s">
        <v>512</v>
      </c>
      <c r="K5961" s="25" t="s">
        <v>513</v>
      </c>
      <c r="L5961" s="8"/>
    </row>
    <row r="5962" spans="1:12" ht="25.5" x14ac:dyDescent="0.25">
      <c r="A5962" s="22">
        <v>2026</v>
      </c>
      <c r="B5962" s="28" t="s">
        <v>237</v>
      </c>
      <c r="C5962" s="28" t="s">
        <v>97</v>
      </c>
      <c r="D5962" s="28" t="s">
        <v>1712</v>
      </c>
      <c r="E5962" s="29" t="s">
        <v>1712</v>
      </c>
      <c r="F5962" s="29" t="s">
        <v>325</v>
      </c>
      <c r="G5962" s="25" t="s">
        <v>7656</v>
      </c>
      <c r="H5962" s="26">
        <v>-0.34720259999999997</v>
      </c>
      <c r="I5962" s="26"/>
      <c r="J5962" s="26" t="s">
        <v>512</v>
      </c>
      <c r="K5962" s="25" t="s">
        <v>513</v>
      </c>
      <c r="L5962" s="8"/>
    </row>
    <row r="5963" spans="1:12" ht="25.5" x14ac:dyDescent="0.25">
      <c r="A5963" s="22">
        <v>2026</v>
      </c>
      <c r="B5963" s="28" t="s">
        <v>237</v>
      </c>
      <c r="C5963" s="28" t="s">
        <v>97</v>
      </c>
      <c r="D5963" s="28" t="s">
        <v>1712</v>
      </c>
      <c r="E5963" s="29" t="s">
        <v>1712</v>
      </c>
      <c r="F5963" s="29" t="s">
        <v>325</v>
      </c>
      <c r="G5963" s="25" t="s">
        <v>7657</v>
      </c>
      <c r="H5963" s="26">
        <v>-0.39074625959999998</v>
      </c>
      <c r="I5963" s="26"/>
      <c r="J5963" s="26" t="s">
        <v>512</v>
      </c>
      <c r="K5963" s="25" t="s">
        <v>513</v>
      </c>
      <c r="L5963" s="8"/>
    </row>
    <row r="5964" spans="1:12" ht="25.5" x14ac:dyDescent="0.25">
      <c r="A5964" s="22">
        <v>2026</v>
      </c>
      <c r="B5964" s="28" t="s">
        <v>237</v>
      </c>
      <c r="C5964" s="28" t="s">
        <v>97</v>
      </c>
      <c r="D5964" s="28" t="s">
        <v>1712</v>
      </c>
      <c r="E5964" s="29" t="s">
        <v>1712</v>
      </c>
      <c r="F5964" s="29" t="s">
        <v>325</v>
      </c>
      <c r="G5964" s="25" t="s">
        <v>7658</v>
      </c>
      <c r="H5964" s="26">
        <v>-0.28880962099999996</v>
      </c>
      <c r="I5964" s="26"/>
      <c r="J5964" s="26" t="s">
        <v>512</v>
      </c>
      <c r="K5964" s="25" t="s">
        <v>513</v>
      </c>
      <c r="L5964" s="8"/>
    </row>
    <row r="5965" spans="1:12" ht="25.5" x14ac:dyDescent="0.25">
      <c r="A5965" s="22">
        <v>2026</v>
      </c>
      <c r="B5965" s="28" t="s">
        <v>237</v>
      </c>
      <c r="C5965" s="28" t="s">
        <v>97</v>
      </c>
      <c r="D5965" s="28" t="s">
        <v>1712</v>
      </c>
      <c r="E5965" s="29" t="s">
        <v>1712</v>
      </c>
      <c r="F5965" s="29" t="s">
        <v>325</v>
      </c>
      <c r="G5965" s="25" t="s">
        <v>7659</v>
      </c>
      <c r="H5965" s="26">
        <v>-0.27947782799999998</v>
      </c>
      <c r="I5965" s="26"/>
      <c r="J5965" s="26" t="s">
        <v>512</v>
      </c>
      <c r="K5965" s="25" t="s">
        <v>513</v>
      </c>
      <c r="L5965" s="8"/>
    </row>
    <row r="5966" spans="1:12" ht="25.5" x14ac:dyDescent="0.25">
      <c r="A5966" s="22">
        <v>2026</v>
      </c>
      <c r="B5966" s="28" t="s">
        <v>237</v>
      </c>
      <c r="C5966" s="28" t="s">
        <v>97</v>
      </c>
      <c r="D5966" s="28" t="s">
        <v>1712</v>
      </c>
      <c r="E5966" s="29" t="s">
        <v>1712</v>
      </c>
      <c r="F5966" s="29" t="s">
        <v>325</v>
      </c>
      <c r="G5966" s="25" t="s">
        <v>7660</v>
      </c>
      <c r="H5966" s="26">
        <v>-0.37758154999999999</v>
      </c>
      <c r="I5966" s="26"/>
      <c r="J5966" s="26" t="s">
        <v>512</v>
      </c>
      <c r="K5966" s="25" t="s">
        <v>513</v>
      </c>
      <c r="L5966" s="8"/>
    </row>
    <row r="5967" spans="1:12" ht="25.5" x14ac:dyDescent="0.25">
      <c r="A5967" s="22">
        <v>2026</v>
      </c>
      <c r="B5967" s="28" t="s">
        <v>237</v>
      </c>
      <c r="C5967" s="28" t="s">
        <v>97</v>
      </c>
      <c r="D5967" s="28" t="s">
        <v>1712</v>
      </c>
      <c r="E5967" s="29" t="s">
        <v>1712</v>
      </c>
      <c r="F5967" s="29" t="s">
        <v>325</v>
      </c>
      <c r="G5967" s="25" t="s">
        <v>7661</v>
      </c>
      <c r="H5967" s="26">
        <v>-0.28798309999999999</v>
      </c>
      <c r="I5967" s="26"/>
      <c r="J5967" s="26" t="s">
        <v>512</v>
      </c>
      <c r="K5967" s="25" t="s">
        <v>513</v>
      </c>
      <c r="L5967" s="8"/>
    </row>
    <row r="5968" spans="1:12" ht="25.5" x14ac:dyDescent="0.25">
      <c r="A5968" s="22">
        <v>2026</v>
      </c>
      <c r="B5968" s="28" t="s">
        <v>237</v>
      </c>
      <c r="C5968" s="28" t="s">
        <v>97</v>
      </c>
      <c r="D5968" s="28" t="s">
        <v>1712</v>
      </c>
      <c r="E5968" s="29" t="s">
        <v>1712</v>
      </c>
      <c r="F5968" s="29" t="s">
        <v>325</v>
      </c>
      <c r="G5968" s="25" t="s">
        <v>7662</v>
      </c>
      <c r="H5968" s="26">
        <v>-0.35921404379999999</v>
      </c>
      <c r="I5968" s="26"/>
      <c r="J5968" s="26" t="s">
        <v>512</v>
      </c>
      <c r="K5968" s="25" t="s">
        <v>513</v>
      </c>
      <c r="L5968" s="8"/>
    </row>
    <row r="5969" spans="1:12" ht="25.5" x14ac:dyDescent="0.25">
      <c r="A5969" s="22">
        <v>2026</v>
      </c>
      <c r="B5969" s="28" t="s">
        <v>237</v>
      </c>
      <c r="C5969" s="28" t="s">
        <v>97</v>
      </c>
      <c r="D5969" s="28" t="s">
        <v>1712</v>
      </c>
      <c r="E5969" s="29" t="s">
        <v>1712</v>
      </c>
      <c r="F5969" s="29" t="s">
        <v>325</v>
      </c>
      <c r="G5969" s="25" t="s">
        <v>7663</v>
      </c>
      <c r="H5969" s="26">
        <v>-0.39939462920000002</v>
      </c>
      <c r="I5969" s="26"/>
      <c r="J5969" s="26" t="s">
        <v>512</v>
      </c>
      <c r="K5969" s="25" t="s">
        <v>513</v>
      </c>
      <c r="L5969" s="8"/>
    </row>
    <row r="5970" spans="1:12" ht="25.5" x14ac:dyDescent="0.25">
      <c r="A5970" s="22">
        <v>2026</v>
      </c>
      <c r="B5970" s="28" t="s">
        <v>237</v>
      </c>
      <c r="C5970" s="28" t="s">
        <v>97</v>
      </c>
      <c r="D5970" s="28" t="s">
        <v>1712</v>
      </c>
      <c r="E5970" s="29" t="s">
        <v>1712</v>
      </c>
      <c r="F5970" s="29" t="s">
        <v>325</v>
      </c>
      <c r="G5970" s="25" t="s">
        <v>7664</v>
      </c>
      <c r="H5970" s="26">
        <v>-0.40026133799999997</v>
      </c>
      <c r="I5970" s="26"/>
      <c r="J5970" s="26" t="s">
        <v>512</v>
      </c>
      <c r="K5970" s="25" t="s">
        <v>513</v>
      </c>
      <c r="L5970" s="8"/>
    </row>
    <row r="5971" spans="1:12" ht="25.5" x14ac:dyDescent="0.25">
      <c r="A5971" s="22">
        <v>2026</v>
      </c>
      <c r="B5971" s="28" t="s">
        <v>237</v>
      </c>
      <c r="C5971" s="28" t="s">
        <v>97</v>
      </c>
      <c r="D5971" s="28" t="s">
        <v>1712</v>
      </c>
      <c r="E5971" s="29" t="s">
        <v>1712</v>
      </c>
      <c r="F5971" s="29" t="s">
        <v>325</v>
      </c>
      <c r="G5971" s="25" t="s">
        <v>7665</v>
      </c>
      <c r="H5971" s="26">
        <v>-0.38522913299999995</v>
      </c>
      <c r="I5971" s="26"/>
      <c r="J5971" s="26" t="s">
        <v>512</v>
      </c>
      <c r="K5971" s="25" t="s">
        <v>513</v>
      </c>
      <c r="L5971" s="8"/>
    </row>
    <row r="5972" spans="1:12" ht="25.5" x14ac:dyDescent="0.25">
      <c r="A5972" s="22">
        <v>2026</v>
      </c>
      <c r="B5972" s="28" t="s">
        <v>237</v>
      </c>
      <c r="C5972" s="28" t="s">
        <v>97</v>
      </c>
      <c r="D5972" s="28" t="s">
        <v>1712</v>
      </c>
      <c r="E5972" s="29" t="s">
        <v>1712</v>
      </c>
      <c r="F5972" s="29" t="s">
        <v>325</v>
      </c>
      <c r="G5972" s="25" t="s">
        <v>7666</v>
      </c>
      <c r="H5972" s="26">
        <v>-0.40523647999999995</v>
      </c>
      <c r="I5972" s="26"/>
      <c r="J5972" s="26" t="s">
        <v>512</v>
      </c>
      <c r="K5972" s="25" t="s">
        <v>513</v>
      </c>
      <c r="L5972" s="8"/>
    </row>
    <row r="5973" spans="1:12" ht="25.5" x14ac:dyDescent="0.25">
      <c r="A5973" s="22">
        <v>2026</v>
      </c>
      <c r="B5973" s="28" t="s">
        <v>237</v>
      </c>
      <c r="C5973" s="28" t="s">
        <v>97</v>
      </c>
      <c r="D5973" s="28" t="s">
        <v>1712</v>
      </c>
      <c r="E5973" s="29" t="s">
        <v>1712</v>
      </c>
      <c r="F5973" s="29" t="s">
        <v>325</v>
      </c>
      <c r="G5973" s="25" t="s">
        <v>7667</v>
      </c>
      <c r="H5973" s="26">
        <v>-0.37234923660000002</v>
      </c>
      <c r="I5973" s="26"/>
      <c r="J5973" s="26" t="s">
        <v>512</v>
      </c>
      <c r="K5973" s="25" t="s">
        <v>513</v>
      </c>
      <c r="L5973" s="8"/>
    </row>
    <row r="5974" spans="1:12" ht="25.5" x14ac:dyDescent="0.25">
      <c r="A5974" s="22">
        <v>2026</v>
      </c>
      <c r="B5974" s="28" t="s">
        <v>237</v>
      </c>
      <c r="C5974" s="28" t="s">
        <v>97</v>
      </c>
      <c r="D5974" s="28" t="s">
        <v>1712</v>
      </c>
      <c r="E5974" s="29" t="s">
        <v>1712</v>
      </c>
      <c r="F5974" s="29" t="s">
        <v>325</v>
      </c>
      <c r="G5974" s="25" t="s">
        <v>7668</v>
      </c>
      <c r="H5974" s="26">
        <v>-0.44143117200000004</v>
      </c>
      <c r="I5974" s="26"/>
      <c r="J5974" s="26" t="s">
        <v>512</v>
      </c>
      <c r="K5974" s="25" t="s">
        <v>513</v>
      </c>
      <c r="L5974" s="8"/>
    </row>
    <row r="5975" spans="1:12" ht="25.5" x14ac:dyDescent="0.25">
      <c r="A5975" s="22">
        <v>2026</v>
      </c>
      <c r="B5975" s="28" t="s">
        <v>237</v>
      </c>
      <c r="C5975" s="28" t="s">
        <v>97</v>
      </c>
      <c r="D5975" s="28" t="s">
        <v>1712</v>
      </c>
      <c r="E5975" s="29" t="s">
        <v>1712</v>
      </c>
      <c r="F5975" s="29" t="s">
        <v>325</v>
      </c>
      <c r="G5975" s="25" t="s">
        <v>7669</v>
      </c>
      <c r="H5975" s="26">
        <v>-0.497850925</v>
      </c>
      <c r="I5975" s="26"/>
      <c r="J5975" s="26" t="s">
        <v>512</v>
      </c>
      <c r="K5975" s="25" t="s">
        <v>513</v>
      </c>
      <c r="L5975" s="8"/>
    </row>
    <row r="5976" spans="1:12" ht="25.5" x14ac:dyDescent="0.25">
      <c r="A5976" s="22">
        <v>2026</v>
      </c>
      <c r="B5976" s="28" t="s">
        <v>237</v>
      </c>
      <c r="C5976" s="28" t="s">
        <v>97</v>
      </c>
      <c r="D5976" s="28" t="s">
        <v>1712</v>
      </c>
      <c r="E5976" s="29" t="s">
        <v>1712</v>
      </c>
      <c r="F5976" s="29" t="s">
        <v>325</v>
      </c>
      <c r="G5976" s="25" t="s">
        <v>7670</v>
      </c>
      <c r="H5976" s="26">
        <v>-0.5499513426</v>
      </c>
      <c r="I5976" s="26"/>
      <c r="J5976" s="26" t="s">
        <v>512</v>
      </c>
      <c r="K5976" s="25" t="s">
        <v>513</v>
      </c>
      <c r="L5976" s="8"/>
    </row>
    <row r="5977" spans="1:12" ht="25.5" x14ac:dyDescent="0.25">
      <c r="A5977" s="22">
        <v>2026</v>
      </c>
      <c r="B5977" s="28" t="s">
        <v>237</v>
      </c>
      <c r="C5977" s="28" t="s">
        <v>97</v>
      </c>
      <c r="D5977" s="28" t="s">
        <v>250</v>
      </c>
      <c r="E5977" s="29" t="s">
        <v>463</v>
      </c>
      <c r="F5977" s="29" t="s">
        <v>325</v>
      </c>
      <c r="G5977" s="25" t="s">
        <v>7671</v>
      </c>
      <c r="H5977" s="26">
        <v>-3.2244099999999998E-2</v>
      </c>
      <c r="I5977" s="26"/>
      <c r="J5977" s="26" t="s">
        <v>512</v>
      </c>
      <c r="K5977" s="25" t="s">
        <v>513</v>
      </c>
      <c r="L5977" s="8"/>
    </row>
    <row r="5978" spans="1:12" ht="25.5" x14ac:dyDescent="0.25">
      <c r="A5978" s="22">
        <v>2026</v>
      </c>
      <c r="B5978" s="28" t="s">
        <v>237</v>
      </c>
      <c r="C5978" s="28" t="s">
        <v>97</v>
      </c>
      <c r="D5978" s="28" t="s">
        <v>250</v>
      </c>
      <c r="E5978" s="29" t="s">
        <v>463</v>
      </c>
      <c r="F5978" s="29" t="s">
        <v>325</v>
      </c>
      <c r="G5978" s="25" t="s">
        <v>7672</v>
      </c>
      <c r="H5978" s="26">
        <v>-0.1022949496</v>
      </c>
      <c r="I5978" s="26"/>
      <c r="J5978" s="26" t="s">
        <v>512</v>
      </c>
      <c r="K5978" s="25" t="s">
        <v>513</v>
      </c>
      <c r="L5978" s="8"/>
    </row>
    <row r="5979" spans="1:12" ht="25.5" x14ac:dyDescent="0.25">
      <c r="A5979" s="22">
        <v>2026</v>
      </c>
      <c r="B5979" s="28" t="s">
        <v>237</v>
      </c>
      <c r="C5979" s="28" t="s">
        <v>97</v>
      </c>
      <c r="D5979" s="28" t="s">
        <v>1001</v>
      </c>
      <c r="E5979" s="29" t="s">
        <v>491</v>
      </c>
      <c r="F5979" s="29" t="s">
        <v>378</v>
      </c>
      <c r="G5979" s="25" t="s">
        <v>7673</v>
      </c>
      <c r="H5979" s="26">
        <v>-6.3874360000000005E-2</v>
      </c>
      <c r="I5979" s="26"/>
      <c r="J5979" s="26" t="s">
        <v>512</v>
      </c>
      <c r="K5979" s="25" t="s">
        <v>513</v>
      </c>
      <c r="L5979" s="8"/>
    </row>
    <row r="5980" spans="1:12" ht="25.5" x14ac:dyDescent="0.25">
      <c r="A5980" s="22">
        <v>2026</v>
      </c>
      <c r="B5980" s="28" t="s">
        <v>237</v>
      </c>
      <c r="C5980" s="28" t="s">
        <v>97</v>
      </c>
      <c r="D5980" s="28" t="s">
        <v>1001</v>
      </c>
      <c r="E5980" s="29" t="s">
        <v>491</v>
      </c>
      <c r="F5980" s="29" t="s">
        <v>378</v>
      </c>
      <c r="G5980" s="25" t="s">
        <v>7674</v>
      </c>
      <c r="H5980" s="26">
        <v>-0.29568944189999996</v>
      </c>
      <c r="I5980" s="26"/>
      <c r="J5980" s="26" t="s">
        <v>512</v>
      </c>
      <c r="K5980" s="25" t="s">
        <v>513</v>
      </c>
      <c r="L5980" s="8"/>
    </row>
    <row r="5981" spans="1:12" ht="25.5" x14ac:dyDescent="0.25">
      <c r="A5981" s="22">
        <v>2026</v>
      </c>
      <c r="B5981" s="28" t="s">
        <v>237</v>
      </c>
      <c r="C5981" s="28" t="s">
        <v>97</v>
      </c>
      <c r="D5981" s="28" t="s">
        <v>198</v>
      </c>
      <c r="E5981" s="29" t="s">
        <v>923</v>
      </c>
      <c r="F5981" s="29" t="s">
        <v>412</v>
      </c>
      <c r="G5981" s="25" t="s">
        <v>7531</v>
      </c>
      <c r="H5981" s="26">
        <v>-2.3015371200000002E-2</v>
      </c>
      <c r="I5981" s="26"/>
      <c r="J5981" s="26" t="s">
        <v>512</v>
      </c>
      <c r="K5981" s="25" t="s">
        <v>513</v>
      </c>
      <c r="L5981" s="8"/>
    </row>
    <row r="5982" spans="1:12" ht="25.5" x14ac:dyDescent="0.25">
      <c r="A5982" s="22">
        <v>2026</v>
      </c>
      <c r="B5982" s="28" t="s">
        <v>237</v>
      </c>
      <c r="C5982" s="28" t="s">
        <v>97</v>
      </c>
      <c r="D5982" s="28" t="s">
        <v>198</v>
      </c>
      <c r="E5982" s="29" t="s">
        <v>923</v>
      </c>
      <c r="F5982" s="29" t="s">
        <v>412</v>
      </c>
      <c r="G5982" s="25" t="s">
        <v>7532</v>
      </c>
      <c r="H5982" s="26">
        <v>-3.7049858999999999E-3</v>
      </c>
      <c r="I5982" s="26"/>
      <c r="J5982" s="26" t="s">
        <v>512</v>
      </c>
      <c r="K5982" s="25" t="s">
        <v>513</v>
      </c>
      <c r="L5982" s="8"/>
    </row>
    <row r="5983" spans="1:12" ht="25.5" x14ac:dyDescent="0.25">
      <c r="A5983" s="22">
        <v>2026</v>
      </c>
      <c r="B5983" s="28" t="s">
        <v>237</v>
      </c>
      <c r="C5983" s="28" t="s">
        <v>97</v>
      </c>
      <c r="D5983" s="28" t="s">
        <v>198</v>
      </c>
      <c r="E5983" s="29" t="s">
        <v>923</v>
      </c>
      <c r="F5983" s="29" t="s">
        <v>412</v>
      </c>
      <c r="G5983" s="25" t="s">
        <v>7533</v>
      </c>
      <c r="H5983" s="26">
        <v>-4.3919402499999996E-2</v>
      </c>
      <c r="I5983" s="26"/>
      <c r="J5983" s="26" t="s">
        <v>512</v>
      </c>
      <c r="K5983" s="25" t="s">
        <v>513</v>
      </c>
      <c r="L5983" s="8"/>
    </row>
    <row r="5984" spans="1:12" ht="25.5" x14ac:dyDescent="0.25">
      <c r="A5984" s="22">
        <v>2026</v>
      </c>
      <c r="B5984" s="28" t="s">
        <v>237</v>
      </c>
      <c r="C5984" s="28" t="s">
        <v>97</v>
      </c>
      <c r="D5984" s="28" t="s">
        <v>198</v>
      </c>
      <c r="E5984" s="29" t="s">
        <v>923</v>
      </c>
      <c r="F5984" s="29" t="s">
        <v>412</v>
      </c>
      <c r="G5984" s="25" t="s">
        <v>7534</v>
      </c>
      <c r="H5984" s="26">
        <v>-2.8630909999999999E-2</v>
      </c>
      <c r="I5984" s="26"/>
      <c r="J5984" s="26" t="s">
        <v>512</v>
      </c>
      <c r="K5984" s="25" t="s">
        <v>513</v>
      </c>
      <c r="L5984" s="8"/>
    </row>
    <row r="5985" spans="1:12" ht="25.5" x14ac:dyDescent="0.25">
      <c r="A5985" s="22">
        <v>2026</v>
      </c>
      <c r="B5985" s="28" t="s">
        <v>237</v>
      </c>
      <c r="C5985" s="28" t="s">
        <v>97</v>
      </c>
      <c r="D5985" s="28" t="s">
        <v>198</v>
      </c>
      <c r="E5985" s="29" t="s">
        <v>923</v>
      </c>
      <c r="F5985" s="29" t="s">
        <v>412</v>
      </c>
      <c r="G5985" s="25" t="s">
        <v>7535</v>
      </c>
      <c r="H5985" s="26">
        <v>-2.2953060999999996E-3</v>
      </c>
      <c r="I5985" s="26"/>
      <c r="J5985" s="26" t="s">
        <v>512</v>
      </c>
      <c r="K5985" s="25" t="s">
        <v>513</v>
      </c>
      <c r="L5985" s="8"/>
    </row>
    <row r="5986" spans="1:12" ht="25.5" x14ac:dyDescent="0.25">
      <c r="A5986" s="22">
        <v>2026</v>
      </c>
      <c r="B5986" s="28" t="s">
        <v>237</v>
      </c>
      <c r="C5986" s="28" t="s">
        <v>97</v>
      </c>
      <c r="D5986" s="28" t="s">
        <v>198</v>
      </c>
      <c r="E5986" s="29" t="s">
        <v>923</v>
      </c>
      <c r="F5986" s="29" t="s">
        <v>412</v>
      </c>
      <c r="G5986" s="25" t="s">
        <v>7536</v>
      </c>
      <c r="H5986" s="26">
        <v>-2.3493360000000001E-2</v>
      </c>
      <c r="I5986" s="26"/>
      <c r="J5986" s="26" t="s">
        <v>512</v>
      </c>
      <c r="K5986" s="25" t="s">
        <v>513</v>
      </c>
      <c r="L5986" s="8"/>
    </row>
    <row r="5987" spans="1:12" ht="25.5" x14ac:dyDescent="0.25">
      <c r="A5987" s="22">
        <v>2026</v>
      </c>
      <c r="B5987" s="28" t="s">
        <v>237</v>
      </c>
      <c r="C5987" s="28" t="s">
        <v>97</v>
      </c>
      <c r="D5987" s="28" t="s">
        <v>198</v>
      </c>
      <c r="E5987" s="29" t="s">
        <v>923</v>
      </c>
      <c r="F5987" s="29" t="s">
        <v>412</v>
      </c>
      <c r="G5987" s="25" t="s">
        <v>7537</v>
      </c>
      <c r="H5987" s="26">
        <v>-7.4363023000000002E-3</v>
      </c>
      <c r="I5987" s="26"/>
      <c r="J5987" s="26" t="s">
        <v>512</v>
      </c>
      <c r="K5987" s="25" t="s">
        <v>513</v>
      </c>
      <c r="L5987" s="8"/>
    </row>
    <row r="5988" spans="1:12" ht="25.5" x14ac:dyDescent="0.25">
      <c r="A5988" s="22">
        <v>2026</v>
      </c>
      <c r="B5988" s="28" t="s">
        <v>237</v>
      </c>
      <c r="C5988" s="28" t="s">
        <v>97</v>
      </c>
      <c r="D5988" s="28" t="s">
        <v>198</v>
      </c>
      <c r="E5988" s="29" t="s">
        <v>923</v>
      </c>
      <c r="F5988" s="29" t="s">
        <v>412</v>
      </c>
      <c r="G5988" s="25" t="s">
        <v>7538</v>
      </c>
      <c r="H5988" s="26">
        <v>-6.0356363100000004E-2</v>
      </c>
      <c r="I5988" s="26"/>
      <c r="J5988" s="26" t="s">
        <v>512</v>
      </c>
      <c r="K5988" s="25" t="s">
        <v>513</v>
      </c>
      <c r="L5988" s="8"/>
    </row>
    <row r="5989" spans="1:12" ht="25.5" x14ac:dyDescent="0.25">
      <c r="A5989" s="22">
        <v>2026</v>
      </c>
      <c r="B5989" s="28" t="s">
        <v>237</v>
      </c>
      <c r="C5989" s="28" t="s">
        <v>97</v>
      </c>
      <c r="D5989" s="28" t="s">
        <v>198</v>
      </c>
      <c r="E5989" s="29" t="s">
        <v>923</v>
      </c>
      <c r="F5989" s="29" t="s">
        <v>412</v>
      </c>
      <c r="G5989" s="25" t="s">
        <v>7539</v>
      </c>
      <c r="H5989" s="26">
        <v>-6.5571088000000001E-3</v>
      </c>
      <c r="I5989" s="26"/>
      <c r="J5989" s="26" t="s">
        <v>512</v>
      </c>
      <c r="K5989" s="25" t="s">
        <v>513</v>
      </c>
      <c r="L5989" s="8"/>
    </row>
    <row r="5990" spans="1:12" ht="25.5" x14ac:dyDescent="0.25">
      <c r="A5990" s="22">
        <v>2026</v>
      </c>
      <c r="B5990" s="28" t="s">
        <v>237</v>
      </c>
      <c r="C5990" s="28" t="s">
        <v>97</v>
      </c>
      <c r="D5990" s="28" t="s">
        <v>198</v>
      </c>
      <c r="E5990" s="29" t="s">
        <v>923</v>
      </c>
      <c r="F5990" s="29" t="s">
        <v>412</v>
      </c>
      <c r="G5990" s="25" t="s">
        <v>7540</v>
      </c>
      <c r="H5990" s="26">
        <v>-3.8466E-2</v>
      </c>
      <c r="I5990" s="26"/>
      <c r="J5990" s="26" t="s">
        <v>512</v>
      </c>
      <c r="K5990" s="25" t="s">
        <v>513</v>
      </c>
      <c r="L5990" s="8"/>
    </row>
    <row r="5991" spans="1:12" ht="25.5" x14ac:dyDescent="0.25">
      <c r="A5991" s="22">
        <v>2026</v>
      </c>
      <c r="B5991" s="28" t="s">
        <v>237</v>
      </c>
      <c r="C5991" s="28" t="s">
        <v>97</v>
      </c>
      <c r="D5991" s="28" t="s">
        <v>198</v>
      </c>
      <c r="E5991" s="29" t="s">
        <v>923</v>
      </c>
      <c r="F5991" s="29" t="s">
        <v>412</v>
      </c>
      <c r="G5991" s="25" t="s">
        <v>7541</v>
      </c>
      <c r="H5991" s="26">
        <v>-4.3168689599999997E-2</v>
      </c>
      <c r="I5991" s="26"/>
      <c r="J5991" s="26" t="s">
        <v>512</v>
      </c>
      <c r="K5991" s="25" t="s">
        <v>513</v>
      </c>
      <c r="L5991" s="8"/>
    </row>
    <row r="5992" spans="1:12" ht="25.5" x14ac:dyDescent="0.25">
      <c r="A5992" s="22">
        <v>2026</v>
      </c>
      <c r="B5992" s="28" t="s">
        <v>237</v>
      </c>
      <c r="C5992" s="28" t="s">
        <v>97</v>
      </c>
      <c r="D5992" s="28" t="s">
        <v>198</v>
      </c>
      <c r="E5992" s="29" t="s">
        <v>923</v>
      </c>
      <c r="F5992" s="29" t="s">
        <v>412</v>
      </c>
      <c r="G5992" s="25" t="s">
        <v>7542</v>
      </c>
      <c r="H5992" s="26">
        <v>-7.7855778000000004E-3</v>
      </c>
      <c r="I5992" s="26"/>
      <c r="J5992" s="26" t="s">
        <v>512</v>
      </c>
      <c r="K5992" s="25" t="s">
        <v>513</v>
      </c>
      <c r="L5992" s="8"/>
    </row>
    <row r="5993" spans="1:12" ht="25.5" x14ac:dyDescent="0.25">
      <c r="A5993" s="22">
        <v>2026</v>
      </c>
      <c r="B5993" s="28" t="s">
        <v>237</v>
      </c>
      <c r="C5993" s="28" t="s">
        <v>97</v>
      </c>
      <c r="D5993" s="28" t="s">
        <v>198</v>
      </c>
      <c r="E5993" s="29" t="s">
        <v>923</v>
      </c>
      <c r="F5993" s="29" t="s">
        <v>412</v>
      </c>
      <c r="G5993" s="25" t="s">
        <v>7543</v>
      </c>
      <c r="H5993" s="26">
        <v>-3.0286846E-3</v>
      </c>
      <c r="I5993" s="26"/>
      <c r="J5993" s="26" t="s">
        <v>512</v>
      </c>
      <c r="K5993" s="25" t="s">
        <v>513</v>
      </c>
      <c r="L5993" s="8"/>
    </row>
    <row r="5994" spans="1:12" ht="25.5" x14ac:dyDescent="0.25">
      <c r="A5994" s="22">
        <v>2026</v>
      </c>
      <c r="B5994" s="28" t="s">
        <v>237</v>
      </c>
      <c r="C5994" s="28" t="s">
        <v>97</v>
      </c>
      <c r="D5994" s="28" t="s">
        <v>198</v>
      </c>
      <c r="E5994" s="29" t="s">
        <v>923</v>
      </c>
      <c r="F5994" s="29" t="s">
        <v>412</v>
      </c>
      <c r="G5994" s="25" t="s">
        <v>7544</v>
      </c>
      <c r="H5994" s="26">
        <v>-3.2114197400000002E-2</v>
      </c>
      <c r="I5994" s="26"/>
      <c r="J5994" s="26" t="s">
        <v>512</v>
      </c>
      <c r="K5994" s="25" t="s">
        <v>513</v>
      </c>
      <c r="L5994" s="8"/>
    </row>
    <row r="5995" spans="1:12" ht="25.5" x14ac:dyDescent="0.25">
      <c r="A5995" s="22">
        <v>2026</v>
      </c>
      <c r="B5995" s="28" t="s">
        <v>237</v>
      </c>
      <c r="C5995" s="28" t="s">
        <v>97</v>
      </c>
      <c r="D5995" s="28" t="s">
        <v>198</v>
      </c>
      <c r="E5995" s="29" t="s">
        <v>923</v>
      </c>
      <c r="F5995" s="29" t="s">
        <v>412</v>
      </c>
      <c r="G5995" s="25" t="s">
        <v>7545</v>
      </c>
      <c r="H5995" s="26">
        <v>-4.9125740000000001E-2</v>
      </c>
      <c r="I5995" s="26"/>
      <c r="J5995" s="26" t="s">
        <v>512</v>
      </c>
      <c r="K5995" s="25" t="s">
        <v>513</v>
      </c>
      <c r="L5995" s="8"/>
    </row>
    <row r="5996" spans="1:12" ht="25.5" x14ac:dyDescent="0.25">
      <c r="A5996" s="22">
        <v>2026</v>
      </c>
      <c r="B5996" s="28" t="s">
        <v>237</v>
      </c>
      <c r="C5996" s="28" t="s">
        <v>97</v>
      </c>
      <c r="D5996" s="28" t="s">
        <v>198</v>
      </c>
      <c r="E5996" s="29" t="s">
        <v>923</v>
      </c>
      <c r="F5996" s="29" t="s">
        <v>412</v>
      </c>
      <c r="G5996" s="25" t="s">
        <v>7546</v>
      </c>
      <c r="H5996" s="26">
        <v>-2.1242400000000001E-4</v>
      </c>
      <c r="I5996" s="26"/>
      <c r="J5996" s="26" t="s">
        <v>512</v>
      </c>
      <c r="K5996" s="25" t="s">
        <v>513</v>
      </c>
      <c r="L5996" s="8"/>
    </row>
    <row r="5997" spans="1:12" ht="25.5" x14ac:dyDescent="0.25">
      <c r="A5997" s="22">
        <v>2026</v>
      </c>
      <c r="B5997" s="28" t="s">
        <v>237</v>
      </c>
      <c r="C5997" s="28" t="s">
        <v>97</v>
      </c>
      <c r="D5997" s="28" t="s">
        <v>198</v>
      </c>
      <c r="E5997" s="29" t="s">
        <v>923</v>
      </c>
      <c r="F5997" s="29" t="s">
        <v>412</v>
      </c>
      <c r="G5997" s="25" t="s">
        <v>7547</v>
      </c>
      <c r="H5997" s="26">
        <v>-2.9682734400000001E-2</v>
      </c>
      <c r="I5997" s="26"/>
      <c r="J5997" s="26" t="s">
        <v>512</v>
      </c>
      <c r="K5997" s="25" t="s">
        <v>513</v>
      </c>
      <c r="L5997" s="8"/>
    </row>
    <row r="5998" spans="1:12" ht="25.5" x14ac:dyDescent="0.25">
      <c r="A5998" s="22">
        <v>2026</v>
      </c>
      <c r="B5998" s="28" t="s">
        <v>237</v>
      </c>
      <c r="C5998" s="28" t="s">
        <v>97</v>
      </c>
      <c r="D5998" s="28" t="s">
        <v>1714</v>
      </c>
      <c r="E5998" s="29" t="s">
        <v>923</v>
      </c>
      <c r="F5998" s="29" t="s">
        <v>353</v>
      </c>
      <c r="G5998" s="25" t="s">
        <v>7675</v>
      </c>
      <c r="H5998" s="26">
        <v>-0.43187500000000001</v>
      </c>
      <c r="I5998" s="26"/>
      <c r="J5998" s="26" t="s">
        <v>512</v>
      </c>
      <c r="K5998" s="25" t="s">
        <v>513</v>
      </c>
      <c r="L5998" s="8"/>
    </row>
    <row r="5999" spans="1:12" ht="25.5" x14ac:dyDescent="0.25">
      <c r="A5999" s="22">
        <v>2026</v>
      </c>
      <c r="B5999" s="28" t="s">
        <v>237</v>
      </c>
      <c r="C5999" s="28" t="s">
        <v>97</v>
      </c>
      <c r="D5999" s="28" t="s">
        <v>1714</v>
      </c>
      <c r="E5999" s="29" t="s">
        <v>923</v>
      </c>
      <c r="F5999" s="29" t="s">
        <v>353</v>
      </c>
      <c r="G5999" s="25" t="s">
        <v>7676</v>
      </c>
      <c r="H5999" s="26">
        <v>-0.34599999999999997</v>
      </c>
      <c r="I5999" s="26"/>
      <c r="J5999" s="26" t="s">
        <v>512</v>
      </c>
      <c r="K5999" s="25" t="s">
        <v>513</v>
      </c>
      <c r="L5999" s="8"/>
    </row>
    <row r="6000" spans="1:12" ht="25.5" x14ac:dyDescent="0.25">
      <c r="A6000" s="22">
        <v>2026</v>
      </c>
      <c r="B6000" s="28" t="s">
        <v>237</v>
      </c>
      <c r="C6000" s="28" t="s">
        <v>97</v>
      </c>
      <c r="D6000" s="28" t="s">
        <v>1714</v>
      </c>
      <c r="E6000" s="29" t="s">
        <v>923</v>
      </c>
      <c r="F6000" s="29" t="s">
        <v>353</v>
      </c>
      <c r="G6000" s="25" t="s">
        <v>7677</v>
      </c>
      <c r="H6000" s="26">
        <v>-0.2772</v>
      </c>
      <c r="I6000" s="26"/>
      <c r="J6000" s="26" t="s">
        <v>512</v>
      </c>
      <c r="K6000" s="25" t="s">
        <v>513</v>
      </c>
      <c r="L6000" s="8"/>
    </row>
    <row r="6001" spans="1:12" ht="25.5" x14ac:dyDescent="0.25">
      <c r="A6001" s="22">
        <v>2026</v>
      </c>
      <c r="B6001" s="28" t="s">
        <v>237</v>
      </c>
      <c r="C6001" s="28" t="s">
        <v>97</v>
      </c>
      <c r="D6001" s="28" t="s">
        <v>1714</v>
      </c>
      <c r="E6001" s="29" t="s">
        <v>923</v>
      </c>
      <c r="F6001" s="29" t="s">
        <v>353</v>
      </c>
      <c r="G6001" s="25" t="s">
        <v>7678</v>
      </c>
      <c r="H6001" s="26">
        <v>-0.27760000000000001</v>
      </c>
      <c r="I6001" s="26"/>
      <c r="J6001" s="26" t="s">
        <v>512</v>
      </c>
      <c r="K6001" s="25" t="s">
        <v>513</v>
      </c>
      <c r="L6001" s="8"/>
    </row>
    <row r="6002" spans="1:12" ht="25.5" x14ac:dyDescent="0.25">
      <c r="A6002" s="22">
        <v>2026</v>
      </c>
      <c r="B6002" s="28" t="s">
        <v>237</v>
      </c>
      <c r="C6002" s="28" t="s">
        <v>97</v>
      </c>
      <c r="D6002" s="28" t="s">
        <v>1715</v>
      </c>
      <c r="E6002" s="29" t="s">
        <v>352</v>
      </c>
      <c r="F6002" s="29" t="s">
        <v>353</v>
      </c>
      <c r="G6002" s="25" t="s">
        <v>7679</v>
      </c>
      <c r="H6002" s="26">
        <v>-0.10679425999999999</v>
      </c>
      <c r="I6002" s="26"/>
      <c r="J6002" s="26" t="s">
        <v>512</v>
      </c>
      <c r="K6002" s="25" t="s">
        <v>513</v>
      </c>
      <c r="L6002" s="8"/>
    </row>
    <row r="6003" spans="1:12" ht="25.5" x14ac:dyDescent="0.25">
      <c r="A6003" s="22">
        <v>2026</v>
      </c>
      <c r="B6003" s="28" t="s">
        <v>237</v>
      </c>
      <c r="C6003" s="28" t="s">
        <v>97</v>
      </c>
      <c r="D6003" s="28" t="s">
        <v>1715</v>
      </c>
      <c r="E6003" s="29" t="s">
        <v>352</v>
      </c>
      <c r="F6003" s="29" t="s">
        <v>353</v>
      </c>
      <c r="G6003" s="25" t="s">
        <v>7680</v>
      </c>
      <c r="H6003" s="26">
        <v>-8.8806861000000005E-4</v>
      </c>
      <c r="I6003" s="26"/>
      <c r="J6003" s="26" t="s">
        <v>512</v>
      </c>
      <c r="K6003" s="25" t="s">
        <v>513</v>
      </c>
      <c r="L6003" s="8"/>
    </row>
    <row r="6004" spans="1:12" ht="25.5" x14ac:dyDescent="0.25">
      <c r="A6004" s="22">
        <v>2026</v>
      </c>
      <c r="B6004" s="28" t="s">
        <v>237</v>
      </c>
      <c r="C6004" s="28" t="s">
        <v>97</v>
      </c>
      <c r="D6004" s="28" t="s">
        <v>1715</v>
      </c>
      <c r="E6004" s="29" t="s">
        <v>352</v>
      </c>
      <c r="F6004" s="29" t="s">
        <v>353</v>
      </c>
      <c r="G6004" s="25" t="s">
        <v>7681</v>
      </c>
      <c r="H6004" s="26">
        <v>-0.10891587751000001</v>
      </c>
      <c r="I6004" s="26"/>
      <c r="J6004" s="26" t="s">
        <v>512</v>
      </c>
      <c r="K6004" s="25" t="s">
        <v>513</v>
      </c>
      <c r="L6004" s="8"/>
    </row>
    <row r="6005" spans="1:12" ht="25.5" x14ac:dyDescent="0.25">
      <c r="A6005" s="22">
        <v>2026</v>
      </c>
      <c r="B6005" s="28" t="s">
        <v>237</v>
      </c>
      <c r="C6005" s="28" t="s">
        <v>97</v>
      </c>
      <c r="D6005" s="28" t="s">
        <v>1715</v>
      </c>
      <c r="E6005" s="29" t="s">
        <v>352</v>
      </c>
      <c r="F6005" s="29" t="s">
        <v>353</v>
      </c>
      <c r="G6005" s="25" t="s">
        <v>7682</v>
      </c>
      <c r="H6005" s="26">
        <v>-5.9400000000000001E-2</v>
      </c>
      <c r="I6005" s="26"/>
      <c r="J6005" s="26" t="s">
        <v>512</v>
      </c>
      <c r="K6005" s="25" t="s">
        <v>513</v>
      </c>
      <c r="L6005" s="8"/>
    </row>
    <row r="6006" spans="1:12" ht="25.5" x14ac:dyDescent="0.25">
      <c r="A6006" s="22">
        <v>2026</v>
      </c>
      <c r="B6006" s="28" t="s">
        <v>237</v>
      </c>
      <c r="C6006" s="28" t="s">
        <v>97</v>
      </c>
      <c r="D6006" s="28" t="s">
        <v>1715</v>
      </c>
      <c r="E6006" s="29" t="s">
        <v>352</v>
      </c>
      <c r="F6006" s="29" t="s">
        <v>353</v>
      </c>
      <c r="G6006" s="25" t="s">
        <v>7683</v>
      </c>
      <c r="H6006" s="26">
        <v>-2.086E-5</v>
      </c>
      <c r="I6006" s="26"/>
      <c r="J6006" s="26" t="s">
        <v>512</v>
      </c>
      <c r="K6006" s="25" t="s">
        <v>513</v>
      </c>
      <c r="L6006" s="8"/>
    </row>
    <row r="6007" spans="1:12" ht="25.5" x14ac:dyDescent="0.25">
      <c r="A6007" s="22">
        <v>2026</v>
      </c>
      <c r="B6007" s="28" t="s">
        <v>237</v>
      </c>
      <c r="C6007" s="28" t="s">
        <v>97</v>
      </c>
      <c r="D6007" s="28" t="s">
        <v>1715</v>
      </c>
      <c r="E6007" s="29" t="s">
        <v>352</v>
      </c>
      <c r="F6007" s="29" t="s">
        <v>353</v>
      </c>
      <c r="G6007" s="25" t="s">
        <v>7684</v>
      </c>
      <c r="H6007" s="26">
        <v>-6.7646000000000004E-4</v>
      </c>
      <c r="I6007" s="26"/>
      <c r="J6007" s="26" t="s">
        <v>512</v>
      </c>
      <c r="K6007" s="25" t="s">
        <v>513</v>
      </c>
      <c r="L6007" s="8"/>
    </row>
    <row r="6008" spans="1:12" ht="25.5" x14ac:dyDescent="0.25">
      <c r="A6008" s="22">
        <v>2026</v>
      </c>
      <c r="B6008" s="28" t="s">
        <v>237</v>
      </c>
      <c r="C6008" s="28" t="s">
        <v>97</v>
      </c>
      <c r="D6008" s="28" t="s">
        <v>1716</v>
      </c>
      <c r="E6008" s="29" t="s">
        <v>446</v>
      </c>
      <c r="F6008" s="29" t="s">
        <v>353</v>
      </c>
      <c r="G6008" s="25" t="s">
        <v>7685</v>
      </c>
      <c r="H6008" s="26">
        <v>-0.39893499999999998</v>
      </c>
      <c r="I6008" s="26"/>
      <c r="J6008" s="26" t="s">
        <v>512</v>
      </c>
      <c r="K6008" s="25" t="s">
        <v>513</v>
      </c>
      <c r="L6008" s="8"/>
    </row>
    <row r="6009" spans="1:12" ht="25.5" x14ac:dyDescent="0.25">
      <c r="A6009" s="22">
        <v>2026</v>
      </c>
      <c r="B6009" s="28" t="s">
        <v>237</v>
      </c>
      <c r="C6009" s="28" t="s">
        <v>97</v>
      </c>
      <c r="D6009" s="28" t="s">
        <v>1716</v>
      </c>
      <c r="E6009" s="29" t="s">
        <v>446</v>
      </c>
      <c r="F6009" s="29" t="s">
        <v>353</v>
      </c>
      <c r="G6009" s="25" t="s">
        <v>7686</v>
      </c>
      <c r="H6009" s="26">
        <v>-0.39895999999999998</v>
      </c>
      <c r="I6009" s="26"/>
      <c r="J6009" s="26" t="s">
        <v>512</v>
      </c>
      <c r="K6009" s="25" t="s">
        <v>513</v>
      </c>
      <c r="L6009" s="8"/>
    </row>
    <row r="6010" spans="1:12" ht="25.5" x14ac:dyDescent="0.25">
      <c r="A6010" s="22">
        <v>2026</v>
      </c>
      <c r="B6010" s="28" t="s">
        <v>237</v>
      </c>
      <c r="C6010" s="28" t="s">
        <v>97</v>
      </c>
      <c r="D6010" s="28" t="s">
        <v>1716</v>
      </c>
      <c r="E6010" s="29" t="s">
        <v>446</v>
      </c>
      <c r="F6010" s="29" t="s">
        <v>353</v>
      </c>
      <c r="G6010" s="25" t="s">
        <v>7687</v>
      </c>
      <c r="H6010" s="26">
        <v>-0.67550350000000003</v>
      </c>
      <c r="I6010" s="26"/>
      <c r="J6010" s="26" t="s">
        <v>512</v>
      </c>
      <c r="K6010" s="25" t="s">
        <v>513</v>
      </c>
      <c r="L6010" s="8"/>
    </row>
    <row r="6011" spans="1:12" ht="25.5" x14ac:dyDescent="0.25">
      <c r="A6011" s="22">
        <v>2026</v>
      </c>
      <c r="B6011" s="28" t="s">
        <v>237</v>
      </c>
      <c r="C6011" s="28" t="s">
        <v>97</v>
      </c>
      <c r="D6011" s="28" t="s">
        <v>1716</v>
      </c>
      <c r="E6011" s="29" t="s">
        <v>446</v>
      </c>
      <c r="F6011" s="29" t="s">
        <v>353</v>
      </c>
      <c r="G6011" s="25" t="s">
        <v>7688</v>
      </c>
      <c r="H6011" s="26">
        <v>-0.995</v>
      </c>
      <c r="I6011" s="26"/>
      <c r="J6011" s="26" t="s">
        <v>512</v>
      </c>
      <c r="K6011" s="25" t="s">
        <v>513</v>
      </c>
      <c r="L6011" s="8"/>
    </row>
    <row r="6012" spans="1:12" ht="25.5" x14ac:dyDescent="0.25">
      <c r="A6012" s="22">
        <v>2026</v>
      </c>
      <c r="B6012" s="28" t="s">
        <v>237</v>
      </c>
      <c r="C6012" s="28" t="s">
        <v>97</v>
      </c>
      <c r="D6012" s="28" t="s">
        <v>1716</v>
      </c>
      <c r="E6012" s="29" t="s">
        <v>446</v>
      </c>
      <c r="F6012" s="29" t="s">
        <v>353</v>
      </c>
      <c r="G6012" s="25" t="s">
        <v>7689</v>
      </c>
      <c r="H6012" s="26">
        <v>-0.39650000000000002</v>
      </c>
      <c r="I6012" s="26"/>
      <c r="J6012" s="26" t="s">
        <v>512</v>
      </c>
      <c r="K6012" s="25" t="s">
        <v>513</v>
      </c>
      <c r="L6012" s="8"/>
    </row>
    <row r="6013" spans="1:12" ht="25.5" x14ac:dyDescent="0.25">
      <c r="A6013" s="22">
        <v>2026</v>
      </c>
      <c r="B6013" s="28" t="s">
        <v>237</v>
      </c>
      <c r="C6013" s="28" t="s">
        <v>97</v>
      </c>
      <c r="D6013" s="28" t="s">
        <v>1716</v>
      </c>
      <c r="E6013" s="29" t="s">
        <v>446</v>
      </c>
      <c r="F6013" s="29" t="s">
        <v>353</v>
      </c>
      <c r="G6013" s="25" t="s">
        <v>7690</v>
      </c>
      <c r="H6013" s="26">
        <v>-0.67062449999999996</v>
      </c>
      <c r="I6013" s="26"/>
      <c r="J6013" s="26" t="s">
        <v>512</v>
      </c>
      <c r="K6013" s="25" t="s">
        <v>513</v>
      </c>
      <c r="L6013" s="8"/>
    </row>
    <row r="6014" spans="1:12" ht="25.5" x14ac:dyDescent="0.25">
      <c r="A6014" s="22">
        <v>2026</v>
      </c>
      <c r="B6014" s="28" t="s">
        <v>237</v>
      </c>
      <c r="C6014" s="28" t="s">
        <v>97</v>
      </c>
      <c r="D6014" s="28" t="s">
        <v>1716</v>
      </c>
      <c r="E6014" s="29" t="s">
        <v>446</v>
      </c>
      <c r="F6014" s="29" t="s">
        <v>353</v>
      </c>
      <c r="G6014" s="25" t="s">
        <v>7691</v>
      </c>
      <c r="H6014" s="26">
        <v>-0.39724999999999999</v>
      </c>
      <c r="I6014" s="26"/>
      <c r="J6014" s="26" t="s">
        <v>512</v>
      </c>
      <c r="K6014" s="25" t="s">
        <v>513</v>
      </c>
      <c r="L6014" s="8"/>
    </row>
    <row r="6015" spans="1:12" ht="25.5" x14ac:dyDescent="0.25">
      <c r="A6015" s="22">
        <v>2026</v>
      </c>
      <c r="B6015" s="28" t="s">
        <v>237</v>
      </c>
      <c r="C6015" s="28" t="s">
        <v>97</v>
      </c>
      <c r="D6015" s="28" t="s">
        <v>1716</v>
      </c>
      <c r="E6015" s="29" t="s">
        <v>446</v>
      </c>
      <c r="F6015" s="29" t="s">
        <v>353</v>
      </c>
      <c r="G6015" s="25" t="s">
        <v>7692</v>
      </c>
      <c r="H6015" s="26">
        <v>-0.39749000000000001</v>
      </c>
      <c r="I6015" s="26"/>
      <c r="J6015" s="26" t="s">
        <v>512</v>
      </c>
      <c r="K6015" s="25" t="s">
        <v>513</v>
      </c>
      <c r="L6015" s="8"/>
    </row>
    <row r="6016" spans="1:12" ht="25.5" x14ac:dyDescent="0.25">
      <c r="A6016" s="22">
        <v>2026</v>
      </c>
      <c r="B6016" s="28" t="s">
        <v>237</v>
      </c>
      <c r="C6016" s="28" t="s">
        <v>97</v>
      </c>
      <c r="D6016" s="28" t="s">
        <v>1716</v>
      </c>
      <c r="E6016" s="29" t="s">
        <v>446</v>
      </c>
      <c r="F6016" s="29" t="s">
        <v>353</v>
      </c>
      <c r="G6016" s="25" t="s">
        <v>7693</v>
      </c>
      <c r="H6016" s="26">
        <v>-0.68162350000000005</v>
      </c>
      <c r="I6016" s="26"/>
      <c r="J6016" s="26" t="s">
        <v>512</v>
      </c>
      <c r="K6016" s="25" t="s">
        <v>513</v>
      </c>
      <c r="L6016" s="8"/>
    </row>
    <row r="6017" spans="1:12" ht="25.5" x14ac:dyDescent="0.25">
      <c r="A6017" s="22">
        <v>2026</v>
      </c>
      <c r="B6017" s="28" t="s">
        <v>237</v>
      </c>
      <c r="C6017" s="28" t="s">
        <v>97</v>
      </c>
      <c r="D6017" s="28" t="s">
        <v>1716</v>
      </c>
      <c r="E6017" s="29" t="s">
        <v>446</v>
      </c>
      <c r="F6017" s="29" t="s">
        <v>353</v>
      </c>
      <c r="G6017" s="25" t="s">
        <v>7694</v>
      </c>
      <c r="H6017" s="26">
        <v>-0.40125</v>
      </c>
      <c r="I6017" s="26"/>
      <c r="J6017" s="26" t="s">
        <v>512</v>
      </c>
      <c r="K6017" s="25" t="s">
        <v>513</v>
      </c>
      <c r="L6017" s="8"/>
    </row>
    <row r="6018" spans="1:12" ht="25.5" x14ac:dyDescent="0.25">
      <c r="A6018" s="22">
        <v>2026</v>
      </c>
      <c r="B6018" s="28" t="s">
        <v>237</v>
      </c>
      <c r="C6018" s="28" t="s">
        <v>97</v>
      </c>
      <c r="D6018" s="28" t="s">
        <v>1716</v>
      </c>
      <c r="E6018" s="29" t="s">
        <v>446</v>
      </c>
      <c r="F6018" s="29" t="s">
        <v>353</v>
      </c>
      <c r="G6018" s="25" t="s">
        <v>7695</v>
      </c>
      <c r="H6018" s="26">
        <v>-0.80132000000000003</v>
      </c>
      <c r="I6018" s="26"/>
      <c r="J6018" s="26" t="s">
        <v>512</v>
      </c>
      <c r="K6018" s="25" t="s">
        <v>513</v>
      </c>
      <c r="L6018" s="8"/>
    </row>
    <row r="6019" spans="1:12" ht="25.5" x14ac:dyDescent="0.25">
      <c r="A6019" s="22">
        <v>2026</v>
      </c>
      <c r="B6019" s="28" t="s">
        <v>237</v>
      </c>
      <c r="C6019" s="28" t="s">
        <v>97</v>
      </c>
      <c r="D6019" s="28" t="s">
        <v>1716</v>
      </c>
      <c r="E6019" s="29" t="s">
        <v>446</v>
      </c>
      <c r="F6019" s="29" t="s">
        <v>353</v>
      </c>
      <c r="G6019" s="25" t="s">
        <v>7696</v>
      </c>
      <c r="H6019" s="26">
        <v>-0.19894000000000001</v>
      </c>
      <c r="I6019" s="26"/>
      <c r="J6019" s="26" t="s">
        <v>512</v>
      </c>
      <c r="K6019" s="25" t="s">
        <v>513</v>
      </c>
      <c r="L6019" s="8"/>
    </row>
    <row r="6020" spans="1:12" ht="25.5" x14ac:dyDescent="0.25">
      <c r="A6020" s="22">
        <v>2026</v>
      </c>
      <c r="B6020" s="28" t="s">
        <v>237</v>
      </c>
      <c r="C6020" s="28" t="s">
        <v>97</v>
      </c>
      <c r="D6020" s="28" t="s">
        <v>1716</v>
      </c>
      <c r="E6020" s="29" t="s">
        <v>446</v>
      </c>
      <c r="F6020" s="29" t="s">
        <v>353</v>
      </c>
      <c r="G6020" s="25" t="s">
        <v>7697</v>
      </c>
      <c r="H6020" s="26">
        <v>-0.66955434999999996</v>
      </c>
      <c r="I6020" s="26"/>
      <c r="J6020" s="26" t="s">
        <v>512</v>
      </c>
      <c r="K6020" s="25" t="s">
        <v>513</v>
      </c>
      <c r="L6020" s="8"/>
    </row>
    <row r="6021" spans="1:12" ht="25.5" x14ac:dyDescent="0.25">
      <c r="A6021" s="22">
        <v>2026</v>
      </c>
      <c r="B6021" s="28" t="s">
        <v>237</v>
      </c>
      <c r="C6021" s="28" t="s">
        <v>97</v>
      </c>
      <c r="D6021" s="28" t="s">
        <v>1716</v>
      </c>
      <c r="E6021" s="29" t="s">
        <v>446</v>
      </c>
      <c r="F6021" s="29" t="s">
        <v>353</v>
      </c>
      <c r="G6021" s="25" t="s">
        <v>7698</v>
      </c>
      <c r="H6021" s="26">
        <v>-0.67061599999999999</v>
      </c>
      <c r="I6021" s="26"/>
      <c r="J6021" s="26" t="s">
        <v>512</v>
      </c>
      <c r="K6021" s="25" t="s">
        <v>513</v>
      </c>
      <c r="L6021" s="8"/>
    </row>
    <row r="6022" spans="1:12" ht="25.5" x14ac:dyDescent="0.25">
      <c r="A6022" s="22">
        <v>2026</v>
      </c>
      <c r="B6022" s="28" t="s">
        <v>237</v>
      </c>
      <c r="C6022" s="28" t="s">
        <v>97</v>
      </c>
      <c r="D6022" s="28" t="s">
        <v>1716</v>
      </c>
      <c r="E6022" s="29" t="s">
        <v>446</v>
      </c>
      <c r="F6022" s="29" t="s">
        <v>353</v>
      </c>
      <c r="G6022" s="25" t="s">
        <v>7699</v>
      </c>
      <c r="H6022" s="26">
        <v>-0.66839749999999998</v>
      </c>
      <c r="I6022" s="26"/>
      <c r="J6022" s="26" t="s">
        <v>512</v>
      </c>
      <c r="K6022" s="25" t="s">
        <v>513</v>
      </c>
      <c r="L6022" s="8"/>
    </row>
    <row r="6023" spans="1:12" ht="25.5" x14ac:dyDescent="0.25">
      <c r="A6023" s="22">
        <v>2026</v>
      </c>
      <c r="B6023" s="28" t="s">
        <v>237</v>
      </c>
      <c r="C6023" s="28" t="s">
        <v>97</v>
      </c>
      <c r="D6023" s="28" t="s">
        <v>1716</v>
      </c>
      <c r="E6023" s="29" t="s">
        <v>446</v>
      </c>
      <c r="F6023" s="29" t="s">
        <v>353</v>
      </c>
      <c r="G6023" s="25" t="s">
        <v>7700</v>
      </c>
      <c r="H6023" s="26">
        <v>-0.67565649999999999</v>
      </c>
      <c r="I6023" s="26"/>
      <c r="J6023" s="26" t="s">
        <v>512</v>
      </c>
      <c r="K6023" s="25" t="s">
        <v>513</v>
      </c>
      <c r="L6023" s="8"/>
    </row>
    <row r="6024" spans="1:12" ht="25.5" x14ac:dyDescent="0.25">
      <c r="A6024" s="22">
        <v>2026</v>
      </c>
      <c r="B6024" s="28" t="s">
        <v>237</v>
      </c>
      <c r="C6024" s="28" t="s">
        <v>97</v>
      </c>
      <c r="D6024" s="28" t="s">
        <v>1716</v>
      </c>
      <c r="E6024" s="29" t="s">
        <v>446</v>
      </c>
      <c r="F6024" s="29" t="s">
        <v>353</v>
      </c>
      <c r="G6024" s="25" t="s">
        <v>7701</v>
      </c>
      <c r="H6024" s="26">
        <v>-0.67784949999999999</v>
      </c>
      <c r="I6024" s="26"/>
      <c r="J6024" s="26" t="s">
        <v>512</v>
      </c>
      <c r="K6024" s="25" t="s">
        <v>513</v>
      </c>
      <c r="L6024" s="8"/>
    </row>
    <row r="6025" spans="1:12" ht="25.5" x14ac:dyDescent="0.25">
      <c r="A6025" s="22">
        <v>2026</v>
      </c>
      <c r="B6025" s="28" t="s">
        <v>237</v>
      </c>
      <c r="C6025" s="28" t="s">
        <v>97</v>
      </c>
      <c r="D6025" s="28" t="s">
        <v>1716</v>
      </c>
      <c r="E6025" s="29" t="s">
        <v>446</v>
      </c>
      <c r="F6025" s="29" t="s">
        <v>353</v>
      </c>
      <c r="G6025" s="25" t="s">
        <v>7702</v>
      </c>
      <c r="H6025" s="26">
        <v>-0.67830000000000001</v>
      </c>
      <c r="I6025" s="26"/>
      <c r="J6025" s="26" t="s">
        <v>512</v>
      </c>
      <c r="K6025" s="25" t="s">
        <v>513</v>
      </c>
      <c r="L6025" s="8"/>
    </row>
    <row r="6026" spans="1:12" ht="25.5" x14ac:dyDescent="0.25">
      <c r="A6026" s="22">
        <v>2026</v>
      </c>
      <c r="B6026" s="28" t="s">
        <v>237</v>
      </c>
      <c r="C6026" s="28" t="s">
        <v>97</v>
      </c>
      <c r="D6026" s="28" t="s">
        <v>1716</v>
      </c>
      <c r="E6026" s="29" t="s">
        <v>446</v>
      </c>
      <c r="F6026" s="29" t="s">
        <v>353</v>
      </c>
      <c r="G6026" s="25" t="s">
        <v>7703</v>
      </c>
      <c r="H6026" s="26">
        <v>-0.67760299999999996</v>
      </c>
      <c r="I6026" s="26"/>
      <c r="J6026" s="26" t="s">
        <v>512</v>
      </c>
      <c r="K6026" s="25" t="s">
        <v>513</v>
      </c>
      <c r="L6026" s="8"/>
    </row>
    <row r="6027" spans="1:12" ht="25.5" x14ac:dyDescent="0.25">
      <c r="A6027" s="22">
        <v>2026</v>
      </c>
      <c r="B6027" s="28" t="s">
        <v>237</v>
      </c>
      <c r="C6027" s="28" t="s">
        <v>97</v>
      </c>
      <c r="D6027" s="28" t="s">
        <v>229</v>
      </c>
      <c r="E6027" s="29" t="s">
        <v>923</v>
      </c>
      <c r="F6027" s="29" t="s">
        <v>298</v>
      </c>
      <c r="G6027" s="25" t="s">
        <v>7704</v>
      </c>
      <c r="H6027" s="26">
        <v>-0.50961900000000004</v>
      </c>
      <c r="I6027" s="26"/>
      <c r="J6027" s="26" t="s">
        <v>512</v>
      </c>
      <c r="K6027" s="25" t="s">
        <v>526</v>
      </c>
      <c r="L6027" s="8"/>
    </row>
    <row r="6028" spans="1:12" ht="25.5" x14ac:dyDescent="0.25">
      <c r="A6028" s="22">
        <v>2026</v>
      </c>
      <c r="B6028" s="28" t="s">
        <v>237</v>
      </c>
      <c r="C6028" s="28" t="s">
        <v>97</v>
      </c>
      <c r="D6028" s="28" t="s">
        <v>229</v>
      </c>
      <c r="E6028" s="29" t="s">
        <v>923</v>
      </c>
      <c r="F6028" s="29" t="s">
        <v>298</v>
      </c>
      <c r="G6028" s="25" t="s">
        <v>7705</v>
      </c>
      <c r="H6028" s="26">
        <v>-0.13838529099999999</v>
      </c>
      <c r="I6028" s="26"/>
      <c r="J6028" s="26" t="s">
        <v>512</v>
      </c>
      <c r="K6028" s="25" t="s">
        <v>526</v>
      </c>
      <c r="L6028" s="8"/>
    </row>
    <row r="6029" spans="1:12" ht="25.5" x14ac:dyDescent="0.25">
      <c r="A6029" s="22">
        <v>2026</v>
      </c>
      <c r="B6029" s="28" t="s">
        <v>237</v>
      </c>
      <c r="C6029" s="28" t="s">
        <v>97</v>
      </c>
      <c r="D6029" s="28" t="s">
        <v>229</v>
      </c>
      <c r="E6029" s="29" t="s">
        <v>923</v>
      </c>
      <c r="F6029" s="29" t="s">
        <v>298</v>
      </c>
      <c r="G6029" s="25" t="s">
        <v>7706</v>
      </c>
      <c r="H6029" s="26">
        <v>-0.62066277756999999</v>
      </c>
      <c r="I6029" s="26"/>
      <c r="J6029" s="26" t="s">
        <v>512</v>
      </c>
      <c r="K6029" s="25" t="s">
        <v>526</v>
      </c>
      <c r="L6029" s="8"/>
    </row>
    <row r="6030" spans="1:12" ht="25.5" x14ac:dyDescent="0.25">
      <c r="A6030" s="22">
        <v>2026</v>
      </c>
      <c r="B6030" s="28" t="s">
        <v>237</v>
      </c>
      <c r="C6030" s="28" t="s">
        <v>97</v>
      </c>
      <c r="D6030" s="28" t="s">
        <v>229</v>
      </c>
      <c r="E6030" s="29" t="s">
        <v>923</v>
      </c>
      <c r="F6030" s="29" t="s">
        <v>298</v>
      </c>
      <c r="G6030" s="25" t="s">
        <v>7707</v>
      </c>
      <c r="H6030" s="26">
        <v>-8.4974999999999995E-2</v>
      </c>
      <c r="I6030" s="26"/>
      <c r="J6030" s="26" t="s">
        <v>512</v>
      </c>
      <c r="K6030" s="25" t="s">
        <v>526</v>
      </c>
      <c r="L6030" s="8"/>
    </row>
    <row r="6031" spans="1:12" ht="25.5" x14ac:dyDescent="0.25">
      <c r="A6031" s="22">
        <v>2026</v>
      </c>
      <c r="B6031" s="28" t="s">
        <v>237</v>
      </c>
      <c r="C6031" s="28" t="s">
        <v>97</v>
      </c>
      <c r="D6031" s="28" t="s">
        <v>229</v>
      </c>
      <c r="E6031" s="29" t="s">
        <v>923</v>
      </c>
      <c r="F6031" s="29" t="s">
        <v>298</v>
      </c>
      <c r="G6031" s="25" t="s">
        <v>7708</v>
      </c>
      <c r="H6031" s="26">
        <v>-2.339303316E-2</v>
      </c>
      <c r="I6031" s="26"/>
      <c r="J6031" s="26" t="s">
        <v>512</v>
      </c>
      <c r="K6031" s="25" t="s">
        <v>526</v>
      </c>
      <c r="L6031" s="8"/>
    </row>
    <row r="6032" spans="1:12" ht="25.5" x14ac:dyDescent="0.25">
      <c r="A6032" s="22">
        <v>2026</v>
      </c>
      <c r="B6032" s="28" t="s">
        <v>237</v>
      </c>
      <c r="C6032" s="28" t="s">
        <v>97</v>
      </c>
      <c r="D6032" s="28" t="s">
        <v>229</v>
      </c>
      <c r="E6032" s="29" t="s">
        <v>923</v>
      </c>
      <c r="F6032" s="29" t="s">
        <v>298</v>
      </c>
      <c r="G6032" s="25" t="s">
        <v>7709</v>
      </c>
      <c r="H6032" s="26">
        <v>-0.337731</v>
      </c>
      <c r="I6032" s="26"/>
      <c r="J6032" s="26" t="s">
        <v>512</v>
      </c>
      <c r="K6032" s="25" t="s">
        <v>526</v>
      </c>
      <c r="L6032" s="8"/>
    </row>
    <row r="6033" spans="1:12" ht="25.5" x14ac:dyDescent="0.25">
      <c r="A6033" s="22">
        <v>2026</v>
      </c>
      <c r="B6033" s="28" t="s">
        <v>237</v>
      </c>
      <c r="C6033" s="28" t="s">
        <v>97</v>
      </c>
      <c r="D6033" s="28" t="s">
        <v>229</v>
      </c>
      <c r="E6033" s="29" t="s">
        <v>923</v>
      </c>
      <c r="F6033" s="29" t="s">
        <v>298</v>
      </c>
      <c r="G6033" s="25" t="s">
        <v>7710</v>
      </c>
      <c r="H6033" s="26">
        <v>-0.33426499999999998</v>
      </c>
      <c r="I6033" s="26"/>
      <c r="J6033" s="26" t="s">
        <v>512</v>
      </c>
      <c r="K6033" s="25" t="s">
        <v>526</v>
      </c>
      <c r="L6033" s="8"/>
    </row>
    <row r="6034" spans="1:12" ht="25.5" x14ac:dyDescent="0.25">
      <c r="A6034" s="22">
        <v>2026</v>
      </c>
      <c r="B6034" s="28" t="s">
        <v>237</v>
      </c>
      <c r="C6034" s="28" t="s">
        <v>97</v>
      </c>
      <c r="D6034" s="28" t="s">
        <v>229</v>
      </c>
      <c r="E6034" s="29" t="s">
        <v>923</v>
      </c>
      <c r="F6034" s="29" t="s">
        <v>298</v>
      </c>
      <c r="G6034" s="25" t="s">
        <v>7711</v>
      </c>
      <c r="H6034" s="26">
        <v>-5.5229199999999999E-2</v>
      </c>
      <c r="I6034" s="26"/>
      <c r="J6034" s="26" t="s">
        <v>512</v>
      </c>
      <c r="K6034" s="25" t="s">
        <v>526</v>
      </c>
      <c r="L6034" s="8"/>
    </row>
    <row r="6035" spans="1:12" ht="25.5" x14ac:dyDescent="0.25">
      <c r="A6035" s="22">
        <v>2026</v>
      </c>
      <c r="B6035" s="28" t="s">
        <v>237</v>
      </c>
      <c r="C6035" s="28" t="s">
        <v>97</v>
      </c>
      <c r="D6035" s="28" t="s">
        <v>229</v>
      </c>
      <c r="E6035" s="29" t="s">
        <v>923</v>
      </c>
      <c r="F6035" s="29" t="s">
        <v>298</v>
      </c>
      <c r="G6035" s="25" t="s">
        <v>7712</v>
      </c>
      <c r="H6035" s="26">
        <v>-0.43459338168</v>
      </c>
      <c r="I6035" s="26"/>
      <c r="J6035" s="26" t="s">
        <v>512</v>
      </c>
      <c r="K6035" s="25" t="s">
        <v>526</v>
      </c>
      <c r="L6035" s="8"/>
    </row>
    <row r="6036" spans="1:12" ht="25.5" x14ac:dyDescent="0.25">
      <c r="A6036" s="22">
        <v>2026</v>
      </c>
      <c r="B6036" s="28" t="s">
        <v>237</v>
      </c>
      <c r="C6036" s="28" t="s">
        <v>97</v>
      </c>
      <c r="D6036" s="28" t="s">
        <v>1717</v>
      </c>
      <c r="E6036" s="29" t="s">
        <v>1084</v>
      </c>
      <c r="F6036" s="29" t="s">
        <v>576</v>
      </c>
      <c r="G6036" s="25" t="s">
        <v>7713</v>
      </c>
      <c r="H6036" s="26">
        <v>-0.1147</v>
      </c>
      <c r="I6036" s="26"/>
      <c r="J6036" s="26" t="s">
        <v>512</v>
      </c>
      <c r="K6036" s="25" t="s">
        <v>513</v>
      </c>
      <c r="L6036" s="8"/>
    </row>
    <row r="6037" spans="1:12" ht="25.5" x14ac:dyDescent="0.25">
      <c r="A6037" s="22">
        <v>2026</v>
      </c>
      <c r="B6037" s="28" t="s">
        <v>237</v>
      </c>
      <c r="C6037" s="28" t="s">
        <v>97</v>
      </c>
      <c r="D6037" s="28" t="s">
        <v>1717</v>
      </c>
      <c r="E6037" s="29" t="s">
        <v>1084</v>
      </c>
      <c r="F6037" s="29" t="s">
        <v>576</v>
      </c>
      <c r="G6037" s="25" t="s">
        <v>7714</v>
      </c>
      <c r="H6037" s="26">
        <v>-0.29962499999999997</v>
      </c>
      <c r="I6037" s="26"/>
      <c r="J6037" s="26" t="s">
        <v>512</v>
      </c>
      <c r="K6037" s="25" t="s">
        <v>513</v>
      </c>
      <c r="L6037" s="8"/>
    </row>
    <row r="6038" spans="1:12" ht="25.5" x14ac:dyDescent="0.25">
      <c r="A6038" s="22">
        <v>2026</v>
      </c>
      <c r="B6038" s="28" t="s">
        <v>237</v>
      </c>
      <c r="C6038" s="28" t="s">
        <v>97</v>
      </c>
      <c r="D6038" s="28" t="s">
        <v>1717</v>
      </c>
      <c r="E6038" s="29" t="s">
        <v>1084</v>
      </c>
      <c r="F6038" s="29" t="s">
        <v>576</v>
      </c>
      <c r="G6038" s="25" t="s">
        <v>7715</v>
      </c>
      <c r="H6038" s="26">
        <v>-0.14983784589999999</v>
      </c>
      <c r="I6038" s="26"/>
      <c r="J6038" s="26" t="s">
        <v>512</v>
      </c>
      <c r="K6038" s="25" t="s">
        <v>513</v>
      </c>
      <c r="L6038" s="8"/>
    </row>
    <row r="6039" spans="1:12" ht="25.5" x14ac:dyDescent="0.25">
      <c r="A6039" s="22">
        <v>2026</v>
      </c>
      <c r="B6039" s="28" t="s">
        <v>237</v>
      </c>
      <c r="C6039" s="28" t="s">
        <v>97</v>
      </c>
      <c r="D6039" s="28" t="s">
        <v>1717</v>
      </c>
      <c r="E6039" s="29" t="s">
        <v>1084</v>
      </c>
      <c r="F6039" s="29" t="s">
        <v>576</v>
      </c>
      <c r="G6039" s="25" t="s">
        <v>7716</v>
      </c>
      <c r="H6039" s="26">
        <v>-9.7602432000000003E-2</v>
      </c>
      <c r="I6039" s="26"/>
      <c r="J6039" s="26" t="s">
        <v>512</v>
      </c>
      <c r="K6039" s="25" t="s">
        <v>513</v>
      </c>
      <c r="L6039" s="8"/>
    </row>
    <row r="6040" spans="1:12" ht="25.5" x14ac:dyDescent="0.25">
      <c r="A6040" s="22">
        <v>2026</v>
      </c>
      <c r="B6040" s="28" t="s">
        <v>237</v>
      </c>
      <c r="C6040" s="28" t="s">
        <v>97</v>
      </c>
      <c r="D6040" s="28" t="s">
        <v>1717</v>
      </c>
      <c r="E6040" s="29" t="s">
        <v>1084</v>
      </c>
      <c r="F6040" s="29" t="s">
        <v>576</v>
      </c>
      <c r="G6040" s="25" t="s">
        <v>7717</v>
      </c>
      <c r="H6040" s="26">
        <v>-0.14298449999999999</v>
      </c>
      <c r="I6040" s="26"/>
      <c r="J6040" s="26" t="s">
        <v>512</v>
      </c>
      <c r="K6040" s="25" t="s">
        <v>513</v>
      </c>
      <c r="L6040" s="8"/>
    </row>
    <row r="6041" spans="1:12" ht="25.5" x14ac:dyDescent="0.25">
      <c r="A6041" s="22">
        <v>2026</v>
      </c>
      <c r="B6041" s="28" t="s">
        <v>237</v>
      </c>
      <c r="C6041" s="28" t="s">
        <v>97</v>
      </c>
      <c r="D6041" s="28" t="s">
        <v>1717</v>
      </c>
      <c r="E6041" s="29" t="s">
        <v>1084</v>
      </c>
      <c r="F6041" s="29" t="s">
        <v>576</v>
      </c>
      <c r="G6041" s="25" t="s">
        <v>7718</v>
      </c>
      <c r="H6041" s="26">
        <v>-0.4315427798</v>
      </c>
      <c r="I6041" s="26"/>
      <c r="J6041" s="26" t="s">
        <v>512</v>
      </c>
      <c r="K6041" s="25" t="s">
        <v>513</v>
      </c>
      <c r="L6041" s="8"/>
    </row>
    <row r="6042" spans="1:12" ht="25.5" x14ac:dyDescent="0.25">
      <c r="A6042" s="22">
        <v>2026</v>
      </c>
      <c r="B6042" s="28" t="s">
        <v>237</v>
      </c>
      <c r="C6042" s="28" t="s">
        <v>97</v>
      </c>
      <c r="D6042" s="28" t="s">
        <v>1717</v>
      </c>
      <c r="E6042" s="29" t="s">
        <v>1084</v>
      </c>
      <c r="F6042" s="29" t="s">
        <v>576</v>
      </c>
      <c r="G6042" s="25" t="s">
        <v>7719</v>
      </c>
      <c r="H6042" s="26">
        <v>-8.7756300000000009E-2</v>
      </c>
      <c r="I6042" s="26"/>
      <c r="J6042" s="26" t="s">
        <v>512</v>
      </c>
      <c r="K6042" s="25" t="s">
        <v>513</v>
      </c>
      <c r="L6042" s="8"/>
    </row>
    <row r="6043" spans="1:12" ht="25.5" x14ac:dyDescent="0.25">
      <c r="A6043" s="22">
        <v>2026</v>
      </c>
      <c r="B6043" s="28" t="s">
        <v>237</v>
      </c>
      <c r="C6043" s="28" t="s">
        <v>97</v>
      </c>
      <c r="D6043" s="28" t="s">
        <v>1718</v>
      </c>
      <c r="E6043" s="29" t="s">
        <v>1084</v>
      </c>
      <c r="F6043" s="29" t="s">
        <v>1762</v>
      </c>
      <c r="G6043" s="25" t="s">
        <v>7720</v>
      </c>
      <c r="H6043" s="26">
        <v>-1.5097515264000001</v>
      </c>
      <c r="I6043" s="26"/>
      <c r="J6043" s="26" t="s">
        <v>512</v>
      </c>
      <c r="K6043" s="25" t="s">
        <v>513</v>
      </c>
      <c r="L6043" s="8"/>
    </row>
    <row r="6044" spans="1:12" ht="25.5" x14ac:dyDescent="0.25">
      <c r="A6044" s="22">
        <v>2026</v>
      </c>
      <c r="B6044" s="28" t="s">
        <v>237</v>
      </c>
      <c r="C6044" s="28" t="s">
        <v>97</v>
      </c>
      <c r="D6044" s="28" t="s">
        <v>1718</v>
      </c>
      <c r="E6044" s="29" t="s">
        <v>1084</v>
      </c>
      <c r="F6044" s="29" t="s">
        <v>1762</v>
      </c>
      <c r="G6044" s="25" t="s">
        <v>7721</v>
      </c>
      <c r="H6044" s="26">
        <v>-0.32893450000000002</v>
      </c>
      <c r="I6044" s="26"/>
      <c r="J6044" s="26" t="s">
        <v>512</v>
      </c>
      <c r="K6044" s="25" t="s">
        <v>513</v>
      </c>
      <c r="L6044" s="8"/>
    </row>
    <row r="6045" spans="1:12" ht="25.5" x14ac:dyDescent="0.25">
      <c r="A6045" s="22">
        <v>2026</v>
      </c>
      <c r="B6045" s="28" t="s">
        <v>237</v>
      </c>
      <c r="C6045" s="28" t="s">
        <v>97</v>
      </c>
      <c r="D6045" s="28" t="s">
        <v>1718</v>
      </c>
      <c r="E6045" s="29" t="s">
        <v>1084</v>
      </c>
      <c r="F6045" s="29" t="s">
        <v>1762</v>
      </c>
      <c r="G6045" s="25" t="s">
        <v>7722</v>
      </c>
      <c r="H6045" s="26">
        <v>-0.49648263599999998</v>
      </c>
      <c r="I6045" s="26"/>
      <c r="J6045" s="26" t="s">
        <v>512</v>
      </c>
      <c r="K6045" s="25" t="s">
        <v>513</v>
      </c>
      <c r="L6045" s="8"/>
    </row>
    <row r="6046" spans="1:12" ht="25.5" x14ac:dyDescent="0.25">
      <c r="A6046" s="22">
        <v>2026</v>
      </c>
      <c r="B6046" s="28" t="s">
        <v>237</v>
      </c>
      <c r="C6046" s="28" t="s">
        <v>97</v>
      </c>
      <c r="D6046" s="28" t="s">
        <v>1718</v>
      </c>
      <c r="E6046" s="29" t="s">
        <v>1084</v>
      </c>
      <c r="F6046" s="29" t="s">
        <v>1762</v>
      </c>
      <c r="G6046" s="25" t="s">
        <v>7723</v>
      </c>
      <c r="H6046" s="26">
        <v>-0.52695957599999999</v>
      </c>
      <c r="I6046" s="26"/>
      <c r="J6046" s="26" t="s">
        <v>512</v>
      </c>
      <c r="K6046" s="25" t="s">
        <v>513</v>
      </c>
      <c r="L6046" s="8"/>
    </row>
    <row r="6047" spans="1:12" ht="25.5" x14ac:dyDescent="0.25">
      <c r="A6047" s="22">
        <v>2026</v>
      </c>
      <c r="B6047" s="28" t="s">
        <v>237</v>
      </c>
      <c r="C6047" s="28" t="s">
        <v>97</v>
      </c>
      <c r="D6047" s="28" t="s">
        <v>1718</v>
      </c>
      <c r="E6047" s="29" t="s">
        <v>1084</v>
      </c>
      <c r="F6047" s="29" t="s">
        <v>1762</v>
      </c>
      <c r="G6047" s="25" t="s">
        <v>7724</v>
      </c>
      <c r="H6047" s="26">
        <v>-0.669117132</v>
      </c>
      <c r="I6047" s="26"/>
      <c r="J6047" s="26" t="s">
        <v>512</v>
      </c>
      <c r="K6047" s="25" t="s">
        <v>513</v>
      </c>
      <c r="L6047" s="8"/>
    </row>
    <row r="6048" spans="1:12" ht="25.5" x14ac:dyDescent="0.25">
      <c r="A6048" s="22">
        <v>2026</v>
      </c>
      <c r="B6048" s="28" t="s">
        <v>237</v>
      </c>
      <c r="C6048" s="28" t="s">
        <v>97</v>
      </c>
      <c r="D6048" s="28" t="s">
        <v>1718</v>
      </c>
      <c r="E6048" s="29" t="s">
        <v>1084</v>
      </c>
      <c r="F6048" s="29" t="s">
        <v>1762</v>
      </c>
      <c r="G6048" s="25" t="s">
        <v>7725</v>
      </c>
      <c r="H6048" s="26">
        <v>-0.353198069</v>
      </c>
      <c r="I6048" s="26"/>
      <c r="J6048" s="26" t="s">
        <v>512</v>
      </c>
      <c r="K6048" s="25" t="s">
        <v>513</v>
      </c>
      <c r="L6048" s="8"/>
    </row>
    <row r="6049" spans="1:12" ht="25.5" x14ac:dyDescent="0.25">
      <c r="A6049" s="22">
        <v>2026</v>
      </c>
      <c r="B6049" s="28" t="s">
        <v>237</v>
      </c>
      <c r="C6049" s="28" t="s">
        <v>97</v>
      </c>
      <c r="D6049" s="28" t="s">
        <v>1718</v>
      </c>
      <c r="E6049" s="29" t="s">
        <v>1084</v>
      </c>
      <c r="F6049" s="29" t="s">
        <v>1762</v>
      </c>
      <c r="G6049" s="25" t="s">
        <v>7726</v>
      </c>
      <c r="H6049" s="26">
        <v>-0.90707099999999996</v>
      </c>
      <c r="I6049" s="26"/>
      <c r="J6049" s="26" t="s">
        <v>512</v>
      </c>
      <c r="K6049" s="25" t="s">
        <v>513</v>
      </c>
      <c r="L6049" s="8"/>
    </row>
    <row r="6050" spans="1:12" ht="25.5" x14ac:dyDescent="0.25">
      <c r="A6050" s="22">
        <v>2026</v>
      </c>
      <c r="B6050" s="28" t="s">
        <v>237</v>
      </c>
      <c r="C6050" s="28" t="s">
        <v>97</v>
      </c>
      <c r="D6050" s="28" t="s">
        <v>1718</v>
      </c>
      <c r="E6050" s="29" t="s">
        <v>1084</v>
      </c>
      <c r="F6050" s="29" t="s">
        <v>1762</v>
      </c>
      <c r="G6050" s="25" t="s">
        <v>7727</v>
      </c>
      <c r="H6050" s="26">
        <v>-0.38139703999999996</v>
      </c>
      <c r="I6050" s="26"/>
      <c r="J6050" s="26" t="s">
        <v>512</v>
      </c>
      <c r="K6050" s="25" t="s">
        <v>513</v>
      </c>
      <c r="L6050" s="8"/>
    </row>
    <row r="6051" spans="1:12" ht="25.5" x14ac:dyDescent="0.25">
      <c r="A6051" s="22">
        <v>2026</v>
      </c>
      <c r="B6051" s="28" t="s">
        <v>237</v>
      </c>
      <c r="C6051" s="28" t="s">
        <v>97</v>
      </c>
      <c r="D6051" s="28" t="s">
        <v>1718</v>
      </c>
      <c r="E6051" s="29" t="s">
        <v>1084</v>
      </c>
      <c r="F6051" s="29" t="s">
        <v>1762</v>
      </c>
      <c r="G6051" s="25" t="s">
        <v>7728</v>
      </c>
      <c r="H6051" s="26">
        <v>-5.2375160000000004E-2</v>
      </c>
      <c r="I6051" s="26"/>
      <c r="J6051" s="26" t="s">
        <v>512</v>
      </c>
      <c r="K6051" s="25" t="s">
        <v>513</v>
      </c>
      <c r="L6051" s="8"/>
    </row>
    <row r="6052" spans="1:12" ht="25.5" x14ac:dyDescent="0.25">
      <c r="A6052" s="22">
        <v>2026</v>
      </c>
      <c r="B6052" s="28" t="s">
        <v>237</v>
      </c>
      <c r="C6052" s="28" t="s">
        <v>97</v>
      </c>
      <c r="D6052" s="28" t="s">
        <v>1718</v>
      </c>
      <c r="E6052" s="29" t="s">
        <v>1084</v>
      </c>
      <c r="F6052" s="29" t="s">
        <v>1762</v>
      </c>
      <c r="G6052" s="25" t="s">
        <v>7729</v>
      </c>
      <c r="H6052" s="26">
        <v>-0.913678875</v>
      </c>
      <c r="I6052" s="26"/>
      <c r="J6052" s="26" t="s">
        <v>512</v>
      </c>
      <c r="K6052" s="25" t="s">
        <v>513</v>
      </c>
      <c r="L6052" s="8"/>
    </row>
    <row r="6053" spans="1:12" ht="25.5" x14ac:dyDescent="0.25">
      <c r="A6053" s="22">
        <v>2026</v>
      </c>
      <c r="B6053" s="28" t="s">
        <v>237</v>
      </c>
      <c r="C6053" s="28" t="s">
        <v>97</v>
      </c>
      <c r="D6053" s="28" t="s">
        <v>1718</v>
      </c>
      <c r="E6053" s="29" t="s">
        <v>1084</v>
      </c>
      <c r="F6053" s="29" t="s">
        <v>1762</v>
      </c>
      <c r="G6053" s="25" t="s">
        <v>7730</v>
      </c>
      <c r="H6053" s="26">
        <v>-0.33838750000000001</v>
      </c>
      <c r="I6053" s="26"/>
      <c r="J6053" s="26" t="s">
        <v>512</v>
      </c>
      <c r="K6053" s="25" t="s">
        <v>513</v>
      </c>
      <c r="L6053" s="8"/>
    </row>
    <row r="6054" spans="1:12" ht="25.5" x14ac:dyDescent="0.25">
      <c r="A6054" s="22">
        <v>2026</v>
      </c>
      <c r="B6054" s="28" t="s">
        <v>237</v>
      </c>
      <c r="C6054" s="28" t="s">
        <v>97</v>
      </c>
      <c r="D6054" s="28" t="s">
        <v>1718</v>
      </c>
      <c r="E6054" s="29" t="s">
        <v>1084</v>
      </c>
      <c r="F6054" s="29" t="s">
        <v>1762</v>
      </c>
      <c r="G6054" s="25" t="s">
        <v>7731</v>
      </c>
      <c r="H6054" s="26">
        <v>-0.59493695999999996</v>
      </c>
      <c r="I6054" s="26"/>
      <c r="J6054" s="26" t="s">
        <v>512</v>
      </c>
      <c r="K6054" s="25" t="s">
        <v>513</v>
      </c>
      <c r="L6054" s="8"/>
    </row>
    <row r="6055" spans="1:12" ht="25.5" x14ac:dyDescent="0.25">
      <c r="A6055" s="22">
        <v>2026</v>
      </c>
      <c r="B6055" s="28" t="s">
        <v>237</v>
      </c>
      <c r="C6055" s="28" t="s">
        <v>97</v>
      </c>
      <c r="D6055" s="28" t="s">
        <v>1718</v>
      </c>
      <c r="E6055" s="29" t="s">
        <v>1084</v>
      </c>
      <c r="F6055" s="29" t="s">
        <v>1762</v>
      </c>
      <c r="G6055" s="25" t="s">
        <v>7732</v>
      </c>
      <c r="H6055" s="26">
        <v>-0.38634417599999998</v>
      </c>
      <c r="I6055" s="26"/>
      <c r="J6055" s="26" t="s">
        <v>512</v>
      </c>
      <c r="K6055" s="25" t="s">
        <v>513</v>
      </c>
      <c r="L6055" s="8"/>
    </row>
    <row r="6056" spans="1:12" ht="25.5" x14ac:dyDescent="0.25">
      <c r="A6056" s="22">
        <v>2026</v>
      </c>
      <c r="B6056" s="28" t="s">
        <v>237</v>
      </c>
      <c r="C6056" s="28" t="s">
        <v>97</v>
      </c>
      <c r="D6056" s="28" t="s">
        <v>1718</v>
      </c>
      <c r="E6056" s="29" t="s">
        <v>1084</v>
      </c>
      <c r="F6056" s="29" t="s">
        <v>1762</v>
      </c>
      <c r="G6056" s="25" t="s">
        <v>7733</v>
      </c>
      <c r="H6056" s="26">
        <v>-0.78565734719999991</v>
      </c>
      <c r="I6056" s="26"/>
      <c r="J6056" s="26" t="s">
        <v>512</v>
      </c>
      <c r="K6056" s="25" t="s">
        <v>513</v>
      </c>
      <c r="L6056" s="8"/>
    </row>
    <row r="6057" spans="1:12" ht="25.5" x14ac:dyDescent="0.25">
      <c r="A6057" s="22">
        <v>2026</v>
      </c>
      <c r="B6057" s="28" t="s">
        <v>237</v>
      </c>
      <c r="C6057" s="28" t="s">
        <v>97</v>
      </c>
      <c r="D6057" s="28" t="s">
        <v>1718</v>
      </c>
      <c r="E6057" s="29" t="s">
        <v>1084</v>
      </c>
      <c r="F6057" s="29" t="s">
        <v>1762</v>
      </c>
      <c r="G6057" s="25" t="s">
        <v>7734</v>
      </c>
      <c r="H6057" s="26">
        <v>-9.1274198399999992E-2</v>
      </c>
      <c r="I6057" s="26"/>
      <c r="J6057" s="26" t="s">
        <v>512</v>
      </c>
      <c r="K6057" s="25" t="s">
        <v>513</v>
      </c>
      <c r="L6057" s="8"/>
    </row>
    <row r="6058" spans="1:12" ht="25.5" x14ac:dyDescent="0.25">
      <c r="A6058" s="22">
        <v>2026</v>
      </c>
      <c r="B6058" s="28" t="s">
        <v>237</v>
      </c>
      <c r="C6058" s="28" t="s">
        <v>97</v>
      </c>
      <c r="D6058" s="28" t="s">
        <v>1718</v>
      </c>
      <c r="E6058" s="29" t="s">
        <v>1084</v>
      </c>
      <c r="F6058" s="29" t="s">
        <v>1762</v>
      </c>
      <c r="G6058" s="25" t="s">
        <v>7735</v>
      </c>
      <c r="H6058" s="26">
        <v>-0.25537837000000002</v>
      </c>
      <c r="I6058" s="26"/>
      <c r="J6058" s="26" t="s">
        <v>512</v>
      </c>
      <c r="K6058" s="25" t="s">
        <v>513</v>
      </c>
      <c r="L6058" s="8"/>
    </row>
    <row r="6059" spans="1:12" ht="25.5" x14ac:dyDescent="0.25">
      <c r="A6059" s="22">
        <v>2026</v>
      </c>
      <c r="B6059" s="28" t="s">
        <v>237</v>
      </c>
      <c r="C6059" s="28" t="s">
        <v>97</v>
      </c>
      <c r="D6059" s="28" t="s">
        <v>1718</v>
      </c>
      <c r="E6059" s="29" t="s">
        <v>1084</v>
      </c>
      <c r="F6059" s="29" t="s">
        <v>1762</v>
      </c>
      <c r="G6059" s="25" t="s">
        <v>7736</v>
      </c>
      <c r="H6059" s="26">
        <v>-0.28430290000000003</v>
      </c>
      <c r="I6059" s="26"/>
      <c r="J6059" s="26" t="s">
        <v>512</v>
      </c>
      <c r="K6059" s="25" t="s">
        <v>513</v>
      </c>
      <c r="L6059" s="8"/>
    </row>
    <row r="6060" spans="1:12" ht="25.5" x14ac:dyDescent="0.25">
      <c r="A6060" s="22">
        <v>2026</v>
      </c>
      <c r="B6060" s="28" t="s">
        <v>237</v>
      </c>
      <c r="C6060" s="28" t="s">
        <v>97</v>
      </c>
      <c r="D6060" s="28" t="s">
        <v>1718</v>
      </c>
      <c r="E6060" s="29" t="s">
        <v>1084</v>
      </c>
      <c r="F6060" s="29" t="s">
        <v>1762</v>
      </c>
      <c r="G6060" s="25" t="s">
        <v>7737</v>
      </c>
      <c r="H6060" s="26">
        <v>-0.39890493440000002</v>
      </c>
      <c r="I6060" s="26"/>
      <c r="J6060" s="26" t="s">
        <v>512</v>
      </c>
      <c r="K6060" s="25" t="s">
        <v>513</v>
      </c>
      <c r="L6060" s="8"/>
    </row>
    <row r="6061" spans="1:12" ht="25.5" x14ac:dyDescent="0.25">
      <c r="A6061" s="22">
        <v>2026</v>
      </c>
      <c r="B6061" s="28" t="s">
        <v>237</v>
      </c>
      <c r="C6061" s="28" t="s">
        <v>97</v>
      </c>
      <c r="D6061" s="28" t="s">
        <v>1719</v>
      </c>
      <c r="E6061" s="29" t="s">
        <v>1084</v>
      </c>
      <c r="F6061" s="29" t="s">
        <v>287</v>
      </c>
      <c r="G6061" s="25" t="s">
        <v>7738</v>
      </c>
      <c r="H6061" s="26">
        <v>-2.2525949999999999</v>
      </c>
      <c r="I6061" s="26"/>
      <c r="J6061" s="26" t="s">
        <v>514</v>
      </c>
      <c r="K6061" s="25" t="s">
        <v>513</v>
      </c>
      <c r="L6061" s="8"/>
    </row>
    <row r="6062" spans="1:12" ht="25.5" x14ac:dyDescent="0.25">
      <c r="A6062" s="22">
        <v>2026</v>
      </c>
      <c r="B6062" s="28" t="s">
        <v>237</v>
      </c>
      <c r="C6062" s="28" t="s">
        <v>97</v>
      </c>
      <c r="D6062" s="28" t="s">
        <v>1719</v>
      </c>
      <c r="E6062" s="29" t="s">
        <v>1084</v>
      </c>
      <c r="F6062" s="29" t="s">
        <v>287</v>
      </c>
      <c r="G6062" s="25" t="s">
        <v>7739</v>
      </c>
      <c r="H6062" s="26">
        <v>-0.4846848084</v>
      </c>
      <c r="I6062" s="26"/>
      <c r="J6062" s="26" t="s">
        <v>514</v>
      </c>
      <c r="K6062" s="25" t="s">
        <v>513</v>
      </c>
      <c r="L6062" s="8"/>
    </row>
    <row r="6063" spans="1:12" ht="25.5" x14ac:dyDescent="0.25">
      <c r="A6063" s="22">
        <v>2026</v>
      </c>
      <c r="B6063" s="28" t="s">
        <v>237</v>
      </c>
      <c r="C6063" s="28" t="s">
        <v>97</v>
      </c>
      <c r="D6063" s="28" t="s">
        <v>1719</v>
      </c>
      <c r="E6063" s="29" t="s">
        <v>1084</v>
      </c>
      <c r="F6063" s="29" t="s">
        <v>287</v>
      </c>
      <c r="G6063" s="25" t="s">
        <v>7740</v>
      </c>
      <c r="H6063" s="26">
        <v>-1.8975450730999999</v>
      </c>
      <c r="I6063" s="26"/>
      <c r="J6063" s="26" t="s">
        <v>514</v>
      </c>
      <c r="K6063" s="25" t="s">
        <v>513</v>
      </c>
      <c r="L6063" s="8"/>
    </row>
    <row r="6064" spans="1:12" ht="25.5" x14ac:dyDescent="0.25">
      <c r="A6064" s="22">
        <v>2026</v>
      </c>
      <c r="B6064" s="28" t="s">
        <v>237</v>
      </c>
      <c r="C6064" s="28" t="s">
        <v>97</v>
      </c>
      <c r="D6064" s="28" t="s">
        <v>1719</v>
      </c>
      <c r="E6064" s="29" t="s">
        <v>1084</v>
      </c>
      <c r="F6064" s="29" t="s">
        <v>287</v>
      </c>
      <c r="G6064" s="25" t="s">
        <v>7741</v>
      </c>
      <c r="H6064" s="26">
        <v>-0.23851550469999999</v>
      </c>
      <c r="I6064" s="26"/>
      <c r="J6064" s="26" t="s">
        <v>514</v>
      </c>
      <c r="K6064" s="25" t="s">
        <v>513</v>
      </c>
      <c r="L6064" s="8"/>
    </row>
    <row r="6065" spans="1:12" ht="25.5" x14ac:dyDescent="0.25">
      <c r="A6065" s="22">
        <v>2026</v>
      </c>
      <c r="B6065" s="28" t="s">
        <v>237</v>
      </c>
      <c r="C6065" s="28" t="s">
        <v>97</v>
      </c>
      <c r="D6065" s="28" t="s">
        <v>1719</v>
      </c>
      <c r="E6065" s="29" t="s">
        <v>1084</v>
      </c>
      <c r="F6065" s="29" t="s">
        <v>287</v>
      </c>
      <c r="G6065" s="25" t="s">
        <v>7742</v>
      </c>
      <c r="H6065" s="26">
        <v>-1.8924093125000001</v>
      </c>
      <c r="I6065" s="26"/>
      <c r="J6065" s="26" t="s">
        <v>514</v>
      </c>
      <c r="K6065" s="25" t="s">
        <v>513</v>
      </c>
      <c r="L6065" s="8"/>
    </row>
    <row r="6066" spans="1:12" ht="25.5" x14ac:dyDescent="0.25">
      <c r="A6066" s="22">
        <v>2026</v>
      </c>
      <c r="B6066" s="28" t="s">
        <v>237</v>
      </c>
      <c r="C6066" s="28" t="s">
        <v>97</v>
      </c>
      <c r="D6066" s="28" t="s">
        <v>1719</v>
      </c>
      <c r="E6066" s="29" t="s">
        <v>1084</v>
      </c>
      <c r="F6066" s="29" t="s">
        <v>287</v>
      </c>
      <c r="G6066" s="25" t="s">
        <v>7743</v>
      </c>
      <c r="H6066" s="26">
        <v>-0.78293312939999993</v>
      </c>
      <c r="I6066" s="26"/>
      <c r="J6066" s="26" t="s">
        <v>514</v>
      </c>
      <c r="K6066" s="25" t="s">
        <v>513</v>
      </c>
      <c r="L6066" s="8"/>
    </row>
    <row r="6067" spans="1:12" ht="25.5" x14ac:dyDescent="0.25">
      <c r="A6067" s="22">
        <v>2026</v>
      </c>
      <c r="B6067" s="28" t="s">
        <v>237</v>
      </c>
      <c r="C6067" s="28" t="s">
        <v>97</v>
      </c>
      <c r="D6067" s="28" t="s">
        <v>1719</v>
      </c>
      <c r="E6067" s="29" t="s">
        <v>1084</v>
      </c>
      <c r="F6067" s="29" t="s">
        <v>287</v>
      </c>
      <c r="G6067" s="25" t="s">
        <v>7744</v>
      </c>
      <c r="H6067" s="26">
        <v>-1.3644216</v>
      </c>
      <c r="I6067" s="26"/>
      <c r="J6067" s="26" t="s">
        <v>514</v>
      </c>
      <c r="K6067" s="25" t="s">
        <v>513</v>
      </c>
      <c r="L6067" s="8"/>
    </row>
    <row r="6068" spans="1:12" ht="25.5" x14ac:dyDescent="0.25">
      <c r="A6068" s="22">
        <v>2026</v>
      </c>
      <c r="B6068" s="28" t="s">
        <v>237</v>
      </c>
      <c r="C6068" s="28" t="s">
        <v>97</v>
      </c>
      <c r="D6068" s="28" t="s">
        <v>1719</v>
      </c>
      <c r="E6068" s="29" t="s">
        <v>1084</v>
      </c>
      <c r="F6068" s="29" t="s">
        <v>287</v>
      </c>
      <c r="G6068" s="25" t="s">
        <v>7745</v>
      </c>
      <c r="H6068" s="26">
        <v>-0.77696321180000005</v>
      </c>
      <c r="I6068" s="26"/>
      <c r="J6068" s="26" t="s">
        <v>514</v>
      </c>
      <c r="K6068" s="25" t="s">
        <v>513</v>
      </c>
      <c r="L6068" s="8"/>
    </row>
    <row r="6069" spans="1:12" ht="25.5" x14ac:dyDescent="0.25">
      <c r="A6069" s="22">
        <v>2026</v>
      </c>
      <c r="B6069" s="28" t="s">
        <v>237</v>
      </c>
      <c r="C6069" s="28" t="s">
        <v>97</v>
      </c>
      <c r="D6069" s="28" t="s">
        <v>1719</v>
      </c>
      <c r="E6069" s="29" t="s">
        <v>1084</v>
      </c>
      <c r="F6069" s="29" t="s">
        <v>287</v>
      </c>
      <c r="G6069" s="25" t="s">
        <v>7746</v>
      </c>
      <c r="H6069" s="26">
        <v>-0.44567187680000003</v>
      </c>
      <c r="I6069" s="26"/>
      <c r="J6069" s="26" t="s">
        <v>514</v>
      </c>
      <c r="K6069" s="25" t="s">
        <v>513</v>
      </c>
      <c r="L6069" s="8"/>
    </row>
    <row r="6070" spans="1:12" ht="25.5" x14ac:dyDescent="0.25">
      <c r="A6070" s="22">
        <v>2026</v>
      </c>
      <c r="B6070" s="28" t="s">
        <v>237</v>
      </c>
      <c r="C6070" s="28" t="s">
        <v>97</v>
      </c>
      <c r="D6070" s="28" t="s">
        <v>1719</v>
      </c>
      <c r="E6070" s="29" t="s">
        <v>1084</v>
      </c>
      <c r="F6070" s="29" t="s">
        <v>287</v>
      </c>
      <c r="G6070" s="25" t="s">
        <v>7747</v>
      </c>
      <c r="H6070" s="26">
        <v>-5.5608852700000003E-2</v>
      </c>
      <c r="I6070" s="26"/>
      <c r="J6070" s="26" t="s">
        <v>514</v>
      </c>
      <c r="K6070" s="25" t="s">
        <v>513</v>
      </c>
      <c r="L6070" s="8"/>
    </row>
    <row r="6071" spans="1:12" ht="25.5" x14ac:dyDescent="0.25">
      <c r="A6071" s="22">
        <v>2026</v>
      </c>
      <c r="B6071" s="28" t="s">
        <v>237</v>
      </c>
      <c r="C6071" s="28" t="s">
        <v>97</v>
      </c>
      <c r="D6071" s="28" t="s">
        <v>1719</v>
      </c>
      <c r="E6071" s="29" t="s">
        <v>1084</v>
      </c>
      <c r="F6071" s="29" t="s">
        <v>287</v>
      </c>
      <c r="G6071" s="25" t="s">
        <v>7748</v>
      </c>
      <c r="H6071" s="26">
        <v>-0.91419600000000001</v>
      </c>
      <c r="I6071" s="26"/>
      <c r="J6071" s="26" t="s">
        <v>514</v>
      </c>
      <c r="K6071" s="25" t="s">
        <v>513</v>
      </c>
      <c r="L6071" s="8"/>
    </row>
    <row r="6072" spans="1:12" ht="25.5" x14ac:dyDescent="0.25">
      <c r="A6072" s="22">
        <v>2026</v>
      </c>
      <c r="B6072" s="28" t="s">
        <v>237</v>
      </c>
      <c r="C6072" s="28" t="s">
        <v>97</v>
      </c>
      <c r="D6072" s="28" t="s">
        <v>1719</v>
      </c>
      <c r="E6072" s="29" t="s">
        <v>1084</v>
      </c>
      <c r="F6072" s="29" t="s">
        <v>287</v>
      </c>
      <c r="G6072" s="25" t="s">
        <v>7749</v>
      </c>
      <c r="H6072" s="26">
        <v>-1.246672</v>
      </c>
      <c r="I6072" s="26"/>
      <c r="J6072" s="26" t="s">
        <v>514</v>
      </c>
      <c r="K6072" s="25" t="s">
        <v>513</v>
      </c>
      <c r="L6072" s="8"/>
    </row>
    <row r="6073" spans="1:12" ht="25.5" x14ac:dyDescent="0.25">
      <c r="A6073" s="22">
        <v>2026</v>
      </c>
      <c r="B6073" s="28" t="s">
        <v>237</v>
      </c>
      <c r="C6073" s="28" t="s">
        <v>97</v>
      </c>
      <c r="D6073" s="28" t="s">
        <v>1719</v>
      </c>
      <c r="E6073" s="29" t="s">
        <v>1084</v>
      </c>
      <c r="F6073" s="29" t="s">
        <v>287</v>
      </c>
      <c r="G6073" s="25" t="s">
        <v>7750</v>
      </c>
      <c r="H6073" s="26">
        <v>-0.64582255500000008</v>
      </c>
      <c r="I6073" s="26"/>
      <c r="J6073" s="26" t="s">
        <v>514</v>
      </c>
      <c r="K6073" s="25" t="s">
        <v>513</v>
      </c>
      <c r="L6073" s="8"/>
    </row>
    <row r="6074" spans="1:12" ht="25.5" x14ac:dyDescent="0.25">
      <c r="A6074" s="22">
        <v>2026</v>
      </c>
      <c r="B6074" s="28" t="s">
        <v>237</v>
      </c>
      <c r="C6074" s="28" t="s">
        <v>97</v>
      </c>
      <c r="D6074" s="28" t="s">
        <v>1719</v>
      </c>
      <c r="E6074" s="29" t="s">
        <v>1084</v>
      </c>
      <c r="F6074" s="29" t="s">
        <v>287</v>
      </c>
      <c r="G6074" s="25" t="s">
        <v>7751</v>
      </c>
      <c r="H6074" s="26">
        <v>-1.2777077080999999</v>
      </c>
      <c r="I6074" s="26"/>
      <c r="J6074" s="26" t="s">
        <v>514</v>
      </c>
      <c r="K6074" s="25" t="s">
        <v>513</v>
      </c>
      <c r="L6074" s="8"/>
    </row>
    <row r="6075" spans="1:12" ht="25.5" x14ac:dyDescent="0.25">
      <c r="A6075" s="22">
        <v>2026</v>
      </c>
      <c r="B6075" s="28" t="s">
        <v>237</v>
      </c>
      <c r="C6075" s="28" t="s">
        <v>97</v>
      </c>
      <c r="D6075" s="28" t="s">
        <v>1719</v>
      </c>
      <c r="E6075" s="29" t="s">
        <v>1084</v>
      </c>
      <c r="F6075" s="29" t="s">
        <v>287</v>
      </c>
      <c r="G6075" s="25" t="s">
        <v>7752</v>
      </c>
      <c r="H6075" s="26">
        <v>-1.5400400000000001</v>
      </c>
      <c r="I6075" s="26"/>
      <c r="J6075" s="26" t="s">
        <v>514</v>
      </c>
      <c r="K6075" s="25" t="s">
        <v>513</v>
      </c>
      <c r="L6075" s="8"/>
    </row>
    <row r="6076" spans="1:12" ht="25.5" x14ac:dyDescent="0.25">
      <c r="A6076" s="22">
        <v>2026</v>
      </c>
      <c r="B6076" s="28" t="s">
        <v>237</v>
      </c>
      <c r="C6076" s="28" t="s">
        <v>97</v>
      </c>
      <c r="D6076" s="28" t="s">
        <v>1719</v>
      </c>
      <c r="E6076" s="29" t="s">
        <v>1084</v>
      </c>
      <c r="F6076" s="29" t="s">
        <v>287</v>
      </c>
      <c r="G6076" s="25" t="s">
        <v>7753</v>
      </c>
      <c r="H6076" s="26">
        <v>-1.0978244724999999</v>
      </c>
      <c r="I6076" s="26"/>
      <c r="J6076" s="26" t="s">
        <v>514</v>
      </c>
      <c r="K6076" s="25" t="s">
        <v>513</v>
      </c>
      <c r="L6076" s="8"/>
    </row>
    <row r="6077" spans="1:12" ht="25.5" x14ac:dyDescent="0.25">
      <c r="A6077" s="22">
        <v>2026</v>
      </c>
      <c r="B6077" s="28" t="s">
        <v>237</v>
      </c>
      <c r="C6077" s="28" t="s">
        <v>97</v>
      </c>
      <c r="D6077" s="28" t="s">
        <v>1720</v>
      </c>
      <c r="E6077" s="29" t="s">
        <v>1084</v>
      </c>
      <c r="F6077" s="29" t="s">
        <v>483</v>
      </c>
      <c r="G6077" s="25" t="s">
        <v>7754</v>
      </c>
      <c r="H6077" s="26">
        <v>-1.5131709288000001</v>
      </c>
      <c r="I6077" s="26"/>
      <c r="J6077" s="26" t="s">
        <v>512</v>
      </c>
      <c r="K6077" s="25" t="s">
        <v>513</v>
      </c>
      <c r="L6077" s="8"/>
    </row>
    <row r="6078" spans="1:12" ht="25.5" x14ac:dyDescent="0.25">
      <c r="A6078" s="22">
        <v>2026</v>
      </c>
      <c r="B6078" s="28" t="s">
        <v>237</v>
      </c>
      <c r="C6078" s="28" t="s">
        <v>97</v>
      </c>
      <c r="D6078" s="28" t="s">
        <v>1720</v>
      </c>
      <c r="E6078" s="29" t="s">
        <v>1084</v>
      </c>
      <c r="F6078" s="29" t="s">
        <v>483</v>
      </c>
      <c r="G6078" s="25" t="s">
        <v>7755</v>
      </c>
      <c r="H6078" s="26">
        <v>-0.96567123539999999</v>
      </c>
      <c r="I6078" s="26"/>
      <c r="J6078" s="26" t="s">
        <v>512</v>
      </c>
      <c r="K6078" s="25" t="s">
        <v>513</v>
      </c>
      <c r="L6078" s="8"/>
    </row>
    <row r="6079" spans="1:12" ht="25.5" x14ac:dyDescent="0.25">
      <c r="A6079" s="22">
        <v>2026</v>
      </c>
      <c r="B6079" s="28" t="s">
        <v>237</v>
      </c>
      <c r="C6079" s="28" t="s">
        <v>97</v>
      </c>
      <c r="D6079" s="28" t="s">
        <v>1720</v>
      </c>
      <c r="E6079" s="29" t="s">
        <v>1084</v>
      </c>
      <c r="F6079" s="29" t="s">
        <v>483</v>
      </c>
      <c r="G6079" s="25" t="s">
        <v>7756</v>
      </c>
      <c r="H6079" s="26">
        <v>-1.655548</v>
      </c>
      <c r="I6079" s="26"/>
      <c r="J6079" s="26" t="s">
        <v>512</v>
      </c>
      <c r="K6079" s="25" t="s">
        <v>513</v>
      </c>
      <c r="L6079" s="8"/>
    </row>
    <row r="6080" spans="1:12" ht="25.5" x14ac:dyDescent="0.25">
      <c r="A6080" s="22">
        <v>2026</v>
      </c>
      <c r="B6080" s="28" t="s">
        <v>237</v>
      </c>
      <c r="C6080" s="28" t="s">
        <v>97</v>
      </c>
      <c r="D6080" s="28" t="s">
        <v>1720</v>
      </c>
      <c r="E6080" s="29" t="s">
        <v>1084</v>
      </c>
      <c r="F6080" s="29" t="s">
        <v>483</v>
      </c>
      <c r="G6080" s="25" t="s">
        <v>7757</v>
      </c>
      <c r="H6080" s="26">
        <v>-2.4958740000000001</v>
      </c>
      <c r="I6080" s="26"/>
      <c r="J6080" s="26" t="s">
        <v>512</v>
      </c>
      <c r="K6080" s="25" t="s">
        <v>513</v>
      </c>
      <c r="L6080" s="8"/>
    </row>
    <row r="6081" spans="1:12" ht="25.5" x14ac:dyDescent="0.25">
      <c r="A6081" s="22">
        <v>2026</v>
      </c>
      <c r="B6081" s="28" t="s">
        <v>237</v>
      </c>
      <c r="C6081" s="28" t="s">
        <v>97</v>
      </c>
      <c r="D6081" s="28" t="s">
        <v>1720</v>
      </c>
      <c r="E6081" s="29" t="s">
        <v>1084</v>
      </c>
      <c r="F6081" s="29" t="s">
        <v>483</v>
      </c>
      <c r="G6081" s="25" t="s">
        <v>7758</v>
      </c>
      <c r="H6081" s="26">
        <v>-0.21</v>
      </c>
      <c r="I6081" s="26"/>
      <c r="J6081" s="26" t="s">
        <v>512</v>
      </c>
      <c r="K6081" s="25" t="s">
        <v>513</v>
      </c>
      <c r="L6081" s="8"/>
    </row>
    <row r="6082" spans="1:12" ht="25.5" x14ac:dyDescent="0.25">
      <c r="A6082" s="22">
        <v>2026</v>
      </c>
      <c r="B6082" s="28" t="s">
        <v>237</v>
      </c>
      <c r="C6082" s="28" t="s">
        <v>97</v>
      </c>
      <c r="D6082" s="28" t="s">
        <v>1720</v>
      </c>
      <c r="E6082" s="29" t="s">
        <v>1084</v>
      </c>
      <c r="F6082" s="29" t="s">
        <v>483</v>
      </c>
      <c r="G6082" s="25" t="s">
        <v>7759</v>
      </c>
      <c r="H6082" s="26">
        <v>-0.68047840000000004</v>
      </c>
      <c r="I6082" s="26"/>
      <c r="J6082" s="26" t="s">
        <v>512</v>
      </c>
      <c r="K6082" s="25" t="s">
        <v>513</v>
      </c>
      <c r="L6082" s="8"/>
    </row>
    <row r="6083" spans="1:12" ht="25.5" x14ac:dyDescent="0.25">
      <c r="A6083" s="22">
        <v>2026</v>
      </c>
      <c r="B6083" s="28" t="s">
        <v>237</v>
      </c>
      <c r="C6083" s="28" t="s">
        <v>97</v>
      </c>
      <c r="D6083" s="28" t="s">
        <v>1720</v>
      </c>
      <c r="E6083" s="29" t="s">
        <v>1084</v>
      </c>
      <c r="F6083" s="29" t="s">
        <v>483</v>
      </c>
      <c r="G6083" s="25" t="s">
        <v>7760</v>
      </c>
      <c r="H6083" s="26">
        <v>-1.5805511999999999</v>
      </c>
      <c r="I6083" s="26"/>
      <c r="J6083" s="26" t="s">
        <v>512</v>
      </c>
      <c r="K6083" s="25" t="s">
        <v>513</v>
      </c>
      <c r="L6083" s="8"/>
    </row>
    <row r="6084" spans="1:12" ht="25.5" x14ac:dyDescent="0.25">
      <c r="A6084" s="22">
        <v>2026</v>
      </c>
      <c r="B6084" s="28" t="s">
        <v>237</v>
      </c>
      <c r="C6084" s="28" t="s">
        <v>97</v>
      </c>
      <c r="D6084" s="28" t="s">
        <v>1720</v>
      </c>
      <c r="E6084" s="29" t="s">
        <v>1084</v>
      </c>
      <c r="F6084" s="29" t="s">
        <v>483</v>
      </c>
      <c r="G6084" s="25" t="s">
        <v>7761</v>
      </c>
      <c r="H6084" s="26">
        <v>-2.3812829999999998</v>
      </c>
      <c r="I6084" s="26"/>
      <c r="J6084" s="26" t="s">
        <v>512</v>
      </c>
      <c r="K6084" s="25" t="s">
        <v>513</v>
      </c>
      <c r="L6084" s="8"/>
    </row>
    <row r="6085" spans="1:12" ht="25.5" x14ac:dyDescent="0.25">
      <c r="A6085" s="22">
        <v>2026</v>
      </c>
      <c r="B6085" s="28" t="s">
        <v>237</v>
      </c>
      <c r="C6085" s="28" t="s">
        <v>97</v>
      </c>
      <c r="D6085" s="28" t="s">
        <v>1720</v>
      </c>
      <c r="E6085" s="29" t="s">
        <v>1084</v>
      </c>
      <c r="F6085" s="29" t="s">
        <v>483</v>
      </c>
      <c r="G6085" s="25" t="s">
        <v>7762</v>
      </c>
      <c r="H6085" s="26">
        <v>-0.95222600000000002</v>
      </c>
      <c r="I6085" s="26"/>
      <c r="J6085" s="26" t="s">
        <v>512</v>
      </c>
      <c r="K6085" s="25" t="s">
        <v>513</v>
      </c>
      <c r="L6085" s="8"/>
    </row>
    <row r="6086" spans="1:12" ht="25.5" x14ac:dyDescent="0.25">
      <c r="A6086" s="22">
        <v>2026</v>
      </c>
      <c r="B6086" s="28" t="s">
        <v>237</v>
      </c>
      <c r="C6086" s="28" t="s">
        <v>97</v>
      </c>
      <c r="D6086" s="28" t="s">
        <v>1720</v>
      </c>
      <c r="E6086" s="29" t="s">
        <v>1084</v>
      </c>
      <c r="F6086" s="29" t="s">
        <v>483</v>
      </c>
      <c r="G6086" s="25" t="s">
        <v>7763</v>
      </c>
      <c r="H6086" s="26">
        <v>-1.9448055</v>
      </c>
      <c r="I6086" s="26"/>
      <c r="J6086" s="26" t="s">
        <v>512</v>
      </c>
      <c r="K6086" s="25" t="s">
        <v>513</v>
      </c>
      <c r="L6086" s="8"/>
    </row>
    <row r="6087" spans="1:12" ht="25.5" x14ac:dyDescent="0.25">
      <c r="A6087" s="22">
        <v>2026</v>
      </c>
      <c r="B6087" s="28" t="s">
        <v>237</v>
      </c>
      <c r="C6087" s="28" t="s">
        <v>97</v>
      </c>
      <c r="D6087" s="28" t="s">
        <v>1720</v>
      </c>
      <c r="E6087" s="29" t="s">
        <v>1084</v>
      </c>
      <c r="F6087" s="29" t="s">
        <v>483</v>
      </c>
      <c r="G6087" s="25" t="s">
        <v>7764</v>
      </c>
      <c r="H6087" s="26">
        <v>-0.49660148999999998</v>
      </c>
      <c r="I6087" s="26"/>
      <c r="J6087" s="26" t="s">
        <v>512</v>
      </c>
      <c r="K6087" s="25" t="s">
        <v>513</v>
      </c>
      <c r="L6087" s="8"/>
    </row>
    <row r="6088" spans="1:12" ht="25.5" x14ac:dyDescent="0.25">
      <c r="A6088" s="22">
        <v>2026</v>
      </c>
      <c r="B6088" s="28" t="s">
        <v>237</v>
      </c>
      <c r="C6088" s="28" t="s">
        <v>97</v>
      </c>
      <c r="D6088" s="28" t="s">
        <v>1720</v>
      </c>
      <c r="E6088" s="29" t="s">
        <v>1084</v>
      </c>
      <c r="F6088" s="29" t="s">
        <v>483</v>
      </c>
      <c r="G6088" s="25" t="s">
        <v>7765</v>
      </c>
      <c r="H6088" s="26">
        <v>-0.4899</v>
      </c>
      <c r="I6088" s="26"/>
      <c r="J6088" s="26" t="s">
        <v>512</v>
      </c>
      <c r="K6088" s="25" t="s">
        <v>513</v>
      </c>
      <c r="L6088" s="8"/>
    </row>
    <row r="6089" spans="1:12" ht="25.5" x14ac:dyDescent="0.25">
      <c r="A6089" s="22">
        <v>2026</v>
      </c>
      <c r="B6089" s="28" t="s">
        <v>237</v>
      </c>
      <c r="C6089" s="28" t="s">
        <v>97</v>
      </c>
      <c r="D6089" s="28" t="s">
        <v>1720</v>
      </c>
      <c r="E6089" s="29" t="s">
        <v>1084</v>
      </c>
      <c r="F6089" s="29" t="s">
        <v>483</v>
      </c>
      <c r="G6089" s="25" t="s">
        <v>7766</v>
      </c>
      <c r="H6089" s="26">
        <v>-1.277973</v>
      </c>
      <c r="I6089" s="26"/>
      <c r="J6089" s="26" t="s">
        <v>512</v>
      </c>
      <c r="K6089" s="25" t="s">
        <v>513</v>
      </c>
      <c r="L6089" s="8"/>
    </row>
    <row r="6090" spans="1:12" ht="25.5" x14ac:dyDescent="0.25">
      <c r="A6090" s="22">
        <v>2026</v>
      </c>
      <c r="B6090" s="28" t="s">
        <v>237</v>
      </c>
      <c r="C6090" s="28" t="s">
        <v>97</v>
      </c>
      <c r="D6090" s="28" t="s">
        <v>1720</v>
      </c>
      <c r="E6090" s="29" t="s">
        <v>1084</v>
      </c>
      <c r="F6090" s="29" t="s">
        <v>483</v>
      </c>
      <c r="G6090" s="25" t="s">
        <v>7767</v>
      </c>
      <c r="H6090" s="26">
        <v>-3.2201849999999999</v>
      </c>
      <c r="I6090" s="26"/>
      <c r="J6090" s="26" t="s">
        <v>512</v>
      </c>
      <c r="K6090" s="25" t="s">
        <v>513</v>
      </c>
      <c r="L6090" s="8"/>
    </row>
    <row r="6091" spans="1:12" ht="25.5" x14ac:dyDescent="0.25">
      <c r="A6091" s="22">
        <v>2026</v>
      </c>
      <c r="B6091" s="28" t="s">
        <v>237</v>
      </c>
      <c r="C6091" s="28" t="s">
        <v>97</v>
      </c>
      <c r="D6091" s="28" t="s">
        <v>1720</v>
      </c>
      <c r="E6091" s="29" t="s">
        <v>1084</v>
      </c>
      <c r="F6091" s="29" t="s">
        <v>483</v>
      </c>
      <c r="G6091" s="25" t="s">
        <v>7768</v>
      </c>
      <c r="H6091" s="26">
        <v>-0.42699999999999999</v>
      </c>
      <c r="I6091" s="26"/>
      <c r="J6091" s="26" t="s">
        <v>512</v>
      </c>
      <c r="K6091" s="25" t="s">
        <v>513</v>
      </c>
      <c r="L6091" s="8"/>
    </row>
    <row r="6092" spans="1:12" ht="25.5" x14ac:dyDescent="0.25">
      <c r="A6092" s="22">
        <v>2026</v>
      </c>
      <c r="B6092" s="28" t="s">
        <v>237</v>
      </c>
      <c r="C6092" s="28" t="s">
        <v>97</v>
      </c>
      <c r="D6092" s="28" t="s">
        <v>1721</v>
      </c>
      <c r="E6092" s="29" t="s">
        <v>411</v>
      </c>
      <c r="F6092" s="29" t="s">
        <v>353</v>
      </c>
      <c r="G6092" s="25" t="s">
        <v>7769</v>
      </c>
      <c r="H6092" s="26">
        <v>-1.0654809264</v>
      </c>
      <c r="I6092" s="26"/>
      <c r="J6092" s="26" t="s">
        <v>512</v>
      </c>
      <c r="K6092" s="25" t="s">
        <v>513</v>
      </c>
      <c r="L6092" s="8"/>
    </row>
    <row r="6093" spans="1:12" ht="25.5" x14ac:dyDescent="0.25">
      <c r="A6093" s="22">
        <v>2026</v>
      </c>
      <c r="B6093" s="28" t="s">
        <v>237</v>
      </c>
      <c r="C6093" s="28" t="s">
        <v>97</v>
      </c>
      <c r="D6093" s="28" t="s">
        <v>1721</v>
      </c>
      <c r="E6093" s="29" t="s">
        <v>411</v>
      </c>
      <c r="F6093" s="29" t="s">
        <v>353</v>
      </c>
      <c r="G6093" s="25" t="s">
        <v>7770</v>
      </c>
      <c r="H6093" s="26">
        <v>-0.32952956650000004</v>
      </c>
      <c r="I6093" s="26"/>
      <c r="J6093" s="26" t="s">
        <v>512</v>
      </c>
      <c r="K6093" s="25" t="s">
        <v>513</v>
      </c>
      <c r="L6093" s="8"/>
    </row>
    <row r="6094" spans="1:12" ht="25.5" x14ac:dyDescent="0.25">
      <c r="A6094" s="22">
        <v>2026</v>
      </c>
      <c r="B6094" s="28" t="s">
        <v>237</v>
      </c>
      <c r="C6094" s="28" t="s">
        <v>97</v>
      </c>
      <c r="D6094" s="28" t="s">
        <v>1721</v>
      </c>
      <c r="E6094" s="29" t="s">
        <v>411</v>
      </c>
      <c r="F6094" s="29" t="s">
        <v>353</v>
      </c>
      <c r="G6094" s="25" t="s">
        <v>7771</v>
      </c>
      <c r="H6094" s="26">
        <v>-1.3307525</v>
      </c>
      <c r="I6094" s="26"/>
      <c r="J6094" s="26" t="s">
        <v>512</v>
      </c>
      <c r="K6094" s="25" t="s">
        <v>513</v>
      </c>
      <c r="L6094" s="8"/>
    </row>
    <row r="6095" spans="1:12" ht="25.5" x14ac:dyDescent="0.25">
      <c r="A6095" s="22">
        <v>2026</v>
      </c>
      <c r="B6095" s="28" t="s">
        <v>237</v>
      </c>
      <c r="C6095" s="28" t="s">
        <v>97</v>
      </c>
      <c r="D6095" s="28" t="s">
        <v>1721</v>
      </c>
      <c r="E6095" s="29" t="s">
        <v>411</v>
      </c>
      <c r="F6095" s="29" t="s">
        <v>353</v>
      </c>
      <c r="G6095" s="25" t="s">
        <v>7772</v>
      </c>
      <c r="H6095" s="26">
        <v>-1.665268</v>
      </c>
      <c r="I6095" s="26"/>
      <c r="J6095" s="26" t="s">
        <v>512</v>
      </c>
      <c r="K6095" s="25" t="s">
        <v>513</v>
      </c>
      <c r="L6095" s="8"/>
    </row>
    <row r="6096" spans="1:12" ht="25.5" x14ac:dyDescent="0.25">
      <c r="A6096" s="22">
        <v>2026</v>
      </c>
      <c r="B6096" s="28" t="s">
        <v>237</v>
      </c>
      <c r="C6096" s="28" t="s">
        <v>97</v>
      </c>
      <c r="D6096" s="28" t="s">
        <v>1721</v>
      </c>
      <c r="E6096" s="29" t="s">
        <v>411</v>
      </c>
      <c r="F6096" s="29" t="s">
        <v>353</v>
      </c>
      <c r="G6096" s="25" t="s">
        <v>7773</v>
      </c>
      <c r="H6096" s="26">
        <v>-1.5992759999999999</v>
      </c>
      <c r="I6096" s="26"/>
      <c r="J6096" s="26" t="s">
        <v>512</v>
      </c>
      <c r="K6096" s="25" t="s">
        <v>513</v>
      </c>
      <c r="L6096" s="8"/>
    </row>
    <row r="6097" spans="1:12" ht="25.5" x14ac:dyDescent="0.25">
      <c r="A6097" s="22">
        <v>2026</v>
      </c>
      <c r="B6097" s="28" t="s">
        <v>237</v>
      </c>
      <c r="C6097" s="28" t="s">
        <v>97</v>
      </c>
      <c r="D6097" s="28" t="s">
        <v>1721</v>
      </c>
      <c r="E6097" s="29" t="s">
        <v>411</v>
      </c>
      <c r="F6097" s="29" t="s">
        <v>353</v>
      </c>
      <c r="G6097" s="25" t="s">
        <v>7774</v>
      </c>
      <c r="H6097" s="26">
        <v>-0.84188458349999995</v>
      </c>
      <c r="I6097" s="26"/>
      <c r="J6097" s="26" t="s">
        <v>512</v>
      </c>
      <c r="K6097" s="25" t="s">
        <v>513</v>
      </c>
      <c r="L6097" s="8"/>
    </row>
    <row r="6098" spans="1:12" ht="25.5" x14ac:dyDescent="0.25">
      <c r="A6098" s="22">
        <v>2026</v>
      </c>
      <c r="B6098" s="28" t="s">
        <v>237</v>
      </c>
      <c r="C6098" s="28" t="s">
        <v>97</v>
      </c>
      <c r="D6098" s="28" t="s">
        <v>1721</v>
      </c>
      <c r="E6098" s="29" t="s">
        <v>411</v>
      </c>
      <c r="F6098" s="29" t="s">
        <v>353</v>
      </c>
      <c r="G6098" s="25" t="s">
        <v>7775</v>
      </c>
      <c r="H6098" s="26">
        <v>-0.37647999999999998</v>
      </c>
      <c r="I6098" s="26"/>
      <c r="J6098" s="26" t="s">
        <v>512</v>
      </c>
      <c r="K6098" s="25" t="s">
        <v>513</v>
      </c>
      <c r="L6098" s="8"/>
    </row>
    <row r="6099" spans="1:12" ht="25.5" x14ac:dyDescent="0.25">
      <c r="A6099" s="22">
        <v>2026</v>
      </c>
      <c r="B6099" s="28" t="s">
        <v>237</v>
      </c>
      <c r="C6099" s="28" t="s">
        <v>97</v>
      </c>
      <c r="D6099" s="28" t="s">
        <v>1721</v>
      </c>
      <c r="E6099" s="29" t="s">
        <v>411</v>
      </c>
      <c r="F6099" s="29" t="s">
        <v>353</v>
      </c>
      <c r="G6099" s="25" t="s">
        <v>7776</v>
      </c>
      <c r="H6099" s="26">
        <v>-0.50761496500000003</v>
      </c>
      <c r="I6099" s="26"/>
      <c r="J6099" s="26" t="s">
        <v>512</v>
      </c>
      <c r="K6099" s="25" t="s">
        <v>513</v>
      </c>
      <c r="L6099" s="8"/>
    </row>
    <row r="6100" spans="1:12" ht="25.5" x14ac:dyDescent="0.25">
      <c r="A6100" s="22">
        <v>2026</v>
      </c>
      <c r="B6100" s="28" t="s">
        <v>237</v>
      </c>
      <c r="C6100" s="28" t="s">
        <v>97</v>
      </c>
      <c r="D6100" s="28" t="s">
        <v>1721</v>
      </c>
      <c r="E6100" s="29" t="s">
        <v>411</v>
      </c>
      <c r="F6100" s="29" t="s">
        <v>353</v>
      </c>
      <c r="G6100" s="25" t="s">
        <v>7777</v>
      </c>
      <c r="H6100" s="26">
        <v>-0.54285664440000003</v>
      </c>
      <c r="I6100" s="26"/>
      <c r="J6100" s="26" t="s">
        <v>512</v>
      </c>
      <c r="K6100" s="25" t="s">
        <v>513</v>
      </c>
      <c r="L6100" s="8"/>
    </row>
    <row r="6101" spans="1:12" ht="25.5" x14ac:dyDescent="0.25">
      <c r="A6101" s="22">
        <v>2026</v>
      </c>
      <c r="B6101" s="28" t="s">
        <v>237</v>
      </c>
      <c r="C6101" s="28" t="s">
        <v>97</v>
      </c>
      <c r="D6101" s="28" t="s">
        <v>1721</v>
      </c>
      <c r="E6101" s="29" t="s">
        <v>411</v>
      </c>
      <c r="F6101" s="29" t="s">
        <v>353</v>
      </c>
      <c r="G6101" s="25" t="s">
        <v>7778</v>
      </c>
      <c r="H6101" s="26">
        <v>-0.94841249999999999</v>
      </c>
      <c r="I6101" s="26"/>
      <c r="J6101" s="26" t="s">
        <v>512</v>
      </c>
      <c r="K6101" s="25" t="s">
        <v>513</v>
      </c>
      <c r="L6101" s="8"/>
    </row>
    <row r="6102" spans="1:12" ht="25.5" x14ac:dyDescent="0.25">
      <c r="A6102" s="22">
        <v>2026</v>
      </c>
      <c r="B6102" s="28" t="s">
        <v>237</v>
      </c>
      <c r="C6102" s="28" t="s">
        <v>97</v>
      </c>
      <c r="D6102" s="28" t="s">
        <v>1721</v>
      </c>
      <c r="E6102" s="29" t="s">
        <v>411</v>
      </c>
      <c r="F6102" s="29" t="s">
        <v>353</v>
      </c>
      <c r="G6102" s="25" t="s">
        <v>7779</v>
      </c>
      <c r="H6102" s="26">
        <v>-0.97730099999999998</v>
      </c>
      <c r="I6102" s="26"/>
      <c r="J6102" s="26" t="s">
        <v>512</v>
      </c>
      <c r="K6102" s="25" t="s">
        <v>513</v>
      </c>
      <c r="L6102" s="8"/>
    </row>
    <row r="6103" spans="1:12" ht="25.5" x14ac:dyDescent="0.25">
      <c r="A6103" s="22">
        <v>2026</v>
      </c>
      <c r="B6103" s="28" t="s">
        <v>237</v>
      </c>
      <c r="C6103" s="28" t="s">
        <v>97</v>
      </c>
      <c r="D6103" s="28" t="s">
        <v>1721</v>
      </c>
      <c r="E6103" s="29" t="s">
        <v>411</v>
      </c>
      <c r="F6103" s="29" t="s">
        <v>353</v>
      </c>
      <c r="G6103" s="25" t="s">
        <v>7780</v>
      </c>
      <c r="H6103" s="26">
        <v>-1.2180629999999999</v>
      </c>
      <c r="I6103" s="26"/>
      <c r="J6103" s="26" t="s">
        <v>512</v>
      </c>
      <c r="K6103" s="25" t="s">
        <v>513</v>
      </c>
      <c r="L6103" s="8"/>
    </row>
    <row r="6104" spans="1:12" ht="25.5" x14ac:dyDescent="0.25">
      <c r="A6104" s="22">
        <v>2026</v>
      </c>
      <c r="B6104" s="28" t="s">
        <v>237</v>
      </c>
      <c r="C6104" s="28" t="s">
        <v>97</v>
      </c>
      <c r="D6104" s="28" t="s">
        <v>1721</v>
      </c>
      <c r="E6104" s="29" t="s">
        <v>411</v>
      </c>
      <c r="F6104" s="29" t="s">
        <v>353</v>
      </c>
      <c r="G6104" s="25" t="s">
        <v>7781</v>
      </c>
      <c r="H6104" s="26">
        <v>-1.1403505</v>
      </c>
      <c r="I6104" s="26"/>
      <c r="J6104" s="26" t="s">
        <v>512</v>
      </c>
      <c r="K6104" s="25" t="s">
        <v>513</v>
      </c>
      <c r="L6104" s="8"/>
    </row>
    <row r="6105" spans="1:12" ht="25.5" x14ac:dyDescent="0.25">
      <c r="A6105" s="22">
        <v>2026</v>
      </c>
      <c r="B6105" s="28" t="s">
        <v>237</v>
      </c>
      <c r="C6105" s="28" t="s">
        <v>97</v>
      </c>
      <c r="D6105" s="28" t="s">
        <v>1721</v>
      </c>
      <c r="E6105" s="29" t="s">
        <v>411</v>
      </c>
      <c r="F6105" s="29" t="s">
        <v>353</v>
      </c>
      <c r="G6105" s="25" t="s">
        <v>7782</v>
      </c>
      <c r="H6105" s="26">
        <v>-1.4782500000000001</v>
      </c>
      <c r="I6105" s="26"/>
      <c r="J6105" s="26" t="s">
        <v>512</v>
      </c>
      <c r="K6105" s="25" t="s">
        <v>513</v>
      </c>
      <c r="L6105" s="8"/>
    </row>
    <row r="6106" spans="1:12" ht="25.5" x14ac:dyDescent="0.25">
      <c r="A6106" s="22">
        <v>2026</v>
      </c>
      <c r="B6106" s="28" t="s">
        <v>237</v>
      </c>
      <c r="C6106" s="28" t="s">
        <v>97</v>
      </c>
      <c r="D6106" s="28" t="s">
        <v>1721</v>
      </c>
      <c r="E6106" s="29" t="s">
        <v>411</v>
      </c>
      <c r="F6106" s="29" t="s">
        <v>353</v>
      </c>
      <c r="G6106" s="25" t="s">
        <v>7783</v>
      </c>
      <c r="H6106" s="26">
        <v>-1.1091624794000001</v>
      </c>
      <c r="I6106" s="26"/>
      <c r="J6106" s="26" t="s">
        <v>512</v>
      </c>
      <c r="K6106" s="25" t="s">
        <v>513</v>
      </c>
      <c r="L6106" s="8"/>
    </row>
    <row r="6107" spans="1:12" ht="25.5" x14ac:dyDescent="0.25">
      <c r="A6107" s="22">
        <v>2026</v>
      </c>
      <c r="B6107" s="28" t="s">
        <v>237</v>
      </c>
      <c r="C6107" s="28" t="s">
        <v>97</v>
      </c>
      <c r="D6107" s="28" t="s">
        <v>1721</v>
      </c>
      <c r="E6107" s="29" t="s">
        <v>411</v>
      </c>
      <c r="F6107" s="29" t="s">
        <v>353</v>
      </c>
      <c r="G6107" s="25" t="s">
        <v>7784</v>
      </c>
      <c r="H6107" s="26">
        <v>-1.3005475</v>
      </c>
      <c r="I6107" s="26"/>
      <c r="J6107" s="26" t="s">
        <v>512</v>
      </c>
      <c r="K6107" s="25" t="s">
        <v>513</v>
      </c>
      <c r="L6107" s="8"/>
    </row>
    <row r="6108" spans="1:12" ht="25.5" x14ac:dyDescent="0.25">
      <c r="A6108" s="22">
        <v>2026</v>
      </c>
      <c r="B6108" s="28" t="s">
        <v>237</v>
      </c>
      <c r="C6108" s="28" t="s">
        <v>97</v>
      </c>
      <c r="D6108" s="28" t="s">
        <v>1721</v>
      </c>
      <c r="E6108" s="29" t="s">
        <v>411</v>
      </c>
      <c r="F6108" s="29" t="s">
        <v>353</v>
      </c>
      <c r="G6108" s="25" t="s">
        <v>7785</v>
      </c>
      <c r="H6108" s="26">
        <v>-0.25585899600000001</v>
      </c>
      <c r="I6108" s="26"/>
      <c r="J6108" s="26" t="s">
        <v>512</v>
      </c>
      <c r="K6108" s="25" t="s">
        <v>513</v>
      </c>
      <c r="L6108" s="8"/>
    </row>
    <row r="6109" spans="1:12" ht="25.5" x14ac:dyDescent="0.25">
      <c r="A6109" s="22">
        <v>2026</v>
      </c>
      <c r="B6109" s="28" t="s">
        <v>237</v>
      </c>
      <c r="C6109" s="28" t="s">
        <v>97</v>
      </c>
      <c r="D6109" s="28" t="s">
        <v>1721</v>
      </c>
      <c r="E6109" s="29" t="s">
        <v>411</v>
      </c>
      <c r="F6109" s="29" t="s">
        <v>353</v>
      </c>
      <c r="G6109" s="25" t="s">
        <v>7786</v>
      </c>
      <c r="H6109" s="26">
        <v>-1.3804700000000001</v>
      </c>
      <c r="I6109" s="26"/>
      <c r="J6109" s="26" t="s">
        <v>512</v>
      </c>
      <c r="K6109" s="25" t="s">
        <v>513</v>
      </c>
      <c r="L6109" s="8"/>
    </row>
    <row r="6110" spans="1:12" ht="25.5" x14ac:dyDescent="0.25">
      <c r="A6110" s="22">
        <v>2026</v>
      </c>
      <c r="B6110" s="28" t="s">
        <v>237</v>
      </c>
      <c r="C6110" s="28" t="s">
        <v>97</v>
      </c>
      <c r="D6110" s="28" t="s">
        <v>1722</v>
      </c>
      <c r="E6110" s="29" t="s">
        <v>640</v>
      </c>
      <c r="F6110" s="29" t="s">
        <v>282</v>
      </c>
      <c r="G6110" s="25" t="s">
        <v>7787</v>
      </c>
      <c r="H6110" s="26">
        <v>-8.5612139999999993E-3</v>
      </c>
      <c r="I6110" s="26"/>
      <c r="J6110" s="26" t="s">
        <v>521</v>
      </c>
      <c r="K6110" s="25" t="s">
        <v>513</v>
      </c>
      <c r="L6110" s="8"/>
    </row>
    <row r="6111" spans="1:12" ht="25.5" x14ac:dyDescent="0.25">
      <c r="A6111" s="22">
        <v>2026</v>
      </c>
      <c r="B6111" s="28" t="s">
        <v>237</v>
      </c>
      <c r="C6111" s="28" t="s">
        <v>97</v>
      </c>
      <c r="D6111" s="28" t="s">
        <v>1722</v>
      </c>
      <c r="E6111" s="29" t="s">
        <v>640</v>
      </c>
      <c r="F6111" s="29" t="s">
        <v>282</v>
      </c>
      <c r="G6111" s="25" t="s">
        <v>7788</v>
      </c>
      <c r="H6111" s="26">
        <v>-2.3340502000000003E-3</v>
      </c>
      <c r="I6111" s="26"/>
      <c r="J6111" s="26" t="s">
        <v>521</v>
      </c>
      <c r="K6111" s="25" t="s">
        <v>513</v>
      </c>
      <c r="L6111" s="8"/>
    </row>
    <row r="6112" spans="1:12" ht="25.5" x14ac:dyDescent="0.25">
      <c r="A6112" s="22">
        <v>2026</v>
      </c>
      <c r="B6112" s="28" t="s">
        <v>237</v>
      </c>
      <c r="C6112" s="28" t="s">
        <v>97</v>
      </c>
      <c r="D6112" s="28" t="s">
        <v>1722</v>
      </c>
      <c r="E6112" s="29" t="s">
        <v>640</v>
      </c>
      <c r="F6112" s="29" t="s">
        <v>282</v>
      </c>
      <c r="G6112" s="25" t="s">
        <v>7789</v>
      </c>
      <c r="H6112" s="26">
        <v>-1.3023277599999999E-2</v>
      </c>
      <c r="I6112" s="26"/>
      <c r="J6112" s="26" t="s">
        <v>521</v>
      </c>
      <c r="K6112" s="25" t="s">
        <v>513</v>
      </c>
      <c r="L6112" s="8"/>
    </row>
    <row r="6113" spans="1:12" ht="25.5" x14ac:dyDescent="0.25">
      <c r="A6113" s="22">
        <v>2026</v>
      </c>
      <c r="B6113" s="28" t="s">
        <v>237</v>
      </c>
      <c r="C6113" s="28" t="s">
        <v>97</v>
      </c>
      <c r="D6113" s="28" t="s">
        <v>1722</v>
      </c>
      <c r="E6113" s="29" t="s">
        <v>640</v>
      </c>
      <c r="F6113" s="29" t="s">
        <v>282</v>
      </c>
      <c r="G6113" s="25" t="s">
        <v>7790</v>
      </c>
      <c r="H6113" s="26">
        <v>-9.9467999999999987E-3</v>
      </c>
      <c r="I6113" s="26"/>
      <c r="J6113" s="26" t="s">
        <v>521</v>
      </c>
      <c r="K6113" s="25" t="s">
        <v>513</v>
      </c>
      <c r="L6113" s="8"/>
    </row>
    <row r="6114" spans="1:12" ht="25.5" x14ac:dyDescent="0.25">
      <c r="A6114" s="22">
        <v>2026</v>
      </c>
      <c r="B6114" s="28" t="s">
        <v>237</v>
      </c>
      <c r="C6114" s="28" t="s">
        <v>97</v>
      </c>
      <c r="D6114" s="28" t="s">
        <v>1722</v>
      </c>
      <c r="E6114" s="29" t="s">
        <v>640</v>
      </c>
      <c r="F6114" s="29" t="s">
        <v>282</v>
      </c>
      <c r="G6114" s="25" t="s">
        <v>7791</v>
      </c>
      <c r="H6114" s="26">
        <v>-1.40380352E-2</v>
      </c>
      <c r="I6114" s="26"/>
      <c r="J6114" s="26" t="s">
        <v>521</v>
      </c>
      <c r="K6114" s="25" t="s">
        <v>513</v>
      </c>
      <c r="L6114" s="8"/>
    </row>
    <row r="6115" spans="1:12" ht="25.5" x14ac:dyDescent="0.25">
      <c r="A6115" s="22">
        <v>2026</v>
      </c>
      <c r="B6115" s="28" t="s">
        <v>237</v>
      </c>
      <c r="C6115" s="28" t="s">
        <v>97</v>
      </c>
      <c r="D6115" s="28" t="s">
        <v>1722</v>
      </c>
      <c r="E6115" s="29" t="s">
        <v>640</v>
      </c>
      <c r="F6115" s="29" t="s">
        <v>282</v>
      </c>
      <c r="G6115" s="25" t="s">
        <v>7792</v>
      </c>
      <c r="H6115" s="26">
        <v>-1.0233874E-2</v>
      </c>
      <c r="I6115" s="26"/>
      <c r="J6115" s="26" t="s">
        <v>521</v>
      </c>
      <c r="K6115" s="25" t="s">
        <v>513</v>
      </c>
      <c r="L6115" s="8"/>
    </row>
    <row r="6116" spans="1:12" ht="25.5" x14ac:dyDescent="0.25">
      <c r="A6116" s="22">
        <v>2026</v>
      </c>
      <c r="B6116" s="28" t="s">
        <v>237</v>
      </c>
      <c r="C6116" s="28" t="s">
        <v>97</v>
      </c>
      <c r="D6116" s="28" t="s">
        <v>1722</v>
      </c>
      <c r="E6116" s="29" t="s">
        <v>640</v>
      </c>
      <c r="F6116" s="29" t="s">
        <v>282</v>
      </c>
      <c r="G6116" s="25" t="s">
        <v>7793</v>
      </c>
      <c r="H6116" s="26">
        <v>-1.0270176299999999E-2</v>
      </c>
      <c r="I6116" s="26"/>
      <c r="J6116" s="26" t="s">
        <v>521</v>
      </c>
      <c r="K6116" s="25" t="s">
        <v>513</v>
      </c>
      <c r="L6116" s="8"/>
    </row>
    <row r="6117" spans="1:12" ht="25.5" x14ac:dyDescent="0.25">
      <c r="A6117" s="22">
        <v>2026</v>
      </c>
      <c r="B6117" s="28" t="s">
        <v>237</v>
      </c>
      <c r="C6117" s="28" t="s">
        <v>97</v>
      </c>
      <c r="D6117" s="28" t="s">
        <v>1722</v>
      </c>
      <c r="E6117" s="29" t="s">
        <v>640</v>
      </c>
      <c r="F6117" s="29" t="s">
        <v>282</v>
      </c>
      <c r="G6117" s="25" t="s">
        <v>7794</v>
      </c>
      <c r="H6117" s="26">
        <v>-1.00803626E-2</v>
      </c>
      <c r="I6117" s="26"/>
      <c r="J6117" s="26" t="s">
        <v>521</v>
      </c>
      <c r="K6117" s="25" t="s">
        <v>513</v>
      </c>
      <c r="L6117" s="8"/>
    </row>
    <row r="6118" spans="1:12" ht="25.5" x14ac:dyDescent="0.25">
      <c r="A6118" s="22">
        <v>2026</v>
      </c>
      <c r="B6118" s="28" t="s">
        <v>237</v>
      </c>
      <c r="C6118" s="28" t="s">
        <v>97</v>
      </c>
      <c r="D6118" s="28" t="s">
        <v>1722</v>
      </c>
      <c r="E6118" s="29" t="s">
        <v>640</v>
      </c>
      <c r="F6118" s="29" t="s">
        <v>282</v>
      </c>
      <c r="G6118" s="25" t="s">
        <v>7795</v>
      </c>
      <c r="H6118" s="26">
        <v>-7.5674875000000001E-3</v>
      </c>
      <c r="I6118" s="26"/>
      <c r="J6118" s="26" t="s">
        <v>521</v>
      </c>
      <c r="K6118" s="25" t="s">
        <v>513</v>
      </c>
      <c r="L6118" s="8"/>
    </row>
    <row r="6119" spans="1:12" ht="25.5" x14ac:dyDescent="0.25">
      <c r="A6119" s="22">
        <v>2026</v>
      </c>
      <c r="B6119" s="28" t="s">
        <v>237</v>
      </c>
      <c r="C6119" s="28" t="s">
        <v>97</v>
      </c>
      <c r="D6119" s="28" t="s">
        <v>1722</v>
      </c>
      <c r="E6119" s="29" t="s">
        <v>640</v>
      </c>
      <c r="F6119" s="29" t="s">
        <v>282</v>
      </c>
      <c r="G6119" s="25" t="s">
        <v>7796</v>
      </c>
      <c r="H6119" s="26">
        <v>-1.1009399999999999E-2</v>
      </c>
      <c r="I6119" s="26"/>
      <c r="J6119" s="26" t="s">
        <v>521</v>
      </c>
      <c r="K6119" s="25" t="s">
        <v>513</v>
      </c>
      <c r="L6119" s="8"/>
    </row>
    <row r="6120" spans="1:12" ht="25.5" x14ac:dyDescent="0.25">
      <c r="A6120" s="22">
        <v>2026</v>
      </c>
      <c r="B6120" s="28" t="s">
        <v>237</v>
      </c>
      <c r="C6120" s="28" t="s">
        <v>97</v>
      </c>
      <c r="D6120" s="28" t="s">
        <v>1722</v>
      </c>
      <c r="E6120" s="29" t="s">
        <v>640</v>
      </c>
      <c r="F6120" s="29" t="s">
        <v>282</v>
      </c>
      <c r="G6120" s="25" t="s">
        <v>7797</v>
      </c>
      <c r="H6120" s="26">
        <v>-1.07084294E-2</v>
      </c>
      <c r="I6120" s="26"/>
      <c r="J6120" s="26" t="s">
        <v>521</v>
      </c>
      <c r="K6120" s="25" t="s">
        <v>513</v>
      </c>
      <c r="L6120" s="8"/>
    </row>
    <row r="6121" spans="1:12" ht="25.5" x14ac:dyDescent="0.25">
      <c r="A6121" s="22">
        <v>2026</v>
      </c>
      <c r="B6121" s="28" t="s">
        <v>237</v>
      </c>
      <c r="C6121" s="28" t="s">
        <v>97</v>
      </c>
      <c r="D6121" s="28" t="s">
        <v>1722</v>
      </c>
      <c r="E6121" s="29" t="s">
        <v>640</v>
      </c>
      <c r="F6121" s="29" t="s">
        <v>282</v>
      </c>
      <c r="G6121" s="25" t="s">
        <v>7798</v>
      </c>
      <c r="H6121" s="26">
        <v>-1.0815172200000001E-2</v>
      </c>
      <c r="I6121" s="26"/>
      <c r="J6121" s="26" t="s">
        <v>521</v>
      </c>
      <c r="K6121" s="25" t="s">
        <v>513</v>
      </c>
      <c r="L6121" s="8"/>
    </row>
    <row r="6122" spans="1:12" ht="25.5" x14ac:dyDescent="0.25">
      <c r="A6122" s="22">
        <v>2026</v>
      </c>
      <c r="B6122" s="28" t="s">
        <v>237</v>
      </c>
      <c r="C6122" s="28" t="s">
        <v>97</v>
      </c>
      <c r="D6122" s="28" t="s">
        <v>1722</v>
      </c>
      <c r="E6122" s="29" t="s">
        <v>640</v>
      </c>
      <c r="F6122" s="29" t="s">
        <v>282</v>
      </c>
      <c r="G6122" s="25" t="s">
        <v>7799</v>
      </c>
      <c r="H6122" s="26">
        <v>-1.0674066000000001E-2</v>
      </c>
      <c r="I6122" s="26"/>
      <c r="J6122" s="26" t="s">
        <v>521</v>
      </c>
      <c r="K6122" s="25" t="s">
        <v>513</v>
      </c>
      <c r="L6122" s="8"/>
    </row>
    <row r="6123" spans="1:12" ht="25.5" x14ac:dyDescent="0.25">
      <c r="A6123" s="22">
        <v>2026</v>
      </c>
      <c r="B6123" s="28" t="s">
        <v>237</v>
      </c>
      <c r="C6123" s="28" t="s">
        <v>97</v>
      </c>
      <c r="D6123" s="28" t="s">
        <v>1722</v>
      </c>
      <c r="E6123" s="29" t="s">
        <v>640</v>
      </c>
      <c r="F6123" s="29" t="s">
        <v>282</v>
      </c>
      <c r="G6123" s="25" t="s">
        <v>7800</v>
      </c>
      <c r="H6123" s="26">
        <v>-9.1571039999999992E-3</v>
      </c>
      <c r="I6123" s="26"/>
      <c r="J6123" s="26" t="s">
        <v>521</v>
      </c>
      <c r="K6123" s="25" t="s">
        <v>513</v>
      </c>
      <c r="L6123" s="8"/>
    </row>
    <row r="6124" spans="1:12" ht="25.5" x14ac:dyDescent="0.25">
      <c r="A6124" s="22">
        <v>2026</v>
      </c>
      <c r="B6124" s="28" t="s">
        <v>237</v>
      </c>
      <c r="C6124" s="28" t="s">
        <v>97</v>
      </c>
      <c r="D6124" s="28" t="s">
        <v>1722</v>
      </c>
      <c r="E6124" s="29" t="s">
        <v>640</v>
      </c>
      <c r="F6124" s="29" t="s">
        <v>282</v>
      </c>
      <c r="G6124" s="25" t="s">
        <v>7801</v>
      </c>
      <c r="H6124" s="26">
        <v>-7.7280715000000002E-3</v>
      </c>
      <c r="I6124" s="26"/>
      <c r="J6124" s="26" t="s">
        <v>521</v>
      </c>
      <c r="K6124" s="25" t="s">
        <v>513</v>
      </c>
      <c r="L6124" s="8"/>
    </row>
    <row r="6125" spans="1:12" ht="25.5" x14ac:dyDescent="0.25">
      <c r="A6125" s="22">
        <v>2026</v>
      </c>
      <c r="B6125" s="28" t="s">
        <v>237</v>
      </c>
      <c r="C6125" s="28" t="s">
        <v>97</v>
      </c>
      <c r="D6125" s="28" t="s">
        <v>1722</v>
      </c>
      <c r="E6125" s="29" t="s">
        <v>640</v>
      </c>
      <c r="F6125" s="29" t="s">
        <v>282</v>
      </c>
      <c r="G6125" s="25" t="s">
        <v>7802</v>
      </c>
      <c r="H6125" s="26">
        <v>-1.01212703E-2</v>
      </c>
      <c r="I6125" s="26"/>
      <c r="J6125" s="26" t="s">
        <v>521</v>
      </c>
      <c r="K6125" s="25" t="s">
        <v>513</v>
      </c>
      <c r="L6125" s="8"/>
    </row>
    <row r="6126" spans="1:12" ht="25.5" x14ac:dyDescent="0.25">
      <c r="A6126" s="22">
        <v>2026</v>
      </c>
      <c r="B6126" s="28" t="s">
        <v>237</v>
      </c>
      <c r="C6126" s="28" t="s">
        <v>97</v>
      </c>
      <c r="D6126" s="28" t="s">
        <v>1722</v>
      </c>
      <c r="E6126" s="29" t="s">
        <v>640</v>
      </c>
      <c r="F6126" s="29" t="s">
        <v>282</v>
      </c>
      <c r="G6126" s="25" t="s">
        <v>7803</v>
      </c>
      <c r="H6126" s="26">
        <v>-9.6362188000000005E-3</v>
      </c>
      <c r="I6126" s="26"/>
      <c r="J6126" s="26" t="s">
        <v>521</v>
      </c>
      <c r="K6126" s="25" t="s">
        <v>513</v>
      </c>
      <c r="L6126" s="8"/>
    </row>
    <row r="6127" spans="1:12" ht="25.5" x14ac:dyDescent="0.25">
      <c r="A6127" s="22">
        <v>2026</v>
      </c>
      <c r="B6127" s="28" t="s">
        <v>237</v>
      </c>
      <c r="C6127" s="28" t="s">
        <v>97</v>
      </c>
      <c r="D6127" s="28" t="s">
        <v>1722</v>
      </c>
      <c r="E6127" s="29" t="s">
        <v>640</v>
      </c>
      <c r="F6127" s="29" t="s">
        <v>282</v>
      </c>
      <c r="G6127" s="25" t="s">
        <v>7804</v>
      </c>
      <c r="H6127" s="26">
        <v>-9.9175902000000014E-3</v>
      </c>
      <c r="I6127" s="26"/>
      <c r="J6127" s="26" t="s">
        <v>521</v>
      </c>
      <c r="K6127" s="25" t="s">
        <v>513</v>
      </c>
      <c r="L6127" s="8"/>
    </row>
    <row r="6128" spans="1:12" ht="25.5" x14ac:dyDescent="0.25">
      <c r="A6128" s="22">
        <v>2026</v>
      </c>
      <c r="B6128" s="28" t="s">
        <v>237</v>
      </c>
      <c r="C6128" s="28" t="s">
        <v>97</v>
      </c>
      <c r="D6128" s="28" t="s">
        <v>1722</v>
      </c>
      <c r="E6128" s="29" t="s">
        <v>640</v>
      </c>
      <c r="F6128" s="29" t="s">
        <v>282</v>
      </c>
      <c r="G6128" s="25" t="s">
        <v>7805</v>
      </c>
      <c r="H6128" s="26">
        <v>-1.0255523400000001E-2</v>
      </c>
      <c r="I6128" s="26"/>
      <c r="J6128" s="26" t="s">
        <v>521</v>
      </c>
      <c r="K6128" s="25" t="s">
        <v>513</v>
      </c>
      <c r="L6128" s="8"/>
    </row>
    <row r="6129" spans="1:12" ht="25.5" x14ac:dyDescent="0.25">
      <c r="A6129" s="22">
        <v>2026</v>
      </c>
      <c r="B6129" s="28" t="s">
        <v>237</v>
      </c>
      <c r="C6129" s="28" t="s">
        <v>97</v>
      </c>
      <c r="D6129" s="28" t="s">
        <v>1722</v>
      </c>
      <c r="E6129" s="29" t="s">
        <v>640</v>
      </c>
      <c r="F6129" s="29" t="s">
        <v>282</v>
      </c>
      <c r="G6129" s="25" t="s">
        <v>7806</v>
      </c>
      <c r="H6129" s="26">
        <v>-7.4726033999999997E-3</v>
      </c>
      <c r="I6129" s="26"/>
      <c r="J6129" s="26" t="s">
        <v>521</v>
      </c>
      <c r="K6129" s="25" t="s">
        <v>513</v>
      </c>
      <c r="L6129" s="8"/>
    </row>
    <row r="6130" spans="1:12" ht="25.5" x14ac:dyDescent="0.25">
      <c r="A6130" s="22">
        <v>2026</v>
      </c>
      <c r="B6130" s="28" t="s">
        <v>237</v>
      </c>
      <c r="C6130" s="28" t="s">
        <v>97</v>
      </c>
      <c r="D6130" s="28" t="s">
        <v>1722</v>
      </c>
      <c r="E6130" s="29" t="s">
        <v>640</v>
      </c>
      <c r="F6130" s="29" t="s">
        <v>282</v>
      </c>
      <c r="G6130" s="25" t="s">
        <v>7807</v>
      </c>
      <c r="H6130" s="26">
        <v>-7.5358356000000005E-3</v>
      </c>
      <c r="I6130" s="26"/>
      <c r="J6130" s="26" t="s">
        <v>521</v>
      </c>
      <c r="K6130" s="25" t="s">
        <v>513</v>
      </c>
      <c r="L6130" s="8"/>
    </row>
    <row r="6131" spans="1:12" ht="25.5" x14ac:dyDescent="0.25">
      <c r="A6131" s="22">
        <v>2026</v>
      </c>
      <c r="B6131" s="28" t="s">
        <v>237</v>
      </c>
      <c r="C6131" s="28" t="s">
        <v>97</v>
      </c>
      <c r="D6131" s="28" t="s">
        <v>1723</v>
      </c>
      <c r="E6131" s="29" t="s">
        <v>437</v>
      </c>
      <c r="F6131" s="29" t="s">
        <v>374</v>
      </c>
      <c r="G6131" s="25" t="s">
        <v>7808</v>
      </c>
      <c r="H6131" s="26">
        <v>-0.26056701399999999</v>
      </c>
      <c r="I6131" s="26"/>
      <c r="J6131" s="26" t="s">
        <v>521</v>
      </c>
      <c r="K6131" s="25" t="s">
        <v>513</v>
      </c>
      <c r="L6131" s="8"/>
    </row>
    <row r="6132" spans="1:12" ht="25.5" x14ac:dyDescent="0.25">
      <c r="A6132" s="22">
        <v>2026</v>
      </c>
      <c r="B6132" s="28" t="s">
        <v>237</v>
      </c>
      <c r="C6132" s="28" t="s">
        <v>97</v>
      </c>
      <c r="D6132" s="28" t="s">
        <v>1723</v>
      </c>
      <c r="E6132" s="29" t="s">
        <v>437</v>
      </c>
      <c r="F6132" s="29" t="s">
        <v>374</v>
      </c>
      <c r="G6132" s="25" t="s">
        <v>7809</v>
      </c>
      <c r="H6132" s="26">
        <v>-0.28661081490000001</v>
      </c>
      <c r="I6132" s="26"/>
      <c r="J6132" s="26" t="s">
        <v>521</v>
      </c>
      <c r="K6132" s="25" t="s">
        <v>513</v>
      </c>
      <c r="L6132" s="8"/>
    </row>
    <row r="6133" spans="1:12" ht="25.5" x14ac:dyDescent="0.25">
      <c r="A6133" s="22">
        <v>2026</v>
      </c>
      <c r="B6133" s="28" t="s">
        <v>237</v>
      </c>
      <c r="C6133" s="28" t="s">
        <v>97</v>
      </c>
      <c r="D6133" s="28" t="s">
        <v>1723</v>
      </c>
      <c r="E6133" s="29" t="s">
        <v>437</v>
      </c>
      <c r="F6133" s="29" t="s">
        <v>374</v>
      </c>
      <c r="G6133" s="25" t="s">
        <v>7810</v>
      </c>
      <c r="H6133" s="26">
        <v>-0.21877647480000001</v>
      </c>
      <c r="I6133" s="26"/>
      <c r="J6133" s="26" t="s">
        <v>521</v>
      </c>
      <c r="K6133" s="25" t="s">
        <v>513</v>
      </c>
      <c r="L6133" s="8"/>
    </row>
    <row r="6134" spans="1:12" ht="25.5" x14ac:dyDescent="0.25">
      <c r="A6134" s="22">
        <v>2026</v>
      </c>
      <c r="B6134" s="28" t="s">
        <v>237</v>
      </c>
      <c r="C6134" s="28" t="s">
        <v>97</v>
      </c>
      <c r="D6134" s="28" t="s">
        <v>1723</v>
      </c>
      <c r="E6134" s="29" t="s">
        <v>437</v>
      </c>
      <c r="F6134" s="29" t="s">
        <v>374</v>
      </c>
      <c r="G6134" s="25" t="s">
        <v>7811</v>
      </c>
      <c r="H6134" s="26">
        <v>-0.1058222682</v>
      </c>
      <c r="I6134" s="26"/>
      <c r="J6134" s="26" t="s">
        <v>521</v>
      </c>
      <c r="K6134" s="25" t="s">
        <v>513</v>
      </c>
      <c r="L6134" s="8"/>
    </row>
    <row r="6135" spans="1:12" ht="25.5" x14ac:dyDescent="0.25">
      <c r="A6135" s="22">
        <v>2026</v>
      </c>
      <c r="B6135" s="28" t="s">
        <v>237</v>
      </c>
      <c r="C6135" s="28" t="s">
        <v>97</v>
      </c>
      <c r="D6135" s="28" t="s">
        <v>1723</v>
      </c>
      <c r="E6135" s="29" t="s">
        <v>437</v>
      </c>
      <c r="F6135" s="29" t="s">
        <v>374</v>
      </c>
      <c r="G6135" s="25" t="s">
        <v>7812</v>
      </c>
      <c r="H6135" s="26">
        <v>-0.31351921799999999</v>
      </c>
      <c r="I6135" s="26"/>
      <c r="J6135" s="26" t="s">
        <v>521</v>
      </c>
      <c r="K6135" s="25" t="s">
        <v>513</v>
      </c>
      <c r="L6135" s="8"/>
    </row>
    <row r="6136" spans="1:12" ht="25.5" x14ac:dyDescent="0.25">
      <c r="A6136" s="22">
        <v>2026</v>
      </c>
      <c r="B6136" s="28" t="s">
        <v>237</v>
      </c>
      <c r="C6136" s="28" t="s">
        <v>97</v>
      </c>
      <c r="D6136" s="28" t="s">
        <v>1723</v>
      </c>
      <c r="E6136" s="29" t="s">
        <v>437</v>
      </c>
      <c r="F6136" s="29" t="s">
        <v>374</v>
      </c>
      <c r="G6136" s="25" t="s">
        <v>7813</v>
      </c>
      <c r="H6136" s="26">
        <v>-0.32153134179999998</v>
      </c>
      <c r="I6136" s="26"/>
      <c r="J6136" s="26" t="s">
        <v>521</v>
      </c>
      <c r="K6136" s="25" t="s">
        <v>513</v>
      </c>
      <c r="L6136" s="8"/>
    </row>
    <row r="6137" spans="1:12" ht="25.5" x14ac:dyDescent="0.25">
      <c r="A6137" s="22">
        <v>2026</v>
      </c>
      <c r="B6137" s="28" t="s">
        <v>237</v>
      </c>
      <c r="C6137" s="28" t="s">
        <v>97</v>
      </c>
      <c r="D6137" s="28" t="s">
        <v>1723</v>
      </c>
      <c r="E6137" s="29" t="s">
        <v>437</v>
      </c>
      <c r="F6137" s="29" t="s">
        <v>374</v>
      </c>
      <c r="G6137" s="25" t="s">
        <v>7814</v>
      </c>
      <c r="H6137" s="26">
        <v>-0.23643742209999999</v>
      </c>
      <c r="I6137" s="26"/>
      <c r="J6137" s="26" t="s">
        <v>521</v>
      </c>
      <c r="K6137" s="25" t="s">
        <v>513</v>
      </c>
      <c r="L6137" s="8"/>
    </row>
    <row r="6138" spans="1:12" ht="25.5" x14ac:dyDescent="0.25">
      <c r="A6138" s="22">
        <v>2026</v>
      </c>
      <c r="B6138" s="28" t="s">
        <v>237</v>
      </c>
      <c r="C6138" s="28" t="s">
        <v>97</v>
      </c>
      <c r="D6138" s="28" t="s">
        <v>1723</v>
      </c>
      <c r="E6138" s="29" t="s">
        <v>437</v>
      </c>
      <c r="F6138" s="29" t="s">
        <v>374</v>
      </c>
      <c r="G6138" s="25" t="s">
        <v>7815</v>
      </c>
      <c r="H6138" s="26">
        <v>-0.14559438209999997</v>
      </c>
      <c r="I6138" s="26"/>
      <c r="J6138" s="26" t="s">
        <v>521</v>
      </c>
      <c r="K6138" s="25" t="s">
        <v>513</v>
      </c>
      <c r="L6138" s="8"/>
    </row>
    <row r="6139" spans="1:12" ht="25.5" x14ac:dyDescent="0.25">
      <c r="A6139" s="22">
        <v>2026</v>
      </c>
      <c r="B6139" s="28" t="s">
        <v>237</v>
      </c>
      <c r="C6139" s="28" t="s">
        <v>97</v>
      </c>
      <c r="D6139" s="28" t="s">
        <v>1723</v>
      </c>
      <c r="E6139" s="29" t="s">
        <v>437</v>
      </c>
      <c r="F6139" s="29" t="s">
        <v>374</v>
      </c>
      <c r="G6139" s="25" t="s">
        <v>7816</v>
      </c>
      <c r="H6139" s="26">
        <v>-0.2191398748</v>
      </c>
      <c r="I6139" s="26"/>
      <c r="J6139" s="26" t="s">
        <v>521</v>
      </c>
      <c r="K6139" s="25" t="s">
        <v>513</v>
      </c>
      <c r="L6139" s="8"/>
    </row>
    <row r="6140" spans="1:12" ht="25.5" x14ac:dyDescent="0.25">
      <c r="A6140" s="22">
        <v>2026</v>
      </c>
      <c r="B6140" s="28" t="s">
        <v>237</v>
      </c>
      <c r="C6140" s="28" t="s">
        <v>97</v>
      </c>
      <c r="D6140" s="28" t="s">
        <v>1723</v>
      </c>
      <c r="E6140" s="29" t="s">
        <v>437</v>
      </c>
      <c r="F6140" s="29" t="s">
        <v>374</v>
      </c>
      <c r="G6140" s="25" t="s">
        <v>7817</v>
      </c>
      <c r="H6140" s="26">
        <v>-0.325309868</v>
      </c>
      <c r="I6140" s="26"/>
      <c r="J6140" s="26" t="s">
        <v>521</v>
      </c>
      <c r="K6140" s="25" t="s">
        <v>513</v>
      </c>
      <c r="L6140" s="8"/>
    </row>
    <row r="6141" spans="1:12" ht="25.5" x14ac:dyDescent="0.25">
      <c r="A6141" s="22">
        <v>2026</v>
      </c>
      <c r="B6141" s="28" t="s">
        <v>237</v>
      </c>
      <c r="C6141" s="28" t="s">
        <v>97</v>
      </c>
      <c r="D6141" s="28" t="s">
        <v>1723</v>
      </c>
      <c r="E6141" s="29" t="s">
        <v>437</v>
      </c>
      <c r="F6141" s="29" t="s">
        <v>374</v>
      </c>
      <c r="G6141" s="25" t="s">
        <v>7818</v>
      </c>
      <c r="H6141" s="26">
        <v>-0.17684434059999998</v>
      </c>
      <c r="I6141" s="26"/>
      <c r="J6141" s="26" t="s">
        <v>521</v>
      </c>
      <c r="K6141" s="25" t="s">
        <v>513</v>
      </c>
      <c r="L6141" s="8"/>
    </row>
    <row r="6142" spans="1:12" ht="25.5" x14ac:dyDescent="0.25">
      <c r="A6142" s="22">
        <v>2026</v>
      </c>
      <c r="B6142" s="28" t="s">
        <v>237</v>
      </c>
      <c r="C6142" s="28" t="s">
        <v>97</v>
      </c>
      <c r="D6142" s="28" t="s">
        <v>1723</v>
      </c>
      <c r="E6142" s="29" t="s">
        <v>437</v>
      </c>
      <c r="F6142" s="29" t="s">
        <v>374</v>
      </c>
      <c r="G6142" s="25" t="s">
        <v>7819</v>
      </c>
      <c r="H6142" s="26">
        <v>-0.28146050040000004</v>
      </c>
      <c r="I6142" s="26"/>
      <c r="J6142" s="26" t="s">
        <v>521</v>
      </c>
      <c r="K6142" s="25" t="s">
        <v>513</v>
      </c>
      <c r="L6142" s="8"/>
    </row>
    <row r="6143" spans="1:12" ht="25.5" x14ac:dyDescent="0.25">
      <c r="A6143" s="22">
        <v>2026</v>
      </c>
      <c r="B6143" s="28" t="s">
        <v>237</v>
      </c>
      <c r="C6143" s="28" t="s">
        <v>97</v>
      </c>
      <c r="D6143" s="28" t="s">
        <v>1723</v>
      </c>
      <c r="E6143" s="29" t="s">
        <v>437</v>
      </c>
      <c r="F6143" s="29" t="s">
        <v>374</v>
      </c>
      <c r="G6143" s="25" t="s">
        <v>7820</v>
      </c>
      <c r="H6143" s="26">
        <v>-0.20633434249999999</v>
      </c>
      <c r="I6143" s="26"/>
      <c r="J6143" s="26" t="s">
        <v>521</v>
      </c>
      <c r="K6143" s="25" t="s">
        <v>513</v>
      </c>
      <c r="L6143" s="8"/>
    </row>
    <row r="6144" spans="1:12" ht="25.5" x14ac:dyDescent="0.25">
      <c r="A6144" s="22">
        <v>2026</v>
      </c>
      <c r="B6144" s="28" t="s">
        <v>237</v>
      </c>
      <c r="C6144" s="28" t="s">
        <v>97</v>
      </c>
      <c r="D6144" s="28" t="s">
        <v>1723</v>
      </c>
      <c r="E6144" s="29" t="s">
        <v>437</v>
      </c>
      <c r="F6144" s="29" t="s">
        <v>374</v>
      </c>
      <c r="G6144" s="25" t="s">
        <v>7821</v>
      </c>
      <c r="H6144" s="26">
        <v>-0.2773525858</v>
      </c>
      <c r="I6144" s="26"/>
      <c r="J6144" s="26" t="s">
        <v>521</v>
      </c>
      <c r="K6144" s="25" t="s">
        <v>513</v>
      </c>
      <c r="L6144" s="8"/>
    </row>
    <row r="6145" spans="1:12" ht="25.5" x14ac:dyDescent="0.25">
      <c r="A6145" s="22">
        <v>2026</v>
      </c>
      <c r="B6145" s="28" t="s">
        <v>237</v>
      </c>
      <c r="C6145" s="28" t="s">
        <v>97</v>
      </c>
      <c r="D6145" s="28" t="s">
        <v>1723</v>
      </c>
      <c r="E6145" s="29" t="s">
        <v>437</v>
      </c>
      <c r="F6145" s="29" t="s">
        <v>374</v>
      </c>
      <c r="G6145" s="25" t="s">
        <v>7822</v>
      </c>
      <c r="H6145" s="26">
        <v>-0.29770727860000001</v>
      </c>
      <c r="I6145" s="26"/>
      <c r="J6145" s="26" t="s">
        <v>521</v>
      </c>
      <c r="K6145" s="25" t="s">
        <v>513</v>
      </c>
      <c r="L6145" s="8"/>
    </row>
    <row r="6146" spans="1:12" ht="25.5" x14ac:dyDescent="0.25">
      <c r="A6146" s="22">
        <v>2026</v>
      </c>
      <c r="B6146" s="28" t="s">
        <v>237</v>
      </c>
      <c r="C6146" s="28" t="s">
        <v>97</v>
      </c>
      <c r="D6146" s="28" t="s">
        <v>1723</v>
      </c>
      <c r="E6146" s="29" t="s">
        <v>437</v>
      </c>
      <c r="F6146" s="29" t="s">
        <v>374</v>
      </c>
      <c r="G6146" s="25" t="s">
        <v>7823</v>
      </c>
      <c r="H6146" s="26">
        <v>-0.369097491</v>
      </c>
      <c r="I6146" s="26"/>
      <c r="J6146" s="26" t="s">
        <v>521</v>
      </c>
      <c r="K6146" s="25" t="s">
        <v>513</v>
      </c>
      <c r="L6146" s="8"/>
    </row>
    <row r="6147" spans="1:12" ht="25.5" x14ac:dyDescent="0.25">
      <c r="A6147" s="22">
        <v>2026</v>
      </c>
      <c r="B6147" s="28" t="s">
        <v>237</v>
      </c>
      <c r="C6147" s="28" t="s">
        <v>97</v>
      </c>
      <c r="D6147" s="28" t="s">
        <v>1723</v>
      </c>
      <c r="E6147" s="29" t="s">
        <v>437</v>
      </c>
      <c r="F6147" s="29" t="s">
        <v>374</v>
      </c>
      <c r="G6147" s="25" t="s">
        <v>7824</v>
      </c>
      <c r="H6147" s="26">
        <v>-0.24028001190000001</v>
      </c>
      <c r="I6147" s="26"/>
      <c r="J6147" s="26" t="s">
        <v>521</v>
      </c>
      <c r="K6147" s="25" t="s">
        <v>513</v>
      </c>
      <c r="L6147" s="8"/>
    </row>
    <row r="6148" spans="1:12" ht="25.5" x14ac:dyDescent="0.25">
      <c r="A6148" s="22">
        <v>2026</v>
      </c>
      <c r="B6148" s="28" t="s">
        <v>237</v>
      </c>
      <c r="C6148" s="28" t="s">
        <v>97</v>
      </c>
      <c r="D6148" s="28" t="s">
        <v>1723</v>
      </c>
      <c r="E6148" s="29" t="s">
        <v>437</v>
      </c>
      <c r="F6148" s="29" t="s">
        <v>374</v>
      </c>
      <c r="G6148" s="25" t="s">
        <v>7825</v>
      </c>
      <c r="H6148" s="26">
        <v>-0.36957367260000001</v>
      </c>
      <c r="I6148" s="26"/>
      <c r="J6148" s="26" t="s">
        <v>521</v>
      </c>
      <c r="K6148" s="25" t="s">
        <v>513</v>
      </c>
      <c r="L6148" s="8"/>
    </row>
    <row r="6149" spans="1:12" ht="25.5" x14ac:dyDescent="0.25">
      <c r="A6149" s="22">
        <v>2026</v>
      </c>
      <c r="B6149" s="28" t="s">
        <v>237</v>
      </c>
      <c r="C6149" s="28" t="s">
        <v>97</v>
      </c>
      <c r="D6149" s="28" t="s">
        <v>1723</v>
      </c>
      <c r="E6149" s="29" t="s">
        <v>437</v>
      </c>
      <c r="F6149" s="29" t="s">
        <v>374</v>
      </c>
      <c r="G6149" s="25" t="s">
        <v>7826</v>
      </c>
      <c r="H6149" s="26">
        <v>-0.1223931739</v>
      </c>
      <c r="I6149" s="26"/>
      <c r="J6149" s="26" t="s">
        <v>521</v>
      </c>
      <c r="K6149" s="25" t="s">
        <v>513</v>
      </c>
      <c r="L6149" s="8"/>
    </row>
    <row r="6150" spans="1:12" ht="25.5" x14ac:dyDescent="0.25">
      <c r="A6150" s="22">
        <v>2026</v>
      </c>
      <c r="B6150" s="28" t="s">
        <v>237</v>
      </c>
      <c r="C6150" s="28" t="s">
        <v>97</v>
      </c>
      <c r="D6150" s="28" t="s">
        <v>1340</v>
      </c>
      <c r="E6150" s="29" t="s">
        <v>491</v>
      </c>
      <c r="F6150" s="29" t="s">
        <v>378</v>
      </c>
      <c r="G6150" s="25" t="s">
        <v>7827</v>
      </c>
      <c r="H6150" s="26">
        <v>-4.7198820999999995</v>
      </c>
      <c r="I6150" s="26"/>
      <c r="J6150" s="26" t="s">
        <v>521</v>
      </c>
      <c r="K6150" s="25" t="s">
        <v>513</v>
      </c>
      <c r="L6150" s="8"/>
    </row>
    <row r="6151" spans="1:12" ht="25.5" x14ac:dyDescent="0.25">
      <c r="A6151" s="22">
        <v>2026</v>
      </c>
      <c r="B6151" s="28" t="s">
        <v>237</v>
      </c>
      <c r="C6151" s="28" t="s">
        <v>97</v>
      </c>
      <c r="D6151" s="28" t="s">
        <v>1340</v>
      </c>
      <c r="E6151" s="29" t="s">
        <v>491</v>
      </c>
      <c r="F6151" s="29" t="s">
        <v>378</v>
      </c>
      <c r="G6151" s="25" t="s">
        <v>7828</v>
      </c>
      <c r="H6151" s="26">
        <v>-1.71632517E-2</v>
      </c>
      <c r="I6151" s="26"/>
      <c r="J6151" s="26" t="s">
        <v>521</v>
      </c>
      <c r="K6151" s="25" t="s">
        <v>513</v>
      </c>
      <c r="L6151" s="8"/>
    </row>
    <row r="6152" spans="1:12" ht="25.5" x14ac:dyDescent="0.25">
      <c r="A6152" s="22">
        <v>2026</v>
      </c>
      <c r="B6152" s="28" t="s">
        <v>237</v>
      </c>
      <c r="C6152" s="28" t="s">
        <v>97</v>
      </c>
      <c r="D6152" s="28" t="s">
        <v>269</v>
      </c>
      <c r="E6152" s="29" t="s">
        <v>491</v>
      </c>
      <c r="F6152" s="29" t="s">
        <v>378</v>
      </c>
      <c r="G6152" s="25" t="s">
        <v>7829</v>
      </c>
      <c r="H6152" s="26">
        <v>-0.49755573599999997</v>
      </c>
      <c r="I6152" s="26"/>
      <c r="J6152" s="26" t="s">
        <v>514</v>
      </c>
      <c r="K6152" s="25" t="s">
        <v>1768</v>
      </c>
      <c r="L6152" s="8"/>
    </row>
    <row r="6153" spans="1:12" ht="25.5" x14ac:dyDescent="0.25">
      <c r="A6153" s="22">
        <v>2026</v>
      </c>
      <c r="B6153" s="28" t="s">
        <v>237</v>
      </c>
      <c r="C6153" s="28" t="s">
        <v>97</v>
      </c>
      <c r="D6153" s="28" t="s">
        <v>269</v>
      </c>
      <c r="E6153" s="29" t="s">
        <v>491</v>
      </c>
      <c r="F6153" s="29" t="s">
        <v>378</v>
      </c>
      <c r="G6153" s="25" t="s">
        <v>7830</v>
      </c>
      <c r="H6153" s="26">
        <v>-0.4163267088</v>
      </c>
      <c r="I6153" s="26"/>
      <c r="J6153" s="26" t="s">
        <v>514</v>
      </c>
      <c r="K6153" s="25" t="s">
        <v>1768</v>
      </c>
      <c r="L6153" s="8"/>
    </row>
    <row r="6154" spans="1:12" ht="25.5" x14ac:dyDescent="0.25">
      <c r="A6154" s="22">
        <v>2026</v>
      </c>
      <c r="B6154" s="28" t="s">
        <v>237</v>
      </c>
      <c r="C6154" s="28" t="s">
        <v>97</v>
      </c>
      <c r="D6154" s="28" t="s">
        <v>269</v>
      </c>
      <c r="E6154" s="29" t="s">
        <v>491</v>
      </c>
      <c r="F6154" s="29" t="s">
        <v>378</v>
      </c>
      <c r="G6154" s="25" t="s">
        <v>7831</v>
      </c>
      <c r="H6154" s="26">
        <v>-1.0779408549</v>
      </c>
      <c r="I6154" s="26"/>
      <c r="J6154" s="26" t="s">
        <v>514</v>
      </c>
      <c r="K6154" s="25" t="s">
        <v>1768</v>
      </c>
      <c r="L6154" s="8"/>
    </row>
    <row r="6155" spans="1:12" ht="25.5" x14ac:dyDescent="0.25">
      <c r="A6155" s="22">
        <v>2026</v>
      </c>
      <c r="B6155" s="28" t="s">
        <v>237</v>
      </c>
      <c r="C6155" s="28" t="s">
        <v>97</v>
      </c>
      <c r="D6155" s="28" t="s">
        <v>269</v>
      </c>
      <c r="E6155" s="29" t="s">
        <v>491</v>
      </c>
      <c r="F6155" s="29" t="s">
        <v>378</v>
      </c>
      <c r="G6155" s="25" t="s">
        <v>7832</v>
      </c>
      <c r="H6155" s="26">
        <v>-0.101988</v>
      </c>
      <c r="I6155" s="26"/>
      <c r="J6155" s="26" t="s">
        <v>514</v>
      </c>
      <c r="K6155" s="25" t="s">
        <v>1768</v>
      </c>
      <c r="L6155" s="8"/>
    </row>
    <row r="6156" spans="1:12" ht="25.5" x14ac:dyDescent="0.25">
      <c r="A6156" s="22">
        <v>2026</v>
      </c>
      <c r="B6156" s="28" t="s">
        <v>237</v>
      </c>
      <c r="C6156" s="28" t="s">
        <v>97</v>
      </c>
      <c r="D6156" s="28" t="s">
        <v>269</v>
      </c>
      <c r="E6156" s="29" t="s">
        <v>491</v>
      </c>
      <c r="F6156" s="29" t="s">
        <v>378</v>
      </c>
      <c r="G6156" s="25" t="s">
        <v>7833</v>
      </c>
      <c r="H6156" s="26">
        <v>-3.2450999999999999</v>
      </c>
      <c r="I6156" s="26"/>
      <c r="J6156" s="26" t="s">
        <v>514</v>
      </c>
      <c r="K6156" s="25" t="s">
        <v>1768</v>
      </c>
      <c r="L6156" s="8"/>
    </row>
    <row r="6157" spans="1:12" ht="25.5" x14ac:dyDescent="0.25">
      <c r="A6157" s="22">
        <v>2026</v>
      </c>
      <c r="B6157" s="28" t="s">
        <v>237</v>
      </c>
      <c r="C6157" s="28" t="s">
        <v>97</v>
      </c>
      <c r="D6157" s="28" t="s">
        <v>269</v>
      </c>
      <c r="E6157" s="29" t="s">
        <v>491</v>
      </c>
      <c r="F6157" s="29" t="s">
        <v>378</v>
      </c>
      <c r="G6157" s="25" t="s">
        <v>7834</v>
      </c>
      <c r="H6157" s="26">
        <v>-0.20426</v>
      </c>
      <c r="I6157" s="26"/>
      <c r="J6157" s="26" t="s">
        <v>514</v>
      </c>
      <c r="K6157" s="25" t="s">
        <v>1768</v>
      </c>
      <c r="L6157" s="8"/>
    </row>
    <row r="6158" spans="1:12" ht="25.5" x14ac:dyDescent="0.25">
      <c r="A6158" s="22">
        <v>2026</v>
      </c>
      <c r="B6158" s="28" t="s">
        <v>237</v>
      </c>
      <c r="C6158" s="28" t="s">
        <v>97</v>
      </c>
      <c r="D6158" s="28" t="s">
        <v>269</v>
      </c>
      <c r="E6158" s="29" t="s">
        <v>491</v>
      </c>
      <c r="F6158" s="29" t="s">
        <v>378</v>
      </c>
      <c r="G6158" s="25" t="s">
        <v>7835</v>
      </c>
      <c r="H6158" s="26">
        <v>-0.18487045639999999</v>
      </c>
      <c r="I6158" s="26"/>
      <c r="J6158" s="26" t="s">
        <v>514</v>
      </c>
      <c r="K6158" s="25" t="s">
        <v>1768</v>
      </c>
      <c r="L6158" s="8"/>
    </row>
    <row r="6159" spans="1:12" ht="25.5" x14ac:dyDescent="0.25">
      <c r="A6159" s="22">
        <v>2026</v>
      </c>
      <c r="B6159" s="28" t="s">
        <v>237</v>
      </c>
      <c r="C6159" s="28" t="s">
        <v>97</v>
      </c>
      <c r="D6159" s="28" t="s">
        <v>269</v>
      </c>
      <c r="E6159" s="29" t="s">
        <v>491</v>
      </c>
      <c r="F6159" s="29" t="s">
        <v>378</v>
      </c>
      <c r="G6159" s="25" t="s">
        <v>7836</v>
      </c>
      <c r="H6159" s="26">
        <v>-0.1932594416</v>
      </c>
      <c r="I6159" s="26"/>
      <c r="J6159" s="26" t="s">
        <v>514</v>
      </c>
      <c r="K6159" s="25" t="s">
        <v>1768</v>
      </c>
      <c r="L6159" s="8"/>
    </row>
    <row r="6160" spans="1:12" ht="25.5" x14ac:dyDescent="0.25">
      <c r="A6160" s="22">
        <v>2026</v>
      </c>
      <c r="B6160" s="28" t="s">
        <v>237</v>
      </c>
      <c r="C6160" s="28" t="s">
        <v>97</v>
      </c>
      <c r="D6160" s="28" t="s">
        <v>269</v>
      </c>
      <c r="E6160" s="29" t="s">
        <v>491</v>
      </c>
      <c r="F6160" s="29" t="s">
        <v>378</v>
      </c>
      <c r="G6160" s="25" t="s">
        <v>7837</v>
      </c>
      <c r="H6160" s="26">
        <v>-0.11548750000000001</v>
      </c>
      <c r="I6160" s="26"/>
      <c r="J6160" s="26" t="s">
        <v>514</v>
      </c>
      <c r="K6160" s="25" t="s">
        <v>1768</v>
      </c>
      <c r="L6160" s="8"/>
    </row>
    <row r="6161" spans="1:12" ht="25.5" x14ac:dyDescent="0.25">
      <c r="A6161" s="22">
        <v>2026</v>
      </c>
      <c r="B6161" s="28" t="s">
        <v>237</v>
      </c>
      <c r="C6161" s="28" t="s">
        <v>97</v>
      </c>
      <c r="D6161" s="28" t="s">
        <v>269</v>
      </c>
      <c r="E6161" s="29" t="s">
        <v>491</v>
      </c>
      <c r="F6161" s="29" t="s">
        <v>378</v>
      </c>
      <c r="G6161" s="25" t="s">
        <v>7838</v>
      </c>
      <c r="H6161" s="26">
        <v>-8.1698750000000001E-2</v>
      </c>
      <c r="I6161" s="26"/>
      <c r="J6161" s="26" t="s">
        <v>514</v>
      </c>
      <c r="K6161" s="25" t="s">
        <v>1768</v>
      </c>
      <c r="L6161" s="8"/>
    </row>
    <row r="6162" spans="1:12" ht="25.5" x14ac:dyDescent="0.25">
      <c r="A6162" s="22">
        <v>2026</v>
      </c>
      <c r="B6162" s="28" t="s">
        <v>237</v>
      </c>
      <c r="C6162" s="28" t="s">
        <v>97</v>
      </c>
      <c r="D6162" s="28" t="s">
        <v>269</v>
      </c>
      <c r="E6162" s="29" t="s">
        <v>491</v>
      </c>
      <c r="F6162" s="29" t="s">
        <v>378</v>
      </c>
      <c r="G6162" s="25" t="s">
        <v>7839</v>
      </c>
      <c r="H6162" s="26">
        <v>-3.465E-2</v>
      </c>
      <c r="I6162" s="26"/>
      <c r="J6162" s="26" t="s">
        <v>514</v>
      </c>
      <c r="K6162" s="25" t="s">
        <v>1768</v>
      </c>
      <c r="L6162" s="8"/>
    </row>
    <row r="6163" spans="1:12" ht="25.5" x14ac:dyDescent="0.25">
      <c r="A6163" s="22">
        <v>2026</v>
      </c>
      <c r="B6163" s="28" t="s">
        <v>237</v>
      </c>
      <c r="C6163" s="28" t="s">
        <v>97</v>
      </c>
      <c r="D6163" s="28" t="s">
        <v>269</v>
      </c>
      <c r="E6163" s="29" t="s">
        <v>491</v>
      </c>
      <c r="F6163" s="29" t="s">
        <v>378</v>
      </c>
      <c r="G6163" s="25" t="s">
        <v>7840</v>
      </c>
      <c r="H6163" s="26">
        <v>-5.61656928E-2</v>
      </c>
      <c r="I6163" s="26"/>
      <c r="J6163" s="26" t="s">
        <v>514</v>
      </c>
      <c r="K6163" s="25" t="s">
        <v>1768</v>
      </c>
      <c r="L6163" s="8"/>
    </row>
    <row r="6164" spans="1:12" ht="25.5" x14ac:dyDescent="0.25">
      <c r="A6164" s="22">
        <v>2026</v>
      </c>
      <c r="B6164" s="28" t="s">
        <v>237</v>
      </c>
      <c r="C6164" s="28" t="s">
        <v>97</v>
      </c>
      <c r="D6164" s="28" t="s">
        <v>269</v>
      </c>
      <c r="E6164" s="29" t="s">
        <v>491</v>
      </c>
      <c r="F6164" s="29" t="s">
        <v>378</v>
      </c>
      <c r="G6164" s="25" t="s">
        <v>7841</v>
      </c>
      <c r="H6164" s="26">
        <v>-0.1081238113</v>
      </c>
      <c r="I6164" s="26"/>
      <c r="J6164" s="26" t="s">
        <v>514</v>
      </c>
      <c r="K6164" s="25" t="s">
        <v>1768</v>
      </c>
      <c r="L6164" s="8"/>
    </row>
    <row r="6165" spans="1:12" ht="25.5" x14ac:dyDescent="0.25">
      <c r="A6165" s="22">
        <v>2026</v>
      </c>
      <c r="B6165" s="28" t="s">
        <v>237</v>
      </c>
      <c r="C6165" s="28" t="s">
        <v>97</v>
      </c>
      <c r="D6165" s="28" t="s">
        <v>269</v>
      </c>
      <c r="E6165" s="29" t="s">
        <v>491</v>
      </c>
      <c r="F6165" s="29" t="s">
        <v>378</v>
      </c>
      <c r="G6165" s="25" t="s">
        <v>7842</v>
      </c>
      <c r="H6165" s="26">
        <v>-6.6244879199999995E-2</v>
      </c>
      <c r="I6165" s="26"/>
      <c r="J6165" s="26" t="s">
        <v>514</v>
      </c>
      <c r="K6165" s="25" t="s">
        <v>1768</v>
      </c>
      <c r="L6165" s="8"/>
    </row>
    <row r="6166" spans="1:12" ht="25.5" x14ac:dyDescent="0.25">
      <c r="A6166" s="22">
        <v>2026</v>
      </c>
      <c r="B6166" s="28" t="s">
        <v>237</v>
      </c>
      <c r="C6166" s="28" t="s">
        <v>97</v>
      </c>
      <c r="D6166" s="28" t="s">
        <v>269</v>
      </c>
      <c r="E6166" s="29" t="s">
        <v>491</v>
      </c>
      <c r="F6166" s="29" t="s">
        <v>378</v>
      </c>
      <c r="G6166" s="25" t="s">
        <v>7843</v>
      </c>
      <c r="H6166" s="26">
        <v>-2.19827558E-2</v>
      </c>
      <c r="I6166" s="26"/>
      <c r="J6166" s="26" t="s">
        <v>514</v>
      </c>
      <c r="K6166" s="25" t="s">
        <v>1768</v>
      </c>
      <c r="L6166" s="8"/>
    </row>
    <row r="6167" spans="1:12" ht="25.5" x14ac:dyDescent="0.25">
      <c r="A6167" s="22">
        <v>2026</v>
      </c>
      <c r="B6167" s="28" t="s">
        <v>237</v>
      </c>
      <c r="C6167" s="28" t="s">
        <v>97</v>
      </c>
      <c r="D6167" s="28" t="s">
        <v>269</v>
      </c>
      <c r="E6167" s="29" t="s">
        <v>491</v>
      </c>
      <c r="F6167" s="29" t="s">
        <v>378</v>
      </c>
      <c r="G6167" s="25" t="s">
        <v>7844</v>
      </c>
      <c r="H6167" s="26">
        <v>-7.0298685599999994E-2</v>
      </c>
      <c r="I6167" s="26"/>
      <c r="J6167" s="26" t="s">
        <v>514</v>
      </c>
      <c r="K6167" s="25" t="s">
        <v>1768</v>
      </c>
      <c r="L6167" s="8"/>
    </row>
    <row r="6168" spans="1:12" ht="25.5" x14ac:dyDescent="0.25">
      <c r="A6168" s="22">
        <v>2026</v>
      </c>
      <c r="B6168" s="28" t="s">
        <v>237</v>
      </c>
      <c r="C6168" s="28" t="s">
        <v>97</v>
      </c>
      <c r="D6168" s="28" t="s">
        <v>269</v>
      </c>
      <c r="E6168" s="29" t="s">
        <v>491</v>
      </c>
      <c r="F6168" s="29" t="s">
        <v>378</v>
      </c>
      <c r="G6168" s="25" t="s">
        <v>7845</v>
      </c>
      <c r="H6168" s="26">
        <v>-0.11117082060000001</v>
      </c>
      <c r="I6168" s="26"/>
      <c r="J6168" s="26" t="s">
        <v>514</v>
      </c>
      <c r="K6168" s="25" t="s">
        <v>1768</v>
      </c>
      <c r="L6168" s="8"/>
    </row>
    <row r="6169" spans="1:12" ht="25.5" x14ac:dyDescent="0.25">
      <c r="A6169" s="22">
        <v>2026</v>
      </c>
      <c r="B6169" s="28" t="s">
        <v>237</v>
      </c>
      <c r="C6169" s="28" t="s">
        <v>97</v>
      </c>
      <c r="D6169" s="28" t="s">
        <v>269</v>
      </c>
      <c r="E6169" s="29" t="s">
        <v>491</v>
      </c>
      <c r="F6169" s="29" t="s">
        <v>378</v>
      </c>
      <c r="G6169" s="25" t="s">
        <v>7846</v>
      </c>
      <c r="H6169" s="26">
        <v>-2.4428930299999999E-2</v>
      </c>
      <c r="I6169" s="26"/>
      <c r="J6169" s="26" t="s">
        <v>514</v>
      </c>
      <c r="K6169" s="25" t="s">
        <v>1768</v>
      </c>
      <c r="L6169" s="8"/>
    </row>
    <row r="6170" spans="1:12" ht="25.5" x14ac:dyDescent="0.25">
      <c r="A6170" s="22">
        <v>2026</v>
      </c>
      <c r="B6170" s="28" t="s">
        <v>237</v>
      </c>
      <c r="C6170" s="28" t="s">
        <v>97</v>
      </c>
      <c r="D6170" s="28" t="s">
        <v>269</v>
      </c>
      <c r="E6170" s="29" t="s">
        <v>491</v>
      </c>
      <c r="F6170" s="29" t="s">
        <v>378</v>
      </c>
      <c r="G6170" s="25" t="s">
        <v>7847</v>
      </c>
      <c r="H6170" s="26">
        <v>-6.9709837900000002E-2</v>
      </c>
      <c r="I6170" s="26"/>
      <c r="J6170" s="26" t="s">
        <v>514</v>
      </c>
      <c r="K6170" s="25" t="s">
        <v>1768</v>
      </c>
      <c r="L6170" s="8"/>
    </row>
    <row r="6171" spans="1:12" ht="25.5" x14ac:dyDescent="0.25">
      <c r="A6171" s="22">
        <v>2026</v>
      </c>
      <c r="B6171" s="28" t="s">
        <v>237</v>
      </c>
      <c r="C6171" s="28" t="s">
        <v>97</v>
      </c>
      <c r="D6171" s="28" t="s">
        <v>1724</v>
      </c>
      <c r="E6171" s="29" t="s">
        <v>1769</v>
      </c>
      <c r="F6171" s="29" t="s">
        <v>282</v>
      </c>
      <c r="G6171" s="25" t="s">
        <v>7848</v>
      </c>
      <c r="H6171" s="26">
        <v>-0.14488043919999999</v>
      </c>
      <c r="I6171" s="26"/>
      <c r="J6171" s="26" t="s">
        <v>1770</v>
      </c>
      <c r="K6171" s="25" t="s">
        <v>1771</v>
      </c>
      <c r="L6171" s="8"/>
    </row>
    <row r="6172" spans="1:12" ht="25.5" x14ac:dyDescent="0.25">
      <c r="A6172" s="22">
        <v>2026</v>
      </c>
      <c r="B6172" s="28" t="s">
        <v>237</v>
      </c>
      <c r="C6172" s="28" t="s">
        <v>97</v>
      </c>
      <c r="D6172" s="28" t="s">
        <v>1724</v>
      </c>
      <c r="E6172" s="29" t="s">
        <v>1769</v>
      </c>
      <c r="F6172" s="29" t="s">
        <v>282</v>
      </c>
      <c r="G6172" s="25" t="s">
        <v>7849</v>
      </c>
      <c r="H6172" s="26">
        <v>-0.17640429999999999</v>
      </c>
      <c r="I6172" s="26"/>
      <c r="J6172" s="26" t="s">
        <v>1770</v>
      </c>
      <c r="K6172" s="25" t="s">
        <v>1771</v>
      </c>
      <c r="L6172" s="8"/>
    </row>
    <row r="6173" spans="1:12" ht="25.5" x14ac:dyDescent="0.25">
      <c r="A6173" s="22">
        <v>2026</v>
      </c>
      <c r="B6173" s="28" t="s">
        <v>237</v>
      </c>
      <c r="C6173" s="28" t="s">
        <v>97</v>
      </c>
      <c r="D6173" s="28" t="s">
        <v>1724</v>
      </c>
      <c r="E6173" s="29" t="s">
        <v>1769</v>
      </c>
      <c r="F6173" s="29" t="s">
        <v>282</v>
      </c>
      <c r="G6173" s="25" t="s">
        <v>7850</v>
      </c>
      <c r="H6173" s="26">
        <v>-0.17604510000000001</v>
      </c>
      <c r="I6173" s="26"/>
      <c r="J6173" s="26" t="s">
        <v>1770</v>
      </c>
      <c r="K6173" s="25" t="s">
        <v>1771</v>
      </c>
      <c r="L6173" s="8"/>
    </row>
    <row r="6174" spans="1:12" ht="25.5" x14ac:dyDescent="0.25">
      <c r="A6174" s="22">
        <v>2026</v>
      </c>
      <c r="B6174" s="28" t="s">
        <v>237</v>
      </c>
      <c r="C6174" s="28" t="s">
        <v>97</v>
      </c>
      <c r="D6174" s="28" t="s">
        <v>1724</v>
      </c>
      <c r="E6174" s="29" t="s">
        <v>1769</v>
      </c>
      <c r="F6174" s="29" t="s">
        <v>282</v>
      </c>
      <c r="G6174" s="25" t="s">
        <v>7851</v>
      </c>
      <c r="H6174" s="26">
        <v>-0.1417904271</v>
      </c>
      <c r="I6174" s="26"/>
      <c r="J6174" s="26" t="s">
        <v>1770</v>
      </c>
      <c r="K6174" s="25" t="s">
        <v>1771</v>
      </c>
      <c r="L6174" s="8"/>
    </row>
    <row r="6175" spans="1:12" ht="25.5" x14ac:dyDescent="0.25">
      <c r="A6175" s="22">
        <v>2026</v>
      </c>
      <c r="B6175" s="28" t="s">
        <v>237</v>
      </c>
      <c r="C6175" s="28" t="s">
        <v>97</v>
      </c>
      <c r="D6175" s="28" t="s">
        <v>1724</v>
      </c>
      <c r="E6175" s="29" t="s">
        <v>1769</v>
      </c>
      <c r="F6175" s="29" t="s">
        <v>282</v>
      </c>
      <c r="G6175" s="25" t="s">
        <v>7852</v>
      </c>
      <c r="H6175" s="26">
        <v>-0.17442679999999999</v>
      </c>
      <c r="I6175" s="26"/>
      <c r="J6175" s="26" t="s">
        <v>1770</v>
      </c>
      <c r="K6175" s="25" t="s">
        <v>1771</v>
      </c>
      <c r="L6175" s="8"/>
    </row>
    <row r="6176" spans="1:12" ht="25.5" x14ac:dyDescent="0.25">
      <c r="A6176" s="22">
        <v>2026</v>
      </c>
      <c r="B6176" s="28" t="s">
        <v>237</v>
      </c>
      <c r="C6176" s="28" t="s">
        <v>97</v>
      </c>
      <c r="D6176" s="28" t="s">
        <v>1724</v>
      </c>
      <c r="E6176" s="29" t="s">
        <v>1769</v>
      </c>
      <c r="F6176" s="29" t="s">
        <v>282</v>
      </c>
      <c r="G6176" s="25" t="s">
        <v>7853</v>
      </c>
      <c r="H6176" s="26">
        <v>-0.1629744494</v>
      </c>
      <c r="I6176" s="26"/>
      <c r="J6176" s="26" t="s">
        <v>1770</v>
      </c>
      <c r="K6176" s="25" t="s">
        <v>1771</v>
      </c>
      <c r="L6176" s="8"/>
    </row>
    <row r="6177" spans="1:12" ht="25.5" x14ac:dyDescent="0.25">
      <c r="A6177" s="22">
        <v>2026</v>
      </c>
      <c r="B6177" s="28" t="s">
        <v>237</v>
      </c>
      <c r="C6177" s="28" t="s">
        <v>97</v>
      </c>
      <c r="D6177" s="28" t="s">
        <v>1724</v>
      </c>
      <c r="E6177" s="29" t="s">
        <v>1769</v>
      </c>
      <c r="F6177" s="29" t="s">
        <v>282</v>
      </c>
      <c r="G6177" s="25" t="s">
        <v>7854</v>
      </c>
      <c r="H6177" s="26">
        <v>-0.1739184</v>
      </c>
      <c r="I6177" s="26"/>
      <c r="J6177" s="26" t="s">
        <v>1770</v>
      </c>
      <c r="K6177" s="25" t="s">
        <v>1771</v>
      </c>
      <c r="L6177" s="8"/>
    </row>
    <row r="6178" spans="1:12" ht="25.5" x14ac:dyDescent="0.25">
      <c r="A6178" s="22">
        <v>2026</v>
      </c>
      <c r="B6178" s="28" t="s">
        <v>237</v>
      </c>
      <c r="C6178" s="28" t="s">
        <v>97</v>
      </c>
      <c r="D6178" s="28" t="s">
        <v>1724</v>
      </c>
      <c r="E6178" s="29" t="s">
        <v>1769</v>
      </c>
      <c r="F6178" s="29" t="s">
        <v>282</v>
      </c>
      <c r="G6178" s="25" t="s">
        <v>7855</v>
      </c>
      <c r="H6178" s="26">
        <v>-0.17419709999999999</v>
      </c>
      <c r="I6178" s="26"/>
      <c r="J6178" s="26" t="s">
        <v>1770</v>
      </c>
      <c r="K6178" s="25" t="s">
        <v>1771</v>
      </c>
      <c r="L6178" s="8"/>
    </row>
    <row r="6179" spans="1:12" ht="25.5" x14ac:dyDescent="0.25">
      <c r="A6179" s="22">
        <v>2026</v>
      </c>
      <c r="B6179" s="28" t="s">
        <v>237</v>
      </c>
      <c r="C6179" s="28" t="s">
        <v>97</v>
      </c>
      <c r="D6179" s="28" t="s">
        <v>1724</v>
      </c>
      <c r="E6179" s="29" t="s">
        <v>1769</v>
      </c>
      <c r="F6179" s="29" t="s">
        <v>282</v>
      </c>
      <c r="G6179" s="25" t="s">
        <v>7856</v>
      </c>
      <c r="H6179" s="26">
        <v>-0.1731423</v>
      </c>
      <c r="I6179" s="26"/>
      <c r="J6179" s="26" t="s">
        <v>1770</v>
      </c>
      <c r="K6179" s="25" t="s">
        <v>1771</v>
      </c>
      <c r="L6179" s="8"/>
    </row>
    <row r="6180" spans="1:12" ht="25.5" x14ac:dyDescent="0.25">
      <c r="A6180" s="22">
        <v>2026</v>
      </c>
      <c r="B6180" s="28" t="s">
        <v>237</v>
      </c>
      <c r="C6180" s="28" t="s">
        <v>97</v>
      </c>
      <c r="D6180" s="28" t="s">
        <v>1724</v>
      </c>
      <c r="E6180" s="29" t="s">
        <v>1769</v>
      </c>
      <c r="F6180" s="29" t="s">
        <v>282</v>
      </c>
      <c r="G6180" s="25" t="s">
        <v>7857</v>
      </c>
      <c r="H6180" s="26">
        <v>-0.17471639999999999</v>
      </c>
      <c r="I6180" s="26"/>
      <c r="J6180" s="26" t="s">
        <v>1770</v>
      </c>
      <c r="K6180" s="25" t="s">
        <v>1771</v>
      </c>
      <c r="L6180" s="8"/>
    </row>
    <row r="6181" spans="1:12" ht="25.5" x14ac:dyDescent="0.25">
      <c r="A6181" s="22">
        <v>2026</v>
      </c>
      <c r="B6181" s="28" t="s">
        <v>237</v>
      </c>
      <c r="C6181" s="28" t="s">
        <v>97</v>
      </c>
      <c r="D6181" s="28" t="s">
        <v>1724</v>
      </c>
      <c r="E6181" s="29" t="s">
        <v>1769</v>
      </c>
      <c r="F6181" s="29" t="s">
        <v>282</v>
      </c>
      <c r="G6181" s="25" t="s">
        <v>7858</v>
      </c>
      <c r="H6181" s="26">
        <v>-0.1613052606</v>
      </c>
      <c r="I6181" s="26"/>
      <c r="J6181" s="26" t="s">
        <v>1770</v>
      </c>
      <c r="K6181" s="25" t="s">
        <v>1771</v>
      </c>
      <c r="L6181" s="8"/>
    </row>
    <row r="6182" spans="1:12" ht="25.5" x14ac:dyDescent="0.25">
      <c r="A6182" s="22">
        <v>2026</v>
      </c>
      <c r="B6182" s="28" t="s">
        <v>237</v>
      </c>
      <c r="C6182" s="28" t="s">
        <v>97</v>
      </c>
      <c r="D6182" s="28" t="s">
        <v>1724</v>
      </c>
      <c r="E6182" s="29" t="s">
        <v>1769</v>
      </c>
      <c r="F6182" s="29" t="s">
        <v>282</v>
      </c>
      <c r="G6182" s="25" t="s">
        <v>7859</v>
      </c>
      <c r="H6182" s="26">
        <v>-0.1470970704</v>
      </c>
      <c r="I6182" s="26"/>
      <c r="J6182" s="26" t="s">
        <v>1770</v>
      </c>
      <c r="K6182" s="25" t="s">
        <v>1771</v>
      </c>
      <c r="L6182" s="8"/>
    </row>
    <row r="6183" spans="1:12" ht="25.5" x14ac:dyDescent="0.25">
      <c r="A6183" s="22">
        <v>2026</v>
      </c>
      <c r="B6183" s="28" t="s">
        <v>237</v>
      </c>
      <c r="C6183" s="28" t="s">
        <v>97</v>
      </c>
      <c r="D6183" s="28" t="s">
        <v>1724</v>
      </c>
      <c r="E6183" s="29" t="s">
        <v>1769</v>
      </c>
      <c r="F6183" s="29" t="s">
        <v>282</v>
      </c>
      <c r="G6183" s="25" t="s">
        <v>7860</v>
      </c>
      <c r="H6183" s="26">
        <v>-0.16134082159999999</v>
      </c>
      <c r="I6183" s="26"/>
      <c r="J6183" s="26" t="s">
        <v>1770</v>
      </c>
      <c r="K6183" s="25" t="s">
        <v>1771</v>
      </c>
      <c r="L6183" s="8"/>
    </row>
    <row r="6184" spans="1:12" ht="25.5" x14ac:dyDescent="0.25">
      <c r="A6184" s="22">
        <v>2026</v>
      </c>
      <c r="B6184" s="28" t="s">
        <v>237</v>
      </c>
      <c r="C6184" s="28" t="s">
        <v>97</v>
      </c>
      <c r="D6184" s="28" t="s">
        <v>1724</v>
      </c>
      <c r="E6184" s="29" t="s">
        <v>1769</v>
      </c>
      <c r="F6184" s="29" t="s">
        <v>282</v>
      </c>
      <c r="G6184" s="25" t="s">
        <v>7861</v>
      </c>
      <c r="H6184" s="26">
        <v>-0.16871440299999999</v>
      </c>
      <c r="I6184" s="26"/>
      <c r="J6184" s="26" t="s">
        <v>1770</v>
      </c>
      <c r="K6184" s="25" t="s">
        <v>1771</v>
      </c>
      <c r="L6184" s="8"/>
    </row>
    <row r="6185" spans="1:12" ht="25.5" x14ac:dyDescent="0.25">
      <c r="A6185" s="22">
        <v>2026</v>
      </c>
      <c r="B6185" s="28" t="s">
        <v>237</v>
      </c>
      <c r="C6185" s="28" t="s">
        <v>97</v>
      </c>
      <c r="D6185" s="28" t="s">
        <v>1724</v>
      </c>
      <c r="E6185" s="29" t="s">
        <v>1769</v>
      </c>
      <c r="F6185" s="29" t="s">
        <v>282</v>
      </c>
      <c r="G6185" s="25" t="s">
        <v>7862</v>
      </c>
      <c r="H6185" s="26">
        <v>-0.1724718274</v>
      </c>
      <c r="I6185" s="26"/>
      <c r="J6185" s="26" t="s">
        <v>1770</v>
      </c>
      <c r="K6185" s="25" t="s">
        <v>1771</v>
      </c>
      <c r="L6185" s="8"/>
    </row>
    <row r="6186" spans="1:12" ht="25.5" x14ac:dyDescent="0.25">
      <c r="A6186" s="22">
        <v>2026</v>
      </c>
      <c r="B6186" s="28" t="s">
        <v>237</v>
      </c>
      <c r="C6186" s="28" t="s">
        <v>97</v>
      </c>
      <c r="D6186" s="28" t="s">
        <v>1724</v>
      </c>
      <c r="E6186" s="29" t="s">
        <v>1769</v>
      </c>
      <c r="F6186" s="29" t="s">
        <v>282</v>
      </c>
      <c r="G6186" s="25" t="s">
        <v>7863</v>
      </c>
      <c r="H6186" s="26">
        <v>-0.16803698250000002</v>
      </c>
      <c r="I6186" s="26"/>
      <c r="J6186" s="26" t="s">
        <v>1770</v>
      </c>
      <c r="K6186" s="25" t="s">
        <v>1771</v>
      </c>
      <c r="L6186" s="8"/>
    </row>
    <row r="6187" spans="1:12" ht="25.5" x14ac:dyDescent="0.25">
      <c r="A6187" s="22">
        <v>2026</v>
      </c>
      <c r="B6187" s="28" t="s">
        <v>237</v>
      </c>
      <c r="C6187" s="28" t="s">
        <v>97</v>
      </c>
      <c r="D6187" s="28" t="s">
        <v>1724</v>
      </c>
      <c r="E6187" s="29" t="s">
        <v>1769</v>
      </c>
      <c r="F6187" s="29" t="s">
        <v>282</v>
      </c>
      <c r="G6187" s="25" t="s">
        <v>7864</v>
      </c>
      <c r="H6187" s="26">
        <v>-0.16819654250000002</v>
      </c>
      <c r="I6187" s="26"/>
      <c r="J6187" s="26" t="s">
        <v>1770</v>
      </c>
      <c r="K6187" s="25" t="s">
        <v>1771</v>
      </c>
      <c r="L6187" s="8"/>
    </row>
    <row r="6188" spans="1:12" ht="25.5" x14ac:dyDescent="0.25">
      <c r="A6188" s="22">
        <v>2026</v>
      </c>
      <c r="B6188" s="28" t="s">
        <v>237</v>
      </c>
      <c r="C6188" s="28" t="s">
        <v>97</v>
      </c>
      <c r="D6188" s="28" t="s">
        <v>1724</v>
      </c>
      <c r="E6188" s="29" t="s">
        <v>1769</v>
      </c>
      <c r="F6188" s="29" t="s">
        <v>282</v>
      </c>
      <c r="G6188" s="25" t="s">
        <v>7865</v>
      </c>
      <c r="H6188" s="26">
        <v>-0.15977710079999999</v>
      </c>
      <c r="I6188" s="26"/>
      <c r="J6188" s="26" t="s">
        <v>1770</v>
      </c>
      <c r="K6188" s="25" t="s">
        <v>1771</v>
      </c>
      <c r="L6188" s="8"/>
    </row>
    <row r="6189" spans="1:12" ht="25.5" x14ac:dyDescent="0.25">
      <c r="A6189" s="22">
        <v>2026</v>
      </c>
      <c r="B6189" s="28" t="s">
        <v>237</v>
      </c>
      <c r="C6189" s="28" t="s">
        <v>97</v>
      </c>
      <c r="D6189" s="28" t="s">
        <v>1724</v>
      </c>
      <c r="E6189" s="29" t="s">
        <v>1769</v>
      </c>
      <c r="F6189" s="29" t="s">
        <v>282</v>
      </c>
      <c r="G6189" s="25" t="s">
        <v>7866</v>
      </c>
      <c r="H6189" s="26">
        <v>-0.16433161919999997</v>
      </c>
      <c r="I6189" s="26"/>
      <c r="J6189" s="26" t="s">
        <v>1770</v>
      </c>
      <c r="K6189" s="25" t="s">
        <v>1771</v>
      </c>
      <c r="L6189" s="8"/>
    </row>
    <row r="6190" spans="1:12" ht="25.5" x14ac:dyDescent="0.25">
      <c r="A6190" s="22">
        <v>2026</v>
      </c>
      <c r="B6190" s="28" t="s">
        <v>237</v>
      </c>
      <c r="C6190" s="28" t="s">
        <v>97</v>
      </c>
      <c r="D6190" s="28" t="s">
        <v>1724</v>
      </c>
      <c r="E6190" s="29" t="s">
        <v>1769</v>
      </c>
      <c r="F6190" s="29" t="s">
        <v>282</v>
      </c>
      <c r="G6190" s="25" t="s">
        <v>7867</v>
      </c>
      <c r="H6190" s="26">
        <v>-0.16454736040000001</v>
      </c>
      <c r="I6190" s="26"/>
      <c r="J6190" s="26" t="s">
        <v>1770</v>
      </c>
      <c r="K6190" s="25" t="s">
        <v>1771</v>
      </c>
      <c r="L6190" s="8"/>
    </row>
    <row r="6191" spans="1:12" ht="25.5" x14ac:dyDescent="0.25">
      <c r="A6191" s="22">
        <v>2026</v>
      </c>
      <c r="B6191" s="28" t="s">
        <v>237</v>
      </c>
      <c r="C6191" s="28" t="s">
        <v>97</v>
      </c>
      <c r="D6191" s="28" t="s">
        <v>1724</v>
      </c>
      <c r="E6191" s="29" t="s">
        <v>1769</v>
      </c>
      <c r="F6191" s="29" t="s">
        <v>282</v>
      </c>
      <c r="G6191" s="25" t="s">
        <v>7868</v>
      </c>
      <c r="H6191" s="26">
        <v>-0.17762305439999998</v>
      </c>
      <c r="I6191" s="26"/>
      <c r="J6191" s="26" t="s">
        <v>1770</v>
      </c>
      <c r="K6191" s="25" t="s">
        <v>1771</v>
      </c>
      <c r="L6191" s="8"/>
    </row>
    <row r="6192" spans="1:12" ht="25.5" x14ac:dyDescent="0.25">
      <c r="A6192" s="22">
        <v>2026</v>
      </c>
      <c r="B6192" s="28" t="s">
        <v>237</v>
      </c>
      <c r="C6192" s="28" t="s">
        <v>97</v>
      </c>
      <c r="D6192" s="28" t="s">
        <v>1785</v>
      </c>
      <c r="E6192" s="29" t="s">
        <v>1769</v>
      </c>
      <c r="F6192" s="29" t="s">
        <v>282</v>
      </c>
      <c r="G6192" s="25" t="s">
        <v>7869</v>
      </c>
      <c r="H6192" s="26">
        <v>-0.12755</v>
      </c>
      <c r="I6192" s="26"/>
      <c r="J6192" s="26" t="s">
        <v>512</v>
      </c>
      <c r="K6192" s="25" t="s">
        <v>513</v>
      </c>
      <c r="L6192" s="8"/>
    </row>
    <row r="6193" spans="1:12" ht="25.5" x14ac:dyDescent="0.25">
      <c r="A6193" s="22">
        <v>2026</v>
      </c>
      <c r="B6193" s="28" t="s">
        <v>237</v>
      </c>
      <c r="C6193" s="28" t="s">
        <v>97</v>
      </c>
      <c r="D6193" s="28" t="s">
        <v>1725</v>
      </c>
      <c r="E6193" s="29" t="s">
        <v>1772</v>
      </c>
      <c r="F6193" s="29" t="s">
        <v>325</v>
      </c>
      <c r="G6193" s="25" t="s">
        <v>7870</v>
      </c>
      <c r="H6193" s="26">
        <v>-9.5699999999999993E-2</v>
      </c>
      <c r="I6193" s="26"/>
      <c r="J6193" s="26" t="s">
        <v>1773</v>
      </c>
      <c r="K6193" s="25" t="s">
        <v>513</v>
      </c>
      <c r="L6193" s="8"/>
    </row>
    <row r="6194" spans="1:12" ht="25.5" x14ac:dyDescent="0.25">
      <c r="A6194" s="22">
        <v>2026</v>
      </c>
      <c r="B6194" s="28" t="s">
        <v>237</v>
      </c>
      <c r="C6194" s="28" t="s">
        <v>97</v>
      </c>
      <c r="D6194" s="28" t="s">
        <v>1725</v>
      </c>
      <c r="E6194" s="29" t="s">
        <v>1772</v>
      </c>
      <c r="F6194" s="29" t="s">
        <v>325</v>
      </c>
      <c r="G6194" s="25" t="s">
        <v>7871</v>
      </c>
      <c r="H6194" s="26">
        <v>-0.57043244999999998</v>
      </c>
      <c r="I6194" s="26"/>
      <c r="J6194" s="26" t="s">
        <v>1773</v>
      </c>
      <c r="K6194" s="25" t="s">
        <v>513</v>
      </c>
      <c r="L6194" s="8"/>
    </row>
    <row r="6195" spans="1:12" ht="25.5" x14ac:dyDescent="0.25">
      <c r="A6195" s="22">
        <v>2026</v>
      </c>
      <c r="B6195" s="28" t="s">
        <v>237</v>
      </c>
      <c r="C6195" s="28" t="s">
        <v>97</v>
      </c>
      <c r="D6195" s="28" t="s">
        <v>1725</v>
      </c>
      <c r="E6195" s="29" t="s">
        <v>1772</v>
      </c>
      <c r="F6195" s="29" t="s">
        <v>325</v>
      </c>
      <c r="G6195" s="25" t="s">
        <v>7872</v>
      </c>
      <c r="H6195" s="26">
        <v>-5.7689999999999998E-2</v>
      </c>
      <c r="I6195" s="26"/>
      <c r="J6195" s="26" t="s">
        <v>1773</v>
      </c>
      <c r="K6195" s="25" t="s">
        <v>513</v>
      </c>
      <c r="L6195" s="8"/>
    </row>
    <row r="6196" spans="1:12" ht="25.5" x14ac:dyDescent="0.25">
      <c r="A6196" s="22">
        <v>2026</v>
      </c>
      <c r="B6196" s="28" t="s">
        <v>237</v>
      </c>
      <c r="C6196" s="28" t="s">
        <v>97</v>
      </c>
      <c r="D6196" s="28" t="s">
        <v>1725</v>
      </c>
      <c r="E6196" s="29" t="s">
        <v>1772</v>
      </c>
      <c r="F6196" s="29" t="s">
        <v>325</v>
      </c>
      <c r="G6196" s="25" t="s">
        <v>7873</v>
      </c>
      <c r="H6196" s="26">
        <v>-0.14399999999999999</v>
      </c>
      <c r="I6196" s="26"/>
      <c r="J6196" s="26" t="s">
        <v>1773</v>
      </c>
      <c r="K6196" s="25" t="s">
        <v>513</v>
      </c>
      <c r="L6196" s="8"/>
    </row>
    <row r="6197" spans="1:12" ht="25.5" x14ac:dyDescent="0.25">
      <c r="A6197" s="22">
        <v>2026</v>
      </c>
      <c r="B6197" s="28" t="s">
        <v>237</v>
      </c>
      <c r="C6197" s="28" t="s">
        <v>97</v>
      </c>
      <c r="D6197" s="28" t="s">
        <v>1725</v>
      </c>
      <c r="E6197" s="29" t="s">
        <v>1772</v>
      </c>
      <c r="F6197" s="29" t="s">
        <v>325</v>
      </c>
      <c r="G6197" s="25" t="s">
        <v>7874</v>
      </c>
      <c r="H6197" s="26">
        <v>-0.1595</v>
      </c>
      <c r="I6197" s="26"/>
      <c r="J6197" s="26" t="s">
        <v>1773</v>
      </c>
      <c r="K6197" s="25" t="s">
        <v>513</v>
      </c>
      <c r="L6197" s="8"/>
    </row>
    <row r="6198" spans="1:12" ht="25.5" x14ac:dyDescent="0.25">
      <c r="A6198" s="22">
        <v>2026</v>
      </c>
      <c r="B6198" s="28" t="s">
        <v>237</v>
      </c>
      <c r="C6198" s="28" t="s">
        <v>97</v>
      </c>
      <c r="D6198" s="28" t="s">
        <v>1725</v>
      </c>
      <c r="E6198" s="29" t="s">
        <v>1772</v>
      </c>
      <c r="F6198" s="29" t="s">
        <v>325</v>
      </c>
      <c r="G6198" s="25" t="s">
        <v>7875</v>
      </c>
      <c r="H6198" s="26">
        <v>-0.159</v>
      </c>
      <c r="I6198" s="26"/>
      <c r="J6198" s="26" t="s">
        <v>1773</v>
      </c>
      <c r="K6198" s="25" t="s">
        <v>513</v>
      </c>
      <c r="L6198" s="8"/>
    </row>
    <row r="6199" spans="1:12" ht="25.5" x14ac:dyDescent="0.25">
      <c r="A6199" s="22">
        <v>2026</v>
      </c>
      <c r="B6199" s="28" t="s">
        <v>237</v>
      </c>
      <c r="C6199" s="28" t="s">
        <v>97</v>
      </c>
      <c r="D6199" s="28" t="s">
        <v>1725</v>
      </c>
      <c r="E6199" s="29" t="s">
        <v>1772</v>
      </c>
      <c r="F6199" s="29" t="s">
        <v>325</v>
      </c>
      <c r="G6199" s="25" t="s">
        <v>7876</v>
      </c>
      <c r="H6199" s="26">
        <v>-0.20970179999999999</v>
      </c>
      <c r="I6199" s="26"/>
      <c r="J6199" s="26" t="s">
        <v>1773</v>
      </c>
      <c r="K6199" s="25" t="s">
        <v>513</v>
      </c>
      <c r="L6199" s="8"/>
    </row>
    <row r="6200" spans="1:12" ht="25.5" x14ac:dyDescent="0.25">
      <c r="A6200" s="22">
        <v>2026</v>
      </c>
      <c r="B6200" s="28" t="s">
        <v>237</v>
      </c>
      <c r="C6200" s="28" t="s">
        <v>97</v>
      </c>
      <c r="D6200" s="28" t="s">
        <v>1725</v>
      </c>
      <c r="E6200" s="29" t="s">
        <v>1772</v>
      </c>
      <c r="F6200" s="29" t="s">
        <v>325</v>
      </c>
      <c r="G6200" s="25" t="s">
        <v>7877</v>
      </c>
      <c r="H6200" s="26">
        <v>-0.42795</v>
      </c>
      <c r="I6200" s="26"/>
      <c r="J6200" s="26" t="s">
        <v>1773</v>
      </c>
      <c r="K6200" s="25" t="s">
        <v>513</v>
      </c>
      <c r="L6200" s="8"/>
    </row>
    <row r="6201" spans="1:12" ht="25.5" x14ac:dyDescent="0.25">
      <c r="A6201" s="22">
        <v>2026</v>
      </c>
      <c r="B6201" s="28" t="s">
        <v>237</v>
      </c>
      <c r="C6201" s="28" t="s">
        <v>97</v>
      </c>
      <c r="D6201" s="28" t="s">
        <v>1725</v>
      </c>
      <c r="E6201" s="29" t="s">
        <v>1772</v>
      </c>
      <c r="F6201" s="29" t="s">
        <v>325</v>
      </c>
      <c r="G6201" s="25" t="s">
        <v>7878</v>
      </c>
      <c r="H6201" s="26">
        <v>-0.22539999999999999</v>
      </c>
      <c r="I6201" s="26"/>
      <c r="J6201" s="26" t="s">
        <v>1773</v>
      </c>
      <c r="K6201" s="25" t="s">
        <v>513</v>
      </c>
      <c r="L6201" s="8"/>
    </row>
    <row r="6202" spans="1:12" ht="25.5" x14ac:dyDescent="0.25">
      <c r="A6202" s="22">
        <v>2026</v>
      </c>
      <c r="B6202" s="28" t="s">
        <v>237</v>
      </c>
      <c r="C6202" s="28" t="s">
        <v>97</v>
      </c>
      <c r="D6202" s="28" t="s">
        <v>1725</v>
      </c>
      <c r="E6202" s="29" t="s">
        <v>1772</v>
      </c>
      <c r="F6202" s="29" t="s">
        <v>325</v>
      </c>
      <c r="G6202" s="25" t="s">
        <v>7879</v>
      </c>
      <c r="H6202" s="26">
        <v>-1.1776</v>
      </c>
      <c r="I6202" s="26"/>
      <c r="J6202" s="26" t="s">
        <v>1773</v>
      </c>
      <c r="K6202" s="25" t="s">
        <v>513</v>
      </c>
      <c r="L6202" s="8"/>
    </row>
    <row r="6203" spans="1:12" ht="25.5" x14ac:dyDescent="0.25">
      <c r="A6203" s="22">
        <v>2026</v>
      </c>
      <c r="B6203" s="28" t="s">
        <v>237</v>
      </c>
      <c r="C6203" s="28" t="s">
        <v>97</v>
      </c>
      <c r="D6203" s="28" t="s">
        <v>1725</v>
      </c>
      <c r="E6203" s="29" t="s">
        <v>1772</v>
      </c>
      <c r="F6203" s="29" t="s">
        <v>325</v>
      </c>
      <c r="G6203" s="25" t="s">
        <v>7880</v>
      </c>
      <c r="H6203" s="26">
        <v>-0.52800000000000002</v>
      </c>
      <c r="I6203" s="26"/>
      <c r="J6203" s="26" t="s">
        <v>1773</v>
      </c>
      <c r="K6203" s="25" t="s">
        <v>513</v>
      </c>
      <c r="L6203" s="8"/>
    </row>
    <row r="6204" spans="1:12" ht="25.5" x14ac:dyDescent="0.25">
      <c r="A6204" s="22">
        <v>2026</v>
      </c>
      <c r="B6204" s="28" t="s">
        <v>237</v>
      </c>
      <c r="C6204" s="28" t="s">
        <v>97</v>
      </c>
      <c r="D6204" s="28" t="s">
        <v>1725</v>
      </c>
      <c r="E6204" s="29" t="s">
        <v>1772</v>
      </c>
      <c r="F6204" s="29" t="s">
        <v>325</v>
      </c>
      <c r="G6204" s="25" t="s">
        <v>7881</v>
      </c>
      <c r="H6204" s="26">
        <v>-0.24</v>
      </c>
      <c r="I6204" s="26"/>
      <c r="J6204" s="26" t="s">
        <v>1773</v>
      </c>
      <c r="K6204" s="25" t="s">
        <v>513</v>
      </c>
      <c r="L6204" s="8"/>
    </row>
    <row r="6205" spans="1:12" ht="25.5" x14ac:dyDescent="0.25">
      <c r="A6205" s="22">
        <v>2026</v>
      </c>
      <c r="B6205" s="28" t="s">
        <v>237</v>
      </c>
      <c r="C6205" s="28" t="s">
        <v>97</v>
      </c>
      <c r="D6205" s="28" t="s">
        <v>272</v>
      </c>
      <c r="E6205" s="29" t="s">
        <v>500</v>
      </c>
      <c r="F6205" s="29" t="s">
        <v>284</v>
      </c>
      <c r="G6205" s="25" t="s">
        <v>7882</v>
      </c>
      <c r="H6205" s="26">
        <v>-0.49292170000000002</v>
      </c>
      <c r="I6205" s="26"/>
      <c r="J6205" s="26" t="s">
        <v>514</v>
      </c>
      <c r="K6205" s="25" t="s">
        <v>513</v>
      </c>
      <c r="L6205" s="8"/>
    </row>
    <row r="6206" spans="1:12" ht="25.5" x14ac:dyDescent="0.25">
      <c r="A6206" s="22">
        <v>2026</v>
      </c>
      <c r="B6206" s="28" t="s">
        <v>237</v>
      </c>
      <c r="C6206" s="28" t="s">
        <v>97</v>
      </c>
      <c r="D6206" s="28" t="s">
        <v>272</v>
      </c>
      <c r="E6206" s="29" t="s">
        <v>500</v>
      </c>
      <c r="F6206" s="29" t="s">
        <v>284</v>
      </c>
      <c r="G6206" s="25" t="s">
        <v>7883</v>
      </c>
      <c r="H6206" s="26">
        <v>-0.51336000000000004</v>
      </c>
      <c r="I6206" s="26"/>
      <c r="J6206" s="26" t="s">
        <v>514</v>
      </c>
      <c r="K6206" s="25" t="s">
        <v>513</v>
      </c>
      <c r="L6206" s="8"/>
    </row>
    <row r="6207" spans="1:12" ht="25.5" x14ac:dyDescent="0.25">
      <c r="A6207" s="22">
        <v>2026</v>
      </c>
      <c r="B6207" s="28" t="s">
        <v>237</v>
      </c>
      <c r="C6207" s="28" t="s">
        <v>97</v>
      </c>
      <c r="D6207" s="28" t="s">
        <v>272</v>
      </c>
      <c r="E6207" s="29" t="s">
        <v>500</v>
      </c>
      <c r="F6207" s="29" t="s">
        <v>284</v>
      </c>
      <c r="G6207" s="25" t="s">
        <v>7884</v>
      </c>
      <c r="H6207" s="26">
        <v>-0.52157500000000001</v>
      </c>
      <c r="I6207" s="26"/>
      <c r="J6207" s="26" t="s">
        <v>514</v>
      </c>
      <c r="K6207" s="25" t="s">
        <v>513</v>
      </c>
      <c r="L6207" s="8"/>
    </row>
    <row r="6208" spans="1:12" ht="25.5" x14ac:dyDescent="0.25">
      <c r="A6208" s="22">
        <v>2026</v>
      </c>
      <c r="B6208" s="28" t="s">
        <v>237</v>
      </c>
      <c r="C6208" s="28" t="s">
        <v>97</v>
      </c>
      <c r="D6208" s="28" t="s">
        <v>272</v>
      </c>
      <c r="E6208" s="29" t="s">
        <v>500</v>
      </c>
      <c r="F6208" s="29" t="s">
        <v>284</v>
      </c>
      <c r="G6208" s="25" t="s">
        <v>7885</v>
      </c>
      <c r="H6208" s="26">
        <v>-0.60011000000000003</v>
      </c>
      <c r="I6208" s="26"/>
      <c r="J6208" s="26" t="s">
        <v>514</v>
      </c>
      <c r="K6208" s="25" t="s">
        <v>513</v>
      </c>
      <c r="L6208" s="8"/>
    </row>
    <row r="6209" spans="1:12" ht="25.5" x14ac:dyDescent="0.25">
      <c r="A6209" s="22">
        <v>2026</v>
      </c>
      <c r="B6209" s="28" t="s">
        <v>237</v>
      </c>
      <c r="C6209" s="28" t="s">
        <v>97</v>
      </c>
      <c r="D6209" s="28" t="s">
        <v>272</v>
      </c>
      <c r="E6209" s="29" t="s">
        <v>500</v>
      </c>
      <c r="F6209" s="29" t="s">
        <v>284</v>
      </c>
      <c r="G6209" s="25" t="s">
        <v>7886</v>
      </c>
      <c r="H6209" s="26">
        <v>-0.61092540000000006</v>
      </c>
      <c r="I6209" s="26"/>
      <c r="J6209" s="26" t="s">
        <v>514</v>
      </c>
      <c r="K6209" s="25" t="s">
        <v>513</v>
      </c>
      <c r="L6209" s="8"/>
    </row>
    <row r="6210" spans="1:12" ht="25.5" x14ac:dyDescent="0.25">
      <c r="A6210" s="22">
        <v>2026</v>
      </c>
      <c r="B6210" s="28" t="s">
        <v>237</v>
      </c>
      <c r="C6210" s="28" t="s">
        <v>97</v>
      </c>
      <c r="D6210" s="28" t="s">
        <v>272</v>
      </c>
      <c r="E6210" s="29" t="s">
        <v>500</v>
      </c>
      <c r="F6210" s="29" t="s">
        <v>284</v>
      </c>
      <c r="G6210" s="25" t="s">
        <v>7887</v>
      </c>
      <c r="H6210" s="26">
        <v>-0.67779999999999996</v>
      </c>
      <c r="I6210" s="26"/>
      <c r="J6210" s="26" t="s">
        <v>514</v>
      </c>
      <c r="K6210" s="25" t="s">
        <v>513</v>
      </c>
      <c r="L6210" s="8"/>
    </row>
    <row r="6211" spans="1:12" ht="25.5" x14ac:dyDescent="0.25">
      <c r="A6211" s="22">
        <v>2026</v>
      </c>
      <c r="B6211" s="28" t="s">
        <v>237</v>
      </c>
      <c r="C6211" s="28" t="s">
        <v>97</v>
      </c>
      <c r="D6211" s="28" t="s">
        <v>272</v>
      </c>
      <c r="E6211" s="29" t="s">
        <v>500</v>
      </c>
      <c r="F6211" s="29" t="s">
        <v>284</v>
      </c>
      <c r="G6211" s="25" t="s">
        <v>7888</v>
      </c>
      <c r="H6211" s="26">
        <v>-0.67349999999999999</v>
      </c>
      <c r="I6211" s="26"/>
      <c r="J6211" s="26" t="s">
        <v>514</v>
      </c>
      <c r="K6211" s="25" t="s">
        <v>513</v>
      </c>
      <c r="L6211" s="8"/>
    </row>
    <row r="6212" spans="1:12" ht="25.5" x14ac:dyDescent="0.25">
      <c r="A6212" s="22">
        <v>2026</v>
      </c>
      <c r="B6212" s="28" t="s">
        <v>237</v>
      </c>
      <c r="C6212" s="28" t="s">
        <v>97</v>
      </c>
      <c r="D6212" s="28" t="s">
        <v>272</v>
      </c>
      <c r="E6212" s="29" t="s">
        <v>500</v>
      </c>
      <c r="F6212" s="29" t="s">
        <v>284</v>
      </c>
      <c r="G6212" s="25" t="s">
        <v>7889</v>
      </c>
      <c r="H6212" s="26">
        <v>-0.84849249999999998</v>
      </c>
      <c r="I6212" s="26"/>
      <c r="J6212" s="26" t="s">
        <v>514</v>
      </c>
      <c r="K6212" s="25" t="s">
        <v>513</v>
      </c>
      <c r="L6212" s="8"/>
    </row>
    <row r="6213" spans="1:12" ht="25.5" x14ac:dyDescent="0.25">
      <c r="A6213" s="22">
        <v>2026</v>
      </c>
      <c r="B6213" s="28" t="s">
        <v>237</v>
      </c>
      <c r="C6213" s="28" t="s">
        <v>97</v>
      </c>
      <c r="D6213" s="28" t="s">
        <v>272</v>
      </c>
      <c r="E6213" s="29" t="s">
        <v>500</v>
      </c>
      <c r="F6213" s="29" t="s">
        <v>284</v>
      </c>
      <c r="G6213" s="25" t="s">
        <v>7890</v>
      </c>
      <c r="H6213" s="26">
        <v>-0.50773199999999996</v>
      </c>
      <c r="I6213" s="26"/>
      <c r="J6213" s="26" t="s">
        <v>514</v>
      </c>
      <c r="K6213" s="25" t="s">
        <v>513</v>
      </c>
      <c r="L6213" s="8"/>
    </row>
    <row r="6214" spans="1:12" ht="25.5" x14ac:dyDescent="0.25">
      <c r="A6214" s="22">
        <v>2026</v>
      </c>
      <c r="B6214" s="28" t="s">
        <v>237</v>
      </c>
      <c r="C6214" s="28" t="s">
        <v>97</v>
      </c>
      <c r="D6214" s="28" t="s">
        <v>272</v>
      </c>
      <c r="E6214" s="29" t="s">
        <v>500</v>
      </c>
      <c r="F6214" s="29" t="s">
        <v>284</v>
      </c>
      <c r="G6214" s="25" t="s">
        <v>7891</v>
      </c>
      <c r="H6214" s="26">
        <v>-0.47530840000000002</v>
      </c>
      <c r="I6214" s="26"/>
      <c r="J6214" s="26" t="s">
        <v>514</v>
      </c>
      <c r="K6214" s="25" t="s">
        <v>513</v>
      </c>
      <c r="L6214" s="8"/>
    </row>
    <row r="6215" spans="1:12" ht="25.5" x14ac:dyDescent="0.25">
      <c r="A6215" s="22">
        <v>2026</v>
      </c>
      <c r="B6215" s="28" t="s">
        <v>237</v>
      </c>
      <c r="C6215" s="28" t="s">
        <v>97</v>
      </c>
      <c r="D6215" s="28" t="s">
        <v>272</v>
      </c>
      <c r="E6215" s="29" t="s">
        <v>500</v>
      </c>
      <c r="F6215" s="29" t="s">
        <v>284</v>
      </c>
      <c r="G6215" s="25" t="s">
        <v>7892</v>
      </c>
      <c r="H6215" s="26">
        <v>-0.33853100000000003</v>
      </c>
      <c r="I6215" s="26"/>
      <c r="J6215" s="26" t="s">
        <v>514</v>
      </c>
      <c r="K6215" s="25" t="s">
        <v>513</v>
      </c>
      <c r="L6215" s="8"/>
    </row>
    <row r="6216" spans="1:12" ht="25.5" x14ac:dyDescent="0.25">
      <c r="A6216" s="22">
        <v>2026</v>
      </c>
      <c r="B6216" s="28" t="s">
        <v>237</v>
      </c>
      <c r="C6216" s="28" t="s">
        <v>97</v>
      </c>
      <c r="D6216" s="28" t="s">
        <v>272</v>
      </c>
      <c r="E6216" s="29" t="s">
        <v>500</v>
      </c>
      <c r="F6216" s="29" t="s">
        <v>284</v>
      </c>
      <c r="G6216" s="25" t="s">
        <v>7893</v>
      </c>
      <c r="H6216" s="26">
        <v>-0.46963279999999996</v>
      </c>
      <c r="I6216" s="26"/>
      <c r="J6216" s="26" t="s">
        <v>514</v>
      </c>
      <c r="K6216" s="25" t="s">
        <v>513</v>
      </c>
      <c r="L6216" s="8"/>
    </row>
    <row r="6217" spans="1:12" ht="25.5" x14ac:dyDescent="0.25">
      <c r="A6217" s="22">
        <v>2026</v>
      </c>
      <c r="B6217" s="28" t="s">
        <v>237</v>
      </c>
      <c r="C6217" s="28" t="s">
        <v>97</v>
      </c>
      <c r="D6217" s="28" t="s">
        <v>272</v>
      </c>
      <c r="E6217" s="29" t="s">
        <v>500</v>
      </c>
      <c r="F6217" s="29" t="s">
        <v>284</v>
      </c>
      <c r="G6217" s="25" t="s">
        <v>7894</v>
      </c>
      <c r="H6217" s="26">
        <v>-0.399144</v>
      </c>
      <c r="I6217" s="26"/>
      <c r="J6217" s="26" t="s">
        <v>514</v>
      </c>
      <c r="K6217" s="25" t="s">
        <v>513</v>
      </c>
      <c r="L6217" s="8"/>
    </row>
    <row r="6218" spans="1:12" ht="25.5" x14ac:dyDescent="0.25">
      <c r="A6218" s="22">
        <v>2026</v>
      </c>
      <c r="B6218" s="28" t="s">
        <v>237</v>
      </c>
      <c r="C6218" s="28" t="s">
        <v>97</v>
      </c>
      <c r="D6218" s="28" t="s">
        <v>272</v>
      </c>
      <c r="E6218" s="29" t="s">
        <v>500</v>
      </c>
      <c r="F6218" s="29" t="s">
        <v>284</v>
      </c>
      <c r="G6218" s="25" t="s">
        <v>7895</v>
      </c>
      <c r="H6218" s="26">
        <v>-0.47421359999999996</v>
      </c>
      <c r="I6218" s="26"/>
      <c r="J6218" s="26" t="s">
        <v>514</v>
      </c>
      <c r="K6218" s="25" t="s">
        <v>513</v>
      </c>
      <c r="L6218" s="8"/>
    </row>
    <row r="6219" spans="1:12" ht="25.5" x14ac:dyDescent="0.25">
      <c r="A6219" s="22">
        <v>2026</v>
      </c>
      <c r="B6219" s="28" t="s">
        <v>237</v>
      </c>
      <c r="C6219" s="28" t="s">
        <v>97</v>
      </c>
      <c r="D6219" s="28" t="s">
        <v>272</v>
      </c>
      <c r="E6219" s="29" t="s">
        <v>500</v>
      </c>
      <c r="F6219" s="29" t="s">
        <v>284</v>
      </c>
      <c r="G6219" s="25" t="s">
        <v>7896</v>
      </c>
      <c r="H6219" s="26">
        <v>-0.43901000000000001</v>
      </c>
      <c r="I6219" s="26"/>
      <c r="J6219" s="26" t="s">
        <v>514</v>
      </c>
      <c r="K6219" s="25" t="s">
        <v>513</v>
      </c>
      <c r="L6219" s="8"/>
    </row>
    <row r="6220" spans="1:12" ht="25.5" x14ac:dyDescent="0.25">
      <c r="A6220" s="22">
        <v>2026</v>
      </c>
      <c r="B6220" s="28" t="s">
        <v>237</v>
      </c>
      <c r="C6220" s="28" t="s">
        <v>97</v>
      </c>
      <c r="D6220" s="28" t="s">
        <v>272</v>
      </c>
      <c r="E6220" s="29" t="s">
        <v>500</v>
      </c>
      <c r="F6220" s="29" t="s">
        <v>284</v>
      </c>
      <c r="G6220" s="25" t="s">
        <v>7897</v>
      </c>
      <c r="H6220" s="26">
        <v>-0.451548</v>
      </c>
      <c r="I6220" s="26"/>
      <c r="J6220" s="26" t="s">
        <v>514</v>
      </c>
      <c r="K6220" s="25" t="s">
        <v>513</v>
      </c>
      <c r="L6220" s="8"/>
    </row>
    <row r="6221" spans="1:12" ht="25.5" x14ac:dyDescent="0.25">
      <c r="A6221" s="22">
        <v>2026</v>
      </c>
      <c r="B6221" s="28" t="s">
        <v>237</v>
      </c>
      <c r="C6221" s="28" t="s">
        <v>97</v>
      </c>
      <c r="D6221" s="28" t="s">
        <v>272</v>
      </c>
      <c r="E6221" s="29" t="s">
        <v>500</v>
      </c>
      <c r="F6221" s="29" t="s">
        <v>284</v>
      </c>
      <c r="G6221" s="25" t="s">
        <v>7898</v>
      </c>
      <c r="H6221" s="26">
        <v>-0.42920540000000001</v>
      </c>
      <c r="I6221" s="26"/>
      <c r="J6221" s="26" t="s">
        <v>514</v>
      </c>
      <c r="K6221" s="25" t="s">
        <v>513</v>
      </c>
      <c r="L6221" s="8"/>
    </row>
    <row r="6222" spans="1:12" ht="25.5" x14ac:dyDescent="0.25">
      <c r="A6222" s="22">
        <v>2026</v>
      </c>
      <c r="B6222" s="28" t="s">
        <v>237</v>
      </c>
      <c r="C6222" s="28" t="s">
        <v>97</v>
      </c>
      <c r="D6222" s="28" t="s">
        <v>272</v>
      </c>
      <c r="E6222" s="29" t="s">
        <v>500</v>
      </c>
      <c r="F6222" s="29" t="s">
        <v>284</v>
      </c>
      <c r="G6222" s="25" t="s">
        <v>7899</v>
      </c>
      <c r="H6222" s="26">
        <v>-0.43008290000000005</v>
      </c>
      <c r="I6222" s="26"/>
      <c r="J6222" s="26" t="s">
        <v>514</v>
      </c>
      <c r="K6222" s="25" t="s">
        <v>513</v>
      </c>
      <c r="L6222" s="8"/>
    </row>
    <row r="6223" spans="1:12" ht="25.5" x14ac:dyDescent="0.25">
      <c r="A6223" s="22">
        <v>2026</v>
      </c>
      <c r="B6223" s="28" t="s">
        <v>237</v>
      </c>
      <c r="C6223" s="28" t="s">
        <v>97</v>
      </c>
      <c r="D6223" s="28" t="s">
        <v>272</v>
      </c>
      <c r="E6223" s="29" t="s">
        <v>500</v>
      </c>
      <c r="F6223" s="29" t="s">
        <v>284</v>
      </c>
      <c r="G6223" s="25" t="s">
        <v>7900</v>
      </c>
      <c r="H6223" s="26">
        <v>-0.43220449999999999</v>
      </c>
      <c r="I6223" s="26"/>
      <c r="J6223" s="26" t="s">
        <v>514</v>
      </c>
      <c r="K6223" s="25" t="s">
        <v>513</v>
      </c>
      <c r="L6223" s="8"/>
    </row>
    <row r="6224" spans="1:12" ht="25.5" x14ac:dyDescent="0.25">
      <c r="A6224" s="22">
        <v>2026</v>
      </c>
      <c r="B6224" s="28" t="s">
        <v>237</v>
      </c>
      <c r="C6224" s="28" t="s">
        <v>97</v>
      </c>
      <c r="D6224" s="28" t="s">
        <v>272</v>
      </c>
      <c r="E6224" s="29" t="s">
        <v>500</v>
      </c>
      <c r="F6224" s="29" t="s">
        <v>284</v>
      </c>
      <c r="G6224" s="25" t="s">
        <v>7901</v>
      </c>
      <c r="H6224" s="26">
        <v>-0.46869620000000001</v>
      </c>
      <c r="I6224" s="26"/>
      <c r="J6224" s="26" t="s">
        <v>514</v>
      </c>
      <c r="K6224" s="25" t="s">
        <v>513</v>
      </c>
      <c r="L6224" s="8"/>
    </row>
    <row r="6225" spans="1:12" ht="25.5" x14ac:dyDescent="0.25">
      <c r="A6225" s="22">
        <v>2026</v>
      </c>
      <c r="B6225" s="28" t="s">
        <v>237</v>
      </c>
      <c r="C6225" s="28" t="s">
        <v>97</v>
      </c>
      <c r="D6225" s="28" t="s">
        <v>272</v>
      </c>
      <c r="E6225" s="29" t="s">
        <v>500</v>
      </c>
      <c r="F6225" s="29" t="s">
        <v>284</v>
      </c>
      <c r="G6225" s="25" t="s">
        <v>7902</v>
      </c>
      <c r="H6225" s="26">
        <v>-0.50664450000000005</v>
      </c>
      <c r="I6225" s="26"/>
      <c r="J6225" s="26" t="s">
        <v>514</v>
      </c>
      <c r="K6225" s="25" t="s">
        <v>513</v>
      </c>
      <c r="L6225" s="8"/>
    </row>
    <row r="6226" spans="1:12" ht="25.5" x14ac:dyDescent="0.25">
      <c r="A6226" s="22">
        <v>2026</v>
      </c>
      <c r="B6226" s="28" t="s">
        <v>237</v>
      </c>
      <c r="C6226" s="28" t="s">
        <v>97</v>
      </c>
      <c r="D6226" s="28" t="s">
        <v>1726</v>
      </c>
      <c r="E6226" s="29" t="s">
        <v>569</v>
      </c>
      <c r="F6226" s="29" t="s">
        <v>343</v>
      </c>
      <c r="G6226" s="25" t="s">
        <v>7903</v>
      </c>
      <c r="H6226" s="26">
        <v>-0.31649137783999998</v>
      </c>
      <c r="I6226" s="26"/>
      <c r="J6226" s="26" t="s">
        <v>512</v>
      </c>
      <c r="K6226" s="25" t="s">
        <v>513</v>
      </c>
      <c r="L6226" s="8"/>
    </row>
    <row r="6227" spans="1:12" ht="25.5" x14ac:dyDescent="0.25">
      <c r="A6227" s="22">
        <v>2026</v>
      </c>
      <c r="B6227" s="28" t="s">
        <v>237</v>
      </c>
      <c r="C6227" s="28" t="s">
        <v>97</v>
      </c>
      <c r="D6227" s="28" t="s">
        <v>1726</v>
      </c>
      <c r="E6227" s="29" t="s">
        <v>569</v>
      </c>
      <c r="F6227" s="29" t="s">
        <v>343</v>
      </c>
      <c r="G6227" s="25" t="s">
        <v>7904</v>
      </c>
      <c r="H6227" s="26">
        <v>-0.62259813720000001</v>
      </c>
      <c r="I6227" s="26"/>
      <c r="J6227" s="26" t="s">
        <v>512</v>
      </c>
      <c r="K6227" s="25" t="s">
        <v>513</v>
      </c>
      <c r="L6227" s="8"/>
    </row>
    <row r="6228" spans="1:12" ht="25.5" x14ac:dyDescent="0.25">
      <c r="A6228" s="22">
        <v>2026</v>
      </c>
      <c r="B6228" s="28" t="s">
        <v>237</v>
      </c>
      <c r="C6228" s="28" t="s">
        <v>97</v>
      </c>
      <c r="D6228" s="28" t="s">
        <v>1726</v>
      </c>
      <c r="E6228" s="29" t="s">
        <v>569</v>
      </c>
      <c r="F6228" s="29" t="s">
        <v>343</v>
      </c>
      <c r="G6228" s="25" t="s">
        <v>7905</v>
      </c>
      <c r="H6228" s="26">
        <v>-8.9342600000000008E-2</v>
      </c>
      <c r="I6228" s="26"/>
      <c r="J6228" s="26" t="s">
        <v>512</v>
      </c>
      <c r="K6228" s="25" t="s">
        <v>513</v>
      </c>
      <c r="L6228" s="8"/>
    </row>
    <row r="6229" spans="1:12" ht="25.5" x14ac:dyDescent="0.25">
      <c r="A6229" s="22">
        <v>2026</v>
      </c>
      <c r="B6229" s="28" t="s">
        <v>237</v>
      </c>
      <c r="C6229" s="28" t="s">
        <v>97</v>
      </c>
      <c r="D6229" s="28" t="s">
        <v>1726</v>
      </c>
      <c r="E6229" s="29" t="s">
        <v>569</v>
      </c>
      <c r="F6229" s="29" t="s">
        <v>343</v>
      </c>
      <c r="G6229" s="25" t="s">
        <v>7906</v>
      </c>
      <c r="H6229" s="26">
        <v>-0.3348558016</v>
      </c>
      <c r="I6229" s="26"/>
      <c r="J6229" s="26" t="s">
        <v>512</v>
      </c>
      <c r="K6229" s="25" t="s">
        <v>513</v>
      </c>
      <c r="L6229" s="8"/>
    </row>
    <row r="6230" spans="1:12" ht="25.5" x14ac:dyDescent="0.25">
      <c r="A6230" s="22">
        <v>2026</v>
      </c>
      <c r="B6230" s="28" t="s">
        <v>237</v>
      </c>
      <c r="C6230" s="28" t="s">
        <v>97</v>
      </c>
      <c r="D6230" s="28" t="s">
        <v>1726</v>
      </c>
      <c r="E6230" s="29" t="s">
        <v>569</v>
      </c>
      <c r="F6230" s="29" t="s">
        <v>343</v>
      </c>
      <c r="G6230" s="25" t="s">
        <v>7907</v>
      </c>
      <c r="H6230" s="26">
        <v>-0.22725000000000001</v>
      </c>
      <c r="I6230" s="26"/>
      <c r="J6230" s="26" t="s">
        <v>512</v>
      </c>
      <c r="K6230" s="25" t="s">
        <v>513</v>
      </c>
      <c r="L6230" s="8"/>
    </row>
    <row r="6231" spans="1:12" ht="25.5" x14ac:dyDescent="0.25">
      <c r="A6231" s="22">
        <v>2026</v>
      </c>
      <c r="B6231" s="28" t="s">
        <v>237</v>
      </c>
      <c r="C6231" s="28" t="s">
        <v>97</v>
      </c>
      <c r="D6231" s="28" t="s">
        <v>1726</v>
      </c>
      <c r="E6231" s="29" t="s">
        <v>569</v>
      </c>
      <c r="F6231" s="29" t="s">
        <v>343</v>
      </c>
      <c r="G6231" s="25" t="s">
        <v>7908</v>
      </c>
      <c r="H6231" s="26">
        <v>-0.71825362037999996</v>
      </c>
      <c r="I6231" s="26"/>
      <c r="J6231" s="26" t="s">
        <v>512</v>
      </c>
      <c r="K6231" s="25" t="s">
        <v>513</v>
      </c>
      <c r="L6231" s="8"/>
    </row>
    <row r="6232" spans="1:12" ht="25.5" x14ac:dyDescent="0.25">
      <c r="A6232" s="22">
        <v>2026</v>
      </c>
      <c r="B6232" s="28" t="s">
        <v>237</v>
      </c>
      <c r="C6232" s="28" t="s">
        <v>97</v>
      </c>
      <c r="D6232" s="28" t="s">
        <v>1726</v>
      </c>
      <c r="E6232" s="29" t="s">
        <v>569</v>
      </c>
      <c r="F6232" s="29" t="s">
        <v>343</v>
      </c>
      <c r="G6232" s="25" t="s">
        <v>7909</v>
      </c>
      <c r="H6232" s="26">
        <v>-0.44957449999999999</v>
      </c>
      <c r="I6232" s="26"/>
      <c r="J6232" s="26" t="s">
        <v>512</v>
      </c>
      <c r="K6232" s="25" t="s">
        <v>513</v>
      </c>
      <c r="L6232" s="8"/>
    </row>
    <row r="6233" spans="1:12" ht="25.5" x14ac:dyDescent="0.25">
      <c r="A6233" s="22">
        <v>2026</v>
      </c>
      <c r="B6233" s="28" t="s">
        <v>237</v>
      </c>
      <c r="C6233" s="28" t="s">
        <v>97</v>
      </c>
      <c r="D6233" s="28" t="s">
        <v>1726</v>
      </c>
      <c r="E6233" s="29" t="s">
        <v>569</v>
      </c>
      <c r="F6233" s="29" t="s">
        <v>343</v>
      </c>
      <c r="G6233" s="25" t="s">
        <v>7910</v>
      </c>
      <c r="H6233" s="26">
        <v>-1.3474139999999999</v>
      </c>
      <c r="I6233" s="26"/>
      <c r="J6233" s="26" t="s">
        <v>512</v>
      </c>
      <c r="K6233" s="25" t="s">
        <v>513</v>
      </c>
      <c r="L6233" s="8"/>
    </row>
    <row r="6234" spans="1:12" ht="25.5" x14ac:dyDescent="0.25">
      <c r="A6234" s="22">
        <v>2026</v>
      </c>
      <c r="B6234" s="28" t="s">
        <v>237</v>
      </c>
      <c r="C6234" s="28" t="s">
        <v>97</v>
      </c>
      <c r="D6234" s="28" t="s">
        <v>1726</v>
      </c>
      <c r="E6234" s="29" t="s">
        <v>569</v>
      </c>
      <c r="F6234" s="29" t="s">
        <v>343</v>
      </c>
      <c r="G6234" s="25" t="s">
        <v>7911</v>
      </c>
      <c r="H6234" s="26">
        <v>-0.44174999999999998</v>
      </c>
      <c r="I6234" s="26"/>
      <c r="J6234" s="26" t="s">
        <v>512</v>
      </c>
      <c r="K6234" s="25" t="s">
        <v>513</v>
      </c>
      <c r="L6234" s="8"/>
    </row>
    <row r="6235" spans="1:12" ht="25.5" x14ac:dyDescent="0.25">
      <c r="A6235" s="22">
        <v>2026</v>
      </c>
      <c r="B6235" s="28" t="s">
        <v>237</v>
      </c>
      <c r="C6235" s="28" t="s">
        <v>97</v>
      </c>
      <c r="D6235" s="28" t="s">
        <v>1726</v>
      </c>
      <c r="E6235" s="29" t="s">
        <v>569</v>
      </c>
      <c r="F6235" s="29" t="s">
        <v>343</v>
      </c>
      <c r="G6235" s="25" t="s">
        <v>7912</v>
      </c>
      <c r="H6235" s="26">
        <v>-1.3414995000000001</v>
      </c>
      <c r="I6235" s="26"/>
      <c r="J6235" s="26" t="s">
        <v>512</v>
      </c>
      <c r="K6235" s="25" t="s">
        <v>513</v>
      </c>
      <c r="L6235" s="8"/>
    </row>
    <row r="6236" spans="1:12" ht="25.5" x14ac:dyDescent="0.25">
      <c r="A6236" s="22">
        <v>2026</v>
      </c>
      <c r="B6236" s="28" t="s">
        <v>237</v>
      </c>
      <c r="C6236" s="28" t="s">
        <v>97</v>
      </c>
      <c r="D6236" s="28" t="s">
        <v>1726</v>
      </c>
      <c r="E6236" s="29" t="s">
        <v>569</v>
      </c>
      <c r="F6236" s="29" t="s">
        <v>343</v>
      </c>
      <c r="G6236" s="25" t="s">
        <v>7913</v>
      </c>
      <c r="H6236" s="26">
        <v>-0.38631001500000001</v>
      </c>
      <c r="I6236" s="26"/>
      <c r="J6236" s="26" t="s">
        <v>512</v>
      </c>
      <c r="K6236" s="25" t="s">
        <v>513</v>
      </c>
      <c r="L6236" s="8"/>
    </row>
    <row r="6237" spans="1:12" ht="25.5" x14ac:dyDescent="0.25">
      <c r="A6237" s="22">
        <v>2026</v>
      </c>
      <c r="B6237" s="28" t="s">
        <v>237</v>
      </c>
      <c r="C6237" s="28" t="s">
        <v>97</v>
      </c>
      <c r="D6237" s="28" t="s">
        <v>1726</v>
      </c>
      <c r="E6237" s="29" t="s">
        <v>569</v>
      </c>
      <c r="F6237" s="29" t="s">
        <v>343</v>
      </c>
      <c r="G6237" s="25" t="s">
        <v>7914</v>
      </c>
      <c r="H6237" s="26">
        <v>-0.19525471538</v>
      </c>
      <c r="I6237" s="26"/>
      <c r="J6237" s="26" t="s">
        <v>512</v>
      </c>
      <c r="K6237" s="25" t="s">
        <v>513</v>
      </c>
      <c r="L6237" s="8"/>
    </row>
    <row r="6238" spans="1:12" ht="25.5" x14ac:dyDescent="0.25">
      <c r="A6238" s="22">
        <v>2026</v>
      </c>
      <c r="B6238" s="28" t="s">
        <v>237</v>
      </c>
      <c r="C6238" s="28" t="s">
        <v>97</v>
      </c>
      <c r="D6238" s="28" t="s">
        <v>535</v>
      </c>
      <c r="E6238" s="29" t="s">
        <v>558</v>
      </c>
      <c r="F6238" s="29" t="s">
        <v>374</v>
      </c>
      <c r="G6238" s="25" t="s">
        <v>7915</v>
      </c>
      <c r="H6238" s="26">
        <v>-1.3365899999999999</v>
      </c>
      <c r="I6238" s="26"/>
      <c r="J6238" s="26" t="s">
        <v>512</v>
      </c>
      <c r="K6238" s="25" t="s">
        <v>513</v>
      </c>
      <c r="L6238" s="8"/>
    </row>
    <row r="6239" spans="1:12" ht="25.5" x14ac:dyDescent="0.25">
      <c r="A6239" s="22">
        <v>2026</v>
      </c>
      <c r="B6239" s="28" t="s">
        <v>237</v>
      </c>
      <c r="C6239" s="28" t="s">
        <v>97</v>
      </c>
      <c r="D6239" s="28" t="s">
        <v>535</v>
      </c>
      <c r="E6239" s="29" t="s">
        <v>558</v>
      </c>
      <c r="F6239" s="29" t="s">
        <v>374</v>
      </c>
      <c r="G6239" s="25" t="s">
        <v>7916</v>
      </c>
      <c r="H6239" s="26">
        <v>-1.9889250000000001</v>
      </c>
      <c r="I6239" s="26"/>
      <c r="J6239" s="26" t="s">
        <v>512</v>
      </c>
      <c r="K6239" s="25" t="s">
        <v>513</v>
      </c>
      <c r="L6239" s="8"/>
    </row>
    <row r="6240" spans="1:12" ht="25.5" x14ac:dyDescent="0.25">
      <c r="A6240" s="22">
        <v>2026</v>
      </c>
      <c r="B6240" s="28" t="s">
        <v>237</v>
      </c>
      <c r="C6240" s="28" t="s">
        <v>97</v>
      </c>
      <c r="D6240" s="28" t="s">
        <v>535</v>
      </c>
      <c r="E6240" s="29" t="s">
        <v>558</v>
      </c>
      <c r="F6240" s="29" t="s">
        <v>374</v>
      </c>
      <c r="G6240" s="25" t="s">
        <v>7917</v>
      </c>
      <c r="H6240" s="26">
        <v>-1.9944900000000001</v>
      </c>
      <c r="I6240" s="26"/>
      <c r="J6240" s="26" t="s">
        <v>512</v>
      </c>
      <c r="K6240" s="25" t="s">
        <v>513</v>
      </c>
      <c r="L6240" s="8"/>
    </row>
    <row r="6241" spans="1:12" ht="25.5" x14ac:dyDescent="0.25">
      <c r="A6241" s="22">
        <v>2026</v>
      </c>
      <c r="B6241" s="28" t="s">
        <v>237</v>
      </c>
      <c r="C6241" s="28" t="s">
        <v>97</v>
      </c>
      <c r="D6241" s="28" t="s">
        <v>533</v>
      </c>
      <c r="E6241" s="29" t="s">
        <v>554</v>
      </c>
      <c r="F6241" s="29" t="s">
        <v>284</v>
      </c>
      <c r="G6241" s="25" t="s">
        <v>7918</v>
      </c>
      <c r="H6241" s="26">
        <v>-0.21060000000000001</v>
      </c>
      <c r="I6241" s="26"/>
      <c r="J6241" s="26" t="s">
        <v>512</v>
      </c>
      <c r="K6241" s="25" t="s">
        <v>513</v>
      </c>
      <c r="L6241" s="8"/>
    </row>
    <row r="6242" spans="1:12" ht="25.5" x14ac:dyDescent="0.25">
      <c r="A6242" s="22">
        <v>2026</v>
      </c>
      <c r="B6242" s="28" t="s">
        <v>237</v>
      </c>
      <c r="C6242" s="28" t="s">
        <v>97</v>
      </c>
      <c r="D6242" s="28" t="s">
        <v>234</v>
      </c>
      <c r="E6242" s="29" t="s">
        <v>427</v>
      </c>
      <c r="F6242" s="29" t="s">
        <v>428</v>
      </c>
      <c r="G6242" s="25" t="s">
        <v>7919</v>
      </c>
      <c r="H6242" s="26">
        <v>-0.46004</v>
      </c>
      <c r="I6242" s="26"/>
      <c r="J6242" s="26" t="s">
        <v>512</v>
      </c>
      <c r="K6242" s="25" t="s">
        <v>513</v>
      </c>
      <c r="L6242" s="8"/>
    </row>
    <row r="6243" spans="1:12" ht="25.5" x14ac:dyDescent="0.25">
      <c r="A6243" s="22">
        <v>2026</v>
      </c>
      <c r="B6243" s="28" t="s">
        <v>237</v>
      </c>
      <c r="C6243" s="28" t="s">
        <v>97</v>
      </c>
      <c r="D6243" s="28" t="s">
        <v>234</v>
      </c>
      <c r="E6243" s="29" t="s">
        <v>427</v>
      </c>
      <c r="F6243" s="29" t="s">
        <v>428</v>
      </c>
      <c r="G6243" s="25" t="s">
        <v>3428</v>
      </c>
      <c r="H6243" s="26">
        <v>-0.11623</v>
      </c>
      <c r="I6243" s="26"/>
      <c r="J6243" s="26" t="s">
        <v>512</v>
      </c>
      <c r="K6243" s="25" t="s">
        <v>513</v>
      </c>
      <c r="L6243" s="8"/>
    </row>
    <row r="6244" spans="1:12" ht="25.5" x14ac:dyDescent="0.25">
      <c r="A6244" s="22">
        <v>2026</v>
      </c>
      <c r="B6244" s="28" t="s">
        <v>237</v>
      </c>
      <c r="C6244" s="28" t="s">
        <v>97</v>
      </c>
      <c r="D6244" s="28" t="s">
        <v>234</v>
      </c>
      <c r="E6244" s="29" t="s">
        <v>427</v>
      </c>
      <c r="F6244" s="29" t="s">
        <v>428</v>
      </c>
      <c r="G6244" s="25" t="s">
        <v>7920</v>
      </c>
      <c r="H6244" s="26">
        <v>-0.46998000000000001</v>
      </c>
      <c r="I6244" s="26"/>
      <c r="J6244" s="26" t="s">
        <v>512</v>
      </c>
      <c r="K6244" s="25" t="s">
        <v>513</v>
      </c>
      <c r="L6244" s="8"/>
    </row>
    <row r="6245" spans="1:12" ht="25.5" x14ac:dyDescent="0.25">
      <c r="A6245" s="22">
        <v>2026</v>
      </c>
      <c r="B6245" s="28" t="s">
        <v>237</v>
      </c>
      <c r="C6245" s="28" t="s">
        <v>97</v>
      </c>
      <c r="D6245" s="28" t="s">
        <v>234</v>
      </c>
      <c r="E6245" s="29" t="s">
        <v>427</v>
      </c>
      <c r="F6245" s="29" t="s">
        <v>428</v>
      </c>
      <c r="G6245" s="25" t="s">
        <v>7921</v>
      </c>
      <c r="H6245" s="26">
        <v>-0.46899000000000002</v>
      </c>
      <c r="I6245" s="26"/>
      <c r="J6245" s="26" t="s">
        <v>512</v>
      </c>
      <c r="K6245" s="25" t="s">
        <v>513</v>
      </c>
      <c r="L6245" s="8"/>
    </row>
    <row r="6246" spans="1:12" ht="25.5" x14ac:dyDescent="0.25">
      <c r="A6246" s="22">
        <v>2026</v>
      </c>
      <c r="B6246" s="28" t="s">
        <v>237</v>
      </c>
      <c r="C6246" s="28" t="s">
        <v>97</v>
      </c>
      <c r="D6246" s="28" t="s">
        <v>234</v>
      </c>
      <c r="E6246" s="29" t="s">
        <v>427</v>
      </c>
      <c r="F6246" s="29" t="s">
        <v>428</v>
      </c>
      <c r="G6246" s="25" t="s">
        <v>7922</v>
      </c>
      <c r="H6246" s="26">
        <v>-0.46456999999999998</v>
      </c>
      <c r="I6246" s="26"/>
      <c r="J6246" s="26" t="s">
        <v>512</v>
      </c>
      <c r="K6246" s="25" t="s">
        <v>513</v>
      </c>
      <c r="L6246" s="8"/>
    </row>
    <row r="6247" spans="1:12" ht="25.5" x14ac:dyDescent="0.25">
      <c r="A6247" s="22">
        <v>2026</v>
      </c>
      <c r="B6247" s="28" t="s">
        <v>237</v>
      </c>
      <c r="C6247" s="28" t="s">
        <v>97</v>
      </c>
      <c r="D6247" s="28" t="s">
        <v>234</v>
      </c>
      <c r="E6247" s="29" t="s">
        <v>427</v>
      </c>
      <c r="F6247" s="29" t="s">
        <v>428</v>
      </c>
      <c r="G6247" s="25" t="s">
        <v>7923</v>
      </c>
      <c r="H6247" s="26">
        <v>-0.25806380699999998</v>
      </c>
      <c r="I6247" s="26"/>
      <c r="J6247" s="26" t="s">
        <v>512</v>
      </c>
      <c r="K6247" s="25" t="s">
        <v>513</v>
      </c>
      <c r="L6247" s="8"/>
    </row>
    <row r="6248" spans="1:12" ht="25.5" x14ac:dyDescent="0.25">
      <c r="A6248" s="22">
        <v>2026</v>
      </c>
      <c r="B6248" s="28" t="s">
        <v>237</v>
      </c>
      <c r="C6248" s="28" t="s">
        <v>97</v>
      </c>
      <c r="D6248" s="28" t="s">
        <v>234</v>
      </c>
      <c r="E6248" s="29" t="s">
        <v>427</v>
      </c>
      <c r="F6248" s="29" t="s">
        <v>428</v>
      </c>
      <c r="G6248" s="25" t="s">
        <v>7924</v>
      </c>
      <c r="H6248" s="26">
        <v>-0.46135999999999999</v>
      </c>
      <c r="I6248" s="26"/>
      <c r="J6248" s="26" t="s">
        <v>512</v>
      </c>
      <c r="K6248" s="25" t="s">
        <v>513</v>
      </c>
      <c r="L6248" s="8"/>
    </row>
    <row r="6249" spans="1:12" ht="25.5" x14ac:dyDescent="0.25">
      <c r="A6249" s="22">
        <v>2026</v>
      </c>
      <c r="B6249" s="28" t="s">
        <v>237</v>
      </c>
      <c r="C6249" s="28" t="s">
        <v>97</v>
      </c>
      <c r="D6249" s="28" t="s">
        <v>234</v>
      </c>
      <c r="E6249" s="29" t="s">
        <v>427</v>
      </c>
      <c r="F6249" s="29" t="s">
        <v>428</v>
      </c>
      <c r="G6249" s="25" t="s">
        <v>7925</v>
      </c>
      <c r="H6249" s="26">
        <v>-0.57089999999999996</v>
      </c>
      <c r="I6249" s="26"/>
      <c r="J6249" s="26" t="s">
        <v>512</v>
      </c>
      <c r="K6249" s="25" t="s">
        <v>513</v>
      </c>
      <c r="L6249" s="8"/>
    </row>
    <row r="6250" spans="1:12" ht="25.5" x14ac:dyDescent="0.25">
      <c r="A6250" s="22">
        <v>2026</v>
      </c>
      <c r="B6250" s="28" t="s">
        <v>237</v>
      </c>
      <c r="C6250" s="28" t="s">
        <v>97</v>
      </c>
      <c r="D6250" s="28" t="s">
        <v>234</v>
      </c>
      <c r="E6250" s="29" t="s">
        <v>427</v>
      </c>
      <c r="F6250" s="29" t="s">
        <v>428</v>
      </c>
      <c r="G6250" s="25" t="s">
        <v>7926</v>
      </c>
      <c r="H6250" s="26">
        <v>-0.23361852799999999</v>
      </c>
      <c r="I6250" s="26"/>
      <c r="J6250" s="26" t="s">
        <v>512</v>
      </c>
      <c r="K6250" s="25" t="s">
        <v>513</v>
      </c>
      <c r="L6250" s="8"/>
    </row>
    <row r="6251" spans="1:12" ht="25.5" x14ac:dyDescent="0.25">
      <c r="A6251" s="22">
        <v>2026</v>
      </c>
      <c r="B6251" s="28" t="s">
        <v>237</v>
      </c>
      <c r="C6251" s="28" t="s">
        <v>97</v>
      </c>
      <c r="D6251" s="28" t="s">
        <v>234</v>
      </c>
      <c r="E6251" s="29" t="s">
        <v>427</v>
      </c>
      <c r="F6251" s="29" t="s">
        <v>428</v>
      </c>
      <c r="G6251" s="25" t="s">
        <v>7927</v>
      </c>
      <c r="H6251" s="26">
        <v>-0.58478750000000002</v>
      </c>
      <c r="I6251" s="26"/>
      <c r="J6251" s="26" t="s">
        <v>512</v>
      </c>
      <c r="K6251" s="25" t="s">
        <v>513</v>
      </c>
      <c r="L6251" s="8"/>
    </row>
    <row r="6252" spans="1:12" ht="25.5" x14ac:dyDescent="0.25">
      <c r="A6252" s="22">
        <v>2026</v>
      </c>
      <c r="B6252" s="28" t="s">
        <v>237</v>
      </c>
      <c r="C6252" s="28" t="s">
        <v>97</v>
      </c>
      <c r="D6252" s="28" t="s">
        <v>234</v>
      </c>
      <c r="E6252" s="29" t="s">
        <v>427</v>
      </c>
      <c r="F6252" s="29" t="s">
        <v>428</v>
      </c>
      <c r="G6252" s="25" t="s">
        <v>7928</v>
      </c>
      <c r="H6252" s="26">
        <v>-0.58673750000000002</v>
      </c>
      <c r="I6252" s="26"/>
      <c r="J6252" s="26" t="s">
        <v>512</v>
      </c>
      <c r="K6252" s="25" t="s">
        <v>513</v>
      </c>
      <c r="L6252" s="8"/>
    </row>
    <row r="6253" spans="1:12" ht="25.5" x14ac:dyDescent="0.25">
      <c r="A6253" s="22">
        <v>2026</v>
      </c>
      <c r="B6253" s="28" t="s">
        <v>237</v>
      </c>
      <c r="C6253" s="28" t="s">
        <v>97</v>
      </c>
      <c r="D6253" s="28" t="s">
        <v>1727</v>
      </c>
      <c r="E6253" s="29" t="s">
        <v>446</v>
      </c>
      <c r="F6253" s="29" t="s">
        <v>903</v>
      </c>
      <c r="G6253" s="25" t="s">
        <v>7929</v>
      </c>
      <c r="H6253" s="26">
        <v>-0.15892500000000001</v>
      </c>
      <c r="I6253" s="26"/>
      <c r="J6253" s="26" t="s">
        <v>514</v>
      </c>
      <c r="K6253" s="25" t="s">
        <v>513</v>
      </c>
      <c r="L6253" s="8"/>
    </row>
    <row r="6254" spans="1:12" ht="25.5" x14ac:dyDescent="0.25">
      <c r="A6254" s="22">
        <v>2026</v>
      </c>
      <c r="B6254" s="28" t="s">
        <v>237</v>
      </c>
      <c r="C6254" s="28" t="s">
        <v>97</v>
      </c>
      <c r="D6254" s="28" t="s">
        <v>1727</v>
      </c>
      <c r="E6254" s="29" t="s">
        <v>446</v>
      </c>
      <c r="F6254" s="29" t="s">
        <v>903</v>
      </c>
      <c r="G6254" s="25" t="s">
        <v>7930</v>
      </c>
      <c r="H6254" s="26">
        <v>-4.7399999999999998E-2</v>
      </c>
      <c r="I6254" s="26"/>
      <c r="J6254" s="26" t="s">
        <v>514</v>
      </c>
      <c r="K6254" s="25" t="s">
        <v>513</v>
      </c>
      <c r="L6254" s="8"/>
    </row>
    <row r="6255" spans="1:12" ht="25.5" x14ac:dyDescent="0.25">
      <c r="A6255" s="22">
        <v>2026</v>
      </c>
      <c r="B6255" s="28" t="s">
        <v>237</v>
      </c>
      <c r="C6255" s="28" t="s">
        <v>97</v>
      </c>
      <c r="D6255" s="28" t="s">
        <v>1727</v>
      </c>
      <c r="E6255" s="29" t="s">
        <v>446</v>
      </c>
      <c r="F6255" s="29" t="s">
        <v>903</v>
      </c>
      <c r="G6255" s="25" t="s">
        <v>7931</v>
      </c>
      <c r="H6255" s="26">
        <v>-7.9750000000000001E-2</v>
      </c>
      <c r="I6255" s="26"/>
      <c r="J6255" s="26" t="s">
        <v>514</v>
      </c>
      <c r="K6255" s="25" t="s">
        <v>513</v>
      </c>
      <c r="L6255" s="8"/>
    </row>
    <row r="6256" spans="1:12" ht="25.5" x14ac:dyDescent="0.25">
      <c r="A6256" s="22">
        <v>2026</v>
      </c>
      <c r="B6256" s="28" t="s">
        <v>237</v>
      </c>
      <c r="C6256" s="28" t="s">
        <v>97</v>
      </c>
      <c r="D6256" s="28" t="s">
        <v>1727</v>
      </c>
      <c r="E6256" s="29" t="s">
        <v>446</v>
      </c>
      <c r="F6256" s="29" t="s">
        <v>903</v>
      </c>
      <c r="G6256" s="25" t="s">
        <v>7932</v>
      </c>
      <c r="H6256" s="26">
        <v>-0.04</v>
      </c>
      <c r="I6256" s="26"/>
      <c r="J6256" s="26" t="s">
        <v>514</v>
      </c>
      <c r="K6256" s="25" t="s">
        <v>513</v>
      </c>
      <c r="L6256" s="8"/>
    </row>
    <row r="6257" spans="1:12" ht="25.5" x14ac:dyDescent="0.25">
      <c r="A6257" s="22">
        <v>2026</v>
      </c>
      <c r="B6257" s="28" t="s">
        <v>237</v>
      </c>
      <c r="C6257" s="28" t="s">
        <v>97</v>
      </c>
      <c r="D6257" s="28" t="s">
        <v>1727</v>
      </c>
      <c r="E6257" s="29" t="s">
        <v>446</v>
      </c>
      <c r="F6257" s="29" t="s">
        <v>903</v>
      </c>
      <c r="G6257" s="25" t="s">
        <v>7933</v>
      </c>
      <c r="H6257" s="26">
        <v>-0.12937499999999999</v>
      </c>
      <c r="I6257" s="26"/>
      <c r="J6257" s="26" t="s">
        <v>514</v>
      </c>
      <c r="K6257" s="25" t="s">
        <v>513</v>
      </c>
      <c r="L6257" s="8"/>
    </row>
    <row r="6258" spans="1:12" ht="25.5" x14ac:dyDescent="0.25">
      <c r="A6258" s="22">
        <v>2026</v>
      </c>
      <c r="B6258" s="28" t="s">
        <v>237</v>
      </c>
      <c r="C6258" s="28" t="s">
        <v>97</v>
      </c>
      <c r="D6258" s="28" t="s">
        <v>1727</v>
      </c>
      <c r="E6258" s="29" t="s">
        <v>446</v>
      </c>
      <c r="F6258" s="29" t="s">
        <v>903</v>
      </c>
      <c r="G6258" s="25" t="s">
        <v>7934</v>
      </c>
      <c r="H6258" s="26">
        <v>-8.6749999999999994E-2</v>
      </c>
      <c r="I6258" s="26"/>
      <c r="J6258" s="26" t="s">
        <v>514</v>
      </c>
      <c r="K6258" s="25" t="s">
        <v>513</v>
      </c>
      <c r="L6258" s="8"/>
    </row>
    <row r="6259" spans="1:12" ht="25.5" x14ac:dyDescent="0.25">
      <c r="A6259" s="22">
        <v>2026</v>
      </c>
      <c r="B6259" s="28" t="s">
        <v>237</v>
      </c>
      <c r="C6259" s="28" t="s">
        <v>97</v>
      </c>
      <c r="D6259" s="28" t="s">
        <v>1728</v>
      </c>
      <c r="E6259" s="29" t="s">
        <v>1775</v>
      </c>
      <c r="F6259" s="29" t="s">
        <v>374</v>
      </c>
      <c r="G6259" s="25" t="s">
        <v>7935</v>
      </c>
      <c r="H6259" s="26">
        <v>-0.20444999999999999</v>
      </c>
      <c r="I6259" s="26"/>
      <c r="J6259" s="26" t="s">
        <v>514</v>
      </c>
      <c r="K6259" s="25" t="s">
        <v>513</v>
      </c>
      <c r="L6259" s="8"/>
    </row>
    <row r="6260" spans="1:12" ht="25.5" x14ac:dyDescent="0.25">
      <c r="A6260" s="22">
        <v>2026</v>
      </c>
      <c r="B6260" s="28" t="s">
        <v>237</v>
      </c>
      <c r="C6260" s="28" t="s">
        <v>97</v>
      </c>
      <c r="D6260" s="28" t="s">
        <v>1728</v>
      </c>
      <c r="E6260" s="29" t="s">
        <v>1775</v>
      </c>
      <c r="F6260" s="29" t="s">
        <v>374</v>
      </c>
      <c r="G6260" s="25" t="s">
        <v>7936</v>
      </c>
      <c r="H6260" s="26">
        <v>-0.20369999999999999</v>
      </c>
      <c r="I6260" s="26"/>
      <c r="J6260" s="26" t="s">
        <v>514</v>
      </c>
      <c r="K6260" s="25" t="s">
        <v>513</v>
      </c>
      <c r="L6260" s="8"/>
    </row>
    <row r="6261" spans="1:12" ht="25.5" x14ac:dyDescent="0.25">
      <c r="A6261" s="22">
        <v>2026</v>
      </c>
      <c r="B6261" s="28" t="s">
        <v>237</v>
      </c>
      <c r="C6261" s="28" t="s">
        <v>97</v>
      </c>
      <c r="D6261" s="28" t="s">
        <v>1728</v>
      </c>
      <c r="E6261" s="29" t="s">
        <v>1775</v>
      </c>
      <c r="F6261" s="29" t="s">
        <v>374</v>
      </c>
      <c r="G6261" s="25" t="s">
        <v>7937</v>
      </c>
      <c r="H6261" s="26">
        <v>-0.20399999999999999</v>
      </c>
      <c r="I6261" s="26"/>
      <c r="J6261" s="26" t="s">
        <v>514</v>
      </c>
      <c r="K6261" s="25" t="s">
        <v>513</v>
      </c>
      <c r="L6261" s="8"/>
    </row>
    <row r="6262" spans="1:12" ht="25.5" x14ac:dyDescent="0.25">
      <c r="A6262" s="22">
        <v>2026</v>
      </c>
      <c r="B6262" s="28" t="s">
        <v>237</v>
      </c>
      <c r="C6262" s="28" t="s">
        <v>97</v>
      </c>
      <c r="D6262" s="28" t="s">
        <v>1728</v>
      </c>
      <c r="E6262" s="29" t="s">
        <v>1775</v>
      </c>
      <c r="F6262" s="29" t="s">
        <v>374</v>
      </c>
      <c r="G6262" s="25" t="s">
        <v>7938</v>
      </c>
      <c r="H6262" s="26">
        <v>-0.20549999999999999</v>
      </c>
      <c r="I6262" s="26"/>
      <c r="J6262" s="26" t="s">
        <v>514</v>
      </c>
      <c r="K6262" s="25" t="s">
        <v>513</v>
      </c>
      <c r="L6262" s="8"/>
    </row>
    <row r="6263" spans="1:12" ht="25.5" x14ac:dyDescent="0.25">
      <c r="A6263" s="22">
        <v>2026</v>
      </c>
      <c r="B6263" s="28" t="s">
        <v>237</v>
      </c>
      <c r="C6263" s="28" t="s">
        <v>97</v>
      </c>
      <c r="D6263" s="28" t="s">
        <v>1728</v>
      </c>
      <c r="E6263" s="29" t="s">
        <v>1775</v>
      </c>
      <c r="F6263" s="29" t="s">
        <v>374</v>
      </c>
      <c r="G6263" s="25" t="s">
        <v>7939</v>
      </c>
      <c r="H6263" s="26">
        <v>-0.2064</v>
      </c>
      <c r="I6263" s="26"/>
      <c r="J6263" s="26" t="s">
        <v>514</v>
      </c>
      <c r="K6263" s="25" t="s">
        <v>513</v>
      </c>
      <c r="L6263" s="8"/>
    </row>
    <row r="6264" spans="1:12" ht="25.5" x14ac:dyDescent="0.25">
      <c r="A6264" s="22">
        <v>2026</v>
      </c>
      <c r="B6264" s="28" t="s">
        <v>237</v>
      </c>
      <c r="C6264" s="28" t="s">
        <v>97</v>
      </c>
      <c r="D6264" s="28" t="s">
        <v>1728</v>
      </c>
      <c r="E6264" s="29" t="s">
        <v>1775</v>
      </c>
      <c r="F6264" s="29" t="s">
        <v>374</v>
      </c>
      <c r="G6264" s="25" t="s">
        <v>7940</v>
      </c>
      <c r="H6264" s="26">
        <v>-0.20805000000000001</v>
      </c>
      <c r="I6264" s="26"/>
      <c r="J6264" s="26" t="s">
        <v>514</v>
      </c>
      <c r="K6264" s="25" t="s">
        <v>513</v>
      </c>
      <c r="L6264" s="8"/>
    </row>
    <row r="6265" spans="1:12" ht="25.5" x14ac:dyDescent="0.25">
      <c r="A6265" s="22">
        <v>2026</v>
      </c>
      <c r="B6265" s="28" t="s">
        <v>237</v>
      </c>
      <c r="C6265" s="28" t="s">
        <v>97</v>
      </c>
      <c r="D6265" s="28" t="s">
        <v>1728</v>
      </c>
      <c r="E6265" s="29" t="s">
        <v>1775</v>
      </c>
      <c r="F6265" s="29" t="s">
        <v>374</v>
      </c>
      <c r="G6265" s="25" t="s">
        <v>7941</v>
      </c>
      <c r="H6265" s="26">
        <v>-0.12674679899999999</v>
      </c>
      <c r="I6265" s="26"/>
      <c r="J6265" s="26" t="s">
        <v>514</v>
      </c>
      <c r="K6265" s="25" t="s">
        <v>513</v>
      </c>
      <c r="L6265" s="8"/>
    </row>
    <row r="6266" spans="1:12" ht="25.5" x14ac:dyDescent="0.25">
      <c r="A6266" s="22">
        <v>2026</v>
      </c>
      <c r="B6266" s="28" t="s">
        <v>237</v>
      </c>
      <c r="C6266" s="28" t="s">
        <v>97</v>
      </c>
      <c r="D6266" s="28" t="s">
        <v>1728</v>
      </c>
      <c r="E6266" s="29" t="s">
        <v>1775</v>
      </c>
      <c r="F6266" s="29" t="s">
        <v>374</v>
      </c>
      <c r="G6266" s="25" t="s">
        <v>7942</v>
      </c>
      <c r="H6266" s="26">
        <v>-0.20954999999999999</v>
      </c>
      <c r="I6266" s="26"/>
      <c r="J6266" s="26" t="s">
        <v>514</v>
      </c>
      <c r="K6266" s="25" t="s">
        <v>513</v>
      </c>
      <c r="L6266" s="8"/>
    </row>
    <row r="6267" spans="1:12" ht="25.5" x14ac:dyDescent="0.25">
      <c r="A6267" s="22">
        <v>2026</v>
      </c>
      <c r="B6267" s="28" t="s">
        <v>237</v>
      </c>
      <c r="C6267" s="28" t="s">
        <v>97</v>
      </c>
      <c r="D6267" s="28" t="s">
        <v>1728</v>
      </c>
      <c r="E6267" s="29" t="s">
        <v>1775</v>
      </c>
      <c r="F6267" s="29" t="s">
        <v>374</v>
      </c>
      <c r="G6267" s="25" t="s">
        <v>7943</v>
      </c>
      <c r="H6267" s="26">
        <v>-0.21149999999999999</v>
      </c>
      <c r="I6267" s="26"/>
      <c r="J6267" s="26" t="s">
        <v>514</v>
      </c>
      <c r="K6267" s="25" t="s">
        <v>513</v>
      </c>
      <c r="L6267" s="8"/>
    </row>
    <row r="6268" spans="1:12" ht="25.5" x14ac:dyDescent="0.25">
      <c r="A6268" s="22">
        <v>2026</v>
      </c>
      <c r="B6268" s="28" t="s">
        <v>237</v>
      </c>
      <c r="C6268" s="28" t="s">
        <v>97</v>
      </c>
      <c r="D6268" s="28" t="s">
        <v>1729</v>
      </c>
      <c r="E6268" s="29" t="s">
        <v>334</v>
      </c>
      <c r="F6268" s="29" t="s">
        <v>937</v>
      </c>
      <c r="G6268" s="25" t="s">
        <v>7944</v>
      </c>
      <c r="H6268" s="26">
        <v>-0.249</v>
      </c>
      <c r="I6268" s="26"/>
      <c r="J6268" s="26" t="s">
        <v>512</v>
      </c>
      <c r="K6268" s="25" t="s">
        <v>513</v>
      </c>
      <c r="L6268" s="8"/>
    </row>
    <row r="6269" spans="1:12" ht="25.5" x14ac:dyDescent="0.25">
      <c r="A6269" s="22">
        <v>2026</v>
      </c>
      <c r="B6269" s="28" t="s">
        <v>237</v>
      </c>
      <c r="C6269" s="28" t="s">
        <v>97</v>
      </c>
      <c r="D6269" s="28" t="s">
        <v>1729</v>
      </c>
      <c r="E6269" s="29" t="s">
        <v>334</v>
      </c>
      <c r="F6269" s="29" t="s">
        <v>937</v>
      </c>
      <c r="G6269" s="25" t="s">
        <v>7945</v>
      </c>
      <c r="H6269" s="26">
        <v>-0.50600000000000001</v>
      </c>
      <c r="I6269" s="26"/>
      <c r="J6269" s="26" t="s">
        <v>512</v>
      </c>
      <c r="K6269" s="25" t="s">
        <v>513</v>
      </c>
      <c r="L6269" s="8"/>
    </row>
    <row r="6270" spans="1:12" ht="25.5" x14ac:dyDescent="0.25">
      <c r="A6270" s="22">
        <v>2026</v>
      </c>
      <c r="B6270" s="28" t="s">
        <v>237</v>
      </c>
      <c r="C6270" s="28" t="s">
        <v>97</v>
      </c>
      <c r="D6270" s="28" t="s">
        <v>1729</v>
      </c>
      <c r="E6270" s="29" t="s">
        <v>334</v>
      </c>
      <c r="F6270" s="29" t="s">
        <v>937</v>
      </c>
      <c r="G6270" s="25" t="s">
        <v>7946</v>
      </c>
      <c r="H6270" s="26">
        <v>-0.62875000000000003</v>
      </c>
      <c r="I6270" s="26"/>
      <c r="J6270" s="26" t="s">
        <v>512</v>
      </c>
      <c r="K6270" s="25" t="s">
        <v>513</v>
      </c>
      <c r="L6270" s="8"/>
    </row>
    <row r="6271" spans="1:12" ht="25.5" x14ac:dyDescent="0.25">
      <c r="A6271" s="22">
        <v>2026</v>
      </c>
      <c r="B6271" s="28" t="s">
        <v>237</v>
      </c>
      <c r="C6271" s="28" t="s">
        <v>97</v>
      </c>
      <c r="D6271" s="28" t="s">
        <v>1729</v>
      </c>
      <c r="E6271" s="29" t="s">
        <v>334</v>
      </c>
      <c r="F6271" s="29" t="s">
        <v>937</v>
      </c>
      <c r="G6271" s="25" t="s">
        <v>7947</v>
      </c>
      <c r="H6271" s="26">
        <v>-0.48599999999999999</v>
      </c>
      <c r="I6271" s="26"/>
      <c r="J6271" s="26" t="s">
        <v>512</v>
      </c>
      <c r="K6271" s="25" t="s">
        <v>513</v>
      </c>
      <c r="L6271" s="8"/>
    </row>
    <row r="6272" spans="1:12" ht="25.5" x14ac:dyDescent="0.25">
      <c r="A6272" s="22">
        <v>2026</v>
      </c>
      <c r="B6272" s="28" t="s">
        <v>237</v>
      </c>
      <c r="C6272" s="28" t="s">
        <v>97</v>
      </c>
      <c r="D6272" s="28" t="s">
        <v>1729</v>
      </c>
      <c r="E6272" s="29" t="s">
        <v>334</v>
      </c>
      <c r="F6272" s="29" t="s">
        <v>937</v>
      </c>
      <c r="G6272" s="25" t="s">
        <v>7947</v>
      </c>
      <c r="H6272" s="26">
        <v>-0.48599999999999999</v>
      </c>
      <c r="I6272" s="26"/>
      <c r="J6272" s="26" t="s">
        <v>512</v>
      </c>
      <c r="K6272" s="25" t="s">
        <v>513</v>
      </c>
      <c r="L6272" s="8"/>
    </row>
    <row r="6273" spans="1:12" ht="25.5" x14ac:dyDescent="0.25">
      <c r="A6273" s="22">
        <v>2026</v>
      </c>
      <c r="B6273" s="28" t="s">
        <v>237</v>
      </c>
      <c r="C6273" s="28" t="s">
        <v>97</v>
      </c>
      <c r="D6273" s="28" t="s">
        <v>1729</v>
      </c>
      <c r="E6273" s="29" t="s">
        <v>334</v>
      </c>
      <c r="F6273" s="29" t="s">
        <v>937</v>
      </c>
      <c r="G6273" s="25" t="s">
        <v>7948</v>
      </c>
      <c r="H6273" s="26">
        <v>-0.47749999999999998</v>
      </c>
      <c r="I6273" s="26"/>
      <c r="J6273" s="26" t="s">
        <v>512</v>
      </c>
      <c r="K6273" s="25" t="s">
        <v>513</v>
      </c>
      <c r="L6273" s="8"/>
    </row>
    <row r="6274" spans="1:12" ht="25.5" x14ac:dyDescent="0.25">
      <c r="A6274" s="22">
        <v>2026</v>
      </c>
      <c r="B6274" s="28" t="s">
        <v>237</v>
      </c>
      <c r="C6274" s="28" t="s">
        <v>97</v>
      </c>
      <c r="D6274" s="28" t="s">
        <v>1729</v>
      </c>
      <c r="E6274" s="29" t="s">
        <v>334</v>
      </c>
      <c r="F6274" s="29" t="s">
        <v>937</v>
      </c>
      <c r="G6274" s="25" t="s">
        <v>7949</v>
      </c>
      <c r="H6274" s="26">
        <v>-0.47699999999999998</v>
      </c>
      <c r="I6274" s="26"/>
      <c r="J6274" s="26" t="s">
        <v>512</v>
      </c>
      <c r="K6274" s="25" t="s">
        <v>513</v>
      </c>
      <c r="L6274" s="8"/>
    </row>
    <row r="6275" spans="1:12" ht="25.5" x14ac:dyDescent="0.25">
      <c r="A6275" s="22">
        <v>2026</v>
      </c>
      <c r="B6275" s="28" t="s">
        <v>237</v>
      </c>
      <c r="C6275" s="28" t="s">
        <v>97</v>
      </c>
      <c r="D6275" s="28" t="s">
        <v>1729</v>
      </c>
      <c r="E6275" s="29" t="s">
        <v>334</v>
      </c>
      <c r="F6275" s="29" t="s">
        <v>937</v>
      </c>
      <c r="G6275" s="25" t="s">
        <v>3555</v>
      </c>
      <c r="H6275" s="26">
        <v>-0.48</v>
      </c>
      <c r="I6275" s="26"/>
      <c r="J6275" s="26" t="s">
        <v>512</v>
      </c>
      <c r="K6275" s="25" t="s">
        <v>513</v>
      </c>
      <c r="L6275" s="8"/>
    </row>
    <row r="6276" spans="1:12" ht="25.5" x14ac:dyDescent="0.25">
      <c r="A6276" s="22">
        <v>2026</v>
      </c>
      <c r="B6276" s="28" t="s">
        <v>237</v>
      </c>
      <c r="C6276" s="28" t="s">
        <v>97</v>
      </c>
      <c r="D6276" s="28" t="s">
        <v>1729</v>
      </c>
      <c r="E6276" s="29" t="s">
        <v>334</v>
      </c>
      <c r="F6276" s="29" t="s">
        <v>937</v>
      </c>
      <c r="G6276" s="25" t="s">
        <v>7950</v>
      </c>
      <c r="H6276" s="26">
        <v>-0.36899999999999999</v>
      </c>
      <c r="I6276" s="26"/>
      <c r="J6276" s="26" t="s">
        <v>512</v>
      </c>
      <c r="K6276" s="25" t="s">
        <v>513</v>
      </c>
      <c r="L6276" s="8"/>
    </row>
    <row r="6277" spans="1:12" ht="25.5" x14ac:dyDescent="0.25">
      <c r="A6277" s="22">
        <v>2026</v>
      </c>
      <c r="B6277" s="28" t="s">
        <v>237</v>
      </c>
      <c r="C6277" s="28" t="s">
        <v>97</v>
      </c>
      <c r="D6277" s="28" t="s">
        <v>1729</v>
      </c>
      <c r="E6277" s="29" t="s">
        <v>334</v>
      </c>
      <c r="F6277" s="29" t="s">
        <v>937</v>
      </c>
      <c r="G6277" s="25" t="s">
        <v>7951</v>
      </c>
      <c r="H6277" s="26">
        <v>-0.501</v>
      </c>
      <c r="I6277" s="26"/>
      <c r="J6277" s="26" t="s">
        <v>512</v>
      </c>
      <c r="K6277" s="25" t="s">
        <v>513</v>
      </c>
      <c r="L6277" s="8"/>
    </row>
    <row r="6278" spans="1:12" ht="25.5" x14ac:dyDescent="0.25">
      <c r="A6278" s="22">
        <v>2026</v>
      </c>
      <c r="B6278" s="28" t="s">
        <v>237</v>
      </c>
      <c r="C6278" s="28" t="s">
        <v>97</v>
      </c>
      <c r="D6278" s="28" t="s">
        <v>1729</v>
      </c>
      <c r="E6278" s="29" t="s">
        <v>334</v>
      </c>
      <c r="F6278" s="29" t="s">
        <v>937</v>
      </c>
      <c r="G6278" s="25" t="s">
        <v>7951</v>
      </c>
      <c r="H6278" s="26">
        <v>-0.501</v>
      </c>
      <c r="I6278" s="26"/>
      <c r="J6278" s="26" t="s">
        <v>512</v>
      </c>
      <c r="K6278" s="25" t="s">
        <v>513</v>
      </c>
      <c r="L6278" s="8"/>
    </row>
    <row r="6279" spans="1:12" ht="25.5" x14ac:dyDescent="0.25">
      <c r="A6279" s="22">
        <v>2026</v>
      </c>
      <c r="B6279" s="28" t="s">
        <v>237</v>
      </c>
      <c r="C6279" s="28" t="s">
        <v>97</v>
      </c>
      <c r="D6279" s="28" t="s">
        <v>1729</v>
      </c>
      <c r="E6279" s="29" t="s">
        <v>334</v>
      </c>
      <c r="F6279" s="29" t="s">
        <v>937</v>
      </c>
      <c r="G6279" s="25" t="s">
        <v>7952</v>
      </c>
      <c r="H6279" s="26">
        <v>-0.63124999999999998</v>
      </c>
      <c r="I6279" s="26"/>
      <c r="J6279" s="26" t="s">
        <v>512</v>
      </c>
      <c r="K6279" s="25" t="s">
        <v>513</v>
      </c>
      <c r="L6279" s="8"/>
    </row>
    <row r="6280" spans="1:12" ht="25.5" x14ac:dyDescent="0.25">
      <c r="A6280" s="22">
        <v>2026</v>
      </c>
      <c r="B6280" s="28" t="s">
        <v>237</v>
      </c>
      <c r="C6280" s="28" t="s">
        <v>97</v>
      </c>
      <c r="D6280" s="28" t="s">
        <v>1729</v>
      </c>
      <c r="E6280" s="29" t="s">
        <v>334</v>
      </c>
      <c r="F6280" s="29" t="s">
        <v>937</v>
      </c>
      <c r="G6280" s="25" t="s">
        <v>7953</v>
      </c>
      <c r="H6280" s="26">
        <v>-0.64124999999999999</v>
      </c>
      <c r="I6280" s="26"/>
      <c r="J6280" s="26" t="s">
        <v>512</v>
      </c>
      <c r="K6280" s="25" t="s">
        <v>513</v>
      </c>
      <c r="L6280" s="8"/>
    </row>
    <row r="6281" spans="1:12" ht="25.5" x14ac:dyDescent="0.25">
      <c r="A6281" s="22">
        <v>2026</v>
      </c>
      <c r="B6281" s="28" t="s">
        <v>237</v>
      </c>
      <c r="C6281" s="28" t="s">
        <v>97</v>
      </c>
      <c r="D6281" s="28" t="s">
        <v>1729</v>
      </c>
      <c r="E6281" s="29" t="s">
        <v>334</v>
      </c>
      <c r="F6281" s="29" t="s">
        <v>937</v>
      </c>
      <c r="G6281" s="25" t="s">
        <v>7954</v>
      </c>
      <c r="H6281" s="26">
        <v>-0.38459399999999999</v>
      </c>
      <c r="I6281" s="26"/>
      <c r="J6281" s="26" t="s">
        <v>512</v>
      </c>
      <c r="K6281" s="25" t="s">
        <v>513</v>
      </c>
      <c r="L6281" s="8"/>
    </row>
    <row r="6282" spans="1:12" ht="25.5" x14ac:dyDescent="0.25">
      <c r="A6282" s="22">
        <v>2026</v>
      </c>
      <c r="B6282" s="28" t="s">
        <v>237</v>
      </c>
      <c r="C6282" s="28" t="s">
        <v>97</v>
      </c>
      <c r="D6282" s="28" t="s">
        <v>1729</v>
      </c>
      <c r="E6282" s="29" t="s">
        <v>334</v>
      </c>
      <c r="F6282" s="29" t="s">
        <v>937</v>
      </c>
      <c r="G6282" s="25" t="s">
        <v>7955</v>
      </c>
      <c r="H6282" s="26">
        <v>-0.2475</v>
      </c>
      <c r="I6282" s="26"/>
      <c r="J6282" s="26" t="s">
        <v>512</v>
      </c>
      <c r="K6282" s="25" t="s">
        <v>513</v>
      </c>
      <c r="L6282" s="8"/>
    </row>
    <row r="6283" spans="1:12" ht="25.5" x14ac:dyDescent="0.25">
      <c r="A6283" s="22">
        <v>2026</v>
      </c>
      <c r="B6283" s="28" t="s">
        <v>237</v>
      </c>
      <c r="C6283" s="28" t="s">
        <v>97</v>
      </c>
      <c r="D6283" s="28" t="s">
        <v>1729</v>
      </c>
      <c r="E6283" s="29" t="s">
        <v>334</v>
      </c>
      <c r="F6283" s="29" t="s">
        <v>937</v>
      </c>
      <c r="G6283" s="25" t="s">
        <v>7956</v>
      </c>
      <c r="H6283" s="26">
        <v>-0.61875000000000002</v>
      </c>
      <c r="I6283" s="26"/>
      <c r="J6283" s="26" t="s">
        <v>512</v>
      </c>
      <c r="K6283" s="25" t="s">
        <v>513</v>
      </c>
      <c r="L6283" s="8"/>
    </row>
    <row r="6284" spans="1:12" ht="25.5" x14ac:dyDescent="0.25">
      <c r="A6284" s="22">
        <v>2026</v>
      </c>
      <c r="B6284" s="28" t="s">
        <v>237</v>
      </c>
      <c r="C6284" s="28" t="s">
        <v>97</v>
      </c>
      <c r="D6284" s="28" t="s">
        <v>1730</v>
      </c>
      <c r="E6284" s="29" t="s">
        <v>309</v>
      </c>
      <c r="F6284" s="29" t="s">
        <v>1274</v>
      </c>
      <c r="G6284" s="25" t="s">
        <v>7957</v>
      </c>
      <c r="H6284" s="26">
        <v>-0.55591021122000006</v>
      </c>
      <c r="I6284" s="26"/>
      <c r="J6284" s="26" t="s">
        <v>512</v>
      </c>
      <c r="K6284" s="25" t="s">
        <v>513</v>
      </c>
      <c r="L6284" s="8"/>
    </row>
    <row r="6285" spans="1:12" ht="25.5" x14ac:dyDescent="0.25">
      <c r="A6285" s="22">
        <v>2026</v>
      </c>
      <c r="B6285" s="28" t="s">
        <v>237</v>
      </c>
      <c r="C6285" s="28" t="s">
        <v>97</v>
      </c>
      <c r="D6285" s="28" t="s">
        <v>1730</v>
      </c>
      <c r="E6285" s="29" t="s">
        <v>309</v>
      </c>
      <c r="F6285" s="29" t="s">
        <v>1274</v>
      </c>
      <c r="G6285" s="25" t="s">
        <v>7958</v>
      </c>
      <c r="H6285" s="26">
        <v>-0.72400200000000003</v>
      </c>
      <c r="I6285" s="26"/>
      <c r="J6285" s="26" t="s">
        <v>512</v>
      </c>
      <c r="K6285" s="25" t="s">
        <v>513</v>
      </c>
      <c r="L6285" s="8"/>
    </row>
    <row r="6286" spans="1:12" ht="25.5" x14ac:dyDescent="0.25">
      <c r="A6286" s="22">
        <v>2026</v>
      </c>
      <c r="B6286" s="28" t="s">
        <v>237</v>
      </c>
      <c r="C6286" s="28" t="s">
        <v>97</v>
      </c>
      <c r="D6286" s="28" t="s">
        <v>1730</v>
      </c>
      <c r="E6286" s="29" t="s">
        <v>309</v>
      </c>
      <c r="F6286" s="29" t="s">
        <v>1274</v>
      </c>
      <c r="G6286" s="25" t="s">
        <v>7959</v>
      </c>
      <c r="H6286" s="26">
        <v>-0.36335099999999998</v>
      </c>
      <c r="I6286" s="26"/>
      <c r="J6286" s="26" t="s">
        <v>512</v>
      </c>
      <c r="K6286" s="25" t="s">
        <v>513</v>
      </c>
      <c r="L6286" s="8"/>
    </row>
    <row r="6287" spans="1:12" ht="25.5" x14ac:dyDescent="0.25">
      <c r="A6287" s="22">
        <v>2026</v>
      </c>
      <c r="B6287" s="28" t="s">
        <v>237</v>
      </c>
      <c r="C6287" s="28" t="s">
        <v>97</v>
      </c>
      <c r="D6287" s="28" t="s">
        <v>1730</v>
      </c>
      <c r="E6287" s="29" t="s">
        <v>309</v>
      </c>
      <c r="F6287" s="29" t="s">
        <v>1274</v>
      </c>
      <c r="G6287" s="25" t="s">
        <v>7960</v>
      </c>
      <c r="H6287" s="26">
        <v>-0.90810000000000002</v>
      </c>
      <c r="I6287" s="26"/>
      <c r="J6287" s="26" t="s">
        <v>512</v>
      </c>
      <c r="K6287" s="25" t="s">
        <v>513</v>
      </c>
      <c r="L6287" s="8"/>
    </row>
    <row r="6288" spans="1:12" ht="25.5" x14ac:dyDescent="0.25">
      <c r="A6288" s="22">
        <v>2026</v>
      </c>
      <c r="B6288" s="28" t="s">
        <v>237</v>
      </c>
      <c r="C6288" s="28" t="s">
        <v>97</v>
      </c>
      <c r="D6288" s="28" t="s">
        <v>1731</v>
      </c>
      <c r="E6288" s="29" t="s">
        <v>309</v>
      </c>
      <c r="F6288" s="29" t="s">
        <v>1762</v>
      </c>
      <c r="G6288" s="25" t="s">
        <v>7961</v>
      </c>
      <c r="H6288" s="26">
        <v>-0.28237000000000001</v>
      </c>
      <c r="I6288" s="26"/>
      <c r="J6288" s="26" t="s">
        <v>512</v>
      </c>
      <c r="K6288" s="25" t="s">
        <v>513</v>
      </c>
      <c r="L6288" s="8"/>
    </row>
    <row r="6289" spans="1:12" ht="25.5" x14ac:dyDescent="0.25">
      <c r="A6289" s="22">
        <v>2026</v>
      </c>
      <c r="B6289" s="28" t="s">
        <v>237</v>
      </c>
      <c r="C6289" s="28" t="s">
        <v>97</v>
      </c>
      <c r="D6289" s="28" t="s">
        <v>1731</v>
      </c>
      <c r="E6289" s="29" t="s">
        <v>309</v>
      </c>
      <c r="F6289" s="29" t="s">
        <v>1762</v>
      </c>
      <c r="G6289" s="25" t="s">
        <v>7962</v>
      </c>
      <c r="H6289" s="26">
        <v>-0.28753000000000001</v>
      </c>
      <c r="I6289" s="26"/>
      <c r="J6289" s="26" t="s">
        <v>512</v>
      </c>
      <c r="K6289" s="25" t="s">
        <v>513</v>
      </c>
      <c r="L6289" s="8"/>
    </row>
    <row r="6290" spans="1:12" ht="25.5" x14ac:dyDescent="0.25">
      <c r="A6290" s="22">
        <v>2026</v>
      </c>
      <c r="B6290" s="28" t="s">
        <v>237</v>
      </c>
      <c r="C6290" s="28" t="s">
        <v>97</v>
      </c>
      <c r="D6290" s="28" t="s">
        <v>1731</v>
      </c>
      <c r="E6290" s="29" t="s">
        <v>309</v>
      </c>
      <c r="F6290" s="29" t="s">
        <v>1762</v>
      </c>
      <c r="G6290" s="25" t="s">
        <v>7963</v>
      </c>
      <c r="H6290" s="26">
        <v>-0.28449000000000002</v>
      </c>
      <c r="I6290" s="26"/>
      <c r="J6290" s="26" t="s">
        <v>512</v>
      </c>
      <c r="K6290" s="25" t="s">
        <v>513</v>
      </c>
      <c r="L6290" s="8"/>
    </row>
    <row r="6291" spans="1:12" ht="25.5" x14ac:dyDescent="0.25">
      <c r="A6291" s="22">
        <v>2026</v>
      </c>
      <c r="B6291" s="28" t="s">
        <v>237</v>
      </c>
      <c r="C6291" s="28" t="s">
        <v>97</v>
      </c>
      <c r="D6291" s="28" t="s">
        <v>1731</v>
      </c>
      <c r="E6291" s="29" t="s">
        <v>309</v>
      </c>
      <c r="F6291" s="29" t="s">
        <v>1762</v>
      </c>
      <c r="G6291" s="25" t="s">
        <v>7964</v>
      </c>
      <c r="H6291" s="26">
        <v>-0.27800000000000002</v>
      </c>
      <c r="I6291" s="26"/>
      <c r="J6291" s="26" t="s">
        <v>512</v>
      </c>
      <c r="K6291" s="25" t="s">
        <v>513</v>
      </c>
      <c r="L6291" s="8"/>
    </row>
    <row r="6292" spans="1:12" ht="25.5" x14ac:dyDescent="0.25">
      <c r="A6292" s="22">
        <v>2026</v>
      </c>
      <c r="B6292" s="28" t="s">
        <v>237</v>
      </c>
      <c r="C6292" s="28" t="s">
        <v>97</v>
      </c>
      <c r="D6292" s="28" t="s">
        <v>1731</v>
      </c>
      <c r="E6292" s="29" t="s">
        <v>309</v>
      </c>
      <c r="F6292" s="29" t="s">
        <v>1762</v>
      </c>
      <c r="G6292" s="25" t="s">
        <v>7965</v>
      </c>
      <c r="H6292" s="26">
        <v>-0.10423399999999999</v>
      </c>
      <c r="I6292" s="26"/>
      <c r="J6292" s="26" t="s">
        <v>512</v>
      </c>
      <c r="K6292" s="25" t="s">
        <v>513</v>
      </c>
      <c r="L6292" s="8"/>
    </row>
    <row r="6293" spans="1:12" ht="25.5" x14ac:dyDescent="0.25">
      <c r="A6293" s="22">
        <v>2026</v>
      </c>
      <c r="B6293" s="28" t="s">
        <v>237</v>
      </c>
      <c r="C6293" s="28" t="s">
        <v>97</v>
      </c>
      <c r="D6293" s="28" t="s">
        <v>1731</v>
      </c>
      <c r="E6293" s="29" t="s">
        <v>309</v>
      </c>
      <c r="F6293" s="29" t="s">
        <v>1762</v>
      </c>
      <c r="G6293" s="25" t="s">
        <v>7966</v>
      </c>
      <c r="H6293" s="26">
        <v>-0.27335999999999999</v>
      </c>
      <c r="I6293" s="26"/>
      <c r="J6293" s="26" t="s">
        <v>512</v>
      </c>
      <c r="K6293" s="25" t="s">
        <v>513</v>
      </c>
      <c r="L6293" s="8"/>
    </row>
    <row r="6294" spans="1:12" ht="25.5" x14ac:dyDescent="0.25">
      <c r="A6294" s="22">
        <v>2026</v>
      </c>
      <c r="B6294" s="28" t="s">
        <v>237</v>
      </c>
      <c r="C6294" s="28" t="s">
        <v>97</v>
      </c>
      <c r="D6294" s="28" t="s">
        <v>1731</v>
      </c>
      <c r="E6294" s="29" t="s">
        <v>309</v>
      </c>
      <c r="F6294" s="29" t="s">
        <v>1762</v>
      </c>
      <c r="G6294" s="25" t="s">
        <v>7967</v>
      </c>
      <c r="H6294" s="26">
        <v>-0.24535138000000001</v>
      </c>
      <c r="I6294" s="26"/>
      <c r="J6294" s="26" t="s">
        <v>512</v>
      </c>
      <c r="K6294" s="25" t="s">
        <v>513</v>
      </c>
      <c r="L6294" s="8"/>
    </row>
    <row r="6295" spans="1:12" ht="25.5" x14ac:dyDescent="0.25">
      <c r="A6295" s="22">
        <v>2026</v>
      </c>
      <c r="B6295" s="28" t="s">
        <v>237</v>
      </c>
      <c r="C6295" s="28" t="s">
        <v>97</v>
      </c>
      <c r="D6295" s="28" t="s">
        <v>1731</v>
      </c>
      <c r="E6295" s="29" t="s">
        <v>309</v>
      </c>
      <c r="F6295" s="29" t="s">
        <v>1762</v>
      </c>
      <c r="G6295" s="25" t="s">
        <v>7968</v>
      </c>
      <c r="H6295" s="26">
        <v>-0.26531101439999999</v>
      </c>
      <c r="I6295" s="26"/>
      <c r="J6295" s="26" t="s">
        <v>512</v>
      </c>
      <c r="K6295" s="25" t="s">
        <v>513</v>
      </c>
      <c r="L6295" s="8"/>
    </row>
    <row r="6296" spans="1:12" ht="25.5" x14ac:dyDescent="0.25">
      <c r="A6296" s="22">
        <v>2026</v>
      </c>
      <c r="B6296" s="28" t="s">
        <v>237</v>
      </c>
      <c r="C6296" s="28" t="s">
        <v>97</v>
      </c>
      <c r="D6296" s="28" t="s">
        <v>1731</v>
      </c>
      <c r="E6296" s="29" t="s">
        <v>309</v>
      </c>
      <c r="F6296" s="29" t="s">
        <v>1762</v>
      </c>
      <c r="G6296" s="25" t="s">
        <v>7969</v>
      </c>
      <c r="H6296" s="26">
        <v>-0.27283000000000002</v>
      </c>
      <c r="I6296" s="26"/>
      <c r="J6296" s="26" t="s">
        <v>512</v>
      </c>
      <c r="K6296" s="25" t="s">
        <v>513</v>
      </c>
      <c r="L6296" s="8"/>
    </row>
    <row r="6297" spans="1:12" ht="25.5" x14ac:dyDescent="0.25">
      <c r="A6297" s="22">
        <v>2026</v>
      </c>
      <c r="B6297" s="28" t="s">
        <v>237</v>
      </c>
      <c r="C6297" s="28" t="s">
        <v>97</v>
      </c>
      <c r="D6297" s="28" t="s">
        <v>179</v>
      </c>
      <c r="E6297" s="29" t="s">
        <v>309</v>
      </c>
      <c r="F6297" s="29" t="s">
        <v>287</v>
      </c>
      <c r="G6297" s="25" t="s">
        <v>7990</v>
      </c>
      <c r="H6297" s="26">
        <v>-0.33991824869999998</v>
      </c>
      <c r="I6297" s="26"/>
      <c r="J6297" s="26" t="s">
        <v>512</v>
      </c>
      <c r="K6297" s="25" t="s">
        <v>513</v>
      </c>
      <c r="L6297" s="8"/>
    </row>
    <row r="6298" spans="1:12" ht="25.5" x14ac:dyDescent="0.25">
      <c r="A6298" s="22">
        <v>2026</v>
      </c>
      <c r="B6298" s="28" t="s">
        <v>237</v>
      </c>
      <c r="C6298" s="28" t="s">
        <v>97</v>
      </c>
      <c r="D6298" s="28" t="s">
        <v>179</v>
      </c>
      <c r="E6298" s="29" t="s">
        <v>309</v>
      </c>
      <c r="F6298" s="29" t="s">
        <v>287</v>
      </c>
      <c r="G6298" s="25" t="s">
        <v>7991</v>
      </c>
      <c r="H6298" s="26">
        <v>-0.52835052599999999</v>
      </c>
      <c r="I6298" s="26"/>
      <c r="J6298" s="26" t="s">
        <v>512</v>
      </c>
      <c r="K6298" s="25" t="s">
        <v>513</v>
      </c>
      <c r="L6298" s="8"/>
    </row>
    <row r="6299" spans="1:12" ht="25.5" x14ac:dyDescent="0.25">
      <c r="A6299" s="22">
        <v>2026</v>
      </c>
      <c r="B6299" s="28" t="s">
        <v>237</v>
      </c>
      <c r="C6299" s="28" t="s">
        <v>97</v>
      </c>
      <c r="D6299" s="28" t="s">
        <v>179</v>
      </c>
      <c r="E6299" s="29" t="s">
        <v>309</v>
      </c>
      <c r="F6299" s="29" t="s">
        <v>287</v>
      </c>
      <c r="G6299" s="25" t="s">
        <v>7992</v>
      </c>
      <c r="H6299" s="26">
        <v>-0.52249999999999996</v>
      </c>
      <c r="I6299" s="26"/>
      <c r="J6299" s="26" t="s">
        <v>512</v>
      </c>
      <c r="K6299" s="25" t="s">
        <v>513</v>
      </c>
      <c r="L6299" s="8"/>
    </row>
    <row r="6300" spans="1:12" ht="25.5" x14ac:dyDescent="0.25">
      <c r="A6300" s="22">
        <v>2026</v>
      </c>
      <c r="B6300" s="28" t="s">
        <v>237</v>
      </c>
      <c r="C6300" s="28" t="s">
        <v>97</v>
      </c>
      <c r="D6300" s="28" t="s">
        <v>179</v>
      </c>
      <c r="E6300" s="29" t="s">
        <v>309</v>
      </c>
      <c r="F6300" s="29" t="s">
        <v>287</v>
      </c>
      <c r="G6300" s="25" t="s">
        <v>7993</v>
      </c>
      <c r="H6300" s="26">
        <v>-0.83448</v>
      </c>
      <c r="I6300" s="26"/>
      <c r="J6300" s="26" t="s">
        <v>512</v>
      </c>
      <c r="K6300" s="25" t="s">
        <v>513</v>
      </c>
      <c r="L6300" s="8"/>
    </row>
    <row r="6301" spans="1:12" ht="25.5" x14ac:dyDescent="0.25">
      <c r="A6301" s="22">
        <v>2026</v>
      </c>
      <c r="B6301" s="28" t="s">
        <v>237</v>
      </c>
      <c r="C6301" s="28" t="s">
        <v>97</v>
      </c>
      <c r="D6301" s="28" t="s">
        <v>1732</v>
      </c>
      <c r="E6301" s="29" t="s">
        <v>309</v>
      </c>
      <c r="F6301" s="29" t="s">
        <v>287</v>
      </c>
      <c r="G6301" s="25" t="s">
        <v>7970</v>
      </c>
      <c r="H6301" s="26">
        <v>-0.47453596000000003</v>
      </c>
      <c r="I6301" s="26"/>
      <c r="J6301" s="26" t="s">
        <v>512</v>
      </c>
      <c r="K6301" s="25" t="s">
        <v>513</v>
      </c>
      <c r="L6301" s="8"/>
    </row>
    <row r="6302" spans="1:12" ht="25.5" x14ac:dyDescent="0.25">
      <c r="A6302" s="22">
        <v>2026</v>
      </c>
      <c r="B6302" s="28" t="s">
        <v>237</v>
      </c>
      <c r="C6302" s="28" t="s">
        <v>97</v>
      </c>
      <c r="D6302" s="28" t="s">
        <v>1732</v>
      </c>
      <c r="E6302" s="29" t="s">
        <v>309</v>
      </c>
      <c r="F6302" s="29" t="s">
        <v>287</v>
      </c>
      <c r="G6302" s="25" t="s">
        <v>7971</v>
      </c>
      <c r="H6302" s="26">
        <v>-1.16745185076</v>
      </c>
      <c r="I6302" s="26"/>
      <c r="J6302" s="26" t="s">
        <v>512</v>
      </c>
      <c r="K6302" s="25" t="s">
        <v>513</v>
      </c>
      <c r="L6302" s="8"/>
    </row>
    <row r="6303" spans="1:12" ht="25.5" x14ac:dyDescent="0.25">
      <c r="A6303" s="22">
        <v>2026</v>
      </c>
      <c r="B6303" s="28" t="s">
        <v>237</v>
      </c>
      <c r="C6303" s="28" t="s">
        <v>97</v>
      </c>
      <c r="D6303" s="28" t="s">
        <v>1732</v>
      </c>
      <c r="E6303" s="29" t="s">
        <v>309</v>
      </c>
      <c r="F6303" s="29" t="s">
        <v>287</v>
      </c>
      <c r="G6303" s="25" t="s">
        <v>7972</v>
      </c>
      <c r="H6303" s="26">
        <v>-0.8951604179999999</v>
      </c>
      <c r="I6303" s="26"/>
      <c r="J6303" s="26" t="s">
        <v>512</v>
      </c>
      <c r="K6303" s="25" t="s">
        <v>513</v>
      </c>
      <c r="L6303" s="8"/>
    </row>
    <row r="6304" spans="1:12" ht="25.5" x14ac:dyDescent="0.25">
      <c r="A6304" s="22">
        <v>2026</v>
      </c>
      <c r="B6304" s="28" t="s">
        <v>237</v>
      </c>
      <c r="C6304" s="28" t="s">
        <v>97</v>
      </c>
      <c r="D6304" s="28" t="s">
        <v>1732</v>
      </c>
      <c r="E6304" s="29" t="s">
        <v>309</v>
      </c>
      <c r="F6304" s="29" t="s">
        <v>287</v>
      </c>
      <c r="G6304" s="25" t="s">
        <v>7973</v>
      </c>
      <c r="H6304" s="26">
        <v>-0.34482905699999999</v>
      </c>
      <c r="I6304" s="26"/>
      <c r="J6304" s="26" t="s">
        <v>512</v>
      </c>
      <c r="K6304" s="25" t="s">
        <v>513</v>
      </c>
      <c r="L6304" s="8"/>
    </row>
    <row r="6305" spans="1:12" ht="25.5" x14ac:dyDescent="0.25">
      <c r="A6305" s="22">
        <v>2026</v>
      </c>
      <c r="B6305" s="28" t="s">
        <v>237</v>
      </c>
      <c r="C6305" s="28" t="s">
        <v>97</v>
      </c>
      <c r="D6305" s="28" t="s">
        <v>1732</v>
      </c>
      <c r="E6305" s="29" t="s">
        <v>309</v>
      </c>
      <c r="F6305" s="29" t="s">
        <v>287</v>
      </c>
      <c r="G6305" s="25" t="s">
        <v>7974</v>
      </c>
      <c r="H6305" s="26">
        <v>-0.15345311124</v>
      </c>
      <c r="I6305" s="26"/>
      <c r="J6305" s="26" t="s">
        <v>512</v>
      </c>
      <c r="K6305" s="25" t="s">
        <v>513</v>
      </c>
      <c r="L6305" s="8"/>
    </row>
    <row r="6306" spans="1:12" ht="25.5" x14ac:dyDescent="0.25">
      <c r="A6306" s="22">
        <v>2026</v>
      </c>
      <c r="B6306" s="28" t="s">
        <v>237</v>
      </c>
      <c r="C6306" s="28" t="s">
        <v>97</v>
      </c>
      <c r="D6306" s="28" t="s">
        <v>1732</v>
      </c>
      <c r="E6306" s="29" t="s">
        <v>309</v>
      </c>
      <c r="F6306" s="29" t="s">
        <v>287</v>
      </c>
      <c r="G6306" s="25" t="s">
        <v>7975</v>
      </c>
      <c r="H6306" s="26">
        <v>-0.12914999999999999</v>
      </c>
      <c r="I6306" s="26"/>
      <c r="J6306" s="26" t="s">
        <v>512</v>
      </c>
      <c r="K6306" s="25" t="s">
        <v>513</v>
      </c>
      <c r="L6306" s="8"/>
    </row>
    <row r="6307" spans="1:12" ht="25.5" x14ac:dyDescent="0.25">
      <c r="A6307" s="22">
        <v>2026</v>
      </c>
      <c r="B6307" s="28" t="s">
        <v>237</v>
      </c>
      <c r="C6307" s="28" t="s">
        <v>97</v>
      </c>
      <c r="D6307" s="28" t="s">
        <v>1732</v>
      </c>
      <c r="E6307" s="29" t="s">
        <v>309</v>
      </c>
      <c r="F6307" s="29" t="s">
        <v>287</v>
      </c>
      <c r="G6307" s="25" t="s">
        <v>7976</v>
      </c>
      <c r="H6307" s="26">
        <v>-0.39059914559999998</v>
      </c>
      <c r="I6307" s="26"/>
      <c r="J6307" s="26" t="s">
        <v>512</v>
      </c>
      <c r="K6307" s="25" t="s">
        <v>513</v>
      </c>
      <c r="L6307" s="8"/>
    </row>
    <row r="6308" spans="1:12" ht="25.5" x14ac:dyDescent="0.25">
      <c r="A6308" s="22">
        <v>2026</v>
      </c>
      <c r="B6308" s="28" t="s">
        <v>237</v>
      </c>
      <c r="C6308" s="28" t="s">
        <v>97</v>
      </c>
      <c r="D6308" s="28" t="s">
        <v>1732</v>
      </c>
      <c r="E6308" s="29" t="s">
        <v>309</v>
      </c>
      <c r="F6308" s="29" t="s">
        <v>287</v>
      </c>
      <c r="G6308" s="25" t="s">
        <v>7977</v>
      </c>
      <c r="H6308" s="26">
        <v>-0.33063790720000003</v>
      </c>
      <c r="I6308" s="26"/>
      <c r="J6308" s="26" t="s">
        <v>512</v>
      </c>
      <c r="K6308" s="25" t="s">
        <v>513</v>
      </c>
      <c r="L6308" s="8"/>
    </row>
    <row r="6309" spans="1:12" ht="25.5" x14ac:dyDescent="0.25">
      <c r="A6309" s="22">
        <v>2026</v>
      </c>
      <c r="B6309" s="28" t="s">
        <v>237</v>
      </c>
      <c r="C6309" s="28" t="s">
        <v>97</v>
      </c>
      <c r="D6309" s="28" t="s">
        <v>1733</v>
      </c>
      <c r="E6309" s="29" t="s">
        <v>309</v>
      </c>
      <c r="F6309" s="29" t="s">
        <v>474</v>
      </c>
      <c r="G6309" s="25" t="s">
        <v>7978</v>
      </c>
      <c r="H6309" s="26">
        <v>-0.118534458</v>
      </c>
      <c r="I6309" s="26"/>
      <c r="J6309" s="26" t="s">
        <v>512</v>
      </c>
      <c r="K6309" s="25" t="s">
        <v>513</v>
      </c>
      <c r="L6309" s="8"/>
    </row>
    <row r="6310" spans="1:12" ht="25.5" x14ac:dyDescent="0.25">
      <c r="A6310" s="22">
        <v>2026</v>
      </c>
      <c r="B6310" s="28" t="s">
        <v>237</v>
      </c>
      <c r="C6310" s="28" t="s">
        <v>97</v>
      </c>
      <c r="D6310" s="28" t="s">
        <v>1733</v>
      </c>
      <c r="E6310" s="29" t="s">
        <v>309</v>
      </c>
      <c r="F6310" s="29" t="s">
        <v>474</v>
      </c>
      <c r="G6310" s="25" t="s">
        <v>7979</v>
      </c>
      <c r="H6310" s="26">
        <v>-0.4597825063</v>
      </c>
      <c r="I6310" s="26"/>
      <c r="J6310" s="26" t="s">
        <v>512</v>
      </c>
      <c r="K6310" s="25" t="s">
        <v>513</v>
      </c>
      <c r="L6310" s="8"/>
    </row>
    <row r="6311" spans="1:12" ht="25.5" x14ac:dyDescent="0.25">
      <c r="A6311" s="22">
        <v>2026</v>
      </c>
      <c r="B6311" s="28" t="s">
        <v>237</v>
      </c>
      <c r="C6311" s="28" t="s">
        <v>97</v>
      </c>
      <c r="D6311" s="28" t="s">
        <v>1733</v>
      </c>
      <c r="E6311" s="29" t="s">
        <v>309</v>
      </c>
      <c r="F6311" s="29" t="s">
        <v>474</v>
      </c>
      <c r="G6311" s="25" t="s">
        <v>7980</v>
      </c>
      <c r="H6311" s="26">
        <v>-0.19534047824</v>
      </c>
      <c r="I6311" s="26"/>
      <c r="J6311" s="26" t="s">
        <v>512</v>
      </c>
      <c r="K6311" s="25" t="s">
        <v>513</v>
      </c>
      <c r="L6311" s="8"/>
    </row>
    <row r="6312" spans="1:12" ht="25.5" x14ac:dyDescent="0.25">
      <c r="A6312" s="22">
        <v>2026</v>
      </c>
      <c r="B6312" s="28" t="s">
        <v>237</v>
      </c>
      <c r="C6312" s="28" t="s">
        <v>97</v>
      </c>
      <c r="D6312" s="28" t="s">
        <v>1733</v>
      </c>
      <c r="E6312" s="29" t="s">
        <v>309</v>
      </c>
      <c r="F6312" s="29" t="s">
        <v>474</v>
      </c>
      <c r="G6312" s="25" t="s">
        <v>7981</v>
      </c>
      <c r="H6312" s="26">
        <v>-0.15768594399999999</v>
      </c>
      <c r="I6312" s="26"/>
      <c r="J6312" s="26" t="s">
        <v>512</v>
      </c>
      <c r="K6312" s="25" t="s">
        <v>513</v>
      </c>
      <c r="L6312" s="8"/>
    </row>
    <row r="6313" spans="1:12" ht="25.5" x14ac:dyDescent="0.25">
      <c r="A6313" s="22">
        <v>2026</v>
      </c>
      <c r="B6313" s="28" t="s">
        <v>237</v>
      </c>
      <c r="C6313" s="28" t="s">
        <v>97</v>
      </c>
      <c r="D6313" s="28" t="s">
        <v>1733</v>
      </c>
      <c r="E6313" s="29" t="s">
        <v>309</v>
      </c>
      <c r="F6313" s="29" t="s">
        <v>474</v>
      </c>
      <c r="G6313" s="25" t="s">
        <v>7982</v>
      </c>
      <c r="H6313" s="26">
        <v>-0.43251549593999999</v>
      </c>
      <c r="I6313" s="26"/>
      <c r="J6313" s="26" t="s">
        <v>512</v>
      </c>
      <c r="K6313" s="25" t="s">
        <v>513</v>
      </c>
      <c r="L6313" s="8"/>
    </row>
    <row r="6314" spans="1:12" ht="25.5" x14ac:dyDescent="0.25">
      <c r="A6314" s="22">
        <v>2026</v>
      </c>
      <c r="B6314" s="28" t="s">
        <v>237</v>
      </c>
      <c r="C6314" s="28" t="s">
        <v>97</v>
      </c>
      <c r="D6314" s="28" t="s">
        <v>1733</v>
      </c>
      <c r="E6314" s="29" t="s">
        <v>309</v>
      </c>
      <c r="F6314" s="29" t="s">
        <v>474</v>
      </c>
      <c r="G6314" s="25" t="s">
        <v>7983</v>
      </c>
      <c r="H6314" s="26">
        <v>-0.30792209039999996</v>
      </c>
      <c r="I6314" s="26"/>
      <c r="J6314" s="26" t="s">
        <v>512</v>
      </c>
      <c r="K6314" s="25" t="s">
        <v>513</v>
      </c>
      <c r="L6314" s="8"/>
    </row>
    <row r="6315" spans="1:12" ht="25.5" x14ac:dyDescent="0.25">
      <c r="A6315" s="22">
        <v>2026</v>
      </c>
      <c r="B6315" s="28" t="s">
        <v>237</v>
      </c>
      <c r="C6315" s="28" t="s">
        <v>97</v>
      </c>
      <c r="D6315" s="28" t="s">
        <v>1733</v>
      </c>
      <c r="E6315" s="29" t="s">
        <v>309</v>
      </c>
      <c r="F6315" s="29" t="s">
        <v>474</v>
      </c>
      <c r="G6315" s="25" t="s">
        <v>7984</v>
      </c>
      <c r="H6315" s="26">
        <v>-0.65821741775999998</v>
      </c>
      <c r="I6315" s="26"/>
      <c r="J6315" s="26" t="s">
        <v>512</v>
      </c>
      <c r="K6315" s="25" t="s">
        <v>513</v>
      </c>
      <c r="L6315" s="8"/>
    </row>
    <row r="6316" spans="1:12" ht="25.5" x14ac:dyDescent="0.25">
      <c r="A6316" s="22">
        <v>2026</v>
      </c>
      <c r="B6316" s="28" t="s">
        <v>237</v>
      </c>
      <c r="C6316" s="28" t="s">
        <v>97</v>
      </c>
      <c r="D6316" s="28" t="s">
        <v>1733</v>
      </c>
      <c r="E6316" s="29" t="s">
        <v>309</v>
      </c>
      <c r="F6316" s="29" t="s">
        <v>474</v>
      </c>
      <c r="G6316" s="25" t="s">
        <v>7985</v>
      </c>
      <c r="H6316" s="26">
        <v>-0.60328729463999997</v>
      </c>
      <c r="I6316" s="26"/>
      <c r="J6316" s="26" t="s">
        <v>512</v>
      </c>
      <c r="K6316" s="25" t="s">
        <v>513</v>
      </c>
      <c r="L6316" s="8"/>
    </row>
    <row r="6317" spans="1:12" ht="25.5" x14ac:dyDescent="0.25">
      <c r="A6317" s="22">
        <v>2026</v>
      </c>
      <c r="B6317" s="28" t="s">
        <v>237</v>
      </c>
      <c r="C6317" s="28" t="s">
        <v>97</v>
      </c>
      <c r="D6317" s="28" t="s">
        <v>1733</v>
      </c>
      <c r="E6317" s="29" t="s">
        <v>309</v>
      </c>
      <c r="F6317" s="29" t="s">
        <v>474</v>
      </c>
      <c r="G6317" s="25" t="s">
        <v>7986</v>
      </c>
      <c r="H6317" s="26">
        <v>-0.57952904119999993</v>
      </c>
      <c r="I6317" s="26"/>
      <c r="J6317" s="26" t="s">
        <v>512</v>
      </c>
      <c r="K6317" s="25" t="s">
        <v>513</v>
      </c>
      <c r="L6317" s="8"/>
    </row>
    <row r="6318" spans="1:12" ht="25.5" x14ac:dyDescent="0.25">
      <c r="A6318" s="22">
        <v>2026</v>
      </c>
      <c r="B6318" s="28" t="s">
        <v>237</v>
      </c>
      <c r="C6318" s="28" t="s">
        <v>97</v>
      </c>
      <c r="D6318" s="28" t="s">
        <v>1733</v>
      </c>
      <c r="E6318" s="29" t="s">
        <v>309</v>
      </c>
      <c r="F6318" s="29" t="s">
        <v>474</v>
      </c>
      <c r="G6318" s="25" t="s">
        <v>7987</v>
      </c>
      <c r="H6318" s="26">
        <v>-0.64366399332000002</v>
      </c>
      <c r="I6318" s="26"/>
      <c r="J6318" s="26" t="s">
        <v>512</v>
      </c>
      <c r="K6318" s="25" t="s">
        <v>513</v>
      </c>
      <c r="L6318" s="8"/>
    </row>
    <row r="6319" spans="1:12" ht="25.5" x14ac:dyDescent="0.25">
      <c r="A6319" s="22">
        <v>2026</v>
      </c>
      <c r="B6319" s="28" t="s">
        <v>237</v>
      </c>
      <c r="C6319" s="28" t="s">
        <v>97</v>
      </c>
      <c r="D6319" s="28" t="s">
        <v>1733</v>
      </c>
      <c r="E6319" s="29" t="s">
        <v>309</v>
      </c>
      <c r="F6319" s="29" t="s">
        <v>474</v>
      </c>
      <c r="G6319" s="25" t="s">
        <v>7988</v>
      </c>
      <c r="H6319" s="26">
        <v>-0.59614147294999997</v>
      </c>
      <c r="I6319" s="26"/>
      <c r="J6319" s="26" t="s">
        <v>512</v>
      </c>
      <c r="K6319" s="25" t="s">
        <v>513</v>
      </c>
      <c r="L6319" s="8"/>
    </row>
    <row r="6320" spans="1:12" ht="25.5" x14ac:dyDescent="0.25">
      <c r="A6320" s="22">
        <v>2026</v>
      </c>
      <c r="B6320" s="28" t="s">
        <v>237</v>
      </c>
      <c r="C6320" s="28" t="s">
        <v>97</v>
      </c>
      <c r="D6320" s="28" t="s">
        <v>1733</v>
      </c>
      <c r="E6320" s="29" t="s">
        <v>309</v>
      </c>
      <c r="F6320" s="29" t="s">
        <v>474</v>
      </c>
      <c r="G6320" s="25" t="s">
        <v>7989</v>
      </c>
      <c r="H6320" s="26">
        <v>-0.31216863257999999</v>
      </c>
      <c r="I6320" s="26"/>
      <c r="J6320" s="26" t="s">
        <v>512</v>
      </c>
      <c r="K6320" s="25" t="s">
        <v>513</v>
      </c>
      <c r="L6320" s="8"/>
    </row>
    <row r="6321" spans="1:12" ht="25.5" x14ac:dyDescent="0.25">
      <c r="A6321" s="22">
        <v>2026</v>
      </c>
      <c r="B6321" s="28" t="s">
        <v>237</v>
      </c>
      <c r="C6321" s="28" t="s">
        <v>97</v>
      </c>
      <c r="D6321" s="28" t="s">
        <v>1734</v>
      </c>
      <c r="E6321" s="29" t="s">
        <v>309</v>
      </c>
      <c r="F6321" s="29" t="s">
        <v>903</v>
      </c>
      <c r="G6321" s="25" t="s">
        <v>7994</v>
      </c>
      <c r="H6321" s="26">
        <v>-8.3910399999999996E-2</v>
      </c>
      <c r="I6321" s="26"/>
      <c r="J6321" s="26" t="s">
        <v>512</v>
      </c>
      <c r="K6321" s="25" t="s">
        <v>513</v>
      </c>
      <c r="L6321" s="8"/>
    </row>
    <row r="6322" spans="1:12" ht="25.5" x14ac:dyDescent="0.25">
      <c r="A6322" s="22">
        <v>2026</v>
      </c>
      <c r="B6322" s="28" t="s">
        <v>237</v>
      </c>
      <c r="C6322" s="28" t="s">
        <v>97</v>
      </c>
      <c r="D6322" s="28" t="s">
        <v>1734</v>
      </c>
      <c r="E6322" s="29" t="s">
        <v>309</v>
      </c>
      <c r="F6322" s="29" t="s">
        <v>903</v>
      </c>
      <c r="G6322" s="25" t="s">
        <v>7995</v>
      </c>
      <c r="H6322" s="26">
        <v>-8.3154100000000009E-2</v>
      </c>
      <c r="I6322" s="26"/>
      <c r="J6322" s="26" t="s">
        <v>512</v>
      </c>
      <c r="K6322" s="25" t="s">
        <v>513</v>
      </c>
      <c r="L6322" s="8"/>
    </row>
    <row r="6323" spans="1:12" ht="25.5" x14ac:dyDescent="0.25">
      <c r="A6323" s="22">
        <v>2026</v>
      </c>
      <c r="B6323" s="28" t="s">
        <v>237</v>
      </c>
      <c r="C6323" s="28" t="s">
        <v>97</v>
      </c>
      <c r="D6323" s="28" t="s">
        <v>1734</v>
      </c>
      <c r="E6323" s="29" t="s">
        <v>309</v>
      </c>
      <c r="F6323" s="29" t="s">
        <v>903</v>
      </c>
      <c r="G6323" s="25" t="s">
        <v>7996</v>
      </c>
      <c r="H6323" s="26">
        <v>-8.2980999999999999E-2</v>
      </c>
      <c r="I6323" s="26"/>
      <c r="J6323" s="26" t="s">
        <v>512</v>
      </c>
      <c r="K6323" s="25" t="s">
        <v>513</v>
      </c>
      <c r="L6323" s="8"/>
    </row>
    <row r="6324" spans="1:12" ht="25.5" x14ac:dyDescent="0.25">
      <c r="A6324" s="22">
        <v>2026</v>
      </c>
      <c r="B6324" s="28" t="s">
        <v>237</v>
      </c>
      <c r="C6324" s="28" t="s">
        <v>97</v>
      </c>
      <c r="D6324" s="28" t="s">
        <v>1734</v>
      </c>
      <c r="E6324" s="29" t="s">
        <v>309</v>
      </c>
      <c r="F6324" s="29" t="s">
        <v>903</v>
      </c>
      <c r="G6324" s="25" t="s">
        <v>7997</v>
      </c>
      <c r="H6324" s="26">
        <v>-8.1665000000000001E-2</v>
      </c>
      <c r="I6324" s="26"/>
      <c r="J6324" s="26" t="s">
        <v>512</v>
      </c>
      <c r="K6324" s="25" t="s">
        <v>513</v>
      </c>
      <c r="L6324" s="8"/>
    </row>
    <row r="6325" spans="1:12" ht="25.5" x14ac:dyDescent="0.25">
      <c r="A6325" s="22">
        <v>2026</v>
      </c>
      <c r="B6325" s="28" t="s">
        <v>237</v>
      </c>
      <c r="C6325" s="28" t="s">
        <v>97</v>
      </c>
      <c r="D6325" s="28" t="s">
        <v>1734</v>
      </c>
      <c r="E6325" s="29" t="s">
        <v>309</v>
      </c>
      <c r="F6325" s="29" t="s">
        <v>903</v>
      </c>
      <c r="G6325" s="25" t="s">
        <v>7998</v>
      </c>
      <c r="H6325" s="26">
        <v>-8.2326300000000005E-2</v>
      </c>
      <c r="I6325" s="26"/>
      <c r="J6325" s="26" t="s">
        <v>512</v>
      </c>
      <c r="K6325" s="25" t="s">
        <v>513</v>
      </c>
      <c r="L6325" s="8"/>
    </row>
    <row r="6326" spans="1:12" ht="25.5" x14ac:dyDescent="0.25">
      <c r="A6326" s="22">
        <v>2026</v>
      </c>
      <c r="B6326" s="28" t="s">
        <v>237</v>
      </c>
      <c r="C6326" s="28" t="s">
        <v>97</v>
      </c>
      <c r="D6326" s="28" t="s">
        <v>1734</v>
      </c>
      <c r="E6326" s="29" t="s">
        <v>309</v>
      </c>
      <c r="F6326" s="29" t="s">
        <v>903</v>
      </c>
      <c r="G6326" s="25" t="s">
        <v>7999</v>
      </c>
      <c r="H6326" s="26">
        <v>-8.2645399999999994E-2</v>
      </c>
      <c r="I6326" s="26"/>
      <c r="J6326" s="26" t="s">
        <v>512</v>
      </c>
      <c r="K6326" s="25" t="s">
        <v>513</v>
      </c>
      <c r="L6326" s="8"/>
    </row>
    <row r="6327" spans="1:12" ht="25.5" x14ac:dyDescent="0.25">
      <c r="A6327" s="22">
        <v>2026</v>
      </c>
      <c r="B6327" s="28" t="s">
        <v>237</v>
      </c>
      <c r="C6327" s="28" t="s">
        <v>97</v>
      </c>
      <c r="D6327" s="28" t="s">
        <v>1734</v>
      </c>
      <c r="E6327" s="29" t="s">
        <v>309</v>
      </c>
      <c r="F6327" s="29" t="s">
        <v>903</v>
      </c>
      <c r="G6327" s="25" t="s">
        <v>8000</v>
      </c>
      <c r="H6327" s="26">
        <v>-8.27566E-2</v>
      </c>
      <c r="I6327" s="26"/>
      <c r="J6327" s="26" t="s">
        <v>512</v>
      </c>
      <c r="K6327" s="25" t="s">
        <v>513</v>
      </c>
      <c r="L6327" s="8"/>
    </row>
    <row r="6328" spans="1:12" ht="25.5" x14ac:dyDescent="0.25">
      <c r="A6328" s="22">
        <v>2026</v>
      </c>
      <c r="B6328" s="28" t="s">
        <v>237</v>
      </c>
      <c r="C6328" s="28" t="s">
        <v>97</v>
      </c>
      <c r="D6328" s="28" t="s">
        <v>1734</v>
      </c>
      <c r="E6328" s="29" t="s">
        <v>309</v>
      </c>
      <c r="F6328" s="29" t="s">
        <v>903</v>
      </c>
      <c r="G6328" s="25" t="s">
        <v>8001</v>
      </c>
      <c r="H6328" s="26">
        <v>-8.3973600000000009E-2</v>
      </c>
      <c r="I6328" s="26"/>
      <c r="J6328" s="26" t="s">
        <v>512</v>
      </c>
      <c r="K6328" s="25" t="s">
        <v>513</v>
      </c>
      <c r="L6328" s="8"/>
    </row>
    <row r="6329" spans="1:12" ht="25.5" x14ac:dyDescent="0.25">
      <c r="A6329" s="22">
        <v>2026</v>
      </c>
      <c r="B6329" s="28" t="s">
        <v>237</v>
      </c>
      <c r="C6329" s="28" t="s">
        <v>97</v>
      </c>
      <c r="D6329" s="28" t="s">
        <v>1734</v>
      </c>
      <c r="E6329" s="29" t="s">
        <v>309</v>
      </c>
      <c r="F6329" s="29" t="s">
        <v>903</v>
      </c>
      <c r="G6329" s="25" t="s">
        <v>8002</v>
      </c>
      <c r="H6329" s="26">
        <v>-8.6837800000000007E-2</v>
      </c>
      <c r="I6329" s="26"/>
      <c r="J6329" s="26" t="s">
        <v>512</v>
      </c>
      <c r="K6329" s="25" t="s">
        <v>513</v>
      </c>
      <c r="L6329" s="8"/>
    </row>
    <row r="6330" spans="1:12" ht="25.5" x14ac:dyDescent="0.25">
      <c r="A6330" s="22">
        <v>2026</v>
      </c>
      <c r="B6330" s="28" t="s">
        <v>237</v>
      </c>
      <c r="C6330" s="28" t="s">
        <v>97</v>
      </c>
      <c r="D6330" s="28" t="s">
        <v>1734</v>
      </c>
      <c r="E6330" s="29" t="s">
        <v>309</v>
      </c>
      <c r="F6330" s="29" t="s">
        <v>903</v>
      </c>
      <c r="G6330" s="25" t="s">
        <v>8003</v>
      </c>
      <c r="H6330" s="26">
        <v>-0.1578167976</v>
      </c>
      <c r="I6330" s="26"/>
      <c r="J6330" s="26" t="s">
        <v>512</v>
      </c>
      <c r="K6330" s="25" t="s">
        <v>513</v>
      </c>
      <c r="L6330" s="8"/>
    </row>
    <row r="6331" spans="1:12" ht="25.5" x14ac:dyDescent="0.25">
      <c r="A6331" s="22">
        <v>2026</v>
      </c>
      <c r="B6331" s="28" t="s">
        <v>237</v>
      </c>
      <c r="C6331" s="28" t="s">
        <v>97</v>
      </c>
      <c r="D6331" s="28" t="s">
        <v>1734</v>
      </c>
      <c r="E6331" s="29" t="s">
        <v>309</v>
      </c>
      <c r="F6331" s="29" t="s">
        <v>903</v>
      </c>
      <c r="G6331" s="25" t="s">
        <v>8004</v>
      </c>
      <c r="H6331" s="26">
        <v>-8.7409899999999999E-2</v>
      </c>
      <c r="I6331" s="26"/>
      <c r="J6331" s="26" t="s">
        <v>512</v>
      </c>
      <c r="K6331" s="25" t="s">
        <v>513</v>
      </c>
      <c r="L6331" s="8"/>
    </row>
    <row r="6332" spans="1:12" ht="25.5" x14ac:dyDescent="0.25">
      <c r="A6332" s="22">
        <v>2026</v>
      </c>
      <c r="B6332" s="28" t="s">
        <v>237</v>
      </c>
      <c r="C6332" s="28" t="s">
        <v>97</v>
      </c>
      <c r="D6332" s="28" t="s">
        <v>1734</v>
      </c>
      <c r="E6332" s="29" t="s">
        <v>309</v>
      </c>
      <c r="F6332" s="29" t="s">
        <v>903</v>
      </c>
      <c r="G6332" s="25" t="s">
        <v>8005</v>
      </c>
      <c r="H6332" s="26">
        <v>-8.6270899999999998E-2</v>
      </c>
      <c r="I6332" s="26"/>
      <c r="J6332" s="26" t="s">
        <v>512</v>
      </c>
      <c r="K6332" s="25" t="s">
        <v>513</v>
      </c>
      <c r="L6332" s="8"/>
    </row>
    <row r="6333" spans="1:12" ht="25.5" x14ac:dyDescent="0.25">
      <c r="A6333" s="22">
        <v>2026</v>
      </c>
      <c r="B6333" s="28" t="s">
        <v>237</v>
      </c>
      <c r="C6333" s="28" t="s">
        <v>97</v>
      </c>
      <c r="D6333" s="28" t="s">
        <v>1734</v>
      </c>
      <c r="E6333" s="29" t="s">
        <v>309</v>
      </c>
      <c r="F6333" s="29" t="s">
        <v>903</v>
      </c>
      <c r="G6333" s="25" t="s">
        <v>8006</v>
      </c>
      <c r="H6333" s="26">
        <v>-8.7561600000000003E-2</v>
      </c>
      <c r="I6333" s="26"/>
      <c r="J6333" s="26" t="s">
        <v>512</v>
      </c>
      <c r="K6333" s="25" t="s">
        <v>513</v>
      </c>
      <c r="L6333" s="8"/>
    </row>
    <row r="6334" spans="1:12" ht="25.5" x14ac:dyDescent="0.25">
      <c r="A6334" s="22">
        <v>2026</v>
      </c>
      <c r="B6334" s="28" t="s">
        <v>237</v>
      </c>
      <c r="C6334" s="28" t="s">
        <v>97</v>
      </c>
      <c r="D6334" s="28" t="s">
        <v>1734</v>
      </c>
      <c r="E6334" s="29" t="s">
        <v>309</v>
      </c>
      <c r="F6334" s="29" t="s">
        <v>903</v>
      </c>
      <c r="G6334" s="25" t="s">
        <v>8007</v>
      </c>
      <c r="H6334" s="26">
        <v>-0.11817424953</v>
      </c>
      <c r="I6334" s="26"/>
      <c r="J6334" s="26" t="s">
        <v>512</v>
      </c>
      <c r="K6334" s="25" t="s">
        <v>513</v>
      </c>
      <c r="L6334" s="8"/>
    </row>
    <row r="6335" spans="1:12" ht="25.5" x14ac:dyDescent="0.25">
      <c r="A6335" s="22">
        <v>2026</v>
      </c>
      <c r="B6335" s="28" t="s">
        <v>237</v>
      </c>
      <c r="C6335" s="28" t="s">
        <v>97</v>
      </c>
      <c r="D6335" s="28" t="s">
        <v>1734</v>
      </c>
      <c r="E6335" s="29" t="s">
        <v>309</v>
      </c>
      <c r="F6335" s="29" t="s">
        <v>903</v>
      </c>
      <c r="G6335" s="25" t="s">
        <v>8008</v>
      </c>
      <c r="H6335" s="26">
        <v>-8.8777200000000001E-2</v>
      </c>
      <c r="I6335" s="26"/>
      <c r="J6335" s="26" t="s">
        <v>512</v>
      </c>
      <c r="K6335" s="25" t="s">
        <v>513</v>
      </c>
      <c r="L6335" s="8"/>
    </row>
    <row r="6336" spans="1:12" ht="25.5" x14ac:dyDescent="0.25">
      <c r="A6336" s="22">
        <v>2026</v>
      </c>
      <c r="B6336" s="28" t="s">
        <v>237</v>
      </c>
      <c r="C6336" s="28" t="s">
        <v>97</v>
      </c>
      <c r="D6336" s="28" t="s">
        <v>1734</v>
      </c>
      <c r="E6336" s="29" t="s">
        <v>309</v>
      </c>
      <c r="F6336" s="29" t="s">
        <v>903</v>
      </c>
      <c r="G6336" s="25" t="s">
        <v>8009</v>
      </c>
      <c r="H6336" s="26">
        <v>-2.2902808319999999E-2</v>
      </c>
      <c r="I6336" s="26"/>
      <c r="J6336" s="26" t="s">
        <v>512</v>
      </c>
      <c r="K6336" s="25" t="s">
        <v>513</v>
      </c>
      <c r="L6336" s="8"/>
    </row>
    <row r="6337" spans="1:12" ht="25.5" x14ac:dyDescent="0.25">
      <c r="A6337" s="22">
        <v>2026</v>
      </c>
      <c r="B6337" s="28" t="s">
        <v>237</v>
      </c>
      <c r="C6337" s="28" t="s">
        <v>97</v>
      </c>
      <c r="D6337" s="28" t="s">
        <v>1735</v>
      </c>
      <c r="E6337" s="29" t="s">
        <v>309</v>
      </c>
      <c r="F6337" s="29" t="s">
        <v>566</v>
      </c>
      <c r="G6337" s="25" t="s">
        <v>8010</v>
      </c>
      <c r="H6337" s="26">
        <v>-0.40250000000000002</v>
      </c>
      <c r="I6337" s="26"/>
      <c r="J6337" s="26" t="s">
        <v>512</v>
      </c>
      <c r="K6337" s="25" t="s">
        <v>513</v>
      </c>
      <c r="L6337" s="8"/>
    </row>
    <row r="6338" spans="1:12" ht="25.5" x14ac:dyDescent="0.25">
      <c r="A6338" s="22">
        <v>2026</v>
      </c>
      <c r="B6338" s="28" t="s">
        <v>237</v>
      </c>
      <c r="C6338" s="28" t="s">
        <v>97</v>
      </c>
      <c r="D6338" s="28" t="s">
        <v>1735</v>
      </c>
      <c r="E6338" s="29" t="s">
        <v>309</v>
      </c>
      <c r="F6338" s="29" t="s">
        <v>566</v>
      </c>
      <c r="G6338" s="25" t="s">
        <v>8011</v>
      </c>
      <c r="H6338" s="26">
        <v>-0.39800000000000002</v>
      </c>
      <c r="I6338" s="26"/>
      <c r="J6338" s="26" t="s">
        <v>512</v>
      </c>
      <c r="K6338" s="25" t="s">
        <v>513</v>
      </c>
      <c r="L6338" s="8"/>
    </row>
    <row r="6339" spans="1:12" ht="25.5" x14ac:dyDescent="0.25">
      <c r="A6339" s="22">
        <v>2026</v>
      </c>
      <c r="B6339" s="28" t="s">
        <v>237</v>
      </c>
      <c r="C6339" s="28" t="s">
        <v>97</v>
      </c>
      <c r="D6339" s="28" t="s">
        <v>1735</v>
      </c>
      <c r="E6339" s="29" t="s">
        <v>309</v>
      </c>
      <c r="F6339" s="29" t="s">
        <v>566</v>
      </c>
      <c r="G6339" s="25" t="s">
        <v>8012</v>
      </c>
      <c r="H6339" s="26">
        <v>-0.98250000000000004</v>
      </c>
      <c r="I6339" s="26"/>
      <c r="J6339" s="26" t="s">
        <v>512</v>
      </c>
      <c r="K6339" s="25" t="s">
        <v>513</v>
      </c>
      <c r="L6339" s="8"/>
    </row>
    <row r="6340" spans="1:12" ht="25.5" x14ac:dyDescent="0.25">
      <c r="A6340" s="22">
        <v>2026</v>
      </c>
      <c r="B6340" s="28" t="s">
        <v>237</v>
      </c>
      <c r="C6340" s="28" t="s">
        <v>97</v>
      </c>
      <c r="D6340" s="28" t="s">
        <v>1735</v>
      </c>
      <c r="E6340" s="29" t="s">
        <v>309</v>
      </c>
      <c r="F6340" s="29" t="s">
        <v>566</v>
      </c>
      <c r="G6340" s="25" t="s">
        <v>8013</v>
      </c>
      <c r="H6340" s="26">
        <v>-0.95625000000000004</v>
      </c>
      <c r="I6340" s="26"/>
      <c r="J6340" s="26" t="s">
        <v>512</v>
      </c>
      <c r="K6340" s="25" t="s">
        <v>513</v>
      </c>
      <c r="L6340" s="8"/>
    </row>
    <row r="6341" spans="1:12" ht="25.5" x14ac:dyDescent="0.25">
      <c r="A6341" s="22">
        <v>2026</v>
      </c>
      <c r="B6341" s="28" t="s">
        <v>237</v>
      </c>
      <c r="C6341" s="28" t="s">
        <v>97</v>
      </c>
      <c r="D6341" s="28" t="s">
        <v>1735</v>
      </c>
      <c r="E6341" s="29" t="s">
        <v>309</v>
      </c>
      <c r="F6341" s="29" t="s">
        <v>566</v>
      </c>
      <c r="G6341" s="25" t="s">
        <v>5792</v>
      </c>
      <c r="H6341" s="26">
        <v>-0.76</v>
      </c>
      <c r="I6341" s="26"/>
      <c r="J6341" s="26" t="s">
        <v>512</v>
      </c>
      <c r="K6341" s="25" t="s">
        <v>513</v>
      </c>
      <c r="L6341" s="8"/>
    </row>
    <row r="6342" spans="1:12" ht="25.5" x14ac:dyDescent="0.25">
      <c r="A6342" s="22">
        <v>2026</v>
      </c>
      <c r="B6342" s="28" t="s">
        <v>237</v>
      </c>
      <c r="C6342" s="28" t="s">
        <v>97</v>
      </c>
      <c r="D6342" s="28" t="s">
        <v>1735</v>
      </c>
      <c r="E6342" s="29" t="s">
        <v>309</v>
      </c>
      <c r="F6342" s="29" t="s">
        <v>566</v>
      </c>
      <c r="G6342" s="25" t="s">
        <v>8014</v>
      </c>
      <c r="H6342" s="26">
        <v>-1.1399999999999999</v>
      </c>
      <c r="I6342" s="26"/>
      <c r="J6342" s="26" t="s">
        <v>512</v>
      </c>
      <c r="K6342" s="25" t="s">
        <v>513</v>
      </c>
      <c r="L6342" s="8"/>
    </row>
    <row r="6343" spans="1:12" ht="25.5" x14ac:dyDescent="0.25">
      <c r="A6343" s="22">
        <v>2026</v>
      </c>
      <c r="B6343" s="28" t="s">
        <v>237</v>
      </c>
      <c r="C6343" s="28" t="s">
        <v>97</v>
      </c>
      <c r="D6343" s="28" t="s">
        <v>1735</v>
      </c>
      <c r="E6343" s="29" t="s">
        <v>309</v>
      </c>
      <c r="F6343" s="29" t="s">
        <v>566</v>
      </c>
      <c r="G6343" s="25" t="s">
        <v>8015</v>
      </c>
      <c r="H6343" s="26">
        <v>-1.1595</v>
      </c>
      <c r="I6343" s="26"/>
      <c r="J6343" s="26" t="s">
        <v>512</v>
      </c>
      <c r="K6343" s="25" t="s">
        <v>513</v>
      </c>
      <c r="L6343" s="8"/>
    </row>
    <row r="6344" spans="1:12" ht="25.5" x14ac:dyDescent="0.25">
      <c r="A6344" s="22">
        <v>2026</v>
      </c>
      <c r="B6344" s="28" t="s">
        <v>237</v>
      </c>
      <c r="C6344" s="28" t="s">
        <v>97</v>
      </c>
      <c r="D6344" s="28" t="s">
        <v>1735</v>
      </c>
      <c r="E6344" s="29" t="s">
        <v>309</v>
      </c>
      <c r="F6344" s="29" t="s">
        <v>566</v>
      </c>
      <c r="G6344" s="25" t="s">
        <v>8016</v>
      </c>
      <c r="H6344" s="26">
        <v>-1.1850000000000001</v>
      </c>
      <c r="I6344" s="26"/>
      <c r="J6344" s="26" t="s">
        <v>512</v>
      </c>
      <c r="K6344" s="25" t="s">
        <v>513</v>
      </c>
      <c r="L6344" s="8"/>
    </row>
    <row r="6345" spans="1:12" ht="25.5" x14ac:dyDescent="0.25">
      <c r="A6345" s="22">
        <v>2026</v>
      </c>
      <c r="B6345" s="28" t="s">
        <v>237</v>
      </c>
      <c r="C6345" s="28" t="s">
        <v>97</v>
      </c>
      <c r="D6345" s="28" t="s">
        <v>1735</v>
      </c>
      <c r="E6345" s="29" t="s">
        <v>309</v>
      </c>
      <c r="F6345" s="29" t="s">
        <v>566</v>
      </c>
      <c r="G6345" s="25" t="s">
        <v>8017</v>
      </c>
      <c r="H6345" s="26">
        <v>-1.2</v>
      </c>
      <c r="I6345" s="26"/>
      <c r="J6345" s="26" t="s">
        <v>512</v>
      </c>
      <c r="K6345" s="25" t="s">
        <v>513</v>
      </c>
      <c r="L6345" s="8"/>
    </row>
    <row r="6346" spans="1:12" ht="25.5" x14ac:dyDescent="0.25">
      <c r="A6346" s="22">
        <v>2026</v>
      </c>
      <c r="B6346" s="28" t="s">
        <v>237</v>
      </c>
      <c r="C6346" s="28" t="s">
        <v>97</v>
      </c>
      <c r="D6346" s="28" t="s">
        <v>1735</v>
      </c>
      <c r="E6346" s="29" t="s">
        <v>309</v>
      </c>
      <c r="F6346" s="29" t="s">
        <v>566</v>
      </c>
      <c r="G6346" s="25" t="s">
        <v>8018</v>
      </c>
      <c r="H6346" s="26">
        <v>-1.2195</v>
      </c>
      <c r="I6346" s="26"/>
      <c r="J6346" s="26" t="s">
        <v>512</v>
      </c>
      <c r="K6346" s="25" t="s">
        <v>513</v>
      </c>
      <c r="L6346" s="8"/>
    </row>
    <row r="6347" spans="1:12" ht="25.5" x14ac:dyDescent="0.25">
      <c r="A6347" s="22">
        <v>2026</v>
      </c>
      <c r="B6347" s="28" t="s">
        <v>237</v>
      </c>
      <c r="C6347" s="28" t="s">
        <v>97</v>
      </c>
      <c r="D6347" s="28" t="s">
        <v>1735</v>
      </c>
      <c r="E6347" s="29" t="s">
        <v>309</v>
      </c>
      <c r="F6347" s="29" t="s">
        <v>566</v>
      </c>
      <c r="G6347" s="25" t="s">
        <v>8019</v>
      </c>
      <c r="H6347" s="26">
        <v>-1.04375</v>
      </c>
      <c r="I6347" s="26"/>
      <c r="J6347" s="26" t="s">
        <v>512</v>
      </c>
      <c r="K6347" s="25" t="s">
        <v>513</v>
      </c>
      <c r="L6347" s="8"/>
    </row>
    <row r="6348" spans="1:12" ht="25.5" x14ac:dyDescent="0.25">
      <c r="A6348" s="22">
        <v>2026</v>
      </c>
      <c r="B6348" s="28" t="s">
        <v>237</v>
      </c>
      <c r="C6348" s="28" t="s">
        <v>97</v>
      </c>
      <c r="D6348" s="28" t="s">
        <v>1735</v>
      </c>
      <c r="E6348" s="29" t="s">
        <v>309</v>
      </c>
      <c r="F6348" s="29" t="s">
        <v>566</v>
      </c>
      <c r="G6348" s="25" t="s">
        <v>8020</v>
      </c>
      <c r="H6348" s="26">
        <v>-1.2524999999999999</v>
      </c>
      <c r="I6348" s="26"/>
      <c r="J6348" s="26" t="s">
        <v>512</v>
      </c>
      <c r="K6348" s="25" t="s">
        <v>513</v>
      </c>
      <c r="L6348" s="8"/>
    </row>
    <row r="6349" spans="1:12" ht="25.5" x14ac:dyDescent="0.25">
      <c r="A6349" s="22">
        <v>2026</v>
      </c>
      <c r="B6349" s="28" t="s">
        <v>237</v>
      </c>
      <c r="C6349" s="28" t="s">
        <v>97</v>
      </c>
      <c r="D6349" s="28" t="s">
        <v>1735</v>
      </c>
      <c r="E6349" s="29" t="s">
        <v>309</v>
      </c>
      <c r="F6349" s="29" t="s">
        <v>566</v>
      </c>
      <c r="G6349" s="25" t="s">
        <v>8021</v>
      </c>
      <c r="H6349" s="26">
        <v>-0.83299999999999996</v>
      </c>
      <c r="I6349" s="26"/>
      <c r="J6349" s="26" t="s">
        <v>512</v>
      </c>
      <c r="K6349" s="25" t="s">
        <v>513</v>
      </c>
      <c r="L6349" s="8"/>
    </row>
    <row r="6350" spans="1:12" ht="25.5" x14ac:dyDescent="0.25">
      <c r="A6350" s="22">
        <v>2026</v>
      </c>
      <c r="B6350" s="28" t="s">
        <v>237</v>
      </c>
      <c r="C6350" s="28" t="s">
        <v>97</v>
      </c>
      <c r="D6350" s="28" t="s">
        <v>1735</v>
      </c>
      <c r="E6350" s="29" t="s">
        <v>309</v>
      </c>
      <c r="F6350" s="29" t="s">
        <v>566</v>
      </c>
      <c r="G6350" s="25" t="s">
        <v>8022</v>
      </c>
      <c r="H6350" s="26">
        <v>-1.0133000000000001</v>
      </c>
      <c r="I6350" s="26"/>
      <c r="J6350" s="26" t="s">
        <v>512</v>
      </c>
      <c r="K6350" s="25" t="s">
        <v>513</v>
      </c>
      <c r="L6350" s="8"/>
    </row>
    <row r="6351" spans="1:12" ht="25.5" x14ac:dyDescent="0.25">
      <c r="A6351" s="22">
        <v>2026</v>
      </c>
      <c r="B6351" s="28" t="s">
        <v>237</v>
      </c>
      <c r="C6351" s="28" t="s">
        <v>97</v>
      </c>
      <c r="D6351" s="28" t="s">
        <v>1735</v>
      </c>
      <c r="E6351" s="29" t="s">
        <v>309</v>
      </c>
      <c r="F6351" s="29" t="s">
        <v>566</v>
      </c>
      <c r="G6351" s="25" t="s">
        <v>8023</v>
      </c>
      <c r="H6351" s="26">
        <v>-1.2141375000000001</v>
      </c>
      <c r="I6351" s="26"/>
      <c r="J6351" s="26" t="s">
        <v>512</v>
      </c>
      <c r="K6351" s="25" t="s">
        <v>513</v>
      </c>
      <c r="L6351" s="8"/>
    </row>
    <row r="6352" spans="1:12" ht="25.5" x14ac:dyDescent="0.25">
      <c r="A6352" s="22">
        <v>2026</v>
      </c>
      <c r="B6352" s="28" t="s">
        <v>237</v>
      </c>
      <c r="C6352" s="28" t="s">
        <v>97</v>
      </c>
      <c r="D6352" s="28" t="s">
        <v>1736</v>
      </c>
      <c r="E6352" s="29" t="s">
        <v>309</v>
      </c>
      <c r="F6352" s="29" t="s">
        <v>343</v>
      </c>
      <c r="G6352" s="25" t="s">
        <v>8024</v>
      </c>
      <c r="H6352" s="26">
        <v>-0.48633300000000002</v>
      </c>
      <c r="I6352" s="26"/>
      <c r="J6352" s="26" t="s">
        <v>512</v>
      </c>
      <c r="K6352" s="25" t="s">
        <v>513</v>
      </c>
      <c r="L6352" s="8"/>
    </row>
    <row r="6353" spans="1:12" ht="25.5" x14ac:dyDescent="0.25">
      <c r="A6353" s="22">
        <v>2026</v>
      </c>
      <c r="B6353" s="28" t="s">
        <v>237</v>
      </c>
      <c r="C6353" s="28" t="s">
        <v>97</v>
      </c>
      <c r="D6353" s="28" t="s">
        <v>1736</v>
      </c>
      <c r="E6353" s="29" t="s">
        <v>309</v>
      </c>
      <c r="F6353" s="29" t="s">
        <v>343</v>
      </c>
      <c r="G6353" s="25" t="s">
        <v>8025</v>
      </c>
      <c r="H6353" s="26">
        <v>-0.4875795</v>
      </c>
      <c r="I6353" s="26"/>
      <c r="J6353" s="26" t="s">
        <v>512</v>
      </c>
      <c r="K6353" s="25" t="s">
        <v>513</v>
      </c>
      <c r="L6353" s="8"/>
    </row>
    <row r="6354" spans="1:12" ht="25.5" x14ac:dyDescent="0.25">
      <c r="A6354" s="22">
        <v>2026</v>
      </c>
      <c r="B6354" s="28" t="s">
        <v>237</v>
      </c>
      <c r="C6354" s="28" t="s">
        <v>97</v>
      </c>
      <c r="D6354" s="28" t="s">
        <v>1736</v>
      </c>
      <c r="E6354" s="29" t="s">
        <v>309</v>
      </c>
      <c r="F6354" s="29" t="s">
        <v>343</v>
      </c>
      <c r="G6354" s="25" t="s">
        <v>8026</v>
      </c>
      <c r="H6354" s="26">
        <v>-0.48479699999999998</v>
      </c>
      <c r="I6354" s="26"/>
      <c r="J6354" s="26" t="s">
        <v>512</v>
      </c>
      <c r="K6354" s="25" t="s">
        <v>513</v>
      </c>
      <c r="L6354" s="8"/>
    </row>
    <row r="6355" spans="1:12" ht="25.5" x14ac:dyDescent="0.25">
      <c r="A6355" s="22">
        <v>2026</v>
      </c>
      <c r="B6355" s="28" t="s">
        <v>237</v>
      </c>
      <c r="C6355" s="28" t="s">
        <v>97</v>
      </c>
      <c r="D6355" s="28" t="s">
        <v>1736</v>
      </c>
      <c r="E6355" s="29" t="s">
        <v>309</v>
      </c>
      <c r="F6355" s="29" t="s">
        <v>343</v>
      </c>
      <c r="G6355" s="25" t="s">
        <v>8027</v>
      </c>
      <c r="H6355" s="26">
        <v>-0.16125</v>
      </c>
      <c r="I6355" s="26"/>
      <c r="J6355" s="26" t="s">
        <v>512</v>
      </c>
      <c r="K6355" s="25" t="s">
        <v>513</v>
      </c>
      <c r="L6355" s="8"/>
    </row>
    <row r="6356" spans="1:12" ht="25.5" x14ac:dyDescent="0.25">
      <c r="A6356" s="22">
        <v>2026</v>
      </c>
      <c r="B6356" s="28" t="s">
        <v>237</v>
      </c>
      <c r="C6356" s="28" t="s">
        <v>97</v>
      </c>
      <c r="D6356" s="28" t="s">
        <v>1736</v>
      </c>
      <c r="E6356" s="29" t="s">
        <v>309</v>
      </c>
      <c r="F6356" s="29" t="s">
        <v>343</v>
      </c>
      <c r="G6356" s="25" t="s">
        <v>8028</v>
      </c>
      <c r="H6356" s="26">
        <v>-0.16211500000000001</v>
      </c>
      <c r="I6356" s="26"/>
      <c r="J6356" s="26" t="s">
        <v>512</v>
      </c>
      <c r="K6356" s="25" t="s">
        <v>513</v>
      </c>
      <c r="L6356" s="8"/>
    </row>
    <row r="6357" spans="1:12" ht="25.5" x14ac:dyDescent="0.25">
      <c r="A6357" s="22">
        <v>2026</v>
      </c>
      <c r="B6357" s="28" t="s">
        <v>237</v>
      </c>
      <c r="C6357" s="28" t="s">
        <v>97</v>
      </c>
      <c r="D6357" s="28" t="s">
        <v>1736</v>
      </c>
      <c r="E6357" s="29" t="s">
        <v>309</v>
      </c>
      <c r="F6357" s="29" t="s">
        <v>343</v>
      </c>
      <c r="G6357" s="25" t="s">
        <v>8029</v>
      </c>
      <c r="H6357" s="26">
        <v>-0.33633704999999997</v>
      </c>
      <c r="I6357" s="26"/>
      <c r="J6357" s="26" t="s">
        <v>512</v>
      </c>
      <c r="K6357" s="25" t="s">
        <v>513</v>
      </c>
      <c r="L6357" s="8"/>
    </row>
    <row r="6358" spans="1:12" ht="25.5" x14ac:dyDescent="0.25">
      <c r="A6358" s="22">
        <v>2026</v>
      </c>
      <c r="B6358" s="28" t="s">
        <v>237</v>
      </c>
      <c r="C6358" s="28" t="s">
        <v>97</v>
      </c>
      <c r="D6358" s="28" t="s">
        <v>1736</v>
      </c>
      <c r="E6358" s="29" t="s">
        <v>309</v>
      </c>
      <c r="F6358" s="29" t="s">
        <v>343</v>
      </c>
      <c r="G6358" s="25" t="s">
        <v>8030</v>
      </c>
      <c r="H6358" s="26">
        <v>-0.316</v>
      </c>
      <c r="I6358" s="26"/>
      <c r="J6358" s="26" t="s">
        <v>512</v>
      </c>
      <c r="K6358" s="25" t="s">
        <v>513</v>
      </c>
      <c r="L6358" s="8"/>
    </row>
    <row r="6359" spans="1:12" ht="25.5" x14ac:dyDescent="0.25">
      <c r="A6359" s="22">
        <v>2026</v>
      </c>
      <c r="B6359" s="28" t="s">
        <v>237</v>
      </c>
      <c r="C6359" s="28" t="s">
        <v>97</v>
      </c>
      <c r="D6359" s="28" t="s">
        <v>1736</v>
      </c>
      <c r="E6359" s="29" t="s">
        <v>309</v>
      </c>
      <c r="F6359" s="29" t="s">
        <v>343</v>
      </c>
      <c r="G6359" s="25" t="s">
        <v>8031</v>
      </c>
      <c r="H6359" s="26">
        <v>-0.40227125000000002</v>
      </c>
      <c r="I6359" s="26"/>
      <c r="J6359" s="26" t="s">
        <v>512</v>
      </c>
      <c r="K6359" s="25" t="s">
        <v>513</v>
      </c>
      <c r="L6359" s="8"/>
    </row>
    <row r="6360" spans="1:12" ht="25.5" x14ac:dyDescent="0.25">
      <c r="A6360" s="22">
        <v>2026</v>
      </c>
      <c r="B6360" s="28" t="s">
        <v>237</v>
      </c>
      <c r="C6360" s="28" t="s">
        <v>97</v>
      </c>
      <c r="D6360" s="28" t="s">
        <v>1736</v>
      </c>
      <c r="E6360" s="29" t="s">
        <v>309</v>
      </c>
      <c r="F6360" s="29" t="s">
        <v>343</v>
      </c>
      <c r="G6360" s="25" t="s">
        <v>8032</v>
      </c>
      <c r="H6360" s="26">
        <v>-0.16450000000000001</v>
      </c>
      <c r="I6360" s="26"/>
      <c r="J6360" s="26" t="s">
        <v>512</v>
      </c>
      <c r="K6360" s="25" t="s">
        <v>513</v>
      </c>
      <c r="L6360" s="8"/>
    </row>
    <row r="6361" spans="1:12" ht="25.5" x14ac:dyDescent="0.25">
      <c r="A6361" s="22">
        <v>2026</v>
      </c>
      <c r="B6361" s="28" t="s">
        <v>237</v>
      </c>
      <c r="C6361" s="28" t="s">
        <v>97</v>
      </c>
      <c r="D6361" s="28" t="s">
        <v>1736</v>
      </c>
      <c r="E6361" s="29" t="s">
        <v>309</v>
      </c>
      <c r="F6361" s="29" t="s">
        <v>343</v>
      </c>
      <c r="G6361" s="25" t="s">
        <v>8033</v>
      </c>
      <c r="H6361" s="26">
        <v>-0.37729200000000002</v>
      </c>
      <c r="I6361" s="26"/>
      <c r="J6361" s="26" t="s">
        <v>512</v>
      </c>
      <c r="K6361" s="25" t="s">
        <v>513</v>
      </c>
      <c r="L6361" s="8"/>
    </row>
    <row r="6362" spans="1:12" ht="25.5" x14ac:dyDescent="0.25">
      <c r="A6362" s="22">
        <v>2026</v>
      </c>
      <c r="B6362" s="28" t="s">
        <v>237</v>
      </c>
      <c r="C6362" s="28" t="s">
        <v>97</v>
      </c>
      <c r="D6362" s="28" t="s">
        <v>1736</v>
      </c>
      <c r="E6362" s="29" t="s">
        <v>309</v>
      </c>
      <c r="F6362" s="29" t="s">
        <v>343</v>
      </c>
      <c r="G6362" s="25" t="s">
        <v>8034</v>
      </c>
      <c r="H6362" s="26">
        <v>-0.41090749999999998</v>
      </c>
      <c r="I6362" s="26"/>
      <c r="J6362" s="26" t="s">
        <v>512</v>
      </c>
      <c r="K6362" s="25" t="s">
        <v>513</v>
      </c>
      <c r="L6362" s="8"/>
    </row>
    <row r="6363" spans="1:12" ht="25.5" x14ac:dyDescent="0.25">
      <c r="A6363" s="22">
        <v>2026</v>
      </c>
      <c r="B6363" s="28" t="s">
        <v>237</v>
      </c>
      <c r="C6363" s="28" t="s">
        <v>97</v>
      </c>
      <c r="D6363" s="28" t="s">
        <v>1736</v>
      </c>
      <c r="E6363" s="29" t="s">
        <v>309</v>
      </c>
      <c r="F6363" s="29" t="s">
        <v>343</v>
      </c>
      <c r="G6363" s="25" t="s">
        <v>8035</v>
      </c>
      <c r="H6363" s="26">
        <v>-0.27934995000000001</v>
      </c>
      <c r="I6363" s="26"/>
      <c r="J6363" s="26" t="s">
        <v>512</v>
      </c>
      <c r="K6363" s="25" t="s">
        <v>513</v>
      </c>
      <c r="L6363" s="8"/>
    </row>
    <row r="6364" spans="1:12" ht="25.5" x14ac:dyDescent="0.25">
      <c r="A6364" s="22">
        <v>2026</v>
      </c>
      <c r="B6364" s="28" t="s">
        <v>237</v>
      </c>
      <c r="C6364" s="28" t="s">
        <v>97</v>
      </c>
      <c r="D6364" s="28" t="s">
        <v>1736</v>
      </c>
      <c r="E6364" s="29" t="s">
        <v>309</v>
      </c>
      <c r="F6364" s="29" t="s">
        <v>343</v>
      </c>
      <c r="G6364" s="25" t="s">
        <v>8036</v>
      </c>
      <c r="H6364" s="26">
        <v>-0.24380850000000001</v>
      </c>
      <c r="I6364" s="26"/>
      <c r="J6364" s="26" t="s">
        <v>512</v>
      </c>
      <c r="K6364" s="25" t="s">
        <v>513</v>
      </c>
      <c r="L6364" s="8"/>
    </row>
    <row r="6365" spans="1:12" ht="25.5" x14ac:dyDescent="0.25">
      <c r="A6365" s="22">
        <v>2026</v>
      </c>
      <c r="B6365" s="28" t="s">
        <v>237</v>
      </c>
      <c r="C6365" s="28" t="s">
        <v>97</v>
      </c>
      <c r="D6365" s="28" t="s">
        <v>1736</v>
      </c>
      <c r="E6365" s="29" t="s">
        <v>309</v>
      </c>
      <c r="F6365" s="29" t="s">
        <v>343</v>
      </c>
      <c r="G6365" s="25" t="s">
        <v>8037</v>
      </c>
      <c r="H6365" s="26">
        <v>-0.36838755000000001</v>
      </c>
      <c r="I6365" s="26"/>
      <c r="J6365" s="26" t="s">
        <v>512</v>
      </c>
      <c r="K6365" s="25" t="s">
        <v>513</v>
      </c>
      <c r="L6365" s="8"/>
    </row>
    <row r="6366" spans="1:12" ht="25.5" x14ac:dyDescent="0.25">
      <c r="A6366" s="22">
        <v>2026</v>
      </c>
      <c r="B6366" s="28" t="s">
        <v>237</v>
      </c>
      <c r="C6366" s="28" t="s">
        <v>97</v>
      </c>
      <c r="D6366" s="28" t="s">
        <v>1736</v>
      </c>
      <c r="E6366" s="29" t="s">
        <v>309</v>
      </c>
      <c r="F6366" s="29" t="s">
        <v>343</v>
      </c>
      <c r="G6366" s="25" t="s">
        <v>8038</v>
      </c>
      <c r="H6366" s="26">
        <v>-0.48687599999999998</v>
      </c>
      <c r="I6366" s="26"/>
      <c r="J6366" s="26" t="s">
        <v>512</v>
      </c>
      <c r="K6366" s="25" t="s">
        <v>513</v>
      </c>
      <c r="L6366" s="8"/>
    </row>
    <row r="6367" spans="1:12" ht="25.5" x14ac:dyDescent="0.25">
      <c r="A6367" s="22">
        <v>2026</v>
      </c>
      <c r="B6367" s="28" t="s">
        <v>237</v>
      </c>
      <c r="C6367" s="28" t="s">
        <v>97</v>
      </c>
      <c r="D6367" s="28" t="s">
        <v>1736</v>
      </c>
      <c r="E6367" s="29" t="s">
        <v>309</v>
      </c>
      <c r="F6367" s="29" t="s">
        <v>343</v>
      </c>
      <c r="G6367" s="25" t="s">
        <v>8039</v>
      </c>
      <c r="H6367" s="26">
        <v>-0.16275000000000001</v>
      </c>
      <c r="I6367" s="26"/>
      <c r="J6367" s="26" t="s">
        <v>512</v>
      </c>
      <c r="K6367" s="25" t="s">
        <v>513</v>
      </c>
      <c r="L6367" s="8"/>
    </row>
    <row r="6368" spans="1:12" ht="25.5" x14ac:dyDescent="0.25">
      <c r="A6368" s="22">
        <v>2026</v>
      </c>
      <c r="B6368" s="28" t="s">
        <v>237</v>
      </c>
      <c r="C6368" s="28" t="s">
        <v>97</v>
      </c>
      <c r="D6368" s="28" t="s">
        <v>538</v>
      </c>
      <c r="E6368" s="29" t="s">
        <v>309</v>
      </c>
      <c r="F6368" s="29" t="s">
        <v>564</v>
      </c>
      <c r="G6368" s="25" t="s">
        <v>8040</v>
      </c>
      <c r="H6368" s="26">
        <v>-0.1054335</v>
      </c>
      <c r="I6368" s="26"/>
      <c r="J6368" s="26" t="s">
        <v>512</v>
      </c>
      <c r="K6368" s="25" t="s">
        <v>513</v>
      </c>
      <c r="L6368" s="8"/>
    </row>
    <row r="6369" spans="1:12" ht="25.5" x14ac:dyDescent="0.25">
      <c r="A6369" s="22">
        <v>2026</v>
      </c>
      <c r="B6369" s="28" t="s">
        <v>237</v>
      </c>
      <c r="C6369" s="28" t="s">
        <v>97</v>
      </c>
      <c r="D6369" s="28" t="s">
        <v>538</v>
      </c>
      <c r="E6369" s="29" t="s">
        <v>309</v>
      </c>
      <c r="F6369" s="29" t="s">
        <v>564</v>
      </c>
      <c r="G6369" s="25" t="s">
        <v>8041</v>
      </c>
      <c r="H6369" s="26">
        <v>-8.4224999999999994E-2</v>
      </c>
      <c r="I6369" s="26"/>
      <c r="J6369" s="26" t="s">
        <v>512</v>
      </c>
      <c r="K6369" s="25" t="s">
        <v>513</v>
      </c>
      <c r="L6369" s="8"/>
    </row>
    <row r="6370" spans="1:12" ht="25.5" x14ac:dyDescent="0.25">
      <c r="A6370" s="22">
        <v>2026</v>
      </c>
      <c r="B6370" s="28" t="s">
        <v>237</v>
      </c>
      <c r="C6370" s="28" t="s">
        <v>97</v>
      </c>
      <c r="D6370" s="28" t="s">
        <v>538</v>
      </c>
      <c r="E6370" s="29" t="s">
        <v>309</v>
      </c>
      <c r="F6370" s="29" t="s">
        <v>564</v>
      </c>
      <c r="G6370" s="25" t="s">
        <v>8042</v>
      </c>
      <c r="H6370" s="26">
        <v>-0.12652080000000002</v>
      </c>
      <c r="I6370" s="26"/>
      <c r="J6370" s="26" t="s">
        <v>512</v>
      </c>
      <c r="K6370" s="25" t="s">
        <v>513</v>
      </c>
      <c r="L6370" s="8"/>
    </row>
    <row r="6371" spans="1:12" ht="25.5" x14ac:dyDescent="0.25">
      <c r="A6371" s="22">
        <v>2026</v>
      </c>
      <c r="B6371" s="28" t="s">
        <v>237</v>
      </c>
      <c r="C6371" s="28" t="s">
        <v>97</v>
      </c>
      <c r="D6371" s="28" t="s">
        <v>538</v>
      </c>
      <c r="E6371" s="29" t="s">
        <v>309</v>
      </c>
      <c r="F6371" s="29" t="s">
        <v>564</v>
      </c>
      <c r="G6371" s="25" t="s">
        <v>8043</v>
      </c>
      <c r="H6371" s="26">
        <v>-8.4544399999999992E-2</v>
      </c>
      <c r="I6371" s="26"/>
      <c r="J6371" s="26" t="s">
        <v>512</v>
      </c>
      <c r="K6371" s="25" t="s">
        <v>513</v>
      </c>
      <c r="L6371" s="8"/>
    </row>
    <row r="6372" spans="1:12" ht="25.5" x14ac:dyDescent="0.25">
      <c r="A6372" s="22">
        <v>2026</v>
      </c>
      <c r="B6372" s="28" t="s">
        <v>237</v>
      </c>
      <c r="C6372" s="28" t="s">
        <v>97</v>
      </c>
      <c r="D6372" s="28" t="s">
        <v>538</v>
      </c>
      <c r="E6372" s="29" t="s">
        <v>309</v>
      </c>
      <c r="F6372" s="29" t="s">
        <v>564</v>
      </c>
      <c r="G6372" s="25" t="s">
        <v>8044</v>
      </c>
      <c r="H6372" s="26">
        <v>-8.4320000000000006E-2</v>
      </c>
      <c r="I6372" s="26"/>
      <c r="J6372" s="26" t="s">
        <v>512</v>
      </c>
      <c r="K6372" s="25" t="s">
        <v>513</v>
      </c>
      <c r="L6372" s="8"/>
    </row>
    <row r="6373" spans="1:12" ht="25.5" x14ac:dyDescent="0.25">
      <c r="A6373" s="22">
        <v>2026</v>
      </c>
      <c r="B6373" s="28" t="s">
        <v>237</v>
      </c>
      <c r="C6373" s="28" t="s">
        <v>97</v>
      </c>
      <c r="D6373" s="28" t="s">
        <v>538</v>
      </c>
      <c r="E6373" s="29" t="s">
        <v>309</v>
      </c>
      <c r="F6373" s="29" t="s">
        <v>564</v>
      </c>
      <c r="G6373" s="25" t="s">
        <v>8045</v>
      </c>
      <c r="H6373" s="26">
        <v>-0.1055</v>
      </c>
      <c r="I6373" s="26"/>
      <c r="J6373" s="26" t="s">
        <v>512</v>
      </c>
      <c r="K6373" s="25" t="s">
        <v>513</v>
      </c>
      <c r="L6373" s="8"/>
    </row>
    <row r="6374" spans="1:12" ht="25.5" x14ac:dyDescent="0.25">
      <c r="A6374" s="22">
        <v>2026</v>
      </c>
      <c r="B6374" s="28" t="s">
        <v>237</v>
      </c>
      <c r="C6374" s="28" t="s">
        <v>97</v>
      </c>
      <c r="D6374" s="28" t="s">
        <v>538</v>
      </c>
      <c r="E6374" s="29" t="s">
        <v>309</v>
      </c>
      <c r="F6374" s="29" t="s">
        <v>564</v>
      </c>
      <c r="G6374" s="25" t="s">
        <v>8046</v>
      </c>
      <c r="H6374" s="26">
        <v>-8.3909600000000001E-2</v>
      </c>
      <c r="I6374" s="26"/>
      <c r="J6374" s="26" t="s">
        <v>512</v>
      </c>
      <c r="K6374" s="25" t="s">
        <v>513</v>
      </c>
      <c r="L6374" s="8"/>
    </row>
    <row r="6375" spans="1:12" ht="25.5" x14ac:dyDescent="0.25">
      <c r="A6375" s="22">
        <v>2026</v>
      </c>
      <c r="B6375" s="28" t="s">
        <v>237</v>
      </c>
      <c r="C6375" s="28" t="s">
        <v>97</v>
      </c>
      <c r="D6375" s="28" t="s">
        <v>538</v>
      </c>
      <c r="E6375" s="29" t="s">
        <v>309</v>
      </c>
      <c r="F6375" s="29" t="s">
        <v>564</v>
      </c>
      <c r="G6375" s="25" t="s">
        <v>8047</v>
      </c>
      <c r="H6375" s="26">
        <v>-0.10528125000000001</v>
      </c>
      <c r="I6375" s="26"/>
      <c r="J6375" s="26" t="s">
        <v>512</v>
      </c>
      <c r="K6375" s="25" t="s">
        <v>513</v>
      </c>
      <c r="L6375" s="8"/>
    </row>
    <row r="6376" spans="1:12" ht="25.5" x14ac:dyDescent="0.25">
      <c r="A6376" s="22">
        <v>2026</v>
      </c>
      <c r="B6376" s="28" t="s">
        <v>237</v>
      </c>
      <c r="C6376" s="28" t="s">
        <v>97</v>
      </c>
      <c r="D6376" s="28" t="s">
        <v>538</v>
      </c>
      <c r="E6376" s="29" t="s">
        <v>309</v>
      </c>
      <c r="F6376" s="29" t="s">
        <v>564</v>
      </c>
      <c r="G6376" s="25" t="s">
        <v>8048</v>
      </c>
      <c r="H6376" s="26">
        <v>-6.2993250000000001E-2</v>
      </c>
      <c r="I6376" s="26"/>
      <c r="J6376" s="26" t="s">
        <v>512</v>
      </c>
      <c r="K6376" s="25" t="s">
        <v>513</v>
      </c>
      <c r="L6376" s="8"/>
    </row>
    <row r="6377" spans="1:12" ht="25.5" x14ac:dyDescent="0.25">
      <c r="A6377" s="22">
        <v>2026</v>
      </c>
      <c r="B6377" s="28" t="s">
        <v>237</v>
      </c>
      <c r="C6377" s="28" t="s">
        <v>97</v>
      </c>
      <c r="D6377" s="28" t="s">
        <v>538</v>
      </c>
      <c r="E6377" s="29" t="s">
        <v>309</v>
      </c>
      <c r="F6377" s="29" t="s">
        <v>564</v>
      </c>
      <c r="G6377" s="25" t="s">
        <v>8049</v>
      </c>
      <c r="H6377" s="26">
        <v>-0.16961039999999999</v>
      </c>
      <c r="I6377" s="26"/>
      <c r="J6377" s="26" t="s">
        <v>512</v>
      </c>
      <c r="K6377" s="25" t="s">
        <v>513</v>
      </c>
      <c r="L6377" s="8"/>
    </row>
    <row r="6378" spans="1:12" ht="25.5" x14ac:dyDescent="0.25">
      <c r="A6378" s="22">
        <v>2026</v>
      </c>
      <c r="B6378" s="28" t="s">
        <v>237</v>
      </c>
      <c r="C6378" s="28" t="s">
        <v>97</v>
      </c>
      <c r="D6378" s="28" t="s">
        <v>538</v>
      </c>
      <c r="E6378" s="29" t="s">
        <v>309</v>
      </c>
      <c r="F6378" s="29" t="s">
        <v>564</v>
      </c>
      <c r="G6378" s="25" t="s">
        <v>8050</v>
      </c>
      <c r="H6378" s="26">
        <v>-8.5613999999999996E-2</v>
      </c>
      <c r="I6378" s="26"/>
      <c r="J6378" s="26" t="s">
        <v>512</v>
      </c>
      <c r="K6378" s="25" t="s">
        <v>513</v>
      </c>
      <c r="L6378" s="8"/>
    </row>
    <row r="6379" spans="1:12" ht="25.5" x14ac:dyDescent="0.25">
      <c r="A6379" s="22">
        <v>2026</v>
      </c>
      <c r="B6379" s="28" t="s">
        <v>237</v>
      </c>
      <c r="C6379" s="28" t="s">
        <v>97</v>
      </c>
      <c r="D6379" s="28" t="s">
        <v>538</v>
      </c>
      <c r="E6379" s="29" t="s">
        <v>309</v>
      </c>
      <c r="F6379" s="29" t="s">
        <v>564</v>
      </c>
      <c r="G6379" s="25" t="s">
        <v>8051</v>
      </c>
      <c r="H6379" s="26">
        <v>-0.12855239999999998</v>
      </c>
      <c r="I6379" s="26"/>
      <c r="J6379" s="26" t="s">
        <v>512</v>
      </c>
      <c r="K6379" s="25" t="s">
        <v>513</v>
      </c>
      <c r="L6379" s="8"/>
    </row>
    <row r="6380" spans="1:12" ht="25.5" x14ac:dyDescent="0.25">
      <c r="A6380" s="22">
        <v>2026</v>
      </c>
      <c r="B6380" s="28" t="s">
        <v>237</v>
      </c>
      <c r="C6380" s="28" t="s">
        <v>97</v>
      </c>
      <c r="D6380" s="28" t="s">
        <v>538</v>
      </c>
      <c r="E6380" s="29" t="s">
        <v>309</v>
      </c>
      <c r="F6380" s="29" t="s">
        <v>564</v>
      </c>
      <c r="G6380" s="25" t="s">
        <v>8052</v>
      </c>
      <c r="H6380" s="26">
        <v>-7.8030000000000002E-2</v>
      </c>
      <c r="I6380" s="26"/>
      <c r="J6380" s="26" t="s">
        <v>512</v>
      </c>
      <c r="K6380" s="25" t="s">
        <v>513</v>
      </c>
      <c r="L6380" s="8"/>
    </row>
    <row r="6381" spans="1:12" ht="25.5" x14ac:dyDescent="0.25">
      <c r="A6381" s="22">
        <v>2026</v>
      </c>
      <c r="B6381" s="28" t="s">
        <v>237</v>
      </c>
      <c r="C6381" s="28" t="s">
        <v>97</v>
      </c>
      <c r="D6381" s="28" t="s">
        <v>538</v>
      </c>
      <c r="E6381" s="29" t="s">
        <v>309</v>
      </c>
      <c r="F6381" s="29" t="s">
        <v>564</v>
      </c>
      <c r="G6381" s="25" t="s">
        <v>8053</v>
      </c>
      <c r="H6381" s="26">
        <v>-0.21724550000000001</v>
      </c>
      <c r="I6381" s="26"/>
      <c r="J6381" s="26" t="s">
        <v>512</v>
      </c>
      <c r="K6381" s="25" t="s">
        <v>513</v>
      </c>
      <c r="L6381" s="8"/>
    </row>
    <row r="6382" spans="1:12" ht="25.5" x14ac:dyDescent="0.25">
      <c r="A6382" s="22">
        <v>2026</v>
      </c>
      <c r="B6382" s="28" t="s">
        <v>237</v>
      </c>
      <c r="C6382" s="28" t="s">
        <v>97</v>
      </c>
      <c r="D6382" s="28" t="s">
        <v>538</v>
      </c>
      <c r="E6382" s="29" t="s">
        <v>309</v>
      </c>
      <c r="F6382" s="29" t="s">
        <v>564</v>
      </c>
      <c r="G6382" s="25" t="s">
        <v>4466</v>
      </c>
      <c r="H6382" s="26">
        <v>-8.699960000000001E-2</v>
      </c>
      <c r="I6382" s="26"/>
      <c r="J6382" s="26" t="s">
        <v>512</v>
      </c>
      <c r="K6382" s="25" t="s">
        <v>513</v>
      </c>
      <c r="L6382" s="8"/>
    </row>
    <row r="6383" spans="1:12" ht="25.5" x14ac:dyDescent="0.25">
      <c r="A6383" s="22">
        <v>2026</v>
      </c>
      <c r="B6383" s="28" t="s">
        <v>237</v>
      </c>
      <c r="C6383" s="28" t="s">
        <v>97</v>
      </c>
      <c r="D6383" s="28" t="s">
        <v>538</v>
      </c>
      <c r="E6383" s="29" t="s">
        <v>309</v>
      </c>
      <c r="F6383" s="29" t="s">
        <v>564</v>
      </c>
      <c r="G6383" s="25" t="s">
        <v>8054</v>
      </c>
      <c r="H6383" s="26">
        <v>-0.17244279999999998</v>
      </c>
      <c r="I6383" s="26"/>
      <c r="J6383" s="26" t="s">
        <v>512</v>
      </c>
      <c r="K6383" s="25" t="s">
        <v>513</v>
      </c>
      <c r="L6383" s="8"/>
    </row>
    <row r="6384" spans="1:12" ht="25.5" x14ac:dyDescent="0.25">
      <c r="A6384" s="22">
        <v>2026</v>
      </c>
      <c r="B6384" s="28" t="s">
        <v>237</v>
      </c>
      <c r="C6384" s="28" t="s">
        <v>97</v>
      </c>
      <c r="D6384" s="28" t="s">
        <v>538</v>
      </c>
      <c r="E6384" s="29" t="s">
        <v>309</v>
      </c>
      <c r="F6384" s="29" t="s">
        <v>564</v>
      </c>
      <c r="G6384" s="25" t="s">
        <v>8055</v>
      </c>
      <c r="H6384" s="26">
        <v>-0.17498160000000001</v>
      </c>
      <c r="I6384" s="26"/>
      <c r="J6384" s="26" t="s">
        <v>512</v>
      </c>
      <c r="K6384" s="25" t="s">
        <v>513</v>
      </c>
      <c r="L6384" s="8"/>
    </row>
    <row r="6385" spans="1:12" ht="25.5" x14ac:dyDescent="0.25">
      <c r="A6385" s="22">
        <v>2026</v>
      </c>
      <c r="B6385" s="28" t="s">
        <v>237</v>
      </c>
      <c r="C6385" s="28" t="s">
        <v>97</v>
      </c>
      <c r="D6385" s="28" t="s">
        <v>538</v>
      </c>
      <c r="E6385" s="29" t="s">
        <v>309</v>
      </c>
      <c r="F6385" s="29" t="s">
        <v>564</v>
      </c>
      <c r="G6385" s="25" t="s">
        <v>8056</v>
      </c>
      <c r="H6385" s="26">
        <v>-0.175428</v>
      </c>
      <c r="I6385" s="26"/>
      <c r="J6385" s="26" t="s">
        <v>512</v>
      </c>
      <c r="K6385" s="25" t="s">
        <v>513</v>
      </c>
      <c r="L6385" s="8"/>
    </row>
    <row r="6386" spans="1:12" ht="25.5" x14ac:dyDescent="0.25">
      <c r="A6386" s="22">
        <v>2026</v>
      </c>
      <c r="B6386" s="28" t="s">
        <v>237</v>
      </c>
      <c r="C6386" s="28" t="s">
        <v>97</v>
      </c>
      <c r="D6386" s="28" t="s">
        <v>538</v>
      </c>
      <c r="E6386" s="29" t="s">
        <v>309</v>
      </c>
      <c r="F6386" s="29" t="s">
        <v>564</v>
      </c>
      <c r="G6386" s="25" t="s">
        <v>8057</v>
      </c>
      <c r="H6386" s="26">
        <v>-0.1757032</v>
      </c>
      <c r="I6386" s="26"/>
      <c r="J6386" s="26" t="s">
        <v>512</v>
      </c>
      <c r="K6386" s="25" t="s">
        <v>513</v>
      </c>
      <c r="L6386" s="8"/>
    </row>
    <row r="6387" spans="1:12" ht="25.5" x14ac:dyDescent="0.25">
      <c r="A6387" s="22">
        <v>2026</v>
      </c>
      <c r="B6387" s="28" t="s">
        <v>237</v>
      </c>
      <c r="C6387" s="28" t="s">
        <v>97</v>
      </c>
      <c r="D6387" s="28" t="s">
        <v>538</v>
      </c>
      <c r="E6387" s="29" t="s">
        <v>309</v>
      </c>
      <c r="F6387" s="29" t="s">
        <v>564</v>
      </c>
      <c r="G6387" s="25" t="s">
        <v>8058</v>
      </c>
      <c r="H6387" s="26">
        <v>-0.177508</v>
      </c>
      <c r="I6387" s="26"/>
      <c r="J6387" s="26" t="s">
        <v>512</v>
      </c>
      <c r="K6387" s="25" t="s">
        <v>513</v>
      </c>
      <c r="L6387" s="8"/>
    </row>
    <row r="6388" spans="1:12" ht="25.5" x14ac:dyDescent="0.25">
      <c r="A6388" s="22">
        <v>2026</v>
      </c>
      <c r="B6388" s="28" t="s">
        <v>237</v>
      </c>
      <c r="C6388" s="28" t="s">
        <v>97</v>
      </c>
      <c r="D6388" s="28" t="s">
        <v>1794</v>
      </c>
      <c r="E6388" s="29" t="s">
        <v>1803</v>
      </c>
      <c r="F6388" s="29" t="s">
        <v>4596</v>
      </c>
      <c r="G6388" s="25" t="s">
        <v>8059</v>
      </c>
      <c r="H6388" s="26">
        <v>-0.19778825</v>
      </c>
      <c r="I6388" s="26"/>
      <c r="J6388" s="26" t="s">
        <v>512</v>
      </c>
      <c r="K6388" s="25" t="s">
        <v>515</v>
      </c>
      <c r="L6388" s="8"/>
    </row>
    <row r="6389" spans="1:12" ht="25.5" x14ac:dyDescent="0.25">
      <c r="A6389" s="22">
        <v>2026</v>
      </c>
      <c r="B6389" s="28" t="s">
        <v>237</v>
      </c>
      <c r="C6389" s="28" t="s">
        <v>97</v>
      </c>
      <c r="D6389" s="28" t="s">
        <v>1794</v>
      </c>
      <c r="E6389" s="29" t="s">
        <v>1803</v>
      </c>
      <c r="F6389" s="29" t="s">
        <v>4596</v>
      </c>
      <c r="G6389" s="25" t="s">
        <v>8060</v>
      </c>
      <c r="H6389" s="26">
        <v>-0.47850804999999996</v>
      </c>
      <c r="I6389" s="26"/>
      <c r="J6389" s="26" t="s">
        <v>512</v>
      </c>
      <c r="K6389" s="25" t="s">
        <v>515</v>
      </c>
      <c r="L6389" s="8"/>
    </row>
    <row r="6390" spans="1:12" ht="25.5" x14ac:dyDescent="0.25">
      <c r="A6390" s="22">
        <v>2026</v>
      </c>
      <c r="B6390" s="28" t="s">
        <v>237</v>
      </c>
      <c r="C6390" s="28" t="s">
        <v>97</v>
      </c>
      <c r="D6390" s="28" t="s">
        <v>1738</v>
      </c>
      <c r="E6390" s="29" t="s">
        <v>309</v>
      </c>
      <c r="F6390" s="29" t="s">
        <v>386</v>
      </c>
      <c r="G6390" s="25" t="s">
        <v>8061</v>
      </c>
      <c r="H6390" s="26">
        <v>-1.335</v>
      </c>
      <c r="I6390" s="26"/>
      <c r="J6390" s="26" t="s">
        <v>512</v>
      </c>
      <c r="K6390" s="25" t="s">
        <v>513</v>
      </c>
      <c r="L6390" s="8"/>
    </row>
    <row r="6391" spans="1:12" ht="25.5" x14ac:dyDescent="0.25">
      <c r="A6391" s="22">
        <v>2026</v>
      </c>
      <c r="B6391" s="28" t="s">
        <v>237</v>
      </c>
      <c r="C6391" s="28" t="s">
        <v>97</v>
      </c>
      <c r="D6391" s="28" t="s">
        <v>1738</v>
      </c>
      <c r="E6391" s="29" t="s">
        <v>309</v>
      </c>
      <c r="F6391" s="29" t="s">
        <v>386</v>
      </c>
      <c r="G6391" s="25" t="s">
        <v>8062</v>
      </c>
      <c r="H6391" s="26">
        <v>-1.32995</v>
      </c>
      <c r="I6391" s="26"/>
      <c r="J6391" s="26" t="s">
        <v>512</v>
      </c>
      <c r="K6391" s="25" t="s">
        <v>513</v>
      </c>
      <c r="L6391" s="8"/>
    </row>
    <row r="6392" spans="1:12" ht="25.5" x14ac:dyDescent="0.25">
      <c r="A6392" s="22">
        <v>2026</v>
      </c>
      <c r="B6392" s="28" t="s">
        <v>237</v>
      </c>
      <c r="C6392" s="28" t="s">
        <v>97</v>
      </c>
      <c r="D6392" s="28" t="s">
        <v>1738</v>
      </c>
      <c r="E6392" s="29" t="s">
        <v>309</v>
      </c>
      <c r="F6392" s="29" t="s">
        <v>386</v>
      </c>
      <c r="G6392" s="25" t="s">
        <v>8063</v>
      </c>
      <c r="H6392" s="26">
        <v>-1.149219564</v>
      </c>
      <c r="I6392" s="26"/>
      <c r="J6392" s="26" t="s">
        <v>512</v>
      </c>
      <c r="K6392" s="25" t="s">
        <v>513</v>
      </c>
      <c r="L6392" s="8"/>
    </row>
    <row r="6393" spans="1:12" ht="25.5" x14ac:dyDescent="0.25">
      <c r="A6393" s="22">
        <v>2026</v>
      </c>
      <c r="B6393" s="28" t="s">
        <v>237</v>
      </c>
      <c r="C6393" s="28" t="s">
        <v>97</v>
      </c>
      <c r="D6393" s="28" t="s">
        <v>1738</v>
      </c>
      <c r="E6393" s="29" t="s">
        <v>309</v>
      </c>
      <c r="F6393" s="29" t="s">
        <v>386</v>
      </c>
      <c r="G6393" s="25" t="s">
        <v>8064</v>
      </c>
      <c r="H6393" s="26">
        <v>-0.21799007999999997</v>
      </c>
      <c r="I6393" s="26"/>
      <c r="J6393" s="26" t="s">
        <v>512</v>
      </c>
      <c r="K6393" s="25" t="s">
        <v>513</v>
      </c>
      <c r="L6393" s="8"/>
    </row>
    <row r="6394" spans="1:12" ht="25.5" x14ac:dyDescent="0.25">
      <c r="A6394" s="22">
        <v>2026</v>
      </c>
      <c r="B6394" s="28" t="s">
        <v>237</v>
      </c>
      <c r="C6394" s="28" t="s">
        <v>97</v>
      </c>
      <c r="D6394" s="28" t="s">
        <v>1738</v>
      </c>
      <c r="E6394" s="29" t="s">
        <v>309</v>
      </c>
      <c r="F6394" s="29" t="s">
        <v>386</v>
      </c>
      <c r="G6394" s="25" t="s">
        <v>8065</v>
      </c>
      <c r="H6394" s="26">
        <v>-0.53955481999999999</v>
      </c>
      <c r="I6394" s="26"/>
      <c r="J6394" s="26" t="s">
        <v>512</v>
      </c>
      <c r="K6394" s="25" t="s">
        <v>513</v>
      </c>
      <c r="L6394" s="8"/>
    </row>
    <row r="6395" spans="1:12" ht="25.5" x14ac:dyDescent="0.25">
      <c r="A6395" s="22">
        <v>2026</v>
      </c>
      <c r="B6395" s="28" t="s">
        <v>237</v>
      </c>
      <c r="C6395" s="28" t="s">
        <v>97</v>
      </c>
      <c r="D6395" s="28" t="s">
        <v>1738</v>
      </c>
      <c r="E6395" s="29" t="s">
        <v>309</v>
      </c>
      <c r="F6395" s="29" t="s">
        <v>386</v>
      </c>
      <c r="G6395" s="25" t="s">
        <v>8066</v>
      </c>
      <c r="H6395" s="26">
        <v>-1.1490346824</v>
      </c>
      <c r="I6395" s="26"/>
      <c r="J6395" s="26" t="s">
        <v>512</v>
      </c>
      <c r="K6395" s="25" t="s">
        <v>513</v>
      </c>
      <c r="L6395" s="8"/>
    </row>
    <row r="6396" spans="1:12" ht="25.5" x14ac:dyDescent="0.25">
      <c r="A6396" s="22">
        <v>2026</v>
      </c>
      <c r="B6396" s="28" t="s">
        <v>237</v>
      </c>
      <c r="C6396" s="28" t="s">
        <v>97</v>
      </c>
      <c r="D6396" s="28" t="s">
        <v>1738</v>
      </c>
      <c r="E6396" s="29" t="s">
        <v>309</v>
      </c>
      <c r="F6396" s="29" t="s">
        <v>386</v>
      </c>
      <c r="G6396" s="25" t="s">
        <v>8067</v>
      </c>
      <c r="H6396" s="26">
        <v>-1.34355</v>
      </c>
      <c r="I6396" s="26"/>
      <c r="J6396" s="26" t="s">
        <v>512</v>
      </c>
      <c r="K6396" s="25" t="s">
        <v>513</v>
      </c>
      <c r="L6396" s="8"/>
    </row>
    <row r="6397" spans="1:12" ht="25.5" x14ac:dyDescent="0.25">
      <c r="A6397" s="22">
        <v>2026</v>
      </c>
      <c r="B6397" s="28" t="s">
        <v>237</v>
      </c>
      <c r="C6397" s="28" t="s">
        <v>97</v>
      </c>
      <c r="D6397" s="28" t="s">
        <v>1738</v>
      </c>
      <c r="E6397" s="29" t="s">
        <v>309</v>
      </c>
      <c r="F6397" s="29" t="s">
        <v>386</v>
      </c>
      <c r="G6397" s="25" t="s">
        <v>8068</v>
      </c>
      <c r="H6397" s="26">
        <v>-1.33555</v>
      </c>
      <c r="I6397" s="26"/>
      <c r="J6397" s="26" t="s">
        <v>512</v>
      </c>
      <c r="K6397" s="25" t="s">
        <v>513</v>
      </c>
      <c r="L6397" s="8"/>
    </row>
    <row r="6398" spans="1:12" ht="25.5" x14ac:dyDescent="0.25">
      <c r="A6398" s="22">
        <v>2026</v>
      </c>
      <c r="B6398" s="28" t="s">
        <v>237</v>
      </c>
      <c r="C6398" s="28" t="s">
        <v>97</v>
      </c>
      <c r="D6398" s="28" t="s">
        <v>1738</v>
      </c>
      <c r="E6398" s="29" t="s">
        <v>309</v>
      </c>
      <c r="F6398" s="29" t="s">
        <v>386</v>
      </c>
      <c r="G6398" s="25" t="s">
        <v>8069</v>
      </c>
      <c r="H6398" s="26">
        <v>-1.3334999999999999</v>
      </c>
      <c r="I6398" s="26"/>
      <c r="J6398" s="26" t="s">
        <v>512</v>
      </c>
      <c r="K6398" s="25" t="s">
        <v>513</v>
      </c>
      <c r="L6398" s="8"/>
    </row>
    <row r="6399" spans="1:12" ht="25.5" x14ac:dyDescent="0.25">
      <c r="A6399" s="22">
        <v>2026</v>
      </c>
      <c r="B6399" s="28" t="s">
        <v>237</v>
      </c>
      <c r="C6399" s="28" t="s">
        <v>97</v>
      </c>
      <c r="D6399" s="28" t="s">
        <v>1738</v>
      </c>
      <c r="E6399" s="29" t="s">
        <v>309</v>
      </c>
      <c r="F6399" s="29" t="s">
        <v>386</v>
      </c>
      <c r="G6399" s="25" t="s">
        <v>8070</v>
      </c>
      <c r="H6399" s="26">
        <v>-1.3287500000000001</v>
      </c>
      <c r="I6399" s="26"/>
      <c r="J6399" s="26" t="s">
        <v>512</v>
      </c>
      <c r="K6399" s="25" t="s">
        <v>513</v>
      </c>
      <c r="L6399" s="8"/>
    </row>
    <row r="6400" spans="1:12" ht="25.5" x14ac:dyDescent="0.25">
      <c r="A6400" s="22">
        <v>2026</v>
      </c>
      <c r="B6400" s="28" t="s">
        <v>237</v>
      </c>
      <c r="C6400" s="28" t="s">
        <v>97</v>
      </c>
      <c r="D6400" s="28" t="s">
        <v>1738</v>
      </c>
      <c r="E6400" s="29" t="s">
        <v>309</v>
      </c>
      <c r="F6400" s="29" t="s">
        <v>386</v>
      </c>
      <c r="G6400" s="25" t="s">
        <v>8071</v>
      </c>
      <c r="H6400" s="26">
        <v>-1.3368500000000001</v>
      </c>
      <c r="I6400" s="26"/>
      <c r="J6400" s="26" t="s">
        <v>512</v>
      </c>
      <c r="K6400" s="25" t="s">
        <v>513</v>
      </c>
      <c r="L6400" s="8"/>
    </row>
    <row r="6401" spans="1:12" ht="25.5" x14ac:dyDescent="0.25">
      <c r="A6401" s="22">
        <v>2026</v>
      </c>
      <c r="B6401" s="28" t="s">
        <v>237</v>
      </c>
      <c r="C6401" s="28" t="s">
        <v>97</v>
      </c>
      <c r="D6401" s="28" t="s">
        <v>1738</v>
      </c>
      <c r="E6401" s="29" t="s">
        <v>309</v>
      </c>
      <c r="F6401" s="29" t="s">
        <v>386</v>
      </c>
      <c r="G6401" s="25" t="s">
        <v>8072</v>
      </c>
      <c r="H6401" s="26">
        <v>-1.3415999999999999</v>
      </c>
      <c r="I6401" s="26"/>
      <c r="J6401" s="26" t="s">
        <v>512</v>
      </c>
      <c r="K6401" s="25" t="s">
        <v>513</v>
      </c>
      <c r="L6401" s="8"/>
    </row>
    <row r="6402" spans="1:12" ht="25.5" x14ac:dyDescent="0.25">
      <c r="A6402" s="22">
        <v>2026</v>
      </c>
      <c r="B6402" s="28" t="s">
        <v>237</v>
      </c>
      <c r="C6402" s="28" t="s">
        <v>97</v>
      </c>
      <c r="D6402" s="28" t="s">
        <v>537</v>
      </c>
      <c r="E6402" s="29" t="s">
        <v>561</v>
      </c>
      <c r="F6402" s="29" t="s">
        <v>298</v>
      </c>
      <c r="G6402" s="25" t="s">
        <v>8073</v>
      </c>
      <c r="H6402" s="26">
        <v>-0.22695000000000001</v>
      </c>
      <c r="I6402" s="26"/>
      <c r="J6402" s="26" t="s">
        <v>512</v>
      </c>
      <c r="K6402" s="25" t="s">
        <v>513</v>
      </c>
      <c r="L6402" s="8"/>
    </row>
    <row r="6403" spans="1:12" ht="25.5" x14ac:dyDescent="0.25">
      <c r="A6403" s="22">
        <v>2026</v>
      </c>
      <c r="B6403" s="28" t="s">
        <v>237</v>
      </c>
      <c r="C6403" s="28" t="s">
        <v>97</v>
      </c>
      <c r="D6403" s="28" t="s">
        <v>537</v>
      </c>
      <c r="E6403" s="29" t="s">
        <v>561</v>
      </c>
      <c r="F6403" s="29" t="s">
        <v>298</v>
      </c>
      <c r="G6403" s="25" t="s">
        <v>8074</v>
      </c>
      <c r="H6403" s="26">
        <v>-0.41084999999999999</v>
      </c>
      <c r="I6403" s="26"/>
      <c r="J6403" s="26" t="s">
        <v>512</v>
      </c>
      <c r="K6403" s="25" t="s">
        <v>513</v>
      </c>
      <c r="L6403" s="8"/>
    </row>
    <row r="6404" spans="1:12" ht="25.5" x14ac:dyDescent="0.25">
      <c r="A6404" s="22">
        <v>2026</v>
      </c>
      <c r="B6404" s="28" t="s">
        <v>237</v>
      </c>
      <c r="C6404" s="28" t="s">
        <v>97</v>
      </c>
      <c r="D6404" s="28" t="s">
        <v>537</v>
      </c>
      <c r="E6404" s="29" t="s">
        <v>561</v>
      </c>
      <c r="F6404" s="29" t="s">
        <v>298</v>
      </c>
      <c r="G6404" s="25" t="s">
        <v>8075</v>
      </c>
      <c r="H6404" s="26">
        <v>-0.24440000000000001</v>
      </c>
      <c r="I6404" s="26"/>
      <c r="J6404" s="26" t="s">
        <v>512</v>
      </c>
      <c r="K6404" s="25" t="s">
        <v>513</v>
      </c>
      <c r="L6404" s="8"/>
    </row>
    <row r="6405" spans="1:12" ht="25.5" x14ac:dyDescent="0.25">
      <c r="A6405" s="22">
        <v>2026</v>
      </c>
      <c r="B6405" s="28" t="s">
        <v>237</v>
      </c>
      <c r="C6405" s="28" t="s">
        <v>97</v>
      </c>
      <c r="D6405" s="28" t="s">
        <v>537</v>
      </c>
      <c r="E6405" s="29" t="s">
        <v>561</v>
      </c>
      <c r="F6405" s="29" t="s">
        <v>298</v>
      </c>
      <c r="G6405" s="25" t="s">
        <v>8076</v>
      </c>
      <c r="H6405" s="26">
        <v>-0.14960000000000001</v>
      </c>
      <c r="I6405" s="26"/>
      <c r="J6405" s="26" t="s">
        <v>512</v>
      </c>
      <c r="K6405" s="25" t="s">
        <v>513</v>
      </c>
      <c r="L6405" s="8"/>
    </row>
    <row r="6406" spans="1:12" ht="25.5" x14ac:dyDescent="0.25">
      <c r="A6406" s="22">
        <v>2026</v>
      </c>
      <c r="B6406" s="28" t="s">
        <v>237</v>
      </c>
      <c r="C6406" s="28" t="s">
        <v>97</v>
      </c>
      <c r="D6406" s="28" t="s">
        <v>537</v>
      </c>
      <c r="E6406" s="29" t="s">
        <v>561</v>
      </c>
      <c r="F6406" s="29" t="s">
        <v>298</v>
      </c>
      <c r="G6406" s="25" t="s">
        <v>8077</v>
      </c>
      <c r="H6406" s="26">
        <v>-0.67089959999999993</v>
      </c>
      <c r="I6406" s="26"/>
      <c r="J6406" s="26" t="s">
        <v>512</v>
      </c>
      <c r="K6406" s="25" t="s">
        <v>513</v>
      </c>
      <c r="L6406" s="8"/>
    </row>
    <row r="6407" spans="1:12" ht="25.5" x14ac:dyDescent="0.25">
      <c r="A6407" s="22">
        <v>2026</v>
      </c>
      <c r="B6407" s="28" t="s">
        <v>237</v>
      </c>
      <c r="C6407" s="28" t="s">
        <v>97</v>
      </c>
      <c r="D6407" s="28" t="s">
        <v>537</v>
      </c>
      <c r="E6407" s="29" t="s">
        <v>561</v>
      </c>
      <c r="F6407" s="29" t="s">
        <v>298</v>
      </c>
      <c r="G6407" s="25" t="s">
        <v>8078</v>
      </c>
      <c r="H6407" s="26">
        <v>-1.04725</v>
      </c>
      <c r="I6407" s="26"/>
      <c r="J6407" s="26" t="s">
        <v>512</v>
      </c>
      <c r="K6407" s="25" t="s">
        <v>513</v>
      </c>
      <c r="L6407" s="8"/>
    </row>
    <row r="6408" spans="1:12" ht="25.5" x14ac:dyDescent="0.25">
      <c r="A6408" s="22">
        <v>2026</v>
      </c>
      <c r="B6408" s="28" t="s">
        <v>237</v>
      </c>
      <c r="C6408" s="28" t="s">
        <v>97</v>
      </c>
      <c r="D6408" s="28" t="s">
        <v>537</v>
      </c>
      <c r="E6408" s="29" t="s">
        <v>561</v>
      </c>
      <c r="F6408" s="29" t="s">
        <v>298</v>
      </c>
      <c r="G6408" s="25" t="s">
        <v>8079</v>
      </c>
      <c r="H6408" s="26">
        <v>-0.5625</v>
      </c>
      <c r="I6408" s="26"/>
      <c r="J6408" s="26" t="s">
        <v>512</v>
      </c>
      <c r="K6408" s="25" t="s">
        <v>513</v>
      </c>
      <c r="L6408" s="8"/>
    </row>
    <row r="6409" spans="1:12" ht="25.5" x14ac:dyDescent="0.25">
      <c r="A6409" s="22">
        <v>2026</v>
      </c>
      <c r="B6409" s="28" t="s">
        <v>237</v>
      </c>
      <c r="C6409" s="28" t="s">
        <v>97</v>
      </c>
      <c r="D6409" s="28" t="s">
        <v>537</v>
      </c>
      <c r="E6409" s="29" t="s">
        <v>561</v>
      </c>
      <c r="F6409" s="29" t="s">
        <v>298</v>
      </c>
      <c r="G6409" s="25" t="s">
        <v>8080</v>
      </c>
      <c r="H6409" s="26">
        <v>-0.22500000000000001</v>
      </c>
      <c r="I6409" s="26"/>
      <c r="J6409" s="26" t="s">
        <v>512</v>
      </c>
      <c r="K6409" s="25" t="s">
        <v>513</v>
      </c>
      <c r="L6409" s="8"/>
    </row>
    <row r="6410" spans="1:12" ht="25.5" x14ac:dyDescent="0.25">
      <c r="A6410" s="22">
        <v>2026</v>
      </c>
      <c r="B6410" s="28" t="s">
        <v>237</v>
      </c>
      <c r="C6410" s="28" t="s">
        <v>97</v>
      </c>
      <c r="D6410" s="28" t="s">
        <v>537</v>
      </c>
      <c r="E6410" s="29" t="s">
        <v>561</v>
      </c>
      <c r="F6410" s="29" t="s">
        <v>298</v>
      </c>
      <c r="G6410" s="25" t="s">
        <v>8081</v>
      </c>
      <c r="H6410" s="26">
        <v>-0.1885</v>
      </c>
      <c r="I6410" s="26"/>
      <c r="J6410" s="26" t="s">
        <v>512</v>
      </c>
      <c r="K6410" s="25" t="s">
        <v>513</v>
      </c>
      <c r="L6410" s="8"/>
    </row>
    <row r="6411" spans="1:12" ht="25.5" x14ac:dyDescent="0.25">
      <c r="A6411" s="22">
        <v>2026</v>
      </c>
      <c r="B6411" s="28" t="s">
        <v>237</v>
      </c>
      <c r="C6411" s="28" t="s">
        <v>97</v>
      </c>
      <c r="D6411" s="28" t="s">
        <v>537</v>
      </c>
      <c r="E6411" s="29" t="s">
        <v>561</v>
      </c>
      <c r="F6411" s="29" t="s">
        <v>298</v>
      </c>
      <c r="G6411" s="25" t="s">
        <v>8082</v>
      </c>
      <c r="H6411" s="26">
        <v>-0.63497464999999997</v>
      </c>
      <c r="I6411" s="26"/>
      <c r="J6411" s="26" t="s">
        <v>512</v>
      </c>
      <c r="K6411" s="25" t="s">
        <v>513</v>
      </c>
      <c r="L6411" s="8"/>
    </row>
    <row r="6412" spans="1:12" ht="25.5" x14ac:dyDescent="0.25">
      <c r="A6412" s="22">
        <v>2026</v>
      </c>
      <c r="B6412" s="28" t="s">
        <v>237</v>
      </c>
      <c r="C6412" s="28" t="s">
        <v>97</v>
      </c>
      <c r="D6412" s="28" t="s">
        <v>537</v>
      </c>
      <c r="E6412" s="29" t="s">
        <v>561</v>
      </c>
      <c r="F6412" s="29" t="s">
        <v>298</v>
      </c>
      <c r="G6412" s="25" t="s">
        <v>8083</v>
      </c>
      <c r="H6412" s="26">
        <v>-0.66644999999999999</v>
      </c>
      <c r="I6412" s="26"/>
      <c r="J6412" s="26" t="s">
        <v>512</v>
      </c>
      <c r="K6412" s="25" t="s">
        <v>513</v>
      </c>
      <c r="L6412" s="8"/>
    </row>
    <row r="6413" spans="1:12" ht="25.5" x14ac:dyDescent="0.25">
      <c r="A6413" s="22">
        <v>2026</v>
      </c>
      <c r="B6413" s="28" t="s">
        <v>237</v>
      </c>
      <c r="C6413" s="28" t="s">
        <v>97</v>
      </c>
      <c r="D6413" s="28" t="s">
        <v>537</v>
      </c>
      <c r="E6413" s="29" t="s">
        <v>561</v>
      </c>
      <c r="F6413" s="29" t="s">
        <v>298</v>
      </c>
      <c r="G6413" s="25" t="s">
        <v>8084</v>
      </c>
      <c r="H6413" s="26">
        <v>-0.44280000000000003</v>
      </c>
      <c r="I6413" s="26"/>
      <c r="J6413" s="26" t="s">
        <v>512</v>
      </c>
      <c r="K6413" s="25" t="s">
        <v>513</v>
      </c>
      <c r="L6413" s="8"/>
    </row>
    <row r="6414" spans="1:12" ht="25.5" x14ac:dyDescent="0.25">
      <c r="A6414" s="22">
        <v>2026</v>
      </c>
      <c r="B6414" s="28" t="s">
        <v>237</v>
      </c>
      <c r="C6414" s="28" t="s">
        <v>97</v>
      </c>
      <c r="D6414" s="28" t="s">
        <v>537</v>
      </c>
      <c r="E6414" s="29" t="s">
        <v>561</v>
      </c>
      <c r="F6414" s="29" t="s">
        <v>298</v>
      </c>
      <c r="G6414" s="25" t="s">
        <v>8085</v>
      </c>
      <c r="H6414" s="26">
        <v>-0.37175000000000002</v>
      </c>
      <c r="I6414" s="26"/>
      <c r="J6414" s="26" t="s">
        <v>512</v>
      </c>
      <c r="K6414" s="25" t="s">
        <v>513</v>
      </c>
      <c r="L6414" s="8"/>
    </row>
    <row r="6415" spans="1:12" ht="25.5" x14ac:dyDescent="0.25">
      <c r="A6415" s="22">
        <v>2026</v>
      </c>
      <c r="B6415" s="28" t="s">
        <v>237</v>
      </c>
      <c r="C6415" s="28" t="s">
        <v>97</v>
      </c>
      <c r="D6415" s="28" t="s">
        <v>537</v>
      </c>
      <c r="E6415" s="29" t="s">
        <v>561</v>
      </c>
      <c r="F6415" s="29" t="s">
        <v>298</v>
      </c>
      <c r="G6415" s="25" t="s">
        <v>8086</v>
      </c>
      <c r="H6415" s="26">
        <v>-0.219</v>
      </c>
      <c r="I6415" s="26"/>
      <c r="J6415" s="26" t="s">
        <v>512</v>
      </c>
      <c r="K6415" s="25" t="s">
        <v>513</v>
      </c>
      <c r="L6415" s="8"/>
    </row>
    <row r="6416" spans="1:12" ht="25.5" x14ac:dyDescent="0.25">
      <c r="A6416" s="22">
        <v>2026</v>
      </c>
      <c r="B6416" s="28" t="s">
        <v>237</v>
      </c>
      <c r="C6416" s="28" t="s">
        <v>97</v>
      </c>
      <c r="D6416" s="28" t="s">
        <v>537</v>
      </c>
      <c r="E6416" s="29" t="s">
        <v>561</v>
      </c>
      <c r="F6416" s="29" t="s">
        <v>298</v>
      </c>
      <c r="G6416" s="25" t="s">
        <v>8087</v>
      </c>
      <c r="H6416" s="26">
        <v>-1.5666</v>
      </c>
      <c r="I6416" s="26"/>
      <c r="J6416" s="26" t="s">
        <v>512</v>
      </c>
      <c r="K6416" s="25" t="s">
        <v>513</v>
      </c>
      <c r="L6416" s="8"/>
    </row>
    <row r="6417" spans="1:12" ht="25.5" x14ac:dyDescent="0.25">
      <c r="A6417" s="22">
        <v>2026</v>
      </c>
      <c r="B6417" s="28" t="s">
        <v>237</v>
      </c>
      <c r="C6417" s="28" t="s">
        <v>97</v>
      </c>
      <c r="D6417" s="28" t="s">
        <v>768</v>
      </c>
      <c r="E6417" s="29" t="s">
        <v>768</v>
      </c>
      <c r="F6417" s="29" t="s">
        <v>332</v>
      </c>
      <c r="G6417" s="25" t="s">
        <v>8088</v>
      </c>
      <c r="H6417" s="26">
        <v>-8.9720999999999995E-2</v>
      </c>
      <c r="I6417" s="26"/>
      <c r="J6417" s="26" t="s">
        <v>512</v>
      </c>
      <c r="K6417" s="25" t="s">
        <v>513</v>
      </c>
      <c r="L6417" s="8"/>
    </row>
    <row r="6418" spans="1:12" ht="25.5" x14ac:dyDescent="0.25">
      <c r="A6418" s="22">
        <v>2026</v>
      </c>
      <c r="B6418" s="28" t="s">
        <v>237</v>
      </c>
      <c r="C6418" s="28" t="s">
        <v>97</v>
      </c>
      <c r="D6418" s="28" t="s">
        <v>768</v>
      </c>
      <c r="E6418" s="29" t="s">
        <v>768</v>
      </c>
      <c r="F6418" s="29" t="s">
        <v>332</v>
      </c>
      <c r="G6418" s="25" t="s">
        <v>8089</v>
      </c>
      <c r="H6418" s="26">
        <v>-8.6928749999999999E-2</v>
      </c>
      <c r="I6418" s="26"/>
      <c r="J6418" s="26" t="s">
        <v>512</v>
      </c>
      <c r="K6418" s="25" t="s">
        <v>513</v>
      </c>
      <c r="L6418" s="8"/>
    </row>
    <row r="6419" spans="1:12" ht="25.5" x14ac:dyDescent="0.25">
      <c r="A6419" s="22">
        <v>2026</v>
      </c>
      <c r="B6419" s="28" t="s">
        <v>237</v>
      </c>
      <c r="C6419" s="28" t="s">
        <v>97</v>
      </c>
      <c r="D6419" s="28" t="s">
        <v>768</v>
      </c>
      <c r="E6419" s="29" t="s">
        <v>768</v>
      </c>
      <c r="F6419" s="29" t="s">
        <v>332</v>
      </c>
      <c r="G6419" s="25" t="s">
        <v>8090</v>
      </c>
      <c r="H6419" s="26">
        <v>-8.7128850000000008E-2</v>
      </c>
      <c r="I6419" s="26"/>
      <c r="J6419" s="26" t="s">
        <v>512</v>
      </c>
      <c r="K6419" s="25" t="s">
        <v>513</v>
      </c>
      <c r="L6419" s="8"/>
    </row>
    <row r="6420" spans="1:12" ht="25.5" x14ac:dyDescent="0.25">
      <c r="A6420" s="22">
        <v>2026</v>
      </c>
      <c r="B6420" s="28" t="s">
        <v>237</v>
      </c>
      <c r="C6420" s="28" t="s">
        <v>97</v>
      </c>
      <c r="D6420" s="28" t="s">
        <v>768</v>
      </c>
      <c r="E6420" s="29" t="s">
        <v>768</v>
      </c>
      <c r="F6420" s="29" t="s">
        <v>332</v>
      </c>
      <c r="G6420" s="25" t="s">
        <v>8091</v>
      </c>
      <c r="H6420" s="26">
        <v>-8.845755000000001E-2</v>
      </c>
      <c r="I6420" s="26"/>
      <c r="J6420" s="26" t="s">
        <v>512</v>
      </c>
      <c r="K6420" s="25" t="s">
        <v>513</v>
      </c>
      <c r="L6420" s="8"/>
    </row>
    <row r="6421" spans="1:12" ht="25.5" x14ac:dyDescent="0.25">
      <c r="A6421" s="22">
        <v>2026</v>
      </c>
      <c r="B6421" s="28" t="s">
        <v>237</v>
      </c>
      <c r="C6421" s="28" t="s">
        <v>97</v>
      </c>
      <c r="D6421" s="28" t="s">
        <v>768</v>
      </c>
      <c r="E6421" s="29" t="s">
        <v>768</v>
      </c>
      <c r="F6421" s="29" t="s">
        <v>332</v>
      </c>
      <c r="G6421" s="25" t="s">
        <v>8092</v>
      </c>
      <c r="H6421" s="26">
        <v>-8.5283700000000004E-2</v>
      </c>
      <c r="I6421" s="26"/>
      <c r="J6421" s="26" t="s">
        <v>512</v>
      </c>
      <c r="K6421" s="25" t="s">
        <v>513</v>
      </c>
      <c r="L6421" s="8"/>
    </row>
    <row r="6422" spans="1:12" ht="25.5" x14ac:dyDescent="0.25">
      <c r="A6422" s="22">
        <v>2026</v>
      </c>
      <c r="B6422" s="28" t="s">
        <v>237</v>
      </c>
      <c r="C6422" s="28" t="s">
        <v>97</v>
      </c>
      <c r="D6422" s="28" t="s">
        <v>768</v>
      </c>
      <c r="E6422" s="29" t="s">
        <v>768</v>
      </c>
      <c r="F6422" s="29" t="s">
        <v>332</v>
      </c>
      <c r="G6422" s="25" t="s">
        <v>8093</v>
      </c>
      <c r="H6422" s="26">
        <v>-0.16914389999999999</v>
      </c>
      <c r="I6422" s="26"/>
      <c r="J6422" s="26" t="s">
        <v>512</v>
      </c>
      <c r="K6422" s="25" t="s">
        <v>513</v>
      </c>
      <c r="L6422" s="8"/>
    </row>
    <row r="6423" spans="1:12" ht="25.5" x14ac:dyDescent="0.25">
      <c r="A6423" s="22">
        <v>2026</v>
      </c>
      <c r="B6423" s="28" t="s">
        <v>237</v>
      </c>
      <c r="C6423" s="28" t="s">
        <v>97</v>
      </c>
      <c r="D6423" s="28" t="s">
        <v>768</v>
      </c>
      <c r="E6423" s="29" t="s">
        <v>768</v>
      </c>
      <c r="F6423" s="29" t="s">
        <v>332</v>
      </c>
      <c r="G6423" s="25" t="s">
        <v>8094</v>
      </c>
      <c r="H6423" s="26">
        <v>-0.1758873</v>
      </c>
      <c r="I6423" s="26"/>
      <c r="J6423" s="26" t="s">
        <v>512</v>
      </c>
      <c r="K6423" s="25" t="s">
        <v>513</v>
      </c>
      <c r="L6423" s="8"/>
    </row>
    <row r="6424" spans="1:12" ht="25.5" x14ac:dyDescent="0.25">
      <c r="A6424" s="22">
        <v>2026</v>
      </c>
      <c r="B6424" s="28" t="s">
        <v>237</v>
      </c>
      <c r="C6424" s="28" t="s">
        <v>97</v>
      </c>
      <c r="D6424" s="28" t="s">
        <v>768</v>
      </c>
      <c r="E6424" s="29" t="s">
        <v>768</v>
      </c>
      <c r="F6424" s="29" t="s">
        <v>332</v>
      </c>
      <c r="G6424" s="25" t="s">
        <v>8095</v>
      </c>
      <c r="H6424" s="26">
        <v>-0.16943160000000002</v>
      </c>
      <c r="I6424" s="26"/>
      <c r="J6424" s="26" t="s">
        <v>512</v>
      </c>
      <c r="K6424" s="25" t="s">
        <v>513</v>
      </c>
      <c r="L6424" s="8"/>
    </row>
    <row r="6425" spans="1:12" ht="25.5" x14ac:dyDescent="0.25">
      <c r="A6425" s="22">
        <v>2026</v>
      </c>
      <c r="B6425" s="28" t="s">
        <v>237</v>
      </c>
      <c r="C6425" s="28" t="s">
        <v>97</v>
      </c>
      <c r="D6425" s="28" t="s">
        <v>1739</v>
      </c>
      <c r="E6425" s="29" t="s">
        <v>331</v>
      </c>
      <c r="F6425" s="29" t="s">
        <v>298</v>
      </c>
      <c r="G6425" s="25" t="s">
        <v>8096</v>
      </c>
      <c r="H6425" s="26">
        <v>-3.9969749999999999</v>
      </c>
      <c r="I6425" s="26"/>
      <c r="J6425" s="26" t="s">
        <v>512</v>
      </c>
      <c r="K6425" s="25" t="s">
        <v>513</v>
      </c>
      <c r="L6425" s="8"/>
    </row>
    <row r="6426" spans="1:12" ht="25.5" x14ac:dyDescent="0.25">
      <c r="A6426" s="22">
        <v>2026</v>
      </c>
      <c r="B6426" s="28" t="s">
        <v>237</v>
      </c>
      <c r="C6426" s="28" t="s">
        <v>97</v>
      </c>
      <c r="D6426" s="28" t="s">
        <v>1739</v>
      </c>
      <c r="E6426" s="29" t="s">
        <v>331</v>
      </c>
      <c r="F6426" s="29" t="s">
        <v>298</v>
      </c>
      <c r="G6426" s="25" t="s">
        <v>8097</v>
      </c>
      <c r="H6426" s="26">
        <v>-1.5938600000000001</v>
      </c>
      <c r="I6426" s="26"/>
      <c r="J6426" s="26" t="s">
        <v>512</v>
      </c>
      <c r="K6426" s="25" t="s">
        <v>513</v>
      </c>
      <c r="L6426" s="8"/>
    </row>
    <row r="6427" spans="1:12" ht="25.5" x14ac:dyDescent="0.25">
      <c r="A6427" s="22">
        <v>2026</v>
      </c>
      <c r="B6427" s="28" t="s">
        <v>237</v>
      </c>
      <c r="C6427" s="28" t="s">
        <v>97</v>
      </c>
      <c r="D6427" s="28" t="s">
        <v>1739</v>
      </c>
      <c r="E6427" s="29" t="s">
        <v>331</v>
      </c>
      <c r="F6427" s="29" t="s">
        <v>298</v>
      </c>
      <c r="G6427" s="25" t="s">
        <v>8098</v>
      </c>
      <c r="H6427" s="26">
        <v>-6.3228799999999996</v>
      </c>
      <c r="I6427" s="26"/>
      <c r="J6427" s="26" t="s">
        <v>512</v>
      </c>
      <c r="K6427" s="25" t="s">
        <v>513</v>
      </c>
      <c r="L6427" s="8"/>
    </row>
    <row r="6428" spans="1:12" ht="25.5" x14ac:dyDescent="0.25">
      <c r="A6428" s="22">
        <v>2026</v>
      </c>
      <c r="B6428" s="28" t="s">
        <v>237</v>
      </c>
      <c r="C6428" s="28" t="s">
        <v>97</v>
      </c>
      <c r="D6428" s="28" t="s">
        <v>1739</v>
      </c>
      <c r="E6428" s="29" t="s">
        <v>331</v>
      </c>
      <c r="F6428" s="29" t="s">
        <v>298</v>
      </c>
      <c r="G6428" s="25" t="s">
        <v>8099</v>
      </c>
      <c r="H6428" s="26">
        <v>-0.40250000000000002</v>
      </c>
      <c r="I6428" s="26"/>
      <c r="J6428" s="26" t="s">
        <v>512</v>
      </c>
      <c r="K6428" s="25" t="s">
        <v>513</v>
      </c>
      <c r="L6428" s="8"/>
    </row>
    <row r="6429" spans="1:12" ht="25.5" x14ac:dyDescent="0.25">
      <c r="A6429" s="22">
        <v>2026</v>
      </c>
      <c r="B6429" s="28" t="s">
        <v>237</v>
      </c>
      <c r="C6429" s="28" t="s">
        <v>97</v>
      </c>
      <c r="D6429" s="28" t="s">
        <v>1739</v>
      </c>
      <c r="E6429" s="29" t="s">
        <v>331</v>
      </c>
      <c r="F6429" s="29" t="s">
        <v>298</v>
      </c>
      <c r="G6429" s="25" t="s">
        <v>8100</v>
      </c>
      <c r="H6429" s="26">
        <v>-0.4884</v>
      </c>
      <c r="I6429" s="26"/>
      <c r="J6429" s="26" t="s">
        <v>512</v>
      </c>
      <c r="K6429" s="25" t="s">
        <v>513</v>
      </c>
      <c r="L6429" s="8"/>
    </row>
    <row r="6430" spans="1:12" ht="25.5" x14ac:dyDescent="0.25">
      <c r="A6430" s="22">
        <v>2026</v>
      </c>
      <c r="B6430" s="28" t="s">
        <v>237</v>
      </c>
      <c r="C6430" s="28" t="s">
        <v>97</v>
      </c>
      <c r="D6430" s="28" t="s">
        <v>1739</v>
      </c>
      <c r="E6430" s="29" t="s">
        <v>331</v>
      </c>
      <c r="F6430" s="29" t="s">
        <v>298</v>
      </c>
      <c r="G6430" s="25" t="s">
        <v>8101</v>
      </c>
      <c r="H6430" s="26">
        <v>-6.2480321999999999</v>
      </c>
      <c r="I6430" s="26"/>
      <c r="J6430" s="26" t="s">
        <v>512</v>
      </c>
      <c r="K6430" s="25" t="s">
        <v>513</v>
      </c>
      <c r="L6430" s="8"/>
    </row>
    <row r="6431" spans="1:12" ht="25.5" x14ac:dyDescent="0.25">
      <c r="A6431" s="22">
        <v>2026</v>
      </c>
      <c r="B6431" s="28" t="s">
        <v>237</v>
      </c>
      <c r="C6431" s="28" t="s">
        <v>97</v>
      </c>
      <c r="D6431" s="28" t="s">
        <v>1739</v>
      </c>
      <c r="E6431" s="29" t="s">
        <v>331</v>
      </c>
      <c r="F6431" s="29" t="s">
        <v>298</v>
      </c>
      <c r="G6431" s="25" t="s">
        <v>8102</v>
      </c>
      <c r="H6431" s="26">
        <v>-6.53904</v>
      </c>
      <c r="I6431" s="26"/>
      <c r="J6431" s="26" t="s">
        <v>512</v>
      </c>
      <c r="K6431" s="25" t="s">
        <v>513</v>
      </c>
      <c r="L6431" s="8"/>
    </row>
    <row r="6432" spans="1:12" ht="25.5" x14ac:dyDescent="0.25">
      <c r="A6432" s="22">
        <v>2026</v>
      </c>
      <c r="B6432" s="28" t="s">
        <v>237</v>
      </c>
      <c r="C6432" s="28" t="s">
        <v>97</v>
      </c>
      <c r="D6432" s="28" t="s">
        <v>1739</v>
      </c>
      <c r="E6432" s="29" t="s">
        <v>331</v>
      </c>
      <c r="F6432" s="29" t="s">
        <v>298</v>
      </c>
      <c r="G6432" s="25" t="s">
        <v>8103</v>
      </c>
      <c r="H6432" s="26">
        <v>-5.1212929999999997</v>
      </c>
      <c r="I6432" s="26"/>
      <c r="J6432" s="26" t="s">
        <v>512</v>
      </c>
      <c r="K6432" s="25" t="s">
        <v>513</v>
      </c>
      <c r="L6432" s="8"/>
    </row>
    <row r="6433" spans="1:12" ht="25.5" x14ac:dyDescent="0.25">
      <c r="A6433" s="22">
        <v>2026</v>
      </c>
      <c r="B6433" s="28" t="s">
        <v>237</v>
      </c>
      <c r="C6433" s="28" t="s">
        <v>97</v>
      </c>
      <c r="D6433" s="28" t="s">
        <v>1739</v>
      </c>
      <c r="E6433" s="29" t="s">
        <v>331</v>
      </c>
      <c r="F6433" s="29" t="s">
        <v>298</v>
      </c>
      <c r="G6433" s="25" t="s">
        <v>8104</v>
      </c>
      <c r="H6433" s="26">
        <v>-2.4255149999999999</v>
      </c>
      <c r="I6433" s="26"/>
      <c r="J6433" s="26" t="s">
        <v>512</v>
      </c>
      <c r="K6433" s="25" t="s">
        <v>513</v>
      </c>
      <c r="L6433" s="8"/>
    </row>
    <row r="6434" spans="1:12" ht="25.5" x14ac:dyDescent="0.25">
      <c r="A6434" s="22">
        <v>2026</v>
      </c>
      <c r="B6434" s="28" t="s">
        <v>237</v>
      </c>
      <c r="C6434" s="28" t="s">
        <v>97</v>
      </c>
      <c r="D6434" s="28" t="s">
        <v>1739</v>
      </c>
      <c r="E6434" s="29" t="s">
        <v>331</v>
      </c>
      <c r="F6434" s="29" t="s">
        <v>298</v>
      </c>
      <c r="G6434" s="25" t="s">
        <v>8105</v>
      </c>
      <c r="H6434" s="26">
        <v>-1.058265</v>
      </c>
      <c r="I6434" s="26"/>
      <c r="J6434" s="26" t="s">
        <v>512</v>
      </c>
      <c r="K6434" s="25" t="s">
        <v>513</v>
      </c>
      <c r="L6434" s="8"/>
    </row>
    <row r="6435" spans="1:12" ht="25.5" x14ac:dyDescent="0.25">
      <c r="A6435" s="22">
        <v>2026</v>
      </c>
      <c r="B6435" s="28" t="s">
        <v>237</v>
      </c>
      <c r="C6435" s="28" t="s">
        <v>97</v>
      </c>
      <c r="D6435" s="28" t="s">
        <v>1739</v>
      </c>
      <c r="E6435" s="29" t="s">
        <v>331</v>
      </c>
      <c r="F6435" s="29" t="s">
        <v>298</v>
      </c>
      <c r="G6435" s="25" t="s">
        <v>8106</v>
      </c>
      <c r="H6435" s="26">
        <v>-3.24824</v>
      </c>
      <c r="I6435" s="26"/>
      <c r="J6435" s="26" t="s">
        <v>512</v>
      </c>
      <c r="K6435" s="25" t="s">
        <v>513</v>
      </c>
      <c r="L6435" s="8"/>
    </row>
    <row r="6436" spans="1:12" ht="25.5" x14ac:dyDescent="0.25">
      <c r="A6436" s="22">
        <v>2026</v>
      </c>
      <c r="B6436" s="28" t="s">
        <v>237</v>
      </c>
      <c r="C6436" s="28" t="s">
        <v>97</v>
      </c>
      <c r="D6436" s="28" t="s">
        <v>1739</v>
      </c>
      <c r="E6436" s="29" t="s">
        <v>331</v>
      </c>
      <c r="F6436" s="29" t="s">
        <v>298</v>
      </c>
      <c r="G6436" s="25" t="s">
        <v>8107</v>
      </c>
      <c r="H6436" s="26">
        <v>-1.7493840000000001</v>
      </c>
      <c r="I6436" s="26"/>
      <c r="J6436" s="26" t="s">
        <v>512</v>
      </c>
      <c r="K6436" s="25" t="s">
        <v>513</v>
      </c>
      <c r="L6436" s="8"/>
    </row>
    <row r="6437" spans="1:12" ht="25.5" x14ac:dyDescent="0.25">
      <c r="A6437" s="22">
        <v>2026</v>
      </c>
      <c r="B6437" s="28" t="s">
        <v>237</v>
      </c>
      <c r="C6437" s="28" t="s">
        <v>97</v>
      </c>
      <c r="D6437" s="28" t="s">
        <v>254</v>
      </c>
      <c r="E6437" s="29" t="s">
        <v>473</v>
      </c>
      <c r="F6437" s="29" t="s">
        <v>474</v>
      </c>
      <c r="G6437" s="25" t="s">
        <v>8108</v>
      </c>
      <c r="H6437" s="26">
        <v>-8.3970000000000003E-2</v>
      </c>
      <c r="I6437" s="26"/>
      <c r="J6437" s="26" t="s">
        <v>512</v>
      </c>
      <c r="K6437" s="25" t="s">
        <v>513</v>
      </c>
      <c r="L6437" s="8"/>
    </row>
    <row r="6438" spans="1:12" ht="25.5" x14ac:dyDescent="0.25">
      <c r="A6438" s="22">
        <v>2026</v>
      </c>
      <c r="B6438" s="28" t="s">
        <v>237</v>
      </c>
      <c r="C6438" s="28" t="s">
        <v>97</v>
      </c>
      <c r="D6438" s="28" t="s">
        <v>254</v>
      </c>
      <c r="E6438" s="29" t="s">
        <v>473</v>
      </c>
      <c r="F6438" s="29" t="s">
        <v>474</v>
      </c>
      <c r="G6438" s="25" t="s">
        <v>8109</v>
      </c>
      <c r="H6438" s="26">
        <v>-0.223248</v>
      </c>
      <c r="I6438" s="26"/>
      <c r="J6438" s="26" t="s">
        <v>512</v>
      </c>
      <c r="K6438" s="25" t="s">
        <v>513</v>
      </c>
      <c r="L6438" s="8"/>
    </row>
    <row r="6439" spans="1:12" ht="25.5" x14ac:dyDescent="0.25">
      <c r="A6439" s="22">
        <v>2026</v>
      </c>
      <c r="B6439" s="28" t="s">
        <v>237</v>
      </c>
      <c r="C6439" s="28" t="s">
        <v>97</v>
      </c>
      <c r="D6439" s="28" t="s">
        <v>254</v>
      </c>
      <c r="E6439" s="29" t="s">
        <v>473</v>
      </c>
      <c r="F6439" s="29" t="s">
        <v>474</v>
      </c>
      <c r="G6439" s="25" t="s">
        <v>8110</v>
      </c>
      <c r="H6439" s="26">
        <v>-9.2884999999999995E-2</v>
      </c>
      <c r="I6439" s="26"/>
      <c r="J6439" s="26" t="s">
        <v>512</v>
      </c>
      <c r="K6439" s="25" t="s">
        <v>513</v>
      </c>
      <c r="L6439" s="8"/>
    </row>
    <row r="6440" spans="1:12" ht="25.5" x14ac:dyDescent="0.25">
      <c r="A6440" s="22">
        <v>2026</v>
      </c>
      <c r="B6440" s="28" t="s">
        <v>237</v>
      </c>
      <c r="C6440" s="28" t="s">
        <v>97</v>
      </c>
      <c r="D6440" s="28" t="s">
        <v>254</v>
      </c>
      <c r="E6440" s="29" t="s">
        <v>473</v>
      </c>
      <c r="F6440" s="29" t="s">
        <v>474</v>
      </c>
      <c r="G6440" s="25" t="s">
        <v>8111</v>
      </c>
      <c r="H6440" s="26">
        <v>-8.5166144700000002E-2</v>
      </c>
      <c r="I6440" s="26"/>
      <c r="J6440" s="26" t="s">
        <v>512</v>
      </c>
      <c r="K6440" s="25" t="s">
        <v>513</v>
      </c>
      <c r="L6440" s="8"/>
    </row>
    <row r="6441" spans="1:12" ht="25.5" x14ac:dyDescent="0.25">
      <c r="A6441" s="22">
        <v>2026</v>
      </c>
      <c r="B6441" s="28" t="s">
        <v>237</v>
      </c>
      <c r="C6441" s="28" t="s">
        <v>97</v>
      </c>
      <c r="D6441" s="28" t="s">
        <v>254</v>
      </c>
      <c r="E6441" s="29" t="s">
        <v>473</v>
      </c>
      <c r="F6441" s="29" t="s">
        <v>474</v>
      </c>
      <c r="G6441" s="25" t="s">
        <v>8112</v>
      </c>
      <c r="H6441" s="26">
        <v>-0.16614164420000002</v>
      </c>
      <c r="I6441" s="26"/>
      <c r="J6441" s="26" t="s">
        <v>512</v>
      </c>
      <c r="K6441" s="25" t="s">
        <v>513</v>
      </c>
      <c r="L6441" s="8"/>
    </row>
    <row r="6442" spans="1:12" ht="25.5" x14ac:dyDescent="0.25">
      <c r="A6442" s="22">
        <v>2026</v>
      </c>
      <c r="B6442" s="28" t="s">
        <v>237</v>
      </c>
      <c r="C6442" s="28" t="s">
        <v>97</v>
      </c>
      <c r="D6442" s="28" t="s">
        <v>254</v>
      </c>
      <c r="E6442" s="29" t="s">
        <v>473</v>
      </c>
      <c r="F6442" s="29" t="s">
        <v>474</v>
      </c>
      <c r="G6442" s="25" t="s">
        <v>8113</v>
      </c>
      <c r="H6442" s="26">
        <v>-0.19625659592</v>
      </c>
      <c r="I6442" s="26"/>
      <c r="J6442" s="26" t="s">
        <v>512</v>
      </c>
      <c r="K6442" s="25" t="s">
        <v>513</v>
      </c>
      <c r="L6442" s="8"/>
    </row>
    <row r="6443" spans="1:12" ht="25.5" x14ac:dyDescent="0.25">
      <c r="A6443" s="22">
        <v>2026</v>
      </c>
      <c r="B6443" s="28" t="s">
        <v>237</v>
      </c>
      <c r="C6443" s="28" t="s">
        <v>97</v>
      </c>
      <c r="D6443" s="28" t="s">
        <v>254</v>
      </c>
      <c r="E6443" s="29" t="s">
        <v>473</v>
      </c>
      <c r="F6443" s="29" t="s">
        <v>474</v>
      </c>
      <c r="G6443" s="25" t="s">
        <v>8114</v>
      </c>
      <c r="H6443" s="26">
        <v>-6.4365859999999997E-2</v>
      </c>
      <c r="I6443" s="26"/>
      <c r="J6443" s="26" t="s">
        <v>512</v>
      </c>
      <c r="K6443" s="25" t="s">
        <v>513</v>
      </c>
      <c r="L6443" s="8"/>
    </row>
    <row r="6444" spans="1:12" ht="25.5" x14ac:dyDescent="0.25">
      <c r="A6444" s="22">
        <v>2026</v>
      </c>
      <c r="B6444" s="28" t="s">
        <v>237</v>
      </c>
      <c r="C6444" s="28" t="s">
        <v>97</v>
      </c>
      <c r="D6444" s="28" t="s">
        <v>254</v>
      </c>
      <c r="E6444" s="29" t="s">
        <v>473</v>
      </c>
      <c r="F6444" s="29" t="s">
        <v>474</v>
      </c>
      <c r="G6444" s="25" t="s">
        <v>8115</v>
      </c>
      <c r="H6444" s="26">
        <v>-6.5444356199999998E-2</v>
      </c>
      <c r="I6444" s="26"/>
      <c r="J6444" s="26" t="s">
        <v>512</v>
      </c>
      <c r="K6444" s="25" t="s">
        <v>513</v>
      </c>
      <c r="L6444" s="8"/>
    </row>
    <row r="6445" spans="1:12" ht="25.5" x14ac:dyDescent="0.25">
      <c r="A6445" s="22">
        <v>2026</v>
      </c>
      <c r="B6445" s="28" t="s">
        <v>237</v>
      </c>
      <c r="C6445" s="28" t="s">
        <v>97</v>
      </c>
      <c r="D6445" s="28" t="s">
        <v>254</v>
      </c>
      <c r="E6445" s="29" t="s">
        <v>473</v>
      </c>
      <c r="F6445" s="29" t="s">
        <v>474</v>
      </c>
      <c r="G6445" s="25" t="s">
        <v>8116</v>
      </c>
      <c r="H6445" s="26">
        <v>-0.35987531969999997</v>
      </c>
      <c r="I6445" s="26"/>
      <c r="J6445" s="26" t="s">
        <v>512</v>
      </c>
      <c r="K6445" s="25" t="s">
        <v>513</v>
      </c>
      <c r="L6445" s="8"/>
    </row>
    <row r="6446" spans="1:12" ht="25.5" x14ac:dyDescent="0.25">
      <c r="A6446" s="22">
        <v>2026</v>
      </c>
      <c r="B6446" s="28" t="s">
        <v>237</v>
      </c>
      <c r="C6446" s="28" t="s">
        <v>97</v>
      </c>
      <c r="D6446" s="28" t="s">
        <v>254</v>
      </c>
      <c r="E6446" s="29" t="s">
        <v>473</v>
      </c>
      <c r="F6446" s="29" t="s">
        <v>474</v>
      </c>
      <c r="G6446" s="25" t="s">
        <v>8117</v>
      </c>
      <c r="H6446" s="26">
        <v>-0.1399657235</v>
      </c>
      <c r="I6446" s="26"/>
      <c r="J6446" s="26" t="s">
        <v>512</v>
      </c>
      <c r="K6446" s="25" t="s">
        <v>513</v>
      </c>
      <c r="L6446" s="8"/>
    </row>
    <row r="6447" spans="1:12" ht="25.5" x14ac:dyDescent="0.25">
      <c r="A6447" s="22">
        <v>2026</v>
      </c>
      <c r="B6447" s="28" t="s">
        <v>237</v>
      </c>
      <c r="C6447" s="28" t="s">
        <v>97</v>
      </c>
      <c r="D6447" s="28" t="s">
        <v>254</v>
      </c>
      <c r="E6447" s="29" t="s">
        <v>473</v>
      </c>
      <c r="F6447" s="29" t="s">
        <v>474</v>
      </c>
      <c r="G6447" s="25" t="s">
        <v>8118</v>
      </c>
      <c r="H6447" s="26">
        <v>-6.28181825E-2</v>
      </c>
      <c r="I6447" s="26"/>
      <c r="J6447" s="26" t="s">
        <v>512</v>
      </c>
      <c r="K6447" s="25" t="s">
        <v>513</v>
      </c>
      <c r="L6447" s="8"/>
    </row>
    <row r="6448" spans="1:12" ht="25.5" x14ac:dyDescent="0.25">
      <c r="A6448" s="22">
        <v>2026</v>
      </c>
      <c r="B6448" s="28" t="s">
        <v>237</v>
      </c>
      <c r="C6448" s="28" t="s">
        <v>97</v>
      </c>
      <c r="D6448" s="28" t="s">
        <v>254</v>
      </c>
      <c r="E6448" s="29" t="s">
        <v>473</v>
      </c>
      <c r="F6448" s="29" t="s">
        <v>474</v>
      </c>
      <c r="G6448" s="25" t="s">
        <v>8119</v>
      </c>
      <c r="H6448" s="26">
        <v>-3.7560913500000001E-2</v>
      </c>
      <c r="I6448" s="26"/>
      <c r="J6448" s="26" t="s">
        <v>512</v>
      </c>
      <c r="K6448" s="25" t="s">
        <v>513</v>
      </c>
      <c r="L6448" s="8"/>
    </row>
    <row r="6449" spans="1:12" ht="25.5" x14ac:dyDescent="0.25">
      <c r="A6449" s="22">
        <v>2026</v>
      </c>
      <c r="B6449" s="28" t="s">
        <v>237</v>
      </c>
      <c r="C6449" s="28" t="s">
        <v>97</v>
      </c>
      <c r="D6449" s="28" t="s">
        <v>254</v>
      </c>
      <c r="E6449" s="29" t="s">
        <v>473</v>
      </c>
      <c r="F6449" s="29" t="s">
        <v>474</v>
      </c>
      <c r="G6449" s="25" t="s">
        <v>8120</v>
      </c>
      <c r="H6449" s="26">
        <v>-7.6058117199999997E-2</v>
      </c>
      <c r="I6449" s="26"/>
      <c r="J6449" s="26" t="s">
        <v>512</v>
      </c>
      <c r="K6449" s="25" t="s">
        <v>513</v>
      </c>
      <c r="L6449" s="8"/>
    </row>
    <row r="6450" spans="1:12" ht="25.5" x14ac:dyDescent="0.25">
      <c r="A6450" s="22">
        <v>2026</v>
      </c>
      <c r="B6450" s="28" t="s">
        <v>237</v>
      </c>
      <c r="C6450" s="28" t="s">
        <v>97</v>
      </c>
      <c r="D6450" s="28" t="s">
        <v>254</v>
      </c>
      <c r="E6450" s="29" t="s">
        <v>473</v>
      </c>
      <c r="F6450" s="29" t="s">
        <v>474</v>
      </c>
      <c r="G6450" s="25" t="s">
        <v>8121</v>
      </c>
      <c r="H6450" s="26">
        <v>-0.28816000000000003</v>
      </c>
      <c r="I6450" s="26"/>
      <c r="J6450" s="26" t="s">
        <v>512</v>
      </c>
      <c r="K6450" s="25" t="s">
        <v>513</v>
      </c>
      <c r="L6450" s="8"/>
    </row>
    <row r="6451" spans="1:12" ht="25.5" x14ac:dyDescent="0.25">
      <c r="A6451" s="22">
        <v>2026</v>
      </c>
      <c r="B6451" s="28" t="s">
        <v>237</v>
      </c>
      <c r="C6451" s="28" t="s">
        <v>97</v>
      </c>
      <c r="D6451" s="28" t="s">
        <v>254</v>
      </c>
      <c r="E6451" s="29" t="s">
        <v>473</v>
      </c>
      <c r="F6451" s="29" t="s">
        <v>474</v>
      </c>
      <c r="G6451" s="25" t="s">
        <v>8122</v>
      </c>
      <c r="H6451" s="26">
        <v>-4.6041704599999997E-2</v>
      </c>
      <c r="I6451" s="26"/>
      <c r="J6451" s="26" t="s">
        <v>512</v>
      </c>
      <c r="K6451" s="25" t="s">
        <v>513</v>
      </c>
      <c r="L6451" s="8"/>
    </row>
    <row r="6452" spans="1:12" ht="25.5" x14ac:dyDescent="0.25">
      <c r="A6452" s="22">
        <v>2026</v>
      </c>
      <c r="B6452" s="28" t="s">
        <v>237</v>
      </c>
      <c r="C6452" s="28" t="s">
        <v>97</v>
      </c>
      <c r="D6452" s="28" t="s">
        <v>254</v>
      </c>
      <c r="E6452" s="29" t="s">
        <v>473</v>
      </c>
      <c r="F6452" s="29" t="s">
        <v>474</v>
      </c>
      <c r="G6452" s="25" t="s">
        <v>8123</v>
      </c>
      <c r="H6452" s="26">
        <v>-9.1492745400000006E-2</v>
      </c>
      <c r="I6452" s="26"/>
      <c r="J6452" s="26" t="s">
        <v>512</v>
      </c>
      <c r="K6452" s="25" t="s">
        <v>513</v>
      </c>
      <c r="L6452" s="8"/>
    </row>
    <row r="6453" spans="1:12" ht="25.5" x14ac:dyDescent="0.25">
      <c r="A6453" s="22">
        <v>2026</v>
      </c>
      <c r="B6453" s="28" t="s">
        <v>237</v>
      </c>
      <c r="C6453" s="28" t="s">
        <v>97</v>
      </c>
      <c r="D6453" s="28" t="s">
        <v>254</v>
      </c>
      <c r="E6453" s="29" t="s">
        <v>473</v>
      </c>
      <c r="F6453" s="29" t="s">
        <v>474</v>
      </c>
      <c r="G6453" s="25" t="s">
        <v>8124</v>
      </c>
      <c r="H6453" s="26">
        <v>-0.23573230079999999</v>
      </c>
      <c r="I6453" s="26"/>
      <c r="J6453" s="26" t="s">
        <v>512</v>
      </c>
      <c r="K6453" s="25" t="s">
        <v>513</v>
      </c>
      <c r="L6453" s="8"/>
    </row>
    <row r="6454" spans="1:12" ht="25.5" x14ac:dyDescent="0.25">
      <c r="A6454" s="22">
        <v>2026</v>
      </c>
      <c r="B6454" s="28" t="s">
        <v>237</v>
      </c>
      <c r="C6454" s="28" t="s">
        <v>97</v>
      </c>
      <c r="D6454" s="28" t="s">
        <v>254</v>
      </c>
      <c r="E6454" s="29" t="s">
        <v>473</v>
      </c>
      <c r="F6454" s="29" t="s">
        <v>474</v>
      </c>
      <c r="G6454" s="25" t="s">
        <v>8125</v>
      </c>
      <c r="H6454" s="26">
        <v>-0.1318614836</v>
      </c>
      <c r="I6454" s="26"/>
      <c r="J6454" s="26" t="s">
        <v>512</v>
      </c>
      <c r="K6454" s="25" t="s">
        <v>513</v>
      </c>
      <c r="L6454" s="8"/>
    </row>
    <row r="6455" spans="1:12" ht="25.5" x14ac:dyDescent="0.25">
      <c r="A6455" s="22">
        <v>2026</v>
      </c>
      <c r="B6455" s="28" t="s">
        <v>237</v>
      </c>
      <c r="C6455" s="28" t="s">
        <v>97</v>
      </c>
      <c r="D6455" s="28" t="s">
        <v>254</v>
      </c>
      <c r="E6455" s="29" t="s">
        <v>473</v>
      </c>
      <c r="F6455" s="29" t="s">
        <v>474</v>
      </c>
      <c r="G6455" s="25" t="s">
        <v>8126</v>
      </c>
      <c r="H6455" s="26">
        <v>-3.2606544100000003E-2</v>
      </c>
      <c r="I6455" s="26"/>
      <c r="J6455" s="26" t="s">
        <v>512</v>
      </c>
      <c r="K6455" s="25" t="s">
        <v>513</v>
      </c>
      <c r="L6455" s="8"/>
    </row>
    <row r="6456" spans="1:12" ht="25.5" x14ac:dyDescent="0.25">
      <c r="A6456" s="22">
        <v>2026</v>
      </c>
      <c r="B6456" s="28" t="s">
        <v>237</v>
      </c>
      <c r="C6456" s="28" t="s">
        <v>97</v>
      </c>
      <c r="D6456" s="28" t="s">
        <v>1740</v>
      </c>
      <c r="E6456" s="29" t="s">
        <v>473</v>
      </c>
      <c r="F6456" s="29" t="s">
        <v>343</v>
      </c>
      <c r="G6456" s="25" t="s">
        <v>8127</v>
      </c>
      <c r="H6456" s="26">
        <v>-3.6555461900000003E-2</v>
      </c>
      <c r="I6456" s="26"/>
      <c r="J6456" s="26" t="s">
        <v>512</v>
      </c>
      <c r="K6456" s="25" t="s">
        <v>513</v>
      </c>
      <c r="L6456" s="8"/>
    </row>
    <row r="6457" spans="1:12" ht="25.5" x14ac:dyDescent="0.25">
      <c r="A6457" s="22">
        <v>2026</v>
      </c>
      <c r="B6457" s="28" t="s">
        <v>237</v>
      </c>
      <c r="C6457" s="28" t="s">
        <v>97</v>
      </c>
      <c r="D6457" s="28" t="s">
        <v>1740</v>
      </c>
      <c r="E6457" s="29" t="s">
        <v>473</v>
      </c>
      <c r="F6457" s="29" t="s">
        <v>343</v>
      </c>
      <c r="G6457" s="25" t="s">
        <v>8128</v>
      </c>
      <c r="H6457" s="26">
        <v>-7.0724582999999994E-2</v>
      </c>
      <c r="I6457" s="26"/>
      <c r="J6457" s="26" t="s">
        <v>512</v>
      </c>
      <c r="K6457" s="25" t="s">
        <v>513</v>
      </c>
      <c r="L6457" s="8"/>
    </row>
    <row r="6458" spans="1:12" ht="25.5" x14ac:dyDescent="0.25">
      <c r="A6458" s="22">
        <v>2026</v>
      </c>
      <c r="B6458" s="28" t="s">
        <v>237</v>
      </c>
      <c r="C6458" s="28" t="s">
        <v>97</v>
      </c>
      <c r="D6458" s="28" t="s">
        <v>1740</v>
      </c>
      <c r="E6458" s="29" t="s">
        <v>473</v>
      </c>
      <c r="F6458" s="29" t="s">
        <v>343</v>
      </c>
      <c r="G6458" s="25" t="s">
        <v>8129</v>
      </c>
      <c r="H6458" s="26">
        <v>-6.0050336000000001E-3</v>
      </c>
      <c r="I6458" s="26"/>
      <c r="J6458" s="26" t="s">
        <v>512</v>
      </c>
      <c r="K6458" s="25" t="s">
        <v>513</v>
      </c>
      <c r="L6458" s="8"/>
    </row>
    <row r="6459" spans="1:12" ht="25.5" x14ac:dyDescent="0.25">
      <c r="A6459" s="22">
        <v>2026</v>
      </c>
      <c r="B6459" s="28" t="s">
        <v>237</v>
      </c>
      <c r="C6459" s="28" t="s">
        <v>97</v>
      </c>
      <c r="D6459" s="28" t="s">
        <v>1740</v>
      </c>
      <c r="E6459" s="29" t="s">
        <v>473</v>
      </c>
      <c r="F6459" s="29" t="s">
        <v>343</v>
      </c>
      <c r="G6459" s="25" t="s">
        <v>8130</v>
      </c>
      <c r="H6459" s="26">
        <v>-3.5050420460000002E-2</v>
      </c>
      <c r="I6459" s="26"/>
      <c r="J6459" s="26" t="s">
        <v>512</v>
      </c>
      <c r="K6459" s="25" t="s">
        <v>513</v>
      </c>
      <c r="L6459" s="8"/>
    </row>
    <row r="6460" spans="1:12" ht="25.5" x14ac:dyDescent="0.25">
      <c r="A6460" s="22">
        <v>2026</v>
      </c>
      <c r="B6460" s="28" t="s">
        <v>237</v>
      </c>
      <c r="C6460" s="28" t="s">
        <v>97</v>
      </c>
      <c r="D6460" s="28" t="s">
        <v>1740</v>
      </c>
      <c r="E6460" s="29" t="s">
        <v>473</v>
      </c>
      <c r="F6460" s="29" t="s">
        <v>343</v>
      </c>
      <c r="G6460" s="25" t="s">
        <v>8131</v>
      </c>
      <c r="H6460" s="26">
        <v>-4.8726035519999995E-2</v>
      </c>
      <c r="I6460" s="26"/>
      <c r="J6460" s="26" t="s">
        <v>512</v>
      </c>
      <c r="K6460" s="25" t="s">
        <v>513</v>
      </c>
      <c r="L6460" s="8"/>
    </row>
    <row r="6461" spans="1:12" ht="25.5" x14ac:dyDescent="0.25">
      <c r="A6461" s="22">
        <v>2026</v>
      </c>
      <c r="B6461" s="28" t="s">
        <v>237</v>
      </c>
      <c r="C6461" s="28" t="s">
        <v>97</v>
      </c>
      <c r="D6461" s="28" t="s">
        <v>1740</v>
      </c>
      <c r="E6461" s="29" t="s">
        <v>473</v>
      </c>
      <c r="F6461" s="29" t="s">
        <v>343</v>
      </c>
      <c r="G6461" s="25" t="s">
        <v>8132</v>
      </c>
      <c r="H6461" s="26">
        <v>-2.0714380799999998E-2</v>
      </c>
      <c r="I6461" s="26"/>
      <c r="J6461" s="26" t="s">
        <v>512</v>
      </c>
      <c r="K6461" s="25" t="s">
        <v>513</v>
      </c>
      <c r="L6461" s="8"/>
    </row>
    <row r="6462" spans="1:12" ht="25.5" x14ac:dyDescent="0.25">
      <c r="A6462" s="22">
        <v>2026</v>
      </c>
      <c r="B6462" s="28" t="s">
        <v>237</v>
      </c>
      <c r="C6462" s="28" t="s">
        <v>97</v>
      </c>
      <c r="D6462" s="28" t="s">
        <v>1740</v>
      </c>
      <c r="E6462" s="29" t="s">
        <v>473</v>
      </c>
      <c r="F6462" s="29" t="s">
        <v>343</v>
      </c>
      <c r="G6462" s="25" t="s">
        <v>8133</v>
      </c>
      <c r="H6462" s="26">
        <v>-4.0009580800000007E-2</v>
      </c>
      <c r="I6462" s="26"/>
      <c r="J6462" s="26" t="s">
        <v>512</v>
      </c>
      <c r="K6462" s="25" t="s">
        <v>513</v>
      </c>
      <c r="L6462" s="8"/>
    </row>
    <row r="6463" spans="1:12" ht="25.5" x14ac:dyDescent="0.25">
      <c r="A6463" s="22">
        <v>2026</v>
      </c>
      <c r="B6463" s="28" t="s">
        <v>237</v>
      </c>
      <c r="C6463" s="28" t="s">
        <v>97</v>
      </c>
      <c r="D6463" s="28" t="s">
        <v>1740</v>
      </c>
      <c r="E6463" s="29" t="s">
        <v>473</v>
      </c>
      <c r="F6463" s="29" t="s">
        <v>343</v>
      </c>
      <c r="G6463" s="25" t="s">
        <v>8134</v>
      </c>
      <c r="H6463" s="26">
        <v>-2.19116029E-2</v>
      </c>
      <c r="I6463" s="26"/>
      <c r="J6463" s="26" t="s">
        <v>512</v>
      </c>
      <c r="K6463" s="25" t="s">
        <v>513</v>
      </c>
      <c r="L6463" s="8"/>
    </row>
    <row r="6464" spans="1:12" ht="25.5" x14ac:dyDescent="0.25">
      <c r="A6464" s="22">
        <v>2026</v>
      </c>
      <c r="B6464" s="28" t="s">
        <v>237</v>
      </c>
      <c r="C6464" s="28" t="s">
        <v>97</v>
      </c>
      <c r="D6464" s="28" t="s">
        <v>1740</v>
      </c>
      <c r="E6464" s="29" t="s">
        <v>473</v>
      </c>
      <c r="F6464" s="29" t="s">
        <v>343</v>
      </c>
      <c r="G6464" s="25" t="s">
        <v>8135</v>
      </c>
      <c r="H6464" s="26">
        <v>-4.8256649999999998E-3</v>
      </c>
      <c r="I6464" s="26"/>
      <c r="J6464" s="26" t="s">
        <v>512</v>
      </c>
      <c r="K6464" s="25" t="s">
        <v>513</v>
      </c>
      <c r="L6464" s="8"/>
    </row>
    <row r="6465" spans="1:12" ht="25.5" x14ac:dyDescent="0.25">
      <c r="A6465" s="22">
        <v>2026</v>
      </c>
      <c r="B6465" s="28" t="s">
        <v>237</v>
      </c>
      <c r="C6465" s="28" t="s">
        <v>97</v>
      </c>
      <c r="D6465" s="28" t="s">
        <v>1740</v>
      </c>
      <c r="E6465" s="29" t="s">
        <v>473</v>
      </c>
      <c r="F6465" s="29" t="s">
        <v>343</v>
      </c>
      <c r="G6465" s="25" t="s">
        <v>8136</v>
      </c>
      <c r="H6465" s="26">
        <v>-2.1855744E-2</v>
      </c>
      <c r="I6465" s="26"/>
      <c r="J6465" s="26" t="s">
        <v>512</v>
      </c>
      <c r="K6465" s="25" t="s">
        <v>513</v>
      </c>
      <c r="L6465" s="8"/>
    </row>
    <row r="6466" spans="1:12" ht="25.5" x14ac:dyDescent="0.25">
      <c r="A6466" s="22">
        <v>2026</v>
      </c>
      <c r="B6466" s="28" t="s">
        <v>237</v>
      </c>
      <c r="C6466" s="28" t="s">
        <v>97</v>
      </c>
      <c r="D6466" s="28" t="s">
        <v>1740</v>
      </c>
      <c r="E6466" s="29" t="s">
        <v>473</v>
      </c>
      <c r="F6466" s="29" t="s">
        <v>343</v>
      </c>
      <c r="G6466" s="25" t="s">
        <v>8137</v>
      </c>
      <c r="H6466" s="26">
        <v>-6.2049327599999995E-2</v>
      </c>
      <c r="I6466" s="26"/>
      <c r="J6466" s="26" t="s">
        <v>512</v>
      </c>
      <c r="K6466" s="25" t="s">
        <v>513</v>
      </c>
      <c r="L6466" s="8"/>
    </row>
    <row r="6467" spans="1:12" ht="25.5" x14ac:dyDescent="0.25">
      <c r="A6467" s="22">
        <v>2026</v>
      </c>
      <c r="B6467" s="28" t="s">
        <v>237</v>
      </c>
      <c r="C6467" s="28" t="s">
        <v>97</v>
      </c>
      <c r="D6467" s="28" t="s">
        <v>1740</v>
      </c>
      <c r="E6467" s="29" t="s">
        <v>473</v>
      </c>
      <c r="F6467" s="29" t="s">
        <v>343</v>
      </c>
      <c r="G6467" s="25" t="s">
        <v>8138</v>
      </c>
      <c r="H6467" s="26">
        <v>-1.7830726299999999E-2</v>
      </c>
      <c r="I6467" s="26"/>
      <c r="J6467" s="26" t="s">
        <v>512</v>
      </c>
      <c r="K6467" s="25" t="s">
        <v>513</v>
      </c>
      <c r="L6467" s="8"/>
    </row>
    <row r="6468" spans="1:12" ht="25.5" x14ac:dyDescent="0.25">
      <c r="A6468" s="22">
        <v>2026</v>
      </c>
      <c r="B6468" s="28" t="s">
        <v>237</v>
      </c>
      <c r="C6468" s="28" t="s">
        <v>97</v>
      </c>
      <c r="D6468" s="28" t="s">
        <v>1740</v>
      </c>
      <c r="E6468" s="29" t="s">
        <v>473</v>
      </c>
      <c r="F6468" s="29" t="s">
        <v>343</v>
      </c>
      <c r="G6468" s="25" t="s">
        <v>8139</v>
      </c>
      <c r="H6468" s="26">
        <v>-3.0203978999999999E-2</v>
      </c>
      <c r="I6468" s="26"/>
      <c r="J6468" s="26" t="s">
        <v>512</v>
      </c>
      <c r="K6468" s="25" t="s">
        <v>513</v>
      </c>
      <c r="L6468" s="8"/>
    </row>
    <row r="6469" spans="1:12" ht="25.5" x14ac:dyDescent="0.25">
      <c r="A6469" s="22">
        <v>2026</v>
      </c>
      <c r="B6469" s="28" t="s">
        <v>237</v>
      </c>
      <c r="C6469" s="28" t="s">
        <v>97</v>
      </c>
      <c r="D6469" s="28" t="s">
        <v>1740</v>
      </c>
      <c r="E6469" s="29" t="s">
        <v>473</v>
      </c>
      <c r="F6469" s="29" t="s">
        <v>343</v>
      </c>
      <c r="G6469" s="25" t="s">
        <v>8140</v>
      </c>
      <c r="H6469" s="26">
        <v>-0.10587000000000001</v>
      </c>
      <c r="I6469" s="26"/>
      <c r="J6469" s="26" t="s">
        <v>512</v>
      </c>
      <c r="K6469" s="25" t="s">
        <v>513</v>
      </c>
      <c r="L6469" s="8"/>
    </row>
    <row r="6470" spans="1:12" ht="25.5" x14ac:dyDescent="0.25">
      <c r="A6470" s="22">
        <v>2026</v>
      </c>
      <c r="B6470" s="28" t="s">
        <v>237</v>
      </c>
      <c r="C6470" s="28" t="s">
        <v>97</v>
      </c>
      <c r="D6470" s="28" t="s">
        <v>1740</v>
      </c>
      <c r="E6470" s="29" t="s">
        <v>473</v>
      </c>
      <c r="F6470" s="29" t="s">
        <v>343</v>
      </c>
      <c r="G6470" s="25" t="s">
        <v>8141</v>
      </c>
      <c r="H6470" s="26">
        <v>-6.2956097700000005E-2</v>
      </c>
      <c r="I6470" s="26"/>
      <c r="J6470" s="26" t="s">
        <v>512</v>
      </c>
      <c r="K6470" s="25" t="s">
        <v>513</v>
      </c>
      <c r="L6470" s="8"/>
    </row>
    <row r="6471" spans="1:12" ht="25.5" x14ac:dyDescent="0.25">
      <c r="A6471" s="22">
        <v>2026</v>
      </c>
      <c r="B6471" s="28" t="s">
        <v>237</v>
      </c>
      <c r="C6471" s="28" t="s">
        <v>97</v>
      </c>
      <c r="D6471" s="28" t="s">
        <v>1740</v>
      </c>
      <c r="E6471" s="29" t="s">
        <v>473</v>
      </c>
      <c r="F6471" s="29" t="s">
        <v>343</v>
      </c>
      <c r="G6471" s="25" t="s">
        <v>8142</v>
      </c>
      <c r="H6471" s="26">
        <v>-1.7159457600000001E-2</v>
      </c>
      <c r="I6471" s="26"/>
      <c r="J6471" s="26" t="s">
        <v>512</v>
      </c>
      <c r="K6471" s="25" t="s">
        <v>513</v>
      </c>
      <c r="L6471" s="8"/>
    </row>
    <row r="6472" spans="1:12" ht="25.5" x14ac:dyDescent="0.25">
      <c r="A6472" s="22">
        <v>2026</v>
      </c>
      <c r="B6472" s="28" t="s">
        <v>237</v>
      </c>
      <c r="C6472" s="28" t="s">
        <v>97</v>
      </c>
      <c r="D6472" s="28" t="s">
        <v>1740</v>
      </c>
      <c r="E6472" s="29" t="s">
        <v>473</v>
      </c>
      <c r="F6472" s="29" t="s">
        <v>343</v>
      </c>
      <c r="G6472" s="25" t="s">
        <v>8143</v>
      </c>
      <c r="H6472" s="26">
        <v>-2.3318026799999999E-2</v>
      </c>
      <c r="I6472" s="26"/>
      <c r="J6472" s="26" t="s">
        <v>512</v>
      </c>
      <c r="K6472" s="25" t="s">
        <v>513</v>
      </c>
      <c r="L6472" s="8"/>
    </row>
    <row r="6473" spans="1:12" ht="25.5" x14ac:dyDescent="0.25">
      <c r="A6473" s="22">
        <v>2026</v>
      </c>
      <c r="B6473" s="28" t="s">
        <v>237</v>
      </c>
      <c r="C6473" s="28" t="s">
        <v>97</v>
      </c>
      <c r="D6473" s="28" t="s">
        <v>1740</v>
      </c>
      <c r="E6473" s="29" t="s">
        <v>473</v>
      </c>
      <c r="F6473" s="29" t="s">
        <v>343</v>
      </c>
      <c r="G6473" s="25" t="s">
        <v>8144</v>
      </c>
      <c r="H6473" s="26">
        <v>-1.6052250000000001E-2</v>
      </c>
      <c r="I6473" s="26"/>
      <c r="J6473" s="26" t="s">
        <v>512</v>
      </c>
      <c r="K6473" s="25" t="s">
        <v>513</v>
      </c>
      <c r="L6473" s="8"/>
    </row>
    <row r="6474" spans="1:12" ht="25.5" x14ac:dyDescent="0.25">
      <c r="A6474" s="22">
        <v>2026</v>
      </c>
      <c r="B6474" s="28" t="s">
        <v>237</v>
      </c>
      <c r="C6474" s="28" t="s">
        <v>97</v>
      </c>
      <c r="D6474" s="28" t="s">
        <v>195</v>
      </c>
      <c r="E6474" s="29" t="s">
        <v>1760</v>
      </c>
      <c r="F6474" s="29" t="s">
        <v>353</v>
      </c>
      <c r="G6474" s="25" t="s">
        <v>8145</v>
      </c>
      <c r="H6474" s="26">
        <v>-0.93799999999999994</v>
      </c>
      <c r="I6474" s="26"/>
      <c r="J6474" s="26" t="s">
        <v>512</v>
      </c>
      <c r="K6474" s="25" t="s">
        <v>513</v>
      </c>
      <c r="L6474" s="8"/>
    </row>
    <row r="6475" spans="1:12" ht="25.5" x14ac:dyDescent="0.25">
      <c r="A6475" s="22">
        <v>2026</v>
      </c>
      <c r="B6475" s="28" t="s">
        <v>237</v>
      </c>
      <c r="C6475" s="28" t="s">
        <v>97</v>
      </c>
      <c r="D6475" s="28" t="s">
        <v>195</v>
      </c>
      <c r="E6475" s="29" t="s">
        <v>1760</v>
      </c>
      <c r="F6475" s="29" t="s">
        <v>353</v>
      </c>
      <c r="G6475" s="25" t="s">
        <v>8146</v>
      </c>
      <c r="H6475" s="26">
        <v>-0.48099999999999998</v>
      </c>
      <c r="I6475" s="26"/>
      <c r="J6475" s="26" t="s">
        <v>512</v>
      </c>
      <c r="K6475" s="25" t="s">
        <v>513</v>
      </c>
      <c r="L6475" s="8"/>
    </row>
    <row r="6476" spans="1:12" ht="25.5" x14ac:dyDescent="0.25">
      <c r="A6476" s="22">
        <v>2026</v>
      </c>
      <c r="B6476" s="28" t="s">
        <v>237</v>
      </c>
      <c r="C6476" s="28" t="s">
        <v>97</v>
      </c>
      <c r="D6476" s="28" t="s">
        <v>195</v>
      </c>
      <c r="E6476" s="29" t="s">
        <v>1760</v>
      </c>
      <c r="F6476" s="29" t="s">
        <v>353</v>
      </c>
      <c r="G6476" s="25" t="s">
        <v>8147</v>
      </c>
      <c r="H6476" s="26">
        <v>-0.96719999999999995</v>
      </c>
      <c r="I6476" s="26"/>
      <c r="J6476" s="26" t="s">
        <v>512</v>
      </c>
      <c r="K6476" s="25" t="s">
        <v>513</v>
      </c>
      <c r="L6476" s="8"/>
    </row>
    <row r="6477" spans="1:12" ht="38.25" x14ac:dyDescent="0.25">
      <c r="A6477" s="22">
        <v>2026</v>
      </c>
      <c r="B6477" s="28" t="s">
        <v>237</v>
      </c>
      <c r="C6477" s="28" t="s">
        <v>97</v>
      </c>
      <c r="D6477" s="28" t="s">
        <v>247</v>
      </c>
      <c r="E6477" s="29" t="s">
        <v>448</v>
      </c>
      <c r="F6477" s="29" t="s">
        <v>284</v>
      </c>
      <c r="G6477" s="25" t="s">
        <v>8148</v>
      </c>
      <c r="H6477" s="26">
        <v>-2.9458169999999999E-2</v>
      </c>
      <c r="I6477" s="26"/>
      <c r="J6477" s="26" t="s">
        <v>514</v>
      </c>
      <c r="K6477" s="25" t="s">
        <v>528</v>
      </c>
      <c r="L6477" s="8"/>
    </row>
    <row r="6478" spans="1:12" ht="38.25" x14ac:dyDescent="0.25">
      <c r="A6478" s="22">
        <v>2026</v>
      </c>
      <c r="B6478" s="28" t="s">
        <v>237</v>
      </c>
      <c r="C6478" s="28" t="s">
        <v>97</v>
      </c>
      <c r="D6478" s="28" t="s">
        <v>247</v>
      </c>
      <c r="E6478" s="29" t="s">
        <v>448</v>
      </c>
      <c r="F6478" s="29" t="s">
        <v>284</v>
      </c>
      <c r="G6478" s="25" t="s">
        <v>8149</v>
      </c>
      <c r="H6478" s="26">
        <v>-6.3991800000000001E-2</v>
      </c>
      <c r="I6478" s="26"/>
      <c r="J6478" s="26" t="s">
        <v>514</v>
      </c>
      <c r="K6478" s="25" t="s">
        <v>528</v>
      </c>
      <c r="L6478" s="8"/>
    </row>
    <row r="6479" spans="1:12" ht="38.25" x14ac:dyDescent="0.25">
      <c r="A6479" s="22">
        <v>2026</v>
      </c>
      <c r="B6479" s="28" t="s">
        <v>237</v>
      </c>
      <c r="C6479" s="28" t="s">
        <v>97</v>
      </c>
      <c r="D6479" s="28" t="s">
        <v>247</v>
      </c>
      <c r="E6479" s="29" t="s">
        <v>448</v>
      </c>
      <c r="F6479" s="29" t="s">
        <v>284</v>
      </c>
      <c r="G6479" s="25" t="s">
        <v>8150</v>
      </c>
      <c r="H6479" s="26">
        <v>-0.92689999999999995</v>
      </c>
      <c r="I6479" s="26"/>
      <c r="J6479" s="26" t="s">
        <v>514</v>
      </c>
      <c r="K6479" s="25" t="s">
        <v>528</v>
      </c>
      <c r="L6479" s="8"/>
    </row>
    <row r="6480" spans="1:12" ht="38.25" x14ac:dyDescent="0.25">
      <c r="A6480" s="22">
        <v>2026</v>
      </c>
      <c r="B6480" s="28" t="s">
        <v>237</v>
      </c>
      <c r="C6480" s="28" t="s">
        <v>97</v>
      </c>
      <c r="D6480" s="28" t="s">
        <v>247</v>
      </c>
      <c r="E6480" s="29" t="s">
        <v>448</v>
      </c>
      <c r="F6480" s="29" t="s">
        <v>284</v>
      </c>
      <c r="G6480" s="25" t="s">
        <v>8151</v>
      </c>
      <c r="H6480" s="26">
        <v>-0.95420000000000005</v>
      </c>
      <c r="I6480" s="26"/>
      <c r="J6480" s="26" t="s">
        <v>514</v>
      </c>
      <c r="K6480" s="25" t="s">
        <v>528</v>
      </c>
      <c r="L6480" s="8"/>
    </row>
    <row r="6481" spans="1:12" ht="38.25" x14ac:dyDescent="0.25">
      <c r="A6481" s="22">
        <v>2026</v>
      </c>
      <c r="B6481" s="28" t="s">
        <v>237</v>
      </c>
      <c r="C6481" s="28" t="s">
        <v>97</v>
      </c>
      <c r="D6481" s="28" t="s">
        <v>247</v>
      </c>
      <c r="E6481" s="29" t="s">
        <v>448</v>
      </c>
      <c r="F6481" s="29" t="s">
        <v>284</v>
      </c>
      <c r="G6481" s="25" t="s">
        <v>8152</v>
      </c>
      <c r="H6481" s="26">
        <v>-0.30649367999999999</v>
      </c>
      <c r="I6481" s="26"/>
      <c r="J6481" s="26" t="s">
        <v>514</v>
      </c>
      <c r="K6481" s="25" t="s">
        <v>528</v>
      </c>
      <c r="L6481" s="8"/>
    </row>
    <row r="6482" spans="1:12" ht="38.25" x14ac:dyDescent="0.25">
      <c r="A6482" s="22">
        <v>2026</v>
      </c>
      <c r="B6482" s="28" t="s">
        <v>237</v>
      </c>
      <c r="C6482" s="28" t="s">
        <v>97</v>
      </c>
      <c r="D6482" s="28" t="s">
        <v>247</v>
      </c>
      <c r="E6482" s="29" t="s">
        <v>448</v>
      </c>
      <c r="F6482" s="29" t="s">
        <v>284</v>
      </c>
      <c r="G6482" s="25" t="s">
        <v>8153</v>
      </c>
      <c r="H6482" s="26">
        <v>-0.22118112000000001</v>
      </c>
      <c r="I6482" s="26"/>
      <c r="J6482" s="26" t="s">
        <v>514</v>
      </c>
      <c r="K6482" s="25" t="s">
        <v>528</v>
      </c>
      <c r="L6482" s="8"/>
    </row>
    <row r="6483" spans="1:12" ht="38.25" x14ac:dyDescent="0.25">
      <c r="A6483" s="22">
        <v>2026</v>
      </c>
      <c r="B6483" s="28" t="s">
        <v>237</v>
      </c>
      <c r="C6483" s="28" t="s">
        <v>97</v>
      </c>
      <c r="D6483" s="28" t="s">
        <v>247</v>
      </c>
      <c r="E6483" s="29" t="s">
        <v>448</v>
      </c>
      <c r="F6483" s="29" t="s">
        <v>284</v>
      </c>
      <c r="G6483" s="25" t="s">
        <v>8154</v>
      </c>
      <c r="H6483" s="26">
        <v>-0.32906829999999998</v>
      </c>
      <c r="I6483" s="26"/>
      <c r="J6483" s="26" t="s">
        <v>514</v>
      </c>
      <c r="K6483" s="25" t="s">
        <v>528</v>
      </c>
      <c r="L6483" s="8"/>
    </row>
    <row r="6484" spans="1:12" ht="38.25" x14ac:dyDescent="0.25">
      <c r="A6484" s="22">
        <v>2026</v>
      </c>
      <c r="B6484" s="28" t="s">
        <v>237</v>
      </c>
      <c r="C6484" s="28" t="s">
        <v>97</v>
      </c>
      <c r="D6484" s="28" t="s">
        <v>247</v>
      </c>
      <c r="E6484" s="29" t="s">
        <v>448</v>
      </c>
      <c r="F6484" s="29" t="s">
        <v>284</v>
      </c>
      <c r="G6484" s="25" t="s">
        <v>8155</v>
      </c>
      <c r="H6484" s="26">
        <v>-0.13055812</v>
      </c>
      <c r="I6484" s="26"/>
      <c r="J6484" s="26" t="s">
        <v>514</v>
      </c>
      <c r="K6484" s="25" t="s">
        <v>528</v>
      </c>
      <c r="L6484" s="8"/>
    </row>
    <row r="6485" spans="1:12" ht="38.25" x14ac:dyDescent="0.25">
      <c r="A6485" s="22">
        <v>2026</v>
      </c>
      <c r="B6485" s="28" t="s">
        <v>237</v>
      </c>
      <c r="C6485" s="28" t="s">
        <v>97</v>
      </c>
      <c r="D6485" s="28" t="s">
        <v>247</v>
      </c>
      <c r="E6485" s="29" t="s">
        <v>448</v>
      </c>
      <c r="F6485" s="29" t="s">
        <v>284</v>
      </c>
      <c r="G6485" s="25" t="s">
        <v>8156</v>
      </c>
      <c r="H6485" s="26">
        <v>-0.73</v>
      </c>
      <c r="I6485" s="26"/>
      <c r="J6485" s="26" t="s">
        <v>514</v>
      </c>
      <c r="K6485" s="25" t="s">
        <v>528</v>
      </c>
      <c r="L6485" s="8"/>
    </row>
    <row r="6486" spans="1:12" ht="38.25" x14ac:dyDescent="0.25">
      <c r="A6486" s="22">
        <v>2026</v>
      </c>
      <c r="B6486" s="28" t="s">
        <v>237</v>
      </c>
      <c r="C6486" s="28" t="s">
        <v>97</v>
      </c>
      <c r="D6486" s="28" t="s">
        <v>247</v>
      </c>
      <c r="E6486" s="29" t="s">
        <v>448</v>
      </c>
      <c r="F6486" s="29" t="s">
        <v>284</v>
      </c>
      <c r="G6486" s="25" t="s">
        <v>8157</v>
      </c>
      <c r="H6486" s="26">
        <v>-0.30444317999999998</v>
      </c>
      <c r="I6486" s="26"/>
      <c r="J6486" s="26" t="s">
        <v>514</v>
      </c>
      <c r="K6486" s="25" t="s">
        <v>528</v>
      </c>
      <c r="L6486" s="8"/>
    </row>
    <row r="6487" spans="1:12" ht="38.25" x14ac:dyDescent="0.25">
      <c r="A6487" s="22">
        <v>2026</v>
      </c>
      <c r="B6487" s="28" t="s">
        <v>237</v>
      </c>
      <c r="C6487" s="28" t="s">
        <v>97</v>
      </c>
      <c r="D6487" s="28" t="s">
        <v>247</v>
      </c>
      <c r="E6487" s="29" t="s">
        <v>448</v>
      </c>
      <c r="F6487" s="29" t="s">
        <v>284</v>
      </c>
      <c r="G6487" s="25" t="s">
        <v>8158</v>
      </c>
      <c r="H6487" s="26">
        <v>-0.54682589999999998</v>
      </c>
      <c r="I6487" s="26"/>
      <c r="J6487" s="26" t="s">
        <v>514</v>
      </c>
      <c r="K6487" s="25" t="s">
        <v>528</v>
      </c>
      <c r="L6487" s="8"/>
    </row>
    <row r="6488" spans="1:12" ht="38.25" x14ac:dyDescent="0.25">
      <c r="A6488" s="22">
        <v>2026</v>
      </c>
      <c r="B6488" s="28" t="s">
        <v>237</v>
      </c>
      <c r="C6488" s="28" t="s">
        <v>97</v>
      </c>
      <c r="D6488" s="28" t="s">
        <v>247</v>
      </c>
      <c r="E6488" s="29" t="s">
        <v>448</v>
      </c>
      <c r="F6488" s="29" t="s">
        <v>284</v>
      </c>
      <c r="G6488" s="25" t="s">
        <v>8159</v>
      </c>
      <c r="H6488" s="26">
        <v>-0.73350000000000004</v>
      </c>
      <c r="I6488" s="26"/>
      <c r="J6488" s="26" t="s">
        <v>514</v>
      </c>
      <c r="K6488" s="25" t="s">
        <v>528</v>
      </c>
      <c r="L6488" s="8"/>
    </row>
    <row r="6489" spans="1:12" ht="38.25" x14ac:dyDescent="0.25">
      <c r="A6489" s="22">
        <v>2026</v>
      </c>
      <c r="B6489" s="28" t="s">
        <v>237</v>
      </c>
      <c r="C6489" s="28" t="s">
        <v>97</v>
      </c>
      <c r="D6489" s="28" t="s">
        <v>247</v>
      </c>
      <c r="E6489" s="29" t="s">
        <v>448</v>
      </c>
      <c r="F6489" s="29" t="s">
        <v>284</v>
      </c>
      <c r="G6489" s="25" t="s">
        <v>8160</v>
      </c>
      <c r="H6489" s="26">
        <v>-0.36575000000000002</v>
      </c>
      <c r="I6489" s="26"/>
      <c r="J6489" s="26" t="s">
        <v>514</v>
      </c>
      <c r="K6489" s="25" t="s">
        <v>528</v>
      </c>
      <c r="L6489" s="8"/>
    </row>
    <row r="6490" spans="1:12" ht="38.25" x14ac:dyDescent="0.25">
      <c r="A6490" s="22">
        <v>2026</v>
      </c>
      <c r="B6490" s="28" t="s">
        <v>237</v>
      </c>
      <c r="C6490" s="28" t="s">
        <v>97</v>
      </c>
      <c r="D6490" s="28" t="s">
        <v>247</v>
      </c>
      <c r="E6490" s="29" t="s">
        <v>448</v>
      </c>
      <c r="F6490" s="29" t="s">
        <v>284</v>
      </c>
      <c r="G6490" s="25" t="s">
        <v>8161</v>
      </c>
      <c r="H6490" s="26">
        <v>-7.4564990000000012E-2</v>
      </c>
      <c r="I6490" s="26"/>
      <c r="J6490" s="26" t="s">
        <v>514</v>
      </c>
      <c r="K6490" s="25" t="s">
        <v>528</v>
      </c>
      <c r="L6490" s="8"/>
    </row>
    <row r="6491" spans="1:12" ht="38.25" x14ac:dyDescent="0.25">
      <c r="A6491" s="22">
        <v>2026</v>
      </c>
      <c r="B6491" s="28" t="s">
        <v>237</v>
      </c>
      <c r="C6491" s="28" t="s">
        <v>97</v>
      </c>
      <c r="D6491" s="28" t="s">
        <v>247</v>
      </c>
      <c r="E6491" s="29" t="s">
        <v>448</v>
      </c>
      <c r="F6491" s="29" t="s">
        <v>284</v>
      </c>
      <c r="G6491" s="25" t="s">
        <v>8162</v>
      </c>
      <c r="H6491" s="26">
        <v>-0.43444675999999999</v>
      </c>
      <c r="I6491" s="26"/>
      <c r="J6491" s="26" t="s">
        <v>514</v>
      </c>
      <c r="K6491" s="25" t="s">
        <v>528</v>
      </c>
      <c r="L6491" s="8"/>
    </row>
    <row r="6492" spans="1:12" ht="38.25" x14ac:dyDescent="0.25">
      <c r="A6492" s="22">
        <v>2026</v>
      </c>
      <c r="B6492" s="28" t="s">
        <v>237</v>
      </c>
      <c r="C6492" s="28" t="s">
        <v>97</v>
      </c>
      <c r="D6492" s="28" t="s">
        <v>247</v>
      </c>
      <c r="E6492" s="29" t="s">
        <v>448</v>
      </c>
      <c r="F6492" s="29" t="s">
        <v>284</v>
      </c>
      <c r="G6492" s="25" t="s">
        <v>8163</v>
      </c>
      <c r="H6492" s="26">
        <v>-0.44159999999999999</v>
      </c>
      <c r="I6492" s="26"/>
      <c r="J6492" s="26" t="s">
        <v>514</v>
      </c>
      <c r="K6492" s="25" t="s">
        <v>528</v>
      </c>
      <c r="L6492" s="8"/>
    </row>
    <row r="6493" spans="1:12" ht="38.25" x14ac:dyDescent="0.25">
      <c r="A6493" s="22">
        <v>2026</v>
      </c>
      <c r="B6493" s="28" t="s">
        <v>237</v>
      </c>
      <c r="C6493" s="28" t="s">
        <v>97</v>
      </c>
      <c r="D6493" s="28" t="s">
        <v>247</v>
      </c>
      <c r="E6493" s="29" t="s">
        <v>448</v>
      </c>
      <c r="F6493" s="29" t="s">
        <v>284</v>
      </c>
      <c r="G6493" s="25" t="s">
        <v>8164</v>
      </c>
      <c r="H6493" s="26">
        <v>-0.48236471999999997</v>
      </c>
      <c r="I6493" s="26"/>
      <c r="J6493" s="26" t="s">
        <v>514</v>
      </c>
      <c r="K6493" s="25" t="s">
        <v>528</v>
      </c>
      <c r="L6493" s="8"/>
    </row>
    <row r="6494" spans="1:12" ht="38.25" x14ac:dyDescent="0.25">
      <c r="A6494" s="22">
        <v>2026</v>
      </c>
      <c r="B6494" s="28" t="s">
        <v>237</v>
      </c>
      <c r="C6494" s="28" t="s">
        <v>97</v>
      </c>
      <c r="D6494" s="28" t="s">
        <v>247</v>
      </c>
      <c r="E6494" s="29" t="s">
        <v>448</v>
      </c>
      <c r="F6494" s="29" t="s">
        <v>284</v>
      </c>
      <c r="G6494" s="25" t="s">
        <v>8165</v>
      </c>
      <c r="H6494" s="26">
        <v>-1.446</v>
      </c>
      <c r="I6494" s="26"/>
      <c r="J6494" s="26" t="s">
        <v>514</v>
      </c>
      <c r="K6494" s="25" t="s">
        <v>528</v>
      </c>
      <c r="L6494" s="8"/>
    </row>
    <row r="6495" spans="1:12" ht="38.25" x14ac:dyDescent="0.25">
      <c r="A6495" s="22">
        <v>2026</v>
      </c>
      <c r="B6495" s="28" t="s">
        <v>237</v>
      </c>
      <c r="C6495" s="28" t="s">
        <v>97</v>
      </c>
      <c r="D6495" s="28" t="s">
        <v>247</v>
      </c>
      <c r="E6495" s="29" t="s">
        <v>448</v>
      </c>
      <c r="F6495" s="29" t="s">
        <v>284</v>
      </c>
      <c r="G6495" s="25" t="s">
        <v>8166</v>
      </c>
      <c r="H6495" s="26">
        <v>-4.4627359999999998E-2</v>
      </c>
      <c r="I6495" s="26"/>
      <c r="J6495" s="26" t="s">
        <v>514</v>
      </c>
      <c r="K6495" s="25" t="s">
        <v>528</v>
      </c>
      <c r="L6495" s="8"/>
    </row>
    <row r="6496" spans="1:12" ht="38.25" x14ac:dyDescent="0.25">
      <c r="A6496" s="22">
        <v>2026</v>
      </c>
      <c r="B6496" s="28" t="s">
        <v>237</v>
      </c>
      <c r="C6496" s="28" t="s">
        <v>97</v>
      </c>
      <c r="D6496" s="28" t="s">
        <v>247</v>
      </c>
      <c r="E6496" s="29" t="s">
        <v>448</v>
      </c>
      <c r="F6496" s="29" t="s">
        <v>284</v>
      </c>
      <c r="G6496" s="25" t="s">
        <v>8167</v>
      </c>
      <c r="H6496" s="26">
        <v>-0.57289836999999999</v>
      </c>
      <c r="I6496" s="26"/>
      <c r="J6496" s="26" t="s">
        <v>514</v>
      </c>
      <c r="K6496" s="25" t="s">
        <v>528</v>
      </c>
      <c r="L6496" s="8"/>
    </row>
    <row r="6497" spans="1:12" ht="38.25" x14ac:dyDescent="0.25">
      <c r="A6497" s="22">
        <v>2026</v>
      </c>
      <c r="B6497" s="28" t="s">
        <v>237</v>
      </c>
      <c r="C6497" s="28" t="s">
        <v>97</v>
      </c>
      <c r="D6497" s="28" t="s">
        <v>247</v>
      </c>
      <c r="E6497" s="29" t="s">
        <v>448</v>
      </c>
      <c r="F6497" s="29" t="s">
        <v>284</v>
      </c>
      <c r="G6497" s="25" t="s">
        <v>8168</v>
      </c>
      <c r="H6497" s="26">
        <v>-0.69212609999999997</v>
      </c>
      <c r="I6497" s="26"/>
      <c r="J6497" s="26" t="s">
        <v>514</v>
      </c>
      <c r="K6497" s="25" t="s">
        <v>528</v>
      </c>
      <c r="L6497" s="8"/>
    </row>
    <row r="6498" spans="1:12" ht="25.5" x14ac:dyDescent="0.25">
      <c r="A6498" s="22">
        <v>2026</v>
      </c>
      <c r="B6498" s="28" t="s">
        <v>237</v>
      </c>
      <c r="C6498" s="28" t="s">
        <v>97</v>
      </c>
      <c r="D6498" s="28" t="s">
        <v>1795</v>
      </c>
      <c r="E6498" s="29" t="s">
        <v>569</v>
      </c>
      <c r="F6498" s="29" t="s">
        <v>1274</v>
      </c>
      <c r="G6498" s="25" t="s">
        <v>8169</v>
      </c>
      <c r="H6498" s="26">
        <v>-0.10788078037</v>
      </c>
      <c r="I6498" s="26"/>
      <c r="J6498" s="26" t="s">
        <v>512</v>
      </c>
      <c r="K6498" s="25" t="s">
        <v>513</v>
      </c>
      <c r="L6498" s="8"/>
    </row>
    <row r="6499" spans="1:12" ht="25.5" x14ac:dyDescent="0.25">
      <c r="A6499" s="22">
        <v>2026</v>
      </c>
      <c r="B6499" s="28" t="s">
        <v>237</v>
      </c>
      <c r="C6499" s="28" t="s">
        <v>97</v>
      </c>
      <c r="D6499" s="28" t="s">
        <v>1741</v>
      </c>
      <c r="E6499" s="29" t="s">
        <v>985</v>
      </c>
      <c r="F6499" s="29" t="s">
        <v>340</v>
      </c>
      <c r="G6499" s="25" t="s">
        <v>8170</v>
      </c>
      <c r="H6499" s="26">
        <v>-0.100125465</v>
      </c>
      <c r="I6499" s="26"/>
      <c r="J6499" s="26" t="s">
        <v>512</v>
      </c>
      <c r="K6499" s="25" t="s">
        <v>513</v>
      </c>
      <c r="L6499" s="8"/>
    </row>
    <row r="6500" spans="1:12" ht="25.5" x14ac:dyDescent="0.25">
      <c r="A6500" s="22">
        <v>2026</v>
      </c>
      <c r="B6500" s="28" t="s">
        <v>237</v>
      </c>
      <c r="C6500" s="28" t="s">
        <v>97</v>
      </c>
      <c r="D6500" s="28" t="s">
        <v>1741</v>
      </c>
      <c r="E6500" s="29" t="s">
        <v>985</v>
      </c>
      <c r="F6500" s="29" t="s">
        <v>340</v>
      </c>
      <c r="G6500" s="25" t="s">
        <v>8171</v>
      </c>
      <c r="H6500" s="26">
        <v>-0.78</v>
      </c>
      <c r="I6500" s="26"/>
      <c r="J6500" s="26" t="s">
        <v>512</v>
      </c>
      <c r="K6500" s="25" t="s">
        <v>513</v>
      </c>
      <c r="L6500" s="8"/>
    </row>
    <row r="6501" spans="1:12" ht="25.5" x14ac:dyDescent="0.25">
      <c r="A6501" s="22">
        <v>2026</v>
      </c>
      <c r="B6501" s="28" t="s">
        <v>237</v>
      </c>
      <c r="C6501" s="28" t="s">
        <v>97</v>
      </c>
      <c r="D6501" s="28" t="s">
        <v>1741</v>
      </c>
      <c r="E6501" s="29" t="s">
        <v>985</v>
      </c>
      <c r="F6501" s="29" t="s">
        <v>340</v>
      </c>
      <c r="G6501" s="25" t="s">
        <v>8172</v>
      </c>
      <c r="H6501" s="26">
        <v>-0.42727619999999999</v>
      </c>
      <c r="I6501" s="26"/>
      <c r="J6501" s="26" t="s">
        <v>512</v>
      </c>
      <c r="K6501" s="25" t="s">
        <v>513</v>
      </c>
      <c r="L6501" s="8"/>
    </row>
    <row r="6502" spans="1:12" ht="25.5" x14ac:dyDescent="0.25">
      <c r="A6502" s="22">
        <v>2026</v>
      </c>
      <c r="B6502" s="28" t="s">
        <v>237</v>
      </c>
      <c r="C6502" s="28" t="s">
        <v>97</v>
      </c>
      <c r="D6502" s="28" t="s">
        <v>1741</v>
      </c>
      <c r="E6502" s="29" t="s">
        <v>985</v>
      </c>
      <c r="F6502" s="29" t="s">
        <v>340</v>
      </c>
      <c r="G6502" s="25" t="s">
        <v>8173</v>
      </c>
      <c r="H6502" s="26">
        <v>-0.1136928</v>
      </c>
      <c r="I6502" s="26"/>
      <c r="J6502" s="26" t="s">
        <v>512</v>
      </c>
      <c r="K6502" s="25" t="s">
        <v>513</v>
      </c>
      <c r="L6502" s="8"/>
    </row>
    <row r="6503" spans="1:12" ht="25.5" x14ac:dyDescent="0.25">
      <c r="A6503" s="22">
        <v>2026</v>
      </c>
      <c r="B6503" s="28" t="s">
        <v>237</v>
      </c>
      <c r="C6503" s="28" t="s">
        <v>97</v>
      </c>
      <c r="D6503" s="28" t="s">
        <v>1741</v>
      </c>
      <c r="E6503" s="29" t="s">
        <v>985</v>
      </c>
      <c r="F6503" s="29" t="s">
        <v>340</v>
      </c>
      <c r="G6503" s="25" t="s">
        <v>8174</v>
      </c>
      <c r="H6503" s="26">
        <v>-0.29249999999999998</v>
      </c>
      <c r="I6503" s="26"/>
      <c r="J6503" s="26" t="s">
        <v>512</v>
      </c>
      <c r="K6503" s="25" t="s">
        <v>513</v>
      </c>
      <c r="L6503" s="8"/>
    </row>
    <row r="6504" spans="1:12" ht="25.5" x14ac:dyDescent="0.25">
      <c r="A6504" s="22">
        <v>2026</v>
      </c>
      <c r="B6504" s="28" t="s">
        <v>237</v>
      </c>
      <c r="C6504" s="28" t="s">
        <v>97</v>
      </c>
      <c r="D6504" s="28" t="s">
        <v>1741</v>
      </c>
      <c r="E6504" s="29" t="s">
        <v>985</v>
      </c>
      <c r="F6504" s="29" t="s">
        <v>340</v>
      </c>
      <c r="G6504" s="25" t="s">
        <v>8175</v>
      </c>
      <c r="H6504" s="26">
        <v>-0.63125315000000004</v>
      </c>
      <c r="I6504" s="26"/>
      <c r="J6504" s="26" t="s">
        <v>512</v>
      </c>
      <c r="K6504" s="25" t="s">
        <v>513</v>
      </c>
      <c r="L6504" s="8"/>
    </row>
    <row r="6505" spans="1:12" ht="25.5" x14ac:dyDescent="0.25">
      <c r="A6505" s="22">
        <v>2026</v>
      </c>
      <c r="B6505" s="28" t="s">
        <v>237</v>
      </c>
      <c r="C6505" s="28" t="s">
        <v>97</v>
      </c>
      <c r="D6505" s="28" t="s">
        <v>1741</v>
      </c>
      <c r="E6505" s="29" t="s">
        <v>985</v>
      </c>
      <c r="F6505" s="29" t="s">
        <v>340</v>
      </c>
      <c r="G6505" s="25" t="s">
        <v>8176</v>
      </c>
      <c r="H6505" s="26">
        <v>-0.296205</v>
      </c>
      <c r="I6505" s="26"/>
      <c r="J6505" s="26" t="s">
        <v>512</v>
      </c>
      <c r="K6505" s="25" t="s">
        <v>513</v>
      </c>
      <c r="L6505" s="8"/>
    </row>
    <row r="6506" spans="1:12" ht="25.5" x14ac:dyDescent="0.25">
      <c r="A6506" s="22">
        <v>2026</v>
      </c>
      <c r="B6506" s="28" t="s">
        <v>237</v>
      </c>
      <c r="C6506" s="28" t="s">
        <v>97</v>
      </c>
      <c r="D6506" s="28" t="s">
        <v>1741</v>
      </c>
      <c r="E6506" s="29" t="s">
        <v>985</v>
      </c>
      <c r="F6506" s="29" t="s">
        <v>340</v>
      </c>
      <c r="G6506" s="25" t="s">
        <v>8177</v>
      </c>
      <c r="H6506" s="26">
        <v>-0.19750000000000001</v>
      </c>
      <c r="I6506" s="26"/>
      <c r="J6506" s="26" t="s">
        <v>512</v>
      </c>
      <c r="K6506" s="25" t="s">
        <v>513</v>
      </c>
      <c r="L6506" s="8"/>
    </row>
    <row r="6507" spans="1:12" ht="25.5" x14ac:dyDescent="0.25">
      <c r="A6507" s="22">
        <v>2026</v>
      </c>
      <c r="B6507" s="28" t="s">
        <v>237</v>
      </c>
      <c r="C6507" s="28" t="s">
        <v>97</v>
      </c>
      <c r="D6507" s="28" t="s">
        <v>1742</v>
      </c>
      <c r="E6507" s="29" t="s">
        <v>1742</v>
      </c>
      <c r="F6507" s="29" t="s">
        <v>284</v>
      </c>
      <c r="G6507" s="25" t="s">
        <v>8178</v>
      </c>
      <c r="H6507" s="26">
        <v>-0.25850000000000001</v>
      </c>
      <c r="I6507" s="26"/>
      <c r="J6507" s="26" t="s">
        <v>1773</v>
      </c>
      <c r="K6507" s="25" t="s">
        <v>513</v>
      </c>
      <c r="L6507" s="8"/>
    </row>
    <row r="6508" spans="1:12" ht="25.5" x14ac:dyDescent="0.25">
      <c r="A6508" s="22">
        <v>2026</v>
      </c>
      <c r="B6508" s="28" t="s">
        <v>237</v>
      </c>
      <c r="C6508" s="28" t="s">
        <v>97</v>
      </c>
      <c r="D6508" s="28" t="s">
        <v>1742</v>
      </c>
      <c r="E6508" s="29" t="s">
        <v>1742</v>
      </c>
      <c r="F6508" s="29" t="s">
        <v>284</v>
      </c>
      <c r="G6508" s="25" t="s">
        <v>8179</v>
      </c>
      <c r="H6508" s="26">
        <v>-0.78600000000000003</v>
      </c>
      <c r="I6508" s="26"/>
      <c r="J6508" s="26" t="s">
        <v>1773</v>
      </c>
      <c r="K6508" s="25" t="s">
        <v>513</v>
      </c>
      <c r="L6508" s="8"/>
    </row>
    <row r="6509" spans="1:12" ht="25.5" x14ac:dyDescent="0.25">
      <c r="A6509" s="22">
        <v>2026</v>
      </c>
      <c r="B6509" s="28" t="s">
        <v>237</v>
      </c>
      <c r="C6509" s="28" t="s">
        <v>97</v>
      </c>
      <c r="D6509" s="28" t="s">
        <v>1742</v>
      </c>
      <c r="E6509" s="29" t="s">
        <v>1742</v>
      </c>
      <c r="F6509" s="29" t="s">
        <v>284</v>
      </c>
      <c r="G6509" s="25" t="s">
        <v>8180</v>
      </c>
      <c r="H6509" s="26">
        <v>-0.51600000000000001</v>
      </c>
      <c r="I6509" s="26"/>
      <c r="J6509" s="26" t="s">
        <v>1773</v>
      </c>
      <c r="K6509" s="25" t="s">
        <v>513</v>
      </c>
      <c r="L6509" s="8"/>
    </row>
    <row r="6510" spans="1:12" ht="25.5" x14ac:dyDescent="0.25">
      <c r="A6510" s="22">
        <v>2026</v>
      </c>
      <c r="B6510" s="28" t="s">
        <v>237</v>
      </c>
      <c r="C6510" s="28" t="s">
        <v>97</v>
      </c>
      <c r="D6510" s="28" t="s">
        <v>1742</v>
      </c>
      <c r="E6510" s="29" t="s">
        <v>1742</v>
      </c>
      <c r="F6510" s="29" t="s">
        <v>284</v>
      </c>
      <c r="G6510" s="25" t="s">
        <v>3497</v>
      </c>
      <c r="H6510" s="26">
        <v>-0.51500000000000001</v>
      </c>
      <c r="I6510" s="26"/>
      <c r="J6510" s="26" t="s">
        <v>1773</v>
      </c>
      <c r="K6510" s="25" t="s">
        <v>513</v>
      </c>
      <c r="L6510" s="8"/>
    </row>
    <row r="6511" spans="1:12" ht="25.5" x14ac:dyDescent="0.25">
      <c r="A6511" s="22">
        <v>2026</v>
      </c>
      <c r="B6511" s="28" t="s">
        <v>237</v>
      </c>
      <c r="C6511" s="28" t="s">
        <v>97</v>
      </c>
      <c r="D6511" s="28" t="s">
        <v>1742</v>
      </c>
      <c r="E6511" s="29" t="s">
        <v>1742</v>
      </c>
      <c r="F6511" s="29" t="s">
        <v>284</v>
      </c>
      <c r="G6511" s="25" t="s">
        <v>8181</v>
      </c>
      <c r="H6511" s="26">
        <v>-0.5</v>
      </c>
      <c r="I6511" s="26"/>
      <c r="J6511" s="26" t="s">
        <v>1773</v>
      </c>
      <c r="K6511" s="25" t="s">
        <v>513</v>
      </c>
      <c r="L6511" s="8"/>
    </row>
    <row r="6512" spans="1:12" ht="25.5" x14ac:dyDescent="0.25">
      <c r="A6512" s="22">
        <v>2026</v>
      </c>
      <c r="B6512" s="28" t="s">
        <v>237</v>
      </c>
      <c r="C6512" s="28" t="s">
        <v>97</v>
      </c>
      <c r="D6512" s="28" t="s">
        <v>1742</v>
      </c>
      <c r="E6512" s="29" t="s">
        <v>1742</v>
      </c>
      <c r="F6512" s="29" t="s">
        <v>284</v>
      </c>
      <c r="G6512" s="25" t="s">
        <v>8182</v>
      </c>
      <c r="H6512" s="26">
        <v>-0.47799999999999998</v>
      </c>
      <c r="I6512" s="26"/>
      <c r="J6512" s="26" t="s">
        <v>1773</v>
      </c>
      <c r="K6512" s="25" t="s">
        <v>513</v>
      </c>
      <c r="L6512" s="8"/>
    </row>
    <row r="6513" spans="1:12" ht="25.5" x14ac:dyDescent="0.25">
      <c r="A6513" s="22">
        <v>2026</v>
      </c>
      <c r="B6513" s="28" t="s">
        <v>237</v>
      </c>
      <c r="C6513" s="28" t="s">
        <v>97</v>
      </c>
      <c r="D6513" s="28" t="s">
        <v>1742</v>
      </c>
      <c r="E6513" s="29" t="s">
        <v>1742</v>
      </c>
      <c r="F6513" s="29" t="s">
        <v>284</v>
      </c>
      <c r="G6513" s="25" t="s">
        <v>8183</v>
      </c>
      <c r="H6513" s="26">
        <v>-0.35399999999999998</v>
      </c>
      <c r="I6513" s="26"/>
      <c r="J6513" s="26" t="s">
        <v>1773</v>
      </c>
      <c r="K6513" s="25" t="s">
        <v>513</v>
      </c>
      <c r="L6513" s="8"/>
    </row>
    <row r="6514" spans="1:12" ht="25.5" x14ac:dyDescent="0.25">
      <c r="A6514" s="22">
        <v>2026</v>
      </c>
      <c r="B6514" s="28" t="s">
        <v>237</v>
      </c>
      <c r="C6514" s="28" t="s">
        <v>97</v>
      </c>
      <c r="D6514" s="28" t="s">
        <v>1743</v>
      </c>
      <c r="E6514" s="29" t="s">
        <v>331</v>
      </c>
      <c r="F6514" s="29" t="s">
        <v>494</v>
      </c>
      <c r="G6514" s="25" t="s">
        <v>8184</v>
      </c>
      <c r="H6514" s="26">
        <v>-1.4808125000000001</v>
      </c>
      <c r="I6514" s="26"/>
      <c r="J6514" s="26" t="s">
        <v>512</v>
      </c>
      <c r="K6514" s="25" t="s">
        <v>513</v>
      </c>
      <c r="L6514" s="8"/>
    </row>
    <row r="6515" spans="1:12" ht="25.5" x14ac:dyDescent="0.25">
      <c r="A6515" s="22">
        <v>2026</v>
      </c>
      <c r="B6515" s="28" t="s">
        <v>237</v>
      </c>
      <c r="C6515" s="28" t="s">
        <v>97</v>
      </c>
      <c r="D6515" s="28" t="s">
        <v>1743</v>
      </c>
      <c r="E6515" s="29" t="s">
        <v>331</v>
      </c>
      <c r="F6515" s="29" t="s">
        <v>494</v>
      </c>
      <c r="G6515" s="25" t="s">
        <v>8185</v>
      </c>
      <c r="H6515" s="26">
        <v>-0.88301249999999998</v>
      </c>
      <c r="I6515" s="26"/>
      <c r="J6515" s="26" t="s">
        <v>512</v>
      </c>
      <c r="K6515" s="25" t="s">
        <v>513</v>
      </c>
      <c r="L6515" s="8"/>
    </row>
    <row r="6516" spans="1:12" ht="25.5" x14ac:dyDescent="0.25">
      <c r="A6516" s="22">
        <v>2026</v>
      </c>
      <c r="B6516" s="28" t="s">
        <v>237</v>
      </c>
      <c r="C6516" s="28" t="s">
        <v>97</v>
      </c>
      <c r="D6516" s="28" t="s">
        <v>1743</v>
      </c>
      <c r="E6516" s="29" t="s">
        <v>331</v>
      </c>
      <c r="F6516" s="29" t="s">
        <v>494</v>
      </c>
      <c r="G6516" s="25" t="s">
        <v>8186</v>
      </c>
      <c r="H6516" s="26">
        <v>-1.0938600000000001</v>
      </c>
      <c r="I6516" s="26"/>
      <c r="J6516" s="26" t="s">
        <v>512</v>
      </c>
      <c r="K6516" s="25" t="s">
        <v>513</v>
      </c>
      <c r="L6516" s="8"/>
    </row>
    <row r="6517" spans="1:12" ht="25.5" x14ac:dyDescent="0.25">
      <c r="A6517" s="22">
        <v>2026</v>
      </c>
      <c r="B6517" s="28" t="s">
        <v>237</v>
      </c>
      <c r="C6517" s="28" t="s">
        <v>97</v>
      </c>
      <c r="D6517" s="28" t="s">
        <v>1743</v>
      </c>
      <c r="E6517" s="29" t="s">
        <v>331</v>
      </c>
      <c r="F6517" s="29" t="s">
        <v>494</v>
      </c>
      <c r="G6517" s="25" t="s">
        <v>8187</v>
      </c>
      <c r="H6517" s="26">
        <v>-2.1427</v>
      </c>
      <c r="I6517" s="26"/>
      <c r="J6517" s="26" t="s">
        <v>512</v>
      </c>
      <c r="K6517" s="25" t="s">
        <v>513</v>
      </c>
      <c r="L6517" s="8"/>
    </row>
    <row r="6518" spans="1:12" ht="25.5" x14ac:dyDescent="0.25">
      <c r="A6518" s="22">
        <v>2026</v>
      </c>
      <c r="B6518" s="28" t="s">
        <v>237</v>
      </c>
      <c r="C6518" s="28" t="s">
        <v>97</v>
      </c>
      <c r="D6518" s="28" t="s">
        <v>1743</v>
      </c>
      <c r="E6518" s="29" t="s">
        <v>331</v>
      </c>
      <c r="F6518" s="29" t="s">
        <v>494</v>
      </c>
      <c r="G6518" s="25" t="s">
        <v>8188</v>
      </c>
      <c r="H6518" s="26">
        <v>-1.0806800000000001</v>
      </c>
      <c r="I6518" s="26"/>
      <c r="J6518" s="26" t="s">
        <v>512</v>
      </c>
      <c r="K6518" s="25" t="s">
        <v>513</v>
      </c>
      <c r="L6518" s="8"/>
    </row>
    <row r="6519" spans="1:12" ht="25.5" x14ac:dyDescent="0.25">
      <c r="A6519" s="22">
        <v>2026</v>
      </c>
      <c r="B6519" s="28" t="s">
        <v>237</v>
      </c>
      <c r="C6519" s="28" t="s">
        <v>97</v>
      </c>
      <c r="D6519" s="28" t="s">
        <v>1743</v>
      </c>
      <c r="E6519" s="29" t="s">
        <v>331</v>
      </c>
      <c r="F6519" s="29" t="s">
        <v>494</v>
      </c>
      <c r="G6519" s="25" t="s">
        <v>8189</v>
      </c>
      <c r="H6519" s="26">
        <v>-2.4232</v>
      </c>
      <c r="I6519" s="26"/>
      <c r="J6519" s="26" t="s">
        <v>512</v>
      </c>
      <c r="K6519" s="25" t="s">
        <v>513</v>
      </c>
      <c r="L6519" s="8"/>
    </row>
    <row r="6520" spans="1:12" ht="25.5" x14ac:dyDescent="0.25">
      <c r="A6520" s="22">
        <v>2026</v>
      </c>
      <c r="B6520" s="28" t="s">
        <v>237</v>
      </c>
      <c r="C6520" s="28" t="s">
        <v>97</v>
      </c>
      <c r="D6520" s="28" t="s">
        <v>1743</v>
      </c>
      <c r="E6520" s="29" t="s">
        <v>331</v>
      </c>
      <c r="F6520" s="29" t="s">
        <v>494</v>
      </c>
      <c r="G6520" s="25" t="s">
        <v>8190</v>
      </c>
      <c r="H6520" s="26">
        <v>-1.5985425545999998</v>
      </c>
      <c r="I6520" s="26"/>
      <c r="J6520" s="26" t="s">
        <v>512</v>
      </c>
      <c r="K6520" s="25" t="s">
        <v>513</v>
      </c>
      <c r="L6520" s="8"/>
    </row>
    <row r="6521" spans="1:12" ht="25.5" x14ac:dyDescent="0.25">
      <c r="A6521" s="22">
        <v>2026</v>
      </c>
      <c r="B6521" s="28" t="s">
        <v>237</v>
      </c>
      <c r="C6521" s="28" t="s">
        <v>97</v>
      </c>
      <c r="D6521" s="28" t="s">
        <v>1743</v>
      </c>
      <c r="E6521" s="29" t="s">
        <v>331</v>
      </c>
      <c r="F6521" s="29" t="s">
        <v>494</v>
      </c>
      <c r="G6521" s="25" t="s">
        <v>8191</v>
      </c>
      <c r="H6521" s="26">
        <v>-1.17832</v>
      </c>
      <c r="I6521" s="26"/>
      <c r="J6521" s="26" t="s">
        <v>512</v>
      </c>
      <c r="K6521" s="25" t="s">
        <v>513</v>
      </c>
      <c r="L6521" s="8"/>
    </row>
    <row r="6522" spans="1:12" ht="25.5" x14ac:dyDescent="0.25">
      <c r="A6522" s="22">
        <v>2026</v>
      </c>
      <c r="B6522" s="28" t="s">
        <v>237</v>
      </c>
      <c r="C6522" s="28" t="s">
        <v>97</v>
      </c>
      <c r="D6522" s="28" t="s">
        <v>1743</v>
      </c>
      <c r="E6522" s="29" t="s">
        <v>331</v>
      </c>
      <c r="F6522" s="29" t="s">
        <v>494</v>
      </c>
      <c r="G6522" s="25" t="s">
        <v>8192</v>
      </c>
      <c r="H6522" s="26">
        <v>-0.58909500000000004</v>
      </c>
      <c r="I6522" s="26"/>
      <c r="J6522" s="26" t="s">
        <v>512</v>
      </c>
      <c r="K6522" s="25" t="s">
        <v>513</v>
      </c>
      <c r="L6522" s="8"/>
    </row>
    <row r="6523" spans="1:12" ht="25.5" x14ac:dyDescent="0.25">
      <c r="A6523" s="22">
        <v>2026</v>
      </c>
      <c r="B6523" s="28" t="s">
        <v>237</v>
      </c>
      <c r="C6523" s="28" t="s">
        <v>97</v>
      </c>
      <c r="D6523" s="28" t="s">
        <v>1743</v>
      </c>
      <c r="E6523" s="29" t="s">
        <v>331</v>
      </c>
      <c r="F6523" s="29" t="s">
        <v>494</v>
      </c>
      <c r="G6523" s="25" t="s">
        <v>8193</v>
      </c>
      <c r="H6523" s="26">
        <v>-0.23602999999999999</v>
      </c>
      <c r="I6523" s="26"/>
      <c r="J6523" s="26" t="s">
        <v>512</v>
      </c>
      <c r="K6523" s="25" t="s">
        <v>513</v>
      </c>
      <c r="L6523" s="8"/>
    </row>
    <row r="6524" spans="1:12" ht="25.5" x14ac:dyDescent="0.25">
      <c r="A6524" s="22">
        <v>2026</v>
      </c>
      <c r="B6524" s="28" t="s">
        <v>237</v>
      </c>
      <c r="C6524" s="28" t="s">
        <v>97</v>
      </c>
      <c r="D6524" s="28" t="s">
        <v>1743</v>
      </c>
      <c r="E6524" s="29" t="s">
        <v>331</v>
      </c>
      <c r="F6524" s="29" t="s">
        <v>494</v>
      </c>
      <c r="G6524" s="25" t="s">
        <v>8194</v>
      </c>
      <c r="H6524" s="26">
        <v>-0.344526</v>
      </c>
      <c r="I6524" s="26"/>
      <c r="J6524" s="26" t="s">
        <v>512</v>
      </c>
      <c r="K6524" s="25" t="s">
        <v>513</v>
      </c>
      <c r="L6524" s="8"/>
    </row>
    <row r="6525" spans="1:12" ht="25.5" x14ac:dyDescent="0.25">
      <c r="A6525" s="22">
        <v>2026</v>
      </c>
      <c r="B6525" s="28" t="s">
        <v>237</v>
      </c>
      <c r="C6525" s="28" t="s">
        <v>97</v>
      </c>
      <c r="D6525" s="28" t="s">
        <v>1743</v>
      </c>
      <c r="E6525" s="29" t="s">
        <v>331</v>
      </c>
      <c r="F6525" s="29" t="s">
        <v>494</v>
      </c>
      <c r="G6525" s="25" t="s">
        <v>8195</v>
      </c>
      <c r="H6525" s="26">
        <v>-0.39743200000000001</v>
      </c>
      <c r="I6525" s="26"/>
      <c r="J6525" s="26" t="s">
        <v>512</v>
      </c>
      <c r="K6525" s="25" t="s">
        <v>513</v>
      </c>
      <c r="L6525" s="8"/>
    </row>
    <row r="6526" spans="1:12" ht="25.5" x14ac:dyDescent="0.25">
      <c r="A6526" s="22">
        <v>2026</v>
      </c>
      <c r="B6526" s="28" t="s">
        <v>237</v>
      </c>
      <c r="C6526" s="28" t="s">
        <v>97</v>
      </c>
      <c r="D6526" s="28" t="s">
        <v>1743</v>
      </c>
      <c r="E6526" s="29" t="s">
        <v>331</v>
      </c>
      <c r="F6526" s="29" t="s">
        <v>494</v>
      </c>
      <c r="G6526" s="25" t="s">
        <v>8196</v>
      </c>
      <c r="H6526" s="26">
        <v>-0.42157800000000001</v>
      </c>
      <c r="I6526" s="26"/>
      <c r="J6526" s="26" t="s">
        <v>512</v>
      </c>
      <c r="K6526" s="25" t="s">
        <v>513</v>
      </c>
      <c r="L6526" s="8"/>
    </row>
    <row r="6527" spans="1:12" ht="25.5" x14ac:dyDescent="0.25">
      <c r="A6527" s="22">
        <v>2026</v>
      </c>
      <c r="B6527" s="28" t="s">
        <v>237</v>
      </c>
      <c r="C6527" s="28" t="s">
        <v>97</v>
      </c>
      <c r="D6527" s="28" t="s">
        <v>545</v>
      </c>
      <c r="E6527" s="29" t="s">
        <v>583</v>
      </c>
      <c r="F6527" s="29" t="s">
        <v>284</v>
      </c>
      <c r="G6527" s="25" t="s">
        <v>8197</v>
      </c>
      <c r="H6527" s="26">
        <v>-20.9605</v>
      </c>
      <c r="I6527" s="26"/>
      <c r="J6527" s="26" t="s">
        <v>512</v>
      </c>
      <c r="K6527" s="25" t="s">
        <v>513</v>
      </c>
      <c r="L6527" s="8"/>
    </row>
    <row r="6528" spans="1:12" ht="25.5" x14ac:dyDescent="0.25">
      <c r="A6528" s="22">
        <v>2026</v>
      </c>
      <c r="B6528" s="28" t="s">
        <v>237</v>
      </c>
      <c r="C6528" s="28" t="s">
        <v>97</v>
      </c>
      <c r="D6528" s="28" t="s">
        <v>545</v>
      </c>
      <c r="E6528" s="29" t="s">
        <v>583</v>
      </c>
      <c r="F6528" s="29" t="s">
        <v>284</v>
      </c>
      <c r="G6528" s="25" t="s">
        <v>8198</v>
      </c>
      <c r="H6528" s="26">
        <v>-2.6450450000000001</v>
      </c>
      <c r="I6528" s="26"/>
      <c r="J6528" s="26" t="s">
        <v>512</v>
      </c>
      <c r="K6528" s="25" t="s">
        <v>513</v>
      </c>
      <c r="L6528" s="8"/>
    </row>
    <row r="6529" spans="1:12" ht="25.5" x14ac:dyDescent="0.25">
      <c r="A6529" s="22">
        <v>2026</v>
      </c>
      <c r="B6529" s="28" t="s">
        <v>237</v>
      </c>
      <c r="C6529" s="28" t="s">
        <v>97</v>
      </c>
      <c r="D6529" s="28" t="s">
        <v>545</v>
      </c>
      <c r="E6529" s="29" t="s">
        <v>583</v>
      </c>
      <c r="F6529" s="29" t="s">
        <v>284</v>
      </c>
      <c r="G6529" s="25" t="s">
        <v>8199</v>
      </c>
      <c r="H6529" s="26">
        <v>-7.6665000000000001</v>
      </c>
      <c r="I6529" s="26"/>
      <c r="J6529" s="26" t="s">
        <v>512</v>
      </c>
      <c r="K6529" s="25" t="s">
        <v>513</v>
      </c>
      <c r="L6529" s="8"/>
    </row>
    <row r="6530" spans="1:12" ht="25.5" x14ac:dyDescent="0.25">
      <c r="A6530" s="22">
        <v>2026</v>
      </c>
      <c r="B6530" s="28" t="s">
        <v>237</v>
      </c>
      <c r="C6530" s="28" t="s">
        <v>97</v>
      </c>
      <c r="D6530" s="28" t="s">
        <v>545</v>
      </c>
      <c r="E6530" s="29" t="s">
        <v>583</v>
      </c>
      <c r="F6530" s="29" t="s">
        <v>284</v>
      </c>
      <c r="G6530" s="25" t="s">
        <v>8200</v>
      </c>
      <c r="H6530" s="26">
        <v>-1.7145289888999999</v>
      </c>
      <c r="I6530" s="26"/>
      <c r="J6530" s="26" t="s">
        <v>512</v>
      </c>
      <c r="K6530" s="25" t="s">
        <v>513</v>
      </c>
      <c r="L6530" s="8"/>
    </row>
    <row r="6531" spans="1:12" ht="25.5" x14ac:dyDescent="0.25">
      <c r="A6531" s="22">
        <v>2026</v>
      </c>
      <c r="B6531" s="28" t="s">
        <v>237</v>
      </c>
      <c r="C6531" s="28" t="s">
        <v>97</v>
      </c>
      <c r="D6531" s="28" t="s">
        <v>545</v>
      </c>
      <c r="E6531" s="29" t="s">
        <v>583</v>
      </c>
      <c r="F6531" s="29" t="s">
        <v>284</v>
      </c>
      <c r="G6531" s="25" t="s">
        <v>8201</v>
      </c>
      <c r="H6531" s="26">
        <v>-4</v>
      </c>
      <c r="I6531" s="26"/>
      <c r="J6531" s="26" t="s">
        <v>512</v>
      </c>
      <c r="K6531" s="25" t="s">
        <v>513</v>
      </c>
      <c r="L6531" s="8"/>
    </row>
    <row r="6532" spans="1:12" ht="25.5" x14ac:dyDescent="0.25">
      <c r="A6532" s="22">
        <v>2026</v>
      </c>
      <c r="B6532" s="28" t="s">
        <v>237</v>
      </c>
      <c r="C6532" s="28" t="s">
        <v>97</v>
      </c>
      <c r="D6532" s="28" t="s">
        <v>545</v>
      </c>
      <c r="E6532" s="29" t="s">
        <v>583</v>
      </c>
      <c r="F6532" s="29" t="s">
        <v>284</v>
      </c>
      <c r="G6532" s="25" t="s">
        <v>8202</v>
      </c>
      <c r="H6532" s="26">
        <v>-0.58763699699999994</v>
      </c>
      <c r="I6532" s="26"/>
      <c r="J6532" s="26" t="s">
        <v>512</v>
      </c>
      <c r="K6532" s="25" t="s">
        <v>513</v>
      </c>
      <c r="L6532" s="8"/>
    </row>
    <row r="6533" spans="1:12" ht="25.5" x14ac:dyDescent="0.25">
      <c r="A6533" s="22">
        <v>2026</v>
      </c>
      <c r="B6533" s="28" t="s">
        <v>237</v>
      </c>
      <c r="C6533" s="28" t="s">
        <v>97</v>
      </c>
      <c r="D6533" s="28" t="s">
        <v>545</v>
      </c>
      <c r="E6533" s="29" t="s">
        <v>583</v>
      </c>
      <c r="F6533" s="29" t="s">
        <v>284</v>
      </c>
      <c r="G6533" s="25" t="s">
        <v>8203</v>
      </c>
      <c r="H6533" s="26">
        <v>-0.97694749999999997</v>
      </c>
      <c r="I6533" s="26"/>
      <c r="J6533" s="26" t="s">
        <v>512</v>
      </c>
      <c r="K6533" s="25" t="s">
        <v>513</v>
      </c>
      <c r="L6533" s="8"/>
    </row>
    <row r="6534" spans="1:12" ht="25.5" x14ac:dyDescent="0.25">
      <c r="A6534" s="22">
        <v>2026</v>
      </c>
      <c r="B6534" s="28" t="s">
        <v>237</v>
      </c>
      <c r="C6534" s="28" t="s">
        <v>97</v>
      </c>
      <c r="D6534" s="28" t="s">
        <v>545</v>
      </c>
      <c r="E6534" s="29" t="s">
        <v>583</v>
      </c>
      <c r="F6534" s="29" t="s">
        <v>284</v>
      </c>
      <c r="G6534" s="25" t="s">
        <v>8204</v>
      </c>
      <c r="H6534" s="26">
        <v>-0.74073844499999997</v>
      </c>
      <c r="I6534" s="26"/>
      <c r="J6534" s="26" t="s">
        <v>512</v>
      </c>
      <c r="K6534" s="25" t="s">
        <v>513</v>
      </c>
      <c r="L6534" s="8"/>
    </row>
    <row r="6535" spans="1:12" ht="25.5" x14ac:dyDescent="0.25">
      <c r="A6535" s="22">
        <v>2026</v>
      </c>
      <c r="B6535" s="28" t="s">
        <v>237</v>
      </c>
      <c r="C6535" s="28" t="s">
        <v>97</v>
      </c>
      <c r="D6535" s="28" t="s">
        <v>545</v>
      </c>
      <c r="E6535" s="29" t="s">
        <v>583</v>
      </c>
      <c r="F6535" s="29" t="s">
        <v>284</v>
      </c>
      <c r="G6535" s="25" t="s">
        <v>8205</v>
      </c>
      <c r="H6535" s="26">
        <v>-0.70294077183999992</v>
      </c>
      <c r="I6535" s="26"/>
      <c r="J6535" s="26" t="s">
        <v>512</v>
      </c>
      <c r="K6535" s="25" t="s">
        <v>513</v>
      </c>
      <c r="L6535" s="8"/>
    </row>
    <row r="6536" spans="1:12" ht="25.5" x14ac:dyDescent="0.25">
      <c r="A6536" s="22">
        <v>2026</v>
      </c>
      <c r="B6536" s="28" t="s">
        <v>237</v>
      </c>
      <c r="C6536" s="28" t="s">
        <v>97</v>
      </c>
      <c r="D6536" s="28" t="s">
        <v>545</v>
      </c>
      <c r="E6536" s="29" t="s">
        <v>583</v>
      </c>
      <c r="F6536" s="29" t="s">
        <v>284</v>
      </c>
      <c r="G6536" s="25" t="s">
        <v>8206</v>
      </c>
      <c r="H6536" s="26">
        <v>-4.6804250999999999</v>
      </c>
      <c r="I6536" s="26"/>
      <c r="J6536" s="26" t="s">
        <v>512</v>
      </c>
      <c r="K6536" s="25" t="s">
        <v>513</v>
      </c>
      <c r="L6536" s="8"/>
    </row>
    <row r="6537" spans="1:12" ht="25.5" x14ac:dyDescent="0.25">
      <c r="A6537" s="22">
        <v>2026</v>
      </c>
      <c r="B6537" s="28" t="s">
        <v>237</v>
      </c>
      <c r="C6537" s="28" t="s">
        <v>97</v>
      </c>
      <c r="D6537" s="28" t="s">
        <v>545</v>
      </c>
      <c r="E6537" s="29" t="s">
        <v>583</v>
      </c>
      <c r="F6537" s="29" t="s">
        <v>284</v>
      </c>
      <c r="G6537" s="25" t="s">
        <v>8207</v>
      </c>
      <c r="H6537" s="26">
        <v>-0.50892858434999999</v>
      </c>
      <c r="I6537" s="26"/>
      <c r="J6537" s="26" t="s">
        <v>512</v>
      </c>
      <c r="K6537" s="25" t="s">
        <v>513</v>
      </c>
      <c r="L6537" s="8"/>
    </row>
    <row r="6538" spans="1:12" ht="25.5" x14ac:dyDescent="0.25">
      <c r="A6538" s="22">
        <v>2026</v>
      </c>
      <c r="B6538" s="28" t="s">
        <v>237</v>
      </c>
      <c r="C6538" s="28" t="s">
        <v>97</v>
      </c>
      <c r="D6538" s="28" t="s">
        <v>545</v>
      </c>
      <c r="E6538" s="29" t="s">
        <v>583</v>
      </c>
      <c r="F6538" s="29" t="s">
        <v>284</v>
      </c>
      <c r="G6538" s="25" t="s">
        <v>8208</v>
      </c>
      <c r="H6538" s="26">
        <v>-0.21832872479999998</v>
      </c>
      <c r="I6538" s="26"/>
      <c r="J6538" s="26" t="s">
        <v>512</v>
      </c>
      <c r="K6538" s="25" t="s">
        <v>513</v>
      </c>
      <c r="L6538" s="8"/>
    </row>
    <row r="6539" spans="1:12" ht="25.5" x14ac:dyDescent="0.25">
      <c r="A6539" s="22">
        <v>2026</v>
      </c>
      <c r="B6539" s="28" t="s">
        <v>237</v>
      </c>
      <c r="C6539" s="28" t="s">
        <v>97</v>
      </c>
      <c r="D6539" s="28" t="s">
        <v>545</v>
      </c>
      <c r="E6539" s="29" t="s">
        <v>583</v>
      </c>
      <c r="F6539" s="29" t="s">
        <v>284</v>
      </c>
      <c r="G6539" s="25" t="s">
        <v>8209</v>
      </c>
      <c r="H6539" s="26">
        <v>-5.3499093179999999</v>
      </c>
      <c r="I6539" s="26"/>
      <c r="J6539" s="26" t="s">
        <v>512</v>
      </c>
      <c r="K6539" s="25" t="s">
        <v>513</v>
      </c>
      <c r="L6539" s="8"/>
    </row>
    <row r="6540" spans="1:12" ht="25.5" x14ac:dyDescent="0.25">
      <c r="A6540" s="22">
        <v>2026</v>
      </c>
      <c r="B6540" s="28" t="s">
        <v>237</v>
      </c>
      <c r="C6540" s="28" t="s">
        <v>97</v>
      </c>
      <c r="D6540" s="28" t="s">
        <v>545</v>
      </c>
      <c r="E6540" s="29" t="s">
        <v>583</v>
      </c>
      <c r="F6540" s="29" t="s">
        <v>284</v>
      </c>
      <c r="G6540" s="25" t="s">
        <v>8210</v>
      </c>
      <c r="H6540" s="26">
        <v>-0.45462714679999999</v>
      </c>
      <c r="I6540" s="26"/>
      <c r="J6540" s="26" t="s">
        <v>512</v>
      </c>
      <c r="K6540" s="25" t="s">
        <v>513</v>
      </c>
      <c r="L6540" s="8"/>
    </row>
    <row r="6541" spans="1:12" ht="25.5" x14ac:dyDescent="0.25">
      <c r="A6541" s="22">
        <v>2026</v>
      </c>
      <c r="B6541" s="28" t="s">
        <v>237</v>
      </c>
      <c r="C6541" s="28" t="s">
        <v>97</v>
      </c>
      <c r="D6541" s="28" t="s">
        <v>545</v>
      </c>
      <c r="E6541" s="29" t="s">
        <v>583</v>
      </c>
      <c r="F6541" s="29" t="s">
        <v>284</v>
      </c>
      <c r="G6541" s="25" t="s">
        <v>8211</v>
      </c>
      <c r="H6541" s="26">
        <v>-2.6051322000000003</v>
      </c>
      <c r="I6541" s="26"/>
      <c r="J6541" s="26" t="s">
        <v>512</v>
      </c>
      <c r="K6541" s="25" t="s">
        <v>513</v>
      </c>
      <c r="L6541" s="8"/>
    </row>
    <row r="6542" spans="1:12" ht="25.5" x14ac:dyDescent="0.25">
      <c r="A6542" s="22">
        <v>2026</v>
      </c>
      <c r="B6542" s="28" t="s">
        <v>237</v>
      </c>
      <c r="C6542" s="28" t="s">
        <v>97</v>
      </c>
      <c r="D6542" s="28" t="s">
        <v>545</v>
      </c>
      <c r="E6542" s="29" t="s">
        <v>583</v>
      </c>
      <c r="F6542" s="29" t="s">
        <v>284</v>
      </c>
      <c r="G6542" s="25" t="s">
        <v>8212</v>
      </c>
      <c r="H6542" s="26">
        <v>-1.2405695400000001</v>
      </c>
      <c r="I6542" s="26"/>
      <c r="J6542" s="26" t="s">
        <v>512</v>
      </c>
      <c r="K6542" s="25" t="s">
        <v>513</v>
      </c>
      <c r="L6542" s="8"/>
    </row>
    <row r="6543" spans="1:12" ht="25.5" x14ac:dyDescent="0.25">
      <c r="A6543" s="22">
        <v>2026</v>
      </c>
      <c r="B6543" s="28" t="s">
        <v>237</v>
      </c>
      <c r="C6543" s="28" t="s">
        <v>97</v>
      </c>
      <c r="D6543" s="28" t="s">
        <v>545</v>
      </c>
      <c r="E6543" s="29" t="s">
        <v>583</v>
      </c>
      <c r="F6543" s="29" t="s">
        <v>284</v>
      </c>
      <c r="G6543" s="25" t="s">
        <v>8213</v>
      </c>
      <c r="H6543" s="26">
        <v>-0.77400000000000002</v>
      </c>
      <c r="I6543" s="26"/>
      <c r="J6543" s="26" t="s">
        <v>512</v>
      </c>
      <c r="K6543" s="25" t="s">
        <v>513</v>
      </c>
      <c r="L6543" s="8"/>
    </row>
    <row r="6544" spans="1:12" ht="25.5" x14ac:dyDescent="0.25">
      <c r="A6544" s="22">
        <v>2026</v>
      </c>
      <c r="B6544" s="28" t="s">
        <v>237</v>
      </c>
      <c r="C6544" s="28" t="s">
        <v>97</v>
      </c>
      <c r="D6544" s="28" t="s">
        <v>545</v>
      </c>
      <c r="E6544" s="29" t="s">
        <v>583</v>
      </c>
      <c r="F6544" s="29" t="s">
        <v>284</v>
      </c>
      <c r="G6544" s="25" t="s">
        <v>8214</v>
      </c>
      <c r="H6544" s="26">
        <v>-2.3729775000000002</v>
      </c>
      <c r="I6544" s="26"/>
      <c r="J6544" s="26" t="s">
        <v>512</v>
      </c>
      <c r="K6544" s="25" t="s">
        <v>513</v>
      </c>
      <c r="L6544" s="8"/>
    </row>
    <row r="6545" spans="1:12" ht="25.5" x14ac:dyDescent="0.25">
      <c r="A6545" s="22">
        <v>2026</v>
      </c>
      <c r="B6545" s="28" t="s">
        <v>237</v>
      </c>
      <c r="C6545" s="28" t="s">
        <v>97</v>
      </c>
      <c r="D6545" s="28" t="s">
        <v>545</v>
      </c>
      <c r="E6545" s="29" t="s">
        <v>583</v>
      </c>
      <c r="F6545" s="29" t="s">
        <v>284</v>
      </c>
      <c r="G6545" s="25" t="s">
        <v>8215</v>
      </c>
      <c r="H6545" s="26">
        <v>-0.40215840000000003</v>
      </c>
      <c r="I6545" s="26"/>
      <c r="J6545" s="26" t="s">
        <v>512</v>
      </c>
      <c r="K6545" s="25" t="s">
        <v>513</v>
      </c>
      <c r="L6545" s="8"/>
    </row>
    <row r="6546" spans="1:12" ht="25.5" x14ac:dyDescent="0.25">
      <c r="A6546" s="22">
        <v>2026</v>
      </c>
      <c r="B6546" s="28" t="s">
        <v>237</v>
      </c>
      <c r="C6546" s="28" t="s">
        <v>97</v>
      </c>
      <c r="D6546" s="28" t="s">
        <v>545</v>
      </c>
      <c r="E6546" s="29" t="s">
        <v>583</v>
      </c>
      <c r="F6546" s="29" t="s">
        <v>284</v>
      </c>
      <c r="G6546" s="25" t="s">
        <v>8216</v>
      </c>
      <c r="H6546" s="26">
        <v>-0.34632000000000002</v>
      </c>
      <c r="I6546" s="26"/>
      <c r="J6546" s="26" t="s">
        <v>512</v>
      </c>
      <c r="K6546" s="25" t="s">
        <v>513</v>
      </c>
      <c r="L6546" s="8"/>
    </row>
    <row r="6547" spans="1:12" ht="25.5" x14ac:dyDescent="0.25">
      <c r="A6547" s="22">
        <v>2026</v>
      </c>
      <c r="B6547" s="28" t="s">
        <v>237</v>
      </c>
      <c r="C6547" s="28" t="s">
        <v>97</v>
      </c>
      <c r="D6547" s="28" t="s">
        <v>545</v>
      </c>
      <c r="E6547" s="29" t="s">
        <v>583</v>
      </c>
      <c r="F6547" s="29" t="s">
        <v>284</v>
      </c>
      <c r="G6547" s="25" t="s">
        <v>8217</v>
      </c>
      <c r="H6547" s="26">
        <v>-1.1639999999999999</v>
      </c>
      <c r="I6547" s="26"/>
      <c r="J6547" s="26" t="s">
        <v>512</v>
      </c>
      <c r="K6547" s="25" t="s">
        <v>513</v>
      </c>
      <c r="L6547" s="8"/>
    </row>
    <row r="6548" spans="1:12" ht="25.5" x14ac:dyDescent="0.25">
      <c r="A6548" s="22">
        <v>2026</v>
      </c>
      <c r="B6548" s="28" t="s">
        <v>237</v>
      </c>
      <c r="C6548" s="28" t="s">
        <v>97</v>
      </c>
      <c r="D6548" s="28" t="s">
        <v>1744</v>
      </c>
      <c r="E6548" s="29" t="s">
        <v>1776</v>
      </c>
      <c r="F6548" s="29" t="s">
        <v>284</v>
      </c>
      <c r="G6548" s="25" t="s">
        <v>8218</v>
      </c>
      <c r="H6548" s="26">
        <v>-0.436</v>
      </c>
      <c r="I6548" s="26"/>
      <c r="J6548" s="26" t="s">
        <v>514</v>
      </c>
      <c r="K6548" s="25" t="s">
        <v>513</v>
      </c>
      <c r="L6548" s="8"/>
    </row>
    <row r="6549" spans="1:12" ht="25.5" x14ac:dyDescent="0.25">
      <c r="A6549" s="22">
        <v>2026</v>
      </c>
      <c r="B6549" s="28" t="s">
        <v>237</v>
      </c>
      <c r="C6549" s="28" t="s">
        <v>97</v>
      </c>
      <c r="D6549" s="28" t="s">
        <v>1744</v>
      </c>
      <c r="E6549" s="29" t="s">
        <v>1776</v>
      </c>
      <c r="F6549" s="29" t="s">
        <v>284</v>
      </c>
      <c r="G6549" s="25" t="s">
        <v>8219</v>
      </c>
      <c r="H6549" s="26">
        <v>-0.437</v>
      </c>
      <c r="I6549" s="26"/>
      <c r="J6549" s="26" t="s">
        <v>514</v>
      </c>
      <c r="K6549" s="25" t="s">
        <v>513</v>
      </c>
      <c r="L6549" s="8"/>
    </row>
    <row r="6550" spans="1:12" ht="25.5" x14ac:dyDescent="0.25">
      <c r="A6550" s="22">
        <v>2026</v>
      </c>
      <c r="B6550" s="28" t="s">
        <v>237</v>
      </c>
      <c r="C6550" s="28" t="s">
        <v>97</v>
      </c>
      <c r="D6550" s="28" t="s">
        <v>1744</v>
      </c>
      <c r="E6550" s="29" t="s">
        <v>1776</v>
      </c>
      <c r="F6550" s="29" t="s">
        <v>284</v>
      </c>
      <c r="G6550" s="25" t="s">
        <v>8220</v>
      </c>
      <c r="H6550" s="26">
        <v>-0.42499999999999999</v>
      </c>
      <c r="I6550" s="26"/>
      <c r="J6550" s="26" t="s">
        <v>514</v>
      </c>
      <c r="K6550" s="25" t="s">
        <v>513</v>
      </c>
      <c r="L6550" s="8"/>
    </row>
    <row r="6551" spans="1:12" ht="25.5" x14ac:dyDescent="0.25">
      <c r="A6551" s="22">
        <v>2026</v>
      </c>
      <c r="B6551" s="28" t="s">
        <v>237</v>
      </c>
      <c r="C6551" s="28" t="s">
        <v>97</v>
      </c>
      <c r="D6551" s="28" t="s">
        <v>1744</v>
      </c>
      <c r="E6551" s="29" t="s">
        <v>1776</v>
      </c>
      <c r="F6551" s="29" t="s">
        <v>284</v>
      </c>
      <c r="G6551" s="25" t="s">
        <v>8221</v>
      </c>
      <c r="H6551" s="26">
        <v>-0.42105749999999997</v>
      </c>
      <c r="I6551" s="26"/>
      <c r="J6551" s="26" t="s">
        <v>514</v>
      </c>
      <c r="K6551" s="25" t="s">
        <v>513</v>
      </c>
      <c r="L6551" s="8"/>
    </row>
    <row r="6552" spans="1:12" ht="25.5" x14ac:dyDescent="0.25">
      <c r="A6552" s="22">
        <v>2026</v>
      </c>
      <c r="B6552" s="28" t="s">
        <v>237</v>
      </c>
      <c r="C6552" s="28" t="s">
        <v>97</v>
      </c>
      <c r="D6552" s="28" t="s">
        <v>1744</v>
      </c>
      <c r="E6552" s="29" t="s">
        <v>1776</v>
      </c>
      <c r="F6552" s="29" t="s">
        <v>284</v>
      </c>
      <c r="G6552" s="25" t="s">
        <v>8222</v>
      </c>
      <c r="H6552" s="26">
        <v>-0.25114619999999999</v>
      </c>
      <c r="I6552" s="26"/>
      <c r="J6552" s="26" t="s">
        <v>514</v>
      </c>
      <c r="K6552" s="25" t="s">
        <v>513</v>
      </c>
      <c r="L6552" s="8"/>
    </row>
    <row r="6553" spans="1:12" ht="25.5" x14ac:dyDescent="0.25">
      <c r="A6553" s="22">
        <v>2026</v>
      </c>
      <c r="B6553" s="28" t="s">
        <v>237</v>
      </c>
      <c r="C6553" s="28" t="s">
        <v>97</v>
      </c>
      <c r="D6553" s="28" t="s">
        <v>1744</v>
      </c>
      <c r="E6553" s="29" t="s">
        <v>1776</v>
      </c>
      <c r="F6553" s="29" t="s">
        <v>284</v>
      </c>
      <c r="G6553" s="25" t="s">
        <v>8223</v>
      </c>
      <c r="H6553" s="26">
        <v>-0.41999700000000001</v>
      </c>
      <c r="I6553" s="26"/>
      <c r="J6553" s="26" t="s">
        <v>514</v>
      </c>
      <c r="K6553" s="25" t="s">
        <v>513</v>
      </c>
      <c r="L6553" s="8"/>
    </row>
    <row r="6554" spans="1:12" ht="25.5" x14ac:dyDescent="0.25">
      <c r="A6554" s="22">
        <v>2026</v>
      </c>
      <c r="B6554" s="28" t="s">
        <v>237</v>
      </c>
      <c r="C6554" s="28" t="s">
        <v>97</v>
      </c>
      <c r="D6554" s="28" t="s">
        <v>1744</v>
      </c>
      <c r="E6554" s="29" t="s">
        <v>1776</v>
      </c>
      <c r="F6554" s="29" t="s">
        <v>284</v>
      </c>
      <c r="G6554" s="25" t="s">
        <v>8224</v>
      </c>
      <c r="H6554" s="26">
        <v>-0.17423889000000001</v>
      </c>
      <c r="I6554" s="26"/>
      <c r="J6554" s="26" t="s">
        <v>514</v>
      </c>
      <c r="K6554" s="25" t="s">
        <v>513</v>
      </c>
      <c r="L6554" s="8"/>
    </row>
    <row r="6555" spans="1:12" ht="25.5" x14ac:dyDescent="0.25">
      <c r="A6555" s="22">
        <v>2026</v>
      </c>
      <c r="B6555" s="28" t="s">
        <v>237</v>
      </c>
      <c r="C6555" s="28" t="s">
        <v>97</v>
      </c>
      <c r="D6555" s="28" t="s">
        <v>1744</v>
      </c>
      <c r="E6555" s="29" t="s">
        <v>1776</v>
      </c>
      <c r="F6555" s="29" t="s">
        <v>284</v>
      </c>
      <c r="G6555" s="25" t="s">
        <v>8225</v>
      </c>
      <c r="H6555" s="26">
        <v>-0.59799975000000005</v>
      </c>
      <c r="I6555" s="26"/>
      <c r="J6555" s="26" t="s">
        <v>514</v>
      </c>
      <c r="K6555" s="25" t="s">
        <v>513</v>
      </c>
      <c r="L6555" s="8"/>
    </row>
    <row r="6556" spans="1:12" ht="25.5" x14ac:dyDescent="0.25">
      <c r="A6556" s="22">
        <v>2026</v>
      </c>
      <c r="B6556" s="28" t="s">
        <v>237</v>
      </c>
      <c r="C6556" s="28" t="s">
        <v>97</v>
      </c>
      <c r="D6556" s="28" t="s">
        <v>1744</v>
      </c>
      <c r="E6556" s="29" t="s">
        <v>1776</v>
      </c>
      <c r="F6556" s="29" t="s">
        <v>284</v>
      </c>
      <c r="G6556" s="25" t="s">
        <v>8226</v>
      </c>
      <c r="H6556" s="26">
        <v>-0.75</v>
      </c>
      <c r="I6556" s="26"/>
      <c r="J6556" s="26" t="s">
        <v>514</v>
      </c>
      <c r="K6556" s="25" t="s">
        <v>513</v>
      </c>
      <c r="L6556" s="8"/>
    </row>
    <row r="6557" spans="1:12" ht="25.5" x14ac:dyDescent="0.25">
      <c r="A6557" s="22">
        <v>2026</v>
      </c>
      <c r="B6557" s="28" t="s">
        <v>237</v>
      </c>
      <c r="C6557" s="28" t="s">
        <v>97</v>
      </c>
      <c r="D6557" s="28" t="s">
        <v>1744</v>
      </c>
      <c r="E6557" s="29" t="s">
        <v>1776</v>
      </c>
      <c r="F6557" s="29" t="s">
        <v>284</v>
      </c>
      <c r="G6557" s="25" t="s">
        <v>8227</v>
      </c>
      <c r="H6557" s="26">
        <v>-0.53858024999999998</v>
      </c>
      <c r="I6557" s="26"/>
      <c r="J6557" s="26" t="s">
        <v>514</v>
      </c>
      <c r="K6557" s="25" t="s">
        <v>513</v>
      </c>
      <c r="L6557" s="8"/>
    </row>
    <row r="6558" spans="1:12" ht="25.5" x14ac:dyDescent="0.25">
      <c r="A6558" s="22">
        <v>2026</v>
      </c>
      <c r="B6558" s="28" t="s">
        <v>237</v>
      </c>
      <c r="C6558" s="28" t="s">
        <v>97</v>
      </c>
      <c r="D6558" s="28" t="s">
        <v>1744</v>
      </c>
      <c r="E6558" s="29" t="s">
        <v>1776</v>
      </c>
      <c r="F6558" s="29" t="s">
        <v>284</v>
      </c>
      <c r="G6558" s="25" t="s">
        <v>8228</v>
      </c>
      <c r="H6558" s="26">
        <v>-0.29242871154</v>
      </c>
      <c r="I6558" s="26"/>
      <c r="J6558" s="26" t="s">
        <v>514</v>
      </c>
      <c r="K6558" s="25" t="s">
        <v>513</v>
      </c>
      <c r="L6558" s="8"/>
    </row>
    <row r="6559" spans="1:12" ht="25.5" x14ac:dyDescent="0.25">
      <c r="A6559" s="22">
        <v>2026</v>
      </c>
      <c r="B6559" s="28" t="s">
        <v>237</v>
      </c>
      <c r="C6559" s="28" t="s">
        <v>97</v>
      </c>
      <c r="D6559" s="28" t="s">
        <v>1745</v>
      </c>
      <c r="E6559" s="29" t="s">
        <v>1777</v>
      </c>
      <c r="F6559" s="29" t="s">
        <v>284</v>
      </c>
      <c r="G6559" s="25" t="s">
        <v>8229</v>
      </c>
      <c r="H6559" s="26">
        <v>-0.1212</v>
      </c>
      <c r="I6559" s="26"/>
      <c r="J6559" s="26" t="s">
        <v>512</v>
      </c>
      <c r="K6559" s="25" t="s">
        <v>513</v>
      </c>
      <c r="L6559" s="8"/>
    </row>
    <row r="6560" spans="1:12" ht="25.5" x14ac:dyDescent="0.25">
      <c r="A6560" s="22">
        <v>2026</v>
      </c>
      <c r="B6560" s="28" t="s">
        <v>237</v>
      </c>
      <c r="C6560" s="28" t="s">
        <v>97</v>
      </c>
      <c r="D6560" s="28" t="s">
        <v>1745</v>
      </c>
      <c r="E6560" s="29" t="s">
        <v>1777</v>
      </c>
      <c r="F6560" s="29" t="s">
        <v>284</v>
      </c>
      <c r="G6560" s="25" t="s">
        <v>8230</v>
      </c>
      <c r="H6560" s="26">
        <v>-6.0600000000000001E-2</v>
      </c>
      <c r="I6560" s="26"/>
      <c r="J6560" s="26" t="s">
        <v>512</v>
      </c>
      <c r="K6560" s="25" t="s">
        <v>513</v>
      </c>
      <c r="L6560" s="8"/>
    </row>
    <row r="6561" spans="1:12" ht="25.5" x14ac:dyDescent="0.25">
      <c r="A6561" s="22">
        <v>2026</v>
      </c>
      <c r="B6561" s="28" t="s">
        <v>237</v>
      </c>
      <c r="C6561" s="28" t="s">
        <v>97</v>
      </c>
      <c r="D6561" s="28" t="s">
        <v>1745</v>
      </c>
      <c r="E6561" s="29" t="s">
        <v>1777</v>
      </c>
      <c r="F6561" s="29" t="s">
        <v>284</v>
      </c>
      <c r="G6561" s="25" t="s">
        <v>8231</v>
      </c>
      <c r="H6561" s="26">
        <v>-6.0400000000000002E-2</v>
      </c>
      <c r="I6561" s="26"/>
      <c r="J6561" s="26" t="s">
        <v>512</v>
      </c>
      <c r="K6561" s="25" t="s">
        <v>513</v>
      </c>
      <c r="L6561" s="8"/>
    </row>
    <row r="6562" spans="1:12" ht="25.5" x14ac:dyDescent="0.25">
      <c r="A6562" s="22">
        <v>2026</v>
      </c>
      <c r="B6562" s="28" t="s">
        <v>237</v>
      </c>
      <c r="C6562" s="28" t="s">
        <v>97</v>
      </c>
      <c r="D6562" s="28" t="s">
        <v>1746</v>
      </c>
      <c r="E6562" s="29" t="s">
        <v>1778</v>
      </c>
      <c r="F6562" s="29" t="s">
        <v>1274</v>
      </c>
      <c r="G6562" s="25" t="s">
        <v>8232</v>
      </c>
      <c r="H6562" s="26">
        <v>-0.79792202400000001</v>
      </c>
      <c r="I6562" s="26"/>
      <c r="J6562" s="26" t="s">
        <v>514</v>
      </c>
      <c r="K6562" s="25" t="s">
        <v>513</v>
      </c>
      <c r="L6562" s="8"/>
    </row>
    <row r="6563" spans="1:12" ht="25.5" x14ac:dyDescent="0.25">
      <c r="A6563" s="22">
        <v>2026</v>
      </c>
      <c r="B6563" s="28" t="s">
        <v>237</v>
      </c>
      <c r="C6563" s="28" t="s">
        <v>97</v>
      </c>
      <c r="D6563" s="28" t="s">
        <v>1746</v>
      </c>
      <c r="E6563" s="29" t="s">
        <v>1778</v>
      </c>
      <c r="F6563" s="29" t="s">
        <v>1274</v>
      </c>
      <c r="G6563" s="25" t="s">
        <v>8233</v>
      </c>
      <c r="H6563" s="26">
        <v>-0.80693757880000005</v>
      </c>
      <c r="I6563" s="26"/>
      <c r="J6563" s="26" t="s">
        <v>514</v>
      </c>
      <c r="K6563" s="25" t="s">
        <v>513</v>
      </c>
      <c r="L6563" s="8"/>
    </row>
    <row r="6564" spans="1:12" ht="25.5" x14ac:dyDescent="0.25">
      <c r="A6564" s="22">
        <v>2026</v>
      </c>
      <c r="B6564" s="28" t="s">
        <v>237</v>
      </c>
      <c r="C6564" s="28" t="s">
        <v>97</v>
      </c>
      <c r="D6564" s="28" t="s">
        <v>1746</v>
      </c>
      <c r="E6564" s="29" t="s">
        <v>1778</v>
      </c>
      <c r="F6564" s="29" t="s">
        <v>1274</v>
      </c>
      <c r="G6564" s="25" t="s">
        <v>8234</v>
      </c>
      <c r="H6564" s="26">
        <v>-0.86005647939999996</v>
      </c>
      <c r="I6564" s="26"/>
      <c r="J6564" s="26" t="s">
        <v>514</v>
      </c>
      <c r="K6564" s="25" t="s">
        <v>513</v>
      </c>
      <c r="L6564" s="8"/>
    </row>
    <row r="6565" spans="1:12" ht="25.5" x14ac:dyDescent="0.25">
      <c r="A6565" s="22">
        <v>2026</v>
      </c>
      <c r="B6565" s="28" t="s">
        <v>237</v>
      </c>
      <c r="C6565" s="28" t="s">
        <v>97</v>
      </c>
      <c r="D6565" s="28" t="s">
        <v>1746</v>
      </c>
      <c r="E6565" s="29" t="s">
        <v>1778</v>
      </c>
      <c r="F6565" s="29" t="s">
        <v>1274</v>
      </c>
      <c r="G6565" s="25" t="s">
        <v>8235</v>
      </c>
      <c r="H6565" s="26">
        <v>-0.87478788569999999</v>
      </c>
      <c r="I6565" s="26"/>
      <c r="J6565" s="26" t="s">
        <v>514</v>
      </c>
      <c r="K6565" s="25" t="s">
        <v>513</v>
      </c>
      <c r="L6565" s="8"/>
    </row>
    <row r="6566" spans="1:12" ht="25.5" x14ac:dyDescent="0.25">
      <c r="A6566" s="22">
        <v>2026</v>
      </c>
      <c r="B6566" s="28" t="s">
        <v>237</v>
      </c>
      <c r="C6566" s="28" t="s">
        <v>97</v>
      </c>
      <c r="D6566" s="28" t="s">
        <v>1746</v>
      </c>
      <c r="E6566" s="29" t="s">
        <v>1778</v>
      </c>
      <c r="F6566" s="29" t="s">
        <v>1274</v>
      </c>
      <c r="G6566" s="25" t="s">
        <v>8236</v>
      </c>
      <c r="H6566" s="26">
        <v>-0.86671806039999999</v>
      </c>
      <c r="I6566" s="26"/>
      <c r="J6566" s="26" t="s">
        <v>514</v>
      </c>
      <c r="K6566" s="25" t="s">
        <v>513</v>
      </c>
      <c r="L6566" s="8"/>
    </row>
    <row r="6567" spans="1:12" ht="25.5" x14ac:dyDescent="0.25">
      <c r="A6567" s="22">
        <v>2026</v>
      </c>
      <c r="B6567" s="28" t="s">
        <v>237</v>
      </c>
      <c r="C6567" s="28" t="s">
        <v>97</v>
      </c>
      <c r="D6567" s="28" t="s">
        <v>1746</v>
      </c>
      <c r="E6567" s="29" t="s">
        <v>1778</v>
      </c>
      <c r="F6567" s="29" t="s">
        <v>1274</v>
      </c>
      <c r="G6567" s="25" t="s">
        <v>8237</v>
      </c>
      <c r="H6567" s="26">
        <v>-0.8318717753</v>
      </c>
      <c r="I6567" s="26"/>
      <c r="J6567" s="26" t="s">
        <v>514</v>
      </c>
      <c r="K6567" s="25" t="s">
        <v>513</v>
      </c>
      <c r="L6567" s="8"/>
    </row>
    <row r="6568" spans="1:12" ht="25.5" x14ac:dyDescent="0.25">
      <c r="A6568" s="22">
        <v>2026</v>
      </c>
      <c r="B6568" s="28" t="s">
        <v>237</v>
      </c>
      <c r="C6568" s="28" t="s">
        <v>97</v>
      </c>
      <c r="D6568" s="28" t="s">
        <v>1746</v>
      </c>
      <c r="E6568" s="29" t="s">
        <v>1778</v>
      </c>
      <c r="F6568" s="29" t="s">
        <v>1274</v>
      </c>
      <c r="G6568" s="25" t="s">
        <v>8238</v>
      </c>
      <c r="H6568" s="26">
        <v>-0.8230870884</v>
      </c>
      <c r="I6568" s="26"/>
      <c r="J6568" s="26" t="s">
        <v>514</v>
      </c>
      <c r="K6568" s="25" t="s">
        <v>513</v>
      </c>
      <c r="L6568" s="8"/>
    </row>
    <row r="6569" spans="1:12" ht="25.5" x14ac:dyDescent="0.25">
      <c r="A6569" s="22">
        <v>2026</v>
      </c>
      <c r="B6569" s="28" t="s">
        <v>237</v>
      </c>
      <c r="C6569" s="28" t="s">
        <v>97</v>
      </c>
      <c r="D6569" s="28" t="s">
        <v>1746</v>
      </c>
      <c r="E6569" s="29" t="s">
        <v>1778</v>
      </c>
      <c r="F6569" s="29" t="s">
        <v>1274</v>
      </c>
      <c r="G6569" s="25" t="s">
        <v>8239</v>
      </c>
      <c r="H6569" s="26">
        <v>-0.84154673199999996</v>
      </c>
      <c r="I6569" s="26"/>
      <c r="J6569" s="26" t="s">
        <v>514</v>
      </c>
      <c r="K6569" s="25" t="s">
        <v>513</v>
      </c>
      <c r="L6569" s="8"/>
    </row>
    <row r="6570" spans="1:12" ht="25.5" x14ac:dyDescent="0.25">
      <c r="A6570" s="22">
        <v>2026</v>
      </c>
      <c r="B6570" s="28" t="s">
        <v>237</v>
      </c>
      <c r="C6570" s="28" t="s">
        <v>97</v>
      </c>
      <c r="D6570" s="28" t="s">
        <v>1746</v>
      </c>
      <c r="E6570" s="29" t="s">
        <v>1778</v>
      </c>
      <c r="F6570" s="29" t="s">
        <v>1274</v>
      </c>
      <c r="G6570" s="25" t="s">
        <v>8240</v>
      </c>
      <c r="H6570" s="26">
        <v>-0.85222579860000003</v>
      </c>
      <c r="I6570" s="26"/>
      <c r="J6570" s="26" t="s">
        <v>514</v>
      </c>
      <c r="K6570" s="25" t="s">
        <v>513</v>
      </c>
      <c r="L6570" s="8"/>
    </row>
    <row r="6571" spans="1:12" ht="25.5" x14ac:dyDescent="0.25">
      <c r="A6571" s="22">
        <v>2026</v>
      </c>
      <c r="B6571" s="28" t="s">
        <v>237</v>
      </c>
      <c r="C6571" s="28" t="s">
        <v>97</v>
      </c>
      <c r="D6571" s="28" t="s">
        <v>1746</v>
      </c>
      <c r="E6571" s="29" t="s">
        <v>1778</v>
      </c>
      <c r="F6571" s="29" t="s">
        <v>1274</v>
      </c>
      <c r="G6571" s="25" t="s">
        <v>8241</v>
      </c>
      <c r="H6571" s="26">
        <v>-0.85716863399999998</v>
      </c>
      <c r="I6571" s="26"/>
      <c r="J6571" s="26" t="s">
        <v>514</v>
      </c>
      <c r="K6571" s="25" t="s">
        <v>513</v>
      </c>
      <c r="L6571" s="8"/>
    </row>
    <row r="6572" spans="1:12" ht="25.5" x14ac:dyDescent="0.25">
      <c r="A6572" s="22">
        <v>2026</v>
      </c>
      <c r="B6572" s="28" t="s">
        <v>237</v>
      </c>
      <c r="C6572" s="28" t="s">
        <v>97</v>
      </c>
      <c r="D6572" s="28" t="s">
        <v>1746</v>
      </c>
      <c r="E6572" s="29" t="s">
        <v>1778</v>
      </c>
      <c r="F6572" s="29" t="s">
        <v>1274</v>
      </c>
      <c r="G6572" s="25" t="s">
        <v>8242</v>
      </c>
      <c r="H6572" s="26">
        <v>-0.89097499479999998</v>
      </c>
      <c r="I6572" s="26"/>
      <c r="J6572" s="26" t="s">
        <v>514</v>
      </c>
      <c r="K6572" s="25" t="s">
        <v>513</v>
      </c>
      <c r="L6572" s="8"/>
    </row>
    <row r="6573" spans="1:12" ht="25.5" x14ac:dyDescent="0.25">
      <c r="A6573" s="22">
        <v>2026</v>
      </c>
      <c r="B6573" s="28" t="s">
        <v>237</v>
      </c>
      <c r="C6573" s="28" t="s">
        <v>97</v>
      </c>
      <c r="D6573" s="28" t="s">
        <v>1746</v>
      </c>
      <c r="E6573" s="29" t="s">
        <v>1778</v>
      </c>
      <c r="F6573" s="29" t="s">
        <v>1274</v>
      </c>
      <c r="G6573" s="25" t="s">
        <v>8243</v>
      </c>
      <c r="H6573" s="26">
        <v>-0.89767207720000008</v>
      </c>
      <c r="I6573" s="26"/>
      <c r="J6573" s="26" t="s">
        <v>514</v>
      </c>
      <c r="K6573" s="25" t="s">
        <v>513</v>
      </c>
      <c r="L6573" s="8"/>
    </row>
    <row r="6574" spans="1:12" ht="25.5" x14ac:dyDescent="0.25">
      <c r="A6574" s="22">
        <v>2026</v>
      </c>
      <c r="B6574" s="28" t="s">
        <v>237</v>
      </c>
      <c r="C6574" s="28" t="s">
        <v>97</v>
      </c>
      <c r="D6574" s="28" t="s">
        <v>1746</v>
      </c>
      <c r="E6574" s="29" t="s">
        <v>1778</v>
      </c>
      <c r="F6574" s="29" t="s">
        <v>1274</v>
      </c>
      <c r="G6574" s="25" t="s">
        <v>8244</v>
      </c>
      <c r="H6574" s="26">
        <v>-0.91404994900000003</v>
      </c>
      <c r="I6574" s="26"/>
      <c r="J6574" s="26" t="s">
        <v>514</v>
      </c>
      <c r="K6574" s="25" t="s">
        <v>513</v>
      </c>
      <c r="L6574" s="8"/>
    </row>
    <row r="6575" spans="1:12" ht="25.5" x14ac:dyDescent="0.25">
      <c r="A6575" s="22">
        <v>2026</v>
      </c>
      <c r="B6575" s="28" t="s">
        <v>237</v>
      </c>
      <c r="C6575" s="28" t="s">
        <v>97</v>
      </c>
      <c r="D6575" s="28" t="s">
        <v>1746</v>
      </c>
      <c r="E6575" s="29" t="s">
        <v>1778</v>
      </c>
      <c r="F6575" s="29" t="s">
        <v>1274</v>
      </c>
      <c r="G6575" s="25" t="s">
        <v>8245</v>
      </c>
      <c r="H6575" s="26">
        <v>-0.88623009159999999</v>
      </c>
      <c r="I6575" s="26"/>
      <c r="J6575" s="26" t="s">
        <v>514</v>
      </c>
      <c r="K6575" s="25" t="s">
        <v>513</v>
      </c>
      <c r="L6575" s="8"/>
    </row>
    <row r="6576" spans="1:12" ht="25.5" x14ac:dyDescent="0.25">
      <c r="A6576" s="22">
        <v>2026</v>
      </c>
      <c r="B6576" s="28" t="s">
        <v>237</v>
      </c>
      <c r="C6576" s="28" t="s">
        <v>97</v>
      </c>
      <c r="D6576" s="28" t="s">
        <v>1746</v>
      </c>
      <c r="E6576" s="29" t="s">
        <v>1778</v>
      </c>
      <c r="F6576" s="29" t="s">
        <v>1274</v>
      </c>
      <c r="G6576" s="25" t="s">
        <v>8246</v>
      </c>
      <c r="H6576" s="26">
        <v>-0.89631079319999996</v>
      </c>
      <c r="I6576" s="26"/>
      <c r="J6576" s="26" t="s">
        <v>514</v>
      </c>
      <c r="K6576" s="25" t="s">
        <v>513</v>
      </c>
      <c r="L6576" s="8"/>
    </row>
    <row r="6577" spans="1:12" ht="25.5" x14ac:dyDescent="0.25">
      <c r="A6577" s="22">
        <v>2026</v>
      </c>
      <c r="B6577" s="28" t="s">
        <v>237</v>
      </c>
      <c r="C6577" s="28" t="s">
        <v>97</v>
      </c>
      <c r="D6577" s="28" t="s">
        <v>1746</v>
      </c>
      <c r="E6577" s="29" t="s">
        <v>1778</v>
      </c>
      <c r="F6577" s="29" t="s">
        <v>1274</v>
      </c>
      <c r="G6577" s="25" t="s">
        <v>8247</v>
      </c>
      <c r="H6577" s="26">
        <v>-0.96727050280000004</v>
      </c>
      <c r="I6577" s="26"/>
      <c r="J6577" s="26" t="s">
        <v>514</v>
      </c>
      <c r="K6577" s="25" t="s">
        <v>513</v>
      </c>
      <c r="L6577" s="8"/>
    </row>
    <row r="6578" spans="1:12" ht="25.5" x14ac:dyDescent="0.25">
      <c r="A6578" s="22">
        <v>2026</v>
      </c>
      <c r="B6578" s="28" t="s">
        <v>237</v>
      </c>
      <c r="C6578" s="28" t="s">
        <v>97</v>
      </c>
      <c r="D6578" s="28" t="s">
        <v>1746</v>
      </c>
      <c r="E6578" s="29" t="s">
        <v>1778</v>
      </c>
      <c r="F6578" s="29" t="s">
        <v>1274</v>
      </c>
      <c r="G6578" s="25" t="s">
        <v>8248</v>
      </c>
      <c r="H6578" s="26">
        <v>-0.94055784199999992</v>
      </c>
      <c r="I6578" s="26"/>
      <c r="J6578" s="26" t="s">
        <v>514</v>
      </c>
      <c r="K6578" s="25" t="s">
        <v>513</v>
      </c>
      <c r="L6578" s="8"/>
    </row>
    <row r="6579" spans="1:12" ht="25.5" x14ac:dyDescent="0.25">
      <c r="A6579" s="22">
        <v>2026</v>
      </c>
      <c r="B6579" s="28" t="s">
        <v>237</v>
      </c>
      <c r="C6579" s="28" t="s">
        <v>97</v>
      </c>
      <c r="D6579" s="28" t="s">
        <v>1746</v>
      </c>
      <c r="E6579" s="29" t="s">
        <v>1778</v>
      </c>
      <c r="F6579" s="29" t="s">
        <v>1274</v>
      </c>
      <c r="G6579" s="25" t="s">
        <v>8249</v>
      </c>
      <c r="H6579" s="26">
        <v>-0.97772771650000001</v>
      </c>
      <c r="I6579" s="26"/>
      <c r="J6579" s="26" t="s">
        <v>514</v>
      </c>
      <c r="K6579" s="25" t="s">
        <v>513</v>
      </c>
      <c r="L6579" s="8"/>
    </row>
    <row r="6580" spans="1:12" ht="25.5" x14ac:dyDescent="0.25">
      <c r="A6580" s="22">
        <v>2026</v>
      </c>
      <c r="B6580" s="28" t="s">
        <v>237</v>
      </c>
      <c r="C6580" s="28" t="s">
        <v>97</v>
      </c>
      <c r="D6580" s="28" t="s">
        <v>1746</v>
      </c>
      <c r="E6580" s="29" t="s">
        <v>1778</v>
      </c>
      <c r="F6580" s="29" t="s">
        <v>1274</v>
      </c>
      <c r="G6580" s="25" t="s">
        <v>8250</v>
      </c>
      <c r="H6580" s="26">
        <v>-1.0033968636999999</v>
      </c>
      <c r="I6580" s="26"/>
      <c r="J6580" s="26" t="s">
        <v>514</v>
      </c>
      <c r="K6580" s="25" t="s">
        <v>513</v>
      </c>
      <c r="L6580" s="8"/>
    </row>
    <row r="6581" spans="1:12" ht="25.5" x14ac:dyDescent="0.25">
      <c r="A6581" s="22">
        <v>2026</v>
      </c>
      <c r="B6581" s="28" t="s">
        <v>237</v>
      </c>
      <c r="C6581" s="28" t="s">
        <v>97</v>
      </c>
      <c r="D6581" s="28" t="s">
        <v>1746</v>
      </c>
      <c r="E6581" s="29" t="s">
        <v>1778</v>
      </c>
      <c r="F6581" s="29" t="s">
        <v>1274</v>
      </c>
      <c r="G6581" s="25" t="s">
        <v>8251</v>
      </c>
      <c r="H6581" s="26">
        <v>-1.0083272122</v>
      </c>
      <c r="I6581" s="26"/>
      <c r="J6581" s="26" t="s">
        <v>514</v>
      </c>
      <c r="K6581" s="25" t="s">
        <v>513</v>
      </c>
      <c r="L6581" s="8"/>
    </row>
    <row r="6582" spans="1:12" ht="25.5" x14ac:dyDescent="0.25">
      <c r="A6582" s="22">
        <v>2026</v>
      </c>
      <c r="B6582" s="28" t="s">
        <v>237</v>
      </c>
      <c r="C6582" s="28" t="s">
        <v>97</v>
      </c>
      <c r="D6582" s="28" t="s">
        <v>1033</v>
      </c>
      <c r="E6582" s="29" t="s">
        <v>578</v>
      </c>
      <c r="F6582" s="29" t="s">
        <v>325</v>
      </c>
      <c r="G6582" s="25" t="s">
        <v>8252</v>
      </c>
      <c r="H6582" s="26">
        <v>-6.6657299999999999</v>
      </c>
      <c r="I6582" s="26"/>
      <c r="J6582" s="26" t="s">
        <v>512</v>
      </c>
      <c r="K6582" s="25" t="s">
        <v>513</v>
      </c>
      <c r="L6582" s="8"/>
    </row>
    <row r="6583" spans="1:12" ht="25.5" x14ac:dyDescent="0.25">
      <c r="A6583" s="22">
        <v>2026</v>
      </c>
      <c r="B6583" s="28" t="s">
        <v>237</v>
      </c>
      <c r="C6583" s="28" t="s">
        <v>97</v>
      </c>
      <c r="D6583" s="28" t="s">
        <v>1033</v>
      </c>
      <c r="E6583" s="29" t="s">
        <v>578</v>
      </c>
      <c r="F6583" s="29" t="s">
        <v>325</v>
      </c>
      <c r="G6583" s="25" t="s">
        <v>8253</v>
      </c>
      <c r="H6583" s="26">
        <v>-1.0668</v>
      </c>
      <c r="I6583" s="26"/>
      <c r="J6583" s="26" t="s">
        <v>512</v>
      </c>
      <c r="K6583" s="25" t="s">
        <v>513</v>
      </c>
      <c r="L6583" s="8"/>
    </row>
    <row r="6584" spans="1:12" ht="25.5" x14ac:dyDescent="0.25">
      <c r="A6584" s="22">
        <v>2026</v>
      </c>
      <c r="B6584" s="28" t="s">
        <v>237</v>
      </c>
      <c r="C6584" s="28" t="s">
        <v>97</v>
      </c>
      <c r="D6584" s="28" t="s">
        <v>1033</v>
      </c>
      <c r="E6584" s="29" t="s">
        <v>578</v>
      </c>
      <c r="F6584" s="29" t="s">
        <v>325</v>
      </c>
      <c r="G6584" s="25" t="s">
        <v>8254</v>
      </c>
      <c r="H6584" s="26">
        <v>-0.93089849999999996</v>
      </c>
      <c r="I6584" s="26"/>
      <c r="J6584" s="26" t="s">
        <v>512</v>
      </c>
      <c r="K6584" s="25" t="s">
        <v>513</v>
      </c>
      <c r="L6584" s="8"/>
    </row>
    <row r="6585" spans="1:12" ht="25.5" x14ac:dyDescent="0.25">
      <c r="A6585" s="22">
        <v>2026</v>
      </c>
      <c r="B6585" s="28" t="s">
        <v>237</v>
      </c>
      <c r="C6585" s="28" t="s">
        <v>97</v>
      </c>
      <c r="D6585" s="28" t="s">
        <v>1033</v>
      </c>
      <c r="E6585" s="29" t="s">
        <v>578</v>
      </c>
      <c r="F6585" s="29" t="s">
        <v>325</v>
      </c>
      <c r="G6585" s="25" t="s">
        <v>8255</v>
      </c>
      <c r="H6585" s="26">
        <v>-0.26569999999999999</v>
      </c>
      <c r="I6585" s="26"/>
      <c r="J6585" s="26" t="s">
        <v>512</v>
      </c>
      <c r="K6585" s="25" t="s">
        <v>513</v>
      </c>
      <c r="L6585" s="8"/>
    </row>
    <row r="6586" spans="1:12" ht="25.5" x14ac:dyDescent="0.25">
      <c r="A6586" s="22">
        <v>2026</v>
      </c>
      <c r="B6586" s="28" t="s">
        <v>237</v>
      </c>
      <c r="C6586" s="28" t="s">
        <v>97</v>
      </c>
      <c r="D6586" s="28" t="s">
        <v>1033</v>
      </c>
      <c r="E6586" s="29" t="s">
        <v>578</v>
      </c>
      <c r="F6586" s="29" t="s">
        <v>325</v>
      </c>
      <c r="G6586" s="25" t="s">
        <v>8256</v>
      </c>
      <c r="H6586" s="26">
        <v>-0.53439999999999999</v>
      </c>
      <c r="I6586" s="26"/>
      <c r="J6586" s="26" t="s">
        <v>512</v>
      </c>
      <c r="K6586" s="25" t="s">
        <v>513</v>
      </c>
      <c r="L6586" s="8"/>
    </row>
    <row r="6587" spans="1:12" ht="25.5" x14ac:dyDescent="0.25">
      <c r="A6587" s="22">
        <v>2026</v>
      </c>
      <c r="B6587" s="28" t="s">
        <v>237</v>
      </c>
      <c r="C6587" s="28" t="s">
        <v>97</v>
      </c>
      <c r="D6587" s="28" t="s">
        <v>1033</v>
      </c>
      <c r="E6587" s="29" t="s">
        <v>578</v>
      </c>
      <c r="F6587" s="29" t="s">
        <v>325</v>
      </c>
      <c r="G6587" s="25" t="s">
        <v>8257</v>
      </c>
      <c r="H6587" s="26">
        <v>-0.64007999999999998</v>
      </c>
      <c r="I6587" s="26"/>
      <c r="J6587" s="26" t="s">
        <v>512</v>
      </c>
      <c r="K6587" s="25" t="s">
        <v>513</v>
      </c>
      <c r="L6587" s="8"/>
    </row>
    <row r="6588" spans="1:12" ht="25.5" x14ac:dyDescent="0.25">
      <c r="A6588" s="22">
        <v>2026</v>
      </c>
      <c r="B6588" s="28" t="s">
        <v>237</v>
      </c>
      <c r="C6588" s="28" t="s">
        <v>97</v>
      </c>
      <c r="D6588" s="28" t="s">
        <v>1747</v>
      </c>
      <c r="E6588" s="29" t="s">
        <v>415</v>
      </c>
      <c r="F6588" s="29" t="s">
        <v>1779</v>
      </c>
      <c r="G6588" s="25" t="s">
        <v>8258</v>
      </c>
      <c r="H6588" s="26">
        <v>-0.10318996000000001</v>
      </c>
      <c r="I6588" s="26"/>
      <c r="J6588" s="26" t="s">
        <v>512</v>
      </c>
      <c r="K6588" s="25" t="s">
        <v>513</v>
      </c>
      <c r="L6588" s="8"/>
    </row>
    <row r="6589" spans="1:12" ht="25.5" x14ac:dyDescent="0.25">
      <c r="A6589" s="22">
        <v>2026</v>
      </c>
      <c r="B6589" s="28" t="s">
        <v>237</v>
      </c>
      <c r="C6589" s="28" t="s">
        <v>97</v>
      </c>
      <c r="D6589" s="28" t="s">
        <v>1747</v>
      </c>
      <c r="E6589" s="29" t="s">
        <v>415</v>
      </c>
      <c r="F6589" s="29" t="s">
        <v>1779</v>
      </c>
      <c r="G6589" s="25" t="s">
        <v>8259</v>
      </c>
      <c r="H6589" s="26">
        <v>-8.3301749999999994E-2</v>
      </c>
      <c r="I6589" s="26"/>
      <c r="J6589" s="26" t="s">
        <v>512</v>
      </c>
      <c r="K6589" s="25" t="s">
        <v>513</v>
      </c>
      <c r="L6589" s="8"/>
    </row>
    <row r="6590" spans="1:12" ht="25.5" x14ac:dyDescent="0.25">
      <c r="A6590" s="22">
        <v>2026</v>
      </c>
      <c r="B6590" s="28" t="s">
        <v>237</v>
      </c>
      <c r="C6590" s="28" t="s">
        <v>97</v>
      </c>
      <c r="D6590" s="28" t="s">
        <v>1747</v>
      </c>
      <c r="E6590" s="29" t="s">
        <v>415</v>
      </c>
      <c r="F6590" s="29" t="s">
        <v>1779</v>
      </c>
      <c r="G6590" s="25" t="s">
        <v>8260</v>
      </c>
      <c r="H6590" s="26">
        <v>-0.45224799999999998</v>
      </c>
      <c r="I6590" s="26"/>
      <c r="J6590" s="26" t="s">
        <v>512</v>
      </c>
      <c r="K6590" s="25" t="s">
        <v>513</v>
      </c>
      <c r="L6590" s="8"/>
    </row>
    <row r="6591" spans="1:12" ht="25.5" x14ac:dyDescent="0.25">
      <c r="A6591" s="22">
        <v>2026</v>
      </c>
      <c r="B6591" s="28" t="s">
        <v>237</v>
      </c>
      <c r="C6591" s="28" t="s">
        <v>97</v>
      </c>
      <c r="D6591" s="28" t="s">
        <v>1747</v>
      </c>
      <c r="E6591" s="29" t="s">
        <v>415</v>
      </c>
      <c r="F6591" s="29" t="s">
        <v>1779</v>
      </c>
      <c r="G6591" s="25" t="s">
        <v>8261</v>
      </c>
      <c r="H6591" s="26">
        <v>-5.2054936410000002E-2</v>
      </c>
      <c r="I6591" s="26"/>
      <c r="J6591" s="26" t="s">
        <v>512</v>
      </c>
      <c r="K6591" s="25" t="s">
        <v>513</v>
      </c>
      <c r="L6591" s="8"/>
    </row>
    <row r="6592" spans="1:12" ht="25.5" x14ac:dyDescent="0.25">
      <c r="A6592" s="22">
        <v>2026</v>
      </c>
      <c r="B6592" s="28" t="s">
        <v>237</v>
      </c>
      <c r="C6592" s="28" t="s">
        <v>97</v>
      </c>
      <c r="D6592" s="28" t="s">
        <v>1747</v>
      </c>
      <c r="E6592" s="29" t="s">
        <v>415</v>
      </c>
      <c r="F6592" s="29" t="s">
        <v>1779</v>
      </c>
      <c r="G6592" s="25" t="s">
        <v>8262</v>
      </c>
      <c r="H6592" s="26">
        <v>-0.25676300474999997</v>
      </c>
      <c r="I6592" s="26"/>
      <c r="J6592" s="26" t="s">
        <v>512</v>
      </c>
      <c r="K6592" s="25" t="s">
        <v>513</v>
      </c>
      <c r="L6592" s="8"/>
    </row>
    <row r="6593" spans="1:12" ht="25.5" x14ac:dyDescent="0.25">
      <c r="A6593" s="22">
        <v>2026</v>
      </c>
      <c r="B6593" s="28" t="s">
        <v>237</v>
      </c>
      <c r="C6593" s="28" t="s">
        <v>97</v>
      </c>
      <c r="D6593" s="28" t="s">
        <v>1747</v>
      </c>
      <c r="E6593" s="29" t="s">
        <v>415</v>
      </c>
      <c r="F6593" s="29" t="s">
        <v>1779</v>
      </c>
      <c r="G6593" s="25" t="s">
        <v>8263</v>
      </c>
      <c r="H6593" s="26">
        <v>-2.3149200000000002E-2</v>
      </c>
      <c r="I6593" s="26"/>
      <c r="J6593" s="26" t="s">
        <v>512</v>
      </c>
      <c r="K6593" s="25" t="s">
        <v>513</v>
      </c>
      <c r="L6593" s="8"/>
    </row>
    <row r="6594" spans="1:12" ht="25.5" x14ac:dyDescent="0.25">
      <c r="A6594" s="22">
        <v>2026</v>
      </c>
      <c r="B6594" s="28" t="s">
        <v>237</v>
      </c>
      <c r="C6594" s="28" t="s">
        <v>97</v>
      </c>
      <c r="D6594" s="28" t="s">
        <v>1747</v>
      </c>
      <c r="E6594" s="29" t="s">
        <v>415</v>
      </c>
      <c r="F6594" s="29" t="s">
        <v>1779</v>
      </c>
      <c r="G6594" s="25" t="s">
        <v>8264</v>
      </c>
      <c r="H6594" s="26">
        <v>-0.340951275</v>
      </c>
      <c r="I6594" s="26"/>
      <c r="J6594" s="26" t="s">
        <v>512</v>
      </c>
      <c r="K6594" s="25" t="s">
        <v>513</v>
      </c>
      <c r="L6594" s="8"/>
    </row>
    <row r="6595" spans="1:12" ht="25.5" x14ac:dyDescent="0.25">
      <c r="A6595" s="22">
        <v>2026</v>
      </c>
      <c r="B6595" s="28" t="s">
        <v>237</v>
      </c>
      <c r="C6595" s="28" t="s">
        <v>97</v>
      </c>
      <c r="D6595" s="28" t="s">
        <v>1747</v>
      </c>
      <c r="E6595" s="29" t="s">
        <v>415</v>
      </c>
      <c r="F6595" s="29" t="s">
        <v>1779</v>
      </c>
      <c r="G6595" s="25" t="s">
        <v>8265</v>
      </c>
      <c r="H6595" s="26">
        <v>-2.37418E-2</v>
      </c>
      <c r="I6595" s="26"/>
      <c r="J6595" s="26" t="s">
        <v>512</v>
      </c>
      <c r="K6595" s="25" t="s">
        <v>513</v>
      </c>
      <c r="L6595" s="8"/>
    </row>
    <row r="6596" spans="1:12" ht="25.5" x14ac:dyDescent="0.25">
      <c r="A6596" s="22">
        <v>2026</v>
      </c>
      <c r="B6596" s="28" t="s">
        <v>237</v>
      </c>
      <c r="C6596" s="28" t="s">
        <v>97</v>
      </c>
      <c r="D6596" s="28" t="s">
        <v>1747</v>
      </c>
      <c r="E6596" s="29" t="s">
        <v>415</v>
      </c>
      <c r="F6596" s="29" t="s">
        <v>1779</v>
      </c>
      <c r="G6596" s="25" t="s">
        <v>8266</v>
      </c>
      <c r="H6596" s="26">
        <v>-0.12</v>
      </c>
      <c r="I6596" s="26"/>
      <c r="J6596" s="26" t="s">
        <v>512</v>
      </c>
      <c r="K6596" s="25" t="s">
        <v>513</v>
      </c>
      <c r="L6596" s="8"/>
    </row>
    <row r="6597" spans="1:12" ht="25.5" x14ac:dyDescent="0.25">
      <c r="A6597" s="22">
        <v>2026</v>
      </c>
      <c r="B6597" s="28" t="s">
        <v>237</v>
      </c>
      <c r="C6597" s="28" t="s">
        <v>97</v>
      </c>
      <c r="D6597" s="28" t="s">
        <v>1747</v>
      </c>
      <c r="E6597" s="29" t="s">
        <v>415</v>
      </c>
      <c r="F6597" s="29" t="s">
        <v>1779</v>
      </c>
      <c r="G6597" s="25" t="s">
        <v>8267</v>
      </c>
      <c r="H6597" s="26">
        <v>-0.12293949999999999</v>
      </c>
      <c r="I6597" s="26"/>
      <c r="J6597" s="26" t="s">
        <v>512</v>
      </c>
      <c r="K6597" s="25" t="s">
        <v>513</v>
      </c>
      <c r="L6597" s="8"/>
    </row>
    <row r="6598" spans="1:12" ht="25.5" x14ac:dyDescent="0.25">
      <c r="A6598" s="22">
        <v>2026</v>
      </c>
      <c r="B6598" s="28" t="s">
        <v>237</v>
      </c>
      <c r="C6598" s="28" t="s">
        <v>97</v>
      </c>
      <c r="D6598" s="28" t="s">
        <v>1747</v>
      </c>
      <c r="E6598" s="29" t="s">
        <v>415</v>
      </c>
      <c r="F6598" s="29" t="s">
        <v>1779</v>
      </c>
      <c r="G6598" s="25" t="s">
        <v>8268</v>
      </c>
      <c r="H6598" s="26">
        <v>-3.2606000000000003E-2</v>
      </c>
      <c r="I6598" s="26"/>
      <c r="J6598" s="26" t="s">
        <v>512</v>
      </c>
      <c r="K6598" s="25" t="s">
        <v>513</v>
      </c>
      <c r="L6598" s="8"/>
    </row>
    <row r="6599" spans="1:12" ht="25.5" x14ac:dyDescent="0.25">
      <c r="A6599" s="22">
        <v>2026</v>
      </c>
      <c r="B6599" s="28" t="s">
        <v>237</v>
      </c>
      <c r="C6599" s="28" t="s">
        <v>97</v>
      </c>
      <c r="D6599" s="28" t="s">
        <v>1748</v>
      </c>
      <c r="E6599" s="29" t="s">
        <v>415</v>
      </c>
      <c r="F6599" s="29" t="s">
        <v>1759</v>
      </c>
      <c r="G6599" s="25" t="s">
        <v>8269</v>
      </c>
      <c r="H6599" s="26">
        <v>-6.8374699999999997</v>
      </c>
      <c r="I6599" s="26"/>
      <c r="J6599" s="26" t="s">
        <v>512</v>
      </c>
      <c r="K6599" s="25" t="s">
        <v>513</v>
      </c>
      <c r="L6599" s="8"/>
    </row>
    <row r="6600" spans="1:12" ht="25.5" x14ac:dyDescent="0.25">
      <c r="A6600" s="22">
        <v>2026</v>
      </c>
      <c r="B6600" s="28" t="s">
        <v>237</v>
      </c>
      <c r="C6600" s="28" t="s">
        <v>97</v>
      </c>
      <c r="D6600" s="28" t="s">
        <v>1748</v>
      </c>
      <c r="E6600" s="29" t="s">
        <v>415</v>
      </c>
      <c r="F6600" s="29" t="s">
        <v>1759</v>
      </c>
      <c r="G6600" s="25" t="s">
        <v>8270</v>
      </c>
      <c r="H6600" s="26">
        <v>-3.8682953627600001</v>
      </c>
      <c r="I6600" s="26"/>
      <c r="J6600" s="26" t="s">
        <v>512</v>
      </c>
      <c r="K6600" s="25" t="s">
        <v>513</v>
      </c>
      <c r="L6600" s="8"/>
    </row>
    <row r="6601" spans="1:12" ht="25.5" x14ac:dyDescent="0.25">
      <c r="A6601" s="22">
        <v>2026</v>
      </c>
      <c r="B6601" s="28" t="s">
        <v>237</v>
      </c>
      <c r="C6601" s="28" t="s">
        <v>97</v>
      </c>
      <c r="D6601" s="28" t="s">
        <v>1748</v>
      </c>
      <c r="E6601" s="29" t="s">
        <v>415</v>
      </c>
      <c r="F6601" s="29" t="s">
        <v>1759</v>
      </c>
      <c r="G6601" s="25" t="s">
        <v>8271</v>
      </c>
      <c r="H6601" s="26">
        <v>-4.9914975000000004</v>
      </c>
      <c r="I6601" s="26"/>
      <c r="J6601" s="26" t="s">
        <v>512</v>
      </c>
      <c r="K6601" s="25" t="s">
        <v>513</v>
      </c>
      <c r="L6601" s="8"/>
    </row>
    <row r="6602" spans="1:12" ht="25.5" x14ac:dyDescent="0.25">
      <c r="A6602" s="22">
        <v>2026</v>
      </c>
      <c r="B6602" s="28" t="s">
        <v>237</v>
      </c>
      <c r="C6602" s="28" t="s">
        <v>97</v>
      </c>
      <c r="D6602" s="28" t="s">
        <v>1748</v>
      </c>
      <c r="E6602" s="29" t="s">
        <v>415</v>
      </c>
      <c r="F6602" s="29" t="s">
        <v>1759</v>
      </c>
      <c r="G6602" s="25" t="s">
        <v>8272</v>
      </c>
      <c r="H6602" s="26">
        <v>-3.00600690496</v>
      </c>
      <c r="I6602" s="26"/>
      <c r="J6602" s="26" t="s">
        <v>512</v>
      </c>
      <c r="K6602" s="25" t="s">
        <v>513</v>
      </c>
      <c r="L6602" s="8"/>
    </row>
    <row r="6603" spans="1:12" ht="25.5" x14ac:dyDescent="0.25">
      <c r="A6603" s="22">
        <v>2026</v>
      </c>
      <c r="B6603" s="28" t="s">
        <v>237</v>
      </c>
      <c r="C6603" s="28" t="s">
        <v>97</v>
      </c>
      <c r="D6603" s="28" t="s">
        <v>1748</v>
      </c>
      <c r="E6603" s="29" t="s">
        <v>415</v>
      </c>
      <c r="F6603" s="29" t="s">
        <v>1759</v>
      </c>
      <c r="G6603" s="25" t="s">
        <v>8273</v>
      </c>
      <c r="H6603" s="26">
        <v>-3.3212000000000002</v>
      </c>
      <c r="I6603" s="26"/>
      <c r="J6603" s="26" t="s">
        <v>512</v>
      </c>
      <c r="K6603" s="25" t="s">
        <v>513</v>
      </c>
      <c r="L6603" s="8"/>
    </row>
    <row r="6604" spans="1:12" ht="25.5" x14ac:dyDescent="0.25">
      <c r="A6604" s="22">
        <v>2026</v>
      </c>
      <c r="B6604" s="28" t="s">
        <v>237</v>
      </c>
      <c r="C6604" s="28" t="s">
        <v>97</v>
      </c>
      <c r="D6604" s="28" t="s">
        <v>1748</v>
      </c>
      <c r="E6604" s="29" t="s">
        <v>415</v>
      </c>
      <c r="F6604" s="29" t="s">
        <v>1759</v>
      </c>
      <c r="G6604" s="25" t="s">
        <v>8274</v>
      </c>
      <c r="H6604" s="26">
        <v>-3.6351</v>
      </c>
      <c r="I6604" s="26"/>
      <c r="J6604" s="26" t="s">
        <v>512</v>
      </c>
      <c r="K6604" s="25" t="s">
        <v>513</v>
      </c>
      <c r="L6604" s="8"/>
    </row>
    <row r="6605" spans="1:12" ht="25.5" x14ac:dyDescent="0.25">
      <c r="A6605" s="22">
        <v>2026</v>
      </c>
      <c r="B6605" s="28" t="s">
        <v>237</v>
      </c>
      <c r="C6605" s="28" t="s">
        <v>97</v>
      </c>
      <c r="D6605" s="28" t="s">
        <v>1748</v>
      </c>
      <c r="E6605" s="29" t="s">
        <v>415</v>
      </c>
      <c r="F6605" s="29" t="s">
        <v>1759</v>
      </c>
      <c r="G6605" s="25" t="s">
        <v>8275</v>
      </c>
      <c r="H6605" s="26">
        <v>-5.2519499999999999</v>
      </c>
      <c r="I6605" s="26"/>
      <c r="J6605" s="26" t="s">
        <v>512</v>
      </c>
      <c r="K6605" s="25" t="s">
        <v>513</v>
      </c>
      <c r="L6605" s="8"/>
    </row>
    <row r="6606" spans="1:12" ht="25.5" x14ac:dyDescent="0.25">
      <c r="A6606" s="22">
        <v>2026</v>
      </c>
      <c r="B6606" s="28" t="s">
        <v>237</v>
      </c>
      <c r="C6606" s="28" t="s">
        <v>97</v>
      </c>
      <c r="D6606" s="28" t="s">
        <v>1748</v>
      </c>
      <c r="E6606" s="29" t="s">
        <v>415</v>
      </c>
      <c r="F6606" s="29" t="s">
        <v>1759</v>
      </c>
      <c r="G6606" s="25" t="s">
        <v>8276</v>
      </c>
      <c r="H6606" s="26">
        <v>-3.5041500000000001</v>
      </c>
      <c r="I6606" s="26"/>
      <c r="J6606" s="26" t="s">
        <v>512</v>
      </c>
      <c r="K6606" s="25" t="s">
        <v>513</v>
      </c>
      <c r="L6606" s="8"/>
    </row>
    <row r="6607" spans="1:12" ht="25.5" x14ac:dyDescent="0.25">
      <c r="A6607" s="22">
        <v>2026</v>
      </c>
      <c r="B6607" s="28" t="s">
        <v>237</v>
      </c>
      <c r="C6607" s="28" t="s">
        <v>97</v>
      </c>
      <c r="D6607" s="28" t="s">
        <v>1748</v>
      </c>
      <c r="E6607" s="29" t="s">
        <v>415</v>
      </c>
      <c r="F6607" s="29" t="s">
        <v>1759</v>
      </c>
      <c r="G6607" s="25" t="s">
        <v>8277</v>
      </c>
      <c r="H6607" s="26">
        <v>-2.9291886078</v>
      </c>
      <c r="I6607" s="26"/>
      <c r="J6607" s="26" t="s">
        <v>512</v>
      </c>
      <c r="K6607" s="25" t="s">
        <v>513</v>
      </c>
      <c r="L6607" s="8"/>
    </row>
    <row r="6608" spans="1:12" ht="25.5" x14ac:dyDescent="0.25">
      <c r="A6608" s="22">
        <v>2026</v>
      </c>
      <c r="B6608" s="28" t="s">
        <v>237</v>
      </c>
      <c r="C6608" s="28" t="s">
        <v>97</v>
      </c>
      <c r="D6608" s="28" t="s">
        <v>1748</v>
      </c>
      <c r="E6608" s="29" t="s">
        <v>415</v>
      </c>
      <c r="F6608" s="29" t="s">
        <v>1759</v>
      </c>
      <c r="G6608" s="25" t="s">
        <v>8278</v>
      </c>
      <c r="H6608" s="26">
        <v>-0.36039627133000002</v>
      </c>
      <c r="I6608" s="26"/>
      <c r="J6608" s="26" t="s">
        <v>512</v>
      </c>
      <c r="K6608" s="25" t="s">
        <v>513</v>
      </c>
      <c r="L6608" s="8"/>
    </row>
    <row r="6609" spans="1:12" ht="25.5" x14ac:dyDescent="0.25">
      <c r="A6609" s="22">
        <v>2026</v>
      </c>
      <c r="B6609" s="28" t="s">
        <v>237</v>
      </c>
      <c r="C6609" s="28" t="s">
        <v>97</v>
      </c>
      <c r="D6609" s="28" t="s">
        <v>536</v>
      </c>
      <c r="E6609" s="29" t="s">
        <v>558</v>
      </c>
      <c r="F6609" s="29" t="s">
        <v>282</v>
      </c>
      <c r="G6609" s="25" t="s">
        <v>8279</v>
      </c>
      <c r="H6609" s="26">
        <v>-0.49648234999999996</v>
      </c>
      <c r="I6609" s="26"/>
      <c r="J6609" s="26" t="s">
        <v>514</v>
      </c>
      <c r="K6609" s="25" t="s">
        <v>513</v>
      </c>
      <c r="L6609" s="8"/>
    </row>
    <row r="6610" spans="1:12" ht="25.5" x14ac:dyDescent="0.25">
      <c r="A6610" s="22">
        <v>2026</v>
      </c>
      <c r="B6610" s="28" t="s">
        <v>237</v>
      </c>
      <c r="C6610" s="28" t="s">
        <v>97</v>
      </c>
      <c r="D6610" s="28" t="s">
        <v>536</v>
      </c>
      <c r="E6610" s="29" t="s">
        <v>558</v>
      </c>
      <c r="F6610" s="29" t="s">
        <v>282</v>
      </c>
      <c r="G6610" s="25" t="s">
        <v>8280</v>
      </c>
      <c r="H6610" s="26">
        <v>-0.49707420000000002</v>
      </c>
      <c r="I6610" s="26"/>
      <c r="J6610" s="26" t="s">
        <v>514</v>
      </c>
      <c r="K6610" s="25" t="s">
        <v>513</v>
      </c>
      <c r="L6610" s="8"/>
    </row>
    <row r="6611" spans="1:12" ht="25.5" x14ac:dyDescent="0.25">
      <c r="A6611" s="22">
        <v>2026</v>
      </c>
      <c r="B6611" s="28" t="s">
        <v>237</v>
      </c>
      <c r="C6611" s="28" t="s">
        <v>97</v>
      </c>
      <c r="D6611" s="28" t="s">
        <v>536</v>
      </c>
      <c r="E6611" s="29" t="s">
        <v>558</v>
      </c>
      <c r="F6611" s="29" t="s">
        <v>282</v>
      </c>
      <c r="G6611" s="25" t="s">
        <v>8281</v>
      </c>
      <c r="H6611" s="26">
        <v>-0.49509915000000004</v>
      </c>
      <c r="I6611" s="26"/>
      <c r="J6611" s="26" t="s">
        <v>514</v>
      </c>
      <c r="K6611" s="25" t="s">
        <v>513</v>
      </c>
      <c r="L6611" s="8"/>
    </row>
    <row r="6612" spans="1:12" ht="25.5" x14ac:dyDescent="0.25">
      <c r="A6612" s="22">
        <v>2026</v>
      </c>
      <c r="B6612" s="28" t="s">
        <v>237</v>
      </c>
      <c r="C6612" s="28" t="s">
        <v>97</v>
      </c>
      <c r="D6612" s="28" t="s">
        <v>536</v>
      </c>
      <c r="E6612" s="29" t="s">
        <v>558</v>
      </c>
      <c r="F6612" s="29" t="s">
        <v>282</v>
      </c>
      <c r="G6612" s="25" t="s">
        <v>8282</v>
      </c>
      <c r="H6612" s="26">
        <v>-0.49773919999999999</v>
      </c>
      <c r="I6612" s="26"/>
      <c r="J6612" s="26" t="s">
        <v>514</v>
      </c>
      <c r="K6612" s="25" t="s">
        <v>513</v>
      </c>
      <c r="L6612" s="8"/>
    </row>
    <row r="6613" spans="1:12" ht="25.5" x14ac:dyDescent="0.25">
      <c r="A6613" s="22">
        <v>2026</v>
      </c>
      <c r="B6613" s="28" t="s">
        <v>237</v>
      </c>
      <c r="C6613" s="28" t="s">
        <v>97</v>
      </c>
      <c r="D6613" s="28" t="s">
        <v>536</v>
      </c>
      <c r="E6613" s="29" t="s">
        <v>558</v>
      </c>
      <c r="F6613" s="29" t="s">
        <v>282</v>
      </c>
      <c r="G6613" s="25" t="s">
        <v>8283</v>
      </c>
      <c r="H6613" s="26">
        <v>-0.49785225</v>
      </c>
      <c r="I6613" s="26"/>
      <c r="J6613" s="26" t="s">
        <v>514</v>
      </c>
      <c r="K6613" s="25" t="s">
        <v>513</v>
      </c>
      <c r="L6613" s="8"/>
    </row>
    <row r="6614" spans="1:12" ht="25.5" x14ac:dyDescent="0.25">
      <c r="A6614" s="22">
        <v>2026</v>
      </c>
      <c r="B6614" s="28" t="s">
        <v>237</v>
      </c>
      <c r="C6614" s="28" t="s">
        <v>97</v>
      </c>
      <c r="D6614" s="28" t="s">
        <v>536</v>
      </c>
      <c r="E6614" s="29" t="s">
        <v>558</v>
      </c>
      <c r="F6614" s="29" t="s">
        <v>282</v>
      </c>
      <c r="G6614" s="25" t="s">
        <v>8284</v>
      </c>
      <c r="H6614" s="26">
        <v>-0.49765725</v>
      </c>
      <c r="I6614" s="26"/>
      <c r="J6614" s="26" t="s">
        <v>514</v>
      </c>
      <c r="K6614" s="25" t="s">
        <v>513</v>
      </c>
      <c r="L6614" s="8"/>
    </row>
    <row r="6615" spans="1:12" ht="25.5" x14ac:dyDescent="0.25">
      <c r="A6615" s="22">
        <v>2026</v>
      </c>
      <c r="B6615" s="28" t="s">
        <v>237</v>
      </c>
      <c r="C6615" s="28" t="s">
        <v>97</v>
      </c>
      <c r="D6615" s="28" t="s">
        <v>536</v>
      </c>
      <c r="E6615" s="29" t="s">
        <v>558</v>
      </c>
      <c r="F6615" s="29" t="s">
        <v>282</v>
      </c>
      <c r="G6615" s="25" t="s">
        <v>8285</v>
      </c>
      <c r="H6615" s="26">
        <v>-0.48694500000000002</v>
      </c>
      <c r="I6615" s="26"/>
      <c r="J6615" s="26" t="s">
        <v>514</v>
      </c>
      <c r="K6615" s="25" t="s">
        <v>513</v>
      </c>
      <c r="L6615" s="8"/>
    </row>
    <row r="6616" spans="1:12" ht="25.5" x14ac:dyDescent="0.25">
      <c r="A6616" s="22">
        <v>2026</v>
      </c>
      <c r="B6616" s="28" t="s">
        <v>237</v>
      </c>
      <c r="C6616" s="28" t="s">
        <v>97</v>
      </c>
      <c r="D6616" s="28" t="s">
        <v>536</v>
      </c>
      <c r="E6616" s="29" t="s">
        <v>558</v>
      </c>
      <c r="F6616" s="29" t="s">
        <v>282</v>
      </c>
      <c r="G6616" s="25" t="s">
        <v>8286</v>
      </c>
      <c r="H6616" s="26">
        <v>-0.49840079999999998</v>
      </c>
      <c r="I6616" s="26"/>
      <c r="J6616" s="26" t="s">
        <v>514</v>
      </c>
      <c r="K6616" s="25" t="s">
        <v>513</v>
      </c>
      <c r="L6616" s="8"/>
    </row>
    <row r="6617" spans="1:12" ht="25.5" x14ac:dyDescent="0.25">
      <c r="A6617" s="22">
        <v>2026</v>
      </c>
      <c r="B6617" s="28" t="s">
        <v>237</v>
      </c>
      <c r="C6617" s="28" t="s">
        <v>97</v>
      </c>
      <c r="D6617" s="28" t="s">
        <v>536</v>
      </c>
      <c r="E6617" s="29" t="s">
        <v>558</v>
      </c>
      <c r="F6617" s="29" t="s">
        <v>282</v>
      </c>
      <c r="G6617" s="25" t="s">
        <v>8287</v>
      </c>
      <c r="H6617" s="26">
        <v>-0.49731300000000001</v>
      </c>
      <c r="I6617" s="26"/>
      <c r="J6617" s="26" t="s">
        <v>514</v>
      </c>
      <c r="K6617" s="25" t="s">
        <v>513</v>
      </c>
      <c r="L6617" s="8"/>
    </row>
    <row r="6618" spans="1:12" ht="25.5" x14ac:dyDescent="0.25">
      <c r="A6618" s="22">
        <v>2026</v>
      </c>
      <c r="B6618" s="28" t="s">
        <v>237</v>
      </c>
      <c r="C6618" s="28" t="s">
        <v>97</v>
      </c>
      <c r="D6618" s="28" t="s">
        <v>536</v>
      </c>
      <c r="E6618" s="29" t="s">
        <v>558</v>
      </c>
      <c r="F6618" s="29" t="s">
        <v>282</v>
      </c>
      <c r="G6618" s="25" t="s">
        <v>8288</v>
      </c>
      <c r="H6618" s="26">
        <v>-0.49722709999999998</v>
      </c>
      <c r="I6618" s="26"/>
      <c r="J6618" s="26" t="s">
        <v>514</v>
      </c>
      <c r="K6618" s="25" t="s">
        <v>513</v>
      </c>
      <c r="L6618" s="8"/>
    </row>
    <row r="6619" spans="1:12" ht="25.5" x14ac:dyDescent="0.25">
      <c r="A6619" s="22">
        <v>2026</v>
      </c>
      <c r="B6619" s="28" t="s">
        <v>237</v>
      </c>
      <c r="C6619" s="28" t="s">
        <v>97</v>
      </c>
      <c r="D6619" s="28" t="s">
        <v>536</v>
      </c>
      <c r="E6619" s="29" t="s">
        <v>558</v>
      </c>
      <c r="F6619" s="29" t="s">
        <v>282</v>
      </c>
      <c r="G6619" s="25" t="s">
        <v>8289</v>
      </c>
      <c r="H6619" s="26">
        <v>-0.49181405</v>
      </c>
      <c r="I6619" s="26"/>
      <c r="J6619" s="26" t="s">
        <v>514</v>
      </c>
      <c r="K6619" s="25" t="s">
        <v>513</v>
      </c>
      <c r="L6619" s="8"/>
    </row>
    <row r="6620" spans="1:12" ht="25.5" x14ac:dyDescent="0.25">
      <c r="A6620" s="22">
        <v>2026</v>
      </c>
      <c r="B6620" s="28" t="s">
        <v>237</v>
      </c>
      <c r="C6620" s="28" t="s">
        <v>97</v>
      </c>
      <c r="D6620" s="28" t="s">
        <v>536</v>
      </c>
      <c r="E6620" s="29" t="s">
        <v>558</v>
      </c>
      <c r="F6620" s="29" t="s">
        <v>282</v>
      </c>
      <c r="G6620" s="25" t="s">
        <v>8290</v>
      </c>
      <c r="H6620" s="26">
        <v>-0.49314540000000001</v>
      </c>
      <c r="I6620" s="26"/>
      <c r="J6620" s="26" t="s">
        <v>514</v>
      </c>
      <c r="K6620" s="25" t="s">
        <v>513</v>
      </c>
      <c r="L6620" s="8"/>
    </row>
    <row r="6621" spans="1:12" ht="25.5" x14ac:dyDescent="0.25">
      <c r="A6621" s="22">
        <v>2026</v>
      </c>
      <c r="B6621" s="28" t="s">
        <v>237</v>
      </c>
      <c r="C6621" s="28" t="s">
        <v>97</v>
      </c>
      <c r="D6621" s="28" t="s">
        <v>536</v>
      </c>
      <c r="E6621" s="29" t="s">
        <v>558</v>
      </c>
      <c r="F6621" s="29" t="s">
        <v>282</v>
      </c>
      <c r="G6621" s="25" t="s">
        <v>8291</v>
      </c>
      <c r="H6621" s="26">
        <v>-0.49740670000000003</v>
      </c>
      <c r="I6621" s="26"/>
      <c r="J6621" s="26" t="s">
        <v>514</v>
      </c>
      <c r="K6621" s="25" t="s">
        <v>513</v>
      </c>
      <c r="L6621" s="8"/>
    </row>
    <row r="6622" spans="1:12" ht="25.5" x14ac:dyDescent="0.25">
      <c r="A6622" s="22">
        <v>2026</v>
      </c>
      <c r="B6622" s="28" t="s">
        <v>237</v>
      </c>
      <c r="C6622" s="28" t="s">
        <v>97</v>
      </c>
      <c r="D6622" s="28" t="s">
        <v>536</v>
      </c>
      <c r="E6622" s="29" t="s">
        <v>558</v>
      </c>
      <c r="F6622" s="29" t="s">
        <v>282</v>
      </c>
      <c r="G6622" s="25" t="s">
        <v>8292</v>
      </c>
      <c r="H6622" s="26">
        <v>-0.49998749999999997</v>
      </c>
      <c r="I6622" s="26"/>
      <c r="J6622" s="26" t="s">
        <v>514</v>
      </c>
      <c r="K6622" s="25" t="s">
        <v>513</v>
      </c>
      <c r="L6622" s="8"/>
    </row>
    <row r="6623" spans="1:12" ht="25.5" x14ac:dyDescent="0.25">
      <c r="A6623" s="22">
        <v>2026</v>
      </c>
      <c r="B6623" s="28" t="s">
        <v>237</v>
      </c>
      <c r="C6623" s="28" t="s">
        <v>97</v>
      </c>
      <c r="D6623" s="28" t="s">
        <v>536</v>
      </c>
      <c r="E6623" s="29" t="s">
        <v>558</v>
      </c>
      <c r="F6623" s="29" t="s">
        <v>282</v>
      </c>
      <c r="G6623" s="25" t="s">
        <v>8293</v>
      </c>
      <c r="H6623" s="26">
        <v>-0.49172759999999999</v>
      </c>
      <c r="I6623" s="26"/>
      <c r="J6623" s="26" t="s">
        <v>514</v>
      </c>
      <c r="K6623" s="25" t="s">
        <v>513</v>
      </c>
      <c r="L6623" s="8"/>
    </row>
    <row r="6624" spans="1:12" ht="25.5" x14ac:dyDescent="0.25">
      <c r="A6624" s="22">
        <v>2026</v>
      </c>
      <c r="B6624" s="28" t="s">
        <v>237</v>
      </c>
      <c r="C6624" s="28" t="s">
        <v>97</v>
      </c>
      <c r="D6624" s="28" t="s">
        <v>536</v>
      </c>
      <c r="E6624" s="29" t="s">
        <v>558</v>
      </c>
      <c r="F6624" s="29" t="s">
        <v>282</v>
      </c>
      <c r="G6624" s="25" t="s">
        <v>8294</v>
      </c>
      <c r="H6624" s="26">
        <v>-0.49649680000000002</v>
      </c>
      <c r="I6624" s="26"/>
      <c r="J6624" s="26" t="s">
        <v>514</v>
      </c>
      <c r="K6624" s="25" t="s">
        <v>513</v>
      </c>
      <c r="L6624" s="8"/>
    </row>
    <row r="6625" spans="1:12" ht="25.5" x14ac:dyDescent="0.25">
      <c r="A6625" s="22">
        <v>2026</v>
      </c>
      <c r="B6625" s="28" t="s">
        <v>237</v>
      </c>
      <c r="C6625" s="28" t="s">
        <v>97</v>
      </c>
      <c r="D6625" s="28" t="s">
        <v>536</v>
      </c>
      <c r="E6625" s="29" t="s">
        <v>558</v>
      </c>
      <c r="F6625" s="29" t="s">
        <v>282</v>
      </c>
      <c r="G6625" s="25" t="s">
        <v>8295</v>
      </c>
      <c r="H6625" s="26">
        <v>-0.49651690000000004</v>
      </c>
      <c r="I6625" s="26"/>
      <c r="J6625" s="26" t="s">
        <v>514</v>
      </c>
      <c r="K6625" s="25" t="s">
        <v>513</v>
      </c>
      <c r="L6625" s="8"/>
    </row>
    <row r="6626" spans="1:12" ht="25.5" x14ac:dyDescent="0.25">
      <c r="A6626" s="22">
        <v>2026</v>
      </c>
      <c r="B6626" s="28" t="s">
        <v>237</v>
      </c>
      <c r="C6626" s="28" t="s">
        <v>97</v>
      </c>
      <c r="D6626" s="28" t="s">
        <v>536</v>
      </c>
      <c r="E6626" s="29" t="s">
        <v>558</v>
      </c>
      <c r="F6626" s="29" t="s">
        <v>282</v>
      </c>
      <c r="G6626" s="25" t="s">
        <v>8296</v>
      </c>
      <c r="H6626" s="26">
        <v>-0.49105320000000002</v>
      </c>
      <c r="I6626" s="26"/>
      <c r="J6626" s="26" t="s">
        <v>514</v>
      </c>
      <c r="K6626" s="25" t="s">
        <v>513</v>
      </c>
      <c r="L6626" s="8"/>
    </row>
    <row r="6627" spans="1:12" ht="25.5" x14ac:dyDescent="0.25">
      <c r="A6627" s="22">
        <v>2026</v>
      </c>
      <c r="B6627" s="28" t="s">
        <v>237</v>
      </c>
      <c r="C6627" s="28" t="s">
        <v>97</v>
      </c>
      <c r="D6627" s="28" t="s">
        <v>536</v>
      </c>
      <c r="E6627" s="29" t="s">
        <v>558</v>
      </c>
      <c r="F6627" s="29" t="s">
        <v>282</v>
      </c>
      <c r="G6627" s="25" t="s">
        <v>8297</v>
      </c>
      <c r="H6627" s="26">
        <v>-0.49269659999999998</v>
      </c>
      <c r="I6627" s="26"/>
      <c r="J6627" s="26" t="s">
        <v>514</v>
      </c>
      <c r="K6627" s="25" t="s">
        <v>513</v>
      </c>
      <c r="L6627" s="8"/>
    </row>
    <row r="6628" spans="1:12" ht="25.5" x14ac:dyDescent="0.25">
      <c r="A6628" s="22">
        <v>2026</v>
      </c>
      <c r="B6628" s="28" t="s">
        <v>237</v>
      </c>
      <c r="C6628" s="28" t="s">
        <v>97</v>
      </c>
      <c r="D6628" s="28" t="s">
        <v>536</v>
      </c>
      <c r="E6628" s="29" t="s">
        <v>558</v>
      </c>
      <c r="F6628" s="29" t="s">
        <v>282</v>
      </c>
      <c r="G6628" s="25" t="s">
        <v>8298</v>
      </c>
      <c r="H6628" s="26">
        <v>-0.49200690000000002</v>
      </c>
      <c r="I6628" s="26"/>
      <c r="J6628" s="26" t="s">
        <v>514</v>
      </c>
      <c r="K6628" s="25" t="s">
        <v>513</v>
      </c>
      <c r="L6628" s="8"/>
    </row>
    <row r="6629" spans="1:12" ht="25.5" x14ac:dyDescent="0.25">
      <c r="A6629" s="22">
        <v>2026</v>
      </c>
      <c r="B6629" s="28" t="s">
        <v>237</v>
      </c>
      <c r="C6629" s="28" t="s">
        <v>97</v>
      </c>
      <c r="D6629" s="28" t="s">
        <v>536</v>
      </c>
      <c r="E6629" s="29" t="s">
        <v>558</v>
      </c>
      <c r="F6629" s="29" t="s">
        <v>282</v>
      </c>
      <c r="G6629" s="25" t="s">
        <v>8299</v>
      </c>
      <c r="H6629" s="26">
        <v>-0.48836934999999998</v>
      </c>
      <c r="I6629" s="26"/>
      <c r="J6629" s="26" t="s">
        <v>514</v>
      </c>
      <c r="K6629" s="25" t="s">
        <v>513</v>
      </c>
      <c r="L6629" s="8"/>
    </row>
    <row r="6630" spans="1:12" ht="25.5" x14ac:dyDescent="0.25">
      <c r="A6630" s="22">
        <v>2026</v>
      </c>
      <c r="B6630" s="28" t="s">
        <v>237</v>
      </c>
      <c r="C6630" s="28" t="s">
        <v>97</v>
      </c>
      <c r="D6630" s="28" t="s">
        <v>1749</v>
      </c>
      <c r="E6630" s="29" t="s">
        <v>1780</v>
      </c>
      <c r="F6630" s="29" t="s">
        <v>343</v>
      </c>
      <c r="G6630" s="25" t="s">
        <v>8300</v>
      </c>
      <c r="H6630" s="26">
        <v>-8.7639999999999996E-2</v>
      </c>
      <c r="I6630" s="26"/>
      <c r="J6630" s="26" t="s">
        <v>512</v>
      </c>
      <c r="K6630" s="25" t="s">
        <v>513</v>
      </c>
      <c r="L6630" s="8"/>
    </row>
    <row r="6631" spans="1:12" ht="25.5" x14ac:dyDescent="0.25">
      <c r="A6631" s="22">
        <v>2026</v>
      </c>
      <c r="B6631" s="28" t="s">
        <v>237</v>
      </c>
      <c r="C6631" s="28" t="s">
        <v>97</v>
      </c>
      <c r="D6631" s="28" t="s">
        <v>1749</v>
      </c>
      <c r="E6631" s="29" t="s">
        <v>1780</v>
      </c>
      <c r="F6631" s="29" t="s">
        <v>343</v>
      </c>
      <c r="G6631" s="25" t="s">
        <v>8301</v>
      </c>
      <c r="H6631" s="26">
        <v>-0.13092000000000001</v>
      </c>
      <c r="I6631" s="26"/>
      <c r="J6631" s="26" t="s">
        <v>512</v>
      </c>
      <c r="K6631" s="25" t="s">
        <v>513</v>
      </c>
      <c r="L6631" s="8"/>
    </row>
    <row r="6632" spans="1:12" ht="25.5" x14ac:dyDescent="0.25">
      <c r="A6632" s="22">
        <v>2026</v>
      </c>
      <c r="B6632" s="28" t="s">
        <v>237</v>
      </c>
      <c r="C6632" s="28" t="s">
        <v>97</v>
      </c>
      <c r="D6632" s="28" t="s">
        <v>1749</v>
      </c>
      <c r="E6632" s="29" t="s">
        <v>1780</v>
      </c>
      <c r="F6632" s="29" t="s">
        <v>343</v>
      </c>
      <c r="G6632" s="25" t="s">
        <v>8302</v>
      </c>
      <c r="H6632" s="26">
        <v>-0.10979999999999999</v>
      </c>
      <c r="I6632" s="26"/>
      <c r="J6632" s="26" t="s">
        <v>512</v>
      </c>
      <c r="K6632" s="25" t="s">
        <v>513</v>
      </c>
      <c r="L6632" s="8"/>
    </row>
    <row r="6633" spans="1:12" ht="25.5" x14ac:dyDescent="0.25">
      <c r="A6633" s="22">
        <v>2026</v>
      </c>
      <c r="B6633" s="28" t="s">
        <v>237</v>
      </c>
      <c r="C6633" s="28" t="s">
        <v>97</v>
      </c>
      <c r="D6633" s="28" t="s">
        <v>1749</v>
      </c>
      <c r="E6633" s="29" t="s">
        <v>1780</v>
      </c>
      <c r="F6633" s="29" t="s">
        <v>343</v>
      </c>
      <c r="G6633" s="25" t="s">
        <v>8303</v>
      </c>
      <c r="H6633" s="26">
        <v>-6.4327999999999996E-2</v>
      </c>
      <c r="I6633" s="26"/>
      <c r="J6633" s="26" t="s">
        <v>512</v>
      </c>
      <c r="K6633" s="25" t="s">
        <v>513</v>
      </c>
      <c r="L6633" s="8"/>
    </row>
    <row r="6634" spans="1:12" ht="25.5" x14ac:dyDescent="0.25">
      <c r="A6634" s="22">
        <v>2026</v>
      </c>
      <c r="B6634" s="28" t="s">
        <v>237</v>
      </c>
      <c r="C6634" s="28" t="s">
        <v>97</v>
      </c>
      <c r="D6634" s="28" t="s">
        <v>1749</v>
      </c>
      <c r="E6634" s="29" t="s">
        <v>1780</v>
      </c>
      <c r="F6634" s="29" t="s">
        <v>343</v>
      </c>
      <c r="G6634" s="25" t="s">
        <v>8304</v>
      </c>
      <c r="H6634" s="26">
        <v>-6.5970000000000001E-2</v>
      </c>
      <c r="I6634" s="26"/>
      <c r="J6634" s="26" t="s">
        <v>512</v>
      </c>
      <c r="K6634" s="25" t="s">
        <v>513</v>
      </c>
      <c r="L6634" s="8"/>
    </row>
    <row r="6635" spans="1:12" ht="25.5" x14ac:dyDescent="0.25">
      <c r="A6635" s="22">
        <v>2026</v>
      </c>
      <c r="B6635" s="28" t="s">
        <v>237</v>
      </c>
      <c r="C6635" s="28" t="s">
        <v>97</v>
      </c>
      <c r="D6635" s="28" t="s">
        <v>1749</v>
      </c>
      <c r="E6635" s="29" t="s">
        <v>1780</v>
      </c>
      <c r="F6635" s="29" t="s">
        <v>343</v>
      </c>
      <c r="G6635" s="25" t="s">
        <v>8305</v>
      </c>
      <c r="H6635" s="26">
        <v>-6.3092984010000006E-2</v>
      </c>
      <c r="I6635" s="26"/>
      <c r="J6635" s="26" t="s">
        <v>512</v>
      </c>
      <c r="K6635" s="25" t="s">
        <v>513</v>
      </c>
      <c r="L6635" s="8"/>
    </row>
    <row r="6636" spans="1:12" ht="25.5" x14ac:dyDescent="0.25">
      <c r="A6636" s="22">
        <v>2026</v>
      </c>
      <c r="B6636" s="28" t="s">
        <v>237</v>
      </c>
      <c r="C6636" s="28" t="s">
        <v>97</v>
      </c>
      <c r="D6636" s="28" t="s">
        <v>1749</v>
      </c>
      <c r="E6636" s="29" t="s">
        <v>1780</v>
      </c>
      <c r="F6636" s="29" t="s">
        <v>343</v>
      </c>
      <c r="G6636" s="25" t="s">
        <v>8306</v>
      </c>
      <c r="H6636" s="26">
        <v>-4.3999999999999997E-2</v>
      </c>
      <c r="I6636" s="26"/>
      <c r="J6636" s="26" t="s">
        <v>512</v>
      </c>
      <c r="K6636" s="25" t="s">
        <v>513</v>
      </c>
      <c r="L6636" s="8"/>
    </row>
    <row r="6637" spans="1:12" ht="25.5" x14ac:dyDescent="0.25">
      <c r="A6637" s="22">
        <v>2026</v>
      </c>
      <c r="B6637" s="28" t="s">
        <v>237</v>
      </c>
      <c r="C6637" s="28" t="s">
        <v>97</v>
      </c>
      <c r="D6637" s="28" t="s">
        <v>1749</v>
      </c>
      <c r="E6637" s="29" t="s">
        <v>1780</v>
      </c>
      <c r="F6637" s="29" t="s">
        <v>343</v>
      </c>
      <c r="G6637" s="25" t="s">
        <v>8307</v>
      </c>
      <c r="H6637" s="26">
        <v>-5.5050000000000002E-2</v>
      </c>
      <c r="I6637" s="26"/>
      <c r="J6637" s="26" t="s">
        <v>512</v>
      </c>
      <c r="K6637" s="25" t="s">
        <v>513</v>
      </c>
      <c r="L6637" s="8"/>
    </row>
    <row r="6638" spans="1:12" ht="25.5" x14ac:dyDescent="0.25">
      <c r="A6638" s="22">
        <v>2026</v>
      </c>
      <c r="B6638" s="28" t="s">
        <v>237</v>
      </c>
      <c r="C6638" s="28" t="s">
        <v>97</v>
      </c>
      <c r="D6638" s="28" t="s">
        <v>1749</v>
      </c>
      <c r="E6638" s="29" t="s">
        <v>1780</v>
      </c>
      <c r="F6638" s="29" t="s">
        <v>343</v>
      </c>
      <c r="G6638" s="25" t="s">
        <v>8308</v>
      </c>
      <c r="H6638" s="26">
        <v>-4.36E-2</v>
      </c>
      <c r="I6638" s="26"/>
      <c r="J6638" s="26" t="s">
        <v>512</v>
      </c>
      <c r="K6638" s="25" t="s">
        <v>513</v>
      </c>
      <c r="L6638" s="8"/>
    </row>
    <row r="6639" spans="1:12" ht="25.5" x14ac:dyDescent="0.25">
      <c r="A6639" s="22">
        <v>2026</v>
      </c>
      <c r="B6639" s="28" t="s">
        <v>237</v>
      </c>
      <c r="C6639" s="28" t="s">
        <v>97</v>
      </c>
      <c r="D6639" s="28" t="s">
        <v>1749</v>
      </c>
      <c r="E6639" s="29" t="s">
        <v>1780</v>
      </c>
      <c r="F6639" s="29" t="s">
        <v>343</v>
      </c>
      <c r="G6639" s="25" t="s">
        <v>8309</v>
      </c>
      <c r="H6639" s="26">
        <v>-5.3999999999999999E-2</v>
      </c>
      <c r="I6639" s="26"/>
      <c r="J6639" s="26" t="s">
        <v>512</v>
      </c>
      <c r="K6639" s="25" t="s">
        <v>513</v>
      </c>
      <c r="L6639" s="8"/>
    </row>
    <row r="6640" spans="1:12" ht="25.5" x14ac:dyDescent="0.25">
      <c r="A6640" s="22">
        <v>2026</v>
      </c>
      <c r="B6640" s="28" t="s">
        <v>237</v>
      </c>
      <c r="C6640" s="28" t="s">
        <v>97</v>
      </c>
      <c r="D6640" s="28" t="s">
        <v>1749</v>
      </c>
      <c r="E6640" s="29" t="s">
        <v>1780</v>
      </c>
      <c r="F6640" s="29" t="s">
        <v>343</v>
      </c>
      <c r="G6640" s="25" t="s">
        <v>8310</v>
      </c>
      <c r="H6640" s="26">
        <v>-5.45E-2</v>
      </c>
      <c r="I6640" s="26"/>
      <c r="J6640" s="26" t="s">
        <v>512</v>
      </c>
      <c r="K6640" s="25" t="s">
        <v>513</v>
      </c>
      <c r="L6640" s="8"/>
    </row>
    <row r="6641" spans="1:12" ht="25.5" x14ac:dyDescent="0.25">
      <c r="A6641" s="22">
        <v>2026</v>
      </c>
      <c r="B6641" s="28" t="s">
        <v>237</v>
      </c>
      <c r="C6641" s="28" t="s">
        <v>97</v>
      </c>
      <c r="D6641" s="28" t="s">
        <v>1749</v>
      </c>
      <c r="E6641" s="29" t="s">
        <v>1780</v>
      </c>
      <c r="F6641" s="29" t="s">
        <v>343</v>
      </c>
      <c r="G6641" s="25" t="s">
        <v>8306</v>
      </c>
      <c r="H6641" s="26">
        <v>-4.3999999999999997E-2</v>
      </c>
      <c r="I6641" s="26"/>
      <c r="J6641" s="26" t="s">
        <v>512</v>
      </c>
      <c r="K6641" s="25" t="s">
        <v>513</v>
      </c>
      <c r="L6641" s="8"/>
    </row>
    <row r="6642" spans="1:12" ht="25.5" x14ac:dyDescent="0.25">
      <c r="A6642" s="22">
        <v>2026</v>
      </c>
      <c r="B6642" s="28" t="s">
        <v>237</v>
      </c>
      <c r="C6642" s="28" t="s">
        <v>97</v>
      </c>
      <c r="D6642" s="28" t="s">
        <v>1749</v>
      </c>
      <c r="E6642" s="29" t="s">
        <v>1780</v>
      </c>
      <c r="F6642" s="29" t="s">
        <v>343</v>
      </c>
      <c r="G6642" s="25" t="s">
        <v>8311</v>
      </c>
      <c r="H6642" s="26">
        <v>-4.3600000000000003E-4</v>
      </c>
      <c r="I6642" s="26"/>
      <c r="J6642" s="26" t="s">
        <v>512</v>
      </c>
      <c r="K6642" s="25" t="s">
        <v>513</v>
      </c>
      <c r="L6642" s="8"/>
    </row>
    <row r="6643" spans="1:12" ht="25.5" x14ac:dyDescent="0.25">
      <c r="A6643" s="22">
        <v>2026</v>
      </c>
      <c r="B6643" s="28" t="s">
        <v>237</v>
      </c>
      <c r="C6643" s="28" t="s">
        <v>97</v>
      </c>
      <c r="D6643" s="28" t="s">
        <v>255</v>
      </c>
      <c r="E6643" s="29" t="s">
        <v>255</v>
      </c>
      <c r="F6643" s="29" t="s">
        <v>325</v>
      </c>
      <c r="G6643" s="25" t="s">
        <v>8312</v>
      </c>
      <c r="H6643" s="26">
        <v>-0.73951999999999996</v>
      </c>
      <c r="I6643" s="26"/>
      <c r="J6643" s="26" t="s">
        <v>512</v>
      </c>
      <c r="K6643" s="25" t="s">
        <v>513</v>
      </c>
      <c r="L6643" s="8"/>
    </row>
    <row r="6644" spans="1:12" ht="25.5" x14ac:dyDescent="0.25">
      <c r="A6644" s="22">
        <v>2026</v>
      </c>
      <c r="B6644" s="28" t="s">
        <v>237</v>
      </c>
      <c r="C6644" s="28" t="s">
        <v>97</v>
      </c>
      <c r="D6644" s="28" t="s">
        <v>255</v>
      </c>
      <c r="E6644" s="29" t="s">
        <v>255</v>
      </c>
      <c r="F6644" s="29" t="s">
        <v>325</v>
      </c>
      <c r="G6644" s="25" t="s">
        <v>8313</v>
      </c>
      <c r="H6644" s="26">
        <v>-0.80989999999999995</v>
      </c>
      <c r="I6644" s="26"/>
      <c r="J6644" s="26" t="s">
        <v>512</v>
      </c>
      <c r="K6644" s="25" t="s">
        <v>513</v>
      </c>
      <c r="L6644" s="8"/>
    </row>
    <row r="6645" spans="1:12" ht="25.5" x14ac:dyDescent="0.25">
      <c r="A6645" s="22">
        <v>2026</v>
      </c>
      <c r="B6645" s="28" t="s">
        <v>237</v>
      </c>
      <c r="C6645" s="28" t="s">
        <v>97</v>
      </c>
      <c r="D6645" s="28" t="s">
        <v>255</v>
      </c>
      <c r="E6645" s="29" t="s">
        <v>255</v>
      </c>
      <c r="F6645" s="29" t="s">
        <v>325</v>
      </c>
      <c r="G6645" s="25" t="s">
        <v>8314</v>
      </c>
      <c r="H6645" s="26">
        <v>-0.34470000000000001</v>
      </c>
      <c r="I6645" s="26"/>
      <c r="J6645" s="26" t="s">
        <v>512</v>
      </c>
      <c r="K6645" s="25" t="s">
        <v>513</v>
      </c>
      <c r="L6645" s="8"/>
    </row>
    <row r="6646" spans="1:12" ht="25.5" x14ac:dyDescent="0.25">
      <c r="A6646" s="22">
        <v>2026</v>
      </c>
      <c r="B6646" s="28" t="s">
        <v>237</v>
      </c>
      <c r="C6646" s="28" t="s">
        <v>97</v>
      </c>
      <c r="D6646" s="28" t="s">
        <v>255</v>
      </c>
      <c r="E6646" s="29" t="s">
        <v>255</v>
      </c>
      <c r="F6646" s="29" t="s">
        <v>325</v>
      </c>
      <c r="G6646" s="25" t="s">
        <v>8315</v>
      </c>
      <c r="H6646" s="26">
        <v>-0.45739999999999997</v>
      </c>
      <c r="I6646" s="26"/>
      <c r="J6646" s="26" t="s">
        <v>512</v>
      </c>
      <c r="K6646" s="25" t="s">
        <v>513</v>
      </c>
      <c r="L6646" s="8"/>
    </row>
    <row r="6647" spans="1:12" ht="25.5" x14ac:dyDescent="0.25">
      <c r="A6647" s="22">
        <v>2026</v>
      </c>
      <c r="B6647" s="28" t="s">
        <v>237</v>
      </c>
      <c r="C6647" s="28" t="s">
        <v>97</v>
      </c>
      <c r="D6647" s="28" t="s">
        <v>255</v>
      </c>
      <c r="E6647" s="29" t="s">
        <v>255</v>
      </c>
      <c r="F6647" s="29" t="s">
        <v>325</v>
      </c>
      <c r="G6647" s="25" t="s">
        <v>8316</v>
      </c>
      <c r="H6647" s="26">
        <v>-1.1425000000000001</v>
      </c>
      <c r="I6647" s="26"/>
      <c r="J6647" s="26" t="s">
        <v>512</v>
      </c>
      <c r="K6647" s="25" t="s">
        <v>513</v>
      </c>
      <c r="L6647" s="8"/>
    </row>
    <row r="6648" spans="1:12" ht="25.5" x14ac:dyDescent="0.25">
      <c r="A6648" s="22">
        <v>2026</v>
      </c>
      <c r="B6648" s="28" t="s">
        <v>237</v>
      </c>
      <c r="C6648" s="28" t="s">
        <v>97</v>
      </c>
      <c r="D6648" s="28" t="s">
        <v>255</v>
      </c>
      <c r="E6648" s="29" t="s">
        <v>255</v>
      </c>
      <c r="F6648" s="29" t="s">
        <v>325</v>
      </c>
      <c r="G6648" s="25" t="s">
        <v>8317</v>
      </c>
      <c r="H6648" s="26">
        <v>-0.60995999999999995</v>
      </c>
      <c r="I6648" s="26"/>
      <c r="J6648" s="26" t="s">
        <v>512</v>
      </c>
      <c r="K6648" s="25" t="s">
        <v>513</v>
      </c>
      <c r="L6648" s="8"/>
    </row>
    <row r="6649" spans="1:12" ht="25.5" x14ac:dyDescent="0.25">
      <c r="A6649" s="22">
        <v>2026</v>
      </c>
      <c r="B6649" s="28" t="s">
        <v>237</v>
      </c>
      <c r="C6649" s="28" t="s">
        <v>97</v>
      </c>
      <c r="D6649" s="28" t="s">
        <v>255</v>
      </c>
      <c r="E6649" s="29" t="s">
        <v>255</v>
      </c>
      <c r="F6649" s="29" t="s">
        <v>325</v>
      </c>
      <c r="G6649" s="25" t="s">
        <v>8318</v>
      </c>
      <c r="H6649" s="26">
        <v>-0.69840000000000002</v>
      </c>
      <c r="I6649" s="26"/>
      <c r="J6649" s="26" t="s">
        <v>512</v>
      </c>
      <c r="K6649" s="25" t="s">
        <v>513</v>
      </c>
      <c r="L6649" s="8"/>
    </row>
    <row r="6650" spans="1:12" ht="25.5" x14ac:dyDescent="0.25">
      <c r="A6650" s="22">
        <v>2026</v>
      </c>
      <c r="B6650" s="28" t="s">
        <v>237</v>
      </c>
      <c r="C6650" s="28" t="s">
        <v>97</v>
      </c>
      <c r="D6650" s="28" t="s">
        <v>255</v>
      </c>
      <c r="E6650" s="29" t="s">
        <v>255</v>
      </c>
      <c r="F6650" s="29" t="s">
        <v>325</v>
      </c>
      <c r="G6650" s="25" t="s">
        <v>8319</v>
      </c>
      <c r="H6650" s="26">
        <v>-0.95722220999999996</v>
      </c>
      <c r="I6650" s="26"/>
      <c r="J6650" s="26" t="s">
        <v>512</v>
      </c>
      <c r="K6650" s="25" t="s">
        <v>513</v>
      </c>
      <c r="L6650" s="8"/>
    </row>
    <row r="6651" spans="1:12" ht="25.5" x14ac:dyDescent="0.25">
      <c r="A6651" s="22">
        <v>2026</v>
      </c>
      <c r="B6651" s="28" t="s">
        <v>237</v>
      </c>
      <c r="C6651" s="28" t="s">
        <v>97</v>
      </c>
      <c r="D6651" s="28" t="s">
        <v>255</v>
      </c>
      <c r="E6651" s="29" t="s">
        <v>255</v>
      </c>
      <c r="F6651" s="29" t="s">
        <v>325</v>
      </c>
      <c r="G6651" s="25" t="s">
        <v>8320</v>
      </c>
      <c r="H6651" s="26">
        <v>-0.23139999999999999</v>
      </c>
      <c r="I6651" s="26"/>
      <c r="J6651" s="26" t="s">
        <v>512</v>
      </c>
      <c r="K6651" s="25" t="s">
        <v>513</v>
      </c>
      <c r="L6651" s="8"/>
    </row>
    <row r="6652" spans="1:12" ht="25.5" x14ac:dyDescent="0.25">
      <c r="A6652" s="22">
        <v>2026</v>
      </c>
      <c r="B6652" s="28" t="s">
        <v>237</v>
      </c>
      <c r="C6652" s="28" t="s">
        <v>97</v>
      </c>
      <c r="D6652" s="28" t="s">
        <v>255</v>
      </c>
      <c r="E6652" s="29" t="s">
        <v>255</v>
      </c>
      <c r="F6652" s="29" t="s">
        <v>325</v>
      </c>
      <c r="G6652" s="25" t="s">
        <v>8321</v>
      </c>
      <c r="H6652" s="26">
        <v>-0.50753999999999999</v>
      </c>
      <c r="I6652" s="26"/>
      <c r="J6652" s="26" t="s">
        <v>512</v>
      </c>
      <c r="K6652" s="25" t="s">
        <v>513</v>
      </c>
      <c r="L6652" s="8"/>
    </row>
    <row r="6653" spans="1:12" ht="25.5" x14ac:dyDescent="0.25">
      <c r="A6653" s="22">
        <v>2026</v>
      </c>
      <c r="B6653" s="28" t="s">
        <v>237</v>
      </c>
      <c r="C6653" s="28" t="s">
        <v>97</v>
      </c>
      <c r="D6653" s="28" t="s">
        <v>255</v>
      </c>
      <c r="E6653" s="29" t="s">
        <v>255</v>
      </c>
      <c r="F6653" s="29" t="s">
        <v>325</v>
      </c>
      <c r="G6653" s="25" t="s">
        <v>8322</v>
      </c>
      <c r="H6653" s="26">
        <v>-0.69089999999999996</v>
      </c>
      <c r="I6653" s="26"/>
      <c r="J6653" s="26" t="s">
        <v>512</v>
      </c>
      <c r="K6653" s="25" t="s">
        <v>513</v>
      </c>
      <c r="L6653" s="8"/>
    </row>
    <row r="6654" spans="1:12" ht="25.5" x14ac:dyDescent="0.25">
      <c r="A6654" s="22">
        <v>2026</v>
      </c>
      <c r="B6654" s="28" t="s">
        <v>237</v>
      </c>
      <c r="C6654" s="28" t="s">
        <v>97</v>
      </c>
      <c r="D6654" s="28" t="s">
        <v>255</v>
      </c>
      <c r="E6654" s="29" t="s">
        <v>255</v>
      </c>
      <c r="F6654" s="29" t="s">
        <v>325</v>
      </c>
      <c r="G6654" s="25" t="s">
        <v>8323</v>
      </c>
      <c r="H6654" s="26">
        <v>-0.90839999999999999</v>
      </c>
      <c r="I6654" s="26"/>
      <c r="J6654" s="26" t="s">
        <v>512</v>
      </c>
      <c r="K6654" s="25" t="s">
        <v>513</v>
      </c>
      <c r="L6654" s="8"/>
    </row>
    <row r="6655" spans="1:12" ht="25.5" x14ac:dyDescent="0.25">
      <c r="A6655" s="22">
        <v>2026</v>
      </c>
      <c r="B6655" s="28" t="s">
        <v>237</v>
      </c>
      <c r="C6655" s="28" t="s">
        <v>97</v>
      </c>
      <c r="D6655" s="28" t="s">
        <v>255</v>
      </c>
      <c r="E6655" s="29" t="s">
        <v>255</v>
      </c>
      <c r="F6655" s="29" t="s">
        <v>325</v>
      </c>
      <c r="G6655" s="25" t="s">
        <v>8324</v>
      </c>
      <c r="H6655" s="26">
        <v>-0.52485999999999999</v>
      </c>
      <c r="I6655" s="26"/>
      <c r="J6655" s="26" t="s">
        <v>512</v>
      </c>
      <c r="K6655" s="25" t="s">
        <v>513</v>
      </c>
      <c r="L6655" s="8"/>
    </row>
    <row r="6656" spans="1:12" ht="25.5" x14ac:dyDescent="0.25">
      <c r="A6656" s="22">
        <v>2026</v>
      </c>
      <c r="B6656" s="28" t="s">
        <v>237</v>
      </c>
      <c r="C6656" s="28" t="s">
        <v>97</v>
      </c>
      <c r="D6656" s="28" t="s">
        <v>255</v>
      </c>
      <c r="E6656" s="29" t="s">
        <v>255</v>
      </c>
      <c r="F6656" s="29" t="s">
        <v>325</v>
      </c>
      <c r="G6656" s="25" t="s">
        <v>8325</v>
      </c>
      <c r="H6656" s="26">
        <v>-0.34260000000000002</v>
      </c>
      <c r="I6656" s="26"/>
      <c r="J6656" s="26" t="s">
        <v>512</v>
      </c>
      <c r="K6656" s="25" t="s">
        <v>513</v>
      </c>
      <c r="L6656" s="8"/>
    </row>
    <row r="6657" spans="1:12" ht="25.5" x14ac:dyDescent="0.25">
      <c r="A6657" s="22">
        <v>2026</v>
      </c>
      <c r="B6657" s="28" t="s">
        <v>237</v>
      </c>
      <c r="C6657" s="28" t="s">
        <v>97</v>
      </c>
      <c r="D6657" s="28" t="s">
        <v>255</v>
      </c>
      <c r="E6657" s="29" t="s">
        <v>255</v>
      </c>
      <c r="F6657" s="29" t="s">
        <v>325</v>
      </c>
      <c r="G6657" s="25" t="s">
        <v>8326</v>
      </c>
      <c r="H6657" s="26">
        <v>-1.8271999999999999</v>
      </c>
      <c r="I6657" s="26"/>
      <c r="J6657" s="26" t="s">
        <v>512</v>
      </c>
      <c r="K6657" s="25" t="s">
        <v>513</v>
      </c>
      <c r="L6657" s="8"/>
    </row>
    <row r="6658" spans="1:12" ht="25.5" x14ac:dyDescent="0.25">
      <c r="A6658" s="22">
        <v>2026</v>
      </c>
      <c r="B6658" s="28" t="s">
        <v>237</v>
      </c>
      <c r="C6658" s="28" t="s">
        <v>97</v>
      </c>
      <c r="D6658" s="28" t="s">
        <v>255</v>
      </c>
      <c r="E6658" s="29" t="s">
        <v>255</v>
      </c>
      <c r="F6658" s="29" t="s">
        <v>325</v>
      </c>
      <c r="G6658" s="25" t="s">
        <v>8327</v>
      </c>
      <c r="H6658" s="26">
        <v>-0.91679999999999995</v>
      </c>
      <c r="I6658" s="26"/>
      <c r="J6658" s="26" t="s">
        <v>512</v>
      </c>
      <c r="K6658" s="25" t="s">
        <v>513</v>
      </c>
      <c r="L6658" s="8"/>
    </row>
    <row r="6659" spans="1:12" ht="25.5" x14ac:dyDescent="0.25">
      <c r="A6659" s="22">
        <v>2026</v>
      </c>
      <c r="B6659" s="28" t="s">
        <v>237</v>
      </c>
      <c r="C6659" s="28" t="s">
        <v>97</v>
      </c>
      <c r="D6659" s="28" t="s">
        <v>243</v>
      </c>
      <c r="E6659" s="29" t="s">
        <v>446</v>
      </c>
      <c r="F6659" s="29" t="s">
        <v>343</v>
      </c>
      <c r="G6659" s="25" t="s">
        <v>8328</v>
      </c>
      <c r="H6659" s="26">
        <v>-2.3199999999999998E-2</v>
      </c>
      <c r="I6659" s="26"/>
      <c r="J6659" s="26" t="s">
        <v>514</v>
      </c>
      <c r="K6659" s="25" t="s">
        <v>513</v>
      </c>
      <c r="L6659" s="8"/>
    </row>
    <row r="6660" spans="1:12" ht="25.5" x14ac:dyDescent="0.25">
      <c r="A6660" s="22">
        <v>2026</v>
      </c>
      <c r="B6660" s="28" t="s">
        <v>237</v>
      </c>
      <c r="C6660" s="28" t="s">
        <v>97</v>
      </c>
      <c r="D6660" s="28" t="s">
        <v>243</v>
      </c>
      <c r="E6660" s="29" t="s">
        <v>446</v>
      </c>
      <c r="F6660" s="29" t="s">
        <v>343</v>
      </c>
      <c r="G6660" s="25" t="s">
        <v>8329</v>
      </c>
      <c r="H6660" s="26">
        <v>-9.2799999999999994E-2</v>
      </c>
      <c r="I6660" s="26"/>
      <c r="J6660" s="26" t="s">
        <v>514</v>
      </c>
      <c r="K6660" s="25" t="s">
        <v>513</v>
      </c>
      <c r="L6660" s="8"/>
    </row>
    <row r="6661" spans="1:12" ht="25.5" x14ac:dyDescent="0.25">
      <c r="A6661" s="22">
        <v>2026</v>
      </c>
      <c r="B6661" s="28" t="s">
        <v>237</v>
      </c>
      <c r="C6661" s="28" t="s">
        <v>97</v>
      </c>
      <c r="D6661" s="28" t="s">
        <v>227</v>
      </c>
      <c r="E6661" s="29" t="s">
        <v>416</v>
      </c>
      <c r="F6661" s="29" t="s">
        <v>412</v>
      </c>
      <c r="G6661" s="25" t="s">
        <v>8330</v>
      </c>
      <c r="H6661" s="26">
        <v>-0.219</v>
      </c>
      <c r="I6661" s="26"/>
      <c r="J6661" s="26" t="s">
        <v>514</v>
      </c>
      <c r="K6661" s="25" t="s">
        <v>513</v>
      </c>
      <c r="L6661" s="8"/>
    </row>
    <row r="6662" spans="1:12" ht="25.5" x14ac:dyDescent="0.25">
      <c r="A6662" s="22">
        <v>2026</v>
      </c>
      <c r="B6662" s="28" t="s">
        <v>237</v>
      </c>
      <c r="C6662" s="28" t="s">
        <v>97</v>
      </c>
      <c r="D6662" s="28" t="s">
        <v>227</v>
      </c>
      <c r="E6662" s="29" t="s">
        <v>416</v>
      </c>
      <c r="F6662" s="29" t="s">
        <v>412</v>
      </c>
      <c r="G6662" s="25" t="s">
        <v>8331</v>
      </c>
      <c r="H6662" s="26">
        <v>-0.217</v>
      </c>
      <c r="I6662" s="26"/>
      <c r="J6662" s="26" t="s">
        <v>514</v>
      </c>
      <c r="K6662" s="25" t="s">
        <v>513</v>
      </c>
      <c r="L6662" s="8"/>
    </row>
    <row r="6663" spans="1:12" ht="25.5" x14ac:dyDescent="0.25">
      <c r="A6663" s="22">
        <v>2026</v>
      </c>
      <c r="B6663" s="28" t="s">
        <v>237</v>
      </c>
      <c r="C6663" s="28" t="s">
        <v>97</v>
      </c>
      <c r="D6663" s="28" t="s">
        <v>227</v>
      </c>
      <c r="E6663" s="29" t="s">
        <v>416</v>
      </c>
      <c r="F6663" s="29" t="s">
        <v>412</v>
      </c>
      <c r="G6663" s="25" t="s">
        <v>8332</v>
      </c>
      <c r="H6663" s="26">
        <v>-0.15688982000000001</v>
      </c>
      <c r="I6663" s="26"/>
      <c r="J6663" s="26" t="s">
        <v>514</v>
      </c>
      <c r="K6663" s="25" t="s">
        <v>513</v>
      </c>
      <c r="L6663" s="8"/>
    </row>
    <row r="6664" spans="1:12" ht="25.5" x14ac:dyDescent="0.25">
      <c r="A6664" s="22">
        <v>2026</v>
      </c>
      <c r="B6664" s="28" t="s">
        <v>237</v>
      </c>
      <c r="C6664" s="28" t="s">
        <v>97</v>
      </c>
      <c r="D6664" s="28" t="s">
        <v>227</v>
      </c>
      <c r="E6664" s="29" t="s">
        <v>416</v>
      </c>
      <c r="F6664" s="29" t="s">
        <v>412</v>
      </c>
      <c r="G6664" s="25" t="s">
        <v>8333</v>
      </c>
      <c r="H6664" s="26">
        <v>-0.22</v>
      </c>
      <c r="I6664" s="26"/>
      <c r="J6664" s="26" t="s">
        <v>514</v>
      </c>
      <c r="K6664" s="25" t="s">
        <v>513</v>
      </c>
      <c r="L6664" s="8"/>
    </row>
    <row r="6665" spans="1:12" ht="25.5" x14ac:dyDescent="0.25">
      <c r="A6665" s="22">
        <v>2026</v>
      </c>
      <c r="B6665" s="28" t="s">
        <v>237</v>
      </c>
      <c r="C6665" s="28" t="s">
        <v>97</v>
      </c>
      <c r="D6665" s="28" t="s">
        <v>227</v>
      </c>
      <c r="E6665" s="29" t="s">
        <v>416</v>
      </c>
      <c r="F6665" s="29" t="s">
        <v>412</v>
      </c>
      <c r="G6665" s="25" t="s">
        <v>8334</v>
      </c>
      <c r="H6665" s="26">
        <v>-0.217</v>
      </c>
      <c r="I6665" s="26"/>
      <c r="J6665" s="26" t="s">
        <v>514</v>
      </c>
      <c r="K6665" s="25" t="s">
        <v>513</v>
      </c>
      <c r="L6665" s="8"/>
    </row>
    <row r="6666" spans="1:12" ht="25.5" x14ac:dyDescent="0.25">
      <c r="A6666" s="22">
        <v>2026</v>
      </c>
      <c r="B6666" s="28" t="s">
        <v>237</v>
      </c>
      <c r="C6666" s="28" t="s">
        <v>97</v>
      </c>
      <c r="D6666" s="28" t="s">
        <v>227</v>
      </c>
      <c r="E6666" s="29" t="s">
        <v>416</v>
      </c>
      <c r="F6666" s="29" t="s">
        <v>412</v>
      </c>
      <c r="G6666" s="25" t="s">
        <v>8335</v>
      </c>
      <c r="H6666" s="26">
        <v>-0.16247779999999998</v>
      </c>
      <c r="I6666" s="26"/>
      <c r="J6666" s="26" t="s">
        <v>514</v>
      </c>
      <c r="K6666" s="25" t="s">
        <v>513</v>
      </c>
      <c r="L6666" s="8"/>
    </row>
    <row r="6667" spans="1:12" ht="25.5" x14ac:dyDescent="0.25">
      <c r="A6667" s="22">
        <v>2026</v>
      </c>
      <c r="B6667" s="28" t="s">
        <v>237</v>
      </c>
      <c r="C6667" s="28" t="s">
        <v>97</v>
      </c>
      <c r="D6667" s="28" t="s">
        <v>227</v>
      </c>
      <c r="E6667" s="29" t="s">
        <v>416</v>
      </c>
      <c r="F6667" s="29" t="s">
        <v>412</v>
      </c>
      <c r="G6667" s="25" t="s">
        <v>8336</v>
      </c>
      <c r="H6667" s="26">
        <v>-0.29509999999999997</v>
      </c>
      <c r="I6667" s="26"/>
      <c r="J6667" s="26" t="s">
        <v>514</v>
      </c>
      <c r="K6667" s="25" t="s">
        <v>513</v>
      </c>
      <c r="L6667" s="8"/>
    </row>
    <row r="6668" spans="1:12" ht="25.5" x14ac:dyDescent="0.25">
      <c r="A6668" s="22">
        <v>2026</v>
      </c>
      <c r="B6668" s="28" t="s">
        <v>237</v>
      </c>
      <c r="C6668" s="28" t="s">
        <v>97</v>
      </c>
      <c r="D6668" s="28" t="s">
        <v>227</v>
      </c>
      <c r="E6668" s="29" t="s">
        <v>416</v>
      </c>
      <c r="F6668" s="29" t="s">
        <v>412</v>
      </c>
      <c r="G6668" s="25" t="s">
        <v>8337</v>
      </c>
      <c r="H6668" s="26">
        <v>-0.23</v>
      </c>
      <c r="I6668" s="26"/>
      <c r="J6668" s="26" t="s">
        <v>514</v>
      </c>
      <c r="K6668" s="25" t="s">
        <v>513</v>
      </c>
      <c r="L6668" s="8"/>
    </row>
    <row r="6669" spans="1:12" ht="25.5" x14ac:dyDescent="0.25">
      <c r="A6669" s="22">
        <v>2026</v>
      </c>
      <c r="B6669" s="28" t="s">
        <v>237</v>
      </c>
      <c r="C6669" s="28" t="s">
        <v>97</v>
      </c>
      <c r="D6669" s="28" t="s">
        <v>1265</v>
      </c>
      <c r="E6669" s="29" t="s">
        <v>1266</v>
      </c>
      <c r="F6669" s="29" t="s">
        <v>325</v>
      </c>
      <c r="G6669" s="25" t="s">
        <v>8338</v>
      </c>
      <c r="H6669" s="26">
        <v>-0.73232249999999999</v>
      </c>
      <c r="I6669" s="26"/>
      <c r="J6669" s="26" t="s">
        <v>514</v>
      </c>
      <c r="K6669" s="25" t="s">
        <v>513</v>
      </c>
      <c r="L6669" s="8"/>
    </row>
    <row r="6670" spans="1:12" ht="25.5" x14ac:dyDescent="0.25">
      <c r="A6670" s="22">
        <v>2026</v>
      </c>
      <c r="B6670" s="28" t="s">
        <v>237</v>
      </c>
      <c r="C6670" s="28" t="s">
        <v>97</v>
      </c>
      <c r="D6670" s="28" t="s">
        <v>187</v>
      </c>
      <c r="E6670" s="29" t="s">
        <v>331</v>
      </c>
      <c r="F6670" s="29" t="s">
        <v>332</v>
      </c>
      <c r="G6670" s="25" t="s">
        <v>8339</v>
      </c>
      <c r="H6670" s="26">
        <v>-0.77724000000000004</v>
      </c>
      <c r="I6670" s="26"/>
      <c r="J6670" s="26" t="s">
        <v>512</v>
      </c>
      <c r="K6670" s="25" t="s">
        <v>513</v>
      </c>
      <c r="L6670" s="8"/>
    </row>
    <row r="6671" spans="1:12" ht="25.5" x14ac:dyDescent="0.25">
      <c r="A6671" s="22">
        <v>2026</v>
      </c>
      <c r="B6671" s="28" t="s">
        <v>237</v>
      </c>
      <c r="C6671" s="28" t="s">
        <v>97</v>
      </c>
      <c r="D6671" s="28" t="s">
        <v>187</v>
      </c>
      <c r="E6671" s="29" t="s">
        <v>331</v>
      </c>
      <c r="F6671" s="29" t="s">
        <v>332</v>
      </c>
      <c r="G6671" s="25" t="s">
        <v>8340</v>
      </c>
      <c r="H6671" s="26">
        <v>-0.48964999999999997</v>
      </c>
      <c r="I6671" s="26"/>
      <c r="J6671" s="26" t="s">
        <v>512</v>
      </c>
      <c r="K6671" s="25" t="s">
        <v>513</v>
      </c>
      <c r="L6671" s="8"/>
    </row>
    <row r="6672" spans="1:12" ht="25.5" x14ac:dyDescent="0.25">
      <c r="A6672" s="22">
        <v>2026</v>
      </c>
      <c r="B6672" s="28" t="s">
        <v>237</v>
      </c>
      <c r="C6672" s="28" t="s">
        <v>97</v>
      </c>
      <c r="D6672" s="28" t="s">
        <v>270</v>
      </c>
      <c r="E6672" s="29" t="s">
        <v>485</v>
      </c>
      <c r="F6672" s="29" t="s">
        <v>494</v>
      </c>
      <c r="G6672" s="25" t="s">
        <v>8341</v>
      </c>
      <c r="H6672" s="26">
        <v>-0.16675000000000001</v>
      </c>
      <c r="I6672" s="26"/>
      <c r="J6672" s="26" t="s">
        <v>512</v>
      </c>
      <c r="K6672" s="25" t="s">
        <v>513</v>
      </c>
      <c r="L6672" s="8"/>
    </row>
    <row r="6673" spans="1:12" ht="25.5" x14ac:dyDescent="0.25">
      <c r="A6673" s="22">
        <v>2026</v>
      </c>
      <c r="B6673" s="28" t="s">
        <v>237</v>
      </c>
      <c r="C6673" s="28" t="s">
        <v>97</v>
      </c>
      <c r="D6673" s="28" t="s">
        <v>270</v>
      </c>
      <c r="E6673" s="29" t="s">
        <v>485</v>
      </c>
      <c r="F6673" s="29" t="s">
        <v>494</v>
      </c>
      <c r="G6673" s="25" t="s">
        <v>8342</v>
      </c>
      <c r="H6673" s="26">
        <v>-8.3595535099999993E-2</v>
      </c>
      <c r="I6673" s="26"/>
      <c r="J6673" s="26" t="s">
        <v>512</v>
      </c>
      <c r="K6673" s="25" t="s">
        <v>513</v>
      </c>
      <c r="L6673" s="8"/>
    </row>
    <row r="6674" spans="1:12" ht="25.5" x14ac:dyDescent="0.25">
      <c r="A6674" s="22">
        <v>2026</v>
      </c>
      <c r="B6674" s="28" t="s">
        <v>237</v>
      </c>
      <c r="C6674" s="28" t="s">
        <v>97</v>
      </c>
      <c r="D6674" s="28" t="s">
        <v>270</v>
      </c>
      <c r="E6674" s="29" t="s">
        <v>485</v>
      </c>
      <c r="F6674" s="29" t="s">
        <v>494</v>
      </c>
      <c r="G6674" s="25" t="s">
        <v>8343</v>
      </c>
      <c r="H6674" s="26">
        <v>-0.12806769839999999</v>
      </c>
      <c r="I6674" s="26"/>
      <c r="J6674" s="26" t="s">
        <v>512</v>
      </c>
      <c r="K6674" s="25" t="s">
        <v>513</v>
      </c>
      <c r="L6674" s="8"/>
    </row>
    <row r="6675" spans="1:12" ht="25.5" x14ac:dyDescent="0.25">
      <c r="A6675" s="22">
        <v>2026</v>
      </c>
      <c r="B6675" s="28" t="s">
        <v>237</v>
      </c>
      <c r="C6675" s="28" t="s">
        <v>97</v>
      </c>
      <c r="D6675" s="28" t="s">
        <v>270</v>
      </c>
      <c r="E6675" s="29" t="s">
        <v>485</v>
      </c>
      <c r="F6675" s="29" t="s">
        <v>494</v>
      </c>
      <c r="G6675" s="25" t="s">
        <v>8344</v>
      </c>
      <c r="H6675" s="26">
        <v>-0.45495449999999998</v>
      </c>
      <c r="I6675" s="26"/>
      <c r="J6675" s="26" t="s">
        <v>512</v>
      </c>
      <c r="K6675" s="25" t="s">
        <v>513</v>
      </c>
      <c r="L6675" s="8"/>
    </row>
    <row r="6676" spans="1:12" ht="25.5" x14ac:dyDescent="0.25">
      <c r="A6676" s="22">
        <v>2026</v>
      </c>
      <c r="B6676" s="28" t="s">
        <v>237</v>
      </c>
      <c r="C6676" s="28" t="s">
        <v>97</v>
      </c>
      <c r="D6676" s="28" t="s">
        <v>270</v>
      </c>
      <c r="E6676" s="29" t="s">
        <v>485</v>
      </c>
      <c r="F6676" s="29" t="s">
        <v>494</v>
      </c>
      <c r="G6676" s="25" t="s">
        <v>8345</v>
      </c>
      <c r="H6676" s="26">
        <v>-0.11456</v>
      </c>
      <c r="I6676" s="26"/>
      <c r="J6676" s="26" t="s">
        <v>512</v>
      </c>
      <c r="K6676" s="25" t="s">
        <v>513</v>
      </c>
      <c r="L6676" s="8"/>
    </row>
    <row r="6677" spans="1:12" ht="25.5" x14ac:dyDescent="0.25">
      <c r="A6677" s="22">
        <v>2026</v>
      </c>
      <c r="B6677" s="28" t="s">
        <v>237</v>
      </c>
      <c r="C6677" s="28" t="s">
        <v>97</v>
      </c>
      <c r="D6677" s="28" t="s">
        <v>270</v>
      </c>
      <c r="E6677" s="29" t="s">
        <v>485</v>
      </c>
      <c r="F6677" s="29" t="s">
        <v>494</v>
      </c>
      <c r="G6677" s="25" t="s">
        <v>8346</v>
      </c>
      <c r="H6677" s="26">
        <v>-0.14047079999999998</v>
      </c>
      <c r="I6677" s="26"/>
      <c r="J6677" s="26" t="s">
        <v>512</v>
      </c>
      <c r="K6677" s="25" t="s">
        <v>513</v>
      </c>
      <c r="L6677" s="8"/>
    </row>
    <row r="6678" spans="1:12" ht="25.5" x14ac:dyDescent="0.25">
      <c r="A6678" s="22">
        <v>2026</v>
      </c>
      <c r="B6678" s="28" t="s">
        <v>237</v>
      </c>
      <c r="C6678" s="28" t="s">
        <v>97</v>
      </c>
      <c r="D6678" s="28" t="s">
        <v>270</v>
      </c>
      <c r="E6678" s="29" t="s">
        <v>485</v>
      </c>
      <c r="F6678" s="29" t="s">
        <v>494</v>
      </c>
      <c r="G6678" s="25" t="s">
        <v>8347</v>
      </c>
      <c r="H6678" s="26">
        <v>-0.17749999999999999</v>
      </c>
      <c r="I6678" s="26"/>
      <c r="J6678" s="26" t="s">
        <v>512</v>
      </c>
      <c r="K6678" s="25" t="s">
        <v>513</v>
      </c>
      <c r="L6678" s="8"/>
    </row>
    <row r="6679" spans="1:12" ht="25.5" x14ac:dyDescent="0.25">
      <c r="A6679" s="22">
        <v>2026</v>
      </c>
      <c r="B6679" s="28" t="s">
        <v>237</v>
      </c>
      <c r="C6679" s="28" t="s">
        <v>97</v>
      </c>
      <c r="D6679" s="28" t="s">
        <v>270</v>
      </c>
      <c r="E6679" s="29" t="s">
        <v>485</v>
      </c>
      <c r="F6679" s="29" t="s">
        <v>494</v>
      </c>
      <c r="G6679" s="25" t="s">
        <v>8348</v>
      </c>
      <c r="H6679" s="26">
        <v>-1.8498900000000002E-2</v>
      </c>
      <c r="I6679" s="26"/>
      <c r="J6679" s="26" t="s">
        <v>512</v>
      </c>
      <c r="K6679" s="25" t="s">
        <v>513</v>
      </c>
      <c r="L6679" s="8"/>
    </row>
    <row r="6680" spans="1:12" ht="25.5" x14ac:dyDescent="0.25">
      <c r="A6680" s="22">
        <v>2026</v>
      </c>
      <c r="B6680" s="28" t="s">
        <v>237</v>
      </c>
      <c r="C6680" s="28" t="s">
        <v>97</v>
      </c>
      <c r="D6680" s="28" t="s">
        <v>1750</v>
      </c>
      <c r="E6680" s="29" t="s">
        <v>485</v>
      </c>
      <c r="F6680" s="29" t="s">
        <v>494</v>
      </c>
      <c r="G6680" s="25" t="s">
        <v>8349</v>
      </c>
      <c r="H6680" s="26">
        <v>-0.96096725017000006</v>
      </c>
      <c r="I6680" s="26"/>
      <c r="J6680" s="26" t="s">
        <v>512</v>
      </c>
      <c r="K6680" s="25" t="s">
        <v>513</v>
      </c>
      <c r="L6680" s="8"/>
    </row>
    <row r="6681" spans="1:12" ht="25.5" x14ac:dyDescent="0.25">
      <c r="A6681" s="22">
        <v>2026</v>
      </c>
      <c r="B6681" s="28" t="s">
        <v>237</v>
      </c>
      <c r="C6681" s="28" t="s">
        <v>97</v>
      </c>
      <c r="D6681" s="28" t="s">
        <v>1750</v>
      </c>
      <c r="E6681" s="29" t="s">
        <v>485</v>
      </c>
      <c r="F6681" s="29" t="s">
        <v>494</v>
      </c>
      <c r="G6681" s="25" t="s">
        <v>8350</v>
      </c>
      <c r="H6681" s="26">
        <v>-1.3022054999999999</v>
      </c>
      <c r="I6681" s="26"/>
      <c r="J6681" s="26" t="s">
        <v>512</v>
      </c>
      <c r="K6681" s="25" t="s">
        <v>513</v>
      </c>
      <c r="L6681" s="8"/>
    </row>
    <row r="6682" spans="1:12" ht="25.5" x14ac:dyDescent="0.25">
      <c r="A6682" s="22">
        <v>2026</v>
      </c>
      <c r="B6682" s="28" t="s">
        <v>237</v>
      </c>
      <c r="C6682" s="28" t="s">
        <v>97</v>
      </c>
      <c r="D6682" s="28" t="s">
        <v>1750</v>
      </c>
      <c r="E6682" s="29" t="s">
        <v>485</v>
      </c>
      <c r="F6682" s="29" t="s">
        <v>494</v>
      </c>
      <c r="G6682" s="25" t="s">
        <v>8351</v>
      </c>
      <c r="H6682" s="26">
        <v>-0.75131307999999997</v>
      </c>
      <c r="I6682" s="26"/>
      <c r="J6682" s="26" t="s">
        <v>512</v>
      </c>
      <c r="K6682" s="25" t="s">
        <v>513</v>
      </c>
      <c r="L6682" s="8"/>
    </row>
    <row r="6683" spans="1:12" ht="25.5" x14ac:dyDescent="0.25">
      <c r="A6683" s="22">
        <v>2026</v>
      </c>
      <c r="B6683" s="28" t="s">
        <v>237</v>
      </c>
      <c r="C6683" s="28" t="s">
        <v>97</v>
      </c>
      <c r="D6683" s="28" t="s">
        <v>1750</v>
      </c>
      <c r="E6683" s="29" t="s">
        <v>485</v>
      </c>
      <c r="F6683" s="29" t="s">
        <v>494</v>
      </c>
      <c r="G6683" s="25" t="s">
        <v>8352</v>
      </c>
      <c r="H6683" s="26">
        <v>-0.16876477231999998</v>
      </c>
      <c r="I6683" s="26"/>
      <c r="J6683" s="26" t="s">
        <v>512</v>
      </c>
      <c r="K6683" s="25" t="s">
        <v>513</v>
      </c>
      <c r="L6683" s="8"/>
    </row>
    <row r="6684" spans="1:12" ht="25.5" x14ac:dyDescent="0.25">
      <c r="A6684" s="22">
        <v>2026</v>
      </c>
      <c r="B6684" s="28" t="s">
        <v>237</v>
      </c>
      <c r="C6684" s="28" t="s">
        <v>97</v>
      </c>
      <c r="D6684" s="28" t="s">
        <v>1750</v>
      </c>
      <c r="E6684" s="29" t="s">
        <v>485</v>
      </c>
      <c r="F6684" s="29" t="s">
        <v>494</v>
      </c>
      <c r="G6684" s="25" t="s">
        <v>8353</v>
      </c>
      <c r="H6684" s="26">
        <v>-0.53343453154999998</v>
      </c>
      <c r="I6684" s="26"/>
      <c r="J6684" s="26" t="s">
        <v>512</v>
      </c>
      <c r="K6684" s="25" t="s">
        <v>513</v>
      </c>
      <c r="L6684" s="8"/>
    </row>
    <row r="6685" spans="1:12" ht="25.5" x14ac:dyDescent="0.25">
      <c r="A6685" s="22">
        <v>2026</v>
      </c>
      <c r="B6685" s="28" t="s">
        <v>237</v>
      </c>
      <c r="C6685" s="28" t="s">
        <v>97</v>
      </c>
      <c r="D6685" s="28" t="s">
        <v>1750</v>
      </c>
      <c r="E6685" s="29" t="s">
        <v>485</v>
      </c>
      <c r="F6685" s="29" t="s">
        <v>494</v>
      </c>
      <c r="G6685" s="25" t="s">
        <v>8354</v>
      </c>
      <c r="H6685" s="26">
        <v>-0.65387919999999999</v>
      </c>
      <c r="I6685" s="26"/>
      <c r="J6685" s="26" t="s">
        <v>512</v>
      </c>
      <c r="K6685" s="25" t="s">
        <v>513</v>
      </c>
      <c r="L6685" s="8"/>
    </row>
    <row r="6686" spans="1:12" ht="25.5" x14ac:dyDescent="0.25">
      <c r="A6686" s="22">
        <v>2026</v>
      </c>
      <c r="B6686" s="28" t="s">
        <v>237</v>
      </c>
      <c r="C6686" s="28" t="s">
        <v>97</v>
      </c>
      <c r="D6686" s="28" t="s">
        <v>1750</v>
      </c>
      <c r="E6686" s="29" t="s">
        <v>485</v>
      </c>
      <c r="F6686" s="29" t="s">
        <v>494</v>
      </c>
      <c r="G6686" s="25" t="s">
        <v>8355</v>
      </c>
      <c r="H6686" s="26">
        <v>-0.43856520960000001</v>
      </c>
      <c r="I6686" s="26"/>
      <c r="J6686" s="26" t="s">
        <v>512</v>
      </c>
      <c r="K6686" s="25" t="s">
        <v>513</v>
      </c>
      <c r="L6686" s="8"/>
    </row>
    <row r="6687" spans="1:12" ht="25.5" x14ac:dyDescent="0.25">
      <c r="A6687" s="22">
        <v>2026</v>
      </c>
      <c r="B6687" s="28" t="s">
        <v>237</v>
      </c>
      <c r="C6687" s="28" t="s">
        <v>97</v>
      </c>
      <c r="D6687" s="28" t="s">
        <v>1750</v>
      </c>
      <c r="E6687" s="29" t="s">
        <v>485</v>
      </c>
      <c r="F6687" s="29" t="s">
        <v>494</v>
      </c>
      <c r="G6687" s="25" t="s">
        <v>8356</v>
      </c>
      <c r="H6687" s="26">
        <v>-0.86462300000000003</v>
      </c>
      <c r="I6687" s="26"/>
      <c r="J6687" s="26" t="s">
        <v>512</v>
      </c>
      <c r="K6687" s="25" t="s">
        <v>513</v>
      </c>
      <c r="L6687" s="8"/>
    </row>
    <row r="6688" spans="1:12" ht="25.5" x14ac:dyDescent="0.25">
      <c r="A6688" s="22">
        <v>2026</v>
      </c>
      <c r="B6688" s="28" t="s">
        <v>237</v>
      </c>
      <c r="C6688" s="28" t="s">
        <v>97</v>
      </c>
      <c r="D6688" s="28" t="s">
        <v>1750</v>
      </c>
      <c r="E6688" s="29" t="s">
        <v>485</v>
      </c>
      <c r="F6688" s="29" t="s">
        <v>494</v>
      </c>
      <c r="G6688" s="25" t="s">
        <v>8357</v>
      </c>
      <c r="H6688" s="26">
        <v>-0.74772855299999996</v>
      </c>
      <c r="I6688" s="26"/>
      <c r="J6688" s="26" t="s">
        <v>512</v>
      </c>
      <c r="K6688" s="25" t="s">
        <v>513</v>
      </c>
      <c r="L6688" s="8"/>
    </row>
    <row r="6689" spans="1:12" ht="25.5" x14ac:dyDescent="0.25">
      <c r="A6689" s="22">
        <v>2026</v>
      </c>
      <c r="B6689" s="28" t="s">
        <v>237</v>
      </c>
      <c r="C6689" s="28" t="s">
        <v>97</v>
      </c>
      <c r="D6689" s="28" t="s">
        <v>1750</v>
      </c>
      <c r="E6689" s="29" t="s">
        <v>485</v>
      </c>
      <c r="F6689" s="29" t="s">
        <v>494</v>
      </c>
      <c r="G6689" s="25" t="s">
        <v>8358</v>
      </c>
      <c r="H6689" s="26">
        <v>-1.09992195585</v>
      </c>
      <c r="I6689" s="26"/>
      <c r="J6689" s="26" t="s">
        <v>512</v>
      </c>
      <c r="K6689" s="25" t="s">
        <v>513</v>
      </c>
      <c r="L6689" s="8"/>
    </row>
    <row r="6690" spans="1:12" ht="25.5" x14ac:dyDescent="0.25">
      <c r="A6690" s="22">
        <v>2026</v>
      </c>
      <c r="B6690" s="28" t="s">
        <v>237</v>
      </c>
      <c r="C6690" s="28" t="s">
        <v>97</v>
      </c>
      <c r="D6690" s="28" t="s">
        <v>1750</v>
      </c>
      <c r="E6690" s="29" t="s">
        <v>485</v>
      </c>
      <c r="F6690" s="29" t="s">
        <v>494</v>
      </c>
      <c r="G6690" s="25" t="s">
        <v>8359</v>
      </c>
      <c r="H6690" s="26">
        <v>-0.88536000000000004</v>
      </c>
      <c r="I6690" s="26"/>
      <c r="J6690" s="26" t="s">
        <v>512</v>
      </c>
      <c r="K6690" s="25" t="s">
        <v>513</v>
      </c>
      <c r="L6690" s="8"/>
    </row>
    <row r="6691" spans="1:12" ht="25.5" x14ac:dyDescent="0.25">
      <c r="A6691" s="22">
        <v>2026</v>
      </c>
      <c r="B6691" s="28" t="s">
        <v>237</v>
      </c>
      <c r="C6691" s="28" t="s">
        <v>97</v>
      </c>
      <c r="D6691" s="28" t="s">
        <v>1750</v>
      </c>
      <c r="E6691" s="29" t="s">
        <v>485</v>
      </c>
      <c r="F6691" s="29" t="s">
        <v>494</v>
      </c>
      <c r="G6691" s="25" t="s">
        <v>8360</v>
      </c>
      <c r="H6691" s="26">
        <v>-0.4291025</v>
      </c>
      <c r="I6691" s="26"/>
      <c r="J6691" s="26" t="s">
        <v>512</v>
      </c>
      <c r="K6691" s="25" t="s">
        <v>513</v>
      </c>
      <c r="L6691" s="8"/>
    </row>
    <row r="6692" spans="1:12" ht="25.5" x14ac:dyDescent="0.25">
      <c r="A6692" s="22">
        <v>2026</v>
      </c>
      <c r="B6692" s="28" t="s">
        <v>237</v>
      </c>
      <c r="C6692" s="28" t="s">
        <v>97</v>
      </c>
      <c r="D6692" s="28" t="s">
        <v>1750</v>
      </c>
      <c r="E6692" s="29" t="s">
        <v>485</v>
      </c>
      <c r="F6692" s="29" t="s">
        <v>494</v>
      </c>
      <c r="G6692" s="25" t="s">
        <v>8361</v>
      </c>
      <c r="H6692" s="26">
        <v>-0.52778146200000009</v>
      </c>
      <c r="I6692" s="26"/>
      <c r="J6692" s="26" t="s">
        <v>512</v>
      </c>
      <c r="K6692" s="25" t="s">
        <v>513</v>
      </c>
      <c r="L6692" s="8"/>
    </row>
    <row r="6693" spans="1:12" ht="25.5" x14ac:dyDescent="0.25">
      <c r="A6693" s="22">
        <v>2026</v>
      </c>
      <c r="B6693" s="28" t="s">
        <v>237</v>
      </c>
      <c r="C6693" s="28" t="s">
        <v>97</v>
      </c>
      <c r="D6693" s="28" t="s">
        <v>1750</v>
      </c>
      <c r="E6693" s="29" t="s">
        <v>485</v>
      </c>
      <c r="F6693" s="29" t="s">
        <v>494</v>
      </c>
      <c r="G6693" s="25" t="s">
        <v>8362</v>
      </c>
      <c r="H6693" s="26">
        <v>-0.52478323990999998</v>
      </c>
      <c r="I6693" s="26"/>
      <c r="J6693" s="26" t="s">
        <v>512</v>
      </c>
      <c r="K6693" s="25" t="s">
        <v>513</v>
      </c>
      <c r="L6693" s="8"/>
    </row>
    <row r="6694" spans="1:12" ht="25.5" x14ac:dyDescent="0.25">
      <c r="A6694" s="22">
        <v>2026</v>
      </c>
      <c r="B6694" s="28" t="s">
        <v>237</v>
      </c>
      <c r="C6694" s="28" t="s">
        <v>97</v>
      </c>
      <c r="D6694" s="28" t="s">
        <v>1750</v>
      </c>
      <c r="E6694" s="29" t="s">
        <v>485</v>
      </c>
      <c r="F6694" s="29" t="s">
        <v>494</v>
      </c>
      <c r="G6694" s="25" t="s">
        <v>8363</v>
      </c>
      <c r="H6694" s="26">
        <v>-0.19592660571000001</v>
      </c>
      <c r="I6694" s="26"/>
      <c r="J6694" s="26" t="s">
        <v>512</v>
      </c>
      <c r="K6694" s="25" t="s">
        <v>513</v>
      </c>
      <c r="L6694" s="8"/>
    </row>
    <row r="6695" spans="1:12" ht="25.5" x14ac:dyDescent="0.25">
      <c r="A6695" s="22">
        <v>2026</v>
      </c>
      <c r="B6695" s="28" t="s">
        <v>237</v>
      </c>
      <c r="C6695" s="28" t="s">
        <v>97</v>
      </c>
      <c r="D6695" s="28" t="s">
        <v>1750</v>
      </c>
      <c r="E6695" s="29" t="s">
        <v>485</v>
      </c>
      <c r="F6695" s="29" t="s">
        <v>494</v>
      </c>
      <c r="G6695" s="25" t="s">
        <v>8364</v>
      </c>
      <c r="H6695" s="26">
        <v>-0.24384330971000001</v>
      </c>
      <c r="I6695" s="26"/>
      <c r="J6695" s="26" t="s">
        <v>512</v>
      </c>
      <c r="K6695" s="25" t="s">
        <v>513</v>
      </c>
      <c r="L6695" s="8"/>
    </row>
    <row r="6696" spans="1:12" ht="25.5" x14ac:dyDescent="0.25">
      <c r="A6696" s="22">
        <v>2026</v>
      </c>
      <c r="B6696" s="28" t="s">
        <v>237</v>
      </c>
      <c r="C6696" s="28" t="s">
        <v>97</v>
      </c>
      <c r="D6696" s="28" t="s">
        <v>265</v>
      </c>
      <c r="E6696" s="29" t="s">
        <v>485</v>
      </c>
      <c r="F6696" s="29" t="s">
        <v>325</v>
      </c>
      <c r="G6696" s="25" t="s">
        <v>8365</v>
      </c>
      <c r="H6696" s="26">
        <v>-1.7769740000000003E-2</v>
      </c>
      <c r="I6696" s="26"/>
      <c r="J6696" s="26" t="s">
        <v>512</v>
      </c>
      <c r="K6696" s="25" t="s">
        <v>513</v>
      </c>
      <c r="L6696" s="8"/>
    </row>
    <row r="6697" spans="1:12" ht="25.5" x14ac:dyDescent="0.25">
      <c r="A6697" s="22">
        <v>2026</v>
      </c>
      <c r="B6697" s="28" t="s">
        <v>237</v>
      </c>
      <c r="C6697" s="28" t="s">
        <v>97</v>
      </c>
      <c r="D6697" s="28" t="s">
        <v>265</v>
      </c>
      <c r="E6697" s="29" t="s">
        <v>485</v>
      </c>
      <c r="F6697" s="29" t="s">
        <v>325</v>
      </c>
      <c r="G6697" s="25" t="s">
        <v>8366</v>
      </c>
      <c r="H6697" s="26">
        <v>-2.07E-2</v>
      </c>
      <c r="I6697" s="26"/>
      <c r="J6697" s="26" t="s">
        <v>512</v>
      </c>
      <c r="K6697" s="25" t="s">
        <v>513</v>
      </c>
      <c r="L6697" s="8"/>
    </row>
    <row r="6698" spans="1:12" ht="25.5" x14ac:dyDescent="0.25">
      <c r="A6698" s="22">
        <v>2026</v>
      </c>
      <c r="B6698" s="28" t="s">
        <v>237</v>
      </c>
      <c r="C6698" s="28" t="s">
        <v>97</v>
      </c>
      <c r="D6698" s="28" t="s">
        <v>265</v>
      </c>
      <c r="E6698" s="29" t="s">
        <v>485</v>
      </c>
      <c r="F6698" s="29" t="s">
        <v>325</v>
      </c>
      <c r="G6698" s="25" t="s">
        <v>8367</v>
      </c>
      <c r="H6698" s="26">
        <v>-3.9394167000000001E-2</v>
      </c>
      <c r="I6698" s="26"/>
      <c r="J6698" s="26" t="s">
        <v>512</v>
      </c>
      <c r="K6698" s="25" t="s">
        <v>513</v>
      </c>
      <c r="L6698" s="8"/>
    </row>
    <row r="6699" spans="1:12" ht="25.5" x14ac:dyDescent="0.25">
      <c r="A6699" s="22">
        <v>2026</v>
      </c>
      <c r="B6699" s="28" t="s">
        <v>237</v>
      </c>
      <c r="C6699" s="28" t="s">
        <v>97</v>
      </c>
      <c r="D6699" s="28" t="s">
        <v>265</v>
      </c>
      <c r="E6699" s="29" t="s">
        <v>485</v>
      </c>
      <c r="F6699" s="29" t="s">
        <v>325</v>
      </c>
      <c r="G6699" s="25" t="s">
        <v>8368</v>
      </c>
      <c r="H6699" s="26">
        <v>-2.8400000000000002E-2</v>
      </c>
      <c r="I6699" s="26"/>
      <c r="J6699" s="26" t="s">
        <v>512</v>
      </c>
      <c r="K6699" s="25" t="s">
        <v>513</v>
      </c>
      <c r="L6699" s="8"/>
    </row>
    <row r="6700" spans="1:12" ht="25.5" x14ac:dyDescent="0.25">
      <c r="A6700" s="22">
        <v>2026</v>
      </c>
      <c r="B6700" s="28" t="s">
        <v>237</v>
      </c>
      <c r="C6700" s="28" t="s">
        <v>97</v>
      </c>
      <c r="D6700" s="28" t="s">
        <v>1751</v>
      </c>
      <c r="E6700" s="29" t="s">
        <v>485</v>
      </c>
      <c r="F6700" s="29" t="s">
        <v>353</v>
      </c>
      <c r="G6700" s="25" t="s">
        <v>8369</v>
      </c>
      <c r="H6700" s="26">
        <v>-7.1199999999999999E-2</v>
      </c>
      <c r="I6700" s="26"/>
      <c r="J6700" s="26" t="s">
        <v>512</v>
      </c>
      <c r="K6700" s="25" t="s">
        <v>513</v>
      </c>
      <c r="L6700" s="8"/>
    </row>
    <row r="6701" spans="1:12" ht="25.5" x14ac:dyDescent="0.25">
      <c r="A6701" s="22">
        <v>2026</v>
      </c>
      <c r="B6701" s="28" t="s">
        <v>237</v>
      </c>
      <c r="C6701" s="28" t="s">
        <v>97</v>
      </c>
      <c r="D6701" s="28" t="s">
        <v>1751</v>
      </c>
      <c r="E6701" s="29" t="s">
        <v>485</v>
      </c>
      <c r="F6701" s="29" t="s">
        <v>353</v>
      </c>
      <c r="G6701" s="25" t="s">
        <v>3616</v>
      </c>
      <c r="H6701" s="26">
        <v>-0.1071</v>
      </c>
      <c r="I6701" s="26"/>
      <c r="J6701" s="26" t="s">
        <v>512</v>
      </c>
      <c r="K6701" s="25" t="s">
        <v>513</v>
      </c>
      <c r="L6701" s="8"/>
    </row>
    <row r="6702" spans="1:12" ht="25.5" x14ac:dyDescent="0.25">
      <c r="A6702" s="22">
        <v>2026</v>
      </c>
      <c r="B6702" s="28" t="s">
        <v>237</v>
      </c>
      <c r="C6702" s="28" t="s">
        <v>97</v>
      </c>
      <c r="D6702" s="28" t="s">
        <v>1751</v>
      </c>
      <c r="E6702" s="29" t="s">
        <v>485</v>
      </c>
      <c r="F6702" s="29" t="s">
        <v>353</v>
      </c>
      <c r="G6702" s="25" t="s">
        <v>8370</v>
      </c>
      <c r="H6702" s="26">
        <v>-7.1400000000000005E-2</v>
      </c>
      <c r="I6702" s="26"/>
      <c r="J6702" s="26" t="s">
        <v>512</v>
      </c>
      <c r="K6702" s="25" t="s">
        <v>513</v>
      </c>
      <c r="L6702" s="8"/>
    </row>
    <row r="6703" spans="1:12" ht="25.5" x14ac:dyDescent="0.25">
      <c r="A6703" s="22">
        <v>2026</v>
      </c>
      <c r="B6703" s="28" t="s">
        <v>237</v>
      </c>
      <c r="C6703" s="28" t="s">
        <v>97</v>
      </c>
      <c r="D6703" s="28" t="s">
        <v>1751</v>
      </c>
      <c r="E6703" s="29" t="s">
        <v>485</v>
      </c>
      <c r="F6703" s="29" t="s">
        <v>353</v>
      </c>
      <c r="G6703" s="25" t="s">
        <v>8371</v>
      </c>
      <c r="H6703" s="26">
        <v>-1.4958299999999999E-2</v>
      </c>
      <c r="I6703" s="26"/>
      <c r="J6703" s="26" t="s">
        <v>512</v>
      </c>
      <c r="K6703" s="25" t="s">
        <v>513</v>
      </c>
      <c r="L6703" s="8"/>
    </row>
    <row r="6704" spans="1:12" ht="25.5" x14ac:dyDescent="0.25">
      <c r="A6704" s="22">
        <v>2026</v>
      </c>
      <c r="B6704" s="28" t="s">
        <v>237</v>
      </c>
      <c r="C6704" s="28" t="s">
        <v>97</v>
      </c>
      <c r="D6704" s="28" t="s">
        <v>1751</v>
      </c>
      <c r="E6704" s="29" t="s">
        <v>485</v>
      </c>
      <c r="F6704" s="29" t="s">
        <v>353</v>
      </c>
      <c r="G6704" s="25" t="s">
        <v>8370</v>
      </c>
      <c r="H6704" s="26">
        <v>-7.1400000000000005E-2</v>
      </c>
      <c r="I6704" s="26"/>
      <c r="J6704" s="26" t="s">
        <v>512</v>
      </c>
      <c r="K6704" s="25" t="s">
        <v>513</v>
      </c>
      <c r="L6704" s="8"/>
    </row>
    <row r="6705" spans="1:12" ht="25.5" x14ac:dyDescent="0.25">
      <c r="A6705" s="22">
        <v>2026</v>
      </c>
      <c r="B6705" s="28" t="s">
        <v>237</v>
      </c>
      <c r="C6705" s="28" t="s">
        <v>97</v>
      </c>
      <c r="D6705" s="28" t="s">
        <v>1751</v>
      </c>
      <c r="E6705" s="29" t="s">
        <v>485</v>
      </c>
      <c r="F6705" s="29" t="s">
        <v>353</v>
      </c>
      <c r="G6705" s="25" t="s">
        <v>8372</v>
      </c>
      <c r="H6705" s="26">
        <v>-0.1072683</v>
      </c>
      <c r="I6705" s="26"/>
      <c r="J6705" s="26" t="s">
        <v>512</v>
      </c>
      <c r="K6705" s="25" t="s">
        <v>513</v>
      </c>
      <c r="L6705" s="8"/>
    </row>
    <row r="6706" spans="1:12" ht="25.5" x14ac:dyDescent="0.25">
      <c r="A6706" s="22">
        <v>2026</v>
      </c>
      <c r="B6706" s="28" t="s">
        <v>237</v>
      </c>
      <c r="C6706" s="28" t="s">
        <v>97</v>
      </c>
      <c r="D6706" s="28" t="s">
        <v>1751</v>
      </c>
      <c r="E6706" s="29" t="s">
        <v>485</v>
      </c>
      <c r="F6706" s="29" t="s">
        <v>353</v>
      </c>
      <c r="G6706" s="25" t="s">
        <v>8373</v>
      </c>
      <c r="H6706" s="26">
        <v>-7.1099999999999997E-2</v>
      </c>
      <c r="I6706" s="26"/>
      <c r="J6706" s="26" t="s">
        <v>512</v>
      </c>
      <c r="K6706" s="25" t="s">
        <v>513</v>
      </c>
      <c r="L6706" s="8"/>
    </row>
    <row r="6707" spans="1:12" ht="25.5" x14ac:dyDescent="0.25">
      <c r="A6707" s="22">
        <v>2026</v>
      </c>
      <c r="B6707" s="28" t="s">
        <v>237</v>
      </c>
      <c r="C6707" s="28" t="s">
        <v>97</v>
      </c>
      <c r="D6707" s="28" t="s">
        <v>1751</v>
      </c>
      <c r="E6707" s="29" t="s">
        <v>485</v>
      </c>
      <c r="F6707" s="29" t="s">
        <v>353</v>
      </c>
      <c r="G6707" s="25" t="s">
        <v>8374</v>
      </c>
      <c r="H6707" s="26">
        <v>-7.2400000000000006E-2</v>
      </c>
      <c r="I6707" s="26"/>
      <c r="J6707" s="26" t="s">
        <v>512</v>
      </c>
      <c r="K6707" s="25" t="s">
        <v>513</v>
      </c>
      <c r="L6707" s="8"/>
    </row>
    <row r="6708" spans="1:12" ht="25.5" x14ac:dyDescent="0.25">
      <c r="A6708" s="22">
        <v>2026</v>
      </c>
      <c r="B6708" s="28" t="s">
        <v>237</v>
      </c>
      <c r="C6708" s="28" t="s">
        <v>97</v>
      </c>
      <c r="D6708" s="28" t="s">
        <v>1751</v>
      </c>
      <c r="E6708" s="29" t="s">
        <v>485</v>
      </c>
      <c r="F6708" s="29" t="s">
        <v>353</v>
      </c>
      <c r="G6708" s="25" t="s">
        <v>8375</v>
      </c>
      <c r="H6708" s="26">
        <v>-7.2599999999999998E-2</v>
      </c>
      <c r="I6708" s="26"/>
      <c r="J6708" s="26" t="s">
        <v>512</v>
      </c>
      <c r="K6708" s="25" t="s">
        <v>513</v>
      </c>
      <c r="L6708" s="8"/>
    </row>
    <row r="6709" spans="1:12" ht="25.5" x14ac:dyDescent="0.25">
      <c r="A6709" s="22">
        <v>2026</v>
      </c>
      <c r="B6709" s="28" t="s">
        <v>237</v>
      </c>
      <c r="C6709" s="28" t="s">
        <v>97</v>
      </c>
      <c r="D6709" s="28" t="s">
        <v>1751</v>
      </c>
      <c r="E6709" s="29" t="s">
        <v>485</v>
      </c>
      <c r="F6709" s="29" t="s">
        <v>353</v>
      </c>
      <c r="G6709" s="25" t="s">
        <v>8376</v>
      </c>
      <c r="H6709" s="26">
        <v>-7.22E-2</v>
      </c>
      <c r="I6709" s="26"/>
      <c r="J6709" s="26" t="s">
        <v>512</v>
      </c>
      <c r="K6709" s="25" t="s">
        <v>513</v>
      </c>
      <c r="L6709" s="8"/>
    </row>
    <row r="6710" spans="1:12" ht="25.5" x14ac:dyDescent="0.25">
      <c r="A6710" s="22">
        <v>2026</v>
      </c>
      <c r="B6710" s="28" t="s">
        <v>237</v>
      </c>
      <c r="C6710" s="28" t="s">
        <v>97</v>
      </c>
      <c r="D6710" s="28" t="s">
        <v>1751</v>
      </c>
      <c r="E6710" s="29" t="s">
        <v>485</v>
      </c>
      <c r="F6710" s="29" t="s">
        <v>353</v>
      </c>
      <c r="G6710" s="25" t="s">
        <v>3623</v>
      </c>
      <c r="H6710" s="26">
        <v>-7.1999999999999995E-2</v>
      </c>
      <c r="I6710" s="26"/>
      <c r="J6710" s="26" t="s">
        <v>512</v>
      </c>
      <c r="K6710" s="25" t="s">
        <v>513</v>
      </c>
      <c r="L6710" s="8"/>
    </row>
    <row r="6711" spans="1:12" ht="25.5" x14ac:dyDescent="0.25">
      <c r="A6711" s="22">
        <v>2026</v>
      </c>
      <c r="B6711" s="28" t="s">
        <v>237</v>
      </c>
      <c r="C6711" s="28" t="s">
        <v>97</v>
      </c>
      <c r="D6711" s="28" t="s">
        <v>1751</v>
      </c>
      <c r="E6711" s="29" t="s">
        <v>485</v>
      </c>
      <c r="F6711" s="29" t="s">
        <v>353</v>
      </c>
      <c r="G6711" s="25" t="s">
        <v>3616</v>
      </c>
      <c r="H6711" s="26">
        <v>-0.1071</v>
      </c>
      <c r="I6711" s="26"/>
      <c r="J6711" s="26" t="s">
        <v>512</v>
      </c>
      <c r="K6711" s="25" t="s">
        <v>513</v>
      </c>
      <c r="L6711" s="8"/>
    </row>
    <row r="6712" spans="1:12" ht="25.5" x14ac:dyDescent="0.25">
      <c r="A6712" s="22">
        <v>2026</v>
      </c>
      <c r="B6712" s="28" t="s">
        <v>237</v>
      </c>
      <c r="C6712" s="28" t="s">
        <v>97</v>
      </c>
      <c r="D6712" s="28" t="s">
        <v>1751</v>
      </c>
      <c r="E6712" s="29" t="s">
        <v>485</v>
      </c>
      <c r="F6712" s="29" t="s">
        <v>353</v>
      </c>
      <c r="G6712" s="25" t="s">
        <v>8377</v>
      </c>
      <c r="H6712" s="26">
        <v>-7.1599999999999997E-2</v>
      </c>
      <c r="I6712" s="26"/>
      <c r="J6712" s="26" t="s">
        <v>512</v>
      </c>
      <c r="K6712" s="25" t="s">
        <v>513</v>
      </c>
      <c r="L6712" s="8"/>
    </row>
    <row r="6713" spans="1:12" ht="25.5" x14ac:dyDescent="0.25">
      <c r="A6713" s="22">
        <v>2026</v>
      </c>
      <c r="B6713" s="28" t="s">
        <v>237</v>
      </c>
      <c r="C6713" s="28" t="s">
        <v>97</v>
      </c>
      <c r="D6713" s="28" t="s">
        <v>1751</v>
      </c>
      <c r="E6713" s="29" t="s">
        <v>485</v>
      </c>
      <c r="F6713" s="29" t="s">
        <v>353</v>
      </c>
      <c r="G6713" s="25" t="s">
        <v>8378</v>
      </c>
      <c r="H6713" s="26">
        <v>-3.5900000000000001E-2</v>
      </c>
      <c r="I6713" s="26"/>
      <c r="J6713" s="26" t="s">
        <v>512</v>
      </c>
      <c r="K6713" s="25" t="s">
        <v>513</v>
      </c>
      <c r="L6713" s="8"/>
    </row>
    <row r="6714" spans="1:12" ht="25.5" x14ac:dyDescent="0.25">
      <c r="A6714" s="22">
        <v>2026</v>
      </c>
      <c r="B6714" s="28" t="s">
        <v>237</v>
      </c>
      <c r="C6714" s="28" t="s">
        <v>97</v>
      </c>
      <c r="D6714" s="28" t="s">
        <v>1751</v>
      </c>
      <c r="E6714" s="29" t="s">
        <v>485</v>
      </c>
      <c r="F6714" s="29" t="s">
        <v>353</v>
      </c>
      <c r="G6714" s="25" t="s">
        <v>6073</v>
      </c>
      <c r="H6714" s="26">
        <v>-0.1077</v>
      </c>
      <c r="I6714" s="26"/>
      <c r="J6714" s="26" t="s">
        <v>512</v>
      </c>
      <c r="K6714" s="25" t="s">
        <v>513</v>
      </c>
      <c r="L6714" s="8"/>
    </row>
    <row r="6715" spans="1:12" ht="25.5" x14ac:dyDescent="0.25">
      <c r="A6715" s="22">
        <v>2026</v>
      </c>
      <c r="B6715" s="28" t="s">
        <v>237</v>
      </c>
      <c r="C6715" s="28" t="s">
        <v>97</v>
      </c>
      <c r="D6715" s="28" t="s">
        <v>1751</v>
      </c>
      <c r="E6715" s="29" t="s">
        <v>485</v>
      </c>
      <c r="F6715" s="29" t="s">
        <v>353</v>
      </c>
      <c r="G6715" s="25" t="s">
        <v>3620</v>
      </c>
      <c r="H6715" s="26">
        <v>-7.1800000000000003E-2</v>
      </c>
      <c r="I6715" s="26"/>
      <c r="J6715" s="26" t="s">
        <v>512</v>
      </c>
      <c r="K6715" s="25" t="s">
        <v>513</v>
      </c>
      <c r="L6715" s="8"/>
    </row>
    <row r="6716" spans="1:12" ht="25.5" x14ac:dyDescent="0.25">
      <c r="A6716" s="22">
        <v>2026</v>
      </c>
      <c r="B6716" s="28" t="s">
        <v>237</v>
      </c>
      <c r="C6716" s="28" t="s">
        <v>97</v>
      </c>
      <c r="D6716" s="28" t="s">
        <v>539</v>
      </c>
      <c r="E6716" s="29" t="s">
        <v>485</v>
      </c>
      <c r="F6716" s="29" t="s">
        <v>566</v>
      </c>
      <c r="G6716" s="25" t="s">
        <v>8379</v>
      </c>
      <c r="H6716" s="26">
        <v>-9.4E-2</v>
      </c>
      <c r="I6716" s="26"/>
      <c r="J6716" s="26" t="s">
        <v>512</v>
      </c>
      <c r="K6716" s="25" t="s">
        <v>513</v>
      </c>
      <c r="L6716" s="8"/>
    </row>
    <row r="6717" spans="1:12" ht="25.5" x14ac:dyDescent="0.25">
      <c r="A6717" s="22">
        <v>2026</v>
      </c>
      <c r="B6717" s="28" t="s">
        <v>237</v>
      </c>
      <c r="C6717" s="28" t="s">
        <v>97</v>
      </c>
      <c r="D6717" s="28" t="s">
        <v>539</v>
      </c>
      <c r="E6717" s="29" t="s">
        <v>485</v>
      </c>
      <c r="F6717" s="29" t="s">
        <v>566</v>
      </c>
      <c r="G6717" s="25" t="s">
        <v>8380</v>
      </c>
      <c r="H6717" s="26">
        <v>-0.109489875</v>
      </c>
      <c r="I6717" s="26"/>
      <c r="J6717" s="26" t="s">
        <v>512</v>
      </c>
      <c r="K6717" s="25" t="s">
        <v>513</v>
      </c>
      <c r="L6717" s="8"/>
    </row>
    <row r="6718" spans="1:12" ht="25.5" x14ac:dyDescent="0.25">
      <c r="A6718" s="22">
        <v>2026</v>
      </c>
      <c r="B6718" s="28" t="s">
        <v>237</v>
      </c>
      <c r="C6718" s="28" t="s">
        <v>97</v>
      </c>
      <c r="D6718" s="28" t="s">
        <v>1752</v>
      </c>
      <c r="E6718" s="29" t="s">
        <v>485</v>
      </c>
      <c r="F6718" s="29" t="s">
        <v>937</v>
      </c>
      <c r="G6718" s="25" t="s">
        <v>3248</v>
      </c>
      <c r="H6718" s="26">
        <v>-0.45700000000000002</v>
      </c>
      <c r="I6718" s="26"/>
      <c r="J6718" s="26" t="s">
        <v>512</v>
      </c>
      <c r="K6718" s="25" t="s">
        <v>513</v>
      </c>
      <c r="L6718" s="8"/>
    </row>
    <row r="6719" spans="1:12" ht="25.5" x14ac:dyDescent="0.25">
      <c r="A6719" s="22">
        <v>2026</v>
      </c>
      <c r="B6719" s="28" t="s">
        <v>237</v>
      </c>
      <c r="C6719" s="28" t="s">
        <v>97</v>
      </c>
      <c r="D6719" s="28" t="s">
        <v>1752</v>
      </c>
      <c r="E6719" s="29" t="s">
        <v>485</v>
      </c>
      <c r="F6719" s="29" t="s">
        <v>937</v>
      </c>
      <c r="G6719" s="25" t="s">
        <v>8381</v>
      </c>
      <c r="H6719" s="26">
        <v>-0.67044300000000001</v>
      </c>
      <c r="I6719" s="26"/>
      <c r="J6719" s="26" t="s">
        <v>512</v>
      </c>
      <c r="K6719" s="25" t="s">
        <v>513</v>
      </c>
      <c r="L6719" s="8"/>
    </row>
    <row r="6720" spans="1:12" ht="25.5" x14ac:dyDescent="0.25">
      <c r="A6720" s="22">
        <v>2026</v>
      </c>
      <c r="B6720" s="28" t="s">
        <v>237</v>
      </c>
      <c r="C6720" s="28" t="s">
        <v>97</v>
      </c>
      <c r="D6720" s="28" t="s">
        <v>1752</v>
      </c>
      <c r="E6720" s="29" t="s">
        <v>485</v>
      </c>
      <c r="F6720" s="29" t="s">
        <v>937</v>
      </c>
      <c r="G6720" s="25" t="s">
        <v>8382</v>
      </c>
      <c r="H6720" s="26">
        <v>-0.44168600000000002</v>
      </c>
      <c r="I6720" s="26"/>
      <c r="J6720" s="26" t="s">
        <v>512</v>
      </c>
      <c r="K6720" s="25" t="s">
        <v>513</v>
      </c>
      <c r="L6720" s="8"/>
    </row>
    <row r="6721" spans="1:12" ht="25.5" x14ac:dyDescent="0.25">
      <c r="A6721" s="22">
        <v>2026</v>
      </c>
      <c r="B6721" s="28" t="s">
        <v>237</v>
      </c>
      <c r="C6721" s="28" t="s">
        <v>97</v>
      </c>
      <c r="D6721" s="28" t="s">
        <v>1752</v>
      </c>
      <c r="E6721" s="29" t="s">
        <v>485</v>
      </c>
      <c r="F6721" s="29" t="s">
        <v>937</v>
      </c>
      <c r="G6721" s="25" t="s">
        <v>8383</v>
      </c>
      <c r="H6721" s="26">
        <v>-0.53789624999999996</v>
      </c>
      <c r="I6721" s="26"/>
      <c r="J6721" s="26" t="s">
        <v>512</v>
      </c>
      <c r="K6721" s="25" t="s">
        <v>513</v>
      </c>
      <c r="L6721" s="8"/>
    </row>
    <row r="6722" spans="1:12" ht="25.5" x14ac:dyDescent="0.25">
      <c r="A6722" s="22">
        <v>2026</v>
      </c>
      <c r="B6722" s="28" t="s">
        <v>237</v>
      </c>
      <c r="C6722" s="28" t="s">
        <v>97</v>
      </c>
      <c r="D6722" s="28" t="s">
        <v>1752</v>
      </c>
      <c r="E6722" s="29" t="s">
        <v>485</v>
      </c>
      <c r="F6722" s="29" t="s">
        <v>937</v>
      </c>
      <c r="G6722" s="25" t="s">
        <v>8384</v>
      </c>
      <c r="H6722" s="26">
        <v>-0.33975944828999999</v>
      </c>
      <c r="I6722" s="26"/>
      <c r="J6722" s="26" t="s">
        <v>512</v>
      </c>
      <c r="K6722" s="25" t="s">
        <v>513</v>
      </c>
      <c r="L6722" s="8"/>
    </row>
    <row r="6723" spans="1:12" ht="25.5" x14ac:dyDescent="0.25">
      <c r="A6723" s="22">
        <v>2026</v>
      </c>
      <c r="B6723" s="28" t="s">
        <v>237</v>
      </c>
      <c r="C6723" s="28" t="s">
        <v>97</v>
      </c>
      <c r="D6723" s="28" t="s">
        <v>1752</v>
      </c>
      <c r="E6723" s="29" t="s">
        <v>485</v>
      </c>
      <c r="F6723" s="29" t="s">
        <v>937</v>
      </c>
      <c r="G6723" s="25" t="s">
        <v>8385</v>
      </c>
      <c r="H6723" s="26">
        <v>-0.212286</v>
      </c>
      <c r="I6723" s="26"/>
      <c r="J6723" s="26" t="s">
        <v>512</v>
      </c>
      <c r="K6723" s="25" t="s">
        <v>513</v>
      </c>
      <c r="L6723" s="8"/>
    </row>
    <row r="6724" spans="1:12" ht="25.5" x14ac:dyDescent="0.25">
      <c r="A6724" s="22">
        <v>2026</v>
      </c>
      <c r="B6724" s="28" t="s">
        <v>237</v>
      </c>
      <c r="C6724" s="28" t="s">
        <v>97</v>
      </c>
      <c r="D6724" s="28" t="s">
        <v>1752</v>
      </c>
      <c r="E6724" s="29" t="s">
        <v>485</v>
      </c>
      <c r="F6724" s="29" t="s">
        <v>937</v>
      </c>
      <c r="G6724" s="25" t="s">
        <v>8386</v>
      </c>
      <c r="H6724" s="26">
        <v>-0.16348066686999999</v>
      </c>
      <c r="I6724" s="26"/>
      <c r="J6724" s="26" t="s">
        <v>512</v>
      </c>
      <c r="K6724" s="25" t="s">
        <v>513</v>
      </c>
      <c r="L6724" s="8"/>
    </row>
    <row r="6725" spans="1:12" ht="25.5" x14ac:dyDescent="0.25">
      <c r="A6725" s="22">
        <v>2026</v>
      </c>
      <c r="B6725" s="28" t="s">
        <v>237</v>
      </c>
      <c r="C6725" s="28" t="s">
        <v>97</v>
      </c>
      <c r="D6725" s="28" t="s">
        <v>1752</v>
      </c>
      <c r="E6725" s="29" t="s">
        <v>485</v>
      </c>
      <c r="F6725" s="29" t="s">
        <v>937</v>
      </c>
      <c r="G6725" s="25" t="s">
        <v>8387</v>
      </c>
      <c r="H6725" s="26">
        <v>-6.8171999999999996E-2</v>
      </c>
      <c r="I6725" s="26"/>
      <c r="J6725" s="26" t="s">
        <v>512</v>
      </c>
      <c r="K6725" s="25" t="s">
        <v>513</v>
      </c>
      <c r="L6725" s="8"/>
    </row>
    <row r="6726" spans="1:12" ht="25.5" x14ac:dyDescent="0.25">
      <c r="A6726" s="22">
        <v>2026</v>
      </c>
      <c r="B6726" s="28" t="s">
        <v>237</v>
      </c>
      <c r="C6726" s="28" t="s">
        <v>97</v>
      </c>
      <c r="D6726" s="28" t="s">
        <v>1752</v>
      </c>
      <c r="E6726" s="29" t="s">
        <v>485</v>
      </c>
      <c r="F6726" s="29" t="s">
        <v>937</v>
      </c>
      <c r="G6726" s="25" t="s">
        <v>8388</v>
      </c>
      <c r="H6726" s="26">
        <v>-0.447349</v>
      </c>
      <c r="I6726" s="26"/>
      <c r="J6726" s="26" t="s">
        <v>512</v>
      </c>
      <c r="K6726" s="25" t="s">
        <v>513</v>
      </c>
      <c r="L6726" s="8"/>
    </row>
    <row r="6727" spans="1:12" ht="25.5" x14ac:dyDescent="0.25">
      <c r="A6727" s="22">
        <v>2026</v>
      </c>
      <c r="B6727" s="28" t="s">
        <v>237</v>
      </c>
      <c r="C6727" s="28" t="s">
        <v>97</v>
      </c>
      <c r="D6727" s="28" t="s">
        <v>1752</v>
      </c>
      <c r="E6727" s="29" t="s">
        <v>485</v>
      </c>
      <c r="F6727" s="29" t="s">
        <v>937</v>
      </c>
      <c r="G6727" s="25" t="s">
        <v>8389</v>
      </c>
      <c r="H6727" s="26">
        <v>-0.25413785471</v>
      </c>
      <c r="I6727" s="26"/>
      <c r="J6727" s="26" t="s">
        <v>512</v>
      </c>
      <c r="K6727" s="25" t="s">
        <v>513</v>
      </c>
      <c r="L6727" s="8"/>
    </row>
    <row r="6728" spans="1:12" ht="25.5" x14ac:dyDescent="0.25">
      <c r="A6728" s="22">
        <v>2026</v>
      </c>
      <c r="B6728" s="28" t="s">
        <v>237</v>
      </c>
      <c r="C6728" s="28" t="s">
        <v>97</v>
      </c>
      <c r="D6728" s="28" t="s">
        <v>1752</v>
      </c>
      <c r="E6728" s="29" t="s">
        <v>485</v>
      </c>
      <c r="F6728" s="29" t="s">
        <v>937</v>
      </c>
      <c r="G6728" s="25" t="s">
        <v>8390</v>
      </c>
      <c r="H6728" s="26">
        <v>-0.44372</v>
      </c>
      <c r="I6728" s="26"/>
      <c r="J6728" s="26" t="s">
        <v>512</v>
      </c>
      <c r="K6728" s="25" t="s">
        <v>513</v>
      </c>
      <c r="L6728" s="8"/>
    </row>
    <row r="6729" spans="1:12" ht="25.5" x14ac:dyDescent="0.25">
      <c r="A6729" s="22">
        <v>2026</v>
      </c>
      <c r="B6729" s="28" t="s">
        <v>237</v>
      </c>
      <c r="C6729" s="28" t="s">
        <v>97</v>
      </c>
      <c r="D6729" s="28" t="s">
        <v>1752</v>
      </c>
      <c r="E6729" s="29" t="s">
        <v>485</v>
      </c>
      <c r="F6729" s="29" t="s">
        <v>937</v>
      </c>
      <c r="G6729" s="25" t="s">
        <v>8391</v>
      </c>
      <c r="H6729" s="26">
        <v>-0.66310049999999998</v>
      </c>
      <c r="I6729" s="26"/>
      <c r="J6729" s="26" t="s">
        <v>512</v>
      </c>
      <c r="K6729" s="25" t="s">
        <v>513</v>
      </c>
      <c r="L6729" s="8"/>
    </row>
    <row r="6730" spans="1:12" ht="25.5" x14ac:dyDescent="0.25">
      <c r="A6730" s="22">
        <v>2026</v>
      </c>
      <c r="B6730" s="28" t="s">
        <v>237</v>
      </c>
      <c r="C6730" s="28" t="s">
        <v>97</v>
      </c>
      <c r="D6730" s="28" t="s">
        <v>1752</v>
      </c>
      <c r="E6730" s="29" t="s">
        <v>485</v>
      </c>
      <c r="F6730" s="29" t="s">
        <v>937</v>
      </c>
      <c r="G6730" s="25" t="s">
        <v>8392</v>
      </c>
      <c r="H6730" s="26">
        <v>-0.44219700000000001</v>
      </c>
      <c r="I6730" s="26"/>
      <c r="J6730" s="26" t="s">
        <v>512</v>
      </c>
      <c r="K6730" s="25" t="s">
        <v>513</v>
      </c>
      <c r="L6730" s="8"/>
    </row>
    <row r="6731" spans="1:12" ht="25.5" x14ac:dyDescent="0.25">
      <c r="A6731" s="22">
        <v>2026</v>
      </c>
      <c r="B6731" s="28" t="s">
        <v>237</v>
      </c>
      <c r="C6731" s="28" t="s">
        <v>97</v>
      </c>
      <c r="D6731" s="28" t="s">
        <v>1752</v>
      </c>
      <c r="E6731" s="29" t="s">
        <v>485</v>
      </c>
      <c r="F6731" s="29" t="s">
        <v>937</v>
      </c>
      <c r="G6731" s="25" t="s">
        <v>8393</v>
      </c>
      <c r="H6731" s="26">
        <v>-0.42393547016000005</v>
      </c>
      <c r="I6731" s="26"/>
      <c r="J6731" s="26" t="s">
        <v>512</v>
      </c>
      <c r="K6731" s="25" t="s">
        <v>513</v>
      </c>
      <c r="L6731" s="8"/>
    </row>
    <row r="6732" spans="1:12" ht="25.5" x14ac:dyDescent="0.25">
      <c r="A6732" s="22">
        <v>2026</v>
      </c>
      <c r="B6732" s="28" t="s">
        <v>237</v>
      </c>
      <c r="C6732" s="28" t="s">
        <v>97</v>
      </c>
      <c r="D6732" s="28" t="s">
        <v>1752</v>
      </c>
      <c r="E6732" s="29" t="s">
        <v>485</v>
      </c>
      <c r="F6732" s="29" t="s">
        <v>937</v>
      </c>
      <c r="G6732" s="25" t="s">
        <v>8394</v>
      </c>
      <c r="H6732" s="26">
        <v>-0.32596049999999999</v>
      </c>
      <c r="I6732" s="26"/>
      <c r="J6732" s="26" t="s">
        <v>512</v>
      </c>
      <c r="K6732" s="25" t="s">
        <v>513</v>
      </c>
      <c r="L6732" s="8"/>
    </row>
    <row r="6733" spans="1:12" ht="25.5" x14ac:dyDescent="0.25">
      <c r="A6733" s="22">
        <v>2026</v>
      </c>
      <c r="B6733" s="28" t="s">
        <v>237</v>
      </c>
      <c r="C6733" s="28" t="s">
        <v>97</v>
      </c>
      <c r="D6733" s="28" t="s">
        <v>260</v>
      </c>
      <c r="E6733" s="29" t="s">
        <v>485</v>
      </c>
      <c r="F6733" s="29" t="s">
        <v>386</v>
      </c>
      <c r="G6733" s="25" t="s">
        <v>8395</v>
      </c>
      <c r="H6733" s="26">
        <v>-0.10287578</v>
      </c>
      <c r="I6733" s="26"/>
      <c r="J6733" s="26" t="s">
        <v>512</v>
      </c>
      <c r="K6733" s="25" t="s">
        <v>513</v>
      </c>
      <c r="L6733" s="8"/>
    </row>
    <row r="6734" spans="1:12" ht="25.5" x14ac:dyDescent="0.25">
      <c r="A6734" s="22">
        <v>2026</v>
      </c>
      <c r="B6734" s="28" t="s">
        <v>237</v>
      </c>
      <c r="C6734" s="28" t="s">
        <v>97</v>
      </c>
      <c r="D6734" s="28" t="s">
        <v>260</v>
      </c>
      <c r="E6734" s="29" t="s">
        <v>485</v>
      </c>
      <c r="F6734" s="29" t="s">
        <v>386</v>
      </c>
      <c r="G6734" s="25" t="s">
        <v>8396</v>
      </c>
      <c r="H6734" s="26">
        <v>-7.2872999999999993E-2</v>
      </c>
      <c r="I6734" s="26"/>
      <c r="J6734" s="26" t="s">
        <v>512</v>
      </c>
      <c r="K6734" s="25" t="s">
        <v>513</v>
      </c>
      <c r="L6734" s="8"/>
    </row>
    <row r="6735" spans="1:12" ht="25.5" x14ac:dyDescent="0.25">
      <c r="A6735" s="22">
        <v>2026</v>
      </c>
      <c r="B6735" s="28" t="s">
        <v>237</v>
      </c>
      <c r="C6735" s="28" t="s">
        <v>97</v>
      </c>
      <c r="D6735" s="28" t="s">
        <v>260</v>
      </c>
      <c r="E6735" s="29" t="s">
        <v>485</v>
      </c>
      <c r="F6735" s="29" t="s">
        <v>386</v>
      </c>
      <c r="G6735" s="25" t="s">
        <v>8397</v>
      </c>
      <c r="H6735" s="26">
        <v>-0.14442839999999998</v>
      </c>
      <c r="I6735" s="26"/>
      <c r="J6735" s="26" t="s">
        <v>512</v>
      </c>
      <c r="K6735" s="25" t="s">
        <v>513</v>
      </c>
      <c r="L6735" s="8"/>
    </row>
    <row r="6736" spans="1:12" ht="25.5" x14ac:dyDescent="0.25">
      <c r="A6736" s="22">
        <v>2026</v>
      </c>
      <c r="B6736" s="28" t="s">
        <v>237</v>
      </c>
      <c r="C6736" s="28" t="s">
        <v>97</v>
      </c>
      <c r="D6736" s="28" t="s">
        <v>260</v>
      </c>
      <c r="E6736" s="29" t="s">
        <v>485</v>
      </c>
      <c r="F6736" s="29" t="s">
        <v>386</v>
      </c>
      <c r="G6736" s="25" t="s">
        <v>8398</v>
      </c>
      <c r="H6736" s="26">
        <v>-0.2164248</v>
      </c>
      <c r="I6736" s="26"/>
      <c r="J6736" s="26" t="s">
        <v>512</v>
      </c>
      <c r="K6736" s="25" t="s">
        <v>513</v>
      </c>
      <c r="L6736" s="8"/>
    </row>
    <row r="6737" spans="1:12" ht="25.5" x14ac:dyDescent="0.25">
      <c r="A6737" s="22">
        <v>2026</v>
      </c>
      <c r="B6737" s="28" t="s">
        <v>237</v>
      </c>
      <c r="C6737" s="28" t="s">
        <v>97</v>
      </c>
      <c r="D6737" s="28" t="s">
        <v>260</v>
      </c>
      <c r="E6737" s="29" t="s">
        <v>485</v>
      </c>
      <c r="F6737" s="29" t="s">
        <v>386</v>
      </c>
      <c r="G6737" s="25" t="s">
        <v>8399</v>
      </c>
      <c r="H6737" s="26">
        <v>-0.36112499999999997</v>
      </c>
      <c r="I6737" s="26"/>
      <c r="J6737" s="26" t="s">
        <v>512</v>
      </c>
      <c r="K6737" s="25" t="s">
        <v>513</v>
      </c>
      <c r="L6737" s="8"/>
    </row>
    <row r="6738" spans="1:12" ht="25.5" x14ac:dyDescent="0.25">
      <c r="A6738" s="22">
        <v>2026</v>
      </c>
      <c r="B6738" s="28" t="s">
        <v>237</v>
      </c>
      <c r="C6738" s="28" t="s">
        <v>97</v>
      </c>
      <c r="D6738" s="28" t="s">
        <v>260</v>
      </c>
      <c r="E6738" s="29" t="s">
        <v>485</v>
      </c>
      <c r="F6738" s="29" t="s">
        <v>386</v>
      </c>
      <c r="G6738" s="25" t="s">
        <v>8400</v>
      </c>
      <c r="H6738" s="26">
        <v>-7.1499999999999994E-2</v>
      </c>
      <c r="I6738" s="26"/>
      <c r="J6738" s="26" t="s">
        <v>512</v>
      </c>
      <c r="K6738" s="25" t="s">
        <v>513</v>
      </c>
      <c r="L6738" s="8"/>
    </row>
    <row r="6739" spans="1:12" ht="25.5" x14ac:dyDescent="0.25">
      <c r="A6739" s="22">
        <v>2026</v>
      </c>
      <c r="B6739" s="28" t="s">
        <v>237</v>
      </c>
      <c r="C6739" s="28" t="s">
        <v>97</v>
      </c>
      <c r="D6739" s="28" t="s">
        <v>260</v>
      </c>
      <c r="E6739" s="29" t="s">
        <v>485</v>
      </c>
      <c r="F6739" s="29" t="s">
        <v>386</v>
      </c>
      <c r="G6739" s="25" t="s">
        <v>8401</v>
      </c>
      <c r="H6739" s="26">
        <v>-0.1071</v>
      </c>
      <c r="I6739" s="26"/>
      <c r="J6739" s="26" t="s">
        <v>512</v>
      </c>
      <c r="K6739" s="25" t="s">
        <v>513</v>
      </c>
      <c r="L6739" s="8"/>
    </row>
    <row r="6740" spans="1:12" ht="25.5" x14ac:dyDescent="0.25">
      <c r="A6740" s="22">
        <v>2026</v>
      </c>
      <c r="B6740" s="28" t="s">
        <v>237</v>
      </c>
      <c r="C6740" s="28" t="s">
        <v>97</v>
      </c>
      <c r="D6740" s="28" t="s">
        <v>260</v>
      </c>
      <c r="E6740" s="29" t="s">
        <v>485</v>
      </c>
      <c r="F6740" s="29" t="s">
        <v>386</v>
      </c>
      <c r="G6740" s="25" t="s">
        <v>8402</v>
      </c>
      <c r="H6740" s="26">
        <v>-5.4199949999999997E-2</v>
      </c>
      <c r="I6740" s="26"/>
      <c r="J6740" s="26" t="s">
        <v>512</v>
      </c>
      <c r="K6740" s="25" t="s">
        <v>513</v>
      </c>
      <c r="L6740" s="8"/>
    </row>
    <row r="6741" spans="1:12" ht="25.5" x14ac:dyDescent="0.25">
      <c r="A6741" s="22">
        <v>2026</v>
      </c>
      <c r="B6741" s="28" t="s">
        <v>237</v>
      </c>
      <c r="C6741" s="28" t="s">
        <v>97</v>
      </c>
      <c r="D6741" s="28" t="s">
        <v>260</v>
      </c>
      <c r="E6741" s="29" t="s">
        <v>485</v>
      </c>
      <c r="F6741" s="29" t="s">
        <v>386</v>
      </c>
      <c r="G6741" s="25" t="s">
        <v>8403</v>
      </c>
      <c r="H6741" s="26">
        <v>-7.2614999999999999E-2</v>
      </c>
      <c r="I6741" s="26"/>
      <c r="J6741" s="26" t="s">
        <v>512</v>
      </c>
      <c r="K6741" s="25" t="s">
        <v>513</v>
      </c>
      <c r="L6741" s="8"/>
    </row>
    <row r="6742" spans="1:12" ht="25.5" x14ac:dyDescent="0.25">
      <c r="A6742" s="22">
        <v>2026</v>
      </c>
      <c r="B6742" s="28" t="s">
        <v>237</v>
      </c>
      <c r="C6742" s="28" t="s">
        <v>97</v>
      </c>
      <c r="D6742" s="28" t="s">
        <v>260</v>
      </c>
      <c r="E6742" s="29" t="s">
        <v>485</v>
      </c>
      <c r="F6742" s="29" t="s">
        <v>386</v>
      </c>
      <c r="G6742" s="25" t="s">
        <v>8404</v>
      </c>
      <c r="H6742" s="26">
        <v>-0.1424</v>
      </c>
      <c r="I6742" s="26"/>
      <c r="J6742" s="26" t="s">
        <v>512</v>
      </c>
      <c r="K6742" s="25" t="s">
        <v>513</v>
      </c>
      <c r="L6742" s="8"/>
    </row>
    <row r="6743" spans="1:12" ht="25.5" x14ac:dyDescent="0.25">
      <c r="A6743" s="22">
        <v>2026</v>
      </c>
      <c r="B6743" s="28" t="s">
        <v>237</v>
      </c>
      <c r="C6743" s="28" t="s">
        <v>97</v>
      </c>
      <c r="D6743" s="28" t="s">
        <v>1753</v>
      </c>
      <c r="E6743" s="29" t="s">
        <v>331</v>
      </c>
      <c r="F6743" s="29" t="s">
        <v>335</v>
      </c>
      <c r="G6743" s="25" t="s">
        <v>8405</v>
      </c>
      <c r="H6743" s="26">
        <v>-0.88450318350000001</v>
      </c>
      <c r="I6743" s="26"/>
      <c r="J6743" s="26" t="s">
        <v>512</v>
      </c>
      <c r="K6743" s="25" t="s">
        <v>513</v>
      </c>
      <c r="L6743" s="8"/>
    </row>
    <row r="6744" spans="1:12" ht="25.5" x14ac:dyDescent="0.25">
      <c r="A6744" s="22">
        <v>2026</v>
      </c>
      <c r="B6744" s="28" t="s">
        <v>237</v>
      </c>
      <c r="C6744" s="28" t="s">
        <v>97</v>
      </c>
      <c r="D6744" s="28" t="s">
        <v>1753</v>
      </c>
      <c r="E6744" s="29" t="s">
        <v>331</v>
      </c>
      <c r="F6744" s="29" t="s">
        <v>335</v>
      </c>
      <c r="G6744" s="25" t="s">
        <v>8406</v>
      </c>
      <c r="H6744" s="26">
        <v>-1.1012999999999999</v>
      </c>
      <c r="I6744" s="26"/>
      <c r="J6744" s="26" t="s">
        <v>512</v>
      </c>
      <c r="K6744" s="25" t="s">
        <v>513</v>
      </c>
      <c r="L6744" s="8"/>
    </row>
    <row r="6745" spans="1:12" ht="25.5" x14ac:dyDescent="0.25">
      <c r="A6745" s="22">
        <v>2026</v>
      </c>
      <c r="B6745" s="28" t="s">
        <v>237</v>
      </c>
      <c r="C6745" s="28" t="s">
        <v>97</v>
      </c>
      <c r="D6745" s="28" t="s">
        <v>1753</v>
      </c>
      <c r="E6745" s="29" t="s">
        <v>331</v>
      </c>
      <c r="F6745" s="29" t="s">
        <v>335</v>
      </c>
      <c r="G6745" s="25" t="s">
        <v>8407</v>
      </c>
      <c r="H6745" s="26">
        <v>-1.0960000000000001</v>
      </c>
      <c r="I6745" s="26"/>
      <c r="J6745" s="26" t="s">
        <v>512</v>
      </c>
      <c r="K6745" s="25" t="s">
        <v>513</v>
      </c>
      <c r="L6745" s="8"/>
    </row>
    <row r="6746" spans="1:12" ht="25.5" x14ac:dyDescent="0.25">
      <c r="A6746" s="22">
        <v>2026</v>
      </c>
      <c r="B6746" s="28" t="s">
        <v>237</v>
      </c>
      <c r="C6746" s="28" t="s">
        <v>97</v>
      </c>
      <c r="D6746" s="28" t="s">
        <v>1753</v>
      </c>
      <c r="E6746" s="29" t="s">
        <v>331</v>
      </c>
      <c r="F6746" s="29" t="s">
        <v>335</v>
      </c>
      <c r="G6746" s="25" t="s">
        <v>8408</v>
      </c>
      <c r="H6746" s="26">
        <v>-1.0907199999999999</v>
      </c>
      <c r="I6746" s="26"/>
      <c r="J6746" s="26" t="s">
        <v>512</v>
      </c>
      <c r="K6746" s="25" t="s">
        <v>513</v>
      </c>
      <c r="L6746" s="8"/>
    </row>
    <row r="6747" spans="1:12" ht="25.5" x14ac:dyDescent="0.25">
      <c r="A6747" s="22">
        <v>2026</v>
      </c>
      <c r="B6747" s="28" t="s">
        <v>237</v>
      </c>
      <c r="C6747" s="28" t="s">
        <v>97</v>
      </c>
      <c r="D6747" s="28" t="s">
        <v>1753</v>
      </c>
      <c r="E6747" s="29" t="s">
        <v>331</v>
      </c>
      <c r="F6747" s="29" t="s">
        <v>335</v>
      </c>
      <c r="G6747" s="25" t="s">
        <v>8409</v>
      </c>
      <c r="H6747" s="26">
        <v>-0.32519999999999999</v>
      </c>
      <c r="I6747" s="26"/>
      <c r="J6747" s="26" t="s">
        <v>512</v>
      </c>
      <c r="K6747" s="25" t="s">
        <v>513</v>
      </c>
      <c r="L6747" s="8"/>
    </row>
    <row r="6748" spans="1:12" ht="25.5" x14ac:dyDescent="0.25">
      <c r="A6748" s="22">
        <v>2026</v>
      </c>
      <c r="B6748" s="28" t="s">
        <v>237</v>
      </c>
      <c r="C6748" s="28" t="s">
        <v>97</v>
      </c>
      <c r="D6748" s="28" t="s">
        <v>1753</v>
      </c>
      <c r="E6748" s="29" t="s">
        <v>331</v>
      </c>
      <c r="F6748" s="29" t="s">
        <v>335</v>
      </c>
      <c r="G6748" s="25" t="s">
        <v>8410</v>
      </c>
      <c r="H6748" s="26">
        <v>-1.0745</v>
      </c>
      <c r="I6748" s="26"/>
      <c r="J6748" s="26" t="s">
        <v>512</v>
      </c>
      <c r="K6748" s="25" t="s">
        <v>513</v>
      </c>
      <c r="L6748" s="8"/>
    </row>
    <row r="6749" spans="1:12" ht="25.5" x14ac:dyDescent="0.25">
      <c r="A6749" s="22">
        <v>2026</v>
      </c>
      <c r="B6749" s="28" t="s">
        <v>237</v>
      </c>
      <c r="C6749" s="28" t="s">
        <v>97</v>
      </c>
      <c r="D6749" s="28" t="s">
        <v>1753</v>
      </c>
      <c r="E6749" s="29" t="s">
        <v>331</v>
      </c>
      <c r="F6749" s="29" t="s">
        <v>335</v>
      </c>
      <c r="G6749" s="25" t="s">
        <v>8411</v>
      </c>
      <c r="H6749" s="26">
        <v>-1.07382</v>
      </c>
      <c r="I6749" s="26"/>
      <c r="J6749" s="26" t="s">
        <v>512</v>
      </c>
      <c r="K6749" s="25" t="s">
        <v>513</v>
      </c>
      <c r="L6749" s="8"/>
    </row>
    <row r="6750" spans="1:12" ht="25.5" x14ac:dyDescent="0.25">
      <c r="A6750" s="22">
        <v>2026</v>
      </c>
      <c r="B6750" s="28" t="s">
        <v>237</v>
      </c>
      <c r="C6750" s="28" t="s">
        <v>97</v>
      </c>
      <c r="D6750" s="28" t="s">
        <v>1753</v>
      </c>
      <c r="E6750" s="29" t="s">
        <v>331</v>
      </c>
      <c r="F6750" s="29" t="s">
        <v>335</v>
      </c>
      <c r="G6750" s="25" t="s">
        <v>8412</v>
      </c>
      <c r="H6750" s="26">
        <v>-0.53971000000000002</v>
      </c>
      <c r="I6750" s="26"/>
      <c r="J6750" s="26" t="s">
        <v>512</v>
      </c>
      <c r="K6750" s="25" t="s">
        <v>513</v>
      </c>
      <c r="L6750" s="8"/>
    </row>
    <row r="6751" spans="1:12" ht="25.5" x14ac:dyDescent="0.25">
      <c r="A6751" s="22">
        <v>2026</v>
      </c>
      <c r="B6751" s="28" t="s">
        <v>237</v>
      </c>
      <c r="C6751" s="28" t="s">
        <v>97</v>
      </c>
      <c r="D6751" s="28" t="s">
        <v>1753</v>
      </c>
      <c r="E6751" s="29" t="s">
        <v>331</v>
      </c>
      <c r="F6751" s="29" t="s">
        <v>335</v>
      </c>
      <c r="G6751" s="25" t="s">
        <v>8413</v>
      </c>
      <c r="H6751" s="26">
        <v>-0.81532499999999997</v>
      </c>
      <c r="I6751" s="26"/>
      <c r="J6751" s="26" t="s">
        <v>512</v>
      </c>
      <c r="K6751" s="25" t="s">
        <v>513</v>
      </c>
      <c r="L6751" s="8"/>
    </row>
    <row r="6752" spans="1:12" ht="25.5" x14ac:dyDescent="0.25">
      <c r="A6752" s="22">
        <v>2026</v>
      </c>
      <c r="B6752" s="28" t="s">
        <v>237</v>
      </c>
      <c r="C6752" s="28" t="s">
        <v>97</v>
      </c>
      <c r="D6752" s="28" t="s">
        <v>1753</v>
      </c>
      <c r="E6752" s="29" t="s">
        <v>331</v>
      </c>
      <c r="F6752" s="29" t="s">
        <v>335</v>
      </c>
      <c r="G6752" s="25" t="s">
        <v>8414</v>
      </c>
      <c r="H6752" s="26">
        <v>-0.90329250000000005</v>
      </c>
      <c r="I6752" s="26"/>
      <c r="J6752" s="26" t="s">
        <v>512</v>
      </c>
      <c r="K6752" s="25" t="s">
        <v>513</v>
      </c>
      <c r="L6752" s="8"/>
    </row>
    <row r="6753" spans="1:12" ht="25.5" x14ac:dyDescent="0.25">
      <c r="A6753" s="22">
        <v>2026</v>
      </c>
      <c r="B6753" s="28" t="s">
        <v>237</v>
      </c>
      <c r="C6753" s="28" t="s">
        <v>97</v>
      </c>
      <c r="D6753" s="28" t="s">
        <v>1753</v>
      </c>
      <c r="E6753" s="29" t="s">
        <v>331</v>
      </c>
      <c r="F6753" s="29" t="s">
        <v>335</v>
      </c>
      <c r="G6753" s="25" t="s">
        <v>8415</v>
      </c>
      <c r="H6753" s="26">
        <v>-1.010581</v>
      </c>
      <c r="I6753" s="26"/>
      <c r="J6753" s="26" t="s">
        <v>512</v>
      </c>
      <c r="K6753" s="25" t="s">
        <v>513</v>
      </c>
      <c r="L6753" s="8"/>
    </row>
    <row r="6754" spans="1:12" ht="25.5" x14ac:dyDescent="0.25">
      <c r="A6754" s="22">
        <v>2026</v>
      </c>
      <c r="B6754" s="28" t="s">
        <v>237</v>
      </c>
      <c r="C6754" s="28" t="s">
        <v>97</v>
      </c>
      <c r="D6754" s="28" t="s">
        <v>1753</v>
      </c>
      <c r="E6754" s="29" t="s">
        <v>331</v>
      </c>
      <c r="F6754" s="29" t="s">
        <v>335</v>
      </c>
      <c r="G6754" s="25" t="s">
        <v>8416</v>
      </c>
      <c r="H6754" s="26">
        <v>-0.81625499999999995</v>
      </c>
      <c r="I6754" s="26"/>
      <c r="J6754" s="26" t="s">
        <v>512</v>
      </c>
      <c r="K6754" s="25" t="s">
        <v>513</v>
      </c>
      <c r="L6754" s="8"/>
    </row>
    <row r="6755" spans="1:12" ht="25.5" x14ac:dyDescent="0.25">
      <c r="A6755" s="22">
        <v>2026</v>
      </c>
      <c r="B6755" s="28" t="s">
        <v>237</v>
      </c>
      <c r="C6755" s="28" t="s">
        <v>97</v>
      </c>
      <c r="D6755" s="28" t="s">
        <v>1753</v>
      </c>
      <c r="E6755" s="29" t="s">
        <v>331</v>
      </c>
      <c r="F6755" s="29" t="s">
        <v>335</v>
      </c>
      <c r="G6755" s="25" t="s">
        <v>8417</v>
      </c>
      <c r="H6755" s="26">
        <v>-1.09006</v>
      </c>
      <c r="I6755" s="26"/>
      <c r="J6755" s="26" t="s">
        <v>512</v>
      </c>
      <c r="K6755" s="25" t="s">
        <v>513</v>
      </c>
      <c r="L6755" s="8"/>
    </row>
    <row r="6756" spans="1:12" ht="25.5" x14ac:dyDescent="0.25">
      <c r="A6756" s="22">
        <v>2026</v>
      </c>
      <c r="B6756" s="28" t="s">
        <v>237</v>
      </c>
      <c r="C6756" s="28" t="s">
        <v>97</v>
      </c>
      <c r="D6756" s="28" t="s">
        <v>1753</v>
      </c>
      <c r="E6756" s="29" t="s">
        <v>331</v>
      </c>
      <c r="F6756" s="29" t="s">
        <v>335</v>
      </c>
      <c r="G6756" s="25" t="s">
        <v>8418</v>
      </c>
      <c r="H6756" s="26">
        <v>-1.0778799999999999</v>
      </c>
      <c r="I6756" s="26"/>
      <c r="J6756" s="26" t="s">
        <v>512</v>
      </c>
      <c r="K6756" s="25" t="s">
        <v>513</v>
      </c>
      <c r="L6756" s="8"/>
    </row>
    <row r="6757" spans="1:12" ht="25.5" x14ac:dyDescent="0.25">
      <c r="A6757" s="22">
        <v>2026</v>
      </c>
      <c r="B6757" s="28" t="s">
        <v>237</v>
      </c>
      <c r="C6757" s="28" t="s">
        <v>97</v>
      </c>
      <c r="D6757" s="28" t="s">
        <v>1753</v>
      </c>
      <c r="E6757" s="29" t="s">
        <v>331</v>
      </c>
      <c r="F6757" s="29" t="s">
        <v>335</v>
      </c>
      <c r="G6757" s="25" t="s">
        <v>8419</v>
      </c>
      <c r="H6757" s="26">
        <v>-0.80104500000000001</v>
      </c>
      <c r="I6757" s="26"/>
      <c r="J6757" s="26" t="s">
        <v>512</v>
      </c>
      <c r="K6757" s="25" t="s">
        <v>513</v>
      </c>
      <c r="L6757" s="8"/>
    </row>
    <row r="6758" spans="1:12" ht="25.5" x14ac:dyDescent="0.25">
      <c r="A6758" s="22">
        <v>2026</v>
      </c>
      <c r="B6758" s="28" t="s">
        <v>237</v>
      </c>
      <c r="C6758" s="28" t="s">
        <v>97</v>
      </c>
      <c r="D6758" s="28" t="s">
        <v>1753</v>
      </c>
      <c r="E6758" s="29" t="s">
        <v>331</v>
      </c>
      <c r="F6758" s="29" t="s">
        <v>335</v>
      </c>
      <c r="G6758" s="25" t="s">
        <v>8420</v>
      </c>
      <c r="H6758" s="26">
        <v>-1.07386</v>
      </c>
      <c r="I6758" s="26"/>
      <c r="J6758" s="26" t="s">
        <v>512</v>
      </c>
      <c r="K6758" s="25" t="s">
        <v>513</v>
      </c>
      <c r="L6758" s="8"/>
    </row>
    <row r="6759" spans="1:12" ht="25.5" x14ac:dyDescent="0.25">
      <c r="A6759" s="22">
        <v>2026</v>
      </c>
      <c r="B6759" s="28" t="s">
        <v>237</v>
      </c>
      <c r="C6759" s="28" t="s">
        <v>97</v>
      </c>
      <c r="D6759" s="28" t="s">
        <v>1753</v>
      </c>
      <c r="E6759" s="29" t="s">
        <v>331</v>
      </c>
      <c r="F6759" s="29" t="s">
        <v>335</v>
      </c>
      <c r="G6759" s="25" t="s">
        <v>8421</v>
      </c>
      <c r="H6759" s="26">
        <v>-1.0722799999999999</v>
      </c>
      <c r="I6759" s="26"/>
      <c r="J6759" s="26" t="s">
        <v>512</v>
      </c>
      <c r="K6759" s="25" t="s">
        <v>513</v>
      </c>
      <c r="L6759" s="8"/>
    </row>
    <row r="6760" spans="1:12" ht="25.5" x14ac:dyDescent="0.25">
      <c r="A6760" s="22">
        <v>2026</v>
      </c>
      <c r="B6760" s="28" t="s">
        <v>237</v>
      </c>
      <c r="C6760" s="28" t="s">
        <v>97</v>
      </c>
      <c r="D6760" s="28" t="s">
        <v>1753</v>
      </c>
      <c r="E6760" s="29" t="s">
        <v>331</v>
      </c>
      <c r="F6760" s="29" t="s">
        <v>335</v>
      </c>
      <c r="G6760" s="25" t="s">
        <v>8422</v>
      </c>
      <c r="H6760" s="26">
        <v>-0.80188499999999996</v>
      </c>
      <c r="I6760" s="26"/>
      <c r="J6760" s="26" t="s">
        <v>512</v>
      </c>
      <c r="K6760" s="25" t="s">
        <v>513</v>
      </c>
      <c r="L6760" s="8"/>
    </row>
    <row r="6761" spans="1:12" ht="25.5" x14ac:dyDescent="0.25">
      <c r="A6761" s="22">
        <v>2026</v>
      </c>
      <c r="B6761" s="28" t="s">
        <v>237</v>
      </c>
      <c r="C6761" s="28" t="s">
        <v>97</v>
      </c>
      <c r="D6761" s="28" t="s">
        <v>1753</v>
      </c>
      <c r="E6761" s="29" t="s">
        <v>331</v>
      </c>
      <c r="F6761" s="29" t="s">
        <v>335</v>
      </c>
      <c r="G6761" s="25" t="s">
        <v>8423</v>
      </c>
      <c r="H6761" s="26">
        <v>-0.93516500000000002</v>
      </c>
      <c r="I6761" s="26"/>
      <c r="J6761" s="26" t="s">
        <v>512</v>
      </c>
      <c r="K6761" s="25" t="s">
        <v>513</v>
      </c>
      <c r="L6761" s="8"/>
    </row>
    <row r="6762" spans="1:12" ht="25.5" x14ac:dyDescent="0.25">
      <c r="A6762" s="22">
        <v>2026</v>
      </c>
      <c r="B6762" s="28" t="s">
        <v>237</v>
      </c>
      <c r="C6762" s="28" t="s">
        <v>97</v>
      </c>
      <c r="D6762" s="28" t="s">
        <v>1753</v>
      </c>
      <c r="E6762" s="29" t="s">
        <v>331</v>
      </c>
      <c r="F6762" s="29" t="s">
        <v>335</v>
      </c>
      <c r="G6762" s="25" t="s">
        <v>8424</v>
      </c>
      <c r="H6762" s="26">
        <v>-1.0805199999999999</v>
      </c>
      <c r="I6762" s="26"/>
      <c r="J6762" s="26" t="s">
        <v>512</v>
      </c>
      <c r="K6762" s="25" t="s">
        <v>513</v>
      </c>
      <c r="L6762" s="8"/>
    </row>
    <row r="6763" spans="1:12" ht="25.5" x14ac:dyDescent="0.25">
      <c r="A6763" s="22">
        <v>2026</v>
      </c>
      <c r="B6763" s="28" t="s">
        <v>237</v>
      </c>
      <c r="C6763" s="28" t="s">
        <v>97</v>
      </c>
      <c r="D6763" s="28" t="s">
        <v>216</v>
      </c>
      <c r="E6763" s="29" t="s">
        <v>331</v>
      </c>
      <c r="F6763" s="29" t="s">
        <v>298</v>
      </c>
      <c r="G6763" s="25" t="s">
        <v>8425</v>
      </c>
      <c r="H6763" s="26">
        <v>-11.49488</v>
      </c>
      <c r="I6763" s="26"/>
      <c r="J6763" s="26" t="s">
        <v>512</v>
      </c>
      <c r="K6763" s="25" t="s">
        <v>513</v>
      </c>
      <c r="L6763" s="8"/>
    </row>
    <row r="6764" spans="1:12" ht="25.5" x14ac:dyDescent="0.25">
      <c r="A6764" s="22">
        <v>2026</v>
      </c>
      <c r="B6764" s="28" t="s">
        <v>237</v>
      </c>
      <c r="C6764" s="28" t="s">
        <v>97</v>
      </c>
      <c r="D6764" s="28" t="s">
        <v>216</v>
      </c>
      <c r="E6764" s="29" t="s">
        <v>331</v>
      </c>
      <c r="F6764" s="29" t="s">
        <v>298</v>
      </c>
      <c r="G6764" s="25" t="s">
        <v>8426</v>
      </c>
      <c r="H6764" s="26">
        <v>-10.71705</v>
      </c>
      <c r="I6764" s="26"/>
      <c r="J6764" s="26" t="s">
        <v>512</v>
      </c>
      <c r="K6764" s="25" t="s">
        <v>513</v>
      </c>
      <c r="L6764" s="8"/>
    </row>
    <row r="6765" spans="1:12" ht="25.5" x14ac:dyDescent="0.25">
      <c r="A6765" s="22">
        <v>2026</v>
      </c>
      <c r="B6765" s="28" t="s">
        <v>237</v>
      </c>
      <c r="C6765" s="28" t="s">
        <v>97</v>
      </c>
      <c r="D6765" s="28" t="s">
        <v>216</v>
      </c>
      <c r="E6765" s="29" t="s">
        <v>331</v>
      </c>
      <c r="F6765" s="29" t="s">
        <v>298</v>
      </c>
      <c r="G6765" s="25" t="s">
        <v>8427</v>
      </c>
      <c r="H6765" s="26">
        <v>-14.139099999999999</v>
      </c>
      <c r="I6765" s="26"/>
      <c r="J6765" s="26" t="s">
        <v>512</v>
      </c>
      <c r="K6765" s="25" t="s">
        <v>513</v>
      </c>
      <c r="L6765" s="8"/>
    </row>
    <row r="6766" spans="1:12" ht="25.5" x14ac:dyDescent="0.25">
      <c r="A6766" s="22">
        <v>2026</v>
      </c>
      <c r="B6766" s="28" t="s">
        <v>237</v>
      </c>
      <c r="C6766" s="28" t="s">
        <v>97</v>
      </c>
      <c r="D6766" s="28" t="s">
        <v>216</v>
      </c>
      <c r="E6766" s="29" t="s">
        <v>331</v>
      </c>
      <c r="F6766" s="29" t="s">
        <v>298</v>
      </c>
      <c r="G6766" s="25" t="s">
        <v>8428</v>
      </c>
      <c r="H6766" s="26">
        <v>-6.150639</v>
      </c>
      <c r="I6766" s="26"/>
      <c r="J6766" s="26" t="s">
        <v>512</v>
      </c>
      <c r="K6766" s="25" t="s">
        <v>513</v>
      </c>
      <c r="L6766" s="8"/>
    </row>
    <row r="6767" spans="1:12" ht="25.5" x14ac:dyDescent="0.25">
      <c r="A6767" s="22">
        <v>2026</v>
      </c>
      <c r="B6767" s="28" t="s">
        <v>237</v>
      </c>
      <c r="C6767" s="28" t="s">
        <v>97</v>
      </c>
      <c r="D6767" s="28" t="s">
        <v>216</v>
      </c>
      <c r="E6767" s="29" t="s">
        <v>331</v>
      </c>
      <c r="F6767" s="29" t="s">
        <v>298</v>
      </c>
      <c r="G6767" s="25" t="s">
        <v>8429</v>
      </c>
      <c r="H6767" s="26">
        <v>-14.4521</v>
      </c>
      <c r="I6767" s="26"/>
      <c r="J6767" s="26" t="s">
        <v>512</v>
      </c>
      <c r="K6767" s="25" t="s">
        <v>513</v>
      </c>
      <c r="L6767" s="8"/>
    </row>
    <row r="6768" spans="1:12" ht="25.5" x14ac:dyDescent="0.25">
      <c r="A6768" s="22">
        <v>2026</v>
      </c>
      <c r="B6768" s="28" t="s">
        <v>237</v>
      </c>
      <c r="C6768" s="28" t="s">
        <v>97</v>
      </c>
      <c r="D6768" s="28" t="s">
        <v>216</v>
      </c>
      <c r="E6768" s="29" t="s">
        <v>331</v>
      </c>
      <c r="F6768" s="29" t="s">
        <v>298</v>
      </c>
      <c r="G6768" s="25" t="s">
        <v>8430</v>
      </c>
      <c r="H6768" s="26">
        <v>-34.553917499999997</v>
      </c>
      <c r="I6768" s="26"/>
      <c r="J6768" s="26" t="s">
        <v>512</v>
      </c>
      <c r="K6768" s="25" t="s">
        <v>513</v>
      </c>
      <c r="L6768" s="8"/>
    </row>
    <row r="6769" spans="1:12" ht="25.5" x14ac:dyDescent="0.25">
      <c r="A6769" s="22">
        <v>2026</v>
      </c>
      <c r="B6769" s="28" t="s">
        <v>237</v>
      </c>
      <c r="C6769" s="28" t="s">
        <v>97</v>
      </c>
      <c r="D6769" s="28" t="s">
        <v>216</v>
      </c>
      <c r="E6769" s="29" t="s">
        <v>331</v>
      </c>
      <c r="F6769" s="29" t="s">
        <v>298</v>
      </c>
      <c r="G6769" s="25" t="s">
        <v>8431</v>
      </c>
      <c r="H6769" s="26">
        <v>-26.939699999999998</v>
      </c>
      <c r="I6769" s="26"/>
      <c r="J6769" s="26" t="s">
        <v>512</v>
      </c>
      <c r="K6769" s="25" t="s">
        <v>513</v>
      </c>
      <c r="L6769" s="8"/>
    </row>
    <row r="6770" spans="1:12" ht="25.5" x14ac:dyDescent="0.25">
      <c r="A6770" s="22">
        <v>2026</v>
      </c>
      <c r="B6770" s="28" t="s">
        <v>237</v>
      </c>
      <c r="C6770" s="28" t="s">
        <v>97</v>
      </c>
      <c r="D6770" s="28" t="s">
        <v>216</v>
      </c>
      <c r="E6770" s="29" t="s">
        <v>331</v>
      </c>
      <c r="F6770" s="29" t="s">
        <v>298</v>
      </c>
      <c r="G6770" s="25" t="s">
        <v>8432</v>
      </c>
      <c r="H6770" s="26">
        <v>-23.784960000000002</v>
      </c>
      <c r="I6770" s="26"/>
      <c r="J6770" s="26" t="s">
        <v>512</v>
      </c>
      <c r="K6770" s="25" t="s">
        <v>513</v>
      </c>
      <c r="L6770" s="8"/>
    </row>
    <row r="6771" spans="1:12" ht="25.5" x14ac:dyDescent="0.25">
      <c r="A6771" s="22">
        <v>2026</v>
      </c>
      <c r="B6771" s="28" t="s">
        <v>237</v>
      </c>
      <c r="C6771" s="28" t="s">
        <v>97</v>
      </c>
      <c r="D6771" s="28" t="s">
        <v>216</v>
      </c>
      <c r="E6771" s="29" t="s">
        <v>331</v>
      </c>
      <c r="F6771" s="29" t="s">
        <v>298</v>
      </c>
      <c r="G6771" s="25" t="s">
        <v>8433</v>
      </c>
      <c r="H6771" s="26">
        <v>-31.836501999999999</v>
      </c>
      <c r="I6771" s="26"/>
      <c r="J6771" s="26" t="s">
        <v>512</v>
      </c>
      <c r="K6771" s="25" t="s">
        <v>513</v>
      </c>
      <c r="L6771" s="8"/>
    </row>
    <row r="6772" spans="1:12" ht="25.5" x14ac:dyDescent="0.25">
      <c r="A6772" s="22">
        <v>2026</v>
      </c>
      <c r="B6772" s="28" t="s">
        <v>237</v>
      </c>
      <c r="C6772" s="28" t="s">
        <v>97</v>
      </c>
      <c r="D6772" s="28" t="s">
        <v>216</v>
      </c>
      <c r="E6772" s="29" t="s">
        <v>331</v>
      </c>
      <c r="F6772" s="29" t="s">
        <v>298</v>
      </c>
      <c r="G6772" s="25" t="s">
        <v>8434</v>
      </c>
      <c r="H6772" s="26">
        <v>-23.448319999999999</v>
      </c>
      <c r="I6772" s="26"/>
      <c r="J6772" s="26" t="s">
        <v>512</v>
      </c>
      <c r="K6772" s="25" t="s">
        <v>513</v>
      </c>
      <c r="L6772" s="8"/>
    </row>
    <row r="6773" spans="1:12" ht="25.5" x14ac:dyDescent="0.25">
      <c r="A6773" s="22">
        <v>2026</v>
      </c>
      <c r="B6773" s="28" t="s">
        <v>237</v>
      </c>
      <c r="C6773" s="28" t="s">
        <v>97</v>
      </c>
      <c r="D6773" s="28" t="s">
        <v>216</v>
      </c>
      <c r="E6773" s="29" t="s">
        <v>331</v>
      </c>
      <c r="F6773" s="29" t="s">
        <v>298</v>
      </c>
      <c r="G6773" s="25" t="s">
        <v>8435</v>
      </c>
      <c r="H6773" s="26">
        <v>-24.317824999999999</v>
      </c>
      <c r="I6773" s="26"/>
      <c r="J6773" s="26" t="s">
        <v>512</v>
      </c>
      <c r="K6773" s="25" t="s">
        <v>513</v>
      </c>
      <c r="L6773" s="8"/>
    </row>
    <row r="6774" spans="1:12" ht="25.5" x14ac:dyDescent="0.25">
      <c r="A6774" s="22">
        <v>2026</v>
      </c>
      <c r="B6774" s="28" t="s">
        <v>237</v>
      </c>
      <c r="C6774" s="28" t="s">
        <v>97</v>
      </c>
      <c r="D6774" s="28" t="s">
        <v>216</v>
      </c>
      <c r="E6774" s="29" t="s">
        <v>331</v>
      </c>
      <c r="F6774" s="29" t="s">
        <v>298</v>
      </c>
      <c r="G6774" s="25" t="s">
        <v>8436</v>
      </c>
      <c r="H6774" s="26">
        <v>-20.94885</v>
      </c>
      <c r="I6774" s="26"/>
      <c r="J6774" s="26" t="s">
        <v>512</v>
      </c>
      <c r="K6774" s="25" t="s">
        <v>513</v>
      </c>
      <c r="L6774" s="8"/>
    </row>
    <row r="6775" spans="1:12" ht="25.5" x14ac:dyDescent="0.25">
      <c r="A6775" s="22">
        <v>2026</v>
      </c>
      <c r="B6775" s="28" t="s">
        <v>237</v>
      </c>
      <c r="C6775" s="28" t="s">
        <v>97</v>
      </c>
      <c r="D6775" s="28" t="s">
        <v>216</v>
      </c>
      <c r="E6775" s="29" t="s">
        <v>331</v>
      </c>
      <c r="F6775" s="29" t="s">
        <v>298</v>
      </c>
      <c r="G6775" s="25" t="s">
        <v>8437</v>
      </c>
      <c r="H6775" s="26">
        <v>-34.525644999999997</v>
      </c>
      <c r="I6775" s="26"/>
      <c r="J6775" s="26" t="s">
        <v>512</v>
      </c>
      <c r="K6775" s="25" t="s">
        <v>513</v>
      </c>
      <c r="L6775" s="8"/>
    </row>
    <row r="6776" spans="1:12" ht="25.5" x14ac:dyDescent="0.25">
      <c r="A6776" s="22">
        <v>2026</v>
      </c>
      <c r="B6776" s="28" t="s">
        <v>237</v>
      </c>
      <c r="C6776" s="28" t="s">
        <v>97</v>
      </c>
      <c r="D6776" s="28" t="s">
        <v>216</v>
      </c>
      <c r="E6776" s="29" t="s">
        <v>331</v>
      </c>
      <c r="F6776" s="29" t="s">
        <v>298</v>
      </c>
      <c r="G6776" s="25" t="s">
        <v>8438</v>
      </c>
      <c r="H6776" s="26">
        <v>-22.401440000000001</v>
      </c>
      <c r="I6776" s="26"/>
      <c r="J6776" s="26" t="s">
        <v>512</v>
      </c>
      <c r="K6776" s="25" t="s">
        <v>513</v>
      </c>
      <c r="L6776" s="8"/>
    </row>
    <row r="6777" spans="1:12" ht="25.5" x14ac:dyDescent="0.25">
      <c r="A6777" s="22">
        <v>2026</v>
      </c>
      <c r="B6777" s="28" t="s">
        <v>237</v>
      </c>
      <c r="C6777" s="28" t="s">
        <v>97</v>
      </c>
      <c r="D6777" s="28" t="s">
        <v>216</v>
      </c>
      <c r="E6777" s="29" t="s">
        <v>331</v>
      </c>
      <c r="F6777" s="29" t="s">
        <v>298</v>
      </c>
      <c r="G6777" s="25" t="s">
        <v>8439</v>
      </c>
      <c r="H6777" s="26">
        <v>-21.422999999999998</v>
      </c>
      <c r="I6777" s="26"/>
      <c r="J6777" s="26" t="s">
        <v>512</v>
      </c>
      <c r="K6777" s="25" t="s">
        <v>513</v>
      </c>
      <c r="L6777" s="8"/>
    </row>
    <row r="6778" spans="1:12" ht="25.5" x14ac:dyDescent="0.25">
      <c r="A6778" s="22">
        <v>2026</v>
      </c>
      <c r="B6778" s="28" t="s">
        <v>237</v>
      </c>
      <c r="C6778" s="28" t="s">
        <v>97</v>
      </c>
      <c r="D6778" s="28" t="s">
        <v>216</v>
      </c>
      <c r="E6778" s="29" t="s">
        <v>331</v>
      </c>
      <c r="F6778" s="29" t="s">
        <v>298</v>
      </c>
      <c r="G6778" s="25" t="s">
        <v>8440</v>
      </c>
      <c r="H6778" s="26">
        <v>-25.641175</v>
      </c>
      <c r="I6778" s="26"/>
      <c r="J6778" s="26" t="s">
        <v>512</v>
      </c>
      <c r="K6778" s="25" t="s">
        <v>513</v>
      </c>
      <c r="L6778" s="8"/>
    </row>
    <row r="6779" spans="1:12" ht="25.5" x14ac:dyDescent="0.25">
      <c r="A6779" s="22">
        <v>2026</v>
      </c>
      <c r="B6779" s="28" t="s">
        <v>237</v>
      </c>
      <c r="C6779" s="28" t="s">
        <v>97</v>
      </c>
      <c r="D6779" s="28" t="s">
        <v>542</v>
      </c>
      <c r="E6779" s="29" t="s">
        <v>575</v>
      </c>
      <c r="F6779" s="29" t="s">
        <v>576</v>
      </c>
      <c r="G6779" s="25" t="s">
        <v>8441</v>
      </c>
      <c r="H6779" s="26">
        <v>-4.1099999999999998E-2</v>
      </c>
      <c r="I6779" s="26"/>
      <c r="J6779" s="26" t="s">
        <v>512</v>
      </c>
      <c r="K6779" s="25" t="s">
        <v>513</v>
      </c>
      <c r="L6779" s="8"/>
    </row>
    <row r="6780" spans="1:12" ht="25.5" x14ac:dyDescent="0.25">
      <c r="A6780" s="22">
        <v>2026</v>
      </c>
      <c r="B6780" s="28" t="s">
        <v>237</v>
      </c>
      <c r="C6780" s="28" t="s">
        <v>97</v>
      </c>
      <c r="D6780" s="28" t="s">
        <v>542</v>
      </c>
      <c r="E6780" s="29" t="s">
        <v>575</v>
      </c>
      <c r="F6780" s="29" t="s">
        <v>576</v>
      </c>
      <c r="G6780" s="25" t="s">
        <v>8442</v>
      </c>
      <c r="H6780" s="26">
        <v>-0.20250000000000001</v>
      </c>
      <c r="I6780" s="26"/>
      <c r="J6780" s="26" t="s">
        <v>512</v>
      </c>
      <c r="K6780" s="25" t="s">
        <v>513</v>
      </c>
      <c r="L6780" s="8"/>
    </row>
    <row r="6781" spans="1:12" ht="25.5" x14ac:dyDescent="0.25">
      <c r="A6781" s="22">
        <v>2026</v>
      </c>
      <c r="B6781" s="28" t="s">
        <v>237</v>
      </c>
      <c r="C6781" s="28" t="s">
        <v>97</v>
      </c>
      <c r="D6781" s="28" t="s">
        <v>542</v>
      </c>
      <c r="E6781" s="29" t="s">
        <v>575</v>
      </c>
      <c r="F6781" s="29" t="s">
        <v>576</v>
      </c>
      <c r="G6781" s="25" t="s">
        <v>2291</v>
      </c>
      <c r="H6781" s="26">
        <v>-0.13400000000000001</v>
      </c>
      <c r="I6781" s="26"/>
      <c r="J6781" s="26" t="s">
        <v>512</v>
      </c>
      <c r="K6781" s="25" t="s">
        <v>513</v>
      </c>
      <c r="L6781" s="8"/>
    </row>
    <row r="6782" spans="1:12" ht="25.5" x14ac:dyDescent="0.25">
      <c r="A6782" s="22">
        <v>2026</v>
      </c>
      <c r="B6782" s="28" t="s">
        <v>237</v>
      </c>
      <c r="C6782" s="28" t="s">
        <v>97</v>
      </c>
      <c r="D6782" s="28" t="s">
        <v>542</v>
      </c>
      <c r="E6782" s="29" t="s">
        <v>575</v>
      </c>
      <c r="F6782" s="29" t="s">
        <v>576</v>
      </c>
      <c r="G6782" s="25" t="s">
        <v>8443</v>
      </c>
      <c r="H6782" s="26">
        <v>-7.9200000000000007E-2</v>
      </c>
      <c r="I6782" s="26"/>
      <c r="J6782" s="26" t="s">
        <v>512</v>
      </c>
      <c r="K6782" s="25" t="s">
        <v>513</v>
      </c>
      <c r="L6782" s="8"/>
    </row>
    <row r="6783" spans="1:12" ht="25.5" x14ac:dyDescent="0.25">
      <c r="A6783" s="22">
        <v>2026</v>
      </c>
      <c r="B6783" s="28" t="s">
        <v>237</v>
      </c>
      <c r="C6783" s="28" t="s">
        <v>97</v>
      </c>
      <c r="D6783" s="28" t="s">
        <v>542</v>
      </c>
      <c r="E6783" s="29" t="s">
        <v>575</v>
      </c>
      <c r="F6783" s="29" t="s">
        <v>576</v>
      </c>
      <c r="G6783" s="25" t="s">
        <v>4968</v>
      </c>
      <c r="H6783" s="26">
        <v>-9.0999999999999998E-2</v>
      </c>
      <c r="I6783" s="26"/>
      <c r="J6783" s="26" t="s">
        <v>512</v>
      </c>
      <c r="K6783" s="25" t="s">
        <v>513</v>
      </c>
      <c r="L6783" s="8"/>
    </row>
    <row r="6784" spans="1:12" ht="25.5" x14ac:dyDescent="0.25">
      <c r="A6784" s="22">
        <v>2026</v>
      </c>
      <c r="B6784" s="28" t="s">
        <v>237</v>
      </c>
      <c r="C6784" s="28" t="s">
        <v>97</v>
      </c>
      <c r="D6784" s="28" t="s">
        <v>542</v>
      </c>
      <c r="E6784" s="29" t="s">
        <v>575</v>
      </c>
      <c r="F6784" s="29" t="s">
        <v>576</v>
      </c>
      <c r="G6784" s="25" t="s">
        <v>8444</v>
      </c>
      <c r="H6784" s="26">
        <v>-0.1305</v>
      </c>
      <c r="I6784" s="26"/>
      <c r="J6784" s="26" t="s">
        <v>512</v>
      </c>
      <c r="K6784" s="25" t="s">
        <v>513</v>
      </c>
      <c r="L6784" s="8"/>
    </row>
    <row r="6785" spans="1:12" ht="25.5" x14ac:dyDescent="0.25">
      <c r="A6785" s="22">
        <v>2026</v>
      </c>
      <c r="B6785" s="28" t="s">
        <v>237</v>
      </c>
      <c r="C6785" s="28" t="s">
        <v>97</v>
      </c>
      <c r="D6785" s="28" t="s">
        <v>542</v>
      </c>
      <c r="E6785" s="29" t="s">
        <v>575</v>
      </c>
      <c r="F6785" s="29" t="s">
        <v>576</v>
      </c>
      <c r="G6785" s="25" t="s">
        <v>2706</v>
      </c>
      <c r="H6785" s="26">
        <v>-6.6250000000000003E-2</v>
      </c>
      <c r="I6785" s="26"/>
      <c r="J6785" s="26" t="s">
        <v>512</v>
      </c>
      <c r="K6785" s="25" t="s">
        <v>513</v>
      </c>
      <c r="L6785" s="8"/>
    </row>
    <row r="6786" spans="1:12" ht="25.5" x14ac:dyDescent="0.25">
      <c r="A6786" s="22">
        <v>2026</v>
      </c>
      <c r="B6786" s="28" t="s">
        <v>237</v>
      </c>
      <c r="C6786" s="28" t="s">
        <v>97</v>
      </c>
      <c r="D6786" s="28" t="s">
        <v>542</v>
      </c>
      <c r="E6786" s="29" t="s">
        <v>575</v>
      </c>
      <c r="F6786" s="29" t="s">
        <v>576</v>
      </c>
      <c r="G6786" s="25" t="s">
        <v>6200</v>
      </c>
      <c r="H6786" s="26">
        <v>-0.13950000000000001</v>
      </c>
      <c r="I6786" s="26"/>
      <c r="J6786" s="26" t="s">
        <v>512</v>
      </c>
      <c r="K6786" s="25" t="s">
        <v>513</v>
      </c>
      <c r="L6786" s="8"/>
    </row>
    <row r="6787" spans="1:12" ht="25.5" x14ac:dyDescent="0.25">
      <c r="A6787" s="22">
        <v>2026</v>
      </c>
      <c r="B6787" s="28" t="s">
        <v>237</v>
      </c>
      <c r="C6787" s="28" t="s">
        <v>97</v>
      </c>
      <c r="D6787" s="28" t="s">
        <v>542</v>
      </c>
      <c r="E6787" s="29" t="s">
        <v>575</v>
      </c>
      <c r="F6787" s="29" t="s">
        <v>576</v>
      </c>
      <c r="G6787" s="25" t="s">
        <v>8445</v>
      </c>
      <c r="H6787" s="26">
        <v>-6.9500000000000006E-2</v>
      </c>
      <c r="I6787" s="26"/>
      <c r="J6787" s="26" t="s">
        <v>512</v>
      </c>
      <c r="K6787" s="25" t="s">
        <v>513</v>
      </c>
      <c r="L6787" s="8"/>
    </row>
    <row r="6788" spans="1:12" ht="25.5" x14ac:dyDescent="0.25">
      <c r="A6788" s="22">
        <v>2026</v>
      </c>
      <c r="B6788" s="28" t="s">
        <v>237</v>
      </c>
      <c r="C6788" s="28" t="s">
        <v>97</v>
      </c>
      <c r="D6788" s="28" t="s">
        <v>542</v>
      </c>
      <c r="E6788" s="29" t="s">
        <v>575</v>
      </c>
      <c r="F6788" s="29" t="s">
        <v>576</v>
      </c>
      <c r="G6788" s="25" t="s">
        <v>8446</v>
      </c>
      <c r="H6788" s="26">
        <v>-5.6599999999999998E-2</v>
      </c>
      <c r="I6788" s="26"/>
      <c r="J6788" s="26" t="s">
        <v>512</v>
      </c>
      <c r="K6788" s="25" t="s">
        <v>513</v>
      </c>
      <c r="L6788" s="8"/>
    </row>
    <row r="6789" spans="1:12" ht="25.5" x14ac:dyDescent="0.25">
      <c r="A6789" s="22">
        <v>2026</v>
      </c>
      <c r="B6789" s="28" t="s">
        <v>237</v>
      </c>
      <c r="C6789" s="28" t="s">
        <v>97</v>
      </c>
      <c r="D6789" s="28" t="s">
        <v>542</v>
      </c>
      <c r="E6789" s="29" t="s">
        <v>575</v>
      </c>
      <c r="F6789" s="29" t="s">
        <v>576</v>
      </c>
      <c r="G6789" s="25" t="s">
        <v>8447</v>
      </c>
      <c r="H6789" s="26">
        <v>-4.1549999999999997E-2</v>
      </c>
      <c r="I6789" s="26"/>
      <c r="J6789" s="26" t="s">
        <v>512</v>
      </c>
      <c r="K6789" s="25" t="s">
        <v>513</v>
      </c>
      <c r="L6789" s="8"/>
    </row>
    <row r="6790" spans="1:12" ht="25.5" x14ac:dyDescent="0.25">
      <c r="A6790" s="22">
        <v>2026</v>
      </c>
      <c r="B6790" s="28" t="s">
        <v>237</v>
      </c>
      <c r="C6790" s="28" t="s">
        <v>97</v>
      </c>
      <c r="D6790" s="28" t="s">
        <v>542</v>
      </c>
      <c r="E6790" s="29" t="s">
        <v>575</v>
      </c>
      <c r="F6790" s="29" t="s">
        <v>576</v>
      </c>
      <c r="G6790" s="25" t="s">
        <v>8448</v>
      </c>
      <c r="H6790" s="26">
        <v>-4.1399999999999999E-2</v>
      </c>
      <c r="I6790" s="26"/>
      <c r="J6790" s="26" t="s">
        <v>512</v>
      </c>
      <c r="K6790" s="25" t="s">
        <v>513</v>
      </c>
      <c r="L6790" s="8"/>
    </row>
    <row r="6791" spans="1:12" ht="25.5" x14ac:dyDescent="0.25">
      <c r="A6791" s="22">
        <v>2026</v>
      </c>
      <c r="B6791" s="28" t="s">
        <v>237</v>
      </c>
      <c r="C6791" s="28" t="s">
        <v>97</v>
      </c>
      <c r="D6791" s="28" t="s">
        <v>191</v>
      </c>
      <c r="E6791" s="29" t="s">
        <v>643</v>
      </c>
      <c r="F6791" s="29" t="s">
        <v>343</v>
      </c>
      <c r="G6791" s="25" t="s">
        <v>8449</v>
      </c>
      <c r="H6791" s="26">
        <v>-0.22439999999999999</v>
      </c>
      <c r="I6791" s="26"/>
      <c r="J6791" s="26" t="s">
        <v>512</v>
      </c>
      <c r="K6791" s="25" t="s">
        <v>513</v>
      </c>
      <c r="L6791" s="8"/>
    </row>
    <row r="6792" spans="1:12" ht="25.5" x14ac:dyDescent="0.25">
      <c r="A6792" s="22">
        <v>2026</v>
      </c>
      <c r="B6792" s="28" t="s">
        <v>237</v>
      </c>
      <c r="C6792" s="28" t="s">
        <v>97</v>
      </c>
      <c r="D6792" s="28" t="s">
        <v>191</v>
      </c>
      <c r="E6792" s="29" t="s">
        <v>643</v>
      </c>
      <c r="F6792" s="29" t="s">
        <v>343</v>
      </c>
      <c r="G6792" s="25" t="s">
        <v>8450</v>
      </c>
      <c r="H6792" s="26">
        <v>-0.12919865</v>
      </c>
      <c r="I6792" s="26"/>
      <c r="J6792" s="26" t="s">
        <v>512</v>
      </c>
      <c r="K6792" s="25" t="s">
        <v>513</v>
      </c>
      <c r="L6792" s="8"/>
    </row>
    <row r="6793" spans="1:12" ht="25.5" x14ac:dyDescent="0.25">
      <c r="A6793" s="22">
        <v>2026</v>
      </c>
      <c r="B6793" s="28" t="s">
        <v>237</v>
      </c>
      <c r="C6793" s="28" t="s">
        <v>97</v>
      </c>
      <c r="D6793" s="28" t="s">
        <v>191</v>
      </c>
      <c r="E6793" s="29" t="s">
        <v>643</v>
      </c>
      <c r="F6793" s="29" t="s">
        <v>343</v>
      </c>
      <c r="G6793" s="25" t="s">
        <v>8451</v>
      </c>
      <c r="H6793" s="26">
        <v>-7.2470000000000007E-2</v>
      </c>
      <c r="I6793" s="26"/>
      <c r="J6793" s="26" t="s">
        <v>512</v>
      </c>
      <c r="K6793" s="25" t="s">
        <v>513</v>
      </c>
      <c r="L6793" s="8"/>
    </row>
    <row r="6794" spans="1:12" ht="25.5" x14ac:dyDescent="0.25">
      <c r="A6794" s="22">
        <v>2026</v>
      </c>
      <c r="B6794" s="28" t="s">
        <v>237</v>
      </c>
      <c r="C6794" s="28" t="s">
        <v>97</v>
      </c>
      <c r="D6794" s="28" t="s">
        <v>191</v>
      </c>
      <c r="E6794" s="29" t="s">
        <v>643</v>
      </c>
      <c r="F6794" s="29" t="s">
        <v>343</v>
      </c>
      <c r="G6794" s="25" t="s">
        <v>8452</v>
      </c>
      <c r="H6794" s="26">
        <v>-0.107505</v>
      </c>
      <c r="I6794" s="26"/>
      <c r="J6794" s="26" t="s">
        <v>512</v>
      </c>
      <c r="K6794" s="25" t="s">
        <v>513</v>
      </c>
      <c r="L6794" s="8"/>
    </row>
    <row r="6795" spans="1:12" ht="25.5" x14ac:dyDescent="0.25">
      <c r="A6795" s="22">
        <v>2026</v>
      </c>
      <c r="B6795" s="28" t="s">
        <v>237</v>
      </c>
      <c r="C6795" s="28" t="s">
        <v>97</v>
      </c>
      <c r="D6795" s="28" t="s">
        <v>191</v>
      </c>
      <c r="E6795" s="29" t="s">
        <v>643</v>
      </c>
      <c r="F6795" s="29" t="s">
        <v>343</v>
      </c>
      <c r="G6795" s="25" t="s">
        <v>5092</v>
      </c>
      <c r="H6795" s="26">
        <v>-9.0999999999999998E-2</v>
      </c>
      <c r="I6795" s="26"/>
      <c r="J6795" s="26" t="s">
        <v>512</v>
      </c>
      <c r="K6795" s="25" t="s">
        <v>513</v>
      </c>
      <c r="L6795" s="8"/>
    </row>
    <row r="6796" spans="1:12" ht="25.5" x14ac:dyDescent="0.25">
      <c r="A6796" s="22">
        <v>2026</v>
      </c>
      <c r="B6796" s="28" t="s">
        <v>237</v>
      </c>
      <c r="C6796" s="28" t="s">
        <v>97</v>
      </c>
      <c r="D6796" s="28" t="s">
        <v>191</v>
      </c>
      <c r="E6796" s="29" t="s">
        <v>643</v>
      </c>
      <c r="F6796" s="29" t="s">
        <v>343</v>
      </c>
      <c r="G6796" s="25" t="s">
        <v>8453</v>
      </c>
      <c r="H6796" s="26">
        <v>-0.14627999999999999</v>
      </c>
      <c r="I6796" s="26"/>
      <c r="J6796" s="26" t="s">
        <v>512</v>
      </c>
      <c r="K6796" s="25" t="s">
        <v>513</v>
      </c>
      <c r="L6796" s="8"/>
    </row>
    <row r="6797" spans="1:12" ht="25.5" x14ac:dyDescent="0.25">
      <c r="A6797" s="22">
        <v>2026</v>
      </c>
      <c r="B6797" s="28" t="s">
        <v>237</v>
      </c>
      <c r="C6797" s="28" t="s">
        <v>97</v>
      </c>
      <c r="D6797" s="28" t="s">
        <v>543</v>
      </c>
      <c r="E6797" s="29" t="s">
        <v>578</v>
      </c>
      <c r="F6797" s="29" t="s">
        <v>335</v>
      </c>
      <c r="G6797" s="25" t="s">
        <v>8454</v>
      </c>
      <c r="H6797" s="26">
        <v>-0.14949999999999999</v>
      </c>
      <c r="I6797" s="26"/>
      <c r="J6797" s="26" t="s">
        <v>512</v>
      </c>
      <c r="K6797" s="25" t="s">
        <v>513</v>
      </c>
      <c r="L6797" s="8"/>
    </row>
    <row r="6798" spans="1:12" ht="25.5" x14ac:dyDescent="0.25">
      <c r="A6798" s="22">
        <v>2026</v>
      </c>
      <c r="B6798" s="28" t="s">
        <v>237</v>
      </c>
      <c r="C6798" s="28" t="s">
        <v>97</v>
      </c>
      <c r="D6798" s="28" t="s">
        <v>543</v>
      </c>
      <c r="E6798" s="29" t="s">
        <v>578</v>
      </c>
      <c r="F6798" s="29" t="s">
        <v>335</v>
      </c>
      <c r="G6798" s="25" t="s">
        <v>8455</v>
      </c>
      <c r="H6798" s="26">
        <v>-0.22550000000000001</v>
      </c>
      <c r="I6798" s="26"/>
      <c r="J6798" s="26" t="s">
        <v>512</v>
      </c>
      <c r="K6798" s="25" t="s">
        <v>513</v>
      </c>
      <c r="L6798" s="8"/>
    </row>
    <row r="6799" spans="1:12" ht="25.5" x14ac:dyDescent="0.25">
      <c r="A6799" s="22">
        <v>2026</v>
      </c>
      <c r="B6799" s="28" t="s">
        <v>237</v>
      </c>
      <c r="C6799" s="28" t="s">
        <v>97</v>
      </c>
      <c r="D6799" s="28" t="s">
        <v>543</v>
      </c>
      <c r="E6799" s="29" t="s">
        <v>578</v>
      </c>
      <c r="F6799" s="29" t="s">
        <v>335</v>
      </c>
      <c r="G6799" s="25" t="s">
        <v>8456</v>
      </c>
      <c r="H6799" s="26">
        <v>-0.86624999999999996</v>
      </c>
      <c r="I6799" s="26"/>
      <c r="J6799" s="26" t="s">
        <v>512</v>
      </c>
      <c r="K6799" s="25" t="s">
        <v>513</v>
      </c>
      <c r="L6799" s="8"/>
    </row>
    <row r="6800" spans="1:12" ht="25.5" x14ac:dyDescent="0.25">
      <c r="A6800" s="22">
        <v>2026</v>
      </c>
      <c r="B6800" s="28" t="s">
        <v>237</v>
      </c>
      <c r="C6800" s="28" t="s">
        <v>97</v>
      </c>
      <c r="D6800" s="28" t="s">
        <v>543</v>
      </c>
      <c r="E6800" s="29" t="s">
        <v>578</v>
      </c>
      <c r="F6800" s="29" t="s">
        <v>335</v>
      </c>
      <c r="G6800" s="25" t="s">
        <v>8457</v>
      </c>
      <c r="H6800" s="26">
        <v>-0.40679999999999999</v>
      </c>
      <c r="I6800" s="26"/>
      <c r="J6800" s="26" t="s">
        <v>512</v>
      </c>
      <c r="K6800" s="25" t="s">
        <v>513</v>
      </c>
      <c r="L6800" s="8"/>
    </row>
    <row r="6801" spans="1:12" ht="25.5" x14ac:dyDescent="0.25">
      <c r="A6801" s="22">
        <v>2026</v>
      </c>
      <c r="B6801" s="28" t="s">
        <v>237</v>
      </c>
      <c r="C6801" s="28" t="s">
        <v>97</v>
      </c>
      <c r="D6801" s="28" t="s">
        <v>543</v>
      </c>
      <c r="E6801" s="29" t="s">
        <v>578</v>
      </c>
      <c r="F6801" s="29" t="s">
        <v>335</v>
      </c>
      <c r="G6801" s="25" t="s">
        <v>8458</v>
      </c>
      <c r="H6801" s="26">
        <v>-0.114</v>
      </c>
      <c r="I6801" s="26"/>
      <c r="J6801" s="26" t="s">
        <v>512</v>
      </c>
      <c r="K6801" s="25" t="s">
        <v>513</v>
      </c>
      <c r="L6801" s="8"/>
    </row>
    <row r="6802" spans="1:12" ht="25.5" x14ac:dyDescent="0.25">
      <c r="A6802" s="22">
        <v>2026</v>
      </c>
      <c r="B6802" s="28" t="s">
        <v>237</v>
      </c>
      <c r="C6802" s="28" t="s">
        <v>97</v>
      </c>
      <c r="D6802" s="28" t="s">
        <v>543</v>
      </c>
      <c r="E6802" s="29" t="s">
        <v>578</v>
      </c>
      <c r="F6802" s="29" t="s">
        <v>335</v>
      </c>
      <c r="G6802" s="25" t="s">
        <v>8459</v>
      </c>
      <c r="H6802" s="26">
        <v>-0.22775000000000001</v>
      </c>
      <c r="I6802" s="26"/>
      <c r="J6802" s="26" t="s">
        <v>512</v>
      </c>
      <c r="K6802" s="25" t="s">
        <v>513</v>
      </c>
      <c r="L6802" s="8"/>
    </row>
    <row r="6803" spans="1:12" ht="25.5" x14ac:dyDescent="0.25">
      <c r="A6803" s="22">
        <v>2026</v>
      </c>
      <c r="B6803" s="28" t="s">
        <v>237</v>
      </c>
      <c r="C6803" s="28" t="s">
        <v>97</v>
      </c>
      <c r="D6803" s="28" t="s">
        <v>543</v>
      </c>
      <c r="E6803" s="29" t="s">
        <v>578</v>
      </c>
      <c r="F6803" s="29" t="s">
        <v>335</v>
      </c>
      <c r="G6803" s="25" t="s">
        <v>8460</v>
      </c>
      <c r="H6803" s="26">
        <v>-0.1792</v>
      </c>
      <c r="I6803" s="26"/>
      <c r="J6803" s="26" t="s">
        <v>512</v>
      </c>
      <c r="K6803" s="25" t="s">
        <v>513</v>
      </c>
      <c r="L6803" s="8"/>
    </row>
    <row r="6804" spans="1:12" ht="25.5" x14ac:dyDescent="0.25">
      <c r="A6804" s="22">
        <v>2026</v>
      </c>
      <c r="B6804" s="28" t="s">
        <v>237</v>
      </c>
      <c r="C6804" s="28" t="s">
        <v>97</v>
      </c>
      <c r="D6804" s="28" t="s">
        <v>543</v>
      </c>
      <c r="E6804" s="29" t="s">
        <v>578</v>
      </c>
      <c r="F6804" s="29" t="s">
        <v>335</v>
      </c>
      <c r="G6804" s="25" t="s">
        <v>8461</v>
      </c>
      <c r="H6804" s="26">
        <v>-0.36159999999999998</v>
      </c>
      <c r="I6804" s="26"/>
      <c r="J6804" s="26" t="s">
        <v>512</v>
      </c>
      <c r="K6804" s="25" t="s">
        <v>513</v>
      </c>
      <c r="L6804" s="8"/>
    </row>
    <row r="6805" spans="1:12" ht="25.5" x14ac:dyDescent="0.25">
      <c r="A6805" s="22">
        <v>2026</v>
      </c>
      <c r="B6805" s="28" t="s">
        <v>237</v>
      </c>
      <c r="C6805" s="28" t="s">
        <v>97</v>
      </c>
      <c r="D6805" s="28" t="s">
        <v>543</v>
      </c>
      <c r="E6805" s="29" t="s">
        <v>578</v>
      </c>
      <c r="F6805" s="29" t="s">
        <v>335</v>
      </c>
      <c r="G6805" s="25" t="s">
        <v>8462</v>
      </c>
      <c r="H6805" s="26">
        <v>-0.22500000000000001</v>
      </c>
      <c r="I6805" s="26"/>
      <c r="J6805" s="26" t="s">
        <v>512</v>
      </c>
      <c r="K6805" s="25" t="s">
        <v>513</v>
      </c>
      <c r="L6805" s="8"/>
    </row>
    <row r="6806" spans="1:12" ht="25.5" x14ac:dyDescent="0.25">
      <c r="A6806" s="22">
        <v>2026</v>
      </c>
      <c r="B6806" s="28" t="s">
        <v>237</v>
      </c>
      <c r="C6806" s="28" t="s">
        <v>97</v>
      </c>
      <c r="D6806" s="28" t="s">
        <v>543</v>
      </c>
      <c r="E6806" s="29" t="s">
        <v>578</v>
      </c>
      <c r="F6806" s="29" t="s">
        <v>335</v>
      </c>
      <c r="G6806" s="25" t="s">
        <v>8463</v>
      </c>
      <c r="H6806" s="26">
        <v>-0.27</v>
      </c>
      <c r="I6806" s="26"/>
      <c r="J6806" s="26" t="s">
        <v>512</v>
      </c>
      <c r="K6806" s="25" t="s">
        <v>513</v>
      </c>
      <c r="L6806" s="8"/>
    </row>
    <row r="6807" spans="1:12" ht="25.5" x14ac:dyDescent="0.25">
      <c r="A6807" s="22">
        <v>2026</v>
      </c>
      <c r="B6807" s="28" t="s">
        <v>237</v>
      </c>
      <c r="C6807" s="28" t="s">
        <v>97</v>
      </c>
      <c r="D6807" s="28" t="s">
        <v>534</v>
      </c>
      <c r="E6807" s="29" t="s">
        <v>337</v>
      </c>
      <c r="F6807" s="29" t="s">
        <v>287</v>
      </c>
      <c r="G6807" s="25" t="s">
        <v>8464</v>
      </c>
      <c r="H6807" s="26">
        <v>-2.3258038829999998</v>
      </c>
      <c r="I6807" s="26"/>
      <c r="J6807" s="26" t="s">
        <v>512</v>
      </c>
      <c r="K6807" s="25" t="s">
        <v>526</v>
      </c>
      <c r="L6807" s="8"/>
    </row>
    <row r="6808" spans="1:12" ht="25.5" x14ac:dyDescent="0.25">
      <c r="A6808" s="22">
        <v>2026</v>
      </c>
      <c r="B6808" s="28" t="s">
        <v>237</v>
      </c>
      <c r="C6808" s="28" t="s">
        <v>97</v>
      </c>
      <c r="D6808" s="28" t="s">
        <v>534</v>
      </c>
      <c r="E6808" s="29" t="s">
        <v>337</v>
      </c>
      <c r="F6808" s="29" t="s">
        <v>287</v>
      </c>
      <c r="G6808" s="25" t="s">
        <v>8465</v>
      </c>
      <c r="H6808" s="26">
        <v>-0.2311726758</v>
      </c>
      <c r="I6808" s="26"/>
      <c r="J6808" s="26" t="s">
        <v>512</v>
      </c>
      <c r="K6808" s="25" t="s">
        <v>526</v>
      </c>
      <c r="L6808" s="8"/>
    </row>
    <row r="6809" spans="1:12" ht="25.5" x14ac:dyDescent="0.25">
      <c r="A6809" s="22">
        <v>2026</v>
      </c>
      <c r="B6809" s="28" t="s">
        <v>237</v>
      </c>
      <c r="C6809" s="28" t="s">
        <v>97</v>
      </c>
      <c r="D6809" s="28" t="s">
        <v>534</v>
      </c>
      <c r="E6809" s="29" t="s">
        <v>337</v>
      </c>
      <c r="F6809" s="29" t="s">
        <v>287</v>
      </c>
      <c r="G6809" s="25" t="s">
        <v>8466</v>
      </c>
      <c r="H6809" s="26">
        <v>-1.4467400823999998</v>
      </c>
      <c r="I6809" s="26"/>
      <c r="J6809" s="26" t="s">
        <v>512</v>
      </c>
      <c r="K6809" s="25" t="s">
        <v>526</v>
      </c>
      <c r="L6809" s="8"/>
    </row>
    <row r="6810" spans="1:12" ht="25.5" x14ac:dyDescent="0.25">
      <c r="A6810" s="22">
        <v>2026</v>
      </c>
      <c r="B6810" s="28" t="s">
        <v>237</v>
      </c>
      <c r="C6810" s="28" t="s">
        <v>97</v>
      </c>
      <c r="D6810" s="28" t="s">
        <v>534</v>
      </c>
      <c r="E6810" s="29" t="s">
        <v>337</v>
      </c>
      <c r="F6810" s="29" t="s">
        <v>287</v>
      </c>
      <c r="G6810" s="25" t="s">
        <v>8467</v>
      </c>
      <c r="H6810" s="26">
        <v>-3.3504999999999998</v>
      </c>
      <c r="I6810" s="26"/>
      <c r="J6810" s="26" t="s">
        <v>512</v>
      </c>
      <c r="K6810" s="25" t="s">
        <v>526</v>
      </c>
      <c r="L6810" s="8"/>
    </row>
    <row r="6811" spans="1:12" ht="25.5" x14ac:dyDescent="0.25">
      <c r="A6811" s="22">
        <v>2026</v>
      </c>
      <c r="B6811" s="28" t="s">
        <v>237</v>
      </c>
      <c r="C6811" s="28" t="s">
        <v>97</v>
      </c>
      <c r="D6811" s="28" t="s">
        <v>534</v>
      </c>
      <c r="E6811" s="29" t="s">
        <v>337</v>
      </c>
      <c r="F6811" s="29" t="s">
        <v>287</v>
      </c>
      <c r="G6811" s="25" t="s">
        <v>8468</v>
      </c>
      <c r="H6811" s="26">
        <v>-3.2151021929999999</v>
      </c>
      <c r="I6811" s="26"/>
      <c r="J6811" s="26" t="s">
        <v>512</v>
      </c>
      <c r="K6811" s="25" t="s">
        <v>526</v>
      </c>
    </row>
    <row r="6812" spans="1:12" ht="25.5" x14ac:dyDescent="0.25">
      <c r="A6812" s="22">
        <v>2026</v>
      </c>
      <c r="B6812" s="28" t="s">
        <v>237</v>
      </c>
      <c r="C6812" s="28" t="s">
        <v>97</v>
      </c>
      <c r="D6812" s="28" t="s">
        <v>534</v>
      </c>
      <c r="E6812" s="29" t="s">
        <v>337</v>
      </c>
      <c r="F6812" s="29" t="s">
        <v>287</v>
      </c>
      <c r="G6812" s="25" t="s">
        <v>8469</v>
      </c>
      <c r="H6812" s="26">
        <v>-2.7324099999999998</v>
      </c>
      <c r="I6812" s="26"/>
      <c r="J6812" s="26" t="s">
        <v>512</v>
      </c>
      <c r="K6812" s="25" t="s">
        <v>526</v>
      </c>
    </row>
    <row r="6813" spans="1:12" ht="25.5" x14ac:dyDescent="0.25">
      <c r="A6813" s="22">
        <v>2026</v>
      </c>
      <c r="B6813" s="28" t="s">
        <v>237</v>
      </c>
      <c r="C6813" s="28" t="s">
        <v>97</v>
      </c>
      <c r="D6813" s="28" t="s">
        <v>534</v>
      </c>
      <c r="E6813" s="29" t="s">
        <v>337</v>
      </c>
      <c r="F6813" s="29" t="s">
        <v>287</v>
      </c>
      <c r="G6813" s="25" t="s">
        <v>8470</v>
      </c>
      <c r="H6813" s="26">
        <v>-0.30268428000000003</v>
      </c>
      <c r="I6813" s="26"/>
      <c r="J6813" s="26" t="s">
        <v>512</v>
      </c>
      <c r="K6813" s="25" t="s">
        <v>526</v>
      </c>
    </row>
    <row r="6814" spans="1:12" ht="25.5" x14ac:dyDescent="0.25">
      <c r="A6814" s="22">
        <v>2026</v>
      </c>
      <c r="B6814" s="28" t="s">
        <v>237</v>
      </c>
      <c r="C6814" s="28" t="s">
        <v>97</v>
      </c>
      <c r="D6814" s="28" t="s">
        <v>534</v>
      </c>
      <c r="E6814" s="29" t="s">
        <v>337</v>
      </c>
      <c r="F6814" s="29" t="s">
        <v>287</v>
      </c>
      <c r="G6814" s="25" t="s">
        <v>8471</v>
      </c>
      <c r="H6814" s="26">
        <v>-0.44490718140000002</v>
      </c>
      <c r="I6814" s="26"/>
      <c r="J6814" s="26" t="s">
        <v>512</v>
      </c>
      <c r="K6814" s="25" t="s">
        <v>526</v>
      </c>
    </row>
    <row r="6815" spans="1:12" ht="25.5" x14ac:dyDescent="0.25">
      <c r="A6815" s="22">
        <v>2026</v>
      </c>
      <c r="B6815" s="28" t="s">
        <v>237</v>
      </c>
      <c r="C6815" s="28" t="s">
        <v>97</v>
      </c>
      <c r="D6815" s="28" t="s">
        <v>534</v>
      </c>
      <c r="E6815" s="29" t="s">
        <v>337</v>
      </c>
      <c r="F6815" s="29" t="s">
        <v>287</v>
      </c>
      <c r="G6815" s="25" t="s">
        <v>8472</v>
      </c>
      <c r="H6815" s="26">
        <v>-3.4998</v>
      </c>
      <c r="I6815" s="26"/>
      <c r="J6815" s="26" t="s">
        <v>512</v>
      </c>
      <c r="K6815" s="25" t="s">
        <v>526</v>
      </c>
    </row>
    <row r="6816" spans="1:12" ht="25.5" x14ac:dyDescent="0.25">
      <c r="A6816" s="22">
        <v>2026</v>
      </c>
      <c r="B6816" s="28" t="s">
        <v>237</v>
      </c>
      <c r="C6816" s="28" t="s">
        <v>97</v>
      </c>
      <c r="D6816" s="28" t="s">
        <v>534</v>
      </c>
      <c r="E6816" s="29" t="s">
        <v>337</v>
      </c>
      <c r="F6816" s="29" t="s">
        <v>287</v>
      </c>
      <c r="G6816" s="25" t="s">
        <v>8473</v>
      </c>
      <c r="H6816" s="26">
        <v>-1.7627679368</v>
      </c>
      <c r="I6816" s="26"/>
      <c r="J6816" s="26" t="s">
        <v>512</v>
      </c>
      <c r="K6816" s="25" t="s">
        <v>526</v>
      </c>
    </row>
    <row r="6817" spans="1:11" ht="25.5" x14ac:dyDescent="0.25">
      <c r="A6817" s="22">
        <v>2026</v>
      </c>
      <c r="B6817" s="28" t="s">
        <v>237</v>
      </c>
      <c r="C6817" s="28" t="s">
        <v>97</v>
      </c>
      <c r="D6817" s="28" t="s">
        <v>534</v>
      </c>
      <c r="E6817" s="29" t="s">
        <v>337</v>
      </c>
      <c r="F6817" s="29" t="s">
        <v>287</v>
      </c>
      <c r="G6817" s="25" t="s">
        <v>8474</v>
      </c>
      <c r="H6817" s="26">
        <v>-0.97786660380000001</v>
      </c>
      <c r="I6817" s="26"/>
      <c r="J6817" s="26" t="s">
        <v>512</v>
      </c>
      <c r="K6817" s="25" t="s">
        <v>526</v>
      </c>
    </row>
    <row r="6818" spans="1:11" ht="25.5" x14ac:dyDescent="0.25">
      <c r="A6818" s="22">
        <v>2026</v>
      </c>
      <c r="B6818" s="28" t="s">
        <v>237</v>
      </c>
      <c r="C6818" s="28" t="s">
        <v>97</v>
      </c>
      <c r="D6818" s="28" t="s">
        <v>534</v>
      </c>
      <c r="E6818" s="29" t="s">
        <v>337</v>
      </c>
      <c r="F6818" s="29" t="s">
        <v>287</v>
      </c>
      <c r="G6818" s="25" t="s">
        <v>8475</v>
      </c>
      <c r="H6818" s="26">
        <v>-2.506275</v>
      </c>
      <c r="I6818" s="26"/>
      <c r="J6818" s="26" t="s">
        <v>512</v>
      </c>
      <c r="K6818" s="25" t="s">
        <v>526</v>
      </c>
    </row>
    <row r="6819" spans="1:11" ht="25.5" x14ac:dyDescent="0.25">
      <c r="A6819" s="22">
        <v>2026</v>
      </c>
      <c r="B6819" s="28" t="s">
        <v>237</v>
      </c>
      <c r="C6819" s="28" t="s">
        <v>97</v>
      </c>
      <c r="D6819" s="28" t="s">
        <v>534</v>
      </c>
      <c r="E6819" s="29" t="s">
        <v>337</v>
      </c>
      <c r="F6819" s="29" t="s">
        <v>287</v>
      </c>
      <c r="G6819" s="25" t="s">
        <v>8476</v>
      </c>
      <c r="H6819" s="26">
        <v>-1.63445</v>
      </c>
      <c r="I6819" s="26"/>
      <c r="J6819" s="26" t="s">
        <v>512</v>
      </c>
      <c r="K6819" s="25" t="s">
        <v>526</v>
      </c>
    </row>
    <row r="6820" spans="1:11" ht="25.5" x14ac:dyDescent="0.25">
      <c r="A6820" s="22">
        <v>2026</v>
      </c>
      <c r="B6820" s="28" t="s">
        <v>237</v>
      </c>
      <c r="C6820" s="28" t="s">
        <v>97</v>
      </c>
      <c r="D6820" s="28" t="s">
        <v>534</v>
      </c>
      <c r="E6820" s="29" t="s">
        <v>337</v>
      </c>
      <c r="F6820" s="29" t="s">
        <v>287</v>
      </c>
      <c r="G6820" s="25" t="s">
        <v>8477</v>
      </c>
      <c r="H6820" s="26">
        <v>-3.2502</v>
      </c>
      <c r="I6820" s="26"/>
      <c r="J6820" s="26" t="s">
        <v>512</v>
      </c>
      <c r="K6820" s="25" t="s">
        <v>526</v>
      </c>
    </row>
    <row r="6821" spans="1:11" ht="25.5" x14ac:dyDescent="0.25">
      <c r="A6821" s="22">
        <v>2026</v>
      </c>
      <c r="B6821" s="28" t="s">
        <v>237</v>
      </c>
      <c r="C6821" s="28" t="s">
        <v>97</v>
      </c>
      <c r="D6821" s="28" t="s">
        <v>1754</v>
      </c>
      <c r="E6821" s="29" t="s">
        <v>569</v>
      </c>
      <c r="F6821" s="29" t="s">
        <v>474</v>
      </c>
      <c r="G6821" s="25" t="s">
        <v>8478</v>
      </c>
      <c r="H6821" s="26">
        <v>-0.32993632276000001</v>
      </c>
      <c r="I6821" s="26"/>
      <c r="J6821" s="26" t="s">
        <v>512</v>
      </c>
      <c r="K6821" s="25" t="s">
        <v>513</v>
      </c>
    </row>
    <row r="6822" spans="1:11" ht="25.5" x14ac:dyDescent="0.25">
      <c r="A6822" s="22">
        <v>2026</v>
      </c>
      <c r="B6822" s="28" t="s">
        <v>237</v>
      </c>
      <c r="C6822" s="28" t="s">
        <v>97</v>
      </c>
      <c r="D6822" s="28" t="s">
        <v>1754</v>
      </c>
      <c r="E6822" s="29" t="s">
        <v>569</v>
      </c>
      <c r="F6822" s="29" t="s">
        <v>474</v>
      </c>
      <c r="G6822" s="25" t="s">
        <v>7446</v>
      </c>
      <c r="H6822" s="26">
        <v>-0.1195</v>
      </c>
      <c r="I6822" s="26"/>
      <c r="J6822" s="26" t="s">
        <v>512</v>
      </c>
      <c r="K6822" s="25" t="s">
        <v>513</v>
      </c>
    </row>
    <row r="6823" spans="1:11" ht="25.5" x14ac:dyDescent="0.25">
      <c r="A6823" s="22">
        <v>2026</v>
      </c>
      <c r="B6823" s="28" t="s">
        <v>237</v>
      </c>
      <c r="C6823" s="28" t="s">
        <v>97</v>
      </c>
      <c r="D6823" s="28" t="s">
        <v>1754</v>
      </c>
      <c r="E6823" s="29" t="s">
        <v>569</v>
      </c>
      <c r="F6823" s="29" t="s">
        <v>474</v>
      </c>
      <c r="G6823" s="25" t="s">
        <v>8479</v>
      </c>
      <c r="H6823" s="26">
        <v>-1.1926099999999999</v>
      </c>
      <c r="I6823" s="26"/>
      <c r="J6823" s="26" t="s">
        <v>512</v>
      </c>
      <c r="K6823" s="25" t="s">
        <v>513</v>
      </c>
    </row>
    <row r="6824" spans="1:11" ht="25.5" x14ac:dyDescent="0.25">
      <c r="A6824" s="22">
        <v>2026</v>
      </c>
      <c r="B6824" s="28" t="s">
        <v>237</v>
      </c>
      <c r="C6824" s="28" t="s">
        <v>97</v>
      </c>
      <c r="D6824" s="28" t="s">
        <v>1754</v>
      </c>
      <c r="E6824" s="29" t="s">
        <v>569</v>
      </c>
      <c r="F6824" s="29" t="s">
        <v>474</v>
      </c>
      <c r="G6824" s="25" t="s">
        <v>8480</v>
      </c>
      <c r="H6824" s="26">
        <v>-0.51830997999999995</v>
      </c>
      <c r="I6824" s="26"/>
      <c r="J6824" s="26" t="s">
        <v>512</v>
      </c>
      <c r="K6824" s="25" t="s">
        <v>513</v>
      </c>
    </row>
    <row r="6825" spans="1:11" ht="25.5" x14ac:dyDescent="0.25">
      <c r="A6825" s="22">
        <v>2026</v>
      </c>
      <c r="B6825" s="28" t="s">
        <v>237</v>
      </c>
      <c r="C6825" s="28" t="s">
        <v>97</v>
      </c>
      <c r="D6825" s="28" t="s">
        <v>1754</v>
      </c>
      <c r="E6825" s="29" t="s">
        <v>569</v>
      </c>
      <c r="F6825" s="29" t="s">
        <v>474</v>
      </c>
      <c r="G6825" s="25" t="s">
        <v>8481</v>
      </c>
      <c r="H6825" s="26">
        <v>-0.47269181232000002</v>
      </c>
      <c r="I6825" s="26"/>
      <c r="J6825" s="26" t="s">
        <v>512</v>
      </c>
      <c r="K6825" s="25" t="s">
        <v>513</v>
      </c>
    </row>
    <row r="6826" spans="1:11" ht="25.5" x14ac:dyDescent="0.25">
      <c r="A6826" s="22">
        <v>2026</v>
      </c>
      <c r="B6826" s="28" t="s">
        <v>237</v>
      </c>
      <c r="C6826" s="28" t="s">
        <v>97</v>
      </c>
      <c r="D6826" s="28" t="s">
        <v>1755</v>
      </c>
      <c r="E6826" s="29" t="s">
        <v>923</v>
      </c>
      <c r="F6826" s="29" t="s">
        <v>340</v>
      </c>
      <c r="G6826" s="25" t="s">
        <v>8482</v>
      </c>
      <c r="H6826" s="26">
        <v>-0.24442475</v>
      </c>
      <c r="I6826" s="26"/>
      <c r="J6826" s="26" t="s">
        <v>512</v>
      </c>
      <c r="K6826" s="25" t="s">
        <v>513</v>
      </c>
    </row>
    <row r="6827" spans="1:11" ht="25.5" x14ac:dyDescent="0.25">
      <c r="A6827" s="22">
        <v>2026</v>
      </c>
      <c r="B6827" s="28" t="s">
        <v>237</v>
      </c>
      <c r="C6827" s="28" t="s">
        <v>97</v>
      </c>
      <c r="D6827" s="28" t="s">
        <v>1755</v>
      </c>
      <c r="E6827" s="29" t="s">
        <v>923</v>
      </c>
      <c r="F6827" s="29" t="s">
        <v>340</v>
      </c>
      <c r="G6827" s="25" t="s">
        <v>8483</v>
      </c>
      <c r="H6827" s="26">
        <v>-0.94164999999999999</v>
      </c>
      <c r="I6827" s="26"/>
      <c r="J6827" s="26" t="s">
        <v>512</v>
      </c>
      <c r="K6827" s="25" t="s">
        <v>513</v>
      </c>
    </row>
    <row r="6828" spans="1:11" ht="25.5" x14ac:dyDescent="0.25">
      <c r="A6828" s="22">
        <v>2026</v>
      </c>
      <c r="B6828" s="28" t="s">
        <v>237</v>
      </c>
      <c r="C6828" s="28" t="s">
        <v>97</v>
      </c>
      <c r="D6828" s="28" t="s">
        <v>1755</v>
      </c>
      <c r="E6828" s="29" t="s">
        <v>923</v>
      </c>
      <c r="F6828" s="29" t="s">
        <v>340</v>
      </c>
      <c r="G6828" s="25" t="s">
        <v>8484</v>
      </c>
      <c r="H6828" s="26">
        <v>-0.16919999999999999</v>
      </c>
      <c r="I6828" s="26"/>
      <c r="J6828" s="26" t="s">
        <v>512</v>
      </c>
      <c r="K6828" s="25" t="s">
        <v>513</v>
      </c>
    </row>
    <row r="6829" spans="1:11" ht="25.5" x14ac:dyDescent="0.25">
      <c r="A6829" s="22">
        <v>2026</v>
      </c>
      <c r="B6829" s="28" t="s">
        <v>237</v>
      </c>
      <c r="C6829" s="28" t="s">
        <v>97</v>
      </c>
      <c r="D6829" s="28" t="s">
        <v>1755</v>
      </c>
      <c r="E6829" s="29" t="s">
        <v>923</v>
      </c>
      <c r="F6829" s="29" t="s">
        <v>340</v>
      </c>
      <c r="G6829" s="25" t="s">
        <v>8485</v>
      </c>
      <c r="H6829" s="26">
        <v>-0.32859749999999999</v>
      </c>
      <c r="I6829" s="26"/>
      <c r="J6829" s="26" t="s">
        <v>512</v>
      </c>
      <c r="K6829" s="25" t="s">
        <v>513</v>
      </c>
    </row>
    <row r="6830" spans="1:11" ht="25.5" x14ac:dyDescent="0.25">
      <c r="A6830" s="22">
        <v>2026</v>
      </c>
      <c r="B6830" s="28" t="s">
        <v>237</v>
      </c>
      <c r="C6830" s="28" t="s">
        <v>97</v>
      </c>
      <c r="D6830" s="28" t="s">
        <v>1755</v>
      </c>
      <c r="E6830" s="29" t="s">
        <v>923</v>
      </c>
      <c r="F6830" s="29" t="s">
        <v>340</v>
      </c>
      <c r="G6830" s="25" t="s">
        <v>8486</v>
      </c>
      <c r="H6830" s="26">
        <v>-0.32823000000000002</v>
      </c>
      <c r="I6830" s="26"/>
      <c r="J6830" s="26" t="s">
        <v>512</v>
      </c>
      <c r="K6830" s="25" t="s">
        <v>513</v>
      </c>
    </row>
    <row r="6831" spans="1:11" ht="25.5" x14ac:dyDescent="0.25">
      <c r="A6831" s="22">
        <v>2026</v>
      </c>
      <c r="B6831" s="28" t="s">
        <v>237</v>
      </c>
      <c r="C6831" s="28" t="s">
        <v>97</v>
      </c>
      <c r="D6831" s="28" t="s">
        <v>1755</v>
      </c>
      <c r="E6831" s="29" t="s">
        <v>923</v>
      </c>
      <c r="F6831" s="29" t="s">
        <v>340</v>
      </c>
      <c r="G6831" s="25" t="s">
        <v>8487</v>
      </c>
      <c r="H6831" s="26">
        <v>-0.18779999999999999</v>
      </c>
      <c r="I6831" s="26"/>
      <c r="J6831" s="26" t="s">
        <v>512</v>
      </c>
      <c r="K6831" s="25" t="s">
        <v>513</v>
      </c>
    </row>
    <row r="6832" spans="1:11" ht="25.5" x14ac:dyDescent="0.25">
      <c r="A6832" s="22">
        <v>2026</v>
      </c>
      <c r="B6832" s="28" t="s">
        <v>237</v>
      </c>
      <c r="C6832" s="28" t="s">
        <v>97</v>
      </c>
      <c r="D6832" s="28" t="s">
        <v>1755</v>
      </c>
      <c r="E6832" s="29" t="s">
        <v>923</v>
      </c>
      <c r="F6832" s="29" t="s">
        <v>340</v>
      </c>
      <c r="G6832" s="25" t="s">
        <v>8488</v>
      </c>
      <c r="H6832" s="26">
        <v>-0.21983056000000001</v>
      </c>
      <c r="I6832" s="26"/>
      <c r="J6832" s="26" t="s">
        <v>512</v>
      </c>
      <c r="K6832" s="25" t="s">
        <v>513</v>
      </c>
    </row>
    <row r="6833" spans="1:11" ht="25.5" x14ac:dyDescent="0.25">
      <c r="A6833" s="22">
        <v>2026</v>
      </c>
      <c r="B6833" s="28" t="s">
        <v>237</v>
      </c>
      <c r="C6833" s="28" t="s">
        <v>97</v>
      </c>
      <c r="D6833" s="28" t="s">
        <v>1755</v>
      </c>
      <c r="E6833" s="29" t="s">
        <v>923</v>
      </c>
      <c r="F6833" s="29" t="s">
        <v>340</v>
      </c>
      <c r="G6833" s="25" t="s">
        <v>8489</v>
      </c>
      <c r="H6833" s="26">
        <v>-0.2913</v>
      </c>
      <c r="I6833" s="26"/>
      <c r="J6833" s="26" t="s">
        <v>512</v>
      </c>
      <c r="K6833" s="25" t="s">
        <v>513</v>
      </c>
    </row>
    <row r="6834" spans="1:11" ht="25.5" x14ac:dyDescent="0.25">
      <c r="A6834" s="22">
        <v>2026</v>
      </c>
      <c r="B6834" s="28" t="s">
        <v>237</v>
      </c>
      <c r="C6834" s="28" t="s">
        <v>97</v>
      </c>
      <c r="D6834" s="28" t="s">
        <v>1755</v>
      </c>
      <c r="E6834" s="29" t="s">
        <v>923</v>
      </c>
      <c r="F6834" s="29" t="s">
        <v>340</v>
      </c>
      <c r="G6834" s="25" t="s">
        <v>8490</v>
      </c>
      <c r="H6834" s="26">
        <v>-9.7025E-2</v>
      </c>
      <c r="I6834" s="26"/>
      <c r="J6834" s="26" t="s">
        <v>512</v>
      </c>
      <c r="K6834" s="25" t="s">
        <v>513</v>
      </c>
    </row>
    <row r="6835" spans="1:11" ht="25.5" x14ac:dyDescent="0.25">
      <c r="A6835" s="22">
        <v>2026</v>
      </c>
      <c r="B6835" s="28" t="s">
        <v>237</v>
      </c>
      <c r="C6835" s="28" t="s">
        <v>97</v>
      </c>
      <c r="D6835" s="28" t="s">
        <v>1755</v>
      </c>
      <c r="E6835" s="29" t="s">
        <v>923</v>
      </c>
      <c r="F6835" s="29" t="s">
        <v>340</v>
      </c>
      <c r="G6835" s="25" t="s">
        <v>8491</v>
      </c>
      <c r="H6835" s="26">
        <v>-0.14557500000000001</v>
      </c>
      <c r="I6835" s="26"/>
      <c r="J6835" s="26" t="s">
        <v>512</v>
      </c>
      <c r="K6835" s="25" t="s">
        <v>513</v>
      </c>
    </row>
    <row r="6836" spans="1:11" ht="25.5" x14ac:dyDescent="0.25">
      <c r="A6836" s="22">
        <v>2026</v>
      </c>
      <c r="B6836" s="28" t="s">
        <v>237</v>
      </c>
      <c r="C6836" s="28" t="s">
        <v>97</v>
      </c>
      <c r="D6836" s="28" t="s">
        <v>1755</v>
      </c>
      <c r="E6836" s="29" t="s">
        <v>923</v>
      </c>
      <c r="F6836" s="29" t="s">
        <v>340</v>
      </c>
      <c r="G6836" s="25" t="s">
        <v>8492</v>
      </c>
      <c r="H6836" s="26">
        <v>-0.18429999999999999</v>
      </c>
      <c r="I6836" s="26"/>
      <c r="J6836" s="26" t="s">
        <v>512</v>
      </c>
      <c r="K6836" s="25" t="s">
        <v>513</v>
      </c>
    </row>
    <row r="6837" spans="1:11" ht="25.5" x14ac:dyDescent="0.25">
      <c r="A6837" s="22">
        <v>2026</v>
      </c>
      <c r="B6837" s="28" t="s">
        <v>237</v>
      </c>
      <c r="C6837" s="28" t="s">
        <v>97</v>
      </c>
      <c r="D6837" s="28" t="s">
        <v>1755</v>
      </c>
      <c r="E6837" s="29" t="s">
        <v>923</v>
      </c>
      <c r="F6837" s="29" t="s">
        <v>340</v>
      </c>
      <c r="G6837" s="25" t="s">
        <v>8493</v>
      </c>
      <c r="H6837" s="26">
        <v>-0.34125</v>
      </c>
      <c r="I6837" s="26"/>
      <c r="J6837" s="26" t="s">
        <v>512</v>
      </c>
      <c r="K6837" s="25" t="s">
        <v>513</v>
      </c>
    </row>
    <row r="6838" spans="1:11" ht="25.5" x14ac:dyDescent="0.25">
      <c r="A6838" s="22">
        <v>2026</v>
      </c>
      <c r="B6838" s="28" t="s">
        <v>237</v>
      </c>
      <c r="C6838" s="28" t="s">
        <v>97</v>
      </c>
      <c r="D6838" s="28" t="s">
        <v>1755</v>
      </c>
      <c r="E6838" s="29" t="s">
        <v>923</v>
      </c>
      <c r="F6838" s="29" t="s">
        <v>340</v>
      </c>
      <c r="G6838" s="25" t="s">
        <v>8494</v>
      </c>
      <c r="H6838" s="26">
        <v>-0.13636000000000001</v>
      </c>
      <c r="I6838" s="26"/>
      <c r="J6838" s="26" t="s">
        <v>512</v>
      </c>
      <c r="K6838" s="25" t="s">
        <v>513</v>
      </c>
    </row>
    <row r="6839" spans="1:11" ht="25.5" x14ac:dyDescent="0.25">
      <c r="A6839" s="22">
        <v>2026</v>
      </c>
      <c r="B6839" s="28" t="s">
        <v>237</v>
      </c>
      <c r="C6839" s="28" t="s">
        <v>97</v>
      </c>
      <c r="D6839" s="28" t="s">
        <v>1755</v>
      </c>
      <c r="E6839" s="29" t="s">
        <v>923</v>
      </c>
      <c r="F6839" s="29" t="s">
        <v>340</v>
      </c>
      <c r="G6839" s="25" t="s">
        <v>8495</v>
      </c>
      <c r="H6839" s="26">
        <v>-0.3402</v>
      </c>
      <c r="I6839" s="26"/>
      <c r="J6839" s="26" t="s">
        <v>512</v>
      </c>
      <c r="K6839" s="25" t="s">
        <v>513</v>
      </c>
    </row>
    <row r="6840" spans="1:11" ht="25.5" x14ac:dyDescent="0.25">
      <c r="A6840" s="22">
        <v>2026</v>
      </c>
      <c r="B6840" s="28" t="s">
        <v>237</v>
      </c>
      <c r="C6840" s="28" t="s">
        <v>97</v>
      </c>
      <c r="D6840" s="28" t="s">
        <v>1755</v>
      </c>
      <c r="E6840" s="29" t="s">
        <v>923</v>
      </c>
      <c r="F6840" s="29" t="s">
        <v>340</v>
      </c>
      <c r="G6840" s="25" t="s">
        <v>8493</v>
      </c>
      <c r="H6840" s="26">
        <v>-0.34125</v>
      </c>
      <c r="I6840" s="26"/>
      <c r="J6840" s="26" t="s">
        <v>512</v>
      </c>
      <c r="K6840" s="25" t="s">
        <v>513</v>
      </c>
    </row>
    <row r="6841" spans="1:11" ht="25.5" x14ac:dyDescent="0.25">
      <c r="A6841" s="22">
        <v>2026</v>
      </c>
      <c r="B6841" s="28" t="s">
        <v>237</v>
      </c>
      <c r="C6841" s="28" t="s">
        <v>97</v>
      </c>
      <c r="D6841" s="28" t="s">
        <v>1790</v>
      </c>
      <c r="E6841" s="29" t="s">
        <v>1781</v>
      </c>
      <c r="F6841" s="29" t="s">
        <v>287</v>
      </c>
      <c r="G6841" s="25" t="s">
        <v>8496</v>
      </c>
      <c r="H6841" s="26">
        <v>-0.32774999999999999</v>
      </c>
      <c r="I6841" s="26"/>
      <c r="J6841" s="26" t="s">
        <v>512</v>
      </c>
      <c r="K6841" s="25" t="s">
        <v>513</v>
      </c>
    </row>
    <row r="6842" spans="1:11" ht="25.5" x14ac:dyDescent="0.25">
      <c r="A6842" s="22">
        <v>2026</v>
      </c>
      <c r="B6842" s="28" t="s">
        <v>237</v>
      </c>
      <c r="C6842" s="28" t="s">
        <v>97</v>
      </c>
      <c r="D6842" s="28" t="s">
        <v>1790</v>
      </c>
      <c r="E6842" s="29" t="s">
        <v>1781</v>
      </c>
      <c r="F6842" s="29" t="s">
        <v>287</v>
      </c>
      <c r="G6842" s="25" t="s">
        <v>8497</v>
      </c>
      <c r="H6842" s="26">
        <v>-0.34320000000000001</v>
      </c>
      <c r="I6842" s="26"/>
      <c r="J6842" s="26" t="s">
        <v>512</v>
      </c>
      <c r="K6842" s="25" t="s">
        <v>513</v>
      </c>
    </row>
    <row r="6843" spans="1:11" ht="25.5" x14ac:dyDescent="0.25">
      <c r="A6843" s="22">
        <v>2026</v>
      </c>
      <c r="B6843" s="28" t="s">
        <v>237</v>
      </c>
      <c r="C6843" s="28" t="s">
        <v>97</v>
      </c>
      <c r="D6843" s="28" t="s">
        <v>1790</v>
      </c>
      <c r="E6843" s="29" t="s">
        <v>1781</v>
      </c>
      <c r="F6843" s="29" t="s">
        <v>287</v>
      </c>
      <c r="G6843" s="25" t="s">
        <v>3216</v>
      </c>
      <c r="H6843" s="26">
        <v>-0.27700000000000002</v>
      </c>
      <c r="I6843" s="26"/>
      <c r="J6843" s="26" t="s">
        <v>512</v>
      </c>
      <c r="K6843" s="25" t="s">
        <v>513</v>
      </c>
    </row>
    <row r="6844" spans="1:11" ht="25.5" x14ac:dyDescent="0.25">
      <c r="A6844" s="22">
        <v>2026</v>
      </c>
      <c r="B6844" s="28" t="s">
        <v>237</v>
      </c>
      <c r="C6844" s="28" t="s">
        <v>97</v>
      </c>
      <c r="D6844" s="28" t="s">
        <v>1790</v>
      </c>
      <c r="E6844" s="29" t="s">
        <v>1781</v>
      </c>
      <c r="F6844" s="29" t="s">
        <v>287</v>
      </c>
      <c r="G6844" s="25" t="s">
        <v>2772</v>
      </c>
      <c r="H6844" s="26">
        <v>-0.27900000000000003</v>
      </c>
      <c r="I6844" s="26"/>
      <c r="J6844" s="26" t="s">
        <v>512</v>
      </c>
      <c r="K6844" s="25" t="s">
        <v>513</v>
      </c>
    </row>
    <row r="6845" spans="1:11" ht="25.5" x14ac:dyDescent="0.25">
      <c r="A6845" s="22">
        <v>2026</v>
      </c>
      <c r="B6845" s="28" t="s">
        <v>237</v>
      </c>
      <c r="C6845" s="28" t="s">
        <v>97</v>
      </c>
      <c r="D6845" s="28" t="s">
        <v>1790</v>
      </c>
      <c r="E6845" s="29" t="s">
        <v>1781</v>
      </c>
      <c r="F6845" s="29" t="s">
        <v>287</v>
      </c>
      <c r="G6845" s="25" t="s">
        <v>8498</v>
      </c>
      <c r="H6845" s="26">
        <v>-0.14050000000000001</v>
      </c>
      <c r="I6845" s="26"/>
      <c r="J6845" s="26" t="s">
        <v>512</v>
      </c>
      <c r="K6845" s="25" t="s">
        <v>513</v>
      </c>
    </row>
    <row r="6846" spans="1:11" ht="25.5" x14ac:dyDescent="0.25">
      <c r="A6846" s="22">
        <v>2026</v>
      </c>
      <c r="B6846" s="28" t="s">
        <v>237</v>
      </c>
      <c r="C6846" s="28" t="s">
        <v>97</v>
      </c>
      <c r="D6846" s="28" t="s">
        <v>1790</v>
      </c>
      <c r="E6846" s="29" t="s">
        <v>1781</v>
      </c>
      <c r="F6846" s="29" t="s">
        <v>287</v>
      </c>
      <c r="G6846" s="25" t="s">
        <v>8499</v>
      </c>
      <c r="H6846" s="26">
        <v>-0.14249999999999999</v>
      </c>
      <c r="I6846" s="26"/>
      <c r="J6846" s="26" t="s">
        <v>512</v>
      </c>
      <c r="K6846" s="25" t="s">
        <v>513</v>
      </c>
    </row>
    <row r="6847" spans="1:11" ht="25.5" x14ac:dyDescent="0.25">
      <c r="A6847" s="22">
        <v>2026</v>
      </c>
      <c r="B6847" s="28" t="s">
        <v>237</v>
      </c>
      <c r="C6847" s="28" t="s">
        <v>97</v>
      </c>
      <c r="D6847" s="28" t="s">
        <v>1790</v>
      </c>
      <c r="E6847" s="29" t="s">
        <v>1781</v>
      </c>
      <c r="F6847" s="29" t="s">
        <v>287</v>
      </c>
      <c r="G6847" s="25" t="s">
        <v>8500</v>
      </c>
      <c r="H6847" s="26">
        <v>-8.7599999999999997E-2</v>
      </c>
      <c r="I6847" s="26"/>
      <c r="J6847" s="26" t="s">
        <v>512</v>
      </c>
      <c r="K6847" s="25" t="s">
        <v>513</v>
      </c>
    </row>
    <row r="6848" spans="1:11" ht="25.5" x14ac:dyDescent="0.25">
      <c r="A6848" s="22">
        <v>2026</v>
      </c>
      <c r="B6848" s="28" t="s">
        <v>237</v>
      </c>
      <c r="C6848" s="28" t="s">
        <v>97</v>
      </c>
      <c r="D6848" s="28" t="s">
        <v>1790</v>
      </c>
      <c r="E6848" s="29" t="s">
        <v>1781</v>
      </c>
      <c r="F6848" s="29" t="s">
        <v>287</v>
      </c>
      <c r="G6848" s="25" t="s">
        <v>8501</v>
      </c>
      <c r="H6848" s="26">
        <v>-0.14474999999999999</v>
      </c>
      <c r="I6848" s="26"/>
      <c r="J6848" s="26" t="s">
        <v>512</v>
      </c>
      <c r="K6848" s="25" t="s">
        <v>513</v>
      </c>
    </row>
    <row r="6849" spans="1:11" ht="25.5" x14ac:dyDescent="0.25">
      <c r="A6849" s="22">
        <v>2026</v>
      </c>
      <c r="B6849" s="28" t="s">
        <v>237</v>
      </c>
      <c r="C6849" s="28" t="s">
        <v>97</v>
      </c>
      <c r="D6849" s="28" t="s">
        <v>1790</v>
      </c>
      <c r="E6849" s="29" t="s">
        <v>1781</v>
      </c>
      <c r="F6849" s="29" t="s">
        <v>287</v>
      </c>
      <c r="G6849" s="25" t="s">
        <v>6211</v>
      </c>
      <c r="H6849" s="26">
        <v>-0.14349999999999999</v>
      </c>
      <c r="I6849" s="26"/>
      <c r="J6849" s="26" t="s">
        <v>512</v>
      </c>
      <c r="K6849" s="25" t="s">
        <v>513</v>
      </c>
    </row>
    <row r="6850" spans="1:11" ht="25.5" x14ac:dyDescent="0.25">
      <c r="A6850" s="22">
        <v>2026</v>
      </c>
      <c r="B6850" s="28" t="s">
        <v>237</v>
      </c>
      <c r="C6850" s="28" t="s">
        <v>97</v>
      </c>
      <c r="D6850" s="28" t="s">
        <v>1790</v>
      </c>
      <c r="E6850" s="29" t="s">
        <v>1781</v>
      </c>
      <c r="F6850" s="29" t="s">
        <v>287</v>
      </c>
      <c r="G6850" s="25" t="s">
        <v>8502</v>
      </c>
      <c r="H6850" s="26">
        <v>-0.14324999999999999</v>
      </c>
      <c r="I6850" s="26"/>
      <c r="J6850" s="26" t="s">
        <v>512</v>
      </c>
      <c r="K6850" s="25" t="s">
        <v>513</v>
      </c>
    </row>
    <row r="6851" spans="1:11" ht="25.5" x14ac:dyDescent="0.25">
      <c r="A6851" s="22">
        <v>2026</v>
      </c>
      <c r="B6851" s="28" t="s">
        <v>237</v>
      </c>
      <c r="C6851" s="28" t="s">
        <v>97</v>
      </c>
      <c r="D6851" s="28" t="s">
        <v>1790</v>
      </c>
      <c r="E6851" s="29" t="s">
        <v>1781</v>
      </c>
      <c r="F6851" s="29" t="s">
        <v>287</v>
      </c>
      <c r="G6851" s="25" t="s">
        <v>8503</v>
      </c>
      <c r="H6851" s="26">
        <v>-0.2144025</v>
      </c>
      <c r="I6851" s="26"/>
      <c r="J6851" s="26" t="s">
        <v>512</v>
      </c>
      <c r="K6851" s="25" t="s">
        <v>513</v>
      </c>
    </row>
    <row r="6852" spans="1:11" ht="25.5" x14ac:dyDescent="0.25">
      <c r="A6852" s="22">
        <v>2026</v>
      </c>
      <c r="B6852" s="28" t="s">
        <v>237</v>
      </c>
      <c r="C6852" s="28" t="s">
        <v>97</v>
      </c>
      <c r="D6852" s="28" t="s">
        <v>1790</v>
      </c>
      <c r="E6852" s="29" t="s">
        <v>1781</v>
      </c>
      <c r="F6852" s="29" t="s">
        <v>287</v>
      </c>
      <c r="G6852" s="25" t="s">
        <v>8499</v>
      </c>
      <c r="H6852" s="26">
        <v>-0.14249999999999999</v>
      </c>
      <c r="I6852" s="26"/>
      <c r="J6852" s="26" t="s">
        <v>512</v>
      </c>
      <c r="K6852" s="25" t="s">
        <v>513</v>
      </c>
    </row>
    <row r="6853" spans="1:11" ht="25.5" x14ac:dyDescent="0.25">
      <c r="A6853" s="22">
        <v>2026</v>
      </c>
      <c r="B6853" s="28" t="s">
        <v>237</v>
      </c>
      <c r="C6853" s="28" t="s">
        <v>97</v>
      </c>
      <c r="D6853" s="28" t="s">
        <v>182</v>
      </c>
      <c r="E6853" s="29" t="s">
        <v>321</v>
      </c>
      <c r="F6853" s="29" t="s">
        <v>322</v>
      </c>
      <c r="G6853" s="25" t="s">
        <v>8504</v>
      </c>
      <c r="H6853" s="26">
        <v>-0.36160096000000003</v>
      </c>
      <c r="I6853" s="26"/>
      <c r="J6853" s="26" t="s">
        <v>519</v>
      </c>
      <c r="K6853" s="25" t="s">
        <v>513</v>
      </c>
    </row>
    <row r="6854" spans="1:11" ht="25.5" x14ac:dyDescent="0.25">
      <c r="A6854" s="22">
        <v>2026</v>
      </c>
      <c r="B6854" s="28" t="s">
        <v>237</v>
      </c>
      <c r="C6854" s="28" t="s">
        <v>97</v>
      </c>
      <c r="D6854" s="28" t="s">
        <v>1757</v>
      </c>
      <c r="E6854" s="29" t="s">
        <v>1783</v>
      </c>
      <c r="F6854" s="29" t="s">
        <v>322</v>
      </c>
      <c r="G6854" s="25" t="s">
        <v>8505</v>
      </c>
      <c r="H6854" s="26">
        <v>-0.22862025</v>
      </c>
      <c r="I6854" s="26"/>
      <c r="J6854" s="26" t="s">
        <v>514</v>
      </c>
      <c r="K6854" s="25" t="s">
        <v>1768</v>
      </c>
    </row>
    <row r="6855" spans="1:11" ht="25.5" x14ac:dyDescent="0.25">
      <c r="A6855" s="22">
        <v>2026</v>
      </c>
      <c r="B6855" s="28" t="s">
        <v>237</v>
      </c>
      <c r="C6855" s="28" t="s">
        <v>97</v>
      </c>
      <c r="D6855" s="28" t="s">
        <v>1757</v>
      </c>
      <c r="E6855" s="29" t="s">
        <v>1783</v>
      </c>
      <c r="F6855" s="29" t="s">
        <v>322</v>
      </c>
      <c r="G6855" s="25" t="s">
        <v>8506</v>
      </c>
      <c r="H6855" s="26">
        <v>-0.16900000000000001</v>
      </c>
      <c r="I6855" s="26"/>
      <c r="J6855" s="26" t="s">
        <v>514</v>
      </c>
      <c r="K6855" s="25" t="s">
        <v>1768</v>
      </c>
    </row>
    <row r="6856" spans="1:11" ht="25.5" x14ac:dyDescent="0.25">
      <c r="A6856" s="22">
        <v>2026</v>
      </c>
      <c r="B6856" s="28" t="s">
        <v>237</v>
      </c>
      <c r="C6856" s="28" t="s">
        <v>97</v>
      </c>
      <c r="D6856" s="28" t="s">
        <v>531</v>
      </c>
      <c r="E6856" s="29" t="s">
        <v>551</v>
      </c>
      <c r="F6856" s="29" t="s">
        <v>322</v>
      </c>
      <c r="G6856" s="25" t="s">
        <v>8507</v>
      </c>
      <c r="H6856" s="26">
        <v>-0.40224366434000003</v>
      </c>
      <c r="I6856" s="26"/>
      <c r="J6856" s="26" t="s">
        <v>514</v>
      </c>
      <c r="K6856" s="25" t="s">
        <v>513</v>
      </c>
    </row>
    <row r="6857" spans="1:11" ht="25.5" x14ac:dyDescent="0.25">
      <c r="A6857" s="22">
        <v>2026</v>
      </c>
      <c r="B6857" s="28" t="s">
        <v>237</v>
      </c>
      <c r="C6857" s="28" t="s">
        <v>97</v>
      </c>
      <c r="D6857" s="28" t="s">
        <v>531</v>
      </c>
      <c r="E6857" s="29" t="s">
        <v>551</v>
      </c>
      <c r="F6857" s="29" t="s">
        <v>322</v>
      </c>
      <c r="G6857" s="25" t="s">
        <v>8508</v>
      </c>
      <c r="H6857" s="26">
        <v>-0.26927040000000002</v>
      </c>
      <c r="I6857" s="26"/>
      <c r="J6857" s="26" t="s">
        <v>514</v>
      </c>
      <c r="K6857" s="25" t="s">
        <v>513</v>
      </c>
    </row>
    <row r="6858" spans="1:11" ht="25.5" x14ac:dyDescent="0.25">
      <c r="A6858" s="22">
        <v>2026</v>
      </c>
      <c r="B6858" s="28" t="s">
        <v>237</v>
      </c>
      <c r="C6858" s="28" t="s">
        <v>97</v>
      </c>
      <c r="D6858" s="28" t="s">
        <v>531</v>
      </c>
      <c r="E6858" s="29" t="s">
        <v>551</v>
      </c>
      <c r="F6858" s="29" t="s">
        <v>322</v>
      </c>
      <c r="G6858" s="25" t="s">
        <v>8509</v>
      </c>
      <c r="H6858" s="26">
        <v>-0.34623942888000003</v>
      </c>
      <c r="I6858" s="26"/>
      <c r="J6858" s="26" t="s">
        <v>514</v>
      </c>
      <c r="K6858" s="25" t="s">
        <v>513</v>
      </c>
    </row>
    <row r="6859" spans="1:11" ht="25.5" x14ac:dyDescent="0.25">
      <c r="A6859" s="22">
        <v>2026</v>
      </c>
      <c r="B6859" s="28" t="s">
        <v>237</v>
      </c>
      <c r="C6859" s="28" t="s">
        <v>97</v>
      </c>
      <c r="D6859" s="28" t="s">
        <v>531</v>
      </c>
      <c r="E6859" s="29" t="s">
        <v>551</v>
      </c>
      <c r="F6859" s="29" t="s">
        <v>322</v>
      </c>
      <c r="G6859" s="25" t="s">
        <v>8510</v>
      </c>
      <c r="H6859" s="26">
        <v>-4.42771E-2</v>
      </c>
      <c r="I6859" s="26"/>
      <c r="J6859" s="26" t="s">
        <v>514</v>
      </c>
      <c r="K6859" s="25" t="s">
        <v>513</v>
      </c>
    </row>
    <row r="6860" spans="1:11" ht="25.5" x14ac:dyDescent="0.25">
      <c r="A6860" s="22">
        <v>2026</v>
      </c>
      <c r="B6860" s="28" t="s">
        <v>237</v>
      </c>
      <c r="C6860" s="28" t="s">
        <v>97</v>
      </c>
      <c r="D6860" s="28" t="s">
        <v>531</v>
      </c>
      <c r="E6860" s="29" t="s">
        <v>551</v>
      </c>
      <c r="F6860" s="29" t="s">
        <v>322</v>
      </c>
      <c r="G6860" s="25" t="s">
        <v>8511</v>
      </c>
      <c r="H6860" s="26">
        <v>-0.17875679999999999</v>
      </c>
      <c r="I6860" s="26"/>
      <c r="J6860" s="26" t="s">
        <v>514</v>
      </c>
      <c r="K6860" s="25" t="s">
        <v>513</v>
      </c>
    </row>
    <row r="6861" spans="1:11" ht="25.5" x14ac:dyDescent="0.25">
      <c r="A6861" s="22">
        <v>2026</v>
      </c>
      <c r="B6861" s="28" t="s">
        <v>237</v>
      </c>
      <c r="C6861" s="28" t="s">
        <v>97</v>
      </c>
      <c r="D6861" s="28" t="s">
        <v>531</v>
      </c>
      <c r="E6861" s="29" t="s">
        <v>551</v>
      </c>
      <c r="F6861" s="29" t="s">
        <v>322</v>
      </c>
      <c r="G6861" s="25" t="s">
        <v>8512</v>
      </c>
      <c r="H6861" s="26">
        <v>-0.41435737079999996</v>
      </c>
      <c r="I6861" s="26"/>
      <c r="J6861" s="26" t="s">
        <v>514</v>
      </c>
      <c r="K6861" s="25" t="s">
        <v>513</v>
      </c>
    </row>
    <row r="6862" spans="1:11" ht="25.5" x14ac:dyDescent="0.25">
      <c r="A6862" s="22">
        <v>2026</v>
      </c>
      <c r="B6862" s="28" t="s">
        <v>237</v>
      </c>
      <c r="C6862" s="28" t="s">
        <v>97</v>
      </c>
      <c r="D6862" s="28" t="s">
        <v>531</v>
      </c>
      <c r="E6862" s="29" t="s">
        <v>551</v>
      </c>
      <c r="F6862" s="29" t="s">
        <v>322</v>
      </c>
      <c r="G6862" s="25" t="s">
        <v>8513</v>
      </c>
      <c r="H6862" s="26">
        <v>-0.26736300000000002</v>
      </c>
      <c r="I6862" s="26"/>
      <c r="J6862" s="26" t="s">
        <v>514</v>
      </c>
      <c r="K6862" s="25" t="s">
        <v>513</v>
      </c>
    </row>
    <row r="6863" spans="1:11" ht="25.5" x14ac:dyDescent="0.25">
      <c r="A6863" s="22">
        <v>2026</v>
      </c>
      <c r="B6863" s="28" t="s">
        <v>237</v>
      </c>
      <c r="C6863" s="28" t="s">
        <v>97</v>
      </c>
      <c r="D6863" s="28" t="s">
        <v>531</v>
      </c>
      <c r="E6863" s="29" t="s">
        <v>551</v>
      </c>
      <c r="F6863" s="29" t="s">
        <v>322</v>
      </c>
      <c r="G6863" s="25" t="s">
        <v>8514</v>
      </c>
      <c r="H6863" s="26">
        <v>-0.2388414613</v>
      </c>
      <c r="I6863" s="26"/>
      <c r="J6863" s="26" t="s">
        <v>514</v>
      </c>
      <c r="K6863" s="25" t="s">
        <v>513</v>
      </c>
    </row>
    <row r="6864" spans="1:11" ht="25.5" x14ac:dyDescent="0.25">
      <c r="A6864" s="22">
        <v>2026</v>
      </c>
      <c r="B6864" s="28" t="s">
        <v>237</v>
      </c>
      <c r="C6864" s="28" t="s">
        <v>97</v>
      </c>
      <c r="D6864" s="28" t="s">
        <v>531</v>
      </c>
      <c r="E6864" s="29" t="s">
        <v>551</v>
      </c>
      <c r="F6864" s="29" t="s">
        <v>322</v>
      </c>
      <c r="G6864" s="25" t="s">
        <v>8515</v>
      </c>
      <c r="H6864" s="26">
        <v>-4.4545099999999997E-2</v>
      </c>
      <c r="I6864" s="26"/>
      <c r="J6864" s="26" t="s">
        <v>514</v>
      </c>
      <c r="K6864" s="25" t="s">
        <v>513</v>
      </c>
    </row>
    <row r="6865" spans="1:11" ht="25.5" x14ac:dyDescent="0.25">
      <c r="A6865" s="22">
        <v>2026</v>
      </c>
      <c r="B6865" s="28" t="s">
        <v>237</v>
      </c>
      <c r="C6865" s="28" t="s">
        <v>97</v>
      </c>
      <c r="D6865" s="28" t="s">
        <v>531</v>
      </c>
      <c r="E6865" s="29" t="s">
        <v>551</v>
      </c>
      <c r="F6865" s="29" t="s">
        <v>322</v>
      </c>
      <c r="G6865" s="25" t="s">
        <v>8516</v>
      </c>
      <c r="H6865" s="26">
        <v>-8.9633994600000003E-2</v>
      </c>
      <c r="I6865" s="26"/>
      <c r="J6865" s="26" t="s">
        <v>514</v>
      </c>
      <c r="K6865" s="25" t="s">
        <v>513</v>
      </c>
    </row>
    <row r="6866" spans="1:11" ht="25.5" x14ac:dyDescent="0.25">
      <c r="A6866" s="22">
        <v>2026</v>
      </c>
      <c r="B6866" s="28" t="s">
        <v>237</v>
      </c>
      <c r="C6866" s="28" t="s">
        <v>97</v>
      </c>
      <c r="D6866" s="28" t="s">
        <v>531</v>
      </c>
      <c r="E6866" s="29" t="s">
        <v>551</v>
      </c>
      <c r="F6866" s="29" t="s">
        <v>322</v>
      </c>
      <c r="G6866" s="25" t="s">
        <v>8517</v>
      </c>
      <c r="H6866" s="26">
        <v>-0.67500000000000004</v>
      </c>
      <c r="I6866" s="26"/>
      <c r="J6866" s="26" t="s">
        <v>514</v>
      </c>
      <c r="K6866" s="25" t="s">
        <v>513</v>
      </c>
    </row>
    <row r="6867" spans="1:11" ht="25.5" x14ac:dyDescent="0.25">
      <c r="A6867" s="22">
        <v>2026</v>
      </c>
      <c r="B6867" s="28" t="s">
        <v>237</v>
      </c>
      <c r="C6867" s="28" t="s">
        <v>97</v>
      </c>
      <c r="D6867" s="28" t="s">
        <v>531</v>
      </c>
      <c r="E6867" s="29" t="s">
        <v>551</v>
      </c>
      <c r="F6867" s="29" t="s">
        <v>322</v>
      </c>
      <c r="G6867" s="25" t="s">
        <v>8518</v>
      </c>
      <c r="H6867" s="26">
        <v>-0.27457635847</v>
      </c>
      <c r="I6867" s="26"/>
      <c r="J6867" s="26" t="s">
        <v>514</v>
      </c>
      <c r="K6867" s="25" t="s">
        <v>513</v>
      </c>
    </row>
    <row r="6868" spans="1:11" ht="25.5" x14ac:dyDescent="0.25">
      <c r="A6868" s="22">
        <v>2026</v>
      </c>
      <c r="B6868" s="28" t="s">
        <v>237</v>
      </c>
      <c r="C6868" s="28" t="s">
        <v>97</v>
      </c>
      <c r="D6868" s="28" t="s">
        <v>531</v>
      </c>
      <c r="E6868" s="29" t="s">
        <v>551</v>
      </c>
      <c r="F6868" s="29" t="s">
        <v>322</v>
      </c>
      <c r="G6868" s="25" t="s">
        <v>8519</v>
      </c>
      <c r="H6868" s="26">
        <v>-0.35070264767999998</v>
      </c>
      <c r="I6868" s="26"/>
      <c r="J6868" s="26" t="s">
        <v>514</v>
      </c>
      <c r="K6868" s="25" t="s">
        <v>513</v>
      </c>
    </row>
    <row r="6869" spans="1:11" ht="25.5" x14ac:dyDescent="0.25">
      <c r="A6869" s="22">
        <v>2026</v>
      </c>
      <c r="B6869" s="28" t="s">
        <v>237</v>
      </c>
      <c r="C6869" s="28" t="s">
        <v>97</v>
      </c>
      <c r="D6869" s="28" t="s">
        <v>531</v>
      </c>
      <c r="E6869" s="29" t="s">
        <v>551</v>
      </c>
      <c r="F6869" s="29" t="s">
        <v>322</v>
      </c>
      <c r="G6869" s="25" t="s">
        <v>8520</v>
      </c>
      <c r="H6869" s="26">
        <v>-0.22661201770999997</v>
      </c>
      <c r="I6869" s="26"/>
      <c r="J6869" s="26" t="s">
        <v>514</v>
      </c>
      <c r="K6869" s="25" t="s">
        <v>513</v>
      </c>
    </row>
    <row r="6870" spans="1:11" ht="25.5" x14ac:dyDescent="0.25">
      <c r="A6870" s="22">
        <v>2026</v>
      </c>
      <c r="B6870" s="28" t="s">
        <v>237</v>
      </c>
      <c r="C6870" s="28" t="s">
        <v>97</v>
      </c>
      <c r="D6870" s="28" t="s">
        <v>531</v>
      </c>
      <c r="E6870" s="29" t="s">
        <v>551</v>
      </c>
      <c r="F6870" s="29" t="s">
        <v>322</v>
      </c>
      <c r="G6870" s="25" t="s">
        <v>8521</v>
      </c>
      <c r="H6870" s="26">
        <v>-0.28321570809999996</v>
      </c>
      <c r="I6870" s="26"/>
      <c r="J6870" s="26" t="s">
        <v>514</v>
      </c>
      <c r="K6870" s="25" t="s">
        <v>513</v>
      </c>
    </row>
    <row r="6871" spans="1:11" ht="25.5" x14ac:dyDescent="0.25">
      <c r="A6871" s="22">
        <v>2026</v>
      </c>
      <c r="B6871" s="28" t="s">
        <v>237</v>
      </c>
      <c r="C6871" s="28" t="s">
        <v>97</v>
      </c>
      <c r="D6871" s="28" t="s">
        <v>531</v>
      </c>
      <c r="E6871" s="29" t="s">
        <v>551</v>
      </c>
      <c r="F6871" s="29" t="s">
        <v>322</v>
      </c>
      <c r="G6871" s="25" t="s">
        <v>8522</v>
      </c>
      <c r="H6871" s="26">
        <v>-0.1119960582</v>
      </c>
      <c r="I6871" s="26"/>
      <c r="J6871" s="26" t="s">
        <v>514</v>
      </c>
      <c r="K6871" s="25" t="s">
        <v>513</v>
      </c>
    </row>
    <row r="6872" spans="1:11" ht="25.5" x14ac:dyDescent="0.25">
      <c r="A6872" s="22">
        <v>2026</v>
      </c>
      <c r="B6872" s="28" t="s">
        <v>237</v>
      </c>
      <c r="C6872" s="28" t="s">
        <v>97</v>
      </c>
      <c r="D6872" s="28" t="s">
        <v>531</v>
      </c>
      <c r="E6872" s="29" t="s">
        <v>551</v>
      </c>
      <c r="F6872" s="29" t="s">
        <v>322</v>
      </c>
      <c r="G6872" s="25" t="s">
        <v>8523</v>
      </c>
      <c r="H6872" s="26">
        <v>-0.56257482747999998</v>
      </c>
      <c r="I6872" s="26"/>
      <c r="J6872" s="26" t="s">
        <v>514</v>
      </c>
      <c r="K6872" s="25" t="s">
        <v>513</v>
      </c>
    </row>
    <row r="6873" spans="1:11" ht="25.5" x14ac:dyDescent="0.25">
      <c r="A6873" s="22">
        <v>2026</v>
      </c>
      <c r="B6873" s="28" t="s">
        <v>237</v>
      </c>
      <c r="C6873" s="28" t="s">
        <v>97</v>
      </c>
      <c r="D6873" s="28" t="s">
        <v>531</v>
      </c>
      <c r="E6873" s="29" t="s">
        <v>551</v>
      </c>
      <c r="F6873" s="29" t="s">
        <v>322</v>
      </c>
      <c r="G6873" s="25" t="s">
        <v>8524</v>
      </c>
      <c r="H6873" s="26">
        <v>-0.46133063000000002</v>
      </c>
      <c r="I6873" s="26"/>
      <c r="J6873" s="26" t="s">
        <v>514</v>
      </c>
      <c r="K6873" s="25" t="s">
        <v>513</v>
      </c>
    </row>
    <row r="6874" spans="1:11" ht="25.5" x14ac:dyDescent="0.25">
      <c r="A6874" s="22">
        <v>2026</v>
      </c>
      <c r="B6874" s="28" t="s">
        <v>237</v>
      </c>
      <c r="C6874" s="28" t="s">
        <v>97</v>
      </c>
      <c r="D6874" s="28" t="s">
        <v>531</v>
      </c>
      <c r="E6874" s="29" t="s">
        <v>551</v>
      </c>
      <c r="F6874" s="29" t="s">
        <v>322</v>
      </c>
      <c r="G6874" s="25" t="s">
        <v>8525</v>
      </c>
      <c r="H6874" s="26">
        <v>-0.35073196509999999</v>
      </c>
      <c r="I6874" s="26"/>
      <c r="J6874" s="26" t="s">
        <v>514</v>
      </c>
      <c r="K6874" s="25" t="s">
        <v>513</v>
      </c>
    </row>
    <row r="6875" spans="1:11" ht="25.5" x14ac:dyDescent="0.25">
      <c r="A6875" s="22">
        <v>2026</v>
      </c>
      <c r="B6875" s="28" t="s">
        <v>237</v>
      </c>
      <c r="C6875" s="28" t="s">
        <v>97</v>
      </c>
      <c r="D6875" s="28" t="s">
        <v>531</v>
      </c>
      <c r="E6875" s="29" t="s">
        <v>551</v>
      </c>
      <c r="F6875" s="29" t="s">
        <v>322</v>
      </c>
      <c r="G6875" s="25" t="s">
        <v>8526</v>
      </c>
      <c r="H6875" s="26">
        <v>-0.3538501758</v>
      </c>
      <c r="I6875" s="26"/>
      <c r="J6875" s="26" t="s">
        <v>514</v>
      </c>
      <c r="K6875" s="25" t="s">
        <v>513</v>
      </c>
    </row>
    <row r="6876" spans="1:11" ht="25.5" x14ac:dyDescent="0.25">
      <c r="A6876" s="22">
        <v>2026</v>
      </c>
      <c r="B6876" s="28" t="s">
        <v>237</v>
      </c>
      <c r="C6876" s="28" t="s">
        <v>97</v>
      </c>
      <c r="D6876" s="28" t="s">
        <v>228</v>
      </c>
      <c r="E6876" s="29" t="s">
        <v>411</v>
      </c>
      <c r="F6876" s="29" t="s">
        <v>412</v>
      </c>
      <c r="G6876" s="25" t="s">
        <v>8527</v>
      </c>
      <c r="H6876" s="26">
        <v>-2.0852081120000001</v>
      </c>
      <c r="I6876" s="26"/>
      <c r="J6876" s="26" t="s">
        <v>512</v>
      </c>
      <c r="K6876" s="25" t="s">
        <v>513</v>
      </c>
    </row>
    <row r="6877" spans="1:11" ht="25.5" x14ac:dyDescent="0.25">
      <c r="A6877" s="22">
        <v>2026</v>
      </c>
      <c r="B6877" s="28" t="s">
        <v>237</v>
      </c>
      <c r="C6877" s="28" t="s">
        <v>97</v>
      </c>
      <c r="D6877" s="28" t="s">
        <v>228</v>
      </c>
      <c r="E6877" s="29" t="s">
        <v>411</v>
      </c>
      <c r="F6877" s="29" t="s">
        <v>412</v>
      </c>
      <c r="G6877" s="25" t="s">
        <v>8528</v>
      </c>
      <c r="H6877" s="26">
        <v>-1.234135</v>
      </c>
      <c r="I6877" s="26"/>
      <c r="J6877" s="26" t="s">
        <v>512</v>
      </c>
      <c r="K6877" s="25" t="s">
        <v>513</v>
      </c>
    </row>
    <row r="6878" spans="1:11" ht="25.5" x14ac:dyDescent="0.25">
      <c r="A6878" s="22">
        <v>2026</v>
      </c>
      <c r="B6878" s="28" t="s">
        <v>237</v>
      </c>
      <c r="C6878" s="28" t="s">
        <v>97</v>
      </c>
      <c r="D6878" s="28" t="s">
        <v>228</v>
      </c>
      <c r="E6878" s="29" t="s">
        <v>411</v>
      </c>
      <c r="F6878" s="29" t="s">
        <v>412</v>
      </c>
      <c r="G6878" s="25" t="s">
        <v>8529</v>
      </c>
      <c r="H6878" s="26">
        <v>-0.87524999999999997</v>
      </c>
      <c r="I6878" s="26"/>
      <c r="J6878" s="26" t="s">
        <v>512</v>
      </c>
      <c r="K6878" s="25" t="s">
        <v>513</v>
      </c>
    </row>
    <row r="6879" spans="1:11" ht="25.5" x14ac:dyDescent="0.25">
      <c r="A6879" s="22">
        <v>2026</v>
      </c>
      <c r="B6879" s="28" t="s">
        <v>237</v>
      </c>
      <c r="C6879" s="28" t="s">
        <v>97</v>
      </c>
      <c r="D6879" s="28" t="s">
        <v>228</v>
      </c>
      <c r="E6879" s="29" t="s">
        <v>411</v>
      </c>
      <c r="F6879" s="29" t="s">
        <v>412</v>
      </c>
      <c r="G6879" s="25" t="s">
        <v>8530</v>
      </c>
      <c r="H6879" s="26">
        <v>-1.229725</v>
      </c>
      <c r="I6879" s="26"/>
      <c r="J6879" s="26" t="s">
        <v>512</v>
      </c>
      <c r="K6879" s="25" t="s">
        <v>513</v>
      </c>
    </row>
    <row r="6880" spans="1:11" ht="25.5" x14ac:dyDescent="0.25">
      <c r="A6880" s="22">
        <v>2026</v>
      </c>
      <c r="B6880" s="28" t="s">
        <v>237</v>
      </c>
      <c r="C6880" s="28" t="s">
        <v>97</v>
      </c>
      <c r="D6880" s="28" t="s">
        <v>228</v>
      </c>
      <c r="E6880" s="29" t="s">
        <v>411</v>
      </c>
      <c r="F6880" s="29" t="s">
        <v>412</v>
      </c>
      <c r="G6880" s="25" t="s">
        <v>8531</v>
      </c>
      <c r="H6880" s="26">
        <v>-2.1015000000000001</v>
      </c>
      <c r="I6880" s="26"/>
      <c r="J6880" s="26" t="s">
        <v>512</v>
      </c>
      <c r="K6880" s="25" t="s">
        <v>513</v>
      </c>
    </row>
    <row r="6881" spans="1:11" ht="25.5" x14ac:dyDescent="0.25">
      <c r="A6881" s="22">
        <v>2026</v>
      </c>
      <c r="B6881" s="28" t="s">
        <v>237</v>
      </c>
      <c r="C6881" s="28" t="s">
        <v>97</v>
      </c>
      <c r="D6881" s="28" t="s">
        <v>228</v>
      </c>
      <c r="E6881" s="29" t="s">
        <v>411</v>
      </c>
      <c r="F6881" s="29" t="s">
        <v>412</v>
      </c>
      <c r="G6881" s="25" t="s">
        <v>8532</v>
      </c>
      <c r="H6881" s="26">
        <v>-1.7809999999999999</v>
      </c>
      <c r="I6881" s="26"/>
      <c r="J6881" s="26" t="s">
        <v>512</v>
      </c>
      <c r="K6881" s="25" t="s">
        <v>513</v>
      </c>
    </row>
    <row r="6882" spans="1:11" ht="25.5" x14ac:dyDescent="0.25">
      <c r="A6882" s="22">
        <v>2026</v>
      </c>
      <c r="B6882" s="28" t="s">
        <v>237</v>
      </c>
      <c r="C6882" s="28" t="s">
        <v>97</v>
      </c>
      <c r="D6882" s="28" t="s">
        <v>228</v>
      </c>
      <c r="E6882" s="29" t="s">
        <v>411</v>
      </c>
      <c r="F6882" s="29" t="s">
        <v>412</v>
      </c>
      <c r="G6882" s="25" t="s">
        <v>8533</v>
      </c>
      <c r="H6882" s="26">
        <v>-2.4361787478000001</v>
      </c>
      <c r="I6882" s="26"/>
      <c r="J6882" s="26" t="s">
        <v>512</v>
      </c>
      <c r="K6882" s="25" t="s">
        <v>513</v>
      </c>
    </row>
    <row r="6883" spans="1:11" ht="25.5" x14ac:dyDescent="0.25">
      <c r="A6883" s="22">
        <v>2026</v>
      </c>
      <c r="B6883" s="28" t="s">
        <v>237</v>
      </c>
      <c r="C6883" s="28" t="s">
        <v>97</v>
      </c>
      <c r="D6883" s="28" t="s">
        <v>228</v>
      </c>
      <c r="E6883" s="29" t="s">
        <v>411</v>
      </c>
      <c r="F6883" s="29" t="s">
        <v>412</v>
      </c>
      <c r="G6883" s="25" t="s">
        <v>8534</v>
      </c>
      <c r="H6883" s="26">
        <v>-1.5874078759999999</v>
      </c>
      <c r="I6883" s="26"/>
      <c r="J6883" s="26" t="s">
        <v>512</v>
      </c>
      <c r="K6883" s="25" t="s">
        <v>513</v>
      </c>
    </row>
    <row r="6884" spans="1:11" ht="25.5" x14ac:dyDescent="0.25">
      <c r="A6884" s="22">
        <v>2026</v>
      </c>
      <c r="B6884" s="28" t="s">
        <v>249</v>
      </c>
      <c r="C6884" s="28" t="s">
        <v>97</v>
      </c>
      <c r="D6884" s="28" t="s">
        <v>1691</v>
      </c>
      <c r="E6884" s="29" t="s">
        <v>1691</v>
      </c>
      <c r="F6884" s="29" t="s">
        <v>284</v>
      </c>
      <c r="G6884" s="25" t="s">
        <v>8535</v>
      </c>
      <c r="H6884" s="26">
        <v>-5.7779601956000004</v>
      </c>
      <c r="I6884" s="26"/>
      <c r="J6884" s="26" t="s">
        <v>512</v>
      </c>
      <c r="K6884" s="25" t="s">
        <v>513</v>
      </c>
    </row>
    <row r="6885" spans="1:11" ht="25.5" x14ac:dyDescent="0.25">
      <c r="A6885" s="22">
        <v>2026</v>
      </c>
      <c r="B6885" s="28" t="s">
        <v>249</v>
      </c>
      <c r="C6885" s="28" t="s">
        <v>97</v>
      </c>
      <c r="D6885" s="28" t="s">
        <v>1691</v>
      </c>
      <c r="E6885" s="29" t="s">
        <v>1691</v>
      </c>
      <c r="F6885" s="29" t="s">
        <v>284</v>
      </c>
      <c r="G6885" s="25" t="s">
        <v>8536</v>
      </c>
      <c r="H6885" s="26">
        <v>-5.8745280969999998</v>
      </c>
      <c r="I6885" s="26"/>
      <c r="J6885" s="26" t="s">
        <v>512</v>
      </c>
      <c r="K6885" s="25" t="s">
        <v>513</v>
      </c>
    </row>
    <row r="6886" spans="1:11" ht="25.5" x14ac:dyDescent="0.25">
      <c r="A6886" s="22">
        <v>2026</v>
      </c>
      <c r="B6886" s="28" t="s">
        <v>249</v>
      </c>
      <c r="C6886" s="28" t="s">
        <v>97</v>
      </c>
      <c r="D6886" s="28" t="s">
        <v>1691</v>
      </c>
      <c r="E6886" s="29" t="s">
        <v>1691</v>
      </c>
      <c r="F6886" s="29" t="s">
        <v>284</v>
      </c>
      <c r="G6886" s="25" t="s">
        <v>8537</v>
      </c>
      <c r="H6886" s="26">
        <v>-5.7390120089999996</v>
      </c>
      <c r="I6886" s="26"/>
      <c r="J6886" s="26" t="s">
        <v>512</v>
      </c>
      <c r="K6886" s="25" t="s">
        <v>513</v>
      </c>
    </row>
    <row r="6887" spans="1:11" ht="25.5" x14ac:dyDescent="0.25">
      <c r="A6887" s="22">
        <v>2026</v>
      </c>
      <c r="B6887" s="28" t="s">
        <v>249</v>
      </c>
      <c r="C6887" s="28" t="s">
        <v>97</v>
      </c>
      <c r="D6887" s="28" t="s">
        <v>1691</v>
      </c>
      <c r="E6887" s="29" t="s">
        <v>1691</v>
      </c>
      <c r="F6887" s="29" t="s">
        <v>284</v>
      </c>
      <c r="G6887" s="25" t="s">
        <v>8538</v>
      </c>
      <c r="H6887" s="26">
        <v>-5.7679847624000002</v>
      </c>
      <c r="I6887" s="26"/>
      <c r="J6887" s="26" t="s">
        <v>512</v>
      </c>
      <c r="K6887" s="25" t="s">
        <v>513</v>
      </c>
    </row>
    <row r="6888" spans="1:11" ht="25.5" x14ac:dyDescent="0.25">
      <c r="A6888" s="22">
        <v>2026</v>
      </c>
      <c r="B6888" s="28" t="s">
        <v>249</v>
      </c>
      <c r="C6888" s="28" t="s">
        <v>97</v>
      </c>
      <c r="D6888" s="28" t="s">
        <v>1691</v>
      </c>
      <c r="E6888" s="29" t="s">
        <v>1691</v>
      </c>
      <c r="F6888" s="29" t="s">
        <v>284</v>
      </c>
      <c r="G6888" s="25" t="s">
        <v>8539</v>
      </c>
      <c r="H6888" s="26">
        <v>-5.8729800961999992</v>
      </c>
      <c r="I6888" s="26"/>
      <c r="J6888" s="26" t="s">
        <v>512</v>
      </c>
      <c r="K6888" s="25" t="s">
        <v>513</v>
      </c>
    </row>
    <row r="6889" spans="1:11" ht="25.5" x14ac:dyDescent="0.25">
      <c r="A6889" s="22">
        <v>2026</v>
      </c>
      <c r="B6889" s="28" t="s">
        <v>249</v>
      </c>
      <c r="C6889" s="28" t="s">
        <v>97</v>
      </c>
      <c r="D6889" s="28" t="s">
        <v>1691</v>
      </c>
      <c r="E6889" s="29" t="s">
        <v>1691</v>
      </c>
      <c r="F6889" s="29" t="s">
        <v>284</v>
      </c>
      <c r="G6889" s="25" t="s">
        <v>8540</v>
      </c>
      <c r="H6889" s="26">
        <v>-5.8032942555</v>
      </c>
      <c r="I6889" s="26"/>
      <c r="J6889" s="26" t="s">
        <v>512</v>
      </c>
      <c r="K6889" s="25" t="s">
        <v>513</v>
      </c>
    </row>
    <row r="6890" spans="1:11" ht="25.5" x14ac:dyDescent="0.25">
      <c r="A6890" s="22">
        <v>2026</v>
      </c>
      <c r="B6890" s="28" t="s">
        <v>249</v>
      </c>
      <c r="C6890" s="28" t="s">
        <v>97</v>
      </c>
      <c r="D6890" s="28" t="s">
        <v>1691</v>
      </c>
      <c r="E6890" s="29" t="s">
        <v>1691</v>
      </c>
      <c r="F6890" s="29" t="s">
        <v>284</v>
      </c>
      <c r="G6890" s="25" t="s">
        <v>8541</v>
      </c>
      <c r="H6890" s="26">
        <v>-5.8015626143999999</v>
      </c>
      <c r="I6890" s="26"/>
      <c r="J6890" s="26" t="s">
        <v>512</v>
      </c>
      <c r="K6890" s="25" t="s">
        <v>513</v>
      </c>
    </row>
    <row r="6891" spans="1:11" ht="25.5" x14ac:dyDescent="0.25">
      <c r="A6891" s="22">
        <v>2026</v>
      </c>
      <c r="B6891" s="28" t="s">
        <v>249</v>
      </c>
      <c r="C6891" s="28" t="s">
        <v>97</v>
      </c>
      <c r="D6891" s="28" t="s">
        <v>1691</v>
      </c>
      <c r="E6891" s="29" t="s">
        <v>1691</v>
      </c>
      <c r="F6891" s="29" t="s">
        <v>284</v>
      </c>
      <c r="G6891" s="25" t="s">
        <v>8542</v>
      </c>
      <c r="H6891" s="26">
        <v>-5.9544838860000002</v>
      </c>
      <c r="I6891" s="26"/>
      <c r="J6891" s="26" t="s">
        <v>512</v>
      </c>
      <c r="K6891" s="25" t="s">
        <v>513</v>
      </c>
    </row>
    <row r="6892" spans="1:11" ht="25.5" x14ac:dyDescent="0.25">
      <c r="A6892" s="22">
        <v>2026</v>
      </c>
      <c r="B6892" s="28" t="s">
        <v>249</v>
      </c>
      <c r="C6892" s="28" t="s">
        <v>97</v>
      </c>
      <c r="D6892" s="28" t="s">
        <v>1691</v>
      </c>
      <c r="E6892" s="29" t="s">
        <v>1691</v>
      </c>
      <c r="F6892" s="29" t="s">
        <v>284</v>
      </c>
      <c r="G6892" s="25" t="s">
        <v>8543</v>
      </c>
      <c r="H6892" s="26">
        <v>-5.9670218880000006</v>
      </c>
      <c r="I6892" s="26"/>
      <c r="J6892" s="26" t="s">
        <v>512</v>
      </c>
      <c r="K6892" s="25" t="s">
        <v>513</v>
      </c>
    </row>
    <row r="6893" spans="1:11" ht="25.5" x14ac:dyDescent="0.25">
      <c r="A6893" s="22">
        <v>2026</v>
      </c>
      <c r="B6893" s="28" t="s">
        <v>249</v>
      </c>
      <c r="C6893" s="28" t="s">
        <v>97</v>
      </c>
      <c r="D6893" s="28" t="s">
        <v>1691</v>
      </c>
      <c r="E6893" s="29" t="s">
        <v>1691</v>
      </c>
      <c r="F6893" s="29" t="s">
        <v>284</v>
      </c>
      <c r="G6893" s="25" t="s">
        <v>8544</v>
      </c>
      <c r="H6893" s="26">
        <v>-5.8642725169999999</v>
      </c>
      <c r="I6893" s="26"/>
      <c r="J6893" s="26" t="s">
        <v>512</v>
      </c>
      <c r="K6893" s="25" t="s">
        <v>513</v>
      </c>
    </row>
    <row r="6894" spans="1:11" ht="25.5" x14ac:dyDescent="0.25">
      <c r="A6894" s="22">
        <v>2026</v>
      </c>
      <c r="B6894" s="28" t="s">
        <v>249</v>
      </c>
      <c r="C6894" s="28" t="s">
        <v>97</v>
      </c>
      <c r="D6894" s="28" t="s">
        <v>1691</v>
      </c>
      <c r="E6894" s="29" t="s">
        <v>1691</v>
      </c>
      <c r="F6894" s="29" t="s">
        <v>284</v>
      </c>
      <c r="G6894" s="25" t="s">
        <v>8545</v>
      </c>
      <c r="H6894" s="26">
        <v>-5.9161585039999993</v>
      </c>
      <c r="I6894" s="26"/>
      <c r="J6894" s="26" t="s">
        <v>512</v>
      </c>
      <c r="K6894" s="25" t="s">
        <v>513</v>
      </c>
    </row>
    <row r="6895" spans="1:11" ht="25.5" x14ac:dyDescent="0.25">
      <c r="A6895" s="22">
        <v>2026</v>
      </c>
      <c r="B6895" s="28" t="s">
        <v>249</v>
      </c>
      <c r="C6895" s="28" t="s">
        <v>97</v>
      </c>
      <c r="D6895" s="28" t="s">
        <v>1691</v>
      </c>
      <c r="E6895" s="29" t="s">
        <v>1691</v>
      </c>
      <c r="F6895" s="29" t="s">
        <v>284</v>
      </c>
      <c r="G6895" s="25" t="s">
        <v>8546</v>
      </c>
      <c r="H6895" s="26">
        <v>-5.8944615360000006</v>
      </c>
      <c r="I6895" s="26"/>
      <c r="J6895" s="26" t="s">
        <v>512</v>
      </c>
      <c r="K6895" s="25" t="s">
        <v>513</v>
      </c>
    </row>
    <row r="6896" spans="1:11" ht="25.5" x14ac:dyDescent="0.25">
      <c r="A6896" s="22">
        <v>2026</v>
      </c>
      <c r="B6896" s="28" t="s">
        <v>249</v>
      </c>
      <c r="C6896" s="28" t="s">
        <v>97</v>
      </c>
      <c r="D6896" s="28" t="s">
        <v>1691</v>
      </c>
      <c r="E6896" s="29" t="s">
        <v>1691</v>
      </c>
      <c r="F6896" s="29" t="s">
        <v>284</v>
      </c>
      <c r="G6896" s="25" t="s">
        <v>8547</v>
      </c>
      <c r="H6896" s="26">
        <v>-5.8141872005000002</v>
      </c>
      <c r="I6896" s="26"/>
      <c r="J6896" s="26" t="s">
        <v>512</v>
      </c>
      <c r="K6896" s="25" t="s">
        <v>513</v>
      </c>
    </row>
    <row r="6897" spans="1:11" ht="25.5" x14ac:dyDescent="0.25">
      <c r="A6897" s="22">
        <v>2026</v>
      </c>
      <c r="B6897" s="28" t="s">
        <v>249</v>
      </c>
      <c r="C6897" s="28" t="s">
        <v>97</v>
      </c>
      <c r="D6897" s="28" t="s">
        <v>1691</v>
      </c>
      <c r="E6897" s="29" t="s">
        <v>1691</v>
      </c>
      <c r="F6897" s="29" t="s">
        <v>284</v>
      </c>
      <c r="G6897" s="25" t="s">
        <v>8548</v>
      </c>
      <c r="H6897" s="26">
        <v>-7.8304348101000008</v>
      </c>
      <c r="I6897" s="26"/>
      <c r="J6897" s="26" t="s">
        <v>512</v>
      </c>
      <c r="K6897" s="25" t="s">
        <v>513</v>
      </c>
    </row>
    <row r="6898" spans="1:11" ht="25.5" x14ac:dyDescent="0.25">
      <c r="A6898" s="22">
        <v>2026</v>
      </c>
      <c r="B6898" s="28" t="s">
        <v>249</v>
      </c>
      <c r="C6898" s="28" t="s">
        <v>97</v>
      </c>
      <c r="D6898" s="28" t="s">
        <v>1691</v>
      </c>
      <c r="E6898" s="29" t="s">
        <v>1691</v>
      </c>
      <c r="F6898" s="29" t="s">
        <v>284</v>
      </c>
      <c r="G6898" s="25" t="s">
        <v>8549</v>
      </c>
      <c r="H6898" s="26">
        <v>-7.6853019236</v>
      </c>
      <c r="I6898" s="26"/>
      <c r="J6898" s="26" t="s">
        <v>512</v>
      </c>
      <c r="K6898" s="25" t="s">
        <v>513</v>
      </c>
    </row>
    <row r="6899" spans="1:11" ht="25.5" x14ac:dyDescent="0.25">
      <c r="A6899" s="22">
        <v>2026</v>
      </c>
      <c r="B6899" s="28" t="s">
        <v>249</v>
      </c>
      <c r="C6899" s="28" t="s">
        <v>97</v>
      </c>
      <c r="D6899" s="28" t="s">
        <v>1691</v>
      </c>
      <c r="E6899" s="29" t="s">
        <v>1691</v>
      </c>
      <c r="F6899" s="29" t="s">
        <v>284</v>
      </c>
      <c r="G6899" s="25" t="s">
        <v>8550</v>
      </c>
      <c r="H6899" s="26">
        <v>-7.8104886572999996</v>
      </c>
      <c r="I6899" s="26"/>
      <c r="J6899" s="26" t="s">
        <v>512</v>
      </c>
      <c r="K6899" s="25" t="s">
        <v>513</v>
      </c>
    </row>
    <row r="6900" spans="1:11" ht="25.5" x14ac:dyDescent="0.25">
      <c r="A6900" s="22">
        <v>2026</v>
      </c>
      <c r="B6900" s="28" t="s">
        <v>249</v>
      </c>
      <c r="C6900" s="28" t="s">
        <v>97</v>
      </c>
      <c r="D6900" s="28" t="s">
        <v>1691</v>
      </c>
      <c r="E6900" s="29" t="s">
        <v>1691</v>
      </c>
      <c r="F6900" s="29" t="s">
        <v>284</v>
      </c>
      <c r="G6900" s="25" t="s">
        <v>8551</v>
      </c>
      <c r="H6900" s="26">
        <v>-3.6431853457999996</v>
      </c>
      <c r="I6900" s="26"/>
      <c r="J6900" s="26" t="s">
        <v>512</v>
      </c>
      <c r="K6900" s="25" t="s">
        <v>513</v>
      </c>
    </row>
    <row r="6901" spans="1:11" ht="25.5" x14ac:dyDescent="0.25">
      <c r="A6901" s="22">
        <v>2026</v>
      </c>
      <c r="B6901" s="28" t="s">
        <v>249</v>
      </c>
      <c r="C6901" s="28" t="s">
        <v>97</v>
      </c>
      <c r="D6901" s="28" t="s">
        <v>1691</v>
      </c>
      <c r="E6901" s="29" t="s">
        <v>1691</v>
      </c>
      <c r="F6901" s="29" t="s">
        <v>284</v>
      </c>
      <c r="G6901" s="25" t="s">
        <v>8552</v>
      </c>
      <c r="H6901" s="26">
        <v>-2.9311082303999996</v>
      </c>
      <c r="I6901" s="26"/>
      <c r="J6901" s="26" t="s">
        <v>512</v>
      </c>
      <c r="K6901" s="25" t="s">
        <v>513</v>
      </c>
    </row>
    <row r="6902" spans="1:11" ht="25.5" x14ac:dyDescent="0.25">
      <c r="A6902" s="22">
        <v>2026</v>
      </c>
      <c r="B6902" s="28" t="s">
        <v>249</v>
      </c>
      <c r="C6902" s="28" t="s">
        <v>97</v>
      </c>
      <c r="D6902" s="28" t="s">
        <v>1692</v>
      </c>
      <c r="E6902" s="29" t="s">
        <v>352</v>
      </c>
      <c r="F6902" s="29" t="s">
        <v>576</v>
      </c>
      <c r="G6902" s="25" t="s">
        <v>8570</v>
      </c>
      <c r="H6902" s="26">
        <v>-0.10975</v>
      </c>
      <c r="I6902" s="26"/>
      <c r="J6902" s="26" t="s">
        <v>512</v>
      </c>
      <c r="K6902" s="25" t="s">
        <v>513</v>
      </c>
    </row>
    <row r="6903" spans="1:11" ht="25.5" x14ac:dyDescent="0.25">
      <c r="A6903" s="22">
        <v>2026</v>
      </c>
      <c r="B6903" s="28" t="s">
        <v>249</v>
      </c>
      <c r="C6903" s="28" t="s">
        <v>97</v>
      </c>
      <c r="D6903" s="28" t="s">
        <v>1692</v>
      </c>
      <c r="E6903" s="29" t="s">
        <v>352</v>
      </c>
      <c r="F6903" s="29" t="s">
        <v>576</v>
      </c>
      <c r="G6903" s="25" t="s">
        <v>8571</v>
      </c>
      <c r="H6903" s="26">
        <v>-0.4355</v>
      </c>
      <c r="I6903" s="26"/>
      <c r="J6903" s="26" t="s">
        <v>512</v>
      </c>
      <c r="K6903" s="25" t="s">
        <v>513</v>
      </c>
    </row>
    <row r="6904" spans="1:11" ht="25.5" x14ac:dyDescent="0.25">
      <c r="A6904" s="22">
        <v>2026</v>
      </c>
      <c r="B6904" s="28" t="s">
        <v>249</v>
      </c>
      <c r="C6904" s="28" t="s">
        <v>97</v>
      </c>
      <c r="D6904" s="28" t="s">
        <v>1692</v>
      </c>
      <c r="E6904" s="29" t="s">
        <v>352</v>
      </c>
      <c r="F6904" s="29" t="s">
        <v>576</v>
      </c>
      <c r="G6904" s="25" t="s">
        <v>8572</v>
      </c>
      <c r="H6904" s="26">
        <v>-0.32499974999999998</v>
      </c>
      <c r="I6904" s="26"/>
      <c r="J6904" s="26" t="s">
        <v>512</v>
      </c>
      <c r="K6904" s="25" t="s">
        <v>513</v>
      </c>
    </row>
    <row r="6905" spans="1:11" ht="25.5" x14ac:dyDescent="0.25">
      <c r="A6905" s="22">
        <v>2026</v>
      </c>
      <c r="B6905" s="28" t="s">
        <v>249</v>
      </c>
      <c r="C6905" s="28" t="s">
        <v>97</v>
      </c>
      <c r="D6905" s="28" t="s">
        <v>1692</v>
      </c>
      <c r="E6905" s="29" t="s">
        <v>352</v>
      </c>
      <c r="F6905" s="29" t="s">
        <v>576</v>
      </c>
      <c r="G6905" s="25" t="s">
        <v>8573</v>
      </c>
      <c r="H6905" s="26">
        <v>-0.25679999999999997</v>
      </c>
      <c r="I6905" s="26"/>
      <c r="J6905" s="26" t="s">
        <v>512</v>
      </c>
      <c r="K6905" s="25" t="s">
        <v>513</v>
      </c>
    </row>
    <row r="6906" spans="1:11" ht="25.5" x14ac:dyDescent="0.25">
      <c r="A6906" s="22">
        <v>2026</v>
      </c>
      <c r="B6906" s="28" t="s">
        <v>249</v>
      </c>
      <c r="C6906" s="28" t="s">
        <v>97</v>
      </c>
      <c r="D6906" s="28" t="s">
        <v>1692</v>
      </c>
      <c r="E6906" s="29" t="s">
        <v>352</v>
      </c>
      <c r="F6906" s="29" t="s">
        <v>576</v>
      </c>
      <c r="G6906" s="25" t="s">
        <v>8574</v>
      </c>
      <c r="H6906" s="26">
        <v>-0.13411921647000002</v>
      </c>
      <c r="I6906" s="26"/>
      <c r="J6906" s="26" t="s">
        <v>512</v>
      </c>
      <c r="K6906" s="25" t="s">
        <v>513</v>
      </c>
    </row>
    <row r="6907" spans="1:11" ht="25.5" x14ac:dyDescent="0.25">
      <c r="A6907" s="22">
        <v>2026</v>
      </c>
      <c r="B6907" s="28" t="s">
        <v>249</v>
      </c>
      <c r="C6907" s="28" t="s">
        <v>97</v>
      </c>
      <c r="D6907" s="28" t="s">
        <v>1692</v>
      </c>
      <c r="E6907" s="29" t="s">
        <v>352</v>
      </c>
      <c r="F6907" s="29" t="s">
        <v>576</v>
      </c>
      <c r="G6907" s="25" t="s">
        <v>8575</v>
      </c>
      <c r="H6907" s="26">
        <v>-0.1045</v>
      </c>
      <c r="I6907" s="26"/>
      <c r="J6907" s="26" t="s">
        <v>512</v>
      </c>
      <c r="K6907" s="25" t="s">
        <v>513</v>
      </c>
    </row>
    <row r="6908" spans="1:11" ht="25.5" x14ac:dyDescent="0.25">
      <c r="A6908" s="22">
        <v>2026</v>
      </c>
      <c r="B6908" s="28" t="s">
        <v>249</v>
      </c>
      <c r="C6908" s="28" t="s">
        <v>97</v>
      </c>
      <c r="D6908" s="28" t="s">
        <v>1692</v>
      </c>
      <c r="E6908" s="29" t="s">
        <v>352</v>
      </c>
      <c r="F6908" s="29" t="s">
        <v>576</v>
      </c>
      <c r="G6908" s="25" t="s">
        <v>8576</v>
      </c>
      <c r="H6908" s="26">
        <v>-1.0425</v>
      </c>
      <c r="I6908" s="26"/>
      <c r="J6908" s="26" t="s">
        <v>512</v>
      </c>
      <c r="K6908" s="25" t="s">
        <v>513</v>
      </c>
    </row>
    <row r="6909" spans="1:11" ht="25.5" x14ac:dyDescent="0.25">
      <c r="A6909" s="22">
        <v>2026</v>
      </c>
      <c r="B6909" s="28" t="s">
        <v>249</v>
      </c>
      <c r="C6909" s="28" t="s">
        <v>97</v>
      </c>
      <c r="D6909" s="28" t="s">
        <v>1693</v>
      </c>
      <c r="E6909" s="29" t="s">
        <v>352</v>
      </c>
      <c r="F6909" s="29" t="s">
        <v>903</v>
      </c>
      <c r="G6909" s="25" t="s">
        <v>8577</v>
      </c>
      <c r="H6909" s="26">
        <v>-0.215865</v>
      </c>
      <c r="I6909" s="26"/>
      <c r="J6909" s="26" t="s">
        <v>512</v>
      </c>
      <c r="K6909" s="25" t="s">
        <v>513</v>
      </c>
    </row>
    <row r="6910" spans="1:11" ht="25.5" x14ac:dyDescent="0.25">
      <c r="A6910" s="22">
        <v>2026</v>
      </c>
      <c r="B6910" s="28" t="s">
        <v>249</v>
      </c>
      <c r="C6910" s="28" t="s">
        <v>97</v>
      </c>
      <c r="D6910" s="28" t="s">
        <v>1693</v>
      </c>
      <c r="E6910" s="29" t="s">
        <v>352</v>
      </c>
      <c r="F6910" s="29" t="s">
        <v>903</v>
      </c>
      <c r="G6910" s="25" t="s">
        <v>8578</v>
      </c>
      <c r="H6910" s="26">
        <v>-0.14360000000000001</v>
      </c>
      <c r="I6910" s="26"/>
      <c r="J6910" s="26" t="s">
        <v>512</v>
      </c>
      <c r="K6910" s="25" t="s">
        <v>513</v>
      </c>
    </row>
    <row r="6911" spans="1:11" ht="25.5" x14ac:dyDescent="0.25">
      <c r="A6911" s="22">
        <v>2026</v>
      </c>
      <c r="B6911" s="28" t="s">
        <v>249</v>
      </c>
      <c r="C6911" s="28" t="s">
        <v>97</v>
      </c>
      <c r="D6911" s="28" t="s">
        <v>1693</v>
      </c>
      <c r="E6911" s="29" t="s">
        <v>352</v>
      </c>
      <c r="F6911" s="29" t="s">
        <v>903</v>
      </c>
      <c r="G6911" s="25" t="s">
        <v>8404</v>
      </c>
      <c r="H6911" s="26">
        <v>-0.1424</v>
      </c>
      <c r="I6911" s="26"/>
      <c r="J6911" s="26" t="s">
        <v>512</v>
      </c>
      <c r="K6911" s="25" t="s">
        <v>513</v>
      </c>
    </row>
    <row r="6912" spans="1:11" ht="25.5" x14ac:dyDescent="0.25">
      <c r="A6912" s="22">
        <v>2026</v>
      </c>
      <c r="B6912" s="28" t="s">
        <v>249</v>
      </c>
      <c r="C6912" s="28" t="s">
        <v>97</v>
      </c>
      <c r="D6912" s="28" t="s">
        <v>1693</v>
      </c>
      <c r="E6912" s="29" t="s">
        <v>352</v>
      </c>
      <c r="F6912" s="29" t="s">
        <v>903</v>
      </c>
      <c r="G6912" s="25" t="s">
        <v>8579</v>
      </c>
      <c r="H6912" s="26">
        <v>-0.14479979999999998</v>
      </c>
      <c r="I6912" s="26"/>
      <c r="J6912" s="26" t="s">
        <v>512</v>
      </c>
      <c r="K6912" s="25" t="s">
        <v>513</v>
      </c>
    </row>
    <row r="6913" spans="1:11" ht="25.5" x14ac:dyDescent="0.25">
      <c r="A6913" s="22">
        <v>2026</v>
      </c>
      <c r="B6913" s="28" t="s">
        <v>249</v>
      </c>
      <c r="C6913" s="28" t="s">
        <v>97</v>
      </c>
      <c r="D6913" s="28" t="s">
        <v>1693</v>
      </c>
      <c r="E6913" s="29" t="s">
        <v>352</v>
      </c>
      <c r="F6913" s="29" t="s">
        <v>903</v>
      </c>
      <c r="G6913" s="25" t="s">
        <v>8404</v>
      </c>
      <c r="H6913" s="26">
        <v>-0.1424</v>
      </c>
      <c r="I6913" s="26"/>
      <c r="J6913" s="26" t="s">
        <v>512</v>
      </c>
      <c r="K6913" s="25" t="s">
        <v>513</v>
      </c>
    </row>
    <row r="6914" spans="1:11" ht="25.5" x14ac:dyDescent="0.25">
      <c r="A6914" s="22">
        <v>2026</v>
      </c>
      <c r="B6914" s="28" t="s">
        <v>249</v>
      </c>
      <c r="C6914" s="28" t="s">
        <v>97</v>
      </c>
      <c r="D6914" s="28" t="s">
        <v>1693</v>
      </c>
      <c r="E6914" s="29" t="s">
        <v>352</v>
      </c>
      <c r="F6914" s="29" t="s">
        <v>903</v>
      </c>
      <c r="G6914" s="25" t="s">
        <v>8580</v>
      </c>
      <c r="H6914" s="26">
        <v>-0.24779999999999999</v>
      </c>
      <c r="I6914" s="26"/>
      <c r="J6914" s="26" t="s">
        <v>512</v>
      </c>
      <c r="K6914" s="25" t="s">
        <v>513</v>
      </c>
    </row>
    <row r="6915" spans="1:11" ht="25.5" x14ac:dyDescent="0.25">
      <c r="A6915" s="22">
        <v>2026</v>
      </c>
      <c r="B6915" s="28" t="s">
        <v>249</v>
      </c>
      <c r="C6915" s="28" t="s">
        <v>97</v>
      </c>
      <c r="D6915" s="28" t="s">
        <v>1693</v>
      </c>
      <c r="E6915" s="29" t="s">
        <v>352</v>
      </c>
      <c r="F6915" s="29" t="s">
        <v>903</v>
      </c>
      <c r="G6915" s="25" t="s">
        <v>8581</v>
      </c>
      <c r="H6915" s="26">
        <v>-0.17649999999999999</v>
      </c>
      <c r="I6915" s="26"/>
      <c r="J6915" s="26" t="s">
        <v>512</v>
      </c>
      <c r="K6915" s="25" t="s">
        <v>513</v>
      </c>
    </row>
    <row r="6916" spans="1:11" ht="25.5" x14ac:dyDescent="0.25">
      <c r="A6916" s="22">
        <v>2026</v>
      </c>
      <c r="B6916" s="28" t="s">
        <v>249</v>
      </c>
      <c r="C6916" s="28" t="s">
        <v>97</v>
      </c>
      <c r="D6916" s="28" t="s">
        <v>1693</v>
      </c>
      <c r="E6916" s="29" t="s">
        <v>352</v>
      </c>
      <c r="F6916" s="29" t="s">
        <v>903</v>
      </c>
      <c r="G6916" s="25" t="s">
        <v>8582</v>
      </c>
      <c r="H6916" s="26">
        <v>-0.35199999999999998</v>
      </c>
      <c r="I6916" s="26"/>
      <c r="J6916" s="26" t="s">
        <v>512</v>
      </c>
      <c r="K6916" s="25" t="s">
        <v>513</v>
      </c>
    </row>
    <row r="6917" spans="1:11" ht="25.5" x14ac:dyDescent="0.25">
      <c r="A6917" s="22">
        <v>2026</v>
      </c>
      <c r="B6917" s="28" t="s">
        <v>249</v>
      </c>
      <c r="C6917" s="28" t="s">
        <v>97</v>
      </c>
      <c r="D6917" s="28" t="s">
        <v>1693</v>
      </c>
      <c r="E6917" s="29" t="s">
        <v>352</v>
      </c>
      <c r="F6917" s="29" t="s">
        <v>903</v>
      </c>
      <c r="G6917" s="25" t="s">
        <v>8583</v>
      </c>
      <c r="H6917" s="26">
        <v>-7.0800000000000002E-2</v>
      </c>
      <c r="I6917" s="26"/>
      <c r="J6917" s="26" t="s">
        <v>512</v>
      </c>
      <c r="K6917" s="25" t="s">
        <v>513</v>
      </c>
    </row>
    <row r="6918" spans="1:11" ht="25.5" x14ac:dyDescent="0.25">
      <c r="A6918" s="22">
        <v>2026</v>
      </c>
      <c r="B6918" s="28" t="s">
        <v>249</v>
      </c>
      <c r="C6918" s="28" t="s">
        <v>97</v>
      </c>
      <c r="D6918" s="28" t="s">
        <v>1693</v>
      </c>
      <c r="E6918" s="29" t="s">
        <v>352</v>
      </c>
      <c r="F6918" s="29" t="s">
        <v>903</v>
      </c>
      <c r="G6918" s="25" t="s">
        <v>8584</v>
      </c>
      <c r="H6918" s="26">
        <v>-0.18</v>
      </c>
      <c r="I6918" s="26"/>
      <c r="J6918" s="26" t="s">
        <v>512</v>
      </c>
      <c r="K6918" s="25" t="s">
        <v>513</v>
      </c>
    </row>
    <row r="6919" spans="1:11" ht="25.5" x14ac:dyDescent="0.25">
      <c r="A6919" s="22">
        <v>2026</v>
      </c>
      <c r="B6919" s="28" t="s">
        <v>249</v>
      </c>
      <c r="C6919" s="28" t="s">
        <v>97</v>
      </c>
      <c r="D6919" s="28" t="s">
        <v>1693</v>
      </c>
      <c r="E6919" s="29" t="s">
        <v>352</v>
      </c>
      <c r="F6919" s="29" t="s">
        <v>903</v>
      </c>
      <c r="G6919" s="25" t="s">
        <v>8585</v>
      </c>
      <c r="H6919" s="26">
        <v>-0.1086</v>
      </c>
      <c r="I6919" s="26"/>
      <c r="J6919" s="26" t="s">
        <v>512</v>
      </c>
      <c r="K6919" s="25" t="s">
        <v>513</v>
      </c>
    </row>
    <row r="6920" spans="1:11" ht="25.5" x14ac:dyDescent="0.25">
      <c r="A6920" s="22">
        <v>2026</v>
      </c>
      <c r="B6920" s="28" t="s">
        <v>249</v>
      </c>
      <c r="C6920" s="28" t="s">
        <v>97</v>
      </c>
      <c r="D6920" s="28" t="s">
        <v>1693</v>
      </c>
      <c r="E6920" s="29" t="s">
        <v>352</v>
      </c>
      <c r="F6920" s="29" t="s">
        <v>903</v>
      </c>
      <c r="G6920" s="25" t="s">
        <v>8585</v>
      </c>
      <c r="H6920" s="26">
        <v>-0.1086</v>
      </c>
      <c r="I6920" s="26"/>
      <c r="J6920" s="26" t="s">
        <v>512</v>
      </c>
      <c r="K6920" s="25" t="s">
        <v>513</v>
      </c>
    </row>
    <row r="6921" spans="1:11" ht="25.5" x14ac:dyDescent="0.25">
      <c r="A6921" s="22">
        <v>2026</v>
      </c>
      <c r="B6921" s="28" t="s">
        <v>249</v>
      </c>
      <c r="C6921" s="28" t="s">
        <v>97</v>
      </c>
      <c r="D6921" s="28" t="s">
        <v>1694</v>
      </c>
      <c r="E6921" s="29" t="s">
        <v>352</v>
      </c>
      <c r="F6921" s="29" t="s">
        <v>343</v>
      </c>
      <c r="G6921" s="25" t="s">
        <v>8586</v>
      </c>
      <c r="H6921" s="26">
        <v>-0.43049230763000002</v>
      </c>
      <c r="I6921" s="26"/>
      <c r="J6921" s="26" t="s">
        <v>512</v>
      </c>
      <c r="K6921" s="25" t="s">
        <v>513</v>
      </c>
    </row>
    <row r="6922" spans="1:11" ht="25.5" x14ac:dyDescent="0.25">
      <c r="A6922" s="22">
        <v>2026</v>
      </c>
      <c r="B6922" s="28" t="s">
        <v>249</v>
      </c>
      <c r="C6922" s="28" t="s">
        <v>97</v>
      </c>
      <c r="D6922" s="28" t="s">
        <v>1694</v>
      </c>
      <c r="E6922" s="29" t="s">
        <v>352</v>
      </c>
      <c r="F6922" s="29" t="s">
        <v>343</v>
      </c>
      <c r="G6922" s="25" t="s">
        <v>8587</v>
      </c>
      <c r="H6922" s="26">
        <v>-0.50942799999999999</v>
      </c>
      <c r="I6922" s="26"/>
      <c r="J6922" s="26" t="s">
        <v>512</v>
      </c>
      <c r="K6922" s="25" t="s">
        <v>513</v>
      </c>
    </row>
    <row r="6923" spans="1:11" ht="25.5" x14ac:dyDescent="0.25">
      <c r="A6923" s="22">
        <v>2026</v>
      </c>
      <c r="B6923" s="28" t="s">
        <v>249</v>
      </c>
      <c r="C6923" s="28" t="s">
        <v>97</v>
      </c>
      <c r="D6923" s="28" t="s">
        <v>1694</v>
      </c>
      <c r="E6923" s="29" t="s">
        <v>352</v>
      </c>
      <c r="F6923" s="29" t="s">
        <v>343</v>
      </c>
      <c r="G6923" s="25" t="s">
        <v>8588</v>
      </c>
      <c r="H6923" s="26">
        <v>-5.5716317360000003E-2</v>
      </c>
      <c r="I6923" s="26"/>
      <c r="J6923" s="26" t="s">
        <v>512</v>
      </c>
      <c r="K6923" s="25" t="s">
        <v>513</v>
      </c>
    </row>
    <row r="6924" spans="1:11" ht="25.5" x14ac:dyDescent="0.25">
      <c r="A6924" s="22">
        <v>2026</v>
      </c>
      <c r="B6924" s="28" t="s">
        <v>249</v>
      </c>
      <c r="C6924" s="28" t="s">
        <v>97</v>
      </c>
      <c r="D6924" s="28" t="s">
        <v>1694</v>
      </c>
      <c r="E6924" s="29" t="s">
        <v>352</v>
      </c>
      <c r="F6924" s="29" t="s">
        <v>343</v>
      </c>
      <c r="G6924" s="25" t="s">
        <v>8589</v>
      </c>
      <c r="H6924" s="26">
        <v>-0.23794543116</v>
      </c>
      <c r="I6924" s="26"/>
      <c r="J6924" s="26" t="s">
        <v>512</v>
      </c>
      <c r="K6924" s="25" t="s">
        <v>513</v>
      </c>
    </row>
    <row r="6925" spans="1:11" ht="25.5" x14ac:dyDescent="0.25">
      <c r="A6925" s="22">
        <v>2026</v>
      </c>
      <c r="B6925" s="28" t="s">
        <v>249</v>
      </c>
      <c r="C6925" s="28" t="s">
        <v>97</v>
      </c>
      <c r="D6925" s="28" t="s">
        <v>1694</v>
      </c>
      <c r="E6925" s="29" t="s">
        <v>352</v>
      </c>
      <c r="F6925" s="29" t="s">
        <v>343</v>
      </c>
      <c r="G6925" s="25" t="s">
        <v>8590</v>
      </c>
      <c r="H6925" s="26">
        <v>-0.49333100000000002</v>
      </c>
      <c r="I6925" s="26"/>
      <c r="J6925" s="26" t="s">
        <v>512</v>
      </c>
      <c r="K6925" s="25" t="s">
        <v>513</v>
      </c>
    </row>
    <row r="6926" spans="1:11" ht="25.5" x14ac:dyDescent="0.25">
      <c r="A6926" s="22">
        <v>2026</v>
      </c>
      <c r="B6926" s="28" t="s">
        <v>249</v>
      </c>
      <c r="C6926" s="28" t="s">
        <v>97</v>
      </c>
      <c r="D6926" s="28" t="s">
        <v>1694</v>
      </c>
      <c r="E6926" s="29" t="s">
        <v>352</v>
      </c>
      <c r="F6926" s="29" t="s">
        <v>343</v>
      </c>
      <c r="G6926" s="25" t="s">
        <v>8591</v>
      </c>
      <c r="H6926" s="26">
        <v>-0.14735210133999999</v>
      </c>
      <c r="I6926" s="26"/>
      <c r="J6926" s="26" t="s">
        <v>512</v>
      </c>
      <c r="K6926" s="25" t="s">
        <v>513</v>
      </c>
    </row>
    <row r="6927" spans="1:11" ht="25.5" x14ac:dyDescent="0.25">
      <c r="A6927" s="22">
        <v>2026</v>
      </c>
      <c r="B6927" s="28" t="s">
        <v>249</v>
      </c>
      <c r="C6927" s="28" t="s">
        <v>97</v>
      </c>
      <c r="D6927" s="28" t="s">
        <v>1694</v>
      </c>
      <c r="E6927" s="29" t="s">
        <v>352</v>
      </c>
      <c r="F6927" s="29" t="s">
        <v>343</v>
      </c>
      <c r="G6927" s="25" t="s">
        <v>8592</v>
      </c>
      <c r="H6927" s="26">
        <v>-0.24424285914999999</v>
      </c>
      <c r="I6927" s="26"/>
      <c r="J6927" s="26" t="s">
        <v>512</v>
      </c>
      <c r="K6927" s="25" t="s">
        <v>513</v>
      </c>
    </row>
    <row r="6928" spans="1:11" ht="25.5" x14ac:dyDescent="0.25">
      <c r="A6928" s="22">
        <v>2026</v>
      </c>
      <c r="B6928" s="28" t="s">
        <v>249</v>
      </c>
      <c r="C6928" s="28" t="s">
        <v>97</v>
      </c>
      <c r="D6928" s="28" t="s">
        <v>1694</v>
      </c>
      <c r="E6928" s="29" t="s">
        <v>352</v>
      </c>
      <c r="F6928" s="29" t="s">
        <v>343</v>
      </c>
      <c r="G6928" s="25" t="s">
        <v>8593</v>
      </c>
      <c r="H6928" s="26">
        <v>-0.1265</v>
      </c>
      <c r="I6928" s="26"/>
      <c r="J6928" s="26" t="s">
        <v>512</v>
      </c>
      <c r="K6928" s="25" t="s">
        <v>513</v>
      </c>
    </row>
    <row r="6929" spans="1:11" ht="25.5" x14ac:dyDescent="0.25">
      <c r="A6929" s="22">
        <v>2026</v>
      </c>
      <c r="B6929" s="28" t="s">
        <v>249</v>
      </c>
      <c r="C6929" s="28" t="s">
        <v>97</v>
      </c>
      <c r="D6929" s="28" t="s">
        <v>1694</v>
      </c>
      <c r="E6929" s="29" t="s">
        <v>352</v>
      </c>
      <c r="F6929" s="29" t="s">
        <v>343</v>
      </c>
      <c r="G6929" s="25" t="s">
        <v>8594</v>
      </c>
      <c r="H6929" s="26">
        <v>-7.3224999999999998E-2</v>
      </c>
      <c r="I6929" s="26"/>
      <c r="J6929" s="26" t="s">
        <v>512</v>
      </c>
      <c r="K6929" s="25" t="s">
        <v>513</v>
      </c>
    </row>
    <row r="6930" spans="1:11" ht="25.5" x14ac:dyDescent="0.25">
      <c r="A6930" s="22">
        <v>2026</v>
      </c>
      <c r="B6930" s="28" t="s">
        <v>249</v>
      </c>
      <c r="C6930" s="28" t="s">
        <v>97</v>
      </c>
      <c r="D6930" s="28" t="s">
        <v>1694</v>
      </c>
      <c r="E6930" s="29" t="s">
        <v>352</v>
      </c>
      <c r="F6930" s="29" t="s">
        <v>343</v>
      </c>
      <c r="G6930" s="25" t="s">
        <v>8595</v>
      </c>
      <c r="H6930" s="26">
        <v>-0.23184424505999998</v>
      </c>
      <c r="I6930" s="26"/>
      <c r="J6930" s="26" t="s">
        <v>512</v>
      </c>
      <c r="K6930" s="25" t="s">
        <v>513</v>
      </c>
    </row>
    <row r="6931" spans="1:11" ht="25.5" x14ac:dyDescent="0.25">
      <c r="A6931" s="22">
        <v>2026</v>
      </c>
      <c r="B6931" s="28" t="s">
        <v>249</v>
      </c>
      <c r="C6931" s="28" t="s">
        <v>97</v>
      </c>
      <c r="D6931" s="28" t="s">
        <v>1694</v>
      </c>
      <c r="E6931" s="29" t="s">
        <v>352</v>
      </c>
      <c r="F6931" s="29" t="s">
        <v>343</v>
      </c>
      <c r="G6931" s="25" t="s">
        <v>8596</v>
      </c>
      <c r="H6931" s="26">
        <v>-0.52299395904000001</v>
      </c>
      <c r="I6931" s="26"/>
      <c r="J6931" s="26" t="s">
        <v>512</v>
      </c>
      <c r="K6931" s="25" t="s">
        <v>513</v>
      </c>
    </row>
    <row r="6932" spans="1:11" ht="25.5" x14ac:dyDescent="0.25">
      <c r="A6932" s="22">
        <v>2026</v>
      </c>
      <c r="B6932" s="28" t="s">
        <v>249</v>
      </c>
      <c r="C6932" s="28" t="s">
        <v>97</v>
      </c>
      <c r="D6932" s="28" t="s">
        <v>1694</v>
      </c>
      <c r="E6932" s="29" t="s">
        <v>352</v>
      </c>
      <c r="F6932" s="29" t="s">
        <v>343</v>
      </c>
      <c r="G6932" s="25" t="s">
        <v>8597</v>
      </c>
      <c r="H6932" s="26">
        <v>-0.48645631616000001</v>
      </c>
      <c r="I6932" s="26"/>
      <c r="J6932" s="26" t="s">
        <v>512</v>
      </c>
      <c r="K6932" s="25" t="s">
        <v>513</v>
      </c>
    </row>
    <row r="6933" spans="1:11" ht="25.5" x14ac:dyDescent="0.25">
      <c r="A6933" s="22">
        <v>2026</v>
      </c>
      <c r="B6933" s="28" t="s">
        <v>249</v>
      </c>
      <c r="C6933" s="28" t="s">
        <v>97</v>
      </c>
      <c r="D6933" s="28" t="s">
        <v>1694</v>
      </c>
      <c r="E6933" s="29" t="s">
        <v>352</v>
      </c>
      <c r="F6933" s="29" t="s">
        <v>343</v>
      </c>
      <c r="G6933" s="25" t="s">
        <v>8598</v>
      </c>
      <c r="H6933" s="26">
        <v>-0.59385592133999998</v>
      </c>
      <c r="I6933" s="26"/>
      <c r="J6933" s="26" t="s">
        <v>512</v>
      </c>
      <c r="K6933" s="25" t="s">
        <v>513</v>
      </c>
    </row>
    <row r="6934" spans="1:11" ht="25.5" x14ac:dyDescent="0.25">
      <c r="A6934" s="22">
        <v>2026</v>
      </c>
      <c r="B6934" s="28" t="s">
        <v>249</v>
      </c>
      <c r="C6934" s="28" t="s">
        <v>97</v>
      </c>
      <c r="D6934" s="28" t="s">
        <v>1694</v>
      </c>
      <c r="E6934" s="29" t="s">
        <v>352</v>
      </c>
      <c r="F6934" s="29" t="s">
        <v>343</v>
      </c>
      <c r="G6934" s="25" t="s">
        <v>8599</v>
      </c>
      <c r="H6934" s="26">
        <v>-0.5343331308</v>
      </c>
      <c r="I6934" s="26"/>
      <c r="J6934" s="26" t="s">
        <v>512</v>
      </c>
      <c r="K6934" s="25" t="s">
        <v>513</v>
      </c>
    </row>
    <row r="6935" spans="1:11" ht="25.5" x14ac:dyDescent="0.25">
      <c r="A6935" s="22">
        <v>2026</v>
      </c>
      <c r="B6935" s="28" t="s">
        <v>249</v>
      </c>
      <c r="C6935" s="28" t="s">
        <v>97</v>
      </c>
      <c r="D6935" s="28" t="s">
        <v>1694</v>
      </c>
      <c r="E6935" s="29" t="s">
        <v>352</v>
      </c>
      <c r="F6935" s="29" t="s">
        <v>343</v>
      </c>
      <c r="G6935" s="25" t="s">
        <v>8600</v>
      </c>
      <c r="H6935" s="26">
        <v>-0.49980000000000002</v>
      </c>
      <c r="I6935" s="26"/>
      <c r="J6935" s="26" t="s">
        <v>512</v>
      </c>
      <c r="K6935" s="25" t="s">
        <v>513</v>
      </c>
    </row>
    <row r="6936" spans="1:11" ht="25.5" x14ac:dyDescent="0.25">
      <c r="A6936" s="22">
        <v>2026</v>
      </c>
      <c r="B6936" s="28" t="s">
        <v>249</v>
      </c>
      <c r="C6936" s="28" t="s">
        <v>97</v>
      </c>
      <c r="D6936" s="28" t="s">
        <v>1694</v>
      </c>
      <c r="E6936" s="29" t="s">
        <v>352</v>
      </c>
      <c r="F6936" s="29" t="s">
        <v>343</v>
      </c>
      <c r="G6936" s="25" t="s">
        <v>8601</v>
      </c>
      <c r="H6936" s="26">
        <v>-0.20264948396000002</v>
      </c>
      <c r="I6936" s="26"/>
      <c r="J6936" s="26" t="s">
        <v>512</v>
      </c>
      <c r="K6936" s="25" t="s">
        <v>513</v>
      </c>
    </row>
    <row r="6937" spans="1:11" ht="25.5" x14ac:dyDescent="0.25">
      <c r="A6937" s="22">
        <v>2026</v>
      </c>
      <c r="B6937" s="28" t="s">
        <v>249</v>
      </c>
      <c r="C6937" s="28" t="s">
        <v>97</v>
      </c>
      <c r="D6937" s="28" t="s">
        <v>530</v>
      </c>
      <c r="E6937" s="29" t="s">
        <v>548</v>
      </c>
      <c r="F6937" s="29" t="s">
        <v>343</v>
      </c>
      <c r="G6937" s="25" t="s">
        <v>8553</v>
      </c>
      <c r="H6937" s="26">
        <v>-9.9965999999999999E-2</v>
      </c>
      <c r="I6937" s="26"/>
      <c r="J6937" s="26" t="s">
        <v>512</v>
      </c>
      <c r="K6937" s="25" t="s">
        <v>513</v>
      </c>
    </row>
    <row r="6938" spans="1:11" ht="25.5" x14ac:dyDescent="0.25">
      <c r="A6938" s="22">
        <v>2026</v>
      </c>
      <c r="B6938" s="28" t="s">
        <v>249</v>
      </c>
      <c r="C6938" s="28" t="s">
        <v>97</v>
      </c>
      <c r="D6938" s="28" t="s">
        <v>530</v>
      </c>
      <c r="E6938" s="29" t="s">
        <v>548</v>
      </c>
      <c r="F6938" s="29" t="s">
        <v>343</v>
      </c>
      <c r="G6938" s="25" t="s">
        <v>8554</v>
      </c>
      <c r="H6938" s="26">
        <v>-0.42330600000000002</v>
      </c>
      <c r="I6938" s="26"/>
      <c r="J6938" s="26" t="s">
        <v>512</v>
      </c>
      <c r="K6938" s="25" t="s">
        <v>513</v>
      </c>
    </row>
    <row r="6939" spans="1:11" ht="25.5" x14ac:dyDescent="0.25">
      <c r="A6939" s="22">
        <v>2026</v>
      </c>
      <c r="B6939" s="28" t="s">
        <v>249</v>
      </c>
      <c r="C6939" s="28" t="s">
        <v>97</v>
      </c>
      <c r="D6939" s="28" t="s">
        <v>530</v>
      </c>
      <c r="E6939" s="29" t="s">
        <v>548</v>
      </c>
      <c r="F6939" s="29" t="s">
        <v>343</v>
      </c>
      <c r="G6939" s="25" t="s">
        <v>8555</v>
      </c>
      <c r="H6939" s="26">
        <v>-0.50916570000000005</v>
      </c>
      <c r="I6939" s="26"/>
      <c r="J6939" s="26" t="s">
        <v>512</v>
      </c>
      <c r="K6939" s="25" t="s">
        <v>513</v>
      </c>
    </row>
    <row r="6940" spans="1:11" ht="25.5" x14ac:dyDescent="0.25">
      <c r="A6940" s="22">
        <v>2026</v>
      </c>
      <c r="B6940" s="28" t="s">
        <v>249</v>
      </c>
      <c r="C6940" s="28" t="s">
        <v>97</v>
      </c>
      <c r="D6940" s="28" t="s">
        <v>530</v>
      </c>
      <c r="E6940" s="29" t="s">
        <v>548</v>
      </c>
      <c r="F6940" s="29" t="s">
        <v>343</v>
      </c>
      <c r="G6940" s="25" t="s">
        <v>8556</v>
      </c>
      <c r="H6940" s="26">
        <v>-0.43639284</v>
      </c>
      <c r="I6940" s="26"/>
      <c r="J6940" s="26" t="s">
        <v>512</v>
      </c>
      <c r="K6940" s="25" t="s">
        <v>513</v>
      </c>
    </row>
    <row r="6941" spans="1:11" ht="25.5" x14ac:dyDescent="0.25">
      <c r="A6941" s="22">
        <v>2026</v>
      </c>
      <c r="B6941" s="28" t="s">
        <v>249</v>
      </c>
      <c r="C6941" s="28" t="s">
        <v>97</v>
      </c>
      <c r="D6941" s="28" t="s">
        <v>530</v>
      </c>
      <c r="E6941" s="29" t="s">
        <v>548</v>
      </c>
      <c r="F6941" s="29" t="s">
        <v>343</v>
      </c>
      <c r="G6941" s="25" t="s">
        <v>8557</v>
      </c>
      <c r="H6941" s="26">
        <v>-0.50639999999999996</v>
      </c>
      <c r="I6941" s="26"/>
      <c r="J6941" s="26" t="s">
        <v>512</v>
      </c>
      <c r="K6941" s="25" t="s">
        <v>513</v>
      </c>
    </row>
    <row r="6942" spans="1:11" ht="25.5" x14ac:dyDescent="0.25">
      <c r="A6942" s="22">
        <v>2026</v>
      </c>
      <c r="B6942" s="28" t="s">
        <v>249</v>
      </c>
      <c r="C6942" s="28" t="s">
        <v>97</v>
      </c>
      <c r="D6942" s="28" t="s">
        <v>530</v>
      </c>
      <c r="E6942" s="29" t="s">
        <v>548</v>
      </c>
      <c r="F6942" s="29" t="s">
        <v>343</v>
      </c>
      <c r="G6942" s="25" t="s">
        <v>8558</v>
      </c>
      <c r="H6942" s="26">
        <v>-0.27276</v>
      </c>
      <c r="I6942" s="26"/>
      <c r="J6942" s="26" t="s">
        <v>512</v>
      </c>
      <c r="K6942" s="25" t="s">
        <v>513</v>
      </c>
    </row>
    <row r="6943" spans="1:11" ht="25.5" x14ac:dyDescent="0.25">
      <c r="A6943" s="22">
        <v>2026</v>
      </c>
      <c r="B6943" s="28" t="s">
        <v>249</v>
      </c>
      <c r="C6943" s="28" t="s">
        <v>97</v>
      </c>
      <c r="D6943" s="28" t="s">
        <v>530</v>
      </c>
      <c r="E6943" s="29" t="s">
        <v>548</v>
      </c>
      <c r="F6943" s="29" t="s">
        <v>343</v>
      </c>
      <c r="G6943" s="25" t="s">
        <v>8559</v>
      </c>
      <c r="H6943" s="26">
        <v>-0.11909905</v>
      </c>
      <c r="I6943" s="26"/>
      <c r="J6943" s="26" t="s">
        <v>512</v>
      </c>
      <c r="K6943" s="25" t="s">
        <v>513</v>
      </c>
    </row>
    <row r="6944" spans="1:11" ht="25.5" x14ac:dyDescent="0.25">
      <c r="A6944" s="22">
        <v>2026</v>
      </c>
      <c r="B6944" s="28" t="s">
        <v>249</v>
      </c>
      <c r="C6944" s="28" t="s">
        <v>97</v>
      </c>
      <c r="D6944" s="28" t="s">
        <v>530</v>
      </c>
      <c r="E6944" s="29" t="s">
        <v>548</v>
      </c>
      <c r="F6944" s="29" t="s">
        <v>343</v>
      </c>
      <c r="G6944" s="25" t="s">
        <v>8560</v>
      </c>
      <c r="H6944" s="26">
        <v>-0.25896585</v>
      </c>
      <c r="I6944" s="26"/>
      <c r="J6944" s="26" t="s">
        <v>512</v>
      </c>
      <c r="K6944" s="25" t="s">
        <v>513</v>
      </c>
    </row>
    <row r="6945" spans="1:11" ht="25.5" x14ac:dyDescent="0.25">
      <c r="A6945" s="22">
        <v>2026</v>
      </c>
      <c r="B6945" s="28" t="s">
        <v>249</v>
      </c>
      <c r="C6945" s="28" t="s">
        <v>97</v>
      </c>
      <c r="D6945" s="28" t="s">
        <v>530</v>
      </c>
      <c r="E6945" s="29" t="s">
        <v>548</v>
      </c>
      <c r="F6945" s="29" t="s">
        <v>343</v>
      </c>
      <c r="G6945" s="25" t="s">
        <v>8561</v>
      </c>
      <c r="H6945" s="26">
        <v>-0.43376575000000001</v>
      </c>
      <c r="I6945" s="26"/>
      <c r="J6945" s="26" t="s">
        <v>512</v>
      </c>
      <c r="K6945" s="25" t="s">
        <v>513</v>
      </c>
    </row>
    <row r="6946" spans="1:11" ht="25.5" x14ac:dyDescent="0.25">
      <c r="A6946" s="22">
        <v>2026</v>
      </c>
      <c r="B6946" s="28" t="s">
        <v>249</v>
      </c>
      <c r="C6946" s="28" t="s">
        <v>97</v>
      </c>
      <c r="D6946" s="28" t="s">
        <v>530</v>
      </c>
      <c r="E6946" s="29" t="s">
        <v>548</v>
      </c>
      <c r="F6946" s="29" t="s">
        <v>343</v>
      </c>
      <c r="G6946" s="25" t="s">
        <v>8562</v>
      </c>
      <c r="H6946" s="26">
        <v>-0.12995999999999999</v>
      </c>
      <c r="I6946" s="26"/>
      <c r="J6946" s="26" t="s">
        <v>512</v>
      </c>
      <c r="K6946" s="25" t="s">
        <v>513</v>
      </c>
    </row>
    <row r="6947" spans="1:11" ht="25.5" x14ac:dyDescent="0.25">
      <c r="A6947" s="22">
        <v>2026</v>
      </c>
      <c r="B6947" s="28" t="s">
        <v>249</v>
      </c>
      <c r="C6947" s="28" t="s">
        <v>97</v>
      </c>
      <c r="D6947" s="28" t="s">
        <v>530</v>
      </c>
      <c r="E6947" s="29" t="s">
        <v>548</v>
      </c>
      <c r="F6947" s="29" t="s">
        <v>343</v>
      </c>
      <c r="G6947" s="25" t="s">
        <v>8563</v>
      </c>
      <c r="H6947" s="26">
        <v>-0.52016129999999994</v>
      </c>
      <c r="I6947" s="26"/>
      <c r="J6947" s="26" t="s">
        <v>512</v>
      </c>
      <c r="K6947" s="25" t="s">
        <v>513</v>
      </c>
    </row>
    <row r="6948" spans="1:11" ht="25.5" x14ac:dyDescent="0.25">
      <c r="A6948" s="22">
        <v>2026</v>
      </c>
      <c r="B6948" s="28" t="s">
        <v>249</v>
      </c>
      <c r="C6948" s="28" t="s">
        <v>97</v>
      </c>
      <c r="D6948" s="28" t="s">
        <v>530</v>
      </c>
      <c r="E6948" s="29" t="s">
        <v>548</v>
      </c>
      <c r="F6948" s="29" t="s">
        <v>343</v>
      </c>
      <c r="G6948" s="25" t="s">
        <v>8564</v>
      </c>
      <c r="H6948" s="26">
        <v>-0.51760919999999999</v>
      </c>
      <c r="I6948" s="26"/>
      <c r="J6948" s="26" t="s">
        <v>512</v>
      </c>
      <c r="K6948" s="25" t="s">
        <v>513</v>
      </c>
    </row>
    <row r="6949" spans="1:11" ht="25.5" x14ac:dyDescent="0.25">
      <c r="A6949" s="22">
        <v>2026</v>
      </c>
      <c r="B6949" s="28" t="s">
        <v>249</v>
      </c>
      <c r="C6949" s="28" t="s">
        <v>97</v>
      </c>
      <c r="D6949" s="28" t="s">
        <v>530</v>
      </c>
      <c r="E6949" s="29" t="s">
        <v>548</v>
      </c>
      <c r="F6949" s="29" t="s">
        <v>343</v>
      </c>
      <c r="G6949" s="25" t="s">
        <v>8565</v>
      </c>
      <c r="H6949" s="26">
        <v>-0.37891656000000001</v>
      </c>
      <c r="I6949" s="26"/>
      <c r="J6949" s="26" t="s">
        <v>512</v>
      </c>
      <c r="K6949" s="25" t="s">
        <v>513</v>
      </c>
    </row>
    <row r="6950" spans="1:11" ht="25.5" x14ac:dyDescent="0.25">
      <c r="A6950" s="22">
        <v>2026</v>
      </c>
      <c r="B6950" s="28" t="s">
        <v>249</v>
      </c>
      <c r="C6950" s="28" t="s">
        <v>97</v>
      </c>
      <c r="D6950" s="28" t="s">
        <v>530</v>
      </c>
      <c r="E6950" s="29" t="s">
        <v>548</v>
      </c>
      <c r="F6950" s="29" t="s">
        <v>343</v>
      </c>
      <c r="G6950" s="25" t="s">
        <v>8566</v>
      </c>
      <c r="H6950" s="26">
        <v>-0.42955975000000002</v>
      </c>
      <c r="I6950" s="26"/>
      <c r="J6950" s="26" t="s">
        <v>512</v>
      </c>
      <c r="K6950" s="25" t="s">
        <v>513</v>
      </c>
    </row>
    <row r="6951" spans="1:11" ht="25.5" x14ac:dyDescent="0.25">
      <c r="A6951" s="22">
        <v>2026</v>
      </c>
      <c r="B6951" s="28" t="s">
        <v>249</v>
      </c>
      <c r="C6951" s="28" t="s">
        <v>97</v>
      </c>
      <c r="D6951" s="28" t="s">
        <v>530</v>
      </c>
      <c r="E6951" s="29" t="s">
        <v>548</v>
      </c>
      <c r="F6951" s="29" t="s">
        <v>343</v>
      </c>
      <c r="G6951" s="25" t="s">
        <v>8567</v>
      </c>
      <c r="H6951" s="26">
        <v>-0.48129984000000003</v>
      </c>
      <c r="I6951" s="26"/>
      <c r="J6951" s="26" t="s">
        <v>512</v>
      </c>
      <c r="K6951" s="25" t="s">
        <v>513</v>
      </c>
    </row>
    <row r="6952" spans="1:11" ht="25.5" x14ac:dyDescent="0.25">
      <c r="A6952" s="22">
        <v>2026</v>
      </c>
      <c r="B6952" s="28" t="s">
        <v>249</v>
      </c>
      <c r="C6952" s="28" t="s">
        <v>97</v>
      </c>
      <c r="D6952" s="28" t="s">
        <v>530</v>
      </c>
      <c r="E6952" s="29" t="s">
        <v>548</v>
      </c>
      <c r="F6952" s="29" t="s">
        <v>343</v>
      </c>
      <c r="G6952" s="25" t="s">
        <v>8568</v>
      </c>
      <c r="H6952" s="26">
        <v>-0.37554374000000001</v>
      </c>
      <c r="I6952" s="26"/>
      <c r="J6952" s="26" t="s">
        <v>512</v>
      </c>
      <c r="K6952" s="25" t="s">
        <v>513</v>
      </c>
    </row>
    <row r="6953" spans="1:11" ht="25.5" x14ac:dyDescent="0.25">
      <c r="A6953" s="22">
        <v>2026</v>
      </c>
      <c r="B6953" s="28" t="s">
        <v>249</v>
      </c>
      <c r="C6953" s="28" t="s">
        <v>97</v>
      </c>
      <c r="D6953" s="28" t="s">
        <v>530</v>
      </c>
      <c r="E6953" s="29" t="s">
        <v>548</v>
      </c>
      <c r="F6953" s="29" t="s">
        <v>343</v>
      </c>
      <c r="G6953" s="25" t="s">
        <v>8569</v>
      </c>
      <c r="H6953" s="26">
        <v>-0.51075690000000007</v>
      </c>
      <c r="I6953" s="26"/>
      <c r="J6953" s="26" t="s">
        <v>512</v>
      </c>
      <c r="K6953" s="25" t="s">
        <v>513</v>
      </c>
    </row>
    <row r="6954" spans="1:11" ht="25.5" x14ac:dyDescent="0.25">
      <c r="A6954" s="22">
        <v>2026</v>
      </c>
      <c r="B6954" s="28" t="s">
        <v>249</v>
      </c>
      <c r="C6954" s="28" t="s">
        <v>97</v>
      </c>
      <c r="D6954" s="28" t="s">
        <v>541</v>
      </c>
      <c r="E6954" s="29" t="s">
        <v>572</v>
      </c>
      <c r="F6954" s="29" t="s">
        <v>298</v>
      </c>
      <c r="G6954" s="25" t="s">
        <v>8602</v>
      </c>
      <c r="H6954" s="26">
        <v>-2.6873079999999998</v>
      </c>
      <c r="I6954" s="26"/>
      <c r="J6954" s="26" t="s">
        <v>512</v>
      </c>
      <c r="K6954" s="25" t="s">
        <v>513</v>
      </c>
    </row>
    <row r="6955" spans="1:11" ht="25.5" x14ac:dyDescent="0.25">
      <c r="A6955" s="22">
        <v>2026</v>
      </c>
      <c r="B6955" s="28" t="s">
        <v>249</v>
      </c>
      <c r="C6955" s="28" t="s">
        <v>97</v>
      </c>
      <c r="D6955" s="28" t="s">
        <v>541</v>
      </c>
      <c r="E6955" s="29" t="s">
        <v>572</v>
      </c>
      <c r="F6955" s="29" t="s">
        <v>298</v>
      </c>
      <c r="G6955" s="25" t="s">
        <v>8603</v>
      </c>
      <c r="H6955" s="26">
        <v>-3.6547499999999999</v>
      </c>
      <c r="I6955" s="26"/>
      <c r="J6955" s="26" t="s">
        <v>512</v>
      </c>
      <c r="K6955" s="25" t="s">
        <v>513</v>
      </c>
    </row>
    <row r="6956" spans="1:11" ht="25.5" x14ac:dyDescent="0.25">
      <c r="A6956" s="22">
        <v>2026</v>
      </c>
      <c r="B6956" s="28" t="s">
        <v>249</v>
      </c>
      <c r="C6956" s="28" t="s">
        <v>97</v>
      </c>
      <c r="D6956" s="28" t="s">
        <v>541</v>
      </c>
      <c r="E6956" s="29" t="s">
        <v>572</v>
      </c>
      <c r="F6956" s="29" t="s">
        <v>298</v>
      </c>
      <c r="G6956" s="25" t="s">
        <v>8604</v>
      </c>
      <c r="H6956" s="26">
        <v>-0.26700000000000002</v>
      </c>
      <c r="I6956" s="26"/>
      <c r="J6956" s="26" t="s">
        <v>512</v>
      </c>
      <c r="K6956" s="25" t="s">
        <v>513</v>
      </c>
    </row>
    <row r="6957" spans="1:11" ht="25.5" x14ac:dyDescent="0.25">
      <c r="A6957" s="22">
        <v>2026</v>
      </c>
      <c r="B6957" s="28" t="s">
        <v>249</v>
      </c>
      <c r="C6957" s="28" t="s">
        <v>97</v>
      </c>
      <c r="D6957" s="28" t="s">
        <v>541</v>
      </c>
      <c r="E6957" s="29" t="s">
        <v>572</v>
      </c>
      <c r="F6957" s="29" t="s">
        <v>298</v>
      </c>
      <c r="G6957" s="25" t="s">
        <v>8605</v>
      </c>
      <c r="H6957" s="26">
        <v>-2.8010682</v>
      </c>
      <c r="I6957" s="26"/>
      <c r="J6957" s="26" t="s">
        <v>512</v>
      </c>
      <c r="K6957" s="25" t="s">
        <v>513</v>
      </c>
    </row>
    <row r="6958" spans="1:11" ht="25.5" x14ac:dyDescent="0.25">
      <c r="A6958" s="22">
        <v>2026</v>
      </c>
      <c r="B6958" s="28" t="s">
        <v>249</v>
      </c>
      <c r="C6958" s="28" t="s">
        <v>97</v>
      </c>
      <c r="D6958" s="28" t="s">
        <v>541</v>
      </c>
      <c r="E6958" s="29" t="s">
        <v>572</v>
      </c>
      <c r="F6958" s="29" t="s">
        <v>298</v>
      </c>
      <c r="G6958" s="25" t="s">
        <v>8606</v>
      </c>
      <c r="H6958" s="26">
        <v>-1.8465271999999999</v>
      </c>
      <c r="I6958" s="26"/>
      <c r="J6958" s="26" t="s">
        <v>512</v>
      </c>
      <c r="K6958" s="25" t="s">
        <v>513</v>
      </c>
    </row>
    <row r="6959" spans="1:11" ht="25.5" x14ac:dyDescent="0.25">
      <c r="A6959" s="22">
        <v>2026</v>
      </c>
      <c r="B6959" s="28" t="s">
        <v>249</v>
      </c>
      <c r="C6959" s="28" t="s">
        <v>97</v>
      </c>
      <c r="D6959" s="28" t="s">
        <v>541</v>
      </c>
      <c r="E6959" s="29" t="s">
        <v>572</v>
      </c>
      <c r="F6959" s="29" t="s">
        <v>298</v>
      </c>
      <c r="G6959" s="25" t="s">
        <v>8607</v>
      </c>
      <c r="H6959" s="26">
        <v>-1.0655247999999999</v>
      </c>
      <c r="I6959" s="26"/>
      <c r="J6959" s="26" t="s">
        <v>512</v>
      </c>
      <c r="K6959" s="25" t="s">
        <v>513</v>
      </c>
    </row>
    <row r="6960" spans="1:11" ht="25.5" x14ac:dyDescent="0.25">
      <c r="A6960" s="22">
        <v>2026</v>
      </c>
      <c r="B6960" s="28" t="s">
        <v>249</v>
      </c>
      <c r="C6960" s="28" t="s">
        <v>97</v>
      </c>
      <c r="D6960" s="28" t="s">
        <v>541</v>
      </c>
      <c r="E6960" s="29" t="s">
        <v>572</v>
      </c>
      <c r="F6960" s="29" t="s">
        <v>298</v>
      </c>
      <c r="G6960" s="25" t="s">
        <v>8608</v>
      </c>
      <c r="H6960" s="26">
        <v>-2.1745201499999998</v>
      </c>
      <c r="I6960" s="26"/>
      <c r="J6960" s="26" t="s">
        <v>512</v>
      </c>
      <c r="K6960" s="25" t="s">
        <v>513</v>
      </c>
    </row>
    <row r="6961" spans="1:11" ht="25.5" x14ac:dyDescent="0.25">
      <c r="A6961" s="22">
        <v>2026</v>
      </c>
      <c r="B6961" s="28" t="s">
        <v>249</v>
      </c>
      <c r="C6961" s="28" t="s">
        <v>97</v>
      </c>
      <c r="D6961" s="28" t="s">
        <v>541</v>
      </c>
      <c r="E6961" s="29" t="s">
        <v>572</v>
      </c>
      <c r="F6961" s="29" t="s">
        <v>298</v>
      </c>
      <c r="G6961" s="25" t="s">
        <v>8609</v>
      </c>
      <c r="H6961" s="26">
        <v>-0.80444640000000001</v>
      </c>
      <c r="I6961" s="26"/>
      <c r="J6961" s="26" t="s">
        <v>512</v>
      </c>
      <c r="K6961" s="25" t="s">
        <v>513</v>
      </c>
    </row>
    <row r="6962" spans="1:11" ht="25.5" x14ac:dyDescent="0.25">
      <c r="A6962" s="22">
        <v>2026</v>
      </c>
      <c r="B6962" s="28" t="s">
        <v>249</v>
      </c>
      <c r="C6962" s="28" t="s">
        <v>97</v>
      </c>
      <c r="D6962" s="28" t="s">
        <v>541</v>
      </c>
      <c r="E6962" s="29" t="s">
        <v>572</v>
      </c>
      <c r="F6962" s="29" t="s">
        <v>298</v>
      </c>
      <c r="G6962" s="25" t="s">
        <v>8610</v>
      </c>
      <c r="H6962" s="26">
        <v>-0.46515000000000001</v>
      </c>
      <c r="I6962" s="26"/>
      <c r="J6962" s="26" t="s">
        <v>512</v>
      </c>
      <c r="K6962" s="25" t="s">
        <v>513</v>
      </c>
    </row>
    <row r="6963" spans="1:11" ht="25.5" x14ac:dyDescent="0.25">
      <c r="A6963" s="22">
        <v>2026</v>
      </c>
      <c r="B6963" s="28" t="s">
        <v>249</v>
      </c>
      <c r="C6963" s="28" t="s">
        <v>97</v>
      </c>
      <c r="D6963" s="28" t="s">
        <v>1695</v>
      </c>
      <c r="E6963" s="29" t="s">
        <v>1758</v>
      </c>
      <c r="F6963" s="29" t="s">
        <v>1759</v>
      </c>
      <c r="G6963" s="25" t="s">
        <v>8611</v>
      </c>
      <c r="H6963" s="26">
        <v>-3.7620499999999999</v>
      </c>
      <c r="I6963" s="26"/>
      <c r="J6963" s="26" t="s">
        <v>512</v>
      </c>
      <c r="K6963" s="25" t="s">
        <v>513</v>
      </c>
    </row>
    <row r="6964" spans="1:11" ht="25.5" x14ac:dyDescent="0.25">
      <c r="A6964" s="22">
        <v>2026</v>
      </c>
      <c r="B6964" s="28" t="s">
        <v>249</v>
      </c>
      <c r="C6964" s="28" t="s">
        <v>97</v>
      </c>
      <c r="D6964" s="28" t="s">
        <v>1695</v>
      </c>
      <c r="E6964" s="29" t="s">
        <v>1758</v>
      </c>
      <c r="F6964" s="29" t="s">
        <v>1759</v>
      </c>
      <c r="G6964" s="25" t="s">
        <v>8612</v>
      </c>
      <c r="H6964" s="26">
        <v>-4.2144599999999999</v>
      </c>
      <c r="I6964" s="26"/>
      <c r="J6964" s="26" t="s">
        <v>512</v>
      </c>
      <c r="K6964" s="25" t="s">
        <v>513</v>
      </c>
    </row>
    <row r="6965" spans="1:11" ht="25.5" x14ac:dyDescent="0.25">
      <c r="A6965" s="22">
        <v>2026</v>
      </c>
      <c r="B6965" s="28" t="s">
        <v>249</v>
      </c>
      <c r="C6965" s="28" t="s">
        <v>97</v>
      </c>
      <c r="D6965" s="28" t="s">
        <v>1695</v>
      </c>
      <c r="E6965" s="29" t="s">
        <v>1758</v>
      </c>
      <c r="F6965" s="29" t="s">
        <v>1759</v>
      </c>
      <c r="G6965" s="25" t="s">
        <v>8613</v>
      </c>
      <c r="H6965" s="26">
        <v>-2.5898362314000001</v>
      </c>
      <c r="I6965" s="26"/>
      <c r="J6965" s="26" t="s">
        <v>512</v>
      </c>
      <c r="K6965" s="25" t="s">
        <v>513</v>
      </c>
    </row>
    <row r="6966" spans="1:11" ht="25.5" x14ac:dyDescent="0.25">
      <c r="A6966" s="22">
        <v>2026</v>
      </c>
      <c r="B6966" s="28" t="s">
        <v>249</v>
      </c>
      <c r="C6966" s="28" t="s">
        <v>97</v>
      </c>
      <c r="D6966" s="28" t="s">
        <v>1695</v>
      </c>
      <c r="E6966" s="29" t="s">
        <v>1758</v>
      </c>
      <c r="F6966" s="29" t="s">
        <v>1759</v>
      </c>
      <c r="G6966" s="25" t="s">
        <v>8614</v>
      </c>
      <c r="H6966" s="26">
        <v>-3.5619000000000001</v>
      </c>
      <c r="I6966" s="26"/>
      <c r="J6966" s="26" t="s">
        <v>512</v>
      </c>
      <c r="K6966" s="25" t="s">
        <v>513</v>
      </c>
    </row>
    <row r="6967" spans="1:11" ht="25.5" x14ac:dyDescent="0.25">
      <c r="A6967" s="22">
        <v>2026</v>
      </c>
      <c r="B6967" s="28" t="s">
        <v>249</v>
      </c>
      <c r="C6967" s="28" t="s">
        <v>97</v>
      </c>
      <c r="D6967" s="28" t="s">
        <v>1695</v>
      </c>
      <c r="E6967" s="29" t="s">
        <v>1758</v>
      </c>
      <c r="F6967" s="29" t="s">
        <v>1759</v>
      </c>
      <c r="G6967" s="25" t="s">
        <v>8615</v>
      </c>
      <c r="H6967" s="26">
        <v>-3.5272000000000001</v>
      </c>
      <c r="I6967" s="26"/>
      <c r="J6967" s="26" t="s">
        <v>512</v>
      </c>
      <c r="K6967" s="25" t="s">
        <v>513</v>
      </c>
    </row>
    <row r="6968" spans="1:11" ht="25.5" x14ac:dyDescent="0.25">
      <c r="A6968" s="22">
        <v>2026</v>
      </c>
      <c r="B6968" s="28" t="s">
        <v>249</v>
      </c>
      <c r="C6968" s="28" t="s">
        <v>97</v>
      </c>
      <c r="D6968" s="28" t="s">
        <v>1695</v>
      </c>
      <c r="E6968" s="29" t="s">
        <v>1758</v>
      </c>
      <c r="F6968" s="29" t="s">
        <v>1759</v>
      </c>
      <c r="G6968" s="25" t="s">
        <v>8616</v>
      </c>
      <c r="H6968" s="26">
        <v>-2.6637345635999998</v>
      </c>
      <c r="I6968" s="26"/>
      <c r="J6968" s="26" t="s">
        <v>512</v>
      </c>
      <c r="K6968" s="25" t="s">
        <v>513</v>
      </c>
    </row>
    <row r="6969" spans="1:11" ht="25.5" x14ac:dyDescent="0.25">
      <c r="A6969" s="22">
        <v>2026</v>
      </c>
      <c r="B6969" s="28" t="s">
        <v>249</v>
      </c>
      <c r="C6969" s="28" t="s">
        <v>97</v>
      </c>
      <c r="D6969" s="28" t="s">
        <v>1695</v>
      </c>
      <c r="E6969" s="29" t="s">
        <v>1758</v>
      </c>
      <c r="F6969" s="29" t="s">
        <v>1759</v>
      </c>
      <c r="G6969" s="25" t="s">
        <v>8617</v>
      </c>
      <c r="H6969" s="26">
        <v>-34.2591939</v>
      </c>
      <c r="I6969" s="26"/>
      <c r="J6969" s="26" t="s">
        <v>512</v>
      </c>
      <c r="K6969" s="25" t="s">
        <v>513</v>
      </c>
    </row>
    <row r="6970" spans="1:11" ht="25.5" x14ac:dyDescent="0.25">
      <c r="A6970" s="22">
        <v>2026</v>
      </c>
      <c r="B6970" s="28" t="s">
        <v>249</v>
      </c>
      <c r="C6970" s="28" t="s">
        <v>97</v>
      </c>
      <c r="D6970" s="28" t="s">
        <v>1695</v>
      </c>
      <c r="E6970" s="29" t="s">
        <v>1758</v>
      </c>
      <c r="F6970" s="29" t="s">
        <v>1759</v>
      </c>
      <c r="G6970" s="25" t="s">
        <v>8618</v>
      </c>
      <c r="H6970" s="26">
        <v>-1.4759906</v>
      </c>
      <c r="I6970" s="26"/>
      <c r="J6970" s="26" t="s">
        <v>512</v>
      </c>
      <c r="K6970" s="25" t="s">
        <v>513</v>
      </c>
    </row>
    <row r="6971" spans="1:11" ht="25.5" x14ac:dyDescent="0.25">
      <c r="A6971" s="22">
        <v>2026</v>
      </c>
      <c r="B6971" s="28" t="s">
        <v>249</v>
      </c>
      <c r="C6971" s="28" t="s">
        <v>97</v>
      </c>
      <c r="D6971" s="28" t="s">
        <v>1695</v>
      </c>
      <c r="E6971" s="29" t="s">
        <v>1758</v>
      </c>
      <c r="F6971" s="29" t="s">
        <v>1759</v>
      </c>
      <c r="G6971" s="25" t="s">
        <v>8619</v>
      </c>
      <c r="H6971" s="26">
        <v>-2.6684800000000002</v>
      </c>
      <c r="I6971" s="26"/>
      <c r="J6971" s="26" t="s">
        <v>512</v>
      </c>
      <c r="K6971" s="25" t="s">
        <v>513</v>
      </c>
    </row>
    <row r="6972" spans="1:11" ht="25.5" x14ac:dyDescent="0.25">
      <c r="A6972" s="22">
        <v>2026</v>
      </c>
      <c r="B6972" s="28" t="s">
        <v>249</v>
      </c>
      <c r="C6972" s="28" t="s">
        <v>97</v>
      </c>
      <c r="D6972" s="28" t="s">
        <v>1695</v>
      </c>
      <c r="E6972" s="29" t="s">
        <v>1758</v>
      </c>
      <c r="F6972" s="29" t="s">
        <v>1759</v>
      </c>
      <c r="G6972" s="25" t="s">
        <v>8620</v>
      </c>
      <c r="H6972" s="26">
        <v>-3.1916547318000004</v>
      </c>
      <c r="I6972" s="26"/>
      <c r="J6972" s="26" t="s">
        <v>512</v>
      </c>
      <c r="K6972" s="25" t="s">
        <v>513</v>
      </c>
    </row>
    <row r="6973" spans="1:11" ht="25.5" x14ac:dyDescent="0.25">
      <c r="A6973" s="22">
        <v>2026</v>
      </c>
      <c r="B6973" s="28" t="s">
        <v>249</v>
      </c>
      <c r="C6973" s="28" t="s">
        <v>97</v>
      </c>
      <c r="D6973" s="28" t="s">
        <v>1695</v>
      </c>
      <c r="E6973" s="29" t="s">
        <v>1758</v>
      </c>
      <c r="F6973" s="29" t="s">
        <v>1759</v>
      </c>
      <c r="G6973" s="25" t="s">
        <v>8621</v>
      </c>
      <c r="H6973" s="26">
        <v>-1.460745</v>
      </c>
      <c r="I6973" s="26"/>
      <c r="J6973" s="26" t="s">
        <v>512</v>
      </c>
      <c r="K6973" s="25" t="s">
        <v>513</v>
      </c>
    </row>
    <row r="6974" spans="1:11" ht="25.5" x14ac:dyDescent="0.25">
      <c r="A6974" s="22">
        <v>2026</v>
      </c>
      <c r="B6974" s="28" t="s">
        <v>249</v>
      </c>
      <c r="C6974" s="28" t="s">
        <v>97</v>
      </c>
      <c r="D6974" s="28" t="s">
        <v>1696</v>
      </c>
      <c r="E6974" s="29" t="s">
        <v>1760</v>
      </c>
      <c r="F6974" s="29" t="s">
        <v>343</v>
      </c>
      <c r="G6974" s="25" t="s">
        <v>8622</v>
      </c>
      <c r="H6974" s="26">
        <v>-2.64E-3</v>
      </c>
      <c r="I6974" s="26"/>
      <c r="J6974" s="26" t="s">
        <v>512</v>
      </c>
      <c r="K6974" s="25" t="s">
        <v>513</v>
      </c>
    </row>
    <row r="6975" spans="1:11" ht="25.5" x14ac:dyDescent="0.25">
      <c r="A6975" s="22">
        <v>2026</v>
      </c>
      <c r="B6975" s="28" t="s">
        <v>249</v>
      </c>
      <c r="C6975" s="28" t="s">
        <v>97</v>
      </c>
      <c r="D6975" s="28" t="s">
        <v>1696</v>
      </c>
      <c r="E6975" s="29" t="s">
        <v>1760</v>
      </c>
      <c r="F6975" s="29" t="s">
        <v>343</v>
      </c>
      <c r="G6975" s="25" t="s">
        <v>8623</v>
      </c>
      <c r="H6975" s="26">
        <v>-1.185191667E-2</v>
      </c>
      <c r="I6975" s="26"/>
      <c r="J6975" s="26" t="s">
        <v>512</v>
      </c>
      <c r="K6975" s="25" t="s">
        <v>513</v>
      </c>
    </row>
    <row r="6976" spans="1:11" ht="25.5" x14ac:dyDescent="0.25">
      <c r="A6976" s="22">
        <v>2026</v>
      </c>
      <c r="B6976" s="28" t="s">
        <v>249</v>
      </c>
      <c r="C6976" s="28" t="s">
        <v>97</v>
      </c>
      <c r="D6976" s="28" t="s">
        <v>1696</v>
      </c>
      <c r="E6976" s="29" t="s">
        <v>1760</v>
      </c>
      <c r="F6976" s="29" t="s">
        <v>343</v>
      </c>
      <c r="G6976" s="25" t="s">
        <v>8624</v>
      </c>
      <c r="H6976" s="26">
        <v>-4.7502040999999995E-2</v>
      </c>
      <c r="I6976" s="26"/>
      <c r="J6976" s="26" t="s">
        <v>512</v>
      </c>
      <c r="K6976" s="25" t="s">
        <v>513</v>
      </c>
    </row>
    <row r="6977" spans="1:11" ht="25.5" x14ac:dyDescent="0.25">
      <c r="A6977" s="22">
        <v>2026</v>
      </c>
      <c r="B6977" s="28" t="s">
        <v>249</v>
      </c>
      <c r="C6977" s="28" t="s">
        <v>97</v>
      </c>
      <c r="D6977" s="28" t="s">
        <v>1696</v>
      </c>
      <c r="E6977" s="29" t="s">
        <v>1760</v>
      </c>
      <c r="F6977" s="29" t="s">
        <v>343</v>
      </c>
      <c r="G6977" s="25" t="s">
        <v>8625</v>
      </c>
      <c r="H6977" s="26">
        <v>-3.7153804479999997E-2</v>
      </c>
      <c r="I6977" s="26"/>
      <c r="J6977" s="26" t="s">
        <v>512</v>
      </c>
      <c r="K6977" s="25" t="s">
        <v>513</v>
      </c>
    </row>
    <row r="6978" spans="1:11" ht="25.5" x14ac:dyDescent="0.25">
      <c r="A6978" s="22">
        <v>2026</v>
      </c>
      <c r="B6978" s="28" t="s">
        <v>249</v>
      </c>
      <c r="C6978" s="28" t="s">
        <v>97</v>
      </c>
      <c r="D6978" s="28" t="s">
        <v>1696</v>
      </c>
      <c r="E6978" s="29" t="s">
        <v>1760</v>
      </c>
      <c r="F6978" s="29" t="s">
        <v>343</v>
      </c>
      <c r="G6978" s="25" t="s">
        <v>8626</v>
      </c>
      <c r="H6978" s="26">
        <v>-4.3297800000000004E-2</v>
      </c>
      <c r="I6978" s="26"/>
      <c r="J6978" s="26" t="s">
        <v>512</v>
      </c>
      <c r="K6978" s="25" t="s">
        <v>513</v>
      </c>
    </row>
    <row r="6979" spans="1:11" ht="25.5" x14ac:dyDescent="0.25">
      <c r="A6979" s="22">
        <v>2026</v>
      </c>
      <c r="B6979" s="28" t="s">
        <v>249</v>
      </c>
      <c r="C6979" s="28" t="s">
        <v>97</v>
      </c>
      <c r="D6979" s="28" t="s">
        <v>1696</v>
      </c>
      <c r="E6979" s="29" t="s">
        <v>1760</v>
      </c>
      <c r="F6979" s="29" t="s">
        <v>343</v>
      </c>
      <c r="G6979" s="25" t="s">
        <v>8627</v>
      </c>
      <c r="H6979" s="26">
        <v>-4.3989960000000002E-2</v>
      </c>
      <c r="I6979" s="26"/>
      <c r="J6979" s="26" t="s">
        <v>512</v>
      </c>
      <c r="K6979" s="25" t="s">
        <v>513</v>
      </c>
    </row>
    <row r="6980" spans="1:11" ht="25.5" x14ac:dyDescent="0.25">
      <c r="A6980" s="22">
        <v>2026</v>
      </c>
      <c r="B6980" s="28" t="s">
        <v>249</v>
      </c>
      <c r="C6980" s="28" t="s">
        <v>97</v>
      </c>
      <c r="D6980" s="28" t="s">
        <v>1696</v>
      </c>
      <c r="E6980" s="29" t="s">
        <v>1760</v>
      </c>
      <c r="F6980" s="29" t="s">
        <v>343</v>
      </c>
      <c r="G6980" s="25" t="s">
        <v>8628</v>
      </c>
      <c r="H6980" s="26">
        <v>-1.5221425800000001E-2</v>
      </c>
      <c r="I6980" s="26"/>
      <c r="J6980" s="26" t="s">
        <v>512</v>
      </c>
      <c r="K6980" s="25" t="s">
        <v>513</v>
      </c>
    </row>
    <row r="6981" spans="1:11" ht="25.5" x14ac:dyDescent="0.25">
      <c r="A6981" s="22">
        <v>2026</v>
      </c>
      <c r="B6981" s="28" t="s">
        <v>249</v>
      </c>
      <c r="C6981" s="28" t="s">
        <v>97</v>
      </c>
      <c r="D6981" s="28" t="s">
        <v>1696</v>
      </c>
      <c r="E6981" s="29" t="s">
        <v>1760</v>
      </c>
      <c r="F6981" s="29" t="s">
        <v>343</v>
      </c>
      <c r="G6981" s="25" t="s">
        <v>8629</v>
      </c>
      <c r="H6981" s="26">
        <v>-2.5055597539999998E-2</v>
      </c>
      <c r="I6981" s="26"/>
      <c r="J6981" s="26" t="s">
        <v>512</v>
      </c>
      <c r="K6981" s="25" t="s">
        <v>513</v>
      </c>
    </row>
    <row r="6982" spans="1:11" ht="25.5" x14ac:dyDescent="0.25">
      <c r="A6982" s="22">
        <v>2026</v>
      </c>
      <c r="B6982" s="28" t="s">
        <v>249</v>
      </c>
      <c r="C6982" s="28" t="s">
        <v>97</v>
      </c>
      <c r="D6982" s="28" t="s">
        <v>1696</v>
      </c>
      <c r="E6982" s="29" t="s">
        <v>1760</v>
      </c>
      <c r="F6982" s="29" t="s">
        <v>343</v>
      </c>
      <c r="G6982" s="25" t="s">
        <v>8630</v>
      </c>
      <c r="H6982" s="26">
        <v>-5.5491711280000001E-2</v>
      </c>
      <c r="I6982" s="26"/>
      <c r="J6982" s="26" t="s">
        <v>512</v>
      </c>
      <c r="K6982" s="25" t="s">
        <v>513</v>
      </c>
    </row>
    <row r="6983" spans="1:11" ht="25.5" x14ac:dyDescent="0.25">
      <c r="A6983" s="22">
        <v>2026</v>
      </c>
      <c r="B6983" s="28" t="s">
        <v>249</v>
      </c>
      <c r="C6983" s="28" t="s">
        <v>97</v>
      </c>
      <c r="D6983" s="28" t="s">
        <v>1696</v>
      </c>
      <c r="E6983" s="29" t="s">
        <v>1760</v>
      </c>
      <c r="F6983" s="29" t="s">
        <v>343</v>
      </c>
      <c r="G6983" s="25" t="s">
        <v>8631</v>
      </c>
      <c r="H6983" s="26">
        <v>-2.874638211E-2</v>
      </c>
      <c r="I6983" s="26"/>
      <c r="J6983" s="26" t="s">
        <v>512</v>
      </c>
      <c r="K6983" s="25" t="s">
        <v>513</v>
      </c>
    </row>
    <row r="6984" spans="1:11" ht="25.5" x14ac:dyDescent="0.25">
      <c r="A6984" s="22">
        <v>2026</v>
      </c>
      <c r="B6984" s="28" t="s">
        <v>249</v>
      </c>
      <c r="C6984" s="28" t="s">
        <v>97</v>
      </c>
      <c r="D6984" s="28" t="s">
        <v>1696</v>
      </c>
      <c r="E6984" s="29" t="s">
        <v>1760</v>
      </c>
      <c r="F6984" s="29" t="s">
        <v>343</v>
      </c>
      <c r="G6984" s="25" t="s">
        <v>8632</v>
      </c>
      <c r="H6984" s="26">
        <v>-2.7765942120000001E-2</v>
      </c>
      <c r="I6984" s="26"/>
      <c r="J6984" s="26" t="s">
        <v>512</v>
      </c>
      <c r="K6984" s="25" t="s">
        <v>513</v>
      </c>
    </row>
    <row r="6985" spans="1:11" ht="25.5" x14ac:dyDescent="0.25">
      <c r="A6985" s="22">
        <v>2026</v>
      </c>
      <c r="B6985" s="28" t="s">
        <v>249</v>
      </c>
      <c r="C6985" s="28" t="s">
        <v>97</v>
      </c>
      <c r="D6985" s="28" t="s">
        <v>1696</v>
      </c>
      <c r="E6985" s="29" t="s">
        <v>1760</v>
      </c>
      <c r="F6985" s="29" t="s">
        <v>343</v>
      </c>
      <c r="G6985" s="25" t="s">
        <v>8633</v>
      </c>
      <c r="H6985" s="26">
        <v>-1.028816152E-2</v>
      </c>
      <c r="I6985" s="26"/>
      <c r="J6985" s="26" t="s">
        <v>512</v>
      </c>
      <c r="K6985" s="25" t="s">
        <v>513</v>
      </c>
    </row>
    <row r="6986" spans="1:11" ht="25.5" x14ac:dyDescent="0.25">
      <c r="A6986" s="22">
        <v>2026</v>
      </c>
      <c r="B6986" s="28" t="s">
        <v>249</v>
      </c>
      <c r="C6986" s="28" t="s">
        <v>97</v>
      </c>
      <c r="D6986" s="28" t="s">
        <v>1696</v>
      </c>
      <c r="E6986" s="29" t="s">
        <v>1760</v>
      </c>
      <c r="F6986" s="29" t="s">
        <v>343</v>
      </c>
      <c r="G6986" s="25" t="s">
        <v>8634</v>
      </c>
      <c r="H6986" s="26">
        <v>-1.6559413280000001E-2</v>
      </c>
      <c r="I6986" s="26"/>
      <c r="J6986" s="26" t="s">
        <v>512</v>
      </c>
      <c r="K6986" s="25" t="s">
        <v>513</v>
      </c>
    </row>
    <row r="6987" spans="1:11" ht="25.5" x14ac:dyDescent="0.25">
      <c r="A6987" s="22">
        <v>2026</v>
      </c>
      <c r="B6987" s="28" t="s">
        <v>249</v>
      </c>
      <c r="C6987" s="28" t="s">
        <v>97</v>
      </c>
      <c r="D6987" s="28" t="s">
        <v>1697</v>
      </c>
      <c r="E6987" s="29" t="s">
        <v>1761</v>
      </c>
      <c r="F6987" s="29" t="s">
        <v>386</v>
      </c>
      <c r="G6987" s="25" t="s">
        <v>8635</v>
      </c>
      <c r="H6987" s="26">
        <v>-0.1232285</v>
      </c>
      <c r="I6987" s="26"/>
      <c r="J6987" s="26" t="s">
        <v>512</v>
      </c>
      <c r="K6987" s="25" t="s">
        <v>513</v>
      </c>
    </row>
    <row r="6988" spans="1:11" ht="25.5" x14ac:dyDescent="0.25">
      <c r="A6988" s="22">
        <v>2026</v>
      </c>
      <c r="B6988" s="28" t="s">
        <v>249</v>
      </c>
      <c r="C6988" s="28" t="s">
        <v>97</v>
      </c>
      <c r="D6988" s="28" t="s">
        <v>1697</v>
      </c>
      <c r="E6988" s="29" t="s">
        <v>1761</v>
      </c>
      <c r="F6988" s="29" t="s">
        <v>386</v>
      </c>
      <c r="G6988" s="25" t="s">
        <v>8636</v>
      </c>
      <c r="H6988" s="26">
        <v>-3.428403E-2</v>
      </c>
      <c r="I6988" s="26"/>
      <c r="J6988" s="26" t="s">
        <v>512</v>
      </c>
      <c r="K6988" s="25" t="s">
        <v>513</v>
      </c>
    </row>
    <row r="6989" spans="1:11" ht="25.5" x14ac:dyDescent="0.25">
      <c r="A6989" s="22">
        <v>2026</v>
      </c>
      <c r="B6989" s="28" t="s">
        <v>249</v>
      </c>
      <c r="C6989" s="28" t="s">
        <v>97</v>
      </c>
      <c r="D6989" s="28" t="s">
        <v>1697</v>
      </c>
      <c r="E6989" s="29" t="s">
        <v>1761</v>
      </c>
      <c r="F6989" s="29" t="s">
        <v>386</v>
      </c>
      <c r="G6989" s="25" t="s">
        <v>8637</v>
      </c>
      <c r="H6989" s="26">
        <v>-1.387764E-2</v>
      </c>
      <c r="I6989" s="26"/>
      <c r="J6989" s="26" t="s">
        <v>512</v>
      </c>
      <c r="K6989" s="25" t="s">
        <v>513</v>
      </c>
    </row>
    <row r="6990" spans="1:11" ht="25.5" x14ac:dyDescent="0.25">
      <c r="A6990" s="22">
        <v>2026</v>
      </c>
      <c r="B6990" s="28" t="s">
        <v>249</v>
      </c>
      <c r="C6990" s="28" t="s">
        <v>97</v>
      </c>
      <c r="D6990" s="28" t="s">
        <v>1697</v>
      </c>
      <c r="E6990" s="29" t="s">
        <v>1761</v>
      </c>
      <c r="F6990" s="29" t="s">
        <v>386</v>
      </c>
      <c r="G6990" s="25" t="s">
        <v>8638</v>
      </c>
      <c r="H6990" s="26">
        <v>-6.2285500000000001E-2</v>
      </c>
      <c r="I6990" s="26"/>
      <c r="J6990" s="26" t="s">
        <v>512</v>
      </c>
      <c r="K6990" s="25" t="s">
        <v>513</v>
      </c>
    </row>
    <row r="6991" spans="1:11" ht="25.5" x14ac:dyDescent="0.25">
      <c r="A6991" s="22">
        <v>2026</v>
      </c>
      <c r="B6991" s="28" t="s">
        <v>249</v>
      </c>
      <c r="C6991" s="28" t="s">
        <v>97</v>
      </c>
      <c r="D6991" s="28" t="s">
        <v>1697</v>
      </c>
      <c r="E6991" s="29" t="s">
        <v>1761</v>
      </c>
      <c r="F6991" s="29" t="s">
        <v>386</v>
      </c>
      <c r="G6991" s="25" t="s">
        <v>8639</v>
      </c>
      <c r="H6991" s="26">
        <v>-5.5745719999999999E-2</v>
      </c>
      <c r="I6991" s="26"/>
      <c r="J6991" s="26" t="s">
        <v>512</v>
      </c>
      <c r="K6991" s="25" t="s">
        <v>513</v>
      </c>
    </row>
    <row r="6992" spans="1:11" ht="25.5" x14ac:dyDescent="0.25">
      <c r="A6992" s="22">
        <v>2026</v>
      </c>
      <c r="B6992" s="28" t="s">
        <v>249</v>
      </c>
      <c r="C6992" s="28" t="s">
        <v>97</v>
      </c>
      <c r="D6992" s="28" t="s">
        <v>1697</v>
      </c>
      <c r="E6992" s="29" t="s">
        <v>1761</v>
      </c>
      <c r="F6992" s="29" t="s">
        <v>386</v>
      </c>
      <c r="G6992" s="25" t="s">
        <v>8640</v>
      </c>
      <c r="H6992" s="26">
        <v>-6.1867499999999999E-2</v>
      </c>
      <c r="I6992" s="26"/>
      <c r="J6992" s="26" t="s">
        <v>512</v>
      </c>
      <c r="K6992" s="25" t="s">
        <v>513</v>
      </c>
    </row>
    <row r="6993" spans="1:11" ht="25.5" x14ac:dyDescent="0.25">
      <c r="A6993" s="22">
        <v>2026</v>
      </c>
      <c r="B6993" s="28" t="s">
        <v>249</v>
      </c>
      <c r="C6993" s="28" t="s">
        <v>97</v>
      </c>
      <c r="D6993" s="28" t="s">
        <v>1697</v>
      </c>
      <c r="E6993" s="29" t="s">
        <v>1761</v>
      </c>
      <c r="F6993" s="29" t="s">
        <v>386</v>
      </c>
      <c r="G6993" s="25" t="s">
        <v>8641</v>
      </c>
      <c r="H6993" s="26">
        <v>-0.12225</v>
      </c>
      <c r="I6993" s="26"/>
      <c r="J6993" s="26" t="s">
        <v>512</v>
      </c>
      <c r="K6993" s="25" t="s">
        <v>513</v>
      </c>
    </row>
    <row r="6994" spans="1:11" ht="25.5" x14ac:dyDescent="0.25">
      <c r="A6994" s="22">
        <v>2026</v>
      </c>
      <c r="B6994" s="28" t="s">
        <v>249</v>
      </c>
      <c r="C6994" s="28" t="s">
        <v>97</v>
      </c>
      <c r="D6994" s="28" t="s">
        <v>1697</v>
      </c>
      <c r="E6994" s="29" t="s">
        <v>1761</v>
      </c>
      <c r="F6994" s="29" t="s">
        <v>386</v>
      </c>
      <c r="G6994" s="25" t="s">
        <v>8642</v>
      </c>
      <c r="H6994" s="26">
        <v>-6.0749999999999998E-2</v>
      </c>
      <c r="I6994" s="26"/>
      <c r="J6994" s="26" t="s">
        <v>512</v>
      </c>
      <c r="K6994" s="25" t="s">
        <v>513</v>
      </c>
    </row>
    <row r="6995" spans="1:11" ht="25.5" x14ac:dyDescent="0.25">
      <c r="A6995" s="22">
        <v>2026</v>
      </c>
      <c r="B6995" s="28" t="s">
        <v>249</v>
      </c>
      <c r="C6995" s="28" t="s">
        <v>97</v>
      </c>
      <c r="D6995" s="28" t="s">
        <v>1697</v>
      </c>
      <c r="E6995" s="29" t="s">
        <v>1761</v>
      </c>
      <c r="F6995" s="29" t="s">
        <v>386</v>
      </c>
      <c r="G6995" s="25" t="s">
        <v>8643</v>
      </c>
      <c r="H6995" s="26">
        <v>-2.5976240000000001E-2</v>
      </c>
      <c r="I6995" s="26"/>
      <c r="J6995" s="26" t="s">
        <v>512</v>
      </c>
      <c r="K6995" s="25" t="s">
        <v>513</v>
      </c>
    </row>
    <row r="6996" spans="1:11" ht="25.5" x14ac:dyDescent="0.25">
      <c r="A6996" s="22">
        <v>2026</v>
      </c>
      <c r="B6996" s="28" t="s">
        <v>249</v>
      </c>
      <c r="C6996" s="28" t="s">
        <v>97</v>
      </c>
      <c r="D6996" s="28" t="s">
        <v>1697</v>
      </c>
      <c r="E6996" s="29" t="s">
        <v>1761</v>
      </c>
      <c r="F6996" s="29" t="s">
        <v>386</v>
      </c>
      <c r="G6996" s="25" t="s">
        <v>8644</v>
      </c>
      <c r="H6996" s="26">
        <v>-6.1150000000000003E-2</v>
      </c>
      <c r="I6996" s="26"/>
      <c r="J6996" s="26" t="s">
        <v>512</v>
      </c>
      <c r="K6996" s="25" t="s">
        <v>513</v>
      </c>
    </row>
    <row r="6997" spans="1:11" ht="25.5" x14ac:dyDescent="0.25">
      <c r="A6997" s="22">
        <v>2026</v>
      </c>
      <c r="B6997" s="28" t="s">
        <v>249</v>
      </c>
      <c r="C6997" s="28" t="s">
        <v>97</v>
      </c>
      <c r="D6997" s="28" t="s">
        <v>1697</v>
      </c>
      <c r="E6997" s="29" t="s">
        <v>1761</v>
      </c>
      <c r="F6997" s="29" t="s">
        <v>386</v>
      </c>
      <c r="G6997" s="25" t="s">
        <v>8645</v>
      </c>
      <c r="H6997" s="26">
        <v>-6.8035507359999997E-2</v>
      </c>
      <c r="I6997" s="26"/>
      <c r="J6997" s="26" t="s">
        <v>512</v>
      </c>
      <c r="K6997" s="25" t="s">
        <v>513</v>
      </c>
    </row>
    <row r="6998" spans="1:11" ht="25.5" x14ac:dyDescent="0.25">
      <c r="A6998" s="22">
        <v>2026</v>
      </c>
      <c r="B6998" s="28" t="s">
        <v>249</v>
      </c>
      <c r="C6998" s="28" t="s">
        <v>97</v>
      </c>
      <c r="D6998" s="28" t="s">
        <v>1697</v>
      </c>
      <c r="E6998" s="29" t="s">
        <v>1761</v>
      </c>
      <c r="F6998" s="29" t="s">
        <v>386</v>
      </c>
      <c r="G6998" s="25" t="s">
        <v>8646</v>
      </c>
      <c r="H6998" s="26">
        <v>-6.2212000000000003E-2</v>
      </c>
      <c r="I6998" s="26"/>
      <c r="J6998" s="26" t="s">
        <v>512</v>
      </c>
      <c r="K6998" s="25" t="s">
        <v>513</v>
      </c>
    </row>
    <row r="6999" spans="1:11" ht="25.5" x14ac:dyDescent="0.25">
      <c r="A6999" s="22">
        <v>2026</v>
      </c>
      <c r="B6999" s="28" t="s">
        <v>249</v>
      </c>
      <c r="C6999" s="28" t="s">
        <v>97</v>
      </c>
      <c r="D6999" s="28" t="s">
        <v>1697</v>
      </c>
      <c r="E6999" s="29" t="s">
        <v>1761</v>
      </c>
      <c r="F6999" s="29" t="s">
        <v>386</v>
      </c>
      <c r="G6999" s="25" t="s">
        <v>8647</v>
      </c>
      <c r="H6999" s="26">
        <v>-6.2341000000000001E-2</v>
      </c>
      <c r="I6999" s="26"/>
      <c r="J6999" s="26" t="s">
        <v>512</v>
      </c>
      <c r="K6999" s="25" t="s">
        <v>513</v>
      </c>
    </row>
    <row r="7000" spans="1:11" ht="25.5" x14ac:dyDescent="0.25">
      <c r="A7000" s="22">
        <v>2026</v>
      </c>
      <c r="B7000" s="28" t="s">
        <v>249</v>
      </c>
      <c r="C7000" s="28" t="s">
        <v>97</v>
      </c>
      <c r="D7000" s="28" t="s">
        <v>1697</v>
      </c>
      <c r="E7000" s="29" t="s">
        <v>1761</v>
      </c>
      <c r="F7000" s="29" t="s">
        <v>386</v>
      </c>
      <c r="G7000" s="25" t="s">
        <v>8648</v>
      </c>
      <c r="H7000" s="26">
        <v>-8.2125263939999998E-2</v>
      </c>
      <c r="I7000" s="26"/>
      <c r="J7000" s="26" t="s">
        <v>512</v>
      </c>
      <c r="K7000" s="25" t="s">
        <v>513</v>
      </c>
    </row>
    <row r="7001" spans="1:11" ht="25.5" x14ac:dyDescent="0.25">
      <c r="A7001" s="22">
        <v>2026</v>
      </c>
      <c r="B7001" s="28" t="s">
        <v>249</v>
      </c>
      <c r="C7001" s="28" t="s">
        <v>97</v>
      </c>
      <c r="D7001" s="28" t="s">
        <v>1698</v>
      </c>
      <c r="E7001" s="29" t="s">
        <v>315</v>
      </c>
      <c r="F7001" s="29" t="s">
        <v>298</v>
      </c>
      <c r="G7001" s="25" t="s">
        <v>8649</v>
      </c>
      <c r="H7001" s="26">
        <v>-0.12709999999999999</v>
      </c>
      <c r="I7001" s="26"/>
      <c r="J7001" s="26" t="s">
        <v>512</v>
      </c>
      <c r="K7001" s="25" t="s">
        <v>513</v>
      </c>
    </row>
    <row r="7002" spans="1:11" ht="25.5" x14ac:dyDescent="0.25">
      <c r="A7002" s="22">
        <v>2026</v>
      </c>
      <c r="B7002" s="28" t="s">
        <v>249</v>
      </c>
      <c r="C7002" s="28" t="s">
        <v>97</v>
      </c>
      <c r="D7002" s="28" t="s">
        <v>1698</v>
      </c>
      <c r="E7002" s="29" t="s">
        <v>315</v>
      </c>
      <c r="F7002" s="29" t="s">
        <v>298</v>
      </c>
      <c r="G7002" s="25" t="s">
        <v>8650</v>
      </c>
      <c r="H7002" s="26">
        <v>-0.51302000000000003</v>
      </c>
      <c r="I7002" s="26"/>
      <c r="J7002" s="26" t="s">
        <v>512</v>
      </c>
      <c r="K7002" s="25" t="s">
        <v>513</v>
      </c>
    </row>
    <row r="7003" spans="1:11" ht="25.5" x14ac:dyDescent="0.25">
      <c r="A7003" s="22">
        <v>2026</v>
      </c>
      <c r="B7003" s="28" t="s">
        <v>249</v>
      </c>
      <c r="C7003" s="28" t="s">
        <v>97</v>
      </c>
      <c r="D7003" s="28" t="s">
        <v>1698</v>
      </c>
      <c r="E7003" s="29" t="s">
        <v>315</v>
      </c>
      <c r="F7003" s="29" t="s">
        <v>298</v>
      </c>
      <c r="G7003" s="25" t="s">
        <v>8651</v>
      </c>
      <c r="H7003" s="26">
        <v>-0.543018</v>
      </c>
      <c r="I7003" s="26"/>
      <c r="J7003" s="26" t="s">
        <v>512</v>
      </c>
      <c r="K7003" s="25" t="s">
        <v>513</v>
      </c>
    </row>
    <row r="7004" spans="1:11" ht="25.5" x14ac:dyDescent="0.25">
      <c r="A7004" s="22">
        <v>2026</v>
      </c>
      <c r="B7004" s="28" t="s">
        <v>249</v>
      </c>
      <c r="C7004" s="28" t="s">
        <v>97</v>
      </c>
      <c r="D7004" s="28" t="s">
        <v>1698</v>
      </c>
      <c r="E7004" s="29" t="s">
        <v>315</v>
      </c>
      <c r="F7004" s="29" t="s">
        <v>298</v>
      </c>
      <c r="G7004" s="25" t="s">
        <v>8652</v>
      </c>
      <c r="H7004" s="26">
        <v>-0.25689000000000001</v>
      </c>
      <c r="I7004" s="26"/>
      <c r="J7004" s="26" t="s">
        <v>512</v>
      </c>
      <c r="K7004" s="25" t="s">
        <v>513</v>
      </c>
    </row>
    <row r="7005" spans="1:11" ht="25.5" x14ac:dyDescent="0.25">
      <c r="A7005" s="22">
        <v>2026</v>
      </c>
      <c r="B7005" s="28" t="s">
        <v>249</v>
      </c>
      <c r="C7005" s="28" t="s">
        <v>97</v>
      </c>
      <c r="D7005" s="28" t="s">
        <v>1698</v>
      </c>
      <c r="E7005" s="29" t="s">
        <v>315</v>
      </c>
      <c r="F7005" s="29" t="s">
        <v>298</v>
      </c>
      <c r="G7005" s="25" t="s">
        <v>8653</v>
      </c>
      <c r="H7005" s="26">
        <v>-0.2525</v>
      </c>
      <c r="I7005" s="26"/>
      <c r="J7005" s="26" t="s">
        <v>512</v>
      </c>
      <c r="K7005" s="25" t="s">
        <v>513</v>
      </c>
    </row>
    <row r="7006" spans="1:11" ht="25.5" x14ac:dyDescent="0.25">
      <c r="A7006" s="22">
        <v>2026</v>
      </c>
      <c r="B7006" s="28" t="s">
        <v>249</v>
      </c>
      <c r="C7006" s="28" t="s">
        <v>97</v>
      </c>
      <c r="D7006" s="28" t="s">
        <v>1698</v>
      </c>
      <c r="E7006" s="29" t="s">
        <v>315</v>
      </c>
      <c r="F7006" s="29" t="s">
        <v>298</v>
      </c>
      <c r="G7006" s="25" t="s">
        <v>8654</v>
      </c>
      <c r="H7006" s="26">
        <v>-0.81471000000000005</v>
      </c>
      <c r="I7006" s="26"/>
      <c r="J7006" s="26" t="s">
        <v>512</v>
      </c>
      <c r="K7006" s="25" t="s">
        <v>513</v>
      </c>
    </row>
    <row r="7007" spans="1:11" ht="25.5" x14ac:dyDescent="0.25">
      <c r="A7007" s="22">
        <v>2026</v>
      </c>
      <c r="B7007" s="28" t="s">
        <v>249</v>
      </c>
      <c r="C7007" s="28" t="s">
        <v>97</v>
      </c>
      <c r="D7007" s="28" t="s">
        <v>1698</v>
      </c>
      <c r="E7007" s="29" t="s">
        <v>315</v>
      </c>
      <c r="F7007" s="29" t="s">
        <v>298</v>
      </c>
      <c r="G7007" s="25" t="s">
        <v>8655</v>
      </c>
      <c r="H7007" s="26">
        <v>-0.25085000000000002</v>
      </c>
      <c r="I7007" s="26"/>
      <c r="J7007" s="26" t="s">
        <v>512</v>
      </c>
      <c r="K7007" s="25" t="s">
        <v>513</v>
      </c>
    </row>
    <row r="7008" spans="1:11" ht="25.5" x14ac:dyDescent="0.25">
      <c r="A7008" s="22">
        <v>2026</v>
      </c>
      <c r="B7008" s="28" t="s">
        <v>249</v>
      </c>
      <c r="C7008" s="28" t="s">
        <v>97</v>
      </c>
      <c r="D7008" s="28" t="s">
        <v>1698</v>
      </c>
      <c r="E7008" s="29" t="s">
        <v>315</v>
      </c>
      <c r="F7008" s="29" t="s">
        <v>298</v>
      </c>
      <c r="G7008" s="25" t="s">
        <v>8655</v>
      </c>
      <c r="H7008" s="26">
        <v>-0.25085000000000002</v>
      </c>
      <c r="I7008" s="26"/>
      <c r="J7008" s="26" t="s">
        <v>512</v>
      </c>
      <c r="K7008" s="25" t="s">
        <v>513</v>
      </c>
    </row>
    <row r="7009" spans="1:11" ht="25.5" x14ac:dyDescent="0.25">
      <c r="A7009" s="22">
        <v>2026</v>
      </c>
      <c r="B7009" s="28" t="s">
        <v>249</v>
      </c>
      <c r="C7009" s="28" t="s">
        <v>97</v>
      </c>
      <c r="D7009" s="28" t="s">
        <v>1698</v>
      </c>
      <c r="E7009" s="29" t="s">
        <v>315</v>
      </c>
      <c r="F7009" s="29" t="s">
        <v>298</v>
      </c>
      <c r="G7009" s="25" t="s">
        <v>8656</v>
      </c>
      <c r="H7009" s="26">
        <v>-0.4393725</v>
      </c>
      <c r="I7009" s="26"/>
      <c r="J7009" s="26" t="s">
        <v>512</v>
      </c>
      <c r="K7009" s="25" t="s">
        <v>513</v>
      </c>
    </row>
    <row r="7010" spans="1:11" ht="25.5" x14ac:dyDescent="0.25">
      <c r="A7010" s="22">
        <v>2026</v>
      </c>
      <c r="B7010" s="28" t="s">
        <v>249</v>
      </c>
      <c r="C7010" s="28" t="s">
        <v>97</v>
      </c>
      <c r="D7010" s="28" t="s">
        <v>1698</v>
      </c>
      <c r="E7010" s="29" t="s">
        <v>315</v>
      </c>
      <c r="F7010" s="29" t="s">
        <v>298</v>
      </c>
      <c r="G7010" s="25" t="s">
        <v>8657</v>
      </c>
      <c r="H7010" s="26">
        <v>-0.4420675</v>
      </c>
      <c r="I7010" s="26"/>
      <c r="J7010" s="26" t="s">
        <v>512</v>
      </c>
      <c r="K7010" s="25" t="s">
        <v>513</v>
      </c>
    </row>
    <row r="7011" spans="1:11" ht="25.5" x14ac:dyDescent="0.25">
      <c r="A7011" s="22">
        <v>2026</v>
      </c>
      <c r="B7011" s="28" t="s">
        <v>249</v>
      </c>
      <c r="C7011" s="28" t="s">
        <v>97</v>
      </c>
      <c r="D7011" s="28" t="s">
        <v>1698</v>
      </c>
      <c r="E7011" s="29" t="s">
        <v>315</v>
      </c>
      <c r="F7011" s="29" t="s">
        <v>298</v>
      </c>
      <c r="G7011" s="25" t="s">
        <v>8658</v>
      </c>
      <c r="H7011" s="26">
        <v>-1.0237700000000001</v>
      </c>
      <c r="I7011" s="26"/>
      <c r="J7011" s="26" t="s">
        <v>512</v>
      </c>
      <c r="K7011" s="25" t="s">
        <v>513</v>
      </c>
    </row>
    <row r="7012" spans="1:11" ht="25.5" x14ac:dyDescent="0.25">
      <c r="A7012" s="22">
        <v>2026</v>
      </c>
      <c r="B7012" s="28" t="s">
        <v>249</v>
      </c>
      <c r="C7012" s="28" t="s">
        <v>97</v>
      </c>
      <c r="D7012" s="28" t="s">
        <v>1698</v>
      </c>
      <c r="E7012" s="29" t="s">
        <v>315</v>
      </c>
      <c r="F7012" s="29" t="s">
        <v>298</v>
      </c>
      <c r="G7012" s="25" t="s">
        <v>8659</v>
      </c>
      <c r="H7012" s="26">
        <v>-0.75695999999999997</v>
      </c>
      <c r="I7012" s="26"/>
      <c r="J7012" s="26" t="s">
        <v>512</v>
      </c>
      <c r="K7012" s="25" t="s">
        <v>513</v>
      </c>
    </row>
    <row r="7013" spans="1:11" ht="25.5" x14ac:dyDescent="0.25">
      <c r="A7013" s="22">
        <v>2026</v>
      </c>
      <c r="B7013" s="28" t="s">
        <v>249</v>
      </c>
      <c r="C7013" s="28" t="s">
        <v>97</v>
      </c>
      <c r="D7013" s="28" t="s">
        <v>1698</v>
      </c>
      <c r="E7013" s="29" t="s">
        <v>315</v>
      </c>
      <c r="F7013" s="29" t="s">
        <v>298</v>
      </c>
      <c r="G7013" s="25" t="s">
        <v>8660</v>
      </c>
      <c r="H7013" s="26">
        <v>-0.4201725</v>
      </c>
      <c r="I7013" s="26"/>
      <c r="J7013" s="26" t="s">
        <v>512</v>
      </c>
      <c r="K7013" s="25" t="s">
        <v>513</v>
      </c>
    </row>
    <row r="7014" spans="1:11" ht="25.5" x14ac:dyDescent="0.25">
      <c r="A7014" s="22">
        <v>2026</v>
      </c>
      <c r="B7014" s="28" t="s">
        <v>249</v>
      </c>
      <c r="C7014" s="28" t="s">
        <v>97</v>
      </c>
      <c r="D7014" s="28" t="s">
        <v>1699</v>
      </c>
      <c r="E7014" s="29" t="s">
        <v>331</v>
      </c>
      <c r="F7014" s="29" t="s">
        <v>1762</v>
      </c>
      <c r="G7014" s="25" t="s">
        <v>8661</v>
      </c>
      <c r="H7014" s="26">
        <v>-8.9385000000000007E-4</v>
      </c>
      <c r="I7014" s="26"/>
      <c r="J7014" s="26" t="s">
        <v>512</v>
      </c>
      <c r="K7014" s="25" t="s">
        <v>513</v>
      </c>
    </row>
    <row r="7015" spans="1:11" ht="25.5" x14ac:dyDescent="0.25">
      <c r="A7015" s="22">
        <v>2026</v>
      </c>
      <c r="B7015" s="28" t="s">
        <v>249</v>
      </c>
      <c r="C7015" s="28" t="s">
        <v>97</v>
      </c>
      <c r="D7015" s="28" t="s">
        <v>1699</v>
      </c>
      <c r="E7015" s="29" t="s">
        <v>331</v>
      </c>
      <c r="F7015" s="29" t="s">
        <v>1762</v>
      </c>
      <c r="G7015" s="25" t="s">
        <v>8662</v>
      </c>
      <c r="H7015" s="26">
        <v>-1.7679200000000001E-3</v>
      </c>
      <c r="I7015" s="26"/>
      <c r="J7015" s="26" t="s">
        <v>512</v>
      </c>
      <c r="K7015" s="25" t="s">
        <v>513</v>
      </c>
    </row>
    <row r="7016" spans="1:11" ht="25.5" x14ac:dyDescent="0.25">
      <c r="A7016" s="22">
        <v>2026</v>
      </c>
      <c r="B7016" s="28" t="s">
        <v>249</v>
      </c>
      <c r="C7016" s="28" t="s">
        <v>97</v>
      </c>
      <c r="D7016" s="28" t="s">
        <v>1699</v>
      </c>
      <c r="E7016" s="29" t="s">
        <v>331</v>
      </c>
      <c r="F7016" s="29" t="s">
        <v>1762</v>
      </c>
      <c r="G7016" s="25" t="s">
        <v>8663</v>
      </c>
      <c r="H7016" s="26">
        <v>-9.2707999999999999E-2</v>
      </c>
      <c r="I7016" s="26"/>
      <c r="J7016" s="26" t="s">
        <v>512</v>
      </c>
      <c r="K7016" s="25" t="s">
        <v>513</v>
      </c>
    </row>
    <row r="7017" spans="1:11" ht="25.5" x14ac:dyDescent="0.25">
      <c r="A7017" s="22">
        <v>2026</v>
      </c>
      <c r="B7017" s="28" t="s">
        <v>249</v>
      </c>
      <c r="C7017" s="28" t="s">
        <v>97</v>
      </c>
      <c r="D7017" s="28" t="s">
        <v>1700</v>
      </c>
      <c r="E7017" s="29" t="s">
        <v>331</v>
      </c>
      <c r="F7017" s="29" t="s">
        <v>483</v>
      </c>
      <c r="G7017" s="25" t="s">
        <v>8664</v>
      </c>
      <c r="H7017" s="26">
        <v>-0.2893</v>
      </c>
      <c r="I7017" s="26"/>
      <c r="J7017" s="26" t="s">
        <v>512</v>
      </c>
      <c r="K7017" s="25" t="s">
        <v>513</v>
      </c>
    </row>
    <row r="7018" spans="1:11" ht="25.5" x14ac:dyDescent="0.25">
      <c r="A7018" s="22">
        <v>2026</v>
      </c>
      <c r="B7018" s="28" t="s">
        <v>249</v>
      </c>
      <c r="C7018" s="28" t="s">
        <v>97</v>
      </c>
      <c r="D7018" s="28" t="s">
        <v>1700</v>
      </c>
      <c r="E7018" s="29" t="s">
        <v>331</v>
      </c>
      <c r="F7018" s="29" t="s">
        <v>483</v>
      </c>
      <c r="G7018" s="25" t="s">
        <v>8665</v>
      </c>
      <c r="H7018" s="26">
        <v>-0.17294999999999999</v>
      </c>
      <c r="I7018" s="26"/>
      <c r="J7018" s="26" t="s">
        <v>512</v>
      </c>
      <c r="K7018" s="25" t="s">
        <v>513</v>
      </c>
    </row>
    <row r="7019" spans="1:11" ht="25.5" x14ac:dyDescent="0.25">
      <c r="A7019" s="22">
        <v>2026</v>
      </c>
      <c r="B7019" s="28" t="s">
        <v>249</v>
      </c>
      <c r="C7019" s="28" t="s">
        <v>97</v>
      </c>
      <c r="D7019" s="28" t="s">
        <v>1700</v>
      </c>
      <c r="E7019" s="29" t="s">
        <v>331</v>
      </c>
      <c r="F7019" s="29" t="s">
        <v>483</v>
      </c>
      <c r="G7019" s="25" t="s">
        <v>8666</v>
      </c>
      <c r="H7019" s="26">
        <v>-0.14374999999999999</v>
      </c>
      <c r="I7019" s="26"/>
      <c r="J7019" s="26" t="s">
        <v>512</v>
      </c>
      <c r="K7019" s="25" t="s">
        <v>513</v>
      </c>
    </row>
    <row r="7020" spans="1:11" ht="25.5" x14ac:dyDescent="0.25">
      <c r="A7020" s="22">
        <v>2026</v>
      </c>
      <c r="B7020" s="28" t="s">
        <v>249</v>
      </c>
      <c r="C7020" s="28" t="s">
        <v>97</v>
      </c>
      <c r="D7020" s="28" t="s">
        <v>1700</v>
      </c>
      <c r="E7020" s="29" t="s">
        <v>331</v>
      </c>
      <c r="F7020" s="29" t="s">
        <v>483</v>
      </c>
      <c r="G7020" s="25" t="s">
        <v>8667</v>
      </c>
      <c r="H7020" s="26">
        <v>-0.17324999999999999</v>
      </c>
      <c r="I7020" s="26"/>
      <c r="J7020" s="26" t="s">
        <v>512</v>
      </c>
      <c r="K7020" s="25" t="s">
        <v>513</v>
      </c>
    </row>
    <row r="7021" spans="1:11" ht="25.5" x14ac:dyDescent="0.25">
      <c r="A7021" s="22">
        <v>2026</v>
      </c>
      <c r="B7021" s="28" t="s">
        <v>249</v>
      </c>
      <c r="C7021" s="28" t="s">
        <v>97</v>
      </c>
      <c r="D7021" s="28" t="s">
        <v>1700</v>
      </c>
      <c r="E7021" s="29" t="s">
        <v>331</v>
      </c>
      <c r="F7021" s="29" t="s">
        <v>483</v>
      </c>
      <c r="G7021" s="25" t="s">
        <v>8668</v>
      </c>
      <c r="H7021" s="26">
        <v>-0.14249999999999999</v>
      </c>
      <c r="I7021" s="26"/>
      <c r="J7021" s="26" t="s">
        <v>512</v>
      </c>
      <c r="K7021" s="25" t="s">
        <v>513</v>
      </c>
    </row>
    <row r="7022" spans="1:11" ht="25.5" x14ac:dyDescent="0.25">
      <c r="A7022" s="22">
        <v>2026</v>
      </c>
      <c r="B7022" s="28" t="s">
        <v>249</v>
      </c>
      <c r="C7022" s="28" t="s">
        <v>97</v>
      </c>
      <c r="D7022" s="28" t="s">
        <v>1700</v>
      </c>
      <c r="E7022" s="29" t="s">
        <v>331</v>
      </c>
      <c r="F7022" s="29" t="s">
        <v>483</v>
      </c>
      <c r="G7022" s="25" t="s">
        <v>8669</v>
      </c>
      <c r="H7022" s="26">
        <v>-0.17175000000000001</v>
      </c>
      <c r="I7022" s="26"/>
      <c r="J7022" s="26" t="s">
        <v>512</v>
      </c>
      <c r="K7022" s="25" t="s">
        <v>513</v>
      </c>
    </row>
    <row r="7023" spans="1:11" ht="25.5" x14ac:dyDescent="0.25">
      <c r="A7023" s="22">
        <v>2026</v>
      </c>
      <c r="B7023" s="28" t="s">
        <v>249</v>
      </c>
      <c r="C7023" s="28" t="s">
        <v>97</v>
      </c>
      <c r="D7023" s="28" t="s">
        <v>1700</v>
      </c>
      <c r="E7023" s="29" t="s">
        <v>331</v>
      </c>
      <c r="F7023" s="29" t="s">
        <v>483</v>
      </c>
      <c r="G7023" s="25" t="s">
        <v>8670</v>
      </c>
      <c r="H7023" s="26">
        <v>-0.17249999999999999</v>
      </c>
      <c r="I7023" s="26"/>
      <c r="J7023" s="26" t="s">
        <v>512</v>
      </c>
      <c r="K7023" s="25" t="s">
        <v>513</v>
      </c>
    </row>
    <row r="7024" spans="1:11" ht="25.5" x14ac:dyDescent="0.25">
      <c r="A7024" s="22">
        <v>2026</v>
      </c>
      <c r="B7024" s="28" t="s">
        <v>249</v>
      </c>
      <c r="C7024" s="28" t="s">
        <v>97</v>
      </c>
      <c r="D7024" s="28" t="s">
        <v>1700</v>
      </c>
      <c r="E7024" s="29" t="s">
        <v>331</v>
      </c>
      <c r="F7024" s="29" t="s">
        <v>483</v>
      </c>
      <c r="G7024" s="25" t="s">
        <v>8671</v>
      </c>
      <c r="H7024" s="26">
        <v>-0.1424</v>
      </c>
      <c r="I7024" s="26"/>
      <c r="J7024" s="26" t="s">
        <v>512</v>
      </c>
      <c r="K7024" s="25" t="s">
        <v>513</v>
      </c>
    </row>
    <row r="7025" spans="1:11" ht="25.5" x14ac:dyDescent="0.25">
      <c r="A7025" s="22">
        <v>2026</v>
      </c>
      <c r="B7025" s="28" t="s">
        <v>249</v>
      </c>
      <c r="C7025" s="28" t="s">
        <v>97</v>
      </c>
      <c r="D7025" s="28" t="s">
        <v>1700</v>
      </c>
      <c r="E7025" s="29" t="s">
        <v>331</v>
      </c>
      <c r="F7025" s="29" t="s">
        <v>483</v>
      </c>
      <c r="G7025" s="25" t="s">
        <v>8672</v>
      </c>
      <c r="H7025" s="26">
        <v>-0.17161499999999999</v>
      </c>
      <c r="I7025" s="26"/>
      <c r="J7025" s="26" t="s">
        <v>512</v>
      </c>
      <c r="K7025" s="25" t="s">
        <v>513</v>
      </c>
    </row>
    <row r="7026" spans="1:11" ht="25.5" x14ac:dyDescent="0.25">
      <c r="A7026" s="22">
        <v>2026</v>
      </c>
      <c r="B7026" s="28" t="s">
        <v>249</v>
      </c>
      <c r="C7026" s="28" t="s">
        <v>97</v>
      </c>
      <c r="D7026" s="28" t="s">
        <v>1700</v>
      </c>
      <c r="E7026" s="29" t="s">
        <v>331</v>
      </c>
      <c r="F7026" s="29" t="s">
        <v>483</v>
      </c>
      <c r="G7026" s="25" t="s">
        <v>8673</v>
      </c>
      <c r="H7026" s="26">
        <v>-5.7000000000000002E-2</v>
      </c>
      <c r="I7026" s="26"/>
      <c r="J7026" s="26" t="s">
        <v>512</v>
      </c>
      <c r="K7026" s="25" t="s">
        <v>513</v>
      </c>
    </row>
    <row r="7027" spans="1:11" ht="25.5" x14ac:dyDescent="0.25">
      <c r="A7027" s="22">
        <v>2026</v>
      </c>
      <c r="B7027" s="28" t="s">
        <v>249</v>
      </c>
      <c r="C7027" s="28" t="s">
        <v>97</v>
      </c>
      <c r="D7027" s="28" t="s">
        <v>1700</v>
      </c>
      <c r="E7027" s="29" t="s">
        <v>331</v>
      </c>
      <c r="F7027" s="29" t="s">
        <v>483</v>
      </c>
      <c r="G7027" s="25" t="s">
        <v>8669</v>
      </c>
      <c r="H7027" s="26">
        <v>-0.17175000000000001</v>
      </c>
      <c r="I7027" s="26"/>
      <c r="J7027" s="26" t="s">
        <v>512</v>
      </c>
      <c r="K7027" s="25" t="s">
        <v>513</v>
      </c>
    </row>
    <row r="7028" spans="1:11" ht="25.5" x14ac:dyDescent="0.25">
      <c r="A7028" s="22">
        <v>2026</v>
      </c>
      <c r="B7028" s="28" t="s">
        <v>249</v>
      </c>
      <c r="C7028" s="28" t="s">
        <v>97</v>
      </c>
      <c r="D7028" s="28" t="s">
        <v>1700</v>
      </c>
      <c r="E7028" s="29" t="s">
        <v>331</v>
      </c>
      <c r="F7028" s="29" t="s">
        <v>483</v>
      </c>
      <c r="G7028" s="25" t="s">
        <v>8674</v>
      </c>
      <c r="H7028" s="26">
        <v>-0.22788</v>
      </c>
      <c r="I7028" s="26"/>
      <c r="J7028" s="26" t="s">
        <v>512</v>
      </c>
      <c r="K7028" s="25" t="s">
        <v>513</v>
      </c>
    </row>
    <row r="7029" spans="1:11" ht="25.5" x14ac:dyDescent="0.25">
      <c r="A7029" s="22">
        <v>2026</v>
      </c>
      <c r="B7029" s="28" t="s">
        <v>249</v>
      </c>
      <c r="C7029" s="28" t="s">
        <v>97</v>
      </c>
      <c r="D7029" s="28" t="s">
        <v>1700</v>
      </c>
      <c r="E7029" s="29" t="s">
        <v>331</v>
      </c>
      <c r="F7029" s="29" t="s">
        <v>483</v>
      </c>
      <c r="G7029" s="25" t="s">
        <v>8675</v>
      </c>
      <c r="H7029" s="26">
        <v>-0.16950000000000001</v>
      </c>
      <c r="I7029" s="26"/>
      <c r="J7029" s="26" t="s">
        <v>512</v>
      </c>
      <c r="K7029" s="25" t="s">
        <v>513</v>
      </c>
    </row>
    <row r="7030" spans="1:11" ht="25.5" x14ac:dyDescent="0.25">
      <c r="A7030" s="22">
        <v>2026</v>
      </c>
      <c r="B7030" s="28" t="s">
        <v>249</v>
      </c>
      <c r="C7030" s="28" t="s">
        <v>97</v>
      </c>
      <c r="D7030" s="28" t="s">
        <v>1700</v>
      </c>
      <c r="E7030" s="29" t="s">
        <v>331</v>
      </c>
      <c r="F7030" s="29" t="s">
        <v>483</v>
      </c>
      <c r="G7030" s="25" t="s">
        <v>8676</v>
      </c>
      <c r="H7030" s="26">
        <v>-2.2800000000000001E-2</v>
      </c>
      <c r="I7030" s="26"/>
      <c r="J7030" s="26" t="s">
        <v>512</v>
      </c>
      <c r="K7030" s="25" t="s">
        <v>513</v>
      </c>
    </row>
    <row r="7031" spans="1:11" ht="25.5" x14ac:dyDescent="0.25">
      <c r="A7031" s="22">
        <v>2026</v>
      </c>
      <c r="B7031" s="28" t="s">
        <v>249</v>
      </c>
      <c r="C7031" s="28" t="s">
        <v>97</v>
      </c>
      <c r="D7031" s="28" t="s">
        <v>1700</v>
      </c>
      <c r="E7031" s="29" t="s">
        <v>331</v>
      </c>
      <c r="F7031" s="29" t="s">
        <v>483</v>
      </c>
      <c r="G7031" s="25" t="s">
        <v>8677</v>
      </c>
      <c r="H7031" s="26">
        <v>-0.23100000000000001</v>
      </c>
      <c r="I7031" s="26"/>
      <c r="J7031" s="26" t="s">
        <v>512</v>
      </c>
      <c r="K7031" s="25" t="s">
        <v>513</v>
      </c>
    </row>
    <row r="7032" spans="1:11" ht="25.5" x14ac:dyDescent="0.25">
      <c r="A7032" s="22">
        <v>2026</v>
      </c>
      <c r="B7032" s="28" t="s">
        <v>249</v>
      </c>
      <c r="C7032" s="28" t="s">
        <v>97</v>
      </c>
      <c r="D7032" s="28" t="s">
        <v>1700</v>
      </c>
      <c r="E7032" s="29" t="s">
        <v>331</v>
      </c>
      <c r="F7032" s="29" t="s">
        <v>483</v>
      </c>
      <c r="G7032" s="25" t="s">
        <v>8678</v>
      </c>
      <c r="H7032" s="26">
        <v>-0.22800000000000001</v>
      </c>
      <c r="I7032" s="26"/>
      <c r="J7032" s="26" t="s">
        <v>512</v>
      </c>
      <c r="K7032" s="25" t="s">
        <v>513</v>
      </c>
    </row>
    <row r="7033" spans="1:11" ht="25.5" x14ac:dyDescent="0.25">
      <c r="A7033" s="22">
        <v>2026</v>
      </c>
      <c r="B7033" s="28" t="s">
        <v>249</v>
      </c>
      <c r="C7033" s="28" t="s">
        <v>97</v>
      </c>
      <c r="D7033" s="28" t="s">
        <v>1700</v>
      </c>
      <c r="E7033" s="29" t="s">
        <v>331</v>
      </c>
      <c r="F7033" s="29" t="s">
        <v>483</v>
      </c>
      <c r="G7033" s="25" t="s">
        <v>8679</v>
      </c>
      <c r="H7033" s="26">
        <v>-0.14885000000000001</v>
      </c>
      <c r="I7033" s="26"/>
      <c r="J7033" s="26" t="s">
        <v>512</v>
      </c>
      <c r="K7033" s="25" t="s">
        <v>513</v>
      </c>
    </row>
    <row r="7034" spans="1:11" ht="25.5" x14ac:dyDescent="0.25">
      <c r="A7034" s="22">
        <v>2026</v>
      </c>
      <c r="B7034" s="28" t="s">
        <v>249</v>
      </c>
      <c r="C7034" s="28" t="s">
        <v>97</v>
      </c>
      <c r="D7034" s="28" t="s">
        <v>1700</v>
      </c>
      <c r="E7034" s="29" t="s">
        <v>331</v>
      </c>
      <c r="F7034" s="29" t="s">
        <v>483</v>
      </c>
      <c r="G7034" s="25" t="s">
        <v>8680</v>
      </c>
      <c r="H7034" s="26">
        <v>-0.17100000000000001</v>
      </c>
      <c r="I7034" s="26"/>
      <c r="J7034" s="26" t="s">
        <v>512</v>
      </c>
      <c r="K7034" s="25" t="s">
        <v>513</v>
      </c>
    </row>
    <row r="7035" spans="1:11" ht="25.5" x14ac:dyDescent="0.25">
      <c r="A7035" s="22">
        <v>2026</v>
      </c>
      <c r="B7035" s="28" t="s">
        <v>249</v>
      </c>
      <c r="C7035" s="28" t="s">
        <v>97</v>
      </c>
      <c r="D7035" s="28" t="s">
        <v>1700</v>
      </c>
      <c r="E7035" s="29" t="s">
        <v>331</v>
      </c>
      <c r="F7035" s="29" t="s">
        <v>483</v>
      </c>
      <c r="G7035" s="25" t="s">
        <v>8681</v>
      </c>
      <c r="H7035" s="26">
        <v>-0.11550000000000001</v>
      </c>
      <c r="I7035" s="26"/>
      <c r="J7035" s="26" t="s">
        <v>512</v>
      </c>
      <c r="K7035" s="25" t="s">
        <v>513</v>
      </c>
    </row>
    <row r="7036" spans="1:11" ht="25.5" x14ac:dyDescent="0.25">
      <c r="A7036" s="22">
        <v>2026</v>
      </c>
      <c r="B7036" s="28" t="s">
        <v>249</v>
      </c>
      <c r="C7036" s="28" t="s">
        <v>97</v>
      </c>
      <c r="D7036" s="28" t="s">
        <v>1700</v>
      </c>
      <c r="E7036" s="29" t="s">
        <v>331</v>
      </c>
      <c r="F7036" s="29" t="s">
        <v>483</v>
      </c>
      <c r="G7036" s="25" t="s">
        <v>8667</v>
      </c>
      <c r="H7036" s="26">
        <v>-0.17324999999999999</v>
      </c>
      <c r="I7036" s="26"/>
      <c r="J7036" s="26" t="s">
        <v>512</v>
      </c>
      <c r="K7036" s="25" t="s">
        <v>513</v>
      </c>
    </row>
    <row r="7037" spans="1:11" ht="25.5" x14ac:dyDescent="0.25">
      <c r="A7037" s="22">
        <v>2026</v>
      </c>
      <c r="B7037" s="28" t="s">
        <v>249</v>
      </c>
      <c r="C7037" s="28" t="s">
        <v>97</v>
      </c>
      <c r="D7037" s="28" t="s">
        <v>1700</v>
      </c>
      <c r="E7037" s="29" t="s">
        <v>331</v>
      </c>
      <c r="F7037" s="29" t="s">
        <v>483</v>
      </c>
      <c r="G7037" s="25" t="s">
        <v>8681</v>
      </c>
      <c r="H7037" s="26">
        <v>-0.11550000000000001</v>
      </c>
      <c r="I7037" s="26"/>
      <c r="J7037" s="26" t="s">
        <v>512</v>
      </c>
      <c r="K7037" s="25" t="s">
        <v>513</v>
      </c>
    </row>
    <row r="7038" spans="1:11" ht="25.5" x14ac:dyDescent="0.25">
      <c r="A7038" s="22">
        <v>2026</v>
      </c>
      <c r="B7038" s="28" t="s">
        <v>249</v>
      </c>
      <c r="C7038" s="28" t="s">
        <v>97</v>
      </c>
      <c r="D7038" s="28" t="s">
        <v>1701</v>
      </c>
      <c r="E7038" s="29" t="s">
        <v>331</v>
      </c>
      <c r="F7038" s="29" t="s">
        <v>566</v>
      </c>
      <c r="G7038" s="25" t="s">
        <v>8682</v>
      </c>
      <c r="H7038" s="26">
        <v>-0.48875000000000002</v>
      </c>
      <c r="I7038" s="26"/>
      <c r="J7038" s="26" t="s">
        <v>512</v>
      </c>
      <c r="K7038" s="25" t="s">
        <v>513</v>
      </c>
    </row>
    <row r="7039" spans="1:11" ht="25.5" x14ac:dyDescent="0.25">
      <c r="A7039" s="22">
        <v>2026</v>
      </c>
      <c r="B7039" s="28" t="s">
        <v>249</v>
      </c>
      <c r="C7039" s="28" t="s">
        <v>97</v>
      </c>
      <c r="D7039" s="28" t="s">
        <v>1701</v>
      </c>
      <c r="E7039" s="29" t="s">
        <v>331</v>
      </c>
      <c r="F7039" s="29" t="s">
        <v>566</v>
      </c>
      <c r="G7039" s="25" t="s">
        <v>8683</v>
      </c>
      <c r="H7039" s="26">
        <v>-0.74399999999999999</v>
      </c>
      <c r="I7039" s="26"/>
      <c r="J7039" s="26" t="s">
        <v>512</v>
      </c>
      <c r="K7039" s="25" t="s">
        <v>513</v>
      </c>
    </row>
    <row r="7040" spans="1:11" ht="25.5" x14ac:dyDescent="0.25">
      <c r="A7040" s="22">
        <v>2026</v>
      </c>
      <c r="B7040" s="28" t="s">
        <v>249</v>
      </c>
      <c r="C7040" s="28" t="s">
        <v>97</v>
      </c>
      <c r="D7040" s="28" t="s">
        <v>1701</v>
      </c>
      <c r="E7040" s="29" t="s">
        <v>331</v>
      </c>
      <c r="F7040" s="29" t="s">
        <v>566</v>
      </c>
      <c r="G7040" s="25" t="s">
        <v>8684</v>
      </c>
      <c r="H7040" s="26">
        <v>-1.014</v>
      </c>
      <c r="I7040" s="26"/>
      <c r="J7040" s="26" t="s">
        <v>512</v>
      </c>
      <c r="K7040" s="25" t="s">
        <v>513</v>
      </c>
    </row>
    <row r="7041" spans="1:11" ht="25.5" x14ac:dyDescent="0.25">
      <c r="A7041" s="22">
        <v>2026</v>
      </c>
      <c r="B7041" s="28" t="s">
        <v>249</v>
      </c>
      <c r="C7041" s="28" t="s">
        <v>97</v>
      </c>
      <c r="D7041" s="28" t="s">
        <v>1701</v>
      </c>
      <c r="E7041" s="29" t="s">
        <v>331</v>
      </c>
      <c r="F7041" s="29" t="s">
        <v>566</v>
      </c>
      <c r="G7041" s="25" t="s">
        <v>8685</v>
      </c>
      <c r="H7041" s="26">
        <v>-0.75600000000000001</v>
      </c>
      <c r="I7041" s="26"/>
      <c r="J7041" s="26" t="s">
        <v>512</v>
      </c>
      <c r="K7041" s="25" t="s">
        <v>513</v>
      </c>
    </row>
    <row r="7042" spans="1:11" ht="25.5" x14ac:dyDescent="0.25">
      <c r="A7042" s="22">
        <v>2026</v>
      </c>
      <c r="B7042" s="28" t="s">
        <v>249</v>
      </c>
      <c r="C7042" s="28" t="s">
        <v>97</v>
      </c>
      <c r="D7042" s="28" t="s">
        <v>1701</v>
      </c>
      <c r="E7042" s="29" t="s">
        <v>331</v>
      </c>
      <c r="F7042" s="29" t="s">
        <v>566</v>
      </c>
      <c r="G7042" s="25" t="s">
        <v>8686</v>
      </c>
      <c r="H7042" s="26">
        <v>-0.12675</v>
      </c>
      <c r="I7042" s="26"/>
      <c r="J7042" s="26" t="s">
        <v>512</v>
      </c>
      <c r="K7042" s="25" t="s">
        <v>513</v>
      </c>
    </row>
    <row r="7043" spans="1:11" ht="25.5" x14ac:dyDescent="0.25">
      <c r="A7043" s="22">
        <v>2026</v>
      </c>
      <c r="B7043" s="28" t="s">
        <v>249</v>
      </c>
      <c r="C7043" s="28" t="s">
        <v>97</v>
      </c>
      <c r="D7043" s="28" t="s">
        <v>1701</v>
      </c>
      <c r="E7043" s="29" t="s">
        <v>331</v>
      </c>
      <c r="F7043" s="29" t="s">
        <v>566</v>
      </c>
      <c r="G7043" s="25" t="s">
        <v>8687</v>
      </c>
      <c r="H7043" s="26">
        <v>-1.2524500000000001</v>
      </c>
      <c r="I7043" s="26"/>
      <c r="J7043" s="26" t="s">
        <v>512</v>
      </c>
      <c r="K7043" s="25" t="s">
        <v>513</v>
      </c>
    </row>
    <row r="7044" spans="1:11" ht="25.5" x14ac:dyDescent="0.25">
      <c r="A7044" s="22">
        <v>2026</v>
      </c>
      <c r="B7044" s="28" t="s">
        <v>249</v>
      </c>
      <c r="C7044" s="28" t="s">
        <v>97</v>
      </c>
      <c r="D7044" s="28" t="s">
        <v>1701</v>
      </c>
      <c r="E7044" s="29" t="s">
        <v>331</v>
      </c>
      <c r="F7044" s="29" t="s">
        <v>566</v>
      </c>
      <c r="G7044" s="25" t="s">
        <v>8688</v>
      </c>
      <c r="H7044" s="26">
        <v>-0.39078000000000002</v>
      </c>
      <c r="I7044" s="26"/>
      <c r="J7044" s="26" t="s">
        <v>512</v>
      </c>
      <c r="K7044" s="25" t="s">
        <v>513</v>
      </c>
    </row>
    <row r="7045" spans="1:11" ht="25.5" x14ac:dyDescent="0.25">
      <c r="A7045" s="22">
        <v>2026</v>
      </c>
      <c r="B7045" s="28" t="s">
        <v>249</v>
      </c>
      <c r="C7045" s="28" t="s">
        <v>97</v>
      </c>
      <c r="D7045" s="28" t="s">
        <v>1701</v>
      </c>
      <c r="E7045" s="29" t="s">
        <v>331</v>
      </c>
      <c r="F7045" s="29" t="s">
        <v>566</v>
      </c>
      <c r="G7045" s="25" t="s">
        <v>8689</v>
      </c>
      <c r="H7045" s="26">
        <v>-1.4818499999999999</v>
      </c>
      <c r="I7045" s="26"/>
      <c r="J7045" s="26" t="s">
        <v>512</v>
      </c>
      <c r="K7045" s="25" t="s">
        <v>513</v>
      </c>
    </row>
    <row r="7046" spans="1:11" ht="25.5" x14ac:dyDescent="0.25">
      <c r="A7046" s="22">
        <v>2026</v>
      </c>
      <c r="B7046" s="28" t="s">
        <v>249</v>
      </c>
      <c r="C7046" s="28" t="s">
        <v>97</v>
      </c>
      <c r="D7046" s="28" t="s">
        <v>1701</v>
      </c>
      <c r="E7046" s="29" t="s">
        <v>331</v>
      </c>
      <c r="F7046" s="29" t="s">
        <v>566</v>
      </c>
      <c r="G7046" s="25" t="s">
        <v>8690</v>
      </c>
      <c r="H7046" s="26">
        <v>-1.9643200000000001</v>
      </c>
      <c r="I7046" s="26"/>
      <c r="J7046" s="26" t="s">
        <v>512</v>
      </c>
      <c r="K7046" s="25" t="s">
        <v>513</v>
      </c>
    </row>
    <row r="7047" spans="1:11" ht="25.5" x14ac:dyDescent="0.25">
      <c r="A7047" s="22">
        <v>2026</v>
      </c>
      <c r="B7047" s="28" t="s">
        <v>249</v>
      </c>
      <c r="C7047" s="28" t="s">
        <v>97</v>
      </c>
      <c r="D7047" s="28" t="s">
        <v>1701</v>
      </c>
      <c r="E7047" s="29" t="s">
        <v>331</v>
      </c>
      <c r="F7047" s="29" t="s">
        <v>566</v>
      </c>
      <c r="G7047" s="25" t="s">
        <v>8691</v>
      </c>
      <c r="H7047" s="26">
        <v>-0.74099999999999999</v>
      </c>
      <c r="I7047" s="26"/>
      <c r="J7047" s="26" t="s">
        <v>512</v>
      </c>
      <c r="K7047" s="25" t="s">
        <v>513</v>
      </c>
    </row>
    <row r="7048" spans="1:11" ht="25.5" x14ac:dyDescent="0.25">
      <c r="A7048" s="22">
        <v>2026</v>
      </c>
      <c r="B7048" s="28" t="s">
        <v>249</v>
      </c>
      <c r="C7048" s="28" t="s">
        <v>97</v>
      </c>
      <c r="D7048" s="28" t="s">
        <v>1701</v>
      </c>
      <c r="E7048" s="29" t="s">
        <v>331</v>
      </c>
      <c r="F7048" s="29" t="s">
        <v>566</v>
      </c>
      <c r="G7048" s="25" t="s">
        <v>8692</v>
      </c>
      <c r="H7048" s="26">
        <v>-1.2424999999999999</v>
      </c>
      <c r="I7048" s="26"/>
      <c r="J7048" s="26" t="s">
        <v>512</v>
      </c>
      <c r="K7048" s="25" t="s">
        <v>513</v>
      </c>
    </row>
    <row r="7049" spans="1:11" ht="25.5" x14ac:dyDescent="0.25">
      <c r="A7049" s="22">
        <v>2026</v>
      </c>
      <c r="B7049" s="28" t="s">
        <v>249</v>
      </c>
      <c r="C7049" s="28" t="s">
        <v>97</v>
      </c>
      <c r="D7049" s="28" t="s">
        <v>1701</v>
      </c>
      <c r="E7049" s="29" t="s">
        <v>331</v>
      </c>
      <c r="F7049" s="29" t="s">
        <v>566</v>
      </c>
      <c r="G7049" s="25" t="s">
        <v>8693</v>
      </c>
      <c r="H7049" s="26">
        <v>-1.008</v>
      </c>
      <c r="I7049" s="26"/>
      <c r="J7049" s="26" t="s">
        <v>512</v>
      </c>
      <c r="K7049" s="25" t="s">
        <v>513</v>
      </c>
    </row>
    <row r="7050" spans="1:11" ht="25.5" x14ac:dyDescent="0.25">
      <c r="A7050" s="22">
        <v>2026</v>
      </c>
      <c r="B7050" s="28" t="s">
        <v>249</v>
      </c>
      <c r="C7050" s="28" t="s">
        <v>97</v>
      </c>
      <c r="D7050" s="28" t="s">
        <v>1701</v>
      </c>
      <c r="E7050" s="29" t="s">
        <v>331</v>
      </c>
      <c r="F7050" s="29" t="s">
        <v>566</v>
      </c>
      <c r="G7050" s="25" t="s">
        <v>8694</v>
      </c>
      <c r="H7050" s="26">
        <v>-0.77400000000000002</v>
      </c>
      <c r="I7050" s="26"/>
      <c r="J7050" s="26" t="s">
        <v>512</v>
      </c>
      <c r="K7050" s="25" t="s">
        <v>513</v>
      </c>
    </row>
    <row r="7051" spans="1:11" ht="25.5" x14ac:dyDescent="0.25">
      <c r="A7051" s="22">
        <v>2026</v>
      </c>
      <c r="B7051" s="28" t="s">
        <v>249</v>
      </c>
      <c r="C7051" s="28" t="s">
        <v>97</v>
      </c>
      <c r="D7051" s="28" t="s">
        <v>1701</v>
      </c>
      <c r="E7051" s="29" t="s">
        <v>331</v>
      </c>
      <c r="F7051" s="29" t="s">
        <v>566</v>
      </c>
      <c r="G7051" s="25" t="s">
        <v>8695</v>
      </c>
      <c r="H7051" s="26">
        <v>-2.0720000000000001</v>
      </c>
      <c r="I7051" s="26"/>
      <c r="J7051" s="26" t="s">
        <v>512</v>
      </c>
      <c r="K7051" s="25" t="s">
        <v>513</v>
      </c>
    </row>
    <row r="7052" spans="1:11" ht="25.5" x14ac:dyDescent="0.25">
      <c r="A7052" s="22">
        <v>2026</v>
      </c>
      <c r="B7052" s="28" t="s">
        <v>249</v>
      </c>
      <c r="C7052" s="28" t="s">
        <v>97</v>
      </c>
      <c r="D7052" s="28" t="s">
        <v>201</v>
      </c>
      <c r="E7052" s="29" t="s">
        <v>331</v>
      </c>
      <c r="F7052" s="29" t="s">
        <v>316</v>
      </c>
      <c r="G7052" s="25" t="s">
        <v>8696</v>
      </c>
      <c r="H7052" s="26">
        <v>-0.40649999999999997</v>
      </c>
      <c r="I7052" s="26"/>
      <c r="J7052" s="26" t="s">
        <v>512</v>
      </c>
      <c r="K7052" s="25" t="s">
        <v>513</v>
      </c>
    </row>
    <row r="7053" spans="1:11" ht="25.5" x14ac:dyDescent="0.25">
      <c r="A7053" s="22">
        <v>2026</v>
      </c>
      <c r="B7053" s="28" t="s">
        <v>249</v>
      </c>
      <c r="C7053" s="28" t="s">
        <v>97</v>
      </c>
      <c r="D7053" s="28" t="s">
        <v>201</v>
      </c>
      <c r="E7053" s="29" t="s">
        <v>331</v>
      </c>
      <c r="F7053" s="29" t="s">
        <v>316</v>
      </c>
      <c r="G7053" s="25" t="s">
        <v>8697</v>
      </c>
      <c r="H7053" s="26">
        <v>-0.25423756829999999</v>
      </c>
      <c r="I7053" s="26"/>
      <c r="J7053" s="26" t="s">
        <v>512</v>
      </c>
      <c r="K7053" s="25" t="s">
        <v>513</v>
      </c>
    </row>
    <row r="7054" spans="1:11" ht="25.5" x14ac:dyDescent="0.25">
      <c r="A7054" s="22">
        <v>2026</v>
      </c>
      <c r="B7054" s="28" t="s">
        <v>249</v>
      </c>
      <c r="C7054" s="28" t="s">
        <v>97</v>
      </c>
      <c r="D7054" s="28" t="s">
        <v>201</v>
      </c>
      <c r="E7054" s="29" t="s">
        <v>331</v>
      </c>
      <c r="F7054" s="29" t="s">
        <v>316</v>
      </c>
      <c r="G7054" s="25" t="s">
        <v>8698</v>
      </c>
      <c r="H7054" s="26">
        <v>-0.40944999999999998</v>
      </c>
      <c r="I7054" s="26"/>
      <c r="J7054" s="26" t="s">
        <v>512</v>
      </c>
      <c r="K7054" s="25" t="s">
        <v>513</v>
      </c>
    </row>
    <row r="7055" spans="1:11" ht="25.5" x14ac:dyDescent="0.25">
      <c r="A7055" s="22">
        <v>2026</v>
      </c>
      <c r="B7055" s="28" t="s">
        <v>249</v>
      </c>
      <c r="C7055" s="28" t="s">
        <v>97</v>
      </c>
      <c r="D7055" s="28" t="s">
        <v>201</v>
      </c>
      <c r="E7055" s="29" t="s">
        <v>331</v>
      </c>
      <c r="F7055" s="29" t="s">
        <v>316</v>
      </c>
      <c r="G7055" s="25" t="s">
        <v>8699</v>
      </c>
      <c r="H7055" s="26">
        <v>-0.65571999999999997</v>
      </c>
      <c r="I7055" s="26"/>
      <c r="J7055" s="26" t="s">
        <v>512</v>
      </c>
      <c r="K7055" s="25" t="s">
        <v>513</v>
      </c>
    </row>
    <row r="7056" spans="1:11" ht="25.5" x14ac:dyDescent="0.25">
      <c r="A7056" s="22">
        <v>2026</v>
      </c>
      <c r="B7056" s="28" t="s">
        <v>249</v>
      </c>
      <c r="C7056" s="28" t="s">
        <v>97</v>
      </c>
      <c r="D7056" s="28" t="s">
        <v>201</v>
      </c>
      <c r="E7056" s="29" t="s">
        <v>331</v>
      </c>
      <c r="F7056" s="29" t="s">
        <v>316</v>
      </c>
      <c r="G7056" s="25" t="s">
        <v>8700</v>
      </c>
      <c r="H7056" s="26">
        <v>-0.2121137421</v>
      </c>
      <c r="I7056" s="26"/>
      <c r="J7056" s="26" t="s">
        <v>512</v>
      </c>
      <c r="K7056" s="25" t="s">
        <v>513</v>
      </c>
    </row>
    <row r="7057" spans="1:11" ht="25.5" x14ac:dyDescent="0.25">
      <c r="A7057" s="22">
        <v>2026</v>
      </c>
      <c r="B7057" s="28" t="s">
        <v>249</v>
      </c>
      <c r="C7057" s="28" t="s">
        <v>97</v>
      </c>
      <c r="D7057" s="28" t="s">
        <v>201</v>
      </c>
      <c r="E7057" s="29" t="s">
        <v>331</v>
      </c>
      <c r="F7057" s="29" t="s">
        <v>316</v>
      </c>
      <c r="G7057" s="25" t="s">
        <v>8701</v>
      </c>
      <c r="H7057" s="26">
        <v>-0.1256129487</v>
      </c>
      <c r="I7057" s="26"/>
      <c r="J7057" s="26" t="s">
        <v>512</v>
      </c>
      <c r="K7057" s="25" t="s">
        <v>513</v>
      </c>
    </row>
    <row r="7058" spans="1:11" ht="25.5" x14ac:dyDescent="0.25">
      <c r="A7058" s="22">
        <v>2026</v>
      </c>
      <c r="B7058" s="28" t="s">
        <v>249</v>
      </c>
      <c r="C7058" s="28" t="s">
        <v>97</v>
      </c>
      <c r="D7058" s="28" t="s">
        <v>201</v>
      </c>
      <c r="E7058" s="29" t="s">
        <v>331</v>
      </c>
      <c r="F7058" s="29" t="s">
        <v>316</v>
      </c>
      <c r="G7058" s="25" t="s">
        <v>8702</v>
      </c>
      <c r="H7058" s="26">
        <v>-0.39372499999999999</v>
      </c>
      <c r="I7058" s="26"/>
      <c r="J7058" s="26" t="s">
        <v>512</v>
      </c>
      <c r="K7058" s="25" t="s">
        <v>513</v>
      </c>
    </row>
    <row r="7059" spans="1:11" ht="25.5" x14ac:dyDescent="0.25">
      <c r="A7059" s="22">
        <v>2026</v>
      </c>
      <c r="B7059" s="28" t="s">
        <v>249</v>
      </c>
      <c r="C7059" s="28" t="s">
        <v>97</v>
      </c>
      <c r="D7059" s="28" t="s">
        <v>201</v>
      </c>
      <c r="E7059" s="29" t="s">
        <v>331</v>
      </c>
      <c r="F7059" s="29" t="s">
        <v>316</v>
      </c>
      <c r="G7059" s="25" t="s">
        <v>8703</v>
      </c>
      <c r="H7059" s="26">
        <v>-0.64351999999999998</v>
      </c>
      <c r="I7059" s="26"/>
      <c r="J7059" s="26" t="s">
        <v>512</v>
      </c>
      <c r="K7059" s="25" t="s">
        <v>513</v>
      </c>
    </row>
    <row r="7060" spans="1:11" ht="25.5" x14ac:dyDescent="0.25">
      <c r="A7060" s="22">
        <v>2026</v>
      </c>
      <c r="B7060" s="28" t="s">
        <v>249</v>
      </c>
      <c r="C7060" s="28" t="s">
        <v>97</v>
      </c>
      <c r="D7060" s="28" t="s">
        <v>201</v>
      </c>
      <c r="E7060" s="29" t="s">
        <v>331</v>
      </c>
      <c r="F7060" s="29" t="s">
        <v>316</v>
      </c>
      <c r="G7060" s="25" t="s">
        <v>8704</v>
      </c>
      <c r="H7060" s="26">
        <v>-0.44856335999999997</v>
      </c>
      <c r="I7060" s="26"/>
      <c r="J7060" s="26" t="s">
        <v>512</v>
      </c>
      <c r="K7060" s="25" t="s">
        <v>513</v>
      </c>
    </row>
    <row r="7061" spans="1:11" ht="25.5" x14ac:dyDescent="0.25">
      <c r="A7061" s="22">
        <v>2026</v>
      </c>
      <c r="B7061" s="28" t="s">
        <v>249</v>
      </c>
      <c r="C7061" s="28" t="s">
        <v>97</v>
      </c>
      <c r="D7061" s="28" t="s">
        <v>201</v>
      </c>
      <c r="E7061" s="29" t="s">
        <v>331</v>
      </c>
      <c r="F7061" s="29" t="s">
        <v>316</v>
      </c>
      <c r="G7061" s="25" t="s">
        <v>8705</v>
      </c>
      <c r="H7061" s="26">
        <v>-0.2816401731</v>
      </c>
      <c r="I7061" s="26"/>
      <c r="J7061" s="26" t="s">
        <v>512</v>
      </c>
      <c r="K7061" s="25" t="s">
        <v>513</v>
      </c>
    </row>
    <row r="7062" spans="1:11" ht="25.5" x14ac:dyDescent="0.25">
      <c r="A7062" s="22">
        <v>2026</v>
      </c>
      <c r="B7062" s="28" t="s">
        <v>249</v>
      </c>
      <c r="C7062" s="28" t="s">
        <v>97</v>
      </c>
      <c r="D7062" s="28" t="s">
        <v>201</v>
      </c>
      <c r="E7062" s="29" t="s">
        <v>331</v>
      </c>
      <c r="F7062" s="29" t="s">
        <v>316</v>
      </c>
      <c r="G7062" s="25" t="s">
        <v>8706</v>
      </c>
      <c r="H7062" s="26">
        <v>-0.64459999999999995</v>
      </c>
      <c r="I7062" s="26"/>
      <c r="J7062" s="26" t="s">
        <v>512</v>
      </c>
      <c r="K7062" s="25" t="s">
        <v>513</v>
      </c>
    </row>
    <row r="7063" spans="1:11" ht="25.5" x14ac:dyDescent="0.25">
      <c r="A7063" s="22">
        <v>2026</v>
      </c>
      <c r="B7063" s="28" t="s">
        <v>249</v>
      </c>
      <c r="C7063" s="28" t="s">
        <v>97</v>
      </c>
      <c r="D7063" s="28" t="s">
        <v>532</v>
      </c>
      <c r="E7063" s="29" t="s">
        <v>331</v>
      </c>
      <c r="F7063" s="29" t="s">
        <v>386</v>
      </c>
      <c r="G7063" s="25" t="s">
        <v>8707</v>
      </c>
      <c r="H7063" s="26">
        <v>-0.217</v>
      </c>
      <c r="I7063" s="26"/>
      <c r="J7063" s="26" t="s">
        <v>512</v>
      </c>
      <c r="K7063" s="25" t="s">
        <v>513</v>
      </c>
    </row>
    <row r="7064" spans="1:11" ht="25.5" x14ac:dyDescent="0.25">
      <c r="A7064" s="22">
        <v>2026</v>
      </c>
      <c r="B7064" s="28" t="s">
        <v>249</v>
      </c>
      <c r="C7064" s="28" t="s">
        <v>97</v>
      </c>
      <c r="D7064" s="28" t="s">
        <v>532</v>
      </c>
      <c r="E7064" s="29" t="s">
        <v>331</v>
      </c>
      <c r="F7064" s="29" t="s">
        <v>386</v>
      </c>
      <c r="G7064" s="25" t="s">
        <v>8708</v>
      </c>
      <c r="H7064" s="26">
        <v>-0.14110200000000001</v>
      </c>
      <c r="I7064" s="26"/>
      <c r="J7064" s="26" t="s">
        <v>512</v>
      </c>
      <c r="K7064" s="25" t="s">
        <v>513</v>
      </c>
    </row>
    <row r="7065" spans="1:11" ht="25.5" x14ac:dyDescent="0.25">
      <c r="A7065" s="22">
        <v>2026</v>
      </c>
      <c r="B7065" s="28" t="s">
        <v>249</v>
      </c>
      <c r="C7065" s="28" t="s">
        <v>97</v>
      </c>
      <c r="D7065" s="28" t="s">
        <v>532</v>
      </c>
      <c r="E7065" s="29" t="s">
        <v>331</v>
      </c>
      <c r="F7065" s="29" t="s">
        <v>386</v>
      </c>
      <c r="G7065" s="25" t="s">
        <v>8709</v>
      </c>
      <c r="H7065" s="26">
        <v>-5.7454376600000003E-2</v>
      </c>
      <c r="I7065" s="26"/>
      <c r="J7065" s="26" t="s">
        <v>512</v>
      </c>
      <c r="K7065" s="25" t="s">
        <v>513</v>
      </c>
    </row>
    <row r="7066" spans="1:11" ht="25.5" x14ac:dyDescent="0.25">
      <c r="A7066" s="22">
        <v>2026</v>
      </c>
      <c r="B7066" s="28" t="s">
        <v>249</v>
      </c>
      <c r="C7066" s="28" t="s">
        <v>97</v>
      </c>
      <c r="D7066" s="28" t="s">
        <v>532</v>
      </c>
      <c r="E7066" s="29" t="s">
        <v>331</v>
      </c>
      <c r="F7066" s="29" t="s">
        <v>386</v>
      </c>
      <c r="G7066" s="25" t="s">
        <v>8710</v>
      </c>
      <c r="H7066" s="26">
        <v>-5.3749999999999999E-2</v>
      </c>
      <c r="I7066" s="26"/>
      <c r="J7066" s="26" t="s">
        <v>512</v>
      </c>
      <c r="K7066" s="25" t="s">
        <v>513</v>
      </c>
    </row>
    <row r="7067" spans="1:11" ht="25.5" x14ac:dyDescent="0.25">
      <c r="A7067" s="22">
        <v>2026</v>
      </c>
      <c r="B7067" s="28" t="s">
        <v>249</v>
      </c>
      <c r="C7067" s="28" t="s">
        <v>97</v>
      </c>
      <c r="D7067" s="28" t="s">
        <v>532</v>
      </c>
      <c r="E7067" s="29" t="s">
        <v>331</v>
      </c>
      <c r="F7067" s="29" t="s">
        <v>386</v>
      </c>
      <c r="G7067" s="25" t="s">
        <v>8711</v>
      </c>
      <c r="H7067" s="26">
        <v>-9.3681585600000006E-2</v>
      </c>
      <c r="I7067" s="26"/>
      <c r="J7067" s="26" t="s">
        <v>512</v>
      </c>
      <c r="K7067" s="25" t="s">
        <v>513</v>
      </c>
    </row>
    <row r="7068" spans="1:11" ht="25.5" x14ac:dyDescent="0.25">
      <c r="A7068" s="22">
        <v>2026</v>
      </c>
      <c r="B7068" s="28" t="s">
        <v>249</v>
      </c>
      <c r="C7068" s="28" t="s">
        <v>97</v>
      </c>
      <c r="D7068" s="28" t="s">
        <v>532</v>
      </c>
      <c r="E7068" s="29" t="s">
        <v>331</v>
      </c>
      <c r="F7068" s="29" t="s">
        <v>386</v>
      </c>
      <c r="G7068" s="25" t="s">
        <v>8712</v>
      </c>
      <c r="H7068" s="26">
        <v>-0.116577524</v>
      </c>
      <c r="I7068" s="26"/>
      <c r="J7068" s="26" t="s">
        <v>512</v>
      </c>
      <c r="K7068" s="25" t="s">
        <v>513</v>
      </c>
    </row>
    <row r="7069" spans="1:11" ht="25.5" x14ac:dyDescent="0.25">
      <c r="A7069" s="22">
        <v>2026</v>
      </c>
      <c r="B7069" s="28" t="s">
        <v>249</v>
      </c>
      <c r="C7069" s="28" t="s">
        <v>97</v>
      </c>
      <c r="D7069" s="28" t="s">
        <v>532</v>
      </c>
      <c r="E7069" s="29" t="s">
        <v>331</v>
      </c>
      <c r="F7069" s="29" t="s">
        <v>386</v>
      </c>
      <c r="G7069" s="25" t="s">
        <v>8713</v>
      </c>
      <c r="H7069" s="26">
        <v>-0.17016116000000001</v>
      </c>
      <c r="I7069" s="26"/>
      <c r="J7069" s="26" t="s">
        <v>512</v>
      </c>
      <c r="K7069" s="25" t="s">
        <v>513</v>
      </c>
    </row>
    <row r="7070" spans="1:11" ht="25.5" x14ac:dyDescent="0.25">
      <c r="A7070" s="22">
        <v>2026</v>
      </c>
      <c r="B7070" s="28" t="s">
        <v>249</v>
      </c>
      <c r="C7070" s="28" t="s">
        <v>97</v>
      </c>
      <c r="D7070" s="28" t="s">
        <v>532</v>
      </c>
      <c r="E7070" s="29" t="s">
        <v>331</v>
      </c>
      <c r="F7070" s="29" t="s">
        <v>386</v>
      </c>
      <c r="G7070" s="25" t="s">
        <v>8714</v>
      </c>
      <c r="H7070" s="26">
        <v>-8.7999999999999995E-2</v>
      </c>
      <c r="I7070" s="26"/>
      <c r="J7070" s="26" t="s">
        <v>512</v>
      </c>
      <c r="K7070" s="25" t="s">
        <v>513</v>
      </c>
    </row>
    <row r="7071" spans="1:11" ht="25.5" x14ac:dyDescent="0.25">
      <c r="A7071" s="22">
        <v>2026</v>
      </c>
      <c r="B7071" s="28" t="s">
        <v>249</v>
      </c>
      <c r="C7071" s="28" t="s">
        <v>97</v>
      </c>
      <c r="D7071" s="28" t="s">
        <v>1702</v>
      </c>
      <c r="E7071" s="29" t="s">
        <v>1763</v>
      </c>
      <c r="F7071" s="29" t="s">
        <v>378</v>
      </c>
      <c r="G7071" s="25" t="s">
        <v>8715</v>
      </c>
      <c r="H7071" s="26">
        <v>-1.7475000000000001E-2</v>
      </c>
      <c r="I7071" s="26"/>
      <c r="J7071" s="26" t="s">
        <v>514</v>
      </c>
      <c r="K7071" s="25" t="s">
        <v>513</v>
      </c>
    </row>
    <row r="7072" spans="1:11" ht="25.5" x14ac:dyDescent="0.25">
      <c r="A7072" s="22">
        <v>2026</v>
      </c>
      <c r="B7072" s="28" t="s">
        <v>249</v>
      </c>
      <c r="C7072" s="28" t="s">
        <v>97</v>
      </c>
      <c r="D7072" s="28" t="s">
        <v>1702</v>
      </c>
      <c r="E7072" s="29" t="s">
        <v>1763</v>
      </c>
      <c r="F7072" s="29" t="s">
        <v>378</v>
      </c>
      <c r="G7072" s="25" t="s">
        <v>8716</v>
      </c>
      <c r="H7072" s="26">
        <v>-4.0425000000000003E-2</v>
      </c>
      <c r="I7072" s="26"/>
      <c r="J7072" s="26" t="s">
        <v>514</v>
      </c>
      <c r="K7072" s="25" t="s">
        <v>513</v>
      </c>
    </row>
    <row r="7073" spans="1:11" ht="25.5" x14ac:dyDescent="0.25">
      <c r="A7073" s="22">
        <v>2026</v>
      </c>
      <c r="B7073" s="28" t="s">
        <v>249</v>
      </c>
      <c r="C7073" s="28" t="s">
        <v>97</v>
      </c>
      <c r="D7073" s="28" t="s">
        <v>1703</v>
      </c>
      <c r="E7073" s="29" t="s">
        <v>569</v>
      </c>
      <c r="F7073" s="29" t="s">
        <v>298</v>
      </c>
      <c r="G7073" s="25" t="s">
        <v>8717</v>
      </c>
      <c r="H7073" s="26">
        <v>-0.3310186</v>
      </c>
      <c r="I7073" s="26"/>
      <c r="J7073" s="26" t="s">
        <v>512</v>
      </c>
      <c r="K7073" s="25" t="s">
        <v>526</v>
      </c>
    </row>
    <row r="7074" spans="1:11" ht="25.5" x14ac:dyDescent="0.25">
      <c r="A7074" s="22">
        <v>2026</v>
      </c>
      <c r="B7074" s="28" t="s">
        <v>249</v>
      </c>
      <c r="C7074" s="28" t="s">
        <v>97</v>
      </c>
      <c r="D7074" s="28" t="s">
        <v>1703</v>
      </c>
      <c r="E7074" s="29" t="s">
        <v>569</v>
      </c>
      <c r="F7074" s="29" t="s">
        <v>298</v>
      </c>
      <c r="G7074" s="25" t="s">
        <v>8718</v>
      </c>
      <c r="H7074" s="26">
        <v>-0.34470949028000003</v>
      </c>
      <c r="I7074" s="26"/>
      <c r="J7074" s="26" t="s">
        <v>512</v>
      </c>
      <c r="K7074" s="25" t="s">
        <v>526</v>
      </c>
    </row>
    <row r="7075" spans="1:11" ht="25.5" x14ac:dyDescent="0.25">
      <c r="A7075" s="22">
        <v>2026</v>
      </c>
      <c r="B7075" s="28" t="s">
        <v>249</v>
      </c>
      <c r="C7075" s="28" t="s">
        <v>97</v>
      </c>
      <c r="D7075" s="28" t="s">
        <v>1703</v>
      </c>
      <c r="E7075" s="29" t="s">
        <v>569</v>
      </c>
      <c r="F7075" s="29" t="s">
        <v>298</v>
      </c>
      <c r="G7075" s="25" t="s">
        <v>8719</v>
      </c>
      <c r="H7075" s="26">
        <v>-0.27939898478000003</v>
      </c>
      <c r="I7075" s="26"/>
      <c r="J7075" s="26" t="s">
        <v>512</v>
      </c>
      <c r="K7075" s="25" t="s">
        <v>526</v>
      </c>
    </row>
    <row r="7076" spans="1:11" ht="25.5" x14ac:dyDescent="0.25">
      <c r="A7076" s="22">
        <v>2026</v>
      </c>
      <c r="B7076" s="28" t="s">
        <v>249</v>
      </c>
      <c r="C7076" s="28" t="s">
        <v>97</v>
      </c>
      <c r="D7076" s="28" t="s">
        <v>1703</v>
      </c>
      <c r="E7076" s="29" t="s">
        <v>569</v>
      </c>
      <c r="F7076" s="29" t="s">
        <v>298</v>
      </c>
      <c r="G7076" s="25" t="s">
        <v>8720</v>
      </c>
      <c r="H7076" s="26">
        <v>-0.52665441400000002</v>
      </c>
      <c r="I7076" s="26"/>
      <c r="J7076" s="26" t="s">
        <v>512</v>
      </c>
      <c r="K7076" s="25" t="s">
        <v>526</v>
      </c>
    </row>
    <row r="7077" spans="1:11" ht="25.5" x14ac:dyDescent="0.25">
      <c r="A7077" s="22">
        <v>2026</v>
      </c>
      <c r="B7077" s="28" t="s">
        <v>249</v>
      </c>
      <c r="C7077" s="28" t="s">
        <v>97</v>
      </c>
      <c r="D7077" s="28" t="s">
        <v>1703</v>
      </c>
      <c r="E7077" s="29" t="s">
        <v>569</v>
      </c>
      <c r="F7077" s="29" t="s">
        <v>298</v>
      </c>
      <c r="G7077" s="25" t="s">
        <v>8721</v>
      </c>
      <c r="H7077" s="26">
        <v>-0.44384474639999999</v>
      </c>
      <c r="I7077" s="26"/>
      <c r="J7077" s="26" t="s">
        <v>512</v>
      </c>
      <c r="K7077" s="25" t="s">
        <v>526</v>
      </c>
    </row>
    <row r="7078" spans="1:11" ht="25.5" x14ac:dyDescent="0.25">
      <c r="A7078" s="22">
        <v>2026</v>
      </c>
      <c r="B7078" s="28" t="s">
        <v>249</v>
      </c>
      <c r="C7078" s="28" t="s">
        <v>97</v>
      </c>
      <c r="D7078" s="28" t="s">
        <v>1703</v>
      </c>
      <c r="E7078" s="29" t="s">
        <v>569</v>
      </c>
      <c r="F7078" s="29" t="s">
        <v>298</v>
      </c>
      <c r="G7078" s="25" t="s">
        <v>8722</v>
      </c>
      <c r="H7078" s="26">
        <v>-0.44746460175999997</v>
      </c>
      <c r="I7078" s="26"/>
      <c r="J7078" s="26" t="s">
        <v>512</v>
      </c>
      <c r="K7078" s="25" t="s">
        <v>526</v>
      </c>
    </row>
    <row r="7079" spans="1:11" ht="25.5" x14ac:dyDescent="0.25">
      <c r="A7079" s="22">
        <v>2026</v>
      </c>
      <c r="B7079" s="28" t="s">
        <v>249</v>
      </c>
      <c r="C7079" s="28" t="s">
        <v>97</v>
      </c>
      <c r="D7079" s="28" t="s">
        <v>1703</v>
      </c>
      <c r="E7079" s="29" t="s">
        <v>569</v>
      </c>
      <c r="F7079" s="29" t="s">
        <v>298</v>
      </c>
      <c r="G7079" s="25" t="s">
        <v>8723</v>
      </c>
      <c r="H7079" s="26">
        <v>-0.374585</v>
      </c>
      <c r="I7079" s="26"/>
      <c r="J7079" s="26" t="s">
        <v>512</v>
      </c>
      <c r="K7079" s="25" t="s">
        <v>526</v>
      </c>
    </row>
    <row r="7080" spans="1:11" ht="25.5" x14ac:dyDescent="0.25">
      <c r="A7080" s="22">
        <v>2026</v>
      </c>
      <c r="B7080" s="28" t="s">
        <v>249</v>
      </c>
      <c r="C7080" s="28" t="s">
        <v>97</v>
      </c>
      <c r="D7080" s="28" t="s">
        <v>1703</v>
      </c>
      <c r="E7080" s="29" t="s">
        <v>569</v>
      </c>
      <c r="F7080" s="29" t="s">
        <v>298</v>
      </c>
      <c r="G7080" s="25" t="s">
        <v>8724</v>
      </c>
      <c r="H7080" s="26">
        <v>-0.42649965000000001</v>
      </c>
      <c r="I7080" s="26"/>
      <c r="J7080" s="26" t="s">
        <v>512</v>
      </c>
      <c r="K7080" s="25" t="s">
        <v>526</v>
      </c>
    </row>
    <row r="7081" spans="1:11" ht="25.5" x14ac:dyDescent="0.25">
      <c r="A7081" s="22">
        <v>2026</v>
      </c>
      <c r="B7081" s="28" t="s">
        <v>249</v>
      </c>
      <c r="C7081" s="28" t="s">
        <v>97</v>
      </c>
      <c r="D7081" s="28" t="s">
        <v>1703</v>
      </c>
      <c r="E7081" s="29" t="s">
        <v>569</v>
      </c>
      <c r="F7081" s="29" t="s">
        <v>298</v>
      </c>
      <c r="G7081" s="25" t="s">
        <v>8725</v>
      </c>
      <c r="H7081" s="26">
        <v>-0.39067535520000002</v>
      </c>
      <c r="I7081" s="26"/>
      <c r="J7081" s="26" t="s">
        <v>512</v>
      </c>
      <c r="K7081" s="25" t="s">
        <v>526</v>
      </c>
    </row>
    <row r="7082" spans="1:11" ht="25.5" x14ac:dyDescent="0.25">
      <c r="A7082" s="22">
        <v>2026</v>
      </c>
      <c r="B7082" s="28" t="s">
        <v>249</v>
      </c>
      <c r="C7082" s="28" t="s">
        <v>97</v>
      </c>
      <c r="D7082" s="28" t="s">
        <v>1703</v>
      </c>
      <c r="E7082" s="29" t="s">
        <v>569</v>
      </c>
      <c r="F7082" s="29" t="s">
        <v>298</v>
      </c>
      <c r="G7082" s="25" t="s">
        <v>8726</v>
      </c>
      <c r="H7082" s="26">
        <v>-0.41639920000000002</v>
      </c>
      <c r="I7082" s="26"/>
      <c r="J7082" s="26" t="s">
        <v>512</v>
      </c>
      <c r="K7082" s="25" t="s">
        <v>526</v>
      </c>
    </row>
    <row r="7083" spans="1:11" ht="25.5" x14ac:dyDescent="0.25">
      <c r="A7083" s="22">
        <v>2026</v>
      </c>
      <c r="B7083" s="28" t="s">
        <v>249</v>
      </c>
      <c r="C7083" s="28" t="s">
        <v>97</v>
      </c>
      <c r="D7083" s="28" t="s">
        <v>1703</v>
      </c>
      <c r="E7083" s="29" t="s">
        <v>569</v>
      </c>
      <c r="F7083" s="29" t="s">
        <v>298</v>
      </c>
      <c r="G7083" s="25" t="s">
        <v>8727</v>
      </c>
      <c r="H7083" s="26">
        <v>-0.3674</v>
      </c>
      <c r="I7083" s="26"/>
      <c r="J7083" s="26" t="s">
        <v>512</v>
      </c>
      <c r="K7083" s="25" t="s">
        <v>526</v>
      </c>
    </row>
    <row r="7084" spans="1:11" ht="25.5" x14ac:dyDescent="0.25">
      <c r="A7084" s="22">
        <v>2026</v>
      </c>
      <c r="B7084" s="28" t="s">
        <v>249</v>
      </c>
      <c r="C7084" s="28" t="s">
        <v>97</v>
      </c>
      <c r="D7084" s="28" t="s">
        <v>1703</v>
      </c>
      <c r="E7084" s="29" t="s">
        <v>569</v>
      </c>
      <c r="F7084" s="29" t="s">
        <v>298</v>
      </c>
      <c r="G7084" s="25" t="s">
        <v>8728</v>
      </c>
      <c r="H7084" s="26">
        <v>-0.28203083579999999</v>
      </c>
      <c r="I7084" s="26"/>
      <c r="J7084" s="26" t="s">
        <v>512</v>
      </c>
      <c r="K7084" s="25" t="s">
        <v>526</v>
      </c>
    </row>
    <row r="7085" spans="1:11" ht="25.5" x14ac:dyDescent="0.25">
      <c r="A7085" s="22">
        <v>2026</v>
      </c>
      <c r="B7085" s="28" t="s">
        <v>249</v>
      </c>
      <c r="C7085" s="28" t="s">
        <v>97</v>
      </c>
      <c r="D7085" s="28" t="s">
        <v>1703</v>
      </c>
      <c r="E7085" s="29" t="s">
        <v>569</v>
      </c>
      <c r="F7085" s="29" t="s">
        <v>298</v>
      </c>
      <c r="G7085" s="25" t="s">
        <v>8729</v>
      </c>
      <c r="H7085" s="26">
        <v>-0.34878599112000003</v>
      </c>
      <c r="I7085" s="26"/>
      <c r="J7085" s="26" t="s">
        <v>512</v>
      </c>
      <c r="K7085" s="25" t="s">
        <v>526</v>
      </c>
    </row>
    <row r="7086" spans="1:11" ht="25.5" x14ac:dyDescent="0.25">
      <c r="A7086" s="22">
        <v>2026</v>
      </c>
      <c r="B7086" s="28" t="s">
        <v>249</v>
      </c>
      <c r="C7086" s="28" t="s">
        <v>97</v>
      </c>
      <c r="D7086" s="28" t="s">
        <v>1703</v>
      </c>
      <c r="E7086" s="29" t="s">
        <v>569</v>
      </c>
      <c r="F7086" s="29" t="s">
        <v>298</v>
      </c>
      <c r="G7086" s="25" t="s">
        <v>8730</v>
      </c>
      <c r="H7086" s="26">
        <v>-0.47420479999999998</v>
      </c>
      <c r="I7086" s="26"/>
      <c r="J7086" s="26" t="s">
        <v>512</v>
      </c>
      <c r="K7086" s="25" t="s">
        <v>526</v>
      </c>
    </row>
    <row r="7087" spans="1:11" ht="25.5" x14ac:dyDescent="0.25">
      <c r="A7087" s="22">
        <v>2026</v>
      </c>
      <c r="B7087" s="28" t="s">
        <v>249</v>
      </c>
      <c r="C7087" s="28" t="s">
        <v>97</v>
      </c>
      <c r="D7087" s="28" t="s">
        <v>1703</v>
      </c>
      <c r="E7087" s="29" t="s">
        <v>569</v>
      </c>
      <c r="F7087" s="29" t="s">
        <v>298</v>
      </c>
      <c r="G7087" s="25" t="s">
        <v>8731</v>
      </c>
      <c r="H7087" s="26">
        <v>-0.47503679999999998</v>
      </c>
      <c r="I7087" s="26"/>
      <c r="J7087" s="26" t="s">
        <v>512</v>
      </c>
      <c r="K7087" s="25" t="s">
        <v>526</v>
      </c>
    </row>
    <row r="7088" spans="1:11" ht="25.5" x14ac:dyDescent="0.25">
      <c r="A7088" s="22">
        <v>2026</v>
      </c>
      <c r="B7088" s="28" t="s">
        <v>249</v>
      </c>
      <c r="C7088" s="28" t="s">
        <v>97</v>
      </c>
      <c r="D7088" s="28" t="s">
        <v>1703</v>
      </c>
      <c r="E7088" s="29" t="s">
        <v>569</v>
      </c>
      <c r="F7088" s="29" t="s">
        <v>298</v>
      </c>
      <c r="G7088" s="25" t="s">
        <v>8732</v>
      </c>
      <c r="H7088" s="26">
        <v>-0.35954730000000001</v>
      </c>
      <c r="I7088" s="26"/>
      <c r="J7088" s="26" t="s">
        <v>512</v>
      </c>
      <c r="K7088" s="25" t="s">
        <v>526</v>
      </c>
    </row>
    <row r="7089" spans="1:11" ht="25.5" x14ac:dyDescent="0.25">
      <c r="A7089" s="22">
        <v>2026</v>
      </c>
      <c r="B7089" s="28" t="s">
        <v>249</v>
      </c>
      <c r="C7089" s="28" t="s">
        <v>97</v>
      </c>
      <c r="D7089" s="28" t="s">
        <v>1703</v>
      </c>
      <c r="E7089" s="29" t="s">
        <v>569</v>
      </c>
      <c r="F7089" s="29" t="s">
        <v>298</v>
      </c>
      <c r="G7089" s="25" t="s">
        <v>8733</v>
      </c>
      <c r="H7089" s="26">
        <v>-0.4103484</v>
      </c>
      <c r="I7089" s="26"/>
      <c r="J7089" s="26" t="s">
        <v>512</v>
      </c>
      <c r="K7089" s="25" t="s">
        <v>526</v>
      </c>
    </row>
    <row r="7090" spans="1:11" ht="25.5" x14ac:dyDescent="0.25">
      <c r="A7090" s="22">
        <v>2026</v>
      </c>
      <c r="B7090" s="28" t="s">
        <v>249</v>
      </c>
      <c r="C7090" s="28" t="s">
        <v>97</v>
      </c>
      <c r="D7090" s="28" t="s">
        <v>1703</v>
      </c>
      <c r="E7090" s="29" t="s">
        <v>569</v>
      </c>
      <c r="F7090" s="29" t="s">
        <v>298</v>
      </c>
      <c r="G7090" s="25" t="s">
        <v>8734</v>
      </c>
      <c r="H7090" s="26">
        <v>-0.36310750000000003</v>
      </c>
      <c r="I7090" s="26"/>
      <c r="J7090" s="26" t="s">
        <v>512</v>
      </c>
      <c r="K7090" s="25" t="s">
        <v>526</v>
      </c>
    </row>
    <row r="7091" spans="1:11" ht="25.5" x14ac:dyDescent="0.25">
      <c r="A7091" s="22">
        <v>2026</v>
      </c>
      <c r="B7091" s="28" t="s">
        <v>249</v>
      </c>
      <c r="C7091" s="28" t="s">
        <v>97</v>
      </c>
      <c r="D7091" s="28" t="s">
        <v>1704</v>
      </c>
      <c r="E7091" s="29" t="s">
        <v>1764</v>
      </c>
      <c r="F7091" s="29" t="s">
        <v>287</v>
      </c>
      <c r="G7091" s="25" t="s">
        <v>8735</v>
      </c>
      <c r="H7091" s="26">
        <v>-8.7550805999999995E-3</v>
      </c>
      <c r="I7091" s="26"/>
      <c r="J7091" s="26" t="s">
        <v>512</v>
      </c>
      <c r="K7091" s="25" t="s">
        <v>513</v>
      </c>
    </row>
    <row r="7092" spans="1:11" ht="25.5" x14ac:dyDescent="0.25">
      <c r="A7092" s="22">
        <v>2026</v>
      </c>
      <c r="B7092" s="28" t="s">
        <v>249</v>
      </c>
      <c r="C7092" s="28" t="s">
        <v>97</v>
      </c>
      <c r="D7092" s="28" t="s">
        <v>1704</v>
      </c>
      <c r="E7092" s="29" t="s">
        <v>1764</v>
      </c>
      <c r="F7092" s="29" t="s">
        <v>287</v>
      </c>
      <c r="G7092" s="25" t="s">
        <v>8736</v>
      </c>
      <c r="H7092" s="26">
        <v>-3.5038359999999998E-3</v>
      </c>
      <c r="I7092" s="26"/>
      <c r="J7092" s="26" t="s">
        <v>512</v>
      </c>
      <c r="K7092" s="25" t="s">
        <v>513</v>
      </c>
    </row>
    <row r="7093" spans="1:11" ht="25.5" x14ac:dyDescent="0.25">
      <c r="A7093" s="22">
        <v>2026</v>
      </c>
      <c r="B7093" s="28" t="s">
        <v>249</v>
      </c>
      <c r="C7093" s="28" t="s">
        <v>97</v>
      </c>
      <c r="D7093" s="28" t="s">
        <v>1704</v>
      </c>
      <c r="E7093" s="29" t="s">
        <v>1764</v>
      </c>
      <c r="F7093" s="29" t="s">
        <v>287</v>
      </c>
      <c r="G7093" s="25" t="s">
        <v>8737</v>
      </c>
      <c r="H7093" s="26">
        <v>-1.2070158499999999E-2</v>
      </c>
      <c r="I7093" s="26"/>
      <c r="J7093" s="26" t="s">
        <v>512</v>
      </c>
      <c r="K7093" s="25" t="s">
        <v>513</v>
      </c>
    </row>
    <row r="7094" spans="1:11" ht="25.5" x14ac:dyDescent="0.25">
      <c r="A7094" s="22">
        <v>2026</v>
      </c>
      <c r="B7094" s="28" t="s">
        <v>249</v>
      </c>
      <c r="C7094" s="28" t="s">
        <v>97</v>
      </c>
      <c r="D7094" s="28" t="s">
        <v>1704</v>
      </c>
      <c r="E7094" s="29" t="s">
        <v>1764</v>
      </c>
      <c r="F7094" s="29" t="s">
        <v>287</v>
      </c>
      <c r="G7094" s="25" t="s">
        <v>8738</v>
      </c>
      <c r="H7094" s="26">
        <v>-4.1135932399999998E-2</v>
      </c>
      <c r="I7094" s="26"/>
      <c r="J7094" s="26" t="s">
        <v>512</v>
      </c>
      <c r="K7094" s="25" t="s">
        <v>513</v>
      </c>
    </row>
    <row r="7095" spans="1:11" ht="25.5" x14ac:dyDescent="0.25">
      <c r="A7095" s="22">
        <v>2026</v>
      </c>
      <c r="B7095" s="28" t="s">
        <v>249</v>
      </c>
      <c r="C7095" s="28" t="s">
        <v>97</v>
      </c>
      <c r="D7095" s="28" t="s">
        <v>1704</v>
      </c>
      <c r="E7095" s="29" t="s">
        <v>1764</v>
      </c>
      <c r="F7095" s="29" t="s">
        <v>287</v>
      </c>
      <c r="G7095" s="25" t="s">
        <v>8739</v>
      </c>
      <c r="H7095" s="26">
        <v>-7.4747550000000005E-3</v>
      </c>
      <c r="I7095" s="26"/>
      <c r="J7095" s="26" t="s">
        <v>512</v>
      </c>
      <c r="K7095" s="25" t="s">
        <v>513</v>
      </c>
    </row>
    <row r="7096" spans="1:11" ht="25.5" x14ac:dyDescent="0.25">
      <c r="A7096" s="22">
        <v>2026</v>
      </c>
      <c r="B7096" s="28" t="s">
        <v>249</v>
      </c>
      <c r="C7096" s="28" t="s">
        <v>97</v>
      </c>
      <c r="D7096" s="28" t="s">
        <v>1704</v>
      </c>
      <c r="E7096" s="29" t="s">
        <v>1764</v>
      </c>
      <c r="F7096" s="29" t="s">
        <v>287</v>
      </c>
      <c r="G7096" s="25" t="s">
        <v>8740</v>
      </c>
      <c r="H7096" s="26">
        <v>-2.4092481400000001E-2</v>
      </c>
      <c r="I7096" s="26"/>
      <c r="J7096" s="26" t="s">
        <v>512</v>
      </c>
      <c r="K7096" s="25" t="s">
        <v>513</v>
      </c>
    </row>
    <row r="7097" spans="1:11" ht="25.5" x14ac:dyDescent="0.25">
      <c r="A7097" s="22">
        <v>2026</v>
      </c>
      <c r="B7097" s="28" t="s">
        <v>249</v>
      </c>
      <c r="C7097" s="28" t="s">
        <v>97</v>
      </c>
      <c r="D7097" s="28" t="s">
        <v>1704</v>
      </c>
      <c r="E7097" s="29" t="s">
        <v>1764</v>
      </c>
      <c r="F7097" s="29" t="s">
        <v>287</v>
      </c>
      <c r="G7097" s="25" t="s">
        <v>8741</v>
      </c>
      <c r="H7097" s="26">
        <v>-3.7054800000000001E-3</v>
      </c>
      <c r="I7097" s="26"/>
      <c r="J7097" s="26" t="s">
        <v>512</v>
      </c>
      <c r="K7097" s="25" t="s">
        <v>513</v>
      </c>
    </row>
    <row r="7098" spans="1:11" ht="25.5" x14ac:dyDescent="0.25">
      <c r="A7098" s="22">
        <v>2026</v>
      </c>
      <c r="B7098" s="28" t="s">
        <v>249</v>
      </c>
      <c r="C7098" s="28" t="s">
        <v>97</v>
      </c>
      <c r="D7098" s="28" t="s">
        <v>1705</v>
      </c>
      <c r="E7098" s="29" t="s">
        <v>1765</v>
      </c>
      <c r="F7098" s="29" t="s">
        <v>1766</v>
      </c>
      <c r="G7098" s="25" t="s">
        <v>8751</v>
      </c>
      <c r="H7098" s="26">
        <v>-1.4929665000000002E-2</v>
      </c>
      <c r="I7098" s="26"/>
      <c r="J7098" s="26" t="s">
        <v>514</v>
      </c>
      <c r="K7098" s="25" t="s">
        <v>513</v>
      </c>
    </row>
    <row r="7099" spans="1:11" ht="25.5" x14ac:dyDescent="0.25">
      <c r="A7099" s="22">
        <v>2026</v>
      </c>
      <c r="B7099" s="28" t="s">
        <v>249</v>
      </c>
      <c r="C7099" s="28" t="s">
        <v>97</v>
      </c>
      <c r="D7099" s="28" t="s">
        <v>1705</v>
      </c>
      <c r="E7099" s="29" t="s">
        <v>1765</v>
      </c>
      <c r="F7099" s="29" t="s">
        <v>1766</v>
      </c>
      <c r="G7099" s="25" t="s">
        <v>8752</v>
      </c>
      <c r="H7099" s="26">
        <v>-1.4492430000000001E-2</v>
      </c>
      <c r="I7099" s="26"/>
      <c r="J7099" s="26" t="s">
        <v>514</v>
      </c>
      <c r="K7099" s="25" t="s">
        <v>513</v>
      </c>
    </row>
    <row r="7100" spans="1:11" ht="25.5" x14ac:dyDescent="0.25">
      <c r="A7100" s="22">
        <v>2026</v>
      </c>
      <c r="B7100" s="28" t="s">
        <v>249</v>
      </c>
      <c r="C7100" s="28" t="s">
        <v>97</v>
      </c>
      <c r="D7100" s="28" t="s">
        <v>1705</v>
      </c>
      <c r="E7100" s="29" t="s">
        <v>1765</v>
      </c>
      <c r="F7100" s="29" t="s">
        <v>1766</v>
      </c>
      <c r="G7100" s="25" t="s">
        <v>8753</v>
      </c>
      <c r="H7100" s="26">
        <v>-3.27789E-2</v>
      </c>
      <c r="I7100" s="26"/>
      <c r="J7100" s="26" t="s">
        <v>514</v>
      </c>
      <c r="K7100" s="25" t="s">
        <v>513</v>
      </c>
    </row>
    <row r="7101" spans="1:11" ht="25.5" x14ac:dyDescent="0.25">
      <c r="A7101" s="22">
        <v>2026</v>
      </c>
      <c r="B7101" s="28" t="s">
        <v>249</v>
      </c>
      <c r="C7101" s="28" t="s">
        <v>97</v>
      </c>
      <c r="D7101" s="28" t="s">
        <v>1705</v>
      </c>
      <c r="E7101" s="29" t="s">
        <v>1765</v>
      </c>
      <c r="F7101" s="29" t="s">
        <v>1766</v>
      </c>
      <c r="G7101" s="25" t="s">
        <v>8754</v>
      </c>
      <c r="H7101" s="26">
        <v>-5.8155019999999995E-2</v>
      </c>
      <c r="I7101" s="26"/>
      <c r="J7101" s="26" t="s">
        <v>514</v>
      </c>
      <c r="K7101" s="25" t="s">
        <v>513</v>
      </c>
    </row>
    <row r="7102" spans="1:11" ht="25.5" x14ac:dyDescent="0.25">
      <c r="A7102" s="22">
        <v>2026</v>
      </c>
      <c r="B7102" s="28" t="s">
        <v>249</v>
      </c>
      <c r="C7102" s="28" t="s">
        <v>97</v>
      </c>
      <c r="D7102" s="28" t="s">
        <v>1705</v>
      </c>
      <c r="E7102" s="29" t="s">
        <v>1765</v>
      </c>
      <c r="F7102" s="29" t="s">
        <v>1766</v>
      </c>
      <c r="G7102" s="25" t="s">
        <v>8755</v>
      </c>
      <c r="H7102" s="26">
        <v>-1.606759E-2</v>
      </c>
      <c r="I7102" s="26"/>
      <c r="J7102" s="26" t="s">
        <v>514</v>
      </c>
      <c r="K7102" s="25" t="s">
        <v>513</v>
      </c>
    </row>
    <row r="7103" spans="1:11" ht="25.5" x14ac:dyDescent="0.25">
      <c r="A7103" s="22">
        <v>2026</v>
      </c>
      <c r="B7103" s="28" t="s">
        <v>249</v>
      </c>
      <c r="C7103" s="28" t="s">
        <v>97</v>
      </c>
      <c r="D7103" s="28" t="s">
        <v>1705</v>
      </c>
      <c r="E7103" s="29" t="s">
        <v>1765</v>
      </c>
      <c r="F7103" s="29" t="s">
        <v>1766</v>
      </c>
      <c r="G7103" s="25" t="s">
        <v>8756</v>
      </c>
      <c r="H7103" s="26">
        <v>-3.5097739999999995E-2</v>
      </c>
      <c r="I7103" s="26"/>
      <c r="J7103" s="26" t="s">
        <v>514</v>
      </c>
      <c r="K7103" s="25" t="s">
        <v>513</v>
      </c>
    </row>
    <row r="7104" spans="1:11" ht="25.5" x14ac:dyDescent="0.25">
      <c r="A7104" s="22">
        <v>2026</v>
      </c>
      <c r="B7104" s="28" t="s">
        <v>249</v>
      </c>
      <c r="C7104" s="28" t="s">
        <v>97</v>
      </c>
      <c r="D7104" s="28" t="s">
        <v>1705</v>
      </c>
      <c r="E7104" s="29" t="s">
        <v>1765</v>
      </c>
      <c r="F7104" s="29" t="s">
        <v>1766</v>
      </c>
      <c r="G7104" s="25" t="s">
        <v>8757</v>
      </c>
      <c r="H7104" s="26">
        <v>-0.12394983999999999</v>
      </c>
      <c r="I7104" s="26"/>
      <c r="J7104" s="26" t="s">
        <v>514</v>
      </c>
      <c r="K7104" s="25" t="s">
        <v>513</v>
      </c>
    </row>
    <row r="7105" spans="1:11" ht="25.5" x14ac:dyDescent="0.25">
      <c r="A7105" s="22">
        <v>2026</v>
      </c>
      <c r="B7105" s="28" t="s">
        <v>249</v>
      </c>
      <c r="C7105" s="28" t="s">
        <v>97</v>
      </c>
      <c r="D7105" s="28" t="s">
        <v>1705</v>
      </c>
      <c r="E7105" s="29" t="s">
        <v>1765</v>
      </c>
      <c r="F7105" s="29" t="s">
        <v>1766</v>
      </c>
      <c r="G7105" s="25" t="s">
        <v>8758</v>
      </c>
      <c r="H7105" s="26">
        <v>-3.798E-2</v>
      </c>
      <c r="I7105" s="26"/>
      <c r="J7105" s="26" t="s">
        <v>514</v>
      </c>
      <c r="K7105" s="25" t="s">
        <v>513</v>
      </c>
    </row>
    <row r="7106" spans="1:11" ht="25.5" x14ac:dyDescent="0.25">
      <c r="A7106" s="22">
        <v>2026</v>
      </c>
      <c r="B7106" s="28" t="s">
        <v>249</v>
      </c>
      <c r="C7106" s="28" t="s">
        <v>97</v>
      </c>
      <c r="D7106" s="28" t="s">
        <v>1705</v>
      </c>
      <c r="E7106" s="29" t="s">
        <v>1765</v>
      </c>
      <c r="F7106" s="29" t="s">
        <v>1766</v>
      </c>
      <c r="G7106" s="25" t="s">
        <v>8759</v>
      </c>
      <c r="H7106" s="26">
        <v>-0.12659999999999999</v>
      </c>
      <c r="I7106" s="26"/>
      <c r="J7106" s="26" t="s">
        <v>514</v>
      </c>
      <c r="K7106" s="25" t="s">
        <v>513</v>
      </c>
    </row>
    <row r="7107" spans="1:11" ht="25.5" x14ac:dyDescent="0.25">
      <c r="A7107" s="22">
        <v>2026</v>
      </c>
      <c r="B7107" s="28" t="s">
        <v>249</v>
      </c>
      <c r="C7107" s="28" t="s">
        <v>97</v>
      </c>
      <c r="D7107" s="28" t="s">
        <v>1705</v>
      </c>
      <c r="E7107" s="29" t="s">
        <v>1765</v>
      </c>
      <c r="F7107" s="29" t="s">
        <v>1766</v>
      </c>
      <c r="G7107" s="25" t="s">
        <v>8760</v>
      </c>
      <c r="H7107" s="26">
        <v>-0.1678</v>
      </c>
      <c r="I7107" s="26"/>
      <c r="J7107" s="26" t="s">
        <v>514</v>
      </c>
      <c r="K7107" s="25" t="s">
        <v>513</v>
      </c>
    </row>
    <row r="7108" spans="1:11" ht="25.5" x14ac:dyDescent="0.25">
      <c r="A7108" s="22">
        <v>2026</v>
      </c>
      <c r="B7108" s="28" t="s">
        <v>249</v>
      </c>
      <c r="C7108" s="28" t="s">
        <v>97</v>
      </c>
      <c r="D7108" s="28" t="s">
        <v>1705</v>
      </c>
      <c r="E7108" s="29" t="s">
        <v>1765</v>
      </c>
      <c r="F7108" s="29" t="s">
        <v>1766</v>
      </c>
      <c r="G7108" s="25" t="s">
        <v>8761</v>
      </c>
      <c r="H7108" s="26">
        <v>-2.907324E-2</v>
      </c>
      <c r="I7108" s="26"/>
      <c r="J7108" s="26" t="s">
        <v>514</v>
      </c>
      <c r="K7108" s="25" t="s">
        <v>513</v>
      </c>
    </row>
    <row r="7109" spans="1:11" ht="25.5" x14ac:dyDescent="0.25">
      <c r="A7109" s="22">
        <v>2026</v>
      </c>
      <c r="B7109" s="28" t="s">
        <v>249</v>
      </c>
      <c r="C7109" s="28" t="s">
        <v>97</v>
      </c>
      <c r="D7109" s="28" t="s">
        <v>1705</v>
      </c>
      <c r="E7109" s="29" t="s">
        <v>1765</v>
      </c>
      <c r="F7109" s="29" t="s">
        <v>1766</v>
      </c>
      <c r="G7109" s="25" t="s">
        <v>8762</v>
      </c>
      <c r="H7109" s="26">
        <v>-6.3413190000000008E-2</v>
      </c>
      <c r="I7109" s="26"/>
      <c r="J7109" s="26" t="s">
        <v>514</v>
      </c>
      <c r="K7109" s="25" t="s">
        <v>513</v>
      </c>
    </row>
    <row r="7110" spans="1:11" ht="25.5" x14ac:dyDescent="0.25">
      <c r="A7110" s="22">
        <v>2026</v>
      </c>
      <c r="B7110" s="28" t="s">
        <v>249</v>
      </c>
      <c r="C7110" s="28" t="s">
        <v>97</v>
      </c>
      <c r="D7110" s="28" t="s">
        <v>1705</v>
      </c>
      <c r="E7110" s="29" t="s">
        <v>1765</v>
      </c>
      <c r="F7110" s="29" t="s">
        <v>1766</v>
      </c>
      <c r="G7110" s="25" t="s">
        <v>8763</v>
      </c>
      <c r="H7110" s="26">
        <v>-2.1129389999999998E-2</v>
      </c>
      <c r="I7110" s="26"/>
      <c r="J7110" s="26" t="s">
        <v>514</v>
      </c>
      <c r="K7110" s="25" t="s">
        <v>513</v>
      </c>
    </row>
    <row r="7111" spans="1:11" ht="25.5" x14ac:dyDescent="0.25">
      <c r="A7111" s="22">
        <v>2026</v>
      </c>
      <c r="B7111" s="28" t="s">
        <v>249</v>
      </c>
      <c r="C7111" s="28" t="s">
        <v>97</v>
      </c>
      <c r="D7111" s="28" t="s">
        <v>1705</v>
      </c>
      <c r="E7111" s="29" t="s">
        <v>1765</v>
      </c>
      <c r="F7111" s="29" t="s">
        <v>1766</v>
      </c>
      <c r="G7111" s="25" t="s">
        <v>8764</v>
      </c>
      <c r="H7111" s="26">
        <v>-0.15809720999999999</v>
      </c>
      <c r="I7111" s="26"/>
      <c r="J7111" s="26" t="s">
        <v>514</v>
      </c>
      <c r="K7111" s="25" t="s">
        <v>513</v>
      </c>
    </row>
    <row r="7112" spans="1:11" ht="25.5" x14ac:dyDescent="0.25">
      <c r="A7112" s="22">
        <v>2026</v>
      </c>
      <c r="B7112" s="28" t="s">
        <v>249</v>
      </c>
      <c r="C7112" s="28" t="s">
        <v>97</v>
      </c>
      <c r="D7112" s="28" t="s">
        <v>1706</v>
      </c>
      <c r="E7112" s="29" t="s">
        <v>1765</v>
      </c>
      <c r="F7112" s="29" t="s">
        <v>1766</v>
      </c>
      <c r="G7112" s="25" t="s">
        <v>8765</v>
      </c>
      <c r="H7112" s="26">
        <v>-6.54E-2</v>
      </c>
      <c r="I7112" s="26"/>
      <c r="J7112" s="26" t="s">
        <v>514</v>
      </c>
      <c r="K7112" s="25" t="s">
        <v>513</v>
      </c>
    </row>
    <row r="7113" spans="1:11" ht="25.5" x14ac:dyDescent="0.25">
      <c r="A7113" s="22">
        <v>2026</v>
      </c>
      <c r="B7113" s="28" t="s">
        <v>249</v>
      </c>
      <c r="C7113" s="28" t="s">
        <v>97</v>
      </c>
      <c r="D7113" s="28" t="s">
        <v>1706</v>
      </c>
      <c r="E7113" s="29" t="s">
        <v>1765</v>
      </c>
      <c r="F7113" s="29" t="s">
        <v>1766</v>
      </c>
      <c r="G7113" s="25" t="s">
        <v>8766</v>
      </c>
      <c r="H7113" s="26">
        <v>-2.673874E-2</v>
      </c>
      <c r="I7113" s="26"/>
      <c r="J7113" s="26" t="s">
        <v>514</v>
      </c>
      <c r="K7113" s="25" t="s">
        <v>513</v>
      </c>
    </row>
    <row r="7114" spans="1:11" ht="25.5" x14ac:dyDescent="0.25">
      <c r="A7114" s="22">
        <v>2026</v>
      </c>
      <c r="B7114" s="28" t="s">
        <v>249</v>
      </c>
      <c r="C7114" s="28" t="s">
        <v>97</v>
      </c>
      <c r="D7114" s="28" t="s">
        <v>1706</v>
      </c>
      <c r="E7114" s="29" t="s">
        <v>1765</v>
      </c>
      <c r="F7114" s="29" t="s">
        <v>1766</v>
      </c>
      <c r="G7114" s="25" t="s">
        <v>8767</v>
      </c>
      <c r="H7114" s="26">
        <v>-6.950547E-2</v>
      </c>
      <c r="I7114" s="26"/>
      <c r="J7114" s="26" t="s">
        <v>514</v>
      </c>
      <c r="K7114" s="25" t="s">
        <v>513</v>
      </c>
    </row>
    <row r="7115" spans="1:11" ht="25.5" x14ac:dyDescent="0.25">
      <c r="A7115" s="22">
        <v>2026</v>
      </c>
      <c r="B7115" s="28" t="s">
        <v>249</v>
      </c>
      <c r="C7115" s="28" t="s">
        <v>97</v>
      </c>
      <c r="D7115" s="28" t="s">
        <v>1706</v>
      </c>
      <c r="E7115" s="29" t="s">
        <v>1765</v>
      </c>
      <c r="F7115" s="29" t="s">
        <v>1766</v>
      </c>
      <c r="G7115" s="25" t="s">
        <v>8768</v>
      </c>
      <c r="H7115" s="26">
        <v>-6.6048000000000001E-3</v>
      </c>
      <c r="I7115" s="26"/>
      <c r="J7115" s="26" t="s">
        <v>514</v>
      </c>
      <c r="K7115" s="25" t="s">
        <v>513</v>
      </c>
    </row>
    <row r="7116" spans="1:11" ht="25.5" x14ac:dyDescent="0.25">
      <c r="A7116" s="22">
        <v>2026</v>
      </c>
      <c r="B7116" s="28" t="s">
        <v>249</v>
      </c>
      <c r="C7116" s="28" t="s">
        <v>97</v>
      </c>
      <c r="D7116" s="28" t="s">
        <v>1706</v>
      </c>
      <c r="E7116" s="29" t="s">
        <v>1765</v>
      </c>
      <c r="F7116" s="29" t="s">
        <v>1766</v>
      </c>
      <c r="G7116" s="25" t="s">
        <v>8769</v>
      </c>
      <c r="H7116" s="26">
        <v>-2.1499999999999998E-2</v>
      </c>
      <c r="I7116" s="26"/>
      <c r="J7116" s="26" t="s">
        <v>514</v>
      </c>
      <c r="K7116" s="25" t="s">
        <v>513</v>
      </c>
    </row>
    <row r="7117" spans="1:11" ht="25.5" x14ac:dyDescent="0.25">
      <c r="A7117" s="22">
        <v>2026</v>
      </c>
      <c r="B7117" s="28" t="s">
        <v>249</v>
      </c>
      <c r="C7117" s="28" t="s">
        <v>97</v>
      </c>
      <c r="D7117" s="28" t="s">
        <v>1706</v>
      </c>
      <c r="E7117" s="29" t="s">
        <v>1765</v>
      </c>
      <c r="F7117" s="29" t="s">
        <v>1766</v>
      </c>
      <c r="G7117" s="25" t="s">
        <v>8770</v>
      </c>
      <c r="H7117" s="26">
        <v>-5.1080399999999998E-2</v>
      </c>
      <c r="I7117" s="26"/>
      <c r="J7117" s="26" t="s">
        <v>514</v>
      </c>
      <c r="K7117" s="25" t="s">
        <v>513</v>
      </c>
    </row>
    <row r="7118" spans="1:11" ht="25.5" x14ac:dyDescent="0.25">
      <c r="A7118" s="22">
        <v>2026</v>
      </c>
      <c r="B7118" s="28" t="s">
        <v>249</v>
      </c>
      <c r="C7118" s="28" t="s">
        <v>97</v>
      </c>
      <c r="D7118" s="28" t="s">
        <v>1706</v>
      </c>
      <c r="E7118" s="29" t="s">
        <v>1765</v>
      </c>
      <c r="F7118" s="29" t="s">
        <v>1766</v>
      </c>
      <c r="G7118" s="25" t="s">
        <v>8771</v>
      </c>
      <c r="H7118" s="26">
        <v>-1.0074899999999999E-2</v>
      </c>
      <c r="I7118" s="26"/>
      <c r="J7118" s="26" t="s">
        <v>514</v>
      </c>
      <c r="K7118" s="25" t="s">
        <v>513</v>
      </c>
    </row>
    <row r="7119" spans="1:11" ht="25.5" x14ac:dyDescent="0.25">
      <c r="A7119" s="22">
        <v>2026</v>
      </c>
      <c r="B7119" s="28" t="s">
        <v>249</v>
      </c>
      <c r="C7119" s="28" t="s">
        <v>97</v>
      </c>
      <c r="D7119" s="28" t="s">
        <v>1706</v>
      </c>
      <c r="E7119" s="29" t="s">
        <v>1765</v>
      </c>
      <c r="F7119" s="29" t="s">
        <v>1766</v>
      </c>
      <c r="G7119" s="25" t="s">
        <v>8772</v>
      </c>
      <c r="H7119" s="26">
        <v>-4.3499035200000001E-2</v>
      </c>
      <c r="I7119" s="26"/>
      <c r="J7119" s="26" t="s">
        <v>514</v>
      </c>
      <c r="K7119" s="25" t="s">
        <v>513</v>
      </c>
    </row>
    <row r="7120" spans="1:11" ht="25.5" x14ac:dyDescent="0.25">
      <c r="A7120" s="22">
        <v>2026</v>
      </c>
      <c r="B7120" s="28" t="s">
        <v>249</v>
      </c>
      <c r="C7120" s="28" t="s">
        <v>97</v>
      </c>
      <c r="D7120" s="28" t="s">
        <v>1706</v>
      </c>
      <c r="E7120" s="29" t="s">
        <v>1765</v>
      </c>
      <c r="F7120" s="29" t="s">
        <v>1766</v>
      </c>
      <c r="G7120" s="25" t="s">
        <v>8773</v>
      </c>
      <c r="H7120" s="26">
        <v>-2.1299999999999999E-2</v>
      </c>
      <c r="I7120" s="26"/>
      <c r="J7120" s="26" t="s">
        <v>514</v>
      </c>
      <c r="K7120" s="25" t="s">
        <v>513</v>
      </c>
    </row>
    <row r="7121" spans="1:11" ht="25.5" x14ac:dyDescent="0.25">
      <c r="A7121" s="22">
        <v>2026</v>
      </c>
      <c r="B7121" s="28" t="s">
        <v>249</v>
      </c>
      <c r="C7121" s="28" t="s">
        <v>97</v>
      </c>
      <c r="D7121" s="28" t="s">
        <v>1706</v>
      </c>
      <c r="E7121" s="29" t="s">
        <v>1765</v>
      </c>
      <c r="F7121" s="29" t="s">
        <v>1766</v>
      </c>
      <c r="G7121" s="25" t="s">
        <v>8774</v>
      </c>
      <c r="H7121" s="26">
        <v>-4.3405305899999996E-2</v>
      </c>
      <c r="I7121" s="26"/>
      <c r="J7121" s="26" t="s">
        <v>514</v>
      </c>
      <c r="K7121" s="25" t="s">
        <v>513</v>
      </c>
    </row>
    <row r="7122" spans="1:11" ht="25.5" x14ac:dyDescent="0.25">
      <c r="A7122" s="22">
        <v>2026</v>
      </c>
      <c r="B7122" s="28" t="s">
        <v>249</v>
      </c>
      <c r="C7122" s="28" t="s">
        <v>97</v>
      </c>
      <c r="D7122" s="28" t="s">
        <v>224</v>
      </c>
      <c r="E7122" s="29" t="s">
        <v>411</v>
      </c>
      <c r="F7122" s="29" t="s">
        <v>412</v>
      </c>
      <c r="G7122" s="25" t="s">
        <v>8775</v>
      </c>
      <c r="H7122" s="26">
        <v>-1.3348237512000001</v>
      </c>
      <c r="I7122" s="26"/>
      <c r="J7122" s="26" t="s">
        <v>512</v>
      </c>
      <c r="K7122" s="25" t="s">
        <v>513</v>
      </c>
    </row>
    <row r="7123" spans="1:11" ht="25.5" x14ac:dyDescent="0.25">
      <c r="A7123" s="22">
        <v>2026</v>
      </c>
      <c r="B7123" s="28" t="s">
        <v>249</v>
      </c>
      <c r="C7123" s="28" t="s">
        <v>97</v>
      </c>
      <c r="D7123" s="28" t="s">
        <v>224</v>
      </c>
      <c r="E7123" s="29" t="s">
        <v>411</v>
      </c>
      <c r="F7123" s="29" t="s">
        <v>412</v>
      </c>
      <c r="G7123" s="25" t="s">
        <v>8776</v>
      </c>
      <c r="H7123" s="26">
        <v>-0.77411277020000002</v>
      </c>
      <c r="I7123" s="26"/>
      <c r="J7123" s="26" t="s">
        <v>512</v>
      </c>
      <c r="K7123" s="25" t="s">
        <v>513</v>
      </c>
    </row>
    <row r="7124" spans="1:11" ht="25.5" x14ac:dyDescent="0.25">
      <c r="A7124" s="22">
        <v>2026</v>
      </c>
      <c r="B7124" s="28" t="s">
        <v>249</v>
      </c>
      <c r="C7124" s="28" t="s">
        <v>97</v>
      </c>
      <c r="D7124" s="28" t="s">
        <v>224</v>
      </c>
      <c r="E7124" s="29" t="s">
        <v>411</v>
      </c>
      <c r="F7124" s="29" t="s">
        <v>412</v>
      </c>
      <c r="G7124" s="25" t="s">
        <v>8777</v>
      </c>
      <c r="H7124" s="26">
        <v>-0.801925</v>
      </c>
      <c r="I7124" s="26"/>
      <c r="J7124" s="26" t="s">
        <v>512</v>
      </c>
      <c r="K7124" s="25" t="s">
        <v>513</v>
      </c>
    </row>
    <row r="7125" spans="1:11" ht="25.5" x14ac:dyDescent="0.25">
      <c r="A7125" s="22">
        <v>2026</v>
      </c>
      <c r="B7125" s="28" t="s">
        <v>249</v>
      </c>
      <c r="C7125" s="28" t="s">
        <v>97</v>
      </c>
      <c r="D7125" s="28" t="s">
        <v>224</v>
      </c>
      <c r="E7125" s="29" t="s">
        <v>411</v>
      </c>
      <c r="F7125" s="29" t="s">
        <v>412</v>
      </c>
      <c r="G7125" s="25" t="s">
        <v>8778</v>
      </c>
      <c r="H7125" s="26">
        <v>-0.6740874</v>
      </c>
      <c r="I7125" s="26"/>
      <c r="J7125" s="26" t="s">
        <v>512</v>
      </c>
      <c r="K7125" s="25" t="s">
        <v>513</v>
      </c>
    </row>
    <row r="7126" spans="1:11" ht="25.5" x14ac:dyDescent="0.25">
      <c r="A7126" s="22">
        <v>2026</v>
      </c>
      <c r="B7126" s="28" t="s">
        <v>249</v>
      </c>
      <c r="C7126" s="28" t="s">
        <v>97</v>
      </c>
      <c r="D7126" s="28" t="s">
        <v>1707</v>
      </c>
      <c r="E7126" s="29" t="s">
        <v>369</v>
      </c>
      <c r="F7126" s="29" t="s">
        <v>378</v>
      </c>
      <c r="G7126" s="25" t="s">
        <v>8779</v>
      </c>
      <c r="H7126" s="26">
        <v>-6.18065E-2</v>
      </c>
      <c r="I7126" s="26"/>
      <c r="J7126" s="26" t="s">
        <v>512</v>
      </c>
      <c r="K7126" s="25" t="s">
        <v>513</v>
      </c>
    </row>
    <row r="7127" spans="1:11" ht="25.5" x14ac:dyDescent="0.25">
      <c r="A7127" s="22">
        <v>2026</v>
      </c>
      <c r="B7127" s="28" t="s">
        <v>249</v>
      </c>
      <c r="C7127" s="28" t="s">
        <v>97</v>
      </c>
      <c r="D7127" s="28" t="s">
        <v>1707</v>
      </c>
      <c r="E7127" s="29" t="s">
        <v>369</v>
      </c>
      <c r="F7127" s="29" t="s">
        <v>378</v>
      </c>
      <c r="G7127" s="25" t="s">
        <v>8780</v>
      </c>
      <c r="H7127" s="26">
        <v>-7.0540000000000005E-2</v>
      </c>
      <c r="I7127" s="26"/>
      <c r="J7127" s="26" t="s">
        <v>512</v>
      </c>
      <c r="K7127" s="25" t="s">
        <v>513</v>
      </c>
    </row>
    <row r="7128" spans="1:11" ht="25.5" x14ac:dyDescent="0.25">
      <c r="A7128" s="22">
        <v>2026</v>
      </c>
      <c r="B7128" s="28" t="s">
        <v>249</v>
      </c>
      <c r="C7128" s="28" t="s">
        <v>97</v>
      </c>
      <c r="D7128" s="28" t="s">
        <v>1707</v>
      </c>
      <c r="E7128" s="29" t="s">
        <v>369</v>
      </c>
      <c r="F7128" s="29" t="s">
        <v>378</v>
      </c>
      <c r="G7128" s="25" t="s">
        <v>8781</v>
      </c>
      <c r="H7128" s="26">
        <v>-8.7974999999999998E-2</v>
      </c>
      <c r="I7128" s="26"/>
      <c r="J7128" s="26" t="s">
        <v>512</v>
      </c>
      <c r="K7128" s="25" t="s">
        <v>513</v>
      </c>
    </row>
    <row r="7129" spans="1:11" ht="25.5" x14ac:dyDescent="0.25">
      <c r="A7129" s="22">
        <v>2026</v>
      </c>
      <c r="B7129" s="28" t="s">
        <v>249</v>
      </c>
      <c r="C7129" s="28" t="s">
        <v>97</v>
      </c>
      <c r="D7129" s="28" t="s">
        <v>1707</v>
      </c>
      <c r="E7129" s="29" t="s">
        <v>369</v>
      </c>
      <c r="F7129" s="29" t="s">
        <v>378</v>
      </c>
      <c r="G7129" s="25" t="s">
        <v>8782</v>
      </c>
      <c r="H7129" s="26">
        <v>-8.7624999999999995E-2</v>
      </c>
      <c r="I7129" s="26"/>
      <c r="J7129" s="26" t="s">
        <v>512</v>
      </c>
      <c r="K7129" s="25" t="s">
        <v>513</v>
      </c>
    </row>
    <row r="7130" spans="1:11" ht="25.5" x14ac:dyDescent="0.25">
      <c r="A7130" s="22">
        <v>2026</v>
      </c>
      <c r="B7130" s="28" t="s">
        <v>249</v>
      </c>
      <c r="C7130" s="28" t="s">
        <v>97</v>
      </c>
      <c r="D7130" s="28" t="s">
        <v>1707</v>
      </c>
      <c r="E7130" s="29" t="s">
        <v>369</v>
      </c>
      <c r="F7130" s="29" t="s">
        <v>378</v>
      </c>
      <c r="G7130" s="25" t="s">
        <v>8783</v>
      </c>
      <c r="H7130" s="26">
        <v>-6.1425E-2</v>
      </c>
      <c r="I7130" s="26"/>
      <c r="J7130" s="26" t="s">
        <v>512</v>
      </c>
      <c r="K7130" s="25" t="s">
        <v>513</v>
      </c>
    </row>
    <row r="7131" spans="1:11" ht="25.5" x14ac:dyDescent="0.25">
      <c r="A7131" s="22">
        <v>2026</v>
      </c>
      <c r="B7131" s="28" t="s">
        <v>249</v>
      </c>
      <c r="C7131" s="28" t="s">
        <v>97</v>
      </c>
      <c r="D7131" s="28" t="s">
        <v>1707</v>
      </c>
      <c r="E7131" s="29" t="s">
        <v>369</v>
      </c>
      <c r="F7131" s="29" t="s">
        <v>378</v>
      </c>
      <c r="G7131" s="25" t="s">
        <v>8784</v>
      </c>
      <c r="H7131" s="26">
        <v>-6.0794947200000005E-2</v>
      </c>
      <c r="I7131" s="26"/>
      <c r="J7131" s="26" t="s">
        <v>512</v>
      </c>
      <c r="K7131" s="25" t="s">
        <v>513</v>
      </c>
    </row>
    <row r="7132" spans="1:11" ht="25.5" x14ac:dyDescent="0.25">
      <c r="A7132" s="22">
        <v>2026</v>
      </c>
      <c r="B7132" s="28" t="s">
        <v>249</v>
      </c>
      <c r="C7132" s="28" t="s">
        <v>97</v>
      </c>
      <c r="D7132" s="28" t="s">
        <v>1707</v>
      </c>
      <c r="E7132" s="29" t="s">
        <v>369</v>
      </c>
      <c r="F7132" s="29" t="s">
        <v>378</v>
      </c>
      <c r="G7132" s="25" t="s">
        <v>8785</v>
      </c>
      <c r="H7132" s="26">
        <v>-6.8549144399999998E-2</v>
      </c>
      <c r="I7132" s="26"/>
      <c r="J7132" s="26" t="s">
        <v>512</v>
      </c>
      <c r="K7132" s="25" t="s">
        <v>513</v>
      </c>
    </row>
    <row r="7133" spans="1:11" ht="25.5" x14ac:dyDescent="0.25">
      <c r="A7133" s="22">
        <v>2026</v>
      </c>
      <c r="B7133" s="28" t="s">
        <v>249</v>
      </c>
      <c r="C7133" s="28" t="s">
        <v>97</v>
      </c>
      <c r="D7133" s="28" t="s">
        <v>1707</v>
      </c>
      <c r="E7133" s="29" t="s">
        <v>369</v>
      </c>
      <c r="F7133" s="29" t="s">
        <v>378</v>
      </c>
      <c r="G7133" s="25" t="s">
        <v>8786</v>
      </c>
      <c r="H7133" s="26">
        <v>-8.6120000000000002E-2</v>
      </c>
      <c r="I7133" s="26"/>
      <c r="J7133" s="26" t="s">
        <v>512</v>
      </c>
      <c r="K7133" s="25" t="s">
        <v>513</v>
      </c>
    </row>
    <row r="7134" spans="1:11" ht="25.5" x14ac:dyDescent="0.25">
      <c r="A7134" s="22">
        <v>2026</v>
      </c>
      <c r="B7134" s="28" t="s">
        <v>249</v>
      </c>
      <c r="C7134" s="28" t="s">
        <v>97</v>
      </c>
      <c r="D7134" s="28" t="s">
        <v>1707</v>
      </c>
      <c r="E7134" s="29" t="s">
        <v>369</v>
      </c>
      <c r="F7134" s="29" t="s">
        <v>378</v>
      </c>
      <c r="G7134" s="25" t="s">
        <v>8787</v>
      </c>
      <c r="H7134" s="26">
        <v>-6.9176000000000001E-2</v>
      </c>
      <c r="I7134" s="26"/>
      <c r="J7134" s="26" t="s">
        <v>512</v>
      </c>
      <c r="K7134" s="25" t="s">
        <v>513</v>
      </c>
    </row>
    <row r="7135" spans="1:11" ht="25.5" x14ac:dyDescent="0.25">
      <c r="A7135" s="22">
        <v>2026</v>
      </c>
      <c r="B7135" s="28" t="s">
        <v>249</v>
      </c>
      <c r="C7135" s="28" t="s">
        <v>97</v>
      </c>
      <c r="D7135" s="28" t="s">
        <v>1707</v>
      </c>
      <c r="E7135" s="29" t="s">
        <v>369</v>
      </c>
      <c r="F7135" s="29" t="s">
        <v>378</v>
      </c>
      <c r="G7135" s="25" t="s">
        <v>8788</v>
      </c>
      <c r="H7135" s="26">
        <v>-8.6209999999999995E-2</v>
      </c>
      <c r="I7135" s="26"/>
      <c r="J7135" s="26" t="s">
        <v>512</v>
      </c>
      <c r="K7135" s="25" t="s">
        <v>513</v>
      </c>
    </row>
    <row r="7136" spans="1:11" ht="25.5" x14ac:dyDescent="0.25">
      <c r="A7136" s="22">
        <v>2026</v>
      </c>
      <c r="B7136" s="28" t="s">
        <v>249</v>
      </c>
      <c r="C7136" s="28" t="s">
        <v>97</v>
      </c>
      <c r="D7136" s="28" t="s">
        <v>1707</v>
      </c>
      <c r="E7136" s="29" t="s">
        <v>369</v>
      </c>
      <c r="F7136" s="29" t="s">
        <v>378</v>
      </c>
      <c r="G7136" s="25" t="s">
        <v>8789</v>
      </c>
      <c r="H7136" s="26">
        <v>-5.1899680000000004E-2</v>
      </c>
      <c r="I7136" s="26"/>
      <c r="J7136" s="26" t="s">
        <v>512</v>
      </c>
      <c r="K7136" s="25" t="s">
        <v>513</v>
      </c>
    </row>
    <row r="7137" spans="1:11" ht="25.5" x14ac:dyDescent="0.25">
      <c r="A7137" s="22">
        <v>2026</v>
      </c>
      <c r="B7137" s="28" t="s">
        <v>249</v>
      </c>
      <c r="C7137" s="28" t="s">
        <v>97</v>
      </c>
      <c r="D7137" s="28" t="s">
        <v>1707</v>
      </c>
      <c r="E7137" s="29" t="s">
        <v>369</v>
      </c>
      <c r="F7137" s="29" t="s">
        <v>378</v>
      </c>
      <c r="G7137" s="25" t="s">
        <v>8790</v>
      </c>
      <c r="H7137" s="26">
        <v>-7.9579999999999998E-2</v>
      </c>
      <c r="I7137" s="26"/>
      <c r="J7137" s="26" t="s">
        <v>512</v>
      </c>
      <c r="K7137" s="25" t="s">
        <v>513</v>
      </c>
    </row>
    <row r="7138" spans="1:11" ht="25.5" x14ac:dyDescent="0.25">
      <c r="A7138" s="22">
        <v>2026</v>
      </c>
      <c r="B7138" s="28" t="s">
        <v>249</v>
      </c>
      <c r="C7138" s="28" t="s">
        <v>97</v>
      </c>
      <c r="D7138" s="28" t="s">
        <v>1707</v>
      </c>
      <c r="E7138" s="29" t="s">
        <v>369</v>
      </c>
      <c r="F7138" s="29" t="s">
        <v>378</v>
      </c>
      <c r="G7138" s="25" t="s">
        <v>8791</v>
      </c>
      <c r="H7138" s="26">
        <v>-8.5750000000000007E-2</v>
      </c>
      <c r="I7138" s="26"/>
      <c r="J7138" s="26" t="s">
        <v>512</v>
      </c>
      <c r="K7138" s="25" t="s">
        <v>513</v>
      </c>
    </row>
    <row r="7139" spans="1:11" ht="25.5" x14ac:dyDescent="0.25">
      <c r="A7139" s="22">
        <v>2026</v>
      </c>
      <c r="B7139" s="28" t="s">
        <v>249</v>
      </c>
      <c r="C7139" s="28" t="s">
        <v>97</v>
      </c>
      <c r="D7139" s="28" t="s">
        <v>1707</v>
      </c>
      <c r="E7139" s="29" t="s">
        <v>369</v>
      </c>
      <c r="F7139" s="29" t="s">
        <v>378</v>
      </c>
      <c r="G7139" s="25" t="s">
        <v>8792</v>
      </c>
      <c r="H7139" s="26">
        <v>-9.3971818499999998E-2</v>
      </c>
      <c r="I7139" s="26"/>
      <c r="J7139" s="26" t="s">
        <v>512</v>
      </c>
      <c r="K7139" s="25" t="s">
        <v>513</v>
      </c>
    </row>
    <row r="7140" spans="1:11" ht="25.5" x14ac:dyDescent="0.25">
      <c r="A7140" s="22">
        <v>2026</v>
      </c>
      <c r="B7140" s="28" t="s">
        <v>249</v>
      </c>
      <c r="C7140" s="28" t="s">
        <v>97</v>
      </c>
      <c r="D7140" s="28" t="s">
        <v>1708</v>
      </c>
      <c r="E7140" s="29" t="s">
        <v>369</v>
      </c>
      <c r="F7140" s="29" t="s">
        <v>483</v>
      </c>
      <c r="G7140" s="25" t="s">
        <v>8793</v>
      </c>
      <c r="H7140" s="26">
        <v>-7.5639800700000009E-2</v>
      </c>
      <c r="I7140" s="26"/>
      <c r="J7140" s="26" t="s">
        <v>512</v>
      </c>
      <c r="K7140" s="25" t="s">
        <v>513</v>
      </c>
    </row>
    <row r="7141" spans="1:11" ht="25.5" x14ac:dyDescent="0.25">
      <c r="A7141" s="22">
        <v>2026</v>
      </c>
      <c r="B7141" s="28" t="s">
        <v>249</v>
      </c>
      <c r="C7141" s="28" t="s">
        <v>97</v>
      </c>
      <c r="D7141" s="28" t="s">
        <v>1708</v>
      </c>
      <c r="E7141" s="29" t="s">
        <v>369</v>
      </c>
      <c r="F7141" s="29" t="s">
        <v>483</v>
      </c>
      <c r="G7141" s="25" t="s">
        <v>8794</v>
      </c>
      <c r="H7141" s="26">
        <v>-0.1407764205</v>
      </c>
      <c r="I7141" s="26"/>
      <c r="J7141" s="26" t="s">
        <v>512</v>
      </c>
      <c r="K7141" s="25" t="s">
        <v>513</v>
      </c>
    </row>
    <row r="7142" spans="1:11" ht="25.5" x14ac:dyDescent="0.25">
      <c r="A7142" s="22">
        <v>2026</v>
      </c>
      <c r="B7142" s="28" t="s">
        <v>249</v>
      </c>
      <c r="C7142" s="28" t="s">
        <v>97</v>
      </c>
      <c r="D7142" s="28" t="s">
        <v>1708</v>
      </c>
      <c r="E7142" s="29" t="s">
        <v>369</v>
      </c>
      <c r="F7142" s="29" t="s">
        <v>483</v>
      </c>
      <c r="G7142" s="25" t="s">
        <v>8795</v>
      </c>
      <c r="H7142" s="26">
        <v>-0.107583</v>
      </c>
      <c r="I7142" s="26"/>
      <c r="J7142" s="26" t="s">
        <v>512</v>
      </c>
      <c r="K7142" s="25" t="s">
        <v>513</v>
      </c>
    </row>
    <row r="7143" spans="1:11" ht="25.5" x14ac:dyDescent="0.25">
      <c r="A7143" s="22">
        <v>2026</v>
      </c>
      <c r="B7143" s="28" t="s">
        <v>249</v>
      </c>
      <c r="C7143" s="28" t="s">
        <v>97</v>
      </c>
      <c r="D7143" s="28" t="s">
        <v>1708</v>
      </c>
      <c r="E7143" s="29" t="s">
        <v>369</v>
      </c>
      <c r="F7143" s="29" t="s">
        <v>483</v>
      </c>
      <c r="G7143" s="25" t="s">
        <v>8796</v>
      </c>
      <c r="H7143" s="26">
        <v>-0.1540125</v>
      </c>
      <c r="I7143" s="26"/>
      <c r="J7143" s="26" t="s">
        <v>512</v>
      </c>
      <c r="K7143" s="25" t="s">
        <v>513</v>
      </c>
    </row>
    <row r="7144" spans="1:11" ht="25.5" x14ac:dyDescent="0.25">
      <c r="A7144" s="22">
        <v>2026</v>
      </c>
      <c r="B7144" s="28" t="s">
        <v>249</v>
      </c>
      <c r="C7144" s="28" t="s">
        <v>97</v>
      </c>
      <c r="D7144" s="28" t="s">
        <v>1708</v>
      </c>
      <c r="E7144" s="29" t="s">
        <v>369</v>
      </c>
      <c r="F7144" s="29" t="s">
        <v>483</v>
      </c>
      <c r="G7144" s="25" t="s">
        <v>8797</v>
      </c>
      <c r="H7144" s="26">
        <v>-5.4678355499999998E-2</v>
      </c>
      <c r="I7144" s="26"/>
      <c r="J7144" s="26" t="s">
        <v>512</v>
      </c>
      <c r="K7144" s="25" t="s">
        <v>513</v>
      </c>
    </row>
    <row r="7145" spans="1:11" ht="25.5" x14ac:dyDescent="0.25">
      <c r="A7145" s="22">
        <v>2026</v>
      </c>
      <c r="B7145" s="28" t="s">
        <v>249</v>
      </c>
      <c r="C7145" s="28" t="s">
        <v>97</v>
      </c>
      <c r="D7145" s="28" t="s">
        <v>1708</v>
      </c>
      <c r="E7145" s="29" t="s">
        <v>369</v>
      </c>
      <c r="F7145" s="29" t="s">
        <v>483</v>
      </c>
      <c r="G7145" s="25" t="s">
        <v>8798</v>
      </c>
      <c r="H7145" s="26">
        <v>-0.15329499999999999</v>
      </c>
      <c r="I7145" s="26"/>
      <c r="J7145" s="26" t="s">
        <v>512</v>
      </c>
      <c r="K7145" s="25" t="s">
        <v>513</v>
      </c>
    </row>
    <row r="7146" spans="1:11" ht="25.5" x14ac:dyDescent="0.25">
      <c r="A7146" s="22">
        <v>2026</v>
      </c>
      <c r="B7146" s="28" t="s">
        <v>249</v>
      </c>
      <c r="C7146" s="28" t="s">
        <v>97</v>
      </c>
      <c r="D7146" s="28" t="s">
        <v>1708</v>
      </c>
      <c r="E7146" s="29" t="s">
        <v>369</v>
      </c>
      <c r="F7146" s="29" t="s">
        <v>483</v>
      </c>
      <c r="G7146" s="25" t="s">
        <v>8799</v>
      </c>
      <c r="H7146" s="26">
        <v>-0.1495775</v>
      </c>
      <c r="I7146" s="26"/>
      <c r="J7146" s="26" t="s">
        <v>512</v>
      </c>
      <c r="K7146" s="25" t="s">
        <v>513</v>
      </c>
    </row>
    <row r="7147" spans="1:11" ht="25.5" x14ac:dyDescent="0.25">
      <c r="A7147" s="22">
        <v>2026</v>
      </c>
      <c r="B7147" s="28" t="s">
        <v>249</v>
      </c>
      <c r="C7147" s="28" t="s">
        <v>97</v>
      </c>
      <c r="D7147" s="28" t="s">
        <v>1708</v>
      </c>
      <c r="E7147" s="29" t="s">
        <v>369</v>
      </c>
      <c r="F7147" s="29" t="s">
        <v>483</v>
      </c>
      <c r="G7147" s="25" t="s">
        <v>8800</v>
      </c>
      <c r="H7147" s="26">
        <v>-5.9820981500000002E-2</v>
      </c>
      <c r="I7147" s="26"/>
      <c r="J7147" s="26" t="s">
        <v>512</v>
      </c>
      <c r="K7147" s="25" t="s">
        <v>513</v>
      </c>
    </row>
    <row r="7148" spans="1:11" ht="25.5" x14ac:dyDescent="0.25">
      <c r="A7148" s="22">
        <v>2026</v>
      </c>
      <c r="B7148" s="28" t="s">
        <v>249</v>
      </c>
      <c r="C7148" s="28" t="s">
        <v>97</v>
      </c>
      <c r="D7148" s="28" t="s">
        <v>1708</v>
      </c>
      <c r="E7148" s="29" t="s">
        <v>369</v>
      </c>
      <c r="F7148" s="29" t="s">
        <v>483</v>
      </c>
      <c r="G7148" s="25" t="s">
        <v>8801</v>
      </c>
      <c r="H7148" s="26">
        <v>-0.12883812119999999</v>
      </c>
      <c r="I7148" s="26"/>
      <c r="J7148" s="26" t="s">
        <v>512</v>
      </c>
      <c r="K7148" s="25" t="s">
        <v>513</v>
      </c>
    </row>
    <row r="7149" spans="1:11" ht="25.5" x14ac:dyDescent="0.25">
      <c r="A7149" s="22">
        <v>2026</v>
      </c>
      <c r="B7149" s="28" t="s">
        <v>249</v>
      </c>
      <c r="C7149" s="28" t="s">
        <v>97</v>
      </c>
      <c r="D7149" s="28" t="s">
        <v>1708</v>
      </c>
      <c r="E7149" s="29" t="s">
        <v>369</v>
      </c>
      <c r="F7149" s="29" t="s">
        <v>483</v>
      </c>
      <c r="G7149" s="25" t="s">
        <v>8802</v>
      </c>
      <c r="H7149" s="26">
        <v>-0.149225</v>
      </c>
      <c r="I7149" s="26"/>
      <c r="J7149" s="26" t="s">
        <v>512</v>
      </c>
      <c r="K7149" s="25" t="s">
        <v>513</v>
      </c>
    </row>
    <row r="7150" spans="1:11" ht="25.5" x14ac:dyDescent="0.25">
      <c r="A7150" s="22">
        <v>2026</v>
      </c>
      <c r="B7150" s="28" t="s">
        <v>249</v>
      </c>
      <c r="C7150" s="28" t="s">
        <v>97</v>
      </c>
      <c r="D7150" s="28" t="s">
        <v>1708</v>
      </c>
      <c r="E7150" s="29" t="s">
        <v>369</v>
      </c>
      <c r="F7150" s="29" t="s">
        <v>483</v>
      </c>
      <c r="G7150" s="25" t="s">
        <v>8803</v>
      </c>
      <c r="H7150" s="26">
        <v>-0.14895850059999999</v>
      </c>
      <c r="I7150" s="26"/>
      <c r="J7150" s="26" t="s">
        <v>512</v>
      </c>
      <c r="K7150" s="25" t="s">
        <v>513</v>
      </c>
    </row>
    <row r="7151" spans="1:11" ht="25.5" x14ac:dyDescent="0.25">
      <c r="A7151" s="22">
        <v>2026</v>
      </c>
      <c r="B7151" s="28" t="s">
        <v>249</v>
      </c>
      <c r="C7151" s="28" t="s">
        <v>97</v>
      </c>
      <c r="D7151" s="28" t="s">
        <v>1708</v>
      </c>
      <c r="E7151" s="29" t="s">
        <v>369</v>
      </c>
      <c r="F7151" s="29" t="s">
        <v>483</v>
      </c>
      <c r="G7151" s="25" t="s">
        <v>8804</v>
      </c>
      <c r="H7151" s="26">
        <v>-0.14864545649999999</v>
      </c>
      <c r="I7151" s="26"/>
      <c r="J7151" s="26" t="s">
        <v>512</v>
      </c>
      <c r="K7151" s="25" t="s">
        <v>513</v>
      </c>
    </row>
    <row r="7152" spans="1:11" ht="25.5" x14ac:dyDescent="0.25">
      <c r="A7152" s="22">
        <v>2026</v>
      </c>
      <c r="B7152" s="28" t="s">
        <v>249</v>
      </c>
      <c r="C7152" s="28" t="s">
        <v>97</v>
      </c>
      <c r="D7152" s="28" t="s">
        <v>1708</v>
      </c>
      <c r="E7152" s="29" t="s">
        <v>369</v>
      </c>
      <c r="F7152" s="29" t="s">
        <v>483</v>
      </c>
      <c r="G7152" s="25" t="s">
        <v>8805</v>
      </c>
      <c r="H7152" s="26">
        <v>-0.14880499999999999</v>
      </c>
      <c r="I7152" s="26"/>
      <c r="J7152" s="26" t="s">
        <v>512</v>
      </c>
      <c r="K7152" s="25" t="s">
        <v>513</v>
      </c>
    </row>
    <row r="7153" spans="1:11" ht="25.5" x14ac:dyDescent="0.25">
      <c r="A7153" s="22">
        <v>2026</v>
      </c>
      <c r="B7153" s="28" t="s">
        <v>249</v>
      </c>
      <c r="C7153" s="28" t="s">
        <v>97</v>
      </c>
      <c r="D7153" s="28" t="s">
        <v>1708</v>
      </c>
      <c r="E7153" s="29" t="s">
        <v>369</v>
      </c>
      <c r="F7153" s="29" t="s">
        <v>483</v>
      </c>
      <c r="G7153" s="25" t="s">
        <v>8806</v>
      </c>
      <c r="H7153" s="26">
        <v>-0.14754500000000001</v>
      </c>
      <c r="I7153" s="26"/>
      <c r="J7153" s="26" t="s">
        <v>512</v>
      </c>
      <c r="K7153" s="25" t="s">
        <v>513</v>
      </c>
    </row>
    <row r="7154" spans="1:11" ht="25.5" x14ac:dyDescent="0.25">
      <c r="A7154" s="22">
        <v>2026</v>
      </c>
      <c r="B7154" s="28" t="s">
        <v>249</v>
      </c>
      <c r="C7154" s="28" t="s">
        <v>97</v>
      </c>
      <c r="D7154" s="28" t="s">
        <v>1708</v>
      </c>
      <c r="E7154" s="29" t="s">
        <v>369</v>
      </c>
      <c r="F7154" s="29" t="s">
        <v>483</v>
      </c>
      <c r="G7154" s="25" t="s">
        <v>8807</v>
      </c>
      <c r="H7154" s="26">
        <v>-0.11727799999999999</v>
      </c>
      <c r="I7154" s="26"/>
      <c r="J7154" s="26" t="s">
        <v>512</v>
      </c>
      <c r="K7154" s="25" t="s">
        <v>513</v>
      </c>
    </row>
    <row r="7155" spans="1:11" ht="25.5" x14ac:dyDescent="0.25">
      <c r="A7155" s="22">
        <v>2026</v>
      </c>
      <c r="B7155" s="28" t="s">
        <v>249</v>
      </c>
      <c r="C7155" s="28" t="s">
        <v>97</v>
      </c>
      <c r="D7155" s="28" t="s">
        <v>1708</v>
      </c>
      <c r="E7155" s="29" t="s">
        <v>369</v>
      </c>
      <c r="F7155" s="29" t="s">
        <v>483</v>
      </c>
      <c r="G7155" s="25" t="s">
        <v>8808</v>
      </c>
      <c r="H7155" s="26">
        <v>-0.14796500000000001</v>
      </c>
      <c r="I7155" s="26"/>
      <c r="J7155" s="26" t="s">
        <v>512</v>
      </c>
      <c r="K7155" s="25" t="s">
        <v>513</v>
      </c>
    </row>
    <row r="7156" spans="1:11" ht="25.5" x14ac:dyDescent="0.25">
      <c r="A7156" s="22">
        <v>2026</v>
      </c>
      <c r="B7156" s="28" t="s">
        <v>249</v>
      </c>
      <c r="C7156" s="28" t="s">
        <v>97</v>
      </c>
      <c r="D7156" s="28" t="s">
        <v>1708</v>
      </c>
      <c r="E7156" s="29" t="s">
        <v>369</v>
      </c>
      <c r="F7156" s="29" t="s">
        <v>483</v>
      </c>
      <c r="G7156" s="25" t="s">
        <v>8809</v>
      </c>
      <c r="H7156" s="26">
        <v>-0.14868000000000001</v>
      </c>
      <c r="I7156" s="26"/>
      <c r="J7156" s="26" t="s">
        <v>512</v>
      </c>
      <c r="K7156" s="25" t="s">
        <v>513</v>
      </c>
    </row>
    <row r="7157" spans="1:11" ht="25.5" x14ac:dyDescent="0.25">
      <c r="A7157" s="22">
        <v>2026</v>
      </c>
      <c r="B7157" s="28" t="s">
        <v>249</v>
      </c>
      <c r="C7157" s="28" t="s">
        <v>97</v>
      </c>
      <c r="D7157" s="28" t="s">
        <v>1708</v>
      </c>
      <c r="E7157" s="29" t="s">
        <v>369</v>
      </c>
      <c r="F7157" s="29" t="s">
        <v>483</v>
      </c>
      <c r="G7157" s="25" t="s">
        <v>8810</v>
      </c>
      <c r="H7157" s="26">
        <v>-0.14760000000000001</v>
      </c>
      <c r="I7157" s="26"/>
      <c r="J7157" s="26" t="s">
        <v>512</v>
      </c>
      <c r="K7157" s="25" t="s">
        <v>513</v>
      </c>
    </row>
    <row r="7158" spans="1:11" ht="25.5" x14ac:dyDescent="0.25">
      <c r="A7158" s="22">
        <v>2026</v>
      </c>
      <c r="B7158" s="28" t="s">
        <v>249</v>
      </c>
      <c r="C7158" s="28" t="s">
        <v>97</v>
      </c>
      <c r="D7158" s="28" t="s">
        <v>1708</v>
      </c>
      <c r="E7158" s="29" t="s">
        <v>369</v>
      </c>
      <c r="F7158" s="29" t="s">
        <v>483</v>
      </c>
      <c r="G7158" s="25" t="s">
        <v>8811</v>
      </c>
      <c r="H7158" s="26">
        <v>-0.13351511199999999</v>
      </c>
      <c r="I7158" s="26"/>
      <c r="J7158" s="26" t="s">
        <v>512</v>
      </c>
      <c r="K7158" s="25" t="s">
        <v>513</v>
      </c>
    </row>
    <row r="7159" spans="1:11" ht="25.5" x14ac:dyDescent="0.25">
      <c r="A7159" s="22">
        <v>2026</v>
      </c>
      <c r="B7159" s="28" t="s">
        <v>249</v>
      </c>
      <c r="C7159" s="28" t="s">
        <v>97</v>
      </c>
      <c r="D7159" s="28" t="s">
        <v>1708</v>
      </c>
      <c r="E7159" s="29" t="s">
        <v>369</v>
      </c>
      <c r="F7159" s="29" t="s">
        <v>483</v>
      </c>
      <c r="G7159" s="25" t="s">
        <v>8812</v>
      </c>
      <c r="H7159" s="26">
        <v>-0.17988899999999999</v>
      </c>
      <c r="I7159" s="26"/>
      <c r="J7159" s="26" t="s">
        <v>512</v>
      </c>
      <c r="K7159" s="25" t="s">
        <v>513</v>
      </c>
    </row>
    <row r="7160" spans="1:11" ht="25.5" x14ac:dyDescent="0.25">
      <c r="A7160" s="22">
        <v>2026</v>
      </c>
      <c r="B7160" s="28" t="s">
        <v>249</v>
      </c>
      <c r="C7160" s="28" t="s">
        <v>97</v>
      </c>
      <c r="D7160" s="28" t="s">
        <v>1708</v>
      </c>
      <c r="E7160" s="29" t="s">
        <v>369</v>
      </c>
      <c r="F7160" s="29" t="s">
        <v>483</v>
      </c>
      <c r="G7160" s="25" t="s">
        <v>8813</v>
      </c>
      <c r="H7160" s="26">
        <v>-3.7692839800000003E-2</v>
      </c>
      <c r="I7160" s="26"/>
      <c r="J7160" s="26" t="s">
        <v>512</v>
      </c>
      <c r="K7160" s="25" t="s">
        <v>513</v>
      </c>
    </row>
    <row r="7161" spans="1:11" ht="25.5" x14ac:dyDescent="0.25">
      <c r="A7161" s="22">
        <v>2026</v>
      </c>
      <c r="B7161" s="28" t="s">
        <v>249</v>
      </c>
      <c r="C7161" s="28" t="s">
        <v>97</v>
      </c>
      <c r="D7161" s="28" t="s">
        <v>1708</v>
      </c>
      <c r="E7161" s="29" t="s">
        <v>369</v>
      </c>
      <c r="F7161" s="29" t="s">
        <v>483</v>
      </c>
      <c r="G7161" s="25" t="s">
        <v>8814</v>
      </c>
      <c r="H7161" s="26">
        <v>-8.2241088800000001E-2</v>
      </c>
      <c r="I7161" s="26"/>
      <c r="J7161" s="26" t="s">
        <v>512</v>
      </c>
      <c r="K7161" s="25" t="s">
        <v>513</v>
      </c>
    </row>
    <row r="7162" spans="1:11" ht="25.5" x14ac:dyDescent="0.25">
      <c r="A7162" s="22">
        <v>2026</v>
      </c>
      <c r="B7162" s="28" t="s">
        <v>249</v>
      </c>
      <c r="C7162" s="28" t="s">
        <v>97</v>
      </c>
      <c r="D7162" s="28" t="s">
        <v>1709</v>
      </c>
      <c r="E7162" s="29" t="s">
        <v>369</v>
      </c>
      <c r="F7162" s="29" t="s">
        <v>353</v>
      </c>
      <c r="G7162" s="25" t="s">
        <v>8815</v>
      </c>
      <c r="H7162" s="26">
        <v>-2.2200000000000001E-2</v>
      </c>
      <c r="I7162" s="26"/>
      <c r="J7162" s="26" t="s">
        <v>512</v>
      </c>
      <c r="K7162" s="25" t="s">
        <v>513</v>
      </c>
    </row>
    <row r="7163" spans="1:11" ht="25.5" x14ac:dyDescent="0.25">
      <c r="A7163" s="22">
        <v>2026</v>
      </c>
      <c r="B7163" s="28" t="s">
        <v>249</v>
      </c>
      <c r="C7163" s="28" t="s">
        <v>97</v>
      </c>
      <c r="D7163" s="28" t="s">
        <v>1709</v>
      </c>
      <c r="E7163" s="29" t="s">
        <v>369</v>
      </c>
      <c r="F7163" s="29" t="s">
        <v>353</v>
      </c>
      <c r="G7163" s="25" t="s">
        <v>8815</v>
      </c>
      <c r="H7163" s="26">
        <v>-2.2200000000000001E-2</v>
      </c>
      <c r="I7163" s="26"/>
      <c r="J7163" s="26" t="s">
        <v>512</v>
      </c>
      <c r="K7163" s="25" t="s">
        <v>513</v>
      </c>
    </row>
    <row r="7164" spans="1:11" ht="25.5" x14ac:dyDescent="0.25">
      <c r="A7164" s="22">
        <v>2026</v>
      </c>
      <c r="B7164" s="28" t="s">
        <v>249</v>
      </c>
      <c r="C7164" s="28" t="s">
        <v>97</v>
      </c>
      <c r="D7164" s="28" t="s">
        <v>1709</v>
      </c>
      <c r="E7164" s="29" t="s">
        <v>369</v>
      </c>
      <c r="F7164" s="29" t="s">
        <v>353</v>
      </c>
      <c r="G7164" s="25" t="s">
        <v>8815</v>
      </c>
      <c r="H7164" s="26">
        <v>-2.2200000000000001E-2</v>
      </c>
      <c r="I7164" s="26"/>
      <c r="J7164" s="26" t="s">
        <v>512</v>
      </c>
      <c r="K7164" s="25" t="s">
        <v>513</v>
      </c>
    </row>
    <row r="7165" spans="1:11" ht="25.5" x14ac:dyDescent="0.25">
      <c r="A7165" s="22">
        <v>2026</v>
      </c>
      <c r="B7165" s="28" t="s">
        <v>249</v>
      </c>
      <c r="C7165" s="28" t="s">
        <v>97</v>
      </c>
      <c r="D7165" s="28" t="s">
        <v>1709</v>
      </c>
      <c r="E7165" s="29" t="s">
        <v>369</v>
      </c>
      <c r="F7165" s="29" t="s">
        <v>353</v>
      </c>
      <c r="G7165" s="25" t="s">
        <v>2061</v>
      </c>
      <c r="H7165" s="26">
        <v>-2.2599999999999999E-2</v>
      </c>
      <c r="I7165" s="26"/>
      <c r="J7165" s="26" t="s">
        <v>512</v>
      </c>
      <c r="K7165" s="25" t="s">
        <v>513</v>
      </c>
    </row>
    <row r="7166" spans="1:11" ht="25.5" x14ac:dyDescent="0.25">
      <c r="A7166" s="22">
        <v>2026</v>
      </c>
      <c r="B7166" s="28" t="s">
        <v>249</v>
      </c>
      <c r="C7166" s="28" t="s">
        <v>97</v>
      </c>
      <c r="D7166" s="28" t="s">
        <v>1709</v>
      </c>
      <c r="E7166" s="29" t="s">
        <v>369</v>
      </c>
      <c r="F7166" s="29" t="s">
        <v>353</v>
      </c>
      <c r="G7166" s="25" t="s">
        <v>2060</v>
      </c>
      <c r="H7166" s="26">
        <v>-2.2800000000000001E-2</v>
      </c>
      <c r="I7166" s="26"/>
      <c r="J7166" s="26" t="s">
        <v>512</v>
      </c>
      <c r="K7166" s="25" t="s">
        <v>513</v>
      </c>
    </row>
    <row r="7167" spans="1:11" ht="25.5" x14ac:dyDescent="0.25">
      <c r="A7167" s="22">
        <v>2026</v>
      </c>
      <c r="B7167" s="28" t="s">
        <v>249</v>
      </c>
      <c r="C7167" s="28" t="s">
        <v>97</v>
      </c>
      <c r="D7167" s="28" t="s">
        <v>1709</v>
      </c>
      <c r="E7167" s="29" t="s">
        <v>369</v>
      </c>
      <c r="F7167" s="29" t="s">
        <v>353</v>
      </c>
      <c r="G7167" s="25" t="s">
        <v>2060</v>
      </c>
      <c r="H7167" s="26">
        <v>-2.2800000000000001E-2</v>
      </c>
      <c r="I7167" s="26"/>
      <c r="J7167" s="26" t="s">
        <v>512</v>
      </c>
      <c r="K7167" s="25" t="s">
        <v>513</v>
      </c>
    </row>
    <row r="7168" spans="1:11" ht="25.5" x14ac:dyDescent="0.25">
      <c r="A7168" s="22">
        <v>2026</v>
      </c>
      <c r="B7168" s="28" t="s">
        <v>249</v>
      </c>
      <c r="C7168" s="28" t="s">
        <v>97</v>
      </c>
      <c r="D7168" s="28" t="s">
        <v>1709</v>
      </c>
      <c r="E7168" s="29" t="s">
        <v>369</v>
      </c>
      <c r="F7168" s="29" t="s">
        <v>353</v>
      </c>
      <c r="G7168" s="25" t="s">
        <v>3017</v>
      </c>
      <c r="H7168" s="26">
        <v>-2.3E-2</v>
      </c>
      <c r="I7168" s="26"/>
      <c r="J7168" s="26" t="s">
        <v>512</v>
      </c>
      <c r="K7168" s="25" t="s">
        <v>513</v>
      </c>
    </row>
    <row r="7169" spans="1:11" ht="25.5" x14ac:dyDescent="0.25">
      <c r="A7169" s="22">
        <v>2026</v>
      </c>
      <c r="B7169" s="28" t="s">
        <v>249</v>
      </c>
      <c r="C7169" s="28" t="s">
        <v>97</v>
      </c>
      <c r="D7169" s="28" t="s">
        <v>1709</v>
      </c>
      <c r="E7169" s="29" t="s">
        <v>369</v>
      </c>
      <c r="F7169" s="29" t="s">
        <v>353</v>
      </c>
      <c r="G7169" s="25" t="s">
        <v>8328</v>
      </c>
      <c r="H7169" s="26">
        <v>-2.3199999999999998E-2</v>
      </c>
      <c r="I7169" s="26"/>
      <c r="J7169" s="26" t="s">
        <v>512</v>
      </c>
      <c r="K7169" s="25" t="s">
        <v>513</v>
      </c>
    </row>
    <row r="7170" spans="1:11" ht="25.5" x14ac:dyDescent="0.25">
      <c r="A7170" s="22">
        <v>2026</v>
      </c>
      <c r="B7170" s="28" t="s">
        <v>249</v>
      </c>
      <c r="C7170" s="28" t="s">
        <v>97</v>
      </c>
      <c r="D7170" s="28" t="s">
        <v>1709</v>
      </c>
      <c r="E7170" s="29" t="s">
        <v>369</v>
      </c>
      <c r="F7170" s="29" t="s">
        <v>353</v>
      </c>
      <c r="G7170" s="25" t="s">
        <v>8816</v>
      </c>
      <c r="H7170" s="26">
        <v>-2.2977000000000001E-2</v>
      </c>
      <c r="I7170" s="26"/>
      <c r="J7170" s="26" t="s">
        <v>512</v>
      </c>
      <c r="K7170" s="25" t="s">
        <v>513</v>
      </c>
    </row>
    <row r="7171" spans="1:11" ht="25.5" x14ac:dyDescent="0.25">
      <c r="A7171" s="22">
        <v>2026</v>
      </c>
      <c r="B7171" s="28" t="s">
        <v>249</v>
      </c>
      <c r="C7171" s="28" t="s">
        <v>97</v>
      </c>
      <c r="D7171" s="28" t="s">
        <v>211</v>
      </c>
      <c r="E7171" s="29" t="s">
        <v>369</v>
      </c>
      <c r="F7171" s="29" t="s">
        <v>343</v>
      </c>
      <c r="G7171" s="25" t="s">
        <v>8817</v>
      </c>
      <c r="H7171" s="26">
        <v>-0.201075</v>
      </c>
      <c r="I7171" s="26"/>
      <c r="J7171" s="26" t="s">
        <v>512</v>
      </c>
      <c r="K7171" s="25" t="s">
        <v>513</v>
      </c>
    </row>
    <row r="7172" spans="1:11" ht="25.5" x14ac:dyDescent="0.25">
      <c r="A7172" s="22">
        <v>2026</v>
      </c>
      <c r="B7172" s="28" t="s">
        <v>249</v>
      </c>
      <c r="C7172" s="28" t="s">
        <v>97</v>
      </c>
      <c r="D7172" s="28" t="s">
        <v>211</v>
      </c>
      <c r="E7172" s="29" t="s">
        <v>369</v>
      </c>
      <c r="F7172" s="29" t="s">
        <v>343</v>
      </c>
      <c r="G7172" s="25" t="s">
        <v>8818</v>
      </c>
      <c r="H7172" s="26">
        <v>-0.20187749999999999</v>
      </c>
      <c r="I7172" s="26"/>
      <c r="J7172" s="26" t="s">
        <v>512</v>
      </c>
      <c r="K7172" s="25" t="s">
        <v>513</v>
      </c>
    </row>
    <row r="7173" spans="1:11" ht="25.5" x14ac:dyDescent="0.25">
      <c r="A7173" s="22">
        <v>2026</v>
      </c>
      <c r="B7173" s="28" t="s">
        <v>249</v>
      </c>
      <c r="C7173" s="28" t="s">
        <v>97</v>
      </c>
      <c r="D7173" s="28" t="s">
        <v>211</v>
      </c>
      <c r="E7173" s="29" t="s">
        <v>369</v>
      </c>
      <c r="F7173" s="29" t="s">
        <v>343</v>
      </c>
      <c r="G7173" s="25" t="s">
        <v>8819</v>
      </c>
      <c r="H7173" s="26">
        <v>-0.2019</v>
      </c>
      <c r="I7173" s="26"/>
      <c r="J7173" s="26" t="s">
        <v>512</v>
      </c>
      <c r="K7173" s="25" t="s">
        <v>513</v>
      </c>
    </row>
    <row r="7174" spans="1:11" ht="25.5" x14ac:dyDescent="0.25">
      <c r="A7174" s="22">
        <v>2026</v>
      </c>
      <c r="B7174" s="28" t="s">
        <v>249</v>
      </c>
      <c r="C7174" s="28" t="s">
        <v>97</v>
      </c>
      <c r="D7174" s="28" t="s">
        <v>211</v>
      </c>
      <c r="E7174" s="29" t="s">
        <v>369</v>
      </c>
      <c r="F7174" s="29" t="s">
        <v>343</v>
      </c>
      <c r="G7174" s="25" t="s">
        <v>8820</v>
      </c>
      <c r="H7174" s="26">
        <v>-0.13125000000000001</v>
      </c>
      <c r="I7174" s="26"/>
      <c r="J7174" s="26" t="s">
        <v>512</v>
      </c>
      <c r="K7174" s="25" t="s">
        <v>513</v>
      </c>
    </row>
    <row r="7175" spans="1:11" ht="25.5" x14ac:dyDescent="0.25">
      <c r="A7175" s="22">
        <v>2026</v>
      </c>
      <c r="B7175" s="28" t="s">
        <v>249</v>
      </c>
      <c r="C7175" s="28" t="s">
        <v>97</v>
      </c>
      <c r="D7175" s="28" t="s">
        <v>211</v>
      </c>
      <c r="E7175" s="29" t="s">
        <v>369</v>
      </c>
      <c r="F7175" s="29" t="s">
        <v>343</v>
      </c>
      <c r="G7175" s="25" t="s">
        <v>8821</v>
      </c>
      <c r="H7175" s="26">
        <v>-0.19725000000000001</v>
      </c>
      <c r="I7175" s="26"/>
      <c r="J7175" s="26" t="s">
        <v>512</v>
      </c>
      <c r="K7175" s="25" t="s">
        <v>513</v>
      </c>
    </row>
    <row r="7176" spans="1:11" ht="25.5" x14ac:dyDescent="0.25">
      <c r="A7176" s="22">
        <v>2026</v>
      </c>
      <c r="B7176" s="28" t="s">
        <v>249</v>
      </c>
      <c r="C7176" s="28" t="s">
        <v>97</v>
      </c>
      <c r="D7176" s="28" t="s">
        <v>211</v>
      </c>
      <c r="E7176" s="29" t="s">
        <v>369</v>
      </c>
      <c r="F7176" s="29" t="s">
        <v>343</v>
      </c>
      <c r="G7176" s="25" t="s">
        <v>8822</v>
      </c>
      <c r="H7176" s="26">
        <v>-0.15883800000000001</v>
      </c>
      <c r="I7176" s="26"/>
      <c r="J7176" s="26" t="s">
        <v>512</v>
      </c>
      <c r="K7176" s="25" t="s">
        <v>513</v>
      </c>
    </row>
    <row r="7177" spans="1:11" ht="25.5" x14ac:dyDescent="0.25">
      <c r="A7177" s="22">
        <v>2026</v>
      </c>
      <c r="B7177" s="28" t="s">
        <v>249</v>
      </c>
      <c r="C7177" s="28" t="s">
        <v>97</v>
      </c>
      <c r="D7177" s="28" t="s">
        <v>211</v>
      </c>
      <c r="E7177" s="29" t="s">
        <v>369</v>
      </c>
      <c r="F7177" s="29" t="s">
        <v>343</v>
      </c>
      <c r="G7177" s="25" t="s">
        <v>8823</v>
      </c>
      <c r="H7177" s="26">
        <v>-0.199875</v>
      </c>
      <c r="I7177" s="26"/>
      <c r="J7177" s="26" t="s">
        <v>512</v>
      </c>
      <c r="K7177" s="25" t="s">
        <v>513</v>
      </c>
    </row>
    <row r="7178" spans="1:11" ht="25.5" x14ac:dyDescent="0.25">
      <c r="A7178" s="22">
        <v>2026</v>
      </c>
      <c r="B7178" s="28" t="s">
        <v>249</v>
      </c>
      <c r="C7178" s="28" t="s">
        <v>97</v>
      </c>
      <c r="D7178" s="28" t="s">
        <v>211</v>
      </c>
      <c r="E7178" s="29" t="s">
        <v>369</v>
      </c>
      <c r="F7178" s="29" t="s">
        <v>343</v>
      </c>
      <c r="G7178" s="25" t="s">
        <v>8824</v>
      </c>
      <c r="H7178" s="26">
        <v>-0.20047499999999999</v>
      </c>
      <c r="I7178" s="26"/>
      <c r="J7178" s="26" t="s">
        <v>512</v>
      </c>
      <c r="K7178" s="25" t="s">
        <v>513</v>
      </c>
    </row>
    <row r="7179" spans="1:11" ht="25.5" x14ac:dyDescent="0.25">
      <c r="A7179" s="22">
        <v>2026</v>
      </c>
      <c r="B7179" s="28" t="s">
        <v>249</v>
      </c>
      <c r="C7179" s="28" t="s">
        <v>97</v>
      </c>
      <c r="D7179" s="28" t="s">
        <v>211</v>
      </c>
      <c r="E7179" s="29" t="s">
        <v>369</v>
      </c>
      <c r="F7179" s="29" t="s">
        <v>343</v>
      </c>
      <c r="G7179" s="25" t="s">
        <v>8825</v>
      </c>
      <c r="H7179" s="26">
        <v>-0.200625</v>
      </c>
      <c r="I7179" s="26"/>
      <c r="J7179" s="26" t="s">
        <v>512</v>
      </c>
      <c r="K7179" s="25" t="s">
        <v>513</v>
      </c>
    </row>
    <row r="7180" spans="1:11" ht="25.5" x14ac:dyDescent="0.25">
      <c r="A7180" s="22">
        <v>2026</v>
      </c>
      <c r="B7180" s="28" t="s">
        <v>249</v>
      </c>
      <c r="C7180" s="28" t="s">
        <v>97</v>
      </c>
      <c r="D7180" s="28" t="s">
        <v>211</v>
      </c>
      <c r="E7180" s="29" t="s">
        <v>369</v>
      </c>
      <c r="F7180" s="29" t="s">
        <v>343</v>
      </c>
      <c r="G7180" s="25" t="s">
        <v>8442</v>
      </c>
      <c r="H7180" s="26">
        <v>-0.20250000000000001</v>
      </c>
      <c r="I7180" s="26"/>
      <c r="J7180" s="26" t="s">
        <v>512</v>
      </c>
      <c r="K7180" s="25" t="s">
        <v>513</v>
      </c>
    </row>
    <row r="7181" spans="1:11" ht="25.5" x14ac:dyDescent="0.25">
      <c r="A7181" s="22">
        <v>2026</v>
      </c>
      <c r="B7181" s="28" t="s">
        <v>249</v>
      </c>
      <c r="C7181" s="28" t="s">
        <v>97</v>
      </c>
      <c r="D7181" s="28" t="s">
        <v>211</v>
      </c>
      <c r="E7181" s="29" t="s">
        <v>369</v>
      </c>
      <c r="F7181" s="29" t="s">
        <v>343</v>
      </c>
      <c r="G7181" s="25" t="s">
        <v>8826</v>
      </c>
      <c r="H7181" s="26">
        <v>-0.20175000000000001</v>
      </c>
      <c r="I7181" s="26"/>
      <c r="J7181" s="26" t="s">
        <v>512</v>
      </c>
      <c r="K7181" s="25" t="s">
        <v>513</v>
      </c>
    </row>
    <row r="7182" spans="1:11" ht="25.5" x14ac:dyDescent="0.25">
      <c r="A7182" s="22">
        <v>2026</v>
      </c>
      <c r="B7182" s="28" t="s">
        <v>249</v>
      </c>
      <c r="C7182" s="28" t="s">
        <v>97</v>
      </c>
      <c r="D7182" s="28" t="s">
        <v>211</v>
      </c>
      <c r="E7182" s="29" t="s">
        <v>369</v>
      </c>
      <c r="F7182" s="29" t="s">
        <v>343</v>
      </c>
      <c r="G7182" s="25" t="s">
        <v>8827</v>
      </c>
      <c r="H7182" s="26">
        <v>-0.201375</v>
      </c>
      <c r="I7182" s="26"/>
      <c r="J7182" s="26" t="s">
        <v>512</v>
      </c>
      <c r="K7182" s="25" t="s">
        <v>513</v>
      </c>
    </row>
    <row r="7183" spans="1:11" ht="25.5" x14ac:dyDescent="0.25">
      <c r="A7183" s="22">
        <v>2026</v>
      </c>
      <c r="B7183" s="28" t="s">
        <v>249</v>
      </c>
      <c r="C7183" s="28" t="s">
        <v>97</v>
      </c>
      <c r="D7183" s="28" t="s">
        <v>211</v>
      </c>
      <c r="E7183" s="29" t="s">
        <v>369</v>
      </c>
      <c r="F7183" s="29" t="s">
        <v>343</v>
      </c>
      <c r="G7183" s="25" t="s">
        <v>8828</v>
      </c>
      <c r="H7183" s="26">
        <v>-0.203625</v>
      </c>
      <c r="I7183" s="26"/>
      <c r="J7183" s="26" t="s">
        <v>512</v>
      </c>
      <c r="K7183" s="25" t="s">
        <v>513</v>
      </c>
    </row>
    <row r="7184" spans="1:11" ht="25.5" x14ac:dyDescent="0.25">
      <c r="A7184" s="22">
        <v>2026</v>
      </c>
      <c r="B7184" s="28" t="s">
        <v>249</v>
      </c>
      <c r="C7184" s="28" t="s">
        <v>97</v>
      </c>
      <c r="D7184" s="28" t="s">
        <v>211</v>
      </c>
      <c r="E7184" s="29" t="s">
        <v>369</v>
      </c>
      <c r="F7184" s="29" t="s">
        <v>343</v>
      </c>
      <c r="G7184" s="25" t="s">
        <v>8829</v>
      </c>
      <c r="H7184" s="26">
        <v>-0.20474999999999999</v>
      </c>
      <c r="I7184" s="26"/>
      <c r="J7184" s="26" t="s">
        <v>512</v>
      </c>
      <c r="K7184" s="25" t="s">
        <v>513</v>
      </c>
    </row>
    <row r="7185" spans="1:11" ht="25.5" x14ac:dyDescent="0.25">
      <c r="A7185" s="22">
        <v>2026</v>
      </c>
      <c r="B7185" s="28" t="s">
        <v>249</v>
      </c>
      <c r="C7185" s="28" t="s">
        <v>97</v>
      </c>
      <c r="D7185" s="28" t="s">
        <v>211</v>
      </c>
      <c r="E7185" s="29" t="s">
        <v>369</v>
      </c>
      <c r="F7185" s="29" t="s">
        <v>343</v>
      </c>
      <c r="G7185" s="25" t="s">
        <v>8830</v>
      </c>
      <c r="H7185" s="26">
        <v>-0.202875</v>
      </c>
      <c r="I7185" s="26"/>
      <c r="J7185" s="26" t="s">
        <v>512</v>
      </c>
      <c r="K7185" s="25" t="s">
        <v>513</v>
      </c>
    </row>
    <row r="7186" spans="1:11" ht="25.5" x14ac:dyDescent="0.25">
      <c r="A7186" s="22">
        <v>2026</v>
      </c>
      <c r="B7186" s="28" t="s">
        <v>249</v>
      </c>
      <c r="C7186" s="28" t="s">
        <v>97</v>
      </c>
      <c r="D7186" s="28" t="s">
        <v>211</v>
      </c>
      <c r="E7186" s="29" t="s">
        <v>369</v>
      </c>
      <c r="F7186" s="29" t="s">
        <v>343</v>
      </c>
      <c r="G7186" s="25" t="s">
        <v>8831</v>
      </c>
      <c r="H7186" s="26">
        <v>-0.204375</v>
      </c>
      <c r="I7186" s="26"/>
      <c r="J7186" s="26" t="s">
        <v>512</v>
      </c>
      <c r="K7186" s="25" t="s">
        <v>513</v>
      </c>
    </row>
    <row r="7187" spans="1:11" ht="25.5" x14ac:dyDescent="0.25">
      <c r="A7187" s="22">
        <v>2026</v>
      </c>
      <c r="B7187" s="28" t="s">
        <v>249</v>
      </c>
      <c r="C7187" s="28" t="s">
        <v>97</v>
      </c>
      <c r="D7187" s="28" t="s">
        <v>211</v>
      </c>
      <c r="E7187" s="29" t="s">
        <v>369</v>
      </c>
      <c r="F7187" s="29" t="s">
        <v>343</v>
      </c>
      <c r="G7187" s="25" t="s">
        <v>8831</v>
      </c>
      <c r="H7187" s="26">
        <v>-0.204375</v>
      </c>
      <c r="I7187" s="26"/>
      <c r="J7187" s="26" t="s">
        <v>512</v>
      </c>
      <c r="K7187" s="25" t="s">
        <v>513</v>
      </c>
    </row>
    <row r="7188" spans="1:11" ht="25.5" x14ac:dyDescent="0.25">
      <c r="A7188" s="22">
        <v>2026</v>
      </c>
      <c r="B7188" s="28" t="s">
        <v>249</v>
      </c>
      <c r="C7188" s="28" t="s">
        <v>97</v>
      </c>
      <c r="D7188" s="28" t="s">
        <v>211</v>
      </c>
      <c r="E7188" s="29" t="s">
        <v>369</v>
      </c>
      <c r="F7188" s="29" t="s">
        <v>343</v>
      </c>
      <c r="G7188" s="25" t="s">
        <v>8830</v>
      </c>
      <c r="H7188" s="26">
        <v>-0.202875</v>
      </c>
      <c r="I7188" s="26"/>
      <c r="J7188" s="26" t="s">
        <v>512</v>
      </c>
      <c r="K7188" s="25" t="s">
        <v>513</v>
      </c>
    </row>
    <row r="7189" spans="1:11" ht="25.5" x14ac:dyDescent="0.25">
      <c r="A7189" s="22">
        <v>2026</v>
      </c>
      <c r="B7189" s="28" t="s">
        <v>249</v>
      </c>
      <c r="C7189" s="28" t="s">
        <v>97</v>
      </c>
      <c r="D7189" s="28" t="s">
        <v>211</v>
      </c>
      <c r="E7189" s="29" t="s">
        <v>369</v>
      </c>
      <c r="F7189" s="29" t="s">
        <v>343</v>
      </c>
      <c r="G7189" s="25" t="s">
        <v>8832</v>
      </c>
      <c r="H7189" s="26">
        <v>-0.40576499999999999</v>
      </c>
      <c r="I7189" s="26"/>
      <c r="J7189" s="26" t="s">
        <v>512</v>
      </c>
      <c r="K7189" s="25" t="s">
        <v>513</v>
      </c>
    </row>
    <row r="7190" spans="1:11" ht="25.5" x14ac:dyDescent="0.25">
      <c r="A7190" s="22">
        <v>2026</v>
      </c>
      <c r="B7190" s="28" t="s">
        <v>249</v>
      </c>
      <c r="C7190" s="28" t="s">
        <v>97</v>
      </c>
      <c r="D7190" s="28" t="s">
        <v>1710</v>
      </c>
      <c r="E7190" s="29" t="s">
        <v>1767</v>
      </c>
      <c r="F7190" s="29" t="s">
        <v>564</v>
      </c>
      <c r="G7190" s="25" t="s">
        <v>8833</v>
      </c>
      <c r="H7190" s="26">
        <v>-6.4656000000000005E-2</v>
      </c>
      <c r="I7190" s="26"/>
      <c r="J7190" s="26" t="s">
        <v>512</v>
      </c>
      <c r="K7190" s="25" t="s">
        <v>513</v>
      </c>
    </row>
    <row r="7191" spans="1:11" ht="25.5" x14ac:dyDescent="0.25">
      <c r="A7191" s="22">
        <v>2026</v>
      </c>
      <c r="B7191" s="28" t="s">
        <v>249</v>
      </c>
      <c r="C7191" s="28" t="s">
        <v>97</v>
      </c>
      <c r="D7191" s="28" t="s">
        <v>1710</v>
      </c>
      <c r="E7191" s="29" t="s">
        <v>1767</v>
      </c>
      <c r="F7191" s="29" t="s">
        <v>564</v>
      </c>
      <c r="G7191" s="25" t="s">
        <v>8834</v>
      </c>
      <c r="H7191" s="26">
        <v>-4.0693500000000001E-2</v>
      </c>
      <c r="I7191" s="26"/>
      <c r="J7191" s="26" t="s">
        <v>512</v>
      </c>
      <c r="K7191" s="25" t="s">
        <v>513</v>
      </c>
    </row>
    <row r="7192" spans="1:11" ht="25.5" x14ac:dyDescent="0.25">
      <c r="A7192" s="22">
        <v>2026</v>
      </c>
      <c r="B7192" s="28" t="s">
        <v>249</v>
      </c>
      <c r="C7192" s="28" t="s">
        <v>97</v>
      </c>
      <c r="D7192" s="28" t="s">
        <v>1710</v>
      </c>
      <c r="E7192" s="29" t="s">
        <v>1767</v>
      </c>
      <c r="F7192" s="29" t="s">
        <v>564</v>
      </c>
      <c r="G7192" s="25" t="s">
        <v>8835</v>
      </c>
      <c r="H7192" s="26">
        <v>-7.9920000000000005E-2</v>
      </c>
      <c r="I7192" s="26"/>
      <c r="J7192" s="26" t="s">
        <v>512</v>
      </c>
      <c r="K7192" s="25" t="s">
        <v>513</v>
      </c>
    </row>
    <row r="7193" spans="1:11" ht="25.5" x14ac:dyDescent="0.25">
      <c r="A7193" s="22">
        <v>2026</v>
      </c>
      <c r="B7193" s="28" t="s">
        <v>249</v>
      </c>
      <c r="C7193" s="28" t="s">
        <v>97</v>
      </c>
      <c r="D7193" s="28" t="s">
        <v>1710</v>
      </c>
      <c r="E7193" s="29" t="s">
        <v>1767</v>
      </c>
      <c r="F7193" s="29" t="s">
        <v>564</v>
      </c>
      <c r="G7193" s="25" t="s">
        <v>8836</v>
      </c>
      <c r="H7193" s="26">
        <v>-0.1585</v>
      </c>
      <c r="I7193" s="26"/>
      <c r="J7193" s="26" t="s">
        <v>512</v>
      </c>
      <c r="K7193" s="25" t="s">
        <v>513</v>
      </c>
    </row>
    <row r="7194" spans="1:11" ht="25.5" x14ac:dyDescent="0.25">
      <c r="A7194" s="22">
        <v>2026</v>
      </c>
      <c r="B7194" s="28" t="s">
        <v>249</v>
      </c>
      <c r="C7194" s="28" t="s">
        <v>97</v>
      </c>
      <c r="D7194" s="28" t="s">
        <v>1710</v>
      </c>
      <c r="E7194" s="29" t="s">
        <v>1767</v>
      </c>
      <c r="F7194" s="29" t="s">
        <v>564</v>
      </c>
      <c r="G7194" s="25" t="s">
        <v>8837</v>
      </c>
      <c r="H7194" s="26">
        <v>-0.16064999999999999</v>
      </c>
      <c r="I7194" s="26"/>
      <c r="J7194" s="26" t="s">
        <v>512</v>
      </c>
      <c r="K7194" s="25" t="s">
        <v>513</v>
      </c>
    </row>
    <row r="7195" spans="1:11" ht="25.5" x14ac:dyDescent="0.25">
      <c r="A7195" s="22">
        <v>2026</v>
      </c>
      <c r="B7195" s="28" t="s">
        <v>249</v>
      </c>
      <c r="C7195" s="28" t="s">
        <v>97</v>
      </c>
      <c r="D7195" s="28" t="s">
        <v>1710</v>
      </c>
      <c r="E7195" s="29" t="s">
        <v>1767</v>
      </c>
      <c r="F7195" s="29" t="s">
        <v>564</v>
      </c>
      <c r="G7195" s="25" t="s">
        <v>8838</v>
      </c>
      <c r="H7195" s="26">
        <v>-0.16034999999999999</v>
      </c>
      <c r="I7195" s="26"/>
      <c r="J7195" s="26" t="s">
        <v>512</v>
      </c>
      <c r="K7195" s="25" t="s">
        <v>513</v>
      </c>
    </row>
    <row r="7196" spans="1:11" ht="25.5" x14ac:dyDescent="0.25">
      <c r="A7196" s="22">
        <v>2026</v>
      </c>
      <c r="B7196" s="28" t="s">
        <v>249</v>
      </c>
      <c r="C7196" s="28" t="s">
        <v>97</v>
      </c>
      <c r="D7196" s="28" t="s">
        <v>1710</v>
      </c>
      <c r="E7196" s="29" t="s">
        <v>1767</v>
      </c>
      <c r="F7196" s="29" t="s">
        <v>564</v>
      </c>
      <c r="G7196" s="25" t="s">
        <v>8839</v>
      </c>
      <c r="H7196" s="26">
        <v>-3.9967500000000003E-2</v>
      </c>
      <c r="I7196" s="26"/>
      <c r="J7196" s="26" t="s">
        <v>512</v>
      </c>
      <c r="K7196" s="25" t="s">
        <v>513</v>
      </c>
    </row>
    <row r="7197" spans="1:11" ht="25.5" x14ac:dyDescent="0.25">
      <c r="A7197" s="22">
        <v>2026</v>
      </c>
      <c r="B7197" s="28" t="s">
        <v>249</v>
      </c>
      <c r="C7197" s="28" t="s">
        <v>97</v>
      </c>
      <c r="D7197" s="28" t="s">
        <v>1711</v>
      </c>
      <c r="E7197" s="29" t="s">
        <v>1758</v>
      </c>
      <c r="F7197" s="29" t="s">
        <v>298</v>
      </c>
      <c r="G7197" s="25" t="s">
        <v>8840</v>
      </c>
      <c r="H7197" s="26">
        <v>-0.1283578296</v>
      </c>
      <c r="I7197" s="26"/>
      <c r="J7197" s="26" t="s">
        <v>512</v>
      </c>
      <c r="K7197" s="25" t="s">
        <v>513</v>
      </c>
    </row>
    <row r="7198" spans="1:11" ht="25.5" x14ac:dyDescent="0.25">
      <c r="A7198" s="22">
        <v>2026</v>
      </c>
      <c r="B7198" s="28" t="s">
        <v>249</v>
      </c>
      <c r="C7198" s="28" t="s">
        <v>97</v>
      </c>
      <c r="D7198" s="28" t="s">
        <v>1711</v>
      </c>
      <c r="E7198" s="29" t="s">
        <v>1758</v>
      </c>
      <c r="F7198" s="29" t="s">
        <v>298</v>
      </c>
      <c r="G7198" s="25" t="s">
        <v>8841</v>
      </c>
      <c r="H7198" s="26">
        <v>-0.12183965970000001</v>
      </c>
      <c r="I7198" s="26"/>
      <c r="J7198" s="26" t="s">
        <v>512</v>
      </c>
      <c r="K7198" s="25" t="s">
        <v>513</v>
      </c>
    </row>
    <row r="7199" spans="1:11" ht="25.5" x14ac:dyDescent="0.25">
      <c r="A7199" s="22">
        <v>2026</v>
      </c>
      <c r="B7199" s="28" t="s">
        <v>249</v>
      </c>
      <c r="C7199" s="28" t="s">
        <v>97</v>
      </c>
      <c r="D7199" s="28" t="s">
        <v>1711</v>
      </c>
      <c r="E7199" s="29" t="s">
        <v>1758</v>
      </c>
      <c r="F7199" s="29" t="s">
        <v>298</v>
      </c>
      <c r="G7199" s="25" t="s">
        <v>8842</v>
      </c>
      <c r="H7199" s="26">
        <v>-0.185745882</v>
      </c>
      <c r="I7199" s="26"/>
      <c r="J7199" s="26" t="s">
        <v>512</v>
      </c>
      <c r="K7199" s="25" t="s">
        <v>513</v>
      </c>
    </row>
    <row r="7200" spans="1:11" ht="25.5" x14ac:dyDescent="0.25">
      <c r="A7200" s="22">
        <v>2026</v>
      </c>
      <c r="B7200" s="28" t="s">
        <v>249</v>
      </c>
      <c r="C7200" s="28" t="s">
        <v>97</v>
      </c>
      <c r="D7200" s="28" t="s">
        <v>1711</v>
      </c>
      <c r="E7200" s="29" t="s">
        <v>1758</v>
      </c>
      <c r="F7200" s="29" t="s">
        <v>298</v>
      </c>
      <c r="G7200" s="25" t="s">
        <v>8843</v>
      </c>
      <c r="H7200" s="26">
        <v>-5.4069335599999997E-2</v>
      </c>
      <c r="I7200" s="26"/>
      <c r="J7200" s="26" t="s">
        <v>512</v>
      </c>
      <c r="K7200" s="25" t="s">
        <v>513</v>
      </c>
    </row>
    <row r="7201" spans="1:11" ht="25.5" x14ac:dyDescent="0.25">
      <c r="A7201" s="22">
        <v>2026</v>
      </c>
      <c r="B7201" s="28" t="s">
        <v>249</v>
      </c>
      <c r="C7201" s="28" t="s">
        <v>97</v>
      </c>
      <c r="D7201" s="28" t="s">
        <v>1711</v>
      </c>
      <c r="E7201" s="29" t="s">
        <v>1758</v>
      </c>
      <c r="F7201" s="29" t="s">
        <v>298</v>
      </c>
      <c r="G7201" s="25" t="s">
        <v>8844</v>
      </c>
      <c r="H7201" s="26">
        <v>-0.23247295110000002</v>
      </c>
      <c r="I7201" s="26"/>
      <c r="J7201" s="26" t="s">
        <v>512</v>
      </c>
      <c r="K7201" s="25" t="s">
        <v>513</v>
      </c>
    </row>
    <row r="7202" spans="1:11" ht="25.5" x14ac:dyDescent="0.25">
      <c r="A7202" s="22">
        <v>2026</v>
      </c>
      <c r="B7202" s="28" t="s">
        <v>249</v>
      </c>
      <c r="C7202" s="28" t="s">
        <v>97</v>
      </c>
      <c r="D7202" s="28" t="s">
        <v>1712</v>
      </c>
      <c r="E7202" s="29" t="s">
        <v>1712</v>
      </c>
      <c r="F7202" s="29" t="s">
        <v>325</v>
      </c>
      <c r="G7202" s="25" t="s">
        <v>8845</v>
      </c>
      <c r="H7202" s="26">
        <v>-0.41602938650000004</v>
      </c>
      <c r="I7202" s="26"/>
      <c r="J7202" s="26" t="s">
        <v>512</v>
      </c>
      <c r="K7202" s="25" t="s">
        <v>513</v>
      </c>
    </row>
    <row r="7203" spans="1:11" ht="25.5" x14ac:dyDescent="0.25">
      <c r="A7203" s="22">
        <v>2026</v>
      </c>
      <c r="B7203" s="28" t="s">
        <v>249</v>
      </c>
      <c r="C7203" s="28" t="s">
        <v>97</v>
      </c>
      <c r="D7203" s="28" t="s">
        <v>1712</v>
      </c>
      <c r="E7203" s="29" t="s">
        <v>1712</v>
      </c>
      <c r="F7203" s="29" t="s">
        <v>325</v>
      </c>
      <c r="G7203" s="25" t="s">
        <v>8846</v>
      </c>
      <c r="H7203" s="26">
        <v>-0.41770499999999999</v>
      </c>
      <c r="I7203" s="26"/>
      <c r="J7203" s="26" t="s">
        <v>512</v>
      </c>
      <c r="K7203" s="25" t="s">
        <v>513</v>
      </c>
    </row>
    <row r="7204" spans="1:11" ht="25.5" x14ac:dyDescent="0.25">
      <c r="A7204" s="22">
        <v>2026</v>
      </c>
      <c r="B7204" s="28" t="s">
        <v>249</v>
      </c>
      <c r="C7204" s="28" t="s">
        <v>97</v>
      </c>
      <c r="D7204" s="28" t="s">
        <v>1712</v>
      </c>
      <c r="E7204" s="29" t="s">
        <v>1712</v>
      </c>
      <c r="F7204" s="29" t="s">
        <v>325</v>
      </c>
      <c r="G7204" s="25" t="s">
        <v>8847</v>
      </c>
      <c r="H7204" s="26">
        <v>-0.41189779609999999</v>
      </c>
      <c r="I7204" s="26"/>
      <c r="J7204" s="26" t="s">
        <v>512</v>
      </c>
      <c r="K7204" s="25" t="s">
        <v>513</v>
      </c>
    </row>
    <row r="7205" spans="1:11" ht="25.5" x14ac:dyDescent="0.25">
      <c r="A7205" s="22">
        <v>2026</v>
      </c>
      <c r="B7205" s="28" t="s">
        <v>249</v>
      </c>
      <c r="C7205" s="28" t="s">
        <v>97</v>
      </c>
      <c r="D7205" s="28" t="s">
        <v>1712</v>
      </c>
      <c r="E7205" s="29" t="s">
        <v>1712</v>
      </c>
      <c r="F7205" s="29" t="s">
        <v>325</v>
      </c>
      <c r="G7205" s="25" t="s">
        <v>8848</v>
      </c>
      <c r="H7205" s="26">
        <v>-0.34118500000000002</v>
      </c>
      <c r="I7205" s="26"/>
      <c r="J7205" s="26" t="s">
        <v>512</v>
      </c>
      <c r="K7205" s="25" t="s">
        <v>513</v>
      </c>
    </row>
    <row r="7206" spans="1:11" ht="25.5" x14ac:dyDescent="0.25">
      <c r="A7206" s="22">
        <v>2026</v>
      </c>
      <c r="B7206" s="28" t="s">
        <v>249</v>
      </c>
      <c r="C7206" s="28" t="s">
        <v>97</v>
      </c>
      <c r="D7206" s="28" t="s">
        <v>1712</v>
      </c>
      <c r="E7206" s="29" t="s">
        <v>1712</v>
      </c>
      <c r="F7206" s="29" t="s">
        <v>325</v>
      </c>
      <c r="G7206" s="25" t="s">
        <v>8849</v>
      </c>
      <c r="H7206" s="26">
        <v>-0.143118945</v>
      </c>
      <c r="I7206" s="26"/>
      <c r="J7206" s="26" t="s">
        <v>512</v>
      </c>
      <c r="K7206" s="25" t="s">
        <v>513</v>
      </c>
    </row>
    <row r="7207" spans="1:11" ht="25.5" x14ac:dyDescent="0.25">
      <c r="A7207" s="22">
        <v>2026</v>
      </c>
      <c r="B7207" s="28" t="s">
        <v>249</v>
      </c>
      <c r="C7207" s="28" t="s">
        <v>97</v>
      </c>
      <c r="D7207" s="28" t="s">
        <v>1712</v>
      </c>
      <c r="E7207" s="29" t="s">
        <v>1712</v>
      </c>
      <c r="F7207" s="29" t="s">
        <v>325</v>
      </c>
      <c r="G7207" s="25" t="s">
        <v>8850</v>
      </c>
      <c r="H7207" s="26">
        <v>-0.39036105360000001</v>
      </c>
      <c r="I7207" s="26"/>
      <c r="J7207" s="26" t="s">
        <v>512</v>
      </c>
      <c r="K7207" s="25" t="s">
        <v>513</v>
      </c>
    </row>
    <row r="7208" spans="1:11" ht="25.5" x14ac:dyDescent="0.25">
      <c r="A7208" s="22">
        <v>2026</v>
      </c>
      <c r="B7208" s="28" t="s">
        <v>249</v>
      </c>
      <c r="C7208" s="28" t="s">
        <v>97</v>
      </c>
      <c r="D7208" s="28" t="s">
        <v>1712</v>
      </c>
      <c r="E7208" s="29" t="s">
        <v>1712</v>
      </c>
      <c r="F7208" s="29" t="s">
        <v>325</v>
      </c>
      <c r="G7208" s="25" t="s">
        <v>8851</v>
      </c>
      <c r="H7208" s="26">
        <v>-0.14367129000000001</v>
      </c>
      <c r="I7208" s="26"/>
      <c r="J7208" s="26" t="s">
        <v>512</v>
      </c>
      <c r="K7208" s="25" t="s">
        <v>513</v>
      </c>
    </row>
    <row r="7209" spans="1:11" ht="25.5" x14ac:dyDescent="0.25">
      <c r="A7209" s="22">
        <v>2026</v>
      </c>
      <c r="B7209" s="28" t="s">
        <v>249</v>
      </c>
      <c r="C7209" s="28" t="s">
        <v>97</v>
      </c>
      <c r="D7209" s="28" t="s">
        <v>1712</v>
      </c>
      <c r="E7209" s="29" t="s">
        <v>1712</v>
      </c>
      <c r="F7209" s="29" t="s">
        <v>325</v>
      </c>
      <c r="G7209" s="25" t="s">
        <v>8852</v>
      </c>
      <c r="H7209" s="26">
        <v>-0.3355254144</v>
      </c>
      <c r="I7209" s="26"/>
      <c r="J7209" s="26" t="s">
        <v>512</v>
      </c>
      <c r="K7209" s="25" t="s">
        <v>513</v>
      </c>
    </row>
    <row r="7210" spans="1:11" ht="25.5" x14ac:dyDescent="0.25">
      <c r="A7210" s="22">
        <v>2026</v>
      </c>
      <c r="B7210" s="28" t="s">
        <v>249</v>
      </c>
      <c r="C7210" s="28" t="s">
        <v>97</v>
      </c>
      <c r="D7210" s="28" t="s">
        <v>1712</v>
      </c>
      <c r="E7210" s="29" t="s">
        <v>1712</v>
      </c>
      <c r="F7210" s="29" t="s">
        <v>325</v>
      </c>
      <c r="G7210" s="25" t="s">
        <v>8853</v>
      </c>
      <c r="H7210" s="26">
        <v>-0.46577004999999999</v>
      </c>
      <c r="I7210" s="26"/>
      <c r="J7210" s="26" t="s">
        <v>512</v>
      </c>
      <c r="K7210" s="25" t="s">
        <v>513</v>
      </c>
    </row>
    <row r="7211" spans="1:11" ht="25.5" x14ac:dyDescent="0.25">
      <c r="A7211" s="22">
        <v>2026</v>
      </c>
      <c r="B7211" s="28" t="s">
        <v>249</v>
      </c>
      <c r="C7211" s="28" t="s">
        <v>97</v>
      </c>
      <c r="D7211" s="28" t="s">
        <v>1712</v>
      </c>
      <c r="E7211" s="29" t="s">
        <v>1712</v>
      </c>
      <c r="F7211" s="29" t="s">
        <v>325</v>
      </c>
      <c r="G7211" s="25" t="s">
        <v>8854</v>
      </c>
      <c r="H7211" s="26">
        <v>-0.45749412219999996</v>
      </c>
      <c r="I7211" s="26"/>
      <c r="J7211" s="26" t="s">
        <v>512</v>
      </c>
      <c r="K7211" s="25" t="s">
        <v>513</v>
      </c>
    </row>
    <row r="7212" spans="1:11" ht="25.5" x14ac:dyDescent="0.25">
      <c r="A7212" s="22">
        <v>2026</v>
      </c>
      <c r="B7212" s="28" t="s">
        <v>249</v>
      </c>
      <c r="C7212" s="28" t="s">
        <v>97</v>
      </c>
      <c r="D7212" s="28" t="s">
        <v>1712</v>
      </c>
      <c r="E7212" s="29" t="s">
        <v>1712</v>
      </c>
      <c r="F7212" s="29" t="s">
        <v>325</v>
      </c>
      <c r="G7212" s="25" t="s">
        <v>8855</v>
      </c>
      <c r="H7212" s="26">
        <v>-0.38392321000000001</v>
      </c>
      <c r="I7212" s="26"/>
      <c r="J7212" s="26" t="s">
        <v>512</v>
      </c>
      <c r="K7212" s="25" t="s">
        <v>513</v>
      </c>
    </row>
    <row r="7213" spans="1:11" ht="25.5" x14ac:dyDescent="0.25">
      <c r="A7213" s="22">
        <v>2026</v>
      </c>
      <c r="B7213" s="28" t="s">
        <v>249</v>
      </c>
      <c r="C7213" s="28" t="s">
        <v>97</v>
      </c>
      <c r="D7213" s="28" t="s">
        <v>1712</v>
      </c>
      <c r="E7213" s="29" t="s">
        <v>1712</v>
      </c>
      <c r="F7213" s="29" t="s">
        <v>325</v>
      </c>
      <c r="G7213" s="25" t="s">
        <v>8856</v>
      </c>
      <c r="H7213" s="26">
        <v>-0.49446969260000001</v>
      </c>
      <c r="I7213" s="26"/>
      <c r="J7213" s="26" t="s">
        <v>512</v>
      </c>
      <c r="K7213" s="25" t="s">
        <v>513</v>
      </c>
    </row>
    <row r="7214" spans="1:11" ht="25.5" x14ac:dyDescent="0.25">
      <c r="A7214" s="22">
        <v>2026</v>
      </c>
      <c r="B7214" s="28" t="s">
        <v>249</v>
      </c>
      <c r="C7214" s="28" t="s">
        <v>97</v>
      </c>
      <c r="D7214" s="28" t="s">
        <v>1712</v>
      </c>
      <c r="E7214" s="29" t="s">
        <v>1712</v>
      </c>
      <c r="F7214" s="29" t="s">
        <v>325</v>
      </c>
      <c r="G7214" s="25" t="s">
        <v>8857</v>
      </c>
      <c r="H7214" s="26">
        <v>-0.48669321000000004</v>
      </c>
      <c r="I7214" s="26"/>
      <c r="J7214" s="26" t="s">
        <v>512</v>
      </c>
      <c r="K7214" s="25" t="s">
        <v>513</v>
      </c>
    </row>
    <row r="7215" spans="1:11" ht="25.5" x14ac:dyDescent="0.25">
      <c r="A7215" s="22">
        <v>2026</v>
      </c>
      <c r="B7215" s="28" t="s">
        <v>249</v>
      </c>
      <c r="C7215" s="28" t="s">
        <v>97</v>
      </c>
      <c r="D7215" s="28" t="s">
        <v>1001</v>
      </c>
      <c r="E7215" s="29" t="s">
        <v>491</v>
      </c>
      <c r="F7215" s="29" t="s">
        <v>378</v>
      </c>
      <c r="G7215" s="25" t="s">
        <v>8858</v>
      </c>
      <c r="H7215" s="26">
        <v>-7.1568199999999998E-2</v>
      </c>
      <c r="I7215" s="26"/>
      <c r="J7215" s="26" t="s">
        <v>512</v>
      </c>
      <c r="K7215" s="25" t="s">
        <v>513</v>
      </c>
    </row>
    <row r="7216" spans="1:11" ht="25.5" x14ac:dyDescent="0.25">
      <c r="A7216" s="22">
        <v>2026</v>
      </c>
      <c r="B7216" s="28" t="s">
        <v>249</v>
      </c>
      <c r="C7216" s="28" t="s">
        <v>97</v>
      </c>
      <c r="D7216" s="28" t="s">
        <v>1001</v>
      </c>
      <c r="E7216" s="29" t="s">
        <v>491</v>
      </c>
      <c r="F7216" s="29" t="s">
        <v>378</v>
      </c>
      <c r="G7216" s="25" t="s">
        <v>8859</v>
      </c>
      <c r="H7216" s="26">
        <v>-4.9315417800000004E-2</v>
      </c>
      <c r="I7216" s="26"/>
      <c r="J7216" s="26" t="s">
        <v>512</v>
      </c>
      <c r="K7216" s="25" t="s">
        <v>513</v>
      </c>
    </row>
    <row r="7217" spans="1:11" ht="25.5" x14ac:dyDescent="0.25">
      <c r="A7217" s="22">
        <v>2026</v>
      </c>
      <c r="B7217" s="28" t="s">
        <v>249</v>
      </c>
      <c r="C7217" s="28" t="s">
        <v>97</v>
      </c>
      <c r="D7217" s="28" t="s">
        <v>198</v>
      </c>
      <c r="E7217" s="29" t="s">
        <v>923</v>
      </c>
      <c r="F7217" s="29" t="s">
        <v>412</v>
      </c>
      <c r="G7217" s="25" t="s">
        <v>8742</v>
      </c>
      <c r="H7217" s="26">
        <v>-4.1916831599999996E-2</v>
      </c>
      <c r="I7217" s="26"/>
      <c r="J7217" s="26" t="s">
        <v>512</v>
      </c>
      <c r="K7217" s="25" t="s">
        <v>513</v>
      </c>
    </row>
    <row r="7218" spans="1:11" ht="25.5" x14ac:dyDescent="0.25">
      <c r="A7218" s="22">
        <v>2026</v>
      </c>
      <c r="B7218" s="28" t="s">
        <v>249</v>
      </c>
      <c r="C7218" s="28" t="s">
        <v>97</v>
      </c>
      <c r="D7218" s="28" t="s">
        <v>198</v>
      </c>
      <c r="E7218" s="29" t="s">
        <v>923</v>
      </c>
      <c r="F7218" s="29" t="s">
        <v>412</v>
      </c>
      <c r="G7218" s="25" t="s">
        <v>8743</v>
      </c>
      <c r="H7218" s="26">
        <v>-3.2815790000000002E-3</v>
      </c>
      <c r="I7218" s="26"/>
      <c r="J7218" s="26" t="s">
        <v>512</v>
      </c>
      <c r="K7218" s="25" t="s">
        <v>513</v>
      </c>
    </row>
    <row r="7219" spans="1:11" ht="25.5" x14ac:dyDescent="0.25">
      <c r="A7219" s="22">
        <v>2026</v>
      </c>
      <c r="B7219" s="28" t="s">
        <v>249</v>
      </c>
      <c r="C7219" s="28" t="s">
        <v>97</v>
      </c>
      <c r="D7219" s="28" t="s">
        <v>198</v>
      </c>
      <c r="E7219" s="29" t="s">
        <v>923</v>
      </c>
      <c r="F7219" s="29" t="s">
        <v>412</v>
      </c>
      <c r="G7219" s="25" t="s">
        <v>8744</v>
      </c>
      <c r="H7219" s="26">
        <v>-1.3677874200000001E-2</v>
      </c>
      <c r="I7219" s="26"/>
      <c r="J7219" s="26" t="s">
        <v>512</v>
      </c>
      <c r="K7219" s="25" t="s">
        <v>513</v>
      </c>
    </row>
    <row r="7220" spans="1:11" ht="25.5" x14ac:dyDescent="0.25">
      <c r="A7220" s="22">
        <v>2026</v>
      </c>
      <c r="B7220" s="28" t="s">
        <v>249</v>
      </c>
      <c r="C7220" s="28" t="s">
        <v>97</v>
      </c>
      <c r="D7220" s="28" t="s">
        <v>198</v>
      </c>
      <c r="E7220" s="29" t="s">
        <v>923</v>
      </c>
      <c r="F7220" s="29" t="s">
        <v>412</v>
      </c>
      <c r="G7220" s="25" t="s">
        <v>8745</v>
      </c>
      <c r="H7220" s="26">
        <v>-5.5088375999999994E-2</v>
      </c>
      <c r="I7220" s="26"/>
      <c r="J7220" s="26" t="s">
        <v>512</v>
      </c>
      <c r="K7220" s="25" t="s">
        <v>513</v>
      </c>
    </row>
    <row r="7221" spans="1:11" ht="25.5" x14ac:dyDescent="0.25">
      <c r="A7221" s="22">
        <v>2026</v>
      </c>
      <c r="B7221" s="28" t="s">
        <v>249</v>
      </c>
      <c r="C7221" s="28" t="s">
        <v>97</v>
      </c>
      <c r="D7221" s="28" t="s">
        <v>198</v>
      </c>
      <c r="E7221" s="29" t="s">
        <v>923</v>
      </c>
      <c r="F7221" s="29" t="s">
        <v>412</v>
      </c>
      <c r="G7221" s="25" t="s">
        <v>8746</v>
      </c>
      <c r="H7221" s="26">
        <v>-4.2001050000000005E-2</v>
      </c>
      <c r="I7221" s="26"/>
      <c r="J7221" s="26" t="s">
        <v>512</v>
      </c>
      <c r="K7221" s="25" t="s">
        <v>513</v>
      </c>
    </row>
    <row r="7222" spans="1:11" ht="25.5" x14ac:dyDescent="0.25">
      <c r="A7222" s="22">
        <v>2026</v>
      </c>
      <c r="B7222" s="28" t="s">
        <v>249</v>
      </c>
      <c r="C7222" s="28" t="s">
        <v>97</v>
      </c>
      <c r="D7222" s="28" t="s">
        <v>198</v>
      </c>
      <c r="E7222" s="29" t="s">
        <v>923</v>
      </c>
      <c r="F7222" s="29" t="s">
        <v>412</v>
      </c>
      <c r="G7222" s="25" t="s">
        <v>8747</v>
      </c>
      <c r="H7222" s="26">
        <v>-4.0469999999999999E-2</v>
      </c>
      <c r="I7222" s="26"/>
      <c r="J7222" s="26" t="s">
        <v>512</v>
      </c>
      <c r="K7222" s="25" t="s">
        <v>513</v>
      </c>
    </row>
    <row r="7223" spans="1:11" ht="25.5" x14ac:dyDescent="0.25">
      <c r="A7223" s="22">
        <v>2026</v>
      </c>
      <c r="B7223" s="28" t="s">
        <v>249</v>
      </c>
      <c r="C7223" s="28" t="s">
        <v>97</v>
      </c>
      <c r="D7223" s="28" t="s">
        <v>198</v>
      </c>
      <c r="E7223" s="29" t="s">
        <v>923</v>
      </c>
      <c r="F7223" s="29" t="s">
        <v>412</v>
      </c>
      <c r="G7223" s="25" t="s">
        <v>8748</v>
      </c>
      <c r="H7223" s="26">
        <v>-3.0874194899999999E-2</v>
      </c>
      <c r="I7223" s="26"/>
      <c r="J7223" s="26" t="s">
        <v>512</v>
      </c>
      <c r="K7223" s="25" t="s">
        <v>513</v>
      </c>
    </row>
    <row r="7224" spans="1:11" ht="25.5" x14ac:dyDescent="0.25">
      <c r="A7224" s="22">
        <v>2026</v>
      </c>
      <c r="B7224" s="28" t="s">
        <v>249</v>
      </c>
      <c r="C7224" s="28" t="s">
        <v>97</v>
      </c>
      <c r="D7224" s="28" t="s">
        <v>198</v>
      </c>
      <c r="E7224" s="29" t="s">
        <v>923</v>
      </c>
      <c r="F7224" s="29" t="s">
        <v>412</v>
      </c>
      <c r="G7224" s="25" t="s">
        <v>8749</v>
      </c>
      <c r="H7224" s="26">
        <v>-1.376E-2</v>
      </c>
      <c r="I7224" s="26"/>
      <c r="J7224" s="26" t="s">
        <v>512</v>
      </c>
      <c r="K7224" s="25" t="s">
        <v>513</v>
      </c>
    </row>
    <row r="7225" spans="1:11" ht="25.5" x14ac:dyDescent="0.25">
      <c r="A7225" s="22">
        <v>2026</v>
      </c>
      <c r="B7225" s="28" t="s">
        <v>249</v>
      </c>
      <c r="C7225" s="28" t="s">
        <v>97</v>
      </c>
      <c r="D7225" s="28" t="s">
        <v>198</v>
      </c>
      <c r="E7225" s="29" t="s">
        <v>923</v>
      </c>
      <c r="F7225" s="29" t="s">
        <v>412</v>
      </c>
      <c r="G7225" s="25" t="s">
        <v>8750</v>
      </c>
      <c r="H7225" s="26">
        <v>-1.9430000000000001E-4</v>
      </c>
      <c r="I7225" s="26"/>
      <c r="J7225" s="26" t="s">
        <v>512</v>
      </c>
      <c r="K7225" s="25" t="s">
        <v>513</v>
      </c>
    </row>
    <row r="7226" spans="1:11" ht="25.5" x14ac:dyDescent="0.25">
      <c r="A7226" s="22">
        <v>2026</v>
      </c>
      <c r="B7226" s="28" t="s">
        <v>249</v>
      </c>
      <c r="C7226" s="28" t="s">
        <v>97</v>
      </c>
      <c r="D7226" s="28" t="s">
        <v>1713</v>
      </c>
      <c r="E7226" s="29" t="s">
        <v>923</v>
      </c>
      <c r="F7226" s="29" t="s">
        <v>284</v>
      </c>
      <c r="G7226" s="25" t="s">
        <v>8860</v>
      </c>
      <c r="H7226" s="26">
        <v>-3.5946182E-2</v>
      </c>
      <c r="I7226" s="26"/>
      <c r="J7226" s="26" t="s">
        <v>512</v>
      </c>
      <c r="K7226" s="25" t="s">
        <v>513</v>
      </c>
    </row>
    <row r="7227" spans="1:11" ht="25.5" x14ac:dyDescent="0.25">
      <c r="A7227" s="22">
        <v>2026</v>
      </c>
      <c r="B7227" s="28" t="s">
        <v>249</v>
      </c>
      <c r="C7227" s="28" t="s">
        <v>97</v>
      </c>
      <c r="D7227" s="28" t="s">
        <v>1713</v>
      </c>
      <c r="E7227" s="29" t="s">
        <v>923</v>
      </c>
      <c r="F7227" s="29" t="s">
        <v>284</v>
      </c>
      <c r="G7227" s="25" t="s">
        <v>8861</v>
      </c>
      <c r="H7227" s="26">
        <v>-0.13785744</v>
      </c>
      <c r="I7227" s="26"/>
      <c r="J7227" s="26" t="s">
        <v>512</v>
      </c>
      <c r="K7227" s="25" t="s">
        <v>513</v>
      </c>
    </row>
    <row r="7228" spans="1:11" ht="25.5" x14ac:dyDescent="0.25">
      <c r="A7228" s="22">
        <v>2026</v>
      </c>
      <c r="B7228" s="28" t="s">
        <v>249</v>
      </c>
      <c r="C7228" s="28" t="s">
        <v>97</v>
      </c>
      <c r="D7228" s="28" t="s">
        <v>1713</v>
      </c>
      <c r="E7228" s="29" t="s">
        <v>923</v>
      </c>
      <c r="F7228" s="29" t="s">
        <v>284</v>
      </c>
      <c r="G7228" s="25" t="s">
        <v>8862</v>
      </c>
      <c r="H7228" s="26">
        <v>-0.124415</v>
      </c>
      <c r="I7228" s="26"/>
      <c r="J7228" s="26" t="s">
        <v>512</v>
      </c>
      <c r="K7228" s="25" t="s">
        <v>513</v>
      </c>
    </row>
    <row r="7229" spans="1:11" ht="25.5" x14ac:dyDescent="0.25">
      <c r="A7229" s="22">
        <v>2026</v>
      </c>
      <c r="B7229" s="28" t="s">
        <v>249</v>
      </c>
      <c r="C7229" s="28" t="s">
        <v>97</v>
      </c>
      <c r="D7229" s="28" t="s">
        <v>1713</v>
      </c>
      <c r="E7229" s="29" t="s">
        <v>923</v>
      </c>
      <c r="F7229" s="29" t="s">
        <v>284</v>
      </c>
      <c r="G7229" s="25" t="s">
        <v>8863</v>
      </c>
      <c r="H7229" s="26">
        <v>-0.12454</v>
      </c>
      <c r="I7229" s="26"/>
      <c r="J7229" s="26" t="s">
        <v>512</v>
      </c>
      <c r="K7229" s="25" t="s">
        <v>513</v>
      </c>
    </row>
    <row r="7230" spans="1:11" ht="25.5" x14ac:dyDescent="0.25">
      <c r="A7230" s="22">
        <v>2026</v>
      </c>
      <c r="B7230" s="28" t="s">
        <v>249</v>
      </c>
      <c r="C7230" s="28" t="s">
        <v>97</v>
      </c>
      <c r="D7230" s="28" t="s">
        <v>1713</v>
      </c>
      <c r="E7230" s="29" t="s">
        <v>923</v>
      </c>
      <c r="F7230" s="29" t="s">
        <v>284</v>
      </c>
      <c r="G7230" s="25" t="s">
        <v>8864</v>
      </c>
      <c r="H7230" s="26">
        <v>-3.73275E-2</v>
      </c>
      <c r="I7230" s="26"/>
      <c r="J7230" s="26" t="s">
        <v>512</v>
      </c>
      <c r="K7230" s="25" t="s">
        <v>513</v>
      </c>
    </row>
    <row r="7231" spans="1:11" ht="25.5" x14ac:dyDescent="0.25">
      <c r="A7231" s="22">
        <v>2026</v>
      </c>
      <c r="B7231" s="28" t="s">
        <v>249</v>
      </c>
      <c r="C7231" s="28" t="s">
        <v>97</v>
      </c>
      <c r="D7231" s="28" t="s">
        <v>1713</v>
      </c>
      <c r="E7231" s="29" t="s">
        <v>923</v>
      </c>
      <c r="F7231" s="29" t="s">
        <v>284</v>
      </c>
      <c r="G7231" s="25" t="s">
        <v>8865</v>
      </c>
      <c r="H7231" s="26">
        <v>-3.7059750000000002E-2</v>
      </c>
      <c r="I7231" s="26"/>
      <c r="J7231" s="26" t="s">
        <v>512</v>
      </c>
      <c r="K7231" s="25" t="s">
        <v>513</v>
      </c>
    </row>
    <row r="7232" spans="1:11" ht="25.5" x14ac:dyDescent="0.25">
      <c r="A7232" s="22">
        <v>2026</v>
      </c>
      <c r="B7232" s="28" t="s">
        <v>249</v>
      </c>
      <c r="C7232" s="28" t="s">
        <v>97</v>
      </c>
      <c r="D7232" s="28" t="s">
        <v>1714</v>
      </c>
      <c r="E7232" s="29" t="s">
        <v>923</v>
      </c>
      <c r="F7232" s="29" t="s">
        <v>353</v>
      </c>
      <c r="G7232" s="25" t="s">
        <v>8866</v>
      </c>
      <c r="H7232" s="26">
        <v>-0.43874999999999997</v>
      </c>
      <c r="I7232" s="26"/>
      <c r="J7232" s="26" t="s">
        <v>512</v>
      </c>
      <c r="K7232" s="25" t="s">
        <v>513</v>
      </c>
    </row>
    <row r="7233" spans="1:11" ht="25.5" x14ac:dyDescent="0.25">
      <c r="A7233" s="22">
        <v>2026</v>
      </c>
      <c r="B7233" s="28" t="s">
        <v>249</v>
      </c>
      <c r="C7233" s="28" t="s">
        <v>97</v>
      </c>
      <c r="D7233" s="28" t="s">
        <v>1715</v>
      </c>
      <c r="E7233" s="29" t="s">
        <v>352</v>
      </c>
      <c r="F7233" s="29" t="s">
        <v>353</v>
      </c>
      <c r="G7233" s="25" t="s">
        <v>8867</v>
      </c>
      <c r="H7233" s="26">
        <v>-1.1243540000000002E-2</v>
      </c>
      <c r="I7233" s="26"/>
      <c r="J7233" s="26" t="s">
        <v>512</v>
      </c>
      <c r="K7233" s="25" t="s">
        <v>513</v>
      </c>
    </row>
    <row r="7234" spans="1:11" ht="25.5" x14ac:dyDescent="0.25">
      <c r="A7234" s="22">
        <v>2026</v>
      </c>
      <c r="B7234" s="28" t="s">
        <v>249</v>
      </c>
      <c r="C7234" s="28" t="s">
        <v>97</v>
      </c>
      <c r="D7234" s="28" t="s">
        <v>1715</v>
      </c>
      <c r="E7234" s="29" t="s">
        <v>352</v>
      </c>
      <c r="F7234" s="29" t="s">
        <v>353</v>
      </c>
      <c r="G7234" s="25" t="s">
        <v>8868</v>
      </c>
      <c r="H7234" s="26">
        <v>-3.8687119800000003E-2</v>
      </c>
      <c r="I7234" s="26"/>
      <c r="J7234" s="26" t="s">
        <v>512</v>
      </c>
      <c r="K7234" s="25" t="s">
        <v>513</v>
      </c>
    </row>
    <row r="7235" spans="1:11" ht="25.5" x14ac:dyDescent="0.25">
      <c r="A7235" s="22">
        <v>2026</v>
      </c>
      <c r="B7235" s="28" t="s">
        <v>249</v>
      </c>
      <c r="C7235" s="28" t="s">
        <v>97</v>
      </c>
      <c r="D7235" s="28" t="s">
        <v>1715</v>
      </c>
      <c r="E7235" s="29" t="s">
        <v>352</v>
      </c>
      <c r="F7235" s="29" t="s">
        <v>353</v>
      </c>
      <c r="G7235" s="25" t="s">
        <v>8869</v>
      </c>
      <c r="H7235" s="26">
        <v>-3.1956521629999998E-2</v>
      </c>
      <c r="I7235" s="26"/>
      <c r="J7235" s="26" t="s">
        <v>512</v>
      </c>
      <c r="K7235" s="25" t="s">
        <v>513</v>
      </c>
    </row>
    <row r="7236" spans="1:11" ht="25.5" x14ac:dyDescent="0.25">
      <c r="A7236" s="22">
        <v>2026</v>
      </c>
      <c r="B7236" s="28" t="s">
        <v>249</v>
      </c>
      <c r="C7236" s="28" t="s">
        <v>97</v>
      </c>
      <c r="D7236" s="28" t="s">
        <v>1715</v>
      </c>
      <c r="E7236" s="29" t="s">
        <v>352</v>
      </c>
      <c r="F7236" s="29" t="s">
        <v>353</v>
      </c>
      <c r="G7236" s="25" t="s">
        <v>8870</v>
      </c>
      <c r="H7236" s="26">
        <v>-0.15636191695000001</v>
      </c>
      <c r="I7236" s="26"/>
      <c r="J7236" s="26" t="s">
        <v>512</v>
      </c>
      <c r="K7236" s="25" t="s">
        <v>513</v>
      </c>
    </row>
    <row r="7237" spans="1:11" ht="25.5" x14ac:dyDescent="0.25">
      <c r="A7237" s="22">
        <v>2026</v>
      </c>
      <c r="B7237" s="28" t="s">
        <v>249</v>
      </c>
      <c r="C7237" s="28" t="s">
        <v>97</v>
      </c>
      <c r="D7237" s="28" t="s">
        <v>1715</v>
      </c>
      <c r="E7237" s="29" t="s">
        <v>352</v>
      </c>
      <c r="F7237" s="29" t="s">
        <v>353</v>
      </c>
      <c r="G7237" s="25" t="s">
        <v>8871</v>
      </c>
      <c r="H7237" s="26">
        <v>-6.6390809999999998E-4</v>
      </c>
      <c r="I7237" s="26"/>
      <c r="J7237" s="26" t="s">
        <v>512</v>
      </c>
      <c r="K7237" s="25" t="s">
        <v>513</v>
      </c>
    </row>
    <row r="7238" spans="1:11" ht="25.5" x14ac:dyDescent="0.25">
      <c r="A7238" s="22">
        <v>2026</v>
      </c>
      <c r="B7238" s="28" t="s">
        <v>249</v>
      </c>
      <c r="C7238" s="28" t="s">
        <v>97</v>
      </c>
      <c r="D7238" s="28" t="s">
        <v>1715</v>
      </c>
      <c r="E7238" s="29" t="s">
        <v>352</v>
      </c>
      <c r="F7238" s="29" t="s">
        <v>353</v>
      </c>
      <c r="G7238" s="25" t="s">
        <v>8872</v>
      </c>
      <c r="H7238" s="26">
        <v>-4.6230589999999995E-2</v>
      </c>
      <c r="I7238" s="26"/>
      <c r="J7238" s="26" t="s">
        <v>512</v>
      </c>
      <c r="K7238" s="25" t="s">
        <v>513</v>
      </c>
    </row>
    <row r="7239" spans="1:11" ht="25.5" x14ac:dyDescent="0.25">
      <c r="A7239" s="22">
        <v>2026</v>
      </c>
      <c r="B7239" s="28" t="s">
        <v>249</v>
      </c>
      <c r="C7239" s="28" t="s">
        <v>97</v>
      </c>
      <c r="D7239" s="28" t="s">
        <v>1715</v>
      </c>
      <c r="E7239" s="29" t="s">
        <v>352</v>
      </c>
      <c r="F7239" s="29" t="s">
        <v>353</v>
      </c>
      <c r="G7239" s="25" t="s">
        <v>8873</v>
      </c>
      <c r="H7239" s="26">
        <v>-0.10004399999999999</v>
      </c>
      <c r="I7239" s="26"/>
      <c r="J7239" s="26" t="s">
        <v>512</v>
      </c>
      <c r="K7239" s="25" t="s">
        <v>513</v>
      </c>
    </row>
    <row r="7240" spans="1:11" ht="25.5" x14ac:dyDescent="0.25">
      <c r="A7240" s="22">
        <v>2026</v>
      </c>
      <c r="B7240" s="28" t="s">
        <v>249</v>
      </c>
      <c r="C7240" s="28" t="s">
        <v>97</v>
      </c>
      <c r="D7240" s="28" t="s">
        <v>1715</v>
      </c>
      <c r="E7240" s="29" t="s">
        <v>352</v>
      </c>
      <c r="F7240" s="29" t="s">
        <v>353</v>
      </c>
      <c r="G7240" s="25" t="s">
        <v>8874</v>
      </c>
      <c r="H7240" s="26">
        <v>-3.1535769999999998E-2</v>
      </c>
      <c r="I7240" s="26"/>
      <c r="J7240" s="26" t="s">
        <v>512</v>
      </c>
      <c r="K7240" s="25" t="s">
        <v>513</v>
      </c>
    </row>
    <row r="7241" spans="1:11" ht="25.5" x14ac:dyDescent="0.25">
      <c r="A7241" s="22">
        <v>2026</v>
      </c>
      <c r="B7241" s="28" t="s">
        <v>249</v>
      </c>
      <c r="C7241" s="28" t="s">
        <v>97</v>
      </c>
      <c r="D7241" s="28" t="s">
        <v>1715</v>
      </c>
      <c r="E7241" s="29" t="s">
        <v>352</v>
      </c>
      <c r="F7241" s="29" t="s">
        <v>353</v>
      </c>
      <c r="G7241" s="25" t="s">
        <v>8875</v>
      </c>
      <c r="H7241" s="26">
        <v>-2.1052355280000001E-2</v>
      </c>
      <c r="I7241" s="26"/>
      <c r="J7241" s="26" t="s">
        <v>512</v>
      </c>
      <c r="K7241" s="25" t="s">
        <v>513</v>
      </c>
    </row>
    <row r="7242" spans="1:11" ht="25.5" x14ac:dyDescent="0.25">
      <c r="A7242" s="22">
        <v>2026</v>
      </c>
      <c r="B7242" s="28" t="s">
        <v>249</v>
      </c>
      <c r="C7242" s="28" t="s">
        <v>97</v>
      </c>
      <c r="D7242" s="28" t="s">
        <v>1715</v>
      </c>
      <c r="E7242" s="29" t="s">
        <v>352</v>
      </c>
      <c r="F7242" s="29" t="s">
        <v>353</v>
      </c>
      <c r="G7242" s="25" t="s">
        <v>8876</v>
      </c>
      <c r="H7242" s="26">
        <v>-8.3599999999999994E-2</v>
      </c>
      <c r="I7242" s="26"/>
      <c r="J7242" s="26" t="s">
        <v>512</v>
      </c>
      <c r="K7242" s="25" t="s">
        <v>513</v>
      </c>
    </row>
    <row r="7243" spans="1:11" ht="25.5" x14ac:dyDescent="0.25">
      <c r="A7243" s="22">
        <v>2026</v>
      </c>
      <c r="B7243" s="28" t="s">
        <v>249</v>
      </c>
      <c r="C7243" s="28" t="s">
        <v>97</v>
      </c>
      <c r="D7243" s="28" t="s">
        <v>1715</v>
      </c>
      <c r="E7243" s="29" t="s">
        <v>352</v>
      </c>
      <c r="F7243" s="29" t="s">
        <v>353</v>
      </c>
      <c r="G7243" s="25" t="s">
        <v>8877</v>
      </c>
      <c r="H7243" s="26">
        <v>-0.28092765408000003</v>
      </c>
      <c r="I7243" s="26"/>
      <c r="J7243" s="26" t="s">
        <v>512</v>
      </c>
      <c r="K7243" s="25" t="s">
        <v>513</v>
      </c>
    </row>
    <row r="7244" spans="1:11" ht="25.5" x14ac:dyDescent="0.25">
      <c r="A7244" s="22">
        <v>2026</v>
      </c>
      <c r="B7244" s="28" t="s">
        <v>249</v>
      </c>
      <c r="C7244" s="28" t="s">
        <v>97</v>
      </c>
      <c r="D7244" s="28" t="s">
        <v>1715</v>
      </c>
      <c r="E7244" s="29" t="s">
        <v>352</v>
      </c>
      <c r="F7244" s="29" t="s">
        <v>353</v>
      </c>
      <c r="G7244" s="25" t="s">
        <v>8878</v>
      </c>
      <c r="H7244" s="26">
        <v>-0.18904185300000001</v>
      </c>
      <c r="I7244" s="26"/>
      <c r="J7244" s="26" t="s">
        <v>512</v>
      </c>
      <c r="K7244" s="25" t="s">
        <v>513</v>
      </c>
    </row>
    <row r="7245" spans="1:11" ht="25.5" x14ac:dyDescent="0.25">
      <c r="A7245" s="22">
        <v>2026</v>
      </c>
      <c r="B7245" s="28" t="s">
        <v>249</v>
      </c>
      <c r="C7245" s="28" t="s">
        <v>97</v>
      </c>
      <c r="D7245" s="28" t="s">
        <v>1715</v>
      </c>
      <c r="E7245" s="29" t="s">
        <v>352</v>
      </c>
      <c r="F7245" s="29" t="s">
        <v>353</v>
      </c>
      <c r="G7245" s="25" t="s">
        <v>8879</v>
      </c>
      <c r="H7245" s="26">
        <v>-0.66290751999999997</v>
      </c>
      <c r="I7245" s="26"/>
      <c r="J7245" s="26" t="s">
        <v>512</v>
      </c>
      <c r="K7245" s="25" t="s">
        <v>513</v>
      </c>
    </row>
    <row r="7246" spans="1:11" ht="25.5" x14ac:dyDescent="0.25">
      <c r="A7246" s="22">
        <v>2026</v>
      </c>
      <c r="B7246" s="28" t="s">
        <v>249</v>
      </c>
      <c r="C7246" s="28" t="s">
        <v>97</v>
      </c>
      <c r="D7246" s="28" t="s">
        <v>1716</v>
      </c>
      <c r="E7246" s="29" t="s">
        <v>446</v>
      </c>
      <c r="F7246" s="29" t="s">
        <v>353</v>
      </c>
      <c r="G7246" s="25" t="s">
        <v>5461</v>
      </c>
      <c r="H7246" s="26">
        <v>-0.68510000000000004</v>
      </c>
      <c r="I7246" s="26"/>
      <c r="J7246" s="26" t="s">
        <v>512</v>
      </c>
      <c r="K7246" s="25" t="s">
        <v>513</v>
      </c>
    </row>
    <row r="7247" spans="1:11" ht="25.5" x14ac:dyDescent="0.25">
      <c r="A7247" s="22">
        <v>2026</v>
      </c>
      <c r="B7247" s="28" t="s">
        <v>249</v>
      </c>
      <c r="C7247" s="28" t="s">
        <v>97</v>
      </c>
      <c r="D7247" s="28" t="s">
        <v>1716</v>
      </c>
      <c r="E7247" s="29" t="s">
        <v>446</v>
      </c>
      <c r="F7247" s="29" t="s">
        <v>353</v>
      </c>
      <c r="G7247" s="25" t="s">
        <v>8880</v>
      </c>
      <c r="H7247" s="26">
        <v>-0.69307300000000005</v>
      </c>
      <c r="I7247" s="26"/>
      <c r="J7247" s="26" t="s">
        <v>512</v>
      </c>
      <c r="K7247" s="25" t="s">
        <v>513</v>
      </c>
    </row>
    <row r="7248" spans="1:11" ht="25.5" x14ac:dyDescent="0.25">
      <c r="A7248" s="22">
        <v>2026</v>
      </c>
      <c r="B7248" s="28" t="s">
        <v>249</v>
      </c>
      <c r="C7248" s="28" t="s">
        <v>97</v>
      </c>
      <c r="D7248" s="28" t="s">
        <v>1716</v>
      </c>
      <c r="E7248" s="29" t="s">
        <v>446</v>
      </c>
      <c r="F7248" s="29" t="s">
        <v>353</v>
      </c>
      <c r="G7248" s="25" t="s">
        <v>8881</v>
      </c>
      <c r="H7248" s="26">
        <v>-0.69313250000000004</v>
      </c>
      <c r="I7248" s="26"/>
      <c r="J7248" s="26" t="s">
        <v>512</v>
      </c>
      <c r="K7248" s="25" t="s">
        <v>513</v>
      </c>
    </row>
    <row r="7249" spans="1:11" ht="25.5" x14ac:dyDescent="0.25">
      <c r="A7249" s="22">
        <v>2026</v>
      </c>
      <c r="B7249" s="28" t="s">
        <v>249</v>
      </c>
      <c r="C7249" s="28" t="s">
        <v>97</v>
      </c>
      <c r="D7249" s="28" t="s">
        <v>1716</v>
      </c>
      <c r="E7249" s="29" t="s">
        <v>446</v>
      </c>
      <c r="F7249" s="29" t="s">
        <v>353</v>
      </c>
      <c r="G7249" s="25" t="s">
        <v>8882</v>
      </c>
      <c r="H7249" s="26">
        <v>-0.69189999999999996</v>
      </c>
      <c r="I7249" s="26"/>
      <c r="J7249" s="26" t="s">
        <v>512</v>
      </c>
      <c r="K7249" s="25" t="s">
        <v>513</v>
      </c>
    </row>
    <row r="7250" spans="1:11" ht="25.5" x14ac:dyDescent="0.25">
      <c r="A7250" s="22">
        <v>2026</v>
      </c>
      <c r="B7250" s="28" t="s">
        <v>249</v>
      </c>
      <c r="C7250" s="28" t="s">
        <v>97</v>
      </c>
      <c r="D7250" s="28" t="s">
        <v>1716</v>
      </c>
      <c r="E7250" s="29" t="s">
        <v>446</v>
      </c>
      <c r="F7250" s="29" t="s">
        <v>353</v>
      </c>
      <c r="G7250" s="25" t="s">
        <v>8883</v>
      </c>
      <c r="H7250" s="26">
        <v>-0.69918449999999999</v>
      </c>
      <c r="I7250" s="26"/>
      <c r="J7250" s="26" t="s">
        <v>512</v>
      </c>
      <c r="K7250" s="25" t="s">
        <v>513</v>
      </c>
    </row>
    <row r="7251" spans="1:11" ht="25.5" x14ac:dyDescent="0.25">
      <c r="A7251" s="22">
        <v>2026</v>
      </c>
      <c r="B7251" s="28" t="s">
        <v>249</v>
      </c>
      <c r="C7251" s="28" t="s">
        <v>97</v>
      </c>
      <c r="D7251" s="28" t="s">
        <v>1716</v>
      </c>
      <c r="E7251" s="29" t="s">
        <v>446</v>
      </c>
      <c r="F7251" s="29" t="s">
        <v>353</v>
      </c>
      <c r="G7251" s="25" t="s">
        <v>8884</v>
      </c>
      <c r="H7251" s="26">
        <v>-0.68679999999999997</v>
      </c>
      <c r="I7251" s="26"/>
      <c r="J7251" s="26" t="s">
        <v>512</v>
      </c>
      <c r="K7251" s="25" t="s">
        <v>513</v>
      </c>
    </row>
    <row r="7252" spans="1:11" ht="25.5" x14ac:dyDescent="0.25">
      <c r="A7252" s="22">
        <v>2026</v>
      </c>
      <c r="B7252" s="28" t="s">
        <v>249</v>
      </c>
      <c r="C7252" s="28" t="s">
        <v>97</v>
      </c>
      <c r="D7252" s="28" t="s">
        <v>1716</v>
      </c>
      <c r="E7252" s="29" t="s">
        <v>446</v>
      </c>
      <c r="F7252" s="29" t="s">
        <v>353</v>
      </c>
      <c r="G7252" s="25" t="s">
        <v>8885</v>
      </c>
      <c r="H7252" s="26">
        <v>-0.14929500000000001</v>
      </c>
      <c r="I7252" s="26"/>
      <c r="J7252" s="26" t="s">
        <v>512</v>
      </c>
      <c r="K7252" s="25" t="s">
        <v>513</v>
      </c>
    </row>
    <row r="7253" spans="1:11" ht="25.5" x14ac:dyDescent="0.25">
      <c r="A7253" s="22">
        <v>2026</v>
      </c>
      <c r="B7253" s="28" t="s">
        <v>249</v>
      </c>
      <c r="C7253" s="28" t="s">
        <v>97</v>
      </c>
      <c r="D7253" s="28" t="s">
        <v>1716</v>
      </c>
      <c r="E7253" s="29" t="s">
        <v>446</v>
      </c>
      <c r="F7253" s="29" t="s">
        <v>353</v>
      </c>
      <c r="G7253" s="25" t="s">
        <v>8886</v>
      </c>
      <c r="H7253" s="26">
        <v>-0.40518999999999999</v>
      </c>
      <c r="I7253" s="26"/>
      <c r="J7253" s="26" t="s">
        <v>512</v>
      </c>
      <c r="K7253" s="25" t="s">
        <v>513</v>
      </c>
    </row>
    <row r="7254" spans="1:11" ht="25.5" x14ac:dyDescent="0.25">
      <c r="A7254" s="22">
        <v>2026</v>
      </c>
      <c r="B7254" s="28" t="s">
        <v>249</v>
      </c>
      <c r="C7254" s="28" t="s">
        <v>97</v>
      </c>
      <c r="D7254" s="28" t="s">
        <v>1716</v>
      </c>
      <c r="E7254" s="29" t="s">
        <v>446</v>
      </c>
      <c r="F7254" s="29" t="s">
        <v>353</v>
      </c>
      <c r="G7254" s="25" t="s">
        <v>8887</v>
      </c>
      <c r="H7254" s="26">
        <v>-0.40676499999999999</v>
      </c>
      <c r="I7254" s="26"/>
      <c r="J7254" s="26" t="s">
        <v>512</v>
      </c>
      <c r="K7254" s="25" t="s">
        <v>513</v>
      </c>
    </row>
    <row r="7255" spans="1:11" ht="25.5" x14ac:dyDescent="0.25">
      <c r="A7255" s="22">
        <v>2026</v>
      </c>
      <c r="B7255" s="28" t="s">
        <v>249</v>
      </c>
      <c r="C7255" s="28" t="s">
        <v>97</v>
      </c>
      <c r="D7255" s="28" t="s">
        <v>1716</v>
      </c>
      <c r="E7255" s="29" t="s">
        <v>446</v>
      </c>
      <c r="F7255" s="29" t="s">
        <v>353</v>
      </c>
      <c r="G7255" s="25" t="s">
        <v>8888</v>
      </c>
      <c r="H7255" s="26">
        <v>-0.40600000000000003</v>
      </c>
      <c r="I7255" s="26"/>
      <c r="J7255" s="26" t="s">
        <v>512</v>
      </c>
      <c r="K7255" s="25" t="s">
        <v>513</v>
      </c>
    </row>
    <row r="7256" spans="1:11" ht="25.5" x14ac:dyDescent="0.25">
      <c r="A7256" s="22">
        <v>2026</v>
      </c>
      <c r="B7256" s="28" t="s">
        <v>249</v>
      </c>
      <c r="C7256" s="28" t="s">
        <v>97</v>
      </c>
      <c r="D7256" s="28" t="s">
        <v>1716</v>
      </c>
      <c r="E7256" s="29" t="s">
        <v>446</v>
      </c>
      <c r="F7256" s="29" t="s">
        <v>353</v>
      </c>
      <c r="G7256" s="25" t="s">
        <v>8889</v>
      </c>
      <c r="H7256" s="26">
        <v>-0.69269049999999999</v>
      </c>
      <c r="I7256" s="26"/>
      <c r="J7256" s="26" t="s">
        <v>512</v>
      </c>
      <c r="K7256" s="25" t="s">
        <v>513</v>
      </c>
    </row>
    <row r="7257" spans="1:11" ht="25.5" x14ac:dyDescent="0.25">
      <c r="A7257" s="22">
        <v>2026</v>
      </c>
      <c r="B7257" s="28" t="s">
        <v>249</v>
      </c>
      <c r="C7257" s="28" t="s">
        <v>97</v>
      </c>
      <c r="D7257" s="28" t="s">
        <v>1716</v>
      </c>
      <c r="E7257" s="29" t="s">
        <v>446</v>
      </c>
      <c r="F7257" s="29" t="s">
        <v>353</v>
      </c>
      <c r="G7257" s="25" t="s">
        <v>8890</v>
      </c>
      <c r="H7257" s="26">
        <v>-0.41389999999999999</v>
      </c>
      <c r="I7257" s="26"/>
      <c r="J7257" s="26" t="s">
        <v>512</v>
      </c>
      <c r="K7257" s="25" t="s">
        <v>513</v>
      </c>
    </row>
    <row r="7258" spans="1:11" ht="25.5" x14ac:dyDescent="0.25">
      <c r="A7258" s="22">
        <v>2026</v>
      </c>
      <c r="B7258" s="28" t="s">
        <v>249</v>
      </c>
      <c r="C7258" s="28" t="s">
        <v>97</v>
      </c>
      <c r="D7258" s="28" t="s">
        <v>1716</v>
      </c>
      <c r="E7258" s="29" t="s">
        <v>446</v>
      </c>
      <c r="F7258" s="29" t="s">
        <v>353</v>
      </c>
      <c r="G7258" s="25" t="s">
        <v>8891</v>
      </c>
      <c r="H7258" s="26">
        <v>-0.41434500000000002</v>
      </c>
      <c r="I7258" s="26"/>
      <c r="J7258" s="26" t="s">
        <v>512</v>
      </c>
      <c r="K7258" s="25" t="s">
        <v>513</v>
      </c>
    </row>
    <row r="7259" spans="1:11" ht="25.5" x14ac:dyDescent="0.25">
      <c r="A7259" s="22">
        <v>2026</v>
      </c>
      <c r="B7259" s="28" t="s">
        <v>249</v>
      </c>
      <c r="C7259" s="28" t="s">
        <v>97</v>
      </c>
      <c r="D7259" s="28" t="s">
        <v>1716</v>
      </c>
      <c r="E7259" s="29" t="s">
        <v>446</v>
      </c>
      <c r="F7259" s="29" t="s">
        <v>353</v>
      </c>
      <c r="G7259" s="25" t="s">
        <v>8892</v>
      </c>
      <c r="H7259" s="26">
        <v>-0.413995</v>
      </c>
      <c r="I7259" s="26"/>
      <c r="J7259" s="26" t="s">
        <v>512</v>
      </c>
      <c r="K7259" s="25" t="s">
        <v>513</v>
      </c>
    </row>
    <row r="7260" spans="1:11" ht="25.5" x14ac:dyDescent="0.25">
      <c r="A7260" s="22">
        <v>2026</v>
      </c>
      <c r="B7260" s="28" t="s">
        <v>249</v>
      </c>
      <c r="C7260" s="28" t="s">
        <v>97</v>
      </c>
      <c r="D7260" s="28" t="s">
        <v>1716</v>
      </c>
      <c r="E7260" s="29" t="s">
        <v>446</v>
      </c>
      <c r="F7260" s="29" t="s">
        <v>353</v>
      </c>
      <c r="G7260" s="25" t="s">
        <v>8893</v>
      </c>
      <c r="H7260" s="26">
        <v>-0.41249999999999998</v>
      </c>
      <c r="I7260" s="26"/>
      <c r="J7260" s="26" t="s">
        <v>512</v>
      </c>
      <c r="K7260" s="25" t="s">
        <v>513</v>
      </c>
    </row>
    <row r="7261" spans="1:11" ht="25.5" x14ac:dyDescent="0.25">
      <c r="A7261" s="22">
        <v>2026</v>
      </c>
      <c r="B7261" s="28" t="s">
        <v>249</v>
      </c>
      <c r="C7261" s="28" t="s">
        <v>97</v>
      </c>
      <c r="D7261" s="28" t="s">
        <v>1716</v>
      </c>
      <c r="E7261" s="29" t="s">
        <v>446</v>
      </c>
      <c r="F7261" s="29" t="s">
        <v>353</v>
      </c>
      <c r="G7261" s="25" t="s">
        <v>8894</v>
      </c>
      <c r="H7261" s="26">
        <v>-0.70379999999999998</v>
      </c>
      <c r="I7261" s="26"/>
      <c r="J7261" s="26" t="s">
        <v>512</v>
      </c>
      <c r="K7261" s="25" t="s">
        <v>513</v>
      </c>
    </row>
    <row r="7262" spans="1:11" ht="25.5" x14ac:dyDescent="0.25">
      <c r="A7262" s="22">
        <v>2026</v>
      </c>
      <c r="B7262" s="28" t="s">
        <v>249</v>
      </c>
      <c r="C7262" s="28" t="s">
        <v>97</v>
      </c>
      <c r="D7262" s="28" t="s">
        <v>1716</v>
      </c>
      <c r="E7262" s="29" t="s">
        <v>446</v>
      </c>
      <c r="F7262" s="29" t="s">
        <v>353</v>
      </c>
      <c r="G7262" s="25" t="s">
        <v>8895</v>
      </c>
      <c r="H7262" s="26">
        <v>-0.69869999999999999</v>
      </c>
      <c r="I7262" s="26"/>
      <c r="J7262" s="26" t="s">
        <v>512</v>
      </c>
      <c r="K7262" s="25" t="s">
        <v>513</v>
      </c>
    </row>
    <row r="7263" spans="1:11" ht="25.5" x14ac:dyDescent="0.25">
      <c r="A7263" s="22">
        <v>2026</v>
      </c>
      <c r="B7263" s="28" t="s">
        <v>249</v>
      </c>
      <c r="C7263" s="28" t="s">
        <v>97</v>
      </c>
      <c r="D7263" s="28" t="s">
        <v>1716</v>
      </c>
      <c r="E7263" s="29" t="s">
        <v>446</v>
      </c>
      <c r="F7263" s="29" t="s">
        <v>353</v>
      </c>
      <c r="G7263" s="25" t="s">
        <v>8896</v>
      </c>
      <c r="H7263" s="26">
        <v>-0.70550000000000002</v>
      </c>
      <c r="I7263" s="26"/>
      <c r="J7263" s="26" t="s">
        <v>512</v>
      </c>
      <c r="K7263" s="25" t="s">
        <v>513</v>
      </c>
    </row>
    <row r="7264" spans="1:11" ht="25.5" x14ac:dyDescent="0.25">
      <c r="A7264" s="22">
        <v>2026</v>
      </c>
      <c r="B7264" s="28" t="s">
        <v>249</v>
      </c>
      <c r="C7264" s="28" t="s">
        <v>97</v>
      </c>
      <c r="D7264" s="28" t="s">
        <v>1716</v>
      </c>
      <c r="E7264" s="29" t="s">
        <v>446</v>
      </c>
      <c r="F7264" s="29" t="s">
        <v>353</v>
      </c>
      <c r="G7264" s="25" t="s">
        <v>8897</v>
      </c>
      <c r="H7264" s="26">
        <v>-0.71145000000000003</v>
      </c>
      <c r="I7264" s="26"/>
      <c r="J7264" s="26" t="s">
        <v>512</v>
      </c>
      <c r="K7264" s="25" t="s">
        <v>513</v>
      </c>
    </row>
    <row r="7265" spans="1:11" ht="25.5" x14ac:dyDescent="0.25">
      <c r="A7265" s="22">
        <v>2026</v>
      </c>
      <c r="B7265" s="28" t="s">
        <v>249</v>
      </c>
      <c r="C7265" s="28" t="s">
        <v>97</v>
      </c>
      <c r="D7265" s="28" t="s">
        <v>1716</v>
      </c>
      <c r="E7265" s="29" t="s">
        <v>446</v>
      </c>
      <c r="F7265" s="29" t="s">
        <v>353</v>
      </c>
      <c r="G7265" s="25" t="s">
        <v>8898</v>
      </c>
      <c r="H7265" s="26">
        <v>-0.72335000000000005</v>
      </c>
      <c r="I7265" s="26"/>
      <c r="J7265" s="26" t="s">
        <v>512</v>
      </c>
      <c r="K7265" s="25" t="s">
        <v>513</v>
      </c>
    </row>
    <row r="7266" spans="1:11" ht="25.5" x14ac:dyDescent="0.25">
      <c r="A7266" s="22">
        <v>2026</v>
      </c>
      <c r="B7266" s="28" t="s">
        <v>249</v>
      </c>
      <c r="C7266" s="28" t="s">
        <v>97</v>
      </c>
      <c r="D7266" s="28" t="s">
        <v>1716</v>
      </c>
      <c r="E7266" s="29" t="s">
        <v>446</v>
      </c>
      <c r="F7266" s="29" t="s">
        <v>353</v>
      </c>
      <c r="G7266" s="25" t="s">
        <v>8899</v>
      </c>
      <c r="H7266" s="26">
        <v>-0.72958049999999997</v>
      </c>
      <c r="I7266" s="26"/>
      <c r="J7266" s="26" t="s">
        <v>512</v>
      </c>
      <c r="K7266" s="25" t="s">
        <v>513</v>
      </c>
    </row>
    <row r="7267" spans="1:11" ht="25.5" x14ac:dyDescent="0.25">
      <c r="A7267" s="22">
        <v>2026</v>
      </c>
      <c r="B7267" s="28" t="s">
        <v>249</v>
      </c>
      <c r="C7267" s="28" t="s">
        <v>97</v>
      </c>
      <c r="D7267" s="28" t="s">
        <v>1716</v>
      </c>
      <c r="E7267" s="29" t="s">
        <v>446</v>
      </c>
      <c r="F7267" s="29" t="s">
        <v>353</v>
      </c>
      <c r="G7267" s="25" t="s">
        <v>8900</v>
      </c>
      <c r="H7267" s="26">
        <v>-0.71909999999999996</v>
      </c>
      <c r="I7267" s="26"/>
      <c r="J7267" s="26" t="s">
        <v>512</v>
      </c>
      <c r="K7267" s="25" t="s">
        <v>513</v>
      </c>
    </row>
    <row r="7268" spans="1:11" ht="25.5" x14ac:dyDescent="0.25">
      <c r="A7268" s="22">
        <v>2026</v>
      </c>
      <c r="B7268" s="28" t="s">
        <v>249</v>
      </c>
      <c r="C7268" s="28" t="s">
        <v>97</v>
      </c>
      <c r="D7268" s="28" t="s">
        <v>229</v>
      </c>
      <c r="E7268" s="29" t="s">
        <v>923</v>
      </c>
      <c r="F7268" s="29" t="s">
        <v>298</v>
      </c>
      <c r="G7268" s="25" t="s">
        <v>8901</v>
      </c>
      <c r="H7268" s="26">
        <v>-0.18691970000000002</v>
      </c>
      <c r="I7268" s="26"/>
      <c r="J7268" s="26" t="s">
        <v>512</v>
      </c>
      <c r="K7268" s="25" t="s">
        <v>526</v>
      </c>
    </row>
    <row r="7269" spans="1:11" ht="25.5" x14ac:dyDescent="0.25">
      <c r="A7269" s="22">
        <v>2026</v>
      </c>
      <c r="B7269" s="28" t="s">
        <v>249</v>
      </c>
      <c r="C7269" s="28" t="s">
        <v>97</v>
      </c>
      <c r="D7269" s="28" t="s">
        <v>229</v>
      </c>
      <c r="E7269" s="29" t="s">
        <v>923</v>
      </c>
      <c r="F7269" s="29" t="s">
        <v>298</v>
      </c>
      <c r="G7269" s="25" t="s">
        <v>8902</v>
      </c>
      <c r="H7269" s="26">
        <v>-0.48025213075000001</v>
      </c>
      <c r="I7269" s="26"/>
      <c r="J7269" s="26" t="s">
        <v>512</v>
      </c>
      <c r="K7269" s="25" t="s">
        <v>526</v>
      </c>
    </row>
    <row r="7270" spans="1:11" ht="25.5" x14ac:dyDescent="0.25">
      <c r="A7270" s="22">
        <v>2026</v>
      </c>
      <c r="B7270" s="28" t="s">
        <v>249</v>
      </c>
      <c r="C7270" s="28" t="s">
        <v>97</v>
      </c>
      <c r="D7270" s="28" t="s">
        <v>229</v>
      </c>
      <c r="E7270" s="29" t="s">
        <v>923</v>
      </c>
      <c r="F7270" s="29" t="s">
        <v>298</v>
      </c>
      <c r="G7270" s="25" t="s">
        <v>8903</v>
      </c>
      <c r="H7270" s="26">
        <v>-0.44602913152000001</v>
      </c>
      <c r="I7270" s="26"/>
      <c r="J7270" s="26" t="s">
        <v>512</v>
      </c>
      <c r="K7270" s="25" t="s">
        <v>526</v>
      </c>
    </row>
    <row r="7271" spans="1:11" ht="25.5" x14ac:dyDescent="0.25">
      <c r="A7271" s="22">
        <v>2026</v>
      </c>
      <c r="B7271" s="28" t="s">
        <v>249</v>
      </c>
      <c r="C7271" s="28" t="s">
        <v>97</v>
      </c>
      <c r="D7271" s="28" t="s">
        <v>229</v>
      </c>
      <c r="E7271" s="29" t="s">
        <v>923</v>
      </c>
      <c r="F7271" s="29" t="s">
        <v>298</v>
      </c>
      <c r="G7271" s="25" t="s">
        <v>8904</v>
      </c>
      <c r="H7271" s="26">
        <v>-0.33341999999999999</v>
      </c>
      <c r="I7271" s="26"/>
      <c r="J7271" s="26" t="s">
        <v>512</v>
      </c>
      <c r="K7271" s="25" t="s">
        <v>526</v>
      </c>
    </row>
    <row r="7272" spans="1:11" ht="25.5" x14ac:dyDescent="0.25">
      <c r="A7272" s="22">
        <v>2026</v>
      </c>
      <c r="B7272" s="28" t="s">
        <v>249</v>
      </c>
      <c r="C7272" s="28" t="s">
        <v>97</v>
      </c>
      <c r="D7272" s="28" t="s">
        <v>229</v>
      </c>
      <c r="E7272" s="29" t="s">
        <v>923</v>
      </c>
      <c r="F7272" s="29" t="s">
        <v>298</v>
      </c>
      <c r="G7272" s="25" t="s">
        <v>8905</v>
      </c>
      <c r="H7272" s="26">
        <v>-0.43374768359999999</v>
      </c>
      <c r="I7272" s="26"/>
      <c r="J7272" s="26" t="s">
        <v>512</v>
      </c>
      <c r="K7272" s="25" t="s">
        <v>526</v>
      </c>
    </row>
    <row r="7273" spans="1:11" ht="25.5" x14ac:dyDescent="0.25">
      <c r="A7273" s="22">
        <v>2026</v>
      </c>
      <c r="B7273" s="28" t="s">
        <v>249</v>
      </c>
      <c r="C7273" s="28" t="s">
        <v>97</v>
      </c>
      <c r="D7273" s="28" t="s">
        <v>229</v>
      </c>
      <c r="E7273" s="29" t="s">
        <v>923</v>
      </c>
      <c r="F7273" s="29" t="s">
        <v>298</v>
      </c>
      <c r="G7273" s="25" t="s">
        <v>8906</v>
      </c>
      <c r="H7273" s="26">
        <v>-0.3387</v>
      </c>
      <c r="I7273" s="26"/>
      <c r="J7273" s="26" t="s">
        <v>512</v>
      </c>
      <c r="K7273" s="25" t="s">
        <v>526</v>
      </c>
    </row>
    <row r="7274" spans="1:11" ht="25.5" x14ac:dyDescent="0.25">
      <c r="A7274" s="22">
        <v>2026</v>
      </c>
      <c r="B7274" s="28" t="s">
        <v>249</v>
      </c>
      <c r="C7274" s="28" t="s">
        <v>97</v>
      </c>
      <c r="D7274" s="28" t="s">
        <v>229</v>
      </c>
      <c r="E7274" s="29" t="s">
        <v>923</v>
      </c>
      <c r="F7274" s="29" t="s">
        <v>298</v>
      </c>
      <c r="G7274" s="25" t="s">
        <v>8907</v>
      </c>
      <c r="H7274" s="26">
        <v>-0.67078000000000004</v>
      </c>
      <c r="I7274" s="26"/>
      <c r="J7274" s="26" t="s">
        <v>512</v>
      </c>
      <c r="K7274" s="25" t="s">
        <v>526</v>
      </c>
    </row>
    <row r="7275" spans="1:11" ht="25.5" x14ac:dyDescent="0.25">
      <c r="A7275" s="22">
        <v>2026</v>
      </c>
      <c r="B7275" s="28" t="s">
        <v>249</v>
      </c>
      <c r="C7275" s="28" t="s">
        <v>97</v>
      </c>
      <c r="D7275" s="28" t="s">
        <v>229</v>
      </c>
      <c r="E7275" s="29" t="s">
        <v>923</v>
      </c>
      <c r="F7275" s="29" t="s">
        <v>298</v>
      </c>
      <c r="G7275" s="25" t="s">
        <v>8908</v>
      </c>
      <c r="H7275" s="26">
        <v>-0.63417819999999991</v>
      </c>
      <c r="I7275" s="26"/>
      <c r="J7275" s="26" t="s">
        <v>512</v>
      </c>
      <c r="K7275" s="25" t="s">
        <v>526</v>
      </c>
    </row>
    <row r="7276" spans="1:11" ht="25.5" x14ac:dyDescent="0.25">
      <c r="A7276" s="22">
        <v>2026</v>
      </c>
      <c r="B7276" s="28" t="s">
        <v>249</v>
      </c>
      <c r="C7276" s="28" t="s">
        <v>97</v>
      </c>
      <c r="D7276" s="28" t="s">
        <v>229</v>
      </c>
      <c r="E7276" s="29" t="s">
        <v>923</v>
      </c>
      <c r="F7276" s="29" t="s">
        <v>298</v>
      </c>
      <c r="G7276" s="25" t="s">
        <v>8909</v>
      </c>
      <c r="H7276" s="26">
        <v>-0.52180098296999999</v>
      </c>
      <c r="I7276" s="26"/>
      <c r="J7276" s="26" t="s">
        <v>512</v>
      </c>
      <c r="K7276" s="25" t="s">
        <v>526</v>
      </c>
    </row>
    <row r="7277" spans="1:11" ht="25.5" x14ac:dyDescent="0.25">
      <c r="A7277" s="22">
        <v>2026</v>
      </c>
      <c r="B7277" s="28" t="s">
        <v>249</v>
      </c>
      <c r="C7277" s="28" t="s">
        <v>97</v>
      </c>
      <c r="D7277" s="28" t="s">
        <v>229</v>
      </c>
      <c r="E7277" s="29" t="s">
        <v>923</v>
      </c>
      <c r="F7277" s="29" t="s">
        <v>298</v>
      </c>
      <c r="G7277" s="25" t="s">
        <v>8910</v>
      </c>
      <c r="H7277" s="26">
        <v>-1.18927124244</v>
      </c>
      <c r="I7277" s="26"/>
      <c r="J7277" s="26" t="s">
        <v>512</v>
      </c>
      <c r="K7277" s="25" t="s">
        <v>526</v>
      </c>
    </row>
    <row r="7278" spans="1:11" ht="25.5" x14ac:dyDescent="0.25">
      <c r="A7278" s="22">
        <v>2026</v>
      </c>
      <c r="B7278" s="28" t="s">
        <v>249</v>
      </c>
      <c r="C7278" s="28" t="s">
        <v>97</v>
      </c>
      <c r="D7278" s="28" t="s">
        <v>229</v>
      </c>
      <c r="E7278" s="29" t="s">
        <v>923</v>
      </c>
      <c r="F7278" s="29" t="s">
        <v>298</v>
      </c>
      <c r="G7278" s="25" t="s">
        <v>8911</v>
      </c>
      <c r="H7278" s="26">
        <v>-0.43277909999999997</v>
      </c>
      <c r="I7278" s="26"/>
      <c r="J7278" s="26" t="s">
        <v>512</v>
      </c>
      <c r="K7278" s="25" t="s">
        <v>526</v>
      </c>
    </row>
    <row r="7279" spans="1:11" ht="25.5" x14ac:dyDescent="0.25">
      <c r="A7279" s="22">
        <v>2026</v>
      </c>
      <c r="B7279" s="28" t="s">
        <v>249</v>
      </c>
      <c r="C7279" s="28" t="s">
        <v>97</v>
      </c>
      <c r="D7279" s="28" t="s">
        <v>229</v>
      </c>
      <c r="E7279" s="29" t="s">
        <v>923</v>
      </c>
      <c r="F7279" s="29" t="s">
        <v>298</v>
      </c>
      <c r="G7279" s="25" t="s">
        <v>8912</v>
      </c>
      <c r="H7279" s="26">
        <v>-0.66152</v>
      </c>
      <c r="I7279" s="26"/>
      <c r="J7279" s="26" t="s">
        <v>512</v>
      </c>
      <c r="K7279" s="25" t="s">
        <v>526</v>
      </c>
    </row>
    <row r="7280" spans="1:11" ht="25.5" x14ac:dyDescent="0.25">
      <c r="A7280" s="22">
        <v>2026</v>
      </c>
      <c r="B7280" s="28" t="s">
        <v>249</v>
      </c>
      <c r="C7280" s="28" t="s">
        <v>97</v>
      </c>
      <c r="D7280" s="28" t="s">
        <v>229</v>
      </c>
      <c r="E7280" s="29" t="s">
        <v>923</v>
      </c>
      <c r="F7280" s="29" t="s">
        <v>298</v>
      </c>
      <c r="G7280" s="25" t="s">
        <v>8913</v>
      </c>
      <c r="H7280" s="26">
        <v>-0.79599839999999999</v>
      </c>
      <c r="I7280" s="26"/>
      <c r="J7280" s="26" t="s">
        <v>512</v>
      </c>
      <c r="K7280" s="25" t="s">
        <v>526</v>
      </c>
    </row>
    <row r="7281" spans="1:11" ht="25.5" x14ac:dyDescent="0.25">
      <c r="A7281" s="22">
        <v>2026</v>
      </c>
      <c r="B7281" s="28" t="s">
        <v>249</v>
      </c>
      <c r="C7281" s="28" t="s">
        <v>97</v>
      </c>
      <c r="D7281" s="28" t="s">
        <v>1717</v>
      </c>
      <c r="E7281" s="29" t="s">
        <v>1084</v>
      </c>
      <c r="F7281" s="29" t="s">
        <v>576</v>
      </c>
      <c r="G7281" s="25" t="s">
        <v>8914</v>
      </c>
      <c r="H7281" s="26">
        <v>-8.4561551099999993E-2</v>
      </c>
      <c r="I7281" s="26"/>
      <c r="J7281" s="26" t="s">
        <v>512</v>
      </c>
      <c r="K7281" s="25" t="s">
        <v>513</v>
      </c>
    </row>
    <row r="7282" spans="1:11" ht="25.5" x14ac:dyDescent="0.25">
      <c r="A7282" s="22">
        <v>2026</v>
      </c>
      <c r="B7282" s="28" t="s">
        <v>249</v>
      </c>
      <c r="C7282" s="28" t="s">
        <v>97</v>
      </c>
      <c r="D7282" s="28" t="s">
        <v>1717</v>
      </c>
      <c r="E7282" s="29" t="s">
        <v>1084</v>
      </c>
      <c r="F7282" s="29" t="s">
        <v>576</v>
      </c>
      <c r="G7282" s="25" t="s">
        <v>8915</v>
      </c>
      <c r="H7282" s="26">
        <v>-0.90551821399999999</v>
      </c>
      <c r="I7282" s="26"/>
      <c r="J7282" s="26" t="s">
        <v>512</v>
      </c>
      <c r="K7282" s="25" t="s">
        <v>513</v>
      </c>
    </row>
    <row r="7283" spans="1:11" ht="25.5" x14ac:dyDescent="0.25">
      <c r="A7283" s="22">
        <v>2026</v>
      </c>
      <c r="B7283" s="28" t="s">
        <v>249</v>
      </c>
      <c r="C7283" s="28" t="s">
        <v>97</v>
      </c>
      <c r="D7283" s="28" t="s">
        <v>1717</v>
      </c>
      <c r="E7283" s="29" t="s">
        <v>1084</v>
      </c>
      <c r="F7283" s="29" t="s">
        <v>576</v>
      </c>
      <c r="G7283" s="25" t="s">
        <v>8916</v>
      </c>
      <c r="H7283" s="26">
        <v>-0.32454720000000004</v>
      </c>
      <c r="I7283" s="26"/>
      <c r="J7283" s="26" t="s">
        <v>512</v>
      </c>
      <c r="K7283" s="25" t="s">
        <v>513</v>
      </c>
    </row>
    <row r="7284" spans="1:11" ht="25.5" x14ac:dyDescent="0.25">
      <c r="A7284" s="22">
        <v>2026</v>
      </c>
      <c r="B7284" s="28" t="s">
        <v>249</v>
      </c>
      <c r="C7284" s="28" t="s">
        <v>97</v>
      </c>
      <c r="D7284" s="28" t="s">
        <v>1717</v>
      </c>
      <c r="E7284" s="29" t="s">
        <v>1084</v>
      </c>
      <c r="F7284" s="29" t="s">
        <v>576</v>
      </c>
      <c r="G7284" s="25" t="s">
        <v>8917</v>
      </c>
      <c r="H7284" s="26">
        <v>-0.34465013439999997</v>
      </c>
      <c r="I7284" s="26"/>
      <c r="J7284" s="26" t="s">
        <v>512</v>
      </c>
      <c r="K7284" s="25" t="s">
        <v>513</v>
      </c>
    </row>
    <row r="7285" spans="1:11" ht="25.5" x14ac:dyDescent="0.25">
      <c r="A7285" s="22">
        <v>2026</v>
      </c>
      <c r="B7285" s="28" t="s">
        <v>249</v>
      </c>
      <c r="C7285" s="28" t="s">
        <v>97</v>
      </c>
      <c r="D7285" s="28" t="s">
        <v>1717</v>
      </c>
      <c r="E7285" s="29" t="s">
        <v>1084</v>
      </c>
      <c r="F7285" s="29" t="s">
        <v>576</v>
      </c>
      <c r="G7285" s="25" t="s">
        <v>8918</v>
      </c>
      <c r="H7285" s="26">
        <v>-6.2062077799999997E-2</v>
      </c>
      <c r="I7285" s="26"/>
      <c r="J7285" s="26" t="s">
        <v>512</v>
      </c>
      <c r="K7285" s="25" t="s">
        <v>513</v>
      </c>
    </row>
    <row r="7286" spans="1:11" ht="25.5" x14ac:dyDescent="0.25">
      <c r="A7286" s="22">
        <v>2026</v>
      </c>
      <c r="B7286" s="28" t="s">
        <v>249</v>
      </c>
      <c r="C7286" s="28" t="s">
        <v>97</v>
      </c>
      <c r="D7286" s="28" t="s">
        <v>1717</v>
      </c>
      <c r="E7286" s="29" t="s">
        <v>1084</v>
      </c>
      <c r="F7286" s="29" t="s">
        <v>576</v>
      </c>
      <c r="G7286" s="25" t="s">
        <v>8919</v>
      </c>
      <c r="H7286" s="26">
        <v>-5.1895971400000004E-2</v>
      </c>
      <c r="I7286" s="26"/>
      <c r="J7286" s="26" t="s">
        <v>512</v>
      </c>
      <c r="K7286" s="25" t="s">
        <v>513</v>
      </c>
    </row>
    <row r="7287" spans="1:11" ht="25.5" x14ac:dyDescent="0.25">
      <c r="A7287" s="22">
        <v>2026</v>
      </c>
      <c r="B7287" s="28" t="s">
        <v>249</v>
      </c>
      <c r="C7287" s="28" t="s">
        <v>97</v>
      </c>
      <c r="D7287" s="28" t="s">
        <v>1717</v>
      </c>
      <c r="E7287" s="29" t="s">
        <v>1084</v>
      </c>
      <c r="F7287" s="29" t="s">
        <v>576</v>
      </c>
      <c r="G7287" s="25" t="s">
        <v>8920</v>
      </c>
      <c r="H7287" s="26">
        <v>-0.2456028344</v>
      </c>
      <c r="I7287" s="26"/>
      <c r="J7287" s="26" t="s">
        <v>512</v>
      </c>
      <c r="K7287" s="25" t="s">
        <v>513</v>
      </c>
    </row>
    <row r="7288" spans="1:11" ht="25.5" x14ac:dyDescent="0.25">
      <c r="A7288" s="22">
        <v>2026</v>
      </c>
      <c r="B7288" s="28" t="s">
        <v>249</v>
      </c>
      <c r="C7288" s="28" t="s">
        <v>97</v>
      </c>
      <c r="D7288" s="28" t="s">
        <v>1717</v>
      </c>
      <c r="E7288" s="29" t="s">
        <v>1084</v>
      </c>
      <c r="F7288" s="29" t="s">
        <v>576</v>
      </c>
      <c r="G7288" s="25" t="s">
        <v>8921</v>
      </c>
      <c r="H7288" s="26">
        <v>-7.6889484000000003E-3</v>
      </c>
      <c r="I7288" s="26"/>
      <c r="J7288" s="26" t="s">
        <v>512</v>
      </c>
      <c r="K7288" s="25" t="s">
        <v>513</v>
      </c>
    </row>
    <row r="7289" spans="1:11" ht="25.5" x14ac:dyDescent="0.25">
      <c r="A7289" s="22">
        <v>2026</v>
      </c>
      <c r="B7289" s="28" t="s">
        <v>249</v>
      </c>
      <c r="C7289" s="28" t="s">
        <v>97</v>
      </c>
      <c r="D7289" s="28" t="s">
        <v>1717</v>
      </c>
      <c r="E7289" s="29" t="s">
        <v>1084</v>
      </c>
      <c r="F7289" s="29" t="s">
        <v>576</v>
      </c>
      <c r="G7289" s="25" t="s">
        <v>8922</v>
      </c>
      <c r="H7289" s="26">
        <v>-3.7235839999999999E-2</v>
      </c>
      <c r="I7289" s="26"/>
      <c r="J7289" s="26" t="s">
        <v>512</v>
      </c>
      <c r="K7289" s="25" t="s">
        <v>513</v>
      </c>
    </row>
    <row r="7290" spans="1:11" ht="25.5" x14ac:dyDescent="0.25">
      <c r="A7290" s="22">
        <v>2026</v>
      </c>
      <c r="B7290" s="28" t="s">
        <v>249</v>
      </c>
      <c r="C7290" s="28" t="s">
        <v>97</v>
      </c>
      <c r="D7290" s="28" t="s">
        <v>1718</v>
      </c>
      <c r="E7290" s="29" t="s">
        <v>1084</v>
      </c>
      <c r="F7290" s="29" t="s">
        <v>1762</v>
      </c>
      <c r="G7290" s="25" t="s">
        <v>8923</v>
      </c>
      <c r="H7290" s="26">
        <v>-0.1787749824</v>
      </c>
      <c r="I7290" s="26"/>
      <c r="J7290" s="26" t="s">
        <v>512</v>
      </c>
      <c r="K7290" s="25" t="s">
        <v>513</v>
      </c>
    </row>
    <row r="7291" spans="1:11" ht="25.5" x14ac:dyDescent="0.25">
      <c r="A7291" s="22">
        <v>2026</v>
      </c>
      <c r="B7291" s="28" t="s">
        <v>249</v>
      </c>
      <c r="C7291" s="28" t="s">
        <v>97</v>
      </c>
      <c r="D7291" s="28" t="s">
        <v>1718</v>
      </c>
      <c r="E7291" s="29" t="s">
        <v>1084</v>
      </c>
      <c r="F7291" s="29" t="s">
        <v>1762</v>
      </c>
      <c r="G7291" s="25" t="s">
        <v>8924</v>
      </c>
      <c r="H7291" s="26">
        <v>-0.15251308360000002</v>
      </c>
      <c r="I7291" s="26"/>
      <c r="J7291" s="26" t="s">
        <v>512</v>
      </c>
      <c r="K7291" s="25" t="s">
        <v>513</v>
      </c>
    </row>
    <row r="7292" spans="1:11" ht="25.5" x14ac:dyDescent="0.25">
      <c r="A7292" s="22">
        <v>2026</v>
      </c>
      <c r="B7292" s="28" t="s">
        <v>249</v>
      </c>
      <c r="C7292" s="28" t="s">
        <v>97</v>
      </c>
      <c r="D7292" s="28" t="s">
        <v>1718</v>
      </c>
      <c r="E7292" s="29" t="s">
        <v>1084</v>
      </c>
      <c r="F7292" s="29" t="s">
        <v>1762</v>
      </c>
      <c r="G7292" s="25" t="s">
        <v>8925</v>
      </c>
      <c r="H7292" s="26">
        <v>-0.26208277749999997</v>
      </c>
      <c r="I7292" s="26"/>
      <c r="J7292" s="26" t="s">
        <v>512</v>
      </c>
      <c r="K7292" s="25" t="s">
        <v>513</v>
      </c>
    </row>
    <row r="7293" spans="1:11" ht="25.5" x14ac:dyDescent="0.25">
      <c r="A7293" s="22">
        <v>2026</v>
      </c>
      <c r="B7293" s="28" t="s">
        <v>249</v>
      </c>
      <c r="C7293" s="28" t="s">
        <v>97</v>
      </c>
      <c r="D7293" s="28" t="s">
        <v>1718</v>
      </c>
      <c r="E7293" s="29" t="s">
        <v>1084</v>
      </c>
      <c r="F7293" s="29" t="s">
        <v>1762</v>
      </c>
      <c r="G7293" s="25" t="s">
        <v>8926</v>
      </c>
      <c r="H7293" s="26">
        <v>-0.15448200000000001</v>
      </c>
      <c r="I7293" s="26"/>
      <c r="J7293" s="26" t="s">
        <v>512</v>
      </c>
      <c r="K7293" s="25" t="s">
        <v>513</v>
      </c>
    </row>
    <row r="7294" spans="1:11" ht="25.5" x14ac:dyDescent="0.25">
      <c r="A7294" s="22">
        <v>2026</v>
      </c>
      <c r="B7294" s="28" t="s">
        <v>249</v>
      </c>
      <c r="C7294" s="28" t="s">
        <v>97</v>
      </c>
      <c r="D7294" s="28" t="s">
        <v>1718</v>
      </c>
      <c r="E7294" s="29" t="s">
        <v>1084</v>
      </c>
      <c r="F7294" s="29" t="s">
        <v>1762</v>
      </c>
      <c r="G7294" s="25" t="s">
        <v>8927</v>
      </c>
      <c r="H7294" s="26">
        <v>-0.78569085599999999</v>
      </c>
      <c r="I7294" s="26"/>
      <c r="J7294" s="26" t="s">
        <v>512</v>
      </c>
      <c r="K7294" s="25" t="s">
        <v>513</v>
      </c>
    </row>
    <row r="7295" spans="1:11" ht="25.5" x14ac:dyDescent="0.25">
      <c r="A7295" s="22">
        <v>2026</v>
      </c>
      <c r="B7295" s="28" t="s">
        <v>249</v>
      </c>
      <c r="C7295" s="28" t="s">
        <v>97</v>
      </c>
      <c r="D7295" s="28" t="s">
        <v>1719</v>
      </c>
      <c r="E7295" s="29" t="s">
        <v>1084</v>
      </c>
      <c r="F7295" s="29" t="s">
        <v>287</v>
      </c>
      <c r="G7295" s="25" t="s">
        <v>8928</v>
      </c>
      <c r="H7295" s="26">
        <v>-0.41056910569999999</v>
      </c>
      <c r="I7295" s="26"/>
      <c r="J7295" s="26" t="s">
        <v>514</v>
      </c>
      <c r="K7295" s="25" t="s">
        <v>513</v>
      </c>
    </row>
    <row r="7296" spans="1:11" ht="25.5" x14ac:dyDescent="0.25">
      <c r="A7296" s="22">
        <v>2026</v>
      </c>
      <c r="B7296" s="28" t="s">
        <v>249</v>
      </c>
      <c r="C7296" s="28" t="s">
        <v>97</v>
      </c>
      <c r="D7296" s="28" t="s">
        <v>1719</v>
      </c>
      <c r="E7296" s="29" t="s">
        <v>1084</v>
      </c>
      <c r="F7296" s="29" t="s">
        <v>287</v>
      </c>
      <c r="G7296" s="25" t="s">
        <v>8929</v>
      </c>
      <c r="H7296" s="26">
        <v>-3.8277120000000005E-2</v>
      </c>
      <c r="I7296" s="26"/>
      <c r="J7296" s="26" t="s">
        <v>514</v>
      </c>
      <c r="K7296" s="25" t="s">
        <v>513</v>
      </c>
    </row>
    <row r="7297" spans="1:11" ht="25.5" x14ac:dyDescent="0.25">
      <c r="A7297" s="22">
        <v>2026</v>
      </c>
      <c r="B7297" s="28" t="s">
        <v>249</v>
      </c>
      <c r="C7297" s="28" t="s">
        <v>97</v>
      </c>
      <c r="D7297" s="28" t="s">
        <v>1719</v>
      </c>
      <c r="E7297" s="29" t="s">
        <v>1084</v>
      </c>
      <c r="F7297" s="29" t="s">
        <v>287</v>
      </c>
      <c r="G7297" s="25" t="s">
        <v>8930</v>
      </c>
      <c r="H7297" s="26">
        <v>-0.2227005</v>
      </c>
      <c r="I7297" s="26"/>
      <c r="J7297" s="26" t="s">
        <v>514</v>
      </c>
      <c r="K7297" s="25" t="s">
        <v>513</v>
      </c>
    </row>
    <row r="7298" spans="1:11" ht="25.5" x14ac:dyDescent="0.25">
      <c r="A7298" s="22">
        <v>2026</v>
      </c>
      <c r="B7298" s="28" t="s">
        <v>249</v>
      </c>
      <c r="C7298" s="28" t="s">
        <v>97</v>
      </c>
      <c r="D7298" s="28" t="s">
        <v>1719</v>
      </c>
      <c r="E7298" s="29" t="s">
        <v>1084</v>
      </c>
      <c r="F7298" s="29" t="s">
        <v>287</v>
      </c>
      <c r="G7298" s="25" t="s">
        <v>8931</v>
      </c>
      <c r="H7298" s="26">
        <v>-0.40645406340000001</v>
      </c>
      <c r="I7298" s="26"/>
      <c r="J7298" s="26" t="s">
        <v>514</v>
      </c>
      <c r="K7298" s="25" t="s">
        <v>513</v>
      </c>
    </row>
    <row r="7299" spans="1:11" ht="25.5" x14ac:dyDescent="0.25">
      <c r="A7299" s="22">
        <v>2026</v>
      </c>
      <c r="B7299" s="28" t="s">
        <v>249</v>
      </c>
      <c r="C7299" s="28" t="s">
        <v>97</v>
      </c>
      <c r="D7299" s="28" t="s">
        <v>1719</v>
      </c>
      <c r="E7299" s="29" t="s">
        <v>1084</v>
      </c>
      <c r="F7299" s="29" t="s">
        <v>287</v>
      </c>
      <c r="G7299" s="25" t="s">
        <v>8932</v>
      </c>
      <c r="H7299" s="26">
        <v>-0.34115000000000001</v>
      </c>
      <c r="I7299" s="26"/>
      <c r="J7299" s="26" t="s">
        <v>514</v>
      </c>
      <c r="K7299" s="25" t="s">
        <v>513</v>
      </c>
    </row>
    <row r="7300" spans="1:11" ht="25.5" x14ac:dyDescent="0.25">
      <c r="A7300" s="22">
        <v>2026</v>
      </c>
      <c r="B7300" s="28" t="s">
        <v>249</v>
      </c>
      <c r="C7300" s="28" t="s">
        <v>97</v>
      </c>
      <c r="D7300" s="28" t="s">
        <v>1719</v>
      </c>
      <c r="E7300" s="29" t="s">
        <v>1084</v>
      </c>
      <c r="F7300" s="29" t="s">
        <v>287</v>
      </c>
      <c r="G7300" s="25" t="s">
        <v>8933</v>
      </c>
      <c r="H7300" s="26">
        <v>-1.0529999999999999</v>
      </c>
      <c r="I7300" s="26"/>
      <c r="J7300" s="26" t="s">
        <v>514</v>
      </c>
      <c r="K7300" s="25" t="s">
        <v>513</v>
      </c>
    </row>
    <row r="7301" spans="1:11" ht="25.5" x14ac:dyDescent="0.25">
      <c r="A7301" s="22">
        <v>2026</v>
      </c>
      <c r="B7301" s="28" t="s">
        <v>249</v>
      </c>
      <c r="C7301" s="28" t="s">
        <v>97</v>
      </c>
      <c r="D7301" s="28" t="s">
        <v>1719</v>
      </c>
      <c r="E7301" s="29" t="s">
        <v>1084</v>
      </c>
      <c r="F7301" s="29" t="s">
        <v>287</v>
      </c>
      <c r="G7301" s="25" t="s">
        <v>8934</v>
      </c>
      <c r="H7301" s="26">
        <v>-1.0923347089</v>
      </c>
      <c r="I7301" s="26"/>
      <c r="J7301" s="26" t="s">
        <v>514</v>
      </c>
      <c r="K7301" s="25" t="s">
        <v>513</v>
      </c>
    </row>
    <row r="7302" spans="1:11" ht="25.5" x14ac:dyDescent="0.25">
      <c r="A7302" s="22">
        <v>2026</v>
      </c>
      <c r="B7302" s="28" t="s">
        <v>249</v>
      </c>
      <c r="C7302" s="28" t="s">
        <v>97</v>
      </c>
      <c r="D7302" s="28" t="s">
        <v>1719</v>
      </c>
      <c r="E7302" s="29" t="s">
        <v>1084</v>
      </c>
      <c r="F7302" s="29" t="s">
        <v>287</v>
      </c>
      <c r="G7302" s="25" t="s">
        <v>8935</v>
      </c>
      <c r="H7302" s="26">
        <v>-0.20764350520000002</v>
      </c>
      <c r="I7302" s="26"/>
      <c r="J7302" s="26" t="s">
        <v>514</v>
      </c>
      <c r="K7302" s="25" t="s">
        <v>513</v>
      </c>
    </row>
    <row r="7303" spans="1:11" ht="25.5" x14ac:dyDescent="0.25">
      <c r="A7303" s="22">
        <v>2026</v>
      </c>
      <c r="B7303" s="28" t="s">
        <v>249</v>
      </c>
      <c r="C7303" s="28" t="s">
        <v>97</v>
      </c>
      <c r="D7303" s="28" t="s">
        <v>1719</v>
      </c>
      <c r="E7303" s="29" t="s">
        <v>1084</v>
      </c>
      <c r="F7303" s="29" t="s">
        <v>287</v>
      </c>
      <c r="G7303" s="25" t="s">
        <v>8936</v>
      </c>
      <c r="H7303" s="26">
        <v>-1.0634999999999999</v>
      </c>
      <c r="I7303" s="26"/>
      <c r="J7303" s="26" t="s">
        <v>514</v>
      </c>
      <c r="K7303" s="25" t="s">
        <v>513</v>
      </c>
    </row>
    <row r="7304" spans="1:11" ht="25.5" x14ac:dyDescent="0.25">
      <c r="A7304" s="22">
        <v>2026</v>
      </c>
      <c r="B7304" s="28" t="s">
        <v>249</v>
      </c>
      <c r="C7304" s="28" t="s">
        <v>97</v>
      </c>
      <c r="D7304" s="28" t="s">
        <v>1719</v>
      </c>
      <c r="E7304" s="29" t="s">
        <v>1084</v>
      </c>
      <c r="F7304" s="29" t="s">
        <v>287</v>
      </c>
      <c r="G7304" s="25" t="s">
        <v>8937</v>
      </c>
      <c r="H7304" s="26">
        <v>-0.47899249999999999</v>
      </c>
      <c r="I7304" s="26"/>
      <c r="J7304" s="26" t="s">
        <v>514</v>
      </c>
      <c r="K7304" s="25" t="s">
        <v>513</v>
      </c>
    </row>
    <row r="7305" spans="1:11" ht="25.5" x14ac:dyDescent="0.25">
      <c r="A7305" s="22">
        <v>2026</v>
      </c>
      <c r="B7305" s="28" t="s">
        <v>249</v>
      </c>
      <c r="C7305" s="28" t="s">
        <v>97</v>
      </c>
      <c r="D7305" s="28" t="s">
        <v>1720</v>
      </c>
      <c r="E7305" s="29" t="s">
        <v>1084</v>
      </c>
      <c r="F7305" s="29" t="s">
        <v>483</v>
      </c>
      <c r="G7305" s="25" t="s">
        <v>8938</v>
      </c>
      <c r="H7305" s="26">
        <v>-0.47520000000000001</v>
      </c>
      <c r="I7305" s="26"/>
      <c r="J7305" s="26" t="s">
        <v>512</v>
      </c>
      <c r="K7305" s="25" t="s">
        <v>513</v>
      </c>
    </row>
    <row r="7306" spans="1:11" ht="25.5" x14ac:dyDescent="0.25">
      <c r="A7306" s="22">
        <v>2026</v>
      </c>
      <c r="B7306" s="28" t="s">
        <v>249</v>
      </c>
      <c r="C7306" s="28" t="s">
        <v>97</v>
      </c>
      <c r="D7306" s="28" t="s">
        <v>1720</v>
      </c>
      <c r="E7306" s="29" t="s">
        <v>1084</v>
      </c>
      <c r="F7306" s="29" t="s">
        <v>483</v>
      </c>
      <c r="G7306" s="25" t="s">
        <v>8939</v>
      </c>
      <c r="H7306" s="26">
        <v>-0.21299999999999999</v>
      </c>
      <c r="I7306" s="26"/>
      <c r="J7306" s="26" t="s">
        <v>512</v>
      </c>
      <c r="K7306" s="25" t="s">
        <v>513</v>
      </c>
    </row>
    <row r="7307" spans="1:11" ht="25.5" x14ac:dyDescent="0.25">
      <c r="A7307" s="22">
        <v>2026</v>
      </c>
      <c r="B7307" s="28" t="s">
        <v>249</v>
      </c>
      <c r="C7307" s="28" t="s">
        <v>97</v>
      </c>
      <c r="D7307" s="28" t="s">
        <v>1720</v>
      </c>
      <c r="E7307" s="29" t="s">
        <v>1084</v>
      </c>
      <c r="F7307" s="29" t="s">
        <v>483</v>
      </c>
      <c r="G7307" s="25" t="s">
        <v>8940</v>
      </c>
      <c r="H7307" s="26">
        <v>-0.98204940000000007</v>
      </c>
      <c r="I7307" s="26"/>
      <c r="J7307" s="26" t="s">
        <v>512</v>
      </c>
      <c r="K7307" s="25" t="s">
        <v>513</v>
      </c>
    </row>
    <row r="7308" spans="1:11" ht="25.5" x14ac:dyDescent="0.25">
      <c r="A7308" s="22">
        <v>2026</v>
      </c>
      <c r="B7308" s="28" t="s">
        <v>249</v>
      </c>
      <c r="C7308" s="28" t="s">
        <v>97</v>
      </c>
      <c r="D7308" s="28" t="s">
        <v>1720</v>
      </c>
      <c r="E7308" s="29" t="s">
        <v>1084</v>
      </c>
      <c r="F7308" s="29" t="s">
        <v>483</v>
      </c>
      <c r="G7308" s="25" t="s">
        <v>8941</v>
      </c>
      <c r="H7308" s="26">
        <v>-0.21274999999999999</v>
      </c>
      <c r="I7308" s="26"/>
      <c r="J7308" s="26" t="s">
        <v>512</v>
      </c>
      <c r="K7308" s="25" t="s">
        <v>513</v>
      </c>
    </row>
    <row r="7309" spans="1:11" ht="25.5" x14ac:dyDescent="0.25">
      <c r="A7309" s="22">
        <v>2026</v>
      </c>
      <c r="B7309" s="28" t="s">
        <v>249</v>
      </c>
      <c r="C7309" s="28" t="s">
        <v>97</v>
      </c>
      <c r="D7309" s="28" t="s">
        <v>1720</v>
      </c>
      <c r="E7309" s="29" t="s">
        <v>1084</v>
      </c>
      <c r="F7309" s="29" t="s">
        <v>483</v>
      </c>
      <c r="G7309" s="25" t="s">
        <v>8942</v>
      </c>
      <c r="H7309" s="26">
        <v>-0.42538500000000001</v>
      </c>
      <c r="I7309" s="26"/>
      <c r="J7309" s="26" t="s">
        <v>512</v>
      </c>
      <c r="K7309" s="25" t="s">
        <v>513</v>
      </c>
    </row>
    <row r="7310" spans="1:11" ht="25.5" x14ac:dyDescent="0.25">
      <c r="A7310" s="22">
        <v>2026</v>
      </c>
      <c r="B7310" s="28" t="s">
        <v>249</v>
      </c>
      <c r="C7310" s="28" t="s">
        <v>97</v>
      </c>
      <c r="D7310" s="28" t="s">
        <v>1720</v>
      </c>
      <c r="E7310" s="29" t="s">
        <v>1084</v>
      </c>
      <c r="F7310" s="29" t="s">
        <v>483</v>
      </c>
      <c r="G7310" s="25" t="s">
        <v>8943</v>
      </c>
      <c r="H7310" s="26">
        <v>-0.42144999999999999</v>
      </c>
      <c r="I7310" s="26"/>
      <c r="J7310" s="26" t="s">
        <v>512</v>
      </c>
      <c r="K7310" s="25" t="s">
        <v>513</v>
      </c>
    </row>
    <row r="7311" spans="1:11" ht="25.5" x14ac:dyDescent="0.25">
      <c r="A7311" s="22">
        <v>2026</v>
      </c>
      <c r="B7311" s="28" t="s">
        <v>249</v>
      </c>
      <c r="C7311" s="28" t="s">
        <v>97</v>
      </c>
      <c r="D7311" s="28" t="s">
        <v>1720</v>
      </c>
      <c r="E7311" s="29" t="s">
        <v>1084</v>
      </c>
      <c r="F7311" s="29" t="s">
        <v>483</v>
      </c>
      <c r="G7311" s="25" t="s">
        <v>8944</v>
      </c>
      <c r="H7311" s="26">
        <v>-1.16836775</v>
      </c>
      <c r="I7311" s="26"/>
      <c r="J7311" s="26" t="s">
        <v>512</v>
      </c>
      <c r="K7311" s="25" t="s">
        <v>513</v>
      </c>
    </row>
    <row r="7312" spans="1:11" ht="25.5" x14ac:dyDescent="0.25">
      <c r="A7312" s="22">
        <v>2026</v>
      </c>
      <c r="B7312" s="28" t="s">
        <v>249</v>
      </c>
      <c r="C7312" s="28" t="s">
        <v>97</v>
      </c>
      <c r="D7312" s="28" t="s">
        <v>1720</v>
      </c>
      <c r="E7312" s="29" t="s">
        <v>1084</v>
      </c>
      <c r="F7312" s="29" t="s">
        <v>483</v>
      </c>
      <c r="G7312" s="25" t="s">
        <v>8945</v>
      </c>
      <c r="H7312" s="26">
        <v>-0.48408445</v>
      </c>
      <c r="I7312" s="26"/>
      <c r="J7312" s="26" t="s">
        <v>512</v>
      </c>
      <c r="K7312" s="25" t="s">
        <v>513</v>
      </c>
    </row>
    <row r="7313" spans="1:11" ht="25.5" x14ac:dyDescent="0.25">
      <c r="A7313" s="22">
        <v>2026</v>
      </c>
      <c r="B7313" s="28" t="s">
        <v>249</v>
      </c>
      <c r="C7313" s="28" t="s">
        <v>97</v>
      </c>
      <c r="D7313" s="28" t="s">
        <v>1720</v>
      </c>
      <c r="E7313" s="29" t="s">
        <v>1084</v>
      </c>
      <c r="F7313" s="29" t="s">
        <v>483</v>
      </c>
      <c r="G7313" s="25" t="s">
        <v>8946</v>
      </c>
      <c r="H7313" s="26">
        <v>-0.21243400000000001</v>
      </c>
      <c r="I7313" s="26"/>
      <c r="J7313" s="26" t="s">
        <v>512</v>
      </c>
      <c r="K7313" s="25" t="s">
        <v>513</v>
      </c>
    </row>
    <row r="7314" spans="1:11" ht="25.5" x14ac:dyDescent="0.25">
      <c r="A7314" s="22">
        <v>2026</v>
      </c>
      <c r="B7314" s="28" t="s">
        <v>249</v>
      </c>
      <c r="C7314" s="28" t="s">
        <v>97</v>
      </c>
      <c r="D7314" s="28" t="s">
        <v>1720</v>
      </c>
      <c r="E7314" s="29" t="s">
        <v>1084</v>
      </c>
      <c r="F7314" s="29" t="s">
        <v>483</v>
      </c>
      <c r="G7314" s="25" t="s">
        <v>8947</v>
      </c>
      <c r="H7314" s="26">
        <v>-2.14045</v>
      </c>
      <c r="I7314" s="26"/>
      <c r="J7314" s="26" t="s">
        <v>512</v>
      </c>
      <c r="K7314" s="25" t="s">
        <v>513</v>
      </c>
    </row>
    <row r="7315" spans="1:11" ht="25.5" x14ac:dyDescent="0.25">
      <c r="A7315" s="22">
        <v>2026</v>
      </c>
      <c r="B7315" s="28" t="s">
        <v>249</v>
      </c>
      <c r="C7315" s="28" t="s">
        <v>97</v>
      </c>
      <c r="D7315" s="28" t="s">
        <v>1721</v>
      </c>
      <c r="E7315" s="29" t="s">
        <v>411</v>
      </c>
      <c r="F7315" s="29" t="s">
        <v>353</v>
      </c>
      <c r="G7315" s="25" t="s">
        <v>8948</v>
      </c>
      <c r="H7315" s="26">
        <v>-1.0081125</v>
      </c>
      <c r="I7315" s="26"/>
      <c r="J7315" s="26" t="s">
        <v>512</v>
      </c>
      <c r="K7315" s="25" t="s">
        <v>513</v>
      </c>
    </row>
    <row r="7316" spans="1:11" ht="25.5" x14ac:dyDescent="0.25">
      <c r="A7316" s="22">
        <v>2026</v>
      </c>
      <c r="B7316" s="28" t="s">
        <v>249</v>
      </c>
      <c r="C7316" s="28" t="s">
        <v>97</v>
      </c>
      <c r="D7316" s="28" t="s">
        <v>1721</v>
      </c>
      <c r="E7316" s="29" t="s">
        <v>411</v>
      </c>
      <c r="F7316" s="29" t="s">
        <v>353</v>
      </c>
      <c r="G7316" s="25" t="s">
        <v>8949</v>
      </c>
      <c r="H7316" s="26">
        <v>-1.250073</v>
      </c>
      <c r="I7316" s="26"/>
      <c r="J7316" s="26" t="s">
        <v>512</v>
      </c>
      <c r="K7316" s="25" t="s">
        <v>513</v>
      </c>
    </row>
    <row r="7317" spans="1:11" ht="25.5" x14ac:dyDescent="0.25">
      <c r="A7317" s="22">
        <v>2026</v>
      </c>
      <c r="B7317" s="28" t="s">
        <v>249</v>
      </c>
      <c r="C7317" s="28" t="s">
        <v>97</v>
      </c>
      <c r="D7317" s="28" t="s">
        <v>1721</v>
      </c>
      <c r="E7317" s="29" t="s">
        <v>411</v>
      </c>
      <c r="F7317" s="29" t="s">
        <v>353</v>
      </c>
      <c r="G7317" s="25" t="s">
        <v>8950</v>
      </c>
      <c r="H7317" s="26">
        <v>-1.0949964999999999</v>
      </c>
      <c r="I7317" s="26"/>
      <c r="J7317" s="26" t="s">
        <v>512</v>
      </c>
      <c r="K7317" s="25" t="s">
        <v>513</v>
      </c>
    </row>
    <row r="7318" spans="1:11" ht="25.5" x14ac:dyDescent="0.25">
      <c r="A7318" s="22">
        <v>2026</v>
      </c>
      <c r="B7318" s="28" t="s">
        <v>249</v>
      </c>
      <c r="C7318" s="28" t="s">
        <v>97</v>
      </c>
      <c r="D7318" s="28" t="s">
        <v>1721</v>
      </c>
      <c r="E7318" s="29" t="s">
        <v>411</v>
      </c>
      <c r="F7318" s="29" t="s">
        <v>353</v>
      </c>
      <c r="G7318" s="25" t="s">
        <v>8951</v>
      </c>
      <c r="H7318" s="26">
        <v>-1.3296675</v>
      </c>
      <c r="I7318" s="26"/>
      <c r="J7318" s="26" t="s">
        <v>512</v>
      </c>
      <c r="K7318" s="25" t="s">
        <v>513</v>
      </c>
    </row>
    <row r="7319" spans="1:11" ht="25.5" x14ac:dyDescent="0.25">
      <c r="A7319" s="22">
        <v>2026</v>
      </c>
      <c r="B7319" s="28" t="s">
        <v>249</v>
      </c>
      <c r="C7319" s="28" t="s">
        <v>97</v>
      </c>
      <c r="D7319" s="28" t="s">
        <v>1721</v>
      </c>
      <c r="E7319" s="29" t="s">
        <v>411</v>
      </c>
      <c r="F7319" s="29" t="s">
        <v>353</v>
      </c>
      <c r="G7319" s="25" t="s">
        <v>8952</v>
      </c>
      <c r="H7319" s="26">
        <v>-0.9685354518</v>
      </c>
      <c r="I7319" s="26"/>
      <c r="J7319" s="26" t="s">
        <v>512</v>
      </c>
      <c r="K7319" s="25" t="s">
        <v>513</v>
      </c>
    </row>
    <row r="7320" spans="1:11" ht="25.5" x14ac:dyDescent="0.25">
      <c r="A7320" s="22">
        <v>2026</v>
      </c>
      <c r="B7320" s="28" t="s">
        <v>249</v>
      </c>
      <c r="C7320" s="28" t="s">
        <v>97</v>
      </c>
      <c r="D7320" s="28" t="s">
        <v>1721</v>
      </c>
      <c r="E7320" s="29" t="s">
        <v>411</v>
      </c>
      <c r="F7320" s="29" t="s">
        <v>353</v>
      </c>
      <c r="G7320" s="25" t="s">
        <v>8953</v>
      </c>
      <c r="H7320" s="26">
        <v>-0.43925279229999997</v>
      </c>
      <c r="I7320" s="26"/>
      <c r="J7320" s="26" t="s">
        <v>512</v>
      </c>
      <c r="K7320" s="25" t="s">
        <v>513</v>
      </c>
    </row>
    <row r="7321" spans="1:11" ht="25.5" x14ac:dyDescent="0.25">
      <c r="A7321" s="22">
        <v>2026</v>
      </c>
      <c r="B7321" s="28" t="s">
        <v>249</v>
      </c>
      <c r="C7321" s="28" t="s">
        <v>97</v>
      </c>
      <c r="D7321" s="28" t="s">
        <v>1721</v>
      </c>
      <c r="E7321" s="29" t="s">
        <v>411</v>
      </c>
      <c r="F7321" s="29" t="s">
        <v>353</v>
      </c>
      <c r="G7321" s="25" t="s">
        <v>8954</v>
      </c>
      <c r="H7321" s="26">
        <v>-0.44698579199999999</v>
      </c>
      <c r="I7321" s="26"/>
      <c r="J7321" s="26" t="s">
        <v>512</v>
      </c>
      <c r="K7321" s="25" t="s">
        <v>513</v>
      </c>
    </row>
    <row r="7322" spans="1:11" ht="25.5" x14ac:dyDescent="0.25">
      <c r="A7322" s="22">
        <v>2026</v>
      </c>
      <c r="B7322" s="28" t="s">
        <v>249</v>
      </c>
      <c r="C7322" s="28" t="s">
        <v>97</v>
      </c>
      <c r="D7322" s="28" t="s">
        <v>1721</v>
      </c>
      <c r="E7322" s="29" t="s">
        <v>411</v>
      </c>
      <c r="F7322" s="29" t="s">
        <v>353</v>
      </c>
      <c r="G7322" s="25" t="s">
        <v>8955</v>
      </c>
      <c r="H7322" s="26">
        <v>-0.21348440030000002</v>
      </c>
      <c r="I7322" s="26"/>
      <c r="J7322" s="26" t="s">
        <v>512</v>
      </c>
      <c r="K7322" s="25" t="s">
        <v>513</v>
      </c>
    </row>
    <row r="7323" spans="1:11" ht="25.5" x14ac:dyDescent="0.25">
      <c r="A7323" s="22">
        <v>2026</v>
      </c>
      <c r="B7323" s="28" t="s">
        <v>249</v>
      </c>
      <c r="C7323" s="28" t="s">
        <v>97</v>
      </c>
      <c r="D7323" s="28" t="s">
        <v>1721</v>
      </c>
      <c r="E7323" s="29" t="s">
        <v>411</v>
      </c>
      <c r="F7323" s="29" t="s">
        <v>353</v>
      </c>
      <c r="G7323" s="25" t="s">
        <v>8956</v>
      </c>
      <c r="H7323" s="26">
        <v>-0.95306250000000003</v>
      </c>
      <c r="I7323" s="26"/>
      <c r="J7323" s="26" t="s">
        <v>512</v>
      </c>
      <c r="K7323" s="25" t="s">
        <v>513</v>
      </c>
    </row>
    <row r="7324" spans="1:11" ht="25.5" x14ac:dyDescent="0.25">
      <c r="A7324" s="22">
        <v>2026</v>
      </c>
      <c r="B7324" s="28" t="s">
        <v>249</v>
      </c>
      <c r="C7324" s="28" t="s">
        <v>97</v>
      </c>
      <c r="D7324" s="28" t="s">
        <v>1721</v>
      </c>
      <c r="E7324" s="29" t="s">
        <v>411</v>
      </c>
      <c r="F7324" s="29" t="s">
        <v>353</v>
      </c>
      <c r="G7324" s="25" t="s">
        <v>8957</v>
      </c>
      <c r="H7324" s="26">
        <v>-0.84699999999999998</v>
      </c>
      <c r="I7324" s="26"/>
      <c r="J7324" s="26" t="s">
        <v>512</v>
      </c>
      <c r="K7324" s="25" t="s">
        <v>513</v>
      </c>
    </row>
    <row r="7325" spans="1:11" ht="25.5" x14ac:dyDescent="0.25">
      <c r="A7325" s="22">
        <v>2026</v>
      </c>
      <c r="B7325" s="28" t="s">
        <v>249</v>
      </c>
      <c r="C7325" s="28" t="s">
        <v>97</v>
      </c>
      <c r="D7325" s="28" t="s">
        <v>1721</v>
      </c>
      <c r="E7325" s="29" t="s">
        <v>411</v>
      </c>
      <c r="F7325" s="29" t="s">
        <v>353</v>
      </c>
      <c r="G7325" s="25" t="s">
        <v>8958</v>
      </c>
      <c r="H7325" s="26">
        <v>-1.0376653553999999</v>
      </c>
      <c r="I7325" s="26"/>
      <c r="J7325" s="26" t="s">
        <v>512</v>
      </c>
      <c r="K7325" s="25" t="s">
        <v>513</v>
      </c>
    </row>
    <row r="7326" spans="1:11" ht="25.5" x14ac:dyDescent="0.25">
      <c r="A7326" s="22">
        <v>2026</v>
      </c>
      <c r="B7326" s="28" t="s">
        <v>249</v>
      </c>
      <c r="C7326" s="28" t="s">
        <v>97</v>
      </c>
      <c r="D7326" s="28" t="s">
        <v>1721</v>
      </c>
      <c r="E7326" s="29" t="s">
        <v>411</v>
      </c>
      <c r="F7326" s="29" t="s">
        <v>353</v>
      </c>
      <c r="G7326" s="25" t="s">
        <v>8959</v>
      </c>
      <c r="H7326" s="26">
        <v>-1.113629</v>
      </c>
      <c r="I7326" s="26"/>
      <c r="J7326" s="26" t="s">
        <v>512</v>
      </c>
      <c r="K7326" s="25" t="s">
        <v>513</v>
      </c>
    </row>
    <row r="7327" spans="1:11" ht="25.5" x14ac:dyDescent="0.25">
      <c r="A7327" s="22">
        <v>2026</v>
      </c>
      <c r="B7327" s="28" t="s">
        <v>249</v>
      </c>
      <c r="C7327" s="28" t="s">
        <v>97</v>
      </c>
      <c r="D7327" s="28" t="s">
        <v>1721</v>
      </c>
      <c r="E7327" s="29" t="s">
        <v>411</v>
      </c>
      <c r="F7327" s="29" t="s">
        <v>353</v>
      </c>
      <c r="G7327" s="25" t="s">
        <v>8960</v>
      </c>
      <c r="H7327" s="26">
        <v>-0.95750000000000002</v>
      </c>
      <c r="I7327" s="26"/>
      <c r="J7327" s="26" t="s">
        <v>512</v>
      </c>
      <c r="K7327" s="25" t="s">
        <v>513</v>
      </c>
    </row>
    <row r="7328" spans="1:11" ht="25.5" x14ac:dyDescent="0.25">
      <c r="A7328" s="22">
        <v>2026</v>
      </c>
      <c r="B7328" s="28" t="s">
        <v>249</v>
      </c>
      <c r="C7328" s="28" t="s">
        <v>97</v>
      </c>
      <c r="D7328" s="28" t="s">
        <v>1721</v>
      </c>
      <c r="E7328" s="29" t="s">
        <v>411</v>
      </c>
      <c r="F7328" s="29" t="s">
        <v>353</v>
      </c>
      <c r="G7328" s="25" t="s">
        <v>8961</v>
      </c>
      <c r="H7328" s="26">
        <v>-1.1893305000000001</v>
      </c>
      <c r="I7328" s="26"/>
      <c r="J7328" s="26" t="s">
        <v>512</v>
      </c>
      <c r="K7328" s="25" t="s">
        <v>513</v>
      </c>
    </row>
    <row r="7329" spans="1:11" ht="25.5" x14ac:dyDescent="0.25">
      <c r="A7329" s="22">
        <v>2026</v>
      </c>
      <c r="B7329" s="28" t="s">
        <v>249</v>
      </c>
      <c r="C7329" s="28" t="s">
        <v>97</v>
      </c>
      <c r="D7329" s="28" t="s">
        <v>1721</v>
      </c>
      <c r="E7329" s="29" t="s">
        <v>411</v>
      </c>
      <c r="F7329" s="29" t="s">
        <v>353</v>
      </c>
      <c r="G7329" s="25" t="s">
        <v>8962</v>
      </c>
      <c r="H7329" s="26">
        <v>-0.86959549999999997</v>
      </c>
      <c r="I7329" s="26"/>
      <c r="J7329" s="26" t="s">
        <v>512</v>
      </c>
      <c r="K7329" s="25" t="s">
        <v>513</v>
      </c>
    </row>
    <row r="7330" spans="1:11" ht="25.5" x14ac:dyDescent="0.25">
      <c r="A7330" s="22">
        <v>2026</v>
      </c>
      <c r="B7330" s="28" t="s">
        <v>249</v>
      </c>
      <c r="C7330" s="28" t="s">
        <v>97</v>
      </c>
      <c r="D7330" s="28" t="s">
        <v>1721</v>
      </c>
      <c r="E7330" s="29" t="s">
        <v>411</v>
      </c>
      <c r="F7330" s="29" t="s">
        <v>353</v>
      </c>
      <c r="G7330" s="25" t="s">
        <v>8963</v>
      </c>
      <c r="H7330" s="26">
        <v>-0.72991349999999999</v>
      </c>
      <c r="I7330" s="26"/>
      <c r="J7330" s="26" t="s">
        <v>512</v>
      </c>
      <c r="K7330" s="25" t="s">
        <v>513</v>
      </c>
    </row>
    <row r="7331" spans="1:11" ht="25.5" x14ac:dyDescent="0.25">
      <c r="A7331" s="22">
        <v>2026</v>
      </c>
      <c r="B7331" s="28" t="s">
        <v>249</v>
      </c>
      <c r="C7331" s="28" t="s">
        <v>97</v>
      </c>
      <c r="D7331" s="28" t="s">
        <v>1721</v>
      </c>
      <c r="E7331" s="29" t="s">
        <v>411</v>
      </c>
      <c r="F7331" s="29" t="s">
        <v>353</v>
      </c>
      <c r="G7331" s="25" t="s">
        <v>8964</v>
      </c>
      <c r="H7331" s="26">
        <v>-1.2369402</v>
      </c>
      <c r="I7331" s="26"/>
      <c r="J7331" s="26" t="s">
        <v>512</v>
      </c>
      <c r="K7331" s="25" t="s">
        <v>513</v>
      </c>
    </row>
    <row r="7332" spans="1:11" ht="25.5" x14ac:dyDescent="0.25">
      <c r="A7332" s="22">
        <v>2026</v>
      </c>
      <c r="B7332" s="28" t="s">
        <v>249</v>
      </c>
      <c r="C7332" s="28" t="s">
        <v>97</v>
      </c>
      <c r="D7332" s="28" t="s">
        <v>1721</v>
      </c>
      <c r="E7332" s="29" t="s">
        <v>411</v>
      </c>
      <c r="F7332" s="29" t="s">
        <v>353</v>
      </c>
      <c r="G7332" s="25" t="s">
        <v>8965</v>
      </c>
      <c r="H7332" s="26">
        <v>-1.0934999999999999</v>
      </c>
      <c r="I7332" s="26"/>
      <c r="J7332" s="26" t="s">
        <v>512</v>
      </c>
      <c r="K7332" s="25" t="s">
        <v>513</v>
      </c>
    </row>
    <row r="7333" spans="1:11" ht="25.5" x14ac:dyDescent="0.25">
      <c r="A7333" s="22">
        <v>2026</v>
      </c>
      <c r="B7333" s="28" t="s">
        <v>249</v>
      </c>
      <c r="C7333" s="28" t="s">
        <v>97</v>
      </c>
      <c r="D7333" s="28" t="s">
        <v>1722</v>
      </c>
      <c r="E7333" s="29" t="s">
        <v>640</v>
      </c>
      <c r="F7333" s="29" t="s">
        <v>282</v>
      </c>
      <c r="G7333" s="25" t="s">
        <v>8966</v>
      </c>
      <c r="H7333" s="26">
        <v>-1.3369266600000001E-2</v>
      </c>
      <c r="I7333" s="26"/>
      <c r="J7333" s="26" t="s">
        <v>521</v>
      </c>
      <c r="K7333" s="25" t="s">
        <v>513</v>
      </c>
    </row>
    <row r="7334" spans="1:11" ht="25.5" x14ac:dyDescent="0.25">
      <c r="A7334" s="22">
        <v>2026</v>
      </c>
      <c r="B7334" s="28" t="s">
        <v>249</v>
      </c>
      <c r="C7334" s="28" t="s">
        <v>97</v>
      </c>
      <c r="D7334" s="28" t="s">
        <v>1722</v>
      </c>
      <c r="E7334" s="29" t="s">
        <v>640</v>
      </c>
      <c r="F7334" s="29" t="s">
        <v>282</v>
      </c>
      <c r="G7334" s="25" t="s">
        <v>8967</v>
      </c>
      <c r="H7334" s="26">
        <v>-9.4932819999999987E-3</v>
      </c>
      <c r="I7334" s="26"/>
      <c r="J7334" s="26" t="s">
        <v>521</v>
      </c>
      <c r="K7334" s="25" t="s">
        <v>513</v>
      </c>
    </row>
    <row r="7335" spans="1:11" ht="25.5" x14ac:dyDescent="0.25">
      <c r="A7335" s="22">
        <v>2026</v>
      </c>
      <c r="B7335" s="28" t="s">
        <v>249</v>
      </c>
      <c r="C7335" s="28" t="s">
        <v>97</v>
      </c>
      <c r="D7335" s="28" t="s">
        <v>1722</v>
      </c>
      <c r="E7335" s="29" t="s">
        <v>640</v>
      </c>
      <c r="F7335" s="29" t="s">
        <v>282</v>
      </c>
      <c r="G7335" s="25" t="s">
        <v>8968</v>
      </c>
      <c r="H7335" s="26">
        <v>-8.6083488000000003E-3</v>
      </c>
      <c r="I7335" s="26"/>
      <c r="J7335" s="26" t="s">
        <v>521</v>
      </c>
      <c r="K7335" s="25" t="s">
        <v>513</v>
      </c>
    </row>
    <row r="7336" spans="1:11" ht="25.5" x14ac:dyDescent="0.25">
      <c r="A7336" s="22">
        <v>2026</v>
      </c>
      <c r="B7336" s="28" t="s">
        <v>249</v>
      </c>
      <c r="C7336" s="28" t="s">
        <v>97</v>
      </c>
      <c r="D7336" s="28" t="s">
        <v>1722</v>
      </c>
      <c r="E7336" s="29" t="s">
        <v>640</v>
      </c>
      <c r="F7336" s="29" t="s">
        <v>282</v>
      </c>
      <c r="G7336" s="25" t="s">
        <v>8969</v>
      </c>
      <c r="H7336" s="26">
        <v>-6.3085084999999997E-3</v>
      </c>
      <c r="I7336" s="26"/>
      <c r="J7336" s="26" t="s">
        <v>521</v>
      </c>
      <c r="K7336" s="25" t="s">
        <v>513</v>
      </c>
    </row>
    <row r="7337" spans="1:11" ht="25.5" x14ac:dyDescent="0.25">
      <c r="A7337" s="22">
        <v>2026</v>
      </c>
      <c r="B7337" s="28" t="s">
        <v>249</v>
      </c>
      <c r="C7337" s="28" t="s">
        <v>97</v>
      </c>
      <c r="D7337" s="28" t="s">
        <v>1722</v>
      </c>
      <c r="E7337" s="29" t="s">
        <v>640</v>
      </c>
      <c r="F7337" s="29" t="s">
        <v>282</v>
      </c>
      <c r="G7337" s="25" t="s">
        <v>8970</v>
      </c>
      <c r="H7337" s="26">
        <v>-5.1228749999999998E-3</v>
      </c>
      <c r="I7337" s="26"/>
      <c r="J7337" s="26" t="s">
        <v>521</v>
      </c>
      <c r="K7337" s="25" t="s">
        <v>513</v>
      </c>
    </row>
    <row r="7338" spans="1:11" ht="25.5" x14ac:dyDescent="0.25">
      <c r="A7338" s="22">
        <v>2026</v>
      </c>
      <c r="B7338" s="28" t="s">
        <v>249</v>
      </c>
      <c r="C7338" s="28" t="s">
        <v>97</v>
      </c>
      <c r="D7338" s="28" t="s">
        <v>1722</v>
      </c>
      <c r="E7338" s="29" t="s">
        <v>640</v>
      </c>
      <c r="F7338" s="29" t="s">
        <v>282</v>
      </c>
      <c r="G7338" s="25" t="s">
        <v>8971</v>
      </c>
      <c r="H7338" s="26">
        <v>-1.8053459599999998E-2</v>
      </c>
      <c r="I7338" s="26"/>
      <c r="J7338" s="26" t="s">
        <v>521</v>
      </c>
      <c r="K7338" s="25" t="s">
        <v>513</v>
      </c>
    </row>
    <row r="7339" spans="1:11" ht="25.5" x14ac:dyDescent="0.25">
      <c r="A7339" s="22">
        <v>2026</v>
      </c>
      <c r="B7339" s="28" t="s">
        <v>249</v>
      </c>
      <c r="C7339" s="28" t="s">
        <v>97</v>
      </c>
      <c r="D7339" s="28" t="s">
        <v>1722</v>
      </c>
      <c r="E7339" s="29" t="s">
        <v>640</v>
      </c>
      <c r="F7339" s="29" t="s">
        <v>282</v>
      </c>
      <c r="G7339" s="25" t="s">
        <v>8972</v>
      </c>
      <c r="H7339" s="26">
        <v>-4.7923950000000005E-3</v>
      </c>
      <c r="I7339" s="26"/>
      <c r="J7339" s="26" t="s">
        <v>521</v>
      </c>
      <c r="K7339" s="25" t="s">
        <v>513</v>
      </c>
    </row>
    <row r="7340" spans="1:11" ht="25.5" x14ac:dyDescent="0.25">
      <c r="A7340" s="22">
        <v>2026</v>
      </c>
      <c r="B7340" s="28" t="s">
        <v>249</v>
      </c>
      <c r="C7340" s="28" t="s">
        <v>97</v>
      </c>
      <c r="D7340" s="28" t="s">
        <v>1722</v>
      </c>
      <c r="E7340" s="29" t="s">
        <v>640</v>
      </c>
      <c r="F7340" s="29" t="s">
        <v>282</v>
      </c>
      <c r="G7340" s="25" t="s">
        <v>8973</v>
      </c>
      <c r="H7340" s="26">
        <v>-1.5346133E-2</v>
      </c>
      <c r="I7340" s="26"/>
      <c r="J7340" s="26" t="s">
        <v>521</v>
      </c>
      <c r="K7340" s="25" t="s">
        <v>513</v>
      </c>
    </row>
    <row r="7341" spans="1:11" ht="25.5" x14ac:dyDescent="0.25">
      <c r="A7341" s="22">
        <v>2026</v>
      </c>
      <c r="B7341" s="28" t="s">
        <v>249</v>
      </c>
      <c r="C7341" s="28" t="s">
        <v>97</v>
      </c>
      <c r="D7341" s="28" t="s">
        <v>1722</v>
      </c>
      <c r="E7341" s="29" t="s">
        <v>640</v>
      </c>
      <c r="F7341" s="29" t="s">
        <v>282</v>
      </c>
      <c r="G7341" s="25" t="s">
        <v>8974</v>
      </c>
      <c r="H7341" s="26">
        <v>-1.0740242399999999E-2</v>
      </c>
      <c r="I7341" s="26"/>
      <c r="J7341" s="26" t="s">
        <v>521</v>
      </c>
      <c r="K7341" s="25" t="s">
        <v>513</v>
      </c>
    </row>
    <row r="7342" spans="1:11" ht="25.5" x14ac:dyDescent="0.25">
      <c r="A7342" s="22">
        <v>2026</v>
      </c>
      <c r="B7342" s="28" t="s">
        <v>249</v>
      </c>
      <c r="C7342" s="28" t="s">
        <v>97</v>
      </c>
      <c r="D7342" s="28" t="s">
        <v>1722</v>
      </c>
      <c r="E7342" s="29" t="s">
        <v>640</v>
      </c>
      <c r="F7342" s="29" t="s">
        <v>282</v>
      </c>
      <c r="G7342" s="25" t="s">
        <v>8975</v>
      </c>
      <c r="H7342" s="26">
        <v>-1.0819499999999999E-2</v>
      </c>
      <c r="I7342" s="26"/>
      <c r="J7342" s="26" t="s">
        <v>521</v>
      </c>
      <c r="K7342" s="25" t="s">
        <v>513</v>
      </c>
    </row>
    <row r="7343" spans="1:11" ht="25.5" x14ac:dyDescent="0.25">
      <c r="A7343" s="22">
        <v>2026</v>
      </c>
      <c r="B7343" s="28" t="s">
        <v>249</v>
      </c>
      <c r="C7343" s="28" t="s">
        <v>97</v>
      </c>
      <c r="D7343" s="28" t="s">
        <v>1722</v>
      </c>
      <c r="E7343" s="29" t="s">
        <v>640</v>
      </c>
      <c r="F7343" s="29" t="s">
        <v>282</v>
      </c>
      <c r="G7343" s="25" t="s">
        <v>8976</v>
      </c>
      <c r="H7343" s="26">
        <v>-8.3748593999999985E-3</v>
      </c>
      <c r="I7343" s="26"/>
      <c r="J7343" s="26" t="s">
        <v>521</v>
      </c>
      <c r="K7343" s="25" t="s">
        <v>513</v>
      </c>
    </row>
    <row r="7344" spans="1:11" ht="25.5" x14ac:dyDescent="0.25">
      <c r="A7344" s="22">
        <v>2026</v>
      </c>
      <c r="B7344" s="28" t="s">
        <v>249</v>
      </c>
      <c r="C7344" s="28" t="s">
        <v>97</v>
      </c>
      <c r="D7344" s="28" t="s">
        <v>1722</v>
      </c>
      <c r="E7344" s="29" t="s">
        <v>640</v>
      </c>
      <c r="F7344" s="29" t="s">
        <v>282</v>
      </c>
      <c r="G7344" s="25" t="s">
        <v>8977</v>
      </c>
      <c r="H7344" s="26">
        <v>-1.067968E-2</v>
      </c>
      <c r="I7344" s="26"/>
      <c r="J7344" s="26" t="s">
        <v>521</v>
      </c>
      <c r="K7344" s="25" t="s">
        <v>513</v>
      </c>
    </row>
    <row r="7345" spans="1:11" ht="25.5" x14ac:dyDescent="0.25">
      <c r="A7345" s="22">
        <v>2026</v>
      </c>
      <c r="B7345" s="28" t="s">
        <v>249</v>
      </c>
      <c r="C7345" s="28" t="s">
        <v>97</v>
      </c>
      <c r="D7345" s="28" t="s">
        <v>1722</v>
      </c>
      <c r="E7345" s="29" t="s">
        <v>640</v>
      </c>
      <c r="F7345" s="29" t="s">
        <v>282</v>
      </c>
      <c r="G7345" s="25" t="s">
        <v>8978</v>
      </c>
      <c r="H7345" s="26">
        <v>-6.8122846999999999E-3</v>
      </c>
      <c r="I7345" s="26"/>
      <c r="J7345" s="26" t="s">
        <v>521</v>
      </c>
      <c r="K7345" s="25" t="s">
        <v>513</v>
      </c>
    </row>
    <row r="7346" spans="1:11" ht="25.5" x14ac:dyDescent="0.25">
      <c r="A7346" s="22">
        <v>2026</v>
      </c>
      <c r="B7346" s="28" t="s">
        <v>249</v>
      </c>
      <c r="C7346" s="28" t="s">
        <v>97</v>
      </c>
      <c r="D7346" s="28" t="s">
        <v>1722</v>
      </c>
      <c r="E7346" s="29" t="s">
        <v>640</v>
      </c>
      <c r="F7346" s="29" t="s">
        <v>282</v>
      </c>
      <c r="G7346" s="25" t="s">
        <v>8979</v>
      </c>
      <c r="H7346" s="26">
        <v>-9.8427749999999998E-3</v>
      </c>
      <c r="I7346" s="26"/>
      <c r="J7346" s="26" t="s">
        <v>521</v>
      </c>
      <c r="K7346" s="25" t="s">
        <v>513</v>
      </c>
    </row>
    <row r="7347" spans="1:11" ht="25.5" x14ac:dyDescent="0.25">
      <c r="A7347" s="22">
        <v>2026</v>
      </c>
      <c r="B7347" s="28" t="s">
        <v>249</v>
      </c>
      <c r="C7347" s="28" t="s">
        <v>97</v>
      </c>
      <c r="D7347" s="28" t="s">
        <v>1722</v>
      </c>
      <c r="E7347" s="29" t="s">
        <v>640</v>
      </c>
      <c r="F7347" s="29" t="s">
        <v>282</v>
      </c>
      <c r="G7347" s="25" t="s">
        <v>8980</v>
      </c>
      <c r="H7347" s="26">
        <v>-1.0748953600000001E-2</v>
      </c>
      <c r="I7347" s="26"/>
      <c r="J7347" s="26" t="s">
        <v>521</v>
      </c>
      <c r="K7347" s="25" t="s">
        <v>513</v>
      </c>
    </row>
    <row r="7348" spans="1:11" ht="25.5" x14ac:dyDescent="0.25">
      <c r="A7348" s="22">
        <v>2026</v>
      </c>
      <c r="B7348" s="28" t="s">
        <v>249</v>
      </c>
      <c r="C7348" s="28" t="s">
        <v>97</v>
      </c>
      <c r="D7348" s="28" t="s">
        <v>1722</v>
      </c>
      <c r="E7348" s="29" t="s">
        <v>640</v>
      </c>
      <c r="F7348" s="29" t="s">
        <v>282</v>
      </c>
      <c r="G7348" s="25" t="s">
        <v>8981</v>
      </c>
      <c r="H7348" s="26">
        <v>-1.0737178E-2</v>
      </c>
      <c r="I7348" s="26"/>
      <c r="J7348" s="26" t="s">
        <v>521</v>
      </c>
      <c r="K7348" s="25" t="s">
        <v>513</v>
      </c>
    </row>
    <row r="7349" spans="1:11" ht="25.5" x14ac:dyDescent="0.25">
      <c r="A7349" s="22">
        <v>2026</v>
      </c>
      <c r="B7349" s="28" t="s">
        <v>249</v>
      </c>
      <c r="C7349" s="28" t="s">
        <v>97</v>
      </c>
      <c r="D7349" s="28" t="s">
        <v>1722</v>
      </c>
      <c r="E7349" s="29" t="s">
        <v>640</v>
      </c>
      <c r="F7349" s="29" t="s">
        <v>282</v>
      </c>
      <c r="G7349" s="25" t="s">
        <v>8982</v>
      </c>
      <c r="H7349" s="26">
        <v>-1.04076242E-2</v>
      </c>
      <c r="I7349" s="26"/>
      <c r="J7349" s="26" t="s">
        <v>521</v>
      </c>
      <c r="K7349" s="25" t="s">
        <v>513</v>
      </c>
    </row>
    <row r="7350" spans="1:11" ht="25.5" x14ac:dyDescent="0.25">
      <c r="A7350" s="22">
        <v>2026</v>
      </c>
      <c r="B7350" s="28" t="s">
        <v>249</v>
      </c>
      <c r="C7350" s="28" t="s">
        <v>97</v>
      </c>
      <c r="D7350" s="28" t="s">
        <v>1722</v>
      </c>
      <c r="E7350" s="29" t="s">
        <v>640</v>
      </c>
      <c r="F7350" s="29" t="s">
        <v>282</v>
      </c>
      <c r="G7350" s="25" t="s">
        <v>8983</v>
      </c>
      <c r="H7350" s="26">
        <v>-7.5631499999999994E-3</v>
      </c>
      <c r="I7350" s="26"/>
      <c r="J7350" s="26" t="s">
        <v>521</v>
      </c>
      <c r="K7350" s="25" t="s">
        <v>513</v>
      </c>
    </row>
    <row r="7351" spans="1:11" ht="25.5" x14ac:dyDescent="0.25">
      <c r="A7351" s="22">
        <v>2026</v>
      </c>
      <c r="B7351" s="28" t="s">
        <v>249</v>
      </c>
      <c r="C7351" s="28" t="s">
        <v>97</v>
      </c>
      <c r="D7351" s="28" t="s">
        <v>1722</v>
      </c>
      <c r="E7351" s="29" t="s">
        <v>640</v>
      </c>
      <c r="F7351" s="29" t="s">
        <v>282</v>
      </c>
      <c r="G7351" s="25" t="s">
        <v>8984</v>
      </c>
      <c r="H7351" s="26">
        <v>-1.03780764E-2</v>
      </c>
      <c r="I7351" s="26"/>
      <c r="J7351" s="26" t="s">
        <v>521</v>
      </c>
      <c r="K7351" s="25" t="s">
        <v>513</v>
      </c>
    </row>
    <row r="7352" spans="1:11" ht="25.5" x14ac:dyDescent="0.25">
      <c r="A7352" s="22">
        <v>2026</v>
      </c>
      <c r="B7352" s="28" t="s">
        <v>249</v>
      </c>
      <c r="C7352" s="28" t="s">
        <v>97</v>
      </c>
      <c r="D7352" s="28" t="s">
        <v>1722</v>
      </c>
      <c r="E7352" s="29" t="s">
        <v>640</v>
      </c>
      <c r="F7352" s="29" t="s">
        <v>282</v>
      </c>
      <c r="G7352" s="25" t="s">
        <v>8985</v>
      </c>
      <c r="H7352" s="26">
        <v>-1.03162176E-2</v>
      </c>
      <c r="I7352" s="26"/>
      <c r="J7352" s="26" t="s">
        <v>521</v>
      </c>
      <c r="K7352" s="25" t="s">
        <v>513</v>
      </c>
    </row>
    <row r="7353" spans="1:11" ht="25.5" x14ac:dyDescent="0.25">
      <c r="A7353" s="22">
        <v>2026</v>
      </c>
      <c r="B7353" s="28" t="s">
        <v>249</v>
      </c>
      <c r="C7353" s="28" t="s">
        <v>97</v>
      </c>
      <c r="D7353" s="28" t="s">
        <v>1722</v>
      </c>
      <c r="E7353" s="29" t="s">
        <v>640</v>
      </c>
      <c r="F7353" s="29" t="s">
        <v>282</v>
      </c>
      <c r="G7353" s="25" t="s">
        <v>8986</v>
      </c>
      <c r="H7353" s="26">
        <v>-8.0294462999999996E-3</v>
      </c>
      <c r="I7353" s="26"/>
      <c r="J7353" s="26" t="s">
        <v>521</v>
      </c>
      <c r="K7353" s="25" t="s">
        <v>513</v>
      </c>
    </row>
    <row r="7354" spans="1:11" ht="25.5" x14ac:dyDescent="0.25">
      <c r="A7354" s="22">
        <v>2026</v>
      </c>
      <c r="B7354" s="28" t="s">
        <v>249</v>
      </c>
      <c r="C7354" s="28" t="s">
        <v>97</v>
      </c>
      <c r="D7354" s="28" t="s">
        <v>1722</v>
      </c>
      <c r="E7354" s="29" t="s">
        <v>640</v>
      </c>
      <c r="F7354" s="29" t="s">
        <v>282</v>
      </c>
      <c r="G7354" s="25" t="s">
        <v>8987</v>
      </c>
      <c r="H7354" s="26">
        <v>-9.2301020000000004E-3</v>
      </c>
      <c r="I7354" s="26"/>
      <c r="J7354" s="26" t="s">
        <v>521</v>
      </c>
      <c r="K7354" s="25" t="s">
        <v>513</v>
      </c>
    </row>
    <row r="7355" spans="1:11" ht="25.5" x14ac:dyDescent="0.25">
      <c r="A7355" s="22">
        <v>2026</v>
      </c>
      <c r="B7355" s="28" t="s">
        <v>249</v>
      </c>
      <c r="C7355" s="28" t="s">
        <v>97</v>
      </c>
      <c r="D7355" s="28" t="s">
        <v>1723</v>
      </c>
      <c r="E7355" s="29" t="s">
        <v>437</v>
      </c>
      <c r="F7355" s="29" t="s">
        <v>374</v>
      </c>
      <c r="G7355" s="25" t="s">
        <v>8988</v>
      </c>
      <c r="H7355" s="26">
        <v>-1.8654299999999999</v>
      </c>
      <c r="I7355" s="26"/>
      <c r="J7355" s="26" t="s">
        <v>521</v>
      </c>
      <c r="K7355" s="25" t="s">
        <v>513</v>
      </c>
    </row>
    <row r="7356" spans="1:11" ht="25.5" x14ac:dyDescent="0.25">
      <c r="A7356" s="22">
        <v>2026</v>
      </c>
      <c r="B7356" s="28" t="s">
        <v>249</v>
      </c>
      <c r="C7356" s="28" t="s">
        <v>97</v>
      </c>
      <c r="D7356" s="28" t="s">
        <v>1723</v>
      </c>
      <c r="E7356" s="29" t="s">
        <v>437</v>
      </c>
      <c r="F7356" s="29" t="s">
        <v>374</v>
      </c>
      <c r="G7356" s="25" t="s">
        <v>8989</v>
      </c>
      <c r="H7356" s="26">
        <v>-1.9603200000000001</v>
      </c>
      <c r="I7356" s="26"/>
      <c r="J7356" s="26" t="s">
        <v>521</v>
      </c>
      <c r="K7356" s="25" t="s">
        <v>513</v>
      </c>
    </row>
    <row r="7357" spans="1:11" ht="25.5" x14ac:dyDescent="0.25">
      <c r="A7357" s="22">
        <v>2026</v>
      </c>
      <c r="B7357" s="28" t="s">
        <v>249</v>
      </c>
      <c r="C7357" s="28" t="s">
        <v>97</v>
      </c>
      <c r="D7357" s="28" t="s">
        <v>1723</v>
      </c>
      <c r="E7357" s="29" t="s">
        <v>437</v>
      </c>
      <c r="F7357" s="29" t="s">
        <v>374</v>
      </c>
      <c r="G7357" s="25" t="s">
        <v>8990</v>
      </c>
      <c r="H7357" s="26">
        <v>-1.411118307</v>
      </c>
      <c r="I7357" s="26"/>
      <c r="J7357" s="26" t="s">
        <v>521</v>
      </c>
      <c r="K7357" s="25" t="s">
        <v>513</v>
      </c>
    </row>
    <row r="7358" spans="1:11" ht="25.5" x14ac:dyDescent="0.25">
      <c r="A7358" s="22">
        <v>2026</v>
      </c>
      <c r="B7358" s="28" t="s">
        <v>249</v>
      </c>
      <c r="C7358" s="28" t="s">
        <v>97</v>
      </c>
      <c r="D7358" s="28" t="s">
        <v>1723</v>
      </c>
      <c r="E7358" s="29" t="s">
        <v>437</v>
      </c>
      <c r="F7358" s="29" t="s">
        <v>374</v>
      </c>
      <c r="G7358" s="25" t="s">
        <v>8991</v>
      </c>
      <c r="H7358" s="26">
        <v>-2.9901599999999999</v>
      </c>
      <c r="I7358" s="26"/>
      <c r="J7358" s="26" t="s">
        <v>521</v>
      </c>
      <c r="K7358" s="25" t="s">
        <v>513</v>
      </c>
    </row>
    <row r="7359" spans="1:11" ht="25.5" x14ac:dyDescent="0.25">
      <c r="A7359" s="22">
        <v>2026</v>
      </c>
      <c r="B7359" s="28" t="s">
        <v>249</v>
      </c>
      <c r="C7359" s="28" t="s">
        <v>97</v>
      </c>
      <c r="D7359" s="28" t="s">
        <v>1723</v>
      </c>
      <c r="E7359" s="29" t="s">
        <v>437</v>
      </c>
      <c r="F7359" s="29" t="s">
        <v>374</v>
      </c>
      <c r="G7359" s="25" t="s">
        <v>8992</v>
      </c>
      <c r="H7359" s="26">
        <v>-2.9263499999999998</v>
      </c>
      <c r="I7359" s="26"/>
      <c r="J7359" s="26" t="s">
        <v>521</v>
      </c>
      <c r="K7359" s="25" t="s">
        <v>513</v>
      </c>
    </row>
    <row r="7360" spans="1:11" ht="25.5" x14ac:dyDescent="0.25">
      <c r="A7360" s="22">
        <v>2026</v>
      </c>
      <c r="B7360" s="28" t="s">
        <v>249</v>
      </c>
      <c r="C7360" s="28" t="s">
        <v>97</v>
      </c>
      <c r="D7360" s="28" t="s">
        <v>1723</v>
      </c>
      <c r="E7360" s="29" t="s">
        <v>437</v>
      </c>
      <c r="F7360" s="29" t="s">
        <v>374</v>
      </c>
      <c r="G7360" s="25" t="s">
        <v>8993</v>
      </c>
      <c r="H7360" s="26">
        <v>-1.9987569999999999</v>
      </c>
      <c r="I7360" s="26"/>
      <c r="J7360" s="26" t="s">
        <v>521</v>
      </c>
      <c r="K7360" s="25" t="s">
        <v>513</v>
      </c>
    </row>
    <row r="7361" spans="1:11" ht="25.5" x14ac:dyDescent="0.25">
      <c r="A7361" s="22">
        <v>2026</v>
      </c>
      <c r="B7361" s="28" t="s">
        <v>249</v>
      </c>
      <c r="C7361" s="28" t="s">
        <v>97</v>
      </c>
      <c r="D7361" s="28" t="s">
        <v>1723</v>
      </c>
      <c r="E7361" s="29" t="s">
        <v>437</v>
      </c>
      <c r="F7361" s="29" t="s">
        <v>374</v>
      </c>
      <c r="G7361" s="25" t="s">
        <v>8994</v>
      </c>
      <c r="H7361" s="26">
        <v>-2.9827349999999999</v>
      </c>
      <c r="I7361" s="26"/>
      <c r="J7361" s="26" t="s">
        <v>521</v>
      </c>
      <c r="K7361" s="25" t="s">
        <v>513</v>
      </c>
    </row>
    <row r="7362" spans="1:11" ht="25.5" x14ac:dyDescent="0.25">
      <c r="A7362" s="22">
        <v>2026</v>
      </c>
      <c r="B7362" s="28" t="s">
        <v>249</v>
      </c>
      <c r="C7362" s="28" t="s">
        <v>97</v>
      </c>
      <c r="D7362" s="28" t="s">
        <v>1723</v>
      </c>
      <c r="E7362" s="29" t="s">
        <v>437</v>
      </c>
      <c r="F7362" s="29" t="s">
        <v>374</v>
      </c>
      <c r="G7362" s="25" t="s">
        <v>8995</v>
      </c>
      <c r="H7362" s="26">
        <v>-0.24848999999999999</v>
      </c>
      <c r="I7362" s="26"/>
      <c r="J7362" s="26" t="s">
        <v>521</v>
      </c>
      <c r="K7362" s="25" t="s">
        <v>513</v>
      </c>
    </row>
    <row r="7363" spans="1:11" ht="25.5" x14ac:dyDescent="0.25">
      <c r="A7363" s="22">
        <v>2026</v>
      </c>
      <c r="B7363" s="28" t="s">
        <v>249</v>
      </c>
      <c r="C7363" s="28" t="s">
        <v>97</v>
      </c>
      <c r="D7363" s="28" t="s">
        <v>1723</v>
      </c>
      <c r="E7363" s="29" t="s">
        <v>437</v>
      </c>
      <c r="F7363" s="29" t="s">
        <v>374</v>
      </c>
      <c r="G7363" s="25" t="s">
        <v>8996</v>
      </c>
      <c r="H7363" s="26">
        <v>-0.15426597419999999</v>
      </c>
      <c r="I7363" s="26"/>
      <c r="J7363" s="26" t="s">
        <v>521</v>
      </c>
      <c r="K7363" s="25" t="s">
        <v>513</v>
      </c>
    </row>
    <row r="7364" spans="1:11" ht="25.5" x14ac:dyDescent="0.25">
      <c r="A7364" s="22">
        <v>2026</v>
      </c>
      <c r="B7364" s="28" t="s">
        <v>249</v>
      </c>
      <c r="C7364" s="28" t="s">
        <v>97</v>
      </c>
      <c r="D7364" s="28" t="s">
        <v>1723</v>
      </c>
      <c r="E7364" s="29" t="s">
        <v>437</v>
      </c>
      <c r="F7364" s="29" t="s">
        <v>374</v>
      </c>
      <c r="G7364" s="25" t="s">
        <v>8997</v>
      </c>
      <c r="H7364" s="26">
        <v>-0.20774999999999999</v>
      </c>
      <c r="I7364" s="26"/>
      <c r="J7364" s="26" t="s">
        <v>521</v>
      </c>
      <c r="K7364" s="25" t="s">
        <v>513</v>
      </c>
    </row>
    <row r="7365" spans="1:11" ht="25.5" x14ac:dyDescent="0.25">
      <c r="A7365" s="22">
        <v>2026</v>
      </c>
      <c r="B7365" s="28" t="s">
        <v>249</v>
      </c>
      <c r="C7365" s="28" t="s">
        <v>97</v>
      </c>
      <c r="D7365" s="28" t="s">
        <v>1723</v>
      </c>
      <c r="E7365" s="29" t="s">
        <v>437</v>
      </c>
      <c r="F7365" s="29" t="s">
        <v>374</v>
      </c>
      <c r="G7365" s="25" t="s">
        <v>8998</v>
      </c>
      <c r="H7365" s="26">
        <v>-0.51568749999999997</v>
      </c>
      <c r="I7365" s="26"/>
      <c r="J7365" s="26" t="s">
        <v>521</v>
      </c>
      <c r="K7365" s="25" t="s">
        <v>513</v>
      </c>
    </row>
    <row r="7366" spans="1:11" ht="25.5" x14ac:dyDescent="0.25">
      <c r="A7366" s="22">
        <v>2026</v>
      </c>
      <c r="B7366" s="28" t="s">
        <v>249</v>
      </c>
      <c r="C7366" s="28" t="s">
        <v>97</v>
      </c>
      <c r="D7366" s="28" t="s">
        <v>1723</v>
      </c>
      <c r="E7366" s="29" t="s">
        <v>437</v>
      </c>
      <c r="F7366" s="29" t="s">
        <v>374</v>
      </c>
      <c r="G7366" s="25" t="s">
        <v>8999</v>
      </c>
      <c r="H7366" s="26">
        <v>-0.16489999999999999</v>
      </c>
      <c r="I7366" s="26"/>
      <c r="J7366" s="26" t="s">
        <v>521</v>
      </c>
      <c r="K7366" s="25" t="s">
        <v>513</v>
      </c>
    </row>
    <row r="7367" spans="1:11" ht="25.5" x14ac:dyDescent="0.25">
      <c r="A7367" s="22">
        <v>2026</v>
      </c>
      <c r="B7367" s="28" t="s">
        <v>249</v>
      </c>
      <c r="C7367" s="28" t="s">
        <v>97</v>
      </c>
      <c r="D7367" s="28" t="s">
        <v>1723</v>
      </c>
      <c r="E7367" s="29" t="s">
        <v>437</v>
      </c>
      <c r="F7367" s="29" t="s">
        <v>374</v>
      </c>
      <c r="G7367" s="25" t="s">
        <v>9000</v>
      </c>
      <c r="H7367" s="26">
        <v>-0.1668</v>
      </c>
      <c r="I7367" s="26"/>
      <c r="J7367" s="26" t="s">
        <v>521</v>
      </c>
      <c r="K7367" s="25" t="s">
        <v>513</v>
      </c>
    </row>
    <row r="7368" spans="1:11" ht="25.5" x14ac:dyDescent="0.25">
      <c r="A7368" s="22">
        <v>2026</v>
      </c>
      <c r="B7368" s="28" t="s">
        <v>249</v>
      </c>
      <c r="C7368" s="28" t="s">
        <v>97</v>
      </c>
      <c r="D7368" s="28" t="s">
        <v>1340</v>
      </c>
      <c r="E7368" s="29" t="s">
        <v>491</v>
      </c>
      <c r="F7368" s="29" t="s">
        <v>378</v>
      </c>
      <c r="G7368" s="25" t="s">
        <v>9001</v>
      </c>
      <c r="H7368" s="26">
        <v>-0.12442</v>
      </c>
      <c r="I7368" s="26"/>
      <c r="J7368" s="26" t="s">
        <v>521</v>
      </c>
      <c r="K7368" s="25" t="s">
        <v>513</v>
      </c>
    </row>
    <row r="7369" spans="1:11" ht="25.5" x14ac:dyDescent="0.25">
      <c r="A7369" s="22">
        <v>2026</v>
      </c>
      <c r="B7369" s="28" t="s">
        <v>249</v>
      </c>
      <c r="C7369" s="28" t="s">
        <v>97</v>
      </c>
      <c r="D7369" s="28" t="s">
        <v>1340</v>
      </c>
      <c r="E7369" s="29" t="s">
        <v>491</v>
      </c>
      <c r="F7369" s="29" t="s">
        <v>378</v>
      </c>
      <c r="G7369" s="25" t="s">
        <v>9002</v>
      </c>
      <c r="H7369" s="26">
        <v>-0.12334000000000001</v>
      </c>
      <c r="I7369" s="26"/>
      <c r="J7369" s="26" t="s">
        <v>521</v>
      </c>
      <c r="K7369" s="25" t="s">
        <v>513</v>
      </c>
    </row>
    <row r="7370" spans="1:11" ht="25.5" x14ac:dyDescent="0.25">
      <c r="A7370" s="22">
        <v>2026</v>
      </c>
      <c r="B7370" s="28" t="s">
        <v>249</v>
      </c>
      <c r="C7370" s="28" t="s">
        <v>97</v>
      </c>
      <c r="D7370" s="28" t="s">
        <v>269</v>
      </c>
      <c r="E7370" s="29" t="s">
        <v>491</v>
      </c>
      <c r="F7370" s="29" t="s">
        <v>378</v>
      </c>
      <c r="G7370" s="25" t="s">
        <v>9003</v>
      </c>
      <c r="H7370" s="26">
        <v>-9.1281330000000008E-2</v>
      </c>
      <c r="I7370" s="26"/>
      <c r="J7370" s="26" t="s">
        <v>514</v>
      </c>
      <c r="K7370" s="25" t="s">
        <v>1768</v>
      </c>
    </row>
    <row r="7371" spans="1:11" ht="25.5" x14ac:dyDescent="0.25">
      <c r="A7371" s="22">
        <v>2026</v>
      </c>
      <c r="B7371" s="28" t="s">
        <v>249</v>
      </c>
      <c r="C7371" s="28" t="s">
        <v>97</v>
      </c>
      <c r="D7371" s="28" t="s">
        <v>269</v>
      </c>
      <c r="E7371" s="29" t="s">
        <v>491</v>
      </c>
      <c r="F7371" s="29" t="s">
        <v>378</v>
      </c>
      <c r="G7371" s="25" t="s">
        <v>9004</v>
      </c>
      <c r="H7371" s="26">
        <v>-6.3190747199999994E-2</v>
      </c>
      <c r="I7371" s="26"/>
      <c r="J7371" s="26" t="s">
        <v>514</v>
      </c>
      <c r="K7371" s="25" t="s">
        <v>1768</v>
      </c>
    </row>
    <row r="7372" spans="1:11" ht="25.5" x14ac:dyDescent="0.25">
      <c r="A7372" s="22">
        <v>2026</v>
      </c>
      <c r="B7372" s="28" t="s">
        <v>249</v>
      </c>
      <c r="C7372" s="28" t="s">
        <v>97</v>
      </c>
      <c r="D7372" s="28" t="s">
        <v>1724</v>
      </c>
      <c r="E7372" s="29" t="s">
        <v>1769</v>
      </c>
      <c r="F7372" s="29" t="s">
        <v>282</v>
      </c>
      <c r="G7372" s="25" t="s">
        <v>9005</v>
      </c>
      <c r="H7372" s="26">
        <v>-0.18608425919999999</v>
      </c>
      <c r="I7372" s="26"/>
      <c r="J7372" s="26" t="s">
        <v>1770</v>
      </c>
      <c r="K7372" s="25" t="s">
        <v>1771</v>
      </c>
    </row>
    <row r="7373" spans="1:11" ht="25.5" x14ac:dyDescent="0.25">
      <c r="A7373" s="22">
        <v>2026</v>
      </c>
      <c r="B7373" s="28" t="s">
        <v>249</v>
      </c>
      <c r="C7373" s="28" t="s">
        <v>97</v>
      </c>
      <c r="D7373" s="28" t="s">
        <v>1724</v>
      </c>
      <c r="E7373" s="29" t="s">
        <v>1769</v>
      </c>
      <c r="F7373" s="29" t="s">
        <v>282</v>
      </c>
      <c r="G7373" s="25" t="s">
        <v>9006</v>
      </c>
      <c r="H7373" s="26">
        <v>-0.11579487919999999</v>
      </c>
      <c r="I7373" s="26"/>
      <c r="J7373" s="26" t="s">
        <v>1770</v>
      </c>
      <c r="K7373" s="25" t="s">
        <v>1771</v>
      </c>
    </row>
    <row r="7374" spans="1:11" ht="25.5" x14ac:dyDescent="0.25">
      <c r="A7374" s="22">
        <v>2026</v>
      </c>
      <c r="B7374" s="28" t="s">
        <v>249</v>
      </c>
      <c r="C7374" s="28" t="s">
        <v>97</v>
      </c>
      <c r="D7374" s="28" t="s">
        <v>1724</v>
      </c>
      <c r="E7374" s="29" t="s">
        <v>1769</v>
      </c>
      <c r="F7374" s="29" t="s">
        <v>282</v>
      </c>
      <c r="G7374" s="25" t="s">
        <v>9007</v>
      </c>
      <c r="H7374" s="26">
        <v>-0.13559685360000001</v>
      </c>
      <c r="I7374" s="26"/>
      <c r="J7374" s="26" t="s">
        <v>1770</v>
      </c>
      <c r="K7374" s="25" t="s">
        <v>1771</v>
      </c>
    </row>
    <row r="7375" spans="1:11" ht="25.5" x14ac:dyDescent="0.25">
      <c r="A7375" s="22">
        <v>2026</v>
      </c>
      <c r="B7375" s="28" t="s">
        <v>249</v>
      </c>
      <c r="C7375" s="28" t="s">
        <v>97</v>
      </c>
      <c r="D7375" s="28" t="s">
        <v>1724</v>
      </c>
      <c r="E7375" s="29" t="s">
        <v>1769</v>
      </c>
      <c r="F7375" s="29" t="s">
        <v>282</v>
      </c>
      <c r="G7375" s="25" t="s">
        <v>9008</v>
      </c>
      <c r="H7375" s="26">
        <v>-0.1861447017</v>
      </c>
      <c r="I7375" s="26"/>
      <c r="J7375" s="26" t="s">
        <v>1770</v>
      </c>
      <c r="K7375" s="25" t="s">
        <v>1771</v>
      </c>
    </row>
    <row r="7376" spans="1:11" ht="25.5" x14ac:dyDescent="0.25">
      <c r="A7376" s="22">
        <v>2026</v>
      </c>
      <c r="B7376" s="28" t="s">
        <v>249</v>
      </c>
      <c r="C7376" s="28" t="s">
        <v>97</v>
      </c>
      <c r="D7376" s="28" t="s">
        <v>1724</v>
      </c>
      <c r="E7376" s="29" t="s">
        <v>1769</v>
      </c>
      <c r="F7376" s="29" t="s">
        <v>282</v>
      </c>
      <c r="G7376" s="25" t="s">
        <v>9009</v>
      </c>
      <c r="H7376" s="26">
        <v>-0.1505900178</v>
      </c>
      <c r="I7376" s="26"/>
      <c r="J7376" s="26" t="s">
        <v>1770</v>
      </c>
      <c r="K7376" s="25" t="s">
        <v>1771</v>
      </c>
    </row>
    <row r="7377" spans="1:11" ht="25.5" x14ac:dyDescent="0.25">
      <c r="A7377" s="22">
        <v>2026</v>
      </c>
      <c r="B7377" s="28" t="s">
        <v>249</v>
      </c>
      <c r="C7377" s="28" t="s">
        <v>97</v>
      </c>
      <c r="D7377" s="28" t="s">
        <v>1724</v>
      </c>
      <c r="E7377" s="29" t="s">
        <v>1769</v>
      </c>
      <c r="F7377" s="29" t="s">
        <v>282</v>
      </c>
      <c r="G7377" s="25" t="s">
        <v>9010</v>
      </c>
      <c r="H7377" s="26">
        <v>-0.13452521599999998</v>
      </c>
      <c r="I7377" s="26"/>
      <c r="J7377" s="26" t="s">
        <v>1770</v>
      </c>
      <c r="K7377" s="25" t="s">
        <v>1771</v>
      </c>
    </row>
    <row r="7378" spans="1:11" ht="25.5" x14ac:dyDescent="0.25">
      <c r="A7378" s="22">
        <v>2026</v>
      </c>
      <c r="B7378" s="28" t="s">
        <v>249</v>
      </c>
      <c r="C7378" s="28" t="s">
        <v>97</v>
      </c>
      <c r="D7378" s="28" t="s">
        <v>1724</v>
      </c>
      <c r="E7378" s="29" t="s">
        <v>1769</v>
      </c>
      <c r="F7378" s="29" t="s">
        <v>282</v>
      </c>
      <c r="G7378" s="25" t="s">
        <v>9011</v>
      </c>
      <c r="H7378" s="26">
        <v>-0.13072881149999999</v>
      </c>
      <c r="I7378" s="26"/>
      <c r="J7378" s="26" t="s">
        <v>1770</v>
      </c>
      <c r="K7378" s="25" t="s">
        <v>1771</v>
      </c>
    </row>
    <row r="7379" spans="1:11" ht="25.5" x14ac:dyDescent="0.25">
      <c r="A7379" s="22">
        <v>2026</v>
      </c>
      <c r="B7379" s="28" t="s">
        <v>249</v>
      </c>
      <c r="C7379" s="28" t="s">
        <v>97</v>
      </c>
      <c r="D7379" s="28" t="s">
        <v>1724</v>
      </c>
      <c r="E7379" s="29" t="s">
        <v>1769</v>
      </c>
      <c r="F7379" s="29" t="s">
        <v>282</v>
      </c>
      <c r="G7379" s="25" t="s">
        <v>9012</v>
      </c>
      <c r="H7379" s="26">
        <v>-9.4531087E-2</v>
      </c>
      <c r="I7379" s="26"/>
      <c r="J7379" s="26" t="s">
        <v>1770</v>
      </c>
      <c r="K7379" s="25" t="s">
        <v>1771</v>
      </c>
    </row>
    <row r="7380" spans="1:11" ht="25.5" x14ac:dyDescent="0.25">
      <c r="A7380" s="22">
        <v>2026</v>
      </c>
      <c r="B7380" s="28" t="s">
        <v>249</v>
      </c>
      <c r="C7380" s="28" t="s">
        <v>97</v>
      </c>
      <c r="D7380" s="28" t="s">
        <v>1724</v>
      </c>
      <c r="E7380" s="29" t="s">
        <v>1769</v>
      </c>
      <c r="F7380" s="29" t="s">
        <v>282</v>
      </c>
      <c r="G7380" s="25" t="s">
        <v>9013</v>
      </c>
      <c r="H7380" s="26">
        <v>-0.1906015536</v>
      </c>
      <c r="I7380" s="26"/>
      <c r="J7380" s="26" t="s">
        <v>1770</v>
      </c>
      <c r="K7380" s="25" t="s">
        <v>1771</v>
      </c>
    </row>
    <row r="7381" spans="1:11" ht="25.5" x14ac:dyDescent="0.25">
      <c r="A7381" s="22">
        <v>2026</v>
      </c>
      <c r="B7381" s="28" t="s">
        <v>249</v>
      </c>
      <c r="C7381" s="28" t="s">
        <v>97</v>
      </c>
      <c r="D7381" s="28" t="s">
        <v>1724</v>
      </c>
      <c r="E7381" s="29" t="s">
        <v>1769</v>
      </c>
      <c r="F7381" s="29" t="s">
        <v>282</v>
      </c>
      <c r="G7381" s="25" t="s">
        <v>9014</v>
      </c>
      <c r="H7381" s="26">
        <v>-0.206418399</v>
      </c>
      <c r="I7381" s="26"/>
      <c r="J7381" s="26" t="s">
        <v>1770</v>
      </c>
      <c r="K7381" s="25" t="s">
        <v>1771</v>
      </c>
    </row>
    <row r="7382" spans="1:11" ht="25.5" x14ac:dyDescent="0.25">
      <c r="A7382" s="22">
        <v>2026</v>
      </c>
      <c r="B7382" s="28" t="s">
        <v>249</v>
      </c>
      <c r="C7382" s="28" t="s">
        <v>97</v>
      </c>
      <c r="D7382" s="28" t="s">
        <v>1724</v>
      </c>
      <c r="E7382" s="29" t="s">
        <v>1769</v>
      </c>
      <c r="F7382" s="29" t="s">
        <v>282</v>
      </c>
      <c r="G7382" s="25" t="s">
        <v>9015</v>
      </c>
      <c r="H7382" s="26">
        <v>-0.1455294932</v>
      </c>
      <c r="I7382" s="26"/>
      <c r="J7382" s="26" t="s">
        <v>1770</v>
      </c>
      <c r="K7382" s="25" t="s">
        <v>1771</v>
      </c>
    </row>
    <row r="7383" spans="1:11" ht="25.5" x14ac:dyDescent="0.25">
      <c r="A7383" s="22">
        <v>2026</v>
      </c>
      <c r="B7383" s="28" t="s">
        <v>249</v>
      </c>
      <c r="C7383" s="28" t="s">
        <v>97</v>
      </c>
      <c r="D7383" s="28" t="s">
        <v>1724</v>
      </c>
      <c r="E7383" s="29" t="s">
        <v>1769</v>
      </c>
      <c r="F7383" s="29" t="s">
        <v>282</v>
      </c>
      <c r="G7383" s="25" t="s">
        <v>9016</v>
      </c>
      <c r="H7383" s="26">
        <v>-5.7532000000000004E-4</v>
      </c>
      <c r="I7383" s="26"/>
      <c r="J7383" s="26" t="s">
        <v>1770</v>
      </c>
      <c r="K7383" s="25" t="s">
        <v>1771</v>
      </c>
    </row>
    <row r="7384" spans="1:11" ht="25.5" x14ac:dyDescent="0.25">
      <c r="A7384" s="22">
        <v>2026</v>
      </c>
      <c r="B7384" s="28" t="s">
        <v>249</v>
      </c>
      <c r="C7384" s="28" t="s">
        <v>97</v>
      </c>
      <c r="D7384" s="28" t="s">
        <v>1724</v>
      </c>
      <c r="E7384" s="29" t="s">
        <v>1769</v>
      </c>
      <c r="F7384" s="29" t="s">
        <v>282</v>
      </c>
      <c r="G7384" s="25" t="s">
        <v>9017</v>
      </c>
      <c r="H7384" s="26">
        <v>-6.5483800499999995E-2</v>
      </c>
      <c r="I7384" s="26"/>
      <c r="J7384" s="26" t="s">
        <v>1770</v>
      </c>
      <c r="K7384" s="25" t="s">
        <v>1771</v>
      </c>
    </row>
    <row r="7385" spans="1:11" ht="25.5" x14ac:dyDescent="0.25">
      <c r="A7385" s="22">
        <v>2026</v>
      </c>
      <c r="B7385" s="28" t="s">
        <v>249</v>
      </c>
      <c r="C7385" s="28" t="s">
        <v>97</v>
      </c>
      <c r="D7385" s="28" t="s">
        <v>1724</v>
      </c>
      <c r="E7385" s="29" t="s">
        <v>1769</v>
      </c>
      <c r="F7385" s="29" t="s">
        <v>282</v>
      </c>
      <c r="G7385" s="25" t="s">
        <v>9018</v>
      </c>
      <c r="H7385" s="26">
        <v>-0.21341939999999998</v>
      </c>
      <c r="I7385" s="26"/>
      <c r="J7385" s="26" t="s">
        <v>1770</v>
      </c>
      <c r="K7385" s="25" t="s">
        <v>1771</v>
      </c>
    </row>
    <row r="7386" spans="1:11" ht="25.5" x14ac:dyDescent="0.25">
      <c r="A7386" s="22">
        <v>2026</v>
      </c>
      <c r="B7386" s="28" t="s">
        <v>249</v>
      </c>
      <c r="C7386" s="28" t="s">
        <v>97</v>
      </c>
      <c r="D7386" s="28" t="s">
        <v>1724</v>
      </c>
      <c r="E7386" s="29" t="s">
        <v>1769</v>
      </c>
      <c r="F7386" s="29" t="s">
        <v>282</v>
      </c>
      <c r="G7386" s="25" t="s">
        <v>9019</v>
      </c>
      <c r="H7386" s="26">
        <v>-0.20696461060000002</v>
      </c>
      <c r="I7386" s="26"/>
      <c r="J7386" s="26" t="s">
        <v>1770</v>
      </c>
      <c r="K7386" s="25" t="s">
        <v>1771</v>
      </c>
    </row>
    <row r="7387" spans="1:11" ht="25.5" x14ac:dyDescent="0.25">
      <c r="A7387" s="22">
        <v>2026</v>
      </c>
      <c r="B7387" s="28" t="s">
        <v>249</v>
      </c>
      <c r="C7387" s="28" t="s">
        <v>97</v>
      </c>
      <c r="D7387" s="28" t="s">
        <v>1724</v>
      </c>
      <c r="E7387" s="29" t="s">
        <v>1769</v>
      </c>
      <c r="F7387" s="29" t="s">
        <v>282</v>
      </c>
      <c r="G7387" s="25" t="s">
        <v>9020</v>
      </c>
      <c r="H7387" s="26">
        <v>-0.19063567499999998</v>
      </c>
      <c r="I7387" s="26"/>
      <c r="J7387" s="26" t="s">
        <v>1770</v>
      </c>
      <c r="K7387" s="25" t="s">
        <v>1771</v>
      </c>
    </row>
    <row r="7388" spans="1:11" ht="25.5" x14ac:dyDescent="0.25">
      <c r="A7388" s="22">
        <v>2026</v>
      </c>
      <c r="B7388" s="28" t="s">
        <v>249</v>
      </c>
      <c r="C7388" s="28" t="s">
        <v>97</v>
      </c>
      <c r="D7388" s="28" t="s">
        <v>1724</v>
      </c>
      <c r="E7388" s="29" t="s">
        <v>1769</v>
      </c>
      <c r="F7388" s="29" t="s">
        <v>282</v>
      </c>
      <c r="G7388" s="25" t="s">
        <v>9021</v>
      </c>
      <c r="H7388" s="26">
        <v>-0.248054893</v>
      </c>
      <c r="I7388" s="26"/>
      <c r="J7388" s="26" t="s">
        <v>1770</v>
      </c>
      <c r="K7388" s="25" t="s">
        <v>1771</v>
      </c>
    </row>
    <row r="7389" spans="1:11" ht="25.5" x14ac:dyDescent="0.25">
      <c r="A7389" s="22">
        <v>2026</v>
      </c>
      <c r="B7389" s="28" t="s">
        <v>249</v>
      </c>
      <c r="C7389" s="28" t="s">
        <v>97</v>
      </c>
      <c r="D7389" s="28" t="s">
        <v>1724</v>
      </c>
      <c r="E7389" s="29" t="s">
        <v>1769</v>
      </c>
      <c r="F7389" s="29" t="s">
        <v>282</v>
      </c>
      <c r="G7389" s="25" t="s">
        <v>9022</v>
      </c>
      <c r="H7389" s="26">
        <v>-0.26233237540000004</v>
      </c>
      <c r="I7389" s="26"/>
      <c r="J7389" s="26" t="s">
        <v>1770</v>
      </c>
      <c r="K7389" s="25" t="s">
        <v>1771</v>
      </c>
    </row>
    <row r="7390" spans="1:11" ht="25.5" x14ac:dyDescent="0.25">
      <c r="A7390" s="22">
        <v>2026</v>
      </c>
      <c r="B7390" s="28" t="s">
        <v>249</v>
      </c>
      <c r="C7390" s="28" t="s">
        <v>97</v>
      </c>
      <c r="D7390" s="28" t="s">
        <v>1724</v>
      </c>
      <c r="E7390" s="29" t="s">
        <v>1769</v>
      </c>
      <c r="F7390" s="29" t="s">
        <v>282</v>
      </c>
      <c r="G7390" s="25" t="s">
        <v>9023</v>
      </c>
      <c r="H7390" s="26">
        <v>-0.2393872464</v>
      </c>
      <c r="I7390" s="26"/>
      <c r="J7390" s="26" t="s">
        <v>1770</v>
      </c>
      <c r="K7390" s="25" t="s">
        <v>1771</v>
      </c>
    </row>
    <row r="7391" spans="1:11" ht="25.5" x14ac:dyDescent="0.25">
      <c r="A7391" s="22">
        <v>2026</v>
      </c>
      <c r="B7391" s="28" t="s">
        <v>249</v>
      </c>
      <c r="C7391" s="28" t="s">
        <v>97</v>
      </c>
      <c r="D7391" s="28" t="s">
        <v>1724</v>
      </c>
      <c r="E7391" s="29" t="s">
        <v>1769</v>
      </c>
      <c r="F7391" s="29" t="s">
        <v>282</v>
      </c>
      <c r="G7391" s="25" t="s">
        <v>9024</v>
      </c>
      <c r="H7391" s="26">
        <v>-0.225174816</v>
      </c>
      <c r="I7391" s="26"/>
      <c r="J7391" s="26" t="s">
        <v>1770</v>
      </c>
      <c r="K7391" s="25" t="s">
        <v>1771</v>
      </c>
    </row>
    <row r="7392" spans="1:11" ht="25.5" x14ac:dyDescent="0.25">
      <c r="A7392" s="22">
        <v>2026</v>
      </c>
      <c r="B7392" s="28" t="s">
        <v>249</v>
      </c>
      <c r="C7392" s="28" t="s">
        <v>97</v>
      </c>
      <c r="D7392" s="28" t="s">
        <v>1724</v>
      </c>
      <c r="E7392" s="29" t="s">
        <v>1769</v>
      </c>
      <c r="F7392" s="29" t="s">
        <v>282</v>
      </c>
      <c r="G7392" s="25" t="s">
        <v>9025</v>
      </c>
      <c r="H7392" s="26">
        <v>-0.2017439352</v>
      </c>
      <c r="I7392" s="26"/>
      <c r="J7392" s="26" t="s">
        <v>1770</v>
      </c>
      <c r="K7392" s="25" t="s">
        <v>1771</v>
      </c>
    </row>
    <row r="7393" spans="1:11" ht="25.5" x14ac:dyDescent="0.25">
      <c r="A7393" s="22">
        <v>2026</v>
      </c>
      <c r="B7393" s="28" t="s">
        <v>249</v>
      </c>
      <c r="C7393" s="28" t="s">
        <v>97</v>
      </c>
      <c r="D7393" s="28" t="s">
        <v>1724</v>
      </c>
      <c r="E7393" s="29" t="s">
        <v>1769</v>
      </c>
      <c r="F7393" s="29" t="s">
        <v>282</v>
      </c>
      <c r="G7393" s="25" t="s">
        <v>9026</v>
      </c>
      <c r="H7393" s="26">
        <v>-0.1460282346</v>
      </c>
      <c r="I7393" s="26"/>
      <c r="J7393" s="26" t="s">
        <v>1770</v>
      </c>
      <c r="K7393" s="25" t="s">
        <v>1771</v>
      </c>
    </row>
    <row r="7394" spans="1:11" ht="25.5" x14ac:dyDescent="0.25">
      <c r="A7394" s="22">
        <v>2026</v>
      </c>
      <c r="B7394" s="28" t="s">
        <v>249</v>
      </c>
      <c r="C7394" s="28" t="s">
        <v>97</v>
      </c>
      <c r="D7394" s="28" t="s">
        <v>1725</v>
      </c>
      <c r="E7394" s="29" t="s">
        <v>1772</v>
      </c>
      <c r="F7394" s="29" t="s">
        <v>325</v>
      </c>
      <c r="G7394" s="25" t="s">
        <v>9027</v>
      </c>
      <c r="H7394" s="26">
        <v>-0.24074999999999999</v>
      </c>
      <c r="I7394" s="26"/>
      <c r="J7394" s="26" t="s">
        <v>1773</v>
      </c>
      <c r="K7394" s="25" t="s">
        <v>513</v>
      </c>
    </row>
    <row r="7395" spans="1:11" ht="25.5" x14ac:dyDescent="0.25">
      <c r="A7395" s="22">
        <v>2026</v>
      </c>
      <c r="B7395" s="28" t="s">
        <v>249</v>
      </c>
      <c r="C7395" s="28" t="s">
        <v>97</v>
      </c>
      <c r="D7395" s="28" t="s">
        <v>1725</v>
      </c>
      <c r="E7395" s="29" t="s">
        <v>1772</v>
      </c>
      <c r="F7395" s="29" t="s">
        <v>325</v>
      </c>
      <c r="G7395" s="25" t="s">
        <v>9028</v>
      </c>
      <c r="H7395" s="26">
        <v>-0.59570000000000001</v>
      </c>
      <c r="I7395" s="26"/>
      <c r="J7395" s="26" t="s">
        <v>1773</v>
      </c>
      <c r="K7395" s="25" t="s">
        <v>513</v>
      </c>
    </row>
    <row r="7396" spans="1:11" ht="25.5" x14ac:dyDescent="0.25">
      <c r="A7396" s="22">
        <v>2026</v>
      </c>
      <c r="B7396" s="28" t="s">
        <v>249</v>
      </c>
      <c r="C7396" s="28" t="s">
        <v>97</v>
      </c>
      <c r="D7396" s="28" t="s">
        <v>1725</v>
      </c>
      <c r="E7396" s="29" t="s">
        <v>1772</v>
      </c>
      <c r="F7396" s="29" t="s">
        <v>325</v>
      </c>
      <c r="G7396" s="25" t="s">
        <v>9029</v>
      </c>
      <c r="H7396" s="26">
        <v>-0.11235000000000001</v>
      </c>
      <c r="I7396" s="26"/>
      <c r="J7396" s="26" t="s">
        <v>1773</v>
      </c>
      <c r="K7396" s="25" t="s">
        <v>513</v>
      </c>
    </row>
    <row r="7397" spans="1:11" ht="25.5" x14ac:dyDescent="0.25">
      <c r="A7397" s="22">
        <v>2026</v>
      </c>
      <c r="B7397" s="28" t="s">
        <v>249</v>
      </c>
      <c r="C7397" s="28" t="s">
        <v>97</v>
      </c>
      <c r="D7397" s="28" t="s">
        <v>1725</v>
      </c>
      <c r="E7397" s="29" t="s">
        <v>1772</v>
      </c>
      <c r="F7397" s="29" t="s">
        <v>325</v>
      </c>
      <c r="G7397" s="25" t="s">
        <v>9029</v>
      </c>
      <c r="H7397" s="26">
        <v>-0.11235000000000001</v>
      </c>
      <c r="I7397" s="26"/>
      <c r="J7397" s="26" t="s">
        <v>1773</v>
      </c>
      <c r="K7397" s="25" t="s">
        <v>513</v>
      </c>
    </row>
    <row r="7398" spans="1:11" ht="25.5" x14ac:dyDescent="0.25">
      <c r="A7398" s="22">
        <v>2026</v>
      </c>
      <c r="B7398" s="28" t="s">
        <v>249</v>
      </c>
      <c r="C7398" s="28" t="s">
        <v>97</v>
      </c>
      <c r="D7398" s="28" t="s">
        <v>1725</v>
      </c>
      <c r="E7398" s="29" t="s">
        <v>1772</v>
      </c>
      <c r="F7398" s="29" t="s">
        <v>325</v>
      </c>
      <c r="G7398" s="25" t="s">
        <v>9030</v>
      </c>
      <c r="H7398" s="26">
        <v>-8.0500000000000002E-2</v>
      </c>
      <c r="I7398" s="26"/>
      <c r="J7398" s="26" t="s">
        <v>1773</v>
      </c>
      <c r="K7398" s="25" t="s">
        <v>513</v>
      </c>
    </row>
    <row r="7399" spans="1:11" ht="25.5" x14ac:dyDescent="0.25">
      <c r="A7399" s="22">
        <v>2026</v>
      </c>
      <c r="B7399" s="28" t="s">
        <v>249</v>
      </c>
      <c r="C7399" s="28" t="s">
        <v>97</v>
      </c>
      <c r="D7399" s="28" t="s">
        <v>1725</v>
      </c>
      <c r="E7399" s="29" t="s">
        <v>1772</v>
      </c>
      <c r="F7399" s="29" t="s">
        <v>325</v>
      </c>
      <c r="G7399" s="25" t="s">
        <v>9030</v>
      </c>
      <c r="H7399" s="26">
        <v>-8.0500000000000002E-2</v>
      </c>
      <c r="I7399" s="26"/>
      <c r="J7399" s="26" t="s">
        <v>1773</v>
      </c>
      <c r="K7399" s="25" t="s">
        <v>513</v>
      </c>
    </row>
    <row r="7400" spans="1:11" ht="25.5" x14ac:dyDescent="0.25">
      <c r="A7400" s="22">
        <v>2026</v>
      </c>
      <c r="B7400" s="28" t="s">
        <v>249</v>
      </c>
      <c r="C7400" s="28" t="s">
        <v>97</v>
      </c>
      <c r="D7400" s="28" t="s">
        <v>1725</v>
      </c>
      <c r="E7400" s="29" t="s">
        <v>1772</v>
      </c>
      <c r="F7400" s="29" t="s">
        <v>325</v>
      </c>
      <c r="G7400" s="25" t="s">
        <v>9031</v>
      </c>
      <c r="H7400" s="26">
        <v>-8.6429807799999994E-2</v>
      </c>
      <c r="I7400" s="26"/>
      <c r="J7400" s="26" t="s">
        <v>1773</v>
      </c>
      <c r="K7400" s="25" t="s">
        <v>513</v>
      </c>
    </row>
    <row r="7401" spans="1:11" ht="25.5" x14ac:dyDescent="0.25">
      <c r="A7401" s="22">
        <v>2026</v>
      </c>
      <c r="B7401" s="28" t="s">
        <v>249</v>
      </c>
      <c r="C7401" s="28" t="s">
        <v>97</v>
      </c>
      <c r="D7401" s="28" t="s">
        <v>1725</v>
      </c>
      <c r="E7401" s="29" t="s">
        <v>1772</v>
      </c>
      <c r="F7401" s="29" t="s">
        <v>325</v>
      </c>
      <c r="G7401" s="25" t="s">
        <v>9032</v>
      </c>
      <c r="H7401" s="26">
        <v>-4.48E-2</v>
      </c>
      <c r="I7401" s="26"/>
      <c r="J7401" s="26" t="s">
        <v>1773</v>
      </c>
      <c r="K7401" s="25" t="s">
        <v>513</v>
      </c>
    </row>
    <row r="7402" spans="1:11" ht="25.5" x14ac:dyDescent="0.25">
      <c r="A7402" s="22">
        <v>2026</v>
      </c>
      <c r="B7402" s="28" t="s">
        <v>249</v>
      </c>
      <c r="C7402" s="28" t="s">
        <v>97</v>
      </c>
      <c r="D7402" s="28" t="s">
        <v>1725</v>
      </c>
      <c r="E7402" s="29" t="s">
        <v>1772</v>
      </c>
      <c r="F7402" s="29" t="s">
        <v>325</v>
      </c>
      <c r="G7402" s="25" t="s">
        <v>9033</v>
      </c>
      <c r="H7402" s="26">
        <v>-0.14219999999999999</v>
      </c>
      <c r="I7402" s="26"/>
      <c r="J7402" s="26" t="s">
        <v>1773</v>
      </c>
      <c r="K7402" s="25" t="s">
        <v>513</v>
      </c>
    </row>
    <row r="7403" spans="1:11" ht="25.5" x14ac:dyDescent="0.25">
      <c r="A7403" s="22">
        <v>2026</v>
      </c>
      <c r="B7403" s="28" t="s">
        <v>249</v>
      </c>
      <c r="C7403" s="28" t="s">
        <v>97</v>
      </c>
      <c r="D7403" s="28" t="s">
        <v>1725</v>
      </c>
      <c r="E7403" s="29" t="s">
        <v>1772</v>
      </c>
      <c r="F7403" s="29" t="s">
        <v>325</v>
      </c>
      <c r="G7403" s="25" t="s">
        <v>9034</v>
      </c>
      <c r="H7403" s="26">
        <v>-6.3E-2</v>
      </c>
      <c r="I7403" s="26"/>
      <c r="J7403" s="26" t="s">
        <v>1773</v>
      </c>
      <c r="K7403" s="25" t="s">
        <v>513</v>
      </c>
    </row>
    <row r="7404" spans="1:11" ht="25.5" x14ac:dyDescent="0.25">
      <c r="A7404" s="22">
        <v>2026</v>
      </c>
      <c r="B7404" s="28" t="s">
        <v>249</v>
      </c>
      <c r="C7404" s="28" t="s">
        <v>97</v>
      </c>
      <c r="D7404" s="28" t="s">
        <v>1725</v>
      </c>
      <c r="E7404" s="29" t="s">
        <v>1772</v>
      </c>
      <c r="F7404" s="29" t="s">
        <v>325</v>
      </c>
      <c r="G7404" s="25" t="s">
        <v>9035</v>
      </c>
      <c r="H7404" s="26">
        <v>-4.6350000000000002E-2</v>
      </c>
      <c r="I7404" s="26"/>
      <c r="J7404" s="26" t="s">
        <v>1773</v>
      </c>
      <c r="K7404" s="25" t="s">
        <v>513</v>
      </c>
    </row>
    <row r="7405" spans="1:11" ht="25.5" x14ac:dyDescent="0.25">
      <c r="A7405" s="22">
        <v>2026</v>
      </c>
      <c r="B7405" s="28" t="s">
        <v>249</v>
      </c>
      <c r="C7405" s="28" t="s">
        <v>97</v>
      </c>
      <c r="D7405" s="28" t="s">
        <v>1725</v>
      </c>
      <c r="E7405" s="29" t="s">
        <v>1772</v>
      </c>
      <c r="F7405" s="29" t="s">
        <v>325</v>
      </c>
      <c r="G7405" s="25" t="s">
        <v>9036</v>
      </c>
      <c r="H7405" s="26">
        <v>-6.2799999999999995E-2</v>
      </c>
      <c r="I7405" s="26"/>
      <c r="J7405" s="26" t="s">
        <v>1773</v>
      </c>
      <c r="K7405" s="25" t="s">
        <v>513</v>
      </c>
    </row>
    <row r="7406" spans="1:11" ht="25.5" x14ac:dyDescent="0.25">
      <c r="A7406" s="22">
        <v>2026</v>
      </c>
      <c r="B7406" s="28" t="s">
        <v>249</v>
      </c>
      <c r="C7406" s="28" t="s">
        <v>97</v>
      </c>
      <c r="D7406" s="28" t="s">
        <v>1725</v>
      </c>
      <c r="E7406" s="29" t="s">
        <v>1772</v>
      </c>
      <c r="F7406" s="29" t="s">
        <v>325</v>
      </c>
      <c r="G7406" s="25" t="s">
        <v>9037</v>
      </c>
      <c r="H7406" s="26">
        <v>-6.3600000000000004E-2</v>
      </c>
      <c r="I7406" s="26"/>
      <c r="J7406" s="26" t="s">
        <v>1773</v>
      </c>
      <c r="K7406" s="25" t="s">
        <v>513</v>
      </c>
    </row>
    <row r="7407" spans="1:11" ht="25.5" x14ac:dyDescent="0.25">
      <c r="A7407" s="22">
        <v>2026</v>
      </c>
      <c r="B7407" s="28" t="s">
        <v>249</v>
      </c>
      <c r="C7407" s="28" t="s">
        <v>97</v>
      </c>
      <c r="D7407" s="28" t="s">
        <v>272</v>
      </c>
      <c r="E7407" s="29" t="s">
        <v>500</v>
      </c>
      <c r="F7407" s="29" t="s">
        <v>284</v>
      </c>
      <c r="G7407" s="25" t="s">
        <v>9038</v>
      </c>
      <c r="H7407" s="26">
        <v>-0.25237500000000002</v>
      </c>
      <c r="I7407" s="26"/>
      <c r="J7407" s="26" t="s">
        <v>514</v>
      </c>
      <c r="K7407" s="25" t="s">
        <v>513</v>
      </c>
    </row>
    <row r="7408" spans="1:11" ht="25.5" x14ac:dyDescent="0.25">
      <c r="A7408" s="22">
        <v>2026</v>
      </c>
      <c r="B7408" s="28" t="s">
        <v>249</v>
      </c>
      <c r="C7408" s="28" t="s">
        <v>97</v>
      </c>
      <c r="D7408" s="28" t="s">
        <v>272</v>
      </c>
      <c r="E7408" s="29" t="s">
        <v>500</v>
      </c>
      <c r="F7408" s="29" t="s">
        <v>284</v>
      </c>
      <c r="G7408" s="25" t="s">
        <v>9039</v>
      </c>
      <c r="H7408" s="26">
        <v>-0.26583200000000001</v>
      </c>
      <c r="I7408" s="26"/>
      <c r="J7408" s="26" t="s">
        <v>514</v>
      </c>
      <c r="K7408" s="25" t="s">
        <v>513</v>
      </c>
    </row>
    <row r="7409" spans="1:11" ht="25.5" x14ac:dyDescent="0.25">
      <c r="A7409" s="22">
        <v>2026</v>
      </c>
      <c r="B7409" s="28" t="s">
        <v>249</v>
      </c>
      <c r="C7409" s="28" t="s">
        <v>97</v>
      </c>
      <c r="D7409" s="28" t="s">
        <v>272</v>
      </c>
      <c r="E7409" s="29" t="s">
        <v>500</v>
      </c>
      <c r="F7409" s="29" t="s">
        <v>284</v>
      </c>
      <c r="G7409" s="25" t="s">
        <v>9040</v>
      </c>
      <c r="H7409" s="26">
        <v>-0.25057049999999997</v>
      </c>
      <c r="I7409" s="26"/>
      <c r="J7409" s="26" t="s">
        <v>514</v>
      </c>
      <c r="K7409" s="25" t="s">
        <v>513</v>
      </c>
    </row>
    <row r="7410" spans="1:11" ht="25.5" x14ac:dyDescent="0.25">
      <c r="A7410" s="22">
        <v>2026</v>
      </c>
      <c r="B7410" s="28" t="s">
        <v>249</v>
      </c>
      <c r="C7410" s="28" t="s">
        <v>97</v>
      </c>
      <c r="D7410" s="28" t="s">
        <v>272</v>
      </c>
      <c r="E7410" s="29" t="s">
        <v>500</v>
      </c>
      <c r="F7410" s="29" t="s">
        <v>284</v>
      </c>
      <c r="G7410" s="25" t="s">
        <v>9041</v>
      </c>
      <c r="H7410" s="26">
        <v>-0.24764549999999999</v>
      </c>
      <c r="I7410" s="26"/>
      <c r="J7410" s="26" t="s">
        <v>514</v>
      </c>
      <c r="K7410" s="25" t="s">
        <v>513</v>
      </c>
    </row>
    <row r="7411" spans="1:11" ht="25.5" x14ac:dyDescent="0.25">
      <c r="A7411" s="22">
        <v>2026</v>
      </c>
      <c r="B7411" s="28" t="s">
        <v>249</v>
      </c>
      <c r="C7411" s="28" t="s">
        <v>97</v>
      </c>
      <c r="D7411" s="28" t="s">
        <v>272</v>
      </c>
      <c r="E7411" s="29" t="s">
        <v>500</v>
      </c>
      <c r="F7411" s="29" t="s">
        <v>284</v>
      </c>
      <c r="G7411" s="25" t="s">
        <v>9042</v>
      </c>
      <c r="H7411" s="26">
        <v>-0.24945300000000001</v>
      </c>
      <c r="I7411" s="26"/>
      <c r="J7411" s="26" t="s">
        <v>514</v>
      </c>
      <c r="K7411" s="25" t="s">
        <v>513</v>
      </c>
    </row>
    <row r="7412" spans="1:11" ht="25.5" x14ac:dyDescent="0.25">
      <c r="A7412" s="22">
        <v>2026</v>
      </c>
      <c r="B7412" s="28" t="s">
        <v>249</v>
      </c>
      <c r="C7412" s="28" t="s">
        <v>97</v>
      </c>
      <c r="D7412" s="28" t="s">
        <v>272</v>
      </c>
      <c r="E7412" s="29" t="s">
        <v>500</v>
      </c>
      <c r="F7412" s="29" t="s">
        <v>284</v>
      </c>
      <c r="G7412" s="25" t="s">
        <v>9043</v>
      </c>
      <c r="H7412" s="26">
        <v>-0.25265775000000001</v>
      </c>
      <c r="I7412" s="26"/>
      <c r="J7412" s="26" t="s">
        <v>514</v>
      </c>
      <c r="K7412" s="25" t="s">
        <v>513</v>
      </c>
    </row>
    <row r="7413" spans="1:11" ht="25.5" x14ac:dyDescent="0.25">
      <c r="A7413" s="22">
        <v>2026</v>
      </c>
      <c r="B7413" s="28" t="s">
        <v>249</v>
      </c>
      <c r="C7413" s="28" t="s">
        <v>97</v>
      </c>
      <c r="D7413" s="28" t="s">
        <v>272</v>
      </c>
      <c r="E7413" s="29" t="s">
        <v>500</v>
      </c>
      <c r="F7413" s="29" t="s">
        <v>284</v>
      </c>
      <c r="G7413" s="25" t="s">
        <v>9044</v>
      </c>
      <c r="H7413" s="26">
        <v>-0.23406739999999998</v>
      </c>
      <c r="I7413" s="26"/>
      <c r="J7413" s="26" t="s">
        <v>514</v>
      </c>
      <c r="K7413" s="25" t="s">
        <v>513</v>
      </c>
    </row>
    <row r="7414" spans="1:11" ht="25.5" x14ac:dyDescent="0.25">
      <c r="A7414" s="22">
        <v>2026</v>
      </c>
      <c r="B7414" s="28" t="s">
        <v>249</v>
      </c>
      <c r="C7414" s="28" t="s">
        <v>97</v>
      </c>
      <c r="D7414" s="28" t="s">
        <v>272</v>
      </c>
      <c r="E7414" s="29" t="s">
        <v>500</v>
      </c>
      <c r="F7414" s="29" t="s">
        <v>284</v>
      </c>
      <c r="G7414" s="25" t="s">
        <v>9045</v>
      </c>
      <c r="H7414" s="26">
        <v>-0.23180290000000001</v>
      </c>
      <c r="I7414" s="26"/>
      <c r="J7414" s="26" t="s">
        <v>514</v>
      </c>
      <c r="K7414" s="25" t="s">
        <v>513</v>
      </c>
    </row>
    <row r="7415" spans="1:11" ht="25.5" x14ac:dyDescent="0.25">
      <c r="A7415" s="22">
        <v>2026</v>
      </c>
      <c r="B7415" s="28" t="s">
        <v>249</v>
      </c>
      <c r="C7415" s="28" t="s">
        <v>97</v>
      </c>
      <c r="D7415" s="28" t="s">
        <v>272</v>
      </c>
      <c r="E7415" s="29" t="s">
        <v>500</v>
      </c>
      <c r="F7415" s="29" t="s">
        <v>284</v>
      </c>
      <c r="G7415" s="25" t="s">
        <v>9046</v>
      </c>
      <c r="H7415" s="26">
        <v>-0.23526160000000002</v>
      </c>
      <c r="I7415" s="26"/>
      <c r="J7415" s="26" t="s">
        <v>514</v>
      </c>
      <c r="K7415" s="25" t="s">
        <v>513</v>
      </c>
    </row>
    <row r="7416" spans="1:11" ht="25.5" x14ac:dyDescent="0.25">
      <c r="A7416" s="22">
        <v>2026</v>
      </c>
      <c r="B7416" s="28" t="s">
        <v>249</v>
      </c>
      <c r="C7416" s="28" t="s">
        <v>97</v>
      </c>
      <c r="D7416" s="28" t="s">
        <v>272</v>
      </c>
      <c r="E7416" s="29" t="s">
        <v>500</v>
      </c>
      <c r="F7416" s="29" t="s">
        <v>284</v>
      </c>
      <c r="G7416" s="25" t="s">
        <v>9047</v>
      </c>
      <c r="H7416" s="26">
        <v>-0.23822399999999999</v>
      </c>
      <c r="I7416" s="26"/>
      <c r="J7416" s="26" t="s">
        <v>514</v>
      </c>
      <c r="K7416" s="25" t="s">
        <v>513</v>
      </c>
    </row>
    <row r="7417" spans="1:11" ht="25.5" x14ac:dyDescent="0.25">
      <c r="A7417" s="22">
        <v>2026</v>
      </c>
      <c r="B7417" s="28" t="s">
        <v>249</v>
      </c>
      <c r="C7417" s="28" t="s">
        <v>97</v>
      </c>
      <c r="D7417" s="28" t="s">
        <v>272</v>
      </c>
      <c r="E7417" s="29" t="s">
        <v>500</v>
      </c>
      <c r="F7417" s="29" t="s">
        <v>284</v>
      </c>
      <c r="G7417" s="25" t="s">
        <v>9048</v>
      </c>
      <c r="H7417" s="26">
        <v>-0.23560039999999999</v>
      </c>
      <c r="I7417" s="26"/>
      <c r="J7417" s="26" t="s">
        <v>514</v>
      </c>
      <c r="K7417" s="25" t="s">
        <v>513</v>
      </c>
    </row>
    <row r="7418" spans="1:11" ht="25.5" x14ac:dyDescent="0.25">
      <c r="A7418" s="22">
        <v>2026</v>
      </c>
      <c r="B7418" s="28" t="s">
        <v>249</v>
      </c>
      <c r="C7418" s="28" t="s">
        <v>97</v>
      </c>
      <c r="D7418" s="28" t="s">
        <v>272</v>
      </c>
      <c r="E7418" s="29" t="s">
        <v>500</v>
      </c>
      <c r="F7418" s="29" t="s">
        <v>284</v>
      </c>
      <c r="G7418" s="25" t="s">
        <v>9049</v>
      </c>
      <c r="H7418" s="26">
        <v>-0.23480799999999999</v>
      </c>
      <c r="I7418" s="26"/>
      <c r="J7418" s="26" t="s">
        <v>514</v>
      </c>
      <c r="K7418" s="25" t="s">
        <v>513</v>
      </c>
    </row>
    <row r="7419" spans="1:11" ht="25.5" x14ac:dyDescent="0.25">
      <c r="A7419" s="22">
        <v>2026</v>
      </c>
      <c r="B7419" s="28" t="s">
        <v>249</v>
      </c>
      <c r="C7419" s="28" t="s">
        <v>97</v>
      </c>
      <c r="D7419" s="28" t="s">
        <v>272</v>
      </c>
      <c r="E7419" s="29" t="s">
        <v>500</v>
      </c>
      <c r="F7419" s="29" t="s">
        <v>284</v>
      </c>
      <c r="G7419" s="25" t="s">
        <v>9050</v>
      </c>
      <c r="H7419" s="26">
        <v>-0.23212279999999999</v>
      </c>
      <c r="I7419" s="26"/>
      <c r="J7419" s="26" t="s">
        <v>514</v>
      </c>
      <c r="K7419" s="25" t="s">
        <v>513</v>
      </c>
    </row>
    <row r="7420" spans="1:11" ht="25.5" x14ac:dyDescent="0.25">
      <c r="A7420" s="22">
        <v>2026</v>
      </c>
      <c r="B7420" s="28" t="s">
        <v>249</v>
      </c>
      <c r="C7420" s="28" t="s">
        <v>97</v>
      </c>
      <c r="D7420" s="28" t="s">
        <v>272</v>
      </c>
      <c r="E7420" s="29" t="s">
        <v>500</v>
      </c>
      <c r="F7420" s="29" t="s">
        <v>284</v>
      </c>
      <c r="G7420" s="25" t="s">
        <v>9051</v>
      </c>
      <c r="H7420" s="26">
        <v>-0.26380240000000005</v>
      </c>
      <c r="I7420" s="26"/>
      <c r="J7420" s="26" t="s">
        <v>514</v>
      </c>
      <c r="K7420" s="25" t="s">
        <v>513</v>
      </c>
    </row>
    <row r="7421" spans="1:11" ht="25.5" x14ac:dyDescent="0.25">
      <c r="A7421" s="22">
        <v>2026</v>
      </c>
      <c r="B7421" s="28" t="s">
        <v>249</v>
      </c>
      <c r="C7421" s="28" t="s">
        <v>97</v>
      </c>
      <c r="D7421" s="28" t="s">
        <v>272</v>
      </c>
      <c r="E7421" s="29" t="s">
        <v>500</v>
      </c>
      <c r="F7421" s="29" t="s">
        <v>284</v>
      </c>
      <c r="G7421" s="25" t="s">
        <v>9052</v>
      </c>
      <c r="H7421" s="26">
        <v>-0.23205979999999998</v>
      </c>
      <c r="I7421" s="26"/>
      <c r="J7421" s="26" t="s">
        <v>514</v>
      </c>
      <c r="K7421" s="25" t="s">
        <v>513</v>
      </c>
    </row>
    <row r="7422" spans="1:11" ht="25.5" x14ac:dyDescent="0.25">
      <c r="A7422" s="22">
        <v>2026</v>
      </c>
      <c r="B7422" s="28" t="s">
        <v>249</v>
      </c>
      <c r="C7422" s="28" t="s">
        <v>97</v>
      </c>
      <c r="D7422" s="28" t="s">
        <v>272</v>
      </c>
      <c r="E7422" s="29" t="s">
        <v>500</v>
      </c>
      <c r="F7422" s="29" t="s">
        <v>284</v>
      </c>
      <c r="G7422" s="25" t="s">
        <v>9053</v>
      </c>
      <c r="H7422" s="26">
        <v>-0.2334437</v>
      </c>
      <c r="I7422" s="26"/>
      <c r="J7422" s="26" t="s">
        <v>514</v>
      </c>
      <c r="K7422" s="25" t="s">
        <v>513</v>
      </c>
    </row>
    <row r="7423" spans="1:11" ht="25.5" x14ac:dyDescent="0.25">
      <c r="A7423" s="22">
        <v>2026</v>
      </c>
      <c r="B7423" s="28" t="s">
        <v>249</v>
      </c>
      <c r="C7423" s="28" t="s">
        <v>97</v>
      </c>
      <c r="D7423" s="28" t="s">
        <v>272</v>
      </c>
      <c r="E7423" s="29" t="s">
        <v>500</v>
      </c>
      <c r="F7423" s="29" t="s">
        <v>284</v>
      </c>
      <c r="G7423" s="25" t="s">
        <v>9054</v>
      </c>
      <c r="H7423" s="26">
        <v>-0.23296070000000002</v>
      </c>
      <c r="I7423" s="26"/>
      <c r="J7423" s="26" t="s">
        <v>514</v>
      </c>
      <c r="K7423" s="25" t="s">
        <v>513</v>
      </c>
    </row>
    <row r="7424" spans="1:11" ht="25.5" x14ac:dyDescent="0.25">
      <c r="A7424" s="22">
        <v>2026</v>
      </c>
      <c r="B7424" s="28" t="s">
        <v>249</v>
      </c>
      <c r="C7424" s="28" t="s">
        <v>97</v>
      </c>
      <c r="D7424" s="28" t="s">
        <v>272</v>
      </c>
      <c r="E7424" s="29" t="s">
        <v>500</v>
      </c>
      <c r="F7424" s="29" t="s">
        <v>284</v>
      </c>
      <c r="G7424" s="25" t="s">
        <v>9055</v>
      </c>
      <c r="H7424" s="26">
        <v>-0.25111424999999998</v>
      </c>
      <c r="I7424" s="26"/>
      <c r="J7424" s="26" t="s">
        <v>514</v>
      </c>
      <c r="K7424" s="25" t="s">
        <v>513</v>
      </c>
    </row>
    <row r="7425" spans="1:11" ht="25.5" x14ac:dyDescent="0.25">
      <c r="A7425" s="22">
        <v>2026</v>
      </c>
      <c r="B7425" s="28" t="s">
        <v>249</v>
      </c>
      <c r="C7425" s="28" t="s">
        <v>97</v>
      </c>
      <c r="D7425" s="28" t="s">
        <v>272</v>
      </c>
      <c r="E7425" s="29" t="s">
        <v>500</v>
      </c>
      <c r="F7425" s="29" t="s">
        <v>284</v>
      </c>
      <c r="G7425" s="25" t="s">
        <v>9056</v>
      </c>
      <c r="H7425" s="26">
        <v>-0.23718310000000001</v>
      </c>
      <c r="I7425" s="26"/>
      <c r="J7425" s="26" t="s">
        <v>514</v>
      </c>
      <c r="K7425" s="25" t="s">
        <v>513</v>
      </c>
    </row>
    <row r="7426" spans="1:11" ht="25.5" x14ac:dyDescent="0.25">
      <c r="A7426" s="22">
        <v>2026</v>
      </c>
      <c r="B7426" s="28" t="s">
        <v>249</v>
      </c>
      <c r="C7426" s="28" t="s">
        <v>97</v>
      </c>
      <c r="D7426" s="28" t="s">
        <v>272</v>
      </c>
      <c r="E7426" s="29" t="s">
        <v>500</v>
      </c>
      <c r="F7426" s="29" t="s">
        <v>284</v>
      </c>
      <c r="G7426" s="25" t="s">
        <v>9057</v>
      </c>
      <c r="H7426" s="26">
        <v>-0.25419000000000003</v>
      </c>
      <c r="I7426" s="26"/>
      <c r="J7426" s="26" t="s">
        <v>514</v>
      </c>
      <c r="K7426" s="25" t="s">
        <v>513</v>
      </c>
    </row>
    <row r="7427" spans="1:11" ht="25.5" x14ac:dyDescent="0.25">
      <c r="A7427" s="22">
        <v>2026</v>
      </c>
      <c r="B7427" s="28" t="s">
        <v>249</v>
      </c>
      <c r="C7427" s="28" t="s">
        <v>97</v>
      </c>
      <c r="D7427" s="28" t="s">
        <v>272</v>
      </c>
      <c r="E7427" s="29" t="s">
        <v>500</v>
      </c>
      <c r="F7427" s="29" t="s">
        <v>284</v>
      </c>
      <c r="G7427" s="25" t="s">
        <v>9058</v>
      </c>
      <c r="H7427" s="26">
        <v>-0.25354500000000002</v>
      </c>
      <c r="I7427" s="26"/>
      <c r="J7427" s="26" t="s">
        <v>514</v>
      </c>
      <c r="K7427" s="25" t="s">
        <v>513</v>
      </c>
    </row>
    <row r="7428" spans="1:11" ht="25.5" x14ac:dyDescent="0.25">
      <c r="A7428" s="22">
        <v>2026</v>
      </c>
      <c r="B7428" s="28" t="s">
        <v>249</v>
      </c>
      <c r="C7428" s="28" t="s">
        <v>97</v>
      </c>
      <c r="D7428" s="28" t="s">
        <v>272</v>
      </c>
      <c r="E7428" s="29" t="s">
        <v>500</v>
      </c>
      <c r="F7428" s="29" t="s">
        <v>284</v>
      </c>
      <c r="G7428" s="25" t="s">
        <v>9059</v>
      </c>
      <c r="H7428" s="26">
        <v>-0.2502045</v>
      </c>
      <c r="I7428" s="26"/>
      <c r="J7428" s="26" t="s">
        <v>514</v>
      </c>
      <c r="K7428" s="25" t="s">
        <v>513</v>
      </c>
    </row>
    <row r="7429" spans="1:11" ht="25.5" x14ac:dyDescent="0.25">
      <c r="A7429" s="22">
        <v>2026</v>
      </c>
      <c r="B7429" s="28" t="s">
        <v>249</v>
      </c>
      <c r="C7429" s="28" t="s">
        <v>97</v>
      </c>
      <c r="D7429" s="28" t="s">
        <v>1726</v>
      </c>
      <c r="E7429" s="29" t="s">
        <v>569</v>
      </c>
      <c r="F7429" s="29" t="s">
        <v>343</v>
      </c>
      <c r="G7429" s="25" t="s">
        <v>9060</v>
      </c>
      <c r="H7429" s="26">
        <v>-0.17338579767999998</v>
      </c>
      <c r="I7429" s="26"/>
      <c r="J7429" s="26" t="s">
        <v>512</v>
      </c>
      <c r="K7429" s="25" t="s">
        <v>513</v>
      </c>
    </row>
    <row r="7430" spans="1:11" ht="25.5" x14ac:dyDescent="0.25">
      <c r="A7430" s="22">
        <v>2026</v>
      </c>
      <c r="B7430" s="28" t="s">
        <v>249</v>
      </c>
      <c r="C7430" s="28" t="s">
        <v>97</v>
      </c>
      <c r="D7430" s="28" t="s">
        <v>1726</v>
      </c>
      <c r="E7430" s="29" t="s">
        <v>569</v>
      </c>
      <c r="F7430" s="29" t="s">
        <v>343</v>
      </c>
      <c r="G7430" s="25" t="s">
        <v>9061</v>
      </c>
      <c r="H7430" s="26">
        <v>-0.1808005</v>
      </c>
      <c r="I7430" s="26"/>
      <c r="J7430" s="26" t="s">
        <v>512</v>
      </c>
      <c r="K7430" s="25" t="s">
        <v>513</v>
      </c>
    </row>
    <row r="7431" spans="1:11" ht="25.5" x14ac:dyDescent="0.25">
      <c r="A7431" s="22">
        <v>2026</v>
      </c>
      <c r="B7431" s="28" t="s">
        <v>249</v>
      </c>
      <c r="C7431" s="28" t="s">
        <v>97</v>
      </c>
      <c r="D7431" s="28" t="s">
        <v>1726</v>
      </c>
      <c r="E7431" s="29" t="s">
        <v>569</v>
      </c>
      <c r="F7431" s="29" t="s">
        <v>343</v>
      </c>
      <c r="G7431" s="25" t="s">
        <v>9062</v>
      </c>
      <c r="H7431" s="26">
        <v>-0.3206</v>
      </c>
      <c r="I7431" s="26"/>
      <c r="J7431" s="26" t="s">
        <v>512</v>
      </c>
      <c r="K7431" s="25" t="s">
        <v>513</v>
      </c>
    </row>
    <row r="7432" spans="1:11" ht="25.5" x14ac:dyDescent="0.25">
      <c r="A7432" s="22">
        <v>2026</v>
      </c>
      <c r="B7432" s="28" t="s">
        <v>249</v>
      </c>
      <c r="C7432" s="28" t="s">
        <v>97</v>
      </c>
      <c r="D7432" s="28" t="s">
        <v>1726</v>
      </c>
      <c r="E7432" s="29" t="s">
        <v>569</v>
      </c>
      <c r="F7432" s="29" t="s">
        <v>343</v>
      </c>
      <c r="G7432" s="25" t="s">
        <v>9063</v>
      </c>
      <c r="H7432" s="26">
        <v>-0.84602304000000006</v>
      </c>
      <c r="I7432" s="26"/>
      <c r="J7432" s="26" t="s">
        <v>512</v>
      </c>
      <c r="K7432" s="25" t="s">
        <v>513</v>
      </c>
    </row>
    <row r="7433" spans="1:11" ht="25.5" x14ac:dyDescent="0.25">
      <c r="A7433" s="22">
        <v>2026</v>
      </c>
      <c r="B7433" s="28" t="s">
        <v>249</v>
      </c>
      <c r="C7433" s="28" t="s">
        <v>97</v>
      </c>
      <c r="D7433" s="28" t="s">
        <v>1726</v>
      </c>
      <c r="E7433" s="29" t="s">
        <v>569</v>
      </c>
      <c r="F7433" s="29" t="s">
        <v>343</v>
      </c>
      <c r="G7433" s="25" t="s">
        <v>9064</v>
      </c>
      <c r="H7433" s="26">
        <v>-0.41612645048000002</v>
      </c>
      <c r="I7433" s="26"/>
      <c r="J7433" s="26" t="s">
        <v>512</v>
      </c>
      <c r="K7433" s="25" t="s">
        <v>513</v>
      </c>
    </row>
    <row r="7434" spans="1:11" ht="25.5" x14ac:dyDescent="0.25">
      <c r="A7434" s="22">
        <v>2026</v>
      </c>
      <c r="B7434" s="28" t="s">
        <v>249</v>
      </c>
      <c r="C7434" s="28" t="s">
        <v>97</v>
      </c>
      <c r="D7434" s="28" t="s">
        <v>1726</v>
      </c>
      <c r="E7434" s="29" t="s">
        <v>569</v>
      </c>
      <c r="F7434" s="29" t="s">
        <v>343</v>
      </c>
      <c r="G7434" s="25" t="s">
        <v>9065</v>
      </c>
      <c r="H7434" s="26">
        <v>-0.17845448060999999</v>
      </c>
      <c r="I7434" s="26"/>
      <c r="J7434" s="26" t="s">
        <v>512</v>
      </c>
      <c r="K7434" s="25" t="s">
        <v>513</v>
      </c>
    </row>
    <row r="7435" spans="1:11" ht="25.5" x14ac:dyDescent="0.25">
      <c r="A7435" s="22">
        <v>2026</v>
      </c>
      <c r="B7435" s="28" t="s">
        <v>249</v>
      </c>
      <c r="C7435" s="28" t="s">
        <v>97</v>
      </c>
      <c r="D7435" s="28" t="s">
        <v>1726</v>
      </c>
      <c r="E7435" s="29" t="s">
        <v>569</v>
      </c>
      <c r="F7435" s="29" t="s">
        <v>343</v>
      </c>
      <c r="G7435" s="25" t="s">
        <v>2914</v>
      </c>
      <c r="H7435" s="26">
        <v>-0.47099999999999997</v>
      </c>
      <c r="I7435" s="26"/>
      <c r="J7435" s="26" t="s">
        <v>512</v>
      </c>
      <c r="K7435" s="25" t="s">
        <v>513</v>
      </c>
    </row>
    <row r="7436" spans="1:11" ht="25.5" x14ac:dyDescent="0.25">
      <c r="A7436" s="22">
        <v>2026</v>
      </c>
      <c r="B7436" s="28" t="s">
        <v>249</v>
      </c>
      <c r="C7436" s="28" t="s">
        <v>97</v>
      </c>
      <c r="D7436" s="28" t="s">
        <v>1726</v>
      </c>
      <c r="E7436" s="29" t="s">
        <v>569</v>
      </c>
      <c r="F7436" s="29" t="s">
        <v>343</v>
      </c>
      <c r="G7436" s="25" t="s">
        <v>9066</v>
      </c>
      <c r="H7436" s="26">
        <v>-9.4399999999999998E-2</v>
      </c>
      <c r="I7436" s="26"/>
      <c r="J7436" s="26" t="s">
        <v>512</v>
      </c>
      <c r="K7436" s="25" t="s">
        <v>513</v>
      </c>
    </row>
    <row r="7437" spans="1:11" ht="25.5" x14ac:dyDescent="0.25">
      <c r="A7437" s="22">
        <v>2026</v>
      </c>
      <c r="B7437" s="28" t="s">
        <v>249</v>
      </c>
      <c r="C7437" s="28" t="s">
        <v>97</v>
      </c>
      <c r="D7437" s="28" t="s">
        <v>1726</v>
      </c>
      <c r="E7437" s="29" t="s">
        <v>569</v>
      </c>
      <c r="F7437" s="29" t="s">
        <v>343</v>
      </c>
      <c r="G7437" s="25" t="s">
        <v>9067</v>
      </c>
      <c r="H7437" s="26">
        <v>-0.28326570000000001</v>
      </c>
      <c r="I7437" s="26"/>
      <c r="J7437" s="26" t="s">
        <v>512</v>
      </c>
      <c r="K7437" s="25" t="s">
        <v>513</v>
      </c>
    </row>
    <row r="7438" spans="1:11" ht="25.5" x14ac:dyDescent="0.25">
      <c r="A7438" s="22">
        <v>2026</v>
      </c>
      <c r="B7438" s="28" t="s">
        <v>249</v>
      </c>
      <c r="C7438" s="28" t="s">
        <v>97</v>
      </c>
      <c r="D7438" s="28" t="s">
        <v>1726</v>
      </c>
      <c r="E7438" s="29" t="s">
        <v>569</v>
      </c>
      <c r="F7438" s="29" t="s">
        <v>343</v>
      </c>
      <c r="G7438" s="25" t="s">
        <v>9068</v>
      </c>
      <c r="H7438" s="26">
        <v>-0.33321609999999996</v>
      </c>
      <c r="I7438" s="26"/>
      <c r="J7438" s="26" t="s">
        <v>512</v>
      </c>
      <c r="K7438" s="25" t="s">
        <v>513</v>
      </c>
    </row>
    <row r="7439" spans="1:11" ht="25.5" x14ac:dyDescent="0.25">
      <c r="A7439" s="22">
        <v>2026</v>
      </c>
      <c r="B7439" s="28" t="s">
        <v>249</v>
      </c>
      <c r="C7439" s="28" t="s">
        <v>97</v>
      </c>
      <c r="D7439" s="28" t="s">
        <v>1726</v>
      </c>
      <c r="E7439" s="29" t="s">
        <v>569</v>
      </c>
      <c r="F7439" s="29" t="s">
        <v>343</v>
      </c>
      <c r="G7439" s="25" t="s">
        <v>9069</v>
      </c>
      <c r="H7439" s="26">
        <v>-0.38048140539999997</v>
      </c>
      <c r="I7439" s="26"/>
      <c r="J7439" s="26" t="s">
        <v>512</v>
      </c>
      <c r="K7439" s="25" t="s">
        <v>513</v>
      </c>
    </row>
    <row r="7440" spans="1:11" ht="25.5" x14ac:dyDescent="0.25">
      <c r="A7440" s="22">
        <v>2026</v>
      </c>
      <c r="B7440" s="28" t="s">
        <v>249</v>
      </c>
      <c r="C7440" s="28" t="s">
        <v>97</v>
      </c>
      <c r="D7440" s="28" t="s">
        <v>1726</v>
      </c>
      <c r="E7440" s="29" t="s">
        <v>569</v>
      </c>
      <c r="F7440" s="29" t="s">
        <v>343</v>
      </c>
      <c r="G7440" s="25" t="s">
        <v>9070</v>
      </c>
      <c r="H7440" s="26">
        <v>-0.18061526855999999</v>
      </c>
      <c r="I7440" s="26"/>
      <c r="J7440" s="26" t="s">
        <v>512</v>
      </c>
      <c r="K7440" s="25" t="s">
        <v>513</v>
      </c>
    </row>
    <row r="7441" spans="1:11" ht="25.5" x14ac:dyDescent="0.25">
      <c r="A7441" s="22">
        <v>2026</v>
      </c>
      <c r="B7441" s="28" t="s">
        <v>249</v>
      </c>
      <c r="C7441" s="28" t="s">
        <v>97</v>
      </c>
      <c r="D7441" s="28" t="s">
        <v>1726</v>
      </c>
      <c r="E7441" s="29" t="s">
        <v>569</v>
      </c>
      <c r="F7441" s="29" t="s">
        <v>343</v>
      </c>
      <c r="G7441" s="25" t="s">
        <v>9071</v>
      </c>
      <c r="H7441" s="26">
        <v>-0.32868368008000004</v>
      </c>
      <c r="I7441" s="26"/>
      <c r="J7441" s="26" t="s">
        <v>512</v>
      </c>
      <c r="K7441" s="25" t="s">
        <v>513</v>
      </c>
    </row>
    <row r="7442" spans="1:11" ht="25.5" x14ac:dyDescent="0.25">
      <c r="A7442" s="22">
        <v>2026</v>
      </c>
      <c r="B7442" s="28" t="s">
        <v>249</v>
      </c>
      <c r="C7442" s="28" t="s">
        <v>97</v>
      </c>
      <c r="D7442" s="28" t="s">
        <v>535</v>
      </c>
      <c r="E7442" s="29" t="s">
        <v>558</v>
      </c>
      <c r="F7442" s="29" t="s">
        <v>374</v>
      </c>
      <c r="G7442" s="25" t="s">
        <v>9072</v>
      </c>
      <c r="H7442" s="26">
        <v>-0.66600000000000004</v>
      </c>
      <c r="I7442" s="26"/>
      <c r="J7442" s="26" t="s">
        <v>512</v>
      </c>
      <c r="K7442" s="25" t="s">
        <v>513</v>
      </c>
    </row>
    <row r="7443" spans="1:11" ht="25.5" x14ac:dyDescent="0.25">
      <c r="A7443" s="22">
        <v>2026</v>
      </c>
      <c r="B7443" s="28" t="s">
        <v>249</v>
      </c>
      <c r="C7443" s="28" t="s">
        <v>97</v>
      </c>
      <c r="D7443" s="28" t="s">
        <v>535</v>
      </c>
      <c r="E7443" s="29" t="s">
        <v>558</v>
      </c>
      <c r="F7443" s="29" t="s">
        <v>374</v>
      </c>
      <c r="G7443" s="25" t="s">
        <v>9073</v>
      </c>
      <c r="H7443" s="26">
        <v>-1.3264</v>
      </c>
      <c r="I7443" s="26"/>
      <c r="J7443" s="26" t="s">
        <v>512</v>
      </c>
      <c r="K7443" s="25" t="s">
        <v>513</v>
      </c>
    </row>
    <row r="7444" spans="1:11" ht="25.5" x14ac:dyDescent="0.25">
      <c r="A7444" s="22">
        <v>2026</v>
      </c>
      <c r="B7444" s="28" t="s">
        <v>249</v>
      </c>
      <c r="C7444" s="28" t="s">
        <v>97</v>
      </c>
      <c r="D7444" s="28" t="s">
        <v>535</v>
      </c>
      <c r="E7444" s="29" t="s">
        <v>558</v>
      </c>
      <c r="F7444" s="29" t="s">
        <v>374</v>
      </c>
      <c r="G7444" s="25" t="s">
        <v>9074</v>
      </c>
      <c r="H7444" s="26">
        <v>-0.13449417243</v>
      </c>
      <c r="I7444" s="26"/>
      <c r="J7444" s="26" t="s">
        <v>512</v>
      </c>
      <c r="K7444" s="25" t="s">
        <v>513</v>
      </c>
    </row>
    <row r="7445" spans="1:11" ht="25.5" x14ac:dyDescent="0.25">
      <c r="A7445" s="22">
        <v>2026</v>
      </c>
      <c r="B7445" s="28" t="s">
        <v>249</v>
      </c>
      <c r="C7445" s="28" t="s">
        <v>97</v>
      </c>
      <c r="D7445" s="28" t="s">
        <v>535</v>
      </c>
      <c r="E7445" s="29" t="s">
        <v>558</v>
      </c>
      <c r="F7445" s="29" t="s">
        <v>374</v>
      </c>
      <c r="G7445" s="25" t="s">
        <v>9075</v>
      </c>
      <c r="H7445" s="26">
        <v>-0.67261000000000004</v>
      </c>
      <c r="I7445" s="26"/>
      <c r="J7445" s="26" t="s">
        <v>512</v>
      </c>
      <c r="K7445" s="25" t="s">
        <v>513</v>
      </c>
    </row>
    <row r="7446" spans="1:11" ht="25.5" x14ac:dyDescent="0.25">
      <c r="A7446" s="22">
        <v>2026</v>
      </c>
      <c r="B7446" s="28" t="s">
        <v>249</v>
      </c>
      <c r="C7446" s="28" t="s">
        <v>97</v>
      </c>
      <c r="D7446" s="28" t="s">
        <v>535</v>
      </c>
      <c r="E7446" s="29" t="s">
        <v>558</v>
      </c>
      <c r="F7446" s="29" t="s">
        <v>374</v>
      </c>
      <c r="G7446" s="25" t="s">
        <v>9076</v>
      </c>
      <c r="H7446" s="26">
        <v>-0.33700000000000002</v>
      </c>
      <c r="I7446" s="26"/>
      <c r="J7446" s="26" t="s">
        <v>512</v>
      </c>
      <c r="K7446" s="25" t="s">
        <v>513</v>
      </c>
    </row>
    <row r="7447" spans="1:11" ht="25.5" x14ac:dyDescent="0.25">
      <c r="A7447" s="22">
        <v>2026</v>
      </c>
      <c r="B7447" s="28" t="s">
        <v>249</v>
      </c>
      <c r="C7447" s="28" t="s">
        <v>97</v>
      </c>
      <c r="D7447" s="28" t="s">
        <v>535</v>
      </c>
      <c r="E7447" s="29" t="s">
        <v>558</v>
      </c>
      <c r="F7447" s="29" t="s">
        <v>374</v>
      </c>
      <c r="G7447" s="25" t="s">
        <v>9077</v>
      </c>
      <c r="H7447" s="26">
        <v>-0.47042450000000002</v>
      </c>
      <c r="I7447" s="26"/>
      <c r="J7447" s="26" t="s">
        <v>512</v>
      </c>
      <c r="K7447" s="25" t="s">
        <v>513</v>
      </c>
    </row>
    <row r="7448" spans="1:11" ht="25.5" x14ac:dyDescent="0.25">
      <c r="A7448" s="22">
        <v>2026</v>
      </c>
      <c r="B7448" s="28" t="s">
        <v>249</v>
      </c>
      <c r="C7448" s="28" t="s">
        <v>97</v>
      </c>
      <c r="D7448" s="28" t="s">
        <v>535</v>
      </c>
      <c r="E7448" s="29" t="s">
        <v>558</v>
      </c>
      <c r="F7448" s="29" t="s">
        <v>374</v>
      </c>
      <c r="G7448" s="25" t="s">
        <v>9078</v>
      </c>
      <c r="H7448" s="26">
        <v>-0.134354</v>
      </c>
      <c r="I7448" s="26"/>
      <c r="J7448" s="26" t="s">
        <v>512</v>
      </c>
      <c r="K7448" s="25" t="s">
        <v>513</v>
      </c>
    </row>
    <row r="7449" spans="1:11" ht="25.5" x14ac:dyDescent="0.25">
      <c r="A7449" s="22">
        <v>2026</v>
      </c>
      <c r="B7449" s="28" t="s">
        <v>249</v>
      </c>
      <c r="C7449" s="28" t="s">
        <v>97</v>
      </c>
      <c r="D7449" s="28" t="s">
        <v>535</v>
      </c>
      <c r="E7449" s="29" t="s">
        <v>558</v>
      </c>
      <c r="F7449" s="29" t="s">
        <v>374</v>
      </c>
      <c r="G7449" s="25" t="s">
        <v>9079</v>
      </c>
      <c r="H7449" s="26">
        <v>-1.0128225</v>
      </c>
      <c r="I7449" s="26"/>
      <c r="J7449" s="26" t="s">
        <v>512</v>
      </c>
      <c r="K7449" s="25" t="s">
        <v>513</v>
      </c>
    </row>
    <row r="7450" spans="1:11" ht="25.5" x14ac:dyDescent="0.25">
      <c r="A7450" s="22">
        <v>2026</v>
      </c>
      <c r="B7450" s="28" t="s">
        <v>249</v>
      </c>
      <c r="C7450" s="28" t="s">
        <v>97</v>
      </c>
      <c r="D7450" s="28" t="s">
        <v>535</v>
      </c>
      <c r="E7450" s="29" t="s">
        <v>558</v>
      </c>
      <c r="F7450" s="29" t="s">
        <v>374</v>
      </c>
      <c r="G7450" s="25" t="s">
        <v>9080</v>
      </c>
      <c r="H7450" s="26">
        <v>-1.0126500000000001</v>
      </c>
      <c r="I7450" s="26"/>
      <c r="J7450" s="26" t="s">
        <v>512</v>
      </c>
      <c r="K7450" s="25" t="s">
        <v>513</v>
      </c>
    </row>
    <row r="7451" spans="1:11" ht="25.5" x14ac:dyDescent="0.25">
      <c r="A7451" s="22">
        <v>2026</v>
      </c>
      <c r="B7451" s="28" t="s">
        <v>249</v>
      </c>
      <c r="C7451" s="28" t="s">
        <v>97</v>
      </c>
      <c r="D7451" s="28" t="s">
        <v>535</v>
      </c>
      <c r="E7451" s="29" t="s">
        <v>558</v>
      </c>
      <c r="F7451" s="29" t="s">
        <v>374</v>
      </c>
      <c r="G7451" s="25" t="s">
        <v>9081</v>
      </c>
      <c r="H7451" s="26">
        <v>-0.67459999999999998</v>
      </c>
      <c r="I7451" s="26"/>
      <c r="J7451" s="26" t="s">
        <v>512</v>
      </c>
      <c r="K7451" s="25" t="s">
        <v>513</v>
      </c>
    </row>
    <row r="7452" spans="1:11" ht="25.5" x14ac:dyDescent="0.25">
      <c r="A7452" s="22">
        <v>2026</v>
      </c>
      <c r="B7452" s="28" t="s">
        <v>249</v>
      </c>
      <c r="C7452" s="28" t="s">
        <v>97</v>
      </c>
      <c r="D7452" s="28" t="s">
        <v>535</v>
      </c>
      <c r="E7452" s="29" t="s">
        <v>558</v>
      </c>
      <c r="F7452" s="29" t="s">
        <v>374</v>
      </c>
      <c r="G7452" s="25" t="s">
        <v>9082</v>
      </c>
      <c r="H7452" s="26">
        <v>-1.0120499999999999</v>
      </c>
      <c r="I7452" s="26"/>
      <c r="J7452" s="26" t="s">
        <v>512</v>
      </c>
      <c r="K7452" s="25" t="s">
        <v>513</v>
      </c>
    </row>
    <row r="7453" spans="1:11" ht="25.5" x14ac:dyDescent="0.25">
      <c r="A7453" s="22">
        <v>2026</v>
      </c>
      <c r="B7453" s="28" t="s">
        <v>249</v>
      </c>
      <c r="C7453" s="28" t="s">
        <v>97</v>
      </c>
      <c r="D7453" s="28" t="s">
        <v>535</v>
      </c>
      <c r="E7453" s="29" t="s">
        <v>558</v>
      </c>
      <c r="F7453" s="29" t="s">
        <v>374</v>
      </c>
      <c r="G7453" s="25" t="s">
        <v>9083</v>
      </c>
      <c r="H7453" s="26">
        <v>-0.53680000000000005</v>
      </c>
      <c r="I7453" s="26"/>
      <c r="J7453" s="26" t="s">
        <v>512</v>
      </c>
      <c r="K7453" s="25" t="s">
        <v>513</v>
      </c>
    </row>
    <row r="7454" spans="1:11" ht="25.5" x14ac:dyDescent="0.25">
      <c r="A7454" s="22">
        <v>2026</v>
      </c>
      <c r="B7454" s="28" t="s">
        <v>249</v>
      </c>
      <c r="C7454" s="28" t="s">
        <v>97</v>
      </c>
      <c r="D7454" s="28" t="s">
        <v>535</v>
      </c>
      <c r="E7454" s="29" t="s">
        <v>558</v>
      </c>
      <c r="F7454" s="29" t="s">
        <v>374</v>
      </c>
      <c r="G7454" s="25" t="s">
        <v>9084</v>
      </c>
      <c r="H7454" s="26">
        <v>-1.0155000000000001</v>
      </c>
      <c r="I7454" s="26"/>
      <c r="J7454" s="26" t="s">
        <v>512</v>
      </c>
      <c r="K7454" s="25" t="s">
        <v>513</v>
      </c>
    </row>
    <row r="7455" spans="1:11" ht="25.5" x14ac:dyDescent="0.25">
      <c r="A7455" s="22">
        <v>2026</v>
      </c>
      <c r="B7455" s="28" t="s">
        <v>249</v>
      </c>
      <c r="C7455" s="28" t="s">
        <v>97</v>
      </c>
      <c r="D7455" s="28" t="s">
        <v>1727</v>
      </c>
      <c r="E7455" s="29" t="s">
        <v>446</v>
      </c>
      <c r="F7455" s="29" t="s">
        <v>903</v>
      </c>
      <c r="G7455" s="25" t="s">
        <v>9085</v>
      </c>
      <c r="H7455" s="26">
        <v>-8.6499999999999994E-2</v>
      </c>
      <c r="I7455" s="26"/>
      <c r="J7455" s="26" t="s">
        <v>514</v>
      </c>
      <c r="K7455" s="25" t="s">
        <v>513</v>
      </c>
    </row>
    <row r="7456" spans="1:11" ht="25.5" x14ac:dyDescent="0.25">
      <c r="A7456" s="22">
        <v>2026</v>
      </c>
      <c r="B7456" s="28" t="s">
        <v>249</v>
      </c>
      <c r="C7456" s="28" t="s">
        <v>97</v>
      </c>
      <c r="D7456" s="28" t="s">
        <v>1727</v>
      </c>
      <c r="E7456" s="29" t="s">
        <v>446</v>
      </c>
      <c r="F7456" s="29" t="s">
        <v>903</v>
      </c>
      <c r="G7456" s="25" t="s">
        <v>9086</v>
      </c>
      <c r="H7456" s="26">
        <v>-4.3174999999999998E-2</v>
      </c>
      <c r="I7456" s="26"/>
      <c r="J7456" s="26" t="s">
        <v>514</v>
      </c>
      <c r="K7456" s="25" t="s">
        <v>513</v>
      </c>
    </row>
    <row r="7457" spans="1:11" ht="25.5" x14ac:dyDescent="0.25">
      <c r="A7457" s="22">
        <v>2026</v>
      </c>
      <c r="B7457" s="28" t="s">
        <v>249</v>
      </c>
      <c r="C7457" s="28" t="s">
        <v>97</v>
      </c>
      <c r="D7457" s="28" t="s">
        <v>1727</v>
      </c>
      <c r="E7457" s="29" t="s">
        <v>446</v>
      </c>
      <c r="F7457" s="29" t="s">
        <v>903</v>
      </c>
      <c r="G7457" s="25" t="s">
        <v>9087</v>
      </c>
      <c r="H7457" s="26">
        <v>-0.17199999999999999</v>
      </c>
      <c r="I7457" s="26"/>
      <c r="J7457" s="26" t="s">
        <v>514</v>
      </c>
      <c r="K7457" s="25" t="s">
        <v>513</v>
      </c>
    </row>
    <row r="7458" spans="1:11" ht="25.5" x14ac:dyDescent="0.25">
      <c r="A7458" s="22">
        <v>2026</v>
      </c>
      <c r="B7458" s="28" t="s">
        <v>249</v>
      </c>
      <c r="C7458" s="28" t="s">
        <v>97</v>
      </c>
      <c r="D7458" s="28" t="s">
        <v>1727</v>
      </c>
      <c r="E7458" s="29" t="s">
        <v>446</v>
      </c>
      <c r="F7458" s="29" t="s">
        <v>903</v>
      </c>
      <c r="G7458" s="25" t="s">
        <v>9088</v>
      </c>
      <c r="H7458" s="26">
        <v>-4.2750000000000003E-2</v>
      </c>
      <c r="I7458" s="26"/>
      <c r="J7458" s="26" t="s">
        <v>514</v>
      </c>
      <c r="K7458" s="25" t="s">
        <v>513</v>
      </c>
    </row>
    <row r="7459" spans="1:11" ht="25.5" x14ac:dyDescent="0.25">
      <c r="A7459" s="22">
        <v>2026</v>
      </c>
      <c r="B7459" s="28" t="s">
        <v>249</v>
      </c>
      <c r="C7459" s="28" t="s">
        <v>97</v>
      </c>
      <c r="D7459" s="28" t="s">
        <v>1727</v>
      </c>
      <c r="E7459" s="29" t="s">
        <v>446</v>
      </c>
      <c r="F7459" s="29" t="s">
        <v>903</v>
      </c>
      <c r="G7459" s="25" t="s">
        <v>9089</v>
      </c>
      <c r="H7459" s="26">
        <v>-0.34</v>
      </c>
      <c r="I7459" s="26"/>
      <c r="J7459" s="26" t="s">
        <v>514</v>
      </c>
      <c r="K7459" s="25" t="s">
        <v>513</v>
      </c>
    </row>
    <row r="7460" spans="1:11" ht="25.5" x14ac:dyDescent="0.25">
      <c r="A7460" s="22">
        <v>2026</v>
      </c>
      <c r="B7460" s="28" t="s">
        <v>249</v>
      </c>
      <c r="C7460" s="28" t="s">
        <v>97</v>
      </c>
      <c r="D7460" s="28" t="s">
        <v>1727</v>
      </c>
      <c r="E7460" s="29" t="s">
        <v>446</v>
      </c>
      <c r="F7460" s="29" t="s">
        <v>903</v>
      </c>
      <c r="G7460" s="25" t="s">
        <v>9090</v>
      </c>
      <c r="H7460" s="26">
        <v>-9.2900499999999997E-2</v>
      </c>
      <c r="I7460" s="26"/>
      <c r="J7460" s="26" t="s">
        <v>514</v>
      </c>
      <c r="K7460" s="25" t="s">
        <v>513</v>
      </c>
    </row>
    <row r="7461" spans="1:11" ht="25.5" x14ac:dyDescent="0.25">
      <c r="A7461" s="22">
        <v>2026</v>
      </c>
      <c r="B7461" s="28" t="s">
        <v>249</v>
      </c>
      <c r="C7461" s="28" t="s">
        <v>97</v>
      </c>
      <c r="D7461" s="28" t="s">
        <v>1727</v>
      </c>
      <c r="E7461" s="29" t="s">
        <v>446</v>
      </c>
      <c r="F7461" s="29" t="s">
        <v>903</v>
      </c>
      <c r="G7461" s="25" t="s">
        <v>9091</v>
      </c>
      <c r="H7461" s="26">
        <v>-2.5499999999999998E-2</v>
      </c>
      <c r="I7461" s="26"/>
      <c r="J7461" s="26" t="s">
        <v>514</v>
      </c>
      <c r="K7461" s="25" t="s">
        <v>513</v>
      </c>
    </row>
    <row r="7462" spans="1:11" ht="25.5" x14ac:dyDescent="0.25">
      <c r="A7462" s="22">
        <v>2026</v>
      </c>
      <c r="B7462" s="28" t="s">
        <v>249</v>
      </c>
      <c r="C7462" s="28" t="s">
        <v>97</v>
      </c>
      <c r="D7462" s="28" t="s">
        <v>1727</v>
      </c>
      <c r="E7462" s="29" t="s">
        <v>446</v>
      </c>
      <c r="F7462" s="29" t="s">
        <v>903</v>
      </c>
      <c r="G7462" s="25" t="s">
        <v>9092</v>
      </c>
      <c r="H7462" s="26">
        <v>-8.4500000000000006E-2</v>
      </c>
      <c r="I7462" s="26"/>
      <c r="J7462" s="26" t="s">
        <v>514</v>
      </c>
      <c r="K7462" s="25" t="s">
        <v>513</v>
      </c>
    </row>
    <row r="7463" spans="1:11" ht="25.5" x14ac:dyDescent="0.25">
      <c r="A7463" s="22">
        <v>2026</v>
      </c>
      <c r="B7463" s="28" t="s">
        <v>249</v>
      </c>
      <c r="C7463" s="28" t="s">
        <v>97</v>
      </c>
      <c r="D7463" s="28" t="s">
        <v>1727</v>
      </c>
      <c r="E7463" s="29" t="s">
        <v>446</v>
      </c>
      <c r="F7463" s="29" t="s">
        <v>903</v>
      </c>
      <c r="G7463" s="25" t="s">
        <v>9093</v>
      </c>
      <c r="H7463" s="26">
        <v>-8.3500000000000005E-2</v>
      </c>
      <c r="I7463" s="26"/>
      <c r="J7463" s="26" t="s">
        <v>514</v>
      </c>
      <c r="K7463" s="25" t="s">
        <v>513</v>
      </c>
    </row>
    <row r="7464" spans="1:11" ht="25.5" x14ac:dyDescent="0.25">
      <c r="A7464" s="22">
        <v>2026</v>
      </c>
      <c r="B7464" s="28" t="s">
        <v>249</v>
      </c>
      <c r="C7464" s="28" t="s">
        <v>97</v>
      </c>
      <c r="D7464" s="28" t="s">
        <v>1727</v>
      </c>
      <c r="E7464" s="29" t="s">
        <v>446</v>
      </c>
      <c r="F7464" s="29" t="s">
        <v>903</v>
      </c>
      <c r="G7464" s="25" t="s">
        <v>9094</v>
      </c>
      <c r="H7464" s="26">
        <v>-8.5000000000000006E-2</v>
      </c>
      <c r="I7464" s="26"/>
      <c r="J7464" s="26" t="s">
        <v>514</v>
      </c>
      <c r="K7464" s="25" t="s">
        <v>513</v>
      </c>
    </row>
    <row r="7465" spans="1:11" ht="25.5" x14ac:dyDescent="0.25">
      <c r="A7465" s="22">
        <v>2026</v>
      </c>
      <c r="B7465" s="28" t="s">
        <v>249</v>
      </c>
      <c r="C7465" s="28" t="s">
        <v>97</v>
      </c>
      <c r="D7465" s="28" t="s">
        <v>1727</v>
      </c>
      <c r="E7465" s="29" t="s">
        <v>446</v>
      </c>
      <c r="F7465" s="29" t="s">
        <v>903</v>
      </c>
      <c r="G7465" s="25" t="s">
        <v>9095</v>
      </c>
      <c r="H7465" s="26">
        <v>-8.7150000000000005E-2</v>
      </c>
      <c r="I7465" s="26"/>
      <c r="J7465" s="26" t="s">
        <v>514</v>
      </c>
      <c r="K7465" s="25" t="s">
        <v>513</v>
      </c>
    </row>
    <row r="7466" spans="1:11" ht="25.5" x14ac:dyDescent="0.25">
      <c r="A7466" s="22">
        <v>2026</v>
      </c>
      <c r="B7466" s="28" t="s">
        <v>249</v>
      </c>
      <c r="C7466" s="28" t="s">
        <v>97</v>
      </c>
      <c r="D7466" s="28" t="s">
        <v>225</v>
      </c>
      <c r="E7466" s="29" t="s">
        <v>1774</v>
      </c>
      <c r="F7466" s="29" t="s">
        <v>412</v>
      </c>
      <c r="G7466" s="25" t="s">
        <v>9096</v>
      </c>
      <c r="H7466" s="26">
        <v>-0.29499999999999998</v>
      </c>
      <c r="I7466" s="26"/>
      <c r="J7466" s="26" t="s">
        <v>512</v>
      </c>
      <c r="K7466" s="25" t="s">
        <v>513</v>
      </c>
    </row>
    <row r="7467" spans="1:11" ht="25.5" x14ac:dyDescent="0.25">
      <c r="A7467" s="22">
        <v>2026</v>
      </c>
      <c r="B7467" s="28" t="s">
        <v>249</v>
      </c>
      <c r="C7467" s="28" t="s">
        <v>97</v>
      </c>
      <c r="D7467" s="28" t="s">
        <v>225</v>
      </c>
      <c r="E7467" s="29" t="s">
        <v>1774</v>
      </c>
      <c r="F7467" s="29" t="s">
        <v>412</v>
      </c>
      <c r="G7467" s="25" t="s">
        <v>9097</v>
      </c>
      <c r="H7467" s="26">
        <v>-1.08</v>
      </c>
      <c r="I7467" s="26"/>
      <c r="J7467" s="26" t="s">
        <v>512</v>
      </c>
      <c r="K7467" s="25" t="s">
        <v>513</v>
      </c>
    </row>
    <row r="7468" spans="1:11" ht="25.5" x14ac:dyDescent="0.25">
      <c r="A7468" s="22">
        <v>2026</v>
      </c>
      <c r="B7468" s="28" t="s">
        <v>249</v>
      </c>
      <c r="C7468" s="28" t="s">
        <v>97</v>
      </c>
      <c r="D7468" s="28" t="s">
        <v>225</v>
      </c>
      <c r="E7468" s="29" t="s">
        <v>1774</v>
      </c>
      <c r="F7468" s="29" t="s">
        <v>412</v>
      </c>
      <c r="G7468" s="25" t="s">
        <v>9098</v>
      </c>
      <c r="H7468" s="26">
        <v>-0.54</v>
      </c>
      <c r="I7468" s="26"/>
      <c r="J7468" s="26" t="s">
        <v>512</v>
      </c>
      <c r="K7468" s="25" t="s">
        <v>513</v>
      </c>
    </row>
    <row r="7469" spans="1:11" ht="25.5" x14ac:dyDescent="0.25">
      <c r="A7469" s="22">
        <v>2026</v>
      </c>
      <c r="B7469" s="28" t="s">
        <v>249</v>
      </c>
      <c r="C7469" s="28" t="s">
        <v>97</v>
      </c>
      <c r="D7469" s="28" t="s">
        <v>1728</v>
      </c>
      <c r="E7469" s="29" t="s">
        <v>1775</v>
      </c>
      <c r="F7469" s="29" t="s">
        <v>374</v>
      </c>
      <c r="G7469" s="25" t="s">
        <v>9099</v>
      </c>
      <c r="H7469" s="26">
        <v>-0.20849999999999999</v>
      </c>
      <c r="I7469" s="26"/>
      <c r="J7469" s="26" t="s">
        <v>514</v>
      </c>
      <c r="K7469" s="25" t="s">
        <v>513</v>
      </c>
    </row>
    <row r="7470" spans="1:11" ht="25.5" x14ac:dyDescent="0.25">
      <c r="A7470" s="22">
        <v>2026</v>
      </c>
      <c r="B7470" s="28" t="s">
        <v>249</v>
      </c>
      <c r="C7470" s="28" t="s">
        <v>97</v>
      </c>
      <c r="D7470" s="28" t="s">
        <v>1728</v>
      </c>
      <c r="E7470" s="29" t="s">
        <v>1775</v>
      </c>
      <c r="F7470" s="29" t="s">
        <v>374</v>
      </c>
      <c r="G7470" s="25" t="s">
        <v>9100</v>
      </c>
      <c r="H7470" s="26">
        <v>-0.20895</v>
      </c>
      <c r="I7470" s="26"/>
      <c r="J7470" s="26" t="s">
        <v>514</v>
      </c>
      <c r="K7470" s="25" t="s">
        <v>513</v>
      </c>
    </row>
    <row r="7471" spans="1:11" ht="25.5" x14ac:dyDescent="0.25">
      <c r="A7471" s="22">
        <v>2026</v>
      </c>
      <c r="B7471" s="28" t="s">
        <v>249</v>
      </c>
      <c r="C7471" s="28" t="s">
        <v>97</v>
      </c>
      <c r="D7471" s="28" t="s">
        <v>1728</v>
      </c>
      <c r="E7471" s="29" t="s">
        <v>1775</v>
      </c>
      <c r="F7471" s="29" t="s">
        <v>374</v>
      </c>
      <c r="G7471" s="25" t="s">
        <v>9101</v>
      </c>
      <c r="H7471" s="26">
        <v>-0.20910000000000001</v>
      </c>
      <c r="I7471" s="26"/>
      <c r="J7471" s="26" t="s">
        <v>514</v>
      </c>
      <c r="K7471" s="25" t="s">
        <v>513</v>
      </c>
    </row>
    <row r="7472" spans="1:11" ht="25.5" x14ac:dyDescent="0.25">
      <c r="A7472" s="22">
        <v>2026</v>
      </c>
      <c r="B7472" s="28" t="s">
        <v>249</v>
      </c>
      <c r="C7472" s="28" t="s">
        <v>97</v>
      </c>
      <c r="D7472" s="28" t="s">
        <v>1728</v>
      </c>
      <c r="E7472" s="29" t="s">
        <v>1775</v>
      </c>
      <c r="F7472" s="29" t="s">
        <v>374</v>
      </c>
      <c r="G7472" s="25" t="s">
        <v>9099</v>
      </c>
      <c r="H7472" s="26">
        <v>-0.20849999999999999</v>
      </c>
      <c r="I7472" s="26"/>
      <c r="J7472" s="26" t="s">
        <v>514</v>
      </c>
      <c r="K7472" s="25" t="s">
        <v>513</v>
      </c>
    </row>
    <row r="7473" spans="1:11" ht="25.5" x14ac:dyDescent="0.25">
      <c r="A7473" s="22">
        <v>2026</v>
      </c>
      <c r="B7473" s="28" t="s">
        <v>249</v>
      </c>
      <c r="C7473" s="28" t="s">
        <v>97</v>
      </c>
      <c r="D7473" s="28" t="s">
        <v>1728</v>
      </c>
      <c r="E7473" s="29" t="s">
        <v>1775</v>
      </c>
      <c r="F7473" s="29" t="s">
        <v>374</v>
      </c>
      <c r="G7473" s="25" t="s">
        <v>9101</v>
      </c>
      <c r="H7473" s="26">
        <v>-0.20910000000000001</v>
      </c>
      <c r="I7473" s="26"/>
      <c r="J7473" s="26" t="s">
        <v>514</v>
      </c>
      <c r="K7473" s="25" t="s">
        <v>513</v>
      </c>
    </row>
    <row r="7474" spans="1:11" ht="25.5" x14ac:dyDescent="0.25">
      <c r="A7474" s="22">
        <v>2026</v>
      </c>
      <c r="B7474" s="28" t="s">
        <v>249</v>
      </c>
      <c r="C7474" s="28" t="s">
        <v>97</v>
      </c>
      <c r="D7474" s="28" t="s">
        <v>1728</v>
      </c>
      <c r="E7474" s="29" t="s">
        <v>1775</v>
      </c>
      <c r="F7474" s="29" t="s">
        <v>374</v>
      </c>
      <c r="G7474" s="25" t="s">
        <v>9102</v>
      </c>
      <c r="H7474" s="26">
        <v>-0.20985000000000001</v>
      </c>
      <c r="I7474" s="26"/>
      <c r="J7474" s="26" t="s">
        <v>514</v>
      </c>
      <c r="K7474" s="25" t="s">
        <v>513</v>
      </c>
    </row>
    <row r="7475" spans="1:11" ht="25.5" x14ac:dyDescent="0.25">
      <c r="A7475" s="22">
        <v>2026</v>
      </c>
      <c r="B7475" s="28" t="s">
        <v>249</v>
      </c>
      <c r="C7475" s="28" t="s">
        <v>97</v>
      </c>
      <c r="D7475" s="28" t="s">
        <v>1729</v>
      </c>
      <c r="E7475" s="29" t="s">
        <v>334</v>
      </c>
      <c r="F7475" s="29" t="s">
        <v>937</v>
      </c>
      <c r="G7475" s="25" t="s">
        <v>9103</v>
      </c>
      <c r="H7475" s="26">
        <v>-0.27551999999999999</v>
      </c>
      <c r="I7475" s="26"/>
      <c r="J7475" s="26" t="s">
        <v>512</v>
      </c>
      <c r="K7475" s="25" t="s">
        <v>513</v>
      </c>
    </row>
    <row r="7476" spans="1:11" ht="25.5" x14ac:dyDescent="0.25">
      <c r="A7476" s="22">
        <v>2026</v>
      </c>
      <c r="B7476" s="28" t="s">
        <v>249</v>
      </c>
      <c r="C7476" s="28" t="s">
        <v>97</v>
      </c>
      <c r="D7476" s="28" t="s">
        <v>1729</v>
      </c>
      <c r="E7476" s="29" t="s">
        <v>334</v>
      </c>
      <c r="F7476" s="29" t="s">
        <v>937</v>
      </c>
      <c r="G7476" s="25" t="s">
        <v>9104</v>
      </c>
      <c r="H7476" s="26">
        <v>-0.38284000000000001</v>
      </c>
      <c r="I7476" s="26"/>
      <c r="J7476" s="26" t="s">
        <v>512</v>
      </c>
      <c r="K7476" s="25" t="s">
        <v>513</v>
      </c>
    </row>
    <row r="7477" spans="1:11" ht="25.5" x14ac:dyDescent="0.25">
      <c r="A7477" s="22">
        <v>2026</v>
      </c>
      <c r="B7477" s="28" t="s">
        <v>249</v>
      </c>
      <c r="C7477" s="28" t="s">
        <v>97</v>
      </c>
      <c r="D7477" s="28" t="s">
        <v>1729</v>
      </c>
      <c r="E7477" s="29" t="s">
        <v>334</v>
      </c>
      <c r="F7477" s="29" t="s">
        <v>937</v>
      </c>
      <c r="G7477" s="25" t="s">
        <v>2788</v>
      </c>
      <c r="H7477" s="26">
        <v>-0.47349999999999998</v>
      </c>
      <c r="I7477" s="26"/>
      <c r="J7477" s="26" t="s">
        <v>512</v>
      </c>
      <c r="K7477" s="25" t="s">
        <v>513</v>
      </c>
    </row>
    <row r="7478" spans="1:11" ht="25.5" x14ac:dyDescent="0.25">
      <c r="A7478" s="22">
        <v>2026</v>
      </c>
      <c r="B7478" s="28" t="s">
        <v>249</v>
      </c>
      <c r="C7478" s="28" t="s">
        <v>97</v>
      </c>
      <c r="D7478" s="28" t="s">
        <v>1729</v>
      </c>
      <c r="E7478" s="29" t="s">
        <v>334</v>
      </c>
      <c r="F7478" s="29" t="s">
        <v>937</v>
      </c>
      <c r="G7478" s="25" t="s">
        <v>9105</v>
      </c>
      <c r="H7478" s="26">
        <v>-0.59375</v>
      </c>
      <c r="I7478" s="26"/>
      <c r="J7478" s="26" t="s">
        <v>512</v>
      </c>
      <c r="K7478" s="25" t="s">
        <v>513</v>
      </c>
    </row>
    <row r="7479" spans="1:11" ht="25.5" x14ac:dyDescent="0.25">
      <c r="A7479" s="22">
        <v>2026</v>
      </c>
      <c r="B7479" s="28" t="s">
        <v>249</v>
      </c>
      <c r="C7479" s="28" t="s">
        <v>97</v>
      </c>
      <c r="D7479" s="28" t="s">
        <v>1729</v>
      </c>
      <c r="E7479" s="29" t="s">
        <v>334</v>
      </c>
      <c r="F7479" s="29" t="s">
        <v>937</v>
      </c>
      <c r="G7479" s="25" t="s">
        <v>9106</v>
      </c>
      <c r="H7479" s="26">
        <v>-0.24149999999999999</v>
      </c>
      <c r="I7479" s="26"/>
      <c r="J7479" s="26" t="s">
        <v>512</v>
      </c>
      <c r="K7479" s="25" t="s">
        <v>513</v>
      </c>
    </row>
    <row r="7480" spans="1:11" ht="25.5" x14ac:dyDescent="0.25">
      <c r="A7480" s="22">
        <v>2026</v>
      </c>
      <c r="B7480" s="28" t="s">
        <v>249</v>
      </c>
      <c r="C7480" s="28" t="s">
        <v>97</v>
      </c>
      <c r="D7480" s="28" t="s">
        <v>1730</v>
      </c>
      <c r="E7480" s="29" t="s">
        <v>309</v>
      </c>
      <c r="F7480" s="29" t="s">
        <v>1274</v>
      </c>
      <c r="G7480" s="25" t="s">
        <v>9107</v>
      </c>
      <c r="H7480" s="26">
        <v>-0.67913655039999998</v>
      </c>
      <c r="I7480" s="26"/>
      <c r="J7480" s="26" t="s">
        <v>512</v>
      </c>
      <c r="K7480" s="25" t="s">
        <v>513</v>
      </c>
    </row>
    <row r="7481" spans="1:11" ht="25.5" x14ac:dyDescent="0.25">
      <c r="A7481" s="22">
        <v>2026</v>
      </c>
      <c r="B7481" s="28" t="s">
        <v>249</v>
      </c>
      <c r="C7481" s="28" t="s">
        <v>97</v>
      </c>
      <c r="D7481" s="28" t="s">
        <v>1730</v>
      </c>
      <c r="E7481" s="29" t="s">
        <v>309</v>
      </c>
      <c r="F7481" s="29" t="s">
        <v>1274</v>
      </c>
      <c r="G7481" s="25" t="s">
        <v>9108</v>
      </c>
      <c r="H7481" s="26">
        <v>-0.73042200000000002</v>
      </c>
      <c r="I7481" s="26"/>
      <c r="J7481" s="26" t="s">
        <v>512</v>
      </c>
      <c r="K7481" s="25" t="s">
        <v>513</v>
      </c>
    </row>
    <row r="7482" spans="1:11" ht="25.5" x14ac:dyDescent="0.25">
      <c r="A7482" s="22">
        <v>2026</v>
      </c>
      <c r="B7482" s="28" t="s">
        <v>249</v>
      </c>
      <c r="C7482" s="28" t="s">
        <v>97</v>
      </c>
      <c r="D7482" s="28" t="s">
        <v>1730</v>
      </c>
      <c r="E7482" s="29" t="s">
        <v>309</v>
      </c>
      <c r="F7482" s="29" t="s">
        <v>1274</v>
      </c>
      <c r="G7482" s="25" t="s">
        <v>9109</v>
      </c>
      <c r="H7482" s="26">
        <v>-0.60548500000000005</v>
      </c>
      <c r="I7482" s="26"/>
      <c r="J7482" s="26" t="s">
        <v>512</v>
      </c>
      <c r="K7482" s="25" t="s">
        <v>513</v>
      </c>
    </row>
    <row r="7483" spans="1:11" ht="25.5" x14ac:dyDescent="0.25">
      <c r="A7483" s="22">
        <v>2026</v>
      </c>
      <c r="B7483" s="28" t="s">
        <v>249</v>
      </c>
      <c r="C7483" s="28" t="s">
        <v>97</v>
      </c>
      <c r="D7483" s="28" t="s">
        <v>1730</v>
      </c>
      <c r="E7483" s="29" t="s">
        <v>309</v>
      </c>
      <c r="F7483" s="29" t="s">
        <v>1274</v>
      </c>
      <c r="G7483" s="25" t="s">
        <v>9110</v>
      </c>
      <c r="H7483" s="26">
        <v>-0.60989499999999996</v>
      </c>
      <c r="I7483" s="26"/>
      <c r="J7483" s="26" t="s">
        <v>512</v>
      </c>
      <c r="K7483" s="25" t="s">
        <v>513</v>
      </c>
    </row>
    <row r="7484" spans="1:11" ht="25.5" x14ac:dyDescent="0.25">
      <c r="A7484" s="22">
        <v>2026</v>
      </c>
      <c r="B7484" s="28" t="s">
        <v>249</v>
      </c>
      <c r="C7484" s="28" t="s">
        <v>97</v>
      </c>
      <c r="D7484" s="28" t="s">
        <v>1730</v>
      </c>
      <c r="E7484" s="29" t="s">
        <v>309</v>
      </c>
      <c r="F7484" s="29" t="s">
        <v>1274</v>
      </c>
      <c r="G7484" s="25" t="s">
        <v>9111</v>
      </c>
      <c r="H7484" s="26">
        <v>-7.4991859399999999E-2</v>
      </c>
      <c r="I7484" s="26"/>
      <c r="J7484" s="26" t="s">
        <v>512</v>
      </c>
      <c r="K7484" s="25" t="s">
        <v>513</v>
      </c>
    </row>
    <row r="7485" spans="1:11" ht="25.5" x14ac:dyDescent="0.25">
      <c r="A7485" s="22">
        <v>2026</v>
      </c>
      <c r="B7485" s="28" t="s">
        <v>249</v>
      </c>
      <c r="C7485" s="28" t="s">
        <v>97</v>
      </c>
      <c r="D7485" s="28" t="s">
        <v>1730</v>
      </c>
      <c r="E7485" s="29" t="s">
        <v>309</v>
      </c>
      <c r="F7485" s="29" t="s">
        <v>1274</v>
      </c>
      <c r="G7485" s="25" t="s">
        <v>9112</v>
      </c>
      <c r="H7485" s="26">
        <v>-0.61139500000000002</v>
      </c>
      <c r="I7485" s="26"/>
      <c r="J7485" s="26" t="s">
        <v>512</v>
      </c>
      <c r="K7485" s="25" t="s">
        <v>513</v>
      </c>
    </row>
    <row r="7486" spans="1:11" ht="25.5" x14ac:dyDescent="0.25">
      <c r="A7486" s="22">
        <v>2026</v>
      </c>
      <c r="B7486" s="28" t="s">
        <v>249</v>
      </c>
      <c r="C7486" s="28" t="s">
        <v>97</v>
      </c>
      <c r="D7486" s="28" t="s">
        <v>1730</v>
      </c>
      <c r="E7486" s="29" t="s">
        <v>309</v>
      </c>
      <c r="F7486" s="29" t="s">
        <v>1274</v>
      </c>
      <c r="G7486" s="25" t="s">
        <v>9113</v>
      </c>
      <c r="H7486" s="26">
        <v>-0.48761199999999999</v>
      </c>
      <c r="I7486" s="26"/>
      <c r="J7486" s="26" t="s">
        <v>512</v>
      </c>
      <c r="K7486" s="25" t="s">
        <v>513</v>
      </c>
    </row>
    <row r="7487" spans="1:11" ht="25.5" x14ac:dyDescent="0.25">
      <c r="A7487" s="22">
        <v>2026</v>
      </c>
      <c r="B7487" s="28" t="s">
        <v>249</v>
      </c>
      <c r="C7487" s="28" t="s">
        <v>97</v>
      </c>
      <c r="D7487" s="28" t="s">
        <v>1730</v>
      </c>
      <c r="E7487" s="29" t="s">
        <v>309</v>
      </c>
      <c r="F7487" s="29" t="s">
        <v>1274</v>
      </c>
      <c r="G7487" s="25" t="s">
        <v>9114</v>
      </c>
      <c r="H7487" s="26">
        <v>-0.30334852800000001</v>
      </c>
      <c r="I7487" s="26"/>
      <c r="J7487" s="26" t="s">
        <v>512</v>
      </c>
      <c r="K7487" s="25" t="s">
        <v>513</v>
      </c>
    </row>
    <row r="7488" spans="1:11" ht="25.5" x14ac:dyDescent="0.25">
      <c r="A7488" s="22">
        <v>2026</v>
      </c>
      <c r="B7488" s="28" t="s">
        <v>249</v>
      </c>
      <c r="C7488" s="28" t="s">
        <v>97</v>
      </c>
      <c r="D7488" s="28" t="s">
        <v>1730</v>
      </c>
      <c r="E7488" s="29" t="s">
        <v>309</v>
      </c>
      <c r="F7488" s="29" t="s">
        <v>1274</v>
      </c>
      <c r="G7488" s="25" t="s">
        <v>9115</v>
      </c>
      <c r="H7488" s="26">
        <v>-0.71940000000000004</v>
      </c>
      <c r="I7488" s="26"/>
      <c r="J7488" s="26" t="s">
        <v>512</v>
      </c>
      <c r="K7488" s="25" t="s">
        <v>513</v>
      </c>
    </row>
    <row r="7489" spans="1:11" ht="25.5" x14ac:dyDescent="0.25">
      <c r="A7489" s="22">
        <v>2026</v>
      </c>
      <c r="B7489" s="28" t="s">
        <v>249</v>
      </c>
      <c r="C7489" s="28" t="s">
        <v>97</v>
      </c>
      <c r="D7489" s="28" t="s">
        <v>1730</v>
      </c>
      <c r="E7489" s="29" t="s">
        <v>309</v>
      </c>
      <c r="F7489" s="29" t="s">
        <v>1274</v>
      </c>
      <c r="G7489" s="25" t="s">
        <v>9116</v>
      </c>
      <c r="H7489" s="26">
        <v>-0.36901952639999996</v>
      </c>
      <c r="I7489" s="26"/>
      <c r="J7489" s="26" t="s">
        <v>512</v>
      </c>
      <c r="K7489" s="25" t="s">
        <v>513</v>
      </c>
    </row>
    <row r="7490" spans="1:11" ht="25.5" x14ac:dyDescent="0.25">
      <c r="A7490" s="22">
        <v>2026</v>
      </c>
      <c r="B7490" s="28" t="s">
        <v>249</v>
      </c>
      <c r="C7490" s="28" t="s">
        <v>97</v>
      </c>
      <c r="D7490" s="28" t="s">
        <v>1730</v>
      </c>
      <c r="E7490" s="29" t="s">
        <v>309</v>
      </c>
      <c r="F7490" s="29" t="s">
        <v>1274</v>
      </c>
      <c r="G7490" s="25" t="s">
        <v>9117</v>
      </c>
      <c r="H7490" s="26">
        <v>-0.6038</v>
      </c>
      <c r="I7490" s="26"/>
      <c r="J7490" s="26" t="s">
        <v>512</v>
      </c>
      <c r="K7490" s="25" t="s">
        <v>513</v>
      </c>
    </row>
    <row r="7491" spans="1:11" ht="25.5" x14ac:dyDescent="0.25">
      <c r="A7491" s="22">
        <v>2026</v>
      </c>
      <c r="B7491" s="28" t="s">
        <v>249</v>
      </c>
      <c r="C7491" s="28" t="s">
        <v>97</v>
      </c>
      <c r="D7491" s="28" t="s">
        <v>1730</v>
      </c>
      <c r="E7491" s="29" t="s">
        <v>309</v>
      </c>
      <c r="F7491" s="29" t="s">
        <v>1274</v>
      </c>
      <c r="G7491" s="25" t="s">
        <v>9118</v>
      </c>
      <c r="H7491" s="26">
        <v>-0.4258345</v>
      </c>
      <c r="I7491" s="26"/>
      <c r="J7491" s="26" t="s">
        <v>512</v>
      </c>
      <c r="K7491" s="25" t="s">
        <v>513</v>
      </c>
    </row>
    <row r="7492" spans="1:11" ht="25.5" x14ac:dyDescent="0.25">
      <c r="A7492" s="22">
        <v>2026</v>
      </c>
      <c r="B7492" s="28" t="s">
        <v>249</v>
      </c>
      <c r="C7492" s="28" t="s">
        <v>97</v>
      </c>
      <c r="D7492" s="28" t="s">
        <v>1730</v>
      </c>
      <c r="E7492" s="29" t="s">
        <v>309</v>
      </c>
      <c r="F7492" s="29" t="s">
        <v>1274</v>
      </c>
      <c r="G7492" s="25" t="s">
        <v>9119</v>
      </c>
      <c r="H7492" s="26">
        <v>-0.65384341619999997</v>
      </c>
      <c r="I7492" s="26"/>
      <c r="J7492" s="26" t="s">
        <v>512</v>
      </c>
      <c r="K7492" s="25" t="s">
        <v>513</v>
      </c>
    </row>
    <row r="7493" spans="1:11" ht="25.5" x14ac:dyDescent="0.25">
      <c r="A7493" s="22">
        <v>2026</v>
      </c>
      <c r="B7493" s="28" t="s">
        <v>249</v>
      </c>
      <c r="C7493" s="28" t="s">
        <v>97</v>
      </c>
      <c r="D7493" s="28" t="s">
        <v>1730</v>
      </c>
      <c r="E7493" s="29" t="s">
        <v>309</v>
      </c>
      <c r="F7493" s="29" t="s">
        <v>1274</v>
      </c>
      <c r="G7493" s="25" t="s">
        <v>9120</v>
      </c>
      <c r="H7493" s="26">
        <v>-0.59228894430000001</v>
      </c>
      <c r="I7493" s="26"/>
      <c r="J7493" s="26" t="s">
        <v>512</v>
      </c>
      <c r="K7493" s="25" t="s">
        <v>513</v>
      </c>
    </row>
    <row r="7494" spans="1:11" ht="25.5" x14ac:dyDescent="0.25">
      <c r="A7494" s="22">
        <v>2026</v>
      </c>
      <c r="B7494" s="28" t="s">
        <v>249</v>
      </c>
      <c r="C7494" s="28" t="s">
        <v>97</v>
      </c>
      <c r="D7494" s="28" t="s">
        <v>1730</v>
      </c>
      <c r="E7494" s="29" t="s">
        <v>309</v>
      </c>
      <c r="F7494" s="29" t="s">
        <v>1274</v>
      </c>
      <c r="G7494" s="25" t="s">
        <v>9121</v>
      </c>
      <c r="H7494" s="26">
        <v>-0.89541000000000004</v>
      </c>
      <c r="I7494" s="26"/>
      <c r="J7494" s="26" t="s">
        <v>512</v>
      </c>
      <c r="K7494" s="25" t="s">
        <v>513</v>
      </c>
    </row>
    <row r="7495" spans="1:11" ht="25.5" x14ac:dyDescent="0.25">
      <c r="A7495" s="22">
        <v>2026</v>
      </c>
      <c r="B7495" s="28" t="s">
        <v>249</v>
      </c>
      <c r="C7495" s="28" t="s">
        <v>97</v>
      </c>
      <c r="D7495" s="28" t="s">
        <v>1730</v>
      </c>
      <c r="E7495" s="29" t="s">
        <v>309</v>
      </c>
      <c r="F7495" s="29" t="s">
        <v>1274</v>
      </c>
      <c r="G7495" s="25" t="s">
        <v>9122</v>
      </c>
      <c r="H7495" s="26">
        <v>-0.47389999999999999</v>
      </c>
      <c r="I7495" s="26"/>
      <c r="J7495" s="26" t="s">
        <v>512</v>
      </c>
      <c r="K7495" s="25" t="s">
        <v>513</v>
      </c>
    </row>
    <row r="7496" spans="1:11" ht="25.5" x14ac:dyDescent="0.25">
      <c r="A7496" s="22">
        <v>2026</v>
      </c>
      <c r="B7496" s="28" t="s">
        <v>249</v>
      </c>
      <c r="C7496" s="28" t="s">
        <v>97</v>
      </c>
      <c r="D7496" s="28" t="s">
        <v>1731</v>
      </c>
      <c r="E7496" s="29" t="s">
        <v>309</v>
      </c>
      <c r="F7496" s="29" t="s">
        <v>1762</v>
      </c>
      <c r="G7496" s="25" t="s">
        <v>9123</v>
      </c>
      <c r="H7496" s="26">
        <v>-1.9706515000000001E-2</v>
      </c>
      <c r="I7496" s="26"/>
      <c r="J7496" s="26" t="s">
        <v>512</v>
      </c>
      <c r="K7496" s="25" t="s">
        <v>513</v>
      </c>
    </row>
    <row r="7497" spans="1:11" ht="25.5" x14ac:dyDescent="0.25">
      <c r="A7497" s="22">
        <v>2026</v>
      </c>
      <c r="B7497" s="28" t="s">
        <v>249</v>
      </c>
      <c r="C7497" s="28" t="s">
        <v>97</v>
      </c>
      <c r="D7497" s="28" t="s">
        <v>1731</v>
      </c>
      <c r="E7497" s="29" t="s">
        <v>309</v>
      </c>
      <c r="F7497" s="29" t="s">
        <v>1762</v>
      </c>
      <c r="G7497" s="25" t="s">
        <v>9124</v>
      </c>
      <c r="H7497" s="26">
        <v>-0.2517038928</v>
      </c>
      <c r="I7497" s="26"/>
      <c r="J7497" s="26" t="s">
        <v>512</v>
      </c>
      <c r="K7497" s="25" t="s">
        <v>513</v>
      </c>
    </row>
    <row r="7498" spans="1:11" ht="25.5" x14ac:dyDescent="0.25">
      <c r="A7498" s="22">
        <v>2026</v>
      </c>
      <c r="B7498" s="28" t="s">
        <v>249</v>
      </c>
      <c r="C7498" s="28" t="s">
        <v>97</v>
      </c>
      <c r="D7498" s="28" t="s">
        <v>1731</v>
      </c>
      <c r="E7498" s="29" t="s">
        <v>309</v>
      </c>
      <c r="F7498" s="29" t="s">
        <v>1762</v>
      </c>
      <c r="G7498" s="25" t="s">
        <v>9125</v>
      </c>
      <c r="H7498" s="26">
        <v>-0.26922000000000001</v>
      </c>
      <c r="I7498" s="26"/>
      <c r="J7498" s="26" t="s">
        <v>512</v>
      </c>
      <c r="K7498" s="25" t="s">
        <v>513</v>
      </c>
    </row>
    <row r="7499" spans="1:11" ht="25.5" x14ac:dyDescent="0.25">
      <c r="A7499" s="22">
        <v>2026</v>
      </c>
      <c r="B7499" s="28" t="s">
        <v>249</v>
      </c>
      <c r="C7499" s="28" t="s">
        <v>97</v>
      </c>
      <c r="D7499" s="28" t="s">
        <v>179</v>
      </c>
      <c r="E7499" s="29" t="s">
        <v>309</v>
      </c>
      <c r="F7499" s="29" t="s">
        <v>287</v>
      </c>
      <c r="G7499" s="25" t="s">
        <v>9142</v>
      </c>
      <c r="H7499" s="26">
        <v>-7.0175000000000001E-2</v>
      </c>
      <c r="I7499" s="26"/>
      <c r="J7499" s="26" t="s">
        <v>512</v>
      </c>
      <c r="K7499" s="25" t="s">
        <v>513</v>
      </c>
    </row>
    <row r="7500" spans="1:11" ht="25.5" x14ac:dyDescent="0.25">
      <c r="A7500" s="22">
        <v>2026</v>
      </c>
      <c r="B7500" s="28" t="s">
        <v>249</v>
      </c>
      <c r="C7500" s="28" t="s">
        <v>97</v>
      </c>
      <c r="D7500" s="28" t="s">
        <v>179</v>
      </c>
      <c r="E7500" s="29" t="s">
        <v>309</v>
      </c>
      <c r="F7500" s="29" t="s">
        <v>287</v>
      </c>
      <c r="G7500" s="25" t="s">
        <v>9143</v>
      </c>
      <c r="H7500" s="26">
        <v>-0.60738000000000003</v>
      </c>
      <c r="I7500" s="26"/>
      <c r="J7500" s="26" t="s">
        <v>512</v>
      </c>
      <c r="K7500" s="25" t="s">
        <v>513</v>
      </c>
    </row>
    <row r="7501" spans="1:11" ht="25.5" x14ac:dyDescent="0.25">
      <c r="A7501" s="22">
        <v>2026</v>
      </c>
      <c r="B7501" s="28" t="s">
        <v>249</v>
      </c>
      <c r="C7501" s="28" t="s">
        <v>97</v>
      </c>
      <c r="D7501" s="28" t="s">
        <v>179</v>
      </c>
      <c r="E7501" s="29" t="s">
        <v>309</v>
      </c>
      <c r="F7501" s="29" t="s">
        <v>287</v>
      </c>
      <c r="G7501" s="25" t="s">
        <v>9144</v>
      </c>
      <c r="H7501" s="26">
        <v>-0.39913999999999999</v>
      </c>
      <c r="I7501" s="26"/>
      <c r="J7501" s="26" t="s">
        <v>512</v>
      </c>
      <c r="K7501" s="25" t="s">
        <v>513</v>
      </c>
    </row>
    <row r="7502" spans="1:11" ht="25.5" x14ac:dyDescent="0.25">
      <c r="A7502" s="22">
        <v>2026</v>
      </c>
      <c r="B7502" s="28" t="s">
        <v>249</v>
      </c>
      <c r="C7502" s="28" t="s">
        <v>97</v>
      </c>
      <c r="D7502" s="28" t="s">
        <v>1732</v>
      </c>
      <c r="E7502" s="29" t="s">
        <v>309</v>
      </c>
      <c r="F7502" s="29" t="s">
        <v>287</v>
      </c>
      <c r="G7502" s="25" t="s">
        <v>9126</v>
      </c>
      <c r="H7502" s="26">
        <v>-0.39300000000000002</v>
      </c>
      <c r="I7502" s="26"/>
      <c r="J7502" s="26" t="s">
        <v>512</v>
      </c>
      <c r="K7502" s="25" t="s">
        <v>513</v>
      </c>
    </row>
    <row r="7503" spans="1:11" ht="25.5" x14ac:dyDescent="0.25">
      <c r="A7503" s="22">
        <v>2026</v>
      </c>
      <c r="B7503" s="28" t="s">
        <v>249</v>
      </c>
      <c r="C7503" s="28" t="s">
        <v>97</v>
      </c>
      <c r="D7503" s="28" t="s">
        <v>1732</v>
      </c>
      <c r="E7503" s="29" t="s">
        <v>309</v>
      </c>
      <c r="F7503" s="29" t="s">
        <v>287</v>
      </c>
      <c r="G7503" s="25" t="s">
        <v>9127</v>
      </c>
      <c r="H7503" s="26">
        <v>-1.1413446</v>
      </c>
      <c r="I7503" s="26"/>
      <c r="J7503" s="26" t="s">
        <v>512</v>
      </c>
      <c r="K7503" s="25" t="s">
        <v>513</v>
      </c>
    </row>
    <row r="7504" spans="1:11" ht="25.5" x14ac:dyDescent="0.25">
      <c r="A7504" s="22">
        <v>2026</v>
      </c>
      <c r="B7504" s="28" t="s">
        <v>249</v>
      </c>
      <c r="C7504" s="28" t="s">
        <v>97</v>
      </c>
      <c r="D7504" s="28" t="s">
        <v>1733</v>
      </c>
      <c r="E7504" s="29" t="s">
        <v>309</v>
      </c>
      <c r="F7504" s="29" t="s">
        <v>474</v>
      </c>
      <c r="G7504" s="25" t="s">
        <v>9128</v>
      </c>
      <c r="H7504" s="26">
        <v>-0.16284886499999998</v>
      </c>
      <c r="I7504" s="26"/>
      <c r="J7504" s="26" t="s">
        <v>512</v>
      </c>
      <c r="K7504" s="25" t="s">
        <v>513</v>
      </c>
    </row>
    <row r="7505" spans="1:11" ht="25.5" x14ac:dyDescent="0.25">
      <c r="A7505" s="22">
        <v>2026</v>
      </c>
      <c r="B7505" s="28" t="s">
        <v>249</v>
      </c>
      <c r="C7505" s="28" t="s">
        <v>97</v>
      </c>
      <c r="D7505" s="28" t="s">
        <v>1733</v>
      </c>
      <c r="E7505" s="29" t="s">
        <v>309</v>
      </c>
      <c r="F7505" s="29" t="s">
        <v>474</v>
      </c>
      <c r="G7505" s="25" t="s">
        <v>9129</v>
      </c>
      <c r="H7505" s="26">
        <v>-0.15305676308999999</v>
      </c>
      <c r="I7505" s="26"/>
      <c r="J7505" s="26" t="s">
        <v>512</v>
      </c>
      <c r="K7505" s="25" t="s">
        <v>513</v>
      </c>
    </row>
    <row r="7506" spans="1:11" ht="25.5" x14ac:dyDescent="0.25">
      <c r="A7506" s="22">
        <v>2026</v>
      </c>
      <c r="B7506" s="28" t="s">
        <v>249</v>
      </c>
      <c r="C7506" s="28" t="s">
        <v>97</v>
      </c>
      <c r="D7506" s="28" t="s">
        <v>1733</v>
      </c>
      <c r="E7506" s="29" t="s">
        <v>309</v>
      </c>
      <c r="F7506" s="29" t="s">
        <v>474</v>
      </c>
      <c r="G7506" s="25" t="s">
        <v>9130</v>
      </c>
      <c r="H7506" s="26">
        <v>-0.34047990908999998</v>
      </c>
      <c r="I7506" s="26"/>
      <c r="J7506" s="26" t="s">
        <v>512</v>
      </c>
      <c r="K7506" s="25" t="s">
        <v>513</v>
      </c>
    </row>
    <row r="7507" spans="1:11" ht="25.5" x14ac:dyDescent="0.25">
      <c r="A7507" s="22">
        <v>2026</v>
      </c>
      <c r="B7507" s="28" t="s">
        <v>249</v>
      </c>
      <c r="C7507" s="28" t="s">
        <v>97</v>
      </c>
      <c r="D7507" s="28" t="s">
        <v>1733</v>
      </c>
      <c r="E7507" s="29" t="s">
        <v>309</v>
      </c>
      <c r="F7507" s="29" t="s">
        <v>474</v>
      </c>
      <c r="G7507" s="25" t="s">
        <v>9131</v>
      </c>
      <c r="H7507" s="26">
        <v>-8.5736686079999999E-2</v>
      </c>
      <c r="I7507" s="26"/>
      <c r="J7507" s="26" t="s">
        <v>512</v>
      </c>
      <c r="K7507" s="25" t="s">
        <v>513</v>
      </c>
    </row>
    <row r="7508" spans="1:11" ht="25.5" x14ac:dyDescent="0.25">
      <c r="A7508" s="22">
        <v>2026</v>
      </c>
      <c r="B7508" s="28" t="s">
        <v>249</v>
      </c>
      <c r="C7508" s="28" t="s">
        <v>97</v>
      </c>
      <c r="D7508" s="28" t="s">
        <v>1733</v>
      </c>
      <c r="E7508" s="29" t="s">
        <v>309</v>
      </c>
      <c r="F7508" s="29" t="s">
        <v>474</v>
      </c>
      <c r="G7508" s="25" t="s">
        <v>9132</v>
      </c>
      <c r="H7508" s="26">
        <v>-5.0910699999999996E-2</v>
      </c>
      <c r="I7508" s="26"/>
      <c r="J7508" s="26" t="s">
        <v>512</v>
      </c>
      <c r="K7508" s="25" t="s">
        <v>513</v>
      </c>
    </row>
    <row r="7509" spans="1:11" ht="25.5" x14ac:dyDescent="0.25">
      <c r="A7509" s="22">
        <v>2026</v>
      </c>
      <c r="B7509" s="28" t="s">
        <v>249</v>
      </c>
      <c r="C7509" s="28" t="s">
        <v>97</v>
      </c>
      <c r="D7509" s="28" t="s">
        <v>1733</v>
      </c>
      <c r="E7509" s="29" t="s">
        <v>309</v>
      </c>
      <c r="F7509" s="29" t="s">
        <v>474</v>
      </c>
      <c r="G7509" s="25" t="s">
        <v>9133</v>
      </c>
      <c r="H7509" s="26">
        <v>-4.2840777329999996E-2</v>
      </c>
      <c r="I7509" s="26"/>
      <c r="J7509" s="26" t="s">
        <v>512</v>
      </c>
      <c r="K7509" s="25" t="s">
        <v>513</v>
      </c>
    </row>
    <row r="7510" spans="1:11" ht="25.5" x14ac:dyDescent="0.25">
      <c r="A7510" s="22">
        <v>2026</v>
      </c>
      <c r="B7510" s="28" t="s">
        <v>249</v>
      </c>
      <c r="C7510" s="28" t="s">
        <v>97</v>
      </c>
      <c r="D7510" s="28" t="s">
        <v>1733</v>
      </c>
      <c r="E7510" s="29" t="s">
        <v>309</v>
      </c>
      <c r="F7510" s="29" t="s">
        <v>474</v>
      </c>
      <c r="G7510" s="25" t="s">
        <v>9134</v>
      </c>
      <c r="H7510" s="26">
        <v>-0.21830985920000001</v>
      </c>
      <c r="I7510" s="26"/>
      <c r="J7510" s="26" t="s">
        <v>512</v>
      </c>
      <c r="K7510" s="25" t="s">
        <v>513</v>
      </c>
    </row>
    <row r="7511" spans="1:11" ht="25.5" x14ac:dyDescent="0.25">
      <c r="A7511" s="22">
        <v>2026</v>
      </c>
      <c r="B7511" s="28" t="s">
        <v>249</v>
      </c>
      <c r="C7511" s="28" t="s">
        <v>97</v>
      </c>
      <c r="D7511" s="28" t="s">
        <v>1733</v>
      </c>
      <c r="E7511" s="29" t="s">
        <v>309</v>
      </c>
      <c r="F7511" s="29" t="s">
        <v>474</v>
      </c>
      <c r="G7511" s="25" t="s">
        <v>9135</v>
      </c>
      <c r="H7511" s="26">
        <v>-0.62470999999999999</v>
      </c>
      <c r="I7511" s="26"/>
      <c r="J7511" s="26" t="s">
        <v>512</v>
      </c>
      <c r="K7511" s="25" t="s">
        <v>513</v>
      </c>
    </row>
    <row r="7512" spans="1:11" ht="25.5" x14ac:dyDescent="0.25">
      <c r="A7512" s="22">
        <v>2026</v>
      </c>
      <c r="B7512" s="28" t="s">
        <v>249</v>
      </c>
      <c r="C7512" s="28" t="s">
        <v>97</v>
      </c>
      <c r="D7512" s="28" t="s">
        <v>1733</v>
      </c>
      <c r="E7512" s="29" t="s">
        <v>309</v>
      </c>
      <c r="F7512" s="29" t="s">
        <v>474</v>
      </c>
      <c r="G7512" s="25" t="s">
        <v>9136</v>
      </c>
      <c r="H7512" s="26">
        <v>-0.59449413761000003</v>
      </c>
      <c r="I7512" s="26"/>
      <c r="J7512" s="26" t="s">
        <v>512</v>
      </c>
      <c r="K7512" s="25" t="s">
        <v>513</v>
      </c>
    </row>
    <row r="7513" spans="1:11" ht="25.5" x14ac:dyDescent="0.25">
      <c r="A7513" s="22">
        <v>2026</v>
      </c>
      <c r="B7513" s="28" t="s">
        <v>249</v>
      </c>
      <c r="C7513" s="28" t="s">
        <v>97</v>
      </c>
      <c r="D7513" s="28" t="s">
        <v>1733</v>
      </c>
      <c r="E7513" s="29" t="s">
        <v>309</v>
      </c>
      <c r="F7513" s="29" t="s">
        <v>474</v>
      </c>
      <c r="G7513" s="25" t="s">
        <v>9137</v>
      </c>
      <c r="H7513" s="26">
        <v>-0.29616608163999997</v>
      </c>
      <c r="I7513" s="26"/>
      <c r="J7513" s="26" t="s">
        <v>512</v>
      </c>
      <c r="K7513" s="25" t="s">
        <v>513</v>
      </c>
    </row>
    <row r="7514" spans="1:11" ht="25.5" x14ac:dyDescent="0.25">
      <c r="A7514" s="22">
        <v>2026</v>
      </c>
      <c r="B7514" s="28" t="s">
        <v>249</v>
      </c>
      <c r="C7514" s="28" t="s">
        <v>97</v>
      </c>
      <c r="D7514" s="28" t="s">
        <v>1733</v>
      </c>
      <c r="E7514" s="29" t="s">
        <v>309</v>
      </c>
      <c r="F7514" s="29" t="s">
        <v>474</v>
      </c>
      <c r="G7514" s="25" t="s">
        <v>9138</v>
      </c>
      <c r="H7514" s="26">
        <v>-4.6685794230000001E-2</v>
      </c>
      <c r="I7514" s="26"/>
      <c r="J7514" s="26" t="s">
        <v>512</v>
      </c>
      <c r="K7514" s="25" t="s">
        <v>513</v>
      </c>
    </row>
    <row r="7515" spans="1:11" ht="25.5" x14ac:dyDescent="0.25">
      <c r="A7515" s="22">
        <v>2026</v>
      </c>
      <c r="B7515" s="28" t="s">
        <v>249</v>
      </c>
      <c r="C7515" s="28" t="s">
        <v>97</v>
      </c>
      <c r="D7515" s="28" t="s">
        <v>1733</v>
      </c>
      <c r="E7515" s="29" t="s">
        <v>309</v>
      </c>
      <c r="F7515" s="29" t="s">
        <v>474</v>
      </c>
      <c r="G7515" s="25" t="s">
        <v>9139</v>
      </c>
      <c r="H7515" s="26">
        <v>-4.8542525999999996E-2</v>
      </c>
      <c r="I7515" s="26"/>
      <c r="J7515" s="26" t="s">
        <v>512</v>
      </c>
      <c r="K7515" s="25" t="s">
        <v>513</v>
      </c>
    </row>
    <row r="7516" spans="1:11" ht="25.5" x14ac:dyDescent="0.25">
      <c r="A7516" s="22">
        <v>2026</v>
      </c>
      <c r="B7516" s="28" t="s">
        <v>249</v>
      </c>
      <c r="C7516" s="28" t="s">
        <v>97</v>
      </c>
      <c r="D7516" s="28" t="s">
        <v>1733</v>
      </c>
      <c r="E7516" s="29" t="s">
        <v>309</v>
      </c>
      <c r="F7516" s="29" t="s">
        <v>474</v>
      </c>
      <c r="G7516" s="25" t="s">
        <v>9140</v>
      </c>
      <c r="H7516" s="26">
        <v>-4.6142481450000002E-2</v>
      </c>
      <c r="I7516" s="26"/>
      <c r="J7516" s="26" t="s">
        <v>512</v>
      </c>
      <c r="K7516" s="25" t="s">
        <v>513</v>
      </c>
    </row>
    <row r="7517" spans="1:11" ht="25.5" x14ac:dyDescent="0.25">
      <c r="A7517" s="22">
        <v>2026</v>
      </c>
      <c r="B7517" s="28" t="s">
        <v>249</v>
      </c>
      <c r="C7517" s="28" t="s">
        <v>97</v>
      </c>
      <c r="D7517" s="28" t="s">
        <v>1733</v>
      </c>
      <c r="E7517" s="29" t="s">
        <v>309</v>
      </c>
      <c r="F7517" s="29" t="s">
        <v>474</v>
      </c>
      <c r="G7517" s="25" t="s">
        <v>9141</v>
      </c>
      <c r="H7517" s="26">
        <v>-6.7187499999999997E-2</v>
      </c>
      <c r="I7517" s="26"/>
      <c r="J7517" s="26" t="s">
        <v>512</v>
      </c>
      <c r="K7517" s="25" t="s">
        <v>513</v>
      </c>
    </row>
    <row r="7518" spans="1:11" ht="25.5" x14ac:dyDescent="0.25">
      <c r="A7518" s="22">
        <v>2026</v>
      </c>
      <c r="B7518" s="28" t="s">
        <v>249</v>
      </c>
      <c r="C7518" s="28" t="s">
        <v>97</v>
      </c>
      <c r="D7518" s="28" t="s">
        <v>1734</v>
      </c>
      <c r="E7518" s="29" t="s">
        <v>309</v>
      </c>
      <c r="F7518" s="29" t="s">
        <v>903</v>
      </c>
      <c r="G7518" s="25" t="s">
        <v>9145</v>
      </c>
      <c r="H7518" s="26">
        <v>-8.8461100000000001E-2</v>
      </c>
      <c r="I7518" s="26"/>
      <c r="J7518" s="26" t="s">
        <v>512</v>
      </c>
      <c r="K7518" s="25" t="s">
        <v>513</v>
      </c>
    </row>
    <row r="7519" spans="1:11" ht="25.5" x14ac:dyDescent="0.25">
      <c r="A7519" s="22">
        <v>2026</v>
      </c>
      <c r="B7519" s="28" t="s">
        <v>249</v>
      </c>
      <c r="C7519" s="28" t="s">
        <v>97</v>
      </c>
      <c r="D7519" s="28" t="s">
        <v>1734</v>
      </c>
      <c r="E7519" s="29" t="s">
        <v>309</v>
      </c>
      <c r="F7519" s="29" t="s">
        <v>903</v>
      </c>
      <c r="G7519" s="25" t="s">
        <v>9146</v>
      </c>
      <c r="H7519" s="26">
        <v>-8.7400000000000005E-2</v>
      </c>
      <c r="I7519" s="26"/>
      <c r="J7519" s="26" t="s">
        <v>512</v>
      </c>
      <c r="K7519" s="25" t="s">
        <v>513</v>
      </c>
    </row>
    <row r="7520" spans="1:11" ht="25.5" x14ac:dyDescent="0.25">
      <c r="A7520" s="22">
        <v>2026</v>
      </c>
      <c r="B7520" s="28" t="s">
        <v>249</v>
      </c>
      <c r="C7520" s="28" t="s">
        <v>97</v>
      </c>
      <c r="D7520" s="28" t="s">
        <v>1735</v>
      </c>
      <c r="E7520" s="29" t="s">
        <v>309</v>
      </c>
      <c r="F7520" s="29" t="s">
        <v>566</v>
      </c>
      <c r="G7520" s="25" t="s">
        <v>9147</v>
      </c>
      <c r="H7520" s="26">
        <v>-0.40550000000000003</v>
      </c>
      <c r="I7520" s="26"/>
      <c r="J7520" s="26" t="s">
        <v>512</v>
      </c>
      <c r="K7520" s="25" t="s">
        <v>513</v>
      </c>
    </row>
    <row r="7521" spans="1:11" ht="25.5" x14ac:dyDescent="0.25">
      <c r="A7521" s="22">
        <v>2026</v>
      </c>
      <c r="B7521" s="28" t="s">
        <v>249</v>
      </c>
      <c r="C7521" s="28" t="s">
        <v>97</v>
      </c>
      <c r="D7521" s="28" t="s">
        <v>1735</v>
      </c>
      <c r="E7521" s="29" t="s">
        <v>309</v>
      </c>
      <c r="F7521" s="29" t="s">
        <v>566</v>
      </c>
      <c r="G7521" s="25" t="s">
        <v>9148</v>
      </c>
      <c r="H7521" s="26">
        <v>-0.81299999999999994</v>
      </c>
      <c r="I7521" s="26"/>
      <c r="J7521" s="26" t="s">
        <v>512</v>
      </c>
      <c r="K7521" s="25" t="s">
        <v>513</v>
      </c>
    </row>
    <row r="7522" spans="1:11" ht="25.5" x14ac:dyDescent="0.25">
      <c r="A7522" s="22">
        <v>2026</v>
      </c>
      <c r="B7522" s="28" t="s">
        <v>249</v>
      </c>
      <c r="C7522" s="28" t="s">
        <v>97</v>
      </c>
      <c r="D7522" s="28" t="s">
        <v>1735</v>
      </c>
      <c r="E7522" s="29" t="s">
        <v>309</v>
      </c>
      <c r="F7522" s="29" t="s">
        <v>566</v>
      </c>
      <c r="G7522" s="25" t="s">
        <v>9149</v>
      </c>
      <c r="H7522" s="26">
        <v>-1.01954375</v>
      </c>
      <c r="I7522" s="26"/>
      <c r="J7522" s="26" t="s">
        <v>512</v>
      </c>
      <c r="K7522" s="25" t="s">
        <v>513</v>
      </c>
    </row>
    <row r="7523" spans="1:11" ht="25.5" x14ac:dyDescent="0.25">
      <c r="A7523" s="22">
        <v>2026</v>
      </c>
      <c r="B7523" s="28" t="s">
        <v>249</v>
      </c>
      <c r="C7523" s="28" t="s">
        <v>97</v>
      </c>
      <c r="D7523" s="28" t="s">
        <v>1735</v>
      </c>
      <c r="E7523" s="29" t="s">
        <v>309</v>
      </c>
      <c r="F7523" s="29" t="s">
        <v>566</v>
      </c>
      <c r="G7523" s="25" t="s">
        <v>9150</v>
      </c>
      <c r="H7523" s="26">
        <v>-0.644208</v>
      </c>
      <c r="I7523" s="26"/>
      <c r="J7523" s="26" t="s">
        <v>512</v>
      </c>
      <c r="K7523" s="25" t="s">
        <v>513</v>
      </c>
    </row>
    <row r="7524" spans="1:11" ht="25.5" x14ac:dyDescent="0.25">
      <c r="A7524" s="22">
        <v>2026</v>
      </c>
      <c r="B7524" s="28" t="s">
        <v>249</v>
      </c>
      <c r="C7524" s="28" t="s">
        <v>97</v>
      </c>
      <c r="D7524" s="28" t="s">
        <v>1735</v>
      </c>
      <c r="E7524" s="29" t="s">
        <v>309</v>
      </c>
      <c r="F7524" s="29" t="s">
        <v>566</v>
      </c>
      <c r="G7524" s="25" t="s">
        <v>9151</v>
      </c>
      <c r="H7524" s="26">
        <v>-0.24179999999999999</v>
      </c>
      <c r="I7524" s="26"/>
      <c r="J7524" s="26" t="s">
        <v>512</v>
      </c>
      <c r="K7524" s="25" t="s">
        <v>513</v>
      </c>
    </row>
    <row r="7525" spans="1:11" ht="25.5" x14ac:dyDescent="0.25">
      <c r="A7525" s="22">
        <v>2026</v>
      </c>
      <c r="B7525" s="28" t="s">
        <v>249</v>
      </c>
      <c r="C7525" s="28" t="s">
        <v>97</v>
      </c>
      <c r="D7525" s="28" t="s">
        <v>1735</v>
      </c>
      <c r="E7525" s="29" t="s">
        <v>309</v>
      </c>
      <c r="F7525" s="29" t="s">
        <v>566</v>
      </c>
      <c r="G7525" s="25" t="s">
        <v>9152</v>
      </c>
      <c r="H7525" s="26">
        <v>-0.79053200000000001</v>
      </c>
      <c r="I7525" s="26"/>
      <c r="J7525" s="26" t="s">
        <v>512</v>
      </c>
      <c r="K7525" s="25" t="s">
        <v>513</v>
      </c>
    </row>
    <row r="7526" spans="1:11" ht="25.5" x14ac:dyDescent="0.25">
      <c r="A7526" s="22">
        <v>2026</v>
      </c>
      <c r="B7526" s="28" t="s">
        <v>249</v>
      </c>
      <c r="C7526" s="28" t="s">
        <v>97</v>
      </c>
      <c r="D7526" s="28" t="s">
        <v>1735</v>
      </c>
      <c r="E7526" s="29" t="s">
        <v>309</v>
      </c>
      <c r="F7526" s="29" t="s">
        <v>566</v>
      </c>
      <c r="G7526" s="25" t="s">
        <v>8012</v>
      </c>
      <c r="H7526" s="26">
        <v>-0.98250000000000004</v>
      </c>
      <c r="I7526" s="26"/>
      <c r="J7526" s="26" t="s">
        <v>512</v>
      </c>
      <c r="K7526" s="25" t="s">
        <v>513</v>
      </c>
    </row>
    <row r="7527" spans="1:11" ht="25.5" x14ac:dyDescent="0.25">
      <c r="A7527" s="22">
        <v>2026</v>
      </c>
      <c r="B7527" s="28" t="s">
        <v>249</v>
      </c>
      <c r="C7527" s="28" t="s">
        <v>97</v>
      </c>
      <c r="D7527" s="28" t="s">
        <v>1735</v>
      </c>
      <c r="E7527" s="29" t="s">
        <v>309</v>
      </c>
      <c r="F7527" s="29" t="s">
        <v>566</v>
      </c>
      <c r="G7527" s="25" t="s">
        <v>9153</v>
      </c>
      <c r="H7527" s="26">
        <v>-0.79200000000000004</v>
      </c>
      <c r="I7527" s="26"/>
      <c r="J7527" s="26" t="s">
        <v>512</v>
      </c>
      <c r="K7527" s="25" t="s">
        <v>513</v>
      </c>
    </row>
    <row r="7528" spans="1:11" ht="25.5" x14ac:dyDescent="0.25">
      <c r="A7528" s="22">
        <v>2026</v>
      </c>
      <c r="B7528" s="28" t="s">
        <v>249</v>
      </c>
      <c r="C7528" s="28" t="s">
        <v>97</v>
      </c>
      <c r="D7528" s="28" t="s">
        <v>1735</v>
      </c>
      <c r="E7528" s="29" t="s">
        <v>309</v>
      </c>
      <c r="F7528" s="29" t="s">
        <v>566</v>
      </c>
      <c r="G7528" s="25" t="s">
        <v>9154</v>
      </c>
      <c r="H7528" s="26">
        <v>-0.79300000000000004</v>
      </c>
      <c r="I7528" s="26"/>
      <c r="J7528" s="26" t="s">
        <v>512</v>
      </c>
      <c r="K7528" s="25" t="s">
        <v>513</v>
      </c>
    </row>
    <row r="7529" spans="1:11" ht="25.5" x14ac:dyDescent="0.25">
      <c r="A7529" s="22">
        <v>2026</v>
      </c>
      <c r="B7529" s="28" t="s">
        <v>249</v>
      </c>
      <c r="C7529" s="28" t="s">
        <v>97</v>
      </c>
      <c r="D7529" s="28" t="s">
        <v>1736</v>
      </c>
      <c r="E7529" s="29" t="s">
        <v>309</v>
      </c>
      <c r="F7529" s="29" t="s">
        <v>343</v>
      </c>
      <c r="G7529" s="25" t="s">
        <v>9155</v>
      </c>
      <c r="H7529" s="26">
        <v>-0.249441</v>
      </c>
      <c r="I7529" s="26"/>
      <c r="J7529" s="26" t="s">
        <v>512</v>
      </c>
      <c r="K7529" s="25" t="s">
        <v>513</v>
      </c>
    </row>
    <row r="7530" spans="1:11" ht="25.5" x14ac:dyDescent="0.25">
      <c r="A7530" s="22">
        <v>2026</v>
      </c>
      <c r="B7530" s="28" t="s">
        <v>249</v>
      </c>
      <c r="C7530" s="28" t="s">
        <v>97</v>
      </c>
      <c r="D7530" s="28" t="s">
        <v>1736</v>
      </c>
      <c r="E7530" s="29" t="s">
        <v>309</v>
      </c>
      <c r="F7530" s="29" t="s">
        <v>343</v>
      </c>
      <c r="G7530" s="25" t="s">
        <v>9156</v>
      </c>
      <c r="H7530" s="26">
        <v>-0.31504850000000001</v>
      </c>
      <c r="I7530" s="26"/>
      <c r="J7530" s="26" t="s">
        <v>512</v>
      </c>
      <c r="K7530" s="25" t="s">
        <v>513</v>
      </c>
    </row>
    <row r="7531" spans="1:11" ht="25.5" x14ac:dyDescent="0.25">
      <c r="A7531" s="22">
        <v>2026</v>
      </c>
      <c r="B7531" s="28" t="s">
        <v>249</v>
      </c>
      <c r="C7531" s="28" t="s">
        <v>97</v>
      </c>
      <c r="D7531" s="28" t="s">
        <v>1736</v>
      </c>
      <c r="E7531" s="29" t="s">
        <v>309</v>
      </c>
      <c r="F7531" s="29" t="s">
        <v>343</v>
      </c>
      <c r="G7531" s="25" t="s">
        <v>9157</v>
      </c>
      <c r="H7531" s="26">
        <v>-0.41643750000000002</v>
      </c>
      <c r="I7531" s="26"/>
      <c r="J7531" s="26" t="s">
        <v>512</v>
      </c>
      <c r="K7531" s="25" t="s">
        <v>513</v>
      </c>
    </row>
    <row r="7532" spans="1:11" ht="25.5" x14ac:dyDescent="0.25">
      <c r="A7532" s="22">
        <v>2026</v>
      </c>
      <c r="B7532" s="28" t="s">
        <v>249</v>
      </c>
      <c r="C7532" s="28" t="s">
        <v>97</v>
      </c>
      <c r="D7532" s="28" t="s">
        <v>1736</v>
      </c>
      <c r="E7532" s="29" t="s">
        <v>309</v>
      </c>
      <c r="F7532" s="29" t="s">
        <v>343</v>
      </c>
      <c r="G7532" s="25" t="s">
        <v>9158</v>
      </c>
      <c r="H7532" s="26">
        <v>-0.21602684999999999</v>
      </c>
      <c r="I7532" s="26"/>
      <c r="J7532" s="26" t="s">
        <v>512</v>
      </c>
      <c r="K7532" s="25" t="s">
        <v>513</v>
      </c>
    </row>
    <row r="7533" spans="1:11" ht="25.5" x14ac:dyDescent="0.25">
      <c r="A7533" s="22">
        <v>2026</v>
      </c>
      <c r="B7533" s="28" t="s">
        <v>249</v>
      </c>
      <c r="C7533" s="28" t="s">
        <v>97</v>
      </c>
      <c r="D7533" s="28" t="s">
        <v>1736</v>
      </c>
      <c r="E7533" s="29" t="s">
        <v>309</v>
      </c>
      <c r="F7533" s="29" t="s">
        <v>343</v>
      </c>
      <c r="G7533" s="25" t="s">
        <v>9159</v>
      </c>
      <c r="H7533" s="26">
        <v>-8.3181249999999998E-2</v>
      </c>
      <c r="I7533" s="26"/>
      <c r="J7533" s="26" t="s">
        <v>512</v>
      </c>
      <c r="K7533" s="25" t="s">
        <v>513</v>
      </c>
    </row>
    <row r="7534" spans="1:11" ht="25.5" x14ac:dyDescent="0.25">
      <c r="A7534" s="22">
        <v>2026</v>
      </c>
      <c r="B7534" s="28" t="s">
        <v>249</v>
      </c>
      <c r="C7534" s="28" t="s">
        <v>97</v>
      </c>
      <c r="D7534" s="28" t="s">
        <v>1736</v>
      </c>
      <c r="E7534" s="29" t="s">
        <v>309</v>
      </c>
      <c r="F7534" s="29" t="s">
        <v>343</v>
      </c>
      <c r="G7534" s="25" t="s">
        <v>9160</v>
      </c>
      <c r="H7534" s="26">
        <v>-0.36679059999999997</v>
      </c>
      <c r="I7534" s="26"/>
      <c r="J7534" s="26" t="s">
        <v>512</v>
      </c>
      <c r="K7534" s="25" t="s">
        <v>513</v>
      </c>
    </row>
    <row r="7535" spans="1:11" ht="25.5" x14ac:dyDescent="0.25">
      <c r="A7535" s="22">
        <v>2026</v>
      </c>
      <c r="B7535" s="28" t="s">
        <v>249</v>
      </c>
      <c r="C7535" s="28" t="s">
        <v>97</v>
      </c>
      <c r="D7535" s="28" t="s">
        <v>1736</v>
      </c>
      <c r="E7535" s="29" t="s">
        <v>309</v>
      </c>
      <c r="F7535" s="29" t="s">
        <v>343</v>
      </c>
      <c r="G7535" s="25" t="s">
        <v>9161</v>
      </c>
      <c r="H7535" s="26">
        <v>-0.17025000000000001</v>
      </c>
      <c r="I7535" s="26"/>
      <c r="J7535" s="26" t="s">
        <v>512</v>
      </c>
      <c r="K7535" s="25" t="s">
        <v>513</v>
      </c>
    </row>
    <row r="7536" spans="1:11" ht="25.5" x14ac:dyDescent="0.25">
      <c r="A7536" s="22">
        <v>2026</v>
      </c>
      <c r="B7536" s="28" t="s">
        <v>249</v>
      </c>
      <c r="C7536" s="28" t="s">
        <v>97</v>
      </c>
      <c r="D7536" s="28" t="s">
        <v>1736</v>
      </c>
      <c r="E7536" s="29" t="s">
        <v>309</v>
      </c>
      <c r="F7536" s="29" t="s">
        <v>343</v>
      </c>
      <c r="G7536" s="25" t="s">
        <v>8506</v>
      </c>
      <c r="H7536" s="26">
        <v>-0.16900000000000001</v>
      </c>
      <c r="I7536" s="26"/>
      <c r="J7536" s="26" t="s">
        <v>512</v>
      </c>
      <c r="K7536" s="25" t="s">
        <v>513</v>
      </c>
    </row>
    <row r="7537" spans="1:11" ht="25.5" x14ac:dyDescent="0.25">
      <c r="A7537" s="22">
        <v>2026</v>
      </c>
      <c r="B7537" s="28" t="s">
        <v>249</v>
      </c>
      <c r="C7537" s="28" t="s">
        <v>97</v>
      </c>
      <c r="D7537" s="28" t="s">
        <v>538</v>
      </c>
      <c r="E7537" s="29" t="s">
        <v>309</v>
      </c>
      <c r="F7537" s="29" t="s">
        <v>564</v>
      </c>
      <c r="G7537" s="25" t="s">
        <v>9162</v>
      </c>
      <c r="H7537" s="26">
        <v>-0.1581825</v>
      </c>
      <c r="I7537" s="26"/>
      <c r="J7537" s="26" t="s">
        <v>512</v>
      </c>
      <c r="K7537" s="25" t="s">
        <v>513</v>
      </c>
    </row>
    <row r="7538" spans="1:11" ht="25.5" x14ac:dyDescent="0.25">
      <c r="A7538" s="22">
        <v>2026</v>
      </c>
      <c r="B7538" s="28" t="s">
        <v>249</v>
      </c>
      <c r="C7538" s="28" t="s">
        <v>97</v>
      </c>
      <c r="D7538" s="28" t="s">
        <v>538</v>
      </c>
      <c r="E7538" s="29" t="s">
        <v>309</v>
      </c>
      <c r="F7538" s="29" t="s">
        <v>564</v>
      </c>
      <c r="G7538" s="25" t="s">
        <v>9163</v>
      </c>
      <c r="H7538" s="26">
        <v>-5.0656084300000001E-2</v>
      </c>
      <c r="I7538" s="26"/>
      <c r="J7538" s="26" t="s">
        <v>512</v>
      </c>
      <c r="K7538" s="25" t="s">
        <v>513</v>
      </c>
    </row>
    <row r="7539" spans="1:11" ht="25.5" x14ac:dyDescent="0.25">
      <c r="A7539" s="22">
        <v>2026</v>
      </c>
      <c r="B7539" s="28" t="s">
        <v>249</v>
      </c>
      <c r="C7539" s="28" t="s">
        <v>97</v>
      </c>
      <c r="D7539" s="28" t="s">
        <v>538</v>
      </c>
      <c r="E7539" s="29" t="s">
        <v>309</v>
      </c>
      <c r="F7539" s="29" t="s">
        <v>564</v>
      </c>
      <c r="G7539" s="25" t="s">
        <v>9164</v>
      </c>
      <c r="H7539" s="26">
        <v>-9.0999999999999998E-2</v>
      </c>
      <c r="I7539" s="26"/>
      <c r="J7539" s="26" t="s">
        <v>512</v>
      </c>
      <c r="K7539" s="25" t="s">
        <v>513</v>
      </c>
    </row>
    <row r="7540" spans="1:11" ht="25.5" x14ac:dyDescent="0.25">
      <c r="A7540" s="22">
        <v>2026</v>
      </c>
      <c r="B7540" s="28" t="s">
        <v>249</v>
      </c>
      <c r="C7540" s="28" t="s">
        <v>97</v>
      </c>
      <c r="D7540" s="28" t="s">
        <v>538</v>
      </c>
      <c r="E7540" s="29" t="s">
        <v>309</v>
      </c>
      <c r="F7540" s="29" t="s">
        <v>564</v>
      </c>
      <c r="G7540" s="25" t="s">
        <v>9165</v>
      </c>
      <c r="H7540" s="26">
        <v>-0.29770000000000002</v>
      </c>
      <c r="I7540" s="26"/>
      <c r="J7540" s="26" t="s">
        <v>512</v>
      </c>
      <c r="K7540" s="25" t="s">
        <v>513</v>
      </c>
    </row>
    <row r="7541" spans="1:11" ht="25.5" x14ac:dyDescent="0.25">
      <c r="A7541" s="22">
        <v>2026</v>
      </c>
      <c r="B7541" s="28" t="s">
        <v>249</v>
      </c>
      <c r="C7541" s="28" t="s">
        <v>97</v>
      </c>
      <c r="D7541" s="28" t="s">
        <v>538</v>
      </c>
      <c r="E7541" s="29" t="s">
        <v>309</v>
      </c>
      <c r="F7541" s="29" t="s">
        <v>564</v>
      </c>
      <c r="G7541" s="25" t="s">
        <v>9166</v>
      </c>
      <c r="H7541" s="26">
        <v>-0.2293365</v>
      </c>
      <c r="I7541" s="26"/>
      <c r="J7541" s="26" t="s">
        <v>512</v>
      </c>
      <c r="K7541" s="25" t="s">
        <v>513</v>
      </c>
    </row>
    <row r="7542" spans="1:11" ht="25.5" x14ac:dyDescent="0.25">
      <c r="A7542" s="22">
        <v>2026</v>
      </c>
      <c r="B7542" s="28" t="s">
        <v>249</v>
      </c>
      <c r="C7542" s="28" t="s">
        <v>97</v>
      </c>
      <c r="D7542" s="28" t="s">
        <v>538</v>
      </c>
      <c r="E7542" s="29" t="s">
        <v>309</v>
      </c>
      <c r="F7542" s="29" t="s">
        <v>564</v>
      </c>
      <c r="G7542" s="25" t="s">
        <v>9167</v>
      </c>
      <c r="H7542" s="26">
        <v>-0.22305</v>
      </c>
      <c r="I7542" s="26"/>
      <c r="J7542" s="26" t="s">
        <v>512</v>
      </c>
      <c r="K7542" s="25" t="s">
        <v>513</v>
      </c>
    </row>
    <row r="7543" spans="1:11" ht="25.5" x14ac:dyDescent="0.25">
      <c r="A7543" s="22">
        <v>2026</v>
      </c>
      <c r="B7543" s="28" t="s">
        <v>249</v>
      </c>
      <c r="C7543" s="28" t="s">
        <v>97</v>
      </c>
      <c r="D7543" s="28" t="s">
        <v>538</v>
      </c>
      <c r="E7543" s="29" t="s">
        <v>309</v>
      </c>
      <c r="F7543" s="29" t="s">
        <v>564</v>
      </c>
      <c r="G7543" s="25" t="s">
        <v>5713</v>
      </c>
      <c r="H7543" s="26">
        <v>-0.33300000000000002</v>
      </c>
      <c r="I7543" s="26"/>
      <c r="J7543" s="26" t="s">
        <v>512</v>
      </c>
      <c r="K7543" s="25" t="s">
        <v>513</v>
      </c>
    </row>
    <row r="7544" spans="1:11" ht="25.5" x14ac:dyDescent="0.25">
      <c r="A7544" s="22">
        <v>2026</v>
      </c>
      <c r="B7544" s="28" t="s">
        <v>249</v>
      </c>
      <c r="C7544" s="28" t="s">
        <v>97</v>
      </c>
      <c r="D7544" s="28" t="s">
        <v>538</v>
      </c>
      <c r="E7544" s="29" t="s">
        <v>309</v>
      </c>
      <c r="F7544" s="29" t="s">
        <v>564</v>
      </c>
      <c r="G7544" s="25" t="s">
        <v>9168</v>
      </c>
      <c r="H7544" s="26">
        <v>-0.33191850000000001</v>
      </c>
      <c r="I7544" s="26"/>
      <c r="J7544" s="26" t="s">
        <v>512</v>
      </c>
      <c r="K7544" s="25" t="s">
        <v>513</v>
      </c>
    </row>
    <row r="7545" spans="1:11" ht="25.5" x14ac:dyDescent="0.25">
      <c r="A7545" s="22">
        <v>2026</v>
      </c>
      <c r="B7545" s="28" t="s">
        <v>249</v>
      </c>
      <c r="C7545" s="28" t="s">
        <v>97</v>
      </c>
      <c r="D7545" s="28" t="s">
        <v>538</v>
      </c>
      <c r="E7545" s="29" t="s">
        <v>309</v>
      </c>
      <c r="F7545" s="29" t="s">
        <v>564</v>
      </c>
      <c r="G7545" s="25" t="s">
        <v>3308</v>
      </c>
      <c r="H7545" s="26">
        <v>-0.32850000000000001</v>
      </c>
      <c r="I7545" s="26"/>
      <c r="J7545" s="26" t="s">
        <v>512</v>
      </c>
      <c r="K7545" s="25" t="s">
        <v>513</v>
      </c>
    </row>
    <row r="7546" spans="1:11" ht="25.5" x14ac:dyDescent="0.25">
      <c r="A7546" s="22">
        <v>2026</v>
      </c>
      <c r="B7546" s="28" t="s">
        <v>249</v>
      </c>
      <c r="C7546" s="28" t="s">
        <v>97</v>
      </c>
      <c r="D7546" s="28" t="s">
        <v>538</v>
      </c>
      <c r="E7546" s="29" t="s">
        <v>309</v>
      </c>
      <c r="F7546" s="29" t="s">
        <v>564</v>
      </c>
      <c r="G7546" s="25" t="s">
        <v>9169</v>
      </c>
      <c r="H7546" s="26">
        <v>-0.14421</v>
      </c>
      <c r="I7546" s="26"/>
      <c r="J7546" s="26" t="s">
        <v>512</v>
      </c>
      <c r="K7546" s="25" t="s">
        <v>513</v>
      </c>
    </row>
    <row r="7547" spans="1:11" ht="25.5" x14ac:dyDescent="0.25">
      <c r="A7547" s="22">
        <v>2026</v>
      </c>
      <c r="B7547" s="28" t="s">
        <v>249</v>
      </c>
      <c r="C7547" s="28" t="s">
        <v>97</v>
      </c>
      <c r="D7547" s="28" t="s">
        <v>538</v>
      </c>
      <c r="E7547" s="29" t="s">
        <v>309</v>
      </c>
      <c r="F7547" s="29" t="s">
        <v>564</v>
      </c>
      <c r="G7547" s="25" t="s">
        <v>9170</v>
      </c>
      <c r="H7547" s="26">
        <v>-7.3144304999999993E-2</v>
      </c>
      <c r="I7547" s="26"/>
      <c r="J7547" s="26" t="s">
        <v>512</v>
      </c>
      <c r="K7547" s="25" t="s">
        <v>513</v>
      </c>
    </row>
    <row r="7548" spans="1:11" ht="25.5" x14ac:dyDescent="0.25">
      <c r="A7548" s="22">
        <v>2026</v>
      </c>
      <c r="B7548" s="28" t="s">
        <v>249</v>
      </c>
      <c r="C7548" s="28" t="s">
        <v>97</v>
      </c>
      <c r="D7548" s="28" t="s">
        <v>538</v>
      </c>
      <c r="E7548" s="29" t="s">
        <v>309</v>
      </c>
      <c r="F7548" s="29" t="s">
        <v>564</v>
      </c>
      <c r="G7548" s="25" t="s">
        <v>9171</v>
      </c>
      <c r="H7548" s="26">
        <v>-0.65299949999999995</v>
      </c>
      <c r="I7548" s="26"/>
      <c r="J7548" s="26" t="s">
        <v>512</v>
      </c>
      <c r="K7548" s="25" t="s">
        <v>513</v>
      </c>
    </row>
    <row r="7549" spans="1:11" ht="25.5" x14ac:dyDescent="0.25">
      <c r="A7549" s="22">
        <v>2026</v>
      </c>
      <c r="B7549" s="28" t="s">
        <v>249</v>
      </c>
      <c r="C7549" s="28" t="s">
        <v>97</v>
      </c>
      <c r="D7549" s="28" t="s">
        <v>538</v>
      </c>
      <c r="E7549" s="29" t="s">
        <v>309</v>
      </c>
      <c r="F7549" s="29" t="s">
        <v>564</v>
      </c>
      <c r="G7549" s="25" t="s">
        <v>9172</v>
      </c>
      <c r="H7549" s="26">
        <v>-2.544</v>
      </c>
      <c r="I7549" s="26"/>
      <c r="J7549" s="26" t="s">
        <v>512</v>
      </c>
      <c r="K7549" s="25" t="s">
        <v>513</v>
      </c>
    </row>
    <row r="7550" spans="1:11" ht="25.5" x14ac:dyDescent="0.25">
      <c r="A7550" s="22">
        <v>2026</v>
      </c>
      <c r="B7550" s="28" t="s">
        <v>249</v>
      </c>
      <c r="C7550" s="28" t="s">
        <v>97</v>
      </c>
      <c r="D7550" s="28" t="s">
        <v>538</v>
      </c>
      <c r="E7550" s="29" t="s">
        <v>309</v>
      </c>
      <c r="F7550" s="29" t="s">
        <v>564</v>
      </c>
      <c r="G7550" s="25" t="s">
        <v>9173</v>
      </c>
      <c r="H7550" s="26">
        <v>-0.430199</v>
      </c>
      <c r="I7550" s="26"/>
      <c r="J7550" s="26" t="s">
        <v>512</v>
      </c>
      <c r="K7550" s="25" t="s">
        <v>513</v>
      </c>
    </row>
    <row r="7551" spans="1:11" ht="25.5" x14ac:dyDescent="0.25">
      <c r="A7551" s="22">
        <v>2026</v>
      </c>
      <c r="B7551" s="28" t="s">
        <v>249</v>
      </c>
      <c r="C7551" s="28" t="s">
        <v>97</v>
      </c>
      <c r="D7551" s="28" t="s">
        <v>538</v>
      </c>
      <c r="E7551" s="29" t="s">
        <v>309</v>
      </c>
      <c r="F7551" s="29" t="s">
        <v>564</v>
      </c>
      <c r="G7551" s="25" t="s">
        <v>9174</v>
      </c>
      <c r="H7551" s="26">
        <v>-0.32480399999999998</v>
      </c>
      <c r="I7551" s="26"/>
      <c r="J7551" s="26" t="s">
        <v>512</v>
      </c>
      <c r="K7551" s="25" t="s">
        <v>513</v>
      </c>
    </row>
    <row r="7552" spans="1:11" ht="25.5" x14ac:dyDescent="0.25">
      <c r="A7552" s="22">
        <v>2026</v>
      </c>
      <c r="B7552" s="28" t="s">
        <v>249</v>
      </c>
      <c r="C7552" s="28" t="s">
        <v>97</v>
      </c>
      <c r="D7552" s="28" t="s">
        <v>538</v>
      </c>
      <c r="E7552" s="29" t="s">
        <v>309</v>
      </c>
      <c r="F7552" s="29" t="s">
        <v>564</v>
      </c>
      <c r="G7552" s="25" t="s">
        <v>9175</v>
      </c>
      <c r="H7552" s="26">
        <v>-0.21912499999999999</v>
      </c>
      <c r="I7552" s="26"/>
      <c r="J7552" s="26" t="s">
        <v>512</v>
      </c>
      <c r="K7552" s="25" t="s">
        <v>513</v>
      </c>
    </row>
    <row r="7553" spans="1:11" ht="25.5" x14ac:dyDescent="0.25">
      <c r="A7553" s="22">
        <v>2026</v>
      </c>
      <c r="B7553" s="28" t="s">
        <v>249</v>
      </c>
      <c r="C7553" s="28" t="s">
        <v>97</v>
      </c>
      <c r="D7553" s="28" t="s">
        <v>538</v>
      </c>
      <c r="E7553" s="29" t="s">
        <v>309</v>
      </c>
      <c r="F7553" s="29" t="s">
        <v>564</v>
      </c>
      <c r="G7553" s="25" t="s">
        <v>9176</v>
      </c>
      <c r="H7553" s="26">
        <v>-0.21602121617999998</v>
      </c>
      <c r="I7553" s="26"/>
      <c r="J7553" s="26" t="s">
        <v>512</v>
      </c>
      <c r="K7553" s="25" t="s">
        <v>513</v>
      </c>
    </row>
    <row r="7554" spans="1:11" ht="25.5" x14ac:dyDescent="0.25">
      <c r="A7554" s="22">
        <v>2026</v>
      </c>
      <c r="B7554" s="28" t="s">
        <v>249</v>
      </c>
      <c r="C7554" s="28" t="s">
        <v>97</v>
      </c>
      <c r="D7554" s="28" t="s">
        <v>538</v>
      </c>
      <c r="E7554" s="29" t="s">
        <v>309</v>
      </c>
      <c r="F7554" s="29" t="s">
        <v>564</v>
      </c>
      <c r="G7554" s="25" t="s">
        <v>9177</v>
      </c>
      <c r="H7554" s="26">
        <v>-0.21575800000000001</v>
      </c>
      <c r="I7554" s="26"/>
      <c r="J7554" s="26" t="s">
        <v>512</v>
      </c>
      <c r="K7554" s="25" t="s">
        <v>513</v>
      </c>
    </row>
    <row r="7555" spans="1:11" ht="25.5" x14ac:dyDescent="0.25">
      <c r="A7555" s="22">
        <v>2026</v>
      </c>
      <c r="B7555" s="28" t="s">
        <v>249</v>
      </c>
      <c r="C7555" s="28" t="s">
        <v>97</v>
      </c>
      <c r="D7555" s="28" t="s">
        <v>1737</v>
      </c>
      <c r="E7555" s="29" t="s">
        <v>569</v>
      </c>
      <c r="F7555" s="29" t="s">
        <v>353</v>
      </c>
      <c r="G7555" s="25" t="s">
        <v>9178</v>
      </c>
      <c r="H7555" s="26">
        <v>-0.25167590280000002</v>
      </c>
      <c r="I7555" s="26"/>
      <c r="J7555" s="26" t="s">
        <v>512</v>
      </c>
      <c r="K7555" s="25" t="s">
        <v>513</v>
      </c>
    </row>
    <row r="7556" spans="1:11" ht="25.5" x14ac:dyDescent="0.25">
      <c r="A7556" s="22">
        <v>2026</v>
      </c>
      <c r="B7556" s="28" t="s">
        <v>249</v>
      </c>
      <c r="C7556" s="28" t="s">
        <v>97</v>
      </c>
      <c r="D7556" s="28" t="s">
        <v>1737</v>
      </c>
      <c r="E7556" s="29" t="s">
        <v>569</v>
      </c>
      <c r="F7556" s="29" t="s">
        <v>353</v>
      </c>
      <c r="G7556" s="25" t="s">
        <v>9179</v>
      </c>
      <c r="H7556" s="26">
        <v>-0.27998809389999996</v>
      </c>
      <c r="I7556" s="26"/>
      <c r="J7556" s="26" t="s">
        <v>512</v>
      </c>
      <c r="K7556" s="25" t="s">
        <v>513</v>
      </c>
    </row>
    <row r="7557" spans="1:11" ht="25.5" x14ac:dyDescent="0.25">
      <c r="A7557" s="22">
        <v>2026</v>
      </c>
      <c r="B7557" s="28" t="s">
        <v>249</v>
      </c>
      <c r="C7557" s="28" t="s">
        <v>97</v>
      </c>
      <c r="D7557" s="28" t="s">
        <v>1737</v>
      </c>
      <c r="E7557" s="29" t="s">
        <v>569</v>
      </c>
      <c r="F7557" s="29" t="s">
        <v>353</v>
      </c>
      <c r="G7557" s="25" t="s">
        <v>9180</v>
      </c>
      <c r="H7557" s="26">
        <v>-0.22705128828000001</v>
      </c>
      <c r="I7557" s="26"/>
      <c r="J7557" s="26" t="s">
        <v>512</v>
      </c>
      <c r="K7557" s="25" t="s">
        <v>513</v>
      </c>
    </row>
    <row r="7558" spans="1:11" ht="25.5" x14ac:dyDescent="0.25">
      <c r="A7558" s="22">
        <v>2026</v>
      </c>
      <c r="B7558" s="28" t="s">
        <v>249</v>
      </c>
      <c r="C7558" s="28" t="s">
        <v>97</v>
      </c>
      <c r="D7558" s="28" t="s">
        <v>1737</v>
      </c>
      <c r="E7558" s="29" t="s">
        <v>569</v>
      </c>
      <c r="F7558" s="29" t="s">
        <v>353</v>
      </c>
      <c r="G7558" s="25" t="s">
        <v>9181</v>
      </c>
      <c r="H7558" s="26">
        <v>-0.12682529175999999</v>
      </c>
      <c r="I7558" s="26"/>
      <c r="J7558" s="26" t="s">
        <v>512</v>
      </c>
      <c r="K7558" s="25" t="s">
        <v>513</v>
      </c>
    </row>
    <row r="7559" spans="1:11" ht="25.5" x14ac:dyDescent="0.25">
      <c r="A7559" s="22">
        <v>2026</v>
      </c>
      <c r="B7559" s="28" t="s">
        <v>249</v>
      </c>
      <c r="C7559" s="28" t="s">
        <v>97</v>
      </c>
      <c r="D7559" s="28" t="s">
        <v>1738</v>
      </c>
      <c r="E7559" s="29" t="s">
        <v>309</v>
      </c>
      <c r="F7559" s="29" t="s">
        <v>386</v>
      </c>
      <c r="G7559" s="25" t="s">
        <v>9182</v>
      </c>
      <c r="H7559" s="26">
        <v>-1.3529</v>
      </c>
      <c r="I7559" s="26"/>
      <c r="J7559" s="26" t="s">
        <v>512</v>
      </c>
      <c r="K7559" s="25" t="s">
        <v>513</v>
      </c>
    </row>
    <row r="7560" spans="1:11" ht="25.5" x14ac:dyDescent="0.25">
      <c r="A7560" s="22">
        <v>2026</v>
      </c>
      <c r="B7560" s="28" t="s">
        <v>249</v>
      </c>
      <c r="C7560" s="28" t="s">
        <v>97</v>
      </c>
      <c r="D7560" s="28" t="s">
        <v>1738</v>
      </c>
      <c r="E7560" s="29" t="s">
        <v>309</v>
      </c>
      <c r="F7560" s="29" t="s">
        <v>386</v>
      </c>
      <c r="G7560" s="25" t="s">
        <v>9183</v>
      </c>
      <c r="H7560" s="26">
        <v>-1.3741000000000001</v>
      </c>
      <c r="I7560" s="26"/>
      <c r="J7560" s="26" t="s">
        <v>512</v>
      </c>
      <c r="K7560" s="25" t="s">
        <v>513</v>
      </c>
    </row>
    <row r="7561" spans="1:11" ht="25.5" x14ac:dyDescent="0.25">
      <c r="A7561" s="22">
        <v>2026</v>
      </c>
      <c r="B7561" s="28" t="s">
        <v>249</v>
      </c>
      <c r="C7561" s="28" t="s">
        <v>97</v>
      </c>
      <c r="D7561" s="28" t="s">
        <v>1738</v>
      </c>
      <c r="E7561" s="29" t="s">
        <v>309</v>
      </c>
      <c r="F7561" s="29" t="s">
        <v>386</v>
      </c>
      <c r="G7561" s="25" t="s">
        <v>9184</v>
      </c>
      <c r="H7561" s="26">
        <v>-1.2581860476</v>
      </c>
      <c r="I7561" s="26"/>
      <c r="J7561" s="26" t="s">
        <v>512</v>
      </c>
      <c r="K7561" s="25" t="s">
        <v>513</v>
      </c>
    </row>
    <row r="7562" spans="1:11" ht="25.5" x14ac:dyDescent="0.25">
      <c r="A7562" s="22">
        <v>2026</v>
      </c>
      <c r="B7562" s="28" t="s">
        <v>249</v>
      </c>
      <c r="C7562" s="28" t="s">
        <v>97</v>
      </c>
      <c r="D7562" s="28" t="s">
        <v>1738</v>
      </c>
      <c r="E7562" s="29" t="s">
        <v>309</v>
      </c>
      <c r="F7562" s="29" t="s">
        <v>386</v>
      </c>
      <c r="G7562" s="25" t="s">
        <v>9185</v>
      </c>
      <c r="H7562" s="26">
        <v>-4.0284885600000001E-2</v>
      </c>
      <c r="I7562" s="26"/>
      <c r="J7562" s="26" t="s">
        <v>512</v>
      </c>
      <c r="K7562" s="25" t="s">
        <v>513</v>
      </c>
    </row>
    <row r="7563" spans="1:11" ht="25.5" x14ac:dyDescent="0.25">
      <c r="A7563" s="22">
        <v>2026</v>
      </c>
      <c r="B7563" s="28" t="s">
        <v>249</v>
      </c>
      <c r="C7563" s="28" t="s">
        <v>97</v>
      </c>
      <c r="D7563" s="28" t="s">
        <v>1738</v>
      </c>
      <c r="E7563" s="29" t="s">
        <v>309</v>
      </c>
      <c r="F7563" s="29" t="s">
        <v>386</v>
      </c>
      <c r="G7563" s="25" t="s">
        <v>9186</v>
      </c>
      <c r="H7563" s="26">
        <v>-1.3573500000000001</v>
      </c>
      <c r="I7563" s="26"/>
      <c r="J7563" s="26" t="s">
        <v>512</v>
      </c>
      <c r="K7563" s="25" t="s">
        <v>513</v>
      </c>
    </row>
    <row r="7564" spans="1:11" ht="25.5" x14ac:dyDescent="0.25">
      <c r="A7564" s="22">
        <v>2026</v>
      </c>
      <c r="B7564" s="28" t="s">
        <v>249</v>
      </c>
      <c r="C7564" s="28" t="s">
        <v>97</v>
      </c>
      <c r="D7564" s="28" t="s">
        <v>1738</v>
      </c>
      <c r="E7564" s="29" t="s">
        <v>309</v>
      </c>
      <c r="F7564" s="29" t="s">
        <v>386</v>
      </c>
      <c r="G7564" s="25" t="s">
        <v>9187</v>
      </c>
      <c r="H7564" s="26">
        <v>-0.7307239431</v>
      </c>
      <c r="I7564" s="26"/>
      <c r="J7564" s="26" t="s">
        <v>512</v>
      </c>
      <c r="K7564" s="25" t="s">
        <v>513</v>
      </c>
    </row>
    <row r="7565" spans="1:11" ht="25.5" x14ac:dyDescent="0.25">
      <c r="A7565" s="22">
        <v>2026</v>
      </c>
      <c r="B7565" s="28" t="s">
        <v>249</v>
      </c>
      <c r="C7565" s="28" t="s">
        <v>97</v>
      </c>
      <c r="D7565" s="28" t="s">
        <v>1738</v>
      </c>
      <c r="E7565" s="29" t="s">
        <v>309</v>
      </c>
      <c r="F7565" s="29" t="s">
        <v>386</v>
      </c>
      <c r="G7565" s="25" t="s">
        <v>9188</v>
      </c>
      <c r="H7565" s="26">
        <v>-0.295935</v>
      </c>
      <c r="I7565" s="26"/>
      <c r="J7565" s="26" t="s">
        <v>512</v>
      </c>
      <c r="K7565" s="25" t="s">
        <v>513</v>
      </c>
    </row>
    <row r="7566" spans="1:11" ht="25.5" x14ac:dyDescent="0.25">
      <c r="A7566" s="22">
        <v>2026</v>
      </c>
      <c r="B7566" s="28" t="s">
        <v>249</v>
      </c>
      <c r="C7566" s="28" t="s">
        <v>97</v>
      </c>
      <c r="D7566" s="28" t="s">
        <v>1738</v>
      </c>
      <c r="E7566" s="29" t="s">
        <v>309</v>
      </c>
      <c r="F7566" s="29" t="s">
        <v>386</v>
      </c>
      <c r="G7566" s="25" t="s">
        <v>9189</v>
      </c>
      <c r="H7566" s="26">
        <v>-1.2228578999999999</v>
      </c>
      <c r="I7566" s="26"/>
      <c r="J7566" s="26" t="s">
        <v>512</v>
      </c>
      <c r="K7566" s="25" t="s">
        <v>513</v>
      </c>
    </row>
    <row r="7567" spans="1:11" ht="25.5" x14ac:dyDescent="0.25">
      <c r="A7567" s="22">
        <v>2026</v>
      </c>
      <c r="B7567" s="28" t="s">
        <v>249</v>
      </c>
      <c r="C7567" s="28" t="s">
        <v>97</v>
      </c>
      <c r="D7567" s="28" t="s">
        <v>1738</v>
      </c>
      <c r="E7567" s="29" t="s">
        <v>309</v>
      </c>
      <c r="F7567" s="29" t="s">
        <v>386</v>
      </c>
      <c r="G7567" s="25" t="s">
        <v>9190</v>
      </c>
      <c r="H7567" s="26">
        <v>-0.55125999999999997</v>
      </c>
      <c r="I7567" s="26"/>
      <c r="J7567" s="26" t="s">
        <v>512</v>
      </c>
      <c r="K7567" s="25" t="s">
        <v>513</v>
      </c>
    </row>
    <row r="7568" spans="1:11" ht="25.5" x14ac:dyDescent="0.25">
      <c r="A7568" s="22">
        <v>2026</v>
      </c>
      <c r="B7568" s="28" t="s">
        <v>249</v>
      </c>
      <c r="C7568" s="28" t="s">
        <v>97</v>
      </c>
      <c r="D7568" s="28" t="s">
        <v>1738</v>
      </c>
      <c r="E7568" s="29" t="s">
        <v>309</v>
      </c>
      <c r="F7568" s="29" t="s">
        <v>386</v>
      </c>
      <c r="G7568" s="25" t="s">
        <v>9191</v>
      </c>
      <c r="H7568" s="26">
        <v>-0.34125</v>
      </c>
      <c r="I7568" s="26"/>
      <c r="J7568" s="26" t="s">
        <v>512</v>
      </c>
      <c r="K7568" s="25" t="s">
        <v>513</v>
      </c>
    </row>
    <row r="7569" spans="1:11" ht="25.5" x14ac:dyDescent="0.25">
      <c r="A7569" s="22">
        <v>2026</v>
      </c>
      <c r="B7569" s="28" t="s">
        <v>249</v>
      </c>
      <c r="C7569" s="28" t="s">
        <v>97</v>
      </c>
      <c r="D7569" s="28" t="s">
        <v>1738</v>
      </c>
      <c r="E7569" s="29" t="s">
        <v>309</v>
      </c>
      <c r="F7569" s="29" t="s">
        <v>386</v>
      </c>
      <c r="G7569" s="25" t="s">
        <v>9192</v>
      </c>
      <c r="H7569" s="26">
        <v>-1.1592294895999999</v>
      </c>
      <c r="I7569" s="26"/>
      <c r="J7569" s="26" t="s">
        <v>512</v>
      </c>
      <c r="K7569" s="25" t="s">
        <v>513</v>
      </c>
    </row>
    <row r="7570" spans="1:11" ht="25.5" x14ac:dyDescent="0.25">
      <c r="A7570" s="22">
        <v>2026</v>
      </c>
      <c r="B7570" s="28" t="s">
        <v>249</v>
      </c>
      <c r="C7570" s="28" t="s">
        <v>97</v>
      </c>
      <c r="D7570" s="28" t="s">
        <v>1738</v>
      </c>
      <c r="E7570" s="29" t="s">
        <v>309</v>
      </c>
      <c r="F7570" s="29" t="s">
        <v>386</v>
      </c>
      <c r="G7570" s="25" t="s">
        <v>9193</v>
      </c>
      <c r="H7570" s="26">
        <v>-0.46509499999999998</v>
      </c>
      <c r="I7570" s="26"/>
      <c r="J7570" s="26" t="s">
        <v>512</v>
      </c>
      <c r="K7570" s="25" t="s">
        <v>513</v>
      </c>
    </row>
    <row r="7571" spans="1:11" ht="25.5" x14ac:dyDescent="0.25">
      <c r="A7571" s="22">
        <v>2026</v>
      </c>
      <c r="B7571" s="28" t="s">
        <v>249</v>
      </c>
      <c r="C7571" s="28" t="s">
        <v>97</v>
      </c>
      <c r="D7571" s="28" t="s">
        <v>1738</v>
      </c>
      <c r="E7571" s="29" t="s">
        <v>309</v>
      </c>
      <c r="F7571" s="29" t="s">
        <v>386</v>
      </c>
      <c r="G7571" s="25" t="s">
        <v>9194</v>
      </c>
      <c r="H7571" s="26">
        <v>-1.1882591999999998</v>
      </c>
      <c r="I7571" s="26"/>
      <c r="J7571" s="26" t="s">
        <v>512</v>
      </c>
      <c r="K7571" s="25" t="s">
        <v>513</v>
      </c>
    </row>
    <row r="7572" spans="1:11" ht="25.5" x14ac:dyDescent="0.25">
      <c r="A7572" s="22">
        <v>2026</v>
      </c>
      <c r="B7572" s="28" t="s">
        <v>249</v>
      </c>
      <c r="C7572" s="28" t="s">
        <v>97</v>
      </c>
      <c r="D7572" s="28" t="s">
        <v>1738</v>
      </c>
      <c r="E7572" s="29" t="s">
        <v>309</v>
      </c>
      <c r="F7572" s="29" t="s">
        <v>386</v>
      </c>
      <c r="G7572" s="25" t="s">
        <v>9195</v>
      </c>
      <c r="H7572" s="26">
        <v>-0.53484160000000003</v>
      </c>
      <c r="I7572" s="26"/>
      <c r="J7572" s="26" t="s">
        <v>512</v>
      </c>
      <c r="K7572" s="25" t="s">
        <v>513</v>
      </c>
    </row>
    <row r="7573" spans="1:11" ht="25.5" x14ac:dyDescent="0.25">
      <c r="A7573" s="22">
        <v>2026</v>
      </c>
      <c r="B7573" s="28" t="s">
        <v>249</v>
      </c>
      <c r="C7573" s="28" t="s">
        <v>97</v>
      </c>
      <c r="D7573" s="28" t="s">
        <v>1738</v>
      </c>
      <c r="E7573" s="29" t="s">
        <v>309</v>
      </c>
      <c r="F7573" s="29" t="s">
        <v>386</v>
      </c>
      <c r="G7573" s="25" t="s">
        <v>9196</v>
      </c>
      <c r="H7573" s="26">
        <v>-0.90041559999999998</v>
      </c>
      <c r="I7573" s="26"/>
      <c r="J7573" s="26" t="s">
        <v>512</v>
      </c>
      <c r="K7573" s="25" t="s">
        <v>513</v>
      </c>
    </row>
    <row r="7574" spans="1:11" ht="25.5" x14ac:dyDescent="0.25">
      <c r="A7574" s="22">
        <v>2026</v>
      </c>
      <c r="B7574" s="28" t="s">
        <v>249</v>
      </c>
      <c r="C7574" s="28" t="s">
        <v>97</v>
      </c>
      <c r="D7574" s="28" t="s">
        <v>1738</v>
      </c>
      <c r="E7574" s="29" t="s">
        <v>309</v>
      </c>
      <c r="F7574" s="29" t="s">
        <v>386</v>
      </c>
      <c r="G7574" s="25" t="s">
        <v>9197</v>
      </c>
      <c r="H7574" s="26">
        <v>-0.186266025</v>
      </c>
      <c r="I7574" s="26"/>
      <c r="J7574" s="26" t="s">
        <v>512</v>
      </c>
      <c r="K7574" s="25" t="s">
        <v>513</v>
      </c>
    </row>
    <row r="7575" spans="1:11" ht="25.5" x14ac:dyDescent="0.25">
      <c r="A7575" s="22">
        <v>2026</v>
      </c>
      <c r="B7575" s="28" t="s">
        <v>249</v>
      </c>
      <c r="C7575" s="28" t="s">
        <v>97</v>
      </c>
      <c r="D7575" s="28" t="s">
        <v>1738</v>
      </c>
      <c r="E7575" s="29" t="s">
        <v>309</v>
      </c>
      <c r="F7575" s="29" t="s">
        <v>386</v>
      </c>
      <c r="G7575" s="25" t="s">
        <v>9198</v>
      </c>
      <c r="H7575" s="26">
        <v>-0.36923193560000001</v>
      </c>
      <c r="I7575" s="26"/>
      <c r="J7575" s="26" t="s">
        <v>512</v>
      </c>
      <c r="K7575" s="25" t="s">
        <v>513</v>
      </c>
    </row>
    <row r="7576" spans="1:11" ht="25.5" x14ac:dyDescent="0.25">
      <c r="A7576" s="22">
        <v>2026</v>
      </c>
      <c r="B7576" s="28" t="s">
        <v>249</v>
      </c>
      <c r="C7576" s="28" t="s">
        <v>97</v>
      </c>
      <c r="D7576" s="28" t="s">
        <v>1738</v>
      </c>
      <c r="E7576" s="29" t="s">
        <v>309</v>
      </c>
      <c r="F7576" s="29" t="s">
        <v>386</v>
      </c>
      <c r="G7576" s="25" t="s">
        <v>9199</v>
      </c>
      <c r="H7576" s="26">
        <v>-1.395</v>
      </c>
      <c r="I7576" s="26"/>
      <c r="J7576" s="26" t="s">
        <v>512</v>
      </c>
      <c r="K7576" s="25" t="s">
        <v>513</v>
      </c>
    </row>
    <row r="7577" spans="1:11" ht="25.5" x14ac:dyDescent="0.25">
      <c r="A7577" s="22">
        <v>2026</v>
      </c>
      <c r="B7577" s="28" t="s">
        <v>249</v>
      </c>
      <c r="C7577" s="28" t="s">
        <v>97</v>
      </c>
      <c r="D7577" s="28" t="s">
        <v>1738</v>
      </c>
      <c r="E7577" s="29" t="s">
        <v>309</v>
      </c>
      <c r="F7577" s="29" t="s">
        <v>386</v>
      </c>
      <c r="G7577" s="25" t="s">
        <v>9200</v>
      </c>
      <c r="H7577" s="26">
        <v>-0.48559760810000002</v>
      </c>
      <c r="I7577" s="26"/>
      <c r="J7577" s="26" t="s">
        <v>512</v>
      </c>
      <c r="K7577" s="25" t="s">
        <v>513</v>
      </c>
    </row>
    <row r="7578" spans="1:11" ht="25.5" x14ac:dyDescent="0.25">
      <c r="A7578" s="22">
        <v>2026</v>
      </c>
      <c r="B7578" s="28" t="s">
        <v>249</v>
      </c>
      <c r="C7578" s="28" t="s">
        <v>97</v>
      </c>
      <c r="D7578" s="28" t="s">
        <v>537</v>
      </c>
      <c r="E7578" s="29" t="s">
        <v>561</v>
      </c>
      <c r="F7578" s="29" t="s">
        <v>298</v>
      </c>
      <c r="G7578" s="25" t="s">
        <v>9201</v>
      </c>
      <c r="H7578" s="26">
        <v>-0.38200000000000001</v>
      </c>
      <c r="I7578" s="26"/>
      <c r="J7578" s="26" t="s">
        <v>512</v>
      </c>
      <c r="K7578" s="25" t="s">
        <v>513</v>
      </c>
    </row>
    <row r="7579" spans="1:11" ht="25.5" x14ac:dyDescent="0.25">
      <c r="A7579" s="22">
        <v>2026</v>
      </c>
      <c r="B7579" s="28" t="s">
        <v>249</v>
      </c>
      <c r="C7579" s="28" t="s">
        <v>97</v>
      </c>
      <c r="D7579" s="28" t="s">
        <v>537</v>
      </c>
      <c r="E7579" s="29" t="s">
        <v>561</v>
      </c>
      <c r="F7579" s="29" t="s">
        <v>298</v>
      </c>
      <c r="G7579" s="25" t="s">
        <v>9202</v>
      </c>
      <c r="H7579" s="26">
        <v>-0.2298</v>
      </c>
      <c r="I7579" s="26"/>
      <c r="J7579" s="26" t="s">
        <v>512</v>
      </c>
      <c r="K7579" s="25" t="s">
        <v>513</v>
      </c>
    </row>
    <row r="7580" spans="1:11" ht="25.5" x14ac:dyDescent="0.25">
      <c r="A7580" s="22">
        <v>2026</v>
      </c>
      <c r="B7580" s="28" t="s">
        <v>249</v>
      </c>
      <c r="C7580" s="28" t="s">
        <v>97</v>
      </c>
      <c r="D7580" s="28" t="s">
        <v>537</v>
      </c>
      <c r="E7580" s="29" t="s">
        <v>561</v>
      </c>
      <c r="F7580" s="29" t="s">
        <v>298</v>
      </c>
      <c r="G7580" s="25" t="s">
        <v>9203</v>
      </c>
      <c r="H7580" s="26">
        <v>-0.45450000000000002</v>
      </c>
      <c r="I7580" s="26"/>
      <c r="J7580" s="26" t="s">
        <v>512</v>
      </c>
      <c r="K7580" s="25" t="s">
        <v>513</v>
      </c>
    </row>
    <row r="7581" spans="1:11" ht="25.5" x14ac:dyDescent="0.25">
      <c r="A7581" s="22">
        <v>2026</v>
      </c>
      <c r="B7581" s="28" t="s">
        <v>249</v>
      </c>
      <c r="C7581" s="28" t="s">
        <v>97</v>
      </c>
      <c r="D7581" s="28" t="s">
        <v>537</v>
      </c>
      <c r="E7581" s="29" t="s">
        <v>561</v>
      </c>
      <c r="F7581" s="29" t="s">
        <v>298</v>
      </c>
      <c r="G7581" s="25" t="s">
        <v>9204</v>
      </c>
      <c r="H7581" s="26">
        <v>-0.34349985</v>
      </c>
      <c r="I7581" s="26"/>
      <c r="J7581" s="26" t="s">
        <v>512</v>
      </c>
      <c r="K7581" s="25" t="s">
        <v>513</v>
      </c>
    </row>
    <row r="7582" spans="1:11" ht="25.5" x14ac:dyDescent="0.25">
      <c r="A7582" s="22">
        <v>2026</v>
      </c>
      <c r="B7582" s="28" t="s">
        <v>249</v>
      </c>
      <c r="C7582" s="28" t="s">
        <v>97</v>
      </c>
      <c r="D7582" s="28" t="s">
        <v>537</v>
      </c>
      <c r="E7582" s="29" t="s">
        <v>561</v>
      </c>
      <c r="F7582" s="29" t="s">
        <v>298</v>
      </c>
      <c r="G7582" s="25" t="s">
        <v>9205</v>
      </c>
      <c r="H7582" s="26">
        <v>-0.93408731</v>
      </c>
      <c r="I7582" s="26"/>
      <c r="J7582" s="26" t="s">
        <v>512</v>
      </c>
      <c r="K7582" s="25" t="s">
        <v>513</v>
      </c>
    </row>
    <row r="7583" spans="1:11" ht="25.5" x14ac:dyDescent="0.25">
      <c r="A7583" s="22">
        <v>2026</v>
      </c>
      <c r="B7583" s="28" t="s">
        <v>249</v>
      </c>
      <c r="C7583" s="28" t="s">
        <v>97</v>
      </c>
      <c r="D7583" s="28" t="s">
        <v>537</v>
      </c>
      <c r="E7583" s="29" t="s">
        <v>561</v>
      </c>
      <c r="F7583" s="29" t="s">
        <v>298</v>
      </c>
      <c r="G7583" s="25" t="s">
        <v>9206</v>
      </c>
      <c r="H7583" s="26">
        <v>-0.19443750000000001</v>
      </c>
      <c r="I7583" s="26"/>
      <c r="J7583" s="26" t="s">
        <v>512</v>
      </c>
      <c r="K7583" s="25" t="s">
        <v>513</v>
      </c>
    </row>
    <row r="7584" spans="1:11" ht="25.5" x14ac:dyDescent="0.25">
      <c r="A7584" s="22">
        <v>2026</v>
      </c>
      <c r="B7584" s="28" t="s">
        <v>249</v>
      </c>
      <c r="C7584" s="28" t="s">
        <v>97</v>
      </c>
      <c r="D7584" s="28" t="s">
        <v>768</v>
      </c>
      <c r="E7584" s="29" t="s">
        <v>768</v>
      </c>
      <c r="F7584" s="29" t="s">
        <v>332</v>
      </c>
      <c r="G7584" s="25" t="s">
        <v>9207</v>
      </c>
      <c r="H7584" s="26">
        <v>-0.17654879999999998</v>
      </c>
      <c r="I7584" s="26"/>
      <c r="J7584" s="26" t="s">
        <v>512</v>
      </c>
      <c r="K7584" s="25" t="s">
        <v>513</v>
      </c>
    </row>
    <row r="7585" spans="1:11" ht="25.5" x14ac:dyDescent="0.25">
      <c r="A7585" s="22">
        <v>2026</v>
      </c>
      <c r="B7585" s="28" t="s">
        <v>249</v>
      </c>
      <c r="C7585" s="28" t="s">
        <v>97</v>
      </c>
      <c r="D7585" s="28" t="s">
        <v>768</v>
      </c>
      <c r="E7585" s="29" t="s">
        <v>768</v>
      </c>
      <c r="F7585" s="29" t="s">
        <v>332</v>
      </c>
      <c r="G7585" s="25" t="s">
        <v>9208</v>
      </c>
      <c r="H7585" s="26">
        <v>-0.17602499999999999</v>
      </c>
      <c r="I7585" s="26"/>
      <c r="J7585" s="26" t="s">
        <v>512</v>
      </c>
      <c r="K7585" s="25" t="s">
        <v>513</v>
      </c>
    </row>
    <row r="7586" spans="1:11" ht="25.5" x14ac:dyDescent="0.25">
      <c r="A7586" s="22">
        <v>2026</v>
      </c>
      <c r="B7586" s="28" t="s">
        <v>249</v>
      </c>
      <c r="C7586" s="28" t="s">
        <v>97</v>
      </c>
      <c r="D7586" s="28" t="s">
        <v>768</v>
      </c>
      <c r="E7586" s="29" t="s">
        <v>768</v>
      </c>
      <c r="F7586" s="29" t="s">
        <v>332</v>
      </c>
      <c r="G7586" s="25" t="s">
        <v>9209</v>
      </c>
      <c r="H7586" s="26">
        <v>-0.17597670000000001</v>
      </c>
      <c r="I7586" s="26"/>
      <c r="J7586" s="26" t="s">
        <v>512</v>
      </c>
      <c r="K7586" s="25" t="s">
        <v>513</v>
      </c>
    </row>
    <row r="7587" spans="1:11" ht="25.5" x14ac:dyDescent="0.25">
      <c r="A7587" s="22">
        <v>2026</v>
      </c>
      <c r="B7587" s="28" t="s">
        <v>249</v>
      </c>
      <c r="C7587" s="28" t="s">
        <v>97</v>
      </c>
      <c r="D7587" s="28" t="s">
        <v>768</v>
      </c>
      <c r="E7587" s="29" t="s">
        <v>768</v>
      </c>
      <c r="F7587" s="29" t="s">
        <v>332</v>
      </c>
      <c r="G7587" s="25" t="s">
        <v>9210</v>
      </c>
      <c r="H7587" s="26">
        <v>-0.17768490000000001</v>
      </c>
      <c r="I7587" s="26"/>
      <c r="J7587" s="26" t="s">
        <v>512</v>
      </c>
      <c r="K7587" s="25" t="s">
        <v>513</v>
      </c>
    </row>
    <row r="7588" spans="1:11" ht="25.5" x14ac:dyDescent="0.25">
      <c r="A7588" s="22">
        <v>2026</v>
      </c>
      <c r="B7588" s="28" t="s">
        <v>249</v>
      </c>
      <c r="C7588" s="28" t="s">
        <v>97</v>
      </c>
      <c r="D7588" s="28" t="s">
        <v>768</v>
      </c>
      <c r="E7588" s="29" t="s">
        <v>768</v>
      </c>
      <c r="F7588" s="29" t="s">
        <v>332</v>
      </c>
      <c r="G7588" s="25" t="s">
        <v>9211</v>
      </c>
      <c r="H7588" s="26">
        <v>-0.17548260000000002</v>
      </c>
      <c r="I7588" s="26"/>
      <c r="J7588" s="26" t="s">
        <v>512</v>
      </c>
      <c r="K7588" s="25" t="s">
        <v>513</v>
      </c>
    </row>
    <row r="7589" spans="1:11" ht="25.5" x14ac:dyDescent="0.25">
      <c r="A7589" s="22">
        <v>2026</v>
      </c>
      <c r="B7589" s="28" t="s">
        <v>249</v>
      </c>
      <c r="C7589" s="28" t="s">
        <v>97</v>
      </c>
      <c r="D7589" s="28" t="s">
        <v>768</v>
      </c>
      <c r="E7589" s="29" t="s">
        <v>768</v>
      </c>
      <c r="F7589" s="29" t="s">
        <v>332</v>
      </c>
      <c r="G7589" s="25" t="s">
        <v>9212</v>
      </c>
      <c r="H7589" s="26">
        <v>-0.17158079999999998</v>
      </c>
      <c r="I7589" s="26"/>
      <c r="J7589" s="26" t="s">
        <v>512</v>
      </c>
      <c r="K7589" s="25" t="s">
        <v>513</v>
      </c>
    </row>
    <row r="7590" spans="1:11" ht="25.5" x14ac:dyDescent="0.25">
      <c r="A7590" s="22">
        <v>2026</v>
      </c>
      <c r="B7590" s="28" t="s">
        <v>249</v>
      </c>
      <c r="C7590" s="28" t="s">
        <v>97</v>
      </c>
      <c r="D7590" s="28" t="s">
        <v>768</v>
      </c>
      <c r="E7590" s="29" t="s">
        <v>768</v>
      </c>
      <c r="F7590" s="29" t="s">
        <v>332</v>
      </c>
      <c r="G7590" s="25" t="s">
        <v>9213</v>
      </c>
      <c r="H7590" s="26">
        <v>-0.12804907752</v>
      </c>
      <c r="I7590" s="26"/>
      <c r="J7590" s="26" t="s">
        <v>512</v>
      </c>
      <c r="K7590" s="25" t="s">
        <v>513</v>
      </c>
    </row>
    <row r="7591" spans="1:11" ht="25.5" x14ac:dyDescent="0.25">
      <c r="A7591" s="22">
        <v>2026</v>
      </c>
      <c r="B7591" s="28" t="s">
        <v>249</v>
      </c>
      <c r="C7591" s="28" t="s">
        <v>97</v>
      </c>
      <c r="D7591" s="28" t="s">
        <v>768</v>
      </c>
      <c r="E7591" s="29" t="s">
        <v>768</v>
      </c>
      <c r="F7591" s="29" t="s">
        <v>332</v>
      </c>
      <c r="G7591" s="25" t="s">
        <v>9214</v>
      </c>
      <c r="H7591" s="26">
        <v>-9.120375E-2</v>
      </c>
      <c r="I7591" s="26"/>
      <c r="J7591" s="26" t="s">
        <v>512</v>
      </c>
      <c r="K7591" s="25" t="s">
        <v>513</v>
      </c>
    </row>
    <row r="7592" spans="1:11" ht="25.5" x14ac:dyDescent="0.25">
      <c r="A7592" s="22">
        <v>2026</v>
      </c>
      <c r="B7592" s="28" t="s">
        <v>249</v>
      </c>
      <c r="C7592" s="28" t="s">
        <v>97</v>
      </c>
      <c r="D7592" s="28" t="s">
        <v>768</v>
      </c>
      <c r="E7592" s="29" t="s">
        <v>768</v>
      </c>
      <c r="F7592" s="29" t="s">
        <v>332</v>
      </c>
      <c r="G7592" s="25" t="s">
        <v>9215</v>
      </c>
      <c r="H7592" s="26">
        <v>-0.15094120790000001</v>
      </c>
      <c r="I7592" s="26"/>
      <c r="J7592" s="26" t="s">
        <v>512</v>
      </c>
      <c r="K7592" s="25" t="s">
        <v>513</v>
      </c>
    </row>
    <row r="7593" spans="1:11" ht="25.5" x14ac:dyDescent="0.25">
      <c r="A7593" s="22">
        <v>2026</v>
      </c>
      <c r="B7593" s="28" t="s">
        <v>249</v>
      </c>
      <c r="C7593" s="28" t="s">
        <v>97</v>
      </c>
      <c r="D7593" s="28" t="s">
        <v>768</v>
      </c>
      <c r="E7593" s="29" t="s">
        <v>768</v>
      </c>
      <c r="F7593" s="29" t="s">
        <v>332</v>
      </c>
      <c r="G7593" s="25" t="s">
        <v>9216</v>
      </c>
      <c r="H7593" s="26">
        <v>-0.15743072</v>
      </c>
      <c r="I7593" s="26"/>
      <c r="J7593" s="26" t="s">
        <v>512</v>
      </c>
      <c r="K7593" s="25" t="s">
        <v>513</v>
      </c>
    </row>
    <row r="7594" spans="1:11" ht="25.5" x14ac:dyDescent="0.25">
      <c r="A7594" s="22">
        <v>2026</v>
      </c>
      <c r="B7594" s="28" t="s">
        <v>249</v>
      </c>
      <c r="C7594" s="28" t="s">
        <v>97</v>
      </c>
      <c r="D7594" s="28" t="s">
        <v>768</v>
      </c>
      <c r="E7594" s="29" t="s">
        <v>768</v>
      </c>
      <c r="F7594" s="29" t="s">
        <v>332</v>
      </c>
      <c r="G7594" s="25" t="s">
        <v>9217</v>
      </c>
      <c r="H7594" s="26">
        <v>-0.1851129</v>
      </c>
      <c r="I7594" s="26"/>
      <c r="J7594" s="26" t="s">
        <v>512</v>
      </c>
      <c r="K7594" s="25" t="s">
        <v>513</v>
      </c>
    </row>
    <row r="7595" spans="1:11" ht="25.5" x14ac:dyDescent="0.25">
      <c r="A7595" s="22">
        <v>2026</v>
      </c>
      <c r="B7595" s="28" t="s">
        <v>249</v>
      </c>
      <c r="C7595" s="28" t="s">
        <v>97</v>
      </c>
      <c r="D7595" s="28" t="s">
        <v>768</v>
      </c>
      <c r="E7595" s="29" t="s">
        <v>768</v>
      </c>
      <c r="F7595" s="29" t="s">
        <v>332</v>
      </c>
      <c r="G7595" s="25" t="s">
        <v>9218</v>
      </c>
      <c r="H7595" s="26">
        <v>-0.18071520000000002</v>
      </c>
      <c r="I7595" s="26"/>
      <c r="J7595" s="26" t="s">
        <v>512</v>
      </c>
      <c r="K7595" s="25" t="s">
        <v>513</v>
      </c>
    </row>
    <row r="7596" spans="1:11" ht="25.5" x14ac:dyDescent="0.25">
      <c r="A7596" s="22">
        <v>2026</v>
      </c>
      <c r="B7596" s="28" t="s">
        <v>249</v>
      </c>
      <c r="C7596" s="28" t="s">
        <v>97</v>
      </c>
      <c r="D7596" s="28" t="s">
        <v>768</v>
      </c>
      <c r="E7596" s="29" t="s">
        <v>768</v>
      </c>
      <c r="F7596" s="29" t="s">
        <v>332</v>
      </c>
      <c r="G7596" s="25" t="s">
        <v>9219</v>
      </c>
      <c r="H7596" s="26">
        <v>-0.1767609</v>
      </c>
      <c r="I7596" s="26"/>
      <c r="J7596" s="26" t="s">
        <v>512</v>
      </c>
      <c r="K7596" s="25" t="s">
        <v>513</v>
      </c>
    </row>
    <row r="7597" spans="1:11" ht="25.5" x14ac:dyDescent="0.25">
      <c r="A7597" s="22">
        <v>2026</v>
      </c>
      <c r="B7597" s="28" t="s">
        <v>249</v>
      </c>
      <c r="C7597" s="28" t="s">
        <v>97</v>
      </c>
      <c r="D7597" s="28" t="s">
        <v>768</v>
      </c>
      <c r="E7597" s="29" t="s">
        <v>768</v>
      </c>
      <c r="F7597" s="29" t="s">
        <v>332</v>
      </c>
      <c r="G7597" s="25" t="s">
        <v>9220</v>
      </c>
      <c r="H7597" s="26">
        <v>-0.1749213</v>
      </c>
      <c r="I7597" s="26"/>
      <c r="J7597" s="26" t="s">
        <v>512</v>
      </c>
      <c r="K7597" s="25" t="s">
        <v>513</v>
      </c>
    </row>
    <row r="7598" spans="1:11" ht="25.5" x14ac:dyDescent="0.25">
      <c r="A7598" s="22">
        <v>2026</v>
      </c>
      <c r="B7598" s="28" t="s">
        <v>249</v>
      </c>
      <c r="C7598" s="28" t="s">
        <v>97</v>
      </c>
      <c r="D7598" s="28" t="s">
        <v>768</v>
      </c>
      <c r="E7598" s="29" t="s">
        <v>768</v>
      </c>
      <c r="F7598" s="29" t="s">
        <v>332</v>
      </c>
      <c r="G7598" s="25" t="s">
        <v>9221</v>
      </c>
      <c r="H7598" s="26">
        <v>-0.1750263</v>
      </c>
      <c r="I7598" s="26"/>
      <c r="J7598" s="26" t="s">
        <v>512</v>
      </c>
      <c r="K7598" s="25" t="s">
        <v>513</v>
      </c>
    </row>
    <row r="7599" spans="1:11" ht="25.5" x14ac:dyDescent="0.25">
      <c r="A7599" s="22">
        <v>2026</v>
      </c>
      <c r="B7599" s="28" t="s">
        <v>249</v>
      </c>
      <c r="C7599" s="28" t="s">
        <v>97</v>
      </c>
      <c r="D7599" s="28" t="s">
        <v>768</v>
      </c>
      <c r="E7599" s="29" t="s">
        <v>768</v>
      </c>
      <c r="F7599" s="29" t="s">
        <v>332</v>
      </c>
      <c r="G7599" s="25" t="s">
        <v>9222</v>
      </c>
      <c r="H7599" s="26">
        <v>-0.17466720000000002</v>
      </c>
      <c r="I7599" s="26"/>
      <c r="J7599" s="26" t="s">
        <v>512</v>
      </c>
      <c r="K7599" s="25" t="s">
        <v>513</v>
      </c>
    </row>
    <row r="7600" spans="1:11" ht="25.5" x14ac:dyDescent="0.25">
      <c r="A7600" s="22">
        <v>2026</v>
      </c>
      <c r="B7600" s="28" t="s">
        <v>249</v>
      </c>
      <c r="C7600" s="28" t="s">
        <v>97</v>
      </c>
      <c r="D7600" s="28" t="s">
        <v>768</v>
      </c>
      <c r="E7600" s="29" t="s">
        <v>768</v>
      </c>
      <c r="F7600" s="29" t="s">
        <v>332</v>
      </c>
      <c r="G7600" s="25" t="s">
        <v>9223</v>
      </c>
      <c r="H7600" s="26">
        <v>-0.17811779999999999</v>
      </c>
      <c r="I7600" s="26"/>
      <c r="J7600" s="26" t="s">
        <v>512</v>
      </c>
      <c r="K7600" s="25" t="s">
        <v>513</v>
      </c>
    </row>
    <row r="7601" spans="1:11" ht="25.5" x14ac:dyDescent="0.25">
      <c r="A7601" s="22">
        <v>2026</v>
      </c>
      <c r="B7601" s="28" t="s">
        <v>249</v>
      </c>
      <c r="C7601" s="28" t="s">
        <v>97</v>
      </c>
      <c r="D7601" s="28" t="s">
        <v>768</v>
      </c>
      <c r="E7601" s="29" t="s">
        <v>768</v>
      </c>
      <c r="F7601" s="29" t="s">
        <v>332</v>
      </c>
      <c r="G7601" s="25" t="s">
        <v>9224</v>
      </c>
      <c r="H7601" s="26">
        <v>-0.15969469635000003</v>
      </c>
      <c r="I7601" s="26"/>
      <c r="J7601" s="26" t="s">
        <v>512</v>
      </c>
      <c r="K7601" s="25" t="s">
        <v>513</v>
      </c>
    </row>
    <row r="7602" spans="1:11" ht="25.5" x14ac:dyDescent="0.25">
      <c r="A7602" s="22">
        <v>2026</v>
      </c>
      <c r="B7602" s="28" t="s">
        <v>249</v>
      </c>
      <c r="C7602" s="28" t="s">
        <v>97</v>
      </c>
      <c r="D7602" s="28" t="s">
        <v>768</v>
      </c>
      <c r="E7602" s="29" t="s">
        <v>768</v>
      </c>
      <c r="F7602" s="29" t="s">
        <v>332</v>
      </c>
      <c r="G7602" s="25" t="s">
        <v>9225</v>
      </c>
      <c r="H7602" s="26">
        <v>-0.18613199999999999</v>
      </c>
      <c r="I7602" s="26"/>
      <c r="J7602" s="26" t="s">
        <v>512</v>
      </c>
      <c r="K7602" s="25" t="s">
        <v>513</v>
      </c>
    </row>
    <row r="7603" spans="1:11" ht="25.5" x14ac:dyDescent="0.25">
      <c r="A7603" s="22">
        <v>2026</v>
      </c>
      <c r="B7603" s="28" t="s">
        <v>249</v>
      </c>
      <c r="C7603" s="28" t="s">
        <v>97</v>
      </c>
      <c r="D7603" s="28" t="s">
        <v>768</v>
      </c>
      <c r="E7603" s="29" t="s">
        <v>768</v>
      </c>
      <c r="F7603" s="29" t="s">
        <v>332</v>
      </c>
      <c r="G7603" s="25" t="s">
        <v>9226</v>
      </c>
      <c r="H7603" s="26">
        <v>-0.1807581</v>
      </c>
      <c r="I7603" s="26"/>
      <c r="J7603" s="26" t="s">
        <v>512</v>
      </c>
      <c r="K7603" s="25" t="s">
        <v>513</v>
      </c>
    </row>
    <row r="7604" spans="1:11" ht="25.5" x14ac:dyDescent="0.25">
      <c r="A7604" s="22">
        <v>2026</v>
      </c>
      <c r="B7604" s="28" t="s">
        <v>249</v>
      </c>
      <c r="C7604" s="28" t="s">
        <v>97</v>
      </c>
      <c r="D7604" s="28" t="s">
        <v>768</v>
      </c>
      <c r="E7604" s="29" t="s">
        <v>768</v>
      </c>
      <c r="F7604" s="29" t="s">
        <v>332</v>
      </c>
      <c r="G7604" s="25" t="s">
        <v>9227</v>
      </c>
      <c r="H7604" s="26">
        <v>-0.11413297337</v>
      </c>
      <c r="I7604" s="26"/>
      <c r="J7604" s="26" t="s">
        <v>512</v>
      </c>
      <c r="K7604" s="25" t="s">
        <v>513</v>
      </c>
    </row>
    <row r="7605" spans="1:11" ht="25.5" x14ac:dyDescent="0.25">
      <c r="A7605" s="22">
        <v>2026</v>
      </c>
      <c r="B7605" s="28" t="s">
        <v>249</v>
      </c>
      <c r="C7605" s="28" t="s">
        <v>97</v>
      </c>
      <c r="D7605" s="28" t="s">
        <v>1739</v>
      </c>
      <c r="E7605" s="29" t="s">
        <v>331</v>
      </c>
      <c r="F7605" s="29" t="s">
        <v>298</v>
      </c>
      <c r="G7605" s="25" t="s">
        <v>9228</v>
      </c>
      <c r="H7605" s="26">
        <v>-1.9566479999999999</v>
      </c>
      <c r="I7605" s="26"/>
      <c r="J7605" s="26" t="s">
        <v>512</v>
      </c>
      <c r="K7605" s="25" t="s">
        <v>513</v>
      </c>
    </row>
    <row r="7606" spans="1:11" ht="25.5" x14ac:dyDescent="0.25">
      <c r="A7606" s="22">
        <v>2026</v>
      </c>
      <c r="B7606" s="28" t="s">
        <v>249</v>
      </c>
      <c r="C7606" s="28" t="s">
        <v>97</v>
      </c>
      <c r="D7606" s="28" t="s">
        <v>1739</v>
      </c>
      <c r="E7606" s="29" t="s">
        <v>331</v>
      </c>
      <c r="F7606" s="29" t="s">
        <v>298</v>
      </c>
      <c r="G7606" s="25" t="s">
        <v>9229</v>
      </c>
      <c r="H7606" s="26">
        <v>-1.7938909999999999</v>
      </c>
      <c r="I7606" s="26"/>
      <c r="J7606" s="26" t="s">
        <v>512</v>
      </c>
      <c r="K7606" s="25" t="s">
        <v>513</v>
      </c>
    </row>
    <row r="7607" spans="1:11" ht="25.5" x14ac:dyDescent="0.25">
      <c r="A7607" s="22">
        <v>2026</v>
      </c>
      <c r="B7607" s="28" t="s">
        <v>249</v>
      </c>
      <c r="C7607" s="28" t="s">
        <v>97</v>
      </c>
      <c r="D7607" s="28" t="s">
        <v>1739</v>
      </c>
      <c r="E7607" s="29" t="s">
        <v>331</v>
      </c>
      <c r="F7607" s="29" t="s">
        <v>298</v>
      </c>
      <c r="G7607" s="25" t="s">
        <v>9230</v>
      </c>
      <c r="H7607" s="26">
        <v>-0.39750000000000002</v>
      </c>
      <c r="I7607" s="26"/>
      <c r="J7607" s="26" t="s">
        <v>512</v>
      </c>
      <c r="K7607" s="25" t="s">
        <v>513</v>
      </c>
    </row>
    <row r="7608" spans="1:11" ht="25.5" x14ac:dyDescent="0.25">
      <c r="A7608" s="22">
        <v>2026</v>
      </c>
      <c r="B7608" s="28" t="s">
        <v>249</v>
      </c>
      <c r="C7608" s="28" t="s">
        <v>97</v>
      </c>
      <c r="D7608" s="28" t="s">
        <v>1739</v>
      </c>
      <c r="E7608" s="29" t="s">
        <v>331</v>
      </c>
      <c r="F7608" s="29" t="s">
        <v>298</v>
      </c>
      <c r="G7608" s="25" t="s">
        <v>9231</v>
      </c>
      <c r="H7608" s="26">
        <v>-2.073617</v>
      </c>
      <c r="I7608" s="26"/>
      <c r="J7608" s="26" t="s">
        <v>512</v>
      </c>
      <c r="K7608" s="25" t="s">
        <v>513</v>
      </c>
    </row>
    <row r="7609" spans="1:11" ht="25.5" x14ac:dyDescent="0.25">
      <c r="A7609" s="22">
        <v>2026</v>
      </c>
      <c r="B7609" s="28" t="s">
        <v>249</v>
      </c>
      <c r="C7609" s="28" t="s">
        <v>97</v>
      </c>
      <c r="D7609" s="28" t="s">
        <v>1739</v>
      </c>
      <c r="E7609" s="29" t="s">
        <v>331</v>
      </c>
      <c r="F7609" s="29" t="s">
        <v>298</v>
      </c>
      <c r="G7609" s="25" t="s">
        <v>9232</v>
      </c>
      <c r="H7609" s="26">
        <v>-3.1695000000000002</v>
      </c>
      <c r="I7609" s="26"/>
      <c r="J7609" s="26" t="s">
        <v>512</v>
      </c>
      <c r="K7609" s="25" t="s">
        <v>513</v>
      </c>
    </row>
    <row r="7610" spans="1:11" ht="25.5" x14ac:dyDescent="0.25">
      <c r="A7610" s="22">
        <v>2026</v>
      </c>
      <c r="B7610" s="28" t="s">
        <v>249</v>
      </c>
      <c r="C7610" s="28" t="s">
        <v>97</v>
      </c>
      <c r="D7610" s="28" t="s">
        <v>1739</v>
      </c>
      <c r="E7610" s="29" t="s">
        <v>331</v>
      </c>
      <c r="F7610" s="29" t="s">
        <v>298</v>
      </c>
      <c r="G7610" s="25" t="s">
        <v>9233</v>
      </c>
      <c r="H7610" s="26">
        <v>-1.6599554999999999</v>
      </c>
      <c r="I7610" s="26"/>
      <c r="J7610" s="26" t="s">
        <v>512</v>
      </c>
      <c r="K7610" s="25" t="s">
        <v>513</v>
      </c>
    </row>
    <row r="7611" spans="1:11" ht="25.5" x14ac:dyDescent="0.25">
      <c r="A7611" s="22">
        <v>2026</v>
      </c>
      <c r="B7611" s="28" t="s">
        <v>249</v>
      </c>
      <c r="C7611" s="28" t="s">
        <v>97</v>
      </c>
      <c r="D7611" s="28" t="s">
        <v>254</v>
      </c>
      <c r="E7611" s="29" t="s">
        <v>473</v>
      </c>
      <c r="F7611" s="29" t="s">
        <v>474</v>
      </c>
      <c r="G7611" s="25" t="s">
        <v>9234</v>
      </c>
      <c r="H7611" s="26">
        <v>-8.8997128800000005E-2</v>
      </c>
      <c r="I7611" s="26"/>
      <c r="J7611" s="26" t="s">
        <v>512</v>
      </c>
      <c r="K7611" s="25" t="s">
        <v>513</v>
      </c>
    </row>
    <row r="7612" spans="1:11" ht="25.5" x14ac:dyDescent="0.25">
      <c r="A7612" s="22">
        <v>2026</v>
      </c>
      <c r="B7612" s="28" t="s">
        <v>249</v>
      </c>
      <c r="C7612" s="28" t="s">
        <v>97</v>
      </c>
      <c r="D7612" s="28" t="s">
        <v>254</v>
      </c>
      <c r="E7612" s="29" t="s">
        <v>473</v>
      </c>
      <c r="F7612" s="29" t="s">
        <v>474</v>
      </c>
      <c r="G7612" s="25" t="s">
        <v>9235</v>
      </c>
      <c r="H7612" s="26">
        <v>-8.57673672E-2</v>
      </c>
      <c r="I7612" s="26"/>
      <c r="J7612" s="26" t="s">
        <v>512</v>
      </c>
      <c r="K7612" s="25" t="s">
        <v>513</v>
      </c>
    </row>
    <row r="7613" spans="1:11" ht="25.5" x14ac:dyDescent="0.25">
      <c r="A7613" s="22">
        <v>2026</v>
      </c>
      <c r="B7613" s="28" t="s">
        <v>249</v>
      </c>
      <c r="C7613" s="28" t="s">
        <v>97</v>
      </c>
      <c r="D7613" s="28" t="s">
        <v>254</v>
      </c>
      <c r="E7613" s="29" t="s">
        <v>473</v>
      </c>
      <c r="F7613" s="29" t="s">
        <v>474</v>
      </c>
      <c r="G7613" s="25" t="s">
        <v>9236</v>
      </c>
      <c r="H7613" s="26">
        <v>-0.13528935920000001</v>
      </c>
      <c r="I7613" s="26"/>
      <c r="J7613" s="26" t="s">
        <v>512</v>
      </c>
      <c r="K7613" s="25" t="s">
        <v>513</v>
      </c>
    </row>
    <row r="7614" spans="1:11" ht="25.5" x14ac:dyDescent="0.25">
      <c r="A7614" s="22">
        <v>2026</v>
      </c>
      <c r="B7614" s="28" t="s">
        <v>249</v>
      </c>
      <c r="C7614" s="28" t="s">
        <v>97</v>
      </c>
      <c r="D7614" s="28" t="s">
        <v>254</v>
      </c>
      <c r="E7614" s="29" t="s">
        <v>473</v>
      </c>
      <c r="F7614" s="29" t="s">
        <v>474</v>
      </c>
      <c r="G7614" s="25" t="s">
        <v>9237</v>
      </c>
      <c r="H7614" s="26">
        <v>-7.9157250499999998E-2</v>
      </c>
      <c r="I7614" s="26"/>
      <c r="J7614" s="26" t="s">
        <v>512</v>
      </c>
      <c r="K7614" s="25" t="s">
        <v>513</v>
      </c>
    </row>
    <row r="7615" spans="1:11" ht="25.5" x14ac:dyDescent="0.25">
      <c r="A7615" s="22">
        <v>2026</v>
      </c>
      <c r="B7615" s="28" t="s">
        <v>249</v>
      </c>
      <c r="C7615" s="28" t="s">
        <v>97</v>
      </c>
      <c r="D7615" s="28" t="s">
        <v>254</v>
      </c>
      <c r="E7615" s="29" t="s">
        <v>473</v>
      </c>
      <c r="F7615" s="29" t="s">
        <v>474</v>
      </c>
      <c r="G7615" s="25" t="s">
        <v>9238</v>
      </c>
      <c r="H7615" s="26">
        <v>-0.10762806720000001</v>
      </c>
      <c r="I7615" s="26"/>
      <c r="J7615" s="26" t="s">
        <v>512</v>
      </c>
      <c r="K7615" s="25" t="s">
        <v>513</v>
      </c>
    </row>
    <row r="7616" spans="1:11" ht="25.5" x14ac:dyDescent="0.25">
      <c r="A7616" s="22">
        <v>2026</v>
      </c>
      <c r="B7616" s="28" t="s">
        <v>249</v>
      </c>
      <c r="C7616" s="28" t="s">
        <v>97</v>
      </c>
      <c r="D7616" s="28" t="s">
        <v>254</v>
      </c>
      <c r="E7616" s="29" t="s">
        <v>473</v>
      </c>
      <c r="F7616" s="29" t="s">
        <v>474</v>
      </c>
      <c r="G7616" s="25" t="s">
        <v>9239</v>
      </c>
      <c r="H7616" s="26">
        <v>-6.4085694999999998E-2</v>
      </c>
      <c r="I7616" s="26"/>
      <c r="J7616" s="26" t="s">
        <v>512</v>
      </c>
      <c r="K7616" s="25" t="s">
        <v>513</v>
      </c>
    </row>
    <row r="7617" spans="1:11" ht="25.5" x14ac:dyDescent="0.25">
      <c r="A7617" s="22">
        <v>2026</v>
      </c>
      <c r="B7617" s="28" t="s">
        <v>249</v>
      </c>
      <c r="C7617" s="28" t="s">
        <v>97</v>
      </c>
      <c r="D7617" s="28" t="s">
        <v>254</v>
      </c>
      <c r="E7617" s="29" t="s">
        <v>473</v>
      </c>
      <c r="F7617" s="29" t="s">
        <v>474</v>
      </c>
      <c r="G7617" s="25" t="s">
        <v>9240</v>
      </c>
      <c r="H7617" s="26">
        <v>-0.25517942189999998</v>
      </c>
      <c r="I7617" s="26"/>
      <c r="J7617" s="26" t="s">
        <v>512</v>
      </c>
      <c r="K7617" s="25" t="s">
        <v>513</v>
      </c>
    </row>
    <row r="7618" spans="1:11" ht="25.5" x14ac:dyDescent="0.25">
      <c r="A7618" s="22">
        <v>2026</v>
      </c>
      <c r="B7618" s="28" t="s">
        <v>249</v>
      </c>
      <c r="C7618" s="28" t="s">
        <v>97</v>
      </c>
      <c r="D7618" s="28" t="s">
        <v>254</v>
      </c>
      <c r="E7618" s="29" t="s">
        <v>473</v>
      </c>
      <c r="F7618" s="29" t="s">
        <v>474</v>
      </c>
      <c r="G7618" s="25" t="s">
        <v>9241</v>
      </c>
      <c r="H7618" s="26">
        <v>-0.28830181520000003</v>
      </c>
      <c r="I7618" s="26"/>
      <c r="J7618" s="26" t="s">
        <v>512</v>
      </c>
      <c r="K7618" s="25" t="s">
        <v>513</v>
      </c>
    </row>
    <row r="7619" spans="1:11" ht="25.5" x14ac:dyDescent="0.25">
      <c r="A7619" s="22">
        <v>2026</v>
      </c>
      <c r="B7619" s="28" t="s">
        <v>249</v>
      </c>
      <c r="C7619" s="28" t="s">
        <v>97</v>
      </c>
      <c r="D7619" s="28" t="s">
        <v>254</v>
      </c>
      <c r="E7619" s="29" t="s">
        <v>473</v>
      </c>
      <c r="F7619" s="29" t="s">
        <v>474</v>
      </c>
      <c r="G7619" s="25" t="s">
        <v>9242</v>
      </c>
      <c r="H7619" s="26">
        <v>-3.4099999999999998E-2</v>
      </c>
      <c r="I7619" s="26"/>
      <c r="J7619" s="26" t="s">
        <v>512</v>
      </c>
      <c r="K7619" s="25" t="s">
        <v>513</v>
      </c>
    </row>
    <row r="7620" spans="1:11" ht="25.5" x14ac:dyDescent="0.25">
      <c r="A7620" s="22">
        <v>2026</v>
      </c>
      <c r="B7620" s="28" t="s">
        <v>249</v>
      </c>
      <c r="C7620" s="28" t="s">
        <v>97</v>
      </c>
      <c r="D7620" s="28" t="s">
        <v>254</v>
      </c>
      <c r="E7620" s="29" t="s">
        <v>473</v>
      </c>
      <c r="F7620" s="29" t="s">
        <v>474</v>
      </c>
      <c r="G7620" s="25" t="s">
        <v>9243</v>
      </c>
      <c r="H7620" s="26">
        <v>-6.9269866439999994E-2</v>
      </c>
      <c r="I7620" s="26"/>
      <c r="J7620" s="26" t="s">
        <v>512</v>
      </c>
      <c r="K7620" s="25" t="s">
        <v>513</v>
      </c>
    </row>
    <row r="7621" spans="1:11" ht="25.5" x14ac:dyDescent="0.25">
      <c r="A7621" s="22">
        <v>2026</v>
      </c>
      <c r="B7621" s="28" t="s">
        <v>249</v>
      </c>
      <c r="C7621" s="28" t="s">
        <v>97</v>
      </c>
      <c r="D7621" s="28" t="s">
        <v>254</v>
      </c>
      <c r="E7621" s="29" t="s">
        <v>473</v>
      </c>
      <c r="F7621" s="29" t="s">
        <v>474</v>
      </c>
      <c r="G7621" s="25" t="s">
        <v>9244</v>
      </c>
      <c r="H7621" s="26">
        <v>-9.3320322600000005E-2</v>
      </c>
      <c r="I7621" s="26"/>
      <c r="J7621" s="26" t="s">
        <v>512</v>
      </c>
      <c r="K7621" s="25" t="s">
        <v>513</v>
      </c>
    </row>
    <row r="7622" spans="1:11" ht="25.5" x14ac:dyDescent="0.25">
      <c r="A7622" s="22">
        <v>2026</v>
      </c>
      <c r="B7622" s="28" t="s">
        <v>249</v>
      </c>
      <c r="C7622" s="28" t="s">
        <v>97</v>
      </c>
      <c r="D7622" s="28" t="s">
        <v>254</v>
      </c>
      <c r="E7622" s="29" t="s">
        <v>473</v>
      </c>
      <c r="F7622" s="29" t="s">
        <v>474</v>
      </c>
      <c r="G7622" s="25" t="s">
        <v>9245</v>
      </c>
      <c r="H7622" s="26">
        <v>-0.32607896438</v>
      </c>
      <c r="I7622" s="26"/>
      <c r="J7622" s="26" t="s">
        <v>512</v>
      </c>
      <c r="K7622" s="25" t="s">
        <v>513</v>
      </c>
    </row>
    <row r="7623" spans="1:11" ht="25.5" x14ac:dyDescent="0.25">
      <c r="A7623" s="22">
        <v>2026</v>
      </c>
      <c r="B7623" s="28" t="s">
        <v>249</v>
      </c>
      <c r="C7623" s="28" t="s">
        <v>97</v>
      </c>
      <c r="D7623" s="28" t="s">
        <v>254</v>
      </c>
      <c r="E7623" s="29" t="s">
        <v>473</v>
      </c>
      <c r="F7623" s="29" t="s">
        <v>474</v>
      </c>
      <c r="G7623" s="25" t="s">
        <v>9246</v>
      </c>
      <c r="H7623" s="26">
        <v>-0.1829135707</v>
      </c>
      <c r="I7623" s="26"/>
      <c r="J7623" s="26" t="s">
        <v>512</v>
      </c>
      <c r="K7623" s="25" t="s">
        <v>513</v>
      </c>
    </row>
    <row r="7624" spans="1:11" ht="25.5" x14ac:dyDescent="0.25">
      <c r="A7624" s="22">
        <v>2026</v>
      </c>
      <c r="B7624" s="28" t="s">
        <v>249</v>
      </c>
      <c r="C7624" s="28" t="s">
        <v>97</v>
      </c>
      <c r="D7624" s="28" t="s">
        <v>254</v>
      </c>
      <c r="E7624" s="29" t="s">
        <v>473</v>
      </c>
      <c r="F7624" s="29" t="s">
        <v>474</v>
      </c>
      <c r="G7624" s="25" t="s">
        <v>9247</v>
      </c>
      <c r="H7624" s="26">
        <v>-0.12123462225000001</v>
      </c>
      <c r="I7624" s="26"/>
      <c r="J7624" s="26" t="s">
        <v>512</v>
      </c>
      <c r="K7624" s="25" t="s">
        <v>513</v>
      </c>
    </row>
    <row r="7625" spans="1:11" ht="25.5" x14ac:dyDescent="0.25">
      <c r="A7625" s="22">
        <v>2026</v>
      </c>
      <c r="B7625" s="28" t="s">
        <v>249</v>
      </c>
      <c r="C7625" s="28" t="s">
        <v>97</v>
      </c>
      <c r="D7625" s="28" t="s">
        <v>254</v>
      </c>
      <c r="E7625" s="29" t="s">
        <v>473</v>
      </c>
      <c r="F7625" s="29" t="s">
        <v>474</v>
      </c>
      <c r="G7625" s="25" t="s">
        <v>9248</v>
      </c>
      <c r="H7625" s="26">
        <v>-7.9782540799999996E-2</v>
      </c>
      <c r="I7625" s="26"/>
      <c r="J7625" s="26" t="s">
        <v>512</v>
      </c>
      <c r="K7625" s="25" t="s">
        <v>513</v>
      </c>
    </row>
    <row r="7626" spans="1:11" ht="25.5" x14ac:dyDescent="0.25">
      <c r="A7626" s="22">
        <v>2026</v>
      </c>
      <c r="B7626" s="28" t="s">
        <v>249</v>
      </c>
      <c r="C7626" s="28" t="s">
        <v>97</v>
      </c>
      <c r="D7626" s="28" t="s">
        <v>1740</v>
      </c>
      <c r="E7626" s="29" t="s">
        <v>473</v>
      </c>
      <c r="F7626" s="29" t="s">
        <v>343</v>
      </c>
      <c r="G7626" s="25" t="s">
        <v>9249</v>
      </c>
      <c r="H7626" s="26">
        <v>-3.8804073299999998E-2</v>
      </c>
      <c r="I7626" s="26"/>
      <c r="J7626" s="26" t="s">
        <v>512</v>
      </c>
      <c r="K7626" s="25" t="s">
        <v>513</v>
      </c>
    </row>
    <row r="7627" spans="1:11" ht="25.5" x14ac:dyDescent="0.25">
      <c r="A7627" s="22">
        <v>2026</v>
      </c>
      <c r="B7627" s="28" t="s">
        <v>249</v>
      </c>
      <c r="C7627" s="28" t="s">
        <v>97</v>
      </c>
      <c r="D7627" s="28" t="s">
        <v>1740</v>
      </c>
      <c r="E7627" s="29" t="s">
        <v>473</v>
      </c>
      <c r="F7627" s="29" t="s">
        <v>343</v>
      </c>
      <c r="G7627" s="25" t="s">
        <v>9250</v>
      </c>
      <c r="H7627" s="26">
        <v>-3.6226331000000001E-2</v>
      </c>
      <c r="I7627" s="26"/>
      <c r="J7627" s="26" t="s">
        <v>512</v>
      </c>
      <c r="K7627" s="25" t="s">
        <v>513</v>
      </c>
    </row>
    <row r="7628" spans="1:11" ht="25.5" x14ac:dyDescent="0.25">
      <c r="A7628" s="22">
        <v>2026</v>
      </c>
      <c r="B7628" s="28" t="s">
        <v>249</v>
      </c>
      <c r="C7628" s="28" t="s">
        <v>97</v>
      </c>
      <c r="D7628" s="28" t="s">
        <v>1740</v>
      </c>
      <c r="E7628" s="29" t="s">
        <v>473</v>
      </c>
      <c r="F7628" s="29" t="s">
        <v>343</v>
      </c>
      <c r="G7628" s="25" t="s">
        <v>9251</v>
      </c>
      <c r="H7628" s="26">
        <v>-9.1187693999999989E-3</v>
      </c>
      <c r="I7628" s="26"/>
      <c r="J7628" s="26" t="s">
        <v>512</v>
      </c>
      <c r="K7628" s="25" t="s">
        <v>513</v>
      </c>
    </row>
    <row r="7629" spans="1:11" ht="25.5" x14ac:dyDescent="0.25">
      <c r="A7629" s="22">
        <v>2026</v>
      </c>
      <c r="B7629" s="28" t="s">
        <v>249</v>
      </c>
      <c r="C7629" s="28" t="s">
        <v>97</v>
      </c>
      <c r="D7629" s="28" t="s">
        <v>1741</v>
      </c>
      <c r="E7629" s="29" t="s">
        <v>985</v>
      </c>
      <c r="F7629" s="29" t="s">
        <v>340</v>
      </c>
      <c r="G7629" s="25" t="s">
        <v>9252</v>
      </c>
      <c r="H7629" s="26">
        <v>-3.6804999999999999</v>
      </c>
      <c r="I7629" s="26"/>
      <c r="J7629" s="26" t="s">
        <v>512</v>
      </c>
      <c r="K7629" s="25" t="s">
        <v>513</v>
      </c>
    </row>
    <row r="7630" spans="1:11" ht="25.5" x14ac:dyDescent="0.25">
      <c r="A7630" s="22">
        <v>2026</v>
      </c>
      <c r="B7630" s="28" t="s">
        <v>249</v>
      </c>
      <c r="C7630" s="28" t="s">
        <v>97</v>
      </c>
      <c r="D7630" s="28" t="s">
        <v>1741</v>
      </c>
      <c r="E7630" s="29" t="s">
        <v>985</v>
      </c>
      <c r="F7630" s="29" t="s">
        <v>340</v>
      </c>
      <c r="G7630" s="25" t="s">
        <v>9253</v>
      </c>
      <c r="H7630" s="26">
        <v>-0.42</v>
      </c>
      <c r="I7630" s="26"/>
      <c r="J7630" s="26" t="s">
        <v>512</v>
      </c>
      <c r="K7630" s="25" t="s">
        <v>513</v>
      </c>
    </row>
    <row r="7631" spans="1:11" ht="25.5" x14ac:dyDescent="0.25">
      <c r="A7631" s="22">
        <v>2026</v>
      </c>
      <c r="B7631" s="28" t="s">
        <v>249</v>
      </c>
      <c r="C7631" s="28" t="s">
        <v>97</v>
      </c>
      <c r="D7631" s="28" t="s">
        <v>1741</v>
      </c>
      <c r="E7631" s="29" t="s">
        <v>985</v>
      </c>
      <c r="F7631" s="29" t="s">
        <v>340</v>
      </c>
      <c r="G7631" s="25" t="s">
        <v>7758</v>
      </c>
      <c r="H7631" s="26">
        <v>-0.21</v>
      </c>
      <c r="I7631" s="26"/>
      <c r="J7631" s="26" t="s">
        <v>512</v>
      </c>
      <c r="K7631" s="25" t="s">
        <v>513</v>
      </c>
    </row>
    <row r="7632" spans="1:11" ht="25.5" x14ac:dyDescent="0.25">
      <c r="A7632" s="22">
        <v>2026</v>
      </c>
      <c r="B7632" s="28" t="s">
        <v>249</v>
      </c>
      <c r="C7632" s="28" t="s">
        <v>97</v>
      </c>
      <c r="D7632" s="28" t="s">
        <v>1741</v>
      </c>
      <c r="E7632" s="29" t="s">
        <v>985</v>
      </c>
      <c r="F7632" s="29" t="s">
        <v>340</v>
      </c>
      <c r="G7632" s="25" t="s">
        <v>9254</v>
      </c>
      <c r="H7632" s="26">
        <v>-0.20899999999999999</v>
      </c>
      <c r="I7632" s="26"/>
      <c r="J7632" s="26" t="s">
        <v>512</v>
      </c>
      <c r="K7632" s="25" t="s">
        <v>513</v>
      </c>
    </row>
    <row r="7633" spans="1:11" ht="25.5" x14ac:dyDescent="0.25">
      <c r="A7633" s="22">
        <v>2026</v>
      </c>
      <c r="B7633" s="28" t="s">
        <v>249</v>
      </c>
      <c r="C7633" s="28" t="s">
        <v>97</v>
      </c>
      <c r="D7633" s="28" t="s">
        <v>1742</v>
      </c>
      <c r="E7633" s="29" t="s">
        <v>1742</v>
      </c>
      <c r="F7633" s="29" t="s">
        <v>284</v>
      </c>
      <c r="G7633" s="25" t="s">
        <v>9255</v>
      </c>
      <c r="H7633" s="26">
        <v>-0.35775000000000001</v>
      </c>
      <c r="I7633" s="26"/>
      <c r="J7633" s="26" t="s">
        <v>1773</v>
      </c>
      <c r="K7633" s="25" t="s">
        <v>513</v>
      </c>
    </row>
    <row r="7634" spans="1:11" ht="25.5" x14ac:dyDescent="0.25">
      <c r="A7634" s="22">
        <v>2026</v>
      </c>
      <c r="B7634" s="28" t="s">
        <v>249</v>
      </c>
      <c r="C7634" s="28" t="s">
        <v>97</v>
      </c>
      <c r="D7634" s="28" t="s">
        <v>1742</v>
      </c>
      <c r="E7634" s="29" t="s">
        <v>1742</v>
      </c>
      <c r="F7634" s="29" t="s">
        <v>284</v>
      </c>
      <c r="G7634" s="25" t="s">
        <v>9256</v>
      </c>
      <c r="H7634" s="26">
        <v>-0.3765</v>
      </c>
      <c r="I7634" s="26"/>
      <c r="J7634" s="26" t="s">
        <v>1773</v>
      </c>
      <c r="K7634" s="25" t="s">
        <v>513</v>
      </c>
    </row>
    <row r="7635" spans="1:11" ht="25.5" x14ac:dyDescent="0.25">
      <c r="A7635" s="22">
        <v>2026</v>
      </c>
      <c r="B7635" s="28" t="s">
        <v>249</v>
      </c>
      <c r="C7635" s="28" t="s">
        <v>97</v>
      </c>
      <c r="D7635" s="28" t="s">
        <v>1742</v>
      </c>
      <c r="E7635" s="29" t="s">
        <v>1742</v>
      </c>
      <c r="F7635" s="29" t="s">
        <v>284</v>
      </c>
      <c r="G7635" s="25" t="s">
        <v>9257</v>
      </c>
      <c r="H7635" s="26">
        <v>-0.1792</v>
      </c>
      <c r="I7635" s="26"/>
      <c r="J7635" s="26" t="s">
        <v>1773</v>
      </c>
      <c r="K7635" s="25" t="s">
        <v>513</v>
      </c>
    </row>
    <row r="7636" spans="1:11" ht="25.5" x14ac:dyDescent="0.25">
      <c r="A7636" s="22">
        <v>2026</v>
      </c>
      <c r="B7636" s="28" t="s">
        <v>249</v>
      </c>
      <c r="C7636" s="28" t="s">
        <v>97</v>
      </c>
      <c r="D7636" s="28" t="s">
        <v>1742</v>
      </c>
      <c r="E7636" s="29" t="s">
        <v>1742</v>
      </c>
      <c r="F7636" s="29" t="s">
        <v>284</v>
      </c>
      <c r="G7636" s="25" t="s">
        <v>9258</v>
      </c>
      <c r="H7636" s="26">
        <v>-0.50800000000000001</v>
      </c>
      <c r="I7636" s="26"/>
      <c r="J7636" s="26" t="s">
        <v>1773</v>
      </c>
      <c r="K7636" s="25" t="s">
        <v>513</v>
      </c>
    </row>
    <row r="7637" spans="1:11" ht="25.5" x14ac:dyDescent="0.25">
      <c r="A7637" s="22">
        <v>2026</v>
      </c>
      <c r="B7637" s="28" t="s">
        <v>249</v>
      </c>
      <c r="C7637" s="28" t="s">
        <v>97</v>
      </c>
      <c r="D7637" s="28" t="s">
        <v>1742</v>
      </c>
      <c r="E7637" s="29" t="s">
        <v>1742</v>
      </c>
      <c r="F7637" s="29" t="s">
        <v>284</v>
      </c>
      <c r="G7637" s="25" t="s">
        <v>9259</v>
      </c>
      <c r="H7637" s="26">
        <v>-0.12570000000000001</v>
      </c>
      <c r="I7637" s="26"/>
      <c r="J7637" s="26" t="s">
        <v>1773</v>
      </c>
      <c r="K7637" s="25" t="s">
        <v>513</v>
      </c>
    </row>
    <row r="7638" spans="1:11" ht="25.5" x14ac:dyDescent="0.25">
      <c r="A7638" s="22">
        <v>2026</v>
      </c>
      <c r="B7638" s="28" t="s">
        <v>249</v>
      </c>
      <c r="C7638" s="28" t="s">
        <v>97</v>
      </c>
      <c r="D7638" s="28" t="s">
        <v>1742</v>
      </c>
      <c r="E7638" s="29" t="s">
        <v>1742</v>
      </c>
      <c r="F7638" s="29" t="s">
        <v>284</v>
      </c>
      <c r="G7638" s="25" t="s">
        <v>9260</v>
      </c>
      <c r="H7638" s="26">
        <v>-0.39074999999999999</v>
      </c>
      <c r="I7638" s="26"/>
      <c r="J7638" s="26" t="s">
        <v>1773</v>
      </c>
      <c r="K7638" s="25" t="s">
        <v>513</v>
      </c>
    </row>
    <row r="7639" spans="1:11" ht="25.5" x14ac:dyDescent="0.25">
      <c r="A7639" s="22">
        <v>2026</v>
      </c>
      <c r="B7639" s="28" t="s">
        <v>249</v>
      </c>
      <c r="C7639" s="28" t="s">
        <v>97</v>
      </c>
      <c r="D7639" s="28" t="s">
        <v>1743</v>
      </c>
      <c r="E7639" s="29" t="s">
        <v>331</v>
      </c>
      <c r="F7639" s="29" t="s">
        <v>494</v>
      </c>
      <c r="G7639" s="25" t="s">
        <v>9261</v>
      </c>
      <c r="H7639" s="26">
        <v>-0.8601374946</v>
      </c>
      <c r="I7639" s="26"/>
      <c r="J7639" s="26" t="s">
        <v>512</v>
      </c>
      <c r="K7639" s="25" t="s">
        <v>513</v>
      </c>
    </row>
    <row r="7640" spans="1:11" ht="25.5" x14ac:dyDescent="0.25">
      <c r="A7640" s="22">
        <v>2026</v>
      </c>
      <c r="B7640" s="28" t="s">
        <v>249</v>
      </c>
      <c r="C7640" s="28" t="s">
        <v>97</v>
      </c>
      <c r="D7640" s="28" t="s">
        <v>1743</v>
      </c>
      <c r="E7640" s="29" t="s">
        <v>331</v>
      </c>
      <c r="F7640" s="29" t="s">
        <v>494</v>
      </c>
      <c r="G7640" s="25" t="s">
        <v>9262</v>
      </c>
      <c r="H7640" s="26">
        <v>-1.10938</v>
      </c>
      <c r="I7640" s="26"/>
      <c r="J7640" s="26" t="s">
        <v>512</v>
      </c>
      <c r="K7640" s="25" t="s">
        <v>513</v>
      </c>
    </row>
    <row r="7641" spans="1:11" ht="25.5" x14ac:dyDescent="0.25">
      <c r="A7641" s="22">
        <v>2026</v>
      </c>
      <c r="B7641" s="28" t="s">
        <v>249</v>
      </c>
      <c r="C7641" s="28" t="s">
        <v>97</v>
      </c>
      <c r="D7641" s="28" t="s">
        <v>1743</v>
      </c>
      <c r="E7641" s="29" t="s">
        <v>331</v>
      </c>
      <c r="F7641" s="29" t="s">
        <v>494</v>
      </c>
      <c r="G7641" s="25" t="s">
        <v>9263</v>
      </c>
      <c r="H7641" s="26">
        <v>-6.27622704E-2</v>
      </c>
      <c r="I7641" s="26"/>
      <c r="J7641" s="26" t="s">
        <v>512</v>
      </c>
      <c r="K7641" s="25" t="s">
        <v>513</v>
      </c>
    </row>
    <row r="7642" spans="1:11" ht="25.5" x14ac:dyDescent="0.25">
      <c r="A7642" s="22">
        <v>2026</v>
      </c>
      <c r="B7642" s="28" t="s">
        <v>249</v>
      </c>
      <c r="C7642" s="28" t="s">
        <v>97</v>
      </c>
      <c r="D7642" s="28" t="s">
        <v>1743</v>
      </c>
      <c r="E7642" s="29" t="s">
        <v>331</v>
      </c>
      <c r="F7642" s="29" t="s">
        <v>494</v>
      </c>
      <c r="G7642" s="25" t="s">
        <v>9264</v>
      </c>
      <c r="H7642" s="26">
        <v>-0.99919181220000008</v>
      </c>
      <c r="I7642" s="26"/>
      <c r="J7642" s="26" t="s">
        <v>512</v>
      </c>
      <c r="K7642" s="25" t="s">
        <v>513</v>
      </c>
    </row>
    <row r="7643" spans="1:11" ht="25.5" x14ac:dyDescent="0.25">
      <c r="A7643" s="22">
        <v>2026</v>
      </c>
      <c r="B7643" s="28" t="s">
        <v>249</v>
      </c>
      <c r="C7643" s="28" t="s">
        <v>97</v>
      </c>
      <c r="D7643" s="28" t="s">
        <v>1743</v>
      </c>
      <c r="E7643" s="29" t="s">
        <v>331</v>
      </c>
      <c r="F7643" s="29" t="s">
        <v>494</v>
      </c>
      <c r="G7643" s="25" t="s">
        <v>9265</v>
      </c>
      <c r="H7643" s="26">
        <v>-1.0945</v>
      </c>
      <c r="I7643" s="26"/>
      <c r="J7643" s="26" t="s">
        <v>512</v>
      </c>
      <c r="K7643" s="25" t="s">
        <v>513</v>
      </c>
    </row>
    <row r="7644" spans="1:11" ht="25.5" x14ac:dyDescent="0.25">
      <c r="A7644" s="22">
        <v>2026</v>
      </c>
      <c r="B7644" s="28" t="s">
        <v>249</v>
      </c>
      <c r="C7644" s="28" t="s">
        <v>97</v>
      </c>
      <c r="D7644" s="28" t="s">
        <v>1743</v>
      </c>
      <c r="E7644" s="29" t="s">
        <v>331</v>
      </c>
      <c r="F7644" s="29" t="s">
        <v>494</v>
      </c>
      <c r="G7644" s="25" t="s">
        <v>9266</v>
      </c>
      <c r="H7644" s="26">
        <v>-2.1329600000000002</v>
      </c>
      <c r="I7644" s="26"/>
      <c r="J7644" s="26" t="s">
        <v>512</v>
      </c>
      <c r="K7644" s="25" t="s">
        <v>513</v>
      </c>
    </row>
    <row r="7645" spans="1:11" ht="25.5" x14ac:dyDescent="0.25">
      <c r="A7645" s="22">
        <v>2026</v>
      </c>
      <c r="B7645" s="28" t="s">
        <v>249</v>
      </c>
      <c r="C7645" s="28" t="s">
        <v>97</v>
      </c>
      <c r="D7645" s="28" t="s">
        <v>1743</v>
      </c>
      <c r="E7645" s="29" t="s">
        <v>331</v>
      </c>
      <c r="F7645" s="29" t="s">
        <v>494</v>
      </c>
      <c r="G7645" s="25" t="s">
        <v>9267</v>
      </c>
      <c r="H7645" s="26">
        <v>-1.54695</v>
      </c>
      <c r="I7645" s="26"/>
      <c r="J7645" s="26" t="s">
        <v>512</v>
      </c>
      <c r="K7645" s="25" t="s">
        <v>513</v>
      </c>
    </row>
    <row r="7646" spans="1:11" ht="25.5" x14ac:dyDescent="0.25">
      <c r="A7646" s="22">
        <v>2026</v>
      </c>
      <c r="B7646" s="28" t="s">
        <v>249</v>
      </c>
      <c r="C7646" s="28" t="s">
        <v>97</v>
      </c>
      <c r="D7646" s="28" t="s">
        <v>1743</v>
      </c>
      <c r="E7646" s="29" t="s">
        <v>331</v>
      </c>
      <c r="F7646" s="29" t="s">
        <v>494</v>
      </c>
      <c r="G7646" s="25" t="s">
        <v>9268</v>
      </c>
      <c r="H7646" s="26">
        <v>-0.81705319999999992</v>
      </c>
      <c r="I7646" s="26"/>
      <c r="J7646" s="26" t="s">
        <v>512</v>
      </c>
      <c r="K7646" s="25" t="s">
        <v>513</v>
      </c>
    </row>
    <row r="7647" spans="1:11" ht="25.5" x14ac:dyDescent="0.25">
      <c r="A7647" s="22">
        <v>2026</v>
      </c>
      <c r="B7647" s="28" t="s">
        <v>249</v>
      </c>
      <c r="C7647" s="28" t="s">
        <v>97</v>
      </c>
      <c r="D7647" s="28" t="s">
        <v>1743</v>
      </c>
      <c r="E7647" s="29" t="s">
        <v>331</v>
      </c>
      <c r="F7647" s="29" t="s">
        <v>494</v>
      </c>
      <c r="G7647" s="25" t="s">
        <v>9269</v>
      </c>
      <c r="H7647" s="26">
        <v>-1.9709820171999999</v>
      </c>
      <c r="I7647" s="26"/>
      <c r="J7647" s="26" t="s">
        <v>512</v>
      </c>
      <c r="K7647" s="25" t="s">
        <v>513</v>
      </c>
    </row>
    <row r="7648" spans="1:11" ht="25.5" x14ac:dyDescent="0.25">
      <c r="A7648" s="22">
        <v>2026</v>
      </c>
      <c r="B7648" s="28" t="s">
        <v>249</v>
      </c>
      <c r="C7648" s="28" t="s">
        <v>97</v>
      </c>
      <c r="D7648" s="28" t="s">
        <v>1743</v>
      </c>
      <c r="E7648" s="29" t="s">
        <v>331</v>
      </c>
      <c r="F7648" s="29" t="s">
        <v>494</v>
      </c>
      <c r="G7648" s="25" t="s">
        <v>9270</v>
      </c>
      <c r="H7648" s="26">
        <v>-0.529335</v>
      </c>
      <c r="I7648" s="26"/>
      <c r="J7648" s="26" t="s">
        <v>512</v>
      </c>
      <c r="K7648" s="25" t="s">
        <v>513</v>
      </c>
    </row>
    <row r="7649" spans="1:11" ht="25.5" x14ac:dyDescent="0.25">
      <c r="A7649" s="22">
        <v>2026</v>
      </c>
      <c r="B7649" s="28" t="s">
        <v>249</v>
      </c>
      <c r="C7649" s="28" t="s">
        <v>97</v>
      </c>
      <c r="D7649" s="28" t="s">
        <v>1743</v>
      </c>
      <c r="E7649" s="29" t="s">
        <v>331</v>
      </c>
      <c r="F7649" s="29" t="s">
        <v>494</v>
      </c>
      <c r="G7649" s="25" t="s">
        <v>9271</v>
      </c>
      <c r="H7649" s="26">
        <v>-0.49823000000000001</v>
      </c>
      <c r="I7649" s="26"/>
      <c r="J7649" s="26" t="s">
        <v>512</v>
      </c>
      <c r="K7649" s="25" t="s">
        <v>513</v>
      </c>
    </row>
    <row r="7650" spans="1:11" ht="25.5" x14ac:dyDescent="0.25">
      <c r="A7650" s="22">
        <v>2026</v>
      </c>
      <c r="B7650" s="28" t="s">
        <v>249</v>
      </c>
      <c r="C7650" s="28" t="s">
        <v>97</v>
      </c>
      <c r="D7650" s="28" t="s">
        <v>1743</v>
      </c>
      <c r="E7650" s="29" t="s">
        <v>331</v>
      </c>
      <c r="F7650" s="29" t="s">
        <v>494</v>
      </c>
      <c r="G7650" s="25" t="s">
        <v>9272</v>
      </c>
      <c r="H7650" s="26">
        <v>-0.8713334358</v>
      </c>
      <c r="I7650" s="26"/>
      <c r="J7650" s="26" t="s">
        <v>512</v>
      </c>
      <c r="K7650" s="25" t="s">
        <v>513</v>
      </c>
    </row>
    <row r="7651" spans="1:11" ht="25.5" x14ac:dyDescent="0.25">
      <c r="A7651" s="22">
        <v>2026</v>
      </c>
      <c r="B7651" s="28" t="s">
        <v>249</v>
      </c>
      <c r="C7651" s="28" t="s">
        <v>97</v>
      </c>
      <c r="D7651" s="28" t="s">
        <v>545</v>
      </c>
      <c r="E7651" s="29" t="s">
        <v>583</v>
      </c>
      <c r="F7651" s="29" t="s">
        <v>284</v>
      </c>
      <c r="G7651" s="25" t="s">
        <v>9273</v>
      </c>
      <c r="H7651" s="26">
        <v>-3.7781250000000002</v>
      </c>
      <c r="I7651" s="26"/>
      <c r="J7651" s="26" t="s">
        <v>512</v>
      </c>
      <c r="K7651" s="25" t="s">
        <v>513</v>
      </c>
    </row>
    <row r="7652" spans="1:11" ht="25.5" x14ac:dyDescent="0.25">
      <c r="A7652" s="22">
        <v>2026</v>
      </c>
      <c r="B7652" s="28" t="s">
        <v>249</v>
      </c>
      <c r="C7652" s="28" t="s">
        <v>97</v>
      </c>
      <c r="D7652" s="28" t="s">
        <v>545</v>
      </c>
      <c r="E7652" s="29" t="s">
        <v>583</v>
      </c>
      <c r="F7652" s="29" t="s">
        <v>284</v>
      </c>
      <c r="G7652" s="25" t="s">
        <v>9274</v>
      </c>
      <c r="H7652" s="26">
        <v>-1.0642499999999999</v>
      </c>
      <c r="I7652" s="26"/>
      <c r="J7652" s="26" t="s">
        <v>512</v>
      </c>
      <c r="K7652" s="25" t="s">
        <v>513</v>
      </c>
    </row>
    <row r="7653" spans="1:11" ht="25.5" x14ac:dyDescent="0.25">
      <c r="A7653" s="22">
        <v>2026</v>
      </c>
      <c r="B7653" s="28" t="s">
        <v>249</v>
      </c>
      <c r="C7653" s="28" t="s">
        <v>97</v>
      </c>
      <c r="D7653" s="28" t="s">
        <v>545</v>
      </c>
      <c r="E7653" s="29" t="s">
        <v>583</v>
      </c>
      <c r="F7653" s="29" t="s">
        <v>284</v>
      </c>
      <c r="G7653" s="25" t="s">
        <v>9275</v>
      </c>
      <c r="H7653" s="26">
        <v>-1.20436318163</v>
      </c>
      <c r="I7653" s="26"/>
      <c r="J7653" s="26" t="s">
        <v>512</v>
      </c>
      <c r="K7653" s="25" t="s">
        <v>513</v>
      </c>
    </row>
    <row r="7654" spans="1:11" ht="25.5" x14ac:dyDescent="0.25">
      <c r="A7654" s="22">
        <v>2026</v>
      </c>
      <c r="B7654" s="28" t="s">
        <v>249</v>
      </c>
      <c r="C7654" s="28" t="s">
        <v>97</v>
      </c>
      <c r="D7654" s="28" t="s">
        <v>545</v>
      </c>
      <c r="E7654" s="29" t="s">
        <v>583</v>
      </c>
      <c r="F7654" s="29" t="s">
        <v>284</v>
      </c>
      <c r="G7654" s="25" t="s">
        <v>9276</v>
      </c>
      <c r="H7654" s="26">
        <v>-0.64393292000000002</v>
      </c>
      <c r="I7654" s="26"/>
      <c r="J7654" s="26" t="s">
        <v>512</v>
      </c>
      <c r="K7654" s="25" t="s">
        <v>513</v>
      </c>
    </row>
    <row r="7655" spans="1:11" ht="25.5" x14ac:dyDescent="0.25">
      <c r="A7655" s="22">
        <v>2026</v>
      </c>
      <c r="B7655" s="28" t="s">
        <v>249</v>
      </c>
      <c r="C7655" s="28" t="s">
        <v>97</v>
      </c>
      <c r="D7655" s="28" t="s">
        <v>545</v>
      </c>
      <c r="E7655" s="29" t="s">
        <v>583</v>
      </c>
      <c r="F7655" s="29" t="s">
        <v>284</v>
      </c>
      <c r="G7655" s="25" t="s">
        <v>9277</v>
      </c>
      <c r="H7655" s="26">
        <v>-0.21545344050000001</v>
      </c>
      <c r="I7655" s="26"/>
      <c r="J7655" s="26" t="s">
        <v>512</v>
      </c>
      <c r="K7655" s="25" t="s">
        <v>513</v>
      </c>
    </row>
    <row r="7656" spans="1:11" ht="25.5" x14ac:dyDescent="0.25">
      <c r="A7656" s="22">
        <v>2026</v>
      </c>
      <c r="B7656" s="28" t="s">
        <v>249</v>
      </c>
      <c r="C7656" s="28" t="s">
        <v>97</v>
      </c>
      <c r="D7656" s="28" t="s">
        <v>545</v>
      </c>
      <c r="E7656" s="29" t="s">
        <v>583</v>
      </c>
      <c r="F7656" s="29" t="s">
        <v>284</v>
      </c>
      <c r="G7656" s="25" t="s">
        <v>9278</v>
      </c>
      <c r="H7656" s="26">
        <v>-0.89411810000000003</v>
      </c>
      <c r="I7656" s="26"/>
      <c r="J7656" s="26" t="s">
        <v>512</v>
      </c>
      <c r="K7656" s="25" t="s">
        <v>513</v>
      </c>
    </row>
    <row r="7657" spans="1:11" ht="25.5" x14ac:dyDescent="0.25">
      <c r="A7657" s="22">
        <v>2026</v>
      </c>
      <c r="B7657" s="28" t="s">
        <v>249</v>
      </c>
      <c r="C7657" s="28" t="s">
        <v>97</v>
      </c>
      <c r="D7657" s="28" t="s">
        <v>545</v>
      </c>
      <c r="E7657" s="29" t="s">
        <v>583</v>
      </c>
      <c r="F7657" s="29" t="s">
        <v>284</v>
      </c>
      <c r="G7657" s="25" t="s">
        <v>9279</v>
      </c>
      <c r="H7657" s="26">
        <v>-2.3271959999999998</v>
      </c>
      <c r="I7657" s="26"/>
      <c r="J7657" s="26" t="s">
        <v>512</v>
      </c>
      <c r="K7657" s="25" t="s">
        <v>513</v>
      </c>
    </row>
    <row r="7658" spans="1:11" ht="25.5" x14ac:dyDescent="0.25">
      <c r="A7658" s="22">
        <v>2026</v>
      </c>
      <c r="B7658" s="28" t="s">
        <v>249</v>
      </c>
      <c r="C7658" s="28" t="s">
        <v>97</v>
      </c>
      <c r="D7658" s="28" t="s">
        <v>545</v>
      </c>
      <c r="E7658" s="29" t="s">
        <v>583</v>
      </c>
      <c r="F7658" s="29" t="s">
        <v>284</v>
      </c>
      <c r="G7658" s="25" t="s">
        <v>9280</v>
      </c>
      <c r="H7658" s="26">
        <v>-1.0595928232</v>
      </c>
      <c r="I7658" s="26"/>
      <c r="J7658" s="26" t="s">
        <v>512</v>
      </c>
      <c r="K7658" s="25" t="s">
        <v>513</v>
      </c>
    </row>
    <row r="7659" spans="1:11" ht="25.5" x14ac:dyDescent="0.25">
      <c r="A7659" s="22">
        <v>2026</v>
      </c>
      <c r="B7659" s="28" t="s">
        <v>249</v>
      </c>
      <c r="C7659" s="28" t="s">
        <v>97</v>
      </c>
      <c r="D7659" s="28" t="s">
        <v>545</v>
      </c>
      <c r="E7659" s="29" t="s">
        <v>583</v>
      </c>
      <c r="F7659" s="29" t="s">
        <v>284</v>
      </c>
      <c r="G7659" s="25" t="s">
        <v>9281</v>
      </c>
      <c r="H7659" s="26">
        <v>-3.8600000000000002E-2</v>
      </c>
      <c r="I7659" s="26"/>
      <c r="J7659" s="26" t="s">
        <v>512</v>
      </c>
      <c r="K7659" s="25" t="s">
        <v>513</v>
      </c>
    </row>
    <row r="7660" spans="1:11" ht="25.5" x14ac:dyDescent="0.25">
      <c r="A7660" s="22">
        <v>2026</v>
      </c>
      <c r="B7660" s="28" t="s">
        <v>249</v>
      </c>
      <c r="C7660" s="28" t="s">
        <v>97</v>
      </c>
      <c r="D7660" s="28" t="s">
        <v>545</v>
      </c>
      <c r="E7660" s="29" t="s">
        <v>583</v>
      </c>
      <c r="F7660" s="29" t="s">
        <v>284</v>
      </c>
      <c r="G7660" s="25" t="s">
        <v>9282</v>
      </c>
      <c r="H7660" s="26">
        <v>-1.1439732328200001</v>
      </c>
      <c r="I7660" s="26"/>
      <c r="J7660" s="26" t="s">
        <v>512</v>
      </c>
      <c r="K7660" s="25" t="s">
        <v>513</v>
      </c>
    </row>
    <row r="7661" spans="1:11" ht="25.5" x14ac:dyDescent="0.25">
      <c r="A7661" s="22">
        <v>2026</v>
      </c>
      <c r="B7661" s="28" t="s">
        <v>249</v>
      </c>
      <c r="C7661" s="28" t="s">
        <v>97</v>
      </c>
      <c r="D7661" s="28" t="s">
        <v>545</v>
      </c>
      <c r="E7661" s="29" t="s">
        <v>583</v>
      </c>
      <c r="F7661" s="29" t="s">
        <v>284</v>
      </c>
      <c r="G7661" s="25" t="s">
        <v>9283</v>
      </c>
      <c r="H7661" s="26">
        <v>-1.61162282568</v>
      </c>
      <c r="I7661" s="26"/>
      <c r="J7661" s="26" t="s">
        <v>512</v>
      </c>
      <c r="K7661" s="25" t="s">
        <v>513</v>
      </c>
    </row>
    <row r="7662" spans="1:11" ht="25.5" x14ac:dyDescent="0.25">
      <c r="A7662" s="22">
        <v>2026</v>
      </c>
      <c r="B7662" s="28" t="s">
        <v>249</v>
      </c>
      <c r="C7662" s="28" t="s">
        <v>97</v>
      </c>
      <c r="D7662" s="28" t="s">
        <v>545</v>
      </c>
      <c r="E7662" s="29" t="s">
        <v>583</v>
      </c>
      <c r="F7662" s="29" t="s">
        <v>284</v>
      </c>
      <c r="G7662" s="25" t="s">
        <v>9284</v>
      </c>
      <c r="H7662" s="26">
        <v>-1.7193634961600002</v>
      </c>
      <c r="I7662" s="26"/>
      <c r="J7662" s="26" t="s">
        <v>512</v>
      </c>
      <c r="K7662" s="25" t="s">
        <v>513</v>
      </c>
    </row>
    <row r="7663" spans="1:11" ht="25.5" x14ac:dyDescent="0.25">
      <c r="A7663" s="22">
        <v>2026</v>
      </c>
      <c r="B7663" s="28" t="s">
        <v>249</v>
      </c>
      <c r="C7663" s="28" t="s">
        <v>97</v>
      </c>
      <c r="D7663" s="28" t="s">
        <v>545</v>
      </c>
      <c r="E7663" s="29" t="s">
        <v>583</v>
      </c>
      <c r="F7663" s="29" t="s">
        <v>284</v>
      </c>
      <c r="G7663" s="25" t="s">
        <v>9285</v>
      </c>
      <c r="H7663" s="26">
        <v>-0.28949999999999998</v>
      </c>
      <c r="I7663" s="26"/>
      <c r="J7663" s="26" t="s">
        <v>512</v>
      </c>
      <c r="K7663" s="25" t="s">
        <v>513</v>
      </c>
    </row>
    <row r="7664" spans="1:11" ht="25.5" x14ac:dyDescent="0.25">
      <c r="A7664" s="22">
        <v>2026</v>
      </c>
      <c r="B7664" s="28" t="s">
        <v>249</v>
      </c>
      <c r="C7664" s="28" t="s">
        <v>97</v>
      </c>
      <c r="D7664" s="28" t="s">
        <v>545</v>
      </c>
      <c r="E7664" s="29" t="s">
        <v>583</v>
      </c>
      <c r="F7664" s="29" t="s">
        <v>284</v>
      </c>
      <c r="G7664" s="25" t="s">
        <v>9286</v>
      </c>
      <c r="H7664" s="26">
        <v>-1.2584606547399999</v>
      </c>
      <c r="I7664" s="26"/>
      <c r="J7664" s="26" t="s">
        <v>512</v>
      </c>
      <c r="K7664" s="25" t="s">
        <v>513</v>
      </c>
    </row>
    <row r="7665" spans="1:11" ht="25.5" x14ac:dyDescent="0.25">
      <c r="A7665" s="22">
        <v>2026</v>
      </c>
      <c r="B7665" s="28" t="s">
        <v>249</v>
      </c>
      <c r="C7665" s="28" t="s">
        <v>97</v>
      </c>
      <c r="D7665" s="28" t="s">
        <v>545</v>
      </c>
      <c r="E7665" s="29" t="s">
        <v>583</v>
      </c>
      <c r="F7665" s="29" t="s">
        <v>284</v>
      </c>
      <c r="G7665" s="25" t="s">
        <v>9287</v>
      </c>
      <c r="H7665" s="26">
        <v>-1.1502364092900002</v>
      </c>
      <c r="I7665" s="26"/>
      <c r="J7665" s="26" t="s">
        <v>512</v>
      </c>
      <c r="K7665" s="25" t="s">
        <v>513</v>
      </c>
    </row>
    <row r="7666" spans="1:11" ht="25.5" x14ac:dyDescent="0.25">
      <c r="A7666" s="22">
        <v>2026</v>
      </c>
      <c r="B7666" s="28" t="s">
        <v>249</v>
      </c>
      <c r="C7666" s="28" t="s">
        <v>97</v>
      </c>
      <c r="D7666" s="28" t="s">
        <v>545</v>
      </c>
      <c r="E7666" s="29" t="s">
        <v>583</v>
      </c>
      <c r="F7666" s="29" t="s">
        <v>284</v>
      </c>
      <c r="G7666" s="25" t="s">
        <v>9288</v>
      </c>
      <c r="H7666" s="26">
        <v>-0.97287500000000005</v>
      </c>
      <c r="I7666" s="26"/>
      <c r="J7666" s="26" t="s">
        <v>512</v>
      </c>
      <c r="K7666" s="25" t="s">
        <v>513</v>
      </c>
    </row>
    <row r="7667" spans="1:11" ht="25.5" x14ac:dyDescent="0.25">
      <c r="A7667" s="22">
        <v>2026</v>
      </c>
      <c r="B7667" s="28" t="s">
        <v>249</v>
      </c>
      <c r="C7667" s="28" t="s">
        <v>97</v>
      </c>
      <c r="D7667" s="28" t="s">
        <v>545</v>
      </c>
      <c r="E7667" s="29" t="s">
        <v>583</v>
      </c>
      <c r="F7667" s="29" t="s">
        <v>284</v>
      </c>
      <c r="G7667" s="25" t="s">
        <v>9289</v>
      </c>
      <c r="H7667" s="26">
        <v>-0.68064499999999994</v>
      </c>
      <c r="I7667" s="26"/>
      <c r="J7667" s="26" t="s">
        <v>512</v>
      </c>
      <c r="K7667" s="25" t="s">
        <v>513</v>
      </c>
    </row>
    <row r="7668" spans="1:11" ht="25.5" x14ac:dyDescent="0.25">
      <c r="A7668" s="22">
        <v>2026</v>
      </c>
      <c r="B7668" s="28" t="s">
        <v>249</v>
      </c>
      <c r="C7668" s="28" t="s">
        <v>97</v>
      </c>
      <c r="D7668" s="28" t="s">
        <v>545</v>
      </c>
      <c r="E7668" s="29" t="s">
        <v>583</v>
      </c>
      <c r="F7668" s="29" t="s">
        <v>284</v>
      </c>
      <c r="G7668" s="25" t="s">
        <v>9290</v>
      </c>
      <c r="H7668" s="26">
        <v>-1.558468</v>
      </c>
      <c r="I7668" s="26"/>
      <c r="J7668" s="26" t="s">
        <v>512</v>
      </c>
      <c r="K7668" s="25" t="s">
        <v>513</v>
      </c>
    </row>
    <row r="7669" spans="1:11" ht="25.5" x14ac:dyDescent="0.25">
      <c r="A7669" s="22">
        <v>2026</v>
      </c>
      <c r="B7669" s="28" t="s">
        <v>249</v>
      </c>
      <c r="C7669" s="28" t="s">
        <v>97</v>
      </c>
      <c r="D7669" s="28" t="s">
        <v>545</v>
      </c>
      <c r="E7669" s="29" t="s">
        <v>583</v>
      </c>
      <c r="F7669" s="29" t="s">
        <v>284</v>
      </c>
      <c r="G7669" s="25" t="s">
        <v>9291</v>
      </c>
      <c r="H7669" s="26">
        <v>-1.75932</v>
      </c>
      <c r="I7669" s="26"/>
      <c r="J7669" s="26" t="s">
        <v>512</v>
      </c>
      <c r="K7669" s="25" t="s">
        <v>513</v>
      </c>
    </row>
    <row r="7670" spans="1:11" ht="25.5" x14ac:dyDescent="0.25">
      <c r="A7670" s="22">
        <v>2026</v>
      </c>
      <c r="B7670" s="28" t="s">
        <v>249</v>
      </c>
      <c r="C7670" s="28" t="s">
        <v>97</v>
      </c>
      <c r="D7670" s="28" t="s">
        <v>545</v>
      </c>
      <c r="E7670" s="29" t="s">
        <v>583</v>
      </c>
      <c r="F7670" s="29" t="s">
        <v>284</v>
      </c>
      <c r="G7670" s="25" t="s">
        <v>9292</v>
      </c>
      <c r="H7670" s="26">
        <v>-0.25545974999999999</v>
      </c>
      <c r="I7670" s="26"/>
      <c r="J7670" s="26" t="s">
        <v>512</v>
      </c>
      <c r="K7670" s="25" t="s">
        <v>513</v>
      </c>
    </row>
    <row r="7671" spans="1:11" ht="25.5" x14ac:dyDescent="0.25">
      <c r="A7671" s="22">
        <v>2026</v>
      </c>
      <c r="B7671" s="28" t="s">
        <v>249</v>
      </c>
      <c r="C7671" s="28" t="s">
        <v>97</v>
      </c>
      <c r="D7671" s="28" t="s">
        <v>545</v>
      </c>
      <c r="E7671" s="29" t="s">
        <v>583</v>
      </c>
      <c r="F7671" s="29" t="s">
        <v>284</v>
      </c>
      <c r="G7671" s="25" t="s">
        <v>9293</v>
      </c>
      <c r="H7671" s="26">
        <v>-1.299474</v>
      </c>
      <c r="I7671" s="26"/>
      <c r="J7671" s="26" t="s">
        <v>512</v>
      </c>
      <c r="K7671" s="25" t="s">
        <v>513</v>
      </c>
    </row>
    <row r="7672" spans="1:11" ht="25.5" x14ac:dyDescent="0.25">
      <c r="A7672" s="22">
        <v>2026</v>
      </c>
      <c r="B7672" s="28" t="s">
        <v>249</v>
      </c>
      <c r="C7672" s="28" t="s">
        <v>97</v>
      </c>
      <c r="D7672" s="28" t="s">
        <v>545</v>
      </c>
      <c r="E7672" s="29" t="s">
        <v>583</v>
      </c>
      <c r="F7672" s="29" t="s">
        <v>284</v>
      </c>
      <c r="G7672" s="25" t="s">
        <v>9294</v>
      </c>
      <c r="H7672" s="26">
        <v>-0.39350000000000002</v>
      </c>
      <c r="I7672" s="26"/>
      <c r="J7672" s="26" t="s">
        <v>512</v>
      </c>
      <c r="K7672" s="25" t="s">
        <v>513</v>
      </c>
    </row>
    <row r="7673" spans="1:11" ht="25.5" x14ac:dyDescent="0.25">
      <c r="A7673" s="22">
        <v>2026</v>
      </c>
      <c r="B7673" s="28" t="s">
        <v>249</v>
      </c>
      <c r="C7673" s="28" t="s">
        <v>97</v>
      </c>
      <c r="D7673" s="28" t="s">
        <v>1744</v>
      </c>
      <c r="E7673" s="29" t="s">
        <v>1776</v>
      </c>
      <c r="F7673" s="29" t="s">
        <v>284</v>
      </c>
      <c r="G7673" s="25" t="s">
        <v>9295</v>
      </c>
      <c r="H7673" s="26">
        <v>-0.23105628</v>
      </c>
      <c r="I7673" s="26"/>
      <c r="J7673" s="26" t="s">
        <v>514</v>
      </c>
      <c r="K7673" s="25" t="s">
        <v>513</v>
      </c>
    </row>
    <row r="7674" spans="1:11" ht="25.5" x14ac:dyDescent="0.25">
      <c r="A7674" s="22">
        <v>2026</v>
      </c>
      <c r="B7674" s="28" t="s">
        <v>249</v>
      </c>
      <c r="C7674" s="28" t="s">
        <v>97</v>
      </c>
      <c r="D7674" s="28" t="s">
        <v>1744</v>
      </c>
      <c r="E7674" s="29" t="s">
        <v>1776</v>
      </c>
      <c r="F7674" s="29" t="s">
        <v>284</v>
      </c>
      <c r="G7674" s="25" t="s">
        <v>9296</v>
      </c>
      <c r="H7674" s="26">
        <v>-0.1875</v>
      </c>
      <c r="I7674" s="26"/>
      <c r="J7674" s="26" t="s">
        <v>514</v>
      </c>
      <c r="K7674" s="25" t="s">
        <v>513</v>
      </c>
    </row>
    <row r="7675" spans="1:11" ht="25.5" x14ac:dyDescent="0.25">
      <c r="A7675" s="22">
        <v>2026</v>
      </c>
      <c r="B7675" s="28" t="s">
        <v>249</v>
      </c>
      <c r="C7675" s="28" t="s">
        <v>97</v>
      </c>
      <c r="D7675" s="28" t="s">
        <v>1744</v>
      </c>
      <c r="E7675" s="29" t="s">
        <v>1776</v>
      </c>
      <c r="F7675" s="29" t="s">
        <v>284</v>
      </c>
      <c r="G7675" s="25" t="s">
        <v>9297</v>
      </c>
      <c r="H7675" s="26">
        <v>-0.104717977</v>
      </c>
      <c r="I7675" s="26"/>
      <c r="J7675" s="26" t="s">
        <v>514</v>
      </c>
      <c r="K7675" s="25" t="s">
        <v>513</v>
      </c>
    </row>
    <row r="7676" spans="1:11" ht="25.5" x14ac:dyDescent="0.25">
      <c r="A7676" s="22">
        <v>2026</v>
      </c>
      <c r="B7676" s="28" t="s">
        <v>249</v>
      </c>
      <c r="C7676" s="28" t="s">
        <v>97</v>
      </c>
      <c r="D7676" s="28" t="s">
        <v>1744</v>
      </c>
      <c r="E7676" s="29" t="s">
        <v>1776</v>
      </c>
      <c r="F7676" s="29" t="s">
        <v>284</v>
      </c>
      <c r="G7676" s="25" t="s">
        <v>9298</v>
      </c>
      <c r="H7676" s="26">
        <v>-0.2205</v>
      </c>
      <c r="I7676" s="26"/>
      <c r="J7676" s="26" t="s">
        <v>514</v>
      </c>
      <c r="K7676" s="25" t="s">
        <v>513</v>
      </c>
    </row>
    <row r="7677" spans="1:11" ht="25.5" x14ac:dyDescent="0.25">
      <c r="A7677" s="22">
        <v>2026</v>
      </c>
      <c r="B7677" s="28" t="s">
        <v>249</v>
      </c>
      <c r="C7677" s="28" t="s">
        <v>97</v>
      </c>
      <c r="D7677" s="28" t="s">
        <v>1744</v>
      </c>
      <c r="E7677" s="29" t="s">
        <v>1776</v>
      </c>
      <c r="F7677" s="29" t="s">
        <v>284</v>
      </c>
      <c r="G7677" s="25" t="s">
        <v>9299</v>
      </c>
      <c r="H7677" s="26">
        <v>-0.21944549999999999</v>
      </c>
      <c r="I7677" s="26"/>
      <c r="J7677" s="26" t="s">
        <v>514</v>
      </c>
      <c r="K7677" s="25" t="s">
        <v>513</v>
      </c>
    </row>
    <row r="7678" spans="1:11" ht="25.5" x14ac:dyDescent="0.25">
      <c r="A7678" s="22">
        <v>2026</v>
      </c>
      <c r="B7678" s="28" t="s">
        <v>249</v>
      </c>
      <c r="C7678" s="28" t="s">
        <v>97</v>
      </c>
      <c r="D7678" s="28" t="s">
        <v>1744</v>
      </c>
      <c r="E7678" s="29" t="s">
        <v>1776</v>
      </c>
      <c r="F7678" s="29" t="s">
        <v>284</v>
      </c>
      <c r="G7678" s="25" t="s">
        <v>9300</v>
      </c>
      <c r="H7678" s="26">
        <v>-0.2208</v>
      </c>
      <c r="I7678" s="26"/>
      <c r="J7678" s="26" t="s">
        <v>514</v>
      </c>
      <c r="K7678" s="25" t="s">
        <v>513</v>
      </c>
    </row>
    <row r="7679" spans="1:11" ht="25.5" x14ac:dyDescent="0.25">
      <c r="A7679" s="22">
        <v>2026</v>
      </c>
      <c r="B7679" s="28" t="s">
        <v>249</v>
      </c>
      <c r="C7679" s="28" t="s">
        <v>97</v>
      </c>
      <c r="D7679" s="28" t="s">
        <v>1744</v>
      </c>
      <c r="E7679" s="29" t="s">
        <v>1776</v>
      </c>
      <c r="F7679" s="29" t="s">
        <v>284</v>
      </c>
      <c r="G7679" s="25" t="s">
        <v>9301</v>
      </c>
      <c r="H7679" s="26">
        <v>-0.18375</v>
      </c>
      <c r="I7679" s="26"/>
      <c r="J7679" s="26" t="s">
        <v>514</v>
      </c>
      <c r="K7679" s="25" t="s">
        <v>513</v>
      </c>
    </row>
    <row r="7680" spans="1:11" ht="25.5" x14ac:dyDescent="0.25">
      <c r="A7680" s="22">
        <v>2026</v>
      </c>
      <c r="B7680" s="28" t="s">
        <v>249</v>
      </c>
      <c r="C7680" s="28" t="s">
        <v>97</v>
      </c>
      <c r="D7680" s="28" t="s">
        <v>1744</v>
      </c>
      <c r="E7680" s="29" t="s">
        <v>1776</v>
      </c>
      <c r="F7680" s="29" t="s">
        <v>284</v>
      </c>
      <c r="G7680" s="25" t="s">
        <v>9302</v>
      </c>
      <c r="H7680" s="26">
        <v>-0.22500000000000001</v>
      </c>
      <c r="I7680" s="26"/>
      <c r="J7680" s="26" t="s">
        <v>514</v>
      </c>
      <c r="K7680" s="25" t="s">
        <v>513</v>
      </c>
    </row>
    <row r="7681" spans="1:11" ht="25.5" x14ac:dyDescent="0.25">
      <c r="A7681" s="22">
        <v>2026</v>
      </c>
      <c r="B7681" s="28" t="s">
        <v>249</v>
      </c>
      <c r="C7681" s="28" t="s">
        <v>97</v>
      </c>
      <c r="D7681" s="28" t="s">
        <v>1744</v>
      </c>
      <c r="E7681" s="29" t="s">
        <v>1776</v>
      </c>
      <c r="F7681" s="29" t="s">
        <v>284</v>
      </c>
      <c r="G7681" s="25" t="s">
        <v>9303</v>
      </c>
      <c r="H7681" s="26">
        <v>-0.186</v>
      </c>
      <c r="I7681" s="26"/>
      <c r="J7681" s="26" t="s">
        <v>514</v>
      </c>
      <c r="K7681" s="25" t="s">
        <v>513</v>
      </c>
    </row>
    <row r="7682" spans="1:11" ht="25.5" x14ac:dyDescent="0.25">
      <c r="A7682" s="22">
        <v>2026</v>
      </c>
      <c r="B7682" s="28" t="s">
        <v>249</v>
      </c>
      <c r="C7682" s="28" t="s">
        <v>97</v>
      </c>
      <c r="D7682" s="28" t="s">
        <v>1744</v>
      </c>
      <c r="E7682" s="29" t="s">
        <v>1776</v>
      </c>
      <c r="F7682" s="29" t="s">
        <v>284</v>
      </c>
      <c r="G7682" s="25" t="s">
        <v>9304</v>
      </c>
      <c r="H7682" s="26">
        <v>-0.184</v>
      </c>
      <c r="I7682" s="26"/>
      <c r="J7682" s="26" t="s">
        <v>514</v>
      </c>
      <c r="K7682" s="25" t="s">
        <v>513</v>
      </c>
    </row>
    <row r="7683" spans="1:11" ht="25.5" x14ac:dyDescent="0.25">
      <c r="A7683" s="22">
        <v>2026</v>
      </c>
      <c r="B7683" s="28" t="s">
        <v>249</v>
      </c>
      <c r="C7683" s="28" t="s">
        <v>97</v>
      </c>
      <c r="D7683" s="28" t="s">
        <v>1744</v>
      </c>
      <c r="E7683" s="29" t="s">
        <v>1776</v>
      </c>
      <c r="F7683" s="29" t="s">
        <v>284</v>
      </c>
      <c r="G7683" s="25" t="s">
        <v>9305</v>
      </c>
      <c r="H7683" s="26">
        <v>-0.14696736999999999</v>
      </c>
      <c r="I7683" s="26"/>
      <c r="J7683" s="26" t="s">
        <v>514</v>
      </c>
      <c r="K7683" s="25" t="s">
        <v>513</v>
      </c>
    </row>
    <row r="7684" spans="1:11" ht="25.5" x14ac:dyDescent="0.25">
      <c r="A7684" s="22">
        <v>2026</v>
      </c>
      <c r="B7684" s="28" t="s">
        <v>249</v>
      </c>
      <c r="C7684" s="28" t="s">
        <v>97</v>
      </c>
      <c r="D7684" s="28" t="s">
        <v>1744</v>
      </c>
      <c r="E7684" s="29" t="s">
        <v>1776</v>
      </c>
      <c r="F7684" s="29" t="s">
        <v>284</v>
      </c>
      <c r="G7684" s="25" t="s">
        <v>9306</v>
      </c>
      <c r="H7684" s="26">
        <v>-0.28399999999999997</v>
      </c>
      <c r="I7684" s="26"/>
      <c r="J7684" s="26" t="s">
        <v>514</v>
      </c>
      <c r="K7684" s="25" t="s">
        <v>513</v>
      </c>
    </row>
    <row r="7685" spans="1:11" ht="25.5" x14ac:dyDescent="0.25">
      <c r="A7685" s="22">
        <v>2026</v>
      </c>
      <c r="B7685" s="28" t="s">
        <v>249</v>
      </c>
      <c r="C7685" s="28" t="s">
        <v>97</v>
      </c>
      <c r="D7685" s="28" t="s">
        <v>1744</v>
      </c>
      <c r="E7685" s="29" t="s">
        <v>1776</v>
      </c>
      <c r="F7685" s="29" t="s">
        <v>284</v>
      </c>
      <c r="G7685" s="25" t="s">
        <v>9307</v>
      </c>
      <c r="H7685" s="26">
        <v>-0.28000000000000003</v>
      </c>
      <c r="I7685" s="26"/>
      <c r="J7685" s="26" t="s">
        <v>514</v>
      </c>
      <c r="K7685" s="25" t="s">
        <v>513</v>
      </c>
    </row>
    <row r="7686" spans="1:11" ht="25.5" x14ac:dyDescent="0.25">
      <c r="A7686" s="22">
        <v>2026</v>
      </c>
      <c r="B7686" s="28" t="s">
        <v>249</v>
      </c>
      <c r="C7686" s="28" t="s">
        <v>97</v>
      </c>
      <c r="D7686" s="28" t="s">
        <v>1744</v>
      </c>
      <c r="E7686" s="29" t="s">
        <v>1776</v>
      </c>
      <c r="F7686" s="29" t="s">
        <v>284</v>
      </c>
      <c r="G7686" s="25" t="s">
        <v>9308</v>
      </c>
      <c r="H7686" s="26">
        <v>-0.24470425000000001</v>
      </c>
      <c r="I7686" s="26"/>
      <c r="J7686" s="26" t="s">
        <v>514</v>
      </c>
      <c r="K7686" s="25" t="s">
        <v>513</v>
      </c>
    </row>
    <row r="7687" spans="1:11" ht="25.5" x14ac:dyDescent="0.25">
      <c r="A7687" s="22">
        <v>2026</v>
      </c>
      <c r="B7687" s="28" t="s">
        <v>249</v>
      </c>
      <c r="C7687" s="28" t="s">
        <v>97</v>
      </c>
      <c r="D7687" s="28" t="s">
        <v>1744</v>
      </c>
      <c r="E7687" s="29" t="s">
        <v>1776</v>
      </c>
      <c r="F7687" s="29" t="s">
        <v>284</v>
      </c>
      <c r="G7687" s="25" t="s">
        <v>9309</v>
      </c>
      <c r="H7687" s="26">
        <v>-0.2449944</v>
      </c>
      <c r="I7687" s="26"/>
      <c r="J7687" s="26" t="s">
        <v>514</v>
      </c>
      <c r="K7687" s="25" t="s">
        <v>513</v>
      </c>
    </row>
    <row r="7688" spans="1:11" ht="25.5" x14ac:dyDescent="0.25">
      <c r="A7688" s="22">
        <v>2026</v>
      </c>
      <c r="B7688" s="28" t="s">
        <v>249</v>
      </c>
      <c r="C7688" s="28" t="s">
        <v>97</v>
      </c>
      <c r="D7688" s="28" t="s">
        <v>1745</v>
      </c>
      <c r="E7688" s="29" t="s">
        <v>1777</v>
      </c>
      <c r="F7688" s="29" t="s">
        <v>284</v>
      </c>
      <c r="G7688" s="25" t="s">
        <v>9310</v>
      </c>
      <c r="H7688" s="26">
        <v>-0.30199999999999999</v>
      </c>
      <c r="I7688" s="26"/>
      <c r="J7688" s="26" t="s">
        <v>512</v>
      </c>
      <c r="K7688" s="25" t="s">
        <v>513</v>
      </c>
    </row>
    <row r="7689" spans="1:11" ht="25.5" x14ac:dyDescent="0.25">
      <c r="A7689" s="22">
        <v>2026</v>
      </c>
      <c r="B7689" s="28" t="s">
        <v>249</v>
      </c>
      <c r="C7689" s="28" t="s">
        <v>97</v>
      </c>
      <c r="D7689" s="28" t="s">
        <v>1746</v>
      </c>
      <c r="E7689" s="29" t="s">
        <v>1778</v>
      </c>
      <c r="F7689" s="29" t="s">
        <v>1274</v>
      </c>
      <c r="G7689" s="25" t="s">
        <v>9311</v>
      </c>
      <c r="H7689" s="26">
        <v>-0.98147209079999997</v>
      </c>
      <c r="I7689" s="26"/>
      <c r="J7689" s="26" t="s">
        <v>514</v>
      </c>
      <c r="K7689" s="25" t="s">
        <v>513</v>
      </c>
    </row>
    <row r="7690" spans="1:11" ht="25.5" x14ac:dyDescent="0.25">
      <c r="A7690" s="22">
        <v>2026</v>
      </c>
      <c r="B7690" s="28" t="s">
        <v>249</v>
      </c>
      <c r="C7690" s="28" t="s">
        <v>97</v>
      </c>
      <c r="D7690" s="28" t="s">
        <v>1746</v>
      </c>
      <c r="E7690" s="29" t="s">
        <v>1778</v>
      </c>
      <c r="F7690" s="29" t="s">
        <v>1274</v>
      </c>
      <c r="G7690" s="25" t="s">
        <v>9312</v>
      </c>
      <c r="H7690" s="26">
        <v>-1.0560830316000001</v>
      </c>
      <c r="I7690" s="26"/>
      <c r="J7690" s="26" t="s">
        <v>514</v>
      </c>
      <c r="K7690" s="25" t="s">
        <v>513</v>
      </c>
    </row>
    <row r="7691" spans="1:11" ht="25.5" x14ac:dyDescent="0.25">
      <c r="A7691" s="22">
        <v>2026</v>
      </c>
      <c r="B7691" s="28" t="s">
        <v>249</v>
      </c>
      <c r="C7691" s="28" t="s">
        <v>97</v>
      </c>
      <c r="D7691" s="28" t="s">
        <v>1746</v>
      </c>
      <c r="E7691" s="29" t="s">
        <v>1778</v>
      </c>
      <c r="F7691" s="29" t="s">
        <v>1274</v>
      </c>
      <c r="G7691" s="25" t="s">
        <v>9313</v>
      </c>
      <c r="H7691" s="26">
        <v>-1.0443027826</v>
      </c>
      <c r="I7691" s="26"/>
      <c r="J7691" s="26" t="s">
        <v>514</v>
      </c>
      <c r="K7691" s="25" t="s">
        <v>513</v>
      </c>
    </row>
    <row r="7692" spans="1:11" ht="25.5" x14ac:dyDescent="0.25">
      <c r="A7692" s="22">
        <v>2026</v>
      </c>
      <c r="B7692" s="28" t="s">
        <v>249</v>
      </c>
      <c r="C7692" s="28" t="s">
        <v>97</v>
      </c>
      <c r="D7692" s="28" t="s">
        <v>1746</v>
      </c>
      <c r="E7692" s="29" t="s">
        <v>1778</v>
      </c>
      <c r="F7692" s="29" t="s">
        <v>1274</v>
      </c>
      <c r="G7692" s="25" t="s">
        <v>9314</v>
      </c>
      <c r="H7692" s="26">
        <v>-1.0381087944</v>
      </c>
      <c r="I7692" s="26"/>
      <c r="J7692" s="26" t="s">
        <v>514</v>
      </c>
      <c r="K7692" s="25" t="s">
        <v>513</v>
      </c>
    </row>
    <row r="7693" spans="1:11" ht="25.5" x14ac:dyDescent="0.25">
      <c r="A7693" s="22">
        <v>2026</v>
      </c>
      <c r="B7693" s="28" t="s">
        <v>249</v>
      </c>
      <c r="C7693" s="28" t="s">
        <v>97</v>
      </c>
      <c r="D7693" s="28" t="s">
        <v>1746</v>
      </c>
      <c r="E7693" s="29" t="s">
        <v>1778</v>
      </c>
      <c r="F7693" s="29" t="s">
        <v>1274</v>
      </c>
      <c r="G7693" s="25" t="s">
        <v>9315</v>
      </c>
      <c r="H7693" s="26">
        <v>-1.0482850725999999</v>
      </c>
      <c r="I7693" s="26"/>
      <c r="J7693" s="26" t="s">
        <v>514</v>
      </c>
      <c r="K7693" s="25" t="s">
        <v>513</v>
      </c>
    </row>
    <row r="7694" spans="1:11" ht="25.5" x14ac:dyDescent="0.25">
      <c r="A7694" s="22">
        <v>2026</v>
      </c>
      <c r="B7694" s="28" t="s">
        <v>249</v>
      </c>
      <c r="C7694" s="28" t="s">
        <v>97</v>
      </c>
      <c r="D7694" s="28" t="s">
        <v>1746</v>
      </c>
      <c r="E7694" s="29" t="s">
        <v>1778</v>
      </c>
      <c r="F7694" s="29" t="s">
        <v>1274</v>
      </c>
      <c r="G7694" s="25" t="s">
        <v>9316</v>
      </c>
      <c r="H7694" s="26">
        <v>-1.0225179276</v>
      </c>
      <c r="I7694" s="26"/>
      <c r="J7694" s="26" t="s">
        <v>514</v>
      </c>
      <c r="K7694" s="25" t="s">
        <v>513</v>
      </c>
    </row>
    <row r="7695" spans="1:11" ht="25.5" x14ac:dyDescent="0.25">
      <c r="A7695" s="22">
        <v>2026</v>
      </c>
      <c r="B7695" s="28" t="s">
        <v>249</v>
      </c>
      <c r="C7695" s="28" t="s">
        <v>97</v>
      </c>
      <c r="D7695" s="28" t="s">
        <v>1746</v>
      </c>
      <c r="E7695" s="29" t="s">
        <v>1778</v>
      </c>
      <c r="F7695" s="29" t="s">
        <v>1274</v>
      </c>
      <c r="G7695" s="25" t="s">
        <v>9317</v>
      </c>
      <c r="H7695" s="26">
        <v>-1.0444958706</v>
      </c>
      <c r="I7695" s="26"/>
      <c r="J7695" s="26" t="s">
        <v>514</v>
      </c>
      <c r="K7695" s="25" t="s">
        <v>513</v>
      </c>
    </row>
    <row r="7696" spans="1:11" ht="25.5" x14ac:dyDescent="0.25">
      <c r="A7696" s="22">
        <v>2026</v>
      </c>
      <c r="B7696" s="28" t="s">
        <v>249</v>
      </c>
      <c r="C7696" s="28" t="s">
        <v>97</v>
      </c>
      <c r="D7696" s="28" t="s">
        <v>1746</v>
      </c>
      <c r="E7696" s="29" t="s">
        <v>1778</v>
      </c>
      <c r="F7696" s="29" t="s">
        <v>1274</v>
      </c>
      <c r="G7696" s="25" t="s">
        <v>9318</v>
      </c>
      <c r="H7696" s="26">
        <v>-1.0460464544999999</v>
      </c>
      <c r="I7696" s="26"/>
      <c r="J7696" s="26" t="s">
        <v>514</v>
      </c>
      <c r="K7696" s="25" t="s">
        <v>513</v>
      </c>
    </row>
    <row r="7697" spans="1:11" ht="25.5" x14ac:dyDescent="0.25">
      <c r="A7697" s="22">
        <v>2026</v>
      </c>
      <c r="B7697" s="28" t="s">
        <v>249</v>
      </c>
      <c r="C7697" s="28" t="s">
        <v>97</v>
      </c>
      <c r="D7697" s="28" t="s">
        <v>1746</v>
      </c>
      <c r="E7697" s="29" t="s">
        <v>1778</v>
      </c>
      <c r="F7697" s="29" t="s">
        <v>1274</v>
      </c>
      <c r="G7697" s="25" t="s">
        <v>9319</v>
      </c>
      <c r="H7697" s="26">
        <v>-1.0253395695</v>
      </c>
      <c r="I7697" s="26"/>
      <c r="J7697" s="26" t="s">
        <v>514</v>
      </c>
      <c r="K7697" s="25" t="s">
        <v>513</v>
      </c>
    </row>
    <row r="7698" spans="1:11" ht="25.5" x14ac:dyDescent="0.25">
      <c r="A7698" s="22">
        <v>2026</v>
      </c>
      <c r="B7698" s="28" t="s">
        <v>249</v>
      </c>
      <c r="C7698" s="28" t="s">
        <v>97</v>
      </c>
      <c r="D7698" s="28" t="s">
        <v>1746</v>
      </c>
      <c r="E7698" s="29" t="s">
        <v>1778</v>
      </c>
      <c r="F7698" s="29" t="s">
        <v>1274</v>
      </c>
      <c r="G7698" s="25" t="s">
        <v>9320</v>
      </c>
      <c r="H7698" s="26">
        <v>-1.0055167140000001</v>
      </c>
      <c r="I7698" s="26"/>
      <c r="J7698" s="26" t="s">
        <v>514</v>
      </c>
      <c r="K7698" s="25" t="s">
        <v>513</v>
      </c>
    </row>
    <row r="7699" spans="1:11" ht="25.5" x14ac:dyDescent="0.25">
      <c r="A7699" s="22">
        <v>2026</v>
      </c>
      <c r="B7699" s="28" t="s">
        <v>249</v>
      </c>
      <c r="C7699" s="28" t="s">
        <v>97</v>
      </c>
      <c r="D7699" s="28" t="s">
        <v>1746</v>
      </c>
      <c r="E7699" s="29" t="s">
        <v>1778</v>
      </c>
      <c r="F7699" s="29" t="s">
        <v>1274</v>
      </c>
      <c r="G7699" s="25" t="s">
        <v>9321</v>
      </c>
      <c r="H7699" s="26">
        <v>-0.993290232</v>
      </c>
      <c r="I7699" s="26"/>
      <c r="J7699" s="26" t="s">
        <v>514</v>
      </c>
      <c r="K7699" s="25" t="s">
        <v>513</v>
      </c>
    </row>
    <row r="7700" spans="1:11" ht="25.5" x14ac:dyDescent="0.25">
      <c r="A7700" s="22">
        <v>2026</v>
      </c>
      <c r="B7700" s="28" t="s">
        <v>249</v>
      </c>
      <c r="C7700" s="28" t="s">
        <v>97</v>
      </c>
      <c r="D7700" s="28" t="s">
        <v>1746</v>
      </c>
      <c r="E7700" s="29" t="s">
        <v>1778</v>
      </c>
      <c r="F7700" s="29" t="s">
        <v>1274</v>
      </c>
      <c r="G7700" s="25" t="s">
        <v>9322</v>
      </c>
      <c r="H7700" s="26">
        <v>-1.010546613</v>
      </c>
      <c r="I7700" s="26"/>
      <c r="J7700" s="26" t="s">
        <v>514</v>
      </c>
      <c r="K7700" s="25" t="s">
        <v>513</v>
      </c>
    </row>
    <row r="7701" spans="1:11" ht="25.5" x14ac:dyDescent="0.25">
      <c r="A7701" s="22">
        <v>2026</v>
      </c>
      <c r="B7701" s="28" t="s">
        <v>249</v>
      </c>
      <c r="C7701" s="28" t="s">
        <v>97</v>
      </c>
      <c r="D7701" s="28" t="s">
        <v>1746</v>
      </c>
      <c r="E7701" s="29" t="s">
        <v>1778</v>
      </c>
      <c r="F7701" s="29" t="s">
        <v>1274</v>
      </c>
      <c r="G7701" s="25" t="s">
        <v>9323</v>
      </c>
      <c r="H7701" s="26">
        <v>-0.9860566892</v>
      </c>
      <c r="I7701" s="26"/>
      <c r="J7701" s="26" t="s">
        <v>514</v>
      </c>
      <c r="K7701" s="25" t="s">
        <v>513</v>
      </c>
    </row>
    <row r="7702" spans="1:11" ht="25.5" x14ac:dyDescent="0.25">
      <c r="A7702" s="22">
        <v>2026</v>
      </c>
      <c r="B7702" s="28" t="s">
        <v>249</v>
      </c>
      <c r="C7702" s="28" t="s">
        <v>97</v>
      </c>
      <c r="D7702" s="28" t="s">
        <v>1746</v>
      </c>
      <c r="E7702" s="29" t="s">
        <v>1778</v>
      </c>
      <c r="F7702" s="29" t="s">
        <v>1274</v>
      </c>
      <c r="G7702" s="25" t="s">
        <v>9324</v>
      </c>
      <c r="H7702" s="26">
        <v>-0.91240437480000003</v>
      </c>
      <c r="I7702" s="26"/>
      <c r="J7702" s="26" t="s">
        <v>514</v>
      </c>
      <c r="K7702" s="25" t="s">
        <v>513</v>
      </c>
    </row>
    <row r="7703" spans="1:11" ht="25.5" x14ac:dyDescent="0.25">
      <c r="A7703" s="22">
        <v>2026</v>
      </c>
      <c r="B7703" s="28" t="s">
        <v>249</v>
      </c>
      <c r="C7703" s="28" t="s">
        <v>97</v>
      </c>
      <c r="D7703" s="28" t="s">
        <v>1746</v>
      </c>
      <c r="E7703" s="29" t="s">
        <v>1778</v>
      </c>
      <c r="F7703" s="29" t="s">
        <v>1274</v>
      </c>
      <c r="G7703" s="25" t="s">
        <v>9325</v>
      </c>
      <c r="H7703" s="26">
        <v>-0.90596351090000005</v>
      </c>
      <c r="I7703" s="26"/>
      <c r="J7703" s="26" t="s">
        <v>514</v>
      </c>
      <c r="K7703" s="25" t="s">
        <v>513</v>
      </c>
    </row>
    <row r="7704" spans="1:11" ht="25.5" x14ac:dyDescent="0.25">
      <c r="A7704" s="22">
        <v>2026</v>
      </c>
      <c r="B7704" s="28" t="s">
        <v>249</v>
      </c>
      <c r="C7704" s="28" t="s">
        <v>97</v>
      </c>
      <c r="D7704" s="28" t="s">
        <v>1746</v>
      </c>
      <c r="E7704" s="29" t="s">
        <v>1778</v>
      </c>
      <c r="F7704" s="29" t="s">
        <v>1274</v>
      </c>
      <c r="G7704" s="25" t="s">
        <v>9326</v>
      </c>
      <c r="H7704" s="26">
        <v>-0.88902390720000002</v>
      </c>
      <c r="I7704" s="26"/>
      <c r="J7704" s="26" t="s">
        <v>514</v>
      </c>
      <c r="K7704" s="25" t="s">
        <v>513</v>
      </c>
    </row>
    <row r="7705" spans="1:11" ht="25.5" x14ac:dyDescent="0.25">
      <c r="A7705" s="22">
        <v>2026</v>
      </c>
      <c r="B7705" s="28" t="s">
        <v>249</v>
      </c>
      <c r="C7705" s="28" t="s">
        <v>97</v>
      </c>
      <c r="D7705" s="28" t="s">
        <v>1746</v>
      </c>
      <c r="E7705" s="29" t="s">
        <v>1778</v>
      </c>
      <c r="F7705" s="29" t="s">
        <v>1274</v>
      </c>
      <c r="G7705" s="25" t="s">
        <v>9327</v>
      </c>
      <c r="H7705" s="26">
        <v>-0.85246271880000002</v>
      </c>
      <c r="I7705" s="26"/>
      <c r="J7705" s="26" t="s">
        <v>514</v>
      </c>
      <c r="K7705" s="25" t="s">
        <v>513</v>
      </c>
    </row>
    <row r="7706" spans="1:11" ht="25.5" x14ac:dyDescent="0.25">
      <c r="A7706" s="22">
        <v>2026</v>
      </c>
      <c r="B7706" s="28" t="s">
        <v>249</v>
      </c>
      <c r="C7706" s="28" t="s">
        <v>97</v>
      </c>
      <c r="D7706" s="28" t="s">
        <v>1746</v>
      </c>
      <c r="E7706" s="29" t="s">
        <v>1778</v>
      </c>
      <c r="F7706" s="29" t="s">
        <v>1274</v>
      </c>
      <c r="G7706" s="25" t="s">
        <v>9328</v>
      </c>
      <c r="H7706" s="26">
        <v>-0.84834683099999997</v>
      </c>
      <c r="I7706" s="26"/>
      <c r="J7706" s="26" t="s">
        <v>514</v>
      </c>
      <c r="K7706" s="25" t="s">
        <v>513</v>
      </c>
    </row>
    <row r="7707" spans="1:11" ht="25.5" x14ac:dyDescent="0.25">
      <c r="A7707" s="22">
        <v>2026</v>
      </c>
      <c r="B7707" s="28" t="s">
        <v>249</v>
      </c>
      <c r="C7707" s="28" t="s">
        <v>97</v>
      </c>
      <c r="D7707" s="28" t="s">
        <v>1746</v>
      </c>
      <c r="E7707" s="29" t="s">
        <v>1778</v>
      </c>
      <c r="F7707" s="29" t="s">
        <v>1274</v>
      </c>
      <c r="G7707" s="25" t="s">
        <v>9329</v>
      </c>
      <c r="H7707" s="26">
        <v>-0.87144414560000005</v>
      </c>
      <c r="I7707" s="26"/>
      <c r="J7707" s="26" t="s">
        <v>514</v>
      </c>
      <c r="K7707" s="25" t="s">
        <v>513</v>
      </c>
    </row>
    <row r="7708" spans="1:11" ht="25.5" x14ac:dyDescent="0.25">
      <c r="A7708" s="22">
        <v>2026</v>
      </c>
      <c r="B7708" s="28" t="s">
        <v>249</v>
      </c>
      <c r="C7708" s="28" t="s">
        <v>97</v>
      </c>
      <c r="D7708" s="28" t="s">
        <v>1746</v>
      </c>
      <c r="E7708" s="29" t="s">
        <v>1778</v>
      </c>
      <c r="F7708" s="29" t="s">
        <v>1274</v>
      </c>
      <c r="G7708" s="25" t="s">
        <v>9330</v>
      </c>
      <c r="H7708" s="26">
        <v>-0.84607590300000002</v>
      </c>
      <c r="I7708" s="26"/>
      <c r="J7708" s="26" t="s">
        <v>514</v>
      </c>
      <c r="K7708" s="25" t="s">
        <v>513</v>
      </c>
    </row>
    <row r="7709" spans="1:11" ht="25.5" x14ac:dyDescent="0.25">
      <c r="A7709" s="22">
        <v>2026</v>
      </c>
      <c r="B7709" s="28" t="s">
        <v>249</v>
      </c>
      <c r="C7709" s="28" t="s">
        <v>97</v>
      </c>
      <c r="D7709" s="28" t="s">
        <v>1746</v>
      </c>
      <c r="E7709" s="29" t="s">
        <v>1778</v>
      </c>
      <c r="F7709" s="29" t="s">
        <v>1274</v>
      </c>
      <c r="G7709" s="25" t="s">
        <v>9331</v>
      </c>
      <c r="H7709" s="26">
        <v>-0.78987412049999994</v>
      </c>
      <c r="I7709" s="26"/>
      <c r="J7709" s="26" t="s">
        <v>514</v>
      </c>
      <c r="K7709" s="25" t="s">
        <v>513</v>
      </c>
    </row>
    <row r="7710" spans="1:11" ht="25.5" x14ac:dyDescent="0.25">
      <c r="A7710" s="22">
        <v>2026</v>
      </c>
      <c r="B7710" s="28" t="s">
        <v>249</v>
      </c>
      <c r="C7710" s="28" t="s">
        <v>97</v>
      </c>
      <c r="D7710" s="28" t="s">
        <v>1746</v>
      </c>
      <c r="E7710" s="29" t="s">
        <v>1778</v>
      </c>
      <c r="F7710" s="29" t="s">
        <v>1274</v>
      </c>
      <c r="G7710" s="25" t="s">
        <v>9332</v>
      </c>
      <c r="H7710" s="26">
        <v>-0.74480057189999993</v>
      </c>
      <c r="I7710" s="26"/>
      <c r="J7710" s="26" t="s">
        <v>514</v>
      </c>
      <c r="K7710" s="25" t="s">
        <v>513</v>
      </c>
    </row>
    <row r="7711" spans="1:11" ht="25.5" x14ac:dyDescent="0.25">
      <c r="A7711" s="22">
        <v>2026</v>
      </c>
      <c r="B7711" s="28" t="s">
        <v>249</v>
      </c>
      <c r="C7711" s="28" t="s">
        <v>97</v>
      </c>
      <c r="D7711" s="28" t="s">
        <v>1033</v>
      </c>
      <c r="E7711" s="29" t="s">
        <v>578</v>
      </c>
      <c r="F7711" s="29" t="s">
        <v>325</v>
      </c>
      <c r="G7711" s="25" t="s">
        <v>9333</v>
      </c>
      <c r="H7711" s="26">
        <v>-0.94264974999999995</v>
      </c>
      <c r="I7711" s="26"/>
      <c r="J7711" s="26" t="s">
        <v>512</v>
      </c>
      <c r="K7711" s="25" t="s">
        <v>513</v>
      </c>
    </row>
    <row r="7712" spans="1:11" ht="25.5" x14ac:dyDescent="0.25">
      <c r="A7712" s="22">
        <v>2026</v>
      </c>
      <c r="B7712" s="28" t="s">
        <v>249</v>
      </c>
      <c r="C7712" s="28" t="s">
        <v>97</v>
      </c>
      <c r="D7712" s="28" t="s">
        <v>1033</v>
      </c>
      <c r="E7712" s="29" t="s">
        <v>578</v>
      </c>
      <c r="F7712" s="29" t="s">
        <v>325</v>
      </c>
      <c r="G7712" s="25" t="s">
        <v>9334</v>
      </c>
      <c r="H7712" s="26">
        <v>-0.88605</v>
      </c>
      <c r="I7712" s="26"/>
      <c r="J7712" s="26" t="s">
        <v>512</v>
      </c>
      <c r="K7712" s="25" t="s">
        <v>513</v>
      </c>
    </row>
    <row r="7713" spans="1:11" ht="25.5" x14ac:dyDescent="0.25">
      <c r="A7713" s="22">
        <v>2026</v>
      </c>
      <c r="B7713" s="28" t="s">
        <v>249</v>
      </c>
      <c r="C7713" s="28" t="s">
        <v>97</v>
      </c>
      <c r="D7713" s="28" t="s">
        <v>1033</v>
      </c>
      <c r="E7713" s="29" t="s">
        <v>578</v>
      </c>
      <c r="F7713" s="29" t="s">
        <v>325</v>
      </c>
      <c r="G7713" s="25" t="s">
        <v>9335</v>
      </c>
      <c r="H7713" s="26">
        <v>-0.80264999999999997</v>
      </c>
      <c r="I7713" s="26"/>
      <c r="J7713" s="26" t="s">
        <v>512</v>
      </c>
      <c r="K7713" s="25" t="s">
        <v>513</v>
      </c>
    </row>
    <row r="7714" spans="1:11" ht="25.5" x14ac:dyDescent="0.25">
      <c r="A7714" s="22">
        <v>2026</v>
      </c>
      <c r="B7714" s="28" t="s">
        <v>249</v>
      </c>
      <c r="C7714" s="28" t="s">
        <v>97</v>
      </c>
      <c r="D7714" s="28" t="s">
        <v>1033</v>
      </c>
      <c r="E7714" s="29" t="s">
        <v>578</v>
      </c>
      <c r="F7714" s="29" t="s">
        <v>325</v>
      </c>
      <c r="G7714" s="25" t="s">
        <v>9336</v>
      </c>
      <c r="H7714" s="26">
        <v>-1.6146</v>
      </c>
      <c r="I7714" s="26"/>
      <c r="J7714" s="26" t="s">
        <v>512</v>
      </c>
      <c r="K7714" s="25" t="s">
        <v>513</v>
      </c>
    </row>
    <row r="7715" spans="1:11" ht="25.5" x14ac:dyDescent="0.25">
      <c r="A7715" s="22">
        <v>2026</v>
      </c>
      <c r="B7715" s="28" t="s">
        <v>249</v>
      </c>
      <c r="C7715" s="28" t="s">
        <v>97</v>
      </c>
      <c r="D7715" s="28" t="s">
        <v>1033</v>
      </c>
      <c r="E7715" s="29" t="s">
        <v>578</v>
      </c>
      <c r="F7715" s="29" t="s">
        <v>325</v>
      </c>
      <c r="G7715" s="25" t="s">
        <v>9337</v>
      </c>
      <c r="H7715" s="26">
        <v>-0.70532930000000005</v>
      </c>
      <c r="I7715" s="26"/>
      <c r="J7715" s="26" t="s">
        <v>512</v>
      </c>
      <c r="K7715" s="25" t="s">
        <v>513</v>
      </c>
    </row>
    <row r="7716" spans="1:11" ht="25.5" x14ac:dyDescent="0.25">
      <c r="A7716" s="22">
        <v>2026</v>
      </c>
      <c r="B7716" s="28" t="s">
        <v>249</v>
      </c>
      <c r="C7716" s="28" t="s">
        <v>97</v>
      </c>
      <c r="D7716" s="28" t="s">
        <v>1747</v>
      </c>
      <c r="E7716" s="29" t="s">
        <v>415</v>
      </c>
      <c r="F7716" s="29" t="s">
        <v>1779</v>
      </c>
      <c r="G7716" s="25" t="s">
        <v>9338</v>
      </c>
      <c r="H7716" s="26">
        <v>-0.21567509522</v>
      </c>
      <c r="I7716" s="26"/>
      <c r="J7716" s="26" t="s">
        <v>512</v>
      </c>
      <c r="K7716" s="25" t="s">
        <v>513</v>
      </c>
    </row>
    <row r="7717" spans="1:11" ht="25.5" x14ac:dyDescent="0.25">
      <c r="A7717" s="22">
        <v>2026</v>
      </c>
      <c r="B7717" s="28" t="s">
        <v>249</v>
      </c>
      <c r="C7717" s="28" t="s">
        <v>97</v>
      </c>
      <c r="D7717" s="28" t="s">
        <v>1748</v>
      </c>
      <c r="E7717" s="29" t="s">
        <v>415</v>
      </c>
      <c r="F7717" s="29" t="s">
        <v>1759</v>
      </c>
      <c r="G7717" s="25" t="s">
        <v>9339</v>
      </c>
      <c r="H7717" s="26">
        <v>-2.4609969999999999</v>
      </c>
      <c r="I7717" s="26"/>
      <c r="J7717" s="26" t="s">
        <v>512</v>
      </c>
      <c r="K7717" s="25" t="s">
        <v>513</v>
      </c>
    </row>
    <row r="7718" spans="1:11" ht="25.5" x14ac:dyDescent="0.25">
      <c r="A7718" s="22">
        <v>2026</v>
      </c>
      <c r="B7718" s="28" t="s">
        <v>249</v>
      </c>
      <c r="C7718" s="28" t="s">
        <v>97</v>
      </c>
      <c r="D7718" s="28" t="s">
        <v>1748</v>
      </c>
      <c r="E7718" s="29" t="s">
        <v>415</v>
      </c>
      <c r="F7718" s="29" t="s">
        <v>1759</v>
      </c>
      <c r="G7718" s="25" t="s">
        <v>9340</v>
      </c>
      <c r="H7718" s="26">
        <v>-2.7356400000000001</v>
      </c>
      <c r="I7718" s="26"/>
      <c r="J7718" s="26" t="s">
        <v>512</v>
      </c>
      <c r="K7718" s="25" t="s">
        <v>513</v>
      </c>
    </row>
    <row r="7719" spans="1:11" ht="25.5" x14ac:dyDescent="0.25">
      <c r="A7719" s="22">
        <v>2026</v>
      </c>
      <c r="B7719" s="28" t="s">
        <v>249</v>
      </c>
      <c r="C7719" s="28" t="s">
        <v>97</v>
      </c>
      <c r="D7719" s="28" t="s">
        <v>1748</v>
      </c>
      <c r="E7719" s="29" t="s">
        <v>415</v>
      </c>
      <c r="F7719" s="29" t="s">
        <v>1759</v>
      </c>
      <c r="G7719" s="25" t="s">
        <v>9341</v>
      </c>
      <c r="H7719" s="26">
        <v>-2.7956075</v>
      </c>
      <c r="I7719" s="26"/>
      <c r="J7719" s="26" t="s">
        <v>512</v>
      </c>
      <c r="K7719" s="25" t="s">
        <v>513</v>
      </c>
    </row>
    <row r="7720" spans="1:11" ht="25.5" x14ac:dyDescent="0.25">
      <c r="A7720" s="22">
        <v>2026</v>
      </c>
      <c r="B7720" s="28" t="s">
        <v>249</v>
      </c>
      <c r="C7720" s="28" t="s">
        <v>97</v>
      </c>
      <c r="D7720" s="28" t="s">
        <v>1748</v>
      </c>
      <c r="E7720" s="29" t="s">
        <v>415</v>
      </c>
      <c r="F7720" s="29" t="s">
        <v>1759</v>
      </c>
      <c r="G7720" s="25" t="s">
        <v>9342</v>
      </c>
      <c r="H7720" s="26">
        <v>-2.2443739356000001</v>
      </c>
      <c r="I7720" s="26"/>
      <c r="J7720" s="26" t="s">
        <v>512</v>
      </c>
      <c r="K7720" s="25" t="s">
        <v>513</v>
      </c>
    </row>
    <row r="7721" spans="1:11" ht="25.5" x14ac:dyDescent="0.25">
      <c r="A7721" s="22">
        <v>2026</v>
      </c>
      <c r="B7721" s="28" t="s">
        <v>249</v>
      </c>
      <c r="C7721" s="28" t="s">
        <v>97</v>
      </c>
      <c r="D7721" s="28" t="s">
        <v>1748</v>
      </c>
      <c r="E7721" s="29" t="s">
        <v>415</v>
      </c>
      <c r="F7721" s="29" t="s">
        <v>1759</v>
      </c>
      <c r="G7721" s="25" t="s">
        <v>9343</v>
      </c>
      <c r="H7721" s="26">
        <v>-6.7799999999999999E-2</v>
      </c>
      <c r="I7721" s="26"/>
      <c r="J7721" s="26" t="s">
        <v>512</v>
      </c>
      <c r="K7721" s="25" t="s">
        <v>513</v>
      </c>
    </row>
    <row r="7722" spans="1:11" ht="25.5" x14ac:dyDescent="0.25">
      <c r="A7722" s="22">
        <v>2026</v>
      </c>
      <c r="B7722" s="28" t="s">
        <v>249</v>
      </c>
      <c r="C7722" s="28" t="s">
        <v>97</v>
      </c>
      <c r="D7722" s="28" t="s">
        <v>1748</v>
      </c>
      <c r="E7722" s="29" t="s">
        <v>415</v>
      </c>
      <c r="F7722" s="29" t="s">
        <v>1759</v>
      </c>
      <c r="G7722" s="25" t="s">
        <v>9344</v>
      </c>
      <c r="H7722" s="26">
        <v>-0.34900249999999999</v>
      </c>
      <c r="I7722" s="26"/>
      <c r="J7722" s="26" t="s">
        <v>512</v>
      </c>
      <c r="K7722" s="25" t="s">
        <v>513</v>
      </c>
    </row>
    <row r="7723" spans="1:11" ht="25.5" x14ac:dyDescent="0.25">
      <c r="A7723" s="22">
        <v>2026</v>
      </c>
      <c r="B7723" s="28" t="s">
        <v>249</v>
      </c>
      <c r="C7723" s="28" t="s">
        <v>97</v>
      </c>
      <c r="D7723" s="28" t="s">
        <v>536</v>
      </c>
      <c r="E7723" s="29" t="s">
        <v>558</v>
      </c>
      <c r="F7723" s="29" t="s">
        <v>282</v>
      </c>
      <c r="G7723" s="25" t="s">
        <v>9345</v>
      </c>
      <c r="H7723" s="26">
        <v>-0.48737185</v>
      </c>
      <c r="I7723" s="26"/>
      <c r="J7723" s="26" t="s">
        <v>514</v>
      </c>
      <c r="K7723" s="25" t="s">
        <v>513</v>
      </c>
    </row>
    <row r="7724" spans="1:11" ht="25.5" x14ac:dyDescent="0.25">
      <c r="A7724" s="22">
        <v>2026</v>
      </c>
      <c r="B7724" s="28" t="s">
        <v>249</v>
      </c>
      <c r="C7724" s="28" t="s">
        <v>97</v>
      </c>
      <c r="D7724" s="28" t="s">
        <v>536</v>
      </c>
      <c r="E7724" s="29" t="s">
        <v>558</v>
      </c>
      <c r="F7724" s="29" t="s">
        <v>282</v>
      </c>
      <c r="G7724" s="25" t="s">
        <v>9346</v>
      </c>
      <c r="H7724" s="26">
        <v>-0.14911495000000002</v>
      </c>
      <c r="I7724" s="26"/>
      <c r="J7724" s="26" t="s">
        <v>514</v>
      </c>
      <c r="K7724" s="25" t="s">
        <v>513</v>
      </c>
    </row>
    <row r="7725" spans="1:11" ht="25.5" x14ac:dyDescent="0.25">
      <c r="A7725" s="22">
        <v>2026</v>
      </c>
      <c r="B7725" s="28" t="s">
        <v>249</v>
      </c>
      <c r="C7725" s="28" t="s">
        <v>97</v>
      </c>
      <c r="D7725" s="28" t="s">
        <v>536</v>
      </c>
      <c r="E7725" s="29" t="s">
        <v>558</v>
      </c>
      <c r="F7725" s="29" t="s">
        <v>282</v>
      </c>
      <c r="G7725" s="25" t="s">
        <v>9347</v>
      </c>
      <c r="H7725" s="26">
        <v>-0.14862910000000001</v>
      </c>
      <c r="I7725" s="26"/>
      <c r="J7725" s="26" t="s">
        <v>514</v>
      </c>
      <c r="K7725" s="25" t="s">
        <v>513</v>
      </c>
    </row>
    <row r="7726" spans="1:11" ht="25.5" x14ac:dyDescent="0.25">
      <c r="A7726" s="22">
        <v>2026</v>
      </c>
      <c r="B7726" s="28" t="s">
        <v>249</v>
      </c>
      <c r="C7726" s="28" t="s">
        <v>97</v>
      </c>
      <c r="D7726" s="28" t="s">
        <v>536</v>
      </c>
      <c r="E7726" s="29" t="s">
        <v>558</v>
      </c>
      <c r="F7726" s="29" t="s">
        <v>282</v>
      </c>
      <c r="G7726" s="25" t="s">
        <v>9348</v>
      </c>
      <c r="H7726" s="26">
        <v>-0.14806125000000001</v>
      </c>
      <c r="I7726" s="26"/>
      <c r="J7726" s="26" t="s">
        <v>514</v>
      </c>
      <c r="K7726" s="25" t="s">
        <v>513</v>
      </c>
    </row>
    <row r="7727" spans="1:11" ht="25.5" x14ac:dyDescent="0.25">
      <c r="A7727" s="22">
        <v>2026</v>
      </c>
      <c r="B7727" s="28" t="s">
        <v>249</v>
      </c>
      <c r="C7727" s="28" t="s">
        <v>97</v>
      </c>
      <c r="D7727" s="28" t="s">
        <v>536</v>
      </c>
      <c r="E7727" s="29" t="s">
        <v>558</v>
      </c>
      <c r="F7727" s="29" t="s">
        <v>282</v>
      </c>
      <c r="G7727" s="25" t="s">
        <v>9349</v>
      </c>
      <c r="H7727" s="26">
        <v>-0.14736425</v>
      </c>
      <c r="I7727" s="26"/>
      <c r="J7727" s="26" t="s">
        <v>514</v>
      </c>
      <c r="K7727" s="25" t="s">
        <v>513</v>
      </c>
    </row>
    <row r="7728" spans="1:11" ht="25.5" x14ac:dyDescent="0.25">
      <c r="A7728" s="22">
        <v>2026</v>
      </c>
      <c r="B7728" s="28" t="s">
        <v>249</v>
      </c>
      <c r="C7728" s="28" t="s">
        <v>97</v>
      </c>
      <c r="D7728" s="28" t="s">
        <v>536</v>
      </c>
      <c r="E7728" s="29" t="s">
        <v>558</v>
      </c>
      <c r="F7728" s="29" t="s">
        <v>282</v>
      </c>
      <c r="G7728" s="25" t="s">
        <v>9350</v>
      </c>
      <c r="H7728" s="26">
        <v>-0.15071909999999999</v>
      </c>
      <c r="I7728" s="26"/>
      <c r="J7728" s="26" t="s">
        <v>514</v>
      </c>
      <c r="K7728" s="25" t="s">
        <v>513</v>
      </c>
    </row>
    <row r="7729" spans="1:11" ht="25.5" x14ac:dyDescent="0.25">
      <c r="A7729" s="22">
        <v>2026</v>
      </c>
      <c r="B7729" s="28" t="s">
        <v>249</v>
      </c>
      <c r="C7729" s="28" t="s">
        <v>97</v>
      </c>
      <c r="D7729" s="28" t="s">
        <v>536</v>
      </c>
      <c r="E7729" s="29" t="s">
        <v>558</v>
      </c>
      <c r="F7729" s="29" t="s">
        <v>282</v>
      </c>
      <c r="G7729" s="25" t="s">
        <v>9351</v>
      </c>
      <c r="H7729" s="26">
        <v>-0.14804999999999999</v>
      </c>
      <c r="I7729" s="26"/>
      <c r="J7729" s="26" t="s">
        <v>514</v>
      </c>
      <c r="K7729" s="25" t="s">
        <v>513</v>
      </c>
    </row>
    <row r="7730" spans="1:11" ht="25.5" x14ac:dyDescent="0.25">
      <c r="A7730" s="22">
        <v>2026</v>
      </c>
      <c r="B7730" s="28" t="s">
        <v>249</v>
      </c>
      <c r="C7730" s="28" t="s">
        <v>97</v>
      </c>
      <c r="D7730" s="28" t="s">
        <v>536</v>
      </c>
      <c r="E7730" s="29" t="s">
        <v>558</v>
      </c>
      <c r="F7730" s="29" t="s">
        <v>282</v>
      </c>
      <c r="G7730" s="25" t="s">
        <v>9352</v>
      </c>
      <c r="H7730" s="26">
        <v>-0.19773879999999999</v>
      </c>
      <c r="I7730" s="26"/>
      <c r="J7730" s="26" t="s">
        <v>514</v>
      </c>
      <c r="K7730" s="25" t="s">
        <v>513</v>
      </c>
    </row>
    <row r="7731" spans="1:11" ht="25.5" x14ac:dyDescent="0.25">
      <c r="A7731" s="22">
        <v>2026</v>
      </c>
      <c r="B7731" s="28" t="s">
        <v>249</v>
      </c>
      <c r="C7731" s="28" t="s">
        <v>97</v>
      </c>
      <c r="D7731" s="28" t="s">
        <v>536</v>
      </c>
      <c r="E7731" s="29" t="s">
        <v>558</v>
      </c>
      <c r="F7731" s="29" t="s">
        <v>282</v>
      </c>
      <c r="G7731" s="25" t="s">
        <v>9353</v>
      </c>
      <c r="H7731" s="26">
        <v>-0.1976975</v>
      </c>
      <c r="I7731" s="26"/>
      <c r="J7731" s="26" t="s">
        <v>514</v>
      </c>
      <c r="K7731" s="25" t="s">
        <v>513</v>
      </c>
    </row>
    <row r="7732" spans="1:11" ht="25.5" x14ac:dyDescent="0.25">
      <c r="A7732" s="22">
        <v>2026</v>
      </c>
      <c r="B7732" s="28" t="s">
        <v>249</v>
      </c>
      <c r="C7732" s="28" t="s">
        <v>97</v>
      </c>
      <c r="D7732" s="28" t="s">
        <v>536</v>
      </c>
      <c r="E7732" s="29" t="s">
        <v>558</v>
      </c>
      <c r="F7732" s="29" t="s">
        <v>282</v>
      </c>
      <c r="G7732" s="25" t="s">
        <v>9354</v>
      </c>
      <c r="H7732" s="26">
        <v>-0.19764000000000001</v>
      </c>
      <c r="I7732" s="26"/>
      <c r="J7732" s="26" t="s">
        <v>514</v>
      </c>
      <c r="K7732" s="25" t="s">
        <v>513</v>
      </c>
    </row>
    <row r="7733" spans="1:11" ht="25.5" x14ac:dyDescent="0.25">
      <c r="A7733" s="22">
        <v>2026</v>
      </c>
      <c r="B7733" s="28" t="s">
        <v>249</v>
      </c>
      <c r="C7733" s="28" t="s">
        <v>97</v>
      </c>
      <c r="D7733" s="28" t="s">
        <v>536</v>
      </c>
      <c r="E7733" s="29" t="s">
        <v>558</v>
      </c>
      <c r="F7733" s="29" t="s">
        <v>282</v>
      </c>
      <c r="G7733" s="25" t="s">
        <v>9355</v>
      </c>
      <c r="H7733" s="26">
        <v>-0.19808010000000001</v>
      </c>
      <c r="I7733" s="26"/>
      <c r="J7733" s="26" t="s">
        <v>514</v>
      </c>
      <c r="K7733" s="25" t="s">
        <v>513</v>
      </c>
    </row>
    <row r="7734" spans="1:11" ht="25.5" x14ac:dyDescent="0.25">
      <c r="A7734" s="22">
        <v>2026</v>
      </c>
      <c r="B7734" s="28" t="s">
        <v>249</v>
      </c>
      <c r="C7734" s="28" t="s">
        <v>97</v>
      </c>
      <c r="D7734" s="28" t="s">
        <v>536</v>
      </c>
      <c r="E7734" s="29" t="s">
        <v>558</v>
      </c>
      <c r="F7734" s="29" t="s">
        <v>282</v>
      </c>
      <c r="G7734" s="25" t="s">
        <v>9356</v>
      </c>
      <c r="H7734" s="26">
        <v>-0.1998027</v>
      </c>
      <c r="I7734" s="26"/>
      <c r="J7734" s="26" t="s">
        <v>514</v>
      </c>
      <c r="K7734" s="25" t="s">
        <v>513</v>
      </c>
    </row>
    <row r="7735" spans="1:11" ht="25.5" x14ac:dyDescent="0.25">
      <c r="A7735" s="22">
        <v>2026</v>
      </c>
      <c r="B7735" s="28" t="s">
        <v>249</v>
      </c>
      <c r="C7735" s="28" t="s">
        <v>97</v>
      </c>
      <c r="D7735" s="28" t="s">
        <v>536</v>
      </c>
      <c r="E7735" s="29" t="s">
        <v>558</v>
      </c>
      <c r="F7735" s="29" t="s">
        <v>282</v>
      </c>
      <c r="G7735" s="25" t="s">
        <v>9357</v>
      </c>
      <c r="H7735" s="26">
        <v>-0.19760785</v>
      </c>
      <c r="I7735" s="26"/>
      <c r="J7735" s="26" t="s">
        <v>514</v>
      </c>
      <c r="K7735" s="25" t="s">
        <v>513</v>
      </c>
    </row>
    <row r="7736" spans="1:11" ht="25.5" x14ac:dyDescent="0.25">
      <c r="A7736" s="22">
        <v>2026</v>
      </c>
      <c r="B7736" s="28" t="s">
        <v>249</v>
      </c>
      <c r="C7736" s="28" t="s">
        <v>97</v>
      </c>
      <c r="D7736" s="28" t="s">
        <v>536</v>
      </c>
      <c r="E7736" s="29" t="s">
        <v>558</v>
      </c>
      <c r="F7736" s="29" t="s">
        <v>282</v>
      </c>
      <c r="G7736" s="25" t="s">
        <v>9358</v>
      </c>
      <c r="H7736" s="26">
        <v>-0.19754425</v>
      </c>
      <c r="I7736" s="26"/>
      <c r="J7736" s="26" t="s">
        <v>514</v>
      </c>
      <c r="K7736" s="25" t="s">
        <v>513</v>
      </c>
    </row>
    <row r="7737" spans="1:11" ht="25.5" x14ac:dyDescent="0.25">
      <c r="A7737" s="22">
        <v>2026</v>
      </c>
      <c r="B7737" s="28" t="s">
        <v>249</v>
      </c>
      <c r="C7737" s="28" t="s">
        <v>97</v>
      </c>
      <c r="D7737" s="28" t="s">
        <v>536</v>
      </c>
      <c r="E7737" s="29" t="s">
        <v>558</v>
      </c>
      <c r="F7737" s="29" t="s">
        <v>282</v>
      </c>
      <c r="G7737" s="25" t="s">
        <v>9359</v>
      </c>
      <c r="H7737" s="26">
        <v>-0.19738790000000001</v>
      </c>
      <c r="I7737" s="26"/>
      <c r="J7737" s="26" t="s">
        <v>514</v>
      </c>
      <c r="K7737" s="25" t="s">
        <v>513</v>
      </c>
    </row>
    <row r="7738" spans="1:11" ht="25.5" x14ac:dyDescent="0.25">
      <c r="A7738" s="22">
        <v>2026</v>
      </c>
      <c r="B7738" s="28" t="s">
        <v>249</v>
      </c>
      <c r="C7738" s="28" t="s">
        <v>97</v>
      </c>
      <c r="D7738" s="28" t="s">
        <v>536</v>
      </c>
      <c r="E7738" s="29" t="s">
        <v>558</v>
      </c>
      <c r="F7738" s="29" t="s">
        <v>282</v>
      </c>
      <c r="G7738" s="25" t="s">
        <v>9360</v>
      </c>
      <c r="H7738" s="26">
        <v>-0.19847970000000001</v>
      </c>
      <c r="I7738" s="26"/>
      <c r="J7738" s="26" t="s">
        <v>514</v>
      </c>
      <c r="K7738" s="25" t="s">
        <v>513</v>
      </c>
    </row>
    <row r="7739" spans="1:11" ht="25.5" x14ac:dyDescent="0.25">
      <c r="A7739" s="22">
        <v>2026</v>
      </c>
      <c r="B7739" s="28" t="s">
        <v>249</v>
      </c>
      <c r="C7739" s="28" t="s">
        <v>97</v>
      </c>
      <c r="D7739" s="28" t="s">
        <v>536</v>
      </c>
      <c r="E7739" s="29" t="s">
        <v>558</v>
      </c>
      <c r="F7739" s="29" t="s">
        <v>282</v>
      </c>
      <c r="G7739" s="25" t="s">
        <v>9361</v>
      </c>
      <c r="H7739" s="26">
        <v>-0.19875000000000001</v>
      </c>
      <c r="I7739" s="26"/>
      <c r="J7739" s="26" t="s">
        <v>514</v>
      </c>
      <c r="K7739" s="25" t="s">
        <v>513</v>
      </c>
    </row>
    <row r="7740" spans="1:11" ht="25.5" x14ac:dyDescent="0.25">
      <c r="A7740" s="22">
        <v>2026</v>
      </c>
      <c r="B7740" s="28" t="s">
        <v>249</v>
      </c>
      <c r="C7740" s="28" t="s">
        <v>97</v>
      </c>
      <c r="D7740" s="28" t="s">
        <v>536</v>
      </c>
      <c r="E7740" s="29" t="s">
        <v>558</v>
      </c>
      <c r="F7740" s="29" t="s">
        <v>282</v>
      </c>
      <c r="G7740" s="25" t="s">
        <v>9362</v>
      </c>
      <c r="H7740" s="26">
        <v>-0.1976</v>
      </c>
      <c r="I7740" s="26"/>
      <c r="J7740" s="26" t="s">
        <v>514</v>
      </c>
      <c r="K7740" s="25" t="s">
        <v>513</v>
      </c>
    </row>
    <row r="7741" spans="1:11" ht="25.5" x14ac:dyDescent="0.25">
      <c r="A7741" s="22">
        <v>2026</v>
      </c>
      <c r="B7741" s="28" t="s">
        <v>249</v>
      </c>
      <c r="C7741" s="28" t="s">
        <v>97</v>
      </c>
      <c r="D7741" s="28" t="s">
        <v>536</v>
      </c>
      <c r="E7741" s="29" t="s">
        <v>558</v>
      </c>
      <c r="F7741" s="29" t="s">
        <v>282</v>
      </c>
      <c r="G7741" s="25" t="s">
        <v>9363</v>
      </c>
      <c r="H7741" s="26">
        <v>-0.19858799999999999</v>
      </c>
      <c r="I7741" s="26"/>
      <c r="J7741" s="26" t="s">
        <v>514</v>
      </c>
      <c r="K7741" s="25" t="s">
        <v>513</v>
      </c>
    </row>
    <row r="7742" spans="1:11" ht="25.5" x14ac:dyDescent="0.25">
      <c r="A7742" s="22">
        <v>2026</v>
      </c>
      <c r="B7742" s="28" t="s">
        <v>249</v>
      </c>
      <c r="C7742" s="28" t="s">
        <v>97</v>
      </c>
      <c r="D7742" s="28" t="s">
        <v>536</v>
      </c>
      <c r="E7742" s="29" t="s">
        <v>558</v>
      </c>
      <c r="F7742" s="29" t="s">
        <v>282</v>
      </c>
      <c r="G7742" s="25" t="s">
        <v>9364</v>
      </c>
      <c r="H7742" s="26">
        <v>-0.19533</v>
      </c>
      <c r="I7742" s="26"/>
      <c r="J7742" s="26" t="s">
        <v>514</v>
      </c>
      <c r="K7742" s="25" t="s">
        <v>513</v>
      </c>
    </row>
    <row r="7743" spans="1:11" ht="25.5" x14ac:dyDescent="0.25">
      <c r="A7743" s="22">
        <v>2026</v>
      </c>
      <c r="B7743" s="28" t="s">
        <v>249</v>
      </c>
      <c r="C7743" s="28" t="s">
        <v>97</v>
      </c>
      <c r="D7743" s="28" t="s">
        <v>536</v>
      </c>
      <c r="E7743" s="29" t="s">
        <v>558</v>
      </c>
      <c r="F7743" s="29" t="s">
        <v>282</v>
      </c>
      <c r="G7743" s="25" t="s">
        <v>9365</v>
      </c>
      <c r="H7743" s="26">
        <v>-0.19916</v>
      </c>
      <c r="I7743" s="26"/>
      <c r="J7743" s="26" t="s">
        <v>514</v>
      </c>
      <c r="K7743" s="25" t="s">
        <v>513</v>
      </c>
    </row>
    <row r="7744" spans="1:11" ht="25.5" x14ac:dyDescent="0.25">
      <c r="A7744" s="22">
        <v>2026</v>
      </c>
      <c r="B7744" s="28" t="s">
        <v>249</v>
      </c>
      <c r="C7744" s="28" t="s">
        <v>97</v>
      </c>
      <c r="D7744" s="28" t="s">
        <v>536</v>
      </c>
      <c r="E7744" s="29" t="s">
        <v>558</v>
      </c>
      <c r="F7744" s="29" t="s">
        <v>282</v>
      </c>
      <c r="G7744" s="25" t="s">
        <v>9366</v>
      </c>
      <c r="H7744" s="26">
        <v>-0.19609499999999999</v>
      </c>
      <c r="I7744" s="26"/>
      <c r="J7744" s="26" t="s">
        <v>514</v>
      </c>
      <c r="K7744" s="25" t="s">
        <v>513</v>
      </c>
    </row>
    <row r="7745" spans="1:11" ht="25.5" x14ac:dyDescent="0.25">
      <c r="A7745" s="22">
        <v>2026</v>
      </c>
      <c r="B7745" s="28" t="s">
        <v>249</v>
      </c>
      <c r="C7745" s="28" t="s">
        <v>97</v>
      </c>
      <c r="D7745" s="28" t="s">
        <v>1749</v>
      </c>
      <c r="E7745" s="29" t="s">
        <v>1780</v>
      </c>
      <c r="F7745" s="29" t="s">
        <v>343</v>
      </c>
      <c r="G7745" s="25" t="s">
        <v>9367</v>
      </c>
      <c r="H7745" s="26">
        <v>-5.7329999999999999E-2</v>
      </c>
      <c r="I7745" s="26"/>
      <c r="J7745" s="26" t="s">
        <v>512</v>
      </c>
      <c r="K7745" s="25" t="s">
        <v>513</v>
      </c>
    </row>
    <row r="7746" spans="1:11" ht="25.5" x14ac:dyDescent="0.25">
      <c r="A7746" s="22">
        <v>2026</v>
      </c>
      <c r="B7746" s="28" t="s">
        <v>249</v>
      </c>
      <c r="C7746" s="28" t="s">
        <v>97</v>
      </c>
      <c r="D7746" s="28" t="s">
        <v>1749</v>
      </c>
      <c r="E7746" s="29" t="s">
        <v>1780</v>
      </c>
      <c r="F7746" s="29" t="s">
        <v>343</v>
      </c>
      <c r="G7746" s="25" t="s">
        <v>9368</v>
      </c>
      <c r="H7746" s="26">
        <v>-8.0416350000000011E-2</v>
      </c>
      <c r="I7746" s="26"/>
      <c r="J7746" s="26" t="s">
        <v>512</v>
      </c>
      <c r="K7746" s="25" t="s">
        <v>513</v>
      </c>
    </row>
    <row r="7747" spans="1:11" ht="25.5" x14ac:dyDescent="0.25">
      <c r="A7747" s="22">
        <v>2026</v>
      </c>
      <c r="B7747" s="28" t="s">
        <v>249</v>
      </c>
      <c r="C7747" s="28" t="s">
        <v>97</v>
      </c>
      <c r="D7747" s="28" t="s">
        <v>1749</v>
      </c>
      <c r="E7747" s="29" t="s">
        <v>1780</v>
      </c>
      <c r="F7747" s="29" t="s">
        <v>343</v>
      </c>
      <c r="G7747" s="25" t="s">
        <v>9369</v>
      </c>
      <c r="H7747" s="26">
        <v>-4.41E-2</v>
      </c>
      <c r="I7747" s="26"/>
      <c r="J7747" s="26" t="s">
        <v>512</v>
      </c>
      <c r="K7747" s="25" t="s">
        <v>513</v>
      </c>
    </row>
    <row r="7748" spans="1:11" ht="25.5" x14ac:dyDescent="0.25">
      <c r="A7748" s="22">
        <v>2026</v>
      </c>
      <c r="B7748" s="28" t="s">
        <v>249</v>
      </c>
      <c r="C7748" s="28" t="s">
        <v>97</v>
      </c>
      <c r="D7748" s="28" t="s">
        <v>1749</v>
      </c>
      <c r="E7748" s="29" t="s">
        <v>1780</v>
      </c>
      <c r="F7748" s="29" t="s">
        <v>343</v>
      </c>
      <c r="G7748" s="25" t="s">
        <v>9370</v>
      </c>
      <c r="H7748" s="26">
        <v>-4.48E-2</v>
      </c>
      <c r="I7748" s="26"/>
      <c r="J7748" s="26" t="s">
        <v>512</v>
      </c>
      <c r="K7748" s="25" t="s">
        <v>513</v>
      </c>
    </row>
    <row r="7749" spans="1:11" ht="25.5" x14ac:dyDescent="0.25">
      <c r="A7749" s="22">
        <v>2026</v>
      </c>
      <c r="B7749" s="28" t="s">
        <v>249</v>
      </c>
      <c r="C7749" s="28" t="s">
        <v>97</v>
      </c>
      <c r="D7749" s="28" t="s">
        <v>1749</v>
      </c>
      <c r="E7749" s="29" t="s">
        <v>1780</v>
      </c>
      <c r="F7749" s="29" t="s">
        <v>343</v>
      </c>
      <c r="G7749" s="25" t="s">
        <v>9370</v>
      </c>
      <c r="H7749" s="26">
        <v>-4.48E-2</v>
      </c>
      <c r="I7749" s="26"/>
      <c r="J7749" s="26" t="s">
        <v>512</v>
      </c>
      <c r="K7749" s="25" t="s">
        <v>513</v>
      </c>
    </row>
    <row r="7750" spans="1:11" ht="25.5" x14ac:dyDescent="0.25">
      <c r="A7750" s="22">
        <v>2026</v>
      </c>
      <c r="B7750" s="28" t="s">
        <v>249</v>
      </c>
      <c r="C7750" s="28" t="s">
        <v>97</v>
      </c>
      <c r="D7750" s="28" t="s">
        <v>1749</v>
      </c>
      <c r="E7750" s="29" t="s">
        <v>1780</v>
      </c>
      <c r="F7750" s="29" t="s">
        <v>343</v>
      </c>
      <c r="G7750" s="25" t="s">
        <v>9371</v>
      </c>
      <c r="H7750" s="26">
        <v>-9.5726800000000001E-2</v>
      </c>
      <c r="I7750" s="26"/>
      <c r="J7750" s="26" t="s">
        <v>512</v>
      </c>
      <c r="K7750" s="25" t="s">
        <v>513</v>
      </c>
    </row>
    <row r="7751" spans="1:11" ht="25.5" x14ac:dyDescent="0.25">
      <c r="A7751" s="22">
        <v>2026</v>
      </c>
      <c r="B7751" s="28" t="s">
        <v>249</v>
      </c>
      <c r="C7751" s="28" t="s">
        <v>97</v>
      </c>
      <c r="D7751" s="28" t="s">
        <v>1749</v>
      </c>
      <c r="E7751" s="29" t="s">
        <v>1780</v>
      </c>
      <c r="F7751" s="29" t="s">
        <v>343</v>
      </c>
      <c r="G7751" s="25" t="s">
        <v>9372</v>
      </c>
      <c r="H7751" s="26">
        <v>-0.1150651008</v>
      </c>
      <c r="I7751" s="26"/>
      <c r="J7751" s="26" t="s">
        <v>512</v>
      </c>
      <c r="K7751" s="25" t="s">
        <v>513</v>
      </c>
    </row>
    <row r="7752" spans="1:11" ht="25.5" x14ac:dyDescent="0.25">
      <c r="A7752" s="22">
        <v>2026</v>
      </c>
      <c r="B7752" s="28" t="s">
        <v>249</v>
      </c>
      <c r="C7752" s="28" t="s">
        <v>97</v>
      </c>
      <c r="D7752" s="28" t="s">
        <v>1749</v>
      </c>
      <c r="E7752" s="29" t="s">
        <v>1780</v>
      </c>
      <c r="F7752" s="29" t="s">
        <v>343</v>
      </c>
      <c r="G7752" s="25" t="s">
        <v>9373</v>
      </c>
      <c r="H7752" s="26">
        <v>-0.16205</v>
      </c>
      <c r="I7752" s="26"/>
      <c r="J7752" s="26" t="s">
        <v>512</v>
      </c>
      <c r="K7752" s="25" t="s">
        <v>513</v>
      </c>
    </row>
    <row r="7753" spans="1:11" ht="25.5" x14ac:dyDescent="0.25">
      <c r="A7753" s="22">
        <v>2026</v>
      </c>
      <c r="B7753" s="28" t="s">
        <v>249</v>
      </c>
      <c r="C7753" s="28" t="s">
        <v>97</v>
      </c>
      <c r="D7753" s="28" t="s">
        <v>1749</v>
      </c>
      <c r="E7753" s="29" t="s">
        <v>1780</v>
      </c>
      <c r="F7753" s="29" t="s">
        <v>343</v>
      </c>
      <c r="G7753" s="25" t="s">
        <v>9374</v>
      </c>
      <c r="H7753" s="26">
        <v>-9.2200000000000004E-2</v>
      </c>
      <c r="I7753" s="26"/>
      <c r="J7753" s="26" t="s">
        <v>512</v>
      </c>
      <c r="K7753" s="25" t="s">
        <v>513</v>
      </c>
    </row>
    <row r="7754" spans="1:11" ht="25.5" x14ac:dyDescent="0.25">
      <c r="A7754" s="22">
        <v>2026</v>
      </c>
      <c r="B7754" s="28" t="s">
        <v>249</v>
      </c>
      <c r="C7754" s="28" t="s">
        <v>97</v>
      </c>
      <c r="D7754" s="28" t="s">
        <v>1749</v>
      </c>
      <c r="E7754" s="29" t="s">
        <v>1780</v>
      </c>
      <c r="F7754" s="29" t="s">
        <v>343</v>
      </c>
      <c r="G7754" s="25" t="s">
        <v>9375</v>
      </c>
      <c r="H7754" s="26">
        <v>-0.13108535000000002</v>
      </c>
      <c r="I7754" s="26"/>
      <c r="J7754" s="26" t="s">
        <v>512</v>
      </c>
      <c r="K7754" s="25" t="s">
        <v>513</v>
      </c>
    </row>
    <row r="7755" spans="1:11" ht="25.5" x14ac:dyDescent="0.25">
      <c r="A7755" s="22">
        <v>2026</v>
      </c>
      <c r="B7755" s="28" t="s">
        <v>249</v>
      </c>
      <c r="C7755" s="28" t="s">
        <v>97</v>
      </c>
      <c r="D7755" s="28" t="s">
        <v>255</v>
      </c>
      <c r="E7755" s="29" t="s">
        <v>255</v>
      </c>
      <c r="F7755" s="29" t="s">
        <v>325</v>
      </c>
      <c r="G7755" s="25" t="s">
        <v>9376</v>
      </c>
      <c r="H7755" s="26">
        <v>-1.1475</v>
      </c>
      <c r="I7755" s="26"/>
      <c r="J7755" s="26" t="s">
        <v>512</v>
      </c>
      <c r="K7755" s="25" t="s">
        <v>513</v>
      </c>
    </row>
    <row r="7756" spans="1:11" ht="25.5" x14ac:dyDescent="0.25">
      <c r="A7756" s="22">
        <v>2026</v>
      </c>
      <c r="B7756" s="28" t="s">
        <v>249</v>
      </c>
      <c r="C7756" s="28" t="s">
        <v>97</v>
      </c>
      <c r="D7756" s="28" t="s">
        <v>255</v>
      </c>
      <c r="E7756" s="29" t="s">
        <v>255</v>
      </c>
      <c r="F7756" s="29" t="s">
        <v>325</v>
      </c>
      <c r="G7756" s="25" t="s">
        <v>9377</v>
      </c>
      <c r="H7756" s="26">
        <v>-0.61299999999999999</v>
      </c>
      <c r="I7756" s="26"/>
      <c r="J7756" s="26" t="s">
        <v>512</v>
      </c>
      <c r="K7756" s="25" t="s">
        <v>513</v>
      </c>
    </row>
    <row r="7757" spans="1:11" ht="25.5" x14ac:dyDescent="0.25">
      <c r="A7757" s="22">
        <v>2026</v>
      </c>
      <c r="B7757" s="28" t="s">
        <v>249</v>
      </c>
      <c r="C7757" s="28" t="s">
        <v>97</v>
      </c>
      <c r="D7757" s="28" t="s">
        <v>255</v>
      </c>
      <c r="E7757" s="29" t="s">
        <v>255</v>
      </c>
      <c r="F7757" s="29" t="s">
        <v>325</v>
      </c>
      <c r="G7757" s="25" t="s">
        <v>9378</v>
      </c>
      <c r="H7757" s="26">
        <v>-0.63249999999999995</v>
      </c>
      <c r="I7757" s="26"/>
      <c r="J7757" s="26" t="s">
        <v>512</v>
      </c>
      <c r="K7757" s="25" t="s">
        <v>513</v>
      </c>
    </row>
    <row r="7758" spans="1:11" ht="25.5" x14ac:dyDescent="0.25">
      <c r="A7758" s="22">
        <v>2026</v>
      </c>
      <c r="B7758" s="28" t="s">
        <v>249</v>
      </c>
      <c r="C7758" s="28" t="s">
        <v>97</v>
      </c>
      <c r="D7758" s="28" t="s">
        <v>243</v>
      </c>
      <c r="E7758" s="29" t="s">
        <v>446</v>
      </c>
      <c r="F7758" s="29" t="s">
        <v>343</v>
      </c>
      <c r="G7758" s="25" t="s">
        <v>9379</v>
      </c>
      <c r="H7758" s="26">
        <v>-2.905632E-2</v>
      </c>
      <c r="I7758" s="26"/>
      <c r="J7758" s="26" t="s">
        <v>514</v>
      </c>
      <c r="K7758" s="25" t="s">
        <v>513</v>
      </c>
    </row>
    <row r="7759" spans="1:11" ht="25.5" x14ac:dyDescent="0.25">
      <c r="A7759" s="22">
        <v>2026</v>
      </c>
      <c r="B7759" s="28" t="s">
        <v>249</v>
      </c>
      <c r="C7759" s="28" t="s">
        <v>97</v>
      </c>
      <c r="D7759" s="28" t="s">
        <v>227</v>
      </c>
      <c r="E7759" s="29" t="s">
        <v>416</v>
      </c>
      <c r="F7759" s="29" t="s">
        <v>412</v>
      </c>
      <c r="G7759" s="25" t="s">
        <v>9380</v>
      </c>
      <c r="H7759" s="26">
        <v>-0.24399999999999999</v>
      </c>
      <c r="I7759" s="26"/>
      <c r="J7759" s="26" t="s">
        <v>514</v>
      </c>
      <c r="K7759" s="25" t="s">
        <v>513</v>
      </c>
    </row>
    <row r="7760" spans="1:11" ht="25.5" x14ac:dyDescent="0.25">
      <c r="A7760" s="22">
        <v>2026</v>
      </c>
      <c r="B7760" s="28" t="s">
        <v>249</v>
      </c>
      <c r="C7760" s="28" t="s">
        <v>97</v>
      </c>
      <c r="D7760" s="28" t="s">
        <v>1265</v>
      </c>
      <c r="E7760" s="29" t="s">
        <v>1266</v>
      </c>
      <c r="F7760" s="29" t="s">
        <v>325</v>
      </c>
      <c r="G7760" s="25" t="s">
        <v>9381</v>
      </c>
      <c r="H7760" s="26">
        <v>-0.29199999999999998</v>
      </c>
      <c r="I7760" s="26"/>
      <c r="J7760" s="26" t="s">
        <v>514</v>
      </c>
      <c r="K7760" s="25" t="s">
        <v>513</v>
      </c>
    </row>
    <row r="7761" spans="1:11" ht="25.5" x14ac:dyDescent="0.25">
      <c r="A7761" s="22">
        <v>2026</v>
      </c>
      <c r="B7761" s="28" t="s">
        <v>249</v>
      </c>
      <c r="C7761" s="28" t="s">
        <v>97</v>
      </c>
      <c r="D7761" s="28" t="s">
        <v>1265</v>
      </c>
      <c r="E7761" s="29" t="s">
        <v>1266</v>
      </c>
      <c r="F7761" s="29" t="s">
        <v>325</v>
      </c>
      <c r="G7761" s="25" t="s">
        <v>9382</v>
      </c>
      <c r="H7761" s="26">
        <v>-0.877224</v>
      </c>
      <c r="I7761" s="26"/>
      <c r="J7761" s="26" t="s">
        <v>514</v>
      </c>
      <c r="K7761" s="25" t="s">
        <v>513</v>
      </c>
    </row>
    <row r="7762" spans="1:11" ht="25.5" x14ac:dyDescent="0.25">
      <c r="A7762" s="22">
        <v>2026</v>
      </c>
      <c r="B7762" s="28" t="s">
        <v>249</v>
      </c>
      <c r="C7762" s="28" t="s">
        <v>97</v>
      </c>
      <c r="D7762" s="28" t="s">
        <v>1265</v>
      </c>
      <c r="E7762" s="29" t="s">
        <v>1266</v>
      </c>
      <c r="F7762" s="29" t="s">
        <v>325</v>
      </c>
      <c r="G7762" s="25" t="s">
        <v>9383</v>
      </c>
      <c r="H7762" s="26">
        <v>-1.462175</v>
      </c>
      <c r="I7762" s="26"/>
      <c r="J7762" s="26" t="s">
        <v>514</v>
      </c>
      <c r="K7762" s="25" t="s">
        <v>513</v>
      </c>
    </row>
    <row r="7763" spans="1:11" ht="25.5" x14ac:dyDescent="0.25">
      <c r="A7763" s="22">
        <v>2026</v>
      </c>
      <c r="B7763" s="28" t="s">
        <v>249</v>
      </c>
      <c r="C7763" s="28" t="s">
        <v>97</v>
      </c>
      <c r="D7763" s="28" t="s">
        <v>1265</v>
      </c>
      <c r="E7763" s="29" t="s">
        <v>1266</v>
      </c>
      <c r="F7763" s="29" t="s">
        <v>325</v>
      </c>
      <c r="G7763" s="25" t="s">
        <v>9384</v>
      </c>
      <c r="H7763" s="26">
        <v>-1.17188</v>
      </c>
      <c r="I7763" s="26"/>
      <c r="J7763" s="26" t="s">
        <v>514</v>
      </c>
      <c r="K7763" s="25" t="s">
        <v>513</v>
      </c>
    </row>
    <row r="7764" spans="1:11" ht="25.5" x14ac:dyDescent="0.25">
      <c r="A7764" s="22">
        <v>2026</v>
      </c>
      <c r="B7764" s="28" t="s">
        <v>249</v>
      </c>
      <c r="C7764" s="28" t="s">
        <v>97</v>
      </c>
      <c r="D7764" s="28" t="s">
        <v>1265</v>
      </c>
      <c r="E7764" s="29" t="s">
        <v>1266</v>
      </c>
      <c r="F7764" s="29" t="s">
        <v>325</v>
      </c>
      <c r="G7764" s="25" t="s">
        <v>9385</v>
      </c>
      <c r="H7764" s="26">
        <v>-0.73229250000000001</v>
      </c>
      <c r="I7764" s="26"/>
      <c r="J7764" s="26" t="s">
        <v>514</v>
      </c>
      <c r="K7764" s="25" t="s">
        <v>513</v>
      </c>
    </row>
    <row r="7765" spans="1:11" ht="25.5" x14ac:dyDescent="0.25">
      <c r="A7765" s="22">
        <v>2026</v>
      </c>
      <c r="B7765" s="28" t="s">
        <v>249</v>
      </c>
      <c r="C7765" s="28" t="s">
        <v>97</v>
      </c>
      <c r="D7765" s="28" t="s">
        <v>1265</v>
      </c>
      <c r="E7765" s="29" t="s">
        <v>1266</v>
      </c>
      <c r="F7765" s="29" t="s">
        <v>325</v>
      </c>
      <c r="G7765" s="25" t="s">
        <v>9386</v>
      </c>
      <c r="H7765" s="26">
        <v>-1.0351075000000001</v>
      </c>
      <c r="I7765" s="26"/>
      <c r="J7765" s="26" t="s">
        <v>514</v>
      </c>
      <c r="K7765" s="25" t="s">
        <v>513</v>
      </c>
    </row>
    <row r="7766" spans="1:11" ht="25.5" x14ac:dyDescent="0.25">
      <c r="A7766" s="22">
        <v>2026</v>
      </c>
      <c r="B7766" s="28" t="s">
        <v>249</v>
      </c>
      <c r="C7766" s="28" t="s">
        <v>97</v>
      </c>
      <c r="D7766" s="28" t="s">
        <v>270</v>
      </c>
      <c r="E7766" s="29" t="s">
        <v>485</v>
      </c>
      <c r="F7766" s="29" t="s">
        <v>494</v>
      </c>
      <c r="G7766" s="25" t="s">
        <v>9387</v>
      </c>
      <c r="H7766" s="26">
        <v>-0.33911999999999998</v>
      </c>
      <c r="I7766" s="26"/>
      <c r="J7766" s="26" t="s">
        <v>512</v>
      </c>
      <c r="K7766" s="25" t="s">
        <v>513</v>
      </c>
    </row>
    <row r="7767" spans="1:11" ht="25.5" x14ac:dyDescent="0.25">
      <c r="A7767" s="22">
        <v>2026</v>
      </c>
      <c r="B7767" s="28" t="s">
        <v>249</v>
      </c>
      <c r="C7767" s="28" t="s">
        <v>97</v>
      </c>
      <c r="D7767" s="28" t="s">
        <v>270</v>
      </c>
      <c r="E7767" s="29" t="s">
        <v>485</v>
      </c>
      <c r="F7767" s="29" t="s">
        <v>494</v>
      </c>
      <c r="G7767" s="25" t="s">
        <v>9388</v>
      </c>
      <c r="H7767" s="26">
        <v>-0.59303710620000005</v>
      </c>
      <c r="I7767" s="26"/>
      <c r="J7767" s="26" t="s">
        <v>512</v>
      </c>
      <c r="K7767" s="25" t="s">
        <v>513</v>
      </c>
    </row>
    <row r="7768" spans="1:11" ht="25.5" x14ac:dyDescent="0.25">
      <c r="A7768" s="22">
        <v>2026</v>
      </c>
      <c r="B7768" s="28" t="s">
        <v>249</v>
      </c>
      <c r="C7768" s="28" t="s">
        <v>97</v>
      </c>
      <c r="D7768" s="28" t="s">
        <v>270</v>
      </c>
      <c r="E7768" s="29" t="s">
        <v>485</v>
      </c>
      <c r="F7768" s="29" t="s">
        <v>494</v>
      </c>
      <c r="G7768" s="25" t="s">
        <v>9389</v>
      </c>
      <c r="H7768" s="26">
        <v>-2.9066400000000003E-2</v>
      </c>
      <c r="I7768" s="26"/>
      <c r="J7768" s="26" t="s">
        <v>512</v>
      </c>
      <c r="K7768" s="25" t="s">
        <v>513</v>
      </c>
    </row>
    <row r="7769" spans="1:11" ht="25.5" x14ac:dyDescent="0.25">
      <c r="A7769" s="22">
        <v>2026</v>
      </c>
      <c r="B7769" s="28" t="s">
        <v>249</v>
      </c>
      <c r="C7769" s="28" t="s">
        <v>97</v>
      </c>
      <c r="D7769" s="28" t="s">
        <v>270</v>
      </c>
      <c r="E7769" s="29" t="s">
        <v>485</v>
      </c>
      <c r="F7769" s="29" t="s">
        <v>494</v>
      </c>
      <c r="G7769" s="25" t="s">
        <v>9390</v>
      </c>
      <c r="H7769" s="26">
        <v>-0.99898310970000004</v>
      </c>
      <c r="I7769" s="26"/>
      <c r="J7769" s="26" t="s">
        <v>512</v>
      </c>
      <c r="K7769" s="25" t="s">
        <v>513</v>
      </c>
    </row>
    <row r="7770" spans="1:11" ht="25.5" x14ac:dyDescent="0.25">
      <c r="A7770" s="22">
        <v>2026</v>
      </c>
      <c r="B7770" s="28" t="s">
        <v>249</v>
      </c>
      <c r="C7770" s="28" t="s">
        <v>97</v>
      </c>
      <c r="D7770" s="28" t="s">
        <v>1750</v>
      </c>
      <c r="E7770" s="29" t="s">
        <v>485</v>
      </c>
      <c r="F7770" s="29" t="s">
        <v>494</v>
      </c>
      <c r="G7770" s="25" t="s">
        <v>9391</v>
      </c>
      <c r="H7770" s="26">
        <v>-0.40660000000000002</v>
      </c>
      <c r="I7770" s="26"/>
      <c r="J7770" s="26" t="s">
        <v>512</v>
      </c>
      <c r="K7770" s="25" t="s">
        <v>513</v>
      </c>
    </row>
    <row r="7771" spans="1:11" ht="25.5" x14ac:dyDescent="0.25">
      <c r="A7771" s="22">
        <v>2026</v>
      </c>
      <c r="B7771" s="28" t="s">
        <v>249</v>
      </c>
      <c r="C7771" s="28" t="s">
        <v>97</v>
      </c>
      <c r="D7771" s="28" t="s">
        <v>1750</v>
      </c>
      <c r="E7771" s="29" t="s">
        <v>485</v>
      </c>
      <c r="F7771" s="29" t="s">
        <v>494</v>
      </c>
      <c r="G7771" s="25" t="s">
        <v>9392</v>
      </c>
      <c r="H7771" s="26">
        <v>-0.12</v>
      </c>
      <c r="I7771" s="26"/>
      <c r="J7771" s="26" t="s">
        <v>512</v>
      </c>
      <c r="K7771" s="25" t="s">
        <v>513</v>
      </c>
    </row>
    <row r="7772" spans="1:11" ht="25.5" x14ac:dyDescent="0.25">
      <c r="A7772" s="22">
        <v>2026</v>
      </c>
      <c r="B7772" s="28" t="s">
        <v>249</v>
      </c>
      <c r="C7772" s="28" t="s">
        <v>97</v>
      </c>
      <c r="D7772" s="28" t="s">
        <v>1750</v>
      </c>
      <c r="E7772" s="29" t="s">
        <v>485</v>
      </c>
      <c r="F7772" s="29" t="s">
        <v>494</v>
      </c>
      <c r="G7772" s="25" t="s">
        <v>9393</v>
      </c>
      <c r="H7772" s="26">
        <v>-0.39889999999999998</v>
      </c>
      <c r="I7772" s="26"/>
      <c r="J7772" s="26" t="s">
        <v>512</v>
      </c>
      <c r="K7772" s="25" t="s">
        <v>513</v>
      </c>
    </row>
    <row r="7773" spans="1:11" ht="25.5" x14ac:dyDescent="0.25">
      <c r="A7773" s="22">
        <v>2026</v>
      </c>
      <c r="B7773" s="28" t="s">
        <v>249</v>
      </c>
      <c r="C7773" s="28" t="s">
        <v>97</v>
      </c>
      <c r="D7773" s="28" t="s">
        <v>265</v>
      </c>
      <c r="E7773" s="29" t="s">
        <v>485</v>
      </c>
      <c r="F7773" s="29" t="s">
        <v>325</v>
      </c>
      <c r="G7773" s="25" t="s">
        <v>9394</v>
      </c>
      <c r="H7773" s="26">
        <v>-2.8583999999999998E-2</v>
      </c>
      <c r="I7773" s="26"/>
      <c r="J7773" s="26" t="s">
        <v>512</v>
      </c>
      <c r="K7773" s="25" t="s">
        <v>513</v>
      </c>
    </row>
    <row r="7774" spans="1:11" ht="25.5" x14ac:dyDescent="0.25">
      <c r="A7774" s="22">
        <v>2026</v>
      </c>
      <c r="B7774" s="28" t="s">
        <v>249</v>
      </c>
      <c r="C7774" s="28" t="s">
        <v>97</v>
      </c>
      <c r="D7774" s="28" t="s">
        <v>265</v>
      </c>
      <c r="E7774" s="29" t="s">
        <v>485</v>
      </c>
      <c r="F7774" s="29" t="s">
        <v>325</v>
      </c>
      <c r="G7774" s="25" t="s">
        <v>9395</v>
      </c>
      <c r="H7774" s="26">
        <v>-1.2218139999999999E-2</v>
      </c>
      <c r="I7774" s="26"/>
      <c r="J7774" s="26" t="s">
        <v>512</v>
      </c>
      <c r="K7774" s="25" t="s">
        <v>513</v>
      </c>
    </row>
    <row r="7775" spans="1:11" ht="25.5" x14ac:dyDescent="0.25">
      <c r="A7775" s="22">
        <v>2026</v>
      </c>
      <c r="B7775" s="28" t="s">
        <v>249</v>
      </c>
      <c r="C7775" s="28" t="s">
        <v>97</v>
      </c>
      <c r="D7775" s="28" t="s">
        <v>265</v>
      </c>
      <c r="E7775" s="29" t="s">
        <v>485</v>
      </c>
      <c r="F7775" s="29" t="s">
        <v>325</v>
      </c>
      <c r="G7775" s="25" t="s">
        <v>9396</v>
      </c>
      <c r="H7775" s="26">
        <v>-6.9750000000000003E-3</v>
      </c>
      <c r="I7775" s="26"/>
      <c r="J7775" s="26" t="s">
        <v>512</v>
      </c>
      <c r="K7775" s="25" t="s">
        <v>513</v>
      </c>
    </row>
    <row r="7776" spans="1:11" ht="25.5" x14ac:dyDescent="0.25">
      <c r="A7776" s="22">
        <v>2026</v>
      </c>
      <c r="B7776" s="28" t="s">
        <v>249</v>
      </c>
      <c r="C7776" s="28" t="s">
        <v>97</v>
      </c>
      <c r="D7776" s="28" t="s">
        <v>265</v>
      </c>
      <c r="E7776" s="29" t="s">
        <v>485</v>
      </c>
      <c r="F7776" s="29" t="s">
        <v>325</v>
      </c>
      <c r="G7776" s="25" t="s">
        <v>9397</v>
      </c>
      <c r="H7776" s="26">
        <v>-1.716612E-2</v>
      </c>
      <c r="I7776" s="26"/>
      <c r="J7776" s="26" t="s">
        <v>512</v>
      </c>
      <c r="K7776" s="25" t="s">
        <v>513</v>
      </c>
    </row>
    <row r="7777" spans="1:11" ht="25.5" x14ac:dyDescent="0.25">
      <c r="A7777" s="22">
        <v>2026</v>
      </c>
      <c r="B7777" s="28" t="s">
        <v>249</v>
      </c>
      <c r="C7777" s="28" t="s">
        <v>97</v>
      </c>
      <c r="D7777" s="28" t="s">
        <v>1751</v>
      </c>
      <c r="E7777" s="29" t="s">
        <v>485</v>
      </c>
      <c r="F7777" s="29" t="s">
        <v>353</v>
      </c>
      <c r="G7777" s="25" t="s">
        <v>9398</v>
      </c>
      <c r="H7777" s="26">
        <v>-0.1074999</v>
      </c>
      <c r="I7777" s="26"/>
      <c r="J7777" s="26" t="s">
        <v>512</v>
      </c>
      <c r="K7777" s="25" t="s">
        <v>513</v>
      </c>
    </row>
    <row r="7778" spans="1:11" ht="25.5" x14ac:dyDescent="0.25">
      <c r="A7778" s="22">
        <v>2026</v>
      </c>
      <c r="B7778" s="28" t="s">
        <v>249</v>
      </c>
      <c r="C7778" s="28" t="s">
        <v>97</v>
      </c>
      <c r="D7778" s="28" t="s">
        <v>1751</v>
      </c>
      <c r="E7778" s="29" t="s">
        <v>485</v>
      </c>
      <c r="F7778" s="29" t="s">
        <v>353</v>
      </c>
      <c r="G7778" s="25" t="s">
        <v>8378</v>
      </c>
      <c r="H7778" s="26">
        <v>-3.5900000000000001E-2</v>
      </c>
      <c r="I7778" s="26"/>
      <c r="J7778" s="26" t="s">
        <v>512</v>
      </c>
      <c r="K7778" s="25" t="s">
        <v>513</v>
      </c>
    </row>
    <row r="7779" spans="1:11" ht="25.5" x14ac:dyDescent="0.25">
      <c r="A7779" s="22">
        <v>2026</v>
      </c>
      <c r="B7779" s="28" t="s">
        <v>249</v>
      </c>
      <c r="C7779" s="28" t="s">
        <v>97</v>
      </c>
      <c r="D7779" s="28" t="s">
        <v>1751</v>
      </c>
      <c r="E7779" s="29" t="s">
        <v>485</v>
      </c>
      <c r="F7779" s="29" t="s">
        <v>353</v>
      </c>
      <c r="G7779" s="25" t="s">
        <v>9399</v>
      </c>
      <c r="H7779" s="26">
        <v>-3.61E-2</v>
      </c>
      <c r="I7779" s="26"/>
      <c r="J7779" s="26" t="s">
        <v>512</v>
      </c>
      <c r="K7779" s="25" t="s">
        <v>513</v>
      </c>
    </row>
    <row r="7780" spans="1:11" ht="25.5" x14ac:dyDescent="0.25">
      <c r="A7780" s="22">
        <v>2026</v>
      </c>
      <c r="B7780" s="28" t="s">
        <v>249</v>
      </c>
      <c r="C7780" s="28" t="s">
        <v>97</v>
      </c>
      <c r="D7780" s="28" t="s">
        <v>1751</v>
      </c>
      <c r="E7780" s="29" t="s">
        <v>485</v>
      </c>
      <c r="F7780" s="29" t="s">
        <v>353</v>
      </c>
      <c r="G7780" s="25" t="s">
        <v>8375</v>
      </c>
      <c r="H7780" s="26">
        <v>-7.2599999999999998E-2</v>
      </c>
      <c r="I7780" s="26"/>
      <c r="J7780" s="26" t="s">
        <v>512</v>
      </c>
      <c r="K7780" s="25" t="s">
        <v>513</v>
      </c>
    </row>
    <row r="7781" spans="1:11" ht="25.5" x14ac:dyDescent="0.25">
      <c r="A7781" s="22">
        <v>2026</v>
      </c>
      <c r="B7781" s="28" t="s">
        <v>249</v>
      </c>
      <c r="C7781" s="28" t="s">
        <v>97</v>
      </c>
      <c r="D7781" s="28" t="s">
        <v>1751</v>
      </c>
      <c r="E7781" s="29" t="s">
        <v>485</v>
      </c>
      <c r="F7781" s="29" t="s">
        <v>353</v>
      </c>
      <c r="G7781" s="25" t="s">
        <v>9400</v>
      </c>
      <c r="H7781" s="26">
        <v>-5.4300000000000001E-2</v>
      </c>
      <c r="I7781" s="26"/>
      <c r="J7781" s="26" t="s">
        <v>512</v>
      </c>
      <c r="K7781" s="25" t="s">
        <v>513</v>
      </c>
    </row>
    <row r="7782" spans="1:11" ht="25.5" x14ac:dyDescent="0.25">
      <c r="A7782" s="22">
        <v>2026</v>
      </c>
      <c r="B7782" s="28" t="s">
        <v>249</v>
      </c>
      <c r="C7782" s="28" t="s">
        <v>97</v>
      </c>
      <c r="D7782" s="28" t="s">
        <v>1751</v>
      </c>
      <c r="E7782" s="29" t="s">
        <v>485</v>
      </c>
      <c r="F7782" s="29" t="s">
        <v>353</v>
      </c>
      <c r="G7782" s="25" t="s">
        <v>9401</v>
      </c>
      <c r="H7782" s="26">
        <v>-0.10712099999999999</v>
      </c>
      <c r="I7782" s="26"/>
      <c r="J7782" s="26" t="s">
        <v>512</v>
      </c>
      <c r="K7782" s="25" t="s">
        <v>513</v>
      </c>
    </row>
    <row r="7783" spans="1:11" ht="25.5" x14ac:dyDescent="0.25">
      <c r="A7783" s="22">
        <v>2026</v>
      </c>
      <c r="B7783" s="28" t="s">
        <v>249</v>
      </c>
      <c r="C7783" s="28" t="s">
        <v>97</v>
      </c>
      <c r="D7783" s="28" t="s">
        <v>1751</v>
      </c>
      <c r="E7783" s="29" t="s">
        <v>485</v>
      </c>
      <c r="F7783" s="29" t="s">
        <v>353</v>
      </c>
      <c r="G7783" s="25" t="s">
        <v>9402</v>
      </c>
      <c r="H7783" s="26">
        <v>-3.5499999999999997E-2</v>
      </c>
      <c r="I7783" s="26"/>
      <c r="J7783" s="26" t="s">
        <v>512</v>
      </c>
      <c r="K7783" s="25" t="s">
        <v>513</v>
      </c>
    </row>
    <row r="7784" spans="1:11" ht="25.5" x14ac:dyDescent="0.25">
      <c r="A7784" s="22">
        <v>2026</v>
      </c>
      <c r="B7784" s="28" t="s">
        <v>249</v>
      </c>
      <c r="C7784" s="28" t="s">
        <v>97</v>
      </c>
      <c r="D7784" s="28" t="s">
        <v>1751</v>
      </c>
      <c r="E7784" s="29" t="s">
        <v>485</v>
      </c>
      <c r="F7784" s="29" t="s">
        <v>353</v>
      </c>
      <c r="G7784" s="25" t="s">
        <v>9403</v>
      </c>
      <c r="H7784" s="26">
        <v>-3.56E-2</v>
      </c>
      <c r="I7784" s="26"/>
      <c r="J7784" s="26" t="s">
        <v>512</v>
      </c>
      <c r="K7784" s="25" t="s">
        <v>513</v>
      </c>
    </row>
    <row r="7785" spans="1:11" ht="25.5" x14ac:dyDescent="0.25">
      <c r="A7785" s="22">
        <v>2026</v>
      </c>
      <c r="B7785" s="28" t="s">
        <v>249</v>
      </c>
      <c r="C7785" s="28" t="s">
        <v>97</v>
      </c>
      <c r="D7785" s="28" t="s">
        <v>1751</v>
      </c>
      <c r="E7785" s="29" t="s">
        <v>485</v>
      </c>
      <c r="F7785" s="29" t="s">
        <v>353</v>
      </c>
      <c r="G7785" s="25" t="s">
        <v>3619</v>
      </c>
      <c r="H7785" s="26">
        <v>-3.5799999999999998E-2</v>
      </c>
      <c r="I7785" s="26"/>
      <c r="J7785" s="26" t="s">
        <v>512</v>
      </c>
      <c r="K7785" s="25" t="s">
        <v>513</v>
      </c>
    </row>
    <row r="7786" spans="1:11" ht="25.5" x14ac:dyDescent="0.25">
      <c r="A7786" s="22">
        <v>2026</v>
      </c>
      <c r="B7786" s="28" t="s">
        <v>249</v>
      </c>
      <c r="C7786" s="28" t="s">
        <v>97</v>
      </c>
      <c r="D7786" s="28" t="s">
        <v>1751</v>
      </c>
      <c r="E7786" s="29" t="s">
        <v>485</v>
      </c>
      <c r="F7786" s="29" t="s">
        <v>353</v>
      </c>
      <c r="G7786" s="25" t="s">
        <v>8378</v>
      </c>
      <c r="H7786" s="26">
        <v>-3.5900000000000001E-2</v>
      </c>
      <c r="I7786" s="26"/>
      <c r="J7786" s="26" t="s">
        <v>512</v>
      </c>
      <c r="K7786" s="25" t="s">
        <v>513</v>
      </c>
    </row>
    <row r="7787" spans="1:11" ht="25.5" x14ac:dyDescent="0.25">
      <c r="A7787" s="22">
        <v>2026</v>
      </c>
      <c r="B7787" s="28" t="s">
        <v>249</v>
      </c>
      <c r="C7787" s="28" t="s">
        <v>97</v>
      </c>
      <c r="D7787" s="28" t="s">
        <v>1751</v>
      </c>
      <c r="E7787" s="29" t="s">
        <v>485</v>
      </c>
      <c r="F7787" s="29" t="s">
        <v>353</v>
      </c>
      <c r="G7787" s="25" t="s">
        <v>6073</v>
      </c>
      <c r="H7787" s="26">
        <v>-0.1077</v>
      </c>
      <c r="I7787" s="26"/>
      <c r="J7787" s="26" t="s">
        <v>512</v>
      </c>
      <c r="K7787" s="25" t="s">
        <v>513</v>
      </c>
    </row>
    <row r="7788" spans="1:11" ht="25.5" x14ac:dyDescent="0.25">
      <c r="A7788" s="22">
        <v>2026</v>
      </c>
      <c r="B7788" s="28" t="s">
        <v>249</v>
      </c>
      <c r="C7788" s="28" t="s">
        <v>97</v>
      </c>
      <c r="D7788" s="28" t="s">
        <v>1751</v>
      </c>
      <c r="E7788" s="29" t="s">
        <v>485</v>
      </c>
      <c r="F7788" s="29" t="s">
        <v>353</v>
      </c>
      <c r="G7788" s="25" t="s">
        <v>8370</v>
      </c>
      <c r="H7788" s="26">
        <v>-7.1400000000000005E-2</v>
      </c>
      <c r="I7788" s="26"/>
      <c r="J7788" s="26" t="s">
        <v>512</v>
      </c>
      <c r="K7788" s="25" t="s">
        <v>513</v>
      </c>
    </row>
    <row r="7789" spans="1:11" ht="25.5" x14ac:dyDescent="0.25">
      <c r="A7789" s="22">
        <v>2026</v>
      </c>
      <c r="B7789" s="28" t="s">
        <v>249</v>
      </c>
      <c r="C7789" s="28" t="s">
        <v>97</v>
      </c>
      <c r="D7789" s="28" t="s">
        <v>1751</v>
      </c>
      <c r="E7789" s="29" t="s">
        <v>485</v>
      </c>
      <c r="F7789" s="29" t="s">
        <v>353</v>
      </c>
      <c r="G7789" s="25" t="s">
        <v>3620</v>
      </c>
      <c r="H7789" s="26">
        <v>-7.1800000000000003E-2</v>
      </c>
      <c r="I7789" s="26"/>
      <c r="J7789" s="26" t="s">
        <v>512</v>
      </c>
      <c r="K7789" s="25" t="s">
        <v>513</v>
      </c>
    </row>
    <row r="7790" spans="1:11" ht="25.5" x14ac:dyDescent="0.25">
      <c r="A7790" s="22">
        <v>2026</v>
      </c>
      <c r="B7790" s="28" t="s">
        <v>249</v>
      </c>
      <c r="C7790" s="28" t="s">
        <v>97</v>
      </c>
      <c r="D7790" s="28" t="s">
        <v>1751</v>
      </c>
      <c r="E7790" s="29" t="s">
        <v>485</v>
      </c>
      <c r="F7790" s="29" t="s">
        <v>353</v>
      </c>
      <c r="G7790" s="25" t="s">
        <v>6224</v>
      </c>
      <c r="H7790" s="26">
        <v>-9.1249999999999998E-2</v>
      </c>
      <c r="I7790" s="26"/>
      <c r="J7790" s="26" t="s">
        <v>512</v>
      </c>
      <c r="K7790" s="25" t="s">
        <v>513</v>
      </c>
    </row>
    <row r="7791" spans="1:11" ht="25.5" x14ac:dyDescent="0.25">
      <c r="A7791" s="22">
        <v>2026</v>
      </c>
      <c r="B7791" s="28" t="s">
        <v>249</v>
      </c>
      <c r="C7791" s="28" t="s">
        <v>97</v>
      </c>
      <c r="D7791" s="28" t="s">
        <v>1751</v>
      </c>
      <c r="E7791" s="29" t="s">
        <v>485</v>
      </c>
      <c r="F7791" s="29" t="s">
        <v>353</v>
      </c>
      <c r="G7791" s="25" t="s">
        <v>9404</v>
      </c>
      <c r="H7791" s="26">
        <v>-3.5700000000000003E-2</v>
      </c>
      <c r="I7791" s="26"/>
      <c r="J7791" s="26" t="s">
        <v>512</v>
      </c>
      <c r="K7791" s="25" t="s">
        <v>513</v>
      </c>
    </row>
    <row r="7792" spans="1:11" ht="25.5" x14ac:dyDescent="0.25">
      <c r="A7792" s="22">
        <v>2026</v>
      </c>
      <c r="B7792" s="28" t="s">
        <v>249</v>
      </c>
      <c r="C7792" s="28" t="s">
        <v>97</v>
      </c>
      <c r="D7792" s="28" t="s">
        <v>1751</v>
      </c>
      <c r="E7792" s="29" t="s">
        <v>485</v>
      </c>
      <c r="F7792" s="29" t="s">
        <v>353</v>
      </c>
      <c r="G7792" s="25" t="s">
        <v>9405</v>
      </c>
      <c r="H7792" s="26">
        <v>-7.3400000000000007E-2</v>
      </c>
      <c r="I7792" s="26"/>
      <c r="J7792" s="26" t="s">
        <v>512</v>
      </c>
      <c r="K7792" s="25" t="s">
        <v>513</v>
      </c>
    </row>
    <row r="7793" spans="1:11" ht="25.5" x14ac:dyDescent="0.25">
      <c r="A7793" s="22">
        <v>2026</v>
      </c>
      <c r="B7793" s="28" t="s">
        <v>249</v>
      </c>
      <c r="C7793" s="28" t="s">
        <v>97</v>
      </c>
      <c r="D7793" s="28" t="s">
        <v>1751</v>
      </c>
      <c r="E7793" s="29" t="s">
        <v>485</v>
      </c>
      <c r="F7793" s="29" t="s">
        <v>353</v>
      </c>
      <c r="G7793" s="25" t="s">
        <v>9406</v>
      </c>
      <c r="H7793" s="26">
        <v>-7.3800000000000004E-2</v>
      </c>
      <c r="I7793" s="26"/>
      <c r="J7793" s="26" t="s">
        <v>512</v>
      </c>
      <c r="K7793" s="25" t="s">
        <v>513</v>
      </c>
    </row>
    <row r="7794" spans="1:11" ht="25.5" x14ac:dyDescent="0.25">
      <c r="A7794" s="22">
        <v>2026</v>
      </c>
      <c r="B7794" s="28" t="s">
        <v>249</v>
      </c>
      <c r="C7794" s="28" t="s">
        <v>97</v>
      </c>
      <c r="D7794" s="28" t="s">
        <v>1751</v>
      </c>
      <c r="E7794" s="29" t="s">
        <v>485</v>
      </c>
      <c r="F7794" s="29" t="s">
        <v>353</v>
      </c>
      <c r="G7794" s="25" t="s">
        <v>9407</v>
      </c>
      <c r="H7794" s="26">
        <v>-9.2520000000000005E-2</v>
      </c>
      <c r="I7794" s="26"/>
      <c r="J7794" s="26" t="s">
        <v>512</v>
      </c>
      <c r="K7794" s="25" t="s">
        <v>513</v>
      </c>
    </row>
    <row r="7795" spans="1:11" ht="25.5" x14ac:dyDescent="0.25">
      <c r="A7795" s="22">
        <v>2026</v>
      </c>
      <c r="B7795" s="28" t="s">
        <v>249</v>
      </c>
      <c r="C7795" s="28" t="s">
        <v>97</v>
      </c>
      <c r="D7795" s="28" t="s">
        <v>1751</v>
      </c>
      <c r="E7795" s="29" t="s">
        <v>485</v>
      </c>
      <c r="F7795" s="29" t="s">
        <v>353</v>
      </c>
      <c r="G7795" s="25" t="s">
        <v>9408</v>
      </c>
      <c r="H7795" s="26">
        <v>-7.4589600000000006E-2</v>
      </c>
      <c r="I7795" s="26"/>
      <c r="J7795" s="26" t="s">
        <v>512</v>
      </c>
      <c r="K7795" s="25" t="s">
        <v>513</v>
      </c>
    </row>
    <row r="7796" spans="1:11" ht="25.5" x14ac:dyDescent="0.25">
      <c r="A7796" s="22">
        <v>2026</v>
      </c>
      <c r="B7796" s="28" t="s">
        <v>249</v>
      </c>
      <c r="C7796" s="28" t="s">
        <v>97</v>
      </c>
      <c r="D7796" s="28" t="s">
        <v>539</v>
      </c>
      <c r="E7796" s="29" t="s">
        <v>485</v>
      </c>
      <c r="F7796" s="29" t="s">
        <v>566</v>
      </c>
      <c r="G7796" s="25" t="s">
        <v>9409</v>
      </c>
      <c r="H7796" s="26">
        <v>-6.1628822E-2</v>
      </c>
      <c r="I7796" s="26"/>
      <c r="J7796" s="26" t="s">
        <v>512</v>
      </c>
      <c r="K7796" s="25" t="s">
        <v>513</v>
      </c>
    </row>
    <row r="7797" spans="1:11" ht="25.5" x14ac:dyDescent="0.25">
      <c r="A7797" s="22">
        <v>2026</v>
      </c>
      <c r="B7797" s="28" t="s">
        <v>249</v>
      </c>
      <c r="C7797" s="28" t="s">
        <v>97</v>
      </c>
      <c r="D7797" s="28" t="s">
        <v>1752</v>
      </c>
      <c r="E7797" s="29" t="s">
        <v>485</v>
      </c>
      <c r="F7797" s="29" t="s">
        <v>937</v>
      </c>
      <c r="G7797" s="25" t="s">
        <v>9410</v>
      </c>
      <c r="H7797" s="26">
        <v>-0.47500217956000002</v>
      </c>
      <c r="I7797" s="26"/>
      <c r="J7797" s="26" t="s">
        <v>512</v>
      </c>
      <c r="K7797" s="25" t="s">
        <v>513</v>
      </c>
    </row>
    <row r="7798" spans="1:11" ht="25.5" x14ac:dyDescent="0.25">
      <c r="A7798" s="22">
        <v>2026</v>
      </c>
      <c r="B7798" s="28" t="s">
        <v>249</v>
      </c>
      <c r="C7798" s="28" t="s">
        <v>97</v>
      </c>
      <c r="D7798" s="28" t="s">
        <v>1752</v>
      </c>
      <c r="E7798" s="29" t="s">
        <v>485</v>
      </c>
      <c r="F7798" s="29" t="s">
        <v>937</v>
      </c>
      <c r="G7798" s="25" t="s">
        <v>9411</v>
      </c>
      <c r="H7798" s="26">
        <v>-0.32416125000000001</v>
      </c>
      <c r="I7798" s="26"/>
      <c r="J7798" s="26" t="s">
        <v>512</v>
      </c>
      <c r="K7798" s="25" t="s">
        <v>513</v>
      </c>
    </row>
    <row r="7799" spans="1:11" ht="25.5" x14ac:dyDescent="0.25">
      <c r="A7799" s="22">
        <v>2026</v>
      </c>
      <c r="B7799" s="28" t="s">
        <v>249</v>
      </c>
      <c r="C7799" s="28" t="s">
        <v>97</v>
      </c>
      <c r="D7799" s="28" t="s">
        <v>1752</v>
      </c>
      <c r="E7799" s="29" t="s">
        <v>485</v>
      </c>
      <c r="F7799" s="29" t="s">
        <v>937</v>
      </c>
      <c r="G7799" s="25" t="s">
        <v>9412</v>
      </c>
      <c r="H7799" s="26">
        <v>-0.32975687660000003</v>
      </c>
      <c r="I7799" s="26"/>
      <c r="J7799" s="26" t="s">
        <v>512</v>
      </c>
      <c r="K7799" s="25" t="s">
        <v>513</v>
      </c>
    </row>
    <row r="7800" spans="1:11" ht="25.5" x14ac:dyDescent="0.25">
      <c r="A7800" s="22">
        <v>2026</v>
      </c>
      <c r="B7800" s="28" t="s">
        <v>249</v>
      </c>
      <c r="C7800" s="28" t="s">
        <v>97</v>
      </c>
      <c r="D7800" s="28" t="s">
        <v>1752</v>
      </c>
      <c r="E7800" s="29" t="s">
        <v>485</v>
      </c>
      <c r="F7800" s="29" t="s">
        <v>937</v>
      </c>
      <c r="G7800" s="25" t="s">
        <v>9413</v>
      </c>
      <c r="H7800" s="26">
        <v>-0.1536702771</v>
      </c>
      <c r="I7800" s="26"/>
      <c r="J7800" s="26" t="s">
        <v>512</v>
      </c>
      <c r="K7800" s="25" t="s">
        <v>513</v>
      </c>
    </row>
    <row r="7801" spans="1:11" ht="25.5" x14ac:dyDescent="0.25">
      <c r="A7801" s="22">
        <v>2026</v>
      </c>
      <c r="B7801" s="28" t="s">
        <v>249</v>
      </c>
      <c r="C7801" s="28" t="s">
        <v>97</v>
      </c>
      <c r="D7801" s="28" t="s">
        <v>1752</v>
      </c>
      <c r="E7801" s="29" t="s">
        <v>485</v>
      </c>
      <c r="F7801" s="29" t="s">
        <v>937</v>
      </c>
      <c r="G7801" s="25" t="s">
        <v>9414</v>
      </c>
      <c r="H7801" s="26">
        <v>-0.86498399999999998</v>
      </c>
      <c r="I7801" s="26"/>
      <c r="J7801" s="26" t="s">
        <v>512</v>
      </c>
      <c r="K7801" s="25" t="s">
        <v>513</v>
      </c>
    </row>
    <row r="7802" spans="1:11" ht="25.5" x14ac:dyDescent="0.25">
      <c r="A7802" s="22">
        <v>2026</v>
      </c>
      <c r="B7802" s="28" t="s">
        <v>249</v>
      </c>
      <c r="C7802" s="28" t="s">
        <v>97</v>
      </c>
      <c r="D7802" s="28" t="s">
        <v>1752</v>
      </c>
      <c r="E7802" s="29" t="s">
        <v>485</v>
      </c>
      <c r="F7802" s="29" t="s">
        <v>937</v>
      </c>
      <c r="G7802" s="25" t="s">
        <v>9415</v>
      </c>
      <c r="H7802" s="26">
        <v>-8.2621657500000001E-2</v>
      </c>
      <c r="I7802" s="26"/>
      <c r="J7802" s="26" t="s">
        <v>512</v>
      </c>
      <c r="K7802" s="25" t="s">
        <v>513</v>
      </c>
    </row>
    <row r="7803" spans="1:11" ht="25.5" x14ac:dyDescent="0.25">
      <c r="A7803" s="22">
        <v>2026</v>
      </c>
      <c r="B7803" s="28" t="s">
        <v>249</v>
      </c>
      <c r="C7803" s="28" t="s">
        <v>97</v>
      </c>
      <c r="D7803" s="28" t="s">
        <v>260</v>
      </c>
      <c r="E7803" s="29" t="s">
        <v>485</v>
      </c>
      <c r="F7803" s="29" t="s">
        <v>386</v>
      </c>
      <c r="G7803" s="25" t="s">
        <v>9416</v>
      </c>
      <c r="H7803" s="26">
        <v>-0.14630000000000001</v>
      </c>
      <c r="I7803" s="26"/>
      <c r="J7803" s="26" t="s">
        <v>512</v>
      </c>
      <c r="K7803" s="25" t="s">
        <v>513</v>
      </c>
    </row>
    <row r="7804" spans="1:11" ht="25.5" x14ac:dyDescent="0.25">
      <c r="A7804" s="22">
        <v>2026</v>
      </c>
      <c r="B7804" s="28" t="s">
        <v>249</v>
      </c>
      <c r="C7804" s="28" t="s">
        <v>97</v>
      </c>
      <c r="D7804" s="28" t="s">
        <v>260</v>
      </c>
      <c r="E7804" s="29" t="s">
        <v>485</v>
      </c>
      <c r="F7804" s="29" t="s">
        <v>386</v>
      </c>
      <c r="G7804" s="25" t="s">
        <v>9417</v>
      </c>
      <c r="H7804" s="26">
        <v>-0.14835000000000001</v>
      </c>
      <c r="I7804" s="26"/>
      <c r="J7804" s="26" t="s">
        <v>512</v>
      </c>
      <c r="K7804" s="25" t="s">
        <v>513</v>
      </c>
    </row>
    <row r="7805" spans="1:11" ht="25.5" x14ac:dyDescent="0.25">
      <c r="A7805" s="22">
        <v>2026</v>
      </c>
      <c r="B7805" s="28" t="s">
        <v>249</v>
      </c>
      <c r="C7805" s="28" t="s">
        <v>97</v>
      </c>
      <c r="D7805" s="28" t="s">
        <v>260</v>
      </c>
      <c r="E7805" s="29" t="s">
        <v>485</v>
      </c>
      <c r="F7805" s="29" t="s">
        <v>386</v>
      </c>
      <c r="G7805" s="25" t="s">
        <v>9418</v>
      </c>
      <c r="H7805" s="26">
        <v>-0.11267249999999999</v>
      </c>
      <c r="I7805" s="26"/>
      <c r="J7805" s="26" t="s">
        <v>512</v>
      </c>
      <c r="K7805" s="25" t="s">
        <v>513</v>
      </c>
    </row>
    <row r="7806" spans="1:11" ht="25.5" x14ac:dyDescent="0.25">
      <c r="A7806" s="22">
        <v>2026</v>
      </c>
      <c r="B7806" s="28" t="s">
        <v>249</v>
      </c>
      <c r="C7806" s="28" t="s">
        <v>97</v>
      </c>
      <c r="D7806" s="28" t="s">
        <v>1753</v>
      </c>
      <c r="E7806" s="29" t="s">
        <v>331</v>
      </c>
      <c r="F7806" s="29" t="s">
        <v>335</v>
      </c>
      <c r="G7806" s="25" t="s">
        <v>9419</v>
      </c>
      <c r="H7806" s="26">
        <v>-0.81381000000000003</v>
      </c>
      <c r="I7806" s="26"/>
      <c r="J7806" s="26" t="s">
        <v>512</v>
      </c>
      <c r="K7806" s="25" t="s">
        <v>513</v>
      </c>
    </row>
    <row r="7807" spans="1:11" ht="25.5" x14ac:dyDescent="0.25">
      <c r="A7807" s="22">
        <v>2026</v>
      </c>
      <c r="B7807" s="28" t="s">
        <v>249</v>
      </c>
      <c r="C7807" s="28" t="s">
        <v>97</v>
      </c>
      <c r="D7807" s="28" t="s">
        <v>1753</v>
      </c>
      <c r="E7807" s="29" t="s">
        <v>331</v>
      </c>
      <c r="F7807" s="29" t="s">
        <v>335</v>
      </c>
      <c r="G7807" s="25" t="s">
        <v>9420</v>
      </c>
      <c r="H7807" s="26">
        <v>-0.68261249999999996</v>
      </c>
      <c r="I7807" s="26"/>
      <c r="J7807" s="26" t="s">
        <v>512</v>
      </c>
      <c r="K7807" s="25" t="s">
        <v>513</v>
      </c>
    </row>
    <row r="7808" spans="1:11" ht="25.5" x14ac:dyDescent="0.25">
      <c r="A7808" s="22">
        <v>2026</v>
      </c>
      <c r="B7808" s="28" t="s">
        <v>249</v>
      </c>
      <c r="C7808" s="28" t="s">
        <v>97</v>
      </c>
      <c r="D7808" s="28" t="s">
        <v>1753</v>
      </c>
      <c r="E7808" s="29" t="s">
        <v>331</v>
      </c>
      <c r="F7808" s="29" t="s">
        <v>335</v>
      </c>
      <c r="G7808" s="25" t="s">
        <v>9421</v>
      </c>
      <c r="H7808" s="26">
        <v>-1.08782</v>
      </c>
      <c r="I7808" s="26"/>
      <c r="J7808" s="26" t="s">
        <v>512</v>
      </c>
      <c r="K7808" s="25" t="s">
        <v>513</v>
      </c>
    </row>
    <row r="7809" spans="1:11" ht="25.5" x14ac:dyDescent="0.25">
      <c r="A7809" s="22">
        <v>2026</v>
      </c>
      <c r="B7809" s="28" t="s">
        <v>249</v>
      </c>
      <c r="C7809" s="28" t="s">
        <v>97</v>
      </c>
      <c r="D7809" s="28" t="s">
        <v>1753</v>
      </c>
      <c r="E7809" s="29" t="s">
        <v>331</v>
      </c>
      <c r="F7809" s="29" t="s">
        <v>335</v>
      </c>
      <c r="G7809" s="25" t="s">
        <v>9422</v>
      </c>
      <c r="H7809" s="26">
        <v>-0.81937499999999996</v>
      </c>
      <c r="I7809" s="26"/>
      <c r="J7809" s="26" t="s">
        <v>512</v>
      </c>
      <c r="K7809" s="25" t="s">
        <v>513</v>
      </c>
    </row>
    <row r="7810" spans="1:11" ht="25.5" x14ac:dyDescent="0.25">
      <c r="A7810" s="22">
        <v>2026</v>
      </c>
      <c r="B7810" s="28" t="s">
        <v>249</v>
      </c>
      <c r="C7810" s="28" t="s">
        <v>97</v>
      </c>
      <c r="D7810" s="28" t="s">
        <v>1753</v>
      </c>
      <c r="E7810" s="29" t="s">
        <v>331</v>
      </c>
      <c r="F7810" s="29" t="s">
        <v>335</v>
      </c>
      <c r="G7810" s="25" t="s">
        <v>9423</v>
      </c>
      <c r="H7810" s="26">
        <v>-0.40722750000000002</v>
      </c>
      <c r="I7810" s="26"/>
      <c r="J7810" s="26" t="s">
        <v>512</v>
      </c>
      <c r="K7810" s="25" t="s">
        <v>513</v>
      </c>
    </row>
    <row r="7811" spans="1:11" ht="25.5" x14ac:dyDescent="0.25">
      <c r="A7811" s="22">
        <v>2026</v>
      </c>
      <c r="B7811" s="28" t="s">
        <v>249</v>
      </c>
      <c r="C7811" s="28" t="s">
        <v>97</v>
      </c>
      <c r="D7811" s="28" t="s">
        <v>1753</v>
      </c>
      <c r="E7811" s="29" t="s">
        <v>331</v>
      </c>
      <c r="F7811" s="29" t="s">
        <v>335</v>
      </c>
      <c r="G7811" s="25" t="s">
        <v>9424</v>
      </c>
      <c r="H7811" s="26">
        <v>-0.67637499999999995</v>
      </c>
      <c r="I7811" s="26"/>
      <c r="J7811" s="26" t="s">
        <v>512</v>
      </c>
      <c r="K7811" s="25" t="s">
        <v>513</v>
      </c>
    </row>
    <row r="7812" spans="1:11" ht="25.5" x14ac:dyDescent="0.25">
      <c r="A7812" s="22">
        <v>2026</v>
      </c>
      <c r="B7812" s="28" t="s">
        <v>249</v>
      </c>
      <c r="C7812" s="28" t="s">
        <v>97</v>
      </c>
      <c r="D7812" s="28" t="s">
        <v>1753</v>
      </c>
      <c r="E7812" s="29" t="s">
        <v>331</v>
      </c>
      <c r="F7812" s="29" t="s">
        <v>335</v>
      </c>
      <c r="G7812" s="25" t="s">
        <v>9425</v>
      </c>
      <c r="H7812" s="26">
        <v>-0.54413</v>
      </c>
      <c r="I7812" s="26"/>
      <c r="J7812" s="26" t="s">
        <v>512</v>
      </c>
      <c r="K7812" s="25" t="s">
        <v>513</v>
      </c>
    </row>
    <row r="7813" spans="1:11" ht="25.5" x14ac:dyDescent="0.25">
      <c r="A7813" s="22">
        <v>2026</v>
      </c>
      <c r="B7813" s="28" t="s">
        <v>249</v>
      </c>
      <c r="C7813" s="28" t="s">
        <v>97</v>
      </c>
      <c r="D7813" s="28" t="s">
        <v>1753</v>
      </c>
      <c r="E7813" s="29" t="s">
        <v>331</v>
      </c>
      <c r="F7813" s="29" t="s">
        <v>335</v>
      </c>
      <c r="G7813" s="25" t="s">
        <v>9426</v>
      </c>
      <c r="H7813" s="26">
        <v>-0.680975</v>
      </c>
      <c r="I7813" s="26"/>
      <c r="J7813" s="26" t="s">
        <v>512</v>
      </c>
      <c r="K7813" s="25" t="s">
        <v>513</v>
      </c>
    </row>
    <row r="7814" spans="1:11" ht="25.5" x14ac:dyDescent="0.25">
      <c r="A7814" s="22">
        <v>2026</v>
      </c>
      <c r="B7814" s="28" t="s">
        <v>249</v>
      </c>
      <c r="C7814" s="28" t="s">
        <v>97</v>
      </c>
      <c r="D7814" s="28" t="s">
        <v>1753</v>
      </c>
      <c r="E7814" s="29" t="s">
        <v>331</v>
      </c>
      <c r="F7814" s="29" t="s">
        <v>335</v>
      </c>
      <c r="G7814" s="25" t="s">
        <v>9427</v>
      </c>
      <c r="H7814" s="26">
        <v>-0.92310000000000003</v>
      </c>
      <c r="I7814" s="26"/>
      <c r="J7814" s="26" t="s">
        <v>512</v>
      </c>
      <c r="K7814" s="25" t="s">
        <v>513</v>
      </c>
    </row>
    <row r="7815" spans="1:11" ht="25.5" x14ac:dyDescent="0.25">
      <c r="A7815" s="22">
        <v>2026</v>
      </c>
      <c r="B7815" s="28" t="s">
        <v>249</v>
      </c>
      <c r="C7815" s="28" t="s">
        <v>97</v>
      </c>
      <c r="D7815" s="28" t="s">
        <v>1753</v>
      </c>
      <c r="E7815" s="29" t="s">
        <v>331</v>
      </c>
      <c r="F7815" s="29" t="s">
        <v>335</v>
      </c>
      <c r="G7815" s="25" t="s">
        <v>9428</v>
      </c>
      <c r="H7815" s="26">
        <v>-0.67825000000000002</v>
      </c>
      <c r="I7815" s="26"/>
      <c r="J7815" s="26" t="s">
        <v>512</v>
      </c>
      <c r="K7815" s="25" t="s">
        <v>513</v>
      </c>
    </row>
    <row r="7816" spans="1:11" ht="25.5" x14ac:dyDescent="0.25">
      <c r="A7816" s="22">
        <v>2026</v>
      </c>
      <c r="B7816" s="28" t="s">
        <v>249</v>
      </c>
      <c r="C7816" s="28" t="s">
        <v>97</v>
      </c>
      <c r="D7816" s="28" t="s">
        <v>1753</v>
      </c>
      <c r="E7816" s="29" t="s">
        <v>331</v>
      </c>
      <c r="F7816" s="29" t="s">
        <v>335</v>
      </c>
      <c r="G7816" s="25" t="s">
        <v>9429</v>
      </c>
      <c r="H7816" s="26">
        <v>-0.81264000000000003</v>
      </c>
      <c r="I7816" s="26"/>
      <c r="J7816" s="26" t="s">
        <v>512</v>
      </c>
      <c r="K7816" s="25" t="s">
        <v>513</v>
      </c>
    </row>
    <row r="7817" spans="1:11" ht="25.5" x14ac:dyDescent="0.25">
      <c r="A7817" s="22">
        <v>2026</v>
      </c>
      <c r="B7817" s="28" t="s">
        <v>249</v>
      </c>
      <c r="C7817" s="28" t="s">
        <v>97</v>
      </c>
      <c r="D7817" s="28" t="s">
        <v>1753</v>
      </c>
      <c r="E7817" s="29" t="s">
        <v>331</v>
      </c>
      <c r="F7817" s="29" t="s">
        <v>335</v>
      </c>
      <c r="G7817" s="25" t="s">
        <v>9430</v>
      </c>
      <c r="H7817" s="26">
        <v>-0.81226500000000001</v>
      </c>
      <c r="I7817" s="26"/>
      <c r="J7817" s="26" t="s">
        <v>512</v>
      </c>
      <c r="K7817" s="25" t="s">
        <v>513</v>
      </c>
    </row>
    <row r="7818" spans="1:11" ht="25.5" x14ac:dyDescent="0.25">
      <c r="A7818" s="22">
        <v>2026</v>
      </c>
      <c r="B7818" s="28" t="s">
        <v>249</v>
      </c>
      <c r="C7818" s="28" t="s">
        <v>97</v>
      </c>
      <c r="D7818" s="28" t="s">
        <v>1753</v>
      </c>
      <c r="E7818" s="29" t="s">
        <v>331</v>
      </c>
      <c r="F7818" s="29" t="s">
        <v>335</v>
      </c>
      <c r="G7818" s="25" t="s">
        <v>9431</v>
      </c>
      <c r="H7818" s="26">
        <v>-1.0810999999999999</v>
      </c>
      <c r="I7818" s="26"/>
      <c r="J7818" s="26" t="s">
        <v>512</v>
      </c>
      <c r="K7818" s="25" t="s">
        <v>513</v>
      </c>
    </row>
    <row r="7819" spans="1:11" ht="25.5" x14ac:dyDescent="0.25">
      <c r="A7819" s="22">
        <v>2026</v>
      </c>
      <c r="B7819" s="28" t="s">
        <v>249</v>
      </c>
      <c r="C7819" s="28" t="s">
        <v>97</v>
      </c>
      <c r="D7819" s="28" t="s">
        <v>1753</v>
      </c>
      <c r="E7819" s="29" t="s">
        <v>331</v>
      </c>
      <c r="F7819" s="29" t="s">
        <v>335</v>
      </c>
      <c r="G7819" s="25" t="s">
        <v>9432</v>
      </c>
      <c r="H7819" s="26">
        <v>-1.087</v>
      </c>
      <c r="I7819" s="26"/>
      <c r="J7819" s="26" t="s">
        <v>512</v>
      </c>
      <c r="K7819" s="25" t="s">
        <v>513</v>
      </c>
    </row>
    <row r="7820" spans="1:11" ht="25.5" x14ac:dyDescent="0.25">
      <c r="A7820" s="22">
        <v>2026</v>
      </c>
      <c r="B7820" s="28" t="s">
        <v>249</v>
      </c>
      <c r="C7820" s="28" t="s">
        <v>97</v>
      </c>
      <c r="D7820" s="28" t="s">
        <v>1753</v>
      </c>
      <c r="E7820" s="29" t="s">
        <v>331</v>
      </c>
      <c r="F7820" s="29" t="s">
        <v>335</v>
      </c>
      <c r="G7820" s="25" t="s">
        <v>9433</v>
      </c>
      <c r="H7820" s="26">
        <v>-1.0926800000000001</v>
      </c>
      <c r="I7820" s="26"/>
      <c r="J7820" s="26" t="s">
        <v>512</v>
      </c>
      <c r="K7820" s="25" t="s">
        <v>513</v>
      </c>
    </row>
    <row r="7821" spans="1:11" ht="25.5" x14ac:dyDescent="0.25">
      <c r="A7821" s="22">
        <v>2026</v>
      </c>
      <c r="B7821" s="28" t="s">
        <v>249</v>
      </c>
      <c r="C7821" s="28" t="s">
        <v>97</v>
      </c>
      <c r="D7821" s="28" t="s">
        <v>1753</v>
      </c>
      <c r="E7821" s="29" t="s">
        <v>331</v>
      </c>
      <c r="F7821" s="29" t="s">
        <v>335</v>
      </c>
      <c r="G7821" s="25" t="s">
        <v>9434</v>
      </c>
      <c r="H7821" s="26">
        <v>-1.0819799999999999</v>
      </c>
      <c r="I7821" s="26"/>
      <c r="J7821" s="26" t="s">
        <v>512</v>
      </c>
      <c r="K7821" s="25" t="s">
        <v>513</v>
      </c>
    </row>
    <row r="7822" spans="1:11" ht="25.5" x14ac:dyDescent="0.25">
      <c r="A7822" s="22">
        <v>2026</v>
      </c>
      <c r="B7822" s="28" t="s">
        <v>249</v>
      </c>
      <c r="C7822" s="28" t="s">
        <v>97</v>
      </c>
      <c r="D7822" s="28" t="s">
        <v>1753</v>
      </c>
      <c r="E7822" s="29" t="s">
        <v>331</v>
      </c>
      <c r="F7822" s="29" t="s">
        <v>335</v>
      </c>
      <c r="G7822" s="25" t="s">
        <v>9435</v>
      </c>
      <c r="H7822" s="26">
        <v>-1.0885</v>
      </c>
      <c r="I7822" s="26"/>
      <c r="J7822" s="26" t="s">
        <v>512</v>
      </c>
      <c r="K7822" s="25" t="s">
        <v>513</v>
      </c>
    </row>
    <row r="7823" spans="1:11" ht="25.5" x14ac:dyDescent="0.25">
      <c r="A7823" s="22">
        <v>2026</v>
      </c>
      <c r="B7823" s="28" t="s">
        <v>249</v>
      </c>
      <c r="C7823" s="28" t="s">
        <v>97</v>
      </c>
      <c r="D7823" s="28" t="s">
        <v>1753</v>
      </c>
      <c r="E7823" s="29" t="s">
        <v>331</v>
      </c>
      <c r="F7823" s="29" t="s">
        <v>335</v>
      </c>
      <c r="G7823" s="25" t="s">
        <v>9436</v>
      </c>
      <c r="H7823" s="26">
        <v>-0.82547999999999999</v>
      </c>
      <c r="I7823" s="26"/>
      <c r="J7823" s="26" t="s">
        <v>512</v>
      </c>
      <c r="K7823" s="25" t="s">
        <v>513</v>
      </c>
    </row>
    <row r="7824" spans="1:11" ht="25.5" x14ac:dyDescent="0.25">
      <c r="A7824" s="22">
        <v>2026</v>
      </c>
      <c r="B7824" s="28" t="s">
        <v>249</v>
      </c>
      <c r="C7824" s="28" t="s">
        <v>97</v>
      </c>
      <c r="D7824" s="28" t="s">
        <v>1753</v>
      </c>
      <c r="E7824" s="29" t="s">
        <v>331</v>
      </c>
      <c r="F7824" s="29" t="s">
        <v>335</v>
      </c>
      <c r="G7824" s="25" t="s">
        <v>9437</v>
      </c>
      <c r="H7824" s="26">
        <v>-0.83679000000000003</v>
      </c>
      <c r="I7824" s="26"/>
      <c r="J7824" s="26" t="s">
        <v>512</v>
      </c>
      <c r="K7824" s="25" t="s">
        <v>513</v>
      </c>
    </row>
    <row r="7825" spans="1:11" ht="25.5" x14ac:dyDescent="0.25">
      <c r="A7825" s="22">
        <v>2026</v>
      </c>
      <c r="B7825" s="28" t="s">
        <v>249</v>
      </c>
      <c r="C7825" s="28" t="s">
        <v>97</v>
      </c>
      <c r="D7825" s="28" t="s">
        <v>1753</v>
      </c>
      <c r="E7825" s="29" t="s">
        <v>331</v>
      </c>
      <c r="F7825" s="29" t="s">
        <v>335</v>
      </c>
      <c r="G7825" s="25" t="s">
        <v>9438</v>
      </c>
      <c r="H7825" s="26">
        <v>-0.69689999999999996</v>
      </c>
      <c r="I7825" s="26"/>
      <c r="J7825" s="26" t="s">
        <v>512</v>
      </c>
      <c r="K7825" s="25" t="s">
        <v>513</v>
      </c>
    </row>
    <row r="7826" spans="1:11" ht="25.5" x14ac:dyDescent="0.25">
      <c r="A7826" s="22">
        <v>2026</v>
      </c>
      <c r="B7826" s="28" t="s">
        <v>249</v>
      </c>
      <c r="C7826" s="28" t="s">
        <v>97</v>
      </c>
      <c r="D7826" s="28" t="s">
        <v>1753</v>
      </c>
      <c r="E7826" s="29" t="s">
        <v>331</v>
      </c>
      <c r="F7826" s="29" t="s">
        <v>335</v>
      </c>
      <c r="G7826" s="25" t="s">
        <v>9439</v>
      </c>
      <c r="H7826" s="26">
        <v>-0.69730000000000003</v>
      </c>
      <c r="I7826" s="26"/>
      <c r="J7826" s="26" t="s">
        <v>512</v>
      </c>
      <c r="K7826" s="25" t="s">
        <v>513</v>
      </c>
    </row>
    <row r="7827" spans="1:11" ht="25.5" x14ac:dyDescent="0.25">
      <c r="A7827" s="22">
        <v>2026</v>
      </c>
      <c r="B7827" s="28" t="s">
        <v>249</v>
      </c>
      <c r="C7827" s="28" t="s">
        <v>97</v>
      </c>
      <c r="D7827" s="28" t="s">
        <v>1753</v>
      </c>
      <c r="E7827" s="29" t="s">
        <v>331</v>
      </c>
      <c r="F7827" s="29" t="s">
        <v>335</v>
      </c>
      <c r="G7827" s="25" t="s">
        <v>9440</v>
      </c>
      <c r="H7827" s="26">
        <v>-1.1090800000000001</v>
      </c>
      <c r="I7827" s="26"/>
      <c r="J7827" s="26" t="s">
        <v>512</v>
      </c>
      <c r="K7827" s="25" t="s">
        <v>513</v>
      </c>
    </row>
    <row r="7828" spans="1:11" ht="25.5" x14ac:dyDescent="0.25">
      <c r="A7828" s="22">
        <v>2026</v>
      </c>
      <c r="B7828" s="28" t="s">
        <v>249</v>
      </c>
      <c r="C7828" s="28" t="s">
        <v>97</v>
      </c>
      <c r="D7828" s="28" t="s">
        <v>216</v>
      </c>
      <c r="E7828" s="29" t="s">
        <v>331</v>
      </c>
      <c r="F7828" s="29" t="s">
        <v>298</v>
      </c>
      <c r="G7828" s="25" t="s">
        <v>9441</v>
      </c>
      <c r="H7828" s="26">
        <v>-34.450377902999996</v>
      </c>
      <c r="I7828" s="26"/>
      <c r="J7828" s="26" t="s">
        <v>512</v>
      </c>
      <c r="K7828" s="25" t="s">
        <v>513</v>
      </c>
    </row>
    <row r="7829" spans="1:11" ht="25.5" x14ac:dyDescent="0.25">
      <c r="A7829" s="22">
        <v>2026</v>
      </c>
      <c r="B7829" s="28" t="s">
        <v>249</v>
      </c>
      <c r="C7829" s="28" t="s">
        <v>97</v>
      </c>
      <c r="D7829" s="28" t="s">
        <v>216</v>
      </c>
      <c r="E7829" s="29" t="s">
        <v>331</v>
      </c>
      <c r="F7829" s="29" t="s">
        <v>298</v>
      </c>
      <c r="G7829" s="25" t="s">
        <v>9442</v>
      </c>
      <c r="H7829" s="26">
        <v>-44.653500000000001</v>
      </c>
      <c r="I7829" s="26"/>
      <c r="J7829" s="26" t="s">
        <v>512</v>
      </c>
      <c r="K7829" s="25" t="s">
        <v>513</v>
      </c>
    </row>
    <row r="7830" spans="1:11" ht="25.5" x14ac:dyDescent="0.25">
      <c r="A7830" s="22">
        <v>2026</v>
      </c>
      <c r="B7830" s="28" t="s">
        <v>249</v>
      </c>
      <c r="C7830" s="28" t="s">
        <v>97</v>
      </c>
      <c r="D7830" s="28" t="s">
        <v>216</v>
      </c>
      <c r="E7830" s="29" t="s">
        <v>331</v>
      </c>
      <c r="F7830" s="29" t="s">
        <v>298</v>
      </c>
      <c r="G7830" s="25" t="s">
        <v>9443</v>
      </c>
      <c r="H7830" s="26">
        <v>-16.836952350400001</v>
      </c>
      <c r="I7830" s="26"/>
      <c r="J7830" s="26" t="s">
        <v>512</v>
      </c>
      <c r="K7830" s="25" t="s">
        <v>513</v>
      </c>
    </row>
    <row r="7831" spans="1:11" ht="25.5" x14ac:dyDescent="0.25">
      <c r="A7831" s="22">
        <v>2026</v>
      </c>
      <c r="B7831" s="28" t="s">
        <v>249</v>
      </c>
      <c r="C7831" s="28" t="s">
        <v>97</v>
      </c>
      <c r="D7831" s="28" t="s">
        <v>216</v>
      </c>
      <c r="E7831" s="29" t="s">
        <v>331</v>
      </c>
      <c r="F7831" s="29" t="s">
        <v>298</v>
      </c>
      <c r="G7831" s="25" t="s">
        <v>9444</v>
      </c>
      <c r="H7831" s="26">
        <v>-33.580190656999996</v>
      </c>
      <c r="I7831" s="26"/>
      <c r="J7831" s="26" t="s">
        <v>512</v>
      </c>
      <c r="K7831" s="25" t="s">
        <v>513</v>
      </c>
    </row>
    <row r="7832" spans="1:11" ht="25.5" x14ac:dyDescent="0.25">
      <c r="A7832" s="22">
        <v>2026</v>
      </c>
      <c r="B7832" s="28" t="s">
        <v>249</v>
      </c>
      <c r="C7832" s="28" t="s">
        <v>97</v>
      </c>
      <c r="D7832" s="28" t="s">
        <v>216</v>
      </c>
      <c r="E7832" s="29" t="s">
        <v>331</v>
      </c>
      <c r="F7832" s="29" t="s">
        <v>298</v>
      </c>
      <c r="G7832" s="25" t="s">
        <v>9445</v>
      </c>
      <c r="H7832" s="26">
        <v>-18.631157265999999</v>
      </c>
      <c r="I7832" s="26"/>
      <c r="J7832" s="26" t="s">
        <v>512</v>
      </c>
      <c r="K7832" s="25" t="s">
        <v>513</v>
      </c>
    </row>
    <row r="7833" spans="1:11" ht="25.5" x14ac:dyDescent="0.25">
      <c r="A7833" s="22">
        <v>2026</v>
      </c>
      <c r="B7833" s="28" t="s">
        <v>249</v>
      </c>
      <c r="C7833" s="28" t="s">
        <v>97</v>
      </c>
      <c r="D7833" s="28" t="s">
        <v>216</v>
      </c>
      <c r="E7833" s="29" t="s">
        <v>331</v>
      </c>
      <c r="F7833" s="29" t="s">
        <v>298</v>
      </c>
      <c r="G7833" s="25" t="s">
        <v>9446</v>
      </c>
      <c r="H7833" s="26">
        <v>-18.585425415</v>
      </c>
      <c r="I7833" s="26"/>
      <c r="J7833" s="26" t="s">
        <v>512</v>
      </c>
      <c r="K7833" s="25" t="s">
        <v>513</v>
      </c>
    </row>
    <row r="7834" spans="1:11" ht="25.5" x14ac:dyDescent="0.25">
      <c r="A7834" s="22">
        <v>2026</v>
      </c>
      <c r="B7834" s="28" t="s">
        <v>249</v>
      </c>
      <c r="C7834" s="28" t="s">
        <v>97</v>
      </c>
      <c r="D7834" s="28" t="s">
        <v>216</v>
      </c>
      <c r="E7834" s="29" t="s">
        <v>331</v>
      </c>
      <c r="F7834" s="29" t="s">
        <v>298</v>
      </c>
      <c r="G7834" s="25" t="s">
        <v>9447</v>
      </c>
      <c r="H7834" s="26">
        <v>-18.669430022100002</v>
      </c>
      <c r="I7834" s="26"/>
      <c r="J7834" s="26" t="s">
        <v>512</v>
      </c>
      <c r="K7834" s="25" t="s">
        <v>513</v>
      </c>
    </row>
    <row r="7835" spans="1:11" ht="25.5" x14ac:dyDescent="0.25">
      <c r="A7835" s="22">
        <v>2026</v>
      </c>
      <c r="B7835" s="28" t="s">
        <v>249</v>
      </c>
      <c r="C7835" s="28" t="s">
        <v>97</v>
      </c>
      <c r="D7835" s="28" t="s">
        <v>216</v>
      </c>
      <c r="E7835" s="29" t="s">
        <v>331</v>
      </c>
      <c r="F7835" s="29" t="s">
        <v>298</v>
      </c>
      <c r="G7835" s="25" t="s">
        <v>9448</v>
      </c>
      <c r="H7835" s="26">
        <v>-15.790408060399999</v>
      </c>
      <c r="I7835" s="26"/>
      <c r="J7835" s="26" t="s">
        <v>512</v>
      </c>
      <c r="K7835" s="25" t="s">
        <v>513</v>
      </c>
    </row>
    <row r="7836" spans="1:11" ht="25.5" x14ac:dyDescent="0.25">
      <c r="A7836" s="22">
        <v>2026</v>
      </c>
      <c r="B7836" s="28" t="s">
        <v>249</v>
      </c>
      <c r="C7836" s="28" t="s">
        <v>97</v>
      </c>
      <c r="D7836" s="28" t="s">
        <v>216</v>
      </c>
      <c r="E7836" s="29" t="s">
        <v>331</v>
      </c>
      <c r="F7836" s="29" t="s">
        <v>298</v>
      </c>
      <c r="G7836" s="25" t="s">
        <v>9449</v>
      </c>
      <c r="H7836" s="26">
        <v>-10.1039232522</v>
      </c>
      <c r="I7836" s="26"/>
      <c r="J7836" s="26" t="s">
        <v>512</v>
      </c>
      <c r="K7836" s="25" t="s">
        <v>513</v>
      </c>
    </row>
    <row r="7837" spans="1:11" ht="25.5" x14ac:dyDescent="0.25">
      <c r="A7837" s="22">
        <v>2026</v>
      </c>
      <c r="B7837" s="28" t="s">
        <v>249</v>
      </c>
      <c r="C7837" s="28" t="s">
        <v>97</v>
      </c>
      <c r="D7837" s="28" t="s">
        <v>216</v>
      </c>
      <c r="E7837" s="29" t="s">
        <v>331</v>
      </c>
      <c r="F7837" s="29" t="s">
        <v>298</v>
      </c>
      <c r="G7837" s="25" t="s">
        <v>9450</v>
      </c>
      <c r="H7837" s="26">
        <v>-13.297055886399999</v>
      </c>
      <c r="I7837" s="26"/>
      <c r="J7837" s="26" t="s">
        <v>512</v>
      </c>
      <c r="K7837" s="25" t="s">
        <v>513</v>
      </c>
    </row>
    <row r="7838" spans="1:11" ht="25.5" x14ac:dyDescent="0.25">
      <c r="A7838" s="22">
        <v>2026</v>
      </c>
      <c r="B7838" s="28" t="s">
        <v>249</v>
      </c>
      <c r="C7838" s="28" t="s">
        <v>97</v>
      </c>
      <c r="D7838" s="28" t="s">
        <v>216</v>
      </c>
      <c r="E7838" s="29" t="s">
        <v>331</v>
      </c>
      <c r="F7838" s="29" t="s">
        <v>298</v>
      </c>
      <c r="G7838" s="25" t="s">
        <v>9451</v>
      </c>
      <c r="H7838" s="26">
        <v>-16.464532698500001</v>
      </c>
      <c r="I7838" s="26"/>
      <c r="J7838" s="26" t="s">
        <v>512</v>
      </c>
      <c r="K7838" s="25" t="s">
        <v>513</v>
      </c>
    </row>
    <row r="7839" spans="1:11" ht="25.5" x14ac:dyDescent="0.25">
      <c r="A7839" s="22">
        <v>2026</v>
      </c>
      <c r="B7839" s="28" t="s">
        <v>249</v>
      </c>
      <c r="C7839" s="28" t="s">
        <v>97</v>
      </c>
      <c r="D7839" s="28" t="s">
        <v>216</v>
      </c>
      <c r="E7839" s="29" t="s">
        <v>331</v>
      </c>
      <c r="F7839" s="29" t="s">
        <v>298</v>
      </c>
      <c r="G7839" s="25" t="s">
        <v>9452</v>
      </c>
      <c r="H7839" s="26">
        <v>-13.3581037733</v>
      </c>
      <c r="I7839" s="26"/>
      <c r="J7839" s="26" t="s">
        <v>512</v>
      </c>
      <c r="K7839" s="25" t="s">
        <v>513</v>
      </c>
    </row>
    <row r="7840" spans="1:11" ht="25.5" x14ac:dyDescent="0.25">
      <c r="A7840" s="22">
        <v>2026</v>
      </c>
      <c r="B7840" s="28" t="s">
        <v>249</v>
      </c>
      <c r="C7840" s="28" t="s">
        <v>97</v>
      </c>
      <c r="D7840" s="28" t="s">
        <v>216</v>
      </c>
      <c r="E7840" s="29" t="s">
        <v>331</v>
      </c>
      <c r="F7840" s="29" t="s">
        <v>298</v>
      </c>
      <c r="G7840" s="25" t="s">
        <v>9453</v>
      </c>
      <c r="H7840" s="26">
        <v>-6.7275</v>
      </c>
      <c r="I7840" s="26"/>
      <c r="J7840" s="26" t="s">
        <v>512</v>
      </c>
      <c r="K7840" s="25" t="s">
        <v>513</v>
      </c>
    </row>
    <row r="7841" spans="1:11" ht="25.5" x14ac:dyDescent="0.25">
      <c r="A7841" s="22">
        <v>2026</v>
      </c>
      <c r="B7841" s="28" t="s">
        <v>249</v>
      </c>
      <c r="C7841" s="28" t="s">
        <v>97</v>
      </c>
      <c r="D7841" s="28" t="s">
        <v>216</v>
      </c>
      <c r="E7841" s="29" t="s">
        <v>331</v>
      </c>
      <c r="F7841" s="29" t="s">
        <v>298</v>
      </c>
      <c r="G7841" s="25" t="s">
        <v>9454</v>
      </c>
      <c r="H7841" s="26">
        <v>-6.7563500000000003</v>
      </c>
      <c r="I7841" s="26"/>
      <c r="J7841" s="26" t="s">
        <v>512</v>
      </c>
      <c r="K7841" s="25" t="s">
        <v>513</v>
      </c>
    </row>
    <row r="7842" spans="1:11" ht="25.5" x14ac:dyDescent="0.25">
      <c r="A7842" s="22">
        <v>2026</v>
      </c>
      <c r="B7842" s="28" t="s">
        <v>249</v>
      </c>
      <c r="C7842" s="28" t="s">
        <v>97</v>
      </c>
      <c r="D7842" s="28" t="s">
        <v>216</v>
      </c>
      <c r="E7842" s="29" t="s">
        <v>331</v>
      </c>
      <c r="F7842" s="29" t="s">
        <v>298</v>
      </c>
      <c r="G7842" s="25" t="s">
        <v>9455</v>
      </c>
      <c r="H7842" s="26">
        <v>-6.7374499999999999</v>
      </c>
      <c r="I7842" s="26"/>
      <c r="J7842" s="26" t="s">
        <v>512</v>
      </c>
      <c r="K7842" s="25" t="s">
        <v>513</v>
      </c>
    </row>
    <row r="7843" spans="1:11" ht="25.5" x14ac:dyDescent="0.25">
      <c r="A7843" s="22">
        <v>2026</v>
      </c>
      <c r="B7843" s="28" t="s">
        <v>249</v>
      </c>
      <c r="C7843" s="28" t="s">
        <v>97</v>
      </c>
      <c r="D7843" s="28" t="s">
        <v>216</v>
      </c>
      <c r="E7843" s="29" t="s">
        <v>331</v>
      </c>
      <c r="F7843" s="29" t="s">
        <v>298</v>
      </c>
      <c r="G7843" s="25" t="s">
        <v>9456</v>
      </c>
      <c r="H7843" s="26">
        <v>-26.199000000000002</v>
      </c>
      <c r="I7843" s="26"/>
      <c r="J7843" s="26" t="s">
        <v>512</v>
      </c>
      <c r="K7843" s="25" t="s">
        <v>513</v>
      </c>
    </row>
    <row r="7844" spans="1:11" ht="25.5" x14ac:dyDescent="0.25">
      <c r="A7844" s="22">
        <v>2026</v>
      </c>
      <c r="B7844" s="28" t="s">
        <v>249</v>
      </c>
      <c r="C7844" s="28" t="s">
        <v>97</v>
      </c>
      <c r="D7844" s="28" t="s">
        <v>216</v>
      </c>
      <c r="E7844" s="29" t="s">
        <v>331</v>
      </c>
      <c r="F7844" s="29" t="s">
        <v>298</v>
      </c>
      <c r="G7844" s="25" t="s">
        <v>9457</v>
      </c>
      <c r="H7844" s="26">
        <v>-6.6010999999999997</v>
      </c>
      <c r="I7844" s="26"/>
      <c r="J7844" s="26" t="s">
        <v>512</v>
      </c>
      <c r="K7844" s="25" t="s">
        <v>513</v>
      </c>
    </row>
    <row r="7845" spans="1:11" ht="25.5" x14ac:dyDescent="0.25">
      <c r="A7845" s="22">
        <v>2026</v>
      </c>
      <c r="B7845" s="28" t="s">
        <v>249</v>
      </c>
      <c r="C7845" s="28" t="s">
        <v>97</v>
      </c>
      <c r="D7845" s="28" t="s">
        <v>216</v>
      </c>
      <c r="E7845" s="29" t="s">
        <v>331</v>
      </c>
      <c r="F7845" s="29" t="s">
        <v>298</v>
      </c>
      <c r="G7845" s="25" t="s">
        <v>9458</v>
      </c>
      <c r="H7845" s="26">
        <v>-6.6654999999999998</v>
      </c>
      <c r="I7845" s="26"/>
      <c r="J7845" s="26" t="s">
        <v>512</v>
      </c>
      <c r="K7845" s="25" t="s">
        <v>513</v>
      </c>
    </row>
    <row r="7846" spans="1:11" ht="25.5" x14ac:dyDescent="0.25">
      <c r="A7846" s="22">
        <v>2026</v>
      </c>
      <c r="B7846" s="28" t="s">
        <v>249</v>
      </c>
      <c r="C7846" s="28" t="s">
        <v>97</v>
      </c>
      <c r="D7846" s="28" t="s">
        <v>216</v>
      </c>
      <c r="E7846" s="29" t="s">
        <v>331</v>
      </c>
      <c r="F7846" s="29" t="s">
        <v>298</v>
      </c>
      <c r="G7846" s="25" t="s">
        <v>9459</v>
      </c>
      <c r="H7846" s="26">
        <v>-6.61435</v>
      </c>
      <c r="I7846" s="26"/>
      <c r="J7846" s="26" t="s">
        <v>512</v>
      </c>
      <c r="K7846" s="25" t="s">
        <v>513</v>
      </c>
    </row>
    <row r="7847" spans="1:11" ht="25.5" x14ac:dyDescent="0.25">
      <c r="A7847" s="22">
        <v>2026</v>
      </c>
      <c r="B7847" s="28" t="s">
        <v>249</v>
      </c>
      <c r="C7847" s="28" t="s">
        <v>97</v>
      </c>
      <c r="D7847" s="28" t="s">
        <v>216</v>
      </c>
      <c r="E7847" s="29" t="s">
        <v>331</v>
      </c>
      <c r="F7847" s="29" t="s">
        <v>298</v>
      </c>
      <c r="G7847" s="25" t="s">
        <v>9460</v>
      </c>
      <c r="H7847" s="26">
        <v>-6.6163499999999997</v>
      </c>
      <c r="I7847" s="26"/>
      <c r="J7847" s="26" t="s">
        <v>512</v>
      </c>
      <c r="K7847" s="25" t="s">
        <v>513</v>
      </c>
    </row>
    <row r="7848" spans="1:11" ht="25.5" x14ac:dyDescent="0.25">
      <c r="A7848" s="22">
        <v>2026</v>
      </c>
      <c r="B7848" s="28" t="s">
        <v>249</v>
      </c>
      <c r="C7848" s="28" t="s">
        <v>97</v>
      </c>
      <c r="D7848" s="28" t="s">
        <v>216</v>
      </c>
      <c r="E7848" s="29" t="s">
        <v>331</v>
      </c>
      <c r="F7848" s="29" t="s">
        <v>298</v>
      </c>
      <c r="G7848" s="25" t="s">
        <v>9461</v>
      </c>
      <c r="H7848" s="26">
        <v>-6.5727500000000001</v>
      </c>
      <c r="I7848" s="26"/>
      <c r="J7848" s="26" t="s">
        <v>512</v>
      </c>
      <c r="K7848" s="25" t="s">
        <v>513</v>
      </c>
    </row>
    <row r="7849" spans="1:11" ht="25.5" x14ac:dyDescent="0.25">
      <c r="A7849" s="22">
        <v>2026</v>
      </c>
      <c r="B7849" s="28" t="s">
        <v>249</v>
      </c>
      <c r="C7849" s="28" t="s">
        <v>97</v>
      </c>
      <c r="D7849" s="28" t="s">
        <v>542</v>
      </c>
      <c r="E7849" s="29" t="s">
        <v>575</v>
      </c>
      <c r="F7849" s="29" t="s">
        <v>576</v>
      </c>
      <c r="G7849" s="25" t="s">
        <v>9462</v>
      </c>
      <c r="H7849" s="26">
        <v>-0.13800000000000001</v>
      </c>
      <c r="I7849" s="26"/>
      <c r="J7849" s="26" t="s">
        <v>512</v>
      </c>
      <c r="K7849" s="25" t="s">
        <v>513</v>
      </c>
    </row>
    <row r="7850" spans="1:11" ht="25.5" x14ac:dyDescent="0.25">
      <c r="A7850" s="22">
        <v>2026</v>
      </c>
      <c r="B7850" s="28" t="s">
        <v>249</v>
      </c>
      <c r="C7850" s="28" t="s">
        <v>97</v>
      </c>
      <c r="D7850" s="28" t="s">
        <v>542</v>
      </c>
      <c r="E7850" s="29" t="s">
        <v>575</v>
      </c>
      <c r="F7850" s="29" t="s">
        <v>576</v>
      </c>
      <c r="G7850" s="25" t="s">
        <v>6129</v>
      </c>
      <c r="H7850" s="26">
        <v>-6.6750000000000004E-2</v>
      </c>
      <c r="I7850" s="26"/>
      <c r="J7850" s="26" t="s">
        <v>512</v>
      </c>
      <c r="K7850" s="25" t="s">
        <v>513</v>
      </c>
    </row>
    <row r="7851" spans="1:11" ht="25.5" x14ac:dyDescent="0.25">
      <c r="A7851" s="22">
        <v>2026</v>
      </c>
      <c r="B7851" s="28" t="s">
        <v>249</v>
      </c>
      <c r="C7851" s="28" t="s">
        <v>97</v>
      </c>
      <c r="D7851" s="28" t="s">
        <v>542</v>
      </c>
      <c r="E7851" s="29" t="s">
        <v>575</v>
      </c>
      <c r="F7851" s="29" t="s">
        <v>576</v>
      </c>
      <c r="G7851" s="25" t="s">
        <v>9463</v>
      </c>
      <c r="H7851" s="26">
        <v>-9.1350000000000001E-2</v>
      </c>
      <c r="I7851" s="26"/>
      <c r="J7851" s="26" t="s">
        <v>512</v>
      </c>
      <c r="K7851" s="25" t="s">
        <v>513</v>
      </c>
    </row>
    <row r="7852" spans="1:11" ht="25.5" x14ac:dyDescent="0.25">
      <c r="A7852" s="22">
        <v>2026</v>
      </c>
      <c r="B7852" s="28" t="s">
        <v>249</v>
      </c>
      <c r="C7852" s="28" t="s">
        <v>97</v>
      </c>
      <c r="D7852" s="28" t="s">
        <v>542</v>
      </c>
      <c r="E7852" s="29" t="s">
        <v>575</v>
      </c>
      <c r="F7852" s="29" t="s">
        <v>576</v>
      </c>
      <c r="G7852" s="25" t="s">
        <v>9464</v>
      </c>
      <c r="H7852" s="26">
        <v>-5.2200000000000003E-2</v>
      </c>
      <c r="I7852" s="26"/>
      <c r="J7852" s="26" t="s">
        <v>512</v>
      </c>
      <c r="K7852" s="25" t="s">
        <v>513</v>
      </c>
    </row>
    <row r="7853" spans="1:11" ht="25.5" x14ac:dyDescent="0.25">
      <c r="A7853" s="22">
        <v>2026</v>
      </c>
      <c r="B7853" s="28" t="s">
        <v>249</v>
      </c>
      <c r="C7853" s="28" t="s">
        <v>97</v>
      </c>
      <c r="D7853" s="28" t="s">
        <v>542</v>
      </c>
      <c r="E7853" s="29" t="s">
        <v>575</v>
      </c>
      <c r="F7853" s="29" t="s">
        <v>576</v>
      </c>
      <c r="G7853" s="25" t="s">
        <v>9465</v>
      </c>
      <c r="H7853" s="26">
        <v>-9.0649999999999994E-2</v>
      </c>
      <c r="I7853" s="26"/>
      <c r="J7853" s="26" t="s">
        <v>512</v>
      </c>
      <c r="K7853" s="25" t="s">
        <v>513</v>
      </c>
    </row>
    <row r="7854" spans="1:11" ht="25.5" x14ac:dyDescent="0.25">
      <c r="A7854" s="22">
        <v>2026</v>
      </c>
      <c r="B7854" s="28" t="s">
        <v>249</v>
      </c>
      <c r="C7854" s="28" t="s">
        <v>97</v>
      </c>
      <c r="D7854" s="28" t="s">
        <v>542</v>
      </c>
      <c r="E7854" s="29" t="s">
        <v>575</v>
      </c>
      <c r="F7854" s="29" t="s">
        <v>576</v>
      </c>
      <c r="G7854" s="25" t="s">
        <v>9466</v>
      </c>
      <c r="H7854" s="26">
        <v>-6.5250000000000002E-2</v>
      </c>
      <c r="I7854" s="26"/>
      <c r="J7854" s="26" t="s">
        <v>512</v>
      </c>
      <c r="K7854" s="25" t="s">
        <v>513</v>
      </c>
    </row>
    <row r="7855" spans="1:11" ht="25.5" x14ac:dyDescent="0.25">
      <c r="A7855" s="22">
        <v>2026</v>
      </c>
      <c r="B7855" s="28" t="s">
        <v>249</v>
      </c>
      <c r="C7855" s="28" t="s">
        <v>97</v>
      </c>
      <c r="D7855" s="28" t="s">
        <v>542</v>
      </c>
      <c r="E7855" s="29" t="s">
        <v>575</v>
      </c>
      <c r="F7855" s="29" t="s">
        <v>576</v>
      </c>
      <c r="G7855" s="25" t="s">
        <v>9467</v>
      </c>
      <c r="H7855" s="26">
        <v>-9.0300000000000005E-2</v>
      </c>
      <c r="I7855" s="26"/>
      <c r="J7855" s="26" t="s">
        <v>512</v>
      </c>
      <c r="K7855" s="25" t="s">
        <v>513</v>
      </c>
    </row>
    <row r="7856" spans="1:11" ht="25.5" x14ac:dyDescent="0.25">
      <c r="A7856" s="22">
        <v>2026</v>
      </c>
      <c r="B7856" s="28" t="s">
        <v>249</v>
      </c>
      <c r="C7856" s="28" t="s">
        <v>97</v>
      </c>
      <c r="D7856" s="28" t="s">
        <v>542</v>
      </c>
      <c r="E7856" s="29" t="s">
        <v>575</v>
      </c>
      <c r="F7856" s="29" t="s">
        <v>576</v>
      </c>
      <c r="G7856" s="25" t="s">
        <v>9463</v>
      </c>
      <c r="H7856" s="26">
        <v>-9.1350000000000001E-2</v>
      </c>
      <c r="I7856" s="26"/>
      <c r="J7856" s="26" t="s">
        <v>512</v>
      </c>
      <c r="K7856" s="25" t="s">
        <v>513</v>
      </c>
    </row>
    <row r="7857" spans="1:11" ht="25.5" x14ac:dyDescent="0.25">
      <c r="A7857" s="22">
        <v>2026</v>
      </c>
      <c r="B7857" s="28" t="s">
        <v>249</v>
      </c>
      <c r="C7857" s="28" t="s">
        <v>97</v>
      </c>
      <c r="D7857" s="28" t="s">
        <v>191</v>
      </c>
      <c r="E7857" s="29" t="s">
        <v>643</v>
      </c>
      <c r="F7857" s="29" t="s">
        <v>343</v>
      </c>
      <c r="G7857" s="25" t="s">
        <v>5402</v>
      </c>
      <c r="H7857" s="26">
        <v>-8.8749999999999996E-2</v>
      </c>
      <c r="I7857" s="26"/>
      <c r="J7857" s="26" t="s">
        <v>512</v>
      </c>
      <c r="K7857" s="25" t="s">
        <v>513</v>
      </c>
    </row>
    <row r="7858" spans="1:11" ht="25.5" x14ac:dyDescent="0.25">
      <c r="A7858" s="22">
        <v>2026</v>
      </c>
      <c r="B7858" s="28" t="s">
        <v>249</v>
      </c>
      <c r="C7858" s="28" t="s">
        <v>97</v>
      </c>
      <c r="D7858" s="28" t="s">
        <v>191</v>
      </c>
      <c r="E7858" s="29" t="s">
        <v>643</v>
      </c>
      <c r="F7858" s="29" t="s">
        <v>343</v>
      </c>
      <c r="G7858" s="25" t="s">
        <v>9468</v>
      </c>
      <c r="H7858" s="26">
        <v>-5.3400000000000003E-2</v>
      </c>
      <c r="I7858" s="26"/>
      <c r="J7858" s="26" t="s">
        <v>512</v>
      </c>
      <c r="K7858" s="25" t="s">
        <v>513</v>
      </c>
    </row>
    <row r="7859" spans="1:11" ht="25.5" x14ac:dyDescent="0.25">
      <c r="A7859" s="22">
        <v>2026</v>
      </c>
      <c r="B7859" s="28" t="s">
        <v>249</v>
      </c>
      <c r="C7859" s="28" t="s">
        <v>97</v>
      </c>
      <c r="D7859" s="28" t="s">
        <v>191</v>
      </c>
      <c r="E7859" s="29" t="s">
        <v>643</v>
      </c>
      <c r="F7859" s="29" t="s">
        <v>343</v>
      </c>
      <c r="G7859" s="25" t="s">
        <v>9469</v>
      </c>
      <c r="H7859" s="26">
        <v>-8.9249999999999996E-2</v>
      </c>
      <c r="I7859" s="26"/>
      <c r="J7859" s="26" t="s">
        <v>512</v>
      </c>
      <c r="K7859" s="25" t="s">
        <v>513</v>
      </c>
    </row>
    <row r="7860" spans="1:11" ht="25.5" x14ac:dyDescent="0.25">
      <c r="A7860" s="22">
        <v>2026</v>
      </c>
      <c r="B7860" s="28" t="s">
        <v>249</v>
      </c>
      <c r="C7860" s="28" t="s">
        <v>97</v>
      </c>
      <c r="D7860" s="28" t="s">
        <v>191</v>
      </c>
      <c r="E7860" s="29" t="s">
        <v>643</v>
      </c>
      <c r="F7860" s="29" t="s">
        <v>343</v>
      </c>
      <c r="G7860" s="25" t="s">
        <v>9470</v>
      </c>
      <c r="H7860" s="26">
        <v>-0.17813499999999999</v>
      </c>
      <c r="I7860" s="26"/>
      <c r="J7860" s="26" t="s">
        <v>512</v>
      </c>
      <c r="K7860" s="25" t="s">
        <v>513</v>
      </c>
    </row>
    <row r="7861" spans="1:11" ht="25.5" x14ac:dyDescent="0.25">
      <c r="A7861" s="22">
        <v>2026</v>
      </c>
      <c r="B7861" s="28" t="s">
        <v>249</v>
      </c>
      <c r="C7861" s="28" t="s">
        <v>97</v>
      </c>
      <c r="D7861" s="28" t="s">
        <v>191</v>
      </c>
      <c r="E7861" s="29" t="s">
        <v>643</v>
      </c>
      <c r="F7861" s="29" t="s">
        <v>343</v>
      </c>
      <c r="G7861" s="25" t="s">
        <v>9471</v>
      </c>
      <c r="H7861" s="26">
        <v>-9.0749999999999997E-2</v>
      </c>
      <c r="I7861" s="26"/>
      <c r="J7861" s="26" t="s">
        <v>512</v>
      </c>
      <c r="K7861" s="25" t="s">
        <v>513</v>
      </c>
    </row>
    <row r="7862" spans="1:11" ht="25.5" x14ac:dyDescent="0.25">
      <c r="A7862" s="22">
        <v>2026</v>
      </c>
      <c r="B7862" s="28" t="s">
        <v>249</v>
      </c>
      <c r="C7862" s="28" t="s">
        <v>97</v>
      </c>
      <c r="D7862" s="28" t="s">
        <v>543</v>
      </c>
      <c r="E7862" s="29" t="s">
        <v>578</v>
      </c>
      <c r="F7862" s="29" t="s">
        <v>335</v>
      </c>
      <c r="G7862" s="25" t="s">
        <v>9472</v>
      </c>
      <c r="H7862" s="26">
        <v>-0.167625</v>
      </c>
      <c r="I7862" s="26"/>
      <c r="J7862" s="26" t="s">
        <v>512</v>
      </c>
      <c r="K7862" s="25" t="s">
        <v>513</v>
      </c>
    </row>
    <row r="7863" spans="1:11" ht="25.5" x14ac:dyDescent="0.25">
      <c r="A7863" s="22">
        <v>2026</v>
      </c>
      <c r="B7863" s="28" t="s">
        <v>249</v>
      </c>
      <c r="C7863" s="28" t="s">
        <v>97</v>
      </c>
      <c r="D7863" s="28" t="s">
        <v>543</v>
      </c>
      <c r="E7863" s="29" t="s">
        <v>578</v>
      </c>
      <c r="F7863" s="29" t="s">
        <v>335</v>
      </c>
      <c r="G7863" s="25" t="s">
        <v>9473</v>
      </c>
      <c r="H7863" s="26">
        <v>-0.57450000000000001</v>
      </c>
      <c r="I7863" s="26"/>
      <c r="J7863" s="26" t="s">
        <v>512</v>
      </c>
      <c r="K7863" s="25" t="s">
        <v>513</v>
      </c>
    </row>
    <row r="7864" spans="1:11" ht="25.5" x14ac:dyDescent="0.25">
      <c r="A7864" s="22">
        <v>2026</v>
      </c>
      <c r="B7864" s="28" t="s">
        <v>249</v>
      </c>
      <c r="C7864" s="28" t="s">
        <v>97</v>
      </c>
      <c r="D7864" s="28" t="s">
        <v>543</v>
      </c>
      <c r="E7864" s="29" t="s">
        <v>578</v>
      </c>
      <c r="F7864" s="29" t="s">
        <v>335</v>
      </c>
      <c r="G7864" s="25" t="s">
        <v>9474</v>
      </c>
      <c r="H7864" s="26">
        <v>-0.15820000000000001</v>
      </c>
      <c r="I7864" s="26"/>
      <c r="J7864" s="26" t="s">
        <v>512</v>
      </c>
      <c r="K7864" s="25" t="s">
        <v>513</v>
      </c>
    </row>
    <row r="7865" spans="1:11" ht="25.5" x14ac:dyDescent="0.25">
      <c r="A7865" s="22">
        <v>2026</v>
      </c>
      <c r="B7865" s="28" t="s">
        <v>249</v>
      </c>
      <c r="C7865" s="28" t="s">
        <v>97</v>
      </c>
      <c r="D7865" s="28" t="s">
        <v>543</v>
      </c>
      <c r="E7865" s="29" t="s">
        <v>578</v>
      </c>
      <c r="F7865" s="29" t="s">
        <v>335</v>
      </c>
      <c r="G7865" s="25" t="s">
        <v>8462</v>
      </c>
      <c r="H7865" s="26">
        <v>-0.22500000000000001</v>
      </c>
      <c r="I7865" s="26"/>
      <c r="J7865" s="26" t="s">
        <v>512</v>
      </c>
      <c r="K7865" s="25" t="s">
        <v>513</v>
      </c>
    </row>
    <row r="7866" spans="1:11" ht="25.5" x14ac:dyDescent="0.25">
      <c r="A7866" s="22">
        <v>2026</v>
      </c>
      <c r="B7866" s="28" t="s">
        <v>249</v>
      </c>
      <c r="C7866" s="28" t="s">
        <v>97</v>
      </c>
      <c r="D7866" s="28" t="s">
        <v>543</v>
      </c>
      <c r="E7866" s="29" t="s">
        <v>578</v>
      </c>
      <c r="F7866" s="29" t="s">
        <v>335</v>
      </c>
      <c r="G7866" s="25" t="s">
        <v>9475</v>
      </c>
      <c r="H7866" s="26">
        <v>-0.26277499999999998</v>
      </c>
      <c r="I7866" s="26"/>
      <c r="J7866" s="26" t="s">
        <v>512</v>
      </c>
      <c r="K7866" s="25" t="s">
        <v>513</v>
      </c>
    </row>
    <row r="7867" spans="1:11" ht="25.5" x14ac:dyDescent="0.25">
      <c r="A7867" s="22">
        <v>2026</v>
      </c>
      <c r="B7867" s="28" t="s">
        <v>249</v>
      </c>
      <c r="C7867" s="28" t="s">
        <v>97</v>
      </c>
      <c r="D7867" s="28" t="s">
        <v>543</v>
      </c>
      <c r="E7867" s="29" t="s">
        <v>578</v>
      </c>
      <c r="F7867" s="29" t="s">
        <v>335</v>
      </c>
      <c r="G7867" s="25" t="s">
        <v>5004</v>
      </c>
      <c r="H7867" s="26">
        <v>-0.1145</v>
      </c>
      <c r="I7867" s="26"/>
      <c r="J7867" s="26" t="s">
        <v>512</v>
      </c>
      <c r="K7867" s="25" t="s">
        <v>513</v>
      </c>
    </row>
    <row r="7868" spans="1:11" ht="25.5" x14ac:dyDescent="0.25">
      <c r="A7868" s="22">
        <v>2026</v>
      </c>
      <c r="B7868" s="28" t="s">
        <v>249</v>
      </c>
      <c r="C7868" s="28" t="s">
        <v>97</v>
      </c>
      <c r="D7868" s="28" t="s">
        <v>543</v>
      </c>
      <c r="E7868" s="29" t="s">
        <v>578</v>
      </c>
      <c r="F7868" s="29" t="s">
        <v>335</v>
      </c>
      <c r="G7868" s="25" t="s">
        <v>9476</v>
      </c>
      <c r="H7868" s="26">
        <v>-0.15275</v>
      </c>
      <c r="I7868" s="26"/>
      <c r="J7868" s="26" t="s">
        <v>512</v>
      </c>
      <c r="K7868" s="25" t="s">
        <v>513</v>
      </c>
    </row>
    <row r="7869" spans="1:11" ht="25.5" x14ac:dyDescent="0.25">
      <c r="A7869" s="22">
        <v>2026</v>
      </c>
      <c r="B7869" s="28" t="s">
        <v>249</v>
      </c>
      <c r="C7869" s="28" t="s">
        <v>97</v>
      </c>
      <c r="D7869" s="28" t="s">
        <v>543</v>
      </c>
      <c r="E7869" s="29" t="s">
        <v>578</v>
      </c>
      <c r="F7869" s="29" t="s">
        <v>335</v>
      </c>
      <c r="G7869" s="25" t="s">
        <v>9477</v>
      </c>
      <c r="H7869" s="26">
        <v>-0.11774999999999999</v>
      </c>
      <c r="I7869" s="26"/>
      <c r="J7869" s="26" t="s">
        <v>512</v>
      </c>
      <c r="K7869" s="25" t="s">
        <v>513</v>
      </c>
    </row>
    <row r="7870" spans="1:11" ht="25.5" x14ac:dyDescent="0.25">
      <c r="A7870" s="22">
        <v>2026</v>
      </c>
      <c r="B7870" s="28" t="s">
        <v>249</v>
      </c>
      <c r="C7870" s="28" t="s">
        <v>97</v>
      </c>
      <c r="D7870" s="28" t="s">
        <v>543</v>
      </c>
      <c r="E7870" s="29" t="s">
        <v>578</v>
      </c>
      <c r="F7870" s="29" t="s">
        <v>335</v>
      </c>
      <c r="G7870" s="25" t="s">
        <v>9478</v>
      </c>
      <c r="H7870" s="26">
        <v>-0.37559999999999999</v>
      </c>
      <c r="I7870" s="26"/>
      <c r="J7870" s="26" t="s">
        <v>512</v>
      </c>
      <c r="K7870" s="25" t="s">
        <v>513</v>
      </c>
    </row>
    <row r="7871" spans="1:11" ht="25.5" x14ac:dyDescent="0.25">
      <c r="A7871" s="22">
        <v>2026</v>
      </c>
      <c r="B7871" s="28" t="s">
        <v>249</v>
      </c>
      <c r="C7871" s="28" t="s">
        <v>97</v>
      </c>
      <c r="D7871" s="28" t="s">
        <v>543</v>
      </c>
      <c r="E7871" s="29" t="s">
        <v>578</v>
      </c>
      <c r="F7871" s="29" t="s">
        <v>335</v>
      </c>
      <c r="G7871" s="25" t="s">
        <v>9479</v>
      </c>
      <c r="H7871" s="26">
        <v>-0.1603</v>
      </c>
      <c r="I7871" s="26"/>
      <c r="J7871" s="26" t="s">
        <v>512</v>
      </c>
      <c r="K7871" s="25" t="s">
        <v>513</v>
      </c>
    </row>
    <row r="7872" spans="1:11" ht="25.5" x14ac:dyDescent="0.25">
      <c r="A7872" s="22">
        <v>2026</v>
      </c>
      <c r="B7872" s="28" t="s">
        <v>249</v>
      </c>
      <c r="C7872" s="28" t="s">
        <v>97</v>
      </c>
      <c r="D7872" s="28" t="s">
        <v>534</v>
      </c>
      <c r="E7872" s="29" t="s">
        <v>337</v>
      </c>
      <c r="F7872" s="29" t="s">
        <v>287</v>
      </c>
      <c r="G7872" s="25" t="s">
        <v>9480</v>
      </c>
      <c r="H7872" s="26">
        <v>-2.4360473040000001</v>
      </c>
      <c r="I7872" s="26"/>
      <c r="J7872" s="26" t="s">
        <v>512</v>
      </c>
      <c r="K7872" s="25" t="s">
        <v>526</v>
      </c>
    </row>
    <row r="7873" spans="1:11" ht="25.5" x14ac:dyDescent="0.25">
      <c r="A7873" s="22">
        <v>2026</v>
      </c>
      <c r="B7873" s="28" t="s">
        <v>249</v>
      </c>
      <c r="C7873" s="28" t="s">
        <v>97</v>
      </c>
      <c r="D7873" s="28" t="s">
        <v>534</v>
      </c>
      <c r="E7873" s="29" t="s">
        <v>337</v>
      </c>
      <c r="F7873" s="29" t="s">
        <v>287</v>
      </c>
      <c r="G7873" s="25" t="s">
        <v>9481</v>
      </c>
      <c r="H7873" s="26">
        <v>-1.0260520969</v>
      </c>
      <c r="I7873" s="26"/>
      <c r="J7873" s="26" t="s">
        <v>512</v>
      </c>
      <c r="K7873" s="25" t="s">
        <v>526</v>
      </c>
    </row>
    <row r="7874" spans="1:11" ht="25.5" x14ac:dyDescent="0.25">
      <c r="A7874" s="22">
        <v>2026</v>
      </c>
      <c r="B7874" s="28" t="s">
        <v>249</v>
      </c>
      <c r="C7874" s="28" t="s">
        <v>97</v>
      </c>
      <c r="D7874" s="28" t="s">
        <v>534</v>
      </c>
      <c r="E7874" s="29" t="s">
        <v>337</v>
      </c>
      <c r="F7874" s="29" t="s">
        <v>287</v>
      </c>
      <c r="G7874" s="25" t="s">
        <v>9482</v>
      </c>
      <c r="H7874" s="26">
        <v>-2.0234759999999997E-2</v>
      </c>
      <c r="I7874" s="26"/>
      <c r="J7874" s="26" t="s">
        <v>512</v>
      </c>
      <c r="K7874" s="25" t="s">
        <v>526</v>
      </c>
    </row>
    <row r="7875" spans="1:11" ht="25.5" x14ac:dyDescent="0.25">
      <c r="A7875" s="22">
        <v>2026</v>
      </c>
      <c r="B7875" s="28" t="s">
        <v>249</v>
      </c>
      <c r="C7875" s="28" t="s">
        <v>97</v>
      </c>
      <c r="D7875" s="28" t="s">
        <v>534</v>
      </c>
      <c r="E7875" s="29" t="s">
        <v>337</v>
      </c>
      <c r="F7875" s="29" t="s">
        <v>287</v>
      </c>
      <c r="G7875" s="25" t="s">
        <v>9483</v>
      </c>
      <c r="H7875" s="26">
        <v>-1.034735</v>
      </c>
      <c r="I7875" s="26"/>
      <c r="J7875" s="26" t="s">
        <v>512</v>
      </c>
      <c r="K7875" s="25" t="s">
        <v>526</v>
      </c>
    </row>
    <row r="7876" spans="1:11" ht="25.5" x14ac:dyDescent="0.25">
      <c r="A7876" s="22">
        <v>2026</v>
      </c>
      <c r="B7876" s="28" t="s">
        <v>249</v>
      </c>
      <c r="C7876" s="28" t="s">
        <v>97</v>
      </c>
      <c r="D7876" s="28" t="s">
        <v>534</v>
      </c>
      <c r="E7876" s="29" t="s">
        <v>337</v>
      </c>
      <c r="F7876" s="29" t="s">
        <v>287</v>
      </c>
      <c r="G7876" s="25" t="s">
        <v>9484</v>
      </c>
      <c r="H7876" s="26">
        <v>-0.2000240922</v>
      </c>
      <c r="I7876" s="26"/>
      <c r="J7876" s="26" t="s">
        <v>512</v>
      </c>
      <c r="K7876" s="25" t="s">
        <v>526</v>
      </c>
    </row>
    <row r="7877" spans="1:11" ht="25.5" x14ac:dyDescent="0.25">
      <c r="A7877" s="22">
        <v>2026</v>
      </c>
      <c r="B7877" s="28" t="s">
        <v>249</v>
      </c>
      <c r="C7877" s="28" t="s">
        <v>97</v>
      </c>
      <c r="D7877" s="28" t="s">
        <v>534</v>
      </c>
      <c r="E7877" s="29" t="s">
        <v>337</v>
      </c>
      <c r="F7877" s="29" t="s">
        <v>287</v>
      </c>
      <c r="G7877" s="25" t="s">
        <v>9485</v>
      </c>
      <c r="H7877" s="26">
        <v>-1.5426034104999999</v>
      </c>
      <c r="I7877" s="26"/>
      <c r="J7877" s="26" t="s">
        <v>512</v>
      </c>
      <c r="K7877" s="25" t="s">
        <v>526</v>
      </c>
    </row>
    <row r="7878" spans="1:11" ht="25.5" x14ac:dyDescent="0.25">
      <c r="A7878" s="22">
        <v>2026</v>
      </c>
      <c r="B7878" s="28" t="s">
        <v>249</v>
      </c>
      <c r="C7878" s="28" t="s">
        <v>97</v>
      </c>
      <c r="D7878" s="28" t="s">
        <v>534</v>
      </c>
      <c r="E7878" s="29" t="s">
        <v>337</v>
      </c>
      <c r="F7878" s="29" t="s">
        <v>287</v>
      </c>
      <c r="G7878" s="25" t="s">
        <v>9486</v>
      </c>
      <c r="H7878" s="26">
        <v>-0.13486715349999998</v>
      </c>
      <c r="I7878" s="26"/>
      <c r="J7878" s="26" t="s">
        <v>512</v>
      </c>
      <c r="K7878" s="25" t="s">
        <v>526</v>
      </c>
    </row>
    <row r="7879" spans="1:11" ht="25.5" x14ac:dyDescent="0.25">
      <c r="A7879" s="22">
        <v>2026</v>
      </c>
      <c r="B7879" s="28" t="s">
        <v>249</v>
      </c>
      <c r="C7879" s="28" t="s">
        <v>97</v>
      </c>
      <c r="D7879" s="28" t="s">
        <v>534</v>
      </c>
      <c r="E7879" s="29" t="s">
        <v>337</v>
      </c>
      <c r="F7879" s="29" t="s">
        <v>287</v>
      </c>
      <c r="G7879" s="25" t="s">
        <v>9487</v>
      </c>
      <c r="H7879" s="26">
        <v>-8.9241940000000006E-2</v>
      </c>
      <c r="I7879" s="26"/>
      <c r="J7879" s="26" t="s">
        <v>512</v>
      </c>
      <c r="K7879" s="25" t="s">
        <v>526</v>
      </c>
    </row>
    <row r="7880" spans="1:11" ht="25.5" x14ac:dyDescent="0.25">
      <c r="A7880" s="22">
        <v>2026</v>
      </c>
      <c r="B7880" s="28" t="s">
        <v>249</v>
      </c>
      <c r="C7880" s="28" t="s">
        <v>97</v>
      </c>
      <c r="D7880" s="28" t="s">
        <v>534</v>
      </c>
      <c r="E7880" s="29" t="s">
        <v>337</v>
      </c>
      <c r="F7880" s="29" t="s">
        <v>287</v>
      </c>
      <c r="G7880" s="25" t="s">
        <v>9488</v>
      </c>
      <c r="H7880" s="26">
        <v>-0.45511787850000002</v>
      </c>
      <c r="I7880" s="26"/>
      <c r="J7880" s="26" t="s">
        <v>512</v>
      </c>
      <c r="K7880" s="25" t="s">
        <v>526</v>
      </c>
    </row>
    <row r="7881" spans="1:11" ht="25.5" x14ac:dyDescent="0.25">
      <c r="A7881" s="22">
        <v>2026</v>
      </c>
      <c r="B7881" s="28" t="s">
        <v>249</v>
      </c>
      <c r="C7881" s="28" t="s">
        <v>97</v>
      </c>
      <c r="D7881" s="28" t="s">
        <v>534</v>
      </c>
      <c r="E7881" s="29" t="s">
        <v>337</v>
      </c>
      <c r="F7881" s="29" t="s">
        <v>287</v>
      </c>
      <c r="G7881" s="25" t="s">
        <v>9489</v>
      </c>
      <c r="H7881" s="26">
        <v>-1.9540341366</v>
      </c>
      <c r="I7881" s="26"/>
      <c r="J7881" s="26" t="s">
        <v>512</v>
      </c>
      <c r="K7881" s="25" t="s">
        <v>526</v>
      </c>
    </row>
    <row r="7882" spans="1:11" ht="25.5" x14ac:dyDescent="0.25">
      <c r="A7882" s="22">
        <v>2026</v>
      </c>
      <c r="B7882" s="28" t="s">
        <v>249</v>
      </c>
      <c r="C7882" s="28" t="s">
        <v>97</v>
      </c>
      <c r="D7882" s="28" t="s">
        <v>534</v>
      </c>
      <c r="E7882" s="29" t="s">
        <v>337</v>
      </c>
      <c r="F7882" s="29" t="s">
        <v>287</v>
      </c>
      <c r="G7882" s="25" t="s">
        <v>9490</v>
      </c>
      <c r="H7882" s="26">
        <v>-0.39125546459999999</v>
      </c>
      <c r="I7882" s="26"/>
      <c r="J7882" s="26" t="s">
        <v>512</v>
      </c>
      <c r="K7882" s="25" t="s">
        <v>526</v>
      </c>
    </row>
    <row r="7883" spans="1:11" ht="25.5" x14ac:dyDescent="0.25">
      <c r="A7883" s="22">
        <v>2026</v>
      </c>
      <c r="B7883" s="28" t="s">
        <v>249</v>
      </c>
      <c r="C7883" s="28" t="s">
        <v>97</v>
      </c>
      <c r="D7883" s="28" t="s">
        <v>534</v>
      </c>
      <c r="E7883" s="29" t="s">
        <v>337</v>
      </c>
      <c r="F7883" s="29" t="s">
        <v>287</v>
      </c>
      <c r="G7883" s="25" t="s">
        <v>9491</v>
      </c>
      <c r="H7883" s="26">
        <v>-7.5124999999999997E-2</v>
      </c>
      <c r="I7883" s="26"/>
      <c r="J7883" s="26" t="s">
        <v>512</v>
      </c>
      <c r="K7883" s="25" t="s">
        <v>526</v>
      </c>
    </row>
    <row r="7884" spans="1:11" ht="25.5" x14ac:dyDescent="0.25">
      <c r="A7884" s="22">
        <v>2026</v>
      </c>
      <c r="B7884" s="28" t="s">
        <v>249</v>
      </c>
      <c r="C7884" s="28" t="s">
        <v>97</v>
      </c>
      <c r="D7884" s="28" t="s">
        <v>534</v>
      </c>
      <c r="E7884" s="29" t="s">
        <v>337</v>
      </c>
      <c r="F7884" s="29" t="s">
        <v>287</v>
      </c>
      <c r="G7884" s="25" t="s">
        <v>9492</v>
      </c>
      <c r="H7884" s="26">
        <v>-2.0702167939999998</v>
      </c>
      <c r="I7884" s="26"/>
      <c r="J7884" s="26" t="s">
        <v>512</v>
      </c>
      <c r="K7884" s="25" t="s">
        <v>526</v>
      </c>
    </row>
    <row r="7885" spans="1:11" ht="25.5" x14ac:dyDescent="0.25">
      <c r="A7885" s="22">
        <v>2026</v>
      </c>
      <c r="B7885" s="28" t="s">
        <v>249</v>
      </c>
      <c r="C7885" s="28" t="s">
        <v>97</v>
      </c>
      <c r="D7885" s="28" t="s">
        <v>534</v>
      </c>
      <c r="E7885" s="29" t="s">
        <v>337</v>
      </c>
      <c r="F7885" s="29" t="s">
        <v>287</v>
      </c>
      <c r="G7885" s="25" t="s">
        <v>9493</v>
      </c>
      <c r="H7885" s="26">
        <v>-1.3172367570000001</v>
      </c>
      <c r="I7885" s="26"/>
      <c r="J7885" s="26" t="s">
        <v>512</v>
      </c>
      <c r="K7885" s="25" t="s">
        <v>526</v>
      </c>
    </row>
    <row r="7886" spans="1:11" ht="25.5" x14ac:dyDescent="0.25">
      <c r="A7886" s="22">
        <v>2026</v>
      </c>
      <c r="B7886" s="28" t="s">
        <v>249</v>
      </c>
      <c r="C7886" s="28" t="s">
        <v>97</v>
      </c>
      <c r="D7886" s="28" t="s">
        <v>534</v>
      </c>
      <c r="E7886" s="29" t="s">
        <v>337</v>
      </c>
      <c r="F7886" s="29" t="s">
        <v>287</v>
      </c>
      <c r="G7886" s="25" t="s">
        <v>9494</v>
      </c>
      <c r="H7886" s="26">
        <v>-1.1476673340000001</v>
      </c>
      <c r="I7886" s="26"/>
      <c r="J7886" s="26" t="s">
        <v>512</v>
      </c>
      <c r="K7886" s="25" t="s">
        <v>526</v>
      </c>
    </row>
    <row r="7887" spans="1:11" ht="25.5" x14ac:dyDescent="0.25">
      <c r="A7887" s="22">
        <v>2026</v>
      </c>
      <c r="B7887" s="28" t="s">
        <v>249</v>
      </c>
      <c r="C7887" s="28" t="s">
        <v>97</v>
      </c>
      <c r="D7887" s="28" t="s">
        <v>534</v>
      </c>
      <c r="E7887" s="29" t="s">
        <v>337</v>
      </c>
      <c r="F7887" s="29" t="s">
        <v>287</v>
      </c>
      <c r="G7887" s="25" t="s">
        <v>9495</v>
      </c>
      <c r="H7887" s="26">
        <v>-3.1261999999999999</v>
      </c>
      <c r="I7887" s="26"/>
      <c r="J7887" s="26" t="s">
        <v>512</v>
      </c>
      <c r="K7887" s="25" t="s">
        <v>526</v>
      </c>
    </row>
    <row r="7888" spans="1:11" ht="25.5" x14ac:dyDescent="0.25">
      <c r="A7888" s="22">
        <v>2026</v>
      </c>
      <c r="B7888" s="28" t="s">
        <v>249</v>
      </c>
      <c r="C7888" s="28" t="s">
        <v>97</v>
      </c>
      <c r="D7888" s="28" t="s">
        <v>534</v>
      </c>
      <c r="E7888" s="29" t="s">
        <v>337</v>
      </c>
      <c r="F7888" s="29" t="s">
        <v>287</v>
      </c>
      <c r="G7888" s="25" t="s">
        <v>9496</v>
      </c>
      <c r="H7888" s="26">
        <v>-1.2325200000000001</v>
      </c>
      <c r="I7888" s="26"/>
      <c r="J7888" s="26" t="s">
        <v>512</v>
      </c>
      <c r="K7888" s="25" t="s">
        <v>526</v>
      </c>
    </row>
    <row r="7889" spans="1:11" ht="25.5" x14ac:dyDescent="0.25">
      <c r="A7889" s="22">
        <v>2026</v>
      </c>
      <c r="B7889" s="28" t="s">
        <v>249</v>
      </c>
      <c r="C7889" s="28" t="s">
        <v>97</v>
      </c>
      <c r="D7889" s="28" t="s">
        <v>534</v>
      </c>
      <c r="E7889" s="29" t="s">
        <v>337</v>
      </c>
      <c r="F7889" s="29" t="s">
        <v>287</v>
      </c>
      <c r="G7889" s="25" t="s">
        <v>9497</v>
      </c>
      <c r="H7889" s="26">
        <v>-2.4317887089999997</v>
      </c>
      <c r="I7889" s="26"/>
      <c r="J7889" s="26" t="s">
        <v>512</v>
      </c>
      <c r="K7889" s="25" t="s">
        <v>526</v>
      </c>
    </row>
    <row r="7890" spans="1:11" ht="25.5" x14ac:dyDescent="0.25">
      <c r="A7890" s="22">
        <v>2026</v>
      </c>
      <c r="B7890" s="28" t="s">
        <v>249</v>
      </c>
      <c r="C7890" s="28" t="s">
        <v>97</v>
      </c>
      <c r="D7890" s="28" t="s">
        <v>534</v>
      </c>
      <c r="E7890" s="29" t="s">
        <v>337</v>
      </c>
      <c r="F7890" s="29" t="s">
        <v>287</v>
      </c>
      <c r="G7890" s="25" t="s">
        <v>9498</v>
      </c>
      <c r="H7890" s="26">
        <v>-1.0865340216000001</v>
      </c>
      <c r="I7890" s="26"/>
      <c r="J7890" s="26" t="s">
        <v>512</v>
      </c>
      <c r="K7890" s="25" t="s">
        <v>526</v>
      </c>
    </row>
    <row r="7891" spans="1:11" ht="25.5" x14ac:dyDescent="0.25">
      <c r="A7891" s="22">
        <v>2026</v>
      </c>
      <c r="B7891" s="28" t="s">
        <v>249</v>
      </c>
      <c r="C7891" s="28" t="s">
        <v>97</v>
      </c>
      <c r="D7891" s="28" t="s">
        <v>534</v>
      </c>
      <c r="E7891" s="29" t="s">
        <v>337</v>
      </c>
      <c r="F7891" s="29" t="s">
        <v>287</v>
      </c>
      <c r="G7891" s="25" t="s">
        <v>9499</v>
      </c>
      <c r="H7891" s="26">
        <v>-1.1836523999999999</v>
      </c>
      <c r="I7891" s="26"/>
      <c r="J7891" s="26" t="s">
        <v>512</v>
      </c>
      <c r="K7891" s="25" t="s">
        <v>526</v>
      </c>
    </row>
    <row r="7892" spans="1:11" ht="25.5" x14ac:dyDescent="0.25">
      <c r="A7892" s="22">
        <v>2026</v>
      </c>
      <c r="B7892" s="28" t="s">
        <v>249</v>
      </c>
      <c r="C7892" s="28" t="s">
        <v>97</v>
      </c>
      <c r="D7892" s="28" t="s">
        <v>534</v>
      </c>
      <c r="E7892" s="29" t="s">
        <v>337</v>
      </c>
      <c r="F7892" s="29" t="s">
        <v>287</v>
      </c>
      <c r="G7892" s="25" t="s">
        <v>9500</v>
      </c>
      <c r="H7892" s="26">
        <v>-1.2924342</v>
      </c>
      <c r="I7892" s="26"/>
      <c r="J7892" s="26" t="s">
        <v>512</v>
      </c>
      <c r="K7892" s="25" t="s">
        <v>526</v>
      </c>
    </row>
    <row r="7893" spans="1:11" ht="25.5" x14ac:dyDescent="0.25">
      <c r="A7893" s="22">
        <v>2026</v>
      </c>
      <c r="B7893" s="28" t="s">
        <v>249</v>
      </c>
      <c r="C7893" s="28" t="s">
        <v>97</v>
      </c>
      <c r="D7893" s="28" t="s">
        <v>1754</v>
      </c>
      <c r="E7893" s="29" t="s">
        <v>569</v>
      </c>
      <c r="F7893" s="29" t="s">
        <v>474</v>
      </c>
      <c r="G7893" s="25" t="s">
        <v>9501</v>
      </c>
      <c r="H7893" s="26">
        <v>-0.66291033311999992</v>
      </c>
      <c r="I7893" s="26"/>
      <c r="J7893" s="26" t="s">
        <v>512</v>
      </c>
      <c r="K7893" s="25" t="s">
        <v>513</v>
      </c>
    </row>
    <row r="7894" spans="1:11" ht="25.5" x14ac:dyDescent="0.25">
      <c r="A7894" s="22">
        <v>2026</v>
      </c>
      <c r="B7894" s="28" t="s">
        <v>249</v>
      </c>
      <c r="C7894" s="28" t="s">
        <v>97</v>
      </c>
      <c r="D7894" s="28" t="s">
        <v>1754</v>
      </c>
      <c r="E7894" s="29" t="s">
        <v>569</v>
      </c>
      <c r="F7894" s="29" t="s">
        <v>474</v>
      </c>
      <c r="G7894" s="25" t="s">
        <v>9502</v>
      </c>
      <c r="H7894" s="26">
        <v>-0.11600000000000001</v>
      </c>
      <c r="I7894" s="26"/>
      <c r="J7894" s="26" t="s">
        <v>512</v>
      </c>
      <c r="K7894" s="25" t="s">
        <v>513</v>
      </c>
    </row>
    <row r="7895" spans="1:11" ht="25.5" x14ac:dyDescent="0.25">
      <c r="A7895" s="22">
        <v>2026</v>
      </c>
      <c r="B7895" s="28" t="s">
        <v>249</v>
      </c>
      <c r="C7895" s="28" t="s">
        <v>97</v>
      </c>
      <c r="D7895" s="28" t="s">
        <v>1754</v>
      </c>
      <c r="E7895" s="29" t="s">
        <v>569</v>
      </c>
      <c r="F7895" s="29" t="s">
        <v>474</v>
      </c>
      <c r="G7895" s="25" t="s">
        <v>9503</v>
      </c>
      <c r="H7895" s="26">
        <v>-0.69445354559999994</v>
      </c>
      <c r="I7895" s="26"/>
      <c r="J7895" s="26" t="s">
        <v>512</v>
      </c>
      <c r="K7895" s="25" t="s">
        <v>513</v>
      </c>
    </row>
    <row r="7896" spans="1:11" ht="25.5" x14ac:dyDescent="0.25">
      <c r="A7896" s="22">
        <v>2026</v>
      </c>
      <c r="B7896" s="28" t="s">
        <v>249</v>
      </c>
      <c r="C7896" s="28" t="s">
        <v>97</v>
      </c>
      <c r="D7896" s="28" t="s">
        <v>1755</v>
      </c>
      <c r="E7896" s="29" t="s">
        <v>923</v>
      </c>
      <c r="F7896" s="29" t="s">
        <v>340</v>
      </c>
      <c r="G7896" s="25" t="s">
        <v>9504</v>
      </c>
      <c r="H7896" s="26">
        <v>-0.10824</v>
      </c>
      <c r="I7896" s="26"/>
      <c r="J7896" s="26" t="s">
        <v>512</v>
      </c>
      <c r="K7896" s="25" t="s">
        <v>513</v>
      </c>
    </row>
    <row r="7897" spans="1:11" ht="25.5" x14ac:dyDescent="0.25">
      <c r="A7897" s="22">
        <v>2026</v>
      </c>
      <c r="B7897" s="28" t="s">
        <v>249</v>
      </c>
      <c r="C7897" s="28" t="s">
        <v>97</v>
      </c>
      <c r="D7897" s="28" t="s">
        <v>1755</v>
      </c>
      <c r="E7897" s="29" t="s">
        <v>923</v>
      </c>
      <c r="F7897" s="29" t="s">
        <v>340</v>
      </c>
      <c r="G7897" s="25" t="s">
        <v>9505</v>
      </c>
      <c r="H7897" s="26">
        <v>-0.14445</v>
      </c>
      <c r="I7897" s="26"/>
      <c r="J7897" s="26" t="s">
        <v>512</v>
      </c>
      <c r="K7897" s="25" t="s">
        <v>513</v>
      </c>
    </row>
    <row r="7898" spans="1:11" ht="25.5" x14ac:dyDescent="0.25">
      <c r="A7898" s="22">
        <v>2026</v>
      </c>
      <c r="B7898" s="28" t="s">
        <v>249</v>
      </c>
      <c r="C7898" s="28" t="s">
        <v>97</v>
      </c>
      <c r="D7898" s="28" t="s">
        <v>1755</v>
      </c>
      <c r="E7898" s="29" t="s">
        <v>923</v>
      </c>
      <c r="F7898" s="29" t="s">
        <v>340</v>
      </c>
      <c r="G7898" s="25" t="s">
        <v>9506</v>
      </c>
      <c r="H7898" s="26">
        <v>-0.3367</v>
      </c>
      <c r="I7898" s="26"/>
      <c r="J7898" s="26" t="s">
        <v>512</v>
      </c>
      <c r="K7898" s="25" t="s">
        <v>513</v>
      </c>
    </row>
    <row r="7899" spans="1:11" ht="25.5" x14ac:dyDescent="0.25">
      <c r="A7899" s="22">
        <v>2026</v>
      </c>
      <c r="B7899" s="28" t="s">
        <v>249</v>
      </c>
      <c r="C7899" s="28" t="s">
        <v>97</v>
      </c>
      <c r="D7899" s="28" t="s">
        <v>1755</v>
      </c>
      <c r="E7899" s="29" t="s">
        <v>923</v>
      </c>
      <c r="F7899" s="29" t="s">
        <v>340</v>
      </c>
      <c r="G7899" s="25" t="s">
        <v>9507</v>
      </c>
      <c r="H7899" s="26">
        <v>-0.16405</v>
      </c>
      <c r="I7899" s="26"/>
      <c r="J7899" s="26" t="s">
        <v>512</v>
      </c>
      <c r="K7899" s="25" t="s">
        <v>513</v>
      </c>
    </row>
    <row r="7900" spans="1:11" ht="25.5" x14ac:dyDescent="0.25">
      <c r="A7900" s="22">
        <v>2026</v>
      </c>
      <c r="B7900" s="28" t="s">
        <v>249</v>
      </c>
      <c r="C7900" s="28" t="s">
        <v>97</v>
      </c>
      <c r="D7900" s="28" t="s">
        <v>1756</v>
      </c>
      <c r="E7900" s="29" t="s">
        <v>1781</v>
      </c>
      <c r="F7900" s="29" t="s">
        <v>325</v>
      </c>
      <c r="G7900" s="25" t="s">
        <v>9508</v>
      </c>
      <c r="H7900" s="26">
        <v>-2.2814999999999998E-2</v>
      </c>
      <c r="I7900" s="26"/>
      <c r="J7900" s="26" t="s">
        <v>1773</v>
      </c>
      <c r="K7900" s="25" t="s">
        <v>1782</v>
      </c>
    </row>
    <row r="7901" spans="1:11" ht="25.5" x14ac:dyDescent="0.25">
      <c r="A7901" s="22">
        <v>2026</v>
      </c>
      <c r="B7901" s="28" t="s">
        <v>249</v>
      </c>
      <c r="C7901" s="28" t="s">
        <v>97</v>
      </c>
      <c r="D7901" s="28" t="s">
        <v>1756</v>
      </c>
      <c r="E7901" s="29" t="s">
        <v>1781</v>
      </c>
      <c r="F7901" s="29" t="s">
        <v>325</v>
      </c>
      <c r="G7901" s="25" t="s">
        <v>9509</v>
      </c>
      <c r="H7901" s="26">
        <v>-4.7500000000000001E-2</v>
      </c>
      <c r="I7901" s="26"/>
      <c r="J7901" s="26" t="s">
        <v>1773</v>
      </c>
      <c r="K7901" s="25" t="s">
        <v>1782</v>
      </c>
    </row>
    <row r="7902" spans="1:11" ht="25.5" x14ac:dyDescent="0.25">
      <c r="A7902" s="22">
        <v>2026</v>
      </c>
      <c r="B7902" s="28" t="s">
        <v>249</v>
      </c>
      <c r="C7902" s="28" t="s">
        <v>97</v>
      </c>
      <c r="D7902" s="28" t="s">
        <v>182</v>
      </c>
      <c r="E7902" s="29" t="s">
        <v>321</v>
      </c>
      <c r="F7902" s="29" t="s">
        <v>322</v>
      </c>
      <c r="G7902" s="25" t="s">
        <v>9510</v>
      </c>
      <c r="H7902" s="26">
        <v>-3.7976800000000005E-2</v>
      </c>
      <c r="I7902" s="26"/>
      <c r="J7902" s="26" t="s">
        <v>519</v>
      </c>
      <c r="K7902" s="25" t="s">
        <v>513</v>
      </c>
    </row>
    <row r="7903" spans="1:11" ht="25.5" x14ac:dyDescent="0.25">
      <c r="A7903" s="22">
        <v>2026</v>
      </c>
      <c r="B7903" s="28" t="s">
        <v>249</v>
      </c>
      <c r="C7903" s="28" t="s">
        <v>97</v>
      </c>
      <c r="D7903" s="28" t="s">
        <v>1757</v>
      </c>
      <c r="E7903" s="29" t="s">
        <v>1783</v>
      </c>
      <c r="F7903" s="29" t="s">
        <v>322</v>
      </c>
      <c r="G7903" s="25" t="s">
        <v>9511</v>
      </c>
      <c r="H7903" s="26">
        <v>-5.6144317499999999E-2</v>
      </c>
      <c r="I7903" s="26"/>
      <c r="J7903" s="26" t="s">
        <v>514</v>
      </c>
      <c r="K7903" s="25" t="s">
        <v>1768</v>
      </c>
    </row>
    <row r="7904" spans="1:11" ht="25.5" x14ac:dyDescent="0.25">
      <c r="A7904" s="22">
        <v>2026</v>
      </c>
      <c r="B7904" s="28" t="s">
        <v>249</v>
      </c>
      <c r="C7904" s="28" t="s">
        <v>97</v>
      </c>
      <c r="D7904" s="28" t="s">
        <v>531</v>
      </c>
      <c r="E7904" s="29" t="s">
        <v>551</v>
      </c>
      <c r="F7904" s="29" t="s">
        <v>322</v>
      </c>
      <c r="G7904" s="25" t="s">
        <v>9512</v>
      </c>
      <c r="H7904" s="26">
        <v>-0.23136799999999999</v>
      </c>
      <c r="I7904" s="26"/>
      <c r="J7904" s="26" t="s">
        <v>514</v>
      </c>
      <c r="K7904" s="25" t="s">
        <v>513</v>
      </c>
    </row>
    <row r="7905" spans="1:11" ht="25.5" x14ac:dyDescent="0.25">
      <c r="A7905" s="22">
        <v>2026</v>
      </c>
      <c r="B7905" s="28" t="s">
        <v>249</v>
      </c>
      <c r="C7905" s="28" t="s">
        <v>97</v>
      </c>
      <c r="D7905" s="28" t="s">
        <v>531</v>
      </c>
      <c r="E7905" s="29" t="s">
        <v>551</v>
      </c>
      <c r="F7905" s="29" t="s">
        <v>322</v>
      </c>
      <c r="G7905" s="25" t="s">
        <v>9513</v>
      </c>
      <c r="H7905" s="26">
        <v>-0.34374975000000002</v>
      </c>
      <c r="I7905" s="26"/>
      <c r="J7905" s="26" t="s">
        <v>514</v>
      </c>
      <c r="K7905" s="25" t="s">
        <v>513</v>
      </c>
    </row>
    <row r="7906" spans="1:11" ht="25.5" x14ac:dyDescent="0.25">
      <c r="A7906" s="22">
        <v>2026</v>
      </c>
      <c r="B7906" s="28" t="s">
        <v>249</v>
      </c>
      <c r="C7906" s="28" t="s">
        <v>97</v>
      </c>
      <c r="D7906" s="28" t="s">
        <v>531</v>
      </c>
      <c r="E7906" s="29" t="s">
        <v>551</v>
      </c>
      <c r="F7906" s="29" t="s">
        <v>322</v>
      </c>
      <c r="G7906" s="25" t="s">
        <v>9514</v>
      </c>
      <c r="H7906" s="26">
        <v>-0.15519603807000001</v>
      </c>
      <c r="I7906" s="26"/>
      <c r="J7906" s="26" t="s">
        <v>514</v>
      </c>
      <c r="K7906" s="25" t="s">
        <v>513</v>
      </c>
    </row>
    <row r="7907" spans="1:11" ht="25.5" x14ac:dyDescent="0.25">
      <c r="A7907" s="22">
        <v>2026</v>
      </c>
      <c r="B7907" s="28" t="s">
        <v>249</v>
      </c>
      <c r="C7907" s="28" t="s">
        <v>97</v>
      </c>
      <c r="D7907" s="28" t="s">
        <v>531</v>
      </c>
      <c r="E7907" s="29" t="s">
        <v>551</v>
      </c>
      <c r="F7907" s="29" t="s">
        <v>322</v>
      </c>
      <c r="G7907" s="25" t="s">
        <v>9515</v>
      </c>
      <c r="H7907" s="26">
        <v>-0.22750000000000001</v>
      </c>
      <c r="I7907" s="26"/>
      <c r="J7907" s="26" t="s">
        <v>514</v>
      </c>
      <c r="K7907" s="25" t="s">
        <v>513</v>
      </c>
    </row>
    <row r="7908" spans="1:11" ht="25.5" x14ac:dyDescent="0.25">
      <c r="A7908" s="22">
        <v>2026</v>
      </c>
      <c r="B7908" s="28" t="s">
        <v>249</v>
      </c>
      <c r="C7908" s="28" t="s">
        <v>97</v>
      </c>
      <c r="D7908" s="28" t="s">
        <v>531</v>
      </c>
      <c r="E7908" s="29" t="s">
        <v>551</v>
      </c>
      <c r="F7908" s="29" t="s">
        <v>322</v>
      </c>
      <c r="G7908" s="25" t="s">
        <v>9516</v>
      </c>
      <c r="H7908" s="26">
        <v>-0.22595199999999999</v>
      </c>
      <c r="I7908" s="26"/>
      <c r="J7908" s="26" t="s">
        <v>514</v>
      </c>
      <c r="K7908" s="25" t="s">
        <v>513</v>
      </c>
    </row>
    <row r="7909" spans="1:11" ht="25.5" x14ac:dyDescent="0.25">
      <c r="A7909" s="22">
        <v>2026</v>
      </c>
      <c r="B7909" s="28" t="s">
        <v>249</v>
      </c>
      <c r="C7909" s="28" t="s">
        <v>97</v>
      </c>
      <c r="D7909" s="28" t="s">
        <v>531</v>
      </c>
      <c r="E7909" s="29" t="s">
        <v>551</v>
      </c>
      <c r="F7909" s="29" t="s">
        <v>322</v>
      </c>
      <c r="G7909" s="25" t="s">
        <v>9517</v>
      </c>
      <c r="H7909" s="26">
        <v>-0.33705484999999996</v>
      </c>
      <c r="I7909" s="26"/>
      <c r="J7909" s="26" t="s">
        <v>514</v>
      </c>
      <c r="K7909" s="25" t="s">
        <v>513</v>
      </c>
    </row>
    <row r="7910" spans="1:11" ht="25.5" x14ac:dyDescent="0.25">
      <c r="A7910" s="22">
        <v>2026</v>
      </c>
      <c r="B7910" s="28" t="s">
        <v>249</v>
      </c>
      <c r="C7910" s="28" t="s">
        <v>97</v>
      </c>
      <c r="D7910" s="28" t="s">
        <v>531</v>
      </c>
      <c r="E7910" s="29" t="s">
        <v>551</v>
      </c>
      <c r="F7910" s="29" t="s">
        <v>322</v>
      </c>
      <c r="G7910" s="25" t="s">
        <v>9518</v>
      </c>
      <c r="H7910" s="26">
        <v>-0.224</v>
      </c>
      <c r="I7910" s="26"/>
      <c r="J7910" s="26" t="s">
        <v>514</v>
      </c>
      <c r="K7910" s="25" t="s">
        <v>513</v>
      </c>
    </row>
    <row r="7911" spans="1:11" ht="25.5" x14ac:dyDescent="0.25">
      <c r="A7911" s="22">
        <v>2026</v>
      </c>
      <c r="B7911" s="28" t="s">
        <v>249</v>
      </c>
      <c r="C7911" s="28" t="s">
        <v>97</v>
      </c>
      <c r="D7911" s="28" t="s">
        <v>531</v>
      </c>
      <c r="E7911" s="29" t="s">
        <v>551</v>
      </c>
      <c r="F7911" s="29" t="s">
        <v>322</v>
      </c>
      <c r="G7911" s="25" t="s">
        <v>9519</v>
      </c>
      <c r="H7911" s="26">
        <v>-0.13350000000000001</v>
      </c>
      <c r="I7911" s="26"/>
      <c r="J7911" s="26" t="s">
        <v>514</v>
      </c>
      <c r="K7911" s="25" t="s">
        <v>513</v>
      </c>
    </row>
    <row r="7912" spans="1:11" ht="25.5" x14ac:dyDescent="0.25">
      <c r="A7912" s="22">
        <v>2026</v>
      </c>
      <c r="B7912" s="28" t="s">
        <v>249</v>
      </c>
      <c r="C7912" s="28" t="s">
        <v>97</v>
      </c>
      <c r="D7912" s="28" t="s">
        <v>531</v>
      </c>
      <c r="E7912" s="29" t="s">
        <v>551</v>
      </c>
      <c r="F7912" s="29" t="s">
        <v>322</v>
      </c>
      <c r="G7912" s="25" t="s">
        <v>9520</v>
      </c>
      <c r="H7912" s="26">
        <v>-0.1527239484</v>
      </c>
      <c r="I7912" s="26"/>
      <c r="J7912" s="26" t="s">
        <v>514</v>
      </c>
      <c r="K7912" s="25" t="s">
        <v>513</v>
      </c>
    </row>
    <row r="7913" spans="1:11" ht="25.5" x14ac:dyDescent="0.25">
      <c r="A7913" s="22">
        <v>2026</v>
      </c>
      <c r="B7913" s="28" t="s">
        <v>249</v>
      </c>
      <c r="C7913" s="28" t="s">
        <v>97</v>
      </c>
      <c r="D7913" s="28" t="s">
        <v>531</v>
      </c>
      <c r="E7913" s="29" t="s">
        <v>551</v>
      </c>
      <c r="F7913" s="29" t="s">
        <v>322</v>
      </c>
      <c r="G7913" s="25" t="s">
        <v>9521</v>
      </c>
      <c r="H7913" s="26">
        <v>-0.17348160000000001</v>
      </c>
      <c r="I7913" s="26"/>
      <c r="J7913" s="26" t="s">
        <v>514</v>
      </c>
      <c r="K7913" s="25" t="s">
        <v>513</v>
      </c>
    </row>
    <row r="7914" spans="1:11" ht="25.5" x14ac:dyDescent="0.25">
      <c r="A7914" s="22">
        <v>2026</v>
      </c>
      <c r="B7914" s="28" t="s">
        <v>249</v>
      </c>
      <c r="C7914" s="28" t="s">
        <v>97</v>
      </c>
      <c r="D7914" s="28" t="s">
        <v>531</v>
      </c>
      <c r="E7914" s="29" t="s">
        <v>551</v>
      </c>
      <c r="F7914" s="29" t="s">
        <v>322</v>
      </c>
      <c r="G7914" s="25" t="s">
        <v>9522</v>
      </c>
      <c r="H7914" s="26">
        <v>-0.21079999999999999</v>
      </c>
      <c r="I7914" s="26"/>
      <c r="J7914" s="26" t="s">
        <v>514</v>
      </c>
      <c r="K7914" s="25" t="s">
        <v>513</v>
      </c>
    </row>
    <row r="7915" spans="1:11" ht="25.5" x14ac:dyDescent="0.25">
      <c r="A7915" s="22">
        <v>2026</v>
      </c>
      <c r="B7915" s="28" t="s">
        <v>249</v>
      </c>
      <c r="C7915" s="28" t="s">
        <v>97</v>
      </c>
      <c r="D7915" s="28" t="s">
        <v>531</v>
      </c>
      <c r="E7915" s="29" t="s">
        <v>551</v>
      </c>
      <c r="F7915" s="29" t="s">
        <v>322</v>
      </c>
      <c r="G7915" s="25" t="s">
        <v>9523</v>
      </c>
      <c r="H7915" s="26">
        <v>-0.20197967999999999</v>
      </c>
      <c r="I7915" s="26"/>
      <c r="J7915" s="26" t="s">
        <v>514</v>
      </c>
      <c r="K7915" s="25" t="s">
        <v>513</v>
      </c>
    </row>
    <row r="7916" spans="1:11" ht="25.5" x14ac:dyDescent="0.25">
      <c r="A7916" s="22">
        <v>2026</v>
      </c>
      <c r="B7916" s="28" t="s">
        <v>249</v>
      </c>
      <c r="C7916" s="28" t="s">
        <v>97</v>
      </c>
      <c r="D7916" s="28" t="s">
        <v>531</v>
      </c>
      <c r="E7916" s="29" t="s">
        <v>551</v>
      </c>
      <c r="F7916" s="29" t="s">
        <v>322</v>
      </c>
      <c r="G7916" s="25" t="s">
        <v>9524</v>
      </c>
      <c r="H7916" s="26">
        <v>-6.4889776270000005E-2</v>
      </c>
      <c r="I7916" s="26"/>
      <c r="J7916" s="26" t="s">
        <v>514</v>
      </c>
      <c r="K7916" s="25" t="s">
        <v>513</v>
      </c>
    </row>
    <row r="7917" spans="1:11" ht="25.5" x14ac:dyDescent="0.25">
      <c r="A7917" s="22">
        <v>2026</v>
      </c>
      <c r="B7917" s="28" t="s">
        <v>249</v>
      </c>
      <c r="C7917" s="28" t="s">
        <v>97</v>
      </c>
      <c r="D7917" s="28" t="s">
        <v>531</v>
      </c>
      <c r="E7917" s="29" t="s">
        <v>551</v>
      </c>
      <c r="F7917" s="29" t="s">
        <v>322</v>
      </c>
      <c r="G7917" s="25" t="s">
        <v>9525</v>
      </c>
      <c r="H7917" s="26">
        <v>-0.17867414496</v>
      </c>
      <c r="I7917" s="26"/>
      <c r="J7917" s="26" t="s">
        <v>514</v>
      </c>
      <c r="K7917" s="25" t="s">
        <v>513</v>
      </c>
    </row>
    <row r="7918" spans="1:11" ht="25.5" x14ac:dyDescent="0.25">
      <c r="A7918" s="22">
        <v>2026</v>
      </c>
      <c r="B7918" s="28" t="s">
        <v>249</v>
      </c>
      <c r="C7918" s="28" t="s">
        <v>97</v>
      </c>
      <c r="D7918" s="28" t="s">
        <v>531</v>
      </c>
      <c r="E7918" s="29" t="s">
        <v>551</v>
      </c>
      <c r="F7918" s="29" t="s">
        <v>322</v>
      </c>
      <c r="G7918" s="25" t="s">
        <v>9526</v>
      </c>
      <c r="H7918" s="26">
        <v>-0.16436937500000001</v>
      </c>
      <c r="I7918" s="26"/>
      <c r="J7918" s="26" t="s">
        <v>514</v>
      </c>
      <c r="K7918" s="25" t="s">
        <v>513</v>
      </c>
    </row>
    <row r="7919" spans="1:11" ht="25.5" x14ac:dyDescent="0.25">
      <c r="A7919" s="22">
        <v>2026</v>
      </c>
      <c r="B7919" s="28" t="s">
        <v>249</v>
      </c>
      <c r="C7919" s="28" t="s">
        <v>97</v>
      </c>
      <c r="D7919" s="28" t="s">
        <v>228</v>
      </c>
      <c r="E7919" s="29" t="s">
        <v>411</v>
      </c>
      <c r="F7919" s="29" t="s">
        <v>412</v>
      </c>
      <c r="G7919" s="25" t="s">
        <v>9527</v>
      </c>
      <c r="H7919" s="26">
        <v>-1.3776756480000001</v>
      </c>
      <c r="I7919" s="26"/>
      <c r="J7919" s="26" t="s">
        <v>512</v>
      </c>
      <c r="K7919" s="25" t="s">
        <v>513</v>
      </c>
    </row>
    <row r="7920" spans="1:11" ht="25.5" x14ac:dyDescent="0.25">
      <c r="A7920" s="22">
        <v>2026</v>
      </c>
      <c r="B7920" s="28" t="s">
        <v>249</v>
      </c>
      <c r="C7920" s="28" t="s">
        <v>97</v>
      </c>
      <c r="D7920" s="28" t="s">
        <v>228</v>
      </c>
      <c r="E7920" s="29" t="s">
        <v>411</v>
      </c>
      <c r="F7920" s="29" t="s">
        <v>412</v>
      </c>
      <c r="G7920" s="25" t="s">
        <v>9528</v>
      </c>
      <c r="H7920" s="26">
        <v>-3.9469724999999997E-2</v>
      </c>
      <c r="I7920" s="26"/>
      <c r="J7920" s="26" t="s">
        <v>512</v>
      </c>
      <c r="K7920" s="25" t="s">
        <v>513</v>
      </c>
    </row>
    <row r="7921" spans="1:11" ht="25.5" x14ac:dyDescent="0.25">
      <c r="A7921" s="22">
        <v>2026</v>
      </c>
      <c r="B7921" s="28" t="s">
        <v>249</v>
      </c>
      <c r="C7921" s="28" t="s">
        <v>97</v>
      </c>
      <c r="D7921" s="28" t="s">
        <v>228</v>
      </c>
      <c r="E7921" s="29" t="s">
        <v>411</v>
      </c>
      <c r="F7921" s="29" t="s">
        <v>412</v>
      </c>
      <c r="G7921" s="25" t="s">
        <v>9529</v>
      </c>
      <c r="H7921" s="26">
        <v>-1.7638525476</v>
      </c>
      <c r="I7921" s="26"/>
      <c r="J7921" s="26" t="s">
        <v>512</v>
      </c>
      <c r="K7921" s="25" t="s">
        <v>513</v>
      </c>
    </row>
    <row r="7922" spans="1:11" ht="25.5" x14ac:dyDescent="0.25">
      <c r="A7922" s="22">
        <v>2026</v>
      </c>
      <c r="B7922" s="28" t="s">
        <v>249</v>
      </c>
      <c r="C7922" s="28" t="s">
        <v>97</v>
      </c>
      <c r="D7922" s="28" t="s">
        <v>228</v>
      </c>
      <c r="E7922" s="29" t="s">
        <v>411</v>
      </c>
      <c r="F7922" s="29" t="s">
        <v>412</v>
      </c>
      <c r="G7922" s="25" t="s">
        <v>9530</v>
      </c>
      <c r="H7922" s="26">
        <v>-1.1166309410000002</v>
      </c>
      <c r="I7922" s="26"/>
      <c r="J7922" s="26" t="s">
        <v>512</v>
      </c>
      <c r="K7922" s="25" t="s">
        <v>513</v>
      </c>
    </row>
    <row r="7923" spans="1:11" ht="25.5" x14ac:dyDescent="0.25">
      <c r="A7923" s="22">
        <v>2026</v>
      </c>
      <c r="B7923" s="28" t="s">
        <v>249</v>
      </c>
      <c r="C7923" s="28" t="s">
        <v>97</v>
      </c>
      <c r="D7923" s="28" t="s">
        <v>228</v>
      </c>
      <c r="E7923" s="29" t="s">
        <v>411</v>
      </c>
      <c r="F7923" s="29" t="s">
        <v>412</v>
      </c>
      <c r="G7923" s="25" t="s">
        <v>9531</v>
      </c>
      <c r="H7923" s="26">
        <v>-0.46545307199999997</v>
      </c>
      <c r="I7923" s="26"/>
      <c r="J7923" s="26" t="s">
        <v>512</v>
      </c>
      <c r="K7923" s="25" t="s">
        <v>513</v>
      </c>
    </row>
  </sheetData>
  <autoFilter ref="A3:K7923" xr:uid="{6EE11972-A5F3-4C7F-9683-67DFFF81D5E5}"/>
  <sortState xmlns:xlrd2="http://schemas.microsoft.com/office/spreadsheetml/2017/richdata2" ref="A4:K7923">
    <sortCondition ref="A4:A7923"/>
    <sortCondition ref="B4:B7923" customList="Jan,Feb,Mar,Apr,May,Jun,Jul,Aug,Sep,Oct,Nov,Dec"/>
    <sortCondition ref="C4:C7923"/>
    <sortCondition ref="D4:D792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2D52-7FAA-4869-9E3F-72778AF2C86A}">
  <sheetPr codeName="Sheet2"/>
  <dimension ref="A1:T265"/>
  <sheetViews>
    <sheetView showGridLines="0" zoomScaleNormal="100" zoomScaleSheetLayoutView="50" workbookViewId="0">
      <pane ySplit="4" topLeftCell="A5" activePane="bottomLeft" state="frozen"/>
      <selection activeCell="A83" sqref="A83"/>
      <selection pane="bottomLeft"/>
    </sheetView>
  </sheetViews>
  <sheetFormatPr defaultColWidth="9.140625" defaultRowHeight="15" x14ac:dyDescent="0.25"/>
  <cols>
    <col min="1" max="1" width="13.42578125" customWidth="1"/>
    <col min="2" max="2" width="8.7109375" bestFit="1" customWidth="1"/>
    <col min="3" max="3" width="28.5703125" customWidth="1"/>
    <col min="4" max="4" width="33.140625" bestFit="1" customWidth="1"/>
    <col min="5" max="5" width="25.28515625" customWidth="1"/>
    <col min="6" max="6" width="15.7109375" bestFit="1" customWidth="1"/>
    <col min="7" max="7" width="74.85546875" style="6" customWidth="1"/>
    <col min="8" max="9" width="10.140625" style="8" customWidth="1"/>
    <col min="10" max="10" width="10" customWidth="1"/>
    <col min="11" max="11" width="12.140625" style="12" bestFit="1" customWidth="1"/>
    <col min="12" max="12" width="11.140625" style="8" customWidth="1"/>
    <col min="13" max="14" width="11.42578125" style="8" customWidth="1"/>
    <col min="15" max="15" width="10.140625" style="8" customWidth="1"/>
    <col min="16" max="16" width="12" style="12" bestFit="1" customWidth="1"/>
    <col min="17" max="20" width="10.140625" style="8" customWidth="1"/>
  </cols>
  <sheetData>
    <row r="1" spans="1:20" s="3" customFormat="1" x14ac:dyDescent="0.25">
      <c r="A1" s="14" t="s">
        <v>166</v>
      </c>
      <c r="B1" s="30"/>
      <c r="C1" s="31"/>
      <c r="D1" s="31"/>
      <c r="E1" s="31"/>
      <c r="F1" s="32"/>
      <c r="G1" s="33"/>
      <c r="H1" s="34"/>
      <c r="I1" s="34"/>
      <c r="J1" s="35"/>
      <c r="K1" s="36"/>
      <c r="L1" s="34"/>
      <c r="M1" s="34"/>
      <c r="N1" s="34"/>
      <c r="O1" s="34"/>
      <c r="P1" s="37"/>
      <c r="Q1" s="34"/>
      <c r="R1" s="34"/>
      <c r="S1" s="34"/>
      <c r="T1" s="34"/>
    </row>
    <row r="2" spans="1:20" s="3" customFormat="1" x14ac:dyDescent="0.25">
      <c r="A2" s="14" t="s">
        <v>113</v>
      </c>
      <c r="B2" s="30"/>
      <c r="C2" s="31"/>
      <c r="D2" s="31"/>
      <c r="E2" s="31"/>
      <c r="F2" s="32"/>
      <c r="G2" s="33"/>
      <c r="H2" s="34"/>
      <c r="I2" s="34"/>
      <c r="J2" s="35"/>
      <c r="K2" s="36"/>
      <c r="L2" s="34"/>
      <c r="M2" s="34"/>
      <c r="N2" s="34"/>
      <c r="O2" s="34"/>
      <c r="P2" s="37"/>
      <c r="Q2" s="34"/>
      <c r="R2" s="34"/>
      <c r="S2" s="34"/>
      <c r="T2" s="34"/>
    </row>
    <row r="3" spans="1:20" s="3" customFormat="1" x14ac:dyDescent="0.25">
      <c r="A3" s="14" t="s">
        <v>13</v>
      </c>
      <c r="B3" s="30"/>
      <c r="C3" s="31"/>
      <c r="D3" s="31"/>
      <c r="E3" s="31"/>
      <c r="F3" s="32"/>
      <c r="G3" s="33"/>
      <c r="H3" s="34"/>
      <c r="I3" s="34"/>
      <c r="J3" s="35"/>
      <c r="K3" s="36"/>
      <c r="L3" s="34"/>
      <c r="M3" s="34"/>
      <c r="N3" s="34"/>
      <c r="O3" s="34"/>
      <c r="P3" s="37"/>
      <c r="Q3" s="34"/>
      <c r="R3" s="34"/>
      <c r="S3" s="34"/>
      <c r="T3" s="34"/>
    </row>
    <row r="4" spans="1:20" s="3" customFormat="1" ht="38.25" x14ac:dyDescent="0.25">
      <c r="A4" s="59" t="s">
        <v>1</v>
      </c>
      <c r="B4" s="59" t="s">
        <v>2</v>
      </c>
      <c r="C4" s="59" t="s">
        <v>3</v>
      </c>
      <c r="D4" s="59" t="s">
        <v>96</v>
      </c>
      <c r="E4" s="59" t="s">
        <v>4</v>
      </c>
      <c r="F4" s="59" t="s">
        <v>5</v>
      </c>
      <c r="G4" s="59" t="s">
        <v>6</v>
      </c>
      <c r="H4" s="60" t="s">
        <v>98</v>
      </c>
      <c r="I4" s="60" t="s">
        <v>99</v>
      </c>
      <c r="J4" s="60" t="s">
        <v>100</v>
      </c>
      <c r="K4" s="61" t="s">
        <v>101</v>
      </c>
      <c r="L4" s="60" t="s">
        <v>102</v>
      </c>
      <c r="M4" s="60" t="s">
        <v>103</v>
      </c>
      <c r="N4" s="60" t="s">
        <v>104</v>
      </c>
      <c r="O4" s="60" t="s">
        <v>105</v>
      </c>
      <c r="P4" s="61" t="s">
        <v>106</v>
      </c>
      <c r="Q4" s="60" t="s">
        <v>107</v>
      </c>
      <c r="R4" s="60" t="s">
        <v>14</v>
      </c>
      <c r="S4" s="60" t="s">
        <v>15</v>
      </c>
      <c r="T4" s="60" t="s">
        <v>10</v>
      </c>
    </row>
    <row r="5" spans="1:20" s="7" customFormat="1" ht="25.5" x14ac:dyDescent="0.25">
      <c r="A5" s="38">
        <v>2026</v>
      </c>
      <c r="B5" s="24" t="s">
        <v>167</v>
      </c>
      <c r="C5" s="24" t="s">
        <v>97</v>
      </c>
      <c r="D5" s="24" t="s">
        <v>591</v>
      </c>
      <c r="E5" s="24" t="s">
        <v>638</v>
      </c>
      <c r="F5" s="24" t="s">
        <v>579</v>
      </c>
      <c r="G5" s="24" t="s">
        <v>639</v>
      </c>
      <c r="H5" s="39"/>
      <c r="I5" s="39"/>
      <c r="J5" s="24"/>
      <c r="K5" s="40"/>
      <c r="L5" s="39"/>
      <c r="M5" s="39"/>
      <c r="N5" s="39"/>
      <c r="O5" s="39"/>
      <c r="P5" s="40"/>
      <c r="Q5" s="39">
        <v>-0.37500022039999997</v>
      </c>
      <c r="R5" s="39"/>
      <c r="S5" s="39"/>
      <c r="T5" s="39"/>
    </row>
    <row r="6" spans="1:20" s="7" customFormat="1" ht="25.5" x14ac:dyDescent="0.25">
      <c r="A6" s="38">
        <v>2026</v>
      </c>
      <c r="B6" s="24" t="s">
        <v>167</v>
      </c>
      <c r="C6" s="24" t="s">
        <v>97</v>
      </c>
      <c r="D6" s="24" t="s">
        <v>592</v>
      </c>
      <c r="E6" s="24" t="s">
        <v>640</v>
      </c>
      <c r="F6" s="24" t="s">
        <v>579</v>
      </c>
      <c r="G6" s="24" t="s">
        <v>641</v>
      </c>
      <c r="H6" s="39"/>
      <c r="I6" s="39"/>
      <c r="J6" s="24"/>
      <c r="K6" s="40"/>
      <c r="L6" s="39"/>
      <c r="M6" s="39"/>
      <c r="N6" s="39"/>
      <c r="O6" s="39"/>
      <c r="P6" s="40"/>
      <c r="Q6" s="39">
        <v>-0.26983089399999999</v>
      </c>
      <c r="R6" s="39"/>
      <c r="S6" s="39"/>
      <c r="T6" s="39"/>
    </row>
    <row r="7" spans="1:20" s="7" customFormat="1" ht="25.5" x14ac:dyDescent="0.25">
      <c r="A7" s="38">
        <v>2026</v>
      </c>
      <c r="B7" s="24" t="s">
        <v>167</v>
      </c>
      <c r="C7" s="24" t="s">
        <v>97</v>
      </c>
      <c r="D7" s="24" t="s">
        <v>593</v>
      </c>
      <c r="E7" s="24" t="s">
        <v>640</v>
      </c>
      <c r="F7" s="24" t="s">
        <v>579</v>
      </c>
      <c r="G7" s="24" t="s">
        <v>642</v>
      </c>
      <c r="H7" s="39"/>
      <c r="I7" s="39"/>
      <c r="J7" s="24"/>
      <c r="K7" s="40"/>
      <c r="L7" s="39"/>
      <c r="M7" s="39"/>
      <c r="N7" s="39"/>
      <c r="O7" s="39"/>
      <c r="P7" s="40"/>
      <c r="Q7" s="39">
        <v>-1.2875767916</v>
      </c>
      <c r="R7" s="39"/>
      <c r="S7" s="39"/>
      <c r="T7" s="39"/>
    </row>
    <row r="8" spans="1:20" s="7" customFormat="1" ht="25.5" x14ac:dyDescent="0.25">
      <c r="A8" s="38">
        <v>2026</v>
      </c>
      <c r="B8" s="24" t="s">
        <v>167</v>
      </c>
      <c r="C8" s="24" t="s">
        <v>97</v>
      </c>
      <c r="D8" s="24" t="s">
        <v>594</v>
      </c>
      <c r="E8" s="24" t="s">
        <v>643</v>
      </c>
      <c r="F8" s="24" t="s">
        <v>579</v>
      </c>
      <c r="G8" s="24" t="s">
        <v>644</v>
      </c>
      <c r="H8" s="39"/>
      <c r="I8" s="39"/>
      <c r="J8" s="24"/>
      <c r="K8" s="40"/>
      <c r="L8" s="39"/>
      <c r="M8" s="39"/>
      <c r="N8" s="39"/>
      <c r="O8" s="39"/>
      <c r="P8" s="40"/>
      <c r="Q8" s="39">
        <v>-2.3186316743999997</v>
      </c>
      <c r="R8" s="39"/>
      <c r="S8" s="39"/>
      <c r="T8" s="39"/>
    </row>
    <row r="9" spans="1:20" s="7" customFormat="1" ht="25.5" x14ac:dyDescent="0.25">
      <c r="A9" s="38">
        <v>2026</v>
      </c>
      <c r="B9" s="24" t="s">
        <v>167</v>
      </c>
      <c r="C9" s="24" t="s">
        <v>97</v>
      </c>
      <c r="D9" s="24" t="s">
        <v>595</v>
      </c>
      <c r="E9" s="24" t="s">
        <v>643</v>
      </c>
      <c r="F9" s="24" t="s">
        <v>579</v>
      </c>
      <c r="G9" s="24" t="s">
        <v>645</v>
      </c>
      <c r="H9" s="39"/>
      <c r="I9" s="39"/>
      <c r="J9" s="24"/>
      <c r="K9" s="40"/>
      <c r="L9" s="39"/>
      <c r="M9" s="39"/>
      <c r="N9" s="39"/>
      <c r="O9" s="39"/>
      <c r="P9" s="40"/>
      <c r="Q9" s="39">
        <v>-2.1135752941999999</v>
      </c>
      <c r="R9" s="39"/>
      <c r="S9" s="39"/>
      <c r="T9" s="39"/>
    </row>
    <row r="10" spans="1:20" s="7" customFormat="1" ht="25.5" x14ac:dyDescent="0.25">
      <c r="A10" s="38">
        <v>2026</v>
      </c>
      <c r="B10" s="24" t="s">
        <v>167</v>
      </c>
      <c r="C10" s="24" t="s">
        <v>97</v>
      </c>
      <c r="D10" s="24" t="s">
        <v>596</v>
      </c>
      <c r="E10" s="24" t="s">
        <v>646</v>
      </c>
      <c r="F10" s="24" t="s">
        <v>647</v>
      </c>
      <c r="G10" s="24" t="s">
        <v>648</v>
      </c>
      <c r="H10" s="39"/>
      <c r="I10" s="39"/>
      <c r="J10" s="24"/>
      <c r="K10" s="40"/>
      <c r="L10" s="39"/>
      <c r="M10" s="39"/>
      <c r="N10" s="39"/>
      <c r="O10" s="39"/>
      <c r="P10" s="40"/>
      <c r="Q10" s="39">
        <v>-0.41209943450000003</v>
      </c>
      <c r="R10" s="39"/>
      <c r="S10" s="39"/>
      <c r="T10" s="39"/>
    </row>
    <row r="11" spans="1:20" s="7" customFormat="1" ht="25.5" x14ac:dyDescent="0.25">
      <c r="A11" s="38">
        <v>2026</v>
      </c>
      <c r="B11" s="24" t="s">
        <v>167</v>
      </c>
      <c r="C11" s="24" t="s">
        <v>97</v>
      </c>
      <c r="D11" s="24" t="s">
        <v>596</v>
      </c>
      <c r="E11" s="24" t="s">
        <v>646</v>
      </c>
      <c r="F11" s="24" t="s">
        <v>647</v>
      </c>
      <c r="G11" s="24" t="s">
        <v>649</v>
      </c>
      <c r="H11" s="39"/>
      <c r="I11" s="39"/>
      <c r="J11" s="24"/>
      <c r="K11" s="40"/>
      <c r="L11" s="39"/>
      <c r="M11" s="39"/>
      <c r="N11" s="39"/>
      <c r="O11" s="39"/>
      <c r="P11" s="40"/>
      <c r="Q11" s="39">
        <v>-6.3673806600000007E-2</v>
      </c>
      <c r="R11" s="39"/>
      <c r="S11" s="39"/>
      <c r="T11" s="39"/>
    </row>
    <row r="12" spans="1:20" s="7" customFormat="1" ht="25.5" x14ac:dyDescent="0.25">
      <c r="A12" s="38">
        <v>2026</v>
      </c>
      <c r="B12" s="24" t="s">
        <v>167</v>
      </c>
      <c r="C12" s="24" t="s">
        <v>97</v>
      </c>
      <c r="D12" s="24" t="s">
        <v>596</v>
      </c>
      <c r="E12" s="24" t="s">
        <v>646</v>
      </c>
      <c r="F12" s="24" t="s">
        <v>647</v>
      </c>
      <c r="G12" s="24" t="s">
        <v>650</v>
      </c>
      <c r="H12" s="39"/>
      <c r="I12" s="39"/>
      <c r="J12" s="24"/>
      <c r="K12" s="40"/>
      <c r="L12" s="39"/>
      <c r="M12" s="39"/>
      <c r="N12" s="39"/>
      <c r="O12" s="39"/>
      <c r="P12" s="40"/>
      <c r="Q12" s="39">
        <v>-0.19927103069999999</v>
      </c>
      <c r="R12" s="39"/>
      <c r="S12" s="39"/>
      <c r="T12" s="39"/>
    </row>
    <row r="13" spans="1:20" s="7" customFormat="1" ht="25.5" x14ac:dyDescent="0.25">
      <c r="A13" s="38">
        <v>2026</v>
      </c>
      <c r="B13" s="24" t="s">
        <v>167</v>
      </c>
      <c r="C13" s="24" t="s">
        <v>97</v>
      </c>
      <c r="D13" s="24" t="s">
        <v>597</v>
      </c>
      <c r="E13" s="24" t="s">
        <v>651</v>
      </c>
      <c r="F13" s="24" t="s">
        <v>579</v>
      </c>
      <c r="G13" s="24" t="s">
        <v>652</v>
      </c>
      <c r="H13" s="39"/>
      <c r="I13" s="39"/>
      <c r="J13" s="24"/>
      <c r="K13" s="40"/>
      <c r="L13" s="39"/>
      <c r="M13" s="39"/>
      <c r="N13" s="39"/>
      <c r="O13" s="39"/>
      <c r="P13" s="40"/>
      <c r="Q13" s="39">
        <v>-0.41610239999999998</v>
      </c>
      <c r="R13" s="39"/>
      <c r="S13" s="39"/>
      <c r="T13" s="39"/>
    </row>
    <row r="14" spans="1:20" s="7" customFormat="1" ht="25.5" x14ac:dyDescent="0.25">
      <c r="A14" s="38">
        <v>2026</v>
      </c>
      <c r="B14" s="24" t="s">
        <v>167</v>
      </c>
      <c r="C14" s="24" t="s">
        <v>97</v>
      </c>
      <c r="D14" s="24" t="s">
        <v>598</v>
      </c>
      <c r="E14" s="24" t="s">
        <v>651</v>
      </c>
      <c r="F14" s="24" t="s">
        <v>647</v>
      </c>
      <c r="G14" s="24" t="s">
        <v>653</v>
      </c>
      <c r="H14" s="39"/>
      <c r="I14" s="39"/>
      <c r="J14" s="24"/>
      <c r="K14" s="40"/>
      <c r="L14" s="39"/>
      <c r="M14" s="39"/>
      <c r="N14" s="39"/>
      <c r="O14" s="39"/>
      <c r="P14" s="40"/>
      <c r="Q14" s="39">
        <v>-2.1767399999999999E-2</v>
      </c>
      <c r="R14" s="39"/>
      <c r="S14" s="39"/>
      <c r="T14" s="39"/>
    </row>
    <row r="15" spans="1:20" s="7" customFormat="1" ht="25.5" x14ac:dyDescent="0.25">
      <c r="A15" s="38">
        <v>2026</v>
      </c>
      <c r="B15" s="24" t="s">
        <v>167</v>
      </c>
      <c r="C15" s="24" t="s">
        <v>97</v>
      </c>
      <c r="D15" s="24" t="s">
        <v>598</v>
      </c>
      <c r="E15" s="24" t="s">
        <v>651</v>
      </c>
      <c r="F15" s="24" t="s">
        <v>647</v>
      </c>
      <c r="G15" s="24" t="s">
        <v>654</v>
      </c>
      <c r="H15" s="39"/>
      <c r="I15" s="39"/>
      <c r="J15" s="24"/>
      <c r="K15" s="40"/>
      <c r="L15" s="39"/>
      <c r="M15" s="39"/>
      <c r="N15" s="39"/>
      <c r="O15" s="39"/>
      <c r="P15" s="40"/>
      <c r="Q15" s="39">
        <v>-0.17036131999999998</v>
      </c>
      <c r="R15" s="39"/>
      <c r="S15" s="39"/>
      <c r="T15" s="39"/>
    </row>
    <row r="16" spans="1:20" s="7" customFormat="1" ht="25.5" x14ac:dyDescent="0.25">
      <c r="A16" s="38">
        <v>2026</v>
      </c>
      <c r="B16" s="24" t="s">
        <v>167</v>
      </c>
      <c r="C16" s="24" t="s">
        <v>97</v>
      </c>
      <c r="D16" s="24" t="s">
        <v>598</v>
      </c>
      <c r="E16" s="24" t="s">
        <v>651</v>
      </c>
      <c r="F16" s="24" t="s">
        <v>647</v>
      </c>
      <c r="G16" s="24" t="s">
        <v>655</v>
      </c>
      <c r="H16" s="39"/>
      <c r="I16" s="39"/>
      <c r="J16" s="24"/>
      <c r="K16" s="40"/>
      <c r="L16" s="39"/>
      <c r="M16" s="39"/>
      <c r="N16" s="39"/>
      <c r="O16" s="39"/>
      <c r="P16" s="40"/>
      <c r="Q16" s="39">
        <v>-0.18413781999999998</v>
      </c>
      <c r="R16" s="39"/>
      <c r="S16" s="39"/>
      <c r="T16" s="39"/>
    </row>
    <row r="17" spans="1:20" s="7" customFormat="1" ht="25.5" x14ac:dyDescent="0.25">
      <c r="A17" s="38">
        <v>2026</v>
      </c>
      <c r="B17" s="24" t="s">
        <v>167</v>
      </c>
      <c r="C17" s="24" t="s">
        <v>97</v>
      </c>
      <c r="D17" s="24" t="s">
        <v>598</v>
      </c>
      <c r="E17" s="24" t="s">
        <v>651</v>
      </c>
      <c r="F17" s="24" t="s">
        <v>647</v>
      </c>
      <c r="G17" s="24" t="s">
        <v>656</v>
      </c>
      <c r="H17" s="39"/>
      <c r="I17" s="39"/>
      <c r="J17" s="24"/>
      <c r="K17" s="40"/>
      <c r="L17" s="39"/>
      <c r="M17" s="39"/>
      <c r="N17" s="39"/>
      <c r="O17" s="39"/>
      <c r="P17" s="40"/>
      <c r="Q17" s="39">
        <v>-0.14091147000000001</v>
      </c>
      <c r="R17" s="39"/>
      <c r="S17" s="39"/>
      <c r="T17" s="39"/>
    </row>
    <row r="18" spans="1:20" s="7" customFormat="1" ht="25.5" x14ac:dyDescent="0.25">
      <c r="A18" s="38">
        <v>2026</v>
      </c>
      <c r="B18" s="24" t="s">
        <v>167</v>
      </c>
      <c r="C18" s="24" t="s">
        <v>97</v>
      </c>
      <c r="D18" s="24" t="s">
        <v>598</v>
      </c>
      <c r="E18" s="24" t="s">
        <v>651</v>
      </c>
      <c r="F18" s="24" t="s">
        <v>647</v>
      </c>
      <c r="G18" s="24" t="s">
        <v>657</v>
      </c>
      <c r="H18" s="39"/>
      <c r="I18" s="39"/>
      <c r="J18" s="24"/>
      <c r="K18" s="40"/>
      <c r="L18" s="39"/>
      <c r="M18" s="39"/>
      <c r="N18" s="39"/>
      <c r="O18" s="39"/>
      <c r="P18" s="40"/>
      <c r="Q18" s="39">
        <v>-7.2446690000000008E-2</v>
      </c>
      <c r="R18" s="39"/>
      <c r="S18" s="39"/>
      <c r="T18" s="39"/>
    </row>
    <row r="19" spans="1:20" s="7" customFormat="1" ht="25.5" x14ac:dyDescent="0.25">
      <c r="A19" s="38">
        <v>2026</v>
      </c>
      <c r="B19" s="24" t="s">
        <v>167</v>
      </c>
      <c r="C19" s="24" t="s">
        <v>97</v>
      </c>
      <c r="D19" s="24" t="s">
        <v>599</v>
      </c>
      <c r="E19" s="24" t="s">
        <v>658</v>
      </c>
      <c r="F19" s="24" t="s">
        <v>647</v>
      </c>
      <c r="G19" s="24" t="s">
        <v>659</v>
      </c>
      <c r="H19" s="39"/>
      <c r="I19" s="39"/>
      <c r="J19" s="24"/>
      <c r="K19" s="40"/>
      <c r="L19" s="39"/>
      <c r="M19" s="39"/>
      <c r="N19" s="39"/>
      <c r="O19" s="39"/>
      <c r="P19" s="40"/>
      <c r="Q19" s="39">
        <v>-0.68365105874999998</v>
      </c>
      <c r="R19" s="39"/>
      <c r="S19" s="39"/>
      <c r="T19" s="39"/>
    </row>
    <row r="20" spans="1:20" s="7" customFormat="1" ht="25.5" x14ac:dyDescent="0.25">
      <c r="A20" s="38">
        <v>2026</v>
      </c>
      <c r="B20" s="24" t="s">
        <v>167</v>
      </c>
      <c r="C20" s="24" t="s">
        <v>97</v>
      </c>
      <c r="D20" s="24" t="s">
        <v>600</v>
      </c>
      <c r="E20" s="24" t="s">
        <v>658</v>
      </c>
      <c r="F20" s="24" t="s">
        <v>647</v>
      </c>
      <c r="G20" s="24" t="s">
        <v>660</v>
      </c>
      <c r="H20" s="39"/>
      <c r="I20" s="39"/>
      <c r="J20" s="24"/>
      <c r="K20" s="40"/>
      <c r="L20" s="39"/>
      <c r="M20" s="39"/>
      <c r="N20" s="39"/>
      <c r="O20" s="39"/>
      <c r="P20" s="40"/>
      <c r="Q20" s="39">
        <v>-0.52655806020000007</v>
      </c>
      <c r="R20" s="39"/>
      <c r="S20" s="39"/>
      <c r="T20" s="39"/>
    </row>
    <row r="21" spans="1:20" s="7" customFormat="1" ht="25.5" x14ac:dyDescent="0.25">
      <c r="A21" s="38">
        <v>2026</v>
      </c>
      <c r="B21" s="24" t="s">
        <v>167</v>
      </c>
      <c r="C21" s="24" t="s">
        <v>97</v>
      </c>
      <c r="D21" s="24" t="s">
        <v>601</v>
      </c>
      <c r="E21" s="24" t="s">
        <v>661</v>
      </c>
      <c r="F21" s="24" t="s">
        <v>579</v>
      </c>
      <c r="G21" s="24" t="s">
        <v>662</v>
      </c>
      <c r="H21" s="39"/>
      <c r="I21" s="39"/>
      <c r="J21" s="24"/>
      <c r="K21" s="40"/>
      <c r="L21" s="39"/>
      <c r="M21" s="39"/>
      <c r="N21" s="39"/>
      <c r="O21" s="39"/>
      <c r="P21" s="40"/>
      <c r="Q21" s="39">
        <v>-1.2525440262499998</v>
      </c>
      <c r="R21" s="39"/>
      <c r="S21" s="39"/>
      <c r="T21" s="39"/>
    </row>
    <row r="22" spans="1:20" s="7" customFormat="1" ht="25.5" x14ac:dyDescent="0.25">
      <c r="A22" s="38">
        <v>2026</v>
      </c>
      <c r="B22" s="24" t="s">
        <v>167</v>
      </c>
      <c r="C22" s="24" t="s">
        <v>97</v>
      </c>
      <c r="D22" s="24" t="s">
        <v>602</v>
      </c>
      <c r="E22" s="24" t="s">
        <v>661</v>
      </c>
      <c r="F22" s="24" t="s">
        <v>579</v>
      </c>
      <c r="G22" s="24" t="s">
        <v>663</v>
      </c>
      <c r="H22" s="39"/>
      <c r="I22" s="39"/>
      <c r="J22" s="24"/>
      <c r="K22" s="40"/>
      <c r="L22" s="39"/>
      <c r="M22" s="39"/>
      <c r="N22" s="39"/>
      <c r="O22" s="39"/>
      <c r="P22" s="40"/>
      <c r="Q22" s="39">
        <v>-1.7591492047799999</v>
      </c>
      <c r="R22" s="39"/>
      <c r="S22" s="39"/>
      <c r="T22" s="39"/>
    </row>
    <row r="23" spans="1:20" s="7" customFormat="1" ht="38.25" x14ac:dyDescent="0.25">
      <c r="A23" s="38">
        <v>2026</v>
      </c>
      <c r="B23" s="24" t="s">
        <v>167</v>
      </c>
      <c r="C23" s="24" t="s">
        <v>111</v>
      </c>
      <c r="D23" s="24" t="s">
        <v>603</v>
      </c>
      <c r="E23" s="24" t="s">
        <v>664</v>
      </c>
      <c r="F23" s="24" t="s">
        <v>579</v>
      </c>
      <c r="G23" s="24" t="s">
        <v>665</v>
      </c>
      <c r="H23" s="39"/>
      <c r="I23" s="39"/>
      <c r="J23" s="24"/>
      <c r="K23" s="40">
        <v>45925</v>
      </c>
      <c r="L23" s="39" t="s">
        <v>109</v>
      </c>
      <c r="M23" s="39">
        <v>42.5</v>
      </c>
      <c r="N23" s="39"/>
      <c r="O23" s="39"/>
      <c r="P23" s="40">
        <v>46009</v>
      </c>
      <c r="Q23" s="39">
        <v>42.5</v>
      </c>
      <c r="R23" s="39"/>
      <c r="S23" s="39"/>
      <c r="T23" s="39"/>
    </row>
    <row r="24" spans="1:20" s="7" customFormat="1" ht="38.25" x14ac:dyDescent="0.25">
      <c r="A24" s="38">
        <v>2026</v>
      </c>
      <c r="B24" s="24" t="s">
        <v>167</v>
      </c>
      <c r="C24" s="24" t="s">
        <v>111</v>
      </c>
      <c r="D24" s="24" t="s">
        <v>604</v>
      </c>
      <c r="E24" s="24" t="s">
        <v>664</v>
      </c>
      <c r="F24" s="24" t="s">
        <v>579</v>
      </c>
      <c r="G24" s="24" t="s">
        <v>666</v>
      </c>
      <c r="H24" s="39"/>
      <c r="I24" s="39"/>
      <c r="J24" s="24"/>
      <c r="K24" s="40">
        <v>45925</v>
      </c>
      <c r="L24" s="39" t="s">
        <v>109</v>
      </c>
      <c r="M24" s="39">
        <v>42.5</v>
      </c>
      <c r="N24" s="39"/>
      <c r="O24" s="39"/>
      <c r="P24" s="40">
        <v>46009</v>
      </c>
      <c r="Q24" s="39">
        <v>42.5</v>
      </c>
      <c r="R24" s="39"/>
      <c r="S24" s="39"/>
      <c r="T24" s="39"/>
    </row>
    <row r="25" spans="1:20" s="7" customFormat="1" ht="25.5" x14ac:dyDescent="0.25">
      <c r="A25" s="38">
        <v>2026</v>
      </c>
      <c r="B25" s="24" t="s">
        <v>167</v>
      </c>
      <c r="C25" s="24" t="s">
        <v>111</v>
      </c>
      <c r="D25" s="24" t="s">
        <v>605</v>
      </c>
      <c r="E25" s="24" t="s">
        <v>640</v>
      </c>
      <c r="F25" s="24" t="s">
        <v>579</v>
      </c>
      <c r="G25" s="24" t="s">
        <v>667</v>
      </c>
      <c r="H25" s="39"/>
      <c r="I25" s="39"/>
      <c r="J25" s="24"/>
      <c r="K25" s="40">
        <v>45663</v>
      </c>
      <c r="L25" s="39" t="s">
        <v>668</v>
      </c>
      <c r="M25" s="39">
        <v>9.6934339999999999</v>
      </c>
      <c r="N25" s="39" t="s">
        <v>109</v>
      </c>
      <c r="O25" s="39">
        <v>30.306566</v>
      </c>
      <c r="P25" s="40">
        <v>46051</v>
      </c>
      <c r="Q25" s="39">
        <v>40</v>
      </c>
      <c r="R25" s="39"/>
      <c r="S25" s="39"/>
      <c r="T25" s="39"/>
    </row>
    <row r="26" spans="1:20" s="7" customFormat="1" ht="38.25" x14ac:dyDescent="0.25">
      <c r="A26" s="38">
        <v>2026</v>
      </c>
      <c r="B26" s="24" t="s">
        <v>167</v>
      </c>
      <c r="C26" s="24" t="s">
        <v>108</v>
      </c>
      <c r="D26" s="24" t="s">
        <v>597</v>
      </c>
      <c r="E26" s="24" t="s">
        <v>651</v>
      </c>
      <c r="F26" s="24" t="s">
        <v>579</v>
      </c>
      <c r="G26" s="24" t="s">
        <v>669</v>
      </c>
      <c r="H26" s="39"/>
      <c r="I26" s="39"/>
      <c r="J26" s="24"/>
      <c r="K26" s="40"/>
      <c r="L26" s="39" t="s">
        <v>109</v>
      </c>
      <c r="M26" s="39"/>
      <c r="N26" s="39"/>
      <c r="O26" s="39"/>
      <c r="P26" s="40"/>
      <c r="Q26" s="39">
        <v>0.15851675500000001</v>
      </c>
      <c r="R26" s="39"/>
      <c r="S26" s="39"/>
      <c r="T26" s="39"/>
    </row>
    <row r="27" spans="1:20" s="7" customFormat="1" ht="38.25" x14ac:dyDescent="0.25">
      <c r="A27" s="38">
        <v>2026</v>
      </c>
      <c r="B27" s="24" t="s">
        <v>167</v>
      </c>
      <c r="C27" s="24" t="s">
        <v>108</v>
      </c>
      <c r="D27" s="24" t="s">
        <v>606</v>
      </c>
      <c r="E27" s="24" t="s">
        <v>651</v>
      </c>
      <c r="F27" s="24" t="s">
        <v>579</v>
      </c>
      <c r="G27" s="24" t="s">
        <v>670</v>
      </c>
      <c r="H27" s="39"/>
      <c r="I27" s="39"/>
      <c r="J27" s="24"/>
      <c r="K27" s="40"/>
      <c r="L27" s="39" t="s">
        <v>109</v>
      </c>
      <c r="M27" s="39"/>
      <c r="N27" s="39"/>
      <c r="O27" s="39"/>
      <c r="P27" s="40"/>
      <c r="Q27" s="39">
        <v>0.13336513</v>
      </c>
      <c r="R27" s="39"/>
      <c r="S27" s="39"/>
      <c r="T27" s="39"/>
    </row>
    <row r="28" spans="1:20" s="7" customFormat="1" ht="38.25" x14ac:dyDescent="0.25">
      <c r="A28" s="38">
        <v>2026</v>
      </c>
      <c r="B28" s="24" t="s">
        <v>167</v>
      </c>
      <c r="C28" s="24" t="s">
        <v>108</v>
      </c>
      <c r="D28" s="24" t="s">
        <v>607</v>
      </c>
      <c r="E28" s="24" t="s">
        <v>651</v>
      </c>
      <c r="F28" s="24" t="s">
        <v>579</v>
      </c>
      <c r="G28" s="24" t="s">
        <v>671</v>
      </c>
      <c r="H28" s="39"/>
      <c r="I28" s="39"/>
      <c r="J28" s="24"/>
      <c r="K28" s="40"/>
      <c r="L28" s="39" t="s">
        <v>109</v>
      </c>
      <c r="M28" s="39"/>
      <c r="N28" s="39"/>
      <c r="O28" s="39"/>
      <c r="P28" s="40"/>
      <c r="Q28" s="39">
        <v>0.14272349670000001</v>
      </c>
      <c r="R28" s="39"/>
      <c r="S28" s="39"/>
      <c r="T28" s="39"/>
    </row>
    <row r="29" spans="1:20" s="7" customFormat="1" ht="38.25" x14ac:dyDescent="0.25">
      <c r="A29" s="38">
        <v>2026</v>
      </c>
      <c r="B29" s="24" t="s">
        <v>167</v>
      </c>
      <c r="C29" s="24" t="s">
        <v>108</v>
      </c>
      <c r="D29" s="24" t="s">
        <v>608</v>
      </c>
      <c r="E29" s="24" t="s">
        <v>651</v>
      </c>
      <c r="F29" s="24" t="s">
        <v>579</v>
      </c>
      <c r="G29" s="24" t="s">
        <v>672</v>
      </c>
      <c r="H29" s="39"/>
      <c r="I29" s="39"/>
      <c r="J29" s="24"/>
      <c r="K29" s="40"/>
      <c r="L29" s="39" t="s">
        <v>109</v>
      </c>
      <c r="M29" s="39"/>
      <c r="N29" s="39"/>
      <c r="O29" s="39"/>
      <c r="P29" s="40"/>
      <c r="Q29" s="39">
        <v>0.10614498730000001</v>
      </c>
      <c r="R29" s="39"/>
      <c r="S29" s="39"/>
      <c r="T29" s="39"/>
    </row>
    <row r="30" spans="1:20" s="7" customFormat="1" ht="38.25" x14ac:dyDescent="0.25">
      <c r="A30" s="38">
        <v>2026</v>
      </c>
      <c r="B30" s="24" t="s">
        <v>167</v>
      </c>
      <c r="C30" s="24" t="s">
        <v>108</v>
      </c>
      <c r="D30" s="24" t="s">
        <v>609</v>
      </c>
      <c r="E30" s="24" t="s">
        <v>673</v>
      </c>
      <c r="F30" s="24" t="s">
        <v>579</v>
      </c>
      <c r="G30" s="24" t="s">
        <v>674</v>
      </c>
      <c r="H30" s="39"/>
      <c r="I30" s="39"/>
      <c r="J30" s="24"/>
      <c r="K30" s="40"/>
      <c r="L30" s="39" t="s">
        <v>109</v>
      </c>
      <c r="M30" s="39"/>
      <c r="N30" s="39"/>
      <c r="O30" s="39"/>
      <c r="P30" s="40"/>
      <c r="Q30" s="39">
        <v>0.55291824000000012</v>
      </c>
      <c r="R30" s="39"/>
      <c r="S30" s="39"/>
      <c r="T30" s="39"/>
    </row>
    <row r="31" spans="1:20" s="7" customFormat="1" ht="38.25" x14ac:dyDescent="0.25">
      <c r="A31" s="38">
        <v>2026</v>
      </c>
      <c r="B31" s="24" t="s">
        <v>167</v>
      </c>
      <c r="C31" s="24" t="s">
        <v>108</v>
      </c>
      <c r="D31" s="24" t="s">
        <v>610</v>
      </c>
      <c r="E31" s="24" t="s">
        <v>673</v>
      </c>
      <c r="F31" s="24" t="s">
        <v>579</v>
      </c>
      <c r="G31" s="24" t="s">
        <v>675</v>
      </c>
      <c r="H31" s="39"/>
      <c r="I31" s="39"/>
      <c r="J31" s="24"/>
      <c r="K31" s="40"/>
      <c r="L31" s="39" t="s">
        <v>109</v>
      </c>
      <c r="M31" s="39"/>
      <c r="N31" s="39"/>
      <c r="O31" s="39"/>
      <c r="P31" s="40"/>
      <c r="Q31" s="39">
        <v>0.35180142399999997</v>
      </c>
      <c r="R31" s="39"/>
      <c r="S31" s="39"/>
      <c r="T31" s="39"/>
    </row>
    <row r="32" spans="1:20" s="7" customFormat="1" ht="38.25" x14ac:dyDescent="0.25">
      <c r="A32" s="38">
        <v>2026</v>
      </c>
      <c r="B32" s="24" t="s">
        <v>167</v>
      </c>
      <c r="C32" s="24" t="s">
        <v>108</v>
      </c>
      <c r="D32" s="24" t="s">
        <v>599</v>
      </c>
      <c r="E32" s="24" t="s">
        <v>658</v>
      </c>
      <c r="F32" s="24" t="s">
        <v>647</v>
      </c>
      <c r="G32" s="24" t="s">
        <v>676</v>
      </c>
      <c r="H32" s="39"/>
      <c r="I32" s="39"/>
      <c r="J32" s="24"/>
      <c r="K32" s="40"/>
      <c r="L32" s="39" t="s">
        <v>109</v>
      </c>
      <c r="M32" s="39"/>
      <c r="N32" s="39"/>
      <c r="O32" s="39"/>
      <c r="P32" s="40"/>
      <c r="Q32" s="39">
        <v>1.060517172</v>
      </c>
      <c r="R32" s="39"/>
      <c r="S32" s="39"/>
      <c r="T32" s="39"/>
    </row>
    <row r="33" spans="1:20" s="7" customFormat="1" ht="38.25" x14ac:dyDescent="0.25">
      <c r="A33" s="38">
        <v>2026</v>
      </c>
      <c r="B33" s="24" t="s">
        <v>167</v>
      </c>
      <c r="C33" s="24" t="s">
        <v>108</v>
      </c>
      <c r="D33" s="24" t="s">
        <v>611</v>
      </c>
      <c r="E33" s="24" t="s">
        <v>677</v>
      </c>
      <c r="F33" s="24" t="s">
        <v>579</v>
      </c>
      <c r="G33" s="24" t="s">
        <v>678</v>
      </c>
      <c r="H33" s="39"/>
      <c r="I33" s="39"/>
      <c r="J33" s="24"/>
      <c r="K33" s="40"/>
      <c r="L33" s="39" t="s">
        <v>109</v>
      </c>
      <c r="M33" s="39"/>
      <c r="N33" s="39"/>
      <c r="O33" s="39"/>
      <c r="P33" s="40"/>
      <c r="Q33" s="39">
        <v>1.1086967449999998</v>
      </c>
      <c r="R33" s="39"/>
      <c r="S33" s="39"/>
      <c r="T33" s="39"/>
    </row>
    <row r="34" spans="1:20" s="7" customFormat="1" ht="38.25" x14ac:dyDescent="0.25">
      <c r="A34" s="38">
        <v>2026</v>
      </c>
      <c r="B34" s="24" t="s">
        <v>167</v>
      </c>
      <c r="C34" s="24" t="s">
        <v>108</v>
      </c>
      <c r="D34" s="24" t="s">
        <v>612</v>
      </c>
      <c r="E34" s="24" t="s">
        <v>679</v>
      </c>
      <c r="F34" s="24" t="s">
        <v>579</v>
      </c>
      <c r="G34" s="24" t="s">
        <v>680</v>
      </c>
      <c r="H34" s="39"/>
      <c r="I34" s="39"/>
      <c r="J34" s="24"/>
      <c r="K34" s="40"/>
      <c r="L34" s="39" t="s">
        <v>109</v>
      </c>
      <c r="M34" s="39"/>
      <c r="N34" s="39"/>
      <c r="O34" s="39"/>
      <c r="P34" s="40"/>
      <c r="Q34" s="39">
        <v>0.55603681250000003</v>
      </c>
      <c r="R34" s="39"/>
      <c r="S34" s="39"/>
      <c r="T34" s="39"/>
    </row>
    <row r="35" spans="1:20" s="7" customFormat="1" ht="38.25" x14ac:dyDescent="0.25">
      <c r="A35" s="38">
        <v>2026</v>
      </c>
      <c r="B35" s="24" t="s">
        <v>167</v>
      </c>
      <c r="C35" s="24" t="s">
        <v>108</v>
      </c>
      <c r="D35" s="24" t="s">
        <v>613</v>
      </c>
      <c r="E35" s="24" t="s">
        <v>679</v>
      </c>
      <c r="F35" s="24" t="s">
        <v>579</v>
      </c>
      <c r="G35" s="24" t="s">
        <v>681</v>
      </c>
      <c r="H35" s="39"/>
      <c r="I35" s="39"/>
      <c r="J35" s="24"/>
      <c r="K35" s="40"/>
      <c r="L35" s="39" t="s">
        <v>109</v>
      </c>
      <c r="M35" s="39"/>
      <c r="N35" s="39"/>
      <c r="O35" s="39"/>
      <c r="P35" s="40"/>
      <c r="Q35" s="39">
        <v>0.69448496199999998</v>
      </c>
      <c r="R35" s="39"/>
      <c r="S35" s="39"/>
      <c r="T35" s="39"/>
    </row>
    <row r="36" spans="1:20" s="7" customFormat="1" ht="25.5" x14ac:dyDescent="0.25">
      <c r="A36" s="38">
        <v>2026</v>
      </c>
      <c r="B36" s="24" t="s">
        <v>183</v>
      </c>
      <c r="C36" s="24" t="s">
        <v>97</v>
      </c>
      <c r="D36" s="24" t="s">
        <v>614</v>
      </c>
      <c r="E36" s="24" t="s">
        <v>643</v>
      </c>
      <c r="F36" s="24" t="s">
        <v>579</v>
      </c>
      <c r="G36" s="24" t="s">
        <v>682</v>
      </c>
      <c r="H36" s="39"/>
      <c r="I36" s="39"/>
      <c r="J36" s="24"/>
      <c r="K36" s="40"/>
      <c r="L36" s="39"/>
      <c r="M36" s="39"/>
      <c r="N36" s="39"/>
      <c r="O36" s="39"/>
      <c r="P36" s="40"/>
      <c r="Q36" s="39">
        <v>-4.7679808559999994</v>
      </c>
      <c r="R36" s="39"/>
      <c r="S36" s="39"/>
      <c r="T36" s="39"/>
    </row>
    <row r="37" spans="1:20" s="7" customFormat="1" ht="25.5" x14ac:dyDescent="0.25">
      <c r="A37" s="38">
        <v>2026</v>
      </c>
      <c r="B37" s="24" t="s">
        <v>183</v>
      </c>
      <c r="C37" s="24" t="s">
        <v>97</v>
      </c>
      <c r="D37" s="24" t="s">
        <v>615</v>
      </c>
      <c r="E37" s="24" t="s">
        <v>643</v>
      </c>
      <c r="F37" s="24" t="s">
        <v>579</v>
      </c>
      <c r="G37" s="24" t="s">
        <v>683</v>
      </c>
      <c r="H37" s="39"/>
      <c r="I37" s="39"/>
      <c r="J37" s="24"/>
      <c r="K37" s="40"/>
      <c r="L37" s="39"/>
      <c r="M37" s="39"/>
      <c r="N37" s="39"/>
      <c r="O37" s="39"/>
      <c r="P37" s="40"/>
      <c r="Q37" s="39">
        <v>-4.5979991649</v>
      </c>
      <c r="R37" s="39"/>
      <c r="S37" s="39"/>
      <c r="T37" s="39"/>
    </row>
    <row r="38" spans="1:20" s="7" customFormat="1" ht="25.5" x14ac:dyDescent="0.25">
      <c r="A38" s="38">
        <v>2026</v>
      </c>
      <c r="B38" s="24" t="s">
        <v>183</v>
      </c>
      <c r="C38" s="24" t="s">
        <v>97</v>
      </c>
      <c r="D38" s="24" t="s">
        <v>596</v>
      </c>
      <c r="E38" s="24" t="s">
        <v>646</v>
      </c>
      <c r="F38" s="24" t="s">
        <v>647</v>
      </c>
      <c r="G38" s="24" t="s">
        <v>684</v>
      </c>
      <c r="H38" s="39"/>
      <c r="I38" s="39"/>
      <c r="J38" s="24"/>
      <c r="K38" s="40"/>
      <c r="L38" s="39"/>
      <c r="M38" s="39"/>
      <c r="N38" s="39"/>
      <c r="O38" s="39"/>
      <c r="P38" s="40"/>
      <c r="Q38" s="39">
        <v>-0.22784326800000002</v>
      </c>
      <c r="R38" s="39"/>
      <c r="S38" s="39"/>
      <c r="T38" s="39"/>
    </row>
    <row r="39" spans="1:20" s="7" customFormat="1" ht="25.5" x14ac:dyDescent="0.25">
      <c r="A39" s="38">
        <v>2026</v>
      </c>
      <c r="B39" s="24" t="s">
        <v>183</v>
      </c>
      <c r="C39" s="24" t="s">
        <v>97</v>
      </c>
      <c r="D39" s="24" t="s">
        <v>596</v>
      </c>
      <c r="E39" s="24" t="s">
        <v>646</v>
      </c>
      <c r="F39" s="24" t="s">
        <v>647</v>
      </c>
      <c r="G39" s="24" t="s">
        <v>685</v>
      </c>
      <c r="H39" s="39"/>
      <c r="I39" s="39"/>
      <c r="J39" s="24"/>
      <c r="K39" s="40"/>
      <c r="L39" s="39"/>
      <c r="M39" s="39"/>
      <c r="N39" s="39"/>
      <c r="O39" s="39"/>
      <c r="P39" s="40"/>
      <c r="Q39" s="39">
        <v>-0.1146968584</v>
      </c>
      <c r="R39" s="39"/>
      <c r="S39" s="39"/>
      <c r="T39" s="39"/>
    </row>
    <row r="40" spans="1:20" s="7" customFormat="1" ht="25.5" x14ac:dyDescent="0.25">
      <c r="A40" s="38">
        <v>2026</v>
      </c>
      <c r="B40" s="24" t="s">
        <v>183</v>
      </c>
      <c r="C40" s="24" t="s">
        <v>97</v>
      </c>
      <c r="D40" s="24" t="s">
        <v>606</v>
      </c>
      <c r="E40" s="24" t="s">
        <v>651</v>
      </c>
      <c r="F40" s="24" t="s">
        <v>579</v>
      </c>
      <c r="G40" s="24" t="s">
        <v>686</v>
      </c>
      <c r="H40" s="39"/>
      <c r="I40" s="39"/>
      <c r="J40" s="24"/>
      <c r="K40" s="40"/>
      <c r="L40" s="39"/>
      <c r="M40" s="39"/>
      <c r="N40" s="39"/>
      <c r="O40" s="39"/>
      <c r="P40" s="40"/>
      <c r="Q40" s="39">
        <v>-0.44620179600000004</v>
      </c>
      <c r="R40" s="39"/>
      <c r="S40" s="39"/>
      <c r="T40" s="39"/>
    </row>
    <row r="41" spans="1:20" s="7" customFormat="1" ht="25.5" x14ac:dyDescent="0.25">
      <c r="A41" s="38">
        <v>2026</v>
      </c>
      <c r="B41" s="24" t="s">
        <v>183</v>
      </c>
      <c r="C41" s="24" t="s">
        <v>97</v>
      </c>
      <c r="D41" s="24" t="s">
        <v>608</v>
      </c>
      <c r="E41" s="24" t="s">
        <v>651</v>
      </c>
      <c r="F41" s="24" t="s">
        <v>579</v>
      </c>
      <c r="G41" s="24" t="s">
        <v>687</v>
      </c>
      <c r="H41" s="39"/>
      <c r="I41" s="39"/>
      <c r="J41" s="24"/>
      <c r="K41" s="40"/>
      <c r="L41" s="39"/>
      <c r="M41" s="39"/>
      <c r="N41" s="39"/>
      <c r="O41" s="39"/>
      <c r="P41" s="40"/>
      <c r="Q41" s="39">
        <v>-0.78021618999999998</v>
      </c>
      <c r="R41" s="39"/>
      <c r="S41" s="39"/>
      <c r="T41" s="39"/>
    </row>
    <row r="42" spans="1:20" s="7" customFormat="1" ht="25.5" x14ac:dyDescent="0.25">
      <c r="A42" s="38">
        <v>2026</v>
      </c>
      <c r="B42" s="24" t="s">
        <v>183</v>
      </c>
      <c r="C42" s="24" t="s">
        <v>97</v>
      </c>
      <c r="D42" s="24" t="s">
        <v>608</v>
      </c>
      <c r="E42" s="24" t="s">
        <v>651</v>
      </c>
      <c r="F42" s="24" t="s">
        <v>579</v>
      </c>
      <c r="G42" s="24" t="s">
        <v>688</v>
      </c>
      <c r="H42" s="39"/>
      <c r="I42" s="39"/>
      <c r="J42" s="24"/>
      <c r="K42" s="40"/>
      <c r="L42" s="39"/>
      <c r="M42" s="39"/>
      <c r="N42" s="39"/>
      <c r="O42" s="39"/>
      <c r="P42" s="40"/>
      <c r="Q42" s="39">
        <v>-1.9030649999999996E-2</v>
      </c>
      <c r="R42" s="39"/>
      <c r="S42" s="39"/>
      <c r="T42" s="39"/>
    </row>
    <row r="43" spans="1:20" s="7" customFormat="1" ht="25.5" x14ac:dyDescent="0.25">
      <c r="A43" s="38">
        <v>2026</v>
      </c>
      <c r="B43" s="24" t="s">
        <v>183</v>
      </c>
      <c r="C43" s="24" t="s">
        <v>97</v>
      </c>
      <c r="D43" s="24" t="s">
        <v>598</v>
      </c>
      <c r="E43" s="24" t="s">
        <v>651</v>
      </c>
      <c r="F43" s="24" t="s">
        <v>647</v>
      </c>
      <c r="G43" s="24" t="s">
        <v>689</v>
      </c>
      <c r="H43" s="39"/>
      <c r="I43" s="39"/>
      <c r="J43" s="24"/>
      <c r="K43" s="40"/>
      <c r="L43" s="39"/>
      <c r="M43" s="39"/>
      <c r="N43" s="39"/>
      <c r="O43" s="39"/>
      <c r="P43" s="40"/>
      <c r="Q43" s="39">
        <v>-3.114374E-2</v>
      </c>
      <c r="R43" s="39"/>
      <c r="S43" s="39"/>
      <c r="T43" s="39"/>
    </row>
    <row r="44" spans="1:20" s="7" customFormat="1" ht="25.5" x14ac:dyDescent="0.25">
      <c r="A44" s="38">
        <v>2026</v>
      </c>
      <c r="B44" s="24" t="s">
        <v>183</v>
      </c>
      <c r="C44" s="24" t="s">
        <v>97</v>
      </c>
      <c r="D44" s="24" t="s">
        <v>598</v>
      </c>
      <c r="E44" s="24" t="s">
        <v>651</v>
      </c>
      <c r="F44" s="24" t="s">
        <v>647</v>
      </c>
      <c r="G44" s="24" t="s">
        <v>690</v>
      </c>
      <c r="H44" s="39"/>
      <c r="I44" s="39"/>
      <c r="J44" s="24"/>
      <c r="K44" s="40"/>
      <c r="L44" s="39"/>
      <c r="M44" s="39"/>
      <c r="N44" s="39"/>
      <c r="O44" s="39"/>
      <c r="P44" s="40"/>
      <c r="Q44" s="39">
        <v>-1.927746E-2</v>
      </c>
      <c r="R44" s="39"/>
      <c r="S44" s="39"/>
      <c r="T44" s="39"/>
    </row>
    <row r="45" spans="1:20" s="7" customFormat="1" ht="25.5" x14ac:dyDescent="0.25">
      <c r="A45" s="38">
        <v>2026</v>
      </c>
      <c r="B45" s="24" t="s">
        <v>183</v>
      </c>
      <c r="C45" s="24" t="s">
        <v>97</v>
      </c>
      <c r="D45" s="24" t="s">
        <v>598</v>
      </c>
      <c r="E45" s="24" t="s">
        <v>651</v>
      </c>
      <c r="F45" s="24" t="s">
        <v>647</v>
      </c>
      <c r="G45" s="24" t="s">
        <v>691</v>
      </c>
      <c r="H45" s="39"/>
      <c r="I45" s="39"/>
      <c r="J45" s="24"/>
      <c r="K45" s="40"/>
      <c r="L45" s="39"/>
      <c r="M45" s="39"/>
      <c r="N45" s="39"/>
      <c r="O45" s="39"/>
      <c r="P45" s="40"/>
      <c r="Q45" s="39">
        <v>-8.6099640000000005E-2</v>
      </c>
      <c r="R45" s="39"/>
      <c r="S45" s="39"/>
      <c r="T45" s="39"/>
    </row>
    <row r="46" spans="1:20" s="7" customFormat="1" ht="25.5" x14ac:dyDescent="0.25">
      <c r="A46" s="38">
        <v>2026</v>
      </c>
      <c r="B46" s="24" t="s">
        <v>183</v>
      </c>
      <c r="C46" s="24" t="s">
        <v>97</v>
      </c>
      <c r="D46" s="24" t="s">
        <v>598</v>
      </c>
      <c r="E46" s="24" t="s">
        <v>651</v>
      </c>
      <c r="F46" s="24" t="s">
        <v>647</v>
      </c>
      <c r="G46" s="24" t="s">
        <v>692</v>
      </c>
      <c r="H46" s="39"/>
      <c r="I46" s="39"/>
      <c r="J46" s="24"/>
      <c r="K46" s="40"/>
      <c r="L46" s="39"/>
      <c r="M46" s="39"/>
      <c r="N46" s="39"/>
      <c r="O46" s="39"/>
      <c r="P46" s="40"/>
      <c r="Q46" s="39">
        <v>-7.5440069999999998E-2</v>
      </c>
      <c r="R46" s="39"/>
      <c r="S46" s="39"/>
      <c r="T46" s="39"/>
    </row>
    <row r="47" spans="1:20" s="7" customFormat="1" ht="25.5" x14ac:dyDescent="0.25">
      <c r="A47" s="38">
        <v>2026</v>
      </c>
      <c r="B47" s="24" t="s">
        <v>183</v>
      </c>
      <c r="C47" s="24" t="s">
        <v>97</v>
      </c>
      <c r="D47" s="24" t="s">
        <v>599</v>
      </c>
      <c r="E47" s="24" t="s">
        <v>658</v>
      </c>
      <c r="F47" s="24" t="s">
        <v>647</v>
      </c>
      <c r="G47" s="24" t="s">
        <v>693</v>
      </c>
      <c r="H47" s="39"/>
      <c r="I47" s="39"/>
      <c r="J47" s="24"/>
      <c r="K47" s="40"/>
      <c r="L47" s="39"/>
      <c r="M47" s="39"/>
      <c r="N47" s="39"/>
      <c r="O47" s="39"/>
      <c r="P47" s="40"/>
      <c r="Q47" s="39">
        <v>-0.40681777229999999</v>
      </c>
      <c r="R47" s="39"/>
      <c r="S47" s="39"/>
      <c r="T47" s="39"/>
    </row>
    <row r="48" spans="1:20" s="7" customFormat="1" ht="25.5" x14ac:dyDescent="0.25">
      <c r="A48" s="38">
        <v>2026</v>
      </c>
      <c r="B48" s="24" t="s">
        <v>183</v>
      </c>
      <c r="C48" s="24" t="s">
        <v>97</v>
      </c>
      <c r="D48" s="24" t="s">
        <v>600</v>
      </c>
      <c r="E48" s="24" t="s">
        <v>658</v>
      </c>
      <c r="F48" s="24" t="s">
        <v>647</v>
      </c>
      <c r="G48" s="24" t="s">
        <v>694</v>
      </c>
      <c r="H48" s="39"/>
      <c r="I48" s="39"/>
      <c r="J48" s="24"/>
      <c r="K48" s="40"/>
      <c r="L48" s="39"/>
      <c r="M48" s="39"/>
      <c r="N48" s="39"/>
      <c r="O48" s="39"/>
      <c r="P48" s="40"/>
      <c r="Q48" s="39">
        <v>-0.31111278659999997</v>
      </c>
      <c r="R48" s="39"/>
      <c r="S48" s="39"/>
      <c r="T48" s="39"/>
    </row>
    <row r="49" spans="1:20" s="7" customFormat="1" ht="25.5" x14ac:dyDescent="0.25">
      <c r="A49" s="38">
        <v>2026</v>
      </c>
      <c r="B49" s="24" t="s">
        <v>183</v>
      </c>
      <c r="C49" s="24" t="s">
        <v>97</v>
      </c>
      <c r="D49" s="24" t="s">
        <v>612</v>
      </c>
      <c r="E49" s="24" t="s">
        <v>679</v>
      </c>
      <c r="F49" s="24" t="s">
        <v>579</v>
      </c>
      <c r="G49" s="24" t="s">
        <v>695</v>
      </c>
      <c r="H49" s="39"/>
      <c r="I49" s="39"/>
      <c r="J49" s="24"/>
      <c r="K49" s="40"/>
      <c r="L49" s="39"/>
      <c r="M49" s="39"/>
      <c r="N49" s="39"/>
      <c r="O49" s="39"/>
      <c r="P49" s="40"/>
      <c r="Q49" s="39">
        <v>-2.1101816736000001</v>
      </c>
      <c r="R49" s="39"/>
      <c r="S49" s="39"/>
      <c r="T49" s="39"/>
    </row>
    <row r="50" spans="1:20" s="7" customFormat="1" ht="25.5" x14ac:dyDescent="0.25">
      <c r="A50" s="38">
        <v>2026</v>
      </c>
      <c r="B50" s="24" t="s">
        <v>183</v>
      </c>
      <c r="C50" s="24" t="s">
        <v>97</v>
      </c>
      <c r="D50" s="24" t="s">
        <v>613</v>
      </c>
      <c r="E50" s="24" t="s">
        <v>679</v>
      </c>
      <c r="F50" s="24" t="s">
        <v>579</v>
      </c>
      <c r="G50" s="24" t="s">
        <v>696</v>
      </c>
      <c r="H50" s="39"/>
      <c r="I50" s="39"/>
      <c r="J50" s="24"/>
      <c r="K50" s="40"/>
      <c r="L50" s="39"/>
      <c r="M50" s="39"/>
      <c r="N50" s="39"/>
      <c r="O50" s="39"/>
      <c r="P50" s="40"/>
      <c r="Q50" s="39">
        <v>-1.6530057038000001</v>
      </c>
      <c r="R50" s="39"/>
      <c r="S50" s="39"/>
      <c r="T50" s="39"/>
    </row>
    <row r="51" spans="1:20" s="7" customFormat="1" ht="25.5" x14ac:dyDescent="0.25">
      <c r="A51" s="38">
        <v>2026</v>
      </c>
      <c r="B51" s="24" t="s">
        <v>183</v>
      </c>
      <c r="C51" s="24" t="s">
        <v>97</v>
      </c>
      <c r="D51" s="24" t="s">
        <v>616</v>
      </c>
      <c r="E51" s="24" t="s">
        <v>697</v>
      </c>
      <c r="F51" s="24" t="s">
        <v>647</v>
      </c>
      <c r="G51" s="24" t="s">
        <v>698</v>
      </c>
      <c r="H51" s="39"/>
      <c r="I51" s="39"/>
      <c r="J51" s="24"/>
      <c r="K51" s="40"/>
      <c r="L51" s="39"/>
      <c r="M51" s="39"/>
      <c r="N51" s="39"/>
      <c r="O51" s="39"/>
      <c r="P51" s="40"/>
      <c r="Q51" s="39">
        <v>-1.8868732500000001</v>
      </c>
      <c r="R51" s="39"/>
      <c r="S51" s="39"/>
      <c r="T51" s="39"/>
    </row>
    <row r="52" spans="1:20" s="7" customFormat="1" ht="25.5" x14ac:dyDescent="0.25">
      <c r="A52" s="38">
        <v>2026</v>
      </c>
      <c r="B52" s="24" t="s">
        <v>183</v>
      </c>
      <c r="C52" s="24" t="s">
        <v>111</v>
      </c>
      <c r="D52" s="24" t="s">
        <v>617</v>
      </c>
      <c r="E52" s="24" t="s">
        <v>699</v>
      </c>
      <c r="F52" s="24" t="s">
        <v>579</v>
      </c>
      <c r="G52" s="24" t="s">
        <v>700</v>
      </c>
      <c r="H52" s="39"/>
      <c r="I52" s="39"/>
      <c r="J52" s="24"/>
      <c r="K52" s="40">
        <v>45964</v>
      </c>
      <c r="L52" s="39" t="s">
        <v>109</v>
      </c>
      <c r="M52" s="39">
        <v>30</v>
      </c>
      <c r="N52" s="39"/>
      <c r="O52" s="39"/>
      <c r="P52" s="40">
        <v>46064</v>
      </c>
      <c r="Q52" s="39">
        <v>30</v>
      </c>
      <c r="R52" s="39"/>
      <c r="S52" s="39"/>
      <c r="T52" s="39"/>
    </row>
    <row r="53" spans="1:20" s="7" customFormat="1" ht="25.5" x14ac:dyDescent="0.25">
      <c r="A53" s="38">
        <v>2026</v>
      </c>
      <c r="B53" s="24" t="s">
        <v>183</v>
      </c>
      <c r="C53" s="24" t="s">
        <v>111</v>
      </c>
      <c r="D53" s="24" t="s">
        <v>618</v>
      </c>
      <c r="E53" s="24" t="s">
        <v>640</v>
      </c>
      <c r="F53" s="24" t="s">
        <v>579</v>
      </c>
      <c r="G53" s="24" t="s">
        <v>701</v>
      </c>
      <c r="H53" s="39"/>
      <c r="I53" s="39"/>
      <c r="J53" s="24"/>
      <c r="K53" s="40">
        <v>46043</v>
      </c>
      <c r="L53" s="39" t="s">
        <v>109</v>
      </c>
      <c r="M53" s="39">
        <v>40</v>
      </c>
      <c r="N53" s="39"/>
      <c r="O53" s="39"/>
      <c r="P53" s="40">
        <v>46057</v>
      </c>
      <c r="Q53" s="39">
        <v>40</v>
      </c>
      <c r="R53" s="39"/>
      <c r="S53" s="39"/>
      <c r="T53" s="39"/>
    </row>
    <row r="54" spans="1:20" s="7" customFormat="1" ht="38.25" x14ac:dyDescent="0.25">
      <c r="A54" s="38">
        <v>2026</v>
      </c>
      <c r="B54" s="24" t="s">
        <v>183</v>
      </c>
      <c r="C54" s="24" t="s">
        <v>111</v>
      </c>
      <c r="D54" s="24" t="s">
        <v>619</v>
      </c>
      <c r="E54" s="24" t="s">
        <v>702</v>
      </c>
      <c r="F54" s="24" t="s">
        <v>579</v>
      </c>
      <c r="G54" s="24" t="s">
        <v>703</v>
      </c>
      <c r="H54" s="39"/>
      <c r="I54" s="39"/>
      <c r="J54" s="24"/>
      <c r="K54" s="40">
        <v>45705</v>
      </c>
      <c r="L54" s="39" t="s">
        <v>109</v>
      </c>
      <c r="M54" s="39">
        <v>2.3461829999999999</v>
      </c>
      <c r="N54" s="39"/>
      <c r="O54" s="39"/>
      <c r="P54" s="40">
        <v>46055</v>
      </c>
      <c r="Q54" s="39">
        <v>2.3461829999999999</v>
      </c>
      <c r="R54" s="39"/>
      <c r="S54" s="39"/>
      <c r="T54" s="39"/>
    </row>
    <row r="55" spans="1:20" s="7" customFormat="1" ht="25.5" x14ac:dyDescent="0.25">
      <c r="A55" s="38">
        <v>2026</v>
      </c>
      <c r="B55" s="24" t="s">
        <v>183</v>
      </c>
      <c r="C55" s="24" t="s">
        <v>111</v>
      </c>
      <c r="D55" s="24" t="s">
        <v>620</v>
      </c>
      <c r="E55" s="24" t="s">
        <v>673</v>
      </c>
      <c r="F55" s="24" t="s">
        <v>579</v>
      </c>
      <c r="G55" s="24" t="s">
        <v>704</v>
      </c>
      <c r="H55" s="39"/>
      <c r="I55" s="39"/>
      <c r="J55" s="24"/>
      <c r="K55" s="40">
        <v>45924</v>
      </c>
      <c r="L55" s="39" t="s">
        <v>109</v>
      </c>
      <c r="M55" s="39">
        <v>30</v>
      </c>
      <c r="N55" s="39"/>
      <c r="O55" s="39"/>
      <c r="P55" s="40">
        <v>46076</v>
      </c>
      <c r="Q55" s="39">
        <v>30</v>
      </c>
      <c r="R55" s="39"/>
      <c r="S55" s="39"/>
      <c r="T55" s="39"/>
    </row>
    <row r="56" spans="1:20" s="7" customFormat="1" ht="38.25" x14ac:dyDescent="0.25">
      <c r="A56" s="38">
        <v>2026</v>
      </c>
      <c r="B56" s="24" t="s">
        <v>183</v>
      </c>
      <c r="C56" s="24" t="s">
        <v>111</v>
      </c>
      <c r="D56" s="24" t="s">
        <v>621</v>
      </c>
      <c r="E56" s="24" t="s">
        <v>705</v>
      </c>
      <c r="F56" s="24" t="s">
        <v>579</v>
      </c>
      <c r="G56" s="24" t="s">
        <v>706</v>
      </c>
      <c r="H56" s="39"/>
      <c r="I56" s="39"/>
      <c r="J56" s="24"/>
      <c r="K56" s="40">
        <v>45705</v>
      </c>
      <c r="L56" s="39" t="s">
        <v>668</v>
      </c>
      <c r="M56" s="39">
        <v>0</v>
      </c>
      <c r="N56" s="39" t="s">
        <v>109</v>
      </c>
      <c r="O56" s="39">
        <v>0.66</v>
      </c>
      <c r="P56" s="40">
        <v>46064</v>
      </c>
      <c r="Q56" s="39">
        <v>0.65811699999999995</v>
      </c>
      <c r="R56" s="39"/>
      <c r="S56" s="39"/>
      <c r="T56" s="39"/>
    </row>
    <row r="57" spans="1:20" s="7" customFormat="1" ht="38.25" x14ac:dyDescent="0.25">
      <c r="A57" s="38">
        <v>2026</v>
      </c>
      <c r="B57" s="24" t="s">
        <v>183</v>
      </c>
      <c r="C57" s="24" t="s">
        <v>108</v>
      </c>
      <c r="D57" s="24" t="s">
        <v>617</v>
      </c>
      <c r="E57" s="24" t="s">
        <v>699</v>
      </c>
      <c r="F57" s="24" t="s">
        <v>579</v>
      </c>
      <c r="G57" s="24" t="s">
        <v>707</v>
      </c>
      <c r="H57" s="39"/>
      <c r="I57" s="39"/>
      <c r="J57" s="24"/>
      <c r="K57" s="40"/>
      <c r="L57" s="39" t="s">
        <v>109</v>
      </c>
      <c r="M57" s="39"/>
      <c r="N57" s="39"/>
      <c r="O57" s="39"/>
      <c r="P57" s="40"/>
      <c r="Q57" s="39">
        <v>1.0496492900000001</v>
      </c>
      <c r="R57" s="39"/>
      <c r="S57" s="39"/>
      <c r="T57" s="39"/>
    </row>
    <row r="58" spans="1:20" s="7" customFormat="1" ht="38.25" x14ac:dyDescent="0.25">
      <c r="A58" s="38">
        <v>2026</v>
      </c>
      <c r="B58" s="24" t="s">
        <v>183</v>
      </c>
      <c r="C58" s="24" t="s">
        <v>108</v>
      </c>
      <c r="D58" s="24" t="s">
        <v>596</v>
      </c>
      <c r="E58" s="24" t="s">
        <v>646</v>
      </c>
      <c r="F58" s="24" t="s">
        <v>647</v>
      </c>
      <c r="G58" s="24" t="s">
        <v>708</v>
      </c>
      <c r="H58" s="39"/>
      <c r="I58" s="39"/>
      <c r="J58" s="24"/>
      <c r="K58" s="40"/>
      <c r="L58" s="39" t="s">
        <v>109</v>
      </c>
      <c r="M58" s="39"/>
      <c r="N58" s="39"/>
      <c r="O58" s="39"/>
      <c r="P58" s="40"/>
      <c r="Q58" s="39">
        <v>1.2369876949999998</v>
      </c>
      <c r="R58" s="39"/>
      <c r="S58" s="39"/>
      <c r="T58" s="39"/>
    </row>
    <row r="59" spans="1:20" s="7" customFormat="1" ht="38.25" x14ac:dyDescent="0.25">
      <c r="A59" s="38">
        <v>2026</v>
      </c>
      <c r="B59" s="24" t="s">
        <v>183</v>
      </c>
      <c r="C59" s="24" t="s">
        <v>108</v>
      </c>
      <c r="D59" s="24" t="s">
        <v>616</v>
      </c>
      <c r="E59" s="24" t="s">
        <v>697</v>
      </c>
      <c r="F59" s="24" t="s">
        <v>647</v>
      </c>
      <c r="G59" s="24" t="s">
        <v>709</v>
      </c>
      <c r="H59" s="39"/>
      <c r="I59" s="39"/>
      <c r="J59" s="24"/>
      <c r="K59" s="40"/>
      <c r="L59" s="39" t="s">
        <v>109</v>
      </c>
      <c r="M59" s="39"/>
      <c r="N59" s="39"/>
      <c r="O59" s="39"/>
      <c r="P59" s="40"/>
      <c r="Q59" s="39">
        <v>1.1377628659999999</v>
      </c>
      <c r="R59" s="39"/>
      <c r="S59" s="39"/>
      <c r="T59" s="39"/>
    </row>
    <row r="60" spans="1:20" s="7" customFormat="1" ht="12.75" x14ac:dyDescent="0.25">
      <c r="A60" s="38">
        <v>2026</v>
      </c>
      <c r="B60" s="24" t="s">
        <v>183</v>
      </c>
      <c r="C60" s="24" t="s">
        <v>622</v>
      </c>
      <c r="D60" s="24" t="s">
        <v>623</v>
      </c>
      <c r="E60" s="24" t="s">
        <v>710</v>
      </c>
      <c r="F60" s="24" t="s">
        <v>579</v>
      </c>
      <c r="G60" s="24" t="s">
        <v>711</v>
      </c>
      <c r="H60" s="39"/>
      <c r="I60" s="39"/>
      <c r="J60" s="24"/>
      <c r="K60" s="40"/>
      <c r="L60" s="39"/>
      <c r="M60" s="39"/>
      <c r="N60" s="39"/>
      <c r="O60" s="39"/>
      <c r="P60" s="40"/>
      <c r="Q60" s="39"/>
      <c r="R60" s="39"/>
      <c r="S60" s="39"/>
      <c r="T60" s="39"/>
    </row>
    <row r="61" spans="1:20" s="7" customFormat="1" ht="25.5" x14ac:dyDescent="0.25">
      <c r="A61" s="38">
        <v>2026</v>
      </c>
      <c r="B61" s="24" t="s">
        <v>192</v>
      </c>
      <c r="C61" s="24" t="s">
        <v>97</v>
      </c>
      <c r="D61" s="24" t="s">
        <v>617</v>
      </c>
      <c r="E61" s="24" t="s">
        <v>699</v>
      </c>
      <c r="F61" s="24" t="s">
        <v>579</v>
      </c>
      <c r="G61" s="24" t="s">
        <v>712</v>
      </c>
      <c r="H61" s="39"/>
      <c r="I61" s="39"/>
      <c r="J61" s="24"/>
      <c r="K61" s="40"/>
      <c r="L61" s="39"/>
      <c r="M61" s="39"/>
      <c r="N61" s="39"/>
      <c r="O61" s="39"/>
      <c r="P61" s="40"/>
      <c r="Q61" s="39">
        <v>-2.9816921332000001</v>
      </c>
      <c r="R61" s="39"/>
      <c r="S61" s="39"/>
      <c r="T61" s="39"/>
    </row>
    <row r="62" spans="1:20" s="7" customFormat="1" ht="25.5" x14ac:dyDescent="0.25">
      <c r="A62" s="38">
        <v>2026</v>
      </c>
      <c r="B62" s="24" t="s">
        <v>192</v>
      </c>
      <c r="C62" s="24" t="s">
        <v>97</v>
      </c>
      <c r="D62" s="24" t="s">
        <v>614</v>
      </c>
      <c r="E62" s="24" t="s">
        <v>643</v>
      </c>
      <c r="F62" s="24" t="s">
        <v>579</v>
      </c>
      <c r="G62" s="24" t="s">
        <v>713</v>
      </c>
      <c r="H62" s="39"/>
      <c r="I62" s="39"/>
      <c r="J62" s="24"/>
      <c r="K62" s="40"/>
      <c r="L62" s="39"/>
      <c r="M62" s="39"/>
      <c r="N62" s="39"/>
      <c r="O62" s="39"/>
      <c r="P62" s="40"/>
      <c r="Q62" s="39">
        <v>-0.57508999999999999</v>
      </c>
      <c r="R62" s="39"/>
      <c r="S62" s="39"/>
      <c r="T62" s="39"/>
    </row>
    <row r="63" spans="1:20" s="7" customFormat="1" ht="25.5" x14ac:dyDescent="0.25">
      <c r="A63" s="38">
        <v>2026</v>
      </c>
      <c r="B63" s="24" t="s">
        <v>192</v>
      </c>
      <c r="C63" s="24" t="s">
        <v>97</v>
      </c>
      <c r="D63" s="24" t="s">
        <v>615</v>
      </c>
      <c r="E63" s="24" t="s">
        <v>643</v>
      </c>
      <c r="F63" s="24" t="s">
        <v>579</v>
      </c>
      <c r="G63" s="24" t="s">
        <v>714</v>
      </c>
      <c r="H63" s="39"/>
      <c r="I63" s="39"/>
      <c r="J63" s="24"/>
      <c r="K63" s="40"/>
      <c r="L63" s="39"/>
      <c r="M63" s="39"/>
      <c r="N63" s="39"/>
      <c r="O63" s="39"/>
      <c r="P63" s="40"/>
      <c r="Q63" s="39">
        <v>-0.1952985636</v>
      </c>
      <c r="R63" s="39"/>
      <c r="S63" s="39"/>
      <c r="T63" s="39"/>
    </row>
    <row r="64" spans="1:20" s="7" customFormat="1" ht="25.5" x14ac:dyDescent="0.25">
      <c r="A64" s="38">
        <v>2026</v>
      </c>
      <c r="B64" s="24" t="s">
        <v>192</v>
      </c>
      <c r="C64" s="24" t="s">
        <v>97</v>
      </c>
      <c r="D64" s="24" t="s">
        <v>603</v>
      </c>
      <c r="E64" s="24" t="s">
        <v>664</v>
      </c>
      <c r="F64" s="24" t="s">
        <v>579</v>
      </c>
      <c r="G64" s="24" t="s">
        <v>715</v>
      </c>
      <c r="H64" s="39"/>
      <c r="I64" s="39"/>
      <c r="J64" s="24"/>
      <c r="K64" s="40"/>
      <c r="L64" s="39"/>
      <c r="M64" s="39"/>
      <c r="N64" s="39"/>
      <c r="O64" s="39"/>
      <c r="P64" s="40"/>
      <c r="Q64" s="39">
        <v>-1.5539589351</v>
      </c>
      <c r="R64" s="39"/>
      <c r="S64" s="39"/>
      <c r="T64" s="39"/>
    </row>
    <row r="65" spans="1:20" s="7" customFormat="1" ht="25.5" x14ac:dyDescent="0.25">
      <c r="A65" s="38">
        <v>2026</v>
      </c>
      <c r="B65" s="24" t="s">
        <v>192</v>
      </c>
      <c r="C65" s="24" t="s">
        <v>97</v>
      </c>
      <c r="D65" s="24" t="s">
        <v>604</v>
      </c>
      <c r="E65" s="24" t="s">
        <v>664</v>
      </c>
      <c r="F65" s="24" t="s">
        <v>579</v>
      </c>
      <c r="G65" s="24" t="s">
        <v>716</v>
      </c>
      <c r="H65" s="39"/>
      <c r="I65" s="39"/>
      <c r="J65" s="24"/>
      <c r="K65" s="40"/>
      <c r="L65" s="39"/>
      <c r="M65" s="39"/>
      <c r="N65" s="39"/>
      <c r="O65" s="39"/>
      <c r="P65" s="40"/>
      <c r="Q65" s="39">
        <v>-1.2964574966000002</v>
      </c>
      <c r="R65" s="39"/>
      <c r="S65" s="39"/>
      <c r="T65" s="39"/>
    </row>
    <row r="66" spans="1:20" s="7" customFormat="1" ht="25.5" x14ac:dyDescent="0.25">
      <c r="A66" s="38">
        <v>2026</v>
      </c>
      <c r="B66" s="24" t="s">
        <v>192</v>
      </c>
      <c r="C66" s="24" t="s">
        <v>97</v>
      </c>
      <c r="D66" s="24" t="s">
        <v>592</v>
      </c>
      <c r="E66" s="24" t="s">
        <v>640</v>
      </c>
      <c r="F66" s="24" t="s">
        <v>579</v>
      </c>
      <c r="G66" s="24" t="s">
        <v>717</v>
      </c>
      <c r="H66" s="39"/>
      <c r="I66" s="39"/>
      <c r="J66" s="24"/>
      <c r="K66" s="40"/>
      <c r="L66" s="39"/>
      <c r="M66" s="39"/>
      <c r="N66" s="39"/>
      <c r="O66" s="39"/>
      <c r="P66" s="40"/>
      <c r="Q66" s="39">
        <v>-0.3561414564</v>
      </c>
      <c r="R66" s="39"/>
      <c r="S66" s="39"/>
      <c r="T66" s="39"/>
    </row>
    <row r="67" spans="1:20" s="7" customFormat="1" ht="25.5" x14ac:dyDescent="0.25">
      <c r="A67" s="38">
        <v>2026</v>
      </c>
      <c r="B67" s="24" t="s">
        <v>192</v>
      </c>
      <c r="C67" s="24" t="s">
        <v>97</v>
      </c>
      <c r="D67" s="24" t="s">
        <v>596</v>
      </c>
      <c r="E67" s="24" t="s">
        <v>646</v>
      </c>
      <c r="F67" s="24" t="s">
        <v>647</v>
      </c>
      <c r="G67" s="24" t="s">
        <v>718</v>
      </c>
      <c r="H67" s="39"/>
      <c r="I67" s="39"/>
      <c r="J67" s="24"/>
      <c r="K67" s="40"/>
      <c r="L67" s="39"/>
      <c r="M67" s="39"/>
      <c r="N67" s="39"/>
      <c r="O67" s="39"/>
      <c r="P67" s="40"/>
      <c r="Q67" s="39">
        <v>-8.4347279999999997E-2</v>
      </c>
      <c r="R67" s="39"/>
      <c r="S67" s="39"/>
      <c r="T67" s="39"/>
    </row>
    <row r="68" spans="1:20" s="7" customFormat="1" ht="25.5" x14ac:dyDescent="0.25">
      <c r="A68" s="38">
        <v>2026</v>
      </c>
      <c r="B68" s="24" t="s">
        <v>192</v>
      </c>
      <c r="C68" s="24" t="s">
        <v>97</v>
      </c>
      <c r="D68" s="24" t="s">
        <v>596</v>
      </c>
      <c r="E68" s="24" t="s">
        <v>646</v>
      </c>
      <c r="F68" s="24" t="s">
        <v>647</v>
      </c>
      <c r="G68" s="24" t="s">
        <v>719</v>
      </c>
      <c r="H68" s="39"/>
      <c r="I68" s="39"/>
      <c r="J68" s="24"/>
      <c r="K68" s="40"/>
      <c r="L68" s="39"/>
      <c r="M68" s="39"/>
      <c r="N68" s="39"/>
      <c r="O68" s="39"/>
      <c r="P68" s="40"/>
      <c r="Q68" s="39">
        <v>-0.1293004173</v>
      </c>
      <c r="R68" s="39"/>
      <c r="S68" s="39"/>
      <c r="T68" s="39"/>
    </row>
    <row r="69" spans="1:20" s="7" customFormat="1" ht="25.5" x14ac:dyDescent="0.25">
      <c r="A69" s="38">
        <v>2026</v>
      </c>
      <c r="B69" s="24" t="s">
        <v>192</v>
      </c>
      <c r="C69" s="24" t="s">
        <v>97</v>
      </c>
      <c r="D69" s="24" t="s">
        <v>596</v>
      </c>
      <c r="E69" s="24" t="s">
        <v>646</v>
      </c>
      <c r="F69" s="24" t="s">
        <v>647</v>
      </c>
      <c r="G69" s="24" t="s">
        <v>720</v>
      </c>
      <c r="H69" s="39"/>
      <c r="I69" s="39"/>
      <c r="J69" s="24"/>
      <c r="K69" s="40"/>
      <c r="L69" s="39"/>
      <c r="M69" s="39"/>
      <c r="N69" s="39"/>
      <c r="O69" s="39"/>
      <c r="P69" s="40"/>
      <c r="Q69" s="39">
        <v>-4.7891547E-2</v>
      </c>
      <c r="R69" s="39"/>
      <c r="S69" s="39"/>
      <c r="T69" s="39"/>
    </row>
    <row r="70" spans="1:20" s="7" customFormat="1" ht="25.5" x14ac:dyDescent="0.25">
      <c r="A70" s="38">
        <v>2026</v>
      </c>
      <c r="B70" s="24" t="s">
        <v>192</v>
      </c>
      <c r="C70" s="24" t="s">
        <v>97</v>
      </c>
      <c r="D70" s="24" t="s">
        <v>596</v>
      </c>
      <c r="E70" s="24" t="s">
        <v>646</v>
      </c>
      <c r="F70" s="24" t="s">
        <v>647</v>
      </c>
      <c r="G70" s="24" t="s">
        <v>721</v>
      </c>
      <c r="H70" s="39"/>
      <c r="I70" s="39"/>
      <c r="J70" s="24"/>
      <c r="K70" s="40"/>
      <c r="L70" s="39"/>
      <c r="M70" s="39"/>
      <c r="N70" s="39"/>
      <c r="O70" s="39"/>
      <c r="P70" s="40"/>
      <c r="Q70" s="39">
        <v>-4.3135650599999999E-2</v>
      </c>
      <c r="R70" s="39"/>
      <c r="S70" s="39"/>
      <c r="T70" s="39"/>
    </row>
    <row r="71" spans="1:20" s="7" customFormat="1" ht="25.5" x14ac:dyDescent="0.25">
      <c r="A71" s="38">
        <v>2026</v>
      </c>
      <c r="B71" s="24" t="s">
        <v>192</v>
      </c>
      <c r="C71" s="24" t="s">
        <v>97</v>
      </c>
      <c r="D71" s="24" t="s">
        <v>598</v>
      </c>
      <c r="E71" s="24" t="s">
        <v>651</v>
      </c>
      <c r="F71" s="24" t="s">
        <v>647</v>
      </c>
      <c r="G71" s="24" t="s">
        <v>722</v>
      </c>
      <c r="H71" s="39"/>
      <c r="I71" s="39"/>
      <c r="J71" s="24"/>
      <c r="K71" s="40"/>
      <c r="L71" s="39"/>
      <c r="M71" s="39"/>
      <c r="N71" s="39"/>
      <c r="O71" s="39"/>
      <c r="P71" s="40"/>
      <c r="Q71" s="39">
        <v>-3.7562894999999999E-2</v>
      </c>
      <c r="R71" s="39"/>
      <c r="S71" s="39"/>
      <c r="T71" s="39"/>
    </row>
    <row r="72" spans="1:20" s="7" customFormat="1" ht="25.5" x14ac:dyDescent="0.25">
      <c r="A72" s="38">
        <v>2026</v>
      </c>
      <c r="B72" s="24" t="s">
        <v>192</v>
      </c>
      <c r="C72" s="24" t="s">
        <v>97</v>
      </c>
      <c r="D72" s="24" t="s">
        <v>598</v>
      </c>
      <c r="E72" s="24" t="s">
        <v>651</v>
      </c>
      <c r="F72" s="24" t="s">
        <v>647</v>
      </c>
      <c r="G72" s="24" t="s">
        <v>723</v>
      </c>
      <c r="H72" s="39"/>
      <c r="I72" s="39"/>
      <c r="J72" s="24"/>
      <c r="K72" s="40"/>
      <c r="L72" s="39"/>
      <c r="M72" s="39"/>
      <c r="N72" s="39"/>
      <c r="O72" s="39"/>
      <c r="P72" s="40"/>
      <c r="Q72" s="39">
        <v>-6.6231760000000015E-2</v>
      </c>
      <c r="R72" s="39"/>
      <c r="S72" s="39"/>
      <c r="T72" s="39"/>
    </row>
    <row r="73" spans="1:20" s="7" customFormat="1" ht="25.5" x14ac:dyDescent="0.25">
      <c r="A73" s="38">
        <v>2026</v>
      </c>
      <c r="B73" s="24" t="s">
        <v>192</v>
      </c>
      <c r="C73" s="24" t="s">
        <v>97</v>
      </c>
      <c r="D73" s="24" t="s">
        <v>598</v>
      </c>
      <c r="E73" s="24" t="s">
        <v>651</v>
      </c>
      <c r="F73" s="24" t="s">
        <v>647</v>
      </c>
      <c r="G73" s="24" t="s">
        <v>724</v>
      </c>
      <c r="H73" s="39"/>
      <c r="I73" s="39"/>
      <c r="J73" s="24"/>
      <c r="K73" s="40"/>
      <c r="L73" s="39"/>
      <c r="M73" s="39"/>
      <c r="N73" s="39"/>
      <c r="O73" s="39"/>
      <c r="P73" s="40"/>
      <c r="Q73" s="39">
        <v>-2.82939E-2</v>
      </c>
      <c r="R73" s="39"/>
      <c r="S73" s="39"/>
      <c r="T73" s="39"/>
    </row>
    <row r="74" spans="1:20" s="7" customFormat="1" ht="25.5" x14ac:dyDescent="0.25">
      <c r="A74" s="38">
        <v>2026</v>
      </c>
      <c r="B74" s="24" t="s">
        <v>192</v>
      </c>
      <c r="C74" s="24" t="s">
        <v>97</v>
      </c>
      <c r="D74" s="24" t="s">
        <v>598</v>
      </c>
      <c r="E74" s="24" t="s">
        <v>651</v>
      </c>
      <c r="F74" s="24" t="s">
        <v>647</v>
      </c>
      <c r="G74" s="24" t="s">
        <v>725</v>
      </c>
      <c r="H74" s="39"/>
      <c r="I74" s="39"/>
      <c r="J74" s="24"/>
      <c r="K74" s="40"/>
      <c r="L74" s="39"/>
      <c r="M74" s="39"/>
      <c r="N74" s="39"/>
      <c r="O74" s="39"/>
      <c r="P74" s="40"/>
      <c r="Q74" s="39">
        <v>-9.9388850000000001E-2</v>
      </c>
      <c r="R74" s="39"/>
      <c r="S74" s="39"/>
      <c r="T74" s="39"/>
    </row>
    <row r="75" spans="1:20" s="7" customFormat="1" ht="25.5" x14ac:dyDescent="0.25">
      <c r="A75" s="38">
        <v>2026</v>
      </c>
      <c r="B75" s="24" t="s">
        <v>192</v>
      </c>
      <c r="C75" s="24" t="s">
        <v>97</v>
      </c>
      <c r="D75" s="24" t="s">
        <v>598</v>
      </c>
      <c r="E75" s="24" t="s">
        <v>651</v>
      </c>
      <c r="F75" s="24" t="s">
        <v>647</v>
      </c>
      <c r="G75" s="24" t="s">
        <v>726</v>
      </c>
      <c r="H75" s="39"/>
      <c r="I75" s="39"/>
      <c r="J75" s="24"/>
      <c r="K75" s="40"/>
      <c r="L75" s="39"/>
      <c r="M75" s="39"/>
      <c r="N75" s="39"/>
      <c r="O75" s="39"/>
      <c r="P75" s="40"/>
      <c r="Q75" s="39">
        <v>-0.10544418000000001</v>
      </c>
      <c r="R75" s="39"/>
      <c r="S75" s="39"/>
      <c r="T75" s="39"/>
    </row>
    <row r="76" spans="1:20" s="7" customFormat="1" ht="25.5" x14ac:dyDescent="0.25">
      <c r="A76" s="38">
        <v>2026</v>
      </c>
      <c r="B76" s="24" t="s">
        <v>192</v>
      </c>
      <c r="C76" s="24" t="s">
        <v>97</v>
      </c>
      <c r="D76" s="24" t="s">
        <v>609</v>
      </c>
      <c r="E76" s="24" t="s">
        <v>673</v>
      </c>
      <c r="F76" s="24" t="s">
        <v>579</v>
      </c>
      <c r="G76" s="24" t="s">
        <v>727</v>
      </c>
      <c r="H76" s="39"/>
      <c r="I76" s="39"/>
      <c r="J76" s="24"/>
      <c r="K76" s="40"/>
      <c r="L76" s="39"/>
      <c r="M76" s="39"/>
      <c r="N76" s="39"/>
      <c r="O76" s="39"/>
      <c r="P76" s="40"/>
      <c r="Q76" s="39">
        <v>-1.4053492880000003</v>
      </c>
      <c r="R76" s="39"/>
      <c r="S76" s="39"/>
      <c r="T76" s="39"/>
    </row>
    <row r="77" spans="1:20" s="7" customFormat="1" ht="25.5" x14ac:dyDescent="0.25">
      <c r="A77" s="38">
        <v>2026</v>
      </c>
      <c r="B77" s="24" t="s">
        <v>192</v>
      </c>
      <c r="C77" s="24" t="s">
        <v>97</v>
      </c>
      <c r="D77" s="24" t="s">
        <v>610</v>
      </c>
      <c r="E77" s="24" t="s">
        <v>673</v>
      </c>
      <c r="F77" s="24" t="s">
        <v>579</v>
      </c>
      <c r="G77" s="24" t="s">
        <v>728</v>
      </c>
      <c r="H77" s="39"/>
      <c r="I77" s="39"/>
      <c r="J77" s="24"/>
      <c r="K77" s="40"/>
      <c r="L77" s="39"/>
      <c r="M77" s="39"/>
      <c r="N77" s="39"/>
      <c r="O77" s="39"/>
      <c r="P77" s="40"/>
      <c r="Q77" s="39">
        <v>-1.4276485410999999</v>
      </c>
      <c r="R77" s="39"/>
      <c r="S77" s="39"/>
      <c r="T77" s="39"/>
    </row>
    <row r="78" spans="1:20" s="7" customFormat="1" ht="25.5" x14ac:dyDescent="0.25">
      <c r="A78" s="38">
        <v>2026</v>
      </c>
      <c r="B78" s="24" t="s">
        <v>192</v>
      </c>
      <c r="C78" s="24" t="s">
        <v>97</v>
      </c>
      <c r="D78" s="24" t="s">
        <v>620</v>
      </c>
      <c r="E78" s="24" t="s">
        <v>673</v>
      </c>
      <c r="F78" s="24" t="s">
        <v>579</v>
      </c>
      <c r="G78" s="24" t="s">
        <v>729</v>
      </c>
      <c r="H78" s="39"/>
      <c r="I78" s="39"/>
      <c r="J78" s="24"/>
      <c r="K78" s="40"/>
      <c r="L78" s="39"/>
      <c r="M78" s="39"/>
      <c r="N78" s="39"/>
      <c r="O78" s="39"/>
      <c r="P78" s="40"/>
      <c r="Q78" s="39">
        <v>-1.2511067465000001</v>
      </c>
      <c r="R78" s="39"/>
      <c r="S78" s="39"/>
      <c r="T78" s="39"/>
    </row>
    <row r="79" spans="1:20" s="7" customFormat="1" ht="25.5" x14ac:dyDescent="0.25">
      <c r="A79" s="38">
        <v>2026</v>
      </c>
      <c r="B79" s="24" t="s">
        <v>192</v>
      </c>
      <c r="C79" s="24" t="s">
        <v>97</v>
      </c>
      <c r="D79" s="24" t="s">
        <v>599</v>
      </c>
      <c r="E79" s="24" t="s">
        <v>658</v>
      </c>
      <c r="F79" s="24" t="s">
        <v>647</v>
      </c>
      <c r="G79" s="24" t="s">
        <v>730</v>
      </c>
      <c r="H79" s="39"/>
      <c r="I79" s="39"/>
      <c r="J79" s="24"/>
      <c r="K79" s="40"/>
      <c r="L79" s="39"/>
      <c r="M79" s="39"/>
      <c r="N79" s="39"/>
      <c r="O79" s="39"/>
      <c r="P79" s="40"/>
      <c r="Q79" s="39">
        <v>-0.49119256556000002</v>
      </c>
      <c r="R79" s="39"/>
      <c r="S79" s="39"/>
      <c r="T79" s="39"/>
    </row>
    <row r="80" spans="1:20" s="7" customFormat="1" ht="25.5" x14ac:dyDescent="0.25">
      <c r="A80" s="38">
        <v>2026</v>
      </c>
      <c r="B80" s="24" t="s">
        <v>192</v>
      </c>
      <c r="C80" s="24" t="s">
        <v>97</v>
      </c>
      <c r="D80" s="24" t="s">
        <v>600</v>
      </c>
      <c r="E80" s="24" t="s">
        <v>658</v>
      </c>
      <c r="F80" s="24" t="s">
        <v>647</v>
      </c>
      <c r="G80" s="24" t="s">
        <v>731</v>
      </c>
      <c r="H80" s="39"/>
      <c r="I80" s="39"/>
      <c r="J80" s="24"/>
      <c r="K80" s="40"/>
      <c r="L80" s="39"/>
      <c r="M80" s="39"/>
      <c r="N80" s="39"/>
      <c r="O80" s="39"/>
      <c r="P80" s="40"/>
      <c r="Q80" s="39">
        <v>-0.2699778766</v>
      </c>
      <c r="R80" s="39"/>
      <c r="S80" s="39"/>
      <c r="T80" s="39"/>
    </row>
    <row r="81" spans="1:20" s="7" customFormat="1" ht="25.5" x14ac:dyDescent="0.25">
      <c r="A81" s="38">
        <v>2026</v>
      </c>
      <c r="B81" s="24" t="s">
        <v>192</v>
      </c>
      <c r="C81" s="24" t="s">
        <v>97</v>
      </c>
      <c r="D81" s="24" t="s">
        <v>616</v>
      </c>
      <c r="E81" s="24" t="s">
        <v>697</v>
      </c>
      <c r="F81" s="24" t="s">
        <v>647</v>
      </c>
      <c r="G81" s="24" t="s">
        <v>732</v>
      </c>
      <c r="H81" s="39"/>
      <c r="I81" s="39"/>
      <c r="J81" s="24"/>
      <c r="K81" s="40"/>
      <c r="L81" s="39"/>
      <c r="M81" s="39"/>
      <c r="N81" s="39"/>
      <c r="O81" s="39"/>
      <c r="P81" s="40"/>
      <c r="Q81" s="39">
        <v>-0.26064474999999998</v>
      </c>
      <c r="R81" s="39"/>
      <c r="S81" s="39"/>
      <c r="T81" s="39"/>
    </row>
    <row r="82" spans="1:20" s="7" customFormat="1" ht="25.5" x14ac:dyDescent="0.25">
      <c r="A82" s="38">
        <v>2026</v>
      </c>
      <c r="B82" s="24" t="s">
        <v>192</v>
      </c>
      <c r="C82" s="24" t="s">
        <v>111</v>
      </c>
      <c r="D82" s="24" t="s">
        <v>624</v>
      </c>
      <c r="E82" s="24" t="s">
        <v>699</v>
      </c>
      <c r="F82" s="24" t="s">
        <v>579</v>
      </c>
      <c r="G82" s="24" t="s">
        <v>733</v>
      </c>
      <c r="H82" s="39"/>
      <c r="I82" s="39"/>
      <c r="J82" s="24"/>
      <c r="K82" s="40">
        <v>45964</v>
      </c>
      <c r="L82" s="39" t="s">
        <v>109</v>
      </c>
      <c r="M82" s="39">
        <v>30</v>
      </c>
      <c r="N82" s="39"/>
      <c r="O82" s="39"/>
      <c r="P82" s="40">
        <v>46097</v>
      </c>
      <c r="Q82" s="39">
        <v>30</v>
      </c>
      <c r="R82" s="39"/>
      <c r="S82" s="39"/>
      <c r="T82" s="39"/>
    </row>
    <row r="83" spans="1:20" s="7" customFormat="1" ht="25.5" x14ac:dyDescent="0.25">
      <c r="A83" s="38">
        <v>2026</v>
      </c>
      <c r="B83" s="24" t="s">
        <v>192</v>
      </c>
      <c r="C83" s="24" t="s">
        <v>111</v>
      </c>
      <c r="D83" s="24" t="s">
        <v>625</v>
      </c>
      <c r="E83" s="24" t="s">
        <v>699</v>
      </c>
      <c r="F83" s="24" t="s">
        <v>579</v>
      </c>
      <c r="G83" s="24" t="s">
        <v>734</v>
      </c>
      <c r="H83" s="39"/>
      <c r="I83" s="39"/>
      <c r="J83" s="24"/>
      <c r="K83" s="40">
        <v>45964</v>
      </c>
      <c r="L83" s="39" t="s">
        <v>109</v>
      </c>
      <c r="M83" s="39">
        <v>30</v>
      </c>
      <c r="N83" s="39"/>
      <c r="O83" s="39"/>
      <c r="P83" s="40">
        <v>46091</v>
      </c>
      <c r="Q83" s="39">
        <v>30</v>
      </c>
      <c r="R83" s="39"/>
      <c r="S83" s="39"/>
      <c r="T83" s="39"/>
    </row>
    <row r="84" spans="1:20" s="7" customFormat="1" ht="51" x14ac:dyDescent="0.25">
      <c r="A84" s="38">
        <v>2026</v>
      </c>
      <c r="B84" s="24" t="s">
        <v>192</v>
      </c>
      <c r="C84" s="24" t="s">
        <v>111</v>
      </c>
      <c r="D84" s="24" t="s">
        <v>608</v>
      </c>
      <c r="E84" s="24" t="s">
        <v>651</v>
      </c>
      <c r="F84" s="24" t="s">
        <v>579</v>
      </c>
      <c r="G84" s="24" t="s">
        <v>735</v>
      </c>
      <c r="H84" s="39"/>
      <c r="I84" s="39"/>
      <c r="J84" s="24"/>
      <c r="K84" s="40">
        <v>45932</v>
      </c>
      <c r="L84" s="39" t="s">
        <v>109</v>
      </c>
      <c r="M84" s="39">
        <v>12.170340818750001</v>
      </c>
      <c r="N84" s="39" t="s">
        <v>736</v>
      </c>
      <c r="O84" s="39">
        <v>0.32965918125000004</v>
      </c>
      <c r="P84" s="40">
        <v>46111</v>
      </c>
      <c r="Q84" s="39">
        <v>12.5</v>
      </c>
      <c r="R84" s="39"/>
      <c r="S84" s="39"/>
      <c r="T84" s="39"/>
    </row>
    <row r="85" spans="1:20" s="7" customFormat="1" ht="38.25" x14ac:dyDescent="0.25">
      <c r="A85" s="38">
        <v>2026</v>
      </c>
      <c r="B85" s="24" t="s">
        <v>192</v>
      </c>
      <c r="C85" s="24" t="s">
        <v>111</v>
      </c>
      <c r="D85" s="24" t="s">
        <v>609</v>
      </c>
      <c r="E85" s="24" t="s">
        <v>673</v>
      </c>
      <c r="F85" s="24" t="s">
        <v>579</v>
      </c>
      <c r="G85" s="24" t="s">
        <v>737</v>
      </c>
      <c r="H85" s="39"/>
      <c r="I85" s="39"/>
      <c r="J85" s="24"/>
      <c r="K85" s="40">
        <v>45924</v>
      </c>
      <c r="L85" s="39" t="s">
        <v>109</v>
      </c>
      <c r="M85" s="39">
        <v>20</v>
      </c>
      <c r="N85" s="39"/>
      <c r="O85" s="39"/>
      <c r="P85" s="40">
        <v>46090</v>
      </c>
      <c r="Q85" s="39">
        <v>20</v>
      </c>
      <c r="R85" s="39"/>
      <c r="S85" s="39"/>
      <c r="T85" s="39"/>
    </row>
    <row r="86" spans="1:20" s="7" customFormat="1" ht="25.5" x14ac:dyDescent="0.25">
      <c r="A86" s="38">
        <v>2026</v>
      </c>
      <c r="B86" s="24" t="s">
        <v>192</v>
      </c>
      <c r="C86" s="24" t="s">
        <v>111</v>
      </c>
      <c r="D86" s="24" t="s">
        <v>610</v>
      </c>
      <c r="E86" s="24" t="s">
        <v>673</v>
      </c>
      <c r="F86" s="24" t="s">
        <v>579</v>
      </c>
      <c r="G86" s="24" t="s">
        <v>738</v>
      </c>
      <c r="H86" s="39"/>
      <c r="I86" s="39"/>
      <c r="J86" s="24"/>
      <c r="K86" s="40">
        <v>45924</v>
      </c>
      <c r="L86" s="39" t="s">
        <v>109</v>
      </c>
      <c r="M86" s="39">
        <v>30</v>
      </c>
      <c r="N86" s="39"/>
      <c r="O86" s="39"/>
      <c r="P86" s="40">
        <v>46091</v>
      </c>
      <c r="Q86" s="39">
        <v>30</v>
      </c>
      <c r="R86" s="39"/>
      <c r="S86" s="39"/>
      <c r="T86" s="39"/>
    </row>
    <row r="87" spans="1:20" s="7" customFormat="1" ht="38.25" x14ac:dyDescent="0.25">
      <c r="A87" s="38">
        <v>2026</v>
      </c>
      <c r="B87" s="24" t="s">
        <v>192</v>
      </c>
      <c r="C87" s="24" t="s">
        <v>108</v>
      </c>
      <c r="D87" s="24" t="s">
        <v>593</v>
      </c>
      <c r="E87" s="24" t="s">
        <v>640</v>
      </c>
      <c r="F87" s="24" t="s">
        <v>579</v>
      </c>
      <c r="G87" s="24" t="s">
        <v>739</v>
      </c>
      <c r="H87" s="39"/>
      <c r="I87" s="39"/>
      <c r="J87" s="24"/>
      <c r="K87" s="40"/>
      <c r="L87" s="39" t="s">
        <v>109</v>
      </c>
      <c r="M87" s="39"/>
      <c r="N87" s="39"/>
      <c r="O87" s="39"/>
      <c r="P87" s="40"/>
      <c r="Q87" s="39">
        <v>0.266104332</v>
      </c>
      <c r="R87" s="39"/>
      <c r="S87" s="39"/>
      <c r="T87" s="39"/>
    </row>
    <row r="88" spans="1:20" s="7" customFormat="1" ht="38.25" x14ac:dyDescent="0.25">
      <c r="A88" s="38">
        <v>2026</v>
      </c>
      <c r="B88" s="24" t="s">
        <v>192</v>
      </c>
      <c r="C88" s="24" t="s">
        <v>108</v>
      </c>
      <c r="D88" s="24" t="s">
        <v>602</v>
      </c>
      <c r="E88" s="24" t="s">
        <v>661</v>
      </c>
      <c r="F88" s="24" t="s">
        <v>579</v>
      </c>
      <c r="G88" s="24" t="s">
        <v>740</v>
      </c>
      <c r="H88" s="39"/>
      <c r="I88" s="39"/>
      <c r="J88" s="24"/>
      <c r="K88" s="40"/>
      <c r="L88" s="39" t="s">
        <v>109</v>
      </c>
      <c r="M88" s="39"/>
      <c r="N88" s="39"/>
      <c r="O88" s="39"/>
      <c r="P88" s="40"/>
      <c r="Q88" s="39">
        <v>0.63781926749999995</v>
      </c>
      <c r="R88" s="39"/>
      <c r="S88" s="39"/>
      <c r="T88" s="39"/>
    </row>
    <row r="89" spans="1:20" s="7" customFormat="1" ht="38.25" x14ac:dyDescent="0.25">
      <c r="A89" s="38">
        <v>2026</v>
      </c>
      <c r="B89" s="24" t="s">
        <v>192</v>
      </c>
      <c r="C89" s="24" t="s">
        <v>108</v>
      </c>
      <c r="D89" s="24" t="s">
        <v>544</v>
      </c>
      <c r="E89" s="24" t="s">
        <v>373</v>
      </c>
      <c r="F89" s="24" t="s">
        <v>579</v>
      </c>
      <c r="G89" s="24" t="s">
        <v>741</v>
      </c>
      <c r="H89" s="39"/>
      <c r="I89" s="39"/>
      <c r="J89" s="24"/>
      <c r="K89" s="40"/>
      <c r="L89" s="39" t="s">
        <v>109</v>
      </c>
      <c r="M89" s="39"/>
      <c r="N89" s="39"/>
      <c r="O89" s="39"/>
      <c r="P89" s="40"/>
      <c r="Q89" s="39">
        <v>0.38510178429999997</v>
      </c>
      <c r="R89" s="39"/>
      <c r="S89" s="39"/>
      <c r="T89" s="39"/>
    </row>
    <row r="90" spans="1:20" s="7" customFormat="1" ht="38.25" x14ac:dyDescent="0.25">
      <c r="A90" s="38">
        <v>2026</v>
      </c>
      <c r="B90" s="24" t="s">
        <v>192</v>
      </c>
      <c r="C90" s="24" t="s">
        <v>108</v>
      </c>
      <c r="D90" s="24" t="s">
        <v>616</v>
      </c>
      <c r="E90" s="24" t="s">
        <v>697</v>
      </c>
      <c r="F90" s="24" t="s">
        <v>647</v>
      </c>
      <c r="G90" s="24" t="s">
        <v>742</v>
      </c>
      <c r="H90" s="39"/>
      <c r="I90" s="39"/>
      <c r="J90" s="24"/>
      <c r="K90" s="40"/>
      <c r="L90" s="39" t="s">
        <v>109</v>
      </c>
      <c r="M90" s="39"/>
      <c r="N90" s="39"/>
      <c r="O90" s="39"/>
      <c r="P90" s="40"/>
      <c r="Q90" s="39">
        <v>8.6517252920000018</v>
      </c>
      <c r="R90" s="39"/>
      <c r="S90" s="39"/>
      <c r="T90" s="39"/>
    </row>
    <row r="91" spans="1:20" s="7" customFormat="1" ht="25.5" x14ac:dyDescent="0.25">
      <c r="A91" s="38">
        <v>2026</v>
      </c>
      <c r="B91" s="24" t="s">
        <v>203</v>
      </c>
      <c r="C91" s="24" t="s">
        <v>97</v>
      </c>
      <c r="D91" s="24" t="s">
        <v>624</v>
      </c>
      <c r="E91" s="24" t="s">
        <v>699</v>
      </c>
      <c r="F91" s="24" t="s">
        <v>579</v>
      </c>
      <c r="G91" s="24" t="s">
        <v>743</v>
      </c>
      <c r="H91" s="39"/>
      <c r="I91" s="39"/>
      <c r="J91" s="24"/>
      <c r="K91" s="40"/>
      <c r="L91" s="39"/>
      <c r="M91" s="39"/>
      <c r="N91" s="39"/>
      <c r="O91" s="39"/>
      <c r="P91" s="40"/>
      <c r="Q91" s="39">
        <v>-1.3278552806999999</v>
      </c>
      <c r="R91" s="39"/>
      <c r="S91" s="39"/>
      <c r="T91" s="39"/>
    </row>
    <row r="92" spans="1:20" s="7" customFormat="1" ht="25.5" x14ac:dyDescent="0.25">
      <c r="A92" s="38">
        <v>2026</v>
      </c>
      <c r="B92" s="24" t="s">
        <v>203</v>
      </c>
      <c r="C92" s="24" t="s">
        <v>97</v>
      </c>
      <c r="D92" s="24" t="s">
        <v>591</v>
      </c>
      <c r="E92" s="24" t="s">
        <v>638</v>
      </c>
      <c r="F92" s="24" t="s">
        <v>579</v>
      </c>
      <c r="G92" s="24" t="s">
        <v>744</v>
      </c>
      <c r="H92" s="39"/>
      <c r="I92" s="39"/>
      <c r="J92" s="24"/>
      <c r="K92" s="40"/>
      <c r="L92" s="39"/>
      <c r="M92" s="39"/>
      <c r="N92" s="39"/>
      <c r="O92" s="39"/>
      <c r="P92" s="40"/>
      <c r="Q92" s="39">
        <v>-0.37861679999999998</v>
      </c>
      <c r="R92" s="39"/>
      <c r="S92" s="39"/>
      <c r="T92" s="39"/>
    </row>
    <row r="93" spans="1:20" s="7" customFormat="1" ht="25.5" x14ac:dyDescent="0.25">
      <c r="A93" s="38">
        <v>2026</v>
      </c>
      <c r="B93" s="24" t="s">
        <v>203</v>
      </c>
      <c r="C93" s="24" t="s">
        <v>97</v>
      </c>
      <c r="D93" s="24" t="s">
        <v>618</v>
      </c>
      <c r="E93" s="24" t="s">
        <v>640</v>
      </c>
      <c r="F93" s="24" t="s">
        <v>579</v>
      </c>
      <c r="G93" s="24" t="s">
        <v>745</v>
      </c>
      <c r="H93" s="39"/>
      <c r="I93" s="39"/>
      <c r="J93" s="24"/>
      <c r="K93" s="40"/>
      <c r="L93" s="39"/>
      <c r="M93" s="39"/>
      <c r="N93" s="39"/>
      <c r="O93" s="39"/>
      <c r="P93" s="40"/>
      <c r="Q93" s="39">
        <v>-2.0393342909999999</v>
      </c>
      <c r="R93" s="39"/>
      <c r="S93" s="39"/>
      <c r="T93" s="39"/>
    </row>
    <row r="94" spans="1:20" s="7" customFormat="1" ht="25.5" x14ac:dyDescent="0.25">
      <c r="A94" s="38">
        <v>2026</v>
      </c>
      <c r="B94" s="24" t="s">
        <v>203</v>
      </c>
      <c r="C94" s="24" t="s">
        <v>97</v>
      </c>
      <c r="D94" s="24" t="s">
        <v>596</v>
      </c>
      <c r="E94" s="24" t="s">
        <v>646</v>
      </c>
      <c r="F94" s="24" t="s">
        <v>647</v>
      </c>
      <c r="G94" s="24" t="s">
        <v>746</v>
      </c>
      <c r="H94" s="39"/>
      <c r="I94" s="39"/>
      <c r="J94" s="24"/>
      <c r="K94" s="40"/>
      <c r="L94" s="39"/>
      <c r="M94" s="39"/>
      <c r="N94" s="39"/>
      <c r="O94" s="39"/>
      <c r="P94" s="40"/>
      <c r="Q94" s="39">
        <v>-6.9951568800000002E-2</v>
      </c>
      <c r="R94" s="39"/>
      <c r="S94" s="39"/>
      <c r="T94" s="39"/>
    </row>
    <row r="95" spans="1:20" s="7" customFormat="1" ht="25.5" x14ac:dyDescent="0.25">
      <c r="A95" s="38">
        <v>2026</v>
      </c>
      <c r="B95" s="24" t="s">
        <v>203</v>
      </c>
      <c r="C95" s="24" t="s">
        <v>97</v>
      </c>
      <c r="D95" s="24" t="s">
        <v>596</v>
      </c>
      <c r="E95" s="24" t="s">
        <v>646</v>
      </c>
      <c r="F95" s="24" t="s">
        <v>647</v>
      </c>
      <c r="G95" s="24" t="s">
        <v>747</v>
      </c>
      <c r="H95" s="39"/>
      <c r="I95" s="39"/>
      <c r="J95" s="24"/>
      <c r="K95" s="40"/>
      <c r="L95" s="39"/>
      <c r="M95" s="39"/>
      <c r="N95" s="39"/>
      <c r="O95" s="39"/>
      <c r="P95" s="40"/>
      <c r="Q95" s="39">
        <v>-0.10389995519999999</v>
      </c>
      <c r="R95" s="39"/>
      <c r="S95" s="39"/>
      <c r="T95" s="39"/>
    </row>
    <row r="96" spans="1:20" s="7" customFormat="1" ht="25.5" x14ac:dyDescent="0.25">
      <c r="A96" s="38">
        <v>2026</v>
      </c>
      <c r="B96" s="24" t="s">
        <v>203</v>
      </c>
      <c r="C96" s="24" t="s">
        <v>97</v>
      </c>
      <c r="D96" s="24" t="s">
        <v>598</v>
      </c>
      <c r="E96" s="24" t="s">
        <v>651</v>
      </c>
      <c r="F96" s="24" t="s">
        <v>647</v>
      </c>
      <c r="G96" s="24" t="s">
        <v>748</v>
      </c>
      <c r="H96" s="39"/>
      <c r="I96" s="39"/>
      <c r="J96" s="24"/>
      <c r="K96" s="40"/>
      <c r="L96" s="39"/>
      <c r="M96" s="39"/>
      <c r="N96" s="39"/>
      <c r="O96" s="39"/>
      <c r="P96" s="40"/>
      <c r="Q96" s="39">
        <v>-3.8736538000000001E-2</v>
      </c>
      <c r="R96" s="39"/>
      <c r="S96" s="39"/>
      <c r="T96" s="39"/>
    </row>
    <row r="97" spans="1:20" s="7" customFormat="1" ht="25.5" x14ac:dyDescent="0.25">
      <c r="A97" s="38">
        <v>2026</v>
      </c>
      <c r="B97" s="24" t="s">
        <v>203</v>
      </c>
      <c r="C97" s="24" t="s">
        <v>97</v>
      </c>
      <c r="D97" s="24" t="s">
        <v>598</v>
      </c>
      <c r="E97" s="24" t="s">
        <v>651</v>
      </c>
      <c r="F97" s="24" t="s">
        <v>647</v>
      </c>
      <c r="G97" s="24" t="s">
        <v>749</v>
      </c>
      <c r="H97" s="39"/>
      <c r="I97" s="39"/>
      <c r="J97" s="24"/>
      <c r="K97" s="40"/>
      <c r="L97" s="39"/>
      <c r="M97" s="39"/>
      <c r="N97" s="39"/>
      <c r="O97" s="39"/>
      <c r="P97" s="40"/>
      <c r="Q97" s="39">
        <v>-2.7610695000000001E-2</v>
      </c>
      <c r="R97" s="39"/>
      <c r="S97" s="39"/>
      <c r="T97" s="39"/>
    </row>
    <row r="98" spans="1:20" s="7" customFormat="1" ht="25.5" x14ac:dyDescent="0.25">
      <c r="A98" s="38">
        <v>2026</v>
      </c>
      <c r="B98" s="24" t="s">
        <v>203</v>
      </c>
      <c r="C98" s="24" t="s">
        <v>97</v>
      </c>
      <c r="D98" s="24" t="s">
        <v>599</v>
      </c>
      <c r="E98" s="24" t="s">
        <v>658</v>
      </c>
      <c r="F98" s="24" t="s">
        <v>647</v>
      </c>
      <c r="G98" s="24" t="s">
        <v>750</v>
      </c>
      <c r="H98" s="39"/>
      <c r="I98" s="39"/>
      <c r="J98" s="24"/>
      <c r="K98" s="40"/>
      <c r="L98" s="39"/>
      <c r="M98" s="39"/>
      <c r="N98" s="39"/>
      <c r="O98" s="39"/>
      <c r="P98" s="40"/>
      <c r="Q98" s="39">
        <v>-0.49477482293999997</v>
      </c>
      <c r="R98" s="39"/>
      <c r="S98" s="39"/>
      <c r="T98" s="39"/>
    </row>
    <row r="99" spans="1:20" s="7" customFormat="1" ht="25.5" x14ac:dyDescent="0.25">
      <c r="A99" s="38">
        <v>2026</v>
      </c>
      <c r="B99" s="24" t="s">
        <v>203</v>
      </c>
      <c r="C99" s="24" t="s">
        <v>97</v>
      </c>
      <c r="D99" s="24" t="s">
        <v>600</v>
      </c>
      <c r="E99" s="24" t="s">
        <v>658</v>
      </c>
      <c r="F99" s="24" t="s">
        <v>647</v>
      </c>
      <c r="G99" s="24" t="s">
        <v>751</v>
      </c>
      <c r="H99" s="39"/>
      <c r="I99" s="39"/>
      <c r="J99" s="24"/>
      <c r="K99" s="40"/>
      <c r="L99" s="39"/>
      <c r="M99" s="39"/>
      <c r="N99" s="39"/>
      <c r="O99" s="39"/>
      <c r="P99" s="40"/>
      <c r="Q99" s="39">
        <v>-0.21558266457000003</v>
      </c>
      <c r="R99" s="39"/>
      <c r="S99" s="39"/>
      <c r="T99" s="39"/>
    </row>
    <row r="100" spans="1:20" s="7" customFormat="1" ht="25.5" x14ac:dyDescent="0.25">
      <c r="A100" s="38">
        <v>2026</v>
      </c>
      <c r="B100" s="24" t="s">
        <v>203</v>
      </c>
      <c r="C100" s="24" t="s">
        <v>97</v>
      </c>
      <c r="D100" s="24" t="s">
        <v>626</v>
      </c>
      <c r="E100" s="24" t="s">
        <v>658</v>
      </c>
      <c r="F100" s="24" t="s">
        <v>579</v>
      </c>
      <c r="G100" s="24" t="s">
        <v>752</v>
      </c>
      <c r="H100" s="39"/>
      <c r="I100" s="39"/>
      <c r="J100" s="24"/>
      <c r="K100" s="40"/>
      <c r="L100" s="39"/>
      <c r="M100" s="39"/>
      <c r="N100" s="39"/>
      <c r="O100" s="39"/>
      <c r="P100" s="40"/>
      <c r="Q100" s="39">
        <v>-9.2171286988799999</v>
      </c>
      <c r="R100" s="39"/>
      <c r="S100" s="39"/>
      <c r="T100" s="39"/>
    </row>
    <row r="101" spans="1:20" s="7" customFormat="1" ht="25.5" x14ac:dyDescent="0.25">
      <c r="A101" s="38">
        <v>2026</v>
      </c>
      <c r="B101" s="24" t="s">
        <v>203</v>
      </c>
      <c r="C101" s="24" t="s">
        <v>97</v>
      </c>
      <c r="D101" s="24" t="s">
        <v>611</v>
      </c>
      <c r="E101" s="24" t="s">
        <v>677</v>
      </c>
      <c r="F101" s="24" t="s">
        <v>579</v>
      </c>
      <c r="G101" s="24" t="s">
        <v>753</v>
      </c>
      <c r="H101" s="39"/>
      <c r="I101" s="39"/>
      <c r="J101" s="24"/>
      <c r="K101" s="40"/>
      <c r="L101" s="39"/>
      <c r="M101" s="39"/>
      <c r="N101" s="39"/>
      <c r="O101" s="39"/>
      <c r="P101" s="40"/>
      <c r="Q101" s="39">
        <v>-6.6095102682000002</v>
      </c>
      <c r="R101" s="39"/>
      <c r="S101" s="39"/>
      <c r="T101" s="39"/>
    </row>
    <row r="102" spans="1:20" s="7" customFormat="1" ht="25.5" x14ac:dyDescent="0.25">
      <c r="A102" s="38">
        <v>2026</v>
      </c>
      <c r="B102" s="24" t="s">
        <v>203</v>
      </c>
      <c r="C102" s="24" t="s">
        <v>111</v>
      </c>
      <c r="D102" s="24" t="s">
        <v>599</v>
      </c>
      <c r="E102" s="24" t="s">
        <v>658</v>
      </c>
      <c r="F102" s="24" t="s">
        <v>647</v>
      </c>
      <c r="G102" s="24" t="s">
        <v>754</v>
      </c>
      <c r="H102" s="39"/>
      <c r="I102" s="39"/>
      <c r="J102" s="24"/>
      <c r="K102" s="40">
        <v>46034</v>
      </c>
      <c r="L102" s="39" t="s">
        <v>109</v>
      </c>
      <c r="M102" s="39">
        <v>30</v>
      </c>
      <c r="N102" s="39"/>
      <c r="O102" s="39"/>
      <c r="P102" s="40">
        <v>46117</v>
      </c>
      <c r="Q102" s="39">
        <v>30</v>
      </c>
      <c r="R102" s="39"/>
      <c r="S102" s="39"/>
      <c r="T102" s="39"/>
    </row>
    <row r="103" spans="1:20" s="7" customFormat="1" ht="25.5" x14ac:dyDescent="0.25">
      <c r="A103" s="38">
        <v>2026</v>
      </c>
      <c r="B103" s="24" t="s">
        <v>203</v>
      </c>
      <c r="C103" s="24" t="s">
        <v>111</v>
      </c>
      <c r="D103" s="24" t="s">
        <v>600</v>
      </c>
      <c r="E103" s="24" t="s">
        <v>658</v>
      </c>
      <c r="F103" s="24" t="s">
        <v>647</v>
      </c>
      <c r="G103" s="24" t="s">
        <v>754</v>
      </c>
      <c r="H103" s="39"/>
      <c r="I103" s="39"/>
      <c r="J103" s="24"/>
      <c r="K103" s="40">
        <v>46034</v>
      </c>
      <c r="L103" s="39" t="s">
        <v>109</v>
      </c>
      <c r="M103" s="39">
        <v>30</v>
      </c>
      <c r="N103" s="39"/>
      <c r="O103" s="39"/>
      <c r="P103" s="40">
        <v>46117</v>
      </c>
      <c r="Q103" s="39">
        <v>30</v>
      </c>
      <c r="R103" s="39"/>
      <c r="S103" s="39"/>
      <c r="T103" s="39"/>
    </row>
    <row r="104" spans="1:20" s="7" customFormat="1" ht="25.5" x14ac:dyDescent="0.25">
      <c r="A104" s="38">
        <v>2026</v>
      </c>
      <c r="B104" s="24" t="s">
        <v>203</v>
      </c>
      <c r="C104" s="24" t="s">
        <v>111</v>
      </c>
      <c r="D104" s="24" t="s">
        <v>544</v>
      </c>
      <c r="E104" s="24" t="s">
        <v>373</v>
      </c>
      <c r="F104" s="24" t="s">
        <v>579</v>
      </c>
      <c r="G104" s="24" t="s">
        <v>755</v>
      </c>
      <c r="H104" s="39">
        <v>10</v>
      </c>
      <c r="I104" s="39">
        <v>35</v>
      </c>
      <c r="J104" s="24" t="s">
        <v>756</v>
      </c>
      <c r="K104" s="40">
        <v>45939</v>
      </c>
      <c r="L104" s="39" t="s">
        <v>109</v>
      </c>
      <c r="M104" s="39">
        <v>7.0920736472000003</v>
      </c>
      <c r="N104" s="39" t="s">
        <v>736</v>
      </c>
      <c r="O104" s="39">
        <v>0.29295635279999999</v>
      </c>
      <c r="P104" s="40">
        <v>46234</v>
      </c>
      <c r="Q104" s="39">
        <v>7.3850300000000004</v>
      </c>
      <c r="R104" s="39"/>
      <c r="S104" s="39"/>
      <c r="T104" s="39"/>
    </row>
    <row r="105" spans="1:20" s="7" customFormat="1" ht="25.5" x14ac:dyDescent="0.25">
      <c r="A105" s="38">
        <v>2026</v>
      </c>
      <c r="B105" s="24" t="s">
        <v>203</v>
      </c>
      <c r="C105" s="24" t="s">
        <v>19</v>
      </c>
      <c r="D105" s="24" t="s">
        <v>627</v>
      </c>
      <c r="E105" s="24" t="s">
        <v>757</v>
      </c>
      <c r="F105" s="24" t="s">
        <v>579</v>
      </c>
      <c r="G105" s="24" t="s">
        <v>758</v>
      </c>
      <c r="H105" s="39"/>
      <c r="I105" s="39"/>
      <c r="J105" s="24"/>
      <c r="K105" s="40"/>
      <c r="L105" s="39"/>
      <c r="M105" s="39"/>
      <c r="N105" s="39" t="s">
        <v>736</v>
      </c>
      <c r="O105" s="39"/>
      <c r="P105" s="40"/>
      <c r="Q105" s="39">
        <v>1.00005601E-2</v>
      </c>
      <c r="R105" s="39"/>
      <c r="S105" s="39"/>
      <c r="T105" s="39"/>
    </row>
    <row r="106" spans="1:20" s="7" customFormat="1" ht="25.5" x14ac:dyDescent="0.25">
      <c r="A106" s="38">
        <v>2026</v>
      </c>
      <c r="B106" s="24" t="s">
        <v>203</v>
      </c>
      <c r="C106" s="24" t="s">
        <v>19</v>
      </c>
      <c r="D106" s="24" t="s">
        <v>596</v>
      </c>
      <c r="E106" s="24" t="s">
        <v>646</v>
      </c>
      <c r="F106" s="24" t="s">
        <v>647</v>
      </c>
      <c r="G106" s="24" t="s">
        <v>759</v>
      </c>
      <c r="H106" s="39"/>
      <c r="I106" s="39"/>
      <c r="J106" s="24"/>
      <c r="K106" s="40"/>
      <c r="L106" s="39"/>
      <c r="M106" s="39"/>
      <c r="N106" s="39" t="s">
        <v>736</v>
      </c>
      <c r="O106" s="39"/>
      <c r="P106" s="40"/>
      <c r="Q106" s="39">
        <v>0.25720218480000001</v>
      </c>
      <c r="R106" s="39"/>
      <c r="S106" s="39"/>
      <c r="T106" s="39"/>
    </row>
    <row r="107" spans="1:20" s="7" customFormat="1" ht="25.5" x14ac:dyDescent="0.25">
      <c r="A107" s="38">
        <v>2026</v>
      </c>
      <c r="B107" s="24" t="s">
        <v>203</v>
      </c>
      <c r="C107" s="24" t="s">
        <v>19</v>
      </c>
      <c r="D107" s="24" t="s">
        <v>597</v>
      </c>
      <c r="E107" s="24" t="s">
        <v>651</v>
      </c>
      <c r="F107" s="24" t="s">
        <v>579</v>
      </c>
      <c r="G107" s="24" t="s">
        <v>760</v>
      </c>
      <c r="H107" s="39"/>
      <c r="I107" s="39"/>
      <c r="J107" s="24"/>
      <c r="K107" s="40"/>
      <c r="L107" s="39"/>
      <c r="M107" s="39"/>
      <c r="N107" s="39" t="s">
        <v>736</v>
      </c>
      <c r="O107" s="39"/>
      <c r="P107" s="40"/>
      <c r="Q107" s="39">
        <v>0.3241919285</v>
      </c>
      <c r="R107" s="39"/>
      <c r="S107" s="39"/>
      <c r="T107" s="39"/>
    </row>
    <row r="108" spans="1:20" s="7" customFormat="1" ht="25.5" x14ac:dyDescent="0.25">
      <c r="A108" s="38">
        <v>2026</v>
      </c>
      <c r="B108" s="24" t="s">
        <v>203</v>
      </c>
      <c r="C108" s="24" t="s">
        <v>19</v>
      </c>
      <c r="D108" s="24" t="s">
        <v>597</v>
      </c>
      <c r="E108" s="24" t="s">
        <v>651</v>
      </c>
      <c r="F108" s="24" t="s">
        <v>579</v>
      </c>
      <c r="G108" s="24" t="s">
        <v>761</v>
      </c>
      <c r="H108" s="39"/>
      <c r="I108" s="39"/>
      <c r="J108" s="24"/>
      <c r="K108" s="40"/>
      <c r="L108" s="39"/>
      <c r="M108" s="39"/>
      <c r="N108" s="39" t="s">
        <v>736</v>
      </c>
      <c r="O108" s="39"/>
      <c r="P108" s="40"/>
      <c r="Q108" s="39">
        <v>9.2204619299999985E-2</v>
      </c>
      <c r="R108" s="39"/>
      <c r="S108" s="39"/>
      <c r="T108" s="39"/>
    </row>
    <row r="109" spans="1:20" s="7" customFormat="1" ht="25.5" x14ac:dyDescent="0.25">
      <c r="A109" s="38">
        <v>2026</v>
      </c>
      <c r="B109" s="24" t="s">
        <v>203</v>
      </c>
      <c r="C109" s="24" t="s">
        <v>19</v>
      </c>
      <c r="D109" s="24" t="s">
        <v>606</v>
      </c>
      <c r="E109" s="24" t="s">
        <v>651</v>
      </c>
      <c r="F109" s="24" t="s">
        <v>579</v>
      </c>
      <c r="G109" s="24" t="s">
        <v>762</v>
      </c>
      <c r="H109" s="39"/>
      <c r="I109" s="39"/>
      <c r="J109" s="24"/>
      <c r="K109" s="40"/>
      <c r="L109" s="39"/>
      <c r="M109" s="39"/>
      <c r="N109" s="39" t="s">
        <v>736</v>
      </c>
      <c r="O109" s="39"/>
      <c r="P109" s="40"/>
      <c r="Q109" s="39">
        <v>0.1901831262</v>
      </c>
      <c r="R109" s="39"/>
      <c r="S109" s="39"/>
      <c r="T109" s="39"/>
    </row>
    <row r="110" spans="1:20" s="7" customFormat="1" ht="25.5" x14ac:dyDescent="0.25">
      <c r="A110" s="38">
        <v>2026</v>
      </c>
      <c r="B110" s="24" t="s">
        <v>203</v>
      </c>
      <c r="C110" s="24" t="s">
        <v>19</v>
      </c>
      <c r="D110" s="24" t="s">
        <v>606</v>
      </c>
      <c r="E110" s="24" t="s">
        <v>651</v>
      </c>
      <c r="F110" s="24" t="s">
        <v>579</v>
      </c>
      <c r="G110" s="24" t="s">
        <v>763</v>
      </c>
      <c r="H110" s="39"/>
      <c r="I110" s="39"/>
      <c r="J110" s="24"/>
      <c r="K110" s="40"/>
      <c r="L110" s="39"/>
      <c r="M110" s="39"/>
      <c r="N110" s="39" t="s">
        <v>736</v>
      </c>
      <c r="O110" s="39"/>
      <c r="P110" s="40"/>
      <c r="Q110" s="39">
        <v>0.14399999999999999</v>
      </c>
      <c r="R110" s="39"/>
      <c r="S110" s="39"/>
      <c r="T110" s="39"/>
    </row>
    <row r="111" spans="1:20" s="7" customFormat="1" ht="25.5" x14ac:dyDescent="0.25">
      <c r="A111" s="38">
        <v>2026</v>
      </c>
      <c r="B111" s="24" t="s">
        <v>203</v>
      </c>
      <c r="C111" s="24" t="s">
        <v>19</v>
      </c>
      <c r="D111" s="24" t="s">
        <v>606</v>
      </c>
      <c r="E111" s="24" t="s">
        <v>651</v>
      </c>
      <c r="F111" s="24" t="s">
        <v>579</v>
      </c>
      <c r="G111" s="24" t="s">
        <v>764</v>
      </c>
      <c r="H111" s="39"/>
      <c r="I111" s="39"/>
      <c r="J111" s="24"/>
      <c r="K111" s="40"/>
      <c r="L111" s="39"/>
      <c r="M111" s="39"/>
      <c r="N111" s="39" t="s">
        <v>736</v>
      </c>
      <c r="O111" s="39"/>
      <c r="P111" s="40"/>
      <c r="Q111" s="39">
        <v>6.8713482400000012E-2</v>
      </c>
      <c r="R111" s="39"/>
      <c r="S111" s="39"/>
      <c r="T111" s="39"/>
    </row>
    <row r="112" spans="1:20" s="7" customFormat="1" ht="25.5" x14ac:dyDescent="0.25">
      <c r="A112" s="38">
        <v>2026</v>
      </c>
      <c r="B112" s="24" t="s">
        <v>203</v>
      </c>
      <c r="C112" s="24" t="s">
        <v>19</v>
      </c>
      <c r="D112" s="24" t="s">
        <v>607</v>
      </c>
      <c r="E112" s="24" t="s">
        <v>651</v>
      </c>
      <c r="F112" s="24" t="s">
        <v>579</v>
      </c>
      <c r="G112" s="24" t="s">
        <v>765</v>
      </c>
      <c r="H112" s="39"/>
      <c r="I112" s="39"/>
      <c r="J112" s="24"/>
      <c r="K112" s="40"/>
      <c r="L112" s="39"/>
      <c r="M112" s="39"/>
      <c r="N112" s="39" t="s">
        <v>736</v>
      </c>
      <c r="O112" s="39"/>
      <c r="P112" s="40"/>
      <c r="Q112" s="39">
        <v>0.17094400399999998</v>
      </c>
      <c r="R112" s="39"/>
      <c r="S112" s="39"/>
      <c r="T112" s="39"/>
    </row>
    <row r="113" spans="1:20" s="7" customFormat="1" ht="25.5" x14ac:dyDescent="0.25">
      <c r="A113" s="38">
        <v>2026</v>
      </c>
      <c r="B113" s="24" t="s">
        <v>203</v>
      </c>
      <c r="C113" s="24" t="s">
        <v>19</v>
      </c>
      <c r="D113" s="24" t="s">
        <v>607</v>
      </c>
      <c r="E113" s="24" t="s">
        <v>651</v>
      </c>
      <c r="F113" s="24" t="s">
        <v>579</v>
      </c>
      <c r="G113" s="24" t="s">
        <v>766</v>
      </c>
      <c r="H113" s="39"/>
      <c r="I113" s="39"/>
      <c r="J113" s="24"/>
      <c r="K113" s="40"/>
      <c r="L113" s="39"/>
      <c r="M113" s="39"/>
      <c r="N113" s="39" t="s">
        <v>736</v>
      </c>
      <c r="O113" s="39"/>
      <c r="P113" s="40"/>
      <c r="Q113" s="39">
        <v>5.6203721599999999E-2</v>
      </c>
      <c r="R113" s="39"/>
      <c r="S113" s="39"/>
      <c r="T113" s="39"/>
    </row>
    <row r="114" spans="1:20" s="7" customFormat="1" ht="38.25" x14ac:dyDescent="0.25">
      <c r="A114" s="38">
        <v>2026</v>
      </c>
      <c r="B114" s="24" t="s">
        <v>203</v>
      </c>
      <c r="C114" s="24" t="s">
        <v>19</v>
      </c>
      <c r="D114" s="24" t="s">
        <v>608</v>
      </c>
      <c r="E114" s="24" t="s">
        <v>651</v>
      </c>
      <c r="F114" s="24" t="s">
        <v>579</v>
      </c>
      <c r="G114" s="24" t="s">
        <v>767</v>
      </c>
      <c r="H114" s="39"/>
      <c r="I114" s="39"/>
      <c r="J114" s="24"/>
      <c r="K114" s="40"/>
      <c r="L114" s="39"/>
      <c r="M114" s="39"/>
      <c r="N114" s="39" t="s">
        <v>736</v>
      </c>
      <c r="O114" s="39"/>
      <c r="P114" s="40"/>
      <c r="Q114" s="39">
        <v>0.32971239499999999</v>
      </c>
      <c r="R114" s="39"/>
      <c r="S114" s="39"/>
      <c r="T114" s="39"/>
    </row>
    <row r="115" spans="1:20" s="7" customFormat="1" ht="25.5" x14ac:dyDescent="0.25">
      <c r="A115" s="38">
        <v>2026</v>
      </c>
      <c r="B115" s="24" t="s">
        <v>203</v>
      </c>
      <c r="C115" s="24" t="s">
        <v>19</v>
      </c>
      <c r="D115" s="24" t="s">
        <v>628</v>
      </c>
      <c r="E115" s="24" t="s">
        <v>768</v>
      </c>
      <c r="F115" s="24" t="s">
        <v>579</v>
      </c>
      <c r="G115" s="24" t="s">
        <v>769</v>
      </c>
      <c r="H115" s="39"/>
      <c r="I115" s="39"/>
      <c r="J115" s="24"/>
      <c r="K115" s="40"/>
      <c r="L115" s="39"/>
      <c r="M115" s="39"/>
      <c r="N115" s="39" t="s">
        <v>736</v>
      </c>
      <c r="O115" s="39"/>
      <c r="P115" s="40"/>
      <c r="Q115" s="39">
        <v>0.1870368962</v>
      </c>
      <c r="R115" s="39"/>
      <c r="S115" s="39"/>
      <c r="T115" s="39"/>
    </row>
    <row r="116" spans="1:20" s="7" customFormat="1" ht="25.5" x14ac:dyDescent="0.25">
      <c r="A116" s="38">
        <v>2026</v>
      </c>
      <c r="B116" s="24" t="s">
        <v>203</v>
      </c>
      <c r="C116" s="24" t="s">
        <v>19</v>
      </c>
      <c r="D116" s="24" t="s">
        <v>611</v>
      </c>
      <c r="E116" s="24" t="s">
        <v>677</v>
      </c>
      <c r="F116" s="24" t="s">
        <v>579</v>
      </c>
      <c r="G116" s="24" t="s">
        <v>770</v>
      </c>
      <c r="H116" s="39"/>
      <c r="I116" s="39"/>
      <c r="J116" s="24"/>
      <c r="K116" s="40"/>
      <c r="L116" s="39"/>
      <c r="M116" s="39"/>
      <c r="N116" s="39" t="s">
        <v>736</v>
      </c>
      <c r="O116" s="39"/>
      <c r="P116" s="40"/>
      <c r="Q116" s="39">
        <v>0.49786374</v>
      </c>
      <c r="R116" s="39"/>
      <c r="S116" s="39"/>
      <c r="T116" s="39"/>
    </row>
    <row r="117" spans="1:20" s="7" customFormat="1" ht="25.5" x14ac:dyDescent="0.25">
      <c r="A117" s="38">
        <v>2026</v>
      </c>
      <c r="B117" s="24" t="s">
        <v>203</v>
      </c>
      <c r="C117" s="24" t="s">
        <v>19</v>
      </c>
      <c r="D117" s="24" t="s">
        <v>611</v>
      </c>
      <c r="E117" s="24" t="s">
        <v>677</v>
      </c>
      <c r="F117" s="24" t="s">
        <v>579</v>
      </c>
      <c r="G117" s="24" t="s">
        <v>771</v>
      </c>
      <c r="H117" s="39"/>
      <c r="I117" s="39"/>
      <c r="J117" s="24"/>
      <c r="K117" s="40"/>
      <c r="L117" s="39"/>
      <c r="M117" s="39"/>
      <c r="N117" s="39" t="s">
        <v>736</v>
      </c>
      <c r="O117" s="39"/>
      <c r="P117" s="40"/>
      <c r="Q117" s="39">
        <v>0.34994688399999996</v>
      </c>
      <c r="R117" s="39"/>
      <c r="S117" s="39"/>
      <c r="T117" s="39"/>
    </row>
    <row r="118" spans="1:20" s="7" customFormat="1" ht="25.5" x14ac:dyDescent="0.25">
      <c r="A118" s="38">
        <v>2026</v>
      </c>
      <c r="B118" s="24" t="s">
        <v>203</v>
      </c>
      <c r="C118" s="24" t="s">
        <v>19</v>
      </c>
      <c r="D118" s="24" t="s">
        <v>544</v>
      </c>
      <c r="E118" s="24" t="s">
        <v>373</v>
      </c>
      <c r="F118" s="24" t="s">
        <v>579</v>
      </c>
      <c r="G118" s="24" t="s">
        <v>772</v>
      </c>
      <c r="H118" s="39"/>
      <c r="I118" s="39"/>
      <c r="J118" s="24"/>
      <c r="K118" s="40"/>
      <c r="L118" s="39"/>
      <c r="M118" s="39"/>
      <c r="N118" s="39" t="s">
        <v>736</v>
      </c>
      <c r="O118" s="39"/>
      <c r="P118" s="40"/>
      <c r="Q118" s="39">
        <v>0.29294367399999999</v>
      </c>
      <c r="R118" s="39"/>
      <c r="S118" s="39"/>
      <c r="T118" s="39"/>
    </row>
    <row r="119" spans="1:20" s="7" customFormat="1" ht="38.25" x14ac:dyDescent="0.25">
      <c r="A119" s="38">
        <v>2026</v>
      </c>
      <c r="B119" s="24" t="s">
        <v>203</v>
      </c>
      <c r="C119" s="24" t="s">
        <v>108</v>
      </c>
      <c r="D119" s="24" t="s">
        <v>624</v>
      </c>
      <c r="E119" s="24" t="s">
        <v>699</v>
      </c>
      <c r="F119" s="24" t="s">
        <v>579</v>
      </c>
      <c r="G119" s="24" t="s">
        <v>773</v>
      </c>
      <c r="H119" s="39"/>
      <c r="I119" s="39"/>
      <c r="J119" s="24"/>
      <c r="K119" s="40"/>
      <c r="L119" s="39"/>
      <c r="M119" s="39"/>
      <c r="N119" s="39" t="s">
        <v>736</v>
      </c>
      <c r="O119" s="39"/>
      <c r="P119" s="40"/>
      <c r="Q119" s="39">
        <v>0.46657318860000002</v>
      </c>
      <c r="R119" s="39"/>
      <c r="S119" s="39"/>
      <c r="T119" s="39"/>
    </row>
    <row r="120" spans="1:20" s="7" customFormat="1" ht="38.25" x14ac:dyDescent="0.25">
      <c r="A120" s="38">
        <v>2026</v>
      </c>
      <c r="B120" s="24" t="s">
        <v>203</v>
      </c>
      <c r="C120" s="24" t="s">
        <v>108</v>
      </c>
      <c r="D120" s="24" t="s">
        <v>629</v>
      </c>
      <c r="E120" s="24" t="s">
        <v>699</v>
      </c>
      <c r="F120" s="24" t="s">
        <v>579</v>
      </c>
      <c r="G120" s="24" t="s">
        <v>774</v>
      </c>
      <c r="H120" s="39"/>
      <c r="I120" s="39"/>
      <c r="J120" s="24"/>
      <c r="K120" s="40"/>
      <c r="L120" s="39"/>
      <c r="M120" s="39"/>
      <c r="N120" s="39" t="s">
        <v>736</v>
      </c>
      <c r="O120" s="39"/>
      <c r="P120" s="40"/>
      <c r="Q120" s="39">
        <v>0.17437314000000001</v>
      </c>
      <c r="R120" s="39"/>
      <c r="S120" s="39"/>
      <c r="T120" s="39"/>
    </row>
    <row r="121" spans="1:20" s="7" customFormat="1" ht="38.25" x14ac:dyDescent="0.25">
      <c r="A121" s="38">
        <v>2026</v>
      </c>
      <c r="B121" s="24" t="s">
        <v>203</v>
      </c>
      <c r="C121" s="24" t="s">
        <v>108</v>
      </c>
      <c r="D121" s="24" t="s">
        <v>594</v>
      </c>
      <c r="E121" s="24" t="s">
        <v>643</v>
      </c>
      <c r="F121" s="24" t="s">
        <v>579</v>
      </c>
      <c r="G121" s="24" t="s">
        <v>775</v>
      </c>
      <c r="H121" s="39"/>
      <c r="I121" s="39"/>
      <c r="J121" s="24"/>
      <c r="K121" s="40"/>
      <c r="L121" s="39"/>
      <c r="M121" s="39"/>
      <c r="N121" s="39" t="s">
        <v>736</v>
      </c>
      <c r="O121" s="39"/>
      <c r="P121" s="40"/>
      <c r="Q121" s="39">
        <v>0.26756074800000001</v>
      </c>
      <c r="R121" s="39"/>
      <c r="S121" s="39"/>
      <c r="T121" s="39"/>
    </row>
    <row r="122" spans="1:20" s="7" customFormat="1" ht="38.25" x14ac:dyDescent="0.25">
      <c r="A122" s="38">
        <v>2026</v>
      </c>
      <c r="B122" s="24" t="s">
        <v>203</v>
      </c>
      <c r="C122" s="24" t="s">
        <v>108</v>
      </c>
      <c r="D122" s="24" t="s">
        <v>595</v>
      </c>
      <c r="E122" s="24" t="s">
        <v>643</v>
      </c>
      <c r="F122" s="24" t="s">
        <v>579</v>
      </c>
      <c r="G122" s="24" t="s">
        <v>776</v>
      </c>
      <c r="H122" s="39"/>
      <c r="I122" s="39"/>
      <c r="J122" s="24"/>
      <c r="K122" s="40"/>
      <c r="L122" s="39"/>
      <c r="M122" s="39"/>
      <c r="N122" s="39" t="s">
        <v>736</v>
      </c>
      <c r="O122" s="39"/>
      <c r="P122" s="40"/>
      <c r="Q122" s="39">
        <v>1.1738410165000002</v>
      </c>
      <c r="R122" s="39"/>
      <c r="S122" s="39"/>
      <c r="T122" s="39"/>
    </row>
    <row r="123" spans="1:20" s="7" customFormat="1" ht="38.25" x14ac:dyDescent="0.25">
      <c r="A123" s="38">
        <v>2026</v>
      </c>
      <c r="B123" s="24" t="s">
        <v>203</v>
      </c>
      <c r="C123" s="24" t="s">
        <v>108</v>
      </c>
      <c r="D123" s="24" t="s">
        <v>628</v>
      </c>
      <c r="E123" s="24" t="s">
        <v>768</v>
      </c>
      <c r="F123" s="24" t="s">
        <v>579</v>
      </c>
      <c r="G123" s="24" t="s">
        <v>777</v>
      </c>
      <c r="H123" s="39"/>
      <c r="I123" s="39"/>
      <c r="J123" s="24"/>
      <c r="K123" s="40"/>
      <c r="L123" s="39"/>
      <c r="M123" s="39"/>
      <c r="N123" s="39" t="s">
        <v>736</v>
      </c>
      <c r="O123" s="39"/>
      <c r="P123" s="40"/>
      <c r="Q123" s="39">
        <v>0.175645458</v>
      </c>
      <c r="R123" s="39"/>
      <c r="S123" s="39"/>
      <c r="T123" s="39"/>
    </row>
    <row r="124" spans="1:20" s="7" customFormat="1" ht="38.25" x14ac:dyDescent="0.25">
      <c r="A124" s="38">
        <v>2026</v>
      </c>
      <c r="B124" s="24" t="s">
        <v>203</v>
      </c>
      <c r="C124" s="24" t="s">
        <v>108</v>
      </c>
      <c r="D124" s="24" t="s">
        <v>599</v>
      </c>
      <c r="E124" s="24" t="s">
        <v>658</v>
      </c>
      <c r="F124" s="24" t="s">
        <v>647</v>
      </c>
      <c r="G124" s="24" t="s">
        <v>778</v>
      </c>
      <c r="H124" s="39"/>
      <c r="I124" s="39"/>
      <c r="J124" s="24"/>
      <c r="K124" s="40"/>
      <c r="L124" s="39"/>
      <c r="M124" s="39"/>
      <c r="N124" s="39" t="s">
        <v>736</v>
      </c>
      <c r="O124" s="39"/>
      <c r="P124" s="40"/>
      <c r="Q124" s="39">
        <v>1.9001057400000001</v>
      </c>
      <c r="R124" s="39"/>
      <c r="S124" s="39"/>
      <c r="T124" s="39"/>
    </row>
    <row r="125" spans="1:20" s="7" customFormat="1" ht="38.25" x14ac:dyDescent="0.25">
      <c r="A125" s="38">
        <v>2026</v>
      </c>
      <c r="B125" s="24" t="s">
        <v>203</v>
      </c>
      <c r="C125" s="24" t="s">
        <v>108</v>
      </c>
      <c r="D125" s="24" t="s">
        <v>600</v>
      </c>
      <c r="E125" s="24" t="s">
        <v>658</v>
      </c>
      <c r="F125" s="24" t="s">
        <v>647</v>
      </c>
      <c r="G125" s="24" t="s">
        <v>779</v>
      </c>
      <c r="H125" s="39"/>
      <c r="I125" s="39"/>
      <c r="J125" s="24"/>
      <c r="K125" s="40"/>
      <c r="L125" s="39"/>
      <c r="M125" s="39"/>
      <c r="N125" s="39" t="s">
        <v>736</v>
      </c>
      <c r="O125" s="39"/>
      <c r="P125" s="40"/>
      <c r="Q125" s="39">
        <v>1.33065206</v>
      </c>
      <c r="R125" s="39"/>
      <c r="S125" s="39"/>
      <c r="T125" s="39"/>
    </row>
    <row r="126" spans="1:20" s="7" customFormat="1" ht="25.5" x14ac:dyDescent="0.25">
      <c r="A126" s="38">
        <v>2026</v>
      </c>
      <c r="B126" s="24" t="s">
        <v>222</v>
      </c>
      <c r="C126" s="24" t="s">
        <v>97</v>
      </c>
      <c r="D126" s="24" t="s">
        <v>625</v>
      </c>
      <c r="E126" s="24" t="s">
        <v>699</v>
      </c>
      <c r="F126" s="24" t="s">
        <v>579</v>
      </c>
      <c r="G126" s="24" t="s">
        <v>780</v>
      </c>
      <c r="H126" s="39"/>
      <c r="I126" s="39"/>
      <c r="J126" s="24"/>
      <c r="K126" s="40"/>
      <c r="L126" s="39"/>
      <c r="M126" s="39"/>
      <c r="N126" s="39"/>
      <c r="O126" s="39"/>
      <c r="P126" s="40"/>
      <c r="Q126" s="39">
        <v>-5.3989274903999993</v>
      </c>
      <c r="R126" s="39"/>
      <c r="S126" s="39"/>
      <c r="T126" s="39"/>
    </row>
    <row r="127" spans="1:20" s="7" customFormat="1" ht="25.5" x14ac:dyDescent="0.25">
      <c r="A127" s="38">
        <v>2026</v>
      </c>
      <c r="B127" s="24" t="s">
        <v>222</v>
      </c>
      <c r="C127" s="24" t="s">
        <v>97</v>
      </c>
      <c r="D127" s="24" t="s">
        <v>596</v>
      </c>
      <c r="E127" s="24" t="s">
        <v>646</v>
      </c>
      <c r="F127" s="24" t="s">
        <v>647</v>
      </c>
      <c r="G127" s="24" t="s">
        <v>781</v>
      </c>
      <c r="H127" s="39"/>
      <c r="I127" s="39"/>
      <c r="J127" s="24"/>
      <c r="K127" s="40"/>
      <c r="L127" s="39"/>
      <c r="M127" s="39"/>
      <c r="N127" s="39"/>
      <c r="O127" s="39"/>
      <c r="P127" s="40"/>
      <c r="Q127" s="39">
        <v>-5.1508544000000003E-2</v>
      </c>
      <c r="R127" s="39"/>
      <c r="S127" s="39"/>
      <c r="T127" s="39"/>
    </row>
    <row r="128" spans="1:20" s="7" customFormat="1" ht="25.5" x14ac:dyDescent="0.25">
      <c r="A128" s="38">
        <v>2026</v>
      </c>
      <c r="B128" s="24" t="s">
        <v>222</v>
      </c>
      <c r="C128" s="24" t="s">
        <v>97</v>
      </c>
      <c r="D128" s="24" t="s">
        <v>596</v>
      </c>
      <c r="E128" s="24" t="s">
        <v>646</v>
      </c>
      <c r="F128" s="24" t="s">
        <v>647</v>
      </c>
      <c r="G128" s="24" t="s">
        <v>782</v>
      </c>
      <c r="H128" s="39"/>
      <c r="I128" s="39"/>
      <c r="J128" s="24"/>
      <c r="K128" s="40"/>
      <c r="L128" s="39"/>
      <c r="M128" s="39"/>
      <c r="N128" s="39"/>
      <c r="O128" s="39"/>
      <c r="P128" s="40"/>
      <c r="Q128" s="39">
        <v>-6.13025268E-2</v>
      </c>
      <c r="R128" s="39"/>
      <c r="S128" s="39"/>
      <c r="T128" s="39"/>
    </row>
    <row r="129" spans="1:20" s="7" customFormat="1" ht="25.5" x14ac:dyDescent="0.25">
      <c r="A129" s="38">
        <v>2026</v>
      </c>
      <c r="B129" s="24" t="s">
        <v>222</v>
      </c>
      <c r="C129" s="24" t="s">
        <v>97</v>
      </c>
      <c r="D129" s="24" t="s">
        <v>596</v>
      </c>
      <c r="E129" s="24" t="s">
        <v>646</v>
      </c>
      <c r="F129" s="24" t="s">
        <v>647</v>
      </c>
      <c r="G129" s="24" t="s">
        <v>783</v>
      </c>
      <c r="H129" s="39"/>
      <c r="I129" s="39"/>
      <c r="J129" s="24"/>
      <c r="K129" s="40"/>
      <c r="L129" s="39"/>
      <c r="M129" s="39"/>
      <c r="N129" s="39"/>
      <c r="O129" s="39"/>
      <c r="P129" s="40"/>
      <c r="Q129" s="39">
        <v>-7.7614097800000004E-2</v>
      </c>
      <c r="R129" s="39"/>
      <c r="S129" s="39"/>
      <c r="T129" s="39"/>
    </row>
    <row r="130" spans="1:20" s="7" customFormat="1" ht="25.5" x14ac:dyDescent="0.25">
      <c r="A130" s="38">
        <v>2026</v>
      </c>
      <c r="B130" s="24" t="s">
        <v>222</v>
      </c>
      <c r="C130" s="24" t="s">
        <v>97</v>
      </c>
      <c r="D130" s="24" t="s">
        <v>597</v>
      </c>
      <c r="E130" s="24" t="s">
        <v>651</v>
      </c>
      <c r="F130" s="24" t="s">
        <v>579</v>
      </c>
      <c r="G130" s="24" t="s">
        <v>784</v>
      </c>
      <c r="H130" s="39"/>
      <c r="I130" s="39"/>
      <c r="J130" s="24"/>
      <c r="K130" s="40"/>
      <c r="L130" s="39"/>
      <c r="M130" s="39"/>
      <c r="N130" s="39"/>
      <c r="O130" s="39"/>
      <c r="P130" s="40"/>
      <c r="Q130" s="39">
        <v>-3.8333680000000002E-2</v>
      </c>
      <c r="R130" s="39"/>
      <c r="S130" s="39"/>
      <c r="T130" s="39"/>
    </row>
    <row r="131" spans="1:20" s="7" customFormat="1" ht="25.5" x14ac:dyDescent="0.25">
      <c r="A131" s="38">
        <v>2026</v>
      </c>
      <c r="B131" s="24" t="s">
        <v>222</v>
      </c>
      <c r="C131" s="24" t="s">
        <v>97</v>
      </c>
      <c r="D131" s="24" t="s">
        <v>606</v>
      </c>
      <c r="E131" s="24" t="s">
        <v>651</v>
      </c>
      <c r="F131" s="24" t="s">
        <v>579</v>
      </c>
      <c r="G131" s="24" t="s">
        <v>785</v>
      </c>
      <c r="H131" s="39"/>
      <c r="I131" s="39"/>
      <c r="J131" s="24"/>
      <c r="K131" s="40"/>
      <c r="L131" s="39"/>
      <c r="M131" s="39"/>
      <c r="N131" s="39"/>
      <c r="O131" s="39"/>
      <c r="P131" s="40"/>
      <c r="Q131" s="39">
        <v>-0.224466316</v>
      </c>
      <c r="R131" s="39"/>
      <c r="S131" s="39"/>
      <c r="T131" s="39"/>
    </row>
    <row r="132" spans="1:20" s="7" customFormat="1" ht="25.5" x14ac:dyDescent="0.25">
      <c r="A132" s="38">
        <v>2026</v>
      </c>
      <c r="B132" s="24" t="s">
        <v>222</v>
      </c>
      <c r="C132" s="24" t="s">
        <v>97</v>
      </c>
      <c r="D132" s="24" t="s">
        <v>607</v>
      </c>
      <c r="E132" s="24" t="s">
        <v>651</v>
      </c>
      <c r="F132" s="24" t="s">
        <v>579</v>
      </c>
      <c r="G132" s="24" t="s">
        <v>786</v>
      </c>
      <c r="H132" s="39"/>
      <c r="I132" s="39"/>
      <c r="J132" s="24"/>
      <c r="K132" s="40"/>
      <c r="L132" s="39"/>
      <c r="M132" s="39"/>
      <c r="N132" s="39"/>
      <c r="O132" s="39"/>
      <c r="P132" s="40"/>
      <c r="Q132" s="39">
        <v>-0.195435</v>
      </c>
      <c r="R132" s="39"/>
      <c r="S132" s="39"/>
      <c r="T132" s="39"/>
    </row>
    <row r="133" spans="1:20" s="7" customFormat="1" ht="25.5" x14ac:dyDescent="0.25">
      <c r="A133" s="38">
        <v>2026</v>
      </c>
      <c r="B133" s="24" t="s">
        <v>222</v>
      </c>
      <c r="C133" s="24" t="s">
        <v>97</v>
      </c>
      <c r="D133" s="24" t="s">
        <v>608</v>
      </c>
      <c r="E133" s="24" t="s">
        <v>651</v>
      </c>
      <c r="F133" s="24" t="s">
        <v>579</v>
      </c>
      <c r="G133" s="24" t="s">
        <v>787</v>
      </c>
      <c r="H133" s="39"/>
      <c r="I133" s="39"/>
      <c r="J133" s="24"/>
      <c r="K133" s="40"/>
      <c r="L133" s="39"/>
      <c r="M133" s="39"/>
      <c r="N133" s="39"/>
      <c r="O133" s="39"/>
      <c r="P133" s="40"/>
      <c r="Q133" s="39">
        <v>-0.78256347400000004</v>
      </c>
      <c r="R133" s="39"/>
      <c r="S133" s="39"/>
      <c r="T133" s="39"/>
    </row>
    <row r="134" spans="1:20" s="7" customFormat="1" ht="25.5" x14ac:dyDescent="0.25">
      <c r="A134" s="38">
        <v>2026</v>
      </c>
      <c r="B134" s="24" t="s">
        <v>222</v>
      </c>
      <c r="C134" s="24" t="s">
        <v>97</v>
      </c>
      <c r="D134" s="24" t="s">
        <v>598</v>
      </c>
      <c r="E134" s="24" t="s">
        <v>651</v>
      </c>
      <c r="F134" s="24" t="s">
        <v>647</v>
      </c>
      <c r="G134" s="24" t="s">
        <v>788</v>
      </c>
      <c r="H134" s="39"/>
      <c r="I134" s="39"/>
      <c r="J134" s="24"/>
      <c r="K134" s="40"/>
      <c r="L134" s="39"/>
      <c r="M134" s="39"/>
      <c r="N134" s="39"/>
      <c r="O134" s="39"/>
      <c r="P134" s="40"/>
      <c r="Q134" s="39">
        <v>-3.6158199999999995E-2</v>
      </c>
      <c r="R134" s="39"/>
      <c r="S134" s="39"/>
      <c r="T134" s="39"/>
    </row>
    <row r="135" spans="1:20" s="7" customFormat="1" ht="25.5" x14ac:dyDescent="0.25">
      <c r="A135" s="38">
        <v>2026</v>
      </c>
      <c r="B135" s="24" t="s">
        <v>222</v>
      </c>
      <c r="C135" s="24" t="s">
        <v>97</v>
      </c>
      <c r="D135" s="24" t="s">
        <v>598</v>
      </c>
      <c r="E135" s="24" t="s">
        <v>651</v>
      </c>
      <c r="F135" s="24" t="s">
        <v>647</v>
      </c>
      <c r="G135" s="24" t="s">
        <v>789</v>
      </c>
      <c r="H135" s="39"/>
      <c r="I135" s="39"/>
      <c r="J135" s="24"/>
      <c r="K135" s="40"/>
      <c r="L135" s="39"/>
      <c r="M135" s="39"/>
      <c r="N135" s="39"/>
      <c r="O135" s="39"/>
      <c r="P135" s="40"/>
      <c r="Q135" s="39">
        <v>-2.2988749999999999E-2</v>
      </c>
      <c r="R135" s="39"/>
      <c r="S135" s="39"/>
      <c r="T135" s="39"/>
    </row>
    <row r="136" spans="1:20" s="7" customFormat="1" ht="25.5" x14ac:dyDescent="0.25">
      <c r="A136" s="38">
        <v>2026</v>
      </c>
      <c r="B136" s="24" t="s">
        <v>222</v>
      </c>
      <c r="C136" s="24" t="s">
        <v>97</v>
      </c>
      <c r="D136" s="24" t="s">
        <v>598</v>
      </c>
      <c r="E136" s="24" t="s">
        <v>651</v>
      </c>
      <c r="F136" s="24" t="s">
        <v>647</v>
      </c>
      <c r="G136" s="24" t="s">
        <v>790</v>
      </c>
      <c r="H136" s="39"/>
      <c r="I136" s="39"/>
      <c r="J136" s="24"/>
      <c r="K136" s="40"/>
      <c r="L136" s="39"/>
      <c r="M136" s="39"/>
      <c r="N136" s="39"/>
      <c r="O136" s="39"/>
      <c r="P136" s="40"/>
      <c r="Q136" s="39">
        <v>-8.4221100000000007E-2</v>
      </c>
      <c r="R136" s="39"/>
      <c r="S136" s="39"/>
      <c r="T136" s="39"/>
    </row>
    <row r="137" spans="1:20" s="7" customFormat="1" ht="25.5" x14ac:dyDescent="0.25">
      <c r="A137" s="38">
        <v>2026</v>
      </c>
      <c r="B137" s="24" t="s">
        <v>222</v>
      </c>
      <c r="C137" s="24" t="s">
        <v>97</v>
      </c>
      <c r="D137" s="24" t="s">
        <v>598</v>
      </c>
      <c r="E137" s="24" t="s">
        <v>651</v>
      </c>
      <c r="F137" s="24" t="s">
        <v>647</v>
      </c>
      <c r="G137" s="24" t="s">
        <v>791</v>
      </c>
      <c r="H137" s="39"/>
      <c r="I137" s="39"/>
      <c r="J137" s="24"/>
      <c r="K137" s="40"/>
      <c r="L137" s="39"/>
      <c r="M137" s="39"/>
      <c r="N137" s="39"/>
      <c r="O137" s="39"/>
      <c r="P137" s="40"/>
      <c r="Q137" s="39">
        <v>-6.0772437499999998E-2</v>
      </c>
      <c r="R137" s="39"/>
      <c r="S137" s="39"/>
      <c r="T137" s="39"/>
    </row>
    <row r="138" spans="1:20" s="7" customFormat="1" ht="38.25" x14ac:dyDescent="0.25">
      <c r="A138" s="38">
        <v>2026</v>
      </c>
      <c r="B138" s="24" t="s">
        <v>222</v>
      </c>
      <c r="C138" s="24" t="s">
        <v>111</v>
      </c>
      <c r="D138" s="24" t="s">
        <v>614</v>
      </c>
      <c r="E138" s="24" t="s">
        <v>643</v>
      </c>
      <c r="F138" s="24" t="s">
        <v>579</v>
      </c>
      <c r="G138" s="24" t="s">
        <v>792</v>
      </c>
      <c r="H138" s="39">
        <v>30</v>
      </c>
      <c r="I138" s="39">
        <v>20</v>
      </c>
      <c r="J138" s="24"/>
      <c r="K138" s="40">
        <v>45944</v>
      </c>
      <c r="L138" s="39" t="s">
        <v>109</v>
      </c>
      <c r="M138" s="39">
        <v>17.875903000000001</v>
      </c>
      <c r="N138" s="39" t="s">
        <v>736</v>
      </c>
      <c r="O138" s="39">
        <v>0.30951745779999995</v>
      </c>
      <c r="P138" s="40">
        <v>46154</v>
      </c>
      <c r="Q138" s="39">
        <v>18.185420457799999</v>
      </c>
      <c r="R138" s="39"/>
      <c r="S138" s="39"/>
      <c r="T138" s="39"/>
    </row>
    <row r="139" spans="1:20" s="7" customFormat="1" ht="38.25" x14ac:dyDescent="0.25">
      <c r="A139" s="38">
        <v>2026</v>
      </c>
      <c r="B139" s="24" t="s">
        <v>222</v>
      </c>
      <c r="C139" s="24" t="s">
        <v>111</v>
      </c>
      <c r="D139" s="24" t="s">
        <v>615</v>
      </c>
      <c r="E139" s="24" t="s">
        <v>643</v>
      </c>
      <c r="F139" s="24" t="s">
        <v>579</v>
      </c>
      <c r="G139" s="24" t="s">
        <v>793</v>
      </c>
      <c r="H139" s="39">
        <v>30</v>
      </c>
      <c r="I139" s="39">
        <v>20</v>
      </c>
      <c r="J139" s="24"/>
      <c r="K139" s="40">
        <v>45944</v>
      </c>
      <c r="L139" s="39" t="s">
        <v>109</v>
      </c>
      <c r="M139" s="39">
        <v>21.917020000000001</v>
      </c>
      <c r="N139" s="39" t="s">
        <v>736</v>
      </c>
      <c r="O139" s="39">
        <v>0.42376956160000001</v>
      </c>
      <c r="P139" s="40">
        <v>46154</v>
      </c>
      <c r="Q139" s="39">
        <v>22.340789561600001</v>
      </c>
      <c r="R139" s="39"/>
      <c r="S139" s="39"/>
      <c r="T139" s="39"/>
    </row>
    <row r="140" spans="1:20" s="7" customFormat="1" ht="25.5" x14ac:dyDescent="0.25">
      <c r="A140" s="38">
        <v>2026</v>
      </c>
      <c r="B140" s="24" t="s">
        <v>222</v>
      </c>
      <c r="C140" s="24" t="s">
        <v>111</v>
      </c>
      <c r="D140" s="24" t="s">
        <v>592</v>
      </c>
      <c r="E140" s="24" t="s">
        <v>640</v>
      </c>
      <c r="F140" s="24" t="s">
        <v>579</v>
      </c>
      <c r="G140" s="24" t="s">
        <v>794</v>
      </c>
      <c r="H140" s="39">
        <v>15</v>
      </c>
      <c r="I140" s="39">
        <v>5</v>
      </c>
      <c r="J140" s="24"/>
      <c r="K140" s="40">
        <v>45749</v>
      </c>
      <c r="L140" s="39" t="s">
        <v>109</v>
      </c>
      <c r="M140" s="39">
        <v>6.1688980000000004</v>
      </c>
      <c r="N140" s="39" t="s">
        <v>736</v>
      </c>
      <c r="O140" s="39">
        <v>1.9983411999999999E-2</v>
      </c>
      <c r="P140" s="40">
        <v>46142</v>
      </c>
      <c r="Q140" s="39">
        <v>6.1888814120000006</v>
      </c>
      <c r="R140" s="39"/>
      <c r="S140" s="39"/>
      <c r="T140" s="39"/>
    </row>
    <row r="141" spans="1:20" s="7" customFormat="1" ht="25.5" x14ac:dyDescent="0.25">
      <c r="A141" s="38">
        <v>2026</v>
      </c>
      <c r="B141" s="24" t="s">
        <v>222</v>
      </c>
      <c r="C141" s="24" t="s">
        <v>111</v>
      </c>
      <c r="D141" s="24" t="s">
        <v>593</v>
      </c>
      <c r="E141" s="24" t="s">
        <v>640</v>
      </c>
      <c r="F141" s="24" t="s">
        <v>579</v>
      </c>
      <c r="G141" s="24" t="s">
        <v>795</v>
      </c>
      <c r="H141" s="39">
        <v>10</v>
      </c>
      <c r="I141" s="39">
        <v>5</v>
      </c>
      <c r="J141" s="24"/>
      <c r="K141" s="40">
        <v>45944</v>
      </c>
      <c r="L141" s="39" t="s">
        <v>109</v>
      </c>
      <c r="M141" s="39">
        <v>5.4789149904999999</v>
      </c>
      <c r="N141" s="39" t="s">
        <v>736</v>
      </c>
      <c r="O141" s="39">
        <v>3.6416990500000003E-2</v>
      </c>
      <c r="P141" s="40">
        <v>46142</v>
      </c>
      <c r="Q141" s="39">
        <v>5.5153319810000001</v>
      </c>
      <c r="R141" s="39"/>
      <c r="S141" s="39"/>
      <c r="T141" s="39"/>
    </row>
    <row r="142" spans="1:20" s="7" customFormat="1" ht="38.25" x14ac:dyDescent="0.25">
      <c r="A142" s="38">
        <v>2026</v>
      </c>
      <c r="B142" s="24" t="s">
        <v>222</v>
      </c>
      <c r="C142" s="24" t="s">
        <v>111</v>
      </c>
      <c r="D142" s="24" t="s">
        <v>597</v>
      </c>
      <c r="E142" s="24" t="s">
        <v>651</v>
      </c>
      <c r="F142" s="24" t="s">
        <v>579</v>
      </c>
      <c r="G142" s="24" t="s">
        <v>796</v>
      </c>
      <c r="H142" s="39">
        <v>7.5</v>
      </c>
      <c r="I142" s="39">
        <v>5</v>
      </c>
      <c r="J142" s="24" t="s">
        <v>756</v>
      </c>
      <c r="K142" s="40">
        <v>45932</v>
      </c>
      <c r="L142" s="39" t="s">
        <v>109</v>
      </c>
      <c r="M142" s="39">
        <v>11.554254440249998</v>
      </c>
      <c r="N142" s="39" t="s">
        <v>736</v>
      </c>
      <c r="O142" s="39">
        <v>0.21271348239999999</v>
      </c>
      <c r="P142" s="40">
        <v>46142</v>
      </c>
      <c r="Q142" s="39">
        <v>11.970650988049998</v>
      </c>
      <c r="R142" s="39"/>
      <c r="S142" s="39"/>
      <c r="T142" s="39"/>
    </row>
    <row r="143" spans="1:20" s="7" customFormat="1" ht="38.25" x14ac:dyDescent="0.25">
      <c r="A143" s="38">
        <v>2026</v>
      </c>
      <c r="B143" s="24" t="s">
        <v>222</v>
      </c>
      <c r="C143" s="24" t="s">
        <v>111</v>
      </c>
      <c r="D143" s="24" t="s">
        <v>606</v>
      </c>
      <c r="E143" s="24" t="s">
        <v>651</v>
      </c>
      <c r="F143" s="24" t="s">
        <v>579</v>
      </c>
      <c r="G143" s="24" t="s">
        <v>797</v>
      </c>
      <c r="H143" s="39">
        <v>7.5</v>
      </c>
      <c r="I143" s="39">
        <v>5</v>
      </c>
      <c r="J143" s="24" t="s">
        <v>756</v>
      </c>
      <c r="K143" s="40">
        <v>45932</v>
      </c>
      <c r="L143" s="39" t="s">
        <v>109</v>
      </c>
      <c r="M143" s="39">
        <v>8.9333897280500008</v>
      </c>
      <c r="N143" s="39" t="s">
        <v>736</v>
      </c>
      <c r="O143" s="39">
        <v>0.40289660860000004</v>
      </c>
      <c r="P143" s="40">
        <v>46143</v>
      </c>
      <c r="Q143" s="39">
        <v>9.3362859999999994</v>
      </c>
      <c r="R143" s="39"/>
      <c r="S143" s="39"/>
      <c r="T143" s="39"/>
    </row>
    <row r="144" spans="1:20" s="7" customFormat="1" ht="38.25" x14ac:dyDescent="0.25">
      <c r="A144" s="38">
        <v>2026</v>
      </c>
      <c r="B144" s="24" t="s">
        <v>222</v>
      </c>
      <c r="C144" s="24" t="s">
        <v>111</v>
      </c>
      <c r="D144" s="24" t="s">
        <v>607</v>
      </c>
      <c r="E144" s="24" t="s">
        <v>651</v>
      </c>
      <c r="F144" s="24" t="s">
        <v>579</v>
      </c>
      <c r="G144" s="24" t="s">
        <v>798</v>
      </c>
      <c r="H144" s="39">
        <v>7.5</v>
      </c>
      <c r="I144" s="39">
        <v>5</v>
      </c>
      <c r="J144" s="24" t="s">
        <v>756</v>
      </c>
      <c r="K144" s="40">
        <v>45932</v>
      </c>
      <c r="L144" s="39" t="s">
        <v>109</v>
      </c>
      <c r="M144" s="39">
        <v>8.4618712744</v>
      </c>
      <c r="N144" s="39" t="s">
        <v>736</v>
      </c>
      <c r="O144" s="39">
        <v>0.68490063619999997</v>
      </c>
      <c r="P144" s="40">
        <v>46142</v>
      </c>
      <c r="Q144" s="39">
        <v>8.689019</v>
      </c>
      <c r="R144" s="39"/>
      <c r="S144" s="39"/>
      <c r="T144" s="39"/>
    </row>
    <row r="145" spans="1:20" s="7" customFormat="1" ht="25.5" x14ac:dyDescent="0.25">
      <c r="A145" s="38">
        <v>2026</v>
      </c>
      <c r="B145" s="24" t="s">
        <v>222</v>
      </c>
      <c r="C145" s="24" t="s">
        <v>111</v>
      </c>
      <c r="D145" s="24" t="s">
        <v>630</v>
      </c>
      <c r="E145" s="24" t="s">
        <v>658</v>
      </c>
      <c r="F145" s="24" t="s">
        <v>579</v>
      </c>
      <c r="G145" s="24" t="s">
        <v>9557</v>
      </c>
      <c r="H145" s="39">
        <v>10</v>
      </c>
      <c r="I145" s="39">
        <v>5</v>
      </c>
      <c r="J145" s="24"/>
      <c r="K145" s="40">
        <v>46055</v>
      </c>
      <c r="L145" s="39" t="s">
        <v>109</v>
      </c>
      <c r="M145" s="39">
        <v>2.8417629679999998</v>
      </c>
      <c r="N145" s="39" t="s">
        <v>736</v>
      </c>
      <c r="O145" s="39">
        <v>0.121398904</v>
      </c>
      <c r="P145" s="40">
        <v>46419</v>
      </c>
      <c r="Q145" s="39">
        <v>2.8417629679999998</v>
      </c>
      <c r="R145" s="39"/>
      <c r="S145" s="39"/>
      <c r="T145" s="39"/>
    </row>
    <row r="146" spans="1:20" s="7" customFormat="1" ht="25.5" x14ac:dyDescent="0.25">
      <c r="A146" s="38">
        <v>2026</v>
      </c>
      <c r="B146" s="24" t="s">
        <v>222</v>
      </c>
      <c r="C146" s="24" t="s">
        <v>19</v>
      </c>
      <c r="D146" s="24" t="s">
        <v>614</v>
      </c>
      <c r="E146" s="24" t="s">
        <v>643</v>
      </c>
      <c r="F146" s="24" t="s">
        <v>579</v>
      </c>
      <c r="G146" s="24" t="s">
        <v>799</v>
      </c>
      <c r="H146" s="39"/>
      <c r="I146" s="39"/>
      <c r="J146" s="24"/>
      <c r="K146" s="40"/>
      <c r="L146" s="39"/>
      <c r="M146" s="39"/>
      <c r="N146" s="39" t="s">
        <v>736</v>
      </c>
      <c r="O146" s="39"/>
      <c r="P146" s="40"/>
      <c r="Q146" s="39">
        <v>0.30951745779999995</v>
      </c>
      <c r="R146" s="39"/>
      <c r="S146" s="39"/>
      <c r="T146" s="39"/>
    </row>
    <row r="147" spans="1:20" s="7" customFormat="1" ht="25.5" x14ac:dyDescent="0.25">
      <c r="A147" s="38">
        <v>2026</v>
      </c>
      <c r="B147" s="24" t="s">
        <v>222</v>
      </c>
      <c r="C147" s="24" t="s">
        <v>19</v>
      </c>
      <c r="D147" s="24" t="s">
        <v>615</v>
      </c>
      <c r="E147" s="24" t="s">
        <v>643</v>
      </c>
      <c r="F147" s="24" t="s">
        <v>579</v>
      </c>
      <c r="G147" s="24" t="s">
        <v>800</v>
      </c>
      <c r="H147" s="39"/>
      <c r="I147" s="39"/>
      <c r="J147" s="24"/>
      <c r="K147" s="40"/>
      <c r="L147" s="39"/>
      <c r="M147" s="39"/>
      <c r="N147" s="39" t="s">
        <v>736</v>
      </c>
      <c r="O147" s="39"/>
      <c r="P147" s="40"/>
      <c r="Q147" s="39">
        <v>0.42376956160000001</v>
      </c>
      <c r="R147" s="39"/>
      <c r="S147" s="39"/>
      <c r="T147" s="39"/>
    </row>
    <row r="148" spans="1:20" s="7" customFormat="1" ht="25.5" x14ac:dyDescent="0.25">
      <c r="A148" s="38">
        <v>2026</v>
      </c>
      <c r="B148" s="24" t="s">
        <v>222</v>
      </c>
      <c r="C148" s="24" t="s">
        <v>19</v>
      </c>
      <c r="D148" s="24" t="s">
        <v>592</v>
      </c>
      <c r="E148" s="24" t="s">
        <v>640</v>
      </c>
      <c r="F148" s="24" t="s">
        <v>579</v>
      </c>
      <c r="G148" s="24" t="s">
        <v>801</v>
      </c>
      <c r="H148" s="39"/>
      <c r="I148" s="39"/>
      <c r="J148" s="24"/>
      <c r="K148" s="40"/>
      <c r="L148" s="39"/>
      <c r="M148" s="39"/>
      <c r="N148" s="39" t="s">
        <v>736</v>
      </c>
      <c r="O148" s="39"/>
      <c r="P148" s="40"/>
      <c r="Q148" s="39">
        <v>1.9983411999999999E-2</v>
      </c>
      <c r="R148" s="39"/>
      <c r="S148" s="39"/>
      <c r="T148" s="39"/>
    </row>
    <row r="149" spans="1:20" s="7" customFormat="1" ht="25.5" x14ac:dyDescent="0.25">
      <c r="A149" s="38">
        <v>2026</v>
      </c>
      <c r="B149" s="24" t="s">
        <v>222</v>
      </c>
      <c r="C149" s="24" t="s">
        <v>19</v>
      </c>
      <c r="D149" s="24" t="s">
        <v>593</v>
      </c>
      <c r="E149" s="24" t="s">
        <v>640</v>
      </c>
      <c r="F149" s="24" t="s">
        <v>579</v>
      </c>
      <c r="G149" s="24" t="s">
        <v>802</v>
      </c>
      <c r="H149" s="39"/>
      <c r="I149" s="39"/>
      <c r="J149" s="24"/>
      <c r="K149" s="40"/>
      <c r="L149" s="39"/>
      <c r="M149" s="39"/>
      <c r="N149" s="39" t="s">
        <v>736</v>
      </c>
      <c r="O149" s="39"/>
      <c r="P149" s="40"/>
      <c r="Q149" s="39">
        <v>3.6416990500000003E-2</v>
      </c>
      <c r="R149" s="39"/>
      <c r="S149" s="39"/>
      <c r="T149" s="39"/>
    </row>
    <row r="150" spans="1:20" s="7" customFormat="1" ht="25.5" x14ac:dyDescent="0.25">
      <c r="A150" s="38">
        <v>2026</v>
      </c>
      <c r="B150" s="24" t="s">
        <v>222</v>
      </c>
      <c r="C150" s="24" t="s">
        <v>19</v>
      </c>
      <c r="D150" s="24" t="s">
        <v>596</v>
      </c>
      <c r="E150" s="24" t="s">
        <v>646</v>
      </c>
      <c r="F150" s="24" t="s">
        <v>647</v>
      </c>
      <c r="G150" s="24" t="s">
        <v>803</v>
      </c>
      <c r="H150" s="39"/>
      <c r="I150" s="39"/>
      <c r="J150" s="24"/>
      <c r="K150" s="40"/>
      <c r="L150" s="39"/>
      <c r="M150" s="39"/>
      <c r="N150" s="39" t="s">
        <v>736</v>
      </c>
      <c r="O150" s="39"/>
      <c r="P150" s="40"/>
      <c r="Q150" s="39">
        <v>3.5349622000000004E-2</v>
      </c>
      <c r="R150" s="39"/>
      <c r="S150" s="39"/>
      <c r="T150" s="39"/>
    </row>
    <row r="151" spans="1:20" s="7" customFormat="1" ht="25.5" x14ac:dyDescent="0.25">
      <c r="A151" s="38">
        <v>2026</v>
      </c>
      <c r="B151" s="24" t="s">
        <v>222</v>
      </c>
      <c r="C151" s="24" t="s">
        <v>19</v>
      </c>
      <c r="D151" s="24" t="s">
        <v>599</v>
      </c>
      <c r="E151" s="24" t="s">
        <v>658</v>
      </c>
      <c r="F151" s="24" t="s">
        <v>647</v>
      </c>
      <c r="G151" s="24" t="s">
        <v>804</v>
      </c>
      <c r="H151" s="39"/>
      <c r="I151" s="39"/>
      <c r="J151" s="24"/>
      <c r="K151" s="40"/>
      <c r="L151" s="39"/>
      <c r="M151" s="39"/>
      <c r="N151" s="39" t="s">
        <v>736</v>
      </c>
      <c r="O151" s="39"/>
      <c r="P151" s="40"/>
      <c r="Q151" s="39">
        <v>2.4592611999999996E-2</v>
      </c>
      <c r="R151" s="39"/>
      <c r="S151" s="39"/>
      <c r="T151" s="39"/>
    </row>
    <row r="152" spans="1:20" s="7" customFormat="1" ht="25.5" x14ac:dyDescent="0.25">
      <c r="A152" s="38">
        <v>2026</v>
      </c>
      <c r="B152" s="24" t="s">
        <v>222</v>
      </c>
      <c r="C152" s="24" t="s">
        <v>19</v>
      </c>
      <c r="D152" s="24" t="s">
        <v>600</v>
      </c>
      <c r="E152" s="24" t="s">
        <v>658</v>
      </c>
      <c r="F152" s="24" t="s">
        <v>647</v>
      </c>
      <c r="G152" s="24" t="s">
        <v>805</v>
      </c>
      <c r="H152" s="39"/>
      <c r="I152" s="39"/>
      <c r="J152" s="24"/>
      <c r="K152" s="40"/>
      <c r="L152" s="39"/>
      <c r="M152" s="39"/>
      <c r="N152" s="39" t="s">
        <v>736</v>
      </c>
      <c r="O152" s="39"/>
      <c r="P152" s="40"/>
      <c r="Q152" s="39">
        <v>1.5677076000000002E-2</v>
      </c>
      <c r="R152" s="39"/>
      <c r="S152" s="39"/>
      <c r="T152" s="39"/>
    </row>
    <row r="153" spans="1:20" s="7" customFormat="1" ht="25.5" x14ac:dyDescent="0.25">
      <c r="A153" s="38">
        <v>2026</v>
      </c>
      <c r="B153" s="24" t="s">
        <v>222</v>
      </c>
      <c r="C153" s="24" t="s">
        <v>19</v>
      </c>
      <c r="D153" s="24" t="s">
        <v>626</v>
      </c>
      <c r="E153" s="24" t="s">
        <v>658</v>
      </c>
      <c r="F153" s="24" t="s">
        <v>579</v>
      </c>
      <c r="G153" s="24" t="s">
        <v>806</v>
      </c>
      <c r="H153" s="39"/>
      <c r="I153" s="39"/>
      <c r="J153" s="24"/>
      <c r="K153" s="40"/>
      <c r="L153" s="39"/>
      <c r="M153" s="39"/>
      <c r="N153" s="39" t="s">
        <v>736</v>
      </c>
      <c r="O153" s="39"/>
      <c r="P153" s="40"/>
      <c r="Q153" s="39">
        <v>0.17331612599999999</v>
      </c>
      <c r="R153" s="39"/>
      <c r="S153" s="39"/>
      <c r="T153" s="39"/>
    </row>
    <row r="154" spans="1:20" s="7" customFormat="1" ht="38.25" x14ac:dyDescent="0.25">
      <c r="A154" s="38">
        <v>2026</v>
      </c>
      <c r="B154" s="24" t="s">
        <v>222</v>
      </c>
      <c r="C154" s="24" t="s">
        <v>19</v>
      </c>
      <c r="D154" s="24" t="s">
        <v>626</v>
      </c>
      <c r="E154" s="24" t="s">
        <v>658</v>
      </c>
      <c r="F154" s="24" t="s">
        <v>579</v>
      </c>
      <c r="G154" s="24" t="s">
        <v>807</v>
      </c>
      <c r="H154" s="39"/>
      <c r="I154" s="39"/>
      <c r="J154" s="24"/>
      <c r="K154" s="40"/>
      <c r="L154" s="39"/>
      <c r="M154" s="39"/>
      <c r="N154" s="39" t="s">
        <v>736</v>
      </c>
      <c r="O154" s="39"/>
      <c r="P154" s="40"/>
      <c r="Q154" s="39">
        <v>3.6547326400000002</v>
      </c>
      <c r="R154" s="39"/>
      <c r="S154" s="39"/>
      <c r="T154" s="39"/>
    </row>
    <row r="155" spans="1:20" s="7" customFormat="1" ht="25.5" x14ac:dyDescent="0.25">
      <c r="A155" s="38">
        <v>2026</v>
      </c>
      <c r="B155" s="24" t="s">
        <v>222</v>
      </c>
      <c r="C155" s="24" t="s">
        <v>19</v>
      </c>
      <c r="D155" s="24" t="s">
        <v>630</v>
      </c>
      <c r="E155" s="24" t="s">
        <v>658</v>
      </c>
      <c r="F155" s="24" t="s">
        <v>579</v>
      </c>
      <c r="G155" s="24" t="s">
        <v>808</v>
      </c>
      <c r="H155" s="39"/>
      <c r="I155" s="39"/>
      <c r="J155" s="24"/>
      <c r="K155" s="40"/>
      <c r="L155" s="39"/>
      <c r="M155" s="39"/>
      <c r="N155" s="39" t="s">
        <v>736</v>
      </c>
      <c r="O155" s="39"/>
      <c r="P155" s="40"/>
      <c r="Q155" s="39">
        <v>0.121398904</v>
      </c>
      <c r="R155" s="39"/>
      <c r="S155" s="39"/>
      <c r="T155" s="39"/>
    </row>
    <row r="156" spans="1:20" s="7" customFormat="1" ht="25.5" x14ac:dyDescent="0.25">
      <c r="A156" s="38">
        <v>2026</v>
      </c>
      <c r="B156" s="24" t="s">
        <v>222</v>
      </c>
      <c r="C156" s="24" t="s">
        <v>19</v>
      </c>
      <c r="D156" s="24" t="s">
        <v>631</v>
      </c>
      <c r="E156" s="24" t="s">
        <v>658</v>
      </c>
      <c r="F156" s="24" t="s">
        <v>579</v>
      </c>
      <c r="G156" s="24" t="s">
        <v>809</v>
      </c>
      <c r="H156" s="39"/>
      <c r="I156" s="39"/>
      <c r="J156" s="24"/>
      <c r="K156" s="40"/>
      <c r="L156" s="39"/>
      <c r="M156" s="39"/>
      <c r="N156" s="39" t="s">
        <v>736</v>
      </c>
      <c r="O156" s="39"/>
      <c r="P156" s="40"/>
      <c r="Q156" s="39">
        <v>0.21878914499999999</v>
      </c>
      <c r="R156" s="39"/>
      <c r="S156" s="39"/>
      <c r="T156" s="39"/>
    </row>
    <row r="157" spans="1:20" s="7" customFormat="1" ht="25.5" x14ac:dyDescent="0.25">
      <c r="A157" s="38">
        <v>2026</v>
      </c>
      <c r="B157" s="24" t="s">
        <v>222</v>
      </c>
      <c r="C157" s="24" t="s">
        <v>19</v>
      </c>
      <c r="D157" s="24" t="s">
        <v>611</v>
      </c>
      <c r="E157" s="24" t="s">
        <v>677</v>
      </c>
      <c r="F157" s="24" t="s">
        <v>579</v>
      </c>
      <c r="G157" s="24" t="s">
        <v>810</v>
      </c>
      <c r="H157" s="39"/>
      <c r="I157" s="39"/>
      <c r="J157" s="24"/>
      <c r="K157" s="40"/>
      <c r="L157" s="39"/>
      <c r="M157" s="39"/>
      <c r="N157" s="39" t="s">
        <v>736</v>
      </c>
      <c r="O157" s="39"/>
      <c r="P157" s="40"/>
      <c r="Q157" s="39">
        <v>0.42501645599999993</v>
      </c>
      <c r="R157" s="39"/>
      <c r="S157" s="39"/>
      <c r="T157" s="39"/>
    </row>
    <row r="158" spans="1:20" s="7" customFormat="1" ht="25.5" x14ac:dyDescent="0.25">
      <c r="A158" s="38">
        <v>2026</v>
      </c>
      <c r="B158" s="24" t="s">
        <v>222</v>
      </c>
      <c r="C158" s="24" t="s">
        <v>19</v>
      </c>
      <c r="D158" s="24" t="s">
        <v>612</v>
      </c>
      <c r="E158" s="24" t="s">
        <v>679</v>
      </c>
      <c r="F158" s="24" t="s">
        <v>579</v>
      </c>
      <c r="G158" s="24" t="s">
        <v>811</v>
      </c>
      <c r="H158" s="39"/>
      <c r="I158" s="39"/>
      <c r="J158" s="24"/>
      <c r="K158" s="40"/>
      <c r="L158" s="39"/>
      <c r="M158" s="39"/>
      <c r="N158" s="39" t="s">
        <v>736</v>
      </c>
      <c r="O158" s="39"/>
      <c r="P158" s="40"/>
      <c r="Q158" s="39">
        <v>0.22574447550000001</v>
      </c>
      <c r="R158" s="39"/>
      <c r="S158" s="39"/>
      <c r="T158" s="39"/>
    </row>
    <row r="159" spans="1:20" s="7" customFormat="1" ht="25.5" x14ac:dyDescent="0.25">
      <c r="A159" s="38">
        <v>2026</v>
      </c>
      <c r="B159" s="24" t="s">
        <v>222</v>
      </c>
      <c r="C159" s="24" t="s">
        <v>19</v>
      </c>
      <c r="D159" s="24" t="s">
        <v>613</v>
      </c>
      <c r="E159" s="24" t="s">
        <v>679</v>
      </c>
      <c r="F159" s="24" t="s">
        <v>579</v>
      </c>
      <c r="G159" s="24" t="s">
        <v>812</v>
      </c>
      <c r="H159" s="39"/>
      <c r="I159" s="39"/>
      <c r="J159" s="24"/>
      <c r="K159" s="40"/>
      <c r="L159" s="39"/>
      <c r="M159" s="39"/>
      <c r="N159" s="39" t="s">
        <v>736</v>
      </c>
      <c r="O159" s="39"/>
      <c r="P159" s="40"/>
      <c r="Q159" s="39">
        <v>0.33138040320000001</v>
      </c>
      <c r="R159" s="39"/>
      <c r="S159" s="39"/>
      <c r="T159" s="39"/>
    </row>
    <row r="160" spans="1:20" s="7" customFormat="1" ht="25.5" x14ac:dyDescent="0.25">
      <c r="A160" s="38">
        <v>2026</v>
      </c>
      <c r="B160" s="24" t="s">
        <v>222</v>
      </c>
      <c r="C160" s="24" t="s">
        <v>19</v>
      </c>
      <c r="D160" s="24" t="s">
        <v>602</v>
      </c>
      <c r="E160" s="24" t="s">
        <v>661</v>
      </c>
      <c r="F160" s="24" t="s">
        <v>579</v>
      </c>
      <c r="G160" s="24" t="s">
        <v>813</v>
      </c>
      <c r="H160" s="39"/>
      <c r="I160" s="39"/>
      <c r="J160" s="24"/>
      <c r="K160" s="40"/>
      <c r="L160" s="39"/>
      <c r="M160" s="39"/>
      <c r="N160" s="39" t="s">
        <v>736</v>
      </c>
      <c r="O160" s="39"/>
      <c r="P160" s="40"/>
      <c r="Q160" s="39">
        <v>0.37337157439999996</v>
      </c>
      <c r="R160" s="39"/>
      <c r="S160" s="39"/>
      <c r="T160" s="39"/>
    </row>
    <row r="161" spans="1:20" s="7" customFormat="1" ht="38.25" x14ac:dyDescent="0.25">
      <c r="A161" s="38">
        <v>2026</v>
      </c>
      <c r="B161" s="24" t="s">
        <v>222</v>
      </c>
      <c r="C161" s="24" t="s">
        <v>19</v>
      </c>
      <c r="D161" s="24" t="s">
        <v>616</v>
      </c>
      <c r="E161" s="24" t="s">
        <v>697</v>
      </c>
      <c r="F161" s="24" t="s">
        <v>647</v>
      </c>
      <c r="G161" s="24" t="s">
        <v>814</v>
      </c>
      <c r="H161" s="39"/>
      <c r="I161" s="39"/>
      <c r="J161" s="24"/>
      <c r="K161" s="40"/>
      <c r="L161" s="39"/>
      <c r="M161" s="39"/>
      <c r="N161" s="39" t="s">
        <v>736</v>
      </c>
      <c r="O161" s="39"/>
      <c r="P161" s="40"/>
      <c r="Q161" s="39">
        <v>1.65675374165</v>
      </c>
      <c r="R161" s="39"/>
      <c r="S161" s="39"/>
      <c r="T161" s="39"/>
    </row>
    <row r="162" spans="1:20" s="7" customFormat="1" ht="38.25" x14ac:dyDescent="0.25">
      <c r="A162" s="38">
        <v>2026</v>
      </c>
      <c r="B162" s="24" t="s">
        <v>222</v>
      </c>
      <c r="C162" s="24" t="s">
        <v>108</v>
      </c>
      <c r="D162" s="24" t="s">
        <v>632</v>
      </c>
      <c r="E162" s="24" t="s">
        <v>815</v>
      </c>
      <c r="F162" s="24" t="s">
        <v>579</v>
      </c>
      <c r="G162" s="24" t="s">
        <v>816</v>
      </c>
      <c r="H162" s="39"/>
      <c r="I162" s="39"/>
      <c r="J162" s="24"/>
      <c r="K162" s="40"/>
      <c r="L162" s="39"/>
      <c r="M162" s="39"/>
      <c r="N162" s="39" t="s">
        <v>736</v>
      </c>
      <c r="O162" s="39"/>
      <c r="P162" s="40"/>
      <c r="Q162" s="39">
        <v>0.43015627980000004</v>
      </c>
      <c r="R162" s="39"/>
      <c r="S162" s="39"/>
      <c r="T162" s="39"/>
    </row>
    <row r="163" spans="1:20" s="7" customFormat="1" ht="38.25" x14ac:dyDescent="0.25">
      <c r="A163" s="38">
        <v>2026</v>
      </c>
      <c r="B163" s="24" t="s">
        <v>222</v>
      </c>
      <c r="C163" s="24" t="s">
        <v>108</v>
      </c>
      <c r="D163" s="24" t="s">
        <v>627</v>
      </c>
      <c r="E163" s="24" t="s">
        <v>757</v>
      </c>
      <c r="F163" s="24" t="s">
        <v>579</v>
      </c>
      <c r="G163" s="24" t="s">
        <v>817</v>
      </c>
      <c r="H163" s="39"/>
      <c r="I163" s="39"/>
      <c r="J163" s="24"/>
      <c r="K163" s="40"/>
      <c r="L163" s="39"/>
      <c r="M163" s="39"/>
      <c r="N163" s="39" t="s">
        <v>736</v>
      </c>
      <c r="O163" s="39"/>
      <c r="P163" s="40"/>
      <c r="Q163" s="39">
        <v>2.4127960199999996E-2</v>
      </c>
      <c r="R163" s="39"/>
      <c r="S163" s="39"/>
      <c r="T163" s="39"/>
    </row>
    <row r="164" spans="1:20" s="7" customFormat="1" ht="38.25" x14ac:dyDescent="0.25">
      <c r="A164" s="38">
        <v>2026</v>
      </c>
      <c r="B164" s="24" t="s">
        <v>222</v>
      </c>
      <c r="C164" s="24" t="s">
        <v>108</v>
      </c>
      <c r="D164" s="24" t="s">
        <v>606</v>
      </c>
      <c r="E164" s="24" t="s">
        <v>651</v>
      </c>
      <c r="F164" s="24" t="s">
        <v>579</v>
      </c>
      <c r="G164" s="24" t="s">
        <v>818</v>
      </c>
      <c r="H164" s="39"/>
      <c r="I164" s="39"/>
      <c r="J164" s="24"/>
      <c r="K164" s="40"/>
      <c r="L164" s="39"/>
      <c r="M164" s="39"/>
      <c r="N164" s="39" t="s">
        <v>736</v>
      </c>
      <c r="O164" s="39"/>
      <c r="P164" s="40"/>
      <c r="Q164" s="39">
        <v>8.8569434799999999E-2</v>
      </c>
      <c r="R164" s="39"/>
      <c r="S164" s="39"/>
      <c r="T164" s="39"/>
    </row>
    <row r="165" spans="1:20" s="7" customFormat="1" ht="38.25" x14ac:dyDescent="0.25">
      <c r="A165" s="38">
        <v>2026</v>
      </c>
      <c r="B165" s="24" t="s">
        <v>222</v>
      </c>
      <c r="C165" s="24" t="s">
        <v>108</v>
      </c>
      <c r="D165" s="24" t="s">
        <v>607</v>
      </c>
      <c r="E165" s="24" t="s">
        <v>651</v>
      </c>
      <c r="F165" s="24" t="s">
        <v>579</v>
      </c>
      <c r="G165" s="24" t="s">
        <v>819</v>
      </c>
      <c r="H165" s="39"/>
      <c r="I165" s="39"/>
      <c r="J165" s="24"/>
      <c r="K165" s="40"/>
      <c r="L165" s="39"/>
      <c r="M165" s="39"/>
      <c r="N165" s="39" t="s">
        <v>736</v>
      </c>
      <c r="O165" s="39"/>
      <c r="P165" s="40"/>
      <c r="Q165" s="39">
        <v>9.3116699999999997E-2</v>
      </c>
      <c r="R165" s="39"/>
      <c r="S165" s="39"/>
      <c r="T165" s="39"/>
    </row>
    <row r="166" spans="1:20" s="7" customFormat="1" ht="38.25" x14ac:dyDescent="0.25">
      <c r="A166" s="38">
        <v>2026</v>
      </c>
      <c r="B166" s="24" t="s">
        <v>222</v>
      </c>
      <c r="C166" s="24" t="s">
        <v>108</v>
      </c>
      <c r="D166" s="24" t="s">
        <v>608</v>
      </c>
      <c r="E166" s="24" t="s">
        <v>651</v>
      </c>
      <c r="F166" s="24" t="s">
        <v>579</v>
      </c>
      <c r="G166" s="24" t="s">
        <v>820</v>
      </c>
      <c r="H166" s="39"/>
      <c r="I166" s="39"/>
      <c r="J166" s="24"/>
      <c r="K166" s="40"/>
      <c r="L166" s="39"/>
      <c r="M166" s="39"/>
      <c r="N166" s="39" t="s">
        <v>736</v>
      </c>
      <c r="O166" s="39"/>
      <c r="P166" s="40"/>
      <c r="Q166" s="39">
        <v>7.2074272800000005E-2</v>
      </c>
      <c r="R166" s="39"/>
      <c r="S166" s="39"/>
      <c r="T166" s="39"/>
    </row>
    <row r="167" spans="1:20" s="7" customFormat="1" ht="38.25" x14ac:dyDescent="0.25">
      <c r="A167" s="38">
        <v>2026</v>
      </c>
      <c r="B167" s="24" t="s">
        <v>222</v>
      </c>
      <c r="C167" s="24" t="s">
        <v>108</v>
      </c>
      <c r="D167" s="24" t="s">
        <v>600</v>
      </c>
      <c r="E167" s="24" t="s">
        <v>658</v>
      </c>
      <c r="F167" s="24" t="s">
        <v>647</v>
      </c>
      <c r="G167" s="24" t="s">
        <v>821</v>
      </c>
      <c r="H167" s="39"/>
      <c r="I167" s="39"/>
      <c r="J167" s="24"/>
      <c r="K167" s="40"/>
      <c r="L167" s="39"/>
      <c r="M167" s="39"/>
      <c r="N167" s="39" t="s">
        <v>736</v>
      </c>
      <c r="O167" s="39"/>
      <c r="P167" s="40"/>
      <c r="Q167" s="39">
        <v>0.70353734400000001</v>
      </c>
      <c r="R167" s="39"/>
      <c r="S167" s="39"/>
      <c r="T167" s="39"/>
    </row>
    <row r="168" spans="1:20" s="7" customFormat="1" ht="25.5" x14ac:dyDescent="0.25">
      <c r="A168" s="38">
        <v>2026</v>
      </c>
      <c r="B168" s="24" t="s">
        <v>222</v>
      </c>
      <c r="C168" s="24" t="s">
        <v>92</v>
      </c>
      <c r="D168" s="24" t="s">
        <v>598</v>
      </c>
      <c r="E168" s="24" t="s">
        <v>651</v>
      </c>
      <c r="F168" s="24" t="s">
        <v>647</v>
      </c>
      <c r="G168" s="24" t="s">
        <v>822</v>
      </c>
      <c r="H168" s="39"/>
      <c r="I168" s="39"/>
      <c r="J168" s="24"/>
      <c r="K168" s="40"/>
      <c r="L168" s="39"/>
      <c r="M168" s="39"/>
      <c r="N168" s="39"/>
      <c r="O168" s="39"/>
      <c r="P168" s="40"/>
      <c r="Q168" s="39">
        <v>-9.2057059999999993</v>
      </c>
      <c r="R168" s="39"/>
      <c r="S168" s="39"/>
      <c r="T168" s="39"/>
    </row>
    <row r="169" spans="1:20" s="7" customFormat="1" ht="25.5" x14ac:dyDescent="0.25">
      <c r="A169" s="38">
        <v>2026</v>
      </c>
      <c r="B169" s="24" t="s">
        <v>237</v>
      </c>
      <c r="C169" s="24" t="s">
        <v>97</v>
      </c>
      <c r="D169" s="24" t="s">
        <v>624</v>
      </c>
      <c r="E169" s="24" t="s">
        <v>699</v>
      </c>
      <c r="F169" s="24" t="s">
        <v>579</v>
      </c>
      <c r="G169" s="24" t="s">
        <v>823</v>
      </c>
      <c r="H169" s="39"/>
      <c r="I169" s="39"/>
      <c r="J169" s="24"/>
      <c r="K169" s="40"/>
      <c r="L169" s="39"/>
      <c r="M169" s="39"/>
      <c r="N169" s="39"/>
      <c r="O169" s="39"/>
      <c r="P169" s="40"/>
      <c r="Q169" s="39">
        <v>-0.86369692639999995</v>
      </c>
      <c r="R169" s="39"/>
      <c r="S169" s="39"/>
      <c r="T169" s="39"/>
    </row>
    <row r="170" spans="1:20" s="7" customFormat="1" ht="25.5" x14ac:dyDescent="0.25">
      <c r="A170" s="38">
        <v>2026</v>
      </c>
      <c r="B170" s="24" t="s">
        <v>237</v>
      </c>
      <c r="C170" s="24" t="s">
        <v>97</v>
      </c>
      <c r="D170" s="24" t="s">
        <v>629</v>
      </c>
      <c r="E170" s="24" t="s">
        <v>699</v>
      </c>
      <c r="F170" s="24" t="s">
        <v>579</v>
      </c>
      <c r="G170" s="24" t="s">
        <v>824</v>
      </c>
      <c r="H170" s="39"/>
      <c r="I170" s="39"/>
      <c r="J170" s="24"/>
      <c r="K170" s="40"/>
      <c r="L170" s="39"/>
      <c r="M170" s="39"/>
      <c r="N170" s="39"/>
      <c r="O170" s="39"/>
      <c r="P170" s="40"/>
      <c r="Q170" s="39">
        <v>-0.30154464730000002</v>
      </c>
      <c r="R170" s="39"/>
      <c r="S170" s="39"/>
      <c r="T170" s="39"/>
    </row>
    <row r="171" spans="1:20" s="7" customFormat="1" ht="25.5" x14ac:dyDescent="0.25">
      <c r="A171" s="38">
        <v>2026</v>
      </c>
      <c r="B171" s="24" t="s">
        <v>237</v>
      </c>
      <c r="C171" s="24" t="s">
        <v>97</v>
      </c>
      <c r="D171" s="24" t="s">
        <v>625</v>
      </c>
      <c r="E171" s="24" t="s">
        <v>699</v>
      </c>
      <c r="F171" s="24" t="s">
        <v>579</v>
      </c>
      <c r="G171" s="24" t="s">
        <v>825</v>
      </c>
      <c r="H171" s="39"/>
      <c r="I171" s="39"/>
      <c r="J171" s="24"/>
      <c r="K171" s="40"/>
      <c r="L171" s="39"/>
      <c r="M171" s="39"/>
      <c r="N171" s="39"/>
      <c r="O171" s="39"/>
      <c r="P171" s="40"/>
      <c r="Q171" s="39">
        <v>-1.2852469259999999</v>
      </c>
      <c r="R171" s="39"/>
      <c r="S171" s="39"/>
      <c r="T171" s="39"/>
    </row>
    <row r="172" spans="1:20" s="7" customFormat="1" ht="25.5" x14ac:dyDescent="0.25">
      <c r="A172" s="38">
        <v>2026</v>
      </c>
      <c r="B172" s="24" t="s">
        <v>237</v>
      </c>
      <c r="C172" s="24" t="s">
        <v>97</v>
      </c>
      <c r="D172" s="24" t="s">
        <v>614</v>
      </c>
      <c r="E172" s="24" t="s">
        <v>643</v>
      </c>
      <c r="F172" s="24" t="s">
        <v>579</v>
      </c>
      <c r="G172" s="24" t="s">
        <v>826</v>
      </c>
      <c r="H172" s="39"/>
      <c r="I172" s="39"/>
      <c r="J172" s="24"/>
      <c r="K172" s="40"/>
      <c r="L172" s="39"/>
      <c r="M172" s="39"/>
      <c r="N172" s="39"/>
      <c r="O172" s="39"/>
      <c r="P172" s="40"/>
      <c r="Q172" s="39">
        <v>-3.1654303069999998</v>
      </c>
      <c r="R172" s="39"/>
      <c r="S172" s="39"/>
      <c r="T172" s="39"/>
    </row>
    <row r="173" spans="1:20" s="7" customFormat="1" ht="25.5" x14ac:dyDescent="0.25">
      <c r="A173" s="38">
        <v>2026</v>
      </c>
      <c r="B173" s="24" t="s">
        <v>237</v>
      </c>
      <c r="C173" s="24" t="s">
        <v>97</v>
      </c>
      <c r="D173" s="24" t="s">
        <v>615</v>
      </c>
      <c r="E173" s="24" t="s">
        <v>643</v>
      </c>
      <c r="F173" s="24" t="s">
        <v>579</v>
      </c>
      <c r="G173" s="24" t="s">
        <v>827</v>
      </c>
      <c r="H173" s="39"/>
      <c r="I173" s="39"/>
      <c r="J173" s="24"/>
      <c r="K173" s="40"/>
      <c r="L173" s="39"/>
      <c r="M173" s="39"/>
      <c r="N173" s="39"/>
      <c r="O173" s="39"/>
      <c r="P173" s="40"/>
      <c r="Q173" s="39">
        <v>-3.0960743969999998</v>
      </c>
      <c r="R173" s="39"/>
      <c r="S173" s="39"/>
      <c r="T173" s="39"/>
    </row>
    <row r="174" spans="1:20" s="7" customFormat="1" ht="25.5" x14ac:dyDescent="0.25">
      <c r="A174" s="38">
        <v>2026</v>
      </c>
      <c r="B174" s="24" t="s">
        <v>237</v>
      </c>
      <c r="C174" s="24" t="s">
        <v>97</v>
      </c>
      <c r="D174" s="24" t="s">
        <v>603</v>
      </c>
      <c r="E174" s="24" t="s">
        <v>664</v>
      </c>
      <c r="F174" s="24" t="s">
        <v>579</v>
      </c>
      <c r="G174" s="24" t="s">
        <v>828</v>
      </c>
      <c r="H174" s="39"/>
      <c r="I174" s="39"/>
      <c r="J174" s="24"/>
      <c r="K174" s="40"/>
      <c r="L174" s="39"/>
      <c r="M174" s="39"/>
      <c r="N174" s="39"/>
      <c r="O174" s="39"/>
      <c r="P174" s="40"/>
      <c r="Q174" s="39">
        <v>-0.89980093980000009</v>
      </c>
      <c r="R174" s="39"/>
      <c r="S174" s="39"/>
      <c r="T174" s="39"/>
    </row>
    <row r="175" spans="1:20" s="7" customFormat="1" ht="25.5" x14ac:dyDescent="0.25">
      <c r="A175" s="38">
        <v>2026</v>
      </c>
      <c r="B175" s="24" t="s">
        <v>237</v>
      </c>
      <c r="C175" s="24" t="s">
        <v>97</v>
      </c>
      <c r="D175" s="24" t="s">
        <v>604</v>
      </c>
      <c r="E175" s="24" t="s">
        <v>664</v>
      </c>
      <c r="F175" s="24" t="s">
        <v>579</v>
      </c>
      <c r="G175" s="24" t="s">
        <v>829</v>
      </c>
      <c r="H175" s="39"/>
      <c r="I175" s="39"/>
      <c r="J175" s="24"/>
      <c r="K175" s="40"/>
      <c r="L175" s="39"/>
      <c r="M175" s="39"/>
      <c r="N175" s="39"/>
      <c r="O175" s="39"/>
      <c r="P175" s="40"/>
      <c r="Q175" s="39">
        <v>-0.85763350930000004</v>
      </c>
      <c r="R175" s="39"/>
      <c r="S175" s="39"/>
      <c r="T175" s="39"/>
    </row>
    <row r="176" spans="1:20" s="7" customFormat="1" ht="25.5" x14ac:dyDescent="0.25">
      <c r="A176" s="38">
        <v>2026</v>
      </c>
      <c r="B176" s="24" t="s">
        <v>237</v>
      </c>
      <c r="C176" s="24" t="s">
        <v>97</v>
      </c>
      <c r="D176" s="24" t="s">
        <v>596</v>
      </c>
      <c r="E176" s="24" t="s">
        <v>646</v>
      </c>
      <c r="F176" s="24" t="s">
        <v>647</v>
      </c>
      <c r="G176" s="24" t="s">
        <v>830</v>
      </c>
      <c r="H176" s="39"/>
      <c r="I176" s="39"/>
      <c r="J176" s="24"/>
      <c r="K176" s="40"/>
      <c r="L176" s="39"/>
      <c r="M176" s="39"/>
      <c r="N176" s="39"/>
      <c r="O176" s="39"/>
      <c r="P176" s="40"/>
      <c r="Q176" s="39">
        <v>-0.10998633520000001</v>
      </c>
      <c r="R176" s="39"/>
      <c r="S176" s="39"/>
      <c r="T176" s="39"/>
    </row>
    <row r="177" spans="1:20" s="7" customFormat="1" ht="25.5" x14ac:dyDescent="0.25">
      <c r="A177" s="38">
        <v>2026</v>
      </c>
      <c r="B177" s="24" t="s">
        <v>237</v>
      </c>
      <c r="C177" s="24" t="s">
        <v>97</v>
      </c>
      <c r="D177" s="24" t="s">
        <v>596</v>
      </c>
      <c r="E177" s="24" t="s">
        <v>646</v>
      </c>
      <c r="F177" s="24" t="s">
        <v>647</v>
      </c>
      <c r="G177" s="24" t="s">
        <v>831</v>
      </c>
      <c r="H177" s="39"/>
      <c r="I177" s="39"/>
      <c r="J177" s="24"/>
      <c r="K177" s="40"/>
      <c r="L177" s="39"/>
      <c r="M177" s="39"/>
      <c r="N177" s="39"/>
      <c r="O177" s="39"/>
      <c r="P177" s="40"/>
      <c r="Q177" s="39">
        <v>-3.19854288E-2</v>
      </c>
      <c r="R177" s="39"/>
      <c r="S177" s="39"/>
      <c r="T177" s="39"/>
    </row>
    <row r="178" spans="1:20" s="7" customFormat="1" ht="25.5" x14ac:dyDescent="0.25">
      <c r="A178" s="38">
        <v>2026</v>
      </c>
      <c r="B178" s="24" t="s">
        <v>237</v>
      </c>
      <c r="C178" s="24" t="s">
        <v>97</v>
      </c>
      <c r="D178" s="24" t="s">
        <v>596</v>
      </c>
      <c r="E178" s="24" t="s">
        <v>646</v>
      </c>
      <c r="F178" s="24" t="s">
        <v>647</v>
      </c>
      <c r="G178" s="24" t="s">
        <v>832</v>
      </c>
      <c r="H178" s="39"/>
      <c r="I178" s="39"/>
      <c r="J178" s="24"/>
      <c r="K178" s="40"/>
      <c r="L178" s="39"/>
      <c r="M178" s="39"/>
      <c r="N178" s="39"/>
      <c r="O178" s="39"/>
      <c r="P178" s="40"/>
      <c r="Q178" s="39">
        <v>-0.12985157550000001</v>
      </c>
      <c r="R178" s="39"/>
      <c r="S178" s="39"/>
      <c r="T178" s="39"/>
    </row>
    <row r="179" spans="1:20" s="7" customFormat="1" ht="25.5" x14ac:dyDescent="0.25">
      <c r="A179" s="38">
        <v>2026</v>
      </c>
      <c r="B179" s="24" t="s">
        <v>237</v>
      </c>
      <c r="C179" s="24" t="s">
        <v>97</v>
      </c>
      <c r="D179" s="24" t="s">
        <v>596</v>
      </c>
      <c r="E179" s="24" t="s">
        <v>646</v>
      </c>
      <c r="F179" s="24" t="s">
        <v>647</v>
      </c>
      <c r="G179" s="24" t="s">
        <v>833</v>
      </c>
      <c r="H179" s="39"/>
      <c r="I179" s="39"/>
      <c r="J179" s="24"/>
      <c r="K179" s="40"/>
      <c r="L179" s="39"/>
      <c r="M179" s="39"/>
      <c r="N179" s="39"/>
      <c r="O179" s="39"/>
      <c r="P179" s="40"/>
      <c r="Q179" s="39">
        <v>-5.9740086600000006E-2</v>
      </c>
      <c r="R179" s="39"/>
      <c r="S179" s="39"/>
      <c r="T179" s="39"/>
    </row>
    <row r="180" spans="1:20" s="7" customFormat="1" ht="25.5" x14ac:dyDescent="0.25">
      <c r="A180" s="38">
        <v>2026</v>
      </c>
      <c r="B180" s="24" t="s">
        <v>237</v>
      </c>
      <c r="C180" s="24" t="s">
        <v>97</v>
      </c>
      <c r="D180" s="24" t="s">
        <v>598</v>
      </c>
      <c r="E180" s="24" t="s">
        <v>651</v>
      </c>
      <c r="F180" s="24" t="s">
        <v>647</v>
      </c>
      <c r="G180" s="24" t="s">
        <v>834</v>
      </c>
      <c r="H180" s="39"/>
      <c r="I180" s="39"/>
      <c r="J180" s="24"/>
      <c r="K180" s="40"/>
      <c r="L180" s="39"/>
      <c r="M180" s="39"/>
      <c r="N180" s="39"/>
      <c r="O180" s="39"/>
      <c r="P180" s="40"/>
      <c r="Q180" s="39">
        <v>-2.2969099999999999E-2</v>
      </c>
      <c r="R180" s="39"/>
      <c r="S180" s="39"/>
      <c r="T180" s="39"/>
    </row>
    <row r="181" spans="1:20" s="7" customFormat="1" ht="25.5" x14ac:dyDescent="0.25">
      <c r="A181" s="38">
        <v>2026</v>
      </c>
      <c r="B181" s="24" t="s">
        <v>237</v>
      </c>
      <c r="C181" s="24" t="s">
        <v>97</v>
      </c>
      <c r="D181" s="24" t="s">
        <v>598</v>
      </c>
      <c r="E181" s="24" t="s">
        <v>651</v>
      </c>
      <c r="F181" s="24" t="s">
        <v>647</v>
      </c>
      <c r="G181" s="24" t="s">
        <v>835</v>
      </c>
      <c r="H181" s="39"/>
      <c r="I181" s="39"/>
      <c r="J181" s="24"/>
      <c r="K181" s="40"/>
      <c r="L181" s="39"/>
      <c r="M181" s="39"/>
      <c r="N181" s="39"/>
      <c r="O181" s="39"/>
      <c r="P181" s="40"/>
      <c r="Q181" s="39">
        <v>-4.1813280000000001E-2</v>
      </c>
      <c r="R181" s="39"/>
      <c r="S181" s="39"/>
      <c r="T181" s="39"/>
    </row>
    <row r="182" spans="1:20" s="7" customFormat="1" ht="25.5" x14ac:dyDescent="0.25">
      <c r="A182" s="38">
        <v>2026</v>
      </c>
      <c r="B182" s="24" t="s">
        <v>237</v>
      </c>
      <c r="C182" s="24" t="s">
        <v>97</v>
      </c>
      <c r="D182" s="24" t="s">
        <v>598</v>
      </c>
      <c r="E182" s="24" t="s">
        <v>651</v>
      </c>
      <c r="F182" s="24" t="s">
        <v>647</v>
      </c>
      <c r="G182" s="24" t="s">
        <v>836</v>
      </c>
      <c r="H182" s="39"/>
      <c r="I182" s="39"/>
      <c r="J182" s="24"/>
      <c r="K182" s="40"/>
      <c r="L182" s="39"/>
      <c r="M182" s="39"/>
      <c r="N182" s="39"/>
      <c r="O182" s="39"/>
      <c r="P182" s="40"/>
      <c r="Q182" s="39">
        <v>-3.577023E-2</v>
      </c>
      <c r="R182" s="39"/>
      <c r="S182" s="39"/>
      <c r="T182" s="39"/>
    </row>
    <row r="183" spans="1:20" s="7" customFormat="1" ht="25.5" x14ac:dyDescent="0.25">
      <c r="A183" s="38">
        <v>2026</v>
      </c>
      <c r="B183" s="24" t="s">
        <v>237</v>
      </c>
      <c r="C183" s="24" t="s">
        <v>97</v>
      </c>
      <c r="D183" s="24" t="s">
        <v>598</v>
      </c>
      <c r="E183" s="24" t="s">
        <v>651</v>
      </c>
      <c r="F183" s="24" t="s">
        <v>647</v>
      </c>
      <c r="G183" s="24" t="s">
        <v>837</v>
      </c>
      <c r="H183" s="39"/>
      <c r="I183" s="39"/>
      <c r="J183" s="24"/>
      <c r="K183" s="40"/>
      <c r="L183" s="39"/>
      <c r="M183" s="39"/>
      <c r="N183" s="39"/>
      <c r="O183" s="39"/>
      <c r="P183" s="40"/>
      <c r="Q183" s="39">
        <v>-8.816338E-2</v>
      </c>
      <c r="R183" s="39"/>
      <c r="S183" s="39"/>
      <c r="T183" s="39"/>
    </row>
    <row r="184" spans="1:20" s="7" customFormat="1" ht="25.5" x14ac:dyDescent="0.25">
      <c r="A184" s="38">
        <v>2026</v>
      </c>
      <c r="B184" s="24" t="s">
        <v>237</v>
      </c>
      <c r="C184" s="24" t="s">
        <v>97</v>
      </c>
      <c r="D184" s="24" t="s">
        <v>598</v>
      </c>
      <c r="E184" s="24" t="s">
        <v>651</v>
      </c>
      <c r="F184" s="24" t="s">
        <v>647</v>
      </c>
      <c r="G184" s="24" t="s">
        <v>838</v>
      </c>
      <c r="H184" s="39"/>
      <c r="I184" s="39"/>
      <c r="J184" s="24"/>
      <c r="K184" s="40"/>
      <c r="L184" s="39"/>
      <c r="M184" s="39"/>
      <c r="N184" s="39"/>
      <c r="O184" s="39"/>
      <c r="P184" s="40"/>
      <c r="Q184" s="39">
        <v>-9.1649190000000005E-2</v>
      </c>
      <c r="R184" s="39"/>
      <c r="S184" s="39"/>
      <c r="T184" s="39"/>
    </row>
    <row r="185" spans="1:20" s="7" customFormat="1" ht="25.5" x14ac:dyDescent="0.25">
      <c r="A185" s="38">
        <v>2026</v>
      </c>
      <c r="B185" s="24" t="s">
        <v>237</v>
      </c>
      <c r="C185" s="24" t="s">
        <v>97</v>
      </c>
      <c r="D185" s="24" t="s">
        <v>599</v>
      </c>
      <c r="E185" s="24" t="s">
        <v>658</v>
      </c>
      <c r="F185" s="24" t="s">
        <v>647</v>
      </c>
      <c r="G185" s="24" t="s">
        <v>839</v>
      </c>
      <c r="H185" s="39"/>
      <c r="I185" s="39"/>
      <c r="J185" s="24"/>
      <c r="K185" s="40"/>
      <c r="L185" s="39"/>
      <c r="M185" s="39"/>
      <c r="N185" s="39"/>
      <c r="O185" s="39"/>
      <c r="P185" s="40"/>
      <c r="Q185" s="39">
        <v>-0.30916101726</v>
      </c>
      <c r="R185" s="39"/>
      <c r="S185" s="39"/>
      <c r="T185" s="39"/>
    </row>
    <row r="186" spans="1:20" s="7" customFormat="1" ht="25.5" x14ac:dyDescent="0.25">
      <c r="A186" s="38">
        <v>2026</v>
      </c>
      <c r="B186" s="24" t="s">
        <v>237</v>
      </c>
      <c r="C186" s="24" t="s">
        <v>97</v>
      </c>
      <c r="D186" s="24" t="s">
        <v>600</v>
      </c>
      <c r="E186" s="24" t="s">
        <v>658</v>
      </c>
      <c r="F186" s="24" t="s">
        <v>647</v>
      </c>
      <c r="G186" s="24" t="s">
        <v>840</v>
      </c>
      <c r="H186" s="39"/>
      <c r="I186" s="39"/>
      <c r="J186" s="24"/>
      <c r="K186" s="40"/>
      <c r="L186" s="39"/>
      <c r="M186" s="39"/>
      <c r="N186" s="39"/>
      <c r="O186" s="39"/>
      <c r="P186" s="40"/>
      <c r="Q186" s="39">
        <v>-0.24532096056</v>
      </c>
      <c r="R186" s="39"/>
      <c r="S186" s="39"/>
      <c r="T186" s="39"/>
    </row>
    <row r="187" spans="1:20" s="7" customFormat="1" ht="25.5" x14ac:dyDescent="0.25">
      <c r="A187" s="38">
        <v>2026</v>
      </c>
      <c r="B187" s="24" t="s">
        <v>237</v>
      </c>
      <c r="C187" s="24" t="s">
        <v>97</v>
      </c>
      <c r="D187" s="24" t="s">
        <v>612</v>
      </c>
      <c r="E187" s="24" t="s">
        <v>679</v>
      </c>
      <c r="F187" s="24" t="s">
        <v>579</v>
      </c>
      <c r="G187" s="24" t="s">
        <v>841</v>
      </c>
      <c r="H187" s="39"/>
      <c r="I187" s="39"/>
      <c r="J187" s="24"/>
      <c r="K187" s="40"/>
      <c r="L187" s="39"/>
      <c r="M187" s="39"/>
      <c r="N187" s="39"/>
      <c r="O187" s="39"/>
      <c r="P187" s="40"/>
      <c r="Q187" s="39">
        <v>-2.7823931205000001</v>
      </c>
      <c r="R187" s="39"/>
      <c r="S187" s="39"/>
      <c r="T187" s="39"/>
    </row>
    <row r="188" spans="1:20" s="7" customFormat="1" ht="25.5" x14ac:dyDescent="0.25">
      <c r="A188" s="38">
        <v>2026</v>
      </c>
      <c r="B188" s="24" t="s">
        <v>237</v>
      </c>
      <c r="C188" s="24" t="s">
        <v>97</v>
      </c>
      <c r="D188" s="24" t="s">
        <v>613</v>
      </c>
      <c r="E188" s="24" t="s">
        <v>679</v>
      </c>
      <c r="F188" s="24" t="s">
        <v>579</v>
      </c>
      <c r="G188" s="24" t="s">
        <v>842</v>
      </c>
      <c r="H188" s="39"/>
      <c r="I188" s="39"/>
      <c r="J188" s="24"/>
      <c r="K188" s="40"/>
      <c r="L188" s="39"/>
      <c r="M188" s="39"/>
      <c r="N188" s="39"/>
      <c r="O188" s="39"/>
      <c r="P188" s="40"/>
      <c r="Q188" s="39">
        <v>-2.7424254060000002</v>
      </c>
      <c r="R188" s="39"/>
      <c r="S188" s="39"/>
      <c r="T188" s="39"/>
    </row>
    <row r="189" spans="1:20" s="7" customFormat="1" ht="25.5" x14ac:dyDescent="0.25">
      <c r="A189" s="38">
        <v>2026</v>
      </c>
      <c r="B189" s="24" t="s">
        <v>237</v>
      </c>
      <c r="C189" s="24" t="s">
        <v>111</v>
      </c>
      <c r="D189" s="24" t="s">
        <v>627</v>
      </c>
      <c r="E189" s="24" t="s">
        <v>843</v>
      </c>
      <c r="F189" s="24" t="s">
        <v>579</v>
      </c>
      <c r="G189" s="24" t="s">
        <v>844</v>
      </c>
      <c r="H189" s="39">
        <v>10</v>
      </c>
      <c r="I189" s="39">
        <v>5</v>
      </c>
      <c r="J189" s="24" t="s">
        <v>756</v>
      </c>
      <c r="K189" s="40">
        <v>45912</v>
      </c>
      <c r="L189" s="39" t="s">
        <v>109</v>
      </c>
      <c r="M189" s="39">
        <v>3.4273600000000002</v>
      </c>
      <c r="N189" s="39" t="s">
        <v>736</v>
      </c>
      <c r="O189" s="39">
        <v>0.3055768271</v>
      </c>
      <c r="P189" s="40">
        <v>46203</v>
      </c>
      <c r="Q189" s="39">
        <v>3.7329368271000001</v>
      </c>
      <c r="R189" s="39"/>
      <c r="S189" s="39"/>
      <c r="T189" s="39"/>
    </row>
    <row r="190" spans="1:20" s="7" customFormat="1" ht="25.5" x14ac:dyDescent="0.25">
      <c r="A190" s="38">
        <v>2026</v>
      </c>
      <c r="B190" s="24" t="s">
        <v>237</v>
      </c>
      <c r="C190" s="24" t="s">
        <v>111</v>
      </c>
      <c r="D190" s="24" t="s">
        <v>626</v>
      </c>
      <c r="E190" s="24" t="s">
        <v>658</v>
      </c>
      <c r="F190" s="24" t="s">
        <v>579</v>
      </c>
      <c r="G190" s="24" t="s">
        <v>845</v>
      </c>
      <c r="H190" s="39">
        <v>75</v>
      </c>
      <c r="I190" s="39">
        <v>25</v>
      </c>
      <c r="J190" s="24" t="s">
        <v>756</v>
      </c>
      <c r="K190" s="40">
        <v>45960</v>
      </c>
      <c r="L190" s="39" t="s">
        <v>109</v>
      </c>
      <c r="M190" s="39">
        <v>88.876639999999995</v>
      </c>
      <c r="N190" s="39" t="s">
        <v>736</v>
      </c>
      <c r="O190" s="39">
        <v>7.7664623220000006</v>
      </c>
      <c r="P190" s="40">
        <v>46199</v>
      </c>
      <c r="Q190" s="39">
        <v>96.643102322000004</v>
      </c>
      <c r="R190" s="39"/>
      <c r="S190" s="39"/>
      <c r="T190" s="39"/>
    </row>
    <row r="191" spans="1:20" s="7" customFormat="1" ht="25.5" x14ac:dyDescent="0.25">
      <c r="A191" s="38">
        <v>2026</v>
      </c>
      <c r="B191" s="24" t="s">
        <v>237</v>
      </c>
      <c r="C191" s="24" t="s">
        <v>111</v>
      </c>
      <c r="D191" s="24" t="s">
        <v>611</v>
      </c>
      <c r="E191" s="24" t="s">
        <v>677</v>
      </c>
      <c r="F191" s="24" t="s">
        <v>579</v>
      </c>
      <c r="G191" s="24" t="s">
        <v>846</v>
      </c>
      <c r="H191" s="39">
        <v>40</v>
      </c>
      <c r="I191" s="39">
        <v>20</v>
      </c>
      <c r="J191" s="24" t="s">
        <v>756</v>
      </c>
      <c r="K191" s="40">
        <v>45909</v>
      </c>
      <c r="L191" s="39" t="s">
        <v>109</v>
      </c>
      <c r="M191" s="39">
        <v>45.127082726000005</v>
      </c>
      <c r="N191" s="39" t="s">
        <v>736</v>
      </c>
      <c r="O191" s="39">
        <v>1.2728270799999999</v>
      </c>
      <c r="P191" s="40">
        <v>46197</v>
      </c>
      <c r="Q191" s="39">
        <v>46.399909806000004</v>
      </c>
      <c r="R191" s="39"/>
      <c r="S191" s="39"/>
      <c r="T191" s="39"/>
    </row>
    <row r="192" spans="1:20" s="7" customFormat="1" ht="25.5" x14ac:dyDescent="0.25">
      <c r="A192" s="38">
        <v>2026</v>
      </c>
      <c r="B192" s="24" t="s">
        <v>237</v>
      </c>
      <c r="C192" s="24" t="s">
        <v>111</v>
      </c>
      <c r="D192" s="24" t="s">
        <v>623</v>
      </c>
      <c r="E192" s="24" t="s">
        <v>710</v>
      </c>
      <c r="F192" s="24" t="s">
        <v>579</v>
      </c>
      <c r="G192" s="24" t="s">
        <v>847</v>
      </c>
      <c r="H192" s="39">
        <v>10</v>
      </c>
      <c r="I192" s="39">
        <v>10</v>
      </c>
      <c r="J192" s="24"/>
      <c r="K192" s="40">
        <v>45993</v>
      </c>
      <c r="L192" s="39" t="s">
        <v>109</v>
      </c>
      <c r="M192" s="39">
        <v>1.89884208375</v>
      </c>
      <c r="N192" s="39" t="s">
        <v>736</v>
      </c>
      <c r="O192" s="39">
        <v>2.2020916250000001E-2</v>
      </c>
      <c r="P192" s="40">
        <v>46176</v>
      </c>
      <c r="Q192" s="39">
        <v>1.920863</v>
      </c>
      <c r="R192" s="39"/>
      <c r="S192" s="39"/>
      <c r="T192" s="39"/>
    </row>
    <row r="193" spans="1:20" s="7" customFormat="1" ht="25.5" x14ac:dyDescent="0.25">
      <c r="A193" s="38">
        <v>2026</v>
      </c>
      <c r="B193" s="24" t="s">
        <v>237</v>
      </c>
      <c r="C193" s="24" t="s">
        <v>19</v>
      </c>
      <c r="D193" s="24" t="s">
        <v>632</v>
      </c>
      <c r="E193" s="24" t="s">
        <v>815</v>
      </c>
      <c r="F193" s="24" t="s">
        <v>579</v>
      </c>
      <c r="G193" s="24" t="s">
        <v>848</v>
      </c>
      <c r="H193" s="39"/>
      <c r="I193" s="39"/>
      <c r="J193" s="24"/>
      <c r="K193" s="40"/>
      <c r="L193" s="39"/>
      <c r="M193" s="39"/>
      <c r="N193" s="39" t="s">
        <v>736</v>
      </c>
      <c r="O193" s="39"/>
      <c r="P193" s="40"/>
      <c r="Q193" s="39">
        <v>0.1551249764</v>
      </c>
      <c r="R193" s="39"/>
      <c r="S193" s="39"/>
      <c r="T193" s="39"/>
    </row>
    <row r="194" spans="1:20" s="7" customFormat="1" ht="25.5" x14ac:dyDescent="0.25">
      <c r="A194" s="38">
        <v>2026</v>
      </c>
      <c r="B194" s="24" t="s">
        <v>237</v>
      </c>
      <c r="C194" s="24" t="s">
        <v>19</v>
      </c>
      <c r="D194" s="24" t="s">
        <v>591</v>
      </c>
      <c r="E194" s="24" t="s">
        <v>638</v>
      </c>
      <c r="F194" s="24" t="s">
        <v>579</v>
      </c>
      <c r="G194" s="24" t="s">
        <v>849</v>
      </c>
      <c r="H194" s="39"/>
      <c r="I194" s="39"/>
      <c r="J194" s="24"/>
      <c r="K194" s="40"/>
      <c r="L194" s="39"/>
      <c r="M194" s="39"/>
      <c r="N194" s="39" t="s">
        <v>736</v>
      </c>
      <c r="O194" s="39"/>
      <c r="P194" s="40"/>
      <c r="Q194" s="39">
        <v>0.29207524130000001</v>
      </c>
      <c r="R194" s="39"/>
      <c r="S194" s="39"/>
      <c r="T194" s="39"/>
    </row>
    <row r="195" spans="1:20" s="7" customFormat="1" ht="25.5" x14ac:dyDescent="0.25">
      <c r="A195" s="38">
        <v>2026</v>
      </c>
      <c r="B195" s="24" t="s">
        <v>237</v>
      </c>
      <c r="C195" s="24" t="s">
        <v>19</v>
      </c>
      <c r="D195" s="24" t="s">
        <v>596</v>
      </c>
      <c r="E195" s="24" t="s">
        <v>646</v>
      </c>
      <c r="F195" s="24" t="s">
        <v>647</v>
      </c>
      <c r="G195" s="24" t="s">
        <v>850</v>
      </c>
      <c r="H195" s="39"/>
      <c r="I195" s="39"/>
      <c r="J195" s="24"/>
      <c r="K195" s="40"/>
      <c r="L195" s="39"/>
      <c r="M195" s="39"/>
      <c r="N195" s="39" t="s">
        <v>736</v>
      </c>
      <c r="O195" s="39"/>
      <c r="P195" s="40"/>
      <c r="Q195" s="39">
        <v>2.5249715999999998E-2</v>
      </c>
      <c r="R195" s="39"/>
      <c r="S195" s="39"/>
      <c r="T195" s="39"/>
    </row>
    <row r="196" spans="1:20" s="7" customFormat="1" ht="25.5" x14ac:dyDescent="0.25">
      <c r="A196" s="38">
        <v>2026</v>
      </c>
      <c r="B196" s="24" t="s">
        <v>237</v>
      </c>
      <c r="C196" s="24" t="s">
        <v>19</v>
      </c>
      <c r="D196" s="24" t="s">
        <v>623</v>
      </c>
      <c r="E196" s="24" t="s">
        <v>710</v>
      </c>
      <c r="F196" s="24" t="s">
        <v>579</v>
      </c>
      <c r="G196" s="24" t="s">
        <v>851</v>
      </c>
      <c r="H196" s="39"/>
      <c r="I196" s="39"/>
      <c r="J196" s="24"/>
      <c r="K196" s="40"/>
      <c r="L196" s="39"/>
      <c r="M196" s="39"/>
      <c r="N196" s="39" t="s">
        <v>736</v>
      </c>
      <c r="O196" s="39"/>
      <c r="P196" s="40"/>
      <c r="Q196" s="39">
        <v>2.2020916250000001E-2</v>
      </c>
      <c r="R196" s="39"/>
      <c r="S196" s="39"/>
      <c r="T196" s="39"/>
    </row>
    <row r="197" spans="1:20" s="7" customFormat="1" ht="25.5" x14ac:dyDescent="0.25">
      <c r="A197" s="38">
        <v>2026</v>
      </c>
      <c r="B197" s="24" t="s">
        <v>237</v>
      </c>
      <c r="C197" s="24" t="s">
        <v>19</v>
      </c>
      <c r="D197" s="24" t="s">
        <v>602</v>
      </c>
      <c r="E197" s="24" t="s">
        <v>661</v>
      </c>
      <c r="F197" s="24" t="s">
        <v>579</v>
      </c>
      <c r="G197" s="24" t="s">
        <v>852</v>
      </c>
      <c r="H197" s="39"/>
      <c r="I197" s="39"/>
      <c r="J197" s="24"/>
      <c r="K197" s="40"/>
      <c r="L197" s="39"/>
      <c r="M197" s="39"/>
      <c r="N197" s="39" t="s">
        <v>736</v>
      </c>
      <c r="O197" s="39"/>
      <c r="P197" s="40"/>
      <c r="Q197" s="39">
        <v>0.84101104374999991</v>
      </c>
      <c r="R197" s="39"/>
      <c r="S197" s="39"/>
      <c r="T197" s="39"/>
    </row>
    <row r="198" spans="1:20" s="7" customFormat="1" ht="38.25" x14ac:dyDescent="0.25">
      <c r="A198" s="38">
        <v>2026</v>
      </c>
      <c r="B198" s="24" t="s">
        <v>237</v>
      </c>
      <c r="C198" s="24" t="s">
        <v>108</v>
      </c>
      <c r="D198" s="24" t="s">
        <v>625</v>
      </c>
      <c r="E198" s="24" t="s">
        <v>699</v>
      </c>
      <c r="F198" s="24" t="s">
        <v>579</v>
      </c>
      <c r="G198" s="24" t="s">
        <v>853</v>
      </c>
      <c r="H198" s="39"/>
      <c r="I198" s="39"/>
      <c r="J198" s="24"/>
      <c r="K198" s="40"/>
      <c r="L198" s="39"/>
      <c r="M198" s="39"/>
      <c r="N198" s="39" t="s">
        <v>736</v>
      </c>
      <c r="O198" s="39"/>
      <c r="P198" s="40"/>
      <c r="Q198" s="39">
        <v>0.95642556000000001</v>
      </c>
      <c r="R198" s="39"/>
      <c r="S198" s="39"/>
      <c r="T198" s="39"/>
    </row>
    <row r="199" spans="1:20" s="7" customFormat="1" ht="38.25" x14ac:dyDescent="0.25">
      <c r="A199" s="38">
        <v>2026</v>
      </c>
      <c r="B199" s="24" t="s">
        <v>237</v>
      </c>
      <c r="C199" s="24" t="s">
        <v>108</v>
      </c>
      <c r="D199" s="24" t="s">
        <v>604</v>
      </c>
      <c r="E199" s="24" t="s">
        <v>664</v>
      </c>
      <c r="F199" s="24" t="s">
        <v>579</v>
      </c>
      <c r="G199" s="24" t="s">
        <v>854</v>
      </c>
      <c r="H199" s="39"/>
      <c r="I199" s="39"/>
      <c r="J199" s="24"/>
      <c r="K199" s="40"/>
      <c r="L199" s="39"/>
      <c r="M199" s="39"/>
      <c r="N199" s="39" t="s">
        <v>736</v>
      </c>
      <c r="O199" s="39"/>
      <c r="P199" s="40"/>
      <c r="Q199" s="39">
        <v>0.75466651200000001</v>
      </c>
      <c r="R199" s="39"/>
      <c r="S199" s="39"/>
      <c r="T199" s="39"/>
    </row>
    <row r="200" spans="1:20" s="7" customFormat="1" ht="38.25" x14ac:dyDescent="0.25">
      <c r="A200" s="38">
        <v>2026</v>
      </c>
      <c r="B200" s="24" t="s">
        <v>237</v>
      </c>
      <c r="C200" s="24" t="s">
        <v>108</v>
      </c>
      <c r="D200" s="24" t="s">
        <v>618</v>
      </c>
      <c r="E200" s="24" t="s">
        <v>640</v>
      </c>
      <c r="F200" s="24" t="s">
        <v>579</v>
      </c>
      <c r="G200" s="24" t="s">
        <v>855</v>
      </c>
      <c r="H200" s="39"/>
      <c r="I200" s="39"/>
      <c r="J200" s="24"/>
      <c r="K200" s="40"/>
      <c r="L200" s="39"/>
      <c r="M200" s="39"/>
      <c r="N200" s="39" t="s">
        <v>736</v>
      </c>
      <c r="O200" s="39"/>
      <c r="P200" s="40"/>
      <c r="Q200" s="39">
        <v>2.1727173960000004</v>
      </c>
      <c r="R200" s="39"/>
      <c r="S200" s="39"/>
      <c r="T200" s="39"/>
    </row>
    <row r="201" spans="1:20" s="7" customFormat="1" ht="38.25" x14ac:dyDescent="0.25">
      <c r="A201" s="38">
        <v>2026</v>
      </c>
      <c r="B201" s="24" t="s">
        <v>237</v>
      </c>
      <c r="C201" s="24" t="s">
        <v>108</v>
      </c>
      <c r="D201" s="24" t="s">
        <v>597</v>
      </c>
      <c r="E201" s="24" t="s">
        <v>651</v>
      </c>
      <c r="F201" s="24" t="s">
        <v>579</v>
      </c>
      <c r="G201" s="24" t="s">
        <v>856</v>
      </c>
      <c r="H201" s="39"/>
      <c r="I201" s="39"/>
      <c r="J201" s="24"/>
      <c r="K201" s="40"/>
      <c r="L201" s="39"/>
      <c r="M201" s="39"/>
      <c r="N201" s="39" t="s">
        <v>736</v>
      </c>
      <c r="O201" s="39"/>
      <c r="P201" s="40"/>
      <c r="Q201" s="39">
        <v>0.11454981</v>
      </c>
      <c r="R201" s="39"/>
      <c r="S201" s="39"/>
      <c r="T201" s="39"/>
    </row>
    <row r="202" spans="1:20" s="7" customFormat="1" ht="38.25" x14ac:dyDescent="0.25">
      <c r="A202" s="38">
        <v>2026</v>
      </c>
      <c r="B202" s="24" t="s">
        <v>237</v>
      </c>
      <c r="C202" s="24" t="s">
        <v>108</v>
      </c>
      <c r="D202" s="24" t="s">
        <v>626</v>
      </c>
      <c r="E202" s="24" t="s">
        <v>658</v>
      </c>
      <c r="F202" s="24" t="s">
        <v>579</v>
      </c>
      <c r="G202" s="24" t="s">
        <v>857</v>
      </c>
      <c r="H202" s="39"/>
      <c r="I202" s="39"/>
      <c r="J202" s="24"/>
      <c r="K202" s="40"/>
      <c r="L202" s="39"/>
      <c r="M202" s="39"/>
      <c r="N202" s="39" t="s">
        <v>736</v>
      </c>
      <c r="O202" s="39"/>
      <c r="P202" s="40"/>
      <c r="Q202" s="39">
        <v>3.2925968839999999</v>
      </c>
      <c r="R202" s="39"/>
      <c r="S202" s="39"/>
      <c r="T202" s="39"/>
    </row>
    <row r="203" spans="1:20" s="7" customFormat="1" ht="12.75" x14ac:dyDescent="0.25">
      <c r="A203" s="38">
        <v>2026</v>
      </c>
      <c r="B203" s="24" t="s">
        <v>237</v>
      </c>
      <c r="C203" s="24" t="s">
        <v>213</v>
      </c>
      <c r="D203" s="24" t="s">
        <v>633</v>
      </c>
      <c r="E203" s="24" t="s">
        <v>710</v>
      </c>
      <c r="F203" s="24" t="s">
        <v>579</v>
      </c>
      <c r="G203" s="24" t="s">
        <v>858</v>
      </c>
      <c r="H203" s="39"/>
      <c r="I203" s="39"/>
      <c r="J203" s="24"/>
      <c r="K203" s="40"/>
      <c r="L203" s="39"/>
      <c r="M203" s="39"/>
      <c r="N203" s="39"/>
      <c r="O203" s="39"/>
      <c r="P203" s="40"/>
      <c r="Q203" s="39"/>
      <c r="R203" s="39"/>
      <c r="S203" s="39"/>
      <c r="T203" s="39"/>
    </row>
    <row r="204" spans="1:20" s="7" customFormat="1" ht="12.75" x14ac:dyDescent="0.25">
      <c r="A204" s="38">
        <v>2026</v>
      </c>
      <c r="B204" s="24" t="s">
        <v>237</v>
      </c>
      <c r="C204" s="24" t="s">
        <v>95</v>
      </c>
      <c r="D204" s="24" t="s">
        <v>623</v>
      </c>
      <c r="E204" s="24" t="s">
        <v>710</v>
      </c>
      <c r="F204" s="24" t="s">
        <v>579</v>
      </c>
      <c r="G204" s="24" t="s">
        <v>859</v>
      </c>
      <c r="H204" s="39"/>
      <c r="I204" s="39"/>
      <c r="J204" s="24"/>
      <c r="K204" s="40"/>
      <c r="L204" s="39"/>
      <c r="M204" s="39"/>
      <c r="N204" s="39"/>
      <c r="O204" s="39"/>
      <c r="P204" s="40"/>
      <c r="Q204" s="39"/>
      <c r="R204" s="39"/>
      <c r="S204" s="39"/>
      <c r="T204" s="39"/>
    </row>
    <row r="205" spans="1:20" s="7" customFormat="1" ht="25.5" x14ac:dyDescent="0.25">
      <c r="A205" s="38">
        <v>2026</v>
      </c>
      <c r="B205" s="24" t="s">
        <v>249</v>
      </c>
      <c r="C205" s="24" t="s">
        <v>97</v>
      </c>
      <c r="D205" s="24" t="s">
        <v>605</v>
      </c>
      <c r="E205" s="24" t="s">
        <v>640</v>
      </c>
      <c r="F205" s="24" t="s">
        <v>579</v>
      </c>
      <c r="G205" s="24" t="s">
        <v>9535</v>
      </c>
      <c r="H205" s="39"/>
      <c r="I205" s="39"/>
      <c r="J205" s="24"/>
      <c r="K205" s="40"/>
      <c r="L205" s="39"/>
      <c r="M205" s="39"/>
      <c r="N205" s="39"/>
      <c r="O205" s="39"/>
      <c r="P205" s="40"/>
      <c r="Q205" s="39">
        <v>-1.879756008</v>
      </c>
      <c r="R205" s="39"/>
      <c r="S205" s="39"/>
      <c r="T205" s="39"/>
    </row>
    <row r="206" spans="1:20" s="7" customFormat="1" ht="25.5" x14ac:dyDescent="0.25">
      <c r="A206" s="38">
        <v>2026</v>
      </c>
      <c r="B206" s="24" t="s">
        <v>249</v>
      </c>
      <c r="C206" s="24" t="s">
        <v>97</v>
      </c>
      <c r="D206" s="24" t="s">
        <v>594</v>
      </c>
      <c r="E206" s="24" t="s">
        <v>643</v>
      </c>
      <c r="F206" s="24" t="s">
        <v>579</v>
      </c>
      <c r="G206" s="24" t="s">
        <v>9542</v>
      </c>
      <c r="H206" s="39"/>
      <c r="I206" s="39"/>
      <c r="J206" s="24"/>
      <c r="K206" s="40"/>
      <c r="L206" s="39"/>
      <c r="M206" s="39"/>
      <c r="N206" s="39"/>
      <c r="O206" s="39"/>
      <c r="P206" s="40"/>
      <c r="Q206" s="39">
        <v>-1.5291128228999999</v>
      </c>
      <c r="R206" s="39"/>
      <c r="S206" s="39"/>
      <c r="T206" s="39"/>
    </row>
    <row r="207" spans="1:20" s="7" customFormat="1" ht="25.5" x14ac:dyDescent="0.25">
      <c r="A207" s="38">
        <v>2026</v>
      </c>
      <c r="B207" s="24" t="s">
        <v>249</v>
      </c>
      <c r="C207" s="24" t="s">
        <v>97</v>
      </c>
      <c r="D207" s="24" t="s">
        <v>595</v>
      </c>
      <c r="E207" s="24" t="s">
        <v>643</v>
      </c>
      <c r="F207" s="24" t="s">
        <v>579</v>
      </c>
      <c r="G207" s="24" t="s">
        <v>9551</v>
      </c>
      <c r="H207" s="39"/>
      <c r="I207" s="39"/>
      <c r="J207" s="24"/>
      <c r="K207" s="40"/>
      <c r="L207" s="39"/>
      <c r="M207" s="39"/>
      <c r="N207" s="39"/>
      <c r="O207" s="39"/>
      <c r="P207" s="40"/>
      <c r="Q207" s="39">
        <v>-1.3202711939999998</v>
      </c>
      <c r="R207" s="39"/>
      <c r="S207" s="39"/>
      <c r="T207" s="39"/>
    </row>
    <row r="208" spans="1:20" s="7" customFormat="1" ht="25.5" x14ac:dyDescent="0.25">
      <c r="A208" s="38">
        <v>2026</v>
      </c>
      <c r="B208" s="24" t="s">
        <v>249</v>
      </c>
      <c r="C208" s="24" t="s">
        <v>97</v>
      </c>
      <c r="D208" s="24" t="s">
        <v>596</v>
      </c>
      <c r="E208" s="24" t="s">
        <v>646</v>
      </c>
      <c r="F208" s="24" t="s">
        <v>647</v>
      </c>
      <c r="G208" s="24" t="s">
        <v>9536</v>
      </c>
      <c r="H208" s="39"/>
      <c r="I208" s="39"/>
      <c r="J208" s="24"/>
      <c r="K208" s="40"/>
      <c r="L208" s="39"/>
      <c r="M208" s="39"/>
      <c r="N208" s="39"/>
      <c r="O208" s="39"/>
      <c r="P208" s="40"/>
      <c r="Q208" s="39">
        <v>-0.15547573680000001</v>
      </c>
      <c r="R208" s="39"/>
      <c r="S208" s="39"/>
      <c r="T208" s="39"/>
    </row>
    <row r="209" spans="1:20" s="7" customFormat="1" ht="25.5" x14ac:dyDescent="0.25">
      <c r="A209" s="38">
        <v>2026</v>
      </c>
      <c r="B209" s="24" t="s">
        <v>249</v>
      </c>
      <c r="C209" s="24" t="s">
        <v>97</v>
      </c>
      <c r="D209" s="24" t="s">
        <v>596</v>
      </c>
      <c r="E209" s="24" t="s">
        <v>646</v>
      </c>
      <c r="F209" s="24" t="s">
        <v>647</v>
      </c>
      <c r="G209" s="24" t="s">
        <v>9537</v>
      </c>
      <c r="H209" s="39"/>
      <c r="I209" s="39"/>
      <c r="J209" s="24"/>
      <c r="K209" s="40"/>
      <c r="L209" s="39"/>
      <c r="M209" s="39"/>
      <c r="N209" s="39"/>
      <c r="O209" s="39"/>
      <c r="P209" s="40"/>
      <c r="Q209" s="39">
        <v>-4.1127012000000004E-2</v>
      </c>
      <c r="R209" s="39"/>
      <c r="S209" s="39"/>
      <c r="T209" s="39"/>
    </row>
    <row r="210" spans="1:20" s="7" customFormat="1" ht="25.5" x14ac:dyDescent="0.25">
      <c r="A210" s="38">
        <v>2026</v>
      </c>
      <c r="B210" s="24" t="s">
        <v>249</v>
      </c>
      <c r="C210" s="24" t="s">
        <v>97</v>
      </c>
      <c r="D210" s="24" t="s">
        <v>597</v>
      </c>
      <c r="E210" s="24" t="s">
        <v>651</v>
      </c>
      <c r="F210" s="24" t="s">
        <v>579</v>
      </c>
      <c r="G210" s="24" t="s">
        <v>9541</v>
      </c>
      <c r="H210" s="39"/>
      <c r="I210" s="39"/>
      <c r="J210" s="24"/>
      <c r="K210" s="40"/>
      <c r="L210" s="39"/>
      <c r="M210" s="39"/>
      <c r="N210" s="39"/>
      <c r="O210" s="39"/>
      <c r="P210" s="40"/>
      <c r="Q210" s="39">
        <v>-0.79814394099999997</v>
      </c>
      <c r="R210" s="39"/>
      <c r="S210" s="39"/>
      <c r="T210" s="39"/>
    </row>
    <row r="211" spans="1:20" s="7" customFormat="1" ht="25.5" x14ac:dyDescent="0.25">
      <c r="A211" s="38">
        <v>2026</v>
      </c>
      <c r="B211" s="24" t="s">
        <v>249</v>
      </c>
      <c r="C211" s="24" t="s">
        <v>97</v>
      </c>
      <c r="D211" s="24" t="s">
        <v>606</v>
      </c>
      <c r="E211" s="24" t="s">
        <v>651</v>
      </c>
      <c r="F211" s="24" t="s">
        <v>579</v>
      </c>
      <c r="G211" s="24" t="s">
        <v>9538</v>
      </c>
      <c r="H211" s="39"/>
      <c r="I211" s="39"/>
      <c r="J211" s="24"/>
      <c r="K211" s="40"/>
      <c r="L211" s="39"/>
      <c r="M211" s="39"/>
      <c r="N211" s="39"/>
      <c r="O211" s="39"/>
      <c r="P211" s="40"/>
      <c r="Q211" s="39">
        <v>-0.26491009499999996</v>
      </c>
      <c r="R211" s="39"/>
      <c r="S211" s="39"/>
      <c r="T211" s="39"/>
    </row>
    <row r="212" spans="1:20" s="7" customFormat="1" ht="25.5" x14ac:dyDescent="0.25">
      <c r="A212" s="38">
        <v>2026</v>
      </c>
      <c r="B212" s="24" t="s">
        <v>249</v>
      </c>
      <c r="C212" s="24" t="s">
        <v>97</v>
      </c>
      <c r="D212" s="24" t="s">
        <v>608</v>
      </c>
      <c r="E212" s="24" t="s">
        <v>651</v>
      </c>
      <c r="F212" s="24" t="s">
        <v>579</v>
      </c>
      <c r="G212" s="24" t="s">
        <v>9539</v>
      </c>
      <c r="H212" s="39"/>
      <c r="I212" s="39"/>
      <c r="J212" s="24"/>
      <c r="K212" s="40"/>
      <c r="L212" s="39"/>
      <c r="M212" s="39"/>
      <c r="N212" s="39"/>
      <c r="O212" s="39"/>
      <c r="P212" s="40"/>
      <c r="Q212" s="39">
        <v>-0.79315795999999994</v>
      </c>
      <c r="R212" s="39"/>
      <c r="S212" s="39"/>
      <c r="T212" s="39"/>
    </row>
    <row r="213" spans="1:20" s="7" customFormat="1" ht="25.5" x14ac:dyDescent="0.25">
      <c r="A213" s="38">
        <v>2026</v>
      </c>
      <c r="B213" s="24" t="s">
        <v>249</v>
      </c>
      <c r="C213" s="24" t="s">
        <v>97</v>
      </c>
      <c r="D213" s="24" t="s">
        <v>608</v>
      </c>
      <c r="E213" s="24" t="s">
        <v>651</v>
      </c>
      <c r="F213" s="24" t="s">
        <v>579</v>
      </c>
      <c r="G213" s="24" t="s">
        <v>9540</v>
      </c>
      <c r="H213" s="39"/>
      <c r="I213" s="39"/>
      <c r="J213" s="24"/>
      <c r="K213" s="40"/>
      <c r="L213" s="39"/>
      <c r="M213" s="39"/>
      <c r="N213" s="39"/>
      <c r="O213" s="39"/>
      <c r="P213" s="40"/>
      <c r="Q213" s="39">
        <v>-0.12773235999999999</v>
      </c>
      <c r="R213" s="39"/>
      <c r="S213" s="39"/>
      <c r="T213" s="39"/>
    </row>
    <row r="214" spans="1:20" s="7" customFormat="1" ht="25.5" x14ac:dyDescent="0.25">
      <c r="A214" s="38">
        <v>2026</v>
      </c>
      <c r="B214" s="24" t="s">
        <v>249</v>
      </c>
      <c r="C214" s="24" t="s">
        <v>97</v>
      </c>
      <c r="D214" s="24" t="s">
        <v>598</v>
      </c>
      <c r="E214" s="24" t="s">
        <v>651</v>
      </c>
      <c r="F214" s="24" t="s">
        <v>647</v>
      </c>
      <c r="G214" s="24" t="s">
        <v>9532</v>
      </c>
      <c r="H214" s="39"/>
      <c r="I214" s="39"/>
      <c r="J214" s="24"/>
      <c r="K214" s="40"/>
      <c r="L214" s="39"/>
      <c r="M214" s="39"/>
      <c r="N214" s="39"/>
      <c r="O214" s="39"/>
      <c r="P214" s="40"/>
      <c r="Q214" s="39">
        <v>-0.165294514</v>
      </c>
      <c r="R214" s="39"/>
      <c r="S214" s="39"/>
      <c r="T214" s="39"/>
    </row>
    <row r="215" spans="1:20" s="7" customFormat="1" ht="25.5" x14ac:dyDescent="0.25">
      <c r="A215" s="38">
        <v>2026</v>
      </c>
      <c r="B215" s="24" t="s">
        <v>249</v>
      </c>
      <c r="C215" s="24" t="s">
        <v>97</v>
      </c>
      <c r="D215" s="24" t="s">
        <v>598</v>
      </c>
      <c r="E215" s="24" t="s">
        <v>651</v>
      </c>
      <c r="F215" s="24" t="s">
        <v>647</v>
      </c>
      <c r="G215" s="24" t="s">
        <v>9533</v>
      </c>
      <c r="H215" s="39"/>
      <c r="I215" s="39"/>
      <c r="J215" s="24"/>
      <c r="K215" s="40"/>
      <c r="L215" s="39"/>
      <c r="M215" s="39"/>
      <c r="N215" s="39"/>
      <c r="O215" s="39"/>
      <c r="P215" s="40"/>
      <c r="Q215" s="39">
        <v>-1.8104800000000001E-2</v>
      </c>
      <c r="R215" s="39"/>
      <c r="S215" s="39"/>
      <c r="T215" s="39"/>
    </row>
    <row r="216" spans="1:20" s="7" customFormat="1" ht="25.5" x14ac:dyDescent="0.25">
      <c r="A216" s="38">
        <v>2026</v>
      </c>
      <c r="B216" s="24" t="s">
        <v>249</v>
      </c>
      <c r="C216" s="24" t="s">
        <v>97</v>
      </c>
      <c r="D216" s="24" t="s">
        <v>598</v>
      </c>
      <c r="E216" s="24" t="s">
        <v>651</v>
      </c>
      <c r="F216" s="24" t="s">
        <v>647</v>
      </c>
      <c r="G216" s="24" t="s">
        <v>9534</v>
      </c>
      <c r="H216" s="39"/>
      <c r="I216" s="39"/>
      <c r="J216" s="24"/>
      <c r="K216" s="40"/>
      <c r="L216" s="39"/>
      <c r="M216" s="39"/>
      <c r="N216" s="39"/>
      <c r="O216" s="39"/>
      <c r="P216" s="40"/>
      <c r="Q216" s="39">
        <v>-4.9374675E-2</v>
      </c>
      <c r="R216" s="39"/>
      <c r="S216" s="39"/>
      <c r="T216" s="39"/>
    </row>
    <row r="217" spans="1:20" s="7" customFormat="1" ht="25.5" x14ac:dyDescent="0.25">
      <c r="A217" s="38">
        <v>2026</v>
      </c>
      <c r="B217" s="24" t="s">
        <v>249</v>
      </c>
      <c r="C217" s="24" t="s">
        <v>97</v>
      </c>
      <c r="D217" s="24" t="s">
        <v>628</v>
      </c>
      <c r="E217" s="24" t="s">
        <v>768</v>
      </c>
      <c r="F217" s="24" t="s">
        <v>579</v>
      </c>
      <c r="G217" s="24" t="s">
        <v>9543</v>
      </c>
      <c r="H217" s="39"/>
      <c r="I217" s="39"/>
      <c r="J217" s="24"/>
      <c r="K217" s="40"/>
      <c r="L217" s="39"/>
      <c r="M217" s="39"/>
      <c r="N217" s="39"/>
      <c r="O217" s="39"/>
      <c r="P217" s="40"/>
      <c r="Q217" s="39">
        <v>-2.5546586401</v>
      </c>
      <c r="R217" s="39"/>
      <c r="S217" s="39"/>
      <c r="T217" s="39"/>
    </row>
    <row r="218" spans="1:20" s="7" customFormat="1" ht="25.5" x14ac:dyDescent="0.25">
      <c r="A218" s="38">
        <v>2026</v>
      </c>
      <c r="B218" s="24" t="s">
        <v>249</v>
      </c>
      <c r="C218" s="24" t="s">
        <v>97</v>
      </c>
      <c r="D218" s="24" t="s">
        <v>609</v>
      </c>
      <c r="E218" s="24" t="s">
        <v>673</v>
      </c>
      <c r="F218" s="24" t="s">
        <v>579</v>
      </c>
      <c r="G218" s="24" t="s">
        <v>9544</v>
      </c>
      <c r="H218" s="39"/>
      <c r="I218" s="39"/>
      <c r="J218" s="24"/>
      <c r="K218" s="40"/>
      <c r="L218" s="39"/>
      <c r="M218" s="39"/>
      <c r="N218" s="39"/>
      <c r="O218" s="39"/>
      <c r="P218" s="40"/>
      <c r="Q218" s="39">
        <v>-1.1727003015000002</v>
      </c>
      <c r="R218" s="39"/>
      <c r="S218" s="39"/>
      <c r="T218" s="39"/>
    </row>
    <row r="219" spans="1:20" s="7" customFormat="1" ht="25.5" x14ac:dyDescent="0.25">
      <c r="A219" s="38">
        <v>2026</v>
      </c>
      <c r="B219" s="24" t="s">
        <v>249</v>
      </c>
      <c r="C219" s="24" t="s">
        <v>97</v>
      </c>
      <c r="D219" s="24" t="s">
        <v>610</v>
      </c>
      <c r="E219" s="24" t="s">
        <v>673</v>
      </c>
      <c r="F219" s="24" t="s">
        <v>579</v>
      </c>
      <c r="G219" s="24" t="s">
        <v>9545</v>
      </c>
      <c r="H219" s="39"/>
      <c r="I219" s="39"/>
      <c r="J219" s="24"/>
      <c r="K219" s="40"/>
      <c r="L219" s="39"/>
      <c r="M219" s="39"/>
      <c r="N219" s="39"/>
      <c r="O219" s="39"/>
      <c r="P219" s="40"/>
      <c r="Q219" s="39">
        <v>-1.0877389215</v>
      </c>
      <c r="R219" s="39"/>
      <c r="S219" s="39"/>
      <c r="T219" s="39"/>
    </row>
    <row r="220" spans="1:20" s="7" customFormat="1" ht="25.5" x14ac:dyDescent="0.25">
      <c r="A220" s="38">
        <v>2026</v>
      </c>
      <c r="B220" s="24" t="s">
        <v>249</v>
      </c>
      <c r="C220" s="24" t="s">
        <v>97</v>
      </c>
      <c r="D220" s="24" t="s">
        <v>620</v>
      </c>
      <c r="E220" s="24" t="s">
        <v>673</v>
      </c>
      <c r="F220" s="24" t="s">
        <v>579</v>
      </c>
      <c r="G220" s="24" t="s">
        <v>9546</v>
      </c>
      <c r="H220" s="39"/>
      <c r="I220" s="39"/>
      <c r="J220" s="24"/>
      <c r="K220" s="40"/>
      <c r="L220" s="39"/>
      <c r="M220" s="39"/>
      <c r="N220" s="39"/>
      <c r="O220" s="39"/>
      <c r="P220" s="40"/>
      <c r="Q220" s="39">
        <v>-1.3258392887999999</v>
      </c>
      <c r="R220" s="39"/>
      <c r="S220" s="39"/>
      <c r="T220" s="39"/>
    </row>
    <row r="221" spans="1:20" s="7" customFormat="1" ht="25.5" x14ac:dyDescent="0.25">
      <c r="A221" s="38">
        <v>2026</v>
      </c>
      <c r="B221" s="24" t="s">
        <v>249</v>
      </c>
      <c r="C221" s="24" t="s">
        <v>97</v>
      </c>
      <c r="D221" s="24" t="s">
        <v>599</v>
      </c>
      <c r="E221" s="24" t="s">
        <v>658</v>
      </c>
      <c r="F221" s="24" t="s">
        <v>647</v>
      </c>
      <c r="G221" s="24" t="s">
        <v>9548</v>
      </c>
      <c r="H221" s="39"/>
      <c r="I221" s="39"/>
      <c r="J221" s="24"/>
      <c r="K221" s="40"/>
      <c r="L221" s="39"/>
      <c r="M221" s="39"/>
      <c r="N221" s="39"/>
      <c r="O221" s="39"/>
      <c r="P221" s="40"/>
      <c r="Q221" s="39">
        <v>-0.29741720435999996</v>
      </c>
      <c r="R221" s="39"/>
      <c r="S221" s="39"/>
      <c r="T221" s="39"/>
    </row>
    <row r="222" spans="1:20" s="7" customFormat="1" ht="25.5" x14ac:dyDescent="0.25">
      <c r="A222" s="38">
        <v>2026</v>
      </c>
      <c r="B222" s="24" t="s">
        <v>249</v>
      </c>
      <c r="C222" s="24" t="s">
        <v>97</v>
      </c>
      <c r="D222" s="24" t="s">
        <v>600</v>
      </c>
      <c r="E222" s="24" t="s">
        <v>658</v>
      </c>
      <c r="F222" s="24" t="s">
        <v>647</v>
      </c>
      <c r="G222" s="24" t="s">
        <v>9547</v>
      </c>
      <c r="H222" s="39"/>
      <c r="I222" s="39"/>
      <c r="J222" s="24"/>
      <c r="K222" s="40"/>
      <c r="L222" s="39"/>
      <c r="M222" s="39"/>
      <c r="N222" s="39"/>
      <c r="O222" s="39"/>
      <c r="P222" s="40"/>
      <c r="Q222" s="39">
        <v>-0.20242346345000001</v>
      </c>
      <c r="R222" s="39"/>
      <c r="S222" s="39"/>
      <c r="T222" s="39"/>
    </row>
    <row r="223" spans="1:20" s="7" customFormat="1" ht="25.5" x14ac:dyDescent="0.25">
      <c r="A223" s="38">
        <v>2026</v>
      </c>
      <c r="B223" s="24" t="s">
        <v>249</v>
      </c>
      <c r="C223" s="24" t="s">
        <v>97</v>
      </c>
      <c r="D223" s="24" t="s">
        <v>601</v>
      </c>
      <c r="E223" s="24" t="s">
        <v>661</v>
      </c>
      <c r="F223" s="24" t="s">
        <v>579</v>
      </c>
      <c r="G223" s="24" t="s">
        <v>9549</v>
      </c>
      <c r="H223" s="39"/>
      <c r="I223" s="39"/>
      <c r="J223" s="24"/>
      <c r="K223" s="40"/>
      <c r="L223" s="39"/>
      <c r="M223" s="39"/>
      <c r="N223" s="39"/>
      <c r="O223" s="39"/>
      <c r="P223" s="40"/>
      <c r="Q223" s="39">
        <v>-1.0324577408</v>
      </c>
      <c r="R223" s="39"/>
      <c r="S223" s="39"/>
      <c r="T223" s="39"/>
    </row>
    <row r="224" spans="1:20" s="7" customFormat="1" ht="25.5" x14ac:dyDescent="0.25">
      <c r="A224" s="38">
        <v>2026</v>
      </c>
      <c r="B224" s="24" t="s">
        <v>249</v>
      </c>
      <c r="C224" s="24" t="s">
        <v>97</v>
      </c>
      <c r="D224" s="24" t="s">
        <v>602</v>
      </c>
      <c r="E224" s="24" t="s">
        <v>661</v>
      </c>
      <c r="F224" s="24" t="s">
        <v>579</v>
      </c>
      <c r="G224" s="24" t="s">
        <v>9550</v>
      </c>
      <c r="H224" s="39"/>
      <c r="I224" s="39"/>
      <c r="J224" s="24"/>
      <c r="K224" s="40"/>
      <c r="L224" s="39"/>
      <c r="M224" s="39"/>
      <c r="N224" s="39"/>
      <c r="O224" s="39"/>
      <c r="P224" s="40"/>
      <c r="Q224" s="39">
        <v>-1.3981240889000002</v>
      </c>
      <c r="R224" s="39"/>
      <c r="S224" s="39"/>
      <c r="T224" s="39"/>
    </row>
    <row r="225" spans="1:20" s="7" customFormat="1" ht="25.5" x14ac:dyDescent="0.25">
      <c r="A225" s="38">
        <v>2026</v>
      </c>
      <c r="B225" s="24" t="s">
        <v>249</v>
      </c>
      <c r="C225" s="24" t="s">
        <v>97</v>
      </c>
      <c r="D225" s="24" t="s">
        <v>616</v>
      </c>
      <c r="E225" s="24" t="s">
        <v>697</v>
      </c>
      <c r="F225" s="24" t="s">
        <v>647</v>
      </c>
      <c r="G225" s="24" t="s">
        <v>9552</v>
      </c>
      <c r="H225" s="39"/>
      <c r="I225" s="39"/>
      <c r="J225" s="24"/>
      <c r="K225" s="40"/>
      <c r="L225" s="39"/>
      <c r="M225" s="39"/>
      <c r="N225" s="39"/>
      <c r="O225" s="39"/>
      <c r="P225" s="40"/>
      <c r="Q225" s="39">
        <v>-1.2999123899999998</v>
      </c>
      <c r="R225" s="39"/>
      <c r="S225" s="39"/>
      <c r="T225" s="39"/>
    </row>
    <row r="226" spans="1:20" s="7" customFormat="1" ht="25.5" x14ac:dyDescent="0.25">
      <c r="A226" s="38">
        <v>2026</v>
      </c>
      <c r="B226" s="24" t="s">
        <v>249</v>
      </c>
      <c r="C226" s="24" t="s">
        <v>111</v>
      </c>
      <c r="D226" s="24" t="s">
        <v>616</v>
      </c>
      <c r="E226" s="24" t="s">
        <v>697</v>
      </c>
      <c r="F226" s="24" t="s">
        <v>647</v>
      </c>
      <c r="G226" s="24" t="s">
        <v>860</v>
      </c>
      <c r="H226" s="39">
        <v>20</v>
      </c>
      <c r="I226" s="39">
        <v>15</v>
      </c>
      <c r="J226" s="24"/>
      <c r="K226" s="40">
        <v>46048</v>
      </c>
      <c r="L226" s="39" t="s">
        <v>109</v>
      </c>
      <c r="M226" s="39">
        <v>25.235987000000002</v>
      </c>
      <c r="N226" s="39" t="s">
        <v>736</v>
      </c>
      <c r="O226" s="39">
        <v>1.65675374165</v>
      </c>
      <c r="P226" s="40">
        <v>46234</v>
      </c>
      <c r="Q226" s="39">
        <v>26.892740741650002</v>
      </c>
      <c r="R226" s="39"/>
      <c r="S226" s="39"/>
      <c r="T226" s="39"/>
    </row>
    <row r="227" spans="1:20" s="7" customFormat="1" ht="25.5" x14ac:dyDescent="0.25">
      <c r="A227" s="38">
        <v>2026</v>
      </c>
      <c r="B227" s="24" t="s">
        <v>249</v>
      </c>
      <c r="C227" s="24" t="s">
        <v>19</v>
      </c>
      <c r="D227" s="24" t="s">
        <v>627</v>
      </c>
      <c r="E227" s="24" t="s">
        <v>757</v>
      </c>
      <c r="F227" s="24" t="s">
        <v>579</v>
      </c>
      <c r="G227" s="24" t="s">
        <v>861</v>
      </c>
      <c r="H227" s="39"/>
      <c r="I227" s="39"/>
      <c r="J227" s="24"/>
      <c r="K227" s="40"/>
      <c r="L227" s="39"/>
      <c r="M227" s="39"/>
      <c r="N227" s="39" t="s">
        <v>736</v>
      </c>
      <c r="O227" s="39"/>
      <c r="P227" s="40"/>
      <c r="Q227" s="39">
        <v>0.295576267</v>
      </c>
      <c r="R227" s="39"/>
      <c r="S227" s="39"/>
      <c r="T227" s="39"/>
    </row>
    <row r="228" spans="1:20" s="7" customFormat="1" ht="25.5" x14ac:dyDescent="0.25">
      <c r="A228" s="38">
        <v>2026</v>
      </c>
      <c r="B228" s="24" t="s">
        <v>249</v>
      </c>
      <c r="C228" s="24" t="s">
        <v>19</v>
      </c>
      <c r="D228" s="24" t="s">
        <v>596</v>
      </c>
      <c r="E228" s="24" t="s">
        <v>646</v>
      </c>
      <c r="F228" s="24" t="s">
        <v>647</v>
      </c>
      <c r="G228" s="24" t="s">
        <v>862</v>
      </c>
      <c r="H228" s="39"/>
      <c r="I228" s="39"/>
      <c r="J228" s="24"/>
      <c r="K228" s="40"/>
      <c r="L228" s="39"/>
      <c r="M228" s="39"/>
      <c r="N228" s="39" t="s">
        <v>736</v>
      </c>
      <c r="O228" s="39"/>
      <c r="P228" s="40"/>
      <c r="Q228" s="39">
        <v>0.14993706510000002</v>
      </c>
      <c r="R228" s="39"/>
      <c r="S228" s="39"/>
      <c r="T228" s="39"/>
    </row>
    <row r="229" spans="1:20" s="7" customFormat="1" ht="38.25" x14ac:dyDescent="0.25">
      <c r="A229" s="38">
        <v>2026</v>
      </c>
      <c r="B229" s="24" t="s">
        <v>249</v>
      </c>
      <c r="C229" s="24" t="s">
        <v>19</v>
      </c>
      <c r="D229" s="24" t="s">
        <v>626</v>
      </c>
      <c r="E229" s="24" t="s">
        <v>658</v>
      </c>
      <c r="F229" s="24" t="s">
        <v>579</v>
      </c>
      <c r="G229" s="24" t="s">
        <v>863</v>
      </c>
      <c r="H229" s="39"/>
      <c r="I229" s="39"/>
      <c r="J229" s="24"/>
      <c r="K229" s="40"/>
      <c r="L229" s="39"/>
      <c r="M229" s="39"/>
      <c r="N229" s="39" t="s">
        <v>736</v>
      </c>
      <c r="O229" s="39"/>
      <c r="P229" s="40"/>
      <c r="Q229" s="39">
        <v>3.938413556</v>
      </c>
      <c r="R229" s="39"/>
      <c r="S229" s="39"/>
      <c r="T229" s="39"/>
    </row>
    <row r="230" spans="1:20" s="7" customFormat="1" ht="25.5" x14ac:dyDescent="0.25">
      <c r="A230" s="38">
        <v>2026</v>
      </c>
      <c r="B230" s="24" t="s">
        <v>249</v>
      </c>
      <c r="C230" s="24" t="s">
        <v>19</v>
      </c>
      <c r="D230" s="24" t="s">
        <v>612</v>
      </c>
      <c r="E230" s="24" t="s">
        <v>679</v>
      </c>
      <c r="F230" s="24" t="s">
        <v>579</v>
      </c>
      <c r="G230" s="24" t="s">
        <v>864</v>
      </c>
      <c r="H230" s="39"/>
      <c r="I230" s="39"/>
      <c r="J230" s="24"/>
      <c r="K230" s="40"/>
      <c r="L230" s="39"/>
      <c r="M230" s="39"/>
      <c r="N230" s="39" t="s">
        <v>736</v>
      </c>
      <c r="O230" s="39"/>
      <c r="P230" s="40"/>
      <c r="Q230" s="39">
        <v>0.24473349360000002</v>
      </c>
      <c r="R230" s="39"/>
      <c r="S230" s="39"/>
      <c r="T230" s="39"/>
    </row>
    <row r="231" spans="1:20" s="7" customFormat="1" ht="25.5" x14ac:dyDescent="0.25">
      <c r="A231" s="38">
        <v>2026</v>
      </c>
      <c r="B231" s="24" t="s">
        <v>249</v>
      </c>
      <c r="C231" s="24" t="s">
        <v>19</v>
      </c>
      <c r="D231" s="24" t="s">
        <v>613</v>
      </c>
      <c r="E231" s="24" t="s">
        <v>679</v>
      </c>
      <c r="F231" s="24" t="s">
        <v>579</v>
      </c>
      <c r="G231" s="24" t="s">
        <v>865</v>
      </c>
      <c r="H231" s="39"/>
      <c r="I231" s="39"/>
      <c r="J231" s="24"/>
      <c r="K231" s="40"/>
      <c r="L231" s="39"/>
      <c r="M231" s="39"/>
      <c r="N231" s="39" t="s">
        <v>736</v>
      </c>
      <c r="O231" s="39"/>
      <c r="P231" s="40"/>
      <c r="Q231" s="39">
        <v>0.53374261779999999</v>
      </c>
      <c r="R231" s="39"/>
      <c r="S231" s="39"/>
      <c r="T231" s="39"/>
    </row>
    <row r="232" spans="1:20" s="7" customFormat="1" ht="38.25" x14ac:dyDescent="0.25">
      <c r="A232" s="38">
        <v>2026</v>
      </c>
      <c r="B232" s="24" t="s">
        <v>249</v>
      </c>
      <c r="C232" s="24" t="s">
        <v>108</v>
      </c>
      <c r="D232" s="24" t="s">
        <v>603</v>
      </c>
      <c r="E232" s="24" t="s">
        <v>664</v>
      </c>
      <c r="F232" s="24" t="s">
        <v>579</v>
      </c>
      <c r="G232" s="24" t="s">
        <v>866</v>
      </c>
      <c r="H232" s="39"/>
      <c r="I232" s="39"/>
      <c r="J232" s="24"/>
      <c r="K232" s="40"/>
      <c r="L232" s="39"/>
      <c r="M232" s="39"/>
      <c r="N232" s="39" t="s">
        <v>736</v>
      </c>
      <c r="O232" s="39"/>
      <c r="P232" s="40"/>
      <c r="Q232" s="39">
        <v>1.196567197</v>
      </c>
      <c r="R232" s="39"/>
      <c r="S232" s="39"/>
      <c r="T232" s="39"/>
    </row>
    <row r="233" spans="1:20" s="7" customFormat="1" ht="38.25" x14ac:dyDescent="0.25">
      <c r="A233" s="38">
        <v>2026</v>
      </c>
      <c r="B233" s="24" t="s">
        <v>249</v>
      </c>
      <c r="C233" s="24" t="s">
        <v>108</v>
      </c>
      <c r="D233" s="24" t="s">
        <v>605</v>
      </c>
      <c r="E233" s="24" t="s">
        <v>640</v>
      </c>
      <c r="F233" s="24" t="s">
        <v>579</v>
      </c>
      <c r="G233" s="24" t="s">
        <v>867</v>
      </c>
      <c r="H233" s="39"/>
      <c r="I233" s="39"/>
      <c r="J233" s="24"/>
      <c r="K233" s="40"/>
      <c r="L233" s="39"/>
      <c r="M233" s="39"/>
      <c r="N233" s="39" t="s">
        <v>736</v>
      </c>
      <c r="O233" s="39"/>
      <c r="P233" s="40"/>
      <c r="Q233" s="39">
        <v>1.2518226260000003</v>
      </c>
      <c r="R233" s="39"/>
      <c r="S233" s="39"/>
      <c r="T233" s="39"/>
    </row>
    <row r="234" spans="1:20" s="7" customFormat="1" ht="38.25" x14ac:dyDescent="0.25">
      <c r="A234" s="38">
        <v>2026</v>
      </c>
      <c r="B234" s="24" t="s">
        <v>249</v>
      </c>
      <c r="C234" s="24" t="s">
        <v>108</v>
      </c>
      <c r="D234" s="24" t="s">
        <v>596</v>
      </c>
      <c r="E234" s="24" t="s">
        <v>646</v>
      </c>
      <c r="F234" s="24" t="s">
        <v>579</v>
      </c>
      <c r="G234" s="24" t="s">
        <v>868</v>
      </c>
      <c r="H234" s="39"/>
      <c r="I234" s="39"/>
      <c r="J234" s="24"/>
      <c r="K234" s="40"/>
      <c r="L234" s="39"/>
      <c r="M234" s="39"/>
      <c r="N234" s="39" t="s">
        <v>736</v>
      </c>
      <c r="O234" s="39"/>
      <c r="P234" s="40"/>
      <c r="Q234" s="39">
        <v>0.29021068200000005</v>
      </c>
      <c r="R234" s="39"/>
      <c r="S234" s="39"/>
      <c r="T234" s="39"/>
    </row>
    <row r="235" spans="1:20" s="7" customFormat="1" ht="12.75" x14ac:dyDescent="0.25">
      <c r="A235" s="38">
        <v>2026</v>
      </c>
      <c r="B235" s="24" t="s">
        <v>249</v>
      </c>
      <c r="C235" s="24" t="s">
        <v>44</v>
      </c>
      <c r="D235" s="24" t="s">
        <v>177</v>
      </c>
      <c r="E235" s="24" t="s">
        <v>699</v>
      </c>
      <c r="F235" s="24"/>
      <c r="G235" s="24" t="s">
        <v>869</v>
      </c>
      <c r="H235" s="39"/>
      <c r="I235" s="39"/>
      <c r="J235" s="24"/>
      <c r="K235" s="40"/>
      <c r="L235" s="39"/>
      <c r="M235" s="39"/>
      <c r="N235" s="39"/>
      <c r="O235" s="39"/>
      <c r="P235" s="40"/>
      <c r="Q235" s="39"/>
      <c r="R235" s="39"/>
      <c r="S235" s="39"/>
      <c r="T235" s="39"/>
    </row>
    <row r="236" spans="1:20" s="7" customFormat="1" ht="51" x14ac:dyDescent="0.25">
      <c r="A236" s="38" t="s">
        <v>257</v>
      </c>
      <c r="B236" s="24" t="s">
        <v>258</v>
      </c>
      <c r="C236" s="24" t="s">
        <v>112</v>
      </c>
      <c r="D236" s="24" t="s">
        <v>632</v>
      </c>
      <c r="E236" s="24" t="s">
        <v>815</v>
      </c>
      <c r="F236" s="24" t="s">
        <v>579</v>
      </c>
      <c r="G236" s="24" t="s">
        <v>870</v>
      </c>
      <c r="H236" s="39">
        <v>20</v>
      </c>
      <c r="I236" s="39">
        <v>20</v>
      </c>
      <c r="J236" s="24" t="s">
        <v>756</v>
      </c>
      <c r="K236" s="40">
        <v>45911</v>
      </c>
      <c r="L236" s="39" t="s">
        <v>109</v>
      </c>
      <c r="M236" s="39">
        <v>26.084731976400001</v>
      </c>
      <c r="N236" s="39" t="s">
        <v>736</v>
      </c>
      <c r="O236" s="39">
        <v>3.2925968839999999</v>
      </c>
      <c r="P236" s="40">
        <v>46238</v>
      </c>
      <c r="Q236" s="39">
        <v>29.377328860399999</v>
      </c>
      <c r="R236" s="39"/>
      <c r="S236" s="39"/>
      <c r="T236" s="39"/>
    </row>
    <row r="237" spans="1:20" s="7" customFormat="1" ht="51" x14ac:dyDescent="0.25">
      <c r="A237" s="38" t="s">
        <v>257</v>
      </c>
      <c r="B237" s="24" t="s">
        <v>258</v>
      </c>
      <c r="C237" s="24" t="s">
        <v>112</v>
      </c>
      <c r="D237" s="24" t="s">
        <v>628</v>
      </c>
      <c r="E237" s="24" t="s">
        <v>768</v>
      </c>
      <c r="F237" s="24" t="s">
        <v>579</v>
      </c>
      <c r="G237" s="24" t="s">
        <v>871</v>
      </c>
      <c r="H237" s="39">
        <v>10</v>
      </c>
      <c r="I237" s="39">
        <v>20</v>
      </c>
      <c r="J237" s="24" t="s">
        <v>756</v>
      </c>
      <c r="K237" s="40">
        <v>45939</v>
      </c>
      <c r="L237" s="39" t="s">
        <v>109</v>
      </c>
      <c r="M237" s="39">
        <v>16.037340438499999</v>
      </c>
      <c r="N237" s="39" t="s">
        <v>736</v>
      </c>
      <c r="O237" s="39">
        <v>1.9001057400000001</v>
      </c>
      <c r="P237" s="40">
        <v>46237</v>
      </c>
      <c r="Q237" s="39">
        <v>17.9374461785</v>
      </c>
      <c r="R237" s="39"/>
      <c r="S237" s="39"/>
      <c r="T237" s="39"/>
    </row>
    <row r="238" spans="1:20" s="7" customFormat="1" ht="51" x14ac:dyDescent="0.25">
      <c r="A238" s="38" t="s">
        <v>257</v>
      </c>
      <c r="B238" s="24" t="s">
        <v>258</v>
      </c>
      <c r="C238" s="24" t="s">
        <v>112</v>
      </c>
      <c r="D238" s="24" t="s">
        <v>602</v>
      </c>
      <c r="E238" s="24" t="s">
        <v>661</v>
      </c>
      <c r="F238" s="24" t="s">
        <v>579</v>
      </c>
      <c r="G238" s="24" t="s">
        <v>872</v>
      </c>
      <c r="H238" s="39">
        <v>50</v>
      </c>
      <c r="I238" s="39">
        <v>20</v>
      </c>
      <c r="J238" s="24" t="s">
        <v>756</v>
      </c>
      <c r="K238" s="40">
        <v>45924</v>
      </c>
      <c r="L238" s="39" t="s">
        <v>109</v>
      </c>
      <c r="M238" s="39">
        <v>64.628673000000006</v>
      </c>
      <c r="N238" s="39" t="s">
        <v>736</v>
      </c>
      <c r="O238" s="39">
        <v>1.2143826181499999</v>
      </c>
      <c r="P238" s="40">
        <v>46262</v>
      </c>
      <c r="Q238" s="39">
        <v>65.843055618150004</v>
      </c>
      <c r="R238" s="39"/>
      <c r="S238" s="39"/>
      <c r="T238" s="39"/>
    </row>
    <row r="239" spans="1:20" s="7" customFormat="1" ht="63.75" x14ac:dyDescent="0.25">
      <c r="A239" s="38" t="s">
        <v>257</v>
      </c>
      <c r="B239" s="24" t="s">
        <v>261</v>
      </c>
      <c r="C239" s="24" t="s">
        <v>112</v>
      </c>
      <c r="D239" s="24" t="s">
        <v>612</v>
      </c>
      <c r="E239" s="24" t="s">
        <v>679</v>
      </c>
      <c r="F239" s="24" t="s">
        <v>579</v>
      </c>
      <c r="G239" s="24" t="s">
        <v>873</v>
      </c>
      <c r="H239" s="39">
        <v>15</v>
      </c>
      <c r="I239" s="39">
        <v>5</v>
      </c>
      <c r="J239" s="24" t="s">
        <v>756</v>
      </c>
      <c r="K239" s="40">
        <v>46008</v>
      </c>
      <c r="L239" s="39" t="s">
        <v>109</v>
      </c>
      <c r="M239" s="39">
        <v>17.264734000000001</v>
      </c>
      <c r="N239" s="39" t="s">
        <v>736</v>
      </c>
      <c r="O239" s="39">
        <v>0.47047796910000006</v>
      </c>
      <c r="P239" s="40">
        <v>46295</v>
      </c>
      <c r="Q239" s="39">
        <v>17.7352119691</v>
      </c>
      <c r="R239" s="39"/>
      <c r="S239" s="39"/>
      <c r="T239" s="39"/>
    </row>
    <row r="240" spans="1:20" s="7" customFormat="1" ht="63.75" x14ac:dyDescent="0.25">
      <c r="A240" s="38" t="s">
        <v>257</v>
      </c>
      <c r="B240" s="24" t="s">
        <v>261</v>
      </c>
      <c r="C240" s="24" t="s">
        <v>112</v>
      </c>
      <c r="D240" s="24" t="s">
        <v>613</v>
      </c>
      <c r="E240" s="24" t="s">
        <v>679</v>
      </c>
      <c r="F240" s="24" t="s">
        <v>579</v>
      </c>
      <c r="G240" s="24" t="s">
        <v>874</v>
      </c>
      <c r="H240" s="39">
        <v>15</v>
      </c>
      <c r="I240" s="39">
        <v>5</v>
      </c>
      <c r="J240" s="24" t="s">
        <v>756</v>
      </c>
      <c r="K240" s="40">
        <v>46008</v>
      </c>
      <c r="L240" s="39" t="s">
        <v>109</v>
      </c>
      <c r="M240" s="39">
        <v>18.270558999999999</v>
      </c>
      <c r="N240" s="39" t="s">
        <v>736</v>
      </c>
      <c r="O240" s="39">
        <v>0.86512302100000005</v>
      </c>
      <c r="P240" s="40">
        <v>46295</v>
      </c>
      <c r="Q240" s="39">
        <v>19.135682020999997</v>
      </c>
      <c r="R240" s="39"/>
      <c r="S240" s="39"/>
      <c r="T240" s="39"/>
    </row>
    <row r="241" spans="1:20" s="7" customFormat="1" ht="51" x14ac:dyDescent="0.25">
      <c r="A241" s="38" t="s">
        <v>257</v>
      </c>
      <c r="B241" s="24" t="s">
        <v>261</v>
      </c>
      <c r="C241" s="24" t="s">
        <v>112</v>
      </c>
      <c r="D241" s="24" t="s">
        <v>634</v>
      </c>
      <c r="E241" s="24" t="s">
        <v>661</v>
      </c>
      <c r="F241" s="24" t="s">
        <v>647</v>
      </c>
      <c r="G241" s="24" t="s">
        <v>875</v>
      </c>
      <c r="H241" s="39">
        <v>10</v>
      </c>
      <c r="I241" s="39">
        <v>10</v>
      </c>
      <c r="J241" s="24"/>
      <c r="K241" s="40">
        <v>45909</v>
      </c>
      <c r="L241" s="39" t="s">
        <v>109</v>
      </c>
      <c r="M241" s="39">
        <v>5.2372540000000001</v>
      </c>
      <c r="N241" s="39" t="s">
        <v>736</v>
      </c>
      <c r="O241" s="39"/>
      <c r="P241" s="40">
        <v>46260</v>
      </c>
      <c r="Q241" s="39">
        <v>5.2372540000000001</v>
      </c>
      <c r="R241" s="39"/>
      <c r="S241" s="39"/>
      <c r="T241" s="39"/>
    </row>
    <row r="242" spans="1:20" s="7" customFormat="1" ht="51" x14ac:dyDescent="0.25">
      <c r="A242" s="38" t="s">
        <v>257</v>
      </c>
      <c r="B242" s="24" t="s">
        <v>635</v>
      </c>
      <c r="C242" s="24" t="s">
        <v>112</v>
      </c>
      <c r="D242" s="24" t="s">
        <v>591</v>
      </c>
      <c r="E242" s="24" t="s">
        <v>638</v>
      </c>
      <c r="F242" s="24" t="s">
        <v>579</v>
      </c>
      <c r="G242" s="24" t="s">
        <v>876</v>
      </c>
      <c r="H242" s="39">
        <v>10</v>
      </c>
      <c r="I242" s="39">
        <v>10</v>
      </c>
      <c r="J242" s="24"/>
      <c r="K242" s="40">
        <v>45932</v>
      </c>
      <c r="L242" s="39" t="s">
        <v>109</v>
      </c>
      <c r="M242" s="39">
        <v>10.661377999999999</v>
      </c>
      <c r="N242" s="39" t="s">
        <v>736</v>
      </c>
      <c r="O242" s="39">
        <v>0.29207524130000001</v>
      </c>
      <c r="P242" s="40">
        <v>46297</v>
      </c>
      <c r="Q242" s="39">
        <v>10.953453241299998</v>
      </c>
      <c r="R242" s="39"/>
      <c r="S242" s="39"/>
      <c r="T242" s="39"/>
    </row>
    <row r="243" spans="1:20" s="7" customFormat="1" ht="25.5" x14ac:dyDescent="0.25">
      <c r="A243" s="38" t="s">
        <v>257</v>
      </c>
      <c r="B243" s="24" t="s">
        <v>636</v>
      </c>
      <c r="C243" s="24" t="s">
        <v>18</v>
      </c>
      <c r="D243" s="24" t="s">
        <v>629</v>
      </c>
      <c r="E243" s="24" t="s">
        <v>877</v>
      </c>
      <c r="F243" s="24" t="s">
        <v>579</v>
      </c>
      <c r="G243" s="24" t="s">
        <v>878</v>
      </c>
      <c r="H243" s="39"/>
      <c r="I243" s="39"/>
      <c r="J243" s="24"/>
      <c r="K243" s="40"/>
      <c r="L243" s="39"/>
      <c r="M243" s="39"/>
      <c r="N243" s="39"/>
      <c r="O243" s="39"/>
      <c r="P243" s="40"/>
      <c r="Q243" s="39"/>
      <c r="R243" s="39"/>
      <c r="S243" s="39"/>
      <c r="T243" s="39" t="s">
        <v>879</v>
      </c>
    </row>
    <row r="244" spans="1:20" s="7" customFormat="1" ht="38.25" x14ac:dyDescent="0.25">
      <c r="A244" s="38" t="s">
        <v>257</v>
      </c>
      <c r="B244" s="24" t="s">
        <v>636</v>
      </c>
      <c r="C244" s="24" t="s">
        <v>112</v>
      </c>
      <c r="D244" s="24" t="s">
        <v>601</v>
      </c>
      <c r="E244" s="24" t="s">
        <v>661</v>
      </c>
      <c r="F244" s="24" t="s">
        <v>579</v>
      </c>
      <c r="G244" s="24" t="s">
        <v>880</v>
      </c>
      <c r="H244" s="39">
        <v>15</v>
      </c>
      <c r="I244" s="39">
        <v>5</v>
      </c>
      <c r="J244" s="24"/>
      <c r="K244" s="40">
        <v>46000</v>
      </c>
      <c r="L244" s="39" t="s">
        <v>109</v>
      </c>
      <c r="M244" s="39">
        <v>1.4472670000000001</v>
      </c>
      <c r="N244" s="39" t="s">
        <v>736</v>
      </c>
      <c r="O244" s="39"/>
      <c r="P244" s="40">
        <v>46352</v>
      </c>
      <c r="Q244" s="39">
        <v>1.4472670000000001</v>
      </c>
      <c r="R244" s="39"/>
      <c r="S244" s="39"/>
      <c r="T244" s="39"/>
    </row>
    <row r="245" spans="1:20" s="7" customFormat="1" ht="25.5" x14ac:dyDescent="0.25">
      <c r="A245" s="38" t="s">
        <v>257</v>
      </c>
      <c r="B245" s="24" t="s">
        <v>266</v>
      </c>
      <c r="C245" s="24" t="s">
        <v>637</v>
      </c>
      <c r="D245" s="24" t="s">
        <v>597</v>
      </c>
      <c r="E245" s="24" t="s">
        <v>651</v>
      </c>
      <c r="F245" s="24" t="s">
        <v>579</v>
      </c>
      <c r="G245" s="24" t="s">
        <v>881</v>
      </c>
      <c r="H245" s="39">
        <v>10</v>
      </c>
      <c r="I245" s="39">
        <v>5</v>
      </c>
      <c r="J245" s="24"/>
      <c r="K245" s="40" t="s">
        <v>882</v>
      </c>
      <c r="L245" s="39" t="s">
        <v>736</v>
      </c>
      <c r="M245" s="39"/>
      <c r="N245" s="39" t="s">
        <v>883</v>
      </c>
      <c r="O245" s="39"/>
      <c r="P245" s="40">
        <v>46482</v>
      </c>
      <c r="Q245" s="39">
        <v>0</v>
      </c>
      <c r="R245" s="39"/>
      <c r="S245" s="39"/>
      <c r="T245" s="39"/>
    </row>
    <row r="246" spans="1:20" s="7" customFormat="1" ht="25.5" x14ac:dyDescent="0.25">
      <c r="A246" s="38" t="s">
        <v>257</v>
      </c>
      <c r="B246" s="24" t="s">
        <v>266</v>
      </c>
      <c r="C246" s="24" t="s">
        <v>637</v>
      </c>
      <c r="D246" s="24" t="s">
        <v>606</v>
      </c>
      <c r="E246" s="24" t="s">
        <v>651</v>
      </c>
      <c r="F246" s="24" t="s">
        <v>579</v>
      </c>
      <c r="G246" s="24" t="s">
        <v>881</v>
      </c>
      <c r="H246" s="39">
        <v>10</v>
      </c>
      <c r="I246" s="39">
        <v>5</v>
      </c>
      <c r="J246" s="24"/>
      <c r="K246" s="40" t="s">
        <v>882</v>
      </c>
      <c r="L246" s="39" t="s">
        <v>736</v>
      </c>
      <c r="M246" s="39"/>
      <c r="N246" s="39" t="s">
        <v>883</v>
      </c>
      <c r="O246" s="39"/>
      <c r="P246" s="40">
        <v>46482</v>
      </c>
      <c r="Q246" s="39">
        <v>0</v>
      </c>
      <c r="R246" s="39"/>
      <c r="S246" s="39"/>
      <c r="T246" s="39"/>
    </row>
    <row r="247" spans="1:20" s="7" customFormat="1" ht="25.5" x14ac:dyDescent="0.25">
      <c r="A247" s="38" t="s">
        <v>257</v>
      </c>
      <c r="B247" s="24" t="s">
        <v>266</v>
      </c>
      <c r="C247" s="24" t="s">
        <v>637</v>
      </c>
      <c r="D247" s="24" t="s">
        <v>607</v>
      </c>
      <c r="E247" s="24" t="s">
        <v>651</v>
      </c>
      <c r="F247" s="24" t="s">
        <v>579</v>
      </c>
      <c r="G247" s="24" t="s">
        <v>881</v>
      </c>
      <c r="H247" s="39">
        <v>10</v>
      </c>
      <c r="I247" s="39">
        <v>5</v>
      </c>
      <c r="J247" s="24"/>
      <c r="K247" s="40" t="s">
        <v>882</v>
      </c>
      <c r="L247" s="39" t="s">
        <v>736</v>
      </c>
      <c r="M247" s="39"/>
      <c r="N247" s="39" t="s">
        <v>883</v>
      </c>
      <c r="O247" s="39"/>
      <c r="P247" s="40">
        <v>46482</v>
      </c>
      <c r="Q247" s="39">
        <v>0</v>
      </c>
      <c r="R247" s="39"/>
      <c r="S247" s="39"/>
      <c r="T247" s="39"/>
    </row>
    <row r="248" spans="1:20" s="7" customFormat="1" ht="25.5" x14ac:dyDescent="0.25">
      <c r="A248" s="38" t="s">
        <v>257</v>
      </c>
      <c r="B248" s="24" t="s">
        <v>266</v>
      </c>
      <c r="C248" s="24" t="s">
        <v>637</v>
      </c>
      <c r="D248" s="24" t="s">
        <v>608</v>
      </c>
      <c r="E248" s="24" t="s">
        <v>651</v>
      </c>
      <c r="F248" s="24" t="s">
        <v>579</v>
      </c>
      <c r="G248" s="24" t="s">
        <v>881</v>
      </c>
      <c r="H248" s="39">
        <v>10</v>
      </c>
      <c r="I248" s="39">
        <v>5</v>
      </c>
      <c r="J248" s="24"/>
      <c r="K248" s="40" t="s">
        <v>882</v>
      </c>
      <c r="L248" s="39" t="s">
        <v>736</v>
      </c>
      <c r="M248" s="39"/>
      <c r="N248" s="39" t="s">
        <v>883</v>
      </c>
      <c r="O248" s="39"/>
      <c r="P248" s="40">
        <v>46482</v>
      </c>
      <c r="Q248" s="39">
        <v>0</v>
      </c>
      <c r="R248" s="39"/>
      <c r="S248" s="39"/>
      <c r="T248" s="39"/>
    </row>
    <row r="249" spans="1:20" s="7" customFormat="1" ht="76.5" x14ac:dyDescent="0.25">
      <c r="A249" s="38" t="s">
        <v>257</v>
      </c>
      <c r="B249" s="24" t="s">
        <v>266</v>
      </c>
      <c r="C249" s="24" t="s">
        <v>215</v>
      </c>
      <c r="D249" s="24" t="s">
        <v>598</v>
      </c>
      <c r="E249" s="24" t="s">
        <v>651</v>
      </c>
      <c r="F249" s="24" t="s">
        <v>647</v>
      </c>
      <c r="G249" s="24" t="s">
        <v>884</v>
      </c>
      <c r="H249" s="39"/>
      <c r="I249" s="39"/>
      <c r="J249" s="24"/>
      <c r="K249" s="40"/>
      <c r="L249" s="39"/>
      <c r="M249" s="39"/>
      <c r="N249" s="39"/>
      <c r="O249" s="39"/>
      <c r="P249" s="40"/>
      <c r="Q249" s="39"/>
      <c r="R249" s="39"/>
      <c r="S249" s="39"/>
      <c r="T249" s="39"/>
    </row>
    <row r="250" spans="1:20" s="7" customFormat="1" ht="38.25" x14ac:dyDescent="0.25">
      <c r="A250" s="38" t="s">
        <v>273</v>
      </c>
      <c r="B250" s="24" t="s">
        <v>183</v>
      </c>
      <c r="C250" s="24" t="s">
        <v>112</v>
      </c>
      <c r="D250" s="24" t="s">
        <v>619</v>
      </c>
      <c r="E250" s="24" t="s">
        <v>702</v>
      </c>
      <c r="F250" s="24" t="s">
        <v>579</v>
      </c>
      <c r="G250" s="24" t="s">
        <v>9554</v>
      </c>
      <c r="H250" s="39">
        <v>10</v>
      </c>
      <c r="I250" s="39">
        <v>10</v>
      </c>
      <c r="J250" s="24"/>
      <c r="K250" s="40">
        <v>46067</v>
      </c>
      <c r="L250" s="39" t="s">
        <v>109</v>
      </c>
      <c r="M250" s="39">
        <v>0.85824400000000001</v>
      </c>
      <c r="N250" s="39" t="s">
        <v>736</v>
      </c>
      <c r="O250" s="39"/>
      <c r="P250" s="40">
        <v>46430</v>
      </c>
      <c r="Q250" s="39">
        <v>0.85824400000000001</v>
      </c>
      <c r="R250" s="39"/>
      <c r="S250" s="39"/>
      <c r="T250" s="39"/>
    </row>
    <row r="251" spans="1:20" s="7" customFormat="1" ht="51" x14ac:dyDescent="0.25">
      <c r="A251" s="38" t="s">
        <v>273</v>
      </c>
      <c r="B251" s="24" t="s">
        <v>192</v>
      </c>
      <c r="C251" s="24" t="s">
        <v>112</v>
      </c>
      <c r="D251" s="24" t="s">
        <v>596</v>
      </c>
      <c r="E251" s="24" t="s">
        <v>646</v>
      </c>
      <c r="F251" s="24" t="s">
        <v>647</v>
      </c>
      <c r="G251" s="24" t="s">
        <v>885</v>
      </c>
      <c r="H251" s="39">
        <v>20</v>
      </c>
      <c r="I251" s="39">
        <v>10</v>
      </c>
      <c r="J251" s="24"/>
      <c r="K251" s="40">
        <v>46049</v>
      </c>
      <c r="L251" s="39" t="s">
        <v>109</v>
      </c>
      <c r="M251" s="39">
        <v>2.94</v>
      </c>
      <c r="N251" s="39" t="s">
        <v>736</v>
      </c>
      <c r="O251" s="39">
        <v>0.4677385879</v>
      </c>
      <c r="P251" s="40">
        <v>46477</v>
      </c>
      <c r="Q251" s="39">
        <v>3.4040344030999998</v>
      </c>
      <c r="R251" s="39"/>
      <c r="S251" s="39"/>
      <c r="T251" s="39"/>
    </row>
    <row r="252" spans="1:20" s="7" customFormat="1" ht="38.25" x14ac:dyDescent="0.25">
      <c r="A252" s="38" t="s">
        <v>273</v>
      </c>
      <c r="B252" s="24" t="s">
        <v>192</v>
      </c>
      <c r="C252" s="24" t="s">
        <v>112</v>
      </c>
      <c r="D252" s="24" t="s">
        <v>621</v>
      </c>
      <c r="E252" s="24" t="s">
        <v>705</v>
      </c>
      <c r="F252" s="24" t="s">
        <v>579</v>
      </c>
      <c r="G252" s="24" t="s">
        <v>886</v>
      </c>
      <c r="H252" s="39">
        <v>1.85</v>
      </c>
      <c r="I252" s="39"/>
      <c r="J252" s="24"/>
      <c r="K252" s="40">
        <v>46104</v>
      </c>
      <c r="L252" s="39" t="s">
        <v>109</v>
      </c>
      <c r="M252" s="39">
        <v>0.85</v>
      </c>
      <c r="N252" s="39" t="s">
        <v>736</v>
      </c>
      <c r="O252" s="39"/>
      <c r="P252" s="40">
        <v>46468</v>
      </c>
      <c r="Q252" s="39">
        <v>0.84991000000000005</v>
      </c>
      <c r="R252" s="39"/>
      <c r="S252" s="39"/>
      <c r="T252" s="39"/>
    </row>
    <row r="253" spans="1:20" s="7" customFormat="1" ht="25.5" x14ac:dyDescent="0.25">
      <c r="A253" s="38" t="s">
        <v>275</v>
      </c>
      <c r="B253" s="24" t="s">
        <v>266</v>
      </c>
      <c r="C253" s="24" t="s">
        <v>637</v>
      </c>
      <c r="D253" s="24" t="s">
        <v>624</v>
      </c>
      <c r="E253" s="24" t="s">
        <v>877</v>
      </c>
      <c r="F253" s="24" t="s">
        <v>579</v>
      </c>
      <c r="G253" s="24" t="s">
        <v>887</v>
      </c>
      <c r="H253" s="39">
        <v>10</v>
      </c>
      <c r="I253" s="39"/>
      <c r="J253" s="24"/>
      <c r="K253" s="40"/>
      <c r="L253" s="39" t="s">
        <v>736</v>
      </c>
      <c r="M253" s="39">
        <v>0.84991000000000005</v>
      </c>
      <c r="N253" s="39" t="s">
        <v>883</v>
      </c>
      <c r="O253" s="39"/>
      <c r="P253" s="40"/>
      <c r="Q253" s="39"/>
      <c r="R253" s="39"/>
      <c r="S253" s="39"/>
      <c r="T253" s="39"/>
    </row>
    <row r="254" spans="1:20" s="7" customFormat="1" ht="25.5" x14ac:dyDescent="0.25">
      <c r="A254" s="38" t="s">
        <v>275</v>
      </c>
      <c r="B254" s="24" t="s">
        <v>266</v>
      </c>
      <c r="C254" s="24" t="s">
        <v>637</v>
      </c>
      <c r="D254" s="24" t="s">
        <v>617</v>
      </c>
      <c r="E254" s="24" t="s">
        <v>877</v>
      </c>
      <c r="F254" s="24" t="s">
        <v>579</v>
      </c>
      <c r="G254" s="24" t="s">
        <v>888</v>
      </c>
      <c r="H254" s="39">
        <v>15</v>
      </c>
      <c r="I254" s="39">
        <v>10</v>
      </c>
      <c r="J254" s="24"/>
      <c r="K254" s="40"/>
      <c r="L254" s="39" t="s">
        <v>736</v>
      </c>
      <c r="M254" s="39"/>
      <c r="N254" s="39" t="s">
        <v>883</v>
      </c>
      <c r="O254" s="39"/>
      <c r="P254" s="40"/>
      <c r="Q254" s="39"/>
      <c r="R254" s="39"/>
      <c r="S254" s="39"/>
      <c r="T254" s="39"/>
    </row>
    <row r="255" spans="1:20" s="7" customFormat="1" ht="25.5" x14ac:dyDescent="0.25">
      <c r="A255" s="38" t="s">
        <v>275</v>
      </c>
      <c r="B255" s="24" t="s">
        <v>266</v>
      </c>
      <c r="C255" s="24" t="s">
        <v>637</v>
      </c>
      <c r="D255" s="24" t="s">
        <v>625</v>
      </c>
      <c r="E255" s="24" t="s">
        <v>877</v>
      </c>
      <c r="F255" s="24" t="s">
        <v>579</v>
      </c>
      <c r="G255" s="24" t="s">
        <v>888</v>
      </c>
      <c r="H255" s="39">
        <v>15</v>
      </c>
      <c r="I255" s="39">
        <v>10</v>
      </c>
      <c r="J255" s="24"/>
      <c r="K255" s="40"/>
      <c r="L255" s="39" t="s">
        <v>736</v>
      </c>
      <c r="M255" s="39"/>
      <c r="N255" s="39" t="s">
        <v>883</v>
      </c>
      <c r="O255" s="39"/>
      <c r="P255" s="40"/>
      <c r="Q255" s="39"/>
      <c r="R255" s="39"/>
      <c r="S255" s="39"/>
      <c r="T255" s="39"/>
    </row>
    <row r="256" spans="1:20" s="7" customFormat="1" ht="25.5" x14ac:dyDescent="0.25">
      <c r="A256" s="38" t="s">
        <v>275</v>
      </c>
      <c r="B256" s="24" t="s">
        <v>266</v>
      </c>
      <c r="C256" s="24" t="s">
        <v>637</v>
      </c>
      <c r="D256" s="24" t="s">
        <v>614</v>
      </c>
      <c r="E256" s="24" t="s">
        <v>643</v>
      </c>
      <c r="F256" s="24" t="s">
        <v>579</v>
      </c>
      <c r="G256" s="24" t="s">
        <v>889</v>
      </c>
      <c r="H256" s="39"/>
      <c r="I256" s="39"/>
      <c r="J256" s="24"/>
      <c r="K256" s="40"/>
      <c r="L256" s="39"/>
      <c r="M256" s="39"/>
      <c r="N256" s="39"/>
      <c r="O256" s="39"/>
      <c r="P256" s="40"/>
      <c r="Q256" s="39"/>
      <c r="R256" s="39"/>
      <c r="S256" s="39"/>
      <c r="T256" s="39"/>
    </row>
    <row r="257" spans="1:20" s="7" customFormat="1" ht="25.5" x14ac:dyDescent="0.25">
      <c r="A257" s="38" t="s">
        <v>275</v>
      </c>
      <c r="B257" s="24" t="s">
        <v>266</v>
      </c>
      <c r="C257" s="24" t="s">
        <v>637</v>
      </c>
      <c r="D257" s="24" t="s">
        <v>615</v>
      </c>
      <c r="E257" s="24" t="s">
        <v>643</v>
      </c>
      <c r="F257" s="24" t="s">
        <v>579</v>
      </c>
      <c r="G257" s="24" t="s">
        <v>889</v>
      </c>
      <c r="H257" s="39"/>
      <c r="I257" s="39"/>
      <c r="J257" s="24"/>
      <c r="K257" s="40"/>
      <c r="L257" s="39"/>
      <c r="M257" s="39"/>
      <c r="N257" s="39"/>
      <c r="O257" s="39"/>
      <c r="P257" s="40"/>
      <c r="Q257" s="39"/>
      <c r="R257" s="39"/>
      <c r="S257" s="39"/>
      <c r="T257" s="39"/>
    </row>
    <row r="258" spans="1:20" s="7" customFormat="1" ht="38.25" x14ac:dyDescent="0.25">
      <c r="A258" s="38" t="s">
        <v>275</v>
      </c>
      <c r="B258" s="24" t="s">
        <v>266</v>
      </c>
      <c r="C258" s="24" t="s">
        <v>637</v>
      </c>
      <c r="D258" s="24" t="s">
        <v>603</v>
      </c>
      <c r="E258" s="24" t="s">
        <v>664</v>
      </c>
      <c r="F258" s="24" t="s">
        <v>579</v>
      </c>
      <c r="G258" s="24" t="s">
        <v>890</v>
      </c>
      <c r="H258" s="39"/>
      <c r="I258" s="39"/>
      <c r="J258" s="24"/>
      <c r="K258" s="40"/>
      <c r="L258" s="39"/>
      <c r="M258" s="39"/>
      <c r="N258" s="39"/>
      <c r="O258" s="39"/>
      <c r="P258" s="40"/>
      <c r="Q258" s="39"/>
      <c r="R258" s="39"/>
      <c r="S258" s="39"/>
      <c r="T258" s="39"/>
    </row>
    <row r="259" spans="1:20" s="7" customFormat="1" ht="38.25" x14ac:dyDescent="0.25">
      <c r="A259" s="38" t="s">
        <v>275</v>
      </c>
      <c r="B259" s="24" t="s">
        <v>266</v>
      </c>
      <c r="C259" s="24" t="s">
        <v>637</v>
      </c>
      <c r="D259" s="24" t="s">
        <v>604</v>
      </c>
      <c r="E259" s="24" t="s">
        <v>664</v>
      </c>
      <c r="F259" s="24" t="s">
        <v>579</v>
      </c>
      <c r="G259" s="24" t="s">
        <v>891</v>
      </c>
      <c r="H259" s="39"/>
      <c r="I259" s="39"/>
      <c r="J259" s="24"/>
      <c r="K259" s="40"/>
      <c r="L259" s="39"/>
      <c r="M259" s="39"/>
      <c r="N259" s="39"/>
      <c r="O259" s="39"/>
      <c r="P259" s="40"/>
      <c r="Q259" s="39"/>
      <c r="R259" s="39"/>
      <c r="S259" s="39"/>
      <c r="T259" s="39"/>
    </row>
    <row r="260" spans="1:20" s="7" customFormat="1" ht="25.5" x14ac:dyDescent="0.25">
      <c r="A260" s="38" t="s">
        <v>275</v>
      </c>
      <c r="B260" s="24" t="s">
        <v>266</v>
      </c>
      <c r="C260" s="24" t="s">
        <v>637</v>
      </c>
      <c r="D260" s="24" t="s">
        <v>609</v>
      </c>
      <c r="E260" s="24" t="s">
        <v>673</v>
      </c>
      <c r="F260" s="24" t="s">
        <v>579</v>
      </c>
      <c r="G260" s="24" t="s">
        <v>892</v>
      </c>
      <c r="H260" s="39"/>
      <c r="I260" s="39"/>
      <c r="J260" s="24"/>
      <c r="K260" s="40"/>
      <c r="L260" s="39" t="s">
        <v>736</v>
      </c>
      <c r="M260" s="39"/>
      <c r="N260" s="39" t="s">
        <v>883</v>
      </c>
      <c r="O260" s="39"/>
      <c r="P260" s="40"/>
      <c r="Q260" s="39"/>
      <c r="R260" s="39"/>
      <c r="S260" s="39"/>
      <c r="T260" s="39"/>
    </row>
    <row r="261" spans="1:20" s="7" customFormat="1" ht="25.5" x14ac:dyDescent="0.25">
      <c r="A261" s="38" t="s">
        <v>275</v>
      </c>
      <c r="B261" s="24" t="s">
        <v>266</v>
      </c>
      <c r="C261" s="24" t="s">
        <v>637</v>
      </c>
      <c r="D261" s="24" t="s">
        <v>610</v>
      </c>
      <c r="E261" s="24" t="s">
        <v>673</v>
      </c>
      <c r="F261" s="24" t="s">
        <v>579</v>
      </c>
      <c r="G261" s="24" t="s">
        <v>892</v>
      </c>
      <c r="H261" s="39"/>
      <c r="I261" s="39"/>
      <c r="J261" s="24"/>
      <c r="K261" s="40"/>
      <c r="L261" s="39" t="s">
        <v>736</v>
      </c>
      <c r="M261" s="39"/>
      <c r="N261" s="39" t="s">
        <v>883</v>
      </c>
      <c r="O261" s="39"/>
      <c r="P261" s="40"/>
      <c r="Q261" s="39"/>
      <c r="R261" s="39"/>
      <c r="S261" s="39"/>
      <c r="T261" s="39"/>
    </row>
    <row r="262" spans="1:20" s="7" customFormat="1" ht="25.5" x14ac:dyDescent="0.25">
      <c r="A262" s="38" t="s">
        <v>275</v>
      </c>
      <c r="B262" s="24" t="s">
        <v>266</v>
      </c>
      <c r="C262" s="24" t="s">
        <v>637</v>
      </c>
      <c r="D262" s="24" t="s">
        <v>620</v>
      </c>
      <c r="E262" s="24" t="s">
        <v>673</v>
      </c>
      <c r="F262" s="24" t="s">
        <v>579</v>
      </c>
      <c r="G262" s="24" t="s">
        <v>892</v>
      </c>
      <c r="H262" s="39"/>
      <c r="I262" s="39"/>
      <c r="J262" s="24"/>
      <c r="K262" s="40"/>
      <c r="L262" s="39" t="s">
        <v>736</v>
      </c>
      <c r="M262" s="39"/>
      <c r="N262" s="39" t="s">
        <v>883</v>
      </c>
      <c r="O262" s="39"/>
      <c r="P262" s="40"/>
      <c r="Q262" s="39"/>
      <c r="R262" s="39"/>
      <c r="S262" s="39"/>
      <c r="T262" s="39"/>
    </row>
    <row r="263" spans="1:20" s="7" customFormat="1" ht="25.5" x14ac:dyDescent="0.25">
      <c r="A263" s="38" t="s">
        <v>275</v>
      </c>
      <c r="B263" s="24" t="s">
        <v>266</v>
      </c>
      <c r="C263" s="24" t="s">
        <v>637</v>
      </c>
      <c r="D263" s="24" t="s">
        <v>626</v>
      </c>
      <c r="E263" s="24" t="s">
        <v>658</v>
      </c>
      <c r="F263" s="24" t="s">
        <v>579</v>
      </c>
      <c r="G263" s="24" t="s">
        <v>889</v>
      </c>
      <c r="H263" s="39"/>
      <c r="I263" s="39"/>
      <c r="J263" s="24"/>
      <c r="K263" s="40"/>
      <c r="L263" s="39" t="s">
        <v>736</v>
      </c>
      <c r="M263" s="39"/>
      <c r="N263" s="39" t="s">
        <v>883</v>
      </c>
      <c r="O263" s="39"/>
      <c r="P263" s="40"/>
      <c r="Q263" s="39"/>
      <c r="R263" s="39"/>
      <c r="S263" s="39"/>
      <c r="T263" s="39"/>
    </row>
    <row r="264" spans="1:20" s="7" customFormat="1" ht="25.5" x14ac:dyDescent="0.25">
      <c r="A264" s="38" t="s">
        <v>275</v>
      </c>
      <c r="B264" s="24" t="s">
        <v>266</v>
      </c>
      <c r="C264" s="24" t="s">
        <v>637</v>
      </c>
      <c r="D264" s="24" t="s">
        <v>611</v>
      </c>
      <c r="E264" s="24" t="s">
        <v>677</v>
      </c>
      <c r="F264" s="24" t="s">
        <v>579</v>
      </c>
      <c r="G264" s="24" t="s">
        <v>893</v>
      </c>
      <c r="H264" s="39"/>
      <c r="I264" s="39"/>
      <c r="J264" s="24"/>
      <c r="K264" s="40"/>
      <c r="L264" s="39"/>
      <c r="M264" s="39"/>
      <c r="N264" s="39"/>
      <c r="O264" s="39"/>
      <c r="P264" s="40"/>
      <c r="Q264" s="39"/>
      <c r="R264" s="39"/>
      <c r="S264" s="39"/>
      <c r="T264" s="39"/>
    </row>
    <row r="265" spans="1:20" s="7" customFormat="1" ht="51" x14ac:dyDescent="0.25">
      <c r="A265" s="38" t="s">
        <v>275</v>
      </c>
      <c r="B265" s="24" t="s">
        <v>266</v>
      </c>
      <c r="C265" s="24" t="s">
        <v>637</v>
      </c>
      <c r="D265" s="24" t="s">
        <v>544</v>
      </c>
      <c r="E265" s="24" t="s">
        <v>373</v>
      </c>
      <c r="F265" s="24" t="s">
        <v>579</v>
      </c>
      <c r="G265" s="24" t="s">
        <v>894</v>
      </c>
      <c r="H265" s="39"/>
      <c r="I265" s="39"/>
      <c r="J265" s="24"/>
      <c r="K265" s="40"/>
      <c r="L265" s="39"/>
      <c r="M265" s="39"/>
      <c r="N265" s="39"/>
      <c r="O265" s="39"/>
      <c r="P265" s="40"/>
      <c r="Q265" s="39"/>
      <c r="R265" s="39"/>
      <c r="S265" s="39"/>
      <c r="T265" s="39"/>
    </row>
  </sheetData>
  <autoFilter ref="A4:T265" xr:uid="{19C62D52-7FAA-4869-9E3F-72778AF2C86A}"/>
  <sortState xmlns:xlrd2="http://schemas.microsoft.com/office/spreadsheetml/2017/richdata2" ref="A5:T265">
    <sortCondition ref="A5:A265"/>
    <sortCondition ref="B5:B265" customList="Jan,Feb,Mar,Apr,May,Jun,Jul,Aug,Sep,Oct,Nov,Dec"/>
    <sortCondition ref="C5:C265"/>
    <sortCondition ref="D5:D265"/>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1192-4C2A-4E93-98BD-DF494D711F16}">
  <sheetPr codeName="Sheet3"/>
  <dimension ref="A1:B48"/>
  <sheetViews>
    <sheetView showGridLines="0" zoomScale="90" zoomScaleNormal="90" workbookViewId="0">
      <pane ySplit="3" topLeftCell="A4" activePane="bottomLeft" state="frozen"/>
      <selection activeCell="A5" sqref="A5"/>
      <selection pane="bottomLeft"/>
    </sheetView>
  </sheetViews>
  <sheetFormatPr defaultRowHeight="15" x14ac:dyDescent="0.25"/>
  <cols>
    <col min="1" max="1" width="31.7109375" customWidth="1"/>
    <col min="2" max="2" width="162.85546875" bestFit="1" customWidth="1"/>
  </cols>
  <sheetData>
    <row r="1" spans="1:2" ht="11.25" customHeight="1" x14ac:dyDescent="0.25">
      <c r="A1" s="2" t="s">
        <v>119</v>
      </c>
      <c r="B1" s="1"/>
    </row>
    <row r="2" spans="1:2" ht="11.25" customHeight="1" x14ac:dyDescent="0.25">
      <c r="A2" s="4"/>
      <c r="B2" s="5"/>
    </row>
    <row r="3" spans="1:2" ht="30" customHeight="1" x14ac:dyDescent="0.25">
      <c r="A3" s="57" t="s">
        <v>3</v>
      </c>
      <c r="B3" s="58" t="s">
        <v>30</v>
      </c>
    </row>
    <row r="4" spans="1:2" x14ac:dyDescent="0.25">
      <c r="A4" s="13" t="s">
        <v>97</v>
      </c>
      <c r="B4" s="13" t="s">
        <v>114</v>
      </c>
    </row>
    <row r="5" spans="1:2" x14ac:dyDescent="0.25">
      <c r="A5" s="13" t="s">
        <v>16</v>
      </c>
      <c r="B5" s="13" t="s">
        <v>58</v>
      </c>
    </row>
    <row r="6" spans="1:2" x14ac:dyDescent="0.25">
      <c r="A6" s="13" t="s">
        <v>17</v>
      </c>
      <c r="B6" s="13" t="s">
        <v>59</v>
      </c>
    </row>
    <row r="7" spans="1:2" x14ac:dyDescent="0.25">
      <c r="A7" s="13" t="s">
        <v>31</v>
      </c>
      <c r="B7" s="13" t="s">
        <v>85</v>
      </c>
    </row>
    <row r="8" spans="1:2" x14ac:dyDescent="0.25">
      <c r="A8" s="13" t="s">
        <v>32</v>
      </c>
      <c r="B8" s="13" t="s">
        <v>60</v>
      </c>
    </row>
    <row r="9" spans="1:2" x14ac:dyDescent="0.25">
      <c r="A9" s="13" t="s">
        <v>33</v>
      </c>
      <c r="B9" s="13" t="s">
        <v>62</v>
      </c>
    </row>
    <row r="10" spans="1:2" x14ac:dyDescent="0.25">
      <c r="A10" s="13" t="s">
        <v>34</v>
      </c>
      <c r="B10" s="13" t="s">
        <v>61</v>
      </c>
    </row>
    <row r="11" spans="1:2" x14ac:dyDescent="0.25">
      <c r="A11" s="13" t="s">
        <v>111</v>
      </c>
      <c r="B11" s="13" t="s">
        <v>116</v>
      </c>
    </row>
    <row r="12" spans="1:2" x14ac:dyDescent="0.25">
      <c r="A12" s="13" t="s">
        <v>18</v>
      </c>
      <c r="B12" s="13" t="s">
        <v>63</v>
      </c>
    </row>
    <row r="13" spans="1:2" x14ac:dyDescent="0.25">
      <c r="A13" s="13" t="s">
        <v>28</v>
      </c>
      <c r="B13" s="13" t="s">
        <v>35</v>
      </c>
    </row>
    <row r="14" spans="1:2" x14ac:dyDescent="0.25">
      <c r="A14" s="13" t="s">
        <v>36</v>
      </c>
      <c r="B14" s="13" t="s">
        <v>64</v>
      </c>
    </row>
    <row r="15" spans="1:2" x14ac:dyDescent="0.25">
      <c r="A15" s="13" t="s">
        <v>110</v>
      </c>
      <c r="B15" s="13" t="s">
        <v>115</v>
      </c>
    </row>
    <row r="16" spans="1:2" x14ac:dyDescent="0.25">
      <c r="A16" s="13" t="s">
        <v>19</v>
      </c>
      <c r="B16" s="13" t="s">
        <v>65</v>
      </c>
    </row>
    <row r="17" spans="1:2" x14ac:dyDescent="0.25">
      <c r="A17" s="13" t="s">
        <v>37</v>
      </c>
      <c r="B17" s="13" t="s">
        <v>66</v>
      </c>
    </row>
    <row r="18" spans="1:2" x14ac:dyDescent="0.25">
      <c r="A18" s="13" t="s">
        <v>108</v>
      </c>
      <c r="B18" s="13" t="s">
        <v>117</v>
      </c>
    </row>
    <row r="19" spans="1:2" x14ac:dyDescent="0.25">
      <c r="A19" s="13" t="s">
        <v>90</v>
      </c>
      <c r="B19" s="13" t="s">
        <v>91</v>
      </c>
    </row>
    <row r="20" spans="1:2" x14ac:dyDescent="0.25">
      <c r="A20" s="13" t="s">
        <v>38</v>
      </c>
      <c r="B20" s="13" t="s">
        <v>39</v>
      </c>
    </row>
    <row r="21" spans="1:2" x14ac:dyDescent="0.25">
      <c r="A21" s="13" t="s">
        <v>40</v>
      </c>
      <c r="B21" s="13" t="s">
        <v>67</v>
      </c>
    </row>
    <row r="22" spans="1:2" x14ac:dyDescent="0.25">
      <c r="A22" s="13" t="s">
        <v>41</v>
      </c>
      <c r="B22" s="13" t="s">
        <v>68</v>
      </c>
    </row>
    <row r="23" spans="1:2" x14ac:dyDescent="0.25">
      <c r="A23" s="13" t="s">
        <v>42</v>
      </c>
      <c r="B23" s="13" t="s">
        <v>43</v>
      </c>
    </row>
    <row r="24" spans="1:2" x14ac:dyDescent="0.25">
      <c r="A24" s="13" t="s">
        <v>20</v>
      </c>
      <c r="B24" s="13" t="s">
        <v>69</v>
      </c>
    </row>
    <row r="25" spans="1:2" x14ac:dyDescent="0.25">
      <c r="A25" s="13" t="s">
        <v>21</v>
      </c>
      <c r="B25" s="13" t="s">
        <v>70</v>
      </c>
    </row>
    <row r="26" spans="1:2" x14ac:dyDescent="0.25">
      <c r="A26" s="13" t="s">
        <v>25</v>
      </c>
      <c r="B26" s="13" t="s">
        <v>71</v>
      </c>
    </row>
    <row r="27" spans="1:2" x14ac:dyDescent="0.25">
      <c r="A27" s="13" t="s">
        <v>26</v>
      </c>
      <c r="B27" s="13" t="s">
        <v>72</v>
      </c>
    </row>
    <row r="28" spans="1:2" x14ac:dyDescent="0.25">
      <c r="A28" s="13" t="s">
        <v>29</v>
      </c>
      <c r="B28" s="13" t="s">
        <v>73</v>
      </c>
    </row>
    <row r="29" spans="1:2" x14ac:dyDescent="0.25">
      <c r="A29" s="13" t="s">
        <v>44</v>
      </c>
      <c r="B29" s="13" t="s">
        <v>74</v>
      </c>
    </row>
    <row r="30" spans="1:2" x14ac:dyDescent="0.25">
      <c r="A30" s="13" t="s">
        <v>45</v>
      </c>
      <c r="B30" s="13" t="s">
        <v>75</v>
      </c>
    </row>
    <row r="31" spans="1:2" x14ac:dyDescent="0.25">
      <c r="A31" s="13" t="s">
        <v>46</v>
      </c>
      <c r="B31" s="13" t="s">
        <v>76</v>
      </c>
    </row>
    <row r="32" spans="1:2" x14ac:dyDescent="0.25">
      <c r="A32" s="13" t="s">
        <v>22</v>
      </c>
      <c r="B32" s="13" t="s">
        <v>77</v>
      </c>
    </row>
    <row r="33" spans="1:2" x14ac:dyDescent="0.25">
      <c r="A33" s="13" t="s">
        <v>47</v>
      </c>
      <c r="B33" s="13" t="s">
        <v>78</v>
      </c>
    </row>
    <row r="34" spans="1:2" x14ac:dyDescent="0.25">
      <c r="A34" s="13" t="s">
        <v>48</v>
      </c>
      <c r="B34" s="13" t="s">
        <v>49</v>
      </c>
    </row>
    <row r="35" spans="1:2" x14ac:dyDescent="0.25">
      <c r="A35" s="13" t="s">
        <v>50</v>
      </c>
      <c r="B35" s="13" t="s">
        <v>51</v>
      </c>
    </row>
    <row r="36" spans="1:2" x14ac:dyDescent="0.25">
      <c r="A36" s="13" t="s">
        <v>52</v>
      </c>
      <c r="B36" s="13" t="s">
        <v>79</v>
      </c>
    </row>
    <row r="37" spans="1:2" x14ac:dyDescent="0.25">
      <c r="A37" s="13" t="s">
        <v>112</v>
      </c>
      <c r="B37" s="13" t="s">
        <v>118</v>
      </c>
    </row>
    <row r="38" spans="1:2" x14ac:dyDescent="0.25">
      <c r="A38" s="13" t="s">
        <v>158</v>
      </c>
      <c r="B38" s="13" t="s">
        <v>159</v>
      </c>
    </row>
    <row r="39" spans="1:2" x14ac:dyDescent="0.25">
      <c r="A39" s="13" t="s">
        <v>23</v>
      </c>
      <c r="B39" s="13" t="s">
        <v>53</v>
      </c>
    </row>
    <row r="40" spans="1:2" x14ac:dyDescent="0.25">
      <c r="A40" s="13" t="s">
        <v>54</v>
      </c>
      <c r="B40" s="13" t="s">
        <v>55</v>
      </c>
    </row>
    <row r="41" spans="1:2" x14ac:dyDescent="0.25">
      <c r="A41" s="13" t="s">
        <v>24</v>
      </c>
      <c r="B41" s="13" t="s">
        <v>56</v>
      </c>
    </row>
    <row r="42" spans="1:2" x14ac:dyDescent="0.25">
      <c r="A42" s="13" t="s">
        <v>57</v>
      </c>
      <c r="B42" s="13" t="s">
        <v>80</v>
      </c>
    </row>
    <row r="43" spans="1:2" x14ac:dyDescent="0.25">
      <c r="A43" s="13" t="s">
        <v>154</v>
      </c>
      <c r="B43" s="13" t="s">
        <v>81</v>
      </c>
    </row>
    <row r="44" spans="1:2" x14ac:dyDescent="0.25">
      <c r="A44" s="13" t="s">
        <v>153</v>
      </c>
      <c r="B44" s="13" t="s">
        <v>82</v>
      </c>
    </row>
    <row r="45" spans="1:2" x14ac:dyDescent="0.25">
      <c r="A45" s="13" t="s">
        <v>156</v>
      </c>
      <c r="B45" s="13" t="s">
        <v>83</v>
      </c>
    </row>
    <row r="46" spans="1:2" x14ac:dyDescent="0.25">
      <c r="A46" s="13" t="s">
        <v>88</v>
      </c>
      <c r="B46" s="13" t="s">
        <v>89</v>
      </c>
    </row>
    <row r="47" spans="1:2" x14ac:dyDescent="0.25">
      <c r="A47" s="13" t="s">
        <v>27</v>
      </c>
      <c r="B47" s="13" t="s">
        <v>84</v>
      </c>
    </row>
    <row r="48" spans="1:2" x14ac:dyDescent="0.25">
      <c r="A48" s="13" t="s">
        <v>86</v>
      </c>
      <c r="B48" s="13" t="s">
        <v>87</v>
      </c>
    </row>
  </sheetData>
  <autoFilter ref="A3:B3" xr:uid="{0E6E1192-4C2A-4E93-98BD-DF494D711F1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18ef1e1-30b6-442b-8c43-23484e0ae317">
      <UserInfo>
        <DisplayName>Sophie Driscoll</DisplayName>
        <AccountId>49</AccountId>
        <AccountType/>
      </UserInfo>
    </SharedWithUsers>
    <TaxCatchAll xmlns="f18ef1e1-30b6-442b-8c43-23484e0ae317" xsi:nil="true"/>
    <lcf76f155ced4ddcb4097134ff3c332f xmlns="128a9a9e-bad6-4626-ae91-4745f8f12a2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902B709BEB2A4E817E7825AEF2756A" ma:contentTypeVersion="19" ma:contentTypeDescription="Create a new document." ma:contentTypeScope="" ma:versionID="26bd15991ac3b2abd13d1a736e1130a3">
  <xsd:schema xmlns:xsd="http://www.w3.org/2001/XMLSchema" xmlns:xs="http://www.w3.org/2001/XMLSchema" xmlns:p="http://schemas.microsoft.com/office/2006/metadata/properties" xmlns:ns2="128a9a9e-bad6-4626-ae91-4745f8f12a2e" xmlns:ns3="f18ef1e1-30b6-442b-8c43-23484e0ae317" targetNamespace="http://schemas.microsoft.com/office/2006/metadata/properties" ma:root="true" ma:fieldsID="90c6d8ce3f85393bb33401546823139b" ns2:_="" ns3:_="">
    <xsd:import namespace="128a9a9e-bad6-4626-ae91-4745f8f12a2e"/>
    <xsd:import namespace="f18ef1e1-30b6-442b-8c43-23484e0ae31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a9a9e-bad6-4626-ae91-4745f8f12a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435093-839c-4ae8-ab5a-83443d73ea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8ef1e1-30b6-442b-8c43-23484e0ae31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4281429-232d-4bcf-82b9-6860bb960d19}" ma:internalName="TaxCatchAll" ma:showField="CatchAllData" ma:web="f18ef1e1-30b6-442b-8c43-23484e0ae3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D41427-7CA3-4FB6-A676-C9A0A5BA301B}">
  <ds:schemaRefs>
    <ds:schemaRef ds:uri="http://schemas.microsoft.com/sharepoint/v3/contenttype/forms"/>
  </ds:schemaRefs>
</ds:datastoreItem>
</file>

<file path=customXml/itemProps2.xml><?xml version="1.0" encoding="utf-8"?>
<ds:datastoreItem xmlns:ds="http://schemas.openxmlformats.org/officeDocument/2006/customXml" ds:itemID="{5B4BE572-1E52-4298-B11D-066BB38E367E}">
  <ds:schemaRefs>
    <ds:schemaRef ds:uri="http://purl.org/dc/elements/1.1/"/>
    <ds:schemaRef ds:uri="http://schemas.microsoft.com/office/2006/metadata/properties"/>
    <ds:schemaRef ds:uri="128a9a9e-bad6-4626-ae91-4745f8f12a2e"/>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f18ef1e1-30b6-442b-8c43-23484e0ae317"/>
    <ds:schemaRef ds:uri="http://www.w3.org/XML/1998/namespace"/>
    <ds:schemaRef ds:uri="http://purl.org/dc/dcmitype/"/>
  </ds:schemaRefs>
</ds:datastoreItem>
</file>

<file path=customXml/itemProps3.xml><?xml version="1.0" encoding="utf-8"?>
<ds:datastoreItem xmlns:ds="http://schemas.openxmlformats.org/officeDocument/2006/customXml" ds:itemID="{53DC7A98-BDE4-40A2-8CFD-815892129C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8a9a9e-bad6-4626-ae91-4745f8f12a2e"/>
    <ds:schemaRef ds:uri="f18ef1e1-30b6-442b-8c43-23484e0ae3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Formulas</vt:lpstr>
      <vt:lpstr>Summary</vt:lpstr>
      <vt:lpstr>Corporate activity</vt:lpstr>
      <vt:lpstr>Issuance</vt:lpstr>
      <vt:lpstr>Buybacks</vt:lpstr>
      <vt:lpstr>VCT</vt:lpstr>
      <vt:lpstr>Definitions</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Sten Mandal</dc:creator>
  <cp:keywords/>
  <dc:description/>
  <cp:lastModifiedBy>Max Stirling</cp:lastModifiedBy>
  <cp:revision/>
  <cp:lastPrinted>2026-06-17T11:31:22Z</cp:lastPrinted>
  <dcterms:created xsi:type="dcterms:W3CDTF">2020-02-03T11:37:12Z</dcterms:created>
  <dcterms:modified xsi:type="dcterms:W3CDTF">2026-08-03T14:00:08Z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0x0101003F902B709BEB2A4E817E7825AEF2756A</vt:lpwstr>
  </property>
  <property fmtid="{D5CDD505-2E9C-101B-9397-08002B2CF9AE}" pid="3" name="Order">
    <vt:r8>19600</vt:r8>
  </property>
  <property fmtid="{D5CDD505-2E9C-101B-9397-08002B2CF9AE}" pid="4" name="MediaServiceImageTags">
    <vt:lpwstr/>
  </property>
</Properties>
</file>